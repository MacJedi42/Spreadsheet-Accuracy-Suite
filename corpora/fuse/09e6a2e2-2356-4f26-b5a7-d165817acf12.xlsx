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1.xml.rels" ContentType="application/vnd.openxmlformats-package.relationships+xml"/>
  <Override PartName="/xl/worksheets/sheet7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.xml" ContentType="application/vnd.openxmlformats-officedocument.spreadsheetml.worksheet+xml"/>
  <Override PartName="/xl/worksheets/sheet18.xml" ContentType="application/vnd.openxmlformats-officedocument.spreadsheetml.worksheet+xml"/>
  <Override PartName="/xl/worksheets/sheet27.xml" ContentType="application/vnd.openxmlformats-officedocument.spreadsheetml.worksheet+xml"/>
  <Override PartName="/xl/worksheets/sheet4.xml" ContentType="application/vnd.openxmlformats-officedocument.spreadsheetml.worksheet+xml"/>
  <Override PartName="/xl/worksheets/sheet29.xml" ContentType="application/vnd.openxmlformats-officedocument.spreadsheetml.workshee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31.xml" ContentType="application/vnd.openxmlformats-officedocument.spreadsheetml.worksheet+xml"/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1.xml" ContentType="application/vnd.openxmlformats-officedocument.spreadsheetml.worksheet+xml"/>
  <Override PartName="/xl/worksheets/sheet33.xml" ContentType="application/vnd.openxmlformats-officedocument.spreadsheetml.worksheet+xml"/>
  <Override PartName="/xl/worksheets/sheet17.xml" ContentType="application/vnd.openxmlformats-officedocument.spreadsheetml.worksheet+xml"/>
  <Override PartName="/xl/worksheets/sheet3.xml" ContentType="application/vnd.openxmlformats-officedocument.spreadsheetml.worksheet+xml"/>
  <Override PartName="/xl/worksheets/sheet26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600" windowHeight="8192" windowWidth="16384" xWindow="0" yWindow="0"/>
  </bookViews>
  <sheets>
    <sheet name="All stats" sheetId="1" state="visible" r:id="rId2"/>
    <sheet name="All IS Sets" sheetId="2" state="visible" r:id="rId3"/>
    <sheet name="All sets" sheetId="3" state="visible" r:id="rId4"/>
    <sheet name="ACF Fall" sheetId="4" state="visible" r:id="rId5"/>
    <sheet name="ACF Regs" sheetId="5" state="visible" r:id="rId6"/>
    <sheet name="ATTACK" sheetId="6" state="visible" r:id="rId7"/>
    <sheet name="BDAT" sheetId="7" state="visible" r:id="rId8"/>
    <sheet name="DAFT" sheetId="8" state="visible" r:id="rId9"/>
    <sheet name="FKT" sheetId="9" state="visible" r:id="rId10"/>
    <sheet name="GSAC" sheetId="10" state="visible" r:id="rId11"/>
    <sheet name="HFT" sheetId="11" state="visible" r:id="rId12"/>
    <sheet name="HT22" sheetId="12" state="visible" r:id="rId13"/>
    <sheet name="HT23" sheetId="13" state="visible" r:id="rId14"/>
    <sheet name="IMSANITY2" sheetId="14" state="visible" r:id="rId15"/>
    <sheet name="IS103A" sheetId="15" state="visible" r:id="rId16"/>
    <sheet name="IS106A" sheetId="16" state="visible" r:id="rId17"/>
    <sheet name="IS107" sheetId="17" state="visible" r:id="rId18"/>
    <sheet name="IS108A" sheetId="18" state="visible" r:id="rId19"/>
    <sheet name="IS109" sheetId="19" state="visible" r:id="rId20"/>
    <sheet name="IS110A" sheetId="20" state="visible" r:id="rId21"/>
    <sheet name="IS111" sheetId="21" state="visible" r:id="rId22"/>
    <sheet name="IS112A" sheetId="22" state="visible" r:id="rId23"/>
    <sheet name="IS113" sheetId="23" state="visible" r:id="rId24"/>
    <sheet name="IS114A" sheetId="24" state="visible" r:id="rId25"/>
    <sheet name="IS115" sheetId="25" state="visible" r:id="rId26"/>
    <sheet name="LIST" sheetId="26" state="visible" r:id="rId27"/>
    <sheet name="MN Novice" sheetId="27" state="visible" r:id="rId28"/>
    <sheet name="OLEFIN" sheetId="28" state="visible" r:id="rId29"/>
    <sheet name="RAVE" sheetId="29" state="visible" r:id="rId30"/>
    <sheet name="RMTP" sheetId="30" state="visible" r:id="rId31"/>
    <sheet name="SCTD1" sheetId="31" state="visible" r:id="rId32"/>
    <sheet name="WUHSAC" sheetId="32" state="visible" r:id="rId33"/>
    <sheet name="Sheet1" sheetId="33" state="visible" r:id="rId34"/>
  </sheets>
  <definedNames>
    <definedName function="false" hidden="true" localSheetId="0" name="_xlnm._FilterDatabase" vbProcedure="false">'All stats'!$A$1:$F$3743</definedName>
    <definedName function="false" hidden="false" name="_FilterDatabase_1" vbProcedure="false">'All stats'!$A$1:$F$2396</definedName>
    <definedName function="false" hidden="false" name="_FilterDatabase_1_1" vbProcedure="false">'All stats'!$A$1:$F$2378</definedName>
    <definedName function="false" hidden="false" name="_FilterDatabase_1_1_1" vbProcedure="false">'All stats'!$C$1:$C$452</definedName>
    <definedName function="false" hidden="false" name="_FilterDatabase_1_1_1_1" vbProcedure="false">'All stats'!$C$1:$C$452</definedName>
    <definedName function="false" hidden="false" name="_xlnm._FilterDatabase" vbProcedure="false">'All stats'!$A$1:$F$3743</definedName>
    <definedName function="false" hidden="false" name="_xlnm._FilterDatabase_1" vbProcedure="false">'All stats'!$A$1:$F$3610</definedName>
    <definedName function="false" hidden="false" name="_xlnm._FilterDatabase_1_1" vbProcedure="false">'All stats'!$A$1:$F$3610</definedName>
    <definedName function="false" hidden="false" name="_xlnm._FilterDatabase_1_1_1" vbProcedure="false">'All stats'!$A$1:$F$3254</definedName>
    <definedName function="false" hidden="false" name="_xlnm._FilterDatabase_1_1_1_1" vbProcedure="false">'All stats'!$A$1:$F$3254</definedName>
    <definedName function="false" hidden="false" name="_xlnm._FilterDatabase_1_1_1_1_1" vbProcedure="false">'All stats'!$A$1:$F$3254</definedName>
    <definedName function="false" hidden="false" name="_xlnm._FilterDatabase_1_1_1_1_1_1" vbProcedure="false">'All stats'!$A$1:$F$3177</definedName>
    <definedName function="false" hidden="false" name="_xlnm._FilterDatabase_1_1_1_1_1_1_1" vbProcedure="false">'All stats'!$A$1:$F$3177</definedName>
    <definedName function="false" hidden="false" name="_xlnm._FilterDatabase_1_1_1_1_1_1_1_1" vbProcedure="false">'All stats'!$A$1:$F$3177</definedName>
    <definedName function="false" hidden="false" name="_xlnm._FilterDatabase_1_1_1_1_1_1_1_1_1" vbProcedure="false">'All stats'!$A$1:$F$3177</definedName>
    <definedName function="false" hidden="false" name="_xlnm._FilterDatabase_1_1_1_1_1_1_1_1_1_1" vbProcedure="false">'All stats'!$A$1:$F$2739</definedName>
    <definedName function="false" hidden="false" name="_xlnm._FilterDatabase_1_1_1_1_1_1_1_1_1_1_1" vbProcedure="false">'All stats'!$A$1:$F$2739</definedName>
    <definedName function="false" hidden="false" name="_xlnm._FilterDatabase_1_1_1_1_1_1_1_1_1_1_1_1" vbProcedure="false">'All stats'!$A$1:$F$2739</definedName>
    <definedName function="false" hidden="false" name="_xlnm._FilterDatabase_1_1_1_1_1_1_1_1_1_1_1_1_1" vbProcedure="false">'All stats'!$A$1:$F$2396</definedName>
    <definedName function="false" hidden="false" name="_xlnm._FilterDatabase_1_1_1_1_1_1_1_1_1_1_1_1_1_1" vbProcedure="false">'All stats'!$A$1:$F$2396</definedName>
    <definedName function="false" hidden="false" name="_xlnm._FilterDatabase_1_1_1_1_1_1_1_1_1_1_1_1_1_1_1" vbProcedure="false">'All stats'!$A$1:$F$2396</definedName>
    <definedName function="false" hidden="false" name="_xlnm._FilterDatabase_1_1_1_1_1_1_1_1_1_1_1_1_1_1_1_1" vbProcedure="false">'All stats'!$A$1:$F$2396</definedName>
  </definedNames>
  <calcPr iterateCount="100" refMode="A1" iterate="false" iterateDelta="0.0001"/>
</workbook>
</file>

<file path=xl/sharedStrings.xml><?xml version="1.0" encoding="utf-8"?>
<sst xmlns="http://schemas.openxmlformats.org/spreadsheetml/2006/main" count="25157" uniqueCount="2606">
  <si>
    <t>Team</t>
  </si>
  <si>
    <t>Tourney</t>
  </si>
  <si>
    <t>Set</t>
  </si>
  <si>
    <t>PPG</t>
  </si>
  <si>
    <t>PPB</t>
  </si>
  <si>
    <t>15PG</t>
  </si>
  <si>
    <t>Bellaire</t>
  </si>
  <si>
    <t>ACF Fall Texas</t>
  </si>
  <si>
    <t>ACF Fall</t>
  </si>
  <si>
    <t>n/a</t>
  </si>
  <si>
    <t>Cinco Ranch</t>
  </si>
  <si>
    <t>Dorman</t>
  </si>
  <si>
    <t>ACF Fall UVA</t>
  </si>
  <si>
    <t>Georgetown Day School</t>
  </si>
  <si>
    <t>Hanover</t>
  </si>
  <si>
    <t>ACF Fall Yale</t>
  </si>
  <si>
    <t>IMSA</t>
  </si>
  <si>
    <t>ACF Fall NIU</t>
  </si>
  <si>
    <t>Kealing A</t>
  </si>
  <si>
    <t>Loyola A</t>
  </si>
  <si>
    <t>Loyola B</t>
  </si>
  <si>
    <t>Macomb</t>
  </si>
  <si>
    <t>North Hollywood A</t>
  </si>
  <si>
    <t>ACF Fall West</t>
  </si>
  <si>
    <t>North Hollywood B</t>
  </si>
  <si>
    <t>Rancho Bernardo</t>
  </si>
  <si>
    <t>Seven Lakes A</t>
  </si>
  <si>
    <t>Seven Lakes B</t>
  </si>
  <si>
    <t>St. Anselm's</t>
  </si>
  <si>
    <t>St. John's A</t>
  </si>
  <si>
    <t>St. John's B</t>
  </si>
  <si>
    <t>St. John's C</t>
  </si>
  <si>
    <t>Thomas Jefferson A</t>
  </si>
  <si>
    <t>Treasure Valley Math &amp; Science</t>
  </si>
  <si>
    <t>ACF Fall Boise State</t>
  </si>
  <si>
    <t>Bellarmine</t>
  </si>
  <si>
    <t>Texas ACF Regionals</t>
  </si>
  <si>
    <t>ACF Regs</t>
  </si>
  <si>
    <t>Centennial</t>
  </si>
  <si>
    <t>Chattahoochee (GA)</t>
  </si>
  <si>
    <t>DCC</t>
  </si>
  <si>
    <t>GDS</t>
  </si>
  <si>
    <t>Hunter</t>
  </si>
  <si>
    <t>Kealing</t>
  </si>
  <si>
    <t>LASA A</t>
  </si>
  <si>
    <t>LASA B</t>
  </si>
  <si>
    <t>Loyola</t>
  </si>
  <si>
    <t>Seven Lakes</t>
  </si>
  <si>
    <t>SJS</t>
  </si>
  <si>
    <t>SJS B</t>
  </si>
  <si>
    <t>Alpharetta</t>
  </si>
  <si>
    <t>ATTACK (National)</t>
  </si>
  <si>
    <t>ATTACK</t>
  </si>
  <si>
    <t>Alpharetta B</t>
  </si>
  <si>
    <t>ATTACK (Varsity)</t>
  </si>
  <si>
    <t>Athens Academy</t>
  </si>
  <si>
    <t>Brookwood A</t>
  </si>
  <si>
    <t>Brookwood B</t>
  </si>
  <si>
    <t>Chattahoochee A</t>
  </si>
  <si>
    <t>Chattahoochee B</t>
  </si>
  <si>
    <t>Chattahoochee C</t>
  </si>
  <si>
    <t>Collins Hill</t>
  </si>
  <si>
    <t>Dorman A</t>
  </si>
  <si>
    <t>Dorman B</t>
  </si>
  <si>
    <t>Dorman C</t>
  </si>
  <si>
    <t>East Paulding</t>
  </si>
  <si>
    <t>Eastside (GA)</t>
  </si>
  <si>
    <t>Grayson</t>
  </si>
  <si>
    <t>GSMST</t>
  </si>
  <si>
    <t>Johns Creek A</t>
  </si>
  <si>
    <t>Johns Creek B</t>
  </si>
  <si>
    <t>Kell</t>
  </si>
  <si>
    <t>Marist A</t>
  </si>
  <si>
    <t>Marist B</t>
  </si>
  <si>
    <t>Marist C</t>
  </si>
  <si>
    <t>Milton</t>
  </si>
  <si>
    <t>Norcross A</t>
  </si>
  <si>
    <t>Oak Mountain Academy</t>
  </si>
  <si>
    <t>Prince Avenue</t>
  </si>
  <si>
    <t>River Ridge</t>
  </si>
  <si>
    <t>Roswell A</t>
  </si>
  <si>
    <t>Roswell B</t>
  </si>
  <si>
    <t>Sequoyah</t>
  </si>
  <si>
    <t>Stephenson</t>
  </si>
  <si>
    <t>Wesleyan</t>
  </si>
  <si>
    <t>Wheeler</t>
  </si>
  <si>
    <t>Woodland</t>
  </si>
  <si>
    <t>Alma Bryant</t>
  </si>
  <si>
    <t>Norcross BDAT</t>
  </si>
  <si>
    <t>BDAT</t>
  </si>
  <si>
    <t>Baconton A</t>
  </si>
  <si>
    <t>Quizcat Open</t>
  </si>
  <si>
    <t>Baconton B</t>
  </si>
  <si>
    <t>Baconton C</t>
  </si>
  <si>
    <t>BHS A</t>
  </si>
  <si>
    <t>BHS B</t>
  </si>
  <si>
    <t>Blacksburg</t>
  </si>
  <si>
    <t>Virginia Cav Classic</t>
  </si>
  <si>
    <t>BMS A</t>
  </si>
  <si>
    <t>BMS B</t>
  </si>
  <si>
    <t>Brookwood C</t>
  </si>
  <si>
    <t>Cave Spring A</t>
  </si>
  <si>
    <t>Cave Spring B</t>
  </si>
  <si>
    <t>Centennial A</t>
  </si>
  <si>
    <t>Centennial B</t>
  </si>
  <si>
    <t>Charlottesville</t>
  </si>
  <si>
    <t>Chattahoochee</t>
  </si>
  <si>
    <t>Christiansburg</t>
  </si>
  <si>
    <t>Clayton A</t>
  </si>
  <si>
    <t>Missouri S&amp;T Fall</t>
  </si>
  <si>
    <t>Clayton B</t>
  </si>
  <si>
    <t>Cosby A</t>
  </si>
  <si>
    <t>Cosby B</t>
  </si>
  <si>
    <t>Dixon A</t>
  </si>
  <si>
    <t>Dixon B</t>
  </si>
  <si>
    <t>Dixon C</t>
  </si>
  <si>
    <t>Duluth</t>
  </si>
  <si>
    <t>Early College Academy</t>
  </si>
  <si>
    <t>Bonfire of the Manatees</t>
  </si>
  <si>
    <t>East Chapel Hill A</t>
  </si>
  <si>
    <t>East Chapel Hill B</t>
  </si>
  <si>
    <t>Eastside</t>
  </si>
  <si>
    <t>Elon School</t>
  </si>
  <si>
    <t>Enloe A</t>
  </si>
  <si>
    <t>Enloe B</t>
  </si>
  <si>
    <t>Fordland</t>
  </si>
  <si>
    <t>Freeman</t>
  </si>
  <si>
    <t>Fremd A</t>
  </si>
  <si>
    <t>Niles West BDAT Mirror</t>
  </si>
  <si>
    <t>Fremd B</t>
  </si>
  <si>
    <t>Fulton</t>
  </si>
  <si>
    <t>Grayson A</t>
  </si>
  <si>
    <t>Grayson B</t>
  </si>
  <si>
    <t>Green Hope</t>
  </si>
  <si>
    <t>Guilford A</t>
  </si>
  <si>
    <t>Guilford Maroon</t>
  </si>
  <si>
    <t>Guilford Scarlet</t>
  </si>
  <si>
    <t>Hallsville</t>
  </si>
  <si>
    <t>Hancock</t>
  </si>
  <si>
    <t>Hothem/Hariharan High A</t>
  </si>
  <si>
    <t>Hothem/Hariharan High B</t>
  </si>
  <si>
    <t>Houston</t>
  </si>
  <si>
    <t>Howard</t>
  </si>
  <si>
    <t>Iberia</t>
  </si>
  <si>
    <t>JoCoMiCo</t>
  </si>
  <si>
    <t>Kickapoo</t>
  </si>
  <si>
    <t>Latin</t>
  </si>
  <si>
    <t>Leon A</t>
  </si>
  <si>
    <t>Leon B</t>
  </si>
  <si>
    <t>Loyola C</t>
  </si>
  <si>
    <t>Machiavelli Academy</t>
  </si>
  <si>
    <t>Maggie Walker A</t>
  </si>
  <si>
    <t>Maggie Walker B</t>
  </si>
  <si>
    <t>Marianna</t>
  </si>
  <si>
    <t>Miller</t>
  </si>
  <si>
    <t>Monticello</t>
  </si>
  <si>
    <t>Mountain View A</t>
  </si>
  <si>
    <t>Mountain View B</t>
  </si>
  <si>
    <t>NCSSM A</t>
  </si>
  <si>
    <t>NCSSM B</t>
  </si>
  <si>
    <t>New Haven</t>
  </si>
  <si>
    <t>New Kent A</t>
  </si>
  <si>
    <t>New Kent B</t>
  </si>
  <si>
    <t>New Trier</t>
  </si>
  <si>
    <t>Niles West A</t>
  </si>
  <si>
    <t>Niles West B</t>
  </si>
  <si>
    <t>North Gwinnett A</t>
  </si>
  <si>
    <t>North Gwinnett B</t>
  </si>
  <si>
    <t>North Paulding</t>
  </si>
  <si>
    <t>Pilot Grove</t>
  </si>
  <si>
    <t>Richmond Senior</t>
  </si>
  <si>
    <t>Robinson</t>
  </si>
  <si>
    <t>Rock Bridge</t>
  </si>
  <si>
    <t>Rolla</t>
  </si>
  <si>
    <t>Savannah</t>
  </si>
  <si>
    <t>Springfield Catholic</t>
  </si>
  <si>
    <t>St Mary's</t>
  </si>
  <si>
    <t>St. Viator</t>
  </si>
  <si>
    <t>Stevenson A</t>
  </si>
  <si>
    <t>Stevenson B</t>
  </si>
  <si>
    <t>Swainsboro</t>
  </si>
  <si>
    <t>Tuscumbia A</t>
  </si>
  <si>
    <t>Tuscumbia B</t>
  </si>
  <si>
    <t>Union</t>
  </si>
  <si>
    <t>Valley Park</t>
  </si>
  <si>
    <t>Walker School A</t>
  </si>
  <si>
    <t>Walker School B</t>
  </si>
  <si>
    <t>Walker School C</t>
  </si>
  <si>
    <t>Ware</t>
  </si>
  <si>
    <t>Westminster</t>
  </si>
  <si>
    <t>Wheaton North A</t>
  </si>
  <si>
    <t>Wheaton North B</t>
  </si>
  <si>
    <t>Woodward</t>
  </si>
  <si>
    <t>Bate</t>
  </si>
  <si>
    <t>DAFT</t>
  </si>
  <si>
    <t>Bergen A</t>
  </si>
  <si>
    <t>St. Joseph's DAFT mirror</t>
  </si>
  <si>
    <t>Bergen B</t>
  </si>
  <si>
    <t>Bergen C</t>
  </si>
  <si>
    <t>Charter A</t>
  </si>
  <si>
    <t>Charter B</t>
  </si>
  <si>
    <t>Charter C</t>
  </si>
  <si>
    <t>Charter D</t>
  </si>
  <si>
    <t>Danville</t>
  </si>
  <si>
    <t>DCC A</t>
  </si>
  <si>
    <t>DCC B</t>
  </si>
  <si>
    <t>GNS A</t>
  </si>
  <si>
    <t>GNS B</t>
  </si>
  <si>
    <t>High Tech A</t>
  </si>
  <si>
    <t>High Tech B</t>
  </si>
  <si>
    <t>High Tech C</t>
  </si>
  <si>
    <t>Hunter A</t>
  </si>
  <si>
    <t>Hunter B</t>
  </si>
  <si>
    <t>Hunter C</t>
  </si>
  <si>
    <t>Hunter D</t>
  </si>
  <si>
    <t>Kellenberg</t>
  </si>
  <si>
    <t>Manual A</t>
  </si>
  <si>
    <t>Manual B</t>
  </si>
  <si>
    <t>Millburn A</t>
  </si>
  <si>
    <t>Millburn B</t>
  </si>
  <si>
    <t>Millburn C</t>
  </si>
  <si>
    <t>Piarist A</t>
  </si>
  <si>
    <t>Piarist B</t>
  </si>
  <si>
    <t>Ridgewood A</t>
  </si>
  <si>
    <t>Ridgewood B</t>
  </si>
  <si>
    <t>Ridgewood C</t>
  </si>
  <si>
    <t>Seton Hall A</t>
  </si>
  <si>
    <t>SJHS Green</t>
  </si>
  <si>
    <t>SJHS White</t>
  </si>
  <si>
    <t>Wissahicken</t>
  </si>
  <si>
    <t>Woodford A</t>
  </si>
  <si>
    <t>Woodford B</t>
  </si>
  <si>
    <t>Woodford C</t>
  </si>
  <si>
    <t>Woodford D</t>
  </si>
  <si>
    <t>Woodford Middle</t>
  </si>
  <si>
    <t>Academic Aves</t>
  </si>
  <si>
    <t>Centerville FKT</t>
  </si>
  <si>
    <t>FKT</t>
  </si>
  <si>
    <t>Beachwood Bison</t>
  </si>
  <si>
    <t>Olmsted Falls FKT</t>
  </si>
  <si>
    <t>Brookville A</t>
  </si>
  <si>
    <t>Brookville B</t>
  </si>
  <si>
    <t>Brush Varsity A</t>
  </si>
  <si>
    <t>Brush Varsity B</t>
  </si>
  <si>
    <t>Butler A</t>
  </si>
  <si>
    <t>Butler B</t>
  </si>
  <si>
    <t>Carroll Blue</t>
  </si>
  <si>
    <t>Carroll Red</t>
  </si>
  <si>
    <t>Centerville A</t>
  </si>
  <si>
    <t>Centerville B</t>
  </si>
  <si>
    <t>Centerville C</t>
  </si>
  <si>
    <t>Cloverleaf A</t>
  </si>
  <si>
    <t>Cloverleaf B</t>
  </si>
  <si>
    <t>Copley A</t>
  </si>
  <si>
    <t>Copley B</t>
  </si>
  <si>
    <t>Hawken A</t>
  </si>
  <si>
    <t>Hawken B</t>
  </si>
  <si>
    <t>Lakota West A</t>
  </si>
  <si>
    <t>Lakota West B</t>
  </si>
  <si>
    <t>Miami East A</t>
  </si>
  <si>
    <t>Miami East B</t>
  </si>
  <si>
    <t>Miami Valley School A</t>
  </si>
  <si>
    <t>Miami Valley School B</t>
  </si>
  <si>
    <t>North Olmsted</t>
  </si>
  <si>
    <t>Northmont A</t>
  </si>
  <si>
    <t>Northmont B</t>
  </si>
  <si>
    <t>Olmsted Falls A</t>
  </si>
  <si>
    <t>Olmsted Falls B</t>
  </si>
  <si>
    <t>Omsted Falls C</t>
  </si>
  <si>
    <t>Orange A</t>
  </si>
  <si>
    <t>Orange B</t>
  </si>
  <si>
    <t>Orange C</t>
  </si>
  <si>
    <t>Padua Franciscan</t>
  </si>
  <si>
    <t>Sidney A</t>
  </si>
  <si>
    <t>Sidney B</t>
  </si>
  <si>
    <t>Solon A</t>
  </si>
  <si>
    <t>Solon B</t>
  </si>
  <si>
    <t>Solon C</t>
  </si>
  <si>
    <t>South Range A</t>
  </si>
  <si>
    <t>St. Charles A</t>
  </si>
  <si>
    <t>St. Charles B</t>
  </si>
  <si>
    <t>St. Charles C</t>
  </si>
  <si>
    <t>Tippecanoe</t>
  </si>
  <si>
    <t>Warren G Harding A</t>
  </si>
  <si>
    <t>Warren G Harding B</t>
  </si>
  <si>
    <t>Waynedale</t>
  </si>
  <si>
    <t>Auburn A</t>
  </si>
  <si>
    <t>New Trier Varsity Uber Competitive</t>
  </si>
  <si>
    <t>GSAC</t>
  </si>
  <si>
    <t>Auburn B</t>
  </si>
  <si>
    <t>Auburn C</t>
  </si>
  <si>
    <t>New Trier Varsity Standard</t>
  </si>
  <si>
    <t>Barrington</t>
  </si>
  <si>
    <t>Beachwood</t>
  </si>
  <si>
    <t>Glen Gonsalves Memorial Sunday (prelims)</t>
  </si>
  <si>
    <t>Belvidere North A</t>
  </si>
  <si>
    <t>Belvidere North B</t>
  </si>
  <si>
    <t>Belvidere North C</t>
  </si>
  <si>
    <t>Branford</t>
  </si>
  <si>
    <t>UF GSAC</t>
  </si>
  <si>
    <t>Buffalo Grove A</t>
  </si>
  <si>
    <t>Buffalo Grove B</t>
  </si>
  <si>
    <t>Caesar Rodney</t>
  </si>
  <si>
    <t>Carbondale</t>
  </si>
  <si>
    <t>Cave Spring</t>
  </si>
  <si>
    <t>Chaminade A</t>
  </si>
  <si>
    <t>Chaminade B</t>
  </si>
  <si>
    <t>Chaminade C*</t>
  </si>
  <si>
    <t>Chatham A</t>
  </si>
  <si>
    <t>St. Joseph's GSAC mirror</t>
  </si>
  <si>
    <t>Chiles A</t>
  </si>
  <si>
    <t>Chiles B*</t>
  </si>
  <si>
    <t>CIS A</t>
  </si>
  <si>
    <t>Mort Walker Invitational</t>
  </si>
  <si>
    <t>CIS B</t>
  </si>
  <si>
    <t>Classical Consortium Academy</t>
  </si>
  <si>
    <t>Clayton C</t>
  </si>
  <si>
    <t>Clover Hill</t>
  </si>
  <si>
    <t>Cloverleaf</t>
  </si>
  <si>
    <t>Copley 1</t>
  </si>
  <si>
    <t>Copley 2</t>
  </si>
  <si>
    <t>Crete-Monee A</t>
  </si>
  <si>
    <t>Crete-Monee B</t>
  </si>
  <si>
    <t>Culver Academies A</t>
  </si>
  <si>
    <t>Culver B</t>
  </si>
  <si>
    <t>DeSoto</t>
  </si>
  <si>
    <t>Detroit Catholic Central</t>
  </si>
  <si>
    <t>Eastside A</t>
  </si>
  <si>
    <t>Eastside B</t>
  </si>
  <si>
    <t>Eastside C*</t>
  </si>
  <si>
    <t>Enloe</t>
  </si>
  <si>
    <t>Fatima</t>
  </si>
  <si>
    <t>Fenton</t>
  </si>
  <si>
    <t>Fenwick</t>
  </si>
  <si>
    <t>Fulton A</t>
  </si>
  <si>
    <t>Fulton B</t>
  </si>
  <si>
    <t>Guilford</t>
  </si>
  <si>
    <t>Hawken 1</t>
  </si>
  <si>
    <t>Hawken 2</t>
  </si>
  <si>
    <t>Helias A</t>
  </si>
  <si>
    <t>Hickman A</t>
  </si>
  <si>
    <t>Hickman B</t>
  </si>
  <si>
    <t>House Team</t>
  </si>
  <si>
    <t>IMSA A</t>
  </si>
  <si>
    <t>IMSA B</t>
  </si>
  <si>
    <t>Irvington A</t>
  </si>
  <si>
    <t>Irvington B</t>
  </si>
  <si>
    <t>Irvington C</t>
  </si>
  <si>
    <t>Ladue A</t>
  </si>
  <si>
    <t>Ladue B</t>
  </si>
  <si>
    <t>Ladue C</t>
  </si>
  <si>
    <t>Latin School</t>
  </si>
  <si>
    <t>Libertyville</t>
  </si>
  <si>
    <t>Lincoln</t>
  </si>
  <si>
    <t>Lisle</t>
  </si>
  <si>
    <t>Loyola Academy A</t>
  </si>
  <si>
    <t>Loyola Academy B</t>
  </si>
  <si>
    <t>Maclay</t>
  </si>
  <si>
    <t>Maine South A</t>
  </si>
  <si>
    <t>Maine South B</t>
  </si>
  <si>
    <t>Marian Central Catholic A</t>
  </si>
  <si>
    <t>Marian Central Catholic B</t>
  </si>
  <si>
    <t>McHenry</t>
  </si>
  <si>
    <t>New Kent C</t>
  </si>
  <si>
    <t>Northmont</t>
  </si>
  <si>
    <t>Oak Hall</t>
  </si>
  <si>
    <t>Oak Park-River Forest</t>
  </si>
  <si>
    <t>Oakland Jr.</t>
  </si>
  <si>
    <t>Oakville A</t>
  </si>
  <si>
    <t>Oakville B</t>
  </si>
  <si>
    <t>Olmsted Falls 1</t>
  </si>
  <si>
    <t>Olmsted Falls 2</t>
  </si>
  <si>
    <t>Pensacola A</t>
  </si>
  <si>
    <t>Pensacola B</t>
  </si>
  <si>
    <t>Pensacola C*</t>
  </si>
  <si>
    <t>PORTA</t>
  </si>
  <si>
    <t>Raleigh Charter A</t>
  </si>
  <si>
    <t>Raleigh Charter B</t>
  </si>
  <si>
    <t>Raleigh Charter C</t>
  </si>
  <si>
    <t>Ransom A</t>
  </si>
  <si>
    <t>Ransom B</t>
  </si>
  <si>
    <t>Ransom C</t>
  </si>
  <si>
    <t>Ransom D*</t>
  </si>
  <si>
    <t>Ransom E*</t>
  </si>
  <si>
    <t>Richard Montgomery A</t>
  </si>
  <si>
    <t>Richard Montgomery B</t>
  </si>
  <si>
    <t>Rickards A</t>
  </si>
  <si>
    <t>Rickards B*</t>
  </si>
  <si>
    <t>Ridgewood</t>
  </si>
  <si>
    <t>Robinson A</t>
  </si>
  <si>
    <t>Robinson B</t>
  </si>
  <si>
    <t>Rock Bridge A</t>
  </si>
  <si>
    <t>Rock Bridge B</t>
  </si>
  <si>
    <t>Rock Bridge C</t>
  </si>
  <si>
    <t>Scarsdale A</t>
  </si>
  <si>
    <t>Smith-Cotton</t>
  </si>
  <si>
    <t>Springfield</t>
  </si>
  <si>
    <t>St. Viator A</t>
  </si>
  <si>
    <t>St. Viator B</t>
  </si>
  <si>
    <t>St. Viator C</t>
  </si>
  <si>
    <t>State College A</t>
  </si>
  <si>
    <t>State College B</t>
  </si>
  <si>
    <t>Stevenson C</t>
  </si>
  <si>
    <t>Tate</t>
  </si>
  <si>
    <t>Thomas Jefferson B</t>
  </si>
  <si>
    <t>Thomas Jefferson C</t>
  </si>
  <si>
    <t>Tippecanoe 1</t>
  </si>
  <si>
    <t>Tippecanoe 2</t>
  </si>
  <si>
    <t>Tucker</t>
  </si>
  <si>
    <t>Tuscumbia</t>
  </si>
  <si>
    <t>UChicago Lab</t>
  </si>
  <si>
    <t>Warren G Harding 1</t>
  </si>
  <si>
    <t>Warren G Harding 2</t>
  </si>
  <si>
    <t>Wauconda A</t>
  </si>
  <si>
    <t>Wauconda B</t>
  </si>
  <si>
    <t>West Jr. A</t>
  </si>
  <si>
    <t>West Jr. B</t>
  </si>
  <si>
    <t>Westminster Christian A</t>
  </si>
  <si>
    <t>Westminster Christian B</t>
  </si>
  <si>
    <t>Wheaton Academy</t>
  </si>
  <si>
    <t>Wheaton North C</t>
  </si>
  <si>
    <t>Wheaton Warrenville South A</t>
  </si>
  <si>
    <t>Wheaton Warrenville South B</t>
  </si>
  <si>
    <t>Whitman A</t>
  </si>
  <si>
    <t>Whitman B</t>
  </si>
  <si>
    <t>Wissahickon A</t>
  </si>
  <si>
    <t>Wissahickon B</t>
  </si>
  <si>
    <t>Adair A</t>
  </si>
  <si>
    <t>Western Kentucky Hilltopper Invitational</t>
  </si>
  <si>
    <t>HFT</t>
  </si>
  <si>
    <t>Adair B</t>
  </si>
  <si>
    <t>Adair C</t>
  </si>
  <si>
    <t>Georgia Harvard Fall Tournament mirror</t>
  </si>
  <si>
    <t>Harvard Fall at Rockford Auburn</t>
  </si>
  <si>
    <t>Bainbridge</t>
  </si>
  <si>
    <t>Ballard</t>
  </si>
  <si>
    <t>Barren</t>
  </si>
  <si>
    <t>Belvidere North</t>
  </si>
  <si>
    <t>Boylan</t>
  </si>
  <si>
    <t>Brighton A</t>
  </si>
  <si>
    <t>Michigan State mirror of HFT</t>
  </si>
  <si>
    <t>Brighton B</t>
  </si>
  <si>
    <t>Brighton C</t>
  </si>
  <si>
    <t>Brighton D</t>
  </si>
  <si>
    <t>Brighton E</t>
  </si>
  <si>
    <t>Bromfield</t>
  </si>
  <si>
    <t>Harvard Fall Tournament</t>
  </si>
  <si>
    <t>Danville A</t>
  </si>
  <si>
    <t>Danville B</t>
  </si>
  <si>
    <t>DCD A</t>
  </si>
  <si>
    <t>DCD B</t>
  </si>
  <si>
    <t>DCD C</t>
  </si>
  <si>
    <t>DCD D</t>
  </si>
  <si>
    <t>E. O. Smith</t>
  </si>
  <si>
    <t>Etowah A</t>
  </si>
  <si>
    <t>Etowah B</t>
  </si>
  <si>
    <t>Franklin Road</t>
  </si>
  <si>
    <t>Grosse Pointe North</t>
  </si>
  <si>
    <t>Grosse Pointe South</t>
  </si>
  <si>
    <t>Half Hollow Hills West A</t>
  </si>
  <si>
    <t>Half Hollow Hills West B</t>
  </si>
  <si>
    <t>Heritage</t>
  </si>
  <si>
    <t>Hillsdale Academy</t>
  </si>
  <si>
    <t>Hingham</t>
  </si>
  <si>
    <t>Huron A</t>
  </si>
  <si>
    <t>Huron B</t>
  </si>
  <si>
    <t>IMSA C</t>
  </si>
  <si>
    <t>Jackson</t>
  </si>
  <si>
    <t>Jasper County</t>
  </si>
  <si>
    <t>Keith CDS</t>
  </si>
  <si>
    <t>Kellenberg A</t>
  </si>
  <si>
    <t>Kellenberg B</t>
  </si>
  <si>
    <t>LASA C</t>
  </si>
  <si>
    <t>Lexington A</t>
  </si>
  <si>
    <t>Lexington B</t>
  </si>
  <si>
    <t>Ludington A</t>
  </si>
  <si>
    <t>Ludington B</t>
  </si>
  <si>
    <t>Mansfield</t>
  </si>
  <si>
    <t>Norcross</t>
  </si>
  <si>
    <t>Norwich Free Academy</t>
  </si>
  <si>
    <t>Oldham A</t>
  </si>
  <si>
    <t>Oldham B</t>
  </si>
  <si>
    <t>Owensboro</t>
  </si>
  <si>
    <t>Paideia</t>
  </si>
  <si>
    <t>Potter College</t>
  </si>
  <si>
    <t>Rabun Gap A</t>
  </si>
  <si>
    <t>Rabun Gap B</t>
  </si>
  <si>
    <t>Redford Thurston A</t>
  </si>
  <si>
    <t>Redford Thurston B</t>
  </si>
  <si>
    <t>Saginaw Heritage A</t>
  </si>
  <si>
    <t>Saginaw Heritage B</t>
  </si>
  <si>
    <t>St. Andrew's</t>
  </si>
  <si>
    <t>St. Joseph's A</t>
  </si>
  <si>
    <t>St. Joseph's B</t>
  </si>
  <si>
    <t>State College C</t>
  </si>
  <si>
    <t>State College D</t>
  </si>
  <si>
    <t>State College E</t>
  </si>
  <si>
    <t>State College F</t>
  </si>
  <si>
    <t>State College G</t>
  </si>
  <si>
    <t>Truman</t>
  </si>
  <si>
    <t>Walt Whitman</t>
  </si>
  <si>
    <t>Woodward Academy</t>
  </si>
  <si>
    <t>WW South A</t>
  </si>
  <si>
    <t>WW South B</t>
  </si>
  <si>
    <t>Adair</t>
  </si>
  <si>
    <t>Danville Fall Tournament</t>
  </si>
  <si>
    <t>HT22</t>
  </si>
  <si>
    <t>Anacostia</t>
  </si>
  <si>
    <t>STANLEY CUP</t>
  </si>
  <si>
    <t>Antonian</t>
  </si>
  <si>
    <t>HoHoHo</t>
  </si>
  <si>
    <t>Awty A</t>
  </si>
  <si>
    <t>Awty B</t>
  </si>
  <si>
    <t>Bellaire A</t>
  </si>
  <si>
    <t>Bellaire B</t>
  </si>
  <si>
    <t>Bellaire C</t>
  </si>
  <si>
    <t>Loyburn</t>
  </si>
  <si>
    <t>Bethel</t>
  </si>
  <si>
    <t>OSU Winter War</t>
  </si>
  <si>
    <t>Bethlehem</t>
  </si>
  <si>
    <t>Bishop's A</t>
  </si>
  <si>
    <t>Triton Fall</t>
  </si>
  <si>
    <t>Bishop's B</t>
  </si>
  <si>
    <t>Blair A</t>
  </si>
  <si>
    <t>Blair B</t>
  </si>
  <si>
    <t>Canyon Crest</t>
  </si>
  <si>
    <t>Carlsbad A</t>
  </si>
  <si>
    <t>Carlsbad B</t>
  </si>
  <si>
    <t>Centralia</t>
  </si>
  <si>
    <t>Missouri Tiger Bowl</t>
  </si>
  <si>
    <t>Chantily A</t>
  </si>
  <si>
    <t>Chantily B</t>
  </si>
  <si>
    <t>Chapel Hill</t>
  </si>
  <si>
    <t>Tar Heel Cup 2011</t>
  </si>
  <si>
    <t>Christian Life</t>
  </si>
  <si>
    <t>Cistercian A</t>
  </si>
  <si>
    <t>Cistercian B</t>
  </si>
  <si>
    <t>Columbus Academy</t>
  </si>
  <si>
    <t>Columbus Alternative</t>
  </si>
  <si>
    <t>Cuba</t>
  </si>
  <si>
    <t>Daviess County</t>
  </si>
  <si>
    <t>Debakey A</t>
  </si>
  <si>
    <t>Debakey B</t>
  </si>
  <si>
    <t>Dunbar A</t>
  </si>
  <si>
    <t>Dunbar B</t>
  </si>
  <si>
    <t>Dunbar C</t>
  </si>
  <si>
    <t>Eastlake A</t>
  </si>
  <si>
    <t>Eastlake B</t>
  </si>
  <si>
    <t>EC Guilford A</t>
  </si>
  <si>
    <t>EC Guilford B</t>
  </si>
  <si>
    <t>EC Guilford C</t>
  </si>
  <si>
    <t>El Dorado Springs</t>
  </si>
  <si>
    <t>Elsberry</t>
  </si>
  <si>
    <t>Emery</t>
  </si>
  <si>
    <t>Fisher Catholic A</t>
  </si>
  <si>
    <t>Fisher Catholic B</t>
  </si>
  <si>
    <t>Fleming County</t>
  </si>
  <si>
    <t>Fort Recovery A</t>
  </si>
  <si>
    <t>Fort Recovery B</t>
  </si>
  <si>
    <t>Francis Parker</t>
  </si>
  <si>
    <t>Glasgow</t>
  </si>
  <si>
    <t>Gonzaga</t>
  </si>
  <si>
    <t>Harmony Blue</t>
  </si>
  <si>
    <t>Harmony Red</t>
  </si>
  <si>
    <t>Helias B</t>
  </si>
  <si>
    <t>Hickman</t>
  </si>
  <si>
    <t>Irvine A</t>
  </si>
  <si>
    <t>Irvine B</t>
  </si>
  <si>
    <t>Irvine C</t>
  </si>
  <si>
    <t>Keith Country Day</t>
  </si>
  <si>
    <t>Kinkaid A</t>
  </si>
  <si>
    <t>Kinkaid B</t>
  </si>
  <si>
    <t>La Jolla</t>
  </si>
  <si>
    <t>Ladue D</t>
  </si>
  <si>
    <t>Latin A</t>
  </si>
  <si>
    <t>Latin B</t>
  </si>
  <si>
    <t>UF GSAC (prelims only)</t>
  </si>
  <si>
    <t>Madisonville North Hokins</t>
  </si>
  <si>
    <t>Maret</t>
  </si>
  <si>
    <t>GSAC (prelims only)</t>
  </si>
  <si>
    <t>Minford A</t>
  </si>
  <si>
    <t>Minford B</t>
  </si>
  <si>
    <t>Monroe City</t>
  </si>
  <si>
    <t>Monroeville</t>
  </si>
  <si>
    <t>Naperville North A</t>
  </si>
  <si>
    <t>Naperville North B</t>
  </si>
  <si>
    <t>New Albany</t>
  </si>
  <si>
    <t>Newton Falls</t>
  </si>
  <si>
    <t>NKC A</t>
  </si>
  <si>
    <t>NKC B</t>
  </si>
  <si>
    <t>NKC C</t>
  </si>
  <si>
    <t>Oakville</t>
  </si>
  <si>
    <t>Oldham County</t>
  </si>
  <si>
    <t>Olympian</t>
  </si>
  <si>
    <t>Parkway West</t>
  </si>
  <si>
    <t>Pikeville</t>
  </si>
  <si>
    <t>Quince Orcahrd</t>
  </si>
  <si>
    <t>Rancho Bernardo A</t>
  </si>
  <si>
    <t>Rancho Bernardo B</t>
  </si>
  <si>
    <t>Reagan A (Black)</t>
  </si>
  <si>
    <t>Reagan B (Green)</t>
  </si>
  <si>
    <t>Richland A</t>
  </si>
  <si>
    <t>Richland B</t>
  </si>
  <si>
    <t>Rock Bridge D</t>
  </si>
  <si>
    <t>Rockford Auburn</t>
  </si>
  <si>
    <t>Salem A</t>
  </si>
  <si>
    <t>Salem B</t>
  </si>
  <si>
    <t>Savannah A</t>
  </si>
  <si>
    <t>Savannah B</t>
  </si>
  <si>
    <t>Schuyler County</t>
  </si>
  <si>
    <t>Simon Kenton</t>
  </si>
  <si>
    <t>South Range B</t>
  </si>
  <si>
    <t>St. Charles D</t>
  </si>
  <si>
    <t>St. Mark's A</t>
  </si>
  <si>
    <t>St. Mark's B</t>
  </si>
  <si>
    <t>St. Mark's C</t>
  </si>
  <si>
    <t>St. Stephens</t>
  </si>
  <si>
    <t>St. Thomas Aquinas</t>
  </si>
  <si>
    <t>Taylor (Katy) A</t>
  </si>
  <si>
    <t>Taylor (Katy) B</t>
  </si>
  <si>
    <t>Torrey Pines A</t>
  </si>
  <si>
    <t>Torrey Pines B</t>
  </si>
  <si>
    <t>Tustin</t>
  </si>
  <si>
    <t>University</t>
  </si>
  <si>
    <t>Versailles</t>
  </si>
  <si>
    <t>Village</t>
  </si>
  <si>
    <t>Walt Whitman A</t>
  </si>
  <si>
    <t>Warren G. Harding</t>
  </si>
  <si>
    <t>Westview A</t>
  </si>
  <si>
    <t>Westview B</t>
  </si>
  <si>
    <t>Wheaton-Warrenville South A</t>
  </si>
  <si>
    <t>Wheaton-Warrenville South B</t>
  </si>
  <si>
    <t>Wilson</t>
  </si>
  <si>
    <t>Winnetonka</t>
  </si>
  <si>
    <t>WJ Rabid Wildcats</t>
  </si>
  <si>
    <t>Georgia 5A Regionals</t>
  </si>
  <si>
    <t>HT23</t>
  </si>
  <si>
    <t>Archer</t>
  </si>
  <si>
    <t>Brookwood</t>
  </si>
  <si>
    <t>TANKBATTLE</t>
  </si>
  <si>
    <t>Cherokee</t>
  </si>
  <si>
    <t>Duluth A</t>
  </si>
  <si>
    <t>Duluth B</t>
  </si>
  <si>
    <t>Etowah</t>
  </si>
  <si>
    <t>Freeman A</t>
  </si>
  <si>
    <t>Freeman B</t>
  </si>
  <si>
    <t>House</t>
  </si>
  <si>
    <t>Lafayette</t>
  </si>
  <si>
    <t>North Kansas City Varsity Invitational</t>
  </si>
  <si>
    <t>Lee's Summit North</t>
  </si>
  <si>
    <t>Liberty</t>
  </si>
  <si>
    <t>Liberty North</t>
  </si>
  <si>
    <t>Lone Jack A</t>
  </si>
  <si>
    <t>Lone Jack B</t>
  </si>
  <si>
    <t>Maggie Walker C</t>
  </si>
  <si>
    <t>Mountain View</t>
  </si>
  <si>
    <t>Nandua A</t>
  </si>
  <si>
    <t>Nandua B</t>
  </si>
  <si>
    <t>Nandua C</t>
  </si>
  <si>
    <t>North Gwinnett</t>
  </si>
  <si>
    <t>Oak Grove</t>
  </si>
  <si>
    <t>Oak Park</t>
  </si>
  <si>
    <t>Park Hill A</t>
  </si>
  <si>
    <t>Park Hill B</t>
  </si>
  <si>
    <t>Park Hill South</t>
  </si>
  <si>
    <t>Parkview</t>
  </si>
  <si>
    <t>Quince Orchard</t>
  </si>
  <si>
    <t>Richard Montgomery</t>
  </si>
  <si>
    <t>Roswell</t>
  </si>
  <si>
    <t>St. Joseph Central</t>
  </si>
  <si>
    <t>St. Joseph Christian</t>
  </si>
  <si>
    <t>St. Pius X</t>
  </si>
  <si>
    <t>Varina</t>
  </si>
  <si>
    <t>Walton</t>
  </si>
  <si>
    <t>William Chrisman</t>
  </si>
  <si>
    <t>Winnetonka A</t>
  </si>
  <si>
    <t>Winnetonka B</t>
  </si>
  <si>
    <t>Woodstock</t>
  </si>
  <si>
    <t>Bloomington A</t>
  </si>
  <si>
    <t>BMI</t>
  </si>
  <si>
    <t>IMSANITY 2</t>
  </si>
  <si>
    <t>Bloomington B</t>
  </si>
  <si>
    <t>Champaign Centennial A</t>
  </si>
  <si>
    <t>Champaign Centennial B</t>
  </si>
  <si>
    <t>TRIUMVIR</t>
  </si>
  <si>
    <t>ASU Winter (prelims only)</t>
  </si>
  <si>
    <t>VCU Winter (prelims only)</t>
  </si>
  <si>
    <t>Dunlap</t>
  </si>
  <si>
    <t>Fieldcrest</t>
  </si>
  <si>
    <t>Glenbard East A</t>
  </si>
  <si>
    <t>Glenbard East B</t>
  </si>
  <si>
    <t>Glenwood A</t>
  </si>
  <si>
    <t>Glenwood B</t>
  </si>
  <si>
    <t>Glenwood C</t>
  </si>
  <si>
    <t>Macomb A</t>
  </si>
  <si>
    <t>Macomb B</t>
  </si>
  <si>
    <t>Metea Valley</t>
  </si>
  <si>
    <t>Normal Community A</t>
  </si>
  <si>
    <t>Normal Community B</t>
  </si>
  <si>
    <t>PORTA A</t>
  </si>
  <si>
    <t>PORTA B</t>
  </si>
  <si>
    <t>Somonauk</t>
  </si>
  <si>
    <t>Springfield A</t>
  </si>
  <si>
    <t>Springfield B</t>
  </si>
  <si>
    <t>Waubonsie Valley A</t>
  </si>
  <si>
    <t>Waubonsie Valley B</t>
  </si>
  <si>
    <t>Whitney Young</t>
  </si>
  <si>
    <t>WWS A</t>
  </si>
  <si>
    <t>WWS B</t>
  </si>
  <si>
    <t>South Range Academic Challenge</t>
  </si>
  <si>
    <t>IS103A</t>
  </si>
  <si>
    <t>East Palestine</t>
  </si>
  <si>
    <t>LaBrae</t>
  </si>
  <si>
    <t>Lisbon</t>
  </si>
  <si>
    <t>Lowellville</t>
  </si>
  <si>
    <t>Olmsted Falls C</t>
  </si>
  <si>
    <t>TCTC</t>
  </si>
  <si>
    <t>Western Reserve</t>
  </si>
  <si>
    <t>Alexandria</t>
  </si>
  <si>
    <t>LSU Tiger Bowl I</t>
  </si>
  <si>
    <t>IS106A</t>
  </si>
  <si>
    <t>Burlington A</t>
  </si>
  <si>
    <t>Pre-Holiday Academic Tournament V</t>
  </si>
  <si>
    <t>Burlington B</t>
  </si>
  <si>
    <t>C.E. Byrd</t>
  </si>
  <si>
    <t>Catholic of Pointe Coupee A</t>
  </si>
  <si>
    <t>Catholic of Pointe Coupee B</t>
  </si>
  <si>
    <t>Champlain Valley A</t>
  </si>
  <si>
    <t>Champlain Valley B</t>
  </si>
  <si>
    <t>Colebrook A</t>
  </si>
  <si>
    <t>Colebrook B</t>
  </si>
  <si>
    <t>Colton-Pierrepont A</t>
  </si>
  <si>
    <t>Colton-Pierrepont B</t>
  </si>
  <si>
    <t>Colton-Pierrepont C</t>
  </si>
  <si>
    <t>Dutchtown A</t>
  </si>
  <si>
    <t>Dutchtown B</t>
  </si>
  <si>
    <t>E.D. White Catholic</t>
  </si>
  <si>
    <t>Emma Willard A</t>
  </si>
  <si>
    <t>Essex A</t>
  </si>
  <si>
    <t>Essex B (Heavy Medals)</t>
  </si>
  <si>
    <t>Essex C (Fab 4.5)</t>
  </si>
  <si>
    <t>Essex D (Rah Rah Rasputins)</t>
  </si>
  <si>
    <t>Fair Haven A</t>
  </si>
  <si>
    <t>Fair Haven B</t>
  </si>
  <si>
    <t>Fair Haven C</t>
  </si>
  <si>
    <t>Gorham A</t>
  </si>
  <si>
    <t>Grand Coteau Sacred Heart</t>
  </si>
  <si>
    <t>Hanover A</t>
  </si>
  <si>
    <t>Hanover B</t>
  </si>
  <si>
    <t>Lafayette A</t>
  </si>
  <si>
    <t>Lafayette B</t>
  </si>
  <si>
    <t>Lusher</t>
  </si>
  <si>
    <t>Middlebury A</t>
  </si>
  <si>
    <t>Middlebury B</t>
  </si>
  <si>
    <t>Montpelier A</t>
  </si>
  <si>
    <t>Montpelier B</t>
  </si>
  <si>
    <t>Montpelier C</t>
  </si>
  <si>
    <t>Mt. Abraham A</t>
  </si>
  <si>
    <t>Mt. Abraham B</t>
  </si>
  <si>
    <t>Mt. Abraham C</t>
  </si>
  <si>
    <t>Mt. Abraham D</t>
  </si>
  <si>
    <t>Mt. Mansfield A</t>
  </si>
  <si>
    <t>Mt. Mansfield B</t>
  </si>
  <si>
    <t>North Country A</t>
  </si>
  <si>
    <t>Pensacola</t>
  </si>
  <si>
    <t>Queensbury A</t>
  </si>
  <si>
    <t>Queensbury B</t>
  </si>
  <si>
    <t>Rice A</t>
  </si>
  <si>
    <t>Rice B</t>
  </si>
  <si>
    <t>Rice C</t>
  </si>
  <si>
    <t>South Burlington A</t>
  </si>
  <si>
    <t>South Burlington B</t>
  </si>
  <si>
    <t>South Burlington C</t>
  </si>
  <si>
    <t>South Burlington D</t>
  </si>
  <si>
    <t>South Burlington E</t>
  </si>
  <si>
    <t>South Burlington F</t>
  </si>
  <si>
    <t>South Burlington G</t>
  </si>
  <si>
    <t>South Burlington H</t>
  </si>
  <si>
    <t>South Burlington I</t>
  </si>
  <si>
    <t>Spaulding</t>
  </si>
  <si>
    <t>Ticonderoga A (Mother Russia)</t>
  </si>
  <si>
    <t>Ticonderoga B (Maritime Tropical)</t>
  </si>
  <si>
    <t>Winooski A</t>
  </si>
  <si>
    <t>Winooski B</t>
  </si>
  <si>
    <t>Woodstock A</t>
  </si>
  <si>
    <t>Amherst Central A</t>
  </si>
  <si>
    <t>Bull Bowl</t>
  </si>
  <si>
    <t>IS107</t>
  </si>
  <si>
    <t>Amherst Central B</t>
  </si>
  <si>
    <t>Arcadia A</t>
  </si>
  <si>
    <t>UCLA TWAIN</t>
  </si>
  <si>
    <t>Arcadia B</t>
  </si>
  <si>
    <t>Arcadia C</t>
  </si>
  <si>
    <t>Arcadia D</t>
  </si>
  <si>
    <t>Arcadia E</t>
  </si>
  <si>
    <t>Arcadia F</t>
  </si>
  <si>
    <t>Armstrong A</t>
  </si>
  <si>
    <t>GINVIT</t>
  </si>
  <si>
    <t>Armstrong B</t>
  </si>
  <si>
    <t>Armstrong C</t>
  </si>
  <si>
    <t>Armstrong D</t>
  </si>
  <si>
    <t>Armstrong E</t>
  </si>
  <si>
    <t>Texas Kickoff Classic</t>
  </si>
  <si>
    <t>PHSAT</t>
  </si>
  <si>
    <t>Berryhill</t>
  </si>
  <si>
    <t>Tulsa Fall Challenge</t>
  </si>
  <si>
    <t>Biotech A</t>
  </si>
  <si>
    <t>Biotech B</t>
  </si>
  <si>
    <t>Biotech C</t>
  </si>
  <si>
    <t>Bishop Kelly A</t>
  </si>
  <si>
    <t>Boise State Treasure Valley Tournament III</t>
  </si>
  <si>
    <t>Bishop Kelly B</t>
  </si>
  <si>
    <t>Blair</t>
  </si>
  <si>
    <t>Maryland Fall HS Tournament</t>
  </si>
  <si>
    <t>Blair C</t>
  </si>
  <si>
    <t>Brashear</t>
  </si>
  <si>
    <t>SAGACITY VII</t>
  </si>
  <si>
    <t>Broughton</t>
  </si>
  <si>
    <t>Quaker Bowl</t>
  </si>
  <si>
    <t>Camp Hill</t>
  </si>
  <si>
    <t>Carlisle</t>
  </si>
  <si>
    <t>Carrboro A</t>
  </si>
  <si>
    <t>Centennial C</t>
  </si>
  <si>
    <t>Centennial D</t>
  </si>
  <si>
    <t>Central</t>
  </si>
  <si>
    <t>Chanhassen Blue</t>
  </si>
  <si>
    <t>Chanhassen Gold</t>
  </si>
  <si>
    <t>Chaska A</t>
  </si>
  <si>
    <t>Chaska B</t>
  </si>
  <si>
    <t>Chaska C</t>
  </si>
  <si>
    <t>Chaska D</t>
  </si>
  <si>
    <t>Chaska E</t>
  </si>
  <si>
    <t>Chaska F</t>
  </si>
  <si>
    <t>Claremore A</t>
  </si>
  <si>
    <t>Claremore B</t>
  </si>
  <si>
    <t>Clarence A</t>
  </si>
  <si>
    <t>Clarence B</t>
  </si>
  <si>
    <t>Classen A</t>
  </si>
  <si>
    <t>Classen B</t>
  </si>
  <si>
    <t>Missouri Fall</t>
  </si>
  <si>
    <t>Clements A</t>
  </si>
  <si>
    <t>Clements C</t>
  </si>
  <si>
    <t>Colonia</t>
  </si>
  <si>
    <t>Columbia A</t>
  </si>
  <si>
    <t>DAR High School Opener</t>
  </si>
  <si>
    <t>Columbia Independent School</t>
  </si>
  <si>
    <t>Cooper A</t>
  </si>
  <si>
    <t>Cooper B</t>
  </si>
  <si>
    <t>Culver</t>
  </si>
  <si>
    <t>Culver Varsity</t>
  </si>
  <si>
    <t>Dade County A</t>
  </si>
  <si>
    <t>DAR A</t>
  </si>
  <si>
    <t>Drummond</t>
  </si>
  <si>
    <t>Eden Prairie A</t>
  </si>
  <si>
    <t>Eden Prairie B</t>
  </si>
  <si>
    <t>Eden Prairie C</t>
  </si>
  <si>
    <t>Edmond Memorial A</t>
  </si>
  <si>
    <t>Edmond Memorial B</t>
  </si>
  <si>
    <t>Edmond Santa Fe</t>
  </si>
  <si>
    <t>Elizabeth Seton</t>
  </si>
  <si>
    <t>Ezell-Harding A</t>
  </si>
  <si>
    <t>Ezell-Hardling B</t>
  </si>
  <si>
    <t>Freedom</t>
  </si>
  <si>
    <t>Frenchtown</t>
  </si>
  <si>
    <t>Gadsden City A</t>
  </si>
  <si>
    <t>GDS A</t>
  </si>
  <si>
    <t>GDS B</t>
  </si>
  <si>
    <t>George Ranch</t>
  </si>
  <si>
    <t>Great Neck South A</t>
  </si>
  <si>
    <t>Great Neck South B</t>
  </si>
  <si>
    <t>Great Neck South C</t>
  </si>
  <si>
    <t>Green Hope A</t>
  </si>
  <si>
    <t>Grimsley A</t>
  </si>
  <si>
    <t>Grimsley B</t>
  </si>
  <si>
    <t>Hannibal</t>
  </si>
  <si>
    <t>Harmony Austin A</t>
  </si>
  <si>
    <t>Harmony Houston</t>
  </si>
  <si>
    <t>Harrison A</t>
  </si>
  <si>
    <t>Harrison B</t>
  </si>
  <si>
    <t>Henderson</t>
  </si>
  <si>
    <t>High Tech</t>
  </si>
  <si>
    <t>Hilldale</t>
  </si>
  <si>
    <t>Hoover Black</t>
  </si>
  <si>
    <t>Hudson A</t>
  </si>
  <si>
    <t>Hudson B</t>
  </si>
  <si>
    <t>Hume-Fogg A</t>
  </si>
  <si>
    <t>Inola A</t>
  </si>
  <si>
    <t>Inola B</t>
  </si>
  <si>
    <t>Irvine</t>
  </si>
  <si>
    <t>Jefferson City</t>
  </si>
  <si>
    <t>JP II Catholic A</t>
  </si>
  <si>
    <t>JP II Catholic B</t>
  </si>
  <si>
    <t>Kalamazoo Christian A</t>
  </si>
  <si>
    <t>Kalamazoo Christian B</t>
  </si>
  <si>
    <t>Kellenberg C</t>
  </si>
  <si>
    <t>Keystone Oaks A</t>
  </si>
  <si>
    <t>Keystone Oaks B</t>
  </si>
  <si>
    <t>Kickapoo A</t>
  </si>
  <si>
    <t>Kickapoo B</t>
  </si>
  <si>
    <t>Ladue E</t>
  </si>
  <si>
    <t>Lincoln Co A</t>
  </si>
  <si>
    <t>Lincoln Co B</t>
  </si>
  <si>
    <t>Livingston A</t>
  </si>
  <si>
    <t>Livingston B</t>
  </si>
  <si>
    <t>Longfellow</t>
  </si>
  <si>
    <t>Lutheran St. Charles</t>
  </si>
  <si>
    <t>Minneapolis South A</t>
  </si>
  <si>
    <t>Minneapolis South B</t>
  </si>
  <si>
    <t>Minnetonka A</t>
  </si>
  <si>
    <t>Minnetonka B</t>
  </si>
  <si>
    <t>Minnetonka C</t>
  </si>
  <si>
    <t>Monsignor Donovan</t>
  </si>
  <si>
    <t>Niagara Catholic</t>
  </si>
  <si>
    <t>Nichols School A</t>
  </si>
  <si>
    <t>Nichols School B</t>
  </si>
  <si>
    <t>Norman</t>
  </si>
  <si>
    <t>Norman North</t>
  </si>
  <si>
    <t>North Kansas City</t>
  </si>
  <si>
    <t>North Miami</t>
  </si>
  <si>
    <t>North White A</t>
  </si>
  <si>
    <t>Oakland</t>
  </si>
  <si>
    <t>Orono</t>
  </si>
  <si>
    <t>Parkway West A</t>
  </si>
  <si>
    <t>Parkway West B</t>
  </si>
  <si>
    <t>Pembroke</t>
  </si>
  <si>
    <t>Percy Johnson A</t>
  </si>
  <si>
    <t>Toronto High School Invitational</t>
  </si>
  <si>
    <t>Percy Johnson B</t>
  </si>
  <si>
    <t>Pine-Richland</t>
  </si>
  <si>
    <t>Pingry AA</t>
  </si>
  <si>
    <t>Pingry B</t>
  </si>
  <si>
    <t>Pingry C</t>
  </si>
  <si>
    <t>Pioneer</t>
  </si>
  <si>
    <t>Providence Day A</t>
  </si>
  <si>
    <t>Providence Day B</t>
  </si>
  <si>
    <t>Providence Day C</t>
  </si>
  <si>
    <t>Raleigh Charter D</t>
  </si>
  <si>
    <t>Rancho Bernardo C</t>
  </si>
  <si>
    <t>Raytown South</t>
  </si>
  <si>
    <t>Red Wing A</t>
  </si>
  <si>
    <t>Red Wing B</t>
  </si>
  <si>
    <t>Richmond</t>
  </si>
  <si>
    <t>Ridgewood D</t>
  </si>
  <si>
    <t>RM A</t>
  </si>
  <si>
    <t>RM B</t>
  </si>
  <si>
    <t>Rocky Grove</t>
  </si>
  <si>
    <t>Saint James Academy</t>
  </si>
  <si>
    <t>Santa Monica A</t>
  </si>
  <si>
    <t>Santa Monica B</t>
  </si>
  <si>
    <t>Santa Monica C</t>
  </si>
  <si>
    <t>South Caldwell</t>
  </si>
  <si>
    <t>South Side</t>
  </si>
  <si>
    <t>St John's A</t>
  </si>
  <si>
    <t>St Josephs B</t>
  </si>
  <si>
    <t>St Thomas Academy A</t>
  </si>
  <si>
    <t>St Thomas Academy B</t>
  </si>
  <si>
    <t>St. Agnes A</t>
  </si>
  <si>
    <t>St. Agnes B</t>
  </si>
  <si>
    <t>St. Anselms</t>
  </si>
  <si>
    <t>St. Augustine A</t>
  </si>
  <si>
    <t>St. Augustine B</t>
  </si>
  <si>
    <t>St. Joseph's</t>
  </si>
  <si>
    <t>St. Josephs A</t>
  </si>
  <si>
    <t>Temple</t>
  </si>
  <si>
    <t>Thomas Jefferson</t>
  </si>
  <si>
    <t>Tippecanoe A</t>
  </si>
  <si>
    <t>Tippecanoe B</t>
  </si>
  <si>
    <t>Treasure Valley Math &amp; Science A</t>
  </si>
  <si>
    <t>Treasure Valley Math &amp; Science B</t>
  </si>
  <si>
    <t>Tulsa Central</t>
  </si>
  <si>
    <t>UTS</t>
  </si>
  <si>
    <t>Villa Duchesne</t>
  </si>
  <si>
    <t>Wagoner</t>
  </si>
  <si>
    <t>Wallace School (TJ)</t>
  </si>
  <si>
    <t>Wayzata A</t>
  </si>
  <si>
    <t>Wayzata B</t>
  </si>
  <si>
    <t>Wayzata C</t>
  </si>
  <si>
    <t>West Essex A</t>
  </si>
  <si>
    <t>West Essex B</t>
  </si>
  <si>
    <t>Westmont Hilltop Middle A</t>
  </si>
  <si>
    <t>Westmont Hilltop Middle B</t>
  </si>
  <si>
    <t>Westmont Hilltop Middle C</t>
  </si>
  <si>
    <t>Westmont Hilltop Middle D</t>
  </si>
  <si>
    <t>Westmont Hilltop Middle E</t>
  </si>
  <si>
    <t>Westside B</t>
  </si>
  <si>
    <t>Westview</t>
  </si>
  <si>
    <t>Whitman</t>
  </si>
  <si>
    <t>Wilmington Charter A</t>
  </si>
  <si>
    <t>Wissahickon</t>
  </si>
  <si>
    <t>Woburn A</t>
  </si>
  <si>
    <t>Woburn B</t>
  </si>
  <si>
    <t>Woburn C</t>
  </si>
  <si>
    <t>Woodland Hills</t>
  </si>
  <si>
    <t>Altamont</t>
  </si>
  <si>
    <t>William Rufus King Memorial</t>
  </si>
  <si>
    <t>IS108A</t>
  </si>
  <si>
    <t>Athens</t>
  </si>
  <si>
    <t>SOCIAL</t>
  </si>
  <si>
    <t>Beachwood B</t>
  </si>
  <si>
    <t>BRAVE Falcon</t>
  </si>
  <si>
    <t>Belleville</t>
  </si>
  <si>
    <t>Wisconsin Fall</t>
  </si>
  <si>
    <t>Blaine A</t>
  </si>
  <si>
    <t>Blue Ridge</t>
  </si>
  <si>
    <t>Crusader Cup</t>
  </si>
  <si>
    <t>Rickards Brain Bowl</t>
  </si>
  <si>
    <t>Cashion</t>
  </si>
  <si>
    <t>L.L. Lewis Cup</t>
  </si>
  <si>
    <t>Chanhassen A</t>
  </si>
  <si>
    <t>Chanhassen B</t>
  </si>
  <si>
    <t>Chapman A</t>
  </si>
  <si>
    <t>Charles F. Brush A</t>
  </si>
  <si>
    <t>Charles F. Brush B</t>
  </si>
  <si>
    <t>D. W. Daniel</t>
  </si>
  <si>
    <t>Detroit Catholic Central A</t>
  </si>
  <si>
    <t>Detroit Catholic Central B</t>
  </si>
  <si>
    <t>Divine Child A</t>
  </si>
  <si>
    <t>Divine Child B</t>
  </si>
  <si>
    <t>Dorman D</t>
  </si>
  <si>
    <t>Eastside C</t>
  </si>
  <si>
    <t>Edmond Memorial</t>
  </si>
  <si>
    <t>FSUS</t>
  </si>
  <si>
    <t>Greenville</t>
  </si>
  <si>
    <t>Greenville Technical A</t>
  </si>
  <si>
    <t>Hoover A</t>
  </si>
  <si>
    <t>Hoover B</t>
  </si>
  <si>
    <t>Hoover C</t>
  </si>
  <si>
    <t>Hoover D</t>
  </si>
  <si>
    <t>Hoover E</t>
  </si>
  <si>
    <t>Hoover F</t>
  </si>
  <si>
    <t>Hopkins</t>
  </si>
  <si>
    <t>Indian Springs</t>
  </si>
  <si>
    <t>James Island</t>
  </si>
  <si>
    <t>John F. Kennedy</t>
  </si>
  <si>
    <t>Kingfisher</t>
  </si>
  <si>
    <t>Kremlin-Hillsdale</t>
  </si>
  <si>
    <t>La Crosse Logan A</t>
  </si>
  <si>
    <t>La Crosse Logan B</t>
  </si>
  <si>
    <t>La Crosse Logan C</t>
  </si>
  <si>
    <t>La Crosse Logan D</t>
  </si>
  <si>
    <t>LAMP</t>
  </si>
  <si>
    <t>Lawton Chiles A</t>
  </si>
  <si>
    <t>Lawton Chiles B</t>
  </si>
  <si>
    <t>Lawton Chiles C</t>
  </si>
  <si>
    <t>Maclay A</t>
  </si>
  <si>
    <t>Maclay B</t>
  </si>
  <si>
    <t>Mounds Park A</t>
  </si>
  <si>
    <t>Mounds Park B</t>
  </si>
  <si>
    <t>Mounds Park C</t>
  </si>
  <si>
    <t>Oakbrook</t>
  </si>
  <si>
    <t>Onalaska A</t>
  </si>
  <si>
    <t>Onalaska B</t>
  </si>
  <si>
    <t>Oshkosh West A</t>
  </si>
  <si>
    <t>Oshkosh West B</t>
  </si>
  <si>
    <t>Oshkosh West C</t>
  </si>
  <si>
    <t>Ottawa Hills A</t>
  </si>
  <si>
    <t>Ottawa Hills B</t>
  </si>
  <si>
    <t>Ponca City</t>
  </si>
  <si>
    <t>Riverside A</t>
  </si>
  <si>
    <t>Riverside B</t>
  </si>
  <si>
    <t>Robbinsdale Armstrong A</t>
  </si>
  <si>
    <t>Robbinsdale Armstrong B</t>
  </si>
  <si>
    <t>Robbinsdale Armstrong C</t>
  </si>
  <si>
    <t>Sand Creek B</t>
  </si>
  <si>
    <t>Seneca</t>
  </si>
  <si>
    <t>Southside A</t>
  </si>
  <si>
    <t>Southside Christian A</t>
  </si>
  <si>
    <t>St. Thomas Academy A</t>
  </si>
  <si>
    <t>St. Thomas Academy B</t>
  </si>
  <si>
    <t>Stillwater</t>
  </si>
  <si>
    <t>Stoughton A</t>
  </si>
  <si>
    <t>Stoughton B</t>
  </si>
  <si>
    <t>Stoughton C</t>
  </si>
  <si>
    <t>Stoughton D</t>
  </si>
  <si>
    <t>Stoughton E</t>
  </si>
  <si>
    <t>Tahlequah A</t>
  </si>
  <si>
    <t>Tahlequah B</t>
  </si>
  <si>
    <t>Thomas Jefferson Classical A</t>
  </si>
  <si>
    <t>Thomas Jefferson Classical B</t>
  </si>
  <si>
    <t>Tuscaloosa Holy Spirit</t>
  </si>
  <si>
    <t>Wade Hampton</t>
  </si>
  <si>
    <t>Wakulla</t>
  </si>
  <si>
    <t>Warren G. Harding A</t>
  </si>
  <si>
    <t>Warren G. Harding B</t>
  </si>
  <si>
    <t>Wayzata D</t>
  </si>
  <si>
    <t>Wren</t>
  </si>
  <si>
    <t>Hoover Invitational</t>
  </si>
  <si>
    <t>IS109</t>
  </si>
  <si>
    <t>Ames A</t>
  </si>
  <si>
    <t>Matt Cvijanovich Memorial Tournament</t>
  </si>
  <si>
    <t>Ames B</t>
  </si>
  <si>
    <t>Ames C</t>
  </si>
  <si>
    <t>Ames D</t>
  </si>
  <si>
    <t>TQBA Bayou City</t>
  </si>
  <si>
    <t>Arab A</t>
  </si>
  <si>
    <t>Arab B</t>
  </si>
  <si>
    <t>Ardsley A</t>
  </si>
  <si>
    <t>LIFT XI</t>
  </si>
  <si>
    <t>Ardsley B</t>
  </si>
  <si>
    <t>ASFA</t>
  </si>
  <si>
    <t>IHSSBCA Kickoff at Wheaton North (Uber)</t>
  </si>
  <si>
    <t>IHSSBCA Kickoff at Wheaton North (Standard)</t>
  </si>
  <si>
    <t>Rowdy Raider</t>
  </si>
  <si>
    <t>Beauregard High</t>
  </si>
  <si>
    <t>Beavercreek</t>
  </si>
  <si>
    <t>Belvidere A</t>
  </si>
  <si>
    <t>IHSSBCA Kickoff at Sterling</t>
  </si>
  <si>
    <t>Belvidere B</t>
  </si>
  <si>
    <t>Bettendorf</t>
  </si>
  <si>
    <t>Bishop McNamara</t>
  </si>
  <si>
    <t>IHSSBCA Kickoff at Centennial</t>
  </si>
  <si>
    <t>Bishop Moore</t>
  </si>
  <si>
    <t>Bishop Moore Catholic Challenge</t>
  </si>
  <si>
    <t>Bloomington Central Catholic A</t>
  </si>
  <si>
    <t>Bloomington Central Catholic B</t>
  </si>
  <si>
    <t>Boone A</t>
  </si>
  <si>
    <t>Boone B</t>
  </si>
  <si>
    <t>Bradley-Bourbonnais A</t>
  </si>
  <si>
    <t>Bradley-Bourbonnais B</t>
  </si>
  <si>
    <t>Mellon Bowl</t>
  </si>
  <si>
    <t>Brentwood Academy</t>
  </si>
  <si>
    <t>Vanderbilt ABC 41</t>
  </si>
  <si>
    <t>Bridgeport A</t>
  </si>
  <si>
    <t>Bridgeport B</t>
  </si>
  <si>
    <t>Bridgeport C</t>
  </si>
  <si>
    <t>Brindlee Mountain</t>
  </si>
  <si>
    <t>Byron</t>
  </si>
  <si>
    <t>Triton Winter III</t>
  </si>
  <si>
    <t>Carmel A</t>
  </si>
  <si>
    <t>Carmel B</t>
  </si>
  <si>
    <t>Carmel C</t>
  </si>
  <si>
    <t>Central A</t>
  </si>
  <si>
    <t>Central B</t>
  </si>
  <si>
    <t>Chapel Hill A</t>
  </si>
  <si>
    <t>Duke Annual Fall Tournament</t>
  </si>
  <si>
    <t>Chapel Hill B</t>
  </si>
  <si>
    <t>Chariton A</t>
  </si>
  <si>
    <t>Chariton B</t>
  </si>
  <si>
    <t>Chartiers Valley A</t>
  </si>
  <si>
    <t>Chartiers Valleys B</t>
  </si>
  <si>
    <t>Chatham B</t>
  </si>
  <si>
    <t>Chelsea</t>
  </si>
  <si>
    <t>Chicago Christian A</t>
  </si>
  <si>
    <t>Chicago Christian B</t>
  </si>
  <si>
    <t>Cinco Ranch A</t>
  </si>
  <si>
    <t>Cinco Ranch B</t>
  </si>
  <si>
    <t>Edmond Memorial Bulldog</t>
  </si>
  <si>
    <t>Colonel By A</t>
  </si>
  <si>
    <t>Ottawa Quizbowl Tournament VII</t>
  </si>
  <si>
    <t>Colonel By B</t>
  </si>
  <si>
    <t>Copley</t>
  </si>
  <si>
    <t>Covenant Christian Academy</t>
  </si>
  <si>
    <t>Cumberland</t>
  </si>
  <si>
    <t>Dixon</t>
  </si>
  <si>
    <t>Eastlake</t>
  </si>
  <si>
    <t>Eastwood A</t>
  </si>
  <si>
    <t>Eastwood B</t>
  </si>
  <si>
    <t>El Capitan A</t>
  </si>
  <si>
    <t>El Capitan B</t>
  </si>
  <si>
    <t>Emery/Weiner</t>
  </si>
  <si>
    <t>Enid</t>
  </si>
  <si>
    <t>Enloe C</t>
  </si>
  <si>
    <t>Episcopal</t>
  </si>
  <si>
    <t>Eureka</t>
  </si>
  <si>
    <t>Clayton Invitational</t>
  </si>
  <si>
    <t>Ezell-Harding</t>
  </si>
  <si>
    <t>Farragut</t>
  </si>
  <si>
    <t>Father Lopez</t>
  </si>
  <si>
    <t>Fenton A</t>
  </si>
  <si>
    <t>Fenton B</t>
  </si>
  <si>
    <t>Fenwick A</t>
  </si>
  <si>
    <t>Fenwick B</t>
  </si>
  <si>
    <t>Fisher Catholic C</t>
  </si>
  <si>
    <t>Fleming County A</t>
  </si>
  <si>
    <t>Fleming County B</t>
  </si>
  <si>
    <t>Fort Zumwalt North</t>
  </si>
  <si>
    <t>Francis Parker A</t>
  </si>
  <si>
    <t>Francis Parker B</t>
  </si>
  <si>
    <t>Fremd C</t>
  </si>
  <si>
    <t>Gadsden City B</t>
  </si>
  <si>
    <t>Galactic Hero</t>
  </si>
  <si>
    <t>Galesburg</t>
  </si>
  <si>
    <t>Geneseo</t>
  </si>
  <si>
    <t>Geneva A</t>
  </si>
  <si>
    <t>Geneva B</t>
  </si>
  <si>
    <t>Glenbard North A</t>
  </si>
  <si>
    <t>Glenbard North B</t>
  </si>
  <si>
    <t>IHSSBCA Kickoff at PORTA (AA)</t>
  </si>
  <si>
    <t>GNS C</t>
  </si>
  <si>
    <t>GNS D</t>
  </si>
  <si>
    <t>Harlandale A</t>
  </si>
  <si>
    <t>Harlandale B</t>
  </si>
  <si>
    <t>Harlandale C</t>
  </si>
  <si>
    <t>Harmony Beaumont</t>
  </si>
  <si>
    <t>Harmony Science Houston</t>
  </si>
  <si>
    <t>Hoffman Estates A</t>
  </si>
  <si>
    <t>Hoffman Estates B</t>
  </si>
  <si>
    <t>Hoggard A</t>
  </si>
  <si>
    <t>Hoggard B</t>
  </si>
  <si>
    <t>Holy Spirit</t>
  </si>
  <si>
    <t>Homewood-Flossmoor A</t>
  </si>
  <si>
    <t>Homewood-Flossmoor B</t>
  </si>
  <si>
    <t>Houston Westside A</t>
  </si>
  <si>
    <t>Houston Westside B</t>
  </si>
  <si>
    <t>Hybrid</t>
  </si>
  <si>
    <t>John Marshall A</t>
  </si>
  <si>
    <t>John Marshall B</t>
  </si>
  <si>
    <t>Joliet Catholic</t>
  </si>
  <si>
    <t>JP Catholic II A</t>
  </si>
  <si>
    <t>JP Catholic II B</t>
  </si>
  <si>
    <t>Kaneland</t>
  </si>
  <si>
    <t>Keystone Oaks C</t>
  </si>
  <si>
    <t>Kinkaid School A</t>
  </si>
  <si>
    <t>Kinkaid School B</t>
  </si>
  <si>
    <t>La Jolla A</t>
  </si>
  <si>
    <t>La Jolla B</t>
  </si>
  <si>
    <t>La Jolla C</t>
  </si>
  <si>
    <t>Lake Zurich A</t>
  </si>
  <si>
    <t>Lake Zurich B</t>
  </si>
  <si>
    <t>LAMP A</t>
  </si>
  <si>
    <t>LAMP B</t>
  </si>
  <si>
    <t>Leyden</t>
  </si>
  <si>
    <t>Lincoln County High</t>
  </si>
  <si>
    <t>Lisgar A</t>
  </si>
  <si>
    <t>Lisgar B</t>
  </si>
  <si>
    <t>Lisgar C</t>
  </si>
  <si>
    <t>Lisgar D</t>
  </si>
  <si>
    <t>LJCD</t>
  </si>
  <si>
    <t>Locust Vlly A</t>
  </si>
  <si>
    <t>Loveland A</t>
  </si>
  <si>
    <t>Loveland B</t>
  </si>
  <si>
    <t>Mahomet A</t>
  </si>
  <si>
    <t>Mahomet B</t>
  </si>
  <si>
    <t>Marian Central Catholic</t>
  </si>
  <si>
    <t>Marist</t>
  </si>
  <si>
    <t>Marshalltown A</t>
  </si>
  <si>
    <t>Marshalltown B</t>
  </si>
  <si>
    <t>Mayde Creek</t>
  </si>
  <si>
    <t>Melbourne Catholic</t>
  </si>
  <si>
    <t>Merivale</t>
  </si>
  <si>
    <t>Metea Valley A</t>
  </si>
  <si>
    <t>Metea Valley B</t>
  </si>
  <si>
    <t>Michael E. DeBakey A</t>
  </si>
  <si>
    <t>Michael E. DeBakey B</t>
  </si>
  <si>
    <t>Michael E. DeBakey C</t>
  </si>
  <si>
    <t>Minooka A</t>
  </si>
  <si>
    <t>Minooka B</t>
  </si>
  <si>
    <t>Moline</t>
  </si>
  <si>
    <t>Morrison</t>
  </si>
  <si>
    <t>Muscle Shoals</t>
  </si>
  <si>
    <t>Muscle Shoals B</t>
  </si>
  <si>
    <t>MVCTC</t>
  </si>
  <si>
    <t>N Babylon A</t>
  </si>
  <si>
    <t>N Babylon B</t>
  </si>
  <si>
    <t>N Babylon C</t>
  </si>
  <si>
    <t>N Shore A</t>
  </si>
  <si>
    <t>Newman Catholic A</t>
  </si>
  <si>
    <t>Newman Catholic B</t>
  </si>
  <si>
    <t>NoHo A</t>
  </si>
  <si>
    <t>NoHo B</t>
  </si>
  <si>
    <t>Normal Community West</t>
  </si>
  <si>
    <t>Northmont C</t>
  </si>
  <si>
    <t>Notre Dame</t>
  </si>
  <si>
    <t>Notre Dame Regional High School</t>
  </si>
  <si>
    <t>Oak Mountain</t>
  </si>
  <si>
    <t>OLMA A</t>
  </si>
  <si>
    <t>OPRF A</t>
  </si>
  <si>
    <t>OPRF B</t>
  </si>
  <si>
    <t>Oswego East A</t>
  </si>
  <si>
    <t>Oswego East B</t>
  </si>
  <si>
    <t>Oxford</t>
  </si>
  <si>
    <t>Paintsville A</t>
  </si>
  <si>
    <t>Paintsville B</t>
  </si>
  <si>
    <t>Parkview A</t>
  </si>
  <si>
    <t>Parkview B</t>
  </si>
  <si>
    <t>Pattonville</t>
  </si>
  <si>
    <t>Paxton-Buckley-Loda</t>
  </si>
  <si>
    <t>Pekin</t>
  </si>
  <si>
    <t>Plainview A</t>
  </si>
  <si>
    <t>Plainview B</t>
  </si>
  <si>
    <t>Pontiac</t>
  </si>
  <si>
    <t>Portland</t>
  </si>
  <si>
    <t>Putnam County</t>
  </si>
  <si>
    <t>Quincy A</t>
  </si>
  <si>
    <t>Rancho Alamitos</t>
  </si>
  <si>
    <t>Ranney A</t>
  </si>
  <si>
    <t>Ranney B</t>
  </si>
  <si>
    <t>Rantoul</t>
  </si>
  <si>
    <t>RB A</t>
  </si>
  <si>
    <t>RB B</t>
  </si>
  <si>
    <t>RB C</t>
  </si>
  <si>
    <t>Regina</t>
  </si>
  <si>
    <t>Roanoke-Benson</t>
  </si>
  <si>
    <t>Rock Falls</t>
  </si>
  <si>
    <t>Rock Island</t>
  </si>
  <si>
    <t>Rockford Boylan</t>
  </si>
  <si>
    <t>Rockford Christian Life</t>
  </si>
  <si>
    <t>Rockford Guilford</t>
  </si>
  <si>
    <t>Rolling Meadows</t>
  </si>
  <si>
    <t>Romeoville</t>
  </si>
  <si>
    <t>Roycemore</t>
  </si>
  <si>
    <t>Russellville</t>
  </si>
  <si>
    <t>Sand Rock</t>
  </si>
  <si>
    <t>Scripps Ranch</t>
  </si>
  <si>
    <t>Seven Lakes C</t>
  </si>
  <si>
    <t>Sidney</t>
  </si>
  <si>
    <t>SLUH A</t>
  </si>
  <si>
    <t>SLUH B</t>
  </si>
  <si>
    <t>Solon</t>
  </si>
  <si>
    <t>Southwest</t>
  </si>
  <si>
    <t>Spain Park A</t>
  </si>
  <si>
    <t>Spain Park B</t>
  </si>
  <si>
    <t>St. Charles East</t>
  </si>
  <si>
    <t>St. Edmond</t>
  </si>
  <si>
    <t>St. Ignatius A</t>
  </si>
  <si>
    <t>St. Ignatius B</t>
  </si>
  <si>
    <t>St. John's Middle C</t>
  </si>
  <si>
    <t>St. Joseph A</t>
  </si>
  <si>
    <t>St. Patrick A</t>
  </si>
  <si>
    <t>St. Patrick B</t>
  </si>
  <si>
    <t>St.Joseph B</t>
  </si>
  <si>
    <t>Sterling</t>
  </si>
  <si>
    <t>Sterling Newman Catholic</t>
  </si>
  <si>
    <t>Stillman Valley</t>
  </si>
  <si>
    <t>Strake Jesuit</t>
  </si>
  <si>
    <t>Streator</t>
  </si>
  <si>
    <t>Sycamore</t>
  </si>
  <si>
    <t>Sycamore A</t>
  </si>
  <si>
    <t>Sycamore B</t>
  </si>
  <si>
    <t>Taylor</t>
  </si>
  <si>
    <t>Temple A</t>
  </si>
  <si>
    <t>Temple B</t>
  </si>
  <si>
    <t>Timothy Christian</t>
  </si>
  <si>
    <t>Trinity Presbyterian</t>
  </si>
  <si>
    <t>Tustin A</t>
  </si>
  <si>
    <t>Tustin B</t>
  </si>
  <si>
    <t>U.S. Grant</t>
  </si>
  <si>
    <t>University School of Nashville</t>
  </si>
  <si>
    <t>Urbandale</t>
  </si>
  <si>
    <t>Vestavia</t>
  </si>
  <si>
    <t>Walnut Hills</t>
  </si>
  <si>
    <t>Webster Groves</t>
  </si>
  <si>
    <t>West Chicago</t>
  </si>
  <si>
    <t>West Des Moines Valley A</t>
  </si>
  <si>
    <t>West Des Moines Valley B</t>
  </si>
  <si>
    <t>Wheaton North D</t>
  </si>
  <si>
    <t>White Plains A</t>
  </si>
  <si>
    <t>White Plains B</t>
  </si>
  <si>
    <t>White Plains C</t>
  </si>
  <si>
    <t>White Plains D</t>
  </si>
  <si>
    <t>Wichita East A</t>
  </si>
  <si>
    <t>Wichita East B</t>
  </si>
  <si>
    <t>Wilton A</t>
  </si>
  <si>
    <t>Wilton B</t>
  </si>
  <si>
    <t>Winnebago</t>
  </si>
  <si>
    <t>YES Southeast A</t>
  </si>
  <si>
    <t>YES Southeast B</t>
  </si>
  <si>
    <t>Yukon A</t>
  </si>
  <si>
    <t>Yukon B</t>
  </si>
  <si>
    <t>A.N. Myer</t>
  </si>
  <si>
    <t>Ridley College Invitational</t>
  </si>
  <si>
    <t>IS110A</t>
  </si>
  <si>
    <t>Academics Plus</t>
  </si>
  <si>
    <t>Parkview Invitational</t>
  </si>
  <si>
    <t>Anacoco A</t>
  </si>
  <si>
    <t>Tournament of Righteous Justice</t>
  </si>
  <si>
    <t>Anacoco B</t>
  </si>
  <si>
    <t>Ardmore</t>
  </si>
  <si>
    <t>Columbia Invitational</t>
  </si>
  <si>
    <t>Arkansas Math and Science</t>
  </si>
  <si>
    <t>Ascension</t>
  </si>
  <si>
    <t>Beamsville</t>
  </si>
  <si>
    <t>Bellarmine B</t>
  </si>
  <si>
    <t>BAAL Halley</t>
  </si>
  <si>
    <t>Benjamin Logan</t>
  </si>
  <si>
    <t>Beresford</t>
  </si>
  <si>
    <t>Siouxper Bowl VIII</t>
  </si>
  <si>
    <t>Bethel Christian</t>
  </si>
  <si>
    <t>Brookings A</t>
  </si>
  <si>
    <t>Brookings B</t>
  </si>
  <si>
    <t>Brooks A</t>
  </si>
  <si>
    <t>Brooks B</t>
  </si>
  <si>
    <t>Celina</t>
  </si>
  <si>
    <t>Centralia A</t>
  </si>
  <si>
    <t>Bill Currie Memorial</t>
  </si>
  <si>
    <t>Centralia B</t>
  </si>
  <si>
    <t>Chapelle A</t>
  </si>
  <si>
    <t>Chapelle B</t>
  </si>
  <si>
    <t>Cheshire</t>
  </si>
  <si>
    <t>Yale FAcT</t>
  </si>
  <si>
    <t>Chester</t>
  </si>
  <si>
    <t>Columbia B</t>
  </si>
  <si>
    <t>Covenant Christian</t>
  </si>
  <si>
    <t>E.O. Smith A</t>
  </si>
  <si>
    <t>E.O. Smith B</t>
  </si>
  <si>
    <t>East Lawrence</t>
  </si>
  <si>
    <t>Episcopal Collegiate A</t>
  </si>
  <si>
    <t>Episcopal Collegiate B</t>
  </si>
  <si>
    <t>ESA A</t>
  </si>
  <si>
    <t>ESA B</t>
  </si>
  <si>
    <t>Fisher Catholic</t>
  </si>
  <si>
    <t>Gadsden City C</t>
  </si>
  <si>
    <t>Gadsden City D</t>
  </si>
  <si>
    <t>Gadsden City E</t>
  </si>
  <si>
    <t>Grace Christian A</t>
  </si>
  <si>
    <t>Grace Christian B</t>
  </si>
  <si>
    <t>Hallsville A</t>
  </si>
  <si>
    <t>Hallsville B</t>
  </si>
  <si>
    <t>Harker</t>
  </si>
  <si>
    <t>Harry Ainlay</t>
  </si>
  <si>
    <t>Alberta Quizbowl Tournament</t>
  </si>
  <si>
    <t>Hingham A</t>
  </si>
  <si>
    <t>Hingham B</t>
  </si>
  <si>
    <t>Jesuit A</t>
  </si>
  <si>
    <t>Jesuit B</t>
  </si>
  <si>
    <t>Juan Diego Catholic</t>
  </si>
  <si>
    <t>Jayhawks Invitational</t>
  </si>
  <si>
    <t>Kenton Ridge</t>
  </si>
  <si>
    <t>Laura Secord A</t>
  </si>
  <si>
    <t>Laura Secord B</t>
  </si>
  <si>
    <t>Lawton-Bronson</t>
  </si>
  <si>
    <t>Lillian Osborne</t>
  </si>
  <si>
    <t>Lincoln County</t>
  </si>
  <si>
    <t>Little Rock Central A</t>
  </si>
  <si>
    <t>Little Rock Central B</t>
  </si>
  <si>
    <t>Little Rock Central C</t>
  </si>
  <si>
    <t>Louisville Eastern</t>
  </si>
  <si>
    <t>Menlo</t>
  </si>
  <si>
    <t>Miami East</t>
  </si>
  <si>
    <t>Miami Valley</t>
  </si>
  <si>
    <t>Miami Valley CTC</t>
  </si>
  <si>
    <t>Mills</t>
  </si>
  <si>
    <t>Mount Vernon-Enola</t>
  </si>
  <si>
    <t>Nathan Hale-Ray</t>
  </si>
  <si>
    <t>Newtown</t>
  </si>
  <si>
    <t>Norfork</t>
  </si>
  <si>
    <t>Northwestern</t>
  </si>
  <si>
    <t>Norwich</t>
  </si>
  <si>
    <t>O'Gorman A</t>
  </si>
  <si>
    <t>O'Gorman B</t>
  </si>
  <si>
    <t>O'Gorman C</t>
  </si>
  <si>
    <t>Old Saybrook A</t>
  </si>
  <si>
    <t>Old Saybrook B</t>
  </si>
  <si>
    <t>Old Scona A</t>
  </si>
  <si>
    <t>Old Scona B</t>
  </si>
  <si>
    <t>Parkview Arts and Science A</t>
  </si>
  <si>
    <t>Parkview Arts and Science B</t>
  </si>
  <si>
    <t>Parkview Arts and Science C</t>
  </si>
  <si>
    <t>Pope John Paul II A</t>
  </si>
  <si>
    <t>Pope John Paul II B</t>
  </si>
  <si>
    <t>Pope John Paul II C</t>
  </si>
  <si>
    <t>Randolph School A</t>
  </si>
  <si>
    <t>Randolph School B</t>
  </si>
  <si>
    <t>Ridley</t>
  </si>
  <si>
    <t>Rowland Hall</t>
  </si>
  <si>
    <t>Rutherford B. Hayes</t>
  </si>
  <si>
    <t>Simon Kenton A</t>
  </si>
  <si>
    <t>Simon Kenton B</t>
  </si>
  <si>
    <t>Simsbury</t>
  </si>
  <si>
    <t>Sioux City North</t>
  </si>
  <si>
    <t>Sioux City West</t>
  </si>
  <si>
    <t>Sioux Falls Home School</t>
  </si>
  <si>
    <t>Sir Winston Churchill A</t>
  </si>
  <si>
    <t>Sir Winston Churchill B</t>
  </si>
  <si>
    <t>Smith Cotton</t>
  </si>
  <si>
    <t>South Sioux City</t>
  </si>
  <si>
    <t>St. Charles Prep A</t>
  </si>
  <si>
    <t>St. Charles Prep B</t>
  </si>
  <si>
    <t>St. Joseph Catholic A</t>
  </si>
  <si>
    <t>St. Joseph Catholic B</t>
  </si>
  <si>
    <t>St. Martinville</t>
  </si>
  <si>
    <t>Stamford</t>
  </si>
  <si>
    <t>Storm Lake</t>
  </si>
  <si>
    <t>Suffield A</t>
  </si>
  <si>
    <t>Suffield B</t>
  </si>
  <si>
    <t>Tecumseh</t>
  </si>
  <si>
    <t>Terryville</t>
  </si>
  <si>
    <t>Theodore Roosevelt A</t>
  </si>
  <si>
    <t>Theodore Roosevelt B</t>
  </si>
  <si>
    <t>Urbana</t>
  </si>
  <si>
    <t>Vermillion</t>
  </si>
  <si>
    <t>Watson Chapel</t>
  </si>
  <si>
    <t>Wayne</t>
  </si>
  <si>
    <t>Webber A</t>
  </si>
  <si>
    <t>Webber B</t>
  </si>
  <si>
    <t>West Memphis</t>
  </si>
  <si>
    <t>White Cloud</t>
  </si>
  <si>
    <t>Woodland School A</t>
  </si>
  <si>
    <t>Woodland School B</t>
  </si>
  <si>
    <t>Alabama Fine Arts</t>
  </si>
  <si>
    <t>Convenant Christian Invitational</t>
  </si>
  <si>
    <t>IS111</t>
  </si>
  <si>
    <t>Ann Arbor Skyline</t>
  </si>
  <si>
    <t>Michigan Autumn Classic</t>
  </si>
  <si>
    <t>SnowCAT</t>
  </si>
  <si>
    <t>Austin Harmony A</t>
  </si>
  <si>
    <t>Winter Rodeo</t>
  </si>
  <si>
    <t>Austin Harmony B</t>
  </si>
  <si>
    <t>Avon A</t>
  </si>
  <si>
    <t>Olmsted Falls Battle Buzz</t>
  </si>
  <si>
    <t>Avon B</t>
  </si>
  <si>
    <t>Avon JV</t>
  </si>
  <si>
    <t>Awty C</t>
  </si>
  <si>
    <t>BASIS A</t>
  </si>
  <si>
    <t>Arizona State Winter</t>
  </si>
  <si>
    <t>BASIS B</t>
  </si>
  <si>
    <t>Beachwood A</t>
  </si>
  <si>
    <t>Beaumont Harmony</t>
  </si>
  <si>
    <t>Belton HS A</t>
  </si>
  <si>
    <t>Belton HS B</t>
  </si>
  <si>
    <t>Boaz</t>
  </si>
  <si>
    <t>Boaz JV</t>
  </si>
  <si>
    <t>EnIAC</t>
  </si>
  <si>
    <t>Carrboro B</t>
  </si>
  <si>
    <t>Cave Springs B</t>
  </si>
  <si>
    <t>Charles F. Brush JV</t>
  </si>
  <si>
    <t>Collegiate</t>
  </si>
  <si>
    <t>VCU Winter</t>
  </si>
  <si>
    <t>Columbia</t>
  </si>
  <si>
    <t>Columbia JV</t>
  </si>
  <si>
    <t>Copley JV</t>
  </si>
  <si>
    <t>Cosby</t>
  </si>
  <si>
    <t>Culver A</t>
  </si>
  <si>
    <t>Deep Run A</t>
  </si>
  <si>
    <t>Deep Run B</t>
  </si>
  <si>
    <t>Desert Vista A</t>
  </si>
  <si>
    <t>Desert Vista B</t>
  </si>
  <si>
    <t>Desert Vista C</t>
  </si>
  <si>
    <t>Detroit Country Day A</t>
  </si>
  <si>
    <t>Detroit Coutry Day B</t>
  </si>
  <si>
    <t>Douglas Freeman</t>
  </si>
  <si>
    <t>East Chapel Hill</t>
  </si>
  <si>
    <t>EC of Guilford A</t>
  </si>
  <si>
    <t>EC of Guilford Scarlet</t>
  </si>
  <si>
    <t>Ellensburg A</t>
  </si>
  <si>
    <t>Washington Winter Classic</t>
  </si>
  <si>
    <t>Ellensburg B</t>
  </si>
  <si>
    <t>Ellensburg C</t>
  </si>
  <si>
    <t>Ellensburg D</t>
  </si>
  <si>
    <t>Euclid JV</t>
  </si>
  <si>
    <t>Farmington</t>
  </si>
  <si>
    <t>Gadsden City JV A</t>
  </si>
  <si>
    <t>Gadsden City JV B</t>
  </si>
  <si>
    <t>Georgetown Day A</t>
  </si>
  <si>
    <t>Georgetown Day B</t>
  </si>
  <si>
    <t>Gross Pointe North B</t>
  </si>
  <si>
    <t>Grosse Pointe North A</t>
  </si>
  <si>
    <t>Harvey Firestone A</t>
  </si>
  <si>
    <t>Harvey Firestone JV</t>
  </si>
  <si>
    <t>Hawken School A</t>
  </si>
  <si>
    <t>Hawken School B</t>
  </si>
  <si>
    <t>Hawken School JV</t>
  </si>
  <si>
    <t>Hickory Ridge A</t>
  </si>
  <si>
    <t>Hickory Ridge B</t>
  </si>
  <si>
    <t>Holland</t>
  </si>
  <si>
    <t>Houston Harmony</t>
  </si>
  <si>
    <t>Hudson C</t>
  </si>
  <si>
    <t>Ironwood A</t>
  </si>
  <si>
    <t>Ironwood B</t>
  </si>
  <si>
    <t>Johnston Co Early College Academy</t>
  </si>
  <si>
    <t>Kalamazoo Christian</t>
  </si>
  <si>
    <t>Lakeside School A</t>
  </si>
  <si>
    <t>Lakeside School B</t>
  </si>
  <si>
    <t>Lakeside School C</t>
  </si>
  <si>
    <t>LASA Periwinkle</t>
  </si>
  <si>
    <t>LASA Phthalo</t>
  </si>
  <si>
    <t>LASA Prune</t>
  </si>
  <si>
    <t>LASA Puce</t>
  </si>
  <si>
    <t>Liberty Middle A</t>
  </si>
  <si>
    <t>Liberty Middle B</t>
  </si>
  <si>
    <t>Liberty Middle C</t>
  </si>
  <si>
    <t>Midlothian</t>
  </si>
  <si>
    <t>Millbrook</t>
  </si>
  <si>
    <t>MLK Magnet</t>
  </si>
  <si>
    <t>Mound Westonka</t>
  </si>
  <si>
    <t>Napoleon</t>
  </si>
  <si>
    <t>NCSSM C</t>
  </si>
  <si>
    <t>Newton Falls A</t>
  </si>
  <si>
    <t>North Olmsted A</t>
  </si>
  <si>
    <t>North Olmsted JV</t>
  </si>
  <si>
    <t>Novi A</t>
  </si>
  <si>
    <t>Novi B</t>
  </si>
  <si>
    <t>Olmsted Falls JV B</t>
  </si>
  <si>
    <t>Olmsted Falls JV C</t>
  </si>
  <si>
    <t>Olmsted Falls JV D</t>
  </si>
  <si>
    <t>Olympia A</t>
  </si>
  <si>
    <t>Olympia B</t>
  </si>
  <si>
    <t>Olympia C</t>
  </si>
  <si>
    <t>Orange JV</t>
  </si>
  <si>
    <t>Ottawa Hills JV</t>
  </si>
  <si>
    <t>Our Lady of the Elms</t>
  </si>
  <si>
    <t>Peninsula A</t>
  </si>
  <si>
    <t>Peninsula B</t>
  </si>
  <si>
    <t>R.A. Long</t>
  </si>
  <si>
    <t>Raleigh Charter E</t>
  </si>
  <si>
    <t>Raleigh Charter F</t>
  </si>
  <si>
    <t>Randolph School</t>
  </si>
  <si>
    <t>Randolph School JV</t>
  </si>
  <si>
    <t>Saint Mary's School</t>
  </si>
  <si>
    <t>Scottsdale Prep Spartans</t>
  </si>
  <si>
    <t>Seven Lakes Blue</t>
  </si>
  <si>
    <t>Seven Lakes Orange</t>
  </si>
  <si>
    <t>Southeast A</t>
  </si>
  <si>
    <t>Southeast JV</t>
  </si>
  <si>
    <t>Southgate</t>
  </si>
  <si>
    <t>St. John's Ridiculous</t>
  </si>
  <si>
    <t>St. John's Sublime</t>
  </si>
  <si>
    <t>St. Mark's</t>
  </si>
  <si>
    <t>St. Thomas</t>
  </si>
  <si>
    <t>Trinity</t>
  </si>
  <si>
    <t>Troy A</t>
  </si>
  <si>
    <t>Troy B</t>
  </si>
  <si>
    <t>University A</t>
  </si>
  <si>
    <t>Utica A</t>
  </si>
  <si>
    <t>Utica B</t>
  </si>
  <si>
    <t>Village A</t>
  </si>
  <si>
    <t>Village B</t>
  </si>
  <si>
    <t>Warren G. Harding JV</t>
  </si>
  <si>
    <t>West Valley</t>
  </si>
  <si>
    <t>Westside A</t>
  </si>
  <si>
    <t>Wickliffe A</t>
  </si>
  <si>
    <t>Wickliffe JV A</t>
  </si>
  <si>
    <t>Wickliffe JV B</t>
  </si>
  <si>
    <t>YES SE Blue (Witches)</t>
  </si>
  <si>
    <t>YES SE Yellow (Wizards)</t>
  </si>
  <si>
    <t>Albia A</t>
  </si>
  <si>
    <t>Drake University Bulldog Bowl</t>
  </si>
  <si>
    <t>IS112A</t>
  </si>
  <si>
    <t>Albia B</t>
  </si>
  <si>
    <t>Alta-Aurelia</t>
  </si>
  <si>
    <t>Antioch</t>
  </si>
  <si>
    <t>IHSSBCA Turnabout at Fenton</t>
  </si>
  <si>
    <t>Baby Anteater XIII</t>
  </si>
  <si>
    <t>Half Hollow Hills West</t>
  </si>
  <si>
    <t>IHSSBCA Turnabout at Bloomington</t>
  </si>
  <si>
    <t>Barrington A</t>
  </si>
  <si>
    <t>Barrington B</t>
  </si>
  <si>
    <t>Bergen Academies A</t>
  </si>
  <si>
    <t>Bergen Academies B</t>
  </si>
  <si>
    <t>Bishop McDevitt A</t>
  </si>
  <si>
    <t>Bloomfield A</t>
  </si>
  <si>
    <t>Bloomfield B</t>
  </si>
  <si>
    <t>Bloomfield C</t>
  </si>
  <si>
    <t>Breese Central</t>
  </si>
  <si>
    <t>IHSSBCA Turnabout at Greenville</t>
  </si>
  <si>
    <t>Cairo A</t>
  </si>
  <si>
    <t>IHSSBCA Turnabout at Carbondale</t>
  </si>
  <si>
    <t>Cairo B</t>
  </si>
  <si>
    <t>Canyon Crest A</t>
  </si>
  <si>
    <t>Canyon Crest B</t>
  </si>
  <si>
    <t>Capistrano Valley A</t>
  </si>
  <si>
    <t>Capistrano Valley B</t>
  </si>
  <si>
    <t>Carlinville</t>
  </si>
  <si>
    <t>Carrollton</t>
  </si>
  <si>
    <t>Carterville</t>
  </si>
  <si>
    <t>Central Academy</t>
  </si>
  <si>
    <t>Champaign Central A</t>
  </si>
  <si>
    <t>Champaign Central B</t>
  </si>
  <si>
    <t>Run for the Roses</t>
  </si>
  <si>
    <t>Chicago Christian</t>
  </si>
  <si>
    <t>TQBA Maverick</t>
  </si>
  <si>
    <t>Cisne</t>
  </si>
  <si>
    <t>Culver Frosh/Soph</t>
  </si>
  <si>
    <t>Davenport North</t>
  </si>
  <si>
    <t>Deer Park HS A</t>
  </si>
  <si>
    <t>Deer Park HS B</t>
  </si>
  <si>
    <t>DeLaSalle A</t>
  </si>
  <si>
    <t>DeLaSalle B</t>
  </si>
  <si>
    <t>DeLaSalle C</t>
  </si>
  <si>
    <t>Dwight Morrow</t>
  </si>
  <si>
    <t>East Peoria</t>
  </si>
  <si>
    <t>Edison A</t>
  </si>
  <si>
    <t>Edison B</t>
  </si>
  <si>
    <t>Edison HS A</t>
  </si>
  <si>
    <t>Elmwood A</t>
  </si>
  <si>
    <t>Elmwood B</t>
  </si>
  <si>
    <t>Ernestown A</t>
  </si>
  <si>
    <t>Kingston-Area Tournament</t>
  </si>
  <si>
    <t>Ernestown B</t>
  </si>
  <si>
    <t>Fairfield</t>
  </si>
  <si>
    <t>Farmingdale A</t>
  </si>
  <si>
    <t>Farmingdale B</t>
  </si>
  <si>
    <t>Great Neck North A</t>
  </si>
  <si>
    <t>Great Neck South D</t>
  </si>
  <si>
    <t>Great Neck South E</t>
  </si>
  <si>
    <t>Great Neck South F</t>
  </si>
  <si>
    <t>Greenville A</t>
  </si>
  <si>
    <t>Greenville B</t>
  </si>
  <si>
    <t>Harborfields HS A</t>
  </si>
  <si>
    <t>Harborfields HS B</t>
  </si>
  <si>
    <t>HHH East A</t>
  </si>
  <si>
    <t>HHH East B</t>
  </si>
  <si>
    <t>Highland A</t>
  </si>
  <si>
    <t>Highland B</t>
  </si>
  <si>
    <t>Homewood-Flossmoor</t>
  </si>
  <si>
    <t>Hopkins A</t>
  </si>
  <si>
    <t>Hopkins B</t>
  </si>
  <si>
    <t>Hopkins C</t>
  </si>
  <si>
    <t>Horace Greeley A</t>
  </si>
  <si>
    <t>Loyola Standard combined?!</t>
  </si>
  <si>
    <t>Johnston City</t>
  </si>
  <si>
    <t>Kings Park HS A</t>
  </si>
  <si>
    <t>Kings Park HS B</t>
  </si>
  <si>
    <t>Kings Park HS C</t>
  </si>
  <si>
    <t>Lenape Valley B</t>
  </si>
  <si>
    <t>Lenape Valley C</t>
  </si>
  <si>
    <t>Lenpae Valley A</t>
  </si>
  <si>
    <t>Livingston HS A</t>
  </si>
  <si>
    <t>Livingston HS B</t>
  </si>
  <si>
    <t>LSA</t>
  </si>
  <si>
    <t>Manson Northwest Webster</t>
  </si>
  <si>
    <t>Marquette A</t>
  </si>
  <si>
    <t>Marquette B</t>
  </si>
  <si>
    <t>Marshalltown</t>
  </si>
  <si>
    <t>Mattituck HS A</t>
  </si>
  <si>
    <t>Mattituck HS B</t>
  </si>
  <si>
    <t>Michael E. DeBakey</t>
  </si>
  <si>
    <t>Midwest Central</t>
  </si>
  <si>
    <t>Mineola HS A</t>
  </si>
  <si>
    <t>Morristown-Beard School A</t>
  </si>
  <si>
    <t>Mounds View</t>
  </si>
  <si>
    <t>Mountain Lakes HS A</t>
  </si>
  <si>
    <t>North Babylon A</t>
  </si>
  <si>
    <t>North Babylon B</t>
  </si>
  <si>
    <t>North Babylon C</t>
  </si>
  <si>
    <t>North Hollywood</t>
  </si>
  <si>
    <t>North Shore A</t>
  </si>
  <si>
    <t>North Shore B</t>
  </si>
  <si>
    <t>North St. Paul A</t>
  </si>
  <si>
    <t>North St. Paul B</t>
  </si>
  <si>
    <t>Our Lady of Mercy Academy</t>
  </si>
  <si>
    <t>Peoria Heights A</t>
  </si>
  <si>
    <t>Peoria Heights B</t>
  </si>
  <si>
    <t>Phillispburg A</t>
  </si>
  <si>
    <t>Plainedge HS A</t>
  </si>
  <si>
    <t>Plainedge HS B</t>
  </si>
  <si>
    <t>Plainedge HS C</t>
  </si>
  <si>
    <t>Plainview JFK A</t>
  </si>
  <si>
    <t>Port Jefferson A</t>
  </si>
  <si>
    <t>Port Jefferson B</t>
  </si>
  <si>
    <t>Providence Catholic</t>
  </si>
  <si>
    <t>Ranney School A</t>
  </si>
  <si>
    <t>Regiopolis Notre Dame A</t>
  </si>
  <si>
    <t>Regiopolis Notre Dame B</t>
  </si>
  <si>
    <t>Regiopolis Notre Dame C</t>
  </si>
  <si>
    <t>Robbinsdale Armstrong D</t>
  </si>
  <si>
    <t>Roseville Area A</t>
  </si>
  <si>
    <t>Roseville Area B</t>
  </si>
  <si>
    <t>Roslyn HS A</t>
  </si>
  <si>
    <t>Saint Agnes A</t>
  </si>
  <si>
    <t>Saint Agnes B</t>
  </si>
  <si>
    <t>Seton Hall Prep A</t>
  </si>
  <si>
    <t>Seton Hall Prep B</t>
  </si>
  <si>
    <t>Simley</t>
  </si>
  <si>
    <t>St Joseph B</t>
  </si>
  <si>
    <t>St Joseph C</t>
  </si>
  <si>
    <t>St. Anthony's A</t>
  </si>
  <si>
    <t>St. Anthony's B</t>
  </si>
  <si>
    <t>St. Anthony's C</t>
  </si>
  <si>
    <t>St. Anthony's D</t>
  </si>
  <si>
    <t>St. John's</t>
  </si>
  <si>
    <t>St. Peter's A</t>
  </si>
  <si>
    <t>St. Peter's B</t>
  </si>
  <si>
    <t>St. Thomas Academy C</t>
  </si>
  <si>
    <t>Team USA</t>
  </si>
  <si>
    <t>Tribeca A</t>
  </si>
  <si>
    <t>Tribeca B</t>
  </si>
  <si>
    <t>Tribeca C</t>
  </si>
  <si>
    <t>Valley Stream South A</t>
  </si>
  <si>
    <t>Valley Stream South B</t>
  </si>
  <si>
    <t>Valley Stream South C</t>
  </si>
  <si>
    <t>Valley Stream South D</t>
  </si>
  <si>
    <t>Valley Stream South E</t>
  </si>
  <si>
    <t>Ward Melville A</t>
  </si>
  <si>
    <t>Ward Melville B</t>
  </si>
  <si>
    <t>Washington A</t>
  </si>
  <si>
    <t>Washington B</t>
  </si>
  <si>
    <t>Wheatley School A</t>
  </si>
  <si>
    <t>Wheatley School B</t>
  </si>
  <si>
    <t>Wheatley School C</t>
  </si>
  <si>
    <t>White Cloud A</t>
  </si>
  <si>
    <t>White Cloud B</t>
  </si>
  <si>
    <t>Williamsville</t>
  </si>
  <si>
    <t>Woodlands HS A</t>
  </si>
  <si>
    <t>Woodlands HS B</t>
  </si>
  <si>
    <t>A.I. Dupont</t>
  </si>
  <si>
    <t>Delaware Spring Tournament</t>
  </si>
  <si>
    <t>IS113</t>
  </si>
  <si>
    <t>Aberdeen</t>
  </si>
  <si>
    <t>Bainbridge A</t>
  </si>
  <si>
    <t>Maclay Marauder</t>
  </si>
  <si>
    <t>Baulding (Burlington/Spaulding)</t>
  </si>
  <si>
    <t>NAQT Vermont Championship</t>
  </si>
  <si>
    <t>Bayside Academy A</t>
  </si>
  <si>
    <t>BFA-Fairfax A</t>
  </si>
  <si>
    <t>BFA-Fairfax B</t>
  </si>
  <si>
    <t>Springfield Varsity</t>
  </si>
  <si>
    <t>Rube Goldberg Invitational</t>
  </si>
  <si>
    <t>Brookwood School A</t>
  </si>
  <si>
    <t>Buchholz A</t>
  </si>
  <si>
    <t>C. Milton Wright A</t>
  </si>
  <si>
    <t>C. Milton Wright B</t>
  </si>
  <si>
    <t>Cabrini</t>
  </si>
  <si>
    <t>Caesar Rodney A</t>
  </si>
  <si>
    <t>Carson City-Crystal</t>
  </si>
  <si>
    <t>Cedar Crest A</t>
  </si>
  <si>
    <t>Champaign Central</t>
  </si>
  <si>
    <t>Champlain Valley C</t>
  </si>
  <si>
    <t>Glen Gonsalves Memorial (Varsity)</t>
  </si>
  <si>
    <t>Glen Gonsalves Memorial (Junior Varsity)</t>
  </si>
  <si>
    <t>Collegiate High at NWFSC A</t>
  </si>
  <si>
    <t>Collegiate High at NWFSC B</t>
  </si>
  <si>
    <t>Concord A</t>
  </si>
  <si>
    <t>Cranbrook Kingswood</t>
  </si>
  <si>
    <t>Detroit Country Day B</t>
  </si>
  <si>
    <t>Detroit Country Day C</t>
  </si>
  <si>
    <t>Detroit Country Day D</t>
  </si>
  <si>
    <t>East Lansing</t>
  </si>
  <si>
    <t>Essex B</t>
  </si>
  <si>
    <t>Essex C</t>
  </si>
  <si>
    <t>Farmington Hills Mercy</t>
  </si>
  <si>
    <t>Firestone</t>
  </si>
  <si>
    <t>Firestone JV</t>
  </si>
  <si>
    <t>Geneva C</t>
  </si>
  <si>
    <t>Georgetown Day School A</t>
  </si>
  <si>
    <t>Grosse Pointe North B</t>
  </si>
  <si>
    <t>Harry S. Truman</t>
  </si>
  <si>
    <t>Haverford A</t>
  </si>
  <si>
    <t>Henderson A</t>
  </si>
  <si>
    <t>Holt A</t>
  </si>
  <si>
    <t>Holt B</t>
  </si>
  <si>
    <t>Hudson JV A</t>
  </si>
  <si>
    <t>Hudson JV B</t>
  </si>
  <si>
    <t>Ionia A</t>
  </si>
  <si>
    <t>Ionia B</t>
  </si>
  <si>
    <t>Jacksonville</t>
  </si>
  <si>
    <t>Kent City</t>
  </si>
  <si>
    <t>Lansing Homeschoolers</t>
  </si>
  <si>
    <t>Litchfield A</t>
  </si>
  <si>
    <t>Litchfield B</t>
  </si>
  <si>
    <t>Lumen Christi A</t>
  </si>
  <si>
    <t>Lumen Christi B</t>
  </si>
  <si>
    <t>Madison A</t>
  </si>
  <si>
    <t>Madison B</t>
  </si>
  <si>
    <t>Manheim Township A</t>
  </si>
  <si>
    <t>Mount Pleasant A</t>
  </si>
  <si>
    <t>Mount Pleasant B</t>
  </si>
  <si>
    <t>Northville</t>
  </si>
  <si>
    <t>Olmsted Falls JV A</t>
  </si>
  <si>
    <t>Peoria Christian A</t>
  </si>
  <si>
    <t>Peoria Christian B</t>
  </si>
  <si>
    <t>Potterville</t>
  </si>
  <si>
    <t>Quincy</t>
  </si>
  <si>
    <t>Rickards B</t>
  </si>
  <si>
    <t>Rochester</t>
  </si>
  <si>
    <t>Royal Oak</t>
  </si>
  <si>
    <t>Sacred Heart-Griffin</t>
  </si>
  <si>
    <t>Saint Joes A</t>
  </si>
  <si>
    <t>Saint Joes B</t>
  </si>
  <si>
    <t>Sand Creek A</t>
  </si>
  <si>
    <t>Skyline</t>
  </si>
  <si>
    <t>Spoiler</t>
  </si>
  <si>
    <t>St. Charles Prep</t>
  </si>
  <si>
    <t>Taylorville</t>
  </si>
  <si>
    <t>Thurston A</t>
  </si>
  <si>
    <t>Thurston B</t>
  </si>
  <si>
    <t>Tippecanoe JV</t>
  </si>
  <si>
    <t>Troy</t>
  </si>
  <si>
    <t>University Liggett A</t>
  </si>
  <si>
    <t>University Liggett B</t>
  </si>
  <si>
    <t>Utica Academy A</t>
  </si>
  <si>
    <t>Utica Academy B</t>
  </si>
  <si>
    <t>Valdosta A</t>
  </si>
  <si>
    <t>Warrensburg-Latham A</t>
  </si>
  <si>
    <t>Warrensburg-Latham B</t>
  </si>
  <si>
    <t>West Bloomfield</t>
  </si>
  <si>
    <t>Loyola Ultima (Uber)</t>
  </si>
  <si>
    <t>LIST</t>
  </si>
  <si>
    <t>Loyola Ultima (Standard)</t>
  </si>
  <si>
    <t>TJIAT (prelims)</t>
  </si>
  <si>
    <t>Carbondale A</t>
  </si>
  <si>
    <t>Carbondale B</t>
  </si>
  <si>
    <t>Culver C</t>
  </si>
  <si>
    <t>Fenwick C</t>
  </si>
  <si>
    <t>GDS C</t>
  </si>
  <si>
    <t>Loyola Diamond</t>
  </si>
  <si>
    <t>Loyola Pearl</t>
  </si>
  <si>
    <t>Loyola Platinum</t>
  </si>
  <si>
    <t>Maine South C</t>
  </si>
  <si>
    <t>Narwhals</t>
  </si>
  <si>
    <t>New Kent</t>
  </si>
  <si>
    <t>RM</t>
  </si>
  <si>
    <t>St. Anselm's A</t>
  </si>
  <si>
    <t>St. Anselm's B</t>
  </si>
  <si>
    <t>Whitney Young A</t>
  </si>
  <si>
    <t>Whitney Young B</t>
  </si>
  <si>
    <t>WJ</t>
  </si>
  <si>
    <t>Zerg Rush</t>
  </si>
  <si>
    <t>Bauxite A</t>
  </si>
  <si>
    <t>Harding Kickoff Tournament</t>
  </si>
  <si>
    <t>MN Novice</t>
  </si>
  <si>
    <t>Bauxite B</t>
  </si>
  <si>
    <t>Bellarmine A</t>
  </si>
  <si>
    <t>Cal Classic</t>
  </si>
  <si>
    <t>Benton A</t>
  </si>
  <si>
    <t>Benton B</t>
  </si>
  <si>
    <t>Castro Valley</t>
  </si>
  <si>
    <t>Conway A</t>
  </si>
  <si>
    <t>Conway B</t>
  </si>
  <si>
    <t>Conway Christian A</t>
  </si>
  <si>
    <t>Conway Christian B</t>
  </si>
  <si>
    <t>Crystal Springs</t>
  </si>
  <si>
    <t>Episcopal A</t>
  </si>
  <si>
    <t>Episcopal B</t>
  </si>
  <si>
    <t>Fort Smith A</t>
  </si>
  <si>
    <t>Fort Smith B</t>
  </si>
  <si>
    <t>Fort Smith C</t>
  </si>
  <si>
    <t>Gurdon A</t>
  </si>
  <si>
    <t>Gurdon B</t>
  </si>
  <si>
    <t>HOUSE</t>
  </si>
  <si>
    <t>Rogers</t>
  </si>
  <si>
    <t>Russellville A</t>
  </si>
  <si>
    <t>Russellville B</t>
  </si>
  <si>
    <t>San Leandro</t>
  </si>
  <si>
    <t>South San Francisco</t>
  </si>
  <si>
    <t>TJIAT combined</t>
  </si>
  <si>
    <t>White Station A</t>
  </si>
  <si>
    <t>Bulldog Brawl w/o bouncebacks</t>
  </si>
  <si>
    <t>White Station B</t>
  </si>
  <si>
    <t>STANLEY CUP combined?</t>
  </si>
  <si>
    <t>Boonville</t>
  </si>
  <si>
    <t>Rock Bridge Winter invitational</t>
  </si>
  <si>
    <t>OLEFIN</t>
  </si>
  <si>
    <t>UIUC Earlybird</t>
  </si>
  <si>
    <t>Champaign Centennial</t>
  </si>
  <si>
    <t>Fatima A</t>
  </si>
  <si>
    <t>Fatima B</t>
  </si>
  <si>
    <t>Helias C</t>
  </si>
  <si>
    <t>Hylton</t>
  </si>
  <si>
    <t>Kirksville A</t>
  </si>
  <si>
    <t>Kirksville B</t>
  </si>
  <si>
    <t>Longfellow A</t>
  </si>
  <si>
    <t>Longfellow B</t>
  </si>
  <si>
    <t>Marshall</t>
  </si>
  <si>
    <t>Marshall A</t>
  </si>
  <si>
    <t>Marshall B</t>
  </si>
  <si>
    <t>Marshall C</t>
  </si>
  <si>
    <t>Montgomery County A</t>
  </si>
  <si>
    <t>Montgomery County B</t>
  </si>
  <si>
    <t>Normal Community</t>
  </si>
  <si>
    <t>Tristan Willey</t>
  </si>
  <si>
    <t>Waynesville</t>
  </si>
  <si>
    <t>West Jr A</t>
  </si>
  <si>
    <t>West Jr B</t>
  </si>
  <si>
    <t>Aperture Math &amp; Science Academy</t>
  </si>
  <si>
    <t>RAVE</t>
  </si>
  <si>
    <t>Binh Huynh Preparatory Academy</t>
  </si>
  <si>
    <t>Rolling Meadows A</t>
  </si>
  <si>
    <t>Rolling Meadows B</t>
  </si>
  <si>
    <t>Huskie Bowl (Uber)</t>
  </si>
  <si>
    <t>RMTP</t>
  </si>
  <si>
    <t>Huskie Bowl (Standard)</t>
  </si>
  <si>
    <t>Saint Viator A</t>
  </si>
  <si>
    <t>Saint Viator B</t>
  </si>
  <si>
    <t>UIC College Prep</t>
  </si>
  <si>
    <t>Westmont</t>
  </si>
  <si>
    <t>Bellaire (TX)</t>
  </si>
  <si>
    <t>Texas Invitational</t>
  </si>
  <si>
    <t>SCT D1</t>
  </si>
  <si>
    <t>Bellarmine (CA)</t>
  </si>
  <si>
    <t>Centennial (GA)</t>
  </si>
  <si>
    <t>Cistercian (TX)</t>
  </si>
  <si>
    <t>Detroit Catholic Central (MI)</t>
  </si>
  <si>
    <t>Dorman (SC)</t>
  </si>
  <si>
    <t>Georgetown Day (DC)</t>
  </si>
  <si>
    <t>Hunter (NY)</t>
  </si>
  <si>
    <t>Kealing Middle (TX)</t>
  </si>
  <si>
    <t>Kinkaid (TX)</t>
  </si>
  <si>
    <t>LASA A (TX)</t>
  </si>
  <si>
    <t>LASA B (TX)</t>
  </si>
  <si>
    <t>Loyola (IL)</t>
  </si>
  <si>
    <t>Seven Lakes (TX)</t>
  </si>
  <si>
    <t>St. John's A (TX)</t>
  </si>
  <si>
    <t>St. John's B (TX)</t>
  </si>
  <si>
    <t>Chatham Glenwood</t>
  </si>
  <si>
    <t>WUHSAC</t>
  </si>
  <si>
    <t>Clayton D</t>
  </si>
  <si>
    <t>Fairfield Community A</t>
  </si>
  <si>
    <t>Fairfield Community B</t>
  </si>
  <si>
    <t>Parkway Central A</t>
  </si>
  <si>
    <t>Parkway Central B</t>
  </si>
  <si>
    <t>Parkway North</t>
  </si>
  <si>
    <t>Parkway South A</t>
  </si>
  <si>
    <t>Parkway South B</t>
  </si>
  <si>
    <t>Priory</t>
  </si>
  <si>
    <t>Rockwood Summit</t>
  </si>
  <si>
    <t>Christiansburg A</t>
  </si>
  <si>
    <t>Cave Spring NCIS</t>
  </si>
  <si>
    <t>Blacksburg A</t>
  </si>
  <si>
    <t>Blacksburg B</t>
  </si>
  <si>
    <t>Honaker A</t>
  </si>
  <si>
    <t>Christiansburg C</t>
  </si>
  <si>
    <t>E.C. Glass A</t>
  </si>
  <si>
    <t>Hidden Valley</t>
  </si>
  <si>
    <t>Christiansburg B</t>
  </si>
  <si>
    <t>Blacksburg C</t>
  </si>
  <si>
    <t>North Cross School</t>
  </si>
  <si>
    <t>E.C. Glass B</t>
  </si>
  <si>
    <t>Blacksburg D</t>
  </si>
  <si>
    <t>Honaker B</t>
  </si>
  <si>
    <t>Blacksburg E</t>
  </si>
  <si>
    <t>ACE</t>
  </si>
  <si>
    <t>University High</t>
  </si>
  <si>
    <t>Torrey Pines</t>
  </si>
  <si>
    <t>Canyon Crest C</t>
  </si>
  <si>
    <t>Chadwick</t>
  </si>
  <si>
    <t>Edison</t>
  </si>
  <si>
    <t>MITBAT</t>
  </si>
  <si>
    <t>Northampton B</t>
  </si>
  <si>
    <t>Concord-Carlisle</t>
  </si>
  <si>
    <t>AMSA A</t>
  </si>
  <si>
    <t>Berkshire</t>
  </si>
  <si>
    <t>Emma Willard</t>
  </si>
  <si>
    <t>Portsmouth Christian B</t>
  </si>
  <si>
    <t>Suffield</t>
  </si>
  <si>
    <t>Exeter</t>
  </si>
  <si>
    <t>Manlius Pebble</t>
  </si>
  <si>
    <t>Northampton A</t>
  </si>
  <si>
    <t>Framingham</t>
  </si>
  <si>
    <t>Essex D</t>
  </si>
  <si>
    <t>Portsmouth Christian A</t>
  </si>
  <si>
    <t>AMSA B</t>
  </si>
  <si>
    <t>Helias Catholic Tournament</t>
  </si>
  <si>
    <t>Helias</t>
  </si>
  <si>
    <t>Pilot Grove A</t>
  </si>
  <si>
    <t>SLUH</t>
  </si>
  <si>
    <t>Mexico A</t>
  </si>
  <si>
    <t>Pilot Grove B</t>
  </si>
  <si>
    <t>Mexico B</t>
  </si>
  <si>
    <t>NAQT Illinois Championship</t>
  </si>
  <si>
    <t>IS115</t>
  </si>
  <si>
    <t>Stevenson</t>
  </si>
  <si>
    <t>Wauconda</t>
  </si>
  <si>
    <t>Wheaton Warrenville South C</t>
  </si>
  <si>
    <t>Ladue Horton Watkins A</t>
  </si>
  <si>
    <t>Villa Duchesne Invitational</t>
  </si>
  <si>
    <t>Ladue Horton Watkins B</t>
  </si>
  <si>
    <t>Webster Groves A</t>
  </si>
  <si>
    <t>Parkway South</t>
  </si>
  <si>
    <t>Orchard Farm</t>
  </si>
  <si>
    <t>De Smet Jesuit</t>
  </si>
  <si>
    <t>Christian Brothers</t>
  </si>
  <si>
    <t>Webster Groves B</t>
  </si>
  <si>
    <t>Parkway Central JV</t>
  </si>
  <si>
    <t>Villa Duchesne Invitational (JV)</t>
  </si>
  <si>
    <t>IS114A</t>
  </si>
  <si>
    <t>St. Louis Priory JV</t>
  </si>
  <si>
    <t>Ladue Horton Watkins JV A</t>
  </si>
  <si>
    <t>St. Louis University High JV</t>
  </si>
  <si>
    <t>Christian Brothers JV</t>
  </si>
  <si>
    <t>De Smet Jesuit JV</t>
  </si>
  <si>
    <t>St. Joseph's JV</t>
  </si>
  <si>
    <t>Ladue Horton Watkins JV B</t>
  </si>
  <si>
    <t>Parkway South JV</t>
  </si>
  <si>
    <t>Pattonville JV</t>
  </si>
  <si>
    <t>Villa Duchesne JV</t>
  </si>
  <si>
    <t>Webster Groves JV</t>
  </si>
  <si>
    <t>Early College at Guilford A</t>
  </si>
  <si>
    <t>Wake Forest Brain Summit</t>
  </si>
  <si>
    <t>Early College at Guilford C</t>
  </si>
  <si>
    <t>Early College at Guilford B</t>
  </si>
  <si>
    <t>Spartanburg A</t>
  </si>
  <si>
    <t>Myers Park A</t>
  </si>
  <si>
    <t>Thomas Jefferson Classical</t>
  </si>
  <si>
    <t>Myers Park B</t>
  </si>
  <si>
    <t>Spartanburg B</t>
  </si>
  <si>
    <t>Statesville Christian</t>
  </si>
  <si>
    <t>NAQT Missouri Qualifier</t>
  </si>
  <si>
    <t>North Kansas City A</t>
  </si>
  <si>
    <t>Pilot Grove*</t>
  </si>
  <si>
    <t>De Smet A</t>
  </si>
  <si>
    <t>Lutheran</t>
  </si>
  <si>
    <t>Elsberry*</t>
  </si>
  <si>
    <t>Hickman C</t>
  </si>
  <si>
    <t>Oak Grove*</t>
  </si>
  <si>
    <t>De Smet B</t>
  </si>
  <si>
    <t>Waynesville B</t>
  </si>
  <si>
    <t>Waynesville A</t>
  </si>
  <si>
    <t>Centralia*</t>
  </si>
  <si>
    <t>New Haven*</t>
  </si>
  <si>
    <t>Mehlville</t>
  </si>
  <si>
    <t>SWAGFEST</t>
  </si>
  <si>
    <t>Churchill A</t>
  </si>
  <si>
    <t>Monticello Concerto A</t>
  </si>
  <si>
    <t>Gonzaga B</t>
  </si>
  <si>
    <t>Bethesda Chevy Chase</t>
  </si>
  <si>
    <t>Oakland Mills</t>
  </si>
  <si>
    <t>Gonzaga A</t>
  </si>
  <si>
    <t>Walter Johnson</t>
  </si>
  <si>
    <t>Eleanor Roosevelt High School</t>
  </si>
  <si>
    <t>Monticello Concerto B</t>
  </si>
  <si>
    <t>Spalding A</t>
  </si>
  <si>
    <t>Resevoir</t>
  </si>
  <si>
    <t>Churchill B</t>
  </si>
  <si>
    <t>Churchill C</t>
  </si>
  <si>
    <t>Bloomfield BATE</t>
  </si>
  <si>
    <t>Leonia A</t>
  </si>
  <si>
    <t>Phillipsburg A</t>
  </si>
  <si>
    <t>MAST</t>
  </si>
  <si>
    <t>John F. Kennedy Memorial</t>
  </si>
  <si>
    <t>St. Peter's Prep A</t>
  </si>
  <si>
    <t>Nutley</t>
  </si>
  <si>
    <t>Pingry A</t>
  </si>
  <si>
    <t>Leonia B</t>
  </si>
  <si>
    <t>Phillipsburg B</t>
  </si>
  <si>
    <t>St. Peter's Prep B</t>
  </si>
  <si>
    <t>Livingston C</t>
  </si>
  <si>
    <t>Leonia C</t>
  </si>
  <si>
    <t>Leonia D</t>
  </si>
  <si>
    <t>NAQT Oklahoma State Championship</t>
  </si>
  <si>
    <t>Drummond A</t>
  </si>
  <si>
    <t>Drummond B</t>
  </si>
  <si>
    <t>Cashion A</t>
  </si>
  <si>
    <t>Cashion B</t>
  </si>
  <si>
    <t>Plainview</t>
  </si>
  <si>
    <t>Tahlequah</t>
  </si>
  <si>
    <t>St. Mark's Invitational</t>
  </si>
  <si>
    <t>LASA</t>
  </si>
  <si>
    <t>St. Andrew's A</t>
  </si>
  <si>
    <t>Texas Math and Science</t>
  </si>
  <si>
    <t>Cistercian C</t>
  </si>
  <si>
    <t>Hockaday School</t>
  </si>
  <si>
    <t>St. Andrew's B</t>
  </si>
  <si>
    <t>Dallas Episcopal</t>
  </si>
  <si>
    <t>Parish Episcopal A</t>
  </si>
  <si>
    <t>Parish Episcopal B</t>
  </si>
  <si>
    <t>Greenhill Upper School</t>
  </si>
  <si>
    <t>Early College at Guilford</t>
  </si>
  <si>
    <t>NCASA Central</t>
  </si>
  <si>
    <t>Carrboro</t>
  </si>
  <si>
    <t>Jordan-Matthews</t>
  </si>
  <si>
    <t>Page</t>
  </si>
  <si>
    <t>Western Alamance</t>
  </si>
  <si>
    <t>Southeast Guilford</t>
  </si>
  <si>
    <t>Southern Guilford</t>
  </si>
  <si>
    <t>Lexington</t>
  </si>
  <si>
    <t>Northwest Guilford</t>
  </si>
  <si>
    <t>Ardrey Kell</t>
  </si>
  <si>
    <t>NCASA West</t>
  </si>
  <si>
    <t>Myers Park</t>
  </si>
  <si>
    <t>A. L. Brown</t>
  </si>
  <si>
    <t>Lincolnton</t>
  </si>
  <si>
    <t>Newton-Conover Health Science</t>
  </si>
  <si>
    <t>Simon G. Atkins</t>
  </si>
  <si>
    <t>Savannah Invitational Large School</t>
  </si>
  <si>
    <t>Smithville</t>
  </si>
  <si>
    <t>Bishop LeBlond</t>
  </si>
  <si>
    <t>Maryville</t>
  </si>
  <si>
    <t>North Kansas City B</t>
  </si>
  <si>
    <t>Liberty North B</t>
  </si>
  <si>
    <t>Benton</t>
  </si>
  <si>
    <t>Platte County</t>
  </si>
  <si>
    <t>Chillicothe</t>
  </si>
  <si>
    <t>Liberty North A</t>
  </si>
  <si>
    <t>Van Horn</t>
  </si>
  <si>
    <t>Savannah Invitational Small School</t>
  </si>
  <si>
    <t>Mound City</t>
  </si>
  <si>
    <t>Cameron</t>
  </si>
  <si>
    <t>Barstow</t>
  </si>
  <si>
    <t>Bedford</t>
  </si>
  <si>
    <t>Lathrop A</t>
  </si>
  <si>
    <t>North Andrew</t>
  </si>
  <si>
    <t>West Nodaway</t>
  </si>
  <si>
    <t>South Holt</t>
  </si>
  <si>
    <t>Lathrop B</t>
  </si>
  <si>
    <t>East Buchanan</t>
  </si>
  <si>
    <t>Tarkio</t>
  </si>
  <si>
    <t>Ranger Academic Tournament</t>
  </si>
  <si>
    <t>West Salem A</t>
  </si>
  <si>
    <t>La Crosse Central</t>
  </si>
  <si>
    <t>Youth Initiative A</t>
  </si>
  <si>
    <t>West Salem B</t>
  </si>
  <si>
    <t>Regis A</t>
  </si>
  <si>
    <t>Regis B</t>
  </si>
  <si>
    <t>Osseo-Fairchild</t>
  </si>
  <si>
    <t>Onalaska</t>
  </si>
  <si>
    <t>Regis C</t>
  </si>
  <si>
    <t>Missouri S&amp;T Spring Large School</t>
  </si>
  <si>
    <t>Missouri S&amp;T Spring Small School</t>
  </si>
  <si>
    <t>Hancock Place</t>
  </si>
  <si>
    <t>Blue Hen Invitational</t>
  </si>
  <si>
    <t>Wilmington Charter B</t>
  </si>
  <si>
    <t>Wilmington Charter D</t>
  </si>
  <si>
    <t>Caravel</t>
  </si>
  <si>
    <t>Concord</t>
  </si>
  <si>
    <t>Wilmington Charter E</t>
  </si>
  <si>
    <t>Wilmington Charter C</t>
  </si>
  <si>
    <t>Caesar Rodney B</t>
  </si>
  <si>
    <t>Caesar Rodney C</t>
  </si>
  <si>
    <t>C. Milton Wright C</t>
  </si>
  <si>
    <t>Fatima-Osage County</t>
  </si>
  <si>
    <t>Truman Bowl</t>
  </si>
  <si>
    <t>Marceline</t>
  </si>
  <si>
    <t>TPOT</t>
  </si>
  <si>
    <t>Los Angeles HS</t>
  </si>
  <si>
    <t>Bishops</t>
  </si>
  <si>
    <t>San Dieguito A</t>
  </si>
  <si>
    <t>San Dieguito B</t>
  </si>
  <si>
    <t>Canyon Crest D</t>
  </si>
  <si>
    <t>Scripps</t>
  </si>
  <si>
    <t>Del Norte A</t>
  </si>
  <si>
    <t>Del Norte B</t>
  </si>
  <si>
    <t>Prison Bowl</t>
  </si>
  <si>
    <t>Prison Bowl v1</t>
  </si>
  <si>
    <t>TJ A</t>
  </si>
  <si>
    <t>Great Neck South</t>
  </si>
  <si>
    <t>Irvington</t>
  </si>
  <si>
    <t>Trinity A</t>
  </si>
  <si>
    <t>TJ B</t>
  </si>
  <si>
    <t>Bergen</t>
  </si>
  <si>
    <t>Seton Hall Prep</t>
  </si>
  <si>
    <t>Bronx Sci A</t>
  </si>
  <si>
    <t>Trinity B</t>
  </si>
  <si>
    <t>Bronx Sci B</t>
  </si>
  <si>
    <t>Preston</t>
  </si>
  <si>
    <t>Buckeye Spring Tournament</t>
  </si>
  <si>
    <t>VCU/OSU</t>
  </si>
  <si>
    <t>St. Sedlack's Beard Academy</t>
  </si>
  <si>
    <t>Dublin Scioto</t>
  </si>
  <si>
    <t>Bexley A</t>
  </si>
  <si>
    <t>New Albany A</t>
  </si>
  <si>
    <t>Tree of Life B</t>
  </si>
  <si>
    <t>Harding</t>
  </si>
  <si>
    <t>Bexley B</t>
  </si>
  <si>
    <t>Tree of Life A</t>
  </si>
  <si>
    <t>New Albany B</t>
  </si>
  <si>
    <t>Coshocton</t>
  </si>
  <si>
    <t>Hothem Hariharan School for Gifted Youngsters</t>
  </si>
  <si>
    <t>VCU Spring</t>
  </si>
  <si>
    <t>St Anselm's Abbey School</t>
  </si>
  <si>
    <t>Maggie Walker</t>
  </si>
  <si>
    <t>George Mason</t>
  </si>
  <si>
    <t>Douglas Freeman A</t>
  </si>
  <si>
    <t>Douglas Freeman B</t>
  </si>
  <si>
    <t>Rappahannock</t>
  </si>
  <si>
    <t>Varina A</t>
  </si>
  <si>
    <t>Varina B</t>
  </si>
  <si>
    <t>Deep Run C</t>
  </si>
  <si>
    <t>Warren G. Harding BHSAT Mirror</t>
  </si>
  <si>
    <t>BHSAT</t>
  </si>
  <si>
    <t>University School A</t>
  </si>
  <si>
    <t>University School B</t>
  </si>
  <si>
    <t>Lisgar</t>
  </si>
  <si>
    <t>ONQBA Provincial Championship</t>
  </si>
  <si>
    <t>IS116</t>
  </si>
  <si>
    <t>Westmount A</t>
  </si>
  <si>
    <t>Westdale</t>
  </si>
  <si>
    <t>Regiopolis-Notre Dame A</t>
  </si>
  <si>
    <t>Thornhill</t>
  </si>
  <si>
    <t>Westmount B</t>
  </si>
  <si>
    <t>Regiopolis-Notre Dame B</t>
  </si>
  <si>
    <t>Tuscumbia Spring</t>
  </si>
  <si>
    <t>NCASA State Championship</t>
  </si>
  <si>
    <t>Carrboro HS</t>
  </si>
  <si>
    <t>NCSSM</t>
  </si>
  <si>
    <t>Raleigh Charter HS</t>
  </si>
  <si>
    <t>Myers Park HS</t>
  </si>
  <si>
    <t>Ardrey Kell HS</t>
  </si>
  <si>
    <t>Chapel Hill HS</t>
  </si>
  <si>
    <t>Jordan-Matthews HS</t>
  </si>
  <si>
    <t>WH Page HS</t>
  </si>
  <si>
    <t>AL Brown HS</t>
  </si>
  <si>
    <t>Newton Conover Health Science</t>
  </si>
  <si>
    <t>Western North Carolina Shootout</t>
  </si>
  <si>
    <t>Freedom B</t>
  </si>
  <si>
    <t>Freedom A</t>
  </si>
  <si>
    <t>North Davidson B</t>
  </si>
  <si>
    <t>Weddington</t>
  </si>
  <si>
    <t>Patton B</t>
  </si>
  <si>
    <t>Hickory Ridge</t>
  </si>
  <si>
    <t>North Davidson A</t>
  </si>
  <si>
    <t>Freedom C</t>
  </si>
  <si>
    <t>West Montgomery</t>
  </si>
  <si>
    <t>Patton C</t>
  </si>
  <si>
    <t>Freedom D</t>
  </si>
  <si>
    <t>Patton A</t>
  </si>
  <si>
    <t>Brush Invitational</t>
  </si>
  <si>
    <t>Firestone A</t>
  </si>
  <si>
    <t>Firestone B</t>
  </si>
  <si>
    <t>Hawken C</t>
  </si>
  <si>
    <t>Charles F. Brush</t>
  </si>
  <si>
    <t>ACF Regionals at George Washington</t>
  </si>
  <si>
    <t>Joseph Bookstaber Memorial</t>
  </si>
  <si>
    <t>Hunter College A</t>
  </si>
  <si>
    <t>East Brunswick A</t>
  </si>
  <si>
    <t>Hunter College B</t>
  </si>
  <si>
    <t>Ranney</t>
  </si>
  <si>
    <t>Hunter College C</t>
  </si>
  <si>
    <t>St. Joseph C</t>
  </si>
  <si>
    <t>St. Joseph B</t>
  </si>
  <si>
    <t>Delbarton</t>
  </si>
  <si>
    <t>East Brunswick B</t>
  </si>
  <si>
    <t>J. P. Stevens A</t>
  </si>
  <si>
    <t>Scarsdale B</t>
  </si>
  <si>
    <t>J. P. Stevens B</t>
  </si>
  <si>
    <t>Scarsdale C</t>
  </si>
  <si>
    <t>Secaucus A</t>
  </si>
  <si>
    <t>Passaic Valley Regional A</t>
  </si>
  <si>
    <t>South Plainfield</t>
  </si>
  <si>
    <t>Passaic Valley Regional B</t>
  </si>
  <si>
    <t>Secaucus B</t>
  </si>
  <si>
    <t>NAQT Virginia State Championship</t>
  </si>
  <si>
    <t>Western Branch</t>
  </si>
  <si>
    <t>Maggie Walker Governor's School</t>
  </si>
  <si>
    <t>James W. Robinson</t>
  </si>
  <si>
    <t>Bassett A</t>
  </si>
  <si>
    <t>Rappahannock County A</t>
  </si>
  <si>
    <t>Bassett B</t>
  </si>
  <si>
    <t>Rappahannock County B</t>
  </si>
  <si>
    <t>Mediapolis</t>
  </si>
  <si>
    <t>Alta-Aurelia Invitational</t>
  </si>
  <si>
    <t>Ridge View</t>
  </si>
  <si>
    <t>Sergeant Bluff-Luton A</t>
  </si>
  <si>
    <t>East Sac County</t>
  </si>
  <si>
    <t>Bishop Garrigan A</t>
  </si>
  <si>
    <t>Bishop Garrigan B</t>
  </si>
  <si>
    <t>Clay Central-Everly</t>
  </si>
  <si>
    <t>Alta-Aurelia A</t>
  </si>
  <si>
    <t>Alta-Aurelia B</t>
  </si>
  <si>
    <t>Bishop Garrigan C</t>
  </si>
  <si>
    <t>Logan-Magnolia</t>
  </si>
  <si>
    <t>Sergeant Bluff-Luton B</t>
  </si>
  <si>
    <t>West Bend-Mallard</t>
  </si>
  <si>
    <t>Alta-Aurelia C</t>
  </si>
  <si>
    <t>NAQT Maryland &amp; DC State Championship</t>
  </si>
  <si>
    <t>Montgomery Blair A</t>
  </si>
  <si>
    <t>Eleanor Roosevelt</t>
  </si>
  <si>
    <t>Montgomery Blair B</t>
  </si>
  <si>
    <t>Baltimore Polytechnic</t>
  </si>
  <si>
    <t>Wilde Lake</t>
  </si>
  <si>
    <t>Catonsville</t>
  </si>
  <si>
    <t>Marriotts Ridge</t>
  </si>
  <si>
    <t>Easton</t>
  </si>
  <si>
    <t>Atholton</t>
  </si>
  <si>
    <t>Mt. Hebron A</t>
  </si>
  <si>
    <t>Glenelg</t>
  </si>
  <si>
    <t>Mt. Hebron B</t>
  </si>
  <si>
    <t>NAQT South Carolina Championship</t>
  </si>
  <si>
    <t>SCGSSM</t>
  </si>
  <si>
    <t>Chapman</t>
  </si>
  <si>
    <t>South Aiken</t>
  </si>
  <si>
    <t>Southside Christian B</t>
  </si>
  <si>
    <t>Southside B</t>
  </si>
  <si>
    <t>Dorman G</t>
  </si>
  <si>
    <t>Dorman E</t>
  </si>
  <si>
    <t>Dorman F</t>
  </si>
  <si>
    <t>Berea</t>
  </si>
  <si>
    <t>Ninety Six</t>
  </si>
  <si>
    <t>Yale BHSAT</t>
  </si>
  <si>
    <t>Schindler</t>
  </si>
  <si>
    <t>Bergen County</t>
  </si>
  <si>
    <t>Newtown A</t>
  </si>
  <si>
    <t>Woodland Regional</t>
  </si>
  <si>
    <t>Norwich A</t>
  </si>
  <si>
    <t>Newtown B</t>
  </si>
  <si>
    <t>Central Catholic</t>
  </si>
  <si>
    <t>Housatonic B</t>
  </si>
  <si>
    <t>Housatonic A</t>
  </si>
  <si>
    <t>Bellarmine College Prep A</t>
  </si>
  <si>
    <t>NAQT Northern California</t>
  </si>
  <si>
    <t>Bellarmine College Prep C</t>
  </si>
  <si>
    <t>Crystal Springs Uplands</t>
  </si>
  <si>
    <t>Bellarmine College Prep B</t>
  </si>
  <si>
    <t>Bentley School A</t>
  </si>
  <si>
    <t>Saratoga</t>
  </si>
  <si>
    <t>Hillsdale</t>
  </si>
  <si>
    <t>Bentley School B</t>
  </si>
  <si>
    <t>NAQT Michigan State Championship</t>
  </si>
  <si>
    <t>Detroit Catholic Central C</t>
  </si>
  <si>
    <t>Skyline A</t>
  </si>
  <si>
    <t>University Liggett</t>
  </si>
  <si>
    <t>Okemos A</t>
  </si>
  <si>
    <t>Detroit Catholic Central D</t>
  </si>
  <si>
    <t>DeWitt</t>
  </si>
  <si>
    <t>New Boston Huron</t>
  </si>
  <si>
    <t>International Academy East</t>
  </si>
  <si>
    <t>Thurston</t>
  </si>
  <si>
    <t>Cranbrook Kingswood A</t>
  </si>
  <si>
    <t>Okemos B</t>
  </si>
  <si>
    <t>Charlotte</t>
  </si>
  <si>
    <t>Cranbrook Kingswood B</t>
  </si>
  <si>
    <t>NAQT New Jersey State Championship</t>
  </si>
  <si>
    <t>Mountain Lakes</t>
  </si>
  <si>
    <t>John P. Stevens</t>
  </si>
  <si>
    <t>Bergen County Academies A</t>
  </si>
  <si>
    <t>MAST A</t>
  </si>
  <si>
    <t>St. Peter's Prep</t>
  </si>
  <si>
    <t>Bergen County Academies B</t>
  </si>
  <si>
    <t>Chatham</t>
  </si>
  <si>
    <t>MAST B</t>
  </si>
  <si>
    <t>Pennsville Memorial A</t>
  </si>
  <si>
    <t>Bensalem</t>
  </si>
  <si>
    <t>Pennsville Memorial B</t>
  </si>
  <si>
    <t>NAQT Metro New York Championship</t>
  </si>
  <si>
    <t>Bronx Science A</t>
  </si>
  <si>
    <t>Hastings</t>
  </si>
  <si>
    <t>Bronx Science B</t>
  </si>
  <si>
    <t>Ardsley C</t>
  </si>
  <si>
    <t>NAQT Arizona State Championship</t>
  </si>
  <si>
    <t>BASIS Scottsdale A</t>
  </si>
  <si>
    <t>Scottsdale Prep</t>
  </si>
  <si>
    <t>Tri-city College Prep B</t>
  </si>
  <si>
    <t>Verrado B</t>
  </si>
  <si>
    <t>Millennium A</t>
  </si>
  <si>
    <t>Millennium B</t>
  </si>
  <si>
    <t>BASIS Scottsdale B</t>
  </si>
  <si>
    <t>Desert Vista E</t>
  </si>
  <si>
    <t>Tri-city College Prep A</t>
  </si>
  <si>
    <t>Verrado A</t>
  </si>
  <si>
    <t>Desert Vista D</t>
  </si>
  <si>
    <t>Madison Central</t>
  </si>
  <si>
    <t>Millsaps Invitational</t>
  </si>
  <si>
    <t>Murrah A</t>
  </si>
  <si>
    <t>Clinton</t>
  </si>
  <si>
    <t>Lamar School</t>
  </si>
  <si>
    <t>Meridian A</t>
  </si>
  <si>
    <t>Meridian B</t>
  </si>
  <si>
    <t>Florence</t>
  </si>
  <si>
    <t>Murrah B</t>
  </si>
  <si>
    <t>J. L. Mann A</t>
  </si>
  <si>
    <t>Dorman Season Ender</t>
  </si>
  <si>
    <t>Riverside</t>
  </si>
  <si>
    <t>Oakbrook Prep</t>
  </si>
  <si>
    <t>Hillcrest</t>
  </si>
  <si>
    <t>J. L. Mann B</t>
  </si>
  <si>
    <t>Powdersville</t>
  </si>
  <si>
    <t>Irvine High Operation Pandemonium</t>
  </si>
  <si>
    <t>University High A</t>
  </si>
  <si>
    <t>Westview C</t>
  </si>
  <si>
    <t>University High B</t>
  </si>
  <si>
    <t>Scripps Ranch B</t>
  </si>
  <si>
    <t>Scripps Ranch A</t>
  </si>
  <si>
    <t>Ransom Everglades A</t>
  </si>
  <si>
    <t>NAQT Florida State Championship</t>
  </si>
  <si>
    <t>Ransom Everglades E</t>
  </si>
  <si>
    <t>Ransom Everglades C</t>
  </si>
  <si>
    <t>Chaminade-Madonna B</t>
  </si>
  <si>
    <t>Chaminade-Madonna C</t>
  </si>
  <si>
    <t>Miami Palmetto A</t>
  </si>
  <si>
    <t>Ransom Everglades B</t>
  </si>
  <si>
    <t>Westminster Christian</t>
  </si>
  <si>
    <t>Pembroke Pines A</t>
  </si>
  <si>
    <t>Buchholz B</t>
  </si>
  <si>
    <t>Ransom Everglades D</t>
  </si>
  <si>
    <t>Miami Palmetto B</t>
  </si>
  <si>
    <t>Ransom Everglades F</t>
  </si>
  <si>
    <t>Chaminade-Madonna A</t>
  </si>
  <si>
    <t>Ransom Everglades H</t>
  </si>
  <si>
    <t>Pembroke Pines B</t>
  </si>
  <si>
    <t>Chaminade-Madonna F</t>
  </si>
  <si>
    <t>Chaminade-Madonna E</t>
  </si>
  <si>
    <t>Chaminade-Madonna D</t>
  </si>
  <si>
    <t>Ransom Everglades G</t>
  </si>
  <si>
    <t>Chaminade-Madonna G</t>
  </si>
  <si>
    <t>NAQT Eastern Pennsylvania Championship</t>
  </si>
  <si>
    <t>Elizabethtown</t>
  </si>
  <si>
    <t>Manheim Township B</t>
  </si>
  <si>
    <t>Cedar Crest</t>
  </si>
  <si>
    <t>Lancaster Catholic</t>
  </si>
  <si>
    <t>Penn Manor</t>
  </si>
  <si>
    <t>Manheim Township C</t>
  </si>
  <si>
    <t>Oak Ridge</t>
  </si>
  <si>
    <t>Dennis Haskins Open (Varsity)</t>
  </si>
  <si>
    <t>Farragut A</t>
  </si>
  <si>
    <t>Webb School</t>
  </si>
  <si>
    <t>Farragut B</t>
  </si>
  <si>
    <t>Knoxville West A</t>
  </si>
  <si>
    <t>Lincoln County A</t>
  </si>
  <si>
    <t>Daniel Boone A</t>
  </si>
  <si>
    <t>Knoxville West B</t>
  </si>
  <si>
    <t>Murray County</t>
  </si>
  <si>
    <t>Dade County</t>
  </si>
  <si>
    <t>Gibbs</t>
  </si>
  <si>
    <t>Daniel Boone B</t>
  </si>
  <si>
    <t>Ooltewah</t>
  </si>
  <si>
    <t>NAQT Washington State Championship</t>
  </si>
  <si>
    <t>Garfield A</t>
  </si>
  <si>
    <t>Lewis and Clark A</t>
  </si>
  <si>
    <t>Lewis and Clark B</t>
  </si>
  <si>
    <t>Mt. Rainier</t>
  </si>
  <si>
    <t>Lewis and Clark C</t>
  </si>
  <si>
    <t>Garfield B</t>
  </si>
  <si>
    <t>NAQT Ohio State Championship</t>
  </si>
  <si>
    <t>Hawken</t>
  </si>
  <si>
    <t>Upper Arlington</t>
  </si>
  <si>
    <t>St. Charles Prep C</t>
  </si>
  <si>
    <t>Cloverleaf C</t>
  </si>
  <si>
    <t>duPont Manual A</t>
  </si>
  <si>
    <t>NAQT Kentucky State Championship</t>
  </si>
  <si>
    <t>Campbell County</t>
  </si>
  <si>
    <t>Grayson County</t>
  </si>
  <si>
    <t>St. Xavier A</t>
  </si>
  <si>
    <t>duPont Manual B</t>
  </si>
  <si>
    <t>Louisville Eastern A</t>
  </si>
  <si>
    <t>duPont Manual C</t>
  </si>
  <si>
    <t>Conner</t>
  </si>
  <si>
    <t>Louisville Eastern B</t>
  </si>
  <si>
    <t>duPont Manual D</t>
  </si>
  <si>
    <t>St. Xavier B</t>
  </si>
  <si>
    <t>KPAQT</t>
  </si>
  <si>
    <t>TriBeCa A</t>
  </si>
  <si>
    <t>Half Hollow Hills East A</t>
  </si>
  <si>
    <t>Bronx Science High School A</t>
  </si>
  <si>
    <t>Check 3/31</t>
  </si>
  <si>
    <t>Check 4/21</t>
  </si>
  <si>
    <t>Our Lady of Mercy Academy A</t>
  </si>
  <si>
    <t>Plainedge B</t>
  </si>
  <si>
    <t>Plainedge A</t>
  </si>
  <si>
    <t>Half Hollow Hills East B</t>
  </si>
  <si>
    <t>St. Anselm's BHSAT mirror</t>
  </si>
  <si>
    <t>BCC</t>
  </si>
  <si>
    <t>Wakefield A</t>
  </si>
  <si>
    <t>Wakefield B</t>
  </si>
  <si>
    <t>Norcross Prison Bowl</t>
  </si>
  <si>
    <t>Prison Bowl v2</t>
  </si>
  <si>
    <t>East Paulding/NHS JV</t>
  </si>
  <si>
    <t>Duke Spring Invitational</t>
  </si>
  <si>
    <t>Christianburg</t>
  </si>
  <si>
    <t>St. Mary's A</t>
  </si>
  <si>
    <t>Arendell Parrott Academy</t>
  </si>
  <si>
    <t>Saint Mary's B</t>
  </si>
  <si>
    <t>Georgia Tech HSNCT Warmup</t>
  </si>
  <si>
    <t>N Gwinnett A</t>
  </si>
  <si>
    <t>Norcross B</t>
  </si>
  <si>
    <t>N Gwinett B</t>
  </si>
  <si>
    <t>St Pius</t>
  </si>
  <si>
    <t>Benjamin Franklin</t>
  </si>
  <si>
    <t>Tulane BHSAT</t>
  </si>
  <si>
    <t>Dominican A</t>
  </si>
  <si>
    <t>Chapelle</t>
  </si>
  <si>
    <t>Dominican B</t>
  </si>
  <si>
    <t>Thomas Jefferson mirror of Prison Bowl</t>
  </si>
  <si>
    <t>St. Anselm�s</t>
  </si>
  <si>
    <t>Langley</t>
  </si>
  <si>
    <t>Woodgrove</t>
  </si>
  <si>
    <t>Woodson</t>
  </si>
  <si>
    <t>Seton</t>
  </si>
  <si>
    <t>DeSmet</t>
  </si>
  <si>
    <t>Francis Howell</t>
  </si>
  <si>
    <t>Parkway Central</t>
  </si>
  <si>
    <t>Jefferson City High School</t>
  </si>
  <si>
    <t>Lutheran South A</t>
  </si>
  <si>
    <t>St. Joseph's Academy</t>
  </si>
  <si>
    <t>Lutheran South B</t>
  </si>
  <si>
    <t>BOAT</t>
  </si>
  <si>
    <t>St. Joe's C</t>
  </si>
  <si>
    <t>St. Joe's B</t>
  </si>
  <si>
    <t>Bergenfield A</t>
  </si>
  <si>
    <t>St. Joe's A</t>
  </si>
  <si>
    <t>Bergenfield B</t>
  </si>
  <si>
    <t>Glen Rock</t>
  </si>
  <si>
    <t>Virginia Tech Spring Invitational</t>
  </si>
  <si>
    <t>Radford HS</t>
  </si>
  <si>
    <t>Schrodinger's Academy</t>
  </si>
  <si>
    <t>Bassett</t>
  </si>
  <si>
    <t>Bath County A</t>
  </si>
  <si>
    <t>Bath County B</t>
  </si>
  <si>
    <t>Collegiate School</t>
  </si>
  <si>
    <t>Ithaca</t>
  </si>
  <si>
    <t>NAQT Upstate New York Championship</t>
  </si>
  <si>
    <t>Bellleville-Henderson A</t>
  </si>
  <si>
    <t>Greene</t>
  </si>
  <si>
    <t>Belleville-Henderson B</t>
  </si>
  <si>
    <t>Watson Chapel A</t>
  </si>
  <si>
    <t>NAQT Arkansas Championship</t>
  </si>
  <si>
    <t>Bauxite</t>
  </si>
  <si>
    <t>Episcopal Collegiate</t>
  </si>
  <si>
    <t>Greene County Tech</t>
  </si>
  <si>
    <t>Watson Chapel B</t>
  </si>
  <si>
    <t>Buffalo Island Central</t>
  </si>
  <si>
    <t>Malvern</t>
  </si>
  <si>
    <t>Lee County</t>
  </si>
  <si>
    <t>Battle of the Burgh XV</t>
  </si>
  <si>
    <t>Winchester Thurston</t>
  </si>
  <si>
    <t>Altoona A</t>
  </si>
  <si>
    <t>DuBois Area A</t>
  </si>
  <si>
    <t>Altoona B</t>
  </si>
  <si>
    <t>DuBois Area B</t>
  </si>
  <si>
    <t>Geibel Catholic</t>
  </si>
  <si>
    <t>Saegertown</t>
  </si>
  <si>
    <t>DuBois Area C</t>
  </si>
  <si>
    <t>Brashear A</t>
  </si>
  <si>
    <t>Brashear B</t>
  </si>
  <si>
    <t>All IS Sets</t>
  </si>
  <si>
    <t>IMSANITY2</t>
  </si>
  <si>
    <t>SCTD1</t>
  </si>
  <si>
    <t>Stat lines</t>
  </si>
  <si>
    <t>Average</t>
  </si>
  <si>
    <t>Median</t>
  </si>
  <si>
    <t>3rd Quartile</t>
  </si>
  <si>
    <t>1st Quartile</t>
  </si>
  <si>
    <t>Standard Deviation</t>
  </si>
  <si>
    <t>Max</t>
  </si>
  <si>
    <t>Min</t>
  </si>
  <si>
    <t>RMTPB</t>
  </si>
  <si>
    <t>BPts</t>
  </si>
</sst>
</file>

<file path=xl/styles.xml><?xml version="1.0" encoding="utf-8"?>
<styleSheet xmlns="http://schemas.openxmlformats.org/spreadsheetml/2006/main">
  <numFmts count="3">
    <numFmt formatCode="GENERAL" numFmtId="164"/>
    <numFmt formatCode="0.0" numFmtId="165"/>
    <numFmt formatCode="D\-MMM" numFmtId="166"/>
  </numFmts>
  <fonts count="6">
    <font>
      <name val="Calibri"/>
      <charset val="1"/>
      <family val="2"/>
      <color rgb="00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true"/>
      <color rgb="00000000"/>
      <sz val="11"/>
    </font>
    <font>
      <name val="Calibri"/>
      <charset val="1"/>
      <family val="2"/>
      <i val="true"/>
      <color rgb="00000000"/>
      <sz val="11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7">
    <xf applyAlignment="false" applyBorder="false" applyFont="false" applyProtection="false" borderId="0" fillId="0" fontId="0" numFmtId="164" xfId="0"/>
    <xf applyAlignment="false" applyBorder="false" applyFont="true" applyProtection="false" borderId="0" fillId="0" fontId="0" numFmtId="164" xfId="0"/>
    <xf applyAlignment="false" applyBorder="false" applyFont="true" applyProtection="false" borderId="0" fillId="0" fontId="4" numFmtId="164" xfId="0"/>
    <xf applyAlignment="false" applyBorder="false" applyFont="true" applyProtection="false" borderId="0" fillId="0" fontId="4" numFmtId="165" xfId="0"/>
    <xf applyAlignment="false" applyBorder="false" applyFont="true" applyProtection="false" borderId="0" fillId="0" fontId="0" numFmtId="166" xfId="0"/>
    <xf applyAlignment="true" applyBorder="true" applyFont="true" applyProtection="tru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5" numFmtId="164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sharedStrings" Target="sharedStrings.xml"/>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378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85" zoomScaleNormal="85" zoomScalePageLayoutView="100">
      <pane activePane="bottomLeft" topLeftCell="A3752" xSplit="0" ySplit="435"/>
      <selection activeCell="A1" activeCellId="0" pane="topLeft" sqref="A1"/>
      <selection activeCell="F3785" activeCellId="0" pane="bottomLeft" sqref="F3785"/>
    </sheetView>
  </sheetViews>
  <cols>
    <col collapsed="false" hidden="false" max="1" min="1" style="1" width="36.756862745098"/>
    <col collapsed="false" hidden="false" max="2" min="2" style="1" width="49.7725490196078"/>
    <col collapsed="false" hidden="false" max="3" min="3" style="1" width="16.6941176470588"/>
    <col collapsed="false" hidden="false" max="4" min="4" style="1" width="9.62352941176471"/>
    <col collapsed="false" hidden="false" max="5" min="5" style="1" width="8.76470588235294"/>
    <col collapsed="false" hidden="false" max="6" min="6" style="1" width="10.0313725490196"/>
    <col collapsed="false" hidden="false" max="1025" min="7" style="1" width="9.62352941176471"/>
  </cols>
  <sheetData>
    <row collapsed="false" customFormat="false" customHeight="false" hidden="false" ht="14.75" outlineLevel="0"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collapsed="false" customFormat="false" customHeight="false" hidden="false" ht="14.75" outlineLevel="0" r="2">
      <c r="A2" s="1" t="s">
        <v>6</v>
      </c>
      <c r="B2" s="1" t="s">
        <v>7</v>
      </c>
      <c r="C2" s="1" t="s">
        <v>8</v>
      </c>
      <c r="D2" s="1" t="n">
        <v>299.5</v>
      </c>
      <c r="E2" s="1" t="n">
        <v>18.06</v>
      </c>
      <c r="F2" s="1" t="s">
        <v>9</v>
      </c>
    </row>
    <row collapsed="false" customFormat="false" customHeight="false" hidden="false" ht="14.75" outlineLevel="0" r="3">
      <c r="A3" s="1" t="s">
        <v>10</v>
      </c>
      <c r="B3" s="1" t="s">
        <v>7</v>
      </c>
      <c r="C3" s="1" t="s">
        <v>8</v>
      </c>
      <c r="D3" s="1" t="n">
        <v>62.5</v>
      </c>
      <c r="E3" s="1" t="n">
        <v>8.06</v>
      </c>
      <c r="F3" s="1" t="s">
        <v>9</v>
      </c>
    </row>
    <row collapsed="false" customFormat="false" customHeight="false" hidden="false" ht="14.75" outlineLevel="0" r="4">
      <c r="A4" s="1" t="s">
        <v>11</v>
      </c>
      <c r="B4" s="1" t="s">
        <v>12</v>
      </c>
      <c r="C4" s="1" t="s">
        <v>8</v>
      </c>
      <c r="D4" s="1" t="n">
        <v>330.3</v>
      </c>
      <c r="E4" s="1" t="n">
        <v>23.57</v>
      </c>
      <c r="F4" s="1" t="s">
        <v>9</v>
      </c>
    </row>
    <row collapsed="false" customFormat="false" customHeight="false" hidden="false" ht="14.75" outlineLevel="0" r="5">
      <c r="A5" s="1" t="s">
        <v>13</v>
      </c>
      <c r="B5" s="1" t="s">
        <v>12</v>
      </c>
      <c r="C5" s="1" t="s">
        <v>8</v>
      </c>
      <c r="D5" s="1" t="n">
        <v>282.3</v>
      </c>
      <c r="E5" s="1" t="n">
        <v>19.68</v>
      </c>
      <c r="F5" s="1" t="s">
        <v>9</v>
      </c>
    </row>
    <row collapsed="false" customFormat="false" customHeight="false" hidden="false" ht="14.75" outlineLevel="0" r="6">
      <c r="A6" s="1" t="s">
        <v>14</v>
      </c>
      <c r="B6" s="1" t="s">
        <v>15</v>
      </c>
      <c r="C6" s="1" t="s">
        <v>8</v>
      </c>
      <c r="D6" s="1" t="n">
        <f aca="false">((172.5*4)+(267.9*7))/11</f>
        <v>233.209090909091</v>
      </c>
      <c r="E6" s="1" t="n">
        <f aca="false">(1210+450)/(27+72)</f>
        <v>16.7676767676768</v>
      </c>
      <c r="F6" s="1" t="s">
        <v>9</v>
      </c>
    </row>
    <row collapsed="false" customFormat="false" customHeight="false" hidden="false" ht="14.75" outlineLevel="0" r="7">
      <c r="A7" s="1" t="s">
        <v>16</v>
      </c>
      <c r="B7" s="1" t="s">
        <v>17</v>
      </c>
      <c r="C7" s="1" t="s">
        <v>8</v>
      </c>
      <c r="D7" s="1" t="n">
        <v>399.6</v>
      </c>
      <c r="E7" s="1" t="n">
        <v>23.31</v>
      </c>
      <c r="F7" s="1" t="s">
        <v>9</v>
      </c>
    </row>
    <row collapsed="false" customFormat="false" customHeight="false" hidden="false" ht="14.75" outlineLevel="0" r="8">
      <c r="A8" s="1" t="s">
        <v>18</v>
      </c>
      <c r="B8" s="1" t="s">
        <v>7</v>
      </c>
      <c r="C8" s="1" t="s">
        <v>8</v>
      </c>
      <c r="D8" s="1" t="n">
        <v>271</v>
      </c>
      <c r="E8" s="1" t="n">
        <v>17.7</v>
      </c>
      <c r="F8" s="1" t="s">
        <v>9</v>
      </c>
    </row>
    <row collapsed="false" customFormat="false" customHeight="false" hidden="false" ht="14.75" outlineLevel="0" r="9">
      <c r="A9" s="1" t="s">
        <v>19</v>
      </c>
      <c r="B9" s="1" t="s">
        <v>17</v>
      </c>
      <c r="C9" s="1" t="s">
        <v>8</v>
      </c>
      <c r="D9" s="1" t="n">
        <v>368.3</v>
      </c>
      <c r="E9" s="1" t="n">
        <v>23.58</v>
      </c>
      <c r="F9" s="1" t="s">
        <v>9</v>
      </c>
    </row>
    <row collapsed="false" customFormat="false" customHeight="false" hidden="false" ht="14.75" outlineLevel="0" r="10">
      <c r="A10" s="1" t="s">
        <v>20</v>
      </c>
      <c r="B10" s="1" t="s">
        <v>17</v>
      </c>
      <c r="C10" s="1" t="s">
        <v>8</v>
      </c>
      <c r="D10" s="1" t="n">
        <v>185</v>
      </c>
      <c r="E10" s="1" t="n">
        <v>14.43</v>
      </c>
      <c r="F10" s="1" t="s">
        <v>9</v>
      </c>
    </row>
    <row collapsed="false" customFormat="false" customHeight="false" hidden="false" ht="14.75" outlineLevel="0" r="11">
      <c r="A11" s="1" t="s">
        <v>21</v>
      </c>
      <c r="B11" s="1" t="s">
        <v>17</v>
      </c>
      <c r="C11" s="1" t="s">
        <v>8</v>
      </c>
      <c r="D11" s="1" t="n">
        <v>285</v>
      </c>
      <c r="E11" s="1" t="n">
        <v>18.92</v>
      </c>
      <c r="F11" s="1" t="s">
        <v>9</v>
      </c>
    </row>
    <row collapsed="false" customFormat="false" customHeight="false" hidden="false" ht="14.75" outlineLevel="0" r="12">
      <c r="A12" s="1" t="s">
        <v>22</v>
      </c>
      <c r="B12" s="1" t="s">
        <v>23</v>
      </c>
      <c r="C12" s="1" t="s">
        <v>8</v>
      </c>
      <c r="D12" s="1" t="n">
        <v>233</v>
      </c>
      <c r="E12" s="1" t="n">
        <v>16.85</v>
      </c>
      <c r="F12" s="1" t="s">
        <v>9</v>
      </c>
    </row>
    <row collapsed="false" customFormat="false" customHeight="false" hidden="false" ht="14.75" outlineLevel="0" r="13">
      <c r="A13" s="1" t="s">
        <v>24</v>
      </c>
      <c r="B13" s="1" t="s">
        <v>23</v>
      </c>
      <c r="C13" s="1" t="s">
        <v>8</v>
      </c>
      <c r="D13" s="1" t="n">
        <v>73</v>
      </c>
      <c r="E13" s="1" t="n">
        <v>10.49</v>
      </c>
      <c r="F13" s="1" t="s">
        <v>9</v>
      </c>
    </row>
    <row collapsed="false" customFormat="false" customHeight="false" hidden="false" ht="14.75" outlineLevel="0" r="14">
      <c r="A14" s="1" t="s">
        <v>25</v>
      </c>
      <c r="B14" s="1" t="s">
        <v>23</v>
      </c>
      <c r="C14" s="1" t="s">
        <v>8</v>
      </c>
      <c r="D14" s="1" t="n">
        <v>224.5</v>
      </c>
      <c r="E14" s="1" t="n">
        <v>16.78</v>
      </c>
      <c r="F14" s="1" t="s">
        <v>9</v>
      </c>
    </row>
    <row collapsed="false" customFormat="false" customHeight="false" hidden="false" ht="14.75" outlineLevel="0" r="15">
      <c r="A15" s="1" t="s">
        <v>26</v>
      </c>
      <c r="B15" s="1" t="s">
        <v>7</v>
      </c>
      <c r="C15" s="1" t="s">
        <v>8</v>
      </c>
      <c r="D15" s="1" t="n">
        <v>425.8</v>
      </c>
      <c r="E15" s="1" t="n">
        <v>24.08</v>
      </c>
      <c r="F15" s="1" t="s">
        <v>9</v>
      </c>
    </row>
    <row collapsed="false" customFormat="false" customHeight="false" hidden="false" ht="14.75" outlineLevel="0" r="16">
      <c r="A16" s="1" t="s">
        <v>27</v>
      </c>
      <c r="B16" s="1" t="s">
        <v>7</v>
      </c>
      <c r="C16" s="1" t="s">
        <v>8</v>
      </c>
      <c r="D16" s="1" t="n">
        <v>37.2</v>
      </c>
      <c r="E16" s="1" t="n">
        <v>5.21</v>
      </c>
      <c r="F16" s="1" t="s">
        <v>9</v>
      </c>
    </row>
    <row collapsed="false" customFormat="false" customHeight="false" hidden="false" ht="14.75" outlineLevel="0" r="17">
      <c r="A17" s="1" t="s">
        <v>28</v>
      </c>
      <c r="B17" s="1" t="s">
        <v>12</v>
      </c>
      <c r="C17" s="1" t="s">
        <v>8</v>
      </c>
      <c r="D17" s="1" t="n">
        <v>348.3</v>
      </c>
      <c r="E17" s="1" t="n">
        <v>23</v>
      </c>
      <c r="F17" s="1" t="s">
        <v>9</v>
      </c>
    </row>
    <row collapsed="false" customFormat="false" customHeight="false" hidden="false" ht="14.75" outlineLevel="0" r="18">
      <c r="A18" s="1" t="s">
        <v>29</v>
      </c>
      <c r="B18" s="1" t="s">
        <v>7</v>
      </c>
      <c r="C18" s="1" t="s">
        <v>8</v>
      </c>
      <c r="D18" s="1" t="n">
        <v>169.4</v>
      </c>
      <c r="E18" s="1" t="n">
        <v>13.51</v>
      </c>
      <c r="F18" s="1" t="s">
        <v>9</v>
      </c>
    </row>
    <row collapsed="false" customFormat="false" customHeight="false" hidden="false" ht="14.75" outlineLevel="0" r="19">
      <c r="A19" s="1" t="s">
        <v>30</v>
      </c>
      <c r="B19" s="1" t="s">
        <v>7</v>
      </c>
      <c r="C19" s="1" t="s">
        <v>8</v>
      </c>
      <c r="D19" s="1" t="n">
        <v>220.5</v>
      </c>
      <c r="E19" s="1" t="n">
        <v>14.18</v>
      </c>
      <c r="F19" s="1" t="s">
        <v>9</v>
      </c>
    </row>
    <row collapsed="false" customFormat="false" customHeight="false" hidden="false" ht="14.75" outlineLevel="0" r="20">
      <c r="A20" s="1" t="s">
        <v>31</v>
      </c>
      <c r="B20" s="1" t="s">
        <v>7</v>
      </c>
      <c r="C20" s="1" t="s">
        <v>8</v>
      </c>
      <c r="D20" s="1" t="n">
        <v>120.6</v>
      </c>
      <c r="E20" s="1" t="n">
        <v>11.35</v>
      </c>
      <c r="F20" s="1" t="s">
        <v>9</v>
      </c>
    </row>
    <row collapsed="false" customFormat="false" customHeight="false" hidden="false" ht="14.75" outlineLevel="0" r="21">
      <c r="A21" s="1" t="s">
        <v>32</v>
      </c>
      <c r="B21" s="1" t="s">
        <v>12</v>
      </c>
      <c r="C21" s="1" t="s">
        <v>8</v>
      </c>
      <c r="D21" s="1" t="n">
        <v>382.9</v>
      </c>
      <c r="E21" s="1" t="n">
        <v>22.95</v>
      </c>
      <c r="F21" s="1" t="s">
        <v>9</v>
      </c>
    </row>
    <row collapsed="false" customFormat="false" customHeight="false" hidden="false" ht="14.75" outlineLevel="0" r="22">
      <c r="A22" s="1" t="s">
        <v>33</v>
      </c>
      <c r="B22" s="1" t="s">
        <v>34</v>
      </c>
      <c r="C22" s="1" t="s">
        <v>8</v>
      </c>
      <c r="D22" s="1" t="n">
        <v>144</v>
      </c>
      <c r="E22" s="1" t="n">
        <v>13.23</v>
      </c>
      <c r="F22" s="1" t="s">
        <v>9</v>
      </c>
    </row>
    <row collapsed="false" customFormat="false" customHeight="false" hidden="false" ht="14.75" outlineLevel="0" r="23">
      <c r="A23" s="1" t="s">
        <v>35</v>
      </c>
      <c r="B23" s="1" t="s">
        <v>36</v>
      </c>
      <c r="C23" s="1" t="s">
        <v>37</v>
      </c>
      <c r="D23" s="1" t="n">
        <v>361.8</v>
      </c>
      <c r="E23" s="1" t="n">
        <v>19.56</v>
      </c>
      <c r="F23" s="1" t="s">
        <v>9</v>
      </c>
    </row>
    <row collapsed="false" customFormat="false" customHeight="false" hidden="false" ht="14.75" outlineLevel="0" r="24">
      <c r="A24" s="1" t="s">
        <v>38</v>
      </c>
      <c r="B24" s="1" t="s">
        <v>36</v>
      </c>
      <c r="C24" s="1" t="s">
        <v>37</v>
      </c>
      <c r="D24" s="1" t="n">
        <v>267.9</v>
      </c>
      <c r="E24" s="1" t="n">
        <v>15.83</v>
      </c>
      <c r="F24" s="1" t="s">
        <v>9</v>
      </c>
    </row>
    <row collapsed="false" customFormat="false" customHeight="false" hidden="false" ht="14.75" outlineLevel="0" r="25">
      <c r="A25" s="1" t="s">
        <v>39</v>
      </c>
      <c r="B25" s="1" t="s">
        <v>36</v>
      </c>
      <c r="C25" s="1" t="s">
        <v>37</v>
      </c>
      <c r="D25" s="1" t="n">
        <v>147.1</v>
      </c>
      <c r="E25" s="1" t="n">
        <v>11.76</v>
      </c>
      <c r="F25" s="1" t="s">
        <v>9</v>
      </c>
    </row>
    <row collapsed="false" customFormat="false" customHeight="false" hidden="false" ht="14.75" outlineLevel="0" r="26">
      <c r="A26" s="1" t="s">
        <v>40</v>
      </c>
      <c r="B26" s="1" t="s">
        <v>36</v>
      </c>
      <c r="C26" s="1" t="s">
        <v>37</v>
      </c>
      <c r="D26" s="1" t="n">
        <v>218.9</v>
      </c>
      <c r="E26" s="1" t="n">
        <v>14.62</v>
      </c>
      <c r="F26" s="1" t="s">
        <v>9</v>
      </c>
    </row>
    <row collapsed="false" customFormat="false" customHeight="false" hidden="false" ht="14.75" outlineLevel="0" r="27">
      <c r="A27" s="1" t="s">
        <v>11</v>
      </c>
      <c r="B27" s="1" t="s">
        <v>36</v>
      </c>
      <c r="C27" s="1" t="s">
        <v>37</v>
      </c>
      <c r="D27" s="1" t="n">
        <v>201.5</v>
      </c>
      <c r="E27" s="1" t="n">
        <v>15.22</v>
      </c>
      <c r="F27" s="1" t="s">
        <v>9</v>
      </c>
    </row>
    <row collapsed="false" customFormat="false" customHeight="false" hidden="false" ht="14.75" outlineLevel="0" r="28">
      <c r="A28" s="1" t="s">
        <v>41</v>
      </c>
      <c r="B28" s="1" t="s">
        <v>36</v>
      </c>
      <c r="C28" s="1" t="s">
        <v>37</v>
      </c>
      <c r="D28" s="1" t="n">
        <v>185</v>
      </c>
      <c r="E28" s="1" t="n">
        <v>14.92</v>
      </c>
      <c r="F28" s="1" t="s">
        <v>9</v>
      </c>
    </row>
    <row collapsed="false" customFormat="false" customHeight="false" hidden="false" ht="14.75" outlineLevel="0" r="29">
      <c r="A29" s="1" t="s">
        <v>42</v>
      </c>
      <c r="B29" s="1" t="s">
        <v>36</v>
      </c>
      <c r="C29" s="1" t="s">
        <v>37</v>
      </c>
      <c r="D29" s="1" t="n">
        <v>310.7</v>
      </c>
      <c r="E29" s="1" t="n">
        <v>17.65</v>
      </c>
      <c r="F29" s="1" t="s">
        <v>9</v>
      </c>
    </row>
    <row collapsed="false" customFormat="false" customHeight="false" hidden="false" ht="14.75" outlineLevel="0" r="30">
      <c r="A30" s="1" t="s">
        <v>43</v>
      </c>
      <c r="B30" s="1" t="s">
        <v>36</v>
      </c>
      <c r="C30" s="1" t="s">
        <v>37</v>
      </c>
      <c r="D30" s="1" t="n">
        <v>112.5</v>
      </c>
      <c r="E30" s="1" t="n">
        <v>12.44</v>
      </c>
      <c r="F30" s="1" t="s">
        <v>9</v>
      </c>
    </row>
    <row collapsed="false" customFormat="false" customHeight="false" hidden="false" ht="14.75" outlineLevel="0" r="31">
      <c r="A31" s="1" t="s">
        <v>44</v>
      </c>
      <c r="B31" s="1" t="s">
        <v>36</v>
      </c>
      <c r="C31" s="1" t="s">
        <v>37</v>
      </c>
      <c r="D31" s="1" t="n">
        <v>212.9</v>
      </c>
      <c r="E31" s="1" t="n">
        <v>15.98</v>
      </c>
      <c r="F31" s="1" t="s">
        <v>9</v>
      </c>
    </row>
    <row collapsed="false" customFormat="false" customHeight="false" hidden="false" ht="14.75" outlineLevel="0" r="32">
      <c r="A32" s="1" t="s">
        <v>45</v>
      </c>
      <c r="B32" s="1" t="s">
        <v>36</v>
      </c>
      <c r="C32" s="1" t="s">
        <v>37</v>
      </c>
      <c r="D32" s="1" t="n">
        <v>160.7</v>
      </c>
      <c r="E32" s="1" t="n">
        <v>12.98</v>
      </c>
      <c r="F32" s="1" t="s">
        <v>9</v>
      </c>
    </row>
    <row collapsed="false" customFormat="false" customHeight="false" hidden="false" ht="14.75" outlineLevel="0" r="33">
      <c r="A33" s="1" t="s">
        <v>46</v>
      </c>
      <c r="B33" s="1" t="s">
        <v>36</v>
      </c>
      <c r="C33" s="1" t="s">
        <v>37</v>
      </c>
      <c r="D33" s="1" t="n">
        <v>222.9</v>
      </c>
      <c r="E33" s="1" t="n">
        <v>15.42</v>
      </c>
      <c r="F33" s="1" t="s">
        <v>9</v>
      </c>
    </row>
    <row collapsed="false" customFormat="false" customHeight="false" hidden="false" ht="14.75" outlineLevel="0" r="34">
      <c r="A34" s="1" t="s">
        <v>47</v>
      </c>
      <c r="B34" s="1" t="s">
        <v>36</v>
      </c>
      <c r="C34" s="1" t="s">
        <v>37</v>
      </c>
      <c r="D34" s="1" t="n">
        <v>292.1</v>
      </c>
      <c r="E34" s="1" t="n">
        <v>17.72</v>
      </c>
      <c r="F34" s="1" t="s">
        <v>9</v>
      </c>
    </row>
    <row collapsed="false" customFormat="false" customHeight="false" hidden="false" ht="14.75" outlineLevel="0" r="35">
      <c r="A35" s="1" t="s">
        <v>48</v>
      </c>
      <c r="B35" s="1" t="s">
        <v>36</v>
      </c>
      <c r="C35" s="1" t="s">
        <v>37</v>
      </c>
      <c r="D35" s="1" t="n">
        <v>125.7</v>
      </c>
      <c r="E35" s="1" t="n">
        <v>11.21</v>
      </c>
      <c r="F35" s="1" t="s">
        <v>9</v>
      </c>
    </row>
    <row collapsed="false" customFormat="false" customHeight="false" hidden="false" ht="14.75" outlineLevel="0" r="36">
      <c r="A36" s="1" t="s">
        <v>49</v>
      </c>
      <c r="B36" s="1" t="s">
        <v>36</v>
      </c>
      <c r="C36" s="1" t="s">
        <v>37</v>
      </c>
      <c r="D36" s="1" t="n">
        <v>58.8</v>
      </c>
      <c r="E36" s="1" t="n">
        <v>10.4</v>
      </c>
      <c r="F36" s="1" t="s">
        <v>9</v>
      </c>
    </row>
    <row collapsed="false" customFormat="false" customHeight="false" hidden="false" ht="14.75" outlineLevel="0" r="37">
      <c r="A37" s="1" t="s">
        <v>50</v>
      </c>
      <c r="B37" s="1" t="s">
        <v>51</v>
      </c>
      <c r="C37" s="1" t="s">
        <v>52</v>
      </c>
      <c r="D37" s="1" t="n">
        <v>278.3</v>
      </c>
      <c r="E37" s="1" t="n">
        <v>17.82</v>
      </c>
      <c r="F37" s="1" t="n">
        <v>1.88888888888889</v>
      </c>
    </row>
    <row collapsed="false" customFormat="false" customHeight="false" hidden="false" ht="14.75" outlineLevel="0" r="38">
      <c r="A38" s="1" t="s">
        <v>53</v>
      </c>
      <c r="B38" s="1" t="s">
        <v>54</v>
      </c>
      <c r="C38" s="1" t="s">
        <v>52</v>
      </c>
      <c r="D38" s="1" t="n">
        <v>187.1</v>
      </c>
      <c r="E38" s="1" t="n">
        <v>12.81</v>
      </c>
      <c r="F38" s="1" t="n">
        <f aca="false">2/7</f>
        <v>0.285714285714286</v>
      </c>
    </row>
    <row collapsed="false" customFormat="false" customHeight="false" hidden="false" ht="14.75" outlineLevel="0" r="39">
      <c r="A39" s="1" t="s">
        <v>55</v>
      </c>
      <c r="B39" s="1" t="s">
        <v>51</v>
      </c>
      <c r="C39" s="1" t="s">
        <v>52</v>
      </c>
      <c r="D39" s="1" t="n">
        <v>287.2</v>
      </c>
      <c r="E39" s="1" t="n">
        <v>19.88</v>
      </c>
      <c r="F39" s="1" t="n">
        <v>2.33333333333333</v>
      </c>
    </row>
    <row collapsed="false" customFormat="false" customHeight="false" hidden="false" ht="14.75" outlineLevel="0" r="40">
      <c r="A40" s="1" t="s">
        <v>56</v>
      </c>
      <c r="B40" s="1" t="s">
        <v>51</v>
      </c>
      <c r="C40" s="1" t="s">
        <v>52</v>
      </c>
      <c r="D40" s="1" t="n">
        <v>367.2</v>
      </c>
      <c r="E40" s="1" t="n">
        <v>22.32</v>
      </c>
      <c r="F40" s="1" t="n">
        <v>2.33333333333333</v>
      </c>
    </row>
    <row collapsed="false" customFormat="false" customHeight="false" hidden="false" ht="14.75" outlineLevel="0" r="41">
      <c r="A41" s="1" t="s">
        <v>57</v>
      </c>
      <c r="B41" s="1" t="s">
        <v>54</v>
      </c>
      <c r="C41" s="1" t="s">
        <v>52</v>
      </c>
      <c r="D41" s="1" t="n">
        <v>277.1</v>
      </c>
      <c r="E41" s="1" t="n">
        <v>15.47</v>
      </c>
      <c r="F41" s="1" t="n">
        <f aca="false">6/7</f>
        <v>0.857142857142857</v>
      </c>
    </row>
    <row collapsed="false" customFormat="false" customHeight="false" hidden="false" ht="14.75" outlineLevel="0" r="42">
      <c r="A42" s="1" t="s">
        <v>58</v>
      </c>
      <c r="B42" s="1" t="s">
        <v>51</v>
      </c>
      <c r="C42" s="1" t="s">
        <v>52</v>
      </c>
      <c r="D42" s="1" t="n">
        <v>307.2</v>
      </c>
      <c r="E42" s="1" t="n">
        <v>20.34</v>
      </c>
      <c r="F42" s="1" t="n">
        <v>2.11111111111111</v>
      </c>
    </row>
    <row collapsed="false" customFormat="false" customHeight="false" hidden="false" ht="14.75" outlineLevel="0" r="43">
      <c r="A43" s="1" t="s">
        <v>59</v>
      </c>
      <c r="B43" s="1" t="s">
        <v>51</v>
      </c>
      <c r="C43" s="1" t="s">
        <v>52</v>
      </c>
      <c r="D43" s="1" t="n">
        <v>266.1</v>
      </c>
      <c r="E43" s="1" t="n">
        <v>20.53</v>
      </c>
      <c r="F43" s="1" t="n">
        <v>2.33333333333333</v>
      </c>
    </row>
    <row collapsed="false" customFormat="false" customHeight="false" hidden="false" ht="14.75" outlineLevel="0" r="44">
      <c r="A44" s="1" t="s">
        <v>60</v>
      </c>
      <c r="B44" s="1" t="s">
        <v>54</v>
      </c>
      <c r="C44" s="1" t="s">
        <v>52</v>
      </c>
      <c r="D44" s="1" t="n">
        <v>172.1</v>
      </c>
      <c r="E44" s="1" t="n">
        <v>13.6</v>
      </c>
      <c r="F44" s="1" t="n">
        <f aca="false">5/7</f>
        <v>0.714285714285714</v>
      </c>
    </row>
    <row collapsed="false" customFormat="false" customHeight="false" hidden="false" ht="14.75" outlineLevel="0" r="45">
      <c r="A45" s="1" t="s">
        <v>61</v>
      </c>
      <c r="B45" s="1" t="s">
        <v>54</v>
      </c>
      <c r="C45" s="1" t="s">
        <v>52</v>
      </c>
      <c r="D45" s="1" t="n">
        <v>248.6</v>
      </c>
      <c r="E45" s="1" t="n">
        <v>13.8</v>
      </c>
      <c r="F45" s="1" t="n">
        <f aca="false">10/7</f>
        <v>1.42857142857143</v>
      </c>
    </row>
    <row collapsed="false" customFormat="false" customHeight="false" hidden="false" ht="14.75" outlineLevel="0" r="46">
      <c r="A46" s="1" t="s">
        <v>62</v>
      </c>
      <c r="B46" s="1" t="s">
        <v>51</v>
      </c>
      <c r="C46" s="1" t="s">
        <v>52</v>
      </c>
      <c r="D46" s="1" t="n">
        <v>478.9</v>
      </c>
      <c r="E46" s="1" t="n">
        <v>24.91</v>
      </c>
      <c r="F46" s="1" t="n">
        <v>7.33333333333333</v>
      </c>
    </row>
    <row collapsed="false" customFormat="false" customHeight="false" hidden="false" ht="14.75" outlineLevel="0" r="47">
      <c r="A47" s="1" t="s">
        <v>63</v>
      </c>
      <c r="B47" s="1" t="s">
        <v>51</v>
      </c>
      <c r="C47" s="1" t="s">
        <v>52</v>
      </c>
      <c r="D47" s="1" t="n">
        <v>307.2</v>
      </c>
      <c r="E47" s="1" t="n">
        <v>18.19</v>
      </c>
      <c r="F47" s="1" t="n">
        <v>2.55555555555556</v>
      </c>
    </row>
    <row collapsed="false" customFormat="false" customHeight="false" hidden="false" ht="14.75" outlineLevel="0" r="48">
      <c r="A48" s="1" t="s">
        <v>64</v>
      </c>
      <c r="B48" s="1" t="s">
        <v>51</v>
      </c>
      <c r="C48" s="1" t="s">
        <v>52</v>
      </c>
      <c r="D48" s="1" t="n">
        <v>193.3</v>
      </c>
      <c r="E48" s="1" t="n">
        <v>16.43</v>
      </c>
      <c r="F48" s="1" t="n">
        <v>1.66666666666667</v>
      </c>
    </row>
    <row collapsed="false" customFormat="false" customHeight="false" hidden="false" ht="14.75" outlineLevel="0" r="49">
      <c r="A49" s="1" t="s">
        <v>65</v>
      </c>
      <c r="B49" s="1" t="s">
        <v>54</v>
      </c>
      <c r="C49" s="1" t="s">
        <v>52</v>
      </c>
      <c r="D49" s="1" t="n">
        <v>90.8</v>
      </c>
      <c r="E49" s="1" t="n">
        <v>7.67</v>
      </c>
      <c r="F49" s="1" t="n">
        <f aca="false">3/6</f>
        <v>0.5</v>
      </c>
    </row>
    <row collapsed="false" customFormat="false" customHeight="false" hidden="false" ht="14.75" outlineLevel="0" r="50">
      <c r="A50" s="1" t="s">
        <v>66</v>
      </c>
      <c r="B50" s="1" t="s">
        <v>54</v>
      </c>
      <c r="C50" s="1" t="s">
        <v>52</v>
      </c>
      <c r="D50" s="1" t="n">
        <v>353.3</v>
      </c>
      <c r="E50" s="1" t="n">
        <v>17.28</v>
      </c>
      <c r="F50" s="1" t="n">
        <f aca="false">14/9</f>
        <v>1.55555555555556</v>
      </c>
    </row>
    <row collapsed="false" customFormat="false" customHeight="false" hidden="false" ht="14.75" outlineLevel="0" r="51">
      <c r="A51" s="1" t="s">
        <v>67</v>
      </c>
      <c r="B51" s="1" t="s">
        <v>54</v>
      </c>
      <c r="C51" s="1" t="s">
        <v>52</v>
      </c>
      <c r="D51" s="1" t="n">
        <v>130</v>
      </c>
      <c r="E51" s="1" t="n">
        <v>10</v>
      </c>
      <c r="F51" s="1" t="n">
        <v>0</v>
      </c>
    </row>
    <row collapsed="false" customFormat="false" customHeight="false" hidden="false" ht="14.75" outlineLevel="0" r="52">
      <c r="A52" s="1" t="s">
        <v>68</v>
      </c>
      <c r="B52" s="1" t="s">
        <v>54</v>
      </c>
      <c r="C52" s="1" t="s">
        <v>52</v>
      </c>
      <c r="D52" s="1" t="n">
        <v>326.1</v>
      </c>
      <c r="E52" s="1" t="n">
        <v>16.45</v>
      </c>
      <c r="F52" s="1" t="n">
        <f aca="false">21/9</f>
        <v>2.33333333333333</v>
      </c>
    </row>
    <row collapsed="false" customFormat="false" customHeight="false" hidden="false" ht="14.75" outlineLevel="0" r="53">
      <c r="A53" s="1" t="s">
        <v>69</v>
      </c>
      <c r="B53" s="1" t="s">
        <v>54</v>
      </c>
      <c r="C53" s="1" t="s">
        <v>52</v>
      </c>
      <c r="D53" s="1" t="n">
        <v>295.6</v>
      </c>
      <c r="E53" s="1" t="n">
        <v>15.19</v>
      </c>
      <c r="F53" s="1" t="n">
        <f aca="false">13/9</f>
        <v>1.44444444444444</v>
      </c>
    </row>
    <row collapsed="false" customFormat="false" customHeight="false" hidden="false" ht="14.75" outlineLevel="0" r="54">
      <c r="A54" s="1" t="s">
        <v>70</v>
      </c>
      <c r="B54" s="1" t="s">
        <v>54</v>
      </c>
      <c r="C54" s="1" t="s">
        <v>52</v>
      </c>
      <c r="D54" s="1" t="n">
        <v>133</v>
      </c>
      <c r="E54" s="1" t="n">
        <v>11.29</v>
      </c>
      <c r="F54" s="1" t="n">
        <f aca="false">1/5</f>
        <v>0.2</v>
      </c>
    </row>
    <row collapsed="false" customFormat="false" customHeight="false" hidden="false" ht="14.75" outlineLevel="0" r="55">
      <c r="A55" s="1" t="s">
        <v>71</v>
      </c>
      <c r="B55" s="1" t="s">
        <v>54</v>
      </c>
      <c r="C55" s="1" t="s">
        <v>52</v>
      </c>
      <c r="D55" s="1" t="n">
        <v>132.9</v>
      </c>
      <c r="E55" s="1" t="n">
        <v>10.68</v>
      </c>
      <c r="F55" s="1" t="n">
        <f aca="false">4/7</f>
        <v>0.571428571428571</v>
      </c>
    </row>
    <row collapsed="false" customFormat="false" customHeight="false" hidden="false" ht="14.75" outlineLevel="0" r="56">
      <c r="A56" s="1" t="s">
        <v>72</v>
      </c>
      <c r="B56" s="1" t="s">
        <v>51</v>
      </c>
      <c r="C56" s="1" t="s">
        <v>52</v>
      </c>
      <c r="D56" s="1" t="n">
        <v>270</v>
      </c>
      <c r="E56" s="1" t="n">
        <v>20.66</v>
      </c>
      <c r="F56" s="1" t="n">
        <v>2.22222222222222</v>
      </c>
    </row>
    <row collapsed="false" customFormat="false" customHeight="false" hidden="false" ht="14.75" outlineLevel="0" r="57">
      <c r="A57" s="1" t="s">
        <v>73</v>
      </c>
      <c r="B57" s="1" t="s">
        <v>54</v>
      </c>
      <c r="C57" s="1" t="s">
        <v>52</v>
      </c>
      <c r="D57" s="1" t="n">
        <v>265.7</v>
      </c>
      <c r="E57" s="1" t="n">
        <v>13.51</v>
      </c>
      <c r="F57" s="1" t="n">
        <f aca="false">10/7</f>
        <v>1.42857142857143</v>
      </c>
    </row>
    <row collapsed="false" customFormat="false" customHeight="false" hidden="false" ht="14.75" outlineLevel="0" r="58">
      <c r="A58" s="1" t="s">
        <v>74</v>
      </c>
      <c r="B58" s="1" t="s">
        <v>54</v>
      </c>
      <c r="C58" s="1" t="s">
        <v>52</v>
      </c>
      <c r="D58" s="1" t="n">
        <v>98.3</v>
      </c>
      <c r="E58" s="1" t="n">
        <v>8.12</v>
      </c>
      <c r="F58" s="1" t="n">
        <f aca="false">2/6</f>
        <v>0.333333333333333</v>
      </c>
    </row>
    <row collapsed="false" customFormat="false" customHeight="false" hidden="false" ht="14.75" outlineLevel="0" r="59">
      <c r="A59" s="1" t="s">
        <v>75</v>
      </c>
      <c r="B59" s="1" t="s">
        <v>54</v>
      </c>
      <c r="C59" s="1" t="s">
        <v>52</v>
      </c>
      <c r="D59" s="1" t="n">
        <v>110</v>
      </c>
      <c r="E59" s="1" t="n">
        <v>8.46</v>
      </c>
      <c r="F59" s="1" t="n">
        <f aca="false">10/7</f>
        <v>1.42857142857143</v>
      </c>
    </row>
    <row collapsed="false" customFormat="false" customHeight="false" hidden="false" ht="14.75" outlineLevel="0" r="60">
      <c r="A60" s="1" t="s">
        <v>76</v>
      </c>
      <c r="B60" s="1" t="s">
        <v>51</v>
      </c>
      <c r="C60" s="1" t="s">
        <v>52</v>
      </c>
      <c r="D60" s="1" t="n">
        <v>334.4</v>
      </c>
      <c r="E60" s="1" t="n">
        <v>20.53</v>
      </c>
      <c r="F60" s="1" t="n">
        <v>3.11111111111111</v>
      </c>
    </row>
    <row collapsed="false" customFormat="false" customHeight="false" hidden="false" ht="14.75" outlineLevel="0" r="61">
      <c r="A61" s="1" t="s">
        <v>77</v>
      </c>
      <c r="B61" s="1" t="s">
        <v>54</v>
      </c>
      <c r="C61" s="1" t="s">
        <v>52</v>
      </c>
      <c r="D61" s="1" t="n">
        <v>200.8</v>
      </c>
      <c r="E61" s="1" t="n">
        <v>13.6</v>
      </c>
      <c r="F61" s="1" t="n">
        <f aca="false">5/6</f>
        <v>0.833333333333333</v>
      </c>
    </row>
    <row collapsed="false" customFormat="false" customHeight="false" hidden="false" ht="14.75" outlineLevel="0" r="62">
      <c r="A62" s="1" t="s">
        <v>78</v>
      </c>
      <c r="B62" s="1" t="s">
        <v>54</v>
      </c>
      <c r="C62" s="1" t="s">
        <v>52</v>
      </c>
      <c r="D62" s="1" t="n">
        <v>135</v>
      </c>
      <c r="E62" s="1" t="n">
        <v>10.64</v>
      </c>
      <c r="F62" s="1" t="n">
        <f aca="false">1/6</f>
        <v>0.166666666666667</v>
      </c>
    </row>
    <row collapsed="false" customFormat="false" customHeight="false" hidden="false" ht="14.75" outlineLevel="0" r="63">
      <c r="A63" s="1" t="s">
        <v>79</v>
      </c>
      <c r="B63" s="1" t="s">
        <v>54</v>
      </c>
      <c r="C63" s="1" t="s">
        <v>52</v>
      </c>
      <c r="D63" s="1" t="n">
        <v>107</v>
      </c>
      <c r="E63" s="1" t="n">
        <v>8.57</v>
      </c>
      <c r="F63" s="1" t="n">
        <f aca="false">3/5</f>
        <v>0.6</v>
      </c>
    </row>
    <row collapsed="false" customFormat="false" customHeight="false" hidden="false" ht="14.75" outlineLevel="0" r="64">
      <c r="A64" s="1" t="s">
        <v>80</v>
      </c>
      <c r="B64" s="1" t="s">
        <v>54</v>
      </c>
      <c r="C64" s="1" t="s">
        <v>52</v>
      </c>
      <c r="D64" s="1" t="n">
        <v>255</v>
      </c>
      <c r="E64" s="1" t="n">
        <v>14.83</v>
      </c>
      <c r="F64" s="1" t="n">
        <f aca="false">12/9</f>
        <v>1.33333333333333</v>
      </c>
    </row>
    <row collapsed="false" customFormat="false" customHeight="false" hidden="false" ht="14.75" outlineLevel="0" r="65">
      <c r="A65" s="1" t="s">
        <v>81</v>
      </c>
      <c r="B65" s="1" t="s">
        <v>54</v>
      </c>
      <c r="C65" s="1" t="s">
        <v>52</v>
      </c>
      <c r="D65" s="1" t="n">
        <v>144.2</v>
      </c>
      <c r="E65" s="1" t="n">
        <v>9.2</v>
      </c>
      <c r="F65" s="1" t="n">
        <f aca="false">4/6</f>
        <v>0.666666666666667</v>
      </c>
    </row>
    <row collapsed="false" customFormat="false" customHeight="false" hidden="false" ht="14.75" outlineLevel="0" r="66">
      <c r="A66" s="1" t="s">
        <v>82</v>
      </c>
      <c r="B66" s="1" t="s">
        <v>54</v>
      </c>
      <c r="C66" s="1" t="s">
        <v>52</v>
      </c>
      <c r="D66" s="1" t="n">
        <v>40.8</v>
      </c>
      <c r="E66" s="1" t="n">
        <v>7.14</v>
      </c>
      <c r="F66" s="1" t="n">
        <f aca="false">1/6</f>
        <v>0.166666666666667</v>
      </c>
    </row>
    <row collapsed="false" customFormat="false" customHeight="false" hidden="false" ht="14.75" outlineLevel="0" r="67">
      <c r="A67" s="1" t="s">
        <v>83</v>
      </c>
      <c r="B67" s="1" t="s">
        <v>54</v>
      </c>
      <c r="C67" s="1" t="s">
        <v>52</v>
      </c>
      <c r="D67" s="1" t="n">
        <v>23.3</v>
      </c>
      <c r="E67" s="1" t="n">
        <v>4.44</v>
      </c>
      <c r="F67" s="1" t="n">
        <f aca="false">2/6</f>
        <v>0.333333333333333</v>
      </c>
    </row>
    <row collapsed="false" customFormat="false" customHeight="false" hidden="false" ht="14.75" outlineLevel="0" r="68">
      <c r="A68" s="1" t="s">
        <v>84</v>
      </c>
      <c r="B68" s="1" t="s">
        <v>54</v>
      </c>
      <c r="C68" s="1" t="s">
        <v>52</v>
      </c>
      <c r="D68" s="1" t="n">
        <v>280.7</v>
      </c>
      <c r="E68" s="1" t="n">
        <v>17.54</v>
      </c>
      <c r="F68" s="1" t="n">
        <f aca="false">13/7</f>
        <v>1.85714285714286</v>
      </c>
    </row>
    <row collapsed="false" customFormat="false" customHeight="false" hidden="false" ht="14.75" outlineLevel="0" r="69">
      <c r="A69" s="1" t="s">
        <v>85</v>
      </c>
      <c r="B69" s="1" t="s">
        <v>54</v>
      </c>
      <c r="C69" s="1" t="s">
        <v>52</v>
      </c>
      <c r="D69" s="1" t="n">
        <v>170</v>
      </c>
      <c r="E69" s="1" t="n">
        <v>12.31</v>
      </c>
      <c r="F69" s="1" t="n">
        <f aca="false">6/7</f>
        <v>0.857142857142857</v>
      </c>
    </row>
    <row collapsed="false" customFormat="false" customHeight="false" hidden="false" ht="14.75" outlineLevel="0" r="70">
      <c r="A70" s="1" t="s">
        <v>86</v>
      </c>
      <c r="B70" s="1" t="s">
        <v>54</v>
      </c>
      <c r="C70" s="1" t="s">
        <v>52</v>
      </c>
      <c r="D70" s="1" t="n">
        <v>126.4</v>
      </c>
      <c r="E70" s="1" t="n">
        <v>10.23</v>
      </c>
      <c r="F70" s="1" t="n">
        <f aca="false">3/7</f>
        <v>0.428571428571429</v>
      </c>
    </row>
    <row collapsed="false" customFormat="false" customHeight="false" hidden="false" ht="14.75" outlineLevel="0" r="71">
      <c r="A71" s="1" t="s">
        <v>87</v>
      </c>
      <c r="B71" s="1" t="s">
        <v>88</v>
      </c>
      <c r="C71" s="1" t="s">
        <v>89</v>
      </c>
      <c r="D71" s="1" t="n">
        <v>153</v>
      </c>
      <c r="E71" s="1" t="n">
        <v>11.11</v>
      </c>
      <c r="F71" s="1" t="s">
        <v>9</v>
      </c>
    </row>
    <row collapsed="false" customFormat="false" customHeight="false" hidden="false" ht="14.75" outlineLevel="0" r="72">
      <c r="A72" s="1" t="s">
        <v>50</v>
      </c>
      <c r="B72" s="1" t="s">
        <v>88</v>
      </c>
      <c r="C72" s="1" t="s">
        <v>89</v>
      </c>
      <c r="D72" s="1" t="n">
        <v>277.5</v>
      </c>
      <c r="E72" s="1" t="n">
        <v>16.23</v>
      </c>
      <c r="F72" s="1" t="s">
        <v>9</v>
      </c>
    </row>
    <row collapsed="false" customFormat="false" customHeight="false" hidden="false" ht="14.75" outlineLevel="0" r="73">
      <c r="A73" s="1" t="s">
        <v>55</v>
      </c>
      <c r="B73" s="1" t="s">
        <v>88</v>
      </c>
      <c r="C73" s="1" t="s">
        <v>89</v>
      </c>
      <c r="D73" s="1" t="n">
        <v>394.4</v>
      </c>
      <c r="E73" s="1" t="n">
        <v>20.26</v>
      </c>
      <c r="F73" s="1" t="s">
        <v>9</v>
      </c>
    </row>
    <row collapsed="false" customFormat="false" customHeight="false" hidden="false" ht="14.75" outlineLevel="0" r="74">
      <c r="A74" s="1" t="s">
        <v>90</v>
      </c>
      <c r="B74" s="1" t="s">
        <v>91</v>
      </c>
      <c r="C74" s="1" t="s">
        <v>89</v>
      </c>
      <c r="D74" s="1" t="n">
        <v>261.9</v>
      </c>
      <c r="E74" s="1" t="n">
        <v>12.58</v>
      </c>
      <c r="F74" s="1" t="n">
        <f aca="false">13/8</f>
        <v>1.625</v>
      </c>
    </row>
    <row collapsed="false" customFormat="false" customHeight="false" hidden="false" ht="14.75" outlineLevel="0" r="75">
      <c r="A75" s="1" t="s">
        <v>92</v>
      </c>
      <c r="B75" s="1" t="s">
        <v>91</v>
      </c>
      <c r="C75" s="1" t="s">
        <v>89</v>
      </c>
      <c r="D75" s="1" t="n">
        <v>145.6</v>
      </c>
      <c r="E75" s="1" t="n">
        <v>9.34</v>
      </c>
      <c r="F75" s="1" t="n">
        <v>1</v>
      </c>
    </row>
    <row collapsed="false" customFormat="false" customHeight="false" hidden="false" ht="14.75" outlineLevel="0" r="76">
      <c r="A76" s="1" t="s">
        <v>93</v>
      </c>
      <c r="B76" s="1" t="s">
        <v>91</v>
      </c>
      <c r="C76" s="1" t="s">
        <v>89</v>
      </c>
      <c r="D76" s="1" t="n">
        <v>103.1</v>
      </c>
      <c r="E76" s="1" t="n">
        <v>7.87</v>
      </c>
      <c r="F76" s="1" t="n">
        <v>0.5</v>
      </c>
    </row>
    <row collapsed="false" customFormat="false" customHeight="false" hidden="false" ht="14.75" outlineLevel="0" r="77">
      <c r="A77" s="1" t="s">
        <v>94</v>
      </c>
      <c r="B77" s="1" t="s">
        <v>91</v>
      </c>
      <c r="C77" s="1" t="s">
        <v>89</v>
      </c>
      <c r="D77" s="1" t="n">
        <v>391.9</v>
      </c>
      <c r="E77" s="1" t="n">
        <v>17.81</v>
      </c>
      <c r="F77" s="1" t="n">
        <v>3</v>
      </c>
    </row>
    <row collapsed="false" customFormat="false" customHeight="false" hidden="false" ht="14.75" outlineLevel="0" r="78">
      <c r="A78" s="1" t="s">
        <v>95</v>
      </c>
      <c r="B78" s="1" t="s">
        <v>91</v>
      </c>
      <c r="C78" s="1" t="s">
        <v>89</v>
      </c>
      <c r="D78" s="1" t="n">
        <v>56.2</v>
      </c>
      <c r="E78" s="1" t="n">
        <v>5.81</v>
      </c>
      <c r="F78" s="1" t="n">
        <f aca="false">2/8</f>
        <v>0.25</v>
      </c>
    </row>
    <row collapsed="false" customFormat="false" customHeight="false" hidden="false" ht="14.75" outlineLevel="0" r="79">
      <c r="A79" s="1" t="s">
        <v>96</v>
      </c>
      <c r="B79" s="1" t="s">
        <v>97</v>
      </c>
      <c r="C79" s="1" t="s">
        <v>89</v>
      </c>
      <c r="D79" s="1" t="n">
        <v>261.1</v>
      </c>
      <c r="E79" s="1" t="n">
        <v>13.78</v>
      </c>
      <c r="F79" s="1" t="n">
        <f aca="false">19/9</f>
        <v>2.11111111111111</v>
      </c>
    </row>
    <row collapsed="false" customFormat="false" customHeight="false" hidden="false" ht="14.75" outlineLevel="0" r="80">
      <c r="A80" s="1" t="s">
        <v>98</v>
      </c>
      <c r="B80" s="1" t="s">
        <v>91</v>
      </c>
      <c r="C80" s="1" t="s">
        <v>89</v>
      </c>
      <c r="D80" s="1" t="n">
        <v>78.8</v>
      </c>
      <c r="E80" s="1" t="n">
        <v>7.24</v>
      </c>
      <c r="F80" s="1" t="n">
        <f aca="false">2/8</f>
        <v>0.25</v>
      </c>
    </row>
    <row collapsed="false" customFormat="false" customHeight="false" hidden="false" ht="14.75" outlineLevel="0" r="81">
      <c r="A81" s="1" t="s">
        <v>99</v>
      </c>
      <c r="B81" s="1" t="s">
        <v>91</v>
      </c>
      <c r="C81" s="1" t="s">
        <v>89</v>
      </c>
      <c r="D81" s="1" t="n">
        <v>15.6</v>
      </c>
      <c r="E81" s="1" t="n">
        <v>4.44</v>
      </c>
      <c r="F81" s="1" t="n">
        <v>0</v>
      </c>
    </row>
    <row collapsed="false" customFormat="false" customHeight="false" hidden="false" ht="14.75" outlineLevel="0" r="82">
      <c r="A82" s="1" t="s">
        <v>56</v>
      </c>
      <c r="B82" s="1" t="s">
        <v>88</v>
      </c>
      <c r="C82" s="1" t="s">
        <v>89</v>
      </c>
      <c r="D82" s="1" t="n">
        <v>458.8</v>
      </c>
      <c r="E82" s="1" t="n">
        <v>21.37</v>
      </c>
      <c r="F82" s="1" t="s">
        <v>9</v>
      </c>
    </row>
    <row collapsed="false" customFormat="false" customHeight="false" hidden="false" ht="14.75" outlineLevel="0" r="83">
      <c r="A83" s="1" t="s">
        <v>57</v>
      </c>
      <c r="B83" s="1" t="s">
        <v>88</v>
      </c>
      <c r="C83" s="1" t="s">
        <v>89</v>
      </c>
      <c r="D83" s="1" t="n">
        <v>159.2</v>
      </c>
      <c r="E83" s="1" t="n">
        <v>10.65</v>
      </c>
      <c r="F83" s="1" t="s">
        <v>9</v>
      </c>
    </row>
    <row collapsed="false" customFormat="false" customHeight="false" hidden="false" ht="14.75" outlineLevel="0" r="84">
      <c r="A84" s="1" t="s">
        <v>100</v>
      </c>
      <c r="B84" s="1" t="s">
        <v>88</v>
      </c>
      <c r="C84" s="1" t="s">
        <v>89</v>
      </c>
      <c r="D84" s="1" t="n">
        <v>77</v>
      </c>
      <c r="E84" s="1" t="n">
        <v>6.82</v>
      </c>
      <c r="F84" s="1" t="s">
        <v>9</v>
      </c>
    </row>
    <row collapsed="false" customFormat="false" customHeight="false" hidden="false" ht="14.75" outlineLevel="0" r="85">
      <c r="A85" s="1" t="s">
        <v>101</v>
      </c>
      <c r="B85" s="1" t="s">
        <v>97</v>
      </c>
      <c r="C85" s="1" t="s">
        <v>89</v>
      </c>
      <c r="D85" s="1" t="n">
        <v>331.7</v>
      </c>
      <c r="E85" s="1" t="n">
        <v>17.26</v>
      </c>
      <c r="F85" s="1" t="n">
        <f aca="false">37/9</f>
        <v>4.11111111111111</v>
      </c>
    </row>
    <row collapsed="false" customFormat="false" customHeight="false" hidden="false" ht="14.75" outlineLevel="0" r="86">
      <c r="A86" s="1" t="s">
        <v>102</v>
      </c>
      <c r="B86" s="1" t="s">
        <v>97</v>
      </c>
      <c r="C86" s="1" t="s">
        <v>89</v>
      </c>
      <c r="D86" s="1" t="n">
        <v>120</v>
      </c>
      <c r="E86" s="1" t="n">
        <v>10.66</v>
      </c>
      <c r="F86" s="1" t="n">
        <f aca="false">4/9</f>
        <v>0.444444444444444</v>
      </c>
    </row>
    <row collapsed="false" customFormat="false" customHeight="false" hidden="false" ht="14.75" outlineLevel="0" r="87">
      <c r="A87" s="1" t="s">
        <v>103</v>
      </c>
      <c r="B87" s="1" t="s">
        <v>88</v>
      </c>
      <c r="C87" s="1" t="s">
        <v>89</v>
      </c>
      <c r="D87" s="1" t="n">
        <v>655.6</v>
      </c>
      <c r="E87" s="1" t="n">
        <v>25.29</v>
      </c>
      <c r="F87" s="1" t="s">
        <v>9</v>
      </c>
    </row>
    <row collapsed="false" customFormat="false" customHeight="false" hidden="false" ht="14.75" outlineLevel="0" r="88">
      <c r="A88" s="1" t="s">
        <v>104</v>
      </c>
      <c r="B88" s="1" t="s">
        <v>88</v>
      </c>
      <c r="C88" s="1" t="s">
        <v>89</v>
      </c>
      <c r="D88" s="1" t="n">
        <v>122.5</v>
      </c>
      <c r="E88" s="1" t="n">
        <v>9.17</v>
      </c>
      <c r="F88" s="1" t="s">
        <v>9</v>
      </c>
    </row>
    <row collapsed="false" customFormat="false" customHeight="false" hidden="false" ht="14.75" outlineLevel="0" r="89">
      <c r="A89" s="1" t="s">
        <v>105</v>
      </c>
      <c r="B89" s="1" t="s">
        <v>97</v>
      </c>
      <c r="C89" s="1" t="s">
        <v>89</v>
      </c>
      <c r="D89" s="1" t="n">
        <v>145</v>
      </c>
      <c r="E89" s="1" t="n">
        <v>8.7</v>
      </c>
      <c r="F89" s="1" t="n">
        <f aca="false">8/9</f>
        <v>0.888888888888889</v>
      </c>
    </row>
    <row collapsed="false" customFormat="false" customHeight="false" hidden="false" ht="14.75" outlineLevel="0" r="90">
      <c r="A90" s="1" t="s">
        <v>106</v>
      </c>
      <c r="B90" s="1" t="s">
        <v>88</v>
      </c>
      <c r="C90" s="1" t="s">
        <v>89</v>
      </c>
      <c r="D90" s="1" t="n">
        <v>362.9</v>
      </c>
      <c r="E90" s="1" t="n">
        <v>18.31</v>
      </c>
      <c r="F90" s="1" t="s">
        <v>9</v>
      </c>
    </row>
    <row collapsed="false" customFormat="false" customHeight="false" hidden="false" ht="14.75" outlineLevel="0" r="91">
      <c r="A91" s="1" t="s">
        <v>106</v>
      </c>
      <c r="B91" s="1" t="s">
        <v>97</v>
      </c>
      <c r="C91" s="1" t="s">
        <v>89</v>
      </c>
      <c r="D91" s="1" t="n">
        <v>361.7</v>
      </c>
      <c r="E91" s="1" t="n">
        <v>20.76</v>
      </c>
      <c r="F91" s="1" t="n">
        <f aca="false">31/9</f>
        <v>3.44444444444444</v>
      </c>
    </row>
    <row collapsed="false" customFormat="false" customHeight="false" hidden="false" ht="14.75" outlineLevel="0" r="92">
      <c r="A92" s="1" t="s">
        <v>107</v>
      </c>
      <c r="B92" s="1" t="s">
        <v>97</v>
      </c>
      <c r="C92" s="1" t="s">
        <v>89</v>
      </c>
      <c r="D92" s="1" t="n">
        <v>415</v>
      </c>
      <c r="E92" s="1" t="n">
        <v>21.39</v>
      </c>
      <c r="F92" s="1" t="n">
        <f aca="false">43/9</f>
        <v>4.77777777777778</v>
      </c>
    </row>
    <row collapsed="false" customFormat="false" customHeight="false" hidden="false" ht="14.75" outlineLevel="0" r="93">
      <c r="A93" s="1" t="s">
        <v>108</v>
      </c>
      <c r="B93" s="1" t="s">
        <v>109</v>
      </c>
      <c r="C93" s="1" t="s">
        <v>89</v>
      </c>
      <c r="D93" s="1" t="n">
        <v>436</v>
      </c>
      <c r="E93" s="1" t="n">
        <v>17.79</v>
      </c>
      <c r="F93" s="1" t="n">
        <v>3.7</v>
      </c>
    </row>
    <row collapsed="false" customFormat="false" customHeight="false" hidden="false" ht="14.75" outlineLevel="0" r="94">
      <c r="A94" s="1" t="s">
        <v>110</v>
      </c>
      <c r="B94" s="1" t="s">
        <v>109</v>
      </c>
      <c r="C94" s="1" t="s">
        <v>89</v>
      </c>
      <c r="D94" s="1" t="n">
        <v>123.1</v>
      </c>
      <c r="E94" s="1" t="n">
        <v>7.12</v>
      </c>
      <c r="F94" s="1" t="n">
        <f aca="false">3/8</f>
        <v>0.375</v>
      </c>
    </row>
    <row collapsed="false" customFormat="false" customHeight="false" hidden="false" ht="14.75" outlineLevel="0" r="95">
      <c r="A95" s="1" t="s">
        <v>111</v>
      </c>
      <c r="B95" s="1" t="s">
        <v>97</v>
      </c>
      <c r="C95" s="1" t="s">
        <v>89</v>
      </c>
      <c r="D95" s="1" t="n">
        <v>93.3</v>
      </c>
      <c r="E95" s="1" t="n">
        <v>8.22</v>
      </c>
      <c r="F95" s="1" t="n">
        <f aca="false">12/9</f>
        <v>1.33333333333333</v>
      </c>
    </row>
    <row collapsed="false" customFormat="false" customHeight="false" hidden="false" ht="14.75" outlineLevel="0" r="96">
      <c r="A96" s="1" t="s">
        <v>112</v>
      </c>
      <c r="B96" s="1" t="s">
        <v>97</v>
      </c>
      <c r="C96" s="1" t="s">
        <v>89</v>
      </c>
      <c r="D96" s="1" t="n">
        <v>68.3</v>
      </c>
      <c r="E96" s="1" t="n">
        <v>6.89</v>
      </c>
      <c r="F96" s="1" t="n">
        <f aca="false">5/9</f>
        <v>0.555555555555556</v>
      </c>
    </row>
    <row collapsed="false" customFormat="false" customHeight="false" hidden="false" ht="14.75" outlineLevel="0" r="97">
      <c r="A97" s="1" t="s">
        <v>113</v>
      </c>
      <c r="B97" s="1" t="s">
        <v>109</v>
      </c>
      <c r="C97" s="1" t="s">
        <v>89</v>
      </c>
      <c r="D97" s="1" t="n">
        <v>106.7</v>
      </c>
      <c r="E97" s="1" t="n">
        <v>8.06</v>
      </c>
      <c r="F97" s="1" t="n">
        <v>0</v>
      </c>
    </row>
    <row collapsed="false" customFormat="false" customHeight="false" hidden="false" ht="14.75" outlineLevel="0" r="98">
      <c r="A98" s="1" t="s">
        <v>114</v>
      </c>
      <c r="B98" s="1" t="s">
        <v>109</v>
      </c>
      <c r="C98" s="1" t="s">
        <v>89</v>
      </c>
      <c r="D98" s="1" t="n">
        <v>25</v>
      </c>
      <c r="E98" s="1" t="n">
        <v>6</v>
      </c>
      <c r="F98" s="1" t="n">
        <f aca="false">1/6</f>
        <v>0.166666666666667</v>
      </c>
    </row>
    <row collapsed="false" customFormat="false" customHeight="false" hidden="false" ht="14.75" outlineLevel="0" r="99">
      <c r="A99" s="1" t="s">
        <v>115</v>
      </c>
      <c r="B99" s="1" t="s">
        <v>109</v>
      </c>
      <c r="C99" s="1" t="s">
        <v>89</v>
      </c>
      <c r="D99" s="1" t="n">
        <v>10</v>
      </c>
      <c r="E99" s="1" t="n">
        <v>1.67</v>
      </c>
      <c r="F99" s="1" t="n">
        <v>0</v>
      </c>
    </row>
    <row collapsed="false" customFormat="false" customHeight="false" hidden="false" ht="14.75" outlineLevel="0" r="100">
      <c r="A100" s="1" t="s">
        <v>62</v>
      </c>
      <c r="B100" s="1" t="s">
        <v>97</v>
      </c>
      <c r="C100" s="1" t="s">
        <v>89</v>
      </c>
      <c r="D100" s="1" t="n">
        <v>552.2</v>
      </c>
      <c r="E100" s="1" t="n">
        <v>24.37</v>
      </c>
      <c r="F100" s="1" t="n">
        <f aca="false">98/9</f>
        <v>10.8888888888889</v>
      </c>
    </row>
    <row collapsed="false" customFormat="false" customHeight="false" hidden="false" ht="14.75" outlineLevel="0" r="101">
      <c r="A101" s="1" t="s">
        <v>63</v>
      </c>
      <c r="B101" s="1" t="s">
        <v>97</v>
      </c>
      <c r="C101" s="1" t="s">
        <v>89</v>
      </c>
      <c r="D101" s="1" t="n">
        <v>357.8</v>
      </c>
      <c r="E101" s="1" t="n">
        <v>20.78</v>
      </c>
      <c r="F101" s="1" t="n">
        <f aca="false">45/9</f>
        <v>5</v>
      </c>
    </row>
    <row collapsed="false" customFormat="false" customHeight="false" hidden="false" ht="14.75" outlineLevel="0" r="102">
      <c r="A102" s="1" t="s">
        <v>116</v>
      </c>
      <c r="B102" s="1" t="s">
        <v>88</v>
      </c>
      <c r="C102" s="1" t="s">
        <v>89</v>
      </c>
      <c r="D102" s="1" t="n">
        <v>196.4</v>
      </c>
      <c r="E102" s="1" t="n">
        <v>11.97</v>
      </c>
      <c r="F102" s="1" t="s">
        <v>9</v>
      </c>
    </row>
    <row collapsed="false" customFormat="false" customHeight="false" hidden="false" ht="14.75" outlineLevel="0" r="103">
      <c r="A103" s="1" t="s">
        <v>117</v>
      </c>
      <c r="B103" s="1" t="s">
        <v>118</v>
      </c>
      <c r="C103" s="1" t="s">
        <v>89</v>
      </c>
      <c r="D103" s="1" t="n">
        <v>112</v>
      </c>
      <c r="E103" s="1" t="n">
        <v>10</v>
      </c>
      <c r="F103" s="1" t="n">
        <f aca="false">2/6</f>
        <v>0.333333333333333</v>
      </c>
    </row>
    <row collapsed="false" customFormat="false" customHeight="false" hidden="false" ht="14.75" outlineLevel="0" r="104">
      <c r="A104" s="1" t="s">
        <v>119</v>
      </c>
      <c r="B104" s="1" t="s">
        <v>118</v>
      </c>
      <c r="C104" s="1" t="s">
        <v>89</v>
      </c>
      <c r="D104" s="1" t="n">
        <v>384</v>
      </c>
      <c r="E104" s="1" t="n">
        <v>20.7</v>
      </c>
      <c r="F104" s="1" t="n">
        <f aca="false">27/6</f>
        <v>4.5</v>
      </c>
    </row>
    <row collapsed="false" customFormat="false" customHeight="false" hidden="false" ht="14.75" outlineLevel="0" r="105">
      <c r="A105" s="1" t="s">
        <v>120</v>
      </c>
      <c r="B105" s="1" t="s">
        <v>118</v>
      </c>
      <c r="C105" s="1" t="s">
        <v>89</v>
      </c>
      <c r="D105" s="1" t="n">
        <v>99</v>
      </c>
      <c r="E105" s="1" t="n">
        <v>9</v>
      </c>
      <c r="F105" s="1" t="n">
        <v>0</v>
      </c>
    </row>
    <row collapsed="false" customFormat="false" customHeight="false" hidden="false" ht="14.75" outlineLevel="0" r="106">
      <c r="A106" s="1" t="s">
        <v>121</v>
      </c>
      <c r="B106" s="1" t="s">
        <v>88</v>
      </c>
      <c r="C106" s="1" t="s">
        <v>89</v>
      </c>
      <c r="D106" s="1" t="n">
        <v>339.3</v>
      </c>
      <c r="E106" s="1" t="n">
        <v>16.57</v>
      </c>
      <c r="F106" s="1" t="s">
        <v>9</v>
      </c>
    </row>
    <row collapsed="false" customFormat="false" customHeight="false" hidden="false" ht="14.75" outlineLevel="0" r="107">
      <c r="A107" s="1" t="s">
        <v>122</v>
      </c>
      <c r="B107" s="1" t="s">
        <v>118</v>
      </c>
      <c r="C107" s="1" t="s">
        <v>89</v>
      </c>
      <c r="D107" s="1" t="n">
        <v>49</v>
      </c>
      <c r="E107" s="1" t="n">
        <v>6.5</v>
      </c>
      <c r="F107" s="1" t="n">
        <v>0</v>
      </c>
    </row>
    <row collapsed="false" customFormat="false" customHeight="false" hidden="false" ht="14.75" outlineLevel="0" r="108">
      <c r="A108" s="1" t="s">
        <v>123</v>
      </c>
      <c r="B108" s="1" t="s">
        <v>118</v>
      </c>
      <c r="C108" s="1" t="s">
        <v>89</v>
      </c>
      <c r="D108" s="1" t="n">
        <v>384</v>
      </c>
      <c r="E108" s="1" t="n">
        <v>20.1</v>
      </c>
      <c r="F108" s="1" t="n">
        <v>4</v>
      </c>
    </row>
    <row collapsed="false" customFormat="false" customHeight="false" hidden="false" ht="14.75" outlineLevel="0" r="109">
      <c r="A109" s="1" t="s">
        <v>124</v>
      </c>
      <c r="B109" s="1" t="s">
        <v>118</v>
      </c>
      <c r="C109" s="1" t="s">
        <v>89</v>
      </c>
      <c r="D109" s="1" t="n">
        <v>81</v>
      </c>
      <c r="E109" s="1" t="n">
        <v>5.4</v>
      </c>
      <c r="F109" s="1" t="n">
        <v>0.5</v>
      </c>
    </row>
    <row collapsed="false" customFormat="false" customHeight="false" hidden="false" ht="14.75" outlineLevel="0" r="110">
      <c r="A110" s="1" t="s">
        <v>125</v>
      </c>
      <c r="B110" s="1" t="s">
        <v>109</v>
      </c>
      <c r="C110" s="1" t="s">
        <v>89</v>
      </c>
      <c r="D110" s="1" t="n">
        <v>126.7</v>
      </c>
      <c r="E110" s="1" t="n">
        <v>8.12</v>
      </c>
      <c r="F110" s="1" t="n">
        <f aca="false">3/9</f>
        <v>0.333333333333333</v>
      </c>
    </row>
    <row collapsed="false" customFormat="false" customHeight="false" hidden="false" ht="14.75" outlineLevel="0" r="111">
      <c r="A111" s="1" t="s">
        <v>126</v>
      </c>
      <c r="B111" s="1" t="s">
        <v>97</v>
      </c>
      <c r="C111" s="1" t="s">
        <v>89</v>
      </c>
      <c r="D111" s="1" t="n">
        <v>88.9</v>
      </c>
      <c r="E111" s="1" t="n">
        <v>9.07</v>
      </c>
      <c r="F111" s="1" t="n">
        <f aca="false">2/9</f>
        <v>0.222222222222222</v>
      </c>
    </row>
    <row collapsed="false" customFormat="false" customHeight="false" hidden="false" ht="14.75" outlineLevel="0" r="112">
      <c r="A112" s="1" t="s">
        <v>127</v>
      </c>
      <c r="B112" s="1" t="s">
        <v>128</v>
      </c>
      <c r="C112" s="1" t="s">
        <v>89</v>
      </c>
      <c r="D112" s="1" t="n">
        <v>206</v>
      </c>
      <c r="E112" s="1" t="n">
        <v>13.26</v>
      </c>
      <c r="F112" s="1" t="n">
        <v>1.1</v>
      </c>
    </row>
    <row collapsed="false" customFormat="false" customHeight="false" hidden="false" ht="14.75" outlineLevel="0" r="113">
      <c r="A113" s="1" t="s">
        <v>129</v>
      </c>
      <c r="B113" s="1" t="s">
        <v>128</v>
      </c>
      <c r="C113" s="1" t="s">
        <v>89</v>
      </c>
      <c r="D113" s="1" t="n">
        <v>43</v>
      </c>
      <c r="E113" s="1" t="n">
        <v>8.08</v>
      </c>
      <c r="F113" s="1" t="n">
        <v>0.2</v>
      </c>
    </row>
    <row collapsed="false" customFormat="false" customHeight="false" hidden="false" ht="14.75" outlineLevel="0" r="114">
      <c r="A114" s="1" t="s">
        <v>130</v>
      </c>
      <c r="B114" s="1" t="s">
        <v>109</v>
      </c>
      <c r="C114" s="1" t="s">
        <v>89</v>
      </c>
      <c r="D114" s="1" t="n">
        <v>147.5</v>
      </c>
      <c r="E114" s="1" t="n">
        <v>9.47</v>
      </c>
      <c r="F114" s="1" t="n">
        <v>0.6</v>
      </c>
    </row>
    <row collapsed="false" customFormat="false" customHeight="false" hidden="false" ht="14.75" outlineLevel="0" r="115">
      <c r="A115" s="1" t="s">
        <v>131</v>
      </c>
      <c r="B115" s="1" t="s">
        <v>88</v>
      </c>
      <c r="C115" s="1" t="s">
        <v>89</v>
      </c>
      <c r="D115" s="1" t="n">
        <v>90</v>
      </c>
      <c r="E115" s="1" t="n">
        <v>7.94</v>
      </c>
      <c r="F115" s="1" t="s">
        <v>9</v>
      </c>
    </row>
    <row collapsed="false" customFormat="false" customHeight="false" hidden="false" ht="14.75" outlineLevel="0" r="116">
      <c r="A116" s="1" t="s">
        <v>132</v>
      </c>
      <c r="B116" s="1" t="s">
        <v>88</v>
      </c>
      <c r="C116" s="1" t="s">
        <v>89</v>
      </c>
      <c r="D116" s="1" t="n">
        <v>52</v>
      </c>
      <c r="E116" s="1" t="n">
        <v>8.57</v>
      </c>
      <c r="F116" s="1" t="s">
        <v>9</v>
      </c>
    </row>
    <row collapsed="false" customFormat="false" customHeight="false" hidden="false" ht="14.75" outlineLevel="0" r="117">
      <c r="A117" s="1" t="s">
        <v>133</v>
      </c>
      <c r="B117" s="1" t="s">
        <v>118</v>
      </c>
      <c r="C117" s="1" t="s">
        <v>89</v>
      </c>
      <c r="D117" s="1" t="n">
        <v>318</v>
      </c>
      <c r="E117" s="1" t="n">
        <v>17.8</v>
      </c>
      <c r="F117" s="1" t="n">
        <f aca="false">15/6</f>
        <v>2.5</v>
      </c>
    </row>
    <row collapsed="false" customFormat="false" customHeight="false" hidden="false" ht="14.75" outlineLevel="0" r="118">
      <c r="A118" s="1" t="s">
        <v>134</v>
      </c>
      <c r="B118" s="1" t="s">
        <v>118</v>
      </c>
      <c r="C118" s="1" t="s">
        <v>89</v>
      </c>
      <c r="D118" s="1" t="n">
        <v>473</v>
      </c>
      <c r="E118" s="1" t="n">
        <v>20.9</v>
      </c>
      <c r="F118" s="1" t="n">
        <f aca="false">28/6</f>
        <v>4.66666666666667</v>
      </c>
    </row>
    <row collapsed="false" customFormat="false" customHeight="false" hidden="false" ht="14.75" outlineLevel="0" r="119">
      <c r="A119" s="1" t="s">
        <v>135</v>
      </c>
      <c r="B119" s="1" t="s">
        <v>118</v>
      </c>
      <c r="C119" s="1" t="s">
        <v>89</v>
      </c>
      <c r="D119" s="1" t="n">
        <v>140</v>
      </c>
      <c r="E119" s="1" t="n">
        <v>10.2</v>
      </c>
      <c r="F119" s="1" t="n">
        <f aca="false">4/6</f>
        <v>0.666666666666667</v>
      </c>
    </row>
    <row collapsed="false" customFormat="false" customHeight="false" hidden="false" ht="14.75" outlineLevel="0" r="120">
      <c r="A120" s="1" t="s">
        <v>136</v>
      </c>
      <c r="B120" s="1" t="s">
        <v>118</v>
      </c>
      <c r="C120" s="1" t="s">
        <v>89</v>
      </c>
      <c r="D120" s="1" t="n">
        <v>116</v>
      </c>
      <c r="E120" s="1" t="n">
        <v>7.4</v>
      </c>
      <c r="F120" s="1" t="n">
        <f aca="false">4/6</f>
        <v>0.666666666666667</v>
      </c>
    </row>
    <row collapsed="false" customFormat="false" customHeight="false" hidden="false" ht="14.75" outlineLevel="0" r="121">
      <c r="A121" s="1" t="s">
        <v>137</v>
      </c>
      <c r="B121" s="1" t="s">
        <v>109</v>
      </c>
      <c r="C121" s="1" t="s">
        <v>89</v>
      </c>
      <c r="D121" s="1" t="n">
        <v>162</v>
      </c>
      <c r="E121" s="1" t="n">
        <v>11.54</v>
      </c>
      <c r="F121" s="1" t="n">
        <v>0.4</v>
      </c>
    </row>
    <row collapsed="false" customFormat="false" customHeight="false" hidden="false" ht="14.75" outlineLevel="0" r="122">
      <c r="A122" s="1" t="s">
        <v>138</v>
      </c>
      <c r="B122" s="1" t="s">
        <v>109</v>
      </c>
      <c r="C122" s="1" t="s">
        <v>89</v>
      </c>
      <c r="D122" s="1" t="n">
        <v>53.3</v>
      </c>
      <c r="E122" s="1" t="n">
        <v>5</v>
      </c>
      <c r="F122" s="1" t="n">
        <f aca="false">2/6</f>
        <v>0.333333333333333</v>
      </c>
    </row>
    <row collapsed="false" customFormat="false" customHeight="false" hidden="false" ht="14.75" outlineLevel="0" r="123">
      <c r="A123" s="1" t="s">
        <v>139</v>
      </c>
      <c r="B123" s="1" t="s">
        <v>97</v>
      </c>
      <c r="C123" s="1" t="s">
        <v>89</v>
      </c>
      <c r="D123" s="1" t="n">
        <v>565</v>
      </c>
      <c r="E123" s="1" t="n">
        <v>23.79</v>
      </c>
      <c r="F123" s="1" t="n">
        <f aca="false">87/9</f>
        <v>9.66666666666667</v>
      </c>
    </row>
    <row collapsed="false" customFormat="false" customHeight="false" hidden="false" ht="14.75" outlineLevel="0" r="124">
      <c r="A124" s="1" t="s">
        <v>140</v>
      </c>
      <c r="B124" s="1" t="s">
        <v>97</v>
      </c>
      <c r="C124" s="1" t="s">
        <v>89</v>
      </c>
      <c r="D124" s="1" t="n">
        <v>220</v>
      </c>
      <c r="E124" s="1" t="n">
        <v>13.24</v>
      </c>
      <c r="F124" s="1" t="n">
        <f aca="false">15/9</f>
        <v>1.66666666666667</v>
      </c>
    </row>
    <row collapsed="false" customFormat="false" customHeight="false" hidden="false" ht="14.75" outlineLevel="0" r="125">
      <c r="A125" s="1" t="s">
        <v>141</v>
      </c>
      <c r="B125" s="1" t="s">
        <v>109</v>
      </c>
      <c r="C125" s="1" t="s">
        <v>89</v>
      </c>
      <c r="D125" s="1" t="n">
        <v>9.2</v>
      </c>
      <c r="E125" s="1" t="n">
        <v>2</v>
      </c>
      <c r="F125" s="1" t="n">
        <v>0</v>
      </c>
    </row>
    <row collapsed="false" customFormat="false" customHeight="false" hidden="false" ht="14.75" outlineLevel="0" r="126">
      <c r="A126" s="1" t="s">
        <v>142</v>
      </c>
      <c r="B126" s="1" t="s">
        <v>97</v>
      </c>
      <c r="C126" s="1" t="s">
        <v>89</v>
      </c>
      <c r="D126" s="1" t="n">
        <v>48.3</v>
      </c>
      <c r="E126" s="1" t="n">
        <v>5.31</v>
      </c>
      <c r="F126" s="1" t="n">
        <v>0</v>
      </c>
    </row>
    <row collapsed="false" customFormat="false" customHeight="false" hidden="false" ht="14.75" outlineLevel="0" r="127">
      <c r="A127" s="1" t="s">
        <v>143</v>
      </c>
      <c r="B127" s="1" t="s">
        <v>109</v>
      </c>
      <c r="C127" s="1" t="s">
        <v>89</v>
      </c>
      <c r="D127" s="1" t="n">
        <v>56.7</v>
      </c>
      <c r="E127" s="1" t="n">
        <v>4.58</v>
      </c>
      <c r="F127" s="1" t="n">
        <v>0</v>
      </c>
    </row>
    <row collapsed="false" customFormat="false" customHeight="false" hidden="false" ht="14.75" outlineLevel="0" r="128">
      <c r="A128" s="1" t="s">
        <v>144</v>
      </c>
      <c r="B128" s="1" t="s">
        <v>118</v>
      </c>
      <c r="C128" s="1" t="s">
        <v>89</v>
      </c>
      <c r="D128" s="1" t="n">
        <v>38</v>
      </c>
      <c r="E128" s="1" t="n">
        <v>8.2</v>
      </c>
      <c r="F128" s="1" t="n">
        <v>0</v>
      </c>
    </row>
    <row collapsed="false" customFormat="false" customHeight="false" hidden="false" ht="14.75" outlineLevel="0" r="129">
      <c r="A129" s="1" t="s">
        <v>145</v>
      </c>
      <c r="B129" s="1" t="s">
        <v>109</v>
      </c>
      <c r="C129" s="1" t="s">
        <v>89</v>
      </c>
      <c r="D129" s="1" t="n">
        <v>111.9</v>
      </c>
      <c r="E129" s="1" t="n">
        <v>9.36</v>
      </c>
      <c r="F129" s="1" t="n">
        <f aca="false">3/8</f>
        <v>0.375</v>
      </c>
    </row>
    <row collapsed="false" customFormat="false" customHeight="false" hidden="false" ht="14.75" outlineLevel="0" r="130">
      <c r="A130" s="1" t="s">
        <v>146</v>
      </c>
      <c r="B130" s="1" t="s">
        <v>128</v>
      </c>
      <c r="C130" s="1" t="s">
        <v>89</v>
      </c>
      <c r="D130" s="1" t="n">
        <v>433</v>
      </c>
      <c r="E130" s="1" t="n">
        <v>20.56</v>
      </c>
      <c r="F130" s="1" t="n">
        <v>6.4</v>
      </c>
    </row>
    <row collapsed="false" customFormat="false" customHeight="false" hidden="false" ht="14.75" outlineLevel="0" r="131">
      <c r="A131" s="1" t="s">
        <v>147</v>
      </c>
      <c r="B131" s="1" t="s">
        <v>91</v>
      </c>
      <c r="C131" s="1" t="s">
        <v>89</v>
      </c>
      <c r="D131" s="1" t="n">
        <v>170</v>
      </c>
      <c r="E131" s="1" t="n">
        <v>9.86</v>
      </c>
      <c r="F131" s="1" t="n">
        <f aca="false">9/8</f>
        <v>1.125</v>
      </c>
    </row>
    <row collapsed="false" customFormat="false" customHeight="false" hidden="false" ht="14.75" outlineLevel="0" r="132">
      <c r="A132" s="1" t="s">
        <v>148</v>
      </c>
      <c r="B132" s="1" t="s">
        <v>91</v>
      </c>
      <c r="C132" s="1" t="s">
        <v>89</v>
      </c>
      <c r="D132" s="1" t="n">
        <v>98.1</v>
      </c>
      <c r="E132" s="1" t="n">
        <v>6.88</v>
      </c>
      <c r="F132" s="1" t="n">
        <f aca="false">1/8</f>
        <v>0.125</v>
      </c>
    </row>
    <row collapsed="false" customFormat="false" customHeight="false" hidden="false" ht="14.75" outlineLevel="0" r="133">
      <c r="A133" s="1" t="s">
        <v>19</v>
      </c>
      <c r="B133" s="1" t="s">
        <v>128</v>
      </c>
      <c r="C133" s="1" t="s">
        <v>89</v>
      </c>
      <c r="D133" s="1" t="n">
        <v>485</v>
      </c>
      <c r="E133" s="1" t="n">
        <v>23.53</v>
      </c>
      <c r="F133" s="1" t="n">
        <v>6.7</v>
      </c>
    </row>
    <row collapsed="false" customFormat="false" customHeight="false" hidden="false" ht="14.75" outlineLevel="0" r="134">
      <c r="A134" s="1" t="s">
        <v>20</v>
      </c>
      <c r="B134" s="1" t="s">
        <v>128</v>
      </c>
      <c r="C134" s="1" t="s">
        <v>89</v>
      </c>
      <c r="D134" s="1" t="n">
        <v>255</v>
      </c>
      <c r="E134" s="1" t="n">
        <v>15.95</v>
      </c>
      <c r="F134" s="1" t="n">
        <v>1.9</v>
      </c>
    </row>
    <row collapsed="false" customFormat="false" customHeight="false" hidden="false" ht="14.75" outlineLevel="0" r="135">
      <c r="A135" s="1" t="s">
        <v>149</v>
      </c>
      <c r="B135" s="1" t="s">
        <v>128</v>
      </c>
      <c r="C135" s="1" t="s">
        <v>89</v>
      </c>
      <c r="D135" s="1" t="n">
        <v>177</v>
      </c>
      <c r="E135" s="1" t="n">
        <v>12.82</v>
      </c>
      <c r="F135" s="1" t="n">
        <v>1.3</v>
      </c>
    </row>
    <row collapsed="false" customFormat="false" customHeight="false" hidden="false" ht="14.75" outlineLevel="0" r="136">
      <c r="A136" s="1" t="s">
        <v>150</v>
      </c>
      <c r="B136" s="1" t="s">
        <v>128</v>
      </c>
      <c r="C136" s="1" t="s">
        <v>89</v>
      </c>
      <c r="D136" s="1" t="n">
        <v>432</v>
      </c>
      <c r="E136" s="1" t="n">
        <v>23.04</v>
      </c>
      <c r="F136" s="1" t="n">
        <v>6.3</v>
      </c>
    </row>
    <row collapsed="false" customFormat="false" customHeight="false" hidden="false" ht="14.75" outlineLevel="0" r="137">
      <c r="A137" s="1" t="s">
        <v>151</v>
      </c>
      <c r="B137" s="1" t="s">
        <v>97</v>
      </c>
      <c r="C137" s="1" t="s">
        <v>89</v>
      </c>
      <c r="D137" s="1" t="n">
        <v>388.9</v>
      </c>
      <c r="E137" s="1" t="n">
        <v>18.25</v>
      </c>
      <c r="F137" s="1" t="n">
        <f aca="false">39/9</f>
        <v>4.33333333333333</v>
      </c>
    </row>
    <row collapsed="false" customFormat="false" customHeight="false" hidden="false" ht="14.75" outlineLevel="0" r="138">
      <c r="A138" s="1" t="s">
        <v>152</v>
      </c>
      <c r="B138" s="1" t="s">
        <v>97</v>
      </c>
      <c r="C138" s="1" t="s">
        <v>89</v>
      </c>
      <c r="D138" s="1" t="n">
        <v>167.2</v>
      </c>
      <c r="E138" s="1" t="n">
        <v>13.03</v>
      </c>
      <c r="F138" s="1" t="n">
        <f aca="false">7/9</f>
        <v>0.777777777777778</v>
      </c>
    </row>
    <row collapsed="false" customFormat="false" customHeight="false" hidden="false" ht="14.75" outlineLevel="0" r="139">
      <c r="A139" s="1" t="s">
        <v>153</v>
      </c>
      <c r="B139" s="1" t="s">
        <v>91</v>
      </c>
      <c r="C139" s="1" t="s">
        <v>89</v>
      </c>
      <c r="D139" s="1" t="n">
        <v>71.2</v>
      </c>
      <c r="E139" s="1" t="n">
        <v>7.21</v>
      </c>
      <c r="F139" s="1" t="n">
        <f aca="false">2/8</f>
        <v>0.25</v>
      </c>
    </row>
    <row collapsed="false" customFormat="false" customHeight="false" hidden="false" ht="14.75" outlineLevel="0" r="140">
      <c r="A140" s="1" t="s">
        <v>72</v>
      </c>
      <c r="B140" s="1" t="s">
        <v>88</v>
      </c>
      <c r="C140" s="1" t="s">
        <v>89</v>
      </c>
      <c r="D140" s="1" t="n">
        <v>337.9</v>
      </c>
      <c r="E140" s="1" t="n">
        <v>18.62</v>
      </c>
      <c r="F140" s="1" t="s">
        <v>9</v>
      </c>
    </row>
    <row collapsed="false" customFormat="false" customHeight="false" hidden="false" ht="14.75" outlineLevel="0" r="141">
      <c r="A141" s="1" t="s">
        <v>73</v>
      </c>
      <c r="B141" s="1" t="s">
        <v>88</v>
      </c>
      <c r="C141" s="1" t="s">
        <v>89</v>
      </c>
      <c r="D141" s="1" t="n">
        <v>215.8</v>
      </c>
      <c r="E141" s="1" t="n">
        <v>13.52</v>
      </c>
      <c r="F141" s="1" t="s">
        <v>9</v>
      </c>
    </row>
    <row collapsed="false" customFormat="false" customHeight="false" hidden="false" ht="14.75" outlineLevel="0" r="142">
      <c r="A142" s="1" t="s">
        <v>74</v>
      </c>
      <c r="B142" s="1" t="s">
        <v>88</v>
      </c>
      <c r="C142" s="1" t="s">
        <v>89</v>
      </c>
      <c r="D142" s="1" t="n">
        <v>87.5</v>
      </c>
      <c r="E142" s="1" t="n">
        <v>8.21</v>
      </c>
      <c r="F142" s="1" t="s">
        <v>9</v>
      </c>
    </row>
    <row collapsed="false" customFormat="false" customHeight="false" hidden="false" ht="14.75" outlineLevel="0" r="143">
      <c r="A143" s="1" t="s">
        <v>154</v>
      </c>
      <c r="B143" s="1" t="s">
        <v>91</v>
      </c>
      <c r="C143" s="1" t="s">
        <v>89</v>
      </c>
      <c r="D143" s="1" t="n">
        <v>45.6</v>
      </c>
      <c r="E143" s="1" t="n">
        <v>6.67</v>
      </c>
      <c r="F143" s="1" t="n">
        <f aca="false">2/8</f>
        <v>0.25</v>
      </c>
    </row>
    <row collapsed="false" customFormat="false" customHeight="false" hidden="false" ht="14.75" outlineLevel="0" r="144">
      <c r="A144" s="1" t="s">
        <v>155</v>
      </c>
      <c r="B144" s="1" t="s">
        <v>97</v>
      </c>
      <c r="C144" s="1" t="s">
        <v>89</v>
      </c>
      <c r="D144" s="1" t="n">
        <v>65</v>
      </c>
      <c r="E144" s="1" t="n">
        <v>7.94</v>
      </c>
      <c r="F144" s="1" t="n">
        <f aca="false">1/9</f>
        <v>0.111111111111111</v>
      </c>
    </row>
    <row collapsed="false" customFormat="false" customHeight="false" hidden="false" ht="14.75" outlineLevel="0" r="145">
      <c r="A145" s="1" t="s">
        <v>156</v>
      </c>
      <c r="B145" s="1" t="s">
        <v>88</v>
      </c>
      <c r="C145" s="1" t="s">
        <v>89</v>
      </c>
      <c r="D145" s="1" t="n">
        <v>82.5</v>
      </c>
      <c r="E145" s="1" t="n">
        <v>6.9</v>
      </c>
      <c r="F145" s="1" t="s">
        <v>9</v>
      </c>
    </row>
    <row collapsed="false" customFormat="false" customHeight="false" hidden="false" ht="14.75" outlineLevel="0" r="146">
      <c r="A146" s="1" t="s">
        <v>157</v>
      </c>
      <c r="B146" s="1" t="s">
        <v>88</v>
      </c>
      <c r="C146" s="1" t="s">
        <v>89</v>
      </c>
      <c r="D146" s="1" t="n">
        <v>104.2</v>
      </c>
      <c r="E146" s="1" t="n">
        <v>9.06</v>
      </c>
      <c r="F146" s="1" t="s">
        <v>9</v>
      </c>
    </row>
    <row collapsed="false" customFormat="false" customHeight="false" hidden="false" ht="14.75" outlineLevel="0" r="147">
      <c r="A147" s="1" t="s">
        <v>158</v>
      </c>
      <c r="B147" s="1" t="s">
        <v>118</v>
      </c>
      <c r="C147" s="1" t="s">
        <v>89</v>
      </c>
      <c r="D147" s="1" t="n">
        <v>319</v>
      </c>
      <c r="E147" s="1" t="n">
        <v>18.1</v>
      </c>
      <c r="F147" s="1" t="n">
        <f aca="false">16/6</f>
        <v>2.66666666666667</v>
      </c>
    </row>
    <row collapsed="false" customFormat="false" customHeight="false" hidden="false" ht="14.75" outlineLevel="0" r="148">
      <c r="A148" s="1" t="s">
        <v>159</v>
      </c>
      <c r="B148" s="1" t="s">
        <v>118</v>
      </c>
      <c r="C148" s="1" t="s">
        <v>89</v>
      </c>
      <c r="D148" s="1" t="n">
        <v>131</v>
      </c>
      <c r="E148" s="1" t="n">
        <v>12.9</v>
      </c>
      <c r="F148" s="1" t="n">
        <f aca="false">4/6</f>
        <v>0.666666666666667</v>
      </c>
    </row>
    <row collapsed="false" customFormat="false" customHeight="false" hidden="false" ht="14.75" outlineLevel="0" r="149">
      <c r="A149" s="1" t="s">
        <v>160</v>
      </c>
      <c r="B149" s="1" t="s">
        <v>109</v>
      </c>
      <c r="C149" s="1" t="s">
        <v>89</v>
      </c>
      <c r="D149" s="1" t="n">
        <v>94.5</v>
      </c>
      <c r="E149" s="1" t="n">
        <v>7.37</v>
      </c>
      <c r="F149" s="1" t="n">
        <v>0.3</v>
      </c>
    </row>
    <row collapsed="false" customFormat="false" customHeight="false" hidden="false" ht="14.75" outlineLevel="0" r="150">
      <c r="A150" s="1" t="s">
        <v>161</v>
      </c>
      <c r="B150" s="1" t="s">
        <v>97</v>
      </c>
      <c r="C150" s="1" t="s">
        <v>89</v>
      </c>
      <c r="D150" s="1" t="n">
        <v>151.7</v>
      </c>
      <c r="E150" s="1" t="n">
        <v>11.77</v>
      </c>
      <c r="F150" s="1" t="n">
        <f aca="false">8/9</f>
        <v>0.888888888888889</v>
      </c>
    </row>
    <row collapsed="false" customFormat="false" customHeight="false" hidden="false" ht="14.75" outlineLevel="0" r="151">
      <c r="A151" s="1" t="s">
        <v>162</v>
      </c>
      <c r="B151" s="1" t="s">
        <v>97</v>
      </c>
      <c r="C151" s="1" t="s">
        <v>89</v>
      </c>
      <c r="D151" s="1" t="n">
        <v>66.7</v>
      </c>
      <c r="E151" s="1" t="n">
        <v>10</v>
      </c>
      <c r="F151" s="1" t="n">
        <f aca="false">2/9</f>
        <v>0.222222222222222</v>
      </c>
    </row>
    <row collapsed="false" customFormat="false" customHeight="false" hidden="false" ht="14.75" outlineLevel="0" r="152">
      <c r="A152" s="1" t="s">
        <v>163</v>
      </c>
      <c r="B152" s="1" t="s">
        <v>128</v>
      </c>
      <c r="C152" s="1" t="s">
        <v>89</v>
      </c>
      <c r="D152" s="1" t="n">
        <v>381.5</v>
      </c>
      <c r="E152" s="1" t="n">
        <v>19.92</v>
      </c>
      <c r="F152" s="1" t="n">
        <v>5.5</v>
      </c>
    </row>
    <row collapsed="false" customFormat="false" customHeight="false" hidden="false" ht="14.75" outlineLevel="0" r="153">
      <c r="A153" s="1" t="s">
        <v>164</v>
      </c>
      <c r="B153" s="1" t="s">
        <v>128</v>
      </c>
      <c r="C153" s="1" t="s">
        <v>89</v>
      </c>
      <c r="D153" s="1" t="n">
        <v>105</v>
      </c>
      <c r="E153" s="1" t="n">
        <v>8.62</v>
      </c>
      <c r="F153" s="1" t="n">
        <v>1.1</v>
      </c>
    </row>
    <row collapsed="false" customFormat="false" customHeight="false" hidden="false" ht="14.75" outlineLevel="0" r="154">
      <c r="A154" s="1" t="s">
        <v>165</v>
      </c>
      <c r="B154" s="1" t="s">
        <v>128</v>
      </c>
      <c r="C154" s="1" t="s">
        <v>89</v>
      </c>
      <c r="D154" s="1" t="n">
        <v>28.5</v>
      </c>
      <c r="E154" s="1" t="n">
        <v>6.67</v>
      </c>
      <c r="F154" s="1" t="n">
        <v>0</v>
      </c>
    </row>
    <row collapsed="false" customFormat="false" customHeight="false" hidden="false" ht="14.75" outlineLevel="0" r="155">
      <c r="A155" s="1" t="s">
        <v>166</v>
      </c>
      <c r="B155" s="1" t="s">
        <v>88</v>
      </c>
      <c r="C155" s="1" t="s">
        <v>89</v>
      </c>
      <c r="D155" s="1" t="n">
        <v>238.6</v>
      </c>
      <c r="E155" s="1" t="n">
        <v>14.33</v>
      </c>
      <c r="F155" s="1" t="s">
        <v>9</v>
      </c>
    </row>
    <row collapsed="false" customFormat="false" customHeight="false" hidden="false" ht="14.75" outlineLevel="0" r="156">
      <c r="A156" s="1" t="s">
        <v>167</v>
      </c>
      <c r="B156" s="1" t="s">
        <v>88</v>
      </c>
      <c r="C156" s="1" t="s">
        <v>89</v>
      </c>
      <c r="D156" s="1" t="n">
        <v>113.3</v>
      </c>
      <c r="E156" s="1" t="n">
        <v>7.92</v>
      </c>
      <c r="F156" s="1" t="s">
        <v>9</v>
      </c>
    </row>
    <row collapsed="false" customFormat="false" customHeight="false" hidden="false" ht="14.75" outlineLevel="0" r="157">
      <c r="A157" s="1" t="s">
        <v>168</v>
      </c>
      <c r="B157" s="1" t="s">
        <v>88</v>
      </c>
      <c r="C157" s="1" t="s">
        <v>89</v>
      </c>
      <c r="D157" s="1" t="n">
        <v>23.3</v>
      </c>
      <c r="E157" s="1" t="n">
        <v>5.56</v>
      </c>
      <c r="F157" s="1" t="s">
        <v>9</v>
      </c>
    </row>
    <row collapsed="false" customFormat="false" customHeight="false" hidden="false" ht="14.75" outlineLevel="0" r="158">
      <c r="A158" s="1" t="s">
        <v>169</v>
      </c>
      <c r="B158" s="1" t="s">
        <v>109</v>
      </c>
      <c r="C158" s="1" t="s">
        <v>89</v>
      </c>
      <c r="D158" s="1" t="n">
        <v>214.5</v>
      </c>
      <c r="E158" s="1" t="n">
        <v>13.12</v>
      </c>
      <c r="F158" s="1" t="n">
        <v>0.3</v>
      </c>
    </row>
    <row collapsed="false" customFormat="false" customHeight="false" hidden="false" ht="14.75" outlineLevel="0" r="159">
      <c r="A159" s="1" t="s">
        <v>170</v>
      </c>
      <c r="B159" s="1" t="s">
        <v>118</v>
      </c>
      <c r="C159" s="1" t="s">
        <v>89</v>
      </c>
      <c r="D159" s="1" t="n">
        <v>94</v>
      </c>
      <c r="E159" s="1" t="n">
        <v>8.7</v>
      </c>
      <c r="F159" s="1" t="n">
        <v>0</v>
      </c>
    </row>
    <row collapsed="false" customFormat="false" customHeight="false" hidden="false" ht="14.75" outlineLevel="0" r="160">
      <c r="A160" s="1" t="s">
        <v>171</v>
      </c>
      <c r="B160" s="1" t="s">
        <v>97</v>
      </c>
      <c r="C160" s="1" t="s">
        <v>89</v>
      </c>
      <c r="D160" s="1" t="n">
        <v>226.1</v>
      </c>
      <c r="E160" s="1" t="n">
        <v>14.46</v>
      </c>
      <c r="F160" s="1" t="n">
        <f aca="false">13/9</f>
        <v>1.44444444444444</v>
      </c>
    </row>
    <row collapsed="false" customFormat="false" customHeight="false" hidden="false" ht="14.75" outlineLevel="0" r="161">
      <c r="A161" s="1" t="s">
        <v>172</v>
      </c>
      <c r="B161" s="1" t="s">
        <v>128</v>
      </c>
      <c r="C161" s="1" t="s">
        <v>89</v>
      </c>
      <c r="D161" s="1" t="n">
        <v>332</v>
      </c>
      <c r="E161" s="1" t="n">
        <v>17.67</v>
      </c>
      <c r="F161" s="1" t="n">
        <v>3.3</v>
      </c>
    </row>
    <row collapsed="false" customFormat="false" customHeight="false" hidden="false" ht="14.75" outlineLevel="0" r="162">
      <c r="A162" s="1" t="s">
        <v>173</v>
      </c>
      <c r="B162" s="1" t="s">
        <v>109</v>
      </c>
      <c r="C162" s="1" t="s">
        <v>89</v>
      </c>
      <c r="D162" s="1" t="n">
        <v>102.5</v>
      </c>
      <c r="E162" s="1" t="n">
        <v>6.8</v>
      </c>
      <c r="F162" s="1" t="n">
        <f aca="false">1/8</f>
        <v>0.125</v>
      </c>
    </row>
    <row collapsed="false" customFormat="false" customHeight="false" hidden="false" ht="14.75" outlineLevel="0" r="163">
      <c r="A163" s="1" t="s">
        <v>174</v>
      </c>
      <c r="B163" s="1" t="s">
        <v>109</v>
      </c>
      <c r="C163" s="1" t="s">
        <v>89</v>
      </c>
      <c r="D163" s="1" t="n">
        <v>376.5</v>
      </c>
      <c r="E163" s="1" t="n">
        <v>17.48</v>
      </c>
      <c r="F163" s="1" t="n">
        <v>2.4</v>
      </c>
    </row>
    <row collapsed="false" customFormat="false" customHeight="false" hidden="false" ht="14.75" outlineLevel="0" r="164">
      <c r="A164" s="1" t="s">
        <v>175</v>
      </c>
      <c r="B164" s="1" t="s">
        <v>109</v>
      </c>
      <c r="C164" s="1" t="s">
        <v>89</v>
      </c>
      <c r="D164" s="1" t="n">
        <v>67.2</v>
      </c>
      <c r="E164" s="1" t="n">
        <v>6.12</v>
      </c>
      <c r="F164" s="1" t="n">
        <f aca="false">3/9</f>
        <v>0.333333333333333</v>
      </c>
    </row>
    <row collapsed="false" customFormat="false" customHeight="false" hidden="false" ht="14.75" outlineLevel="0" r="165">
      <c r="A165" s="1" t="s">
        <v>176</v>
      </c>
      <c r="B165" s="1" t="s">
        <v>118</v>
      </c>
      <c r="C165" s="1" t="s">
        <v>89</v>
      </c>
      <c r="D165" s="1" t="n">
        <v>67</v>
      </c>
      <c r="E165" s="1" t="n">
        <v>8.2</v>
      </c>
      <c r="F165" s="1" t="n">
        <f aca="false">2/6</f>
        <v>0.333333333333333</v>
      </c>
    </row>
    <row collapsed="false" customFormat="false" customHeight="false" hidden="false" ht="14.75" outlineLevel="0" r="166">
      <c r="A166" s="1" t="s">
        <v>177</v>
      </c>
      <c r="B166" s="1" t="s">
        <v>128</v>
      </c>
      <c r="C166" s="1" t="s">
        <v>89</v>
      </c>
      <c r="D166" s="1" t="n">
        <v>159</v>
      </c>
      <c r="E166" s="1" t="n">
        <v>12.39</v>
      </c>
      <c r="F166" s="1" t="n">
        <v>1.3</v>
      </c>
    </row>
    <row collapsed="false" customFormat="false" customHeight="false" hidden="false" ht="14.75" outlineLevel="0" r="167">
      <c r="A167" s="1" t="s">
        <v>178</v>
      </c>
      <c r="B167" s="1" t="s">
        <v>128</v>
      </c>
      <c r="C167" s="1" t="s">
        <v>89</v>
      </c>
      <c r="D167" s="1" t="n">
        <v>324.5</v>
      </c>
      <c r="E167" s="1" t="n">
        <v>19.53</v>
      </c>
      <c r="F167" s="1" t="n">
        <v>4.8</v>
      </c>
    </row>
    <row collapsed="false" customFormat="false" customHeight="false" hidden="false" ht="14.75" outlineLevel="0" r="168">
      <c r="A168" s="1" t="s">
        <v>179</v>
      </c>
      <c r="B168" s="1" t="s">
        <v>128</v>
      </c>
      <c r="C168" s="1" t="s">
        <v>89</v>
      </c>
      <c r="D168" s="1" t="n">
        <v>243</v>
      </c>
      <c r="E168" s="1" t="n">
        <v>14.75</v>
      </c>
      <c r="F168" s="1" t="n">
        <v>1.9</v>
      </c>
    </row>
    <row collapsed="false" customFormat="false" customHeight="false" hidden="false" ht="14.75" outlineLevel="0" r="169">
      <c r="A169" s="1" t="s">
        <v>180</v>
      </c>
      <c r="B169" s="1" t="s">
        <v>88</v>
      </c>
      <c r="C169" s="1" t="s">
        <v>89</v>
      </c>
      <c r="D169" s="1" t="n">
        <v>28.3</v>
      </c>
      <c r="E169" s="1" t="n">
        <v>5</v>
      </c>
      <c r="F169" s="1" t="s">
        <v>9</v>
      </c>
    </row>
    <row collapsed="false" customFormat="false" customHeight="false" hidden="false" ht="14.75" outlineLevel="0" r="170">
      <c r="A170" s="1" t="s">
        <v>181</v>
      </c>
      <c r="B170" s="1" t="s">
        <v>109</v>
      </c>
      <c r="C170" s="1" t="s">
        <v>89</v>
      </c>
      <c r="D170" s="1" t="n">
        <v>105</v>
      </c>
      <c r="E170" s="1" t="n">
        <v>6.5</v>
      </c>
      <c r="F170" s="1" t="n">
        <f aca="false">2/9</f>
        <v>0.222222222222222</v>
      </c>
    </row>
    <row collapsed="false" customFormat="false" customHeight="false" hidden="false" ht="14.75" outlineLevel="0" r="171">
      <c r="A171" s="1" t="s">
        <v>182</v>
      </c>
      <c r="B171" s="1" t="s">
        <v>109</v>
      </c>
      <c r="C171" s="1" t="s">
        <v>89</v>
      </c>
      <c r="D171" s="1" t="n">
        <v>18.9</v>
      </c>
      <c r="E171" s="1" t="n">
        <v>0.56</v>
      </c>
      <c r="F171" s="1" t="n">
        <f aca="false">1/9</f>
        <v>0.111111111111111</v>
      </c>
    </row>
    <row collapsed="false" customFormat="false" customHeight="false" hidden="false" ht="14.75" outlineLevel="0" r="172">
      <c r="A172" s="1" t="s">
        <v>183</v>
      </c>
      <c r="B172" s="1" t="s">
        <v>109</v>
      </c>
      <c r="C172" s="1" t="s">
        <v>89</v>
      </c>
      <c r="D172" s="1" t="n">
        <v>70.8</v>
      </c>
      <c r="E172" s="1" t="n">
        <v>4.83</v>
      </c>
      <c r="F172" s="1" t="n">
        <f aca="false">1/6</f>
        <v>0.166666666666667</v>
      </c>
    </row>
    <row collapsed="false" customFormat="false" customHeight="false" hidden="false" ht="14.75" outlineLevel="0" r="173">
      <c r="A173" s="1" t="s">
        <v>184</v>
      </c>
      <c r="B173" s="1" t="s">
        <v>109</v>
      </c>
      <c r="C173" s="1" t="s">
        <v>89</v>
      </c>
      <c r="D173" s="1" t="n">
        <v>50</v>
      </c>
      <c r="E173" s="1" t="n">
        <v>5.24</v>
      </c>
      <c r="F173" s="1" t="n">
        <f aca="false">1/6</f>
        <v>0.166666666666667</v>
      </c>
    </row>
    <row collapsed="false" customFormat="false" customHeight="false" hidden="false" ht="14.75" outlineLevel="0" r="174">
      <c r="A174" s="1" t="s">
        <v>185</v>
      </c>
      <c r="B174" s="1" t="s">
        <v>88</v>
      </c>
      <c r="C174" s="1" t="s">
        <v>89</v>
      </c>
      <c r="D174" s="1" t="n">
        <v>151.7</v>
      </c>
      <c r="E174" s="1" t="n">
        <v>10.7</v>
      </c>
      <c r="F174" s="1" t="s">
        <v>9</v>
      </c>
    </row>
    <row collapsed="false" customFormat="false" customHeight="false" hidden="false" ht="14.75" outlineLevel="0" r="175">
      <c r="A175" s="1" t="s">
        <v>186</v>
      </c>
      <c r="B175" s="1" t="s">
        <v>88</v>
      </c>
      <c r="C175" s="1" t="s">
        <v>89</v>
      </c>
      <c r="D175" s="1" t="n">
        <v>55</v>
      </c>
      <c r="E175" s="1" t="n">
        <v>6</v>
      </c>
      <c r="F175" s="1" t="s">
        <v>9</v>
      </c>
    </row>
    <row collapsed="false" customFormat="false" customHeight="false" hidden="false" ht="14.75" outlineLevel="0" r="176">
      <c r="A176" s="1" t="s">
        <v>187</v>
      </c>
      <c r="B176" s="1" t="s">
        <v>88</v>
      </c>
      <c r="C176" s="1" t="s">
        <v>89</v>
      </c>
      <c r="D176" s="1" t="n">
        <v>80</v>
      </c>
      <c r="E176" s="1" t="n">
        <v>5.48</v>
      </c>
      <c r="F176" s="1" t="s">
        <v>9</v>
      </c>
    </row>
    <row collapsed="false" customFormat="false" customHeight="false" hidden="false" ht="14.75" outlineLevel="0" r="177">
      <c r="A177" s="1" t="s">
        <v>188</v>
      </c>
      <c r="B177" s="1" t="s">
        <v>91</v>
      </c>
      <c r="C177" s="1" t="s">
        <v>89</v>
      </c>
      <c r="D177" s="1" t="n">
        <v>138.8</v>
      </c>
      <c r="E177" s="1" t="n">
        <v>11.7</v>
      </c>
      <c r="F177" s="1" t="n">
        <v>0.5</v>
      </c>
    </row>
    <row collapsed="false" customFormat="false" customHeight="false" hidden="false" ht="14.75" outlineLevel="0" r="178">
      <c r="A178" s="1" t="s">
        <v>189</v>
      </c>
      <c r="B178" s="1" t="s">
        <v>88</v>
      </c>
      <c r="C178" s="1" t="s">
        <v>89</v>
      </c>
      <c r="D178" s="1" t="n">
        <v>300</v>
      </c>
      <c r="E178" s="1" t="n">
        <v>15</v>
      </c>
      <c r="F178" s="1" t="s">
        <v>9</v>
      </c>
    </row>
    <row collapsed="false" customFormat="false" customHeight="false" hidden="false" ht="14.75" outlineLevel="0" r="179">
      <c r="A179" s="1" t="s">
        <v>190</v>
      </c>
      <c r="B179" s="1" t="s">
        <v>128</v>
      </c>
      <c r="C179" s="1" t="s">
        <v>89</v>
      </c>
      <c r="D179" s="1" t="n">
        <v>266.5</v>
      </c>
      <c r="E179" s="1" t="n">
        <v>17.29</v>
      </c>
      <c r="F179" s="1" t="n">
        <v>2.6</v>
      </c>
    </row>
    <row collapsed="false" customFormat="false" customHeight="false" hidden="false" ht="14.75" outlineLevel="0" r="180">
      <c r="A180" s="1" t="s">
        <v>191</v>
      </c>
      <c r="B180" s="1" t="s">
        <v>128</v>
      </c>
      <c r="C180" s="1" t="s">
        <v>89</v>
      </c>
      <c r="D180" s="1" t="n">
        <v>133.5</v>
      </c>
      <c r="E180" s="1" t="n">
        <v>12.66</v>
      </c>
      <c r="F180" s="1" t="n">
        <v>0.9</v>
      </c>
    </row>
    <row collapsed="false" customFormat="false" customHeight="false" hidden="false" ht="14.75" outlineLevel="0" r="181">
      <c r="A181" s="1" t="s">
        <v>86</v>
      </c>
      <c r="B181" s="1" t="s">
        <v>88</v>
      </c>
      <c r="C181" s="1" t="s">
        <v>89</v>
      </c>
      <c r="D181" s="1" t="n">
        <v>74.2</v>
      </c>
      <c r="E181" s="1" t="n">
        <v>7.6</v>
      </c>
      <c r="F181" s="1" t="s">
        <v>9</v>
      </c>
    </row>
    <row collapsed="false" customFormat="false" customHeight="false" hidden="false" ht="14.75" outlineLevel="0" r="182">
      <c r="A182" s="1" t="s">
        <v>192</v>
      </c>
      <c r="B182" s="1" t="s">
        <v>88</v>
      </c>
      <c r="C182" s="1" t="s">
        <v>89</v>
      </c>
      <c r="D182" s="1" t="n">
        <v>214</v>
      </c>
      <c r="E182" s="1" t="n">
        <v>14.19</v>
      </c>
      <c r="F182" s="1" t="s">
        <v>9</v>
      </c>
    </row>
    <row collapsed="false" customFormat="false" customHeight="false" hidden="false" ht="14.75" outlineLevel="0" r="183">
      <c r="A183" s="1" t="s">
        <v>193</v>
      </c>
      <c r="B183" s="1" t="s">
        <v>194</v>
      </c>
      <c r="C183" s="1" t="s">
        <v>194</v>
      </c>
      <c r="D183" s="1" t="n">
        <v>56.7</v>
      </c>
      <c r="E183" s="1" t="n">
        <v>8</v>
      </c>
      <c r="F183" s="1" t="n">
        <f aca="false">1/6</f>
        <v>0.166666666666667</v>
      </c>
    </row>
    <row collapsed="false" customFormat="false" customHeight="false" hidden="false" ht="14.75" outlineLevel="0" r="184">
      <c r="A184" s="1" t="s">
        <v>195</v>
      </c>
      <c r="B184" s="1" t="s">
        <v>196</v>
      </c>
      <c r="C184" s="1" t="s">
        <v>194</v>
      </c>
      <c r="D184" s="1" t="n">
        <v>197</v>
      </c>
      <c r="E184" s="1" t="n">
        <v>13.78</v>
      </c>
      <c r="F184" s="1" t="n">
        <v>1.8</v>
      </c>
    </row>
    <row collapsed="false" customFormat="false" customHeight="false" hidden="false" ht="14.75" outlineLevel="0" r="185">
      <c r="A185" s="1" t="s">
        <v>197</v>
      </c>
      <c r="B185" s="1" t="s">
        <v>196</v>
      </c>
      <c r="C185" s="1" t="s">
        <v>194</v>
      </c>
      <c r="D185" s="1" t="n">
        <v>144</v>
      </c>
      <c r="E185" s="1" t="n">
        <v>10.56</v>
      </c>
      <c r="F185" s="1" t="n">
        <v>1.5</v>
      </c>
    </row>
    <row collapsed="false" customFormat="false" customHeight="false" hidden="false" ht="14.75" outlineLevel="0" r="186">
      <c r="A186" s="1" t="s">
        <v>198</v>
      </c>
      <c r="B186" s="1" t="s">
        <v>196</v>
      </c>
      <c r="C186" s="1" t="s">
        <v>194</v>
      </c>
      <c r="D186" s="1" t="n">
        <v>81.5</v>
      </c>
      <c r="E186" s="1" t="n">
        <v>8.54</v>
      </c>
      <c r="F186" s="1" t="n">
        <v>0.5</v>
      </c>
    </row>
    <row collapsed="false" customFormat="false" customHeight="false" hidden="false" ht="14.75" outlineLevel="0" r="187">
      <c r="A187" s="1" t="s">
        <v>199</v>
      </c>
      <c r="B187" s="1" t="s">
        <v>196</v>
      </c>
      <c r="C187" s="1" t="s">
        <v>194</v>
      </c>
      <c r="D187" s="1" t="n">
        <v>246</v>
      </c>
      <c r="E187" s="1" t="n">
        <v>17.39</v>
      </c>
      <c r="F187" s="1" t="n">
        <v>1.5</v>
      </c>
    </row>
    <row collapsed="false" customFormat="false" customHeight="false" hidden="false" ht="14.75" outlineLevel="0" r="188">
      <c r="A188" s="1" t="s">
        <v>200</v>
      </c>
      <c r="B188" s="1" t="s">
        <v>196</v>
      </c>
      <c r="C188" s="1" t="s">
        <v>194</v>
      </c>
      <c r="D188" s="1" t="n">
        <v>145.5</v>
      </c>
      <c r="E188" s="1" t="n">
        <v>11.52</v>
      </c>
      <c r="F188" s="1" t="n">
        <v>1.3</v>
      </c>
    </row>
    <row collapsed="false" customFormat="false" customHeight="false" hidden="false" ht="14.75" outlineLevel="0" r="189">
      <c r="A189" s="1" t="s">
        <v>201</v>
      </c>
      <c r="B189" s="1" t="s">
        <v>196</v>
      </c>
      <c r="C189" s="1" t="s">
        <v>194</v>
      </c>
      <c r="D189" s="1" t="n">
        <v>77</v>
      </c>
      <c r="E189" s="1" t="n">
        <v>6.2</v>
      </c>
      <c r="F189" s="1" t="n">
        <v>0.5</v>
      </c>
    </row>
    <row collapsed="false" customFormat="false" customHeight="false" hidden="false" ht="14.75" outlineLevel="0" r="190">
      <c r="A190" s="1" t="s">
        <v>202</v>
      </c>
      <c r="B190" s="1" t="s">
        <v>196</v>
      </c>
      <c r="C190" s="1" t="s">
        <v>194</v>
      </c>
      <c r="D190" s="1" t="n">
        <v>44</v>
      </c>
      <c r="E190" s="1" t="n">
        <v>5.81</v>
      </c>
      <c r="F190" s="1" t="n">
        <v>0.3</v>
      </c>
    </row>
    <row collapsed="false" customFormat="false" customHeight="false" hidden="false" ht="14.75" outlineLevel="0" r="191">
      <c r="A191" s="1" t="s">
        <v>203</v>
      </c>
      <c r="B191" s="1" t="s">
        <v>194</v>
      </c>
      <c r="C191" s="1" t="s">
        <v>194</v>
      </c>
      <c r="D191" s="1" t="n">
        <v>267.1</v>
      </c>
      <c r="E191" s="1" t="n">
        <v>14.54</v>
      </c>
      <c r="F191" s="1" t="n">
        <f aca="false">14/7</f>
        <v>2</v>
      </c>
    </row>
    <row collapsed="false" customFormat="false" customHeight="false" hidden="false" ht="14.75" outlineLevel="0" r="192">
      <c r="A192" s="1" t="s">
        <v>204</v>
      </c>
      <c r="B192" s="1" t="s">
        <v>194</v>
      </c>
      <c r="C192" s="1" t="s">
        <v>194</v>
      </c>
      <c r="D192" s="1" t="n">
        <v>567.5</v>
      </c>
      <c r="E192" s="1" t="n">
        <v>22.45</v>
      </c>
      <c r="F192" s="1" t="n">
        <f aca="false">54/6</f>
        <v>9</v>
      </c>
    </row>
    <row collapsed="false" customFormat="false" customHeight="false" hidden="false" ht="14.75" outlineLevel="0" r="193">
      <c r="A193" s="1" t="s">
        <v>205</v>
      </c>
      <c r="B193" s="1" t="s">
        <v>194</v>
      </c>
      <c r="C193" s="1" t="s">
        <v>194</v>
      </c>
      <c r="D193" s="1" t="n">
        <v>332.9</v>
      </c>
      <c r="E193" s="1" t="n">
        <v>16.94</v>
      </c>
      <c r="F193" s="1" t="n">
        <f aca="false">17/7</f>
        <v>2.42857142857143</v>
      </c>
    </row>
    <row collapsed="false" customFormat="false" customHeight="false" hidden="false" ht="14.75" outlineLevel="0" r="194">
      <c r="A194" s="1" t="s">
        <v>41</v>
      </c>
      <c r="B194" s="1" t="s">
        <v>196</v>
      </c>
      <c r="C194" s="1" t="s">
        <v>194</v>
      </c>
      <c r="D194" s="1" t="n">
        <v>430.5</v>
      </c>
      <c r="E194" s="1" t="n">
        <v>21.34</v>
      </c>
      <c r="F194" s="1" t="n">
        <v>6.4</v>
      </c>
    </row>
    <row collapsed="false" customFormat="false" customHeight="false" hidden="false" ht="14.75" outlineLevel="0" r="195">
      <c r="A195" s="1" t="s">
        <v>206</v>
      </c>
      <c r="B195" s="1" t="s">
        <v>196</v>
      </c>
      <c r="C195" s="1" t="s">
        <v>194</v>
      </c>
      <c r="D195" s="1" t="n">
        <v>177</v>
      </c>
      <c r="E195" s="1" t="n">
        <v>13.99</v>
      </c>
      <c r="F195" s="1" t="n">
        <v>1.7</v>
      </c>
    </row>
    <row collapsed="false" customFormat="false" customHeight="false" hidden="false" ht="14.75" outlineLevel="0" r="196">
      <c r="A196" s="1" t="s">
        <v>207</v>
      </c>
      <c r="B196" s="1" t="s">
        <v>196</v>
      </c>
      <c r="C196" s="1" t="s">
        <v>194</v>
      </c>
      <c r="D196" s="1" t="n">
        <v>48</v>
      </c>
      <c r="E196" s="1" t="n">
        <v>8</v>
      </c>
      <c r="F196" s="1" t="n">
        <v>0.2</v>
      </c>
    </row>
    <row collapsed="false" customFormat="false" customHeight="false" hidden="false" ht="14.75" outlineLevel="0" r="197">
      <c r="A197" s="1" t="s">
        <v>131</v>
      </c>
      <c r="B197" s="1" t="s">
        <v>194</v>
      </c>
      <c r="C197" s="1" t="s">
        <v>194</v>
      </c>
      <c r="D197" s="1" t="n">
        <v>329</v>
      </c>
      <c r="E197" s="1" t="n">
        <v>17.75</v>
      </c>
      <c r="F197" s="1" t="n">
        <f aca="false">10/5</f>
        <v>2</v>
      </c>
    </row>
    <row collapsed="false" customFormat="false" customHeight="false" hidden="false" ht="14.75" outlineLevel="0" r="198">
      <c r="A198" s="1" t="s">
        <v>208</v>
      </c>
      <c r="B198" s="1" t="s">
        <v>196</v>
      </c>
      <c r="C198" s="1" t="s">
        <v>194</v>
      </c>
      <c r="D198" s="1" t="n">
        <v>337</v>
      </c>
      <c r="E198" s="1" t="n">
        <v>20.51</v>
      </c>
      <c r="F198" s="1" t="n">
        <v>4.6</v>
      </c>
    </row>
    <row collapsed="false" customFormat="false" customHeight="false" hidden="false" ht="14.75" outlineLevel="0" r="199">
      <c r="A199" s="1" t="s">
        <v>209</v>
      </c>
      <c r="B199" s="1" t="s">
        <v>196</v>
      </c>
      <c r="C199" s="1" t="s">
        <v>194</v>
      </c>
      <c r="D199" s="1" t="n">
        <v>173</v>
      </c>
      <c r="E199" s="1" t="n">
        <v>11.84</v>
      </c>
      <c r="F199" s="1" t="n">
        <v>1.9</v>
      </c>
    </row>
    <row collapsed="false" customFormat="false" customHeight="false" hidden="false" ht="14.75" outlineLevel="0" r="200">
      <c r="A200" s="1" t="s">
        <v>210</v>
      </c>
      <c r="B200" s="1" t="s">
        <v>196</v>
      </c>
      <c r="C200" s="1" t="s">
        <v>194</v>
      </c>
      <c r="D200" s="1" t="n">
        <v>111.5</v>
      </c>
      <c r="E200" s="1" t="n">
        <v>11.07</v>
      </c>
      <c r="F200" s="1" t="n">
        <v>1.6</v>
      </c>
    </row>
    <row collapsed="false" customFormat="false" customHeight="false" hidden="false" ht="14.75" outlineLevel="0" r="201">
      <c r="A201" s="1" t="s">
        <v>211</v>
      </c>
      <c r="B201" s="1" t="s">
        <v>196</v>
      </c>
      <c r="C201" s="1" t="s">
        <v>194</v>
      </c>
      <c r="D201" s="1" t="n">
        <v>476.5</v>
      </c>
      <c r="E201" s="1" t="n">
        <v>22.39</v>
      </c>
      <c r="F201" s="1" t="n">
        <v>7.8</v>
      </c>
    </row>
    <row collapsed="false" customFormat="false" customHeight="false" hidden="false" ht="14.75" outlineLevel="0" r="202">
      <c r="A202" s="1" t="s">
        <v>212</v>
      </c>
      <c r="B202" s="1" t="s">
        <v>196</v>
      </c>
      <c r="C202" s="1" t="s">
        <v>194</v>
      </c>
      <c r="D202" s="1" t="n">
        <v>461</v>
      </c>
      <c r="E202" s="1" t="n">
        <v>23.28</v>
      </c>
      <c r="F202" s="1" t="n">
        <v>7.2</v>
      </c>
    </row>
    <row collapsed="false" customFormat="false" customHeight="false" hidden="false" ht="14.75" outlineLevel="0" r="203">
      <c r="A203" s="1" t="s">
        <v>213</v>
      </c>
      <c r="B203" s="1" t="s">
        <v>196</v>
      </c>
      <c r="C203" s="1" t="s">
        <v>194</v>
      </c>
      <c r="D203" s="1" t="n">
        <v>349</v>
      </c>
      <c r="E203" s="1" t="n">
        <v>20.23</v>
      </c>
      <c r="F203" s="1" t="n">
        <v>6</v>
      </c>
    </row>
    <row collapsed="false" customFormat="false" customHeight="false" hidden="false" ht="14.75" outlineLevel="0" r="204">
      <c r="A204" s="1" t="s">
        <v>214</v>
      </c>
      <c r="B204" s="1" t="s">
        <v>196</v>
      </c>
      <c r="C204" s="1" t="s">
        <v>194</v>
      </c>
      <c r="D204" s="1" t="n">
        <v>99.5</v>
      </c>
      <c r="E204" s="1" t="n">
        <v>9.81</v>
      </c>
      <c r="F204" s="1" t="n">
        <v>0.4</v>
      </c>
    </row>
    <row collapsed="false" customFormat="false" customHeight="false" hidden="false" ht="14.75" outlineLevel="0" r="205">
      <c r="A205" s="1" t="s">
        <v>215</v>
      </c>
      <c r="B205" s="1" t="s">
        <v>196</v>
      </c>
      <c r="C205" s="1" t="s">
        <v>194</v>
      </c>
      <c r="D205" s="1" t="n">
        <v>139</v>
      </c>
      <c r="E205" s="1" t="n">
        <v>11.97</v>
      </c>
      <c r="F205" s="1" t="n">
        <v>1.6</v>
      </c>
    </row>
    <row collapsed="false" customFormat="false" customHeight="false" hidden="false" ht="14.75" outlineLevel="0" r="206">
      <c r="A206" s="1" t="s">
        <v>216</v>
      </c>
      <c r="B206" s="1" t="s">
        <v>194</v>
      </c>
      <c r="C206" s="1" t="s">
        <v>194</v>
      </c>
      <c r="D206" s="1" t="n">
        <v>274.2</v>
      </c>
      <c r="E206" s="1" t="n">
        <v>17.8</v>
      </c>
      <c r="F206" s="1" t="n">
        <f aca="false">13/6</f>
        <v>2.16666666666667</v>
      </c>
    </row>
    <row collapsed="false" customFormat="false" customHeight="false" hidden="false" ht="14.75" outlineLevel="0" r="207">
      <c r="A207" s="1" t="s">
        <v>217</v>
      </c>
      <c r="B207" s="1" t="s">
        <v>194</v>
      </c>
      <c r="C207" s="1" t="s">
        <v>194</v>
      </c>
      <c r="D207" s="1" t="n">
        <v>85</v>
      </c>
      <c r="E207" s="1" t="n">
        <v>10.93</v>
      </c>
      <c r="F207" s="1" t="n">
        <f aca="false">2/6</f>
        <v>0.333333333333333</v>
      </c>
    </row>
    <row collapsed="false" customFormat="false" customHeight="false" hidden="false" ht="14.75" outlineLevel="0" r="208">
      <c r="A208" s="1" t="s">
        <v>218</v>
      </c>
      <c r="B208" s="1" t="s">
        <v>196</v>
      </c>
      <c r="C208" s="1" t="s">
        <v>194</v>
      </c>
      <c r="D208" s="1" t="n">
        <v>216.5</v>
      </c>
      <c r="E208" s="1" t="n">
        <v>13.26</v>
      </c>
      <c r="F208" s="1" t="n">
        <v>2.6</v>
      </c>
    </row>
    <row collapsed="false" customFormat="false" customHeight="false" hidden="false" ht="14.75" outlineLevel="0" r="209">
      <c r="A209" s="1" t="s">
        <v>219</v>
      </c>
      <c r="B209" s="1" t="s">
        <v>196</v>
      </c>
      <c r="C209" s="1" t="s">
        <v>194</v>
      </c>
      <c r="D209" s="1" t="n">
        <v>162</v>
      </c>
      <c r="E209" s="1" t="n">
        <v>10.88</v>
      </c>
      <c r="F209" s="1" t="n">
        <v>1.1</v>
      </c>
    </row>
    <row collapsed="false" customFormat="false" customHeight="false" hidden="false" ht="14.75" outlineLevel="0" r="210">
      <c r="A210" s="1" t="s">
        <v>220</v>
      </c>
      <c r="B210" s="1" t="s">
        <v>196</v>
      </c>
      <c r="C210" s="1" t="s">
        <v>194</v>
      </c>
      <c r="D210" s="1" t="n">
        <v>93</v>
      </c>
      <c r="E210" s="1" t="n">
        <v>9.79</v>
      </c>
      <c r="F210" s="1" t="n">
        <v>1.3</v>
      </c>
    </row>
    <row collapsed="false" customFormat="false" customHeight="false" hidden="false" ht="14.75" outlineLevel="0" r="211">
      <c r="A211" s="1" t="s">
        <v>221</v>
      </c>
      <c r="B211" s="1" t="s">
        <v>194</v>
      </c>
      <c r="C211" s="1" t="s">
        <v>194</v>
      </c>
      <c r="D211" s="1" t="n">
        <v>194</v>
      </c>
      <c r="E211" s="1" t="n">
        <v>14.76</v>
      </c>
      <c r="F211" s="1" t="n">
        <f aca="false">7/5</f>
        <v>1.4</v>
      </c>
    </row>
    <row collapsed="false" customFormat="false" customHeight="false" hidden="false" ht="14.75" outlineLevel="0" r="212">
      <c r="A212" s="1" t="s">
        <v>222</v>
      </c>
      <c r="B212" s="1" t="s">
        <v>194</v>
      </c>
      <c r="C212" s="1" t="s">
        <v>194</v>
      </c>
      <c r="D212" s="1" t="n">
        <v>68.3</v>
      </c>
      <c r="E212" s="1" t="n">
        <v>10.45</v>
      </c>
      <c r="F212" s="1" t="n">
        <f aca="false">1/6</f>
        <v>0.166666666666667</v>
      </c>
    </row>
    <row collapsed="false" customFormat="false" customHeight="false" hidden="false" ht="14.75" outlineLevel="0" r="213">
      <c r="A213" s="1" t="s">
        <v>223</v>
      </c>
      <c r="B213" s="1" t="s">
        <v>196</v>
      </c>
      <c r="C213" s="1" t="s">
        <v>194</v>
      </c>
      <c r="D213" s="1" t="n">
        <v>155.5</v>
      </c>
      <c r="E213" s="1" t="n">
        <v>12.43</v>
      </c>
      <c r="F213" s="1" t="n">
        <v>1</v>
      </c>
    </row>
    <row collapsed="false" customFormat="false" customHeight="false" hidden="false" ht="14.75" outlineLevel="0" r="214">
      <c r="A214" s="1" t="s">
        <v>224</v>
      </c>
      <c r="B214" s="1" t="s">
        <v>196</v>
      </c>
      <c r="C214" s="1" t="s">
        <v>194</v>
      </c>
      <c r="D214" s="1" t="n">
        <v>81</v>
      </c>
      <c r="E214" s="1" t="n">
        <v>7.5</v>
      </c>
      <c r="F214" s="1" t="n">
        <v>0.2</v>
      </c>
    </row>
    <row collapsed="false" customFormat="false" customHeight="false" hidden="false" ht="14.75" outlineLevel="0" r="215">
      <c r="A215" s="1" t="s">
        <v>225</v>
      </c>
      <c r="B215" s="1" t="s">
        <v>196</v>
      </c>
      <c r="C215" s="1" t="s">
        <v>194</v>
      </c>
      <c r="D215" s="1" t="n">
        <v>54</v>
      </c>
      <c r="E215" s="1" t="n">
        <v>5.28</v>
      </c>
      <c r="F215" s="1" t="n">
        <v>0.1</v>
      </c>
    </row>
    <row collapsed="false" customFormat="false" customHeight="false" hidden="false" ht="14.75" outlineLevel="0" r="216">
      <c r="A216" s="1" t="s">
        <v>226</v>
      </c>
      <c r="B216" s="1" t="s">
        <v>196</v>
      </c>
      <c r="C216" s="1" t="s">
        <v>194</v>
      </c>
      <c r="D216" s="1" t="n">
        <v>120</v>
      </c>
      <c r="E216" s="1" t="n">
        <v>8.75</v>
      </c>
      <c r="F216" s="1" t="n">
        <v>0.5</v>
      </c>
    </row>
    <row collapsed="false" customFormat="false" customHeight="false" hidden="false" ht="14.75" outlineLevel="0" r="217">
      <c r="A217" s="1" t="s">
        <v>227</v>
      </c>
      <c r="B217" s="1" t="s">
        <v>196</v>
      </c>
      <c r="C217" s="1" t="s">
        <v>194</v>
      </c>
      <c r="D217" s="1" t="n">
        <v>189</v>
      </c>
      <c r="E217" s="1" t="n">
        <v>12.26</v>
      </c>
      <c r="F217" s="1" t="n">
        <v>1.7</v>
      </c>
    </row>
    <row collapsed="false" customFormat="false" customHeight="false" hidden="false" ht="14.75" outlineLevel="0" r="218">
      <c r="A218" s="1" t="s">
        <v>228</v>
      </c>
      <c r="B218" s="1" t="s">
        <v>196</v>
      </c>
      <c r="C218" s="1" t="s">
        <v>194</v>
      </c>
      <c r="D218" s="1" t="n">
        <v>173</v>
      </c>
      <c r="E218" s="1" t="n">
        <v>13.15</v>
      </c>
      <c r="F218" s="1" t="n">
        <v>1.9</v>
      </c>
    </row>
    <row collapsed="false" customFormat="false" customHeight="false" hidden="false" ht="14.75" outlineLevel="0" r="219">
      <c r="A219" s="1" t="s">
        <v>229</v>
      </c>
      <c r="B219" s="1" t="s">
        <v>196</v>
      </c>
      <c r="C219" s="1" t="s">
        <v>194</v>
      </c>
      <c r="D219" s="1" t="n">
        <v>274.5</v>
      </c>
      <c r="E219" s="1" t="n">
        <v>18.79</v>
      </c>
      <c r="F219" s="1" t="n">
        <v>4</v>
      </c>
    </row>
    <row collapsed="false" customFormat="false" customHeight="false" hidden="false" ht="14.75" outlineLevel="0" r="220">
      <c r="A220" s="1" t="s">
        <v>230</v>
      </c>
      <c r="B220" s="1" t="s">
        <v>194</v>
      </c>
      <c r="C220" s="1" t="s">
        <v>194</v>
      </c>
      <c r="D220" s="1" t="n">
        <v>162.9</v>
      </c>
      <c r="E220" s="1" t="n">
        <v>13.65</v>
      </c>
      <c r="F220" s="1" t="n">
        <f aca="false">9/7</f>
        <v>1.28571428571429</v>
      </c>
    </row>
    <row collapsed="false" customFormat="false" customHeight="false" hidden="false" ht="14.75" outlineLevel="0" r="221">
      <c r="A221" s="1" t="s">
        <v>231</v>
      </c>
      <c r="B221" s="1" t="s">
        <v>194</v>
      </c>
      <c r="C221" s="1" t="s">
        <v>194</v>
      </c>
      <c r="D221" s="1" t="n">
        <v>97.5</v>
      </c>
      <c r="E221" s="1" t="n">
        <v>9.06</v>
      </c>
      <c r="F221" s="1" t="n">
        <f aca="false">3/6</f>
        <v>0.5</v>
      </c>
    </row>
    <row collapsed="false" customFormat="false" customHeight="false" hidden="false" ht="14.75" outlineLevel="0" r="222">
      <c r="A222" s="1" t="s">
        <v>232</v>
      </c>
      <c r="B222" s="1" t="s">
        <v>194</v>
      </c>
      <c r="C222" s="1" t="s">
        <v>194</v>
      </c>
      <c r="D222" s="1" t="n">
        <v>44.3</v>
      </c>
      <c r="E222" s="1" t="n">
        <v>5.45</v>
      </c>
      <c r="F222" s="1" t="n">
        <f aca="false">5/7</f>
        <v>0.714285714285714</v>
      </c>
    </row>
    <row collapsed="false" customFormat="false" customHeight="false" hidden="false" ht="14.75" outlineLevel="0" r="223">
      <c r="A223" s="1" t="s">
        <v>233</v>
      </c>
      <c r="B223" s="1" t="s">
        <v>194</v>
      </c>
      <c r="C223" s="1" t="s">
        <v>194</v>
      </c>
      <c r="D223" s="1" t="n">
        <v>20.8</v>
      </c>
      <c r="E223" s="1" t="n">
        <v>0.83</v>
      </c>
      <c r="F223" s="1" t="n">
        <v>0</v>
      </c>
    </row>
    <row collapsed="false" customFormat="false" customHeight="false" hidden="false" ht="14.75" outlineLevel="0" r="224">
      <c r="A224" s="1" t="s">
        <v>234</v>
      </c>
      <c r="B224" s="1" t="s">
        <v>194</v>
      </c>
      <c r="C224" s="1" t="s">
        <v>194</v>
      </c>
      <c r="D224" s="1" t="n">
        <v>52.5</v>
      </c>
      <c r="E224" s="1" t="n">
        <v>7.37</v>
      </c>
      <c r="F224" s="1" t="n">
        <f aca="false">1/6</f>
        <v>0.166666666666667</v>
      </c>
    </row>
    <row collapsed="false" customFormat="false" customHeight="false" hidden="false" ht="14.75" outlineLevel="0" r="225">
      <c r="A225" s="1" t="s">
        <v>235</v>
      </c>
      <c r="B225" s="1" t="s">
        <v>236</v>
      </c>
      <c r="C225" s="1" t="s">
        <v>237</v>
      </c>
      <c r="D225" s="1" t="n">
        <v>504</v>
      </c>
      <c r="E225" s="1" t="n">
        <v>25.91</v>
      </c>
      <c r="F225" s="1" t="s">
        <v>9</v>
      </c>
    </row>
    <row collapsed="false" customFormat="false" customHeight="false" hidden="false" ht="14.75" outlineLevel="0" r="226">
      <c r="A226" s="1" t="s">
        <v>238</v>
      </c>
      <c r="B226" s="1" t="s">
        <v>239</v>
      </c>
      <c r="C226" s="1" t="s">
        <v>237</v>
      </c>
      <c r="D226" s="1" t="n">
        <v>405.7</v>
      </c>
      <c r="E226" s="1" t="n">
        <v>21.91</v>
      </c>
      <c r="F226" s="1" t="s">
        <v>9</v>
      </c>
    </row>
    <row collapsed="false" customFormat="false" customHeight="false" hidden="false" ht="14.75" outlineLevel="0" r="227">
      <c r="A227" s="1" t="s">
        <v>240</v>
      </c>
      <c r="B227" s="1" t="s">
        <v>236</v>
      </c>
      <c r="C227" s="1" t="s">
        <v>237</v>
      </c>
      <c r="D227" s="1" t="n">
        <v>91.4</v>
      </c>
      <c r="E227" s="1" t="n">
        <v>7.76</v>
      </c>
      <c r="F227" s="1" t="s">
        <v>9</v>
      </c>
    </row>
    <row collapsed="false" customFormat="false" customHeight="false" hidden="false" ht="14.75" outlineLevel="0" r="228">
      <c r="A228" s="1" t="s">
        <v>241</v>
      </c>
      <c r="B228" s="1" t="s">
        <v>236</v>
      </c>
      <c r="C228" s="1" t="s">
        <v>237</v>
      </c>
      <c r="D228" s="1" t="n">
        <v>62.9</v>
      </c>
      <c r="E228" s="1" t="n">
        <v>6.48</v>
      </c>
      <c r="F228" s="1" t="s">
        <v>9</v>
      </c>
    </row>
    <row collapsed="false" customFormat="false" customHeight="false" hidden="false" ht="14.75" outlineLevel="0" r="229">
      <c r="A229" s="1" t="s">
        <v>242</v>
      </c>
      <c r="B229" s="1" t="s">
        <v>239</v>
      </c>
      <c r="C229" s="1" t="s">
        <v>237</v>
      </c>
      <c r="D229" s="1" t="n">
        <v>214.3</v>
      </c>
      <c r="E229" s="1" t="n">
        <v>17.78</v>
      </c>
      <c r="F229" s="1" t="s">
        <v>9</v>
      </c>
    </row>
    <row collapsed="false" customFormat="false" customHeight="false" hidden="false" ht="14.75" outlineLevel="0" r="230">
      <c r="A230" s="1" t="s">
        <v>243</v>
      </c>
      <c r="B230" s="1" t="s">
        <v>239</v>
      </c>
      <c r="C230" s="1" t="s">
        <v>237</v>
      </c>
      <c r="D230" s="1" t="n">
        <v>142.9</v>
      </c>
      <c r="E230" s="1" t="n">
        <v>10.83</v>
      </c>
      <c r="F230" s="1" t="s">
        <v>9</v>
      </c>
    </row>
    <row collapsed="false" customFormat="false" customHeight="false" hidden="false" ht="14.75" outlineLevel="0" r="231">
      <c r="A231" s="1" t="s">
        <v>244</v>
      </c>
      <c r="B231" s="1" t="s">
        <v>236</v>
      </c>
      <c r="C231" s="1" t="s">
        <v>237</v>
      </c>
      <c r="D231" s="1" t="n">
        <v>201.4</v>
      </c>
      <c r="E231" s="1" t="n">
        <v>13.93</v>
      </c>
      <c r="F231" s="1" t="s">
        <v>9</v>
      </c>
    </row>
    <row collapsed="false" customFormat="false" customHeight="false" hidden="false" ht="14.75" outlineLevel="0" r="232">
      <c r="A232" s="1" t="s">
        <v>245</v>
      </c>
      <c r="B232" s="1" t="s">
        <v>236</v>
      </c>
      <c r="C232" s="1" t="s">
        <v>237</v>
      </c>
      <c r="D232" s="1" t="n">
        <v>65.7</v>
      </c>
      <c r="E232" s="1" t="n">
        <v>6.96</v>
      </c>
      <c r="F232" s="1" t="s">
        <v>9</v>
      </c>
    </row>
    <row collapsed="false" customFormat="false" customHeight="false" hidden="false" ht="14.75" outlineLevel="0" r="233">
      <c r="A233" s="1" t="s">
        <v>246</v>
      </c>
      <c r="B233" s="1" t="s">
        <v>236</v>
      </c>
      <c r="C233" s="1" t="s">
        <v>237</v>
      </c>
      <c r="D233" s="1" t="n">
        <v>254.4</v>
      </c>
      <c r="E233" s="1" t="n">
        <v>17.43</v>
      </c>
      <c r="F233" s="1" t="s">
        <v>9</v>
      </c>
    </row>
    <row collapsed="false" customFormat="false" customHeight="false" hidden="false" ht="14.75" outlineLevel="0" r="234">
      <c r="A234" s="1" t="s">
        <v>247</v>
      </c>
      <c r="B234" s="1" t="s">
        <v>236</v>
      </c>
      <c r="C234" s="1" t="s">
        <v>237</v>
      </c>
      <c r="D234" s="1" t="n">
        <v>108.6</v>
      </c>
      <c r="E234" s="1" t="n">
        <v>7.33</v>
      </c>
      <c r="F234" s="1" t="s">
        <v>9</v>
      </c>
    </row>
    <row collapsed="false" customFormat="false" customHeight="false" hidden="false" ht="14.75" outlineLevel="0" r="235">
      <c r="A235" s="1" t="s">
        <v>248</v>
      </c>
      <c r="B235" s="1" t="s">
        <v>236</v>
      </c>
      <c r="C235" s="1" t="s">
        <v>237</v>
      </c>
      <c r="D235" s="1" t="n">
        <v>197.1</v>
      </c>
      <c r="E235" s="1" t="n">
        <v>16.23</v>
      </c>
      <c r="F235" s="1" t="s">
        <v>9</v>
      </c>
    </row>
    <row collapsed="false" customFormat="false" customHeight="false" hidden="false" ht="14.75" outlineLevel="0" r="236">
      <c r="A236" s="1" t="s">
        <v>249</v>
      </c>
      <c r="B236" s="1" t="s">
        <v>236</v>
      </c>
      <c r="C236" s="1" t="s">
        <v>237</v>
      </c>
      <c r="D236" s="1" t="n">
        <v>203.8</v>
      </c>
      <c r="E236" s="1" t="n">
        <v>14.41</v>
      </c>
      <c r="F236" s="1" t="s">
        <v>9</v>
      </c>
    </row>
    <row collapsed="false" customFormat="false" customHeight="false" hidden="false" ht="14.75" outlineLevel="0" r="237">
      <c r="A237" s="1" t="s">
        <v>250</v>
      </c>
      <c r="B237" s="1" t="s">
        <v>236</v>
      </c>
      <c r="C237" s="1" t="s">
        <v>237</v>
      </c>
      <c r="D237" s="1" t="n">
        <v>181.4</v>
      </c>
      <c r="E237" s="1" t="n">
        <v>17.13</v>
      </c>
      <c r="F237" s="1" t="s">
        <v>9</v>
      </c>
    </row>
    <row collapsed="false" customFormat="false" customHeight="false" hidden="false" ht="14.75" outlineLevel="0" r="238">
      <c r="A238" s="1" t="s">
        <v>251</v>
      </c>
      <c r="B238" s="1" t="s">
        <v>239</v>
      </c>
      <c r="C238" s="1" t="s">
        <v>237</v>
      </c>
      <c r="D238" s="1" t="n">
        <v>305.7</v>
      </c>
      <c r="E238" s="1" t="n">
        <v>20.57</v>
      </c>
      <c r="F238" s="1" t="s">
        <v>9</v>
      </c>
    </row>
    <row collapsed="false" customFormat="false" customHeight="false" hidden="false" ht="14.75" outlineLevel="0" r="239">
      <c r="A239" s="1" t="s">
        <v>252</v>
      </c>
      <c r="B239" s="1" t="s">
        <v>239</v>
      </c>
      <c r="C239" s="1" t="s">
        <v>237</v>
      </c>
      <c r="D239" s="1" t="n">
        <v>150</v>
      </c>
      <c r="E239" s="1" t="n">
        <v>14.42</v>
      </c>
      <c r="F239" s="1" t="s">
        <v>9</v>
      </c>
    </row>
    <row collapsed="false" customFormat="false" customHeight="false" hidden="false" ht="14.75" outlineLevel="0" r="240">
      <c r="A240" s="1" t="s">
        <v>253</v>
      </c>
      <c r="B240" s="1" t="s">
        <v>239</v>
      </c>
      <c r="C240" s="1" t="s">
        <v>237</v>
      </c>
      <c r="D240" s="1" t="n">
        <v>415.7</v>
      </c>
      <c r="E240" s="1" t="n">
        <v>24.24</v>
      </c>
      <c r="F240" s="1" t="s">
        <v>9</v>
      </c>
    </row>
    <row collapsed="false" customFormat="false" customHeight="false" hidden="false" ht="14.75" outlineLevel="0" r="241">
      <c r="A241" s="1" t="s">
        <v>254</v>
      </c>
      <c r="B241" s="1" t="s">
        <v>239</v>
      </c>
      <c r="C241" s="1" t="s">
        <v>237</v>
      </c>
      <c r="D241" s="1" t="n">
        <v>210</v>
      </c>
      <c r="E241" s="1" t="n">
        <v>16.25</v>
      </c>
      <c r="F241" s="1" t="s">
        <v>9</v>
      </c>
    </row>
    <row collapsed="false" customFormat="false" customHeight="false" hidden="false" ht="14.75" outlineLevel="0" r="242">
      <c r="A242" s="1" t="s">
        <v>255</v>
      </c>
      <c r="B242" s="1" t="s">
        <v>239</v>
      </c>
      <c r="C242" s="1" t="s">
        <v>237</v>
      </c>
      <c r="D242" s="1" t="n">
        <v>548.6</v>
      </c>
      <c r="E242" s="1" t="n">
        <v>26.23</v>
      </c>
      <c r="F242" s="1" t="s">
        <v>9</v>
      </c>
    </row>
    <row collapsed="false" customFormat="false" customHeight="false" hidden="false" ht="14.75" outlineLevel="0" r="243">
      <c r="A243" s="1" t="s">
        <v>256</v>
      </c>
      <c r="B243" s="1" t="s">
        <v>239</v>
      </c>
      <c r="C243" s="1" t="s">
        <v>237</v>
      </c>
      <c r="D243" s="1" t="n">
        <v>230</v>
      </c>
      <c r="E243" s="1" t="n">
        <v>15.16</v>
      </c>
      <c r="F243" s="1" t="s">
        <v>9</v>
      </c>
    </row>
    <row collapsed="false" customFormat="false" customHeight="false" hidden="false" ht="14.75" outlineLevel="0" r="244">
      <c r="A244" s="1" t="s">
        <v>257</v>
      </c>
      <c r="B244" s="1" t="s">
        <v>236</v>
      </c>
      <c r="C244" s="1" t="s">
        <v>237</v>
      </c>
      <c r="D244" s="1" t="n">
        <v>197.5</v>
      </c>
      <c r="E244" s="1" t="n">
        <v>14.33</v>
      </c>
      <c r="F244" s="1" t="s">
        <v>9</v>
      </c>
    </row>
    <row collapsed="false" customFormat="false" customHeight="false" hidden="false" ht="14.75" outlineLevel="0" r="245">
      <c r="A245" s="1" t="s">
        <v>258</v>
      </c>
      <c r="B245" s="1" t="s">
        <v>236</v>
      </c>
      <c r="C245" s="1" t="s">
        <v>237</v>
      </c>
      <c r="D245" s="1" t="n">
        <v>75</v>
      </c>
      <c r="E245" s="1" t="n">
        <v>7.5</v>
      </c>
      <c r="F245" s="1" t="s">
        <v>9</v>
      </c>
    </row>
    <row collapsed="false" customFormat="false" customHeight="false" hidden="false" ht="14.75" outlineLevel="0" r="246">
      <c r="A246" s="1" t="s">
        <v>259</v>
      </c>
      <c r="B246" s="1" t="s">
        <v>236</v>
      </c>
      <c r="C246" s="1" t="s">
        <v>237</v>
      </c>
      <c r="D246" s="1" t="n">
        <v>118.6</v>
      </c>
      <c r="E246" s="1" t="n">
        <v>11.54</v>
      </c>
      <c r="F246" s="1" t="s">
        <v>9</v>
      </c>
    </row>
    <row collapsed="false" customFormat="false" customHeight="false" hidden="false" ht="14.75" outlineLevel="0" r="247">
      <c r="A247" s="1" t="s">
        <v>260</v>
      </c>
      <c r="B247" s="1" t="s">
        <v>236</v>
      </c>
      <c r="C247" s="1" t="s">
        <v>237</v>
      </c>
      <c r="D247" s="1" t="n">
        <v>34.3</v>
      </c>
      <c r="E247" s="1" t="n">
        <v>2.5</v>
      </c>
      <c r="F247" s="1" t="s">
        <v>9</v>
      </c>
    </row>
    <row collapsed="false" customFormat="false" customHeight="false" hidden="false" ht="14.75" outlineLevel="0" r="248">
      <c r="A248" s="1" t="s">
        <v>261</v>
      </c>
      <c r="B248" s="1" t="s">
        <v>236</v>
      </c>
      <c r="C248" s="1" t="s">
        <v>237</v>
      </c>
      <c r="D248" s="1" t="n">
        <v>199.3</v>
      </c>
      <c r="E248" s="1" t="n">
        <v>15</v>
      </c>
      <c r="F248" s="1" t="s">
        <v>9</v>
      </c>
    </row>
    <row collapsed="false" customFormat="false" customHeight="false" hidden="false" ht="14.75" outlineLevel="0" r="249">
      <c r="A249" s="1" t="s">
        <v>262</v>
      </c>
      <c r="B249" s="1" t="s">
        <v>236</v>
      </c>
      <c r="C249" s="1" t="s">
        <v>237</v>
      </c>
      <c r="D249" s="1" t="n">
        <v>31.4</v>
      </c>
      <c r="E249" s="1" t="n">
        <v>6.25</v>
      </c>
      <c r="F249" s="1" t="s">
        <v>9</v>
      </c>
    </row>
    <row collapsed="false" customFormat="false" customHeight="false" hidden="false" ht="14.75" outlineLevel="0" r="250">
      <c r="A250" s="1" t="s">
        <v>263</v>
      </c>
      <c r="B250" s="1" t="s">
        <v>239</v>
      </c>
      <c r="C250" s="1" t="s">
        <v>237</v>
      </c>
      <c r="D250" s="1" t="n">
        <v>214.3</v>
      </c>
      <c r="E250" s="1" t="n">
        <v>17.27</v>
      </c>
      <c r="F250" s="1" t="s">
        <v>9</v>
      </c>
    </row>
    <row collapsed="false" customFormat="false" customHeight="false" hidden="false" ht="14.75" outlineLevel="0" r="251">
      <c r="A251" s="1" t="s">
        <v>264</v>
      </c>
      <c r="B251" s="1" t="s">
        <v>236</v>
      </c>
      <c r="C251" s="1" t="s">
        <v>237</v>
      </c>
      <c r="D251" s="1" t="n">
        <v>568.5</v>
      </c>
      <c r="E251" s="1" t="n">
        <v>25.56</v>
      </c>
      <c r="F251" s="1" t="s">
        <v>9</v>
      </c>
    </row>
    <row collapsed="false" customFormat="false" customHeight="false" hidden="false" ht="14.75" outlineLevel="0" r="252">
      <c r="A252" s="1" t="s">
        <v>265</v>
      </c>
      <c r="B252" s="1" t="s">
        <v>236</v>
      </c>
      <c r="C252" s="1" t="s">
        <v>237</v>
      </c>
      <c r="D252" s="1" t="n">
        <v>45</v>
      </c>
      <c r="E252" s="1" t="n">
        <v>6.5</v>
      </c>
      <c r="F252" s="1" t="s">
        <v>9</v>
      </c>
    </row>
    <row collapsed="false" customFormat="false" customHeight="false" hidden="false" ht="14.75" outlineLevel="0" r="253">
      <c r="A253" s="1" t="s">
        <v>266</v>
      </c>
      <c r="B253" s="1" t="s">
        <v>239</v>
      </c>
      <c r="C253" s="1" t="s">
        <v>237</v>
      </c>
      <c r="D253" s="1" t="n">
        <v>580</v>
      </c>
      <c r="E253" s="1" t="n">
        <v>26.91</v>
      </c>
      <c r="F253" s="1" t="s">
        <v>9</v>
      </c>
    </row>
    <row collapsed="false" customFormat="false" customHeight="false" hidden="false" ht="14.75" outlineLevel="0" r="254">
      <c r="A254" s="1" t="s">
        <v>267</v>
      </c>
      <c r="B254" s="1" t="s">
        <v>239</v>
      </c>
      <c r="C254" s="1" t="s">
        <v>237</v>
      </c>
      <c r="D254" s="1" t="n">
        <v>218.6</v>
      </c>
      <c r="E254" s="1" t="n">
        <v>15.93</v>
      </c>
      <c r="F254" s="1" t="s">
        <v>9</v>
      </c>
    </row>
    <row collapsed="false" customFormat="false" customHeight="false" hidden="false" ht="14.75" outlineLevel="0" r="255">
      <c r="A255" s="1" t="s">
        <v>268</v>
      </c>
      <c r="B255" s="1" t="s">
        <v>239</v>
      </c>
      <c r="C255" s="1" t="s">
        <v>237</v>
      </c>
      <c r="D255" s="1" t="n">
        <v>135.7</v>
      </c>
      <c r="E255" s="1" t="n">
        <v>13.17</v>
      </c>
      <c r="F255" s="1" t="s">
        <v>9</v>
      </c>
    </row>
    <row collapsed="false" customFormat="false" customHeight="false" hidden="false" ht="14.75" outlineLevel="0" r="256">
      <c r="A256" s="1" t="s">
        <v>269</v>
      </c>
      <c r="B256" s="1" t="s">
        <v>239</v>
      </c>
      <c r="C256" s="1" t="s">
        <v>237</v>
      </c>
      <c r="D256" s="1" t="n">
        <v>137.1</v>
      </c>
      <c r="E256" s="1" t="n">
        <v>11.82</v>
      </c>
      <c r="F256" s="1" t="s">
        <v>9</v>
      </c>
    </row>
    <row collapsed="false" customFormat="false" customHeight="false" hidden="false" ht="14.75" outlineLevel="0" r="257">
      <c r="A257" s="1" t="s">
        <v>270</v>
      </c>
      <c r="B257" s="1" t="s">
        <v>239</v>
      </c>
      <c r="C257" s="1" t="s">
        <v>237</v>
      </c>
      <c r="D257" s="1" t="n">
        <v>120</v>
      </c>
      <c r="E257" s="1" t="n">
        <v>12.11</v>
      </c>
      <c r="F257" s="1" t="s">
        <v>9</v>
      </c>
    </row>
    <row collapsed="false" customFormat="false" customHeight="false" hidden="false" ht="14.75" outlineLevel="0" r="258">
      <c r="A258" s="1" t="s">
        <v>271</v>
      </c>
      <c r="B258" s="1" t="s">
        <v>239</v>
      </c>
      <c r="C258" s="1" t="s">
        <v>237</v>
      </c>
      <c r="D258" s="1" t="n">
        <v>51.4</v>
      </c>
      <c r="E258" s="1" t="n">
        <v>6.36</v>
      </c>
      <c r="F258" s="1" t="s">
        <v>9</v>
      </c>
    </row>
    <row collapsed="false" customFormat="false" customHeight="false" hidden="false" ht="14.75" outlineLevel="0" r="259">
      <c r="A259" s="1" t="s">
        <v>272</v>
      </c>
      <c r="B259" s="1" t="s">
        <v>239</v>
      </c>
      <c r="C259" s="1" t="s">
        <v>237</v>
      </c>
      <c r="D259" s="1" t="n">
        <v>48.6</v>
      </c>
      <c r="E259" s="1" t="n">
        <v>7</v>
      </c>
      <c r="F259" s="1" t="s">
        <v>9</v>
      </c>
    </row>
    <row collapsed="false" customFormat="false" customHeight="false" hidden="false" ht="14.75" outlineLevel="0" r="260">
      <c r="A260" s="1" t="s">
        <v>273</v>
      </c>
      <c r="B260" s="1" t="s">
        <v>236</v>
      </c>
      <c r="C260" s="1" t="s">
        <v>237</v>
      </c>
      <c r="D260" s="1" t="n">
        <v>306.7</v>
      </c>
      <c r="E260" s="1" t="n">
        <v>17.92</v>
      </c>
      <c r="F260" s="1" t="s">
        <v>9</v>
      </c>
    </row>
    <row collapsed="false" customFormat="false" customHeight="false" hidden="false" ht="14.75" outlineLevel="0" r="261">
      <c r="A261" s="1" t="s">
        <v>274</v>
      </c>
      <c r="B261" s="1" t="s">
        <v>236</v>
      </c>
      <c r="C261" s="1" t="s">
        <v>237</v>
      </c>
      <c r="D261" s="1" t="n">
        <v>115</v>
      </c>
      <c r="E261" s="1" t="n">
        <v>10.75</v>
      </c>
      <c r="F261" s="1" t="s">
        <v>9</v>
      </c>
    </row>
    <row collapsed="false" customFormat="false" customHeight="false" hidden="false" ht="14.75" outlineLevel="0" r="262">
      <c r="A262" s="1" t="s">
        <v>275</v>
      </c>
      <c r="B262" s="1" t="s">
        <v>239</v>
      </c>
      <c r="C262" s="1" t="s">
        <v>237</v>
      </c>
      <c r="D262" s="1" t="n">
        <v>474.3</v>
      </c>
      <c r="E262" s="1" t="n">
        <v>24.95</v>
      </c>
      <c r="F262" s="1" t="s">
        <v>9</v>
      </c>
    </row>
    <row collapsed="false" customFormat="false" customHeight="false" hidden="false" ht="14.75" outlineLevel="0" r="263">
      <c r="A263" s="1" t="s">
        <v>276</v>
      </c>
      <c r="B263" s="1" t="s">
        <v>239</v>
      </c>
      <c r="C263" s="1" t="s">
        <v>237</v>
      </c>
      <c r="D263" s="1" t="n">
        <v>377.1</v>
      </c>
      <c r="E263" s="1" t="n">
        <v>21.43</v>
      </c>
      <c r="F263" s="1" t="s">
        <v>9</v>
      </c>
    </row>
    <row collapsed="false" customFormat="false" customHeight="false" hidden="false" ht="14.75" outlineLevel="0" r="264">
      <c r="A264" s="1" t="s">
        <v>277</v>
      </c>
      <c r="B264" s="1" t="s">
        <v>239</v>
      </c>
      <c r="C264" s="1" t="s">
        <v>237</v>
      </c>
      <c r="D264" s="1" t="n">
        <v>107.1</v>
      </c>
      <c r="E264" s="1" t="n">
        <v>10.83</v>
      </c>
      <c r="F264" s="1" t="s">
        <v>9</v>
      </c>
    </row>
    <row collapsed="false" customFormat="false" customHeight="false" hidden="false" ht="14.75" outlineLevel="0" r="265">
      <c r="A265" s="1" t="s">
        <v>278</v>
      </c>
      <c r="B265" s="1" t="s">
        <v>239</v>
      </c>
      <c r="C265" s="1" t="s">
        <v>237</v>
      </c>
      <c r="D265" s="1" t="n">
        <v>314.3</v>
      </c>
      <c r="E265" s="1" t="n">
        <v>18.95</v>
      </c>
      <c r="F265" s="1" t="s">
        <v>9</v>
      </c>
    </row>
    <row collapsed="false" customFormat="false" customHeight="false" hidden="false" ht="14.75" outlineLevel="0" r="266">
      <c r="A266" s="1" t="s">
        <v>279</v>
      </c>
      <c r="B266" s="1" t="s">
        <v>236</v>
      </c>
      <c r="C266" s="1" t="s">
        <v>237</v>
      </c>
      <c r="D266" s="1" t="n">
        <v>365.6</v>
      </c>
      <c r="E266" s="1" t="n">
        <v>19.57</v>
      </c>
      <c r="F266" s="1" t="s">
        <v>9</v>
      </c>
    </row>
    <row collapsed="false" customFormat="false" customHeight="false" hidden="false" ht="14.75" outlineLevel="0" r="267">
      <c r="A267" s="1" t="s">
        <v>280</v>
      </c>
      <c r="B267" s="1" t="s">
        <v>236</v>
      </c>
      <c r="C267" s="1" t="s">
        <v>237</v>
      </c>
      <c r="D267" s="1" t="n">
        <v>259.3</v>
      </c>
      <c r="E267" s="1" t="n">
        <v>14.93</v>
      </c>
      <c r="F267" s="1" t="s">
        <v>9</v>
      </c>
    </row>
    <row collapsed="false" customFormat="false" customHeight="false" hidden="false" ht="14.75" outlineLevel="0" r="268">
      <c r="A268" s="1" t="s">
        <v>281</v>
      </c>
      <c r="B268" s="1" t="s">
        <v>236</v>
      </c>
      <c r="C268" s="1" t="s">
        <v>237</v>
      </c>
      <c r="D268" s="1" t="n">
        <v>138.6</v>
      </c>
      <c r="E268" s="1" t="n">
        <v>11.3</v>
      </c>
      <c r="F268" s="1" t="s">
        <v>9</v>
      </c>
    </row>
    <row collapsed="false" customFormat="false" customHeight="false" hidden="false" ht="14.75" outlineLevel="0" r="269">
      <c r="A269" s="1" t="s">
        <v>282</v>
      </c>
      <c r="B269" s="1" t="s">
        <v>236</v>
      </c>
      <c r="C269" s="1" t="s">
        <v>237</v>
      </c>
      <c r="D269" s="1" t="n">
        <v>280</v>
      </c>
      <c r="E269" s="1" t="n">
        <v>15.62</v>
      </c>
      <c r="F269" s="1" t="s">
        <v>9</v>
      </c>
    </row>
    <row collapsed="false" customFormat="false" customHeight="false" hidden="false" ht="14.75" outlineLevel="0" r="270">
      <c r="A270" s="1" t="s">
        <v>283</v>
      </c>
      <c r="B270" s="1" t="s">
        <v>239</v>
      </c>
      <c r="C270" s="1" t="s">
        <v>237</v>
      </c>
      <c r="D270" s="1" t="n">
        <v>480</v>
      </c>
      <c r="E270" s="1" t="n">
        <v>25</v>
      </c>
      <c r="F270" s="1" t="s">
        <v>9</v>
      </c>
    </row>
    <row collapsed="false" customFormat="false" customHeight="false" hidden="false" ht="14.75" outlineLevel="0" r="271">
      <c r="A271" s="1" t="s">
        <v>284</v>
      </c>
      <c r="B271" s="1" t="s">
        <v>239</v>
      </c>
      <c r="C271" s="1" t="s">
        <v>237</v>
      </c>
      <c r="D271" s="1" t="n">
        <v>87.1</v>
      </c>
      <c r="E271" s="1" t="n">
        <v>9.06</v>
      </c>
      <c r="F271" s="1" t="s">
        <v>9</v>
      </c>
    </row>
    <row collapsed="false" customFormat="false" customHeight="false" hidden="false" ht="14.75" outlineLevel="0" r="272">
      <c r="A272" s="1" t="s">
        <v>285</v>
      </c>
      <c r="B272" s="1" t="s">
        <v>239</v>
      </c>
      <c r="C272" s="1" t="s">
        <v>237</v>
      </c>
      <c r="D272" s="1" t="n">
        <v>34.3</v>
      </c>
      <c r="E272" s="1" t="n">
        <v>8.46</v>
      </c>
      <c r="F272" s="1" t="s">
        <v>9</v>
      </c>
    </row>
    <row collapsed="false" customFormat="false" customHeight="false" hidden="false" ht="14.75" outlineLevel="0" r="273">
      <c r="A273" s="1" t="s">
        <v>286</v>
      </c>
      <c r="B273" s="1" t="s">
        <v>287</v>
      </c>
      <c r="C273" s="1" t="s">
        <v>288</v>
      </c>
      <c r="D273" s="1" t="n">
        <v>496</v>
      </c>
      <c r="E273" s="1" t="n">
        <v>26.27</v>
      </c>
      <c r="F273" s="1" t="n">
        <v>8.9</v>
      </c>
    </row>
    <row collapsed="false" customFormat="false" customHeight="false" hidden="false" ht="14.75" outlineLevel="0" r="274">
      <c r="A274" s="1" t="s">
        <v>289</v>
      </c>
      <c r="B274" s="1" t="s">
        <v>287</v>
      </c>
      <c r="C274" s="1" t="s">
        <v>288</v>
      </c>
      <c r="D274" s="1" t="n">
        <v>252</v>
      </c>
      <c r="E274" s="1" t="n">
        <v>20.25</v>
      </c>
      <c r="F274" s="1" t="n">
        <v>3.6</v>
      </c>
    </row>
    <row collapsed="false" customFormat="false" customHeight="false" hidden="false" ht="14.75" outlineLevel="0" r="275">
      <c r="A275" s="1" t="s">
        <v>290</v>
      </c>
      <c r="B275" s="1" t="s">
        <v>291</v>
      </c>
      <c r="C275" s="1" t="s">
        <v>288</v>
      </c>
      <c r="D275" s="1" t="n">
        <v>156.5</v>
      </c>
      <c r="E275" s="1" t="n">
        <v>11.76</v>
      </c>
      <c r="F275" s="1" t="n">
        <v>1.1</v>
      </c>
    </row>
    <row collapsed="false" customFormat="false" customHeight="false" hidden="false" ht="14.75" outlineLevel="0" r="276">
      <c r="A276" s="1" t="s">
        <v>292</v>
      </c>
      <c r="B276" s="1" t="s">
        <v>291</v>
      </c>
      <c r="C276" s="1" t="s">
        <v>288</v>
      </c>
      <c r="D276" s="1" t="n">
        <v>322.7</v>
      </c>
      <c r="E276" s="1" t="n">
        <v>17.64</v>
      </c>
      <c r="F276" s="1" t="n">
        <f aca="false">24/11</f>
        <v>2.18181818181818</v>
      </c>
    </row>
    <row collapsed="false" customFormat="false" customHeight="false" hidden="false" ht="14.75" outlineLevel="0" r="277">
      <c r="A277" s="1" t="s">
        <v>293</v>
      </c>
      <c r="B277" s="1" t="s">
        <v>294</v>
      </c>
      <c r="C277" s="1" t="s">
        <v>288</v>
      </c>
      <c r="D277" s="1" t="n">
        <v>484</v>
      </c>
      <c r="E277" s="1" t="n">
        <v>24.92</v>
      </c>
      <c r="F277" s="1" t="n">
        <f aca="false">17/5</f>
        <v>3.4</v>
      </c>
    </row>
    <row collapsed="false" customFormat="false" customHeight="false" hidden="false" ht="14.75" outlineLevel="0" r="278">
      <c r="A278" s="1" t="s">
        <v>295</v>
      </c>
      <c r="B278" s="1" t="s">
        <v>287</v>
      </c>
      <c r="C278" s="1" t="s">
        <v>288</v>
      </c>
      <c r="D278" s="1" t="n">
        <v>332</v>
      </c>
      <c r="E278" s="1" t="n">
        <v>25.38</v>
      </c>
      <c r="F278" s="1" t="n">
        <v>5</v>
      </c>
    </row>
    <row collapsed="false" customFormat="false" customHeight="false" hidden="false" ht="14.75" outlineLevel="0" r="279">
      <c r="A279" s="1" t="s">
        <v>296</v>
      </c>
      <c r="B279" s="1" t="s">
        <v>291</v>
      </c>
      <c r="C279" s="1" t="s">
        <v>288</v>
      </c>
      <c r="D279" s="1" t="n">
        <v>126.7</v>
      </c>
      <c r="E279" s="1" t="n">
        <v>8.52</v>
      </c>
      <c r="F279" s="1" t="n">
        <v>1</v>
      </c>
    </row>
    <row collapsed="false" customFormat="false" customHeight="false" hidden="false" ht="14.75" outlineLevel="0" r="280">
      <c r="A280" s="1" t="s">
        <v>297</v>
      </c>
      <c r="B280" s="1" t="s">
        <v>291</v>
      </c>
      <c r="C280" s="1" t="s">
        <v>288</v>
      </c>
      <c r="D280" s="1" t="n">
        <v>47.5</v>
      </c>
      <c r="E280" s="1" t="n">
        <v>5.29</v>
      </c>
      <c r="F280" s="1" t="n">
        <v>0.2</v>
      </c>
    </row>
    <row collapsed="false" customFormat="false" customHeight="false" hidden="false" ht="14.75" outlineLevel="0" r="281">
      <c r="A281" s="1" t="s">
        <v>298</v>
      </c>
      <c r="B281" s="1" t="s">
        <v>299</v>
      </c>
      <c r="C281" s="1" t="s">
        <v>288</v>
      </c>
      <c r="D281" s="1" t="n">
        <v>140.6</v>
      </c>
      <c r="E281" s="1" t="n">
        <v>9.32</v>
      </c>
      <c r="F281" s="1" t="s">
        <v>9</v>
      </c>
    </row>
    <row collapsed="false" customFormat="false" customHeight="false" hidden="false" ht="14.75" outlineLevel="0" r="282">
      <c r="A282" s="1" t="s">
        <v>300</v>
      </c>
      <c r="B282" s="1" t="s">
        <v>287</v>
      </c>
      <c r="C282" s="1" t="s">
        <v>288</v>
      </c>
      <c r="D282" s="1" t="n">
        <v>345</v>
      </c>
      <c r="E282" s="1" t="n">
        <v>22.95</v>
      </c>
      <c r="F282" s="1" t="n">
        <v>4.9</v>
      </c>
    </row>
    <row collapsed="false" customFormat="false" customHeight="false" hidden="false" ht="14.75" outlineLevel="0" r="283">
      <c r="A283" s="1" t="s">
        <v>301</v>
      </c>
      <c r="B283" s="1" t="s">
        <v>291</v>
      </c>
      <c r="C283" s="1" t="s">
        <v>288</v>
      </c>
      <c r="D283" s="1" t="n">
        <v>102</v>
      </c>
      <c r="E283" s="1" t="n">
        <v>9.06</v>
      </c>
      <c r="F283" s="1" t="n">
        <v>0.2</v>
      </c>
    </row>
    <row collapsed="false" customFormat="false" customHeight="false" hidden="false" ht="14.75" outlineLevel="0" r="284">
      <c r="A284" s="1" t="s">
        <v>302</v>
      </c>
      <c r="B284" s="1" t="s">
        <v>288</v>
      </c>
      <c r="C284" s="1" t="s">
        <v>288</v>
      </c>
      <c r="D284" s="1" t="n">
        <v>258.04</v>
      </c>
      <c r="E284" s="1" t="n">
        <v>19.7727272727273</v>
      </c>
      <c r="F284" s="1" t="s">
        <v>9</v>
      </c>
    </row>
    <row collapsed="false" customFormat="false" customHeight="false" hidden="false" ht="14.75" outlineLevel="0" r="285">
      <c r="A285" s="1" t="s">
        <v>303</v>
      </c>
      <c r="B285" s="1" t="s">
        <v>287</v>
      </c>
      <c r="C285" s="1" t="s">
        <v>288</v>
      </c>
      <c r="D285" s="1" t="n">
        <v>350.5</v>
      </c>
      <c r="E285" s="1" t="n">
        <v>24.79</v>
      </c>
      <c r="F285" s="1" t="n">
        <v>6.2</v>
      </c>
    </row>
    <row collapsed="false" customFormat="false" customHeight="false" hidden="false" ht="14.75" outlineLevel="0" r="286">
      <c r="A286" s="1" t="s">
        <v>304</v>
      </c>
      <c r="B286" s="1" t="s">
        <v>288</v>
      </c>
      <c r="C286" s="1" t="s">
        <v>288</v>
      </c>
      <c r="D286" s="1" t="n">
        <v>397.5</v>
      </c>
      <c r="E286" s="1" t="n">
        <v>21.640625</v>
      </c>
      <c r="F286" s="1" t="s">
        <v>9</v>
      </c>
    </row>
    <row collapsed="false" customFormat="false" customHeight="false" hidden="false" ht="14.75" outlineLevel="0" r="287">
      <c r="A287" s="1" t="s">
        <v>38</v>
      </c>
      <c r="B287" s="1" t="s">
        <v>287</v>
      </c>
      <c r="C287" s="1" t="s">
        <v>288</v>
      </c>
      <c r="D287" s="1" t="n">
        <v>277</v>
      </c>
      <c r="E287" s="1" t="n">
        <v>20.11</v>
      </c>
      <c r="F287" s="1" t="n">
        <v>4.4</v>
      </c>
    </row>
    <row collapsed="false" customFormat="false" customHeight="false" hidden="false" ht="14.75" outlineLevel="0" r="288">
      <c r="A288" s="1" t="s">
        <v>305</v>
      </c>
      <c r="B288" s="1" t="s">
        <v>299</v>
      </c>
      <c r="C288" s="1" t="s">
        <v>288</v>
      </c>
      <c r="D288" s="1" t="n">
        <v>83.8</v>
      </c>
      <c r="E288" s="1" t="n">
        <v>10.69</v>
      </c>
      <c r="F288" s="1" t="s">
        <v>9</v>
      </c>
    </row>
    <row collapsed="false" customFormat="false" customHeight="false" hidden="false" ht="14.75" outlineLevel="0" r="289">
      <c r="A289" s="1" t="s">
        <v>306</v>
      </c>
      <c r="B289" s="1" t="s">
        <v>299</v>
      </c>
      <c r="C289" s="1" t="s">
        <v>288</v>
      </c>
      <c r="D289" s="1" t="n">
        <v>92.5</v>
      </c>
      <c r="E289" s="1" t="n">
        <v>8.18</v>
      </c>
      <c r="F289" s="1" t="s">
        <v>9</v>
      </c>
    </row>
    <row collapsed="false" customFormat="false" customHeight="false" hidden="false" ht="14.75" outlineLevel="0" r="290">
      <c r="A290" s="1" t="s">
        <v>307</v>
      </c>
      <c r="B290" s="1" t="s">
        <v>299</v>
      </c>
      <c r="C290" s="1" t="s">
        <v>288</v>
      </c>
      <c r="D290" s="1" t="n">
        <v>130.6</v>
      </c>
      <c r="E290" s="1" t="n">
        <v>10.38</v>
      </c>
      <c r="F290" s="1" t="s">
        <v>9</v>
      </c>
    </row>
    <row collapsed="false" customFormat="false" customHeight="false" hidden="false" ht="14.75" outlineLevel="0" r="291">
      <c r="A291" s="1" t="s">
        <v>308</v>
      </c>
      <c r="B291" s="1" t="s">
        <v>309</v>
      </c>
      <c r="C291" s="4" t="s">
        <v>288</v>
      </c>
      <c r="D291" s="1" t="n">
        <v>73</v>
      </c>
      <c r="E291" s="1" t="n">
        <v>7.5</v>
      </c>
      <c r="F291" s="1" t="s">
        <v>9</v>
      </c>
    </row>
    <row collapsed="false" customFormat="false" customHeight="false" hidden="false" ht="14.75" outlineLevel="0" r="292">
      <c r="A292" s="1" t="s">
        <v>310</v>
      </c>
      <c r="B292" s="1" t="s">
        <v>299</v>
      </c>
      <c r="C292" s="1" t="s">
        <v>288</v>
      </c>
      <c r="D292" s="1" t="n">
        <v>257.9</v>
      </c>
      <c r="E292" s="1" t="n">
        <v>16.79</v>
      </c>
      <c r="F292" s="1" t="s">
        <v>9</v>
      </c>
    </row>
    <row collapsed="false" customFormat="false" customHeight="false" hidden="false" ht="14.75" outlineLevel="0" r="293">
      <c r="A293" s="1" t="s">
        <v>311</v>
      </c>
      <c r="B293" s="1" t="s">
        <v>299</v>
      </c>
      <c r="C293" s="1" t="s">
        <v>288</v>
      </c>
      <c r="D293" s="1" t="n">
        <v>168.8</v>
      </c>
      <c r="E293" s="1" t="n">
        <v>13.1</v>
      </c>
      <c r="F293" s="1" t="s">
        <v>9</v>
      </c>
    </row>
    <row collapsed="false" customFormat="false" customHeight="false" hidden="false" ht="14.75" outlineLevel="0" r="294">
      <c r="A294" s="1" t="s">
        <v>312</v>
      </c>
      <c r="B294" s="1" t="s">
        <v>313</v>
      </c>
      <c r="C294" s="1" t="s">
        <v>288</v>
      </c>
      <c r="D294" s="1" t="n">
        <v>168.5</v>
      </c>
      <c r="E294" s="1" t="n">
        <v>14.17</v>
      </c>
      <c r="F294" s="1" t="s">
        <v>9</v>
      </c>
    </row>
    <row collapsed="false" customFormat="false" customHeight="false" hidden="false" ht="14.75" outlineLevel="0" r="295">
      <c r="A295" s="1" t="s">
        <v>314</v>
      </c>
      <c r="B295" s="1" t="s">
        <v>313</v>
      </c>
      <c r="C295" s="1" t="s">
        <v>288</v>
      </c>
      <c r="D295" s="1" t="n">
        <v>118</v>
      </c>
      <c r="E295" s="1" t="n">
        <v>7.95</v>
      </c>
      <c r="F295" s="1" t="s">
        <v>9</v>
      </c>
    </row>
    <row collapsed="false" customFormat="false" customHeight="false" hidden="false" ht="14.75" outlineLevel="0" r="296">
      <c r="A296" s="1" t="s">
        <v>315</v>
      </c>
      <c r="B296" s="1" t="s">
        <v>291</v>
      </c>
      <c r="C296" s="1" t="s">
        <v>288</v>
      </c>
      <c r="D296" s="1" t="n">
        <v>131.1</v>
      </c>
      <c r="E296" s="1" t="n">
        <v>12.26</v>
      </c>
      <c r="F296" s="1" t="n">
        <v>0.8</v>
      </c>
    </row>
    <row collapsed="false" customFormat="false" customHeight="false" hidden="false" ht="14.75" outlineLevel="0" r="297">
      <c r="A297" s="1" t="s">
        <v>108</v>
      </c>
      <c r="B297" s="1" t="s">
        <v>313</v>
      </c>
      <c r="C297" s="1" t="s">
        <v>288</v>
      </c>
      <c r="D297" s="1" t="n">
        <v>426.5</v>
      </c>
      <c r="E297" s="1" t="n">
        <v>21.82</v>
      </c>
      <c r="F297" s="1" t="s">
        <v>9</v>
      </c>
    </row>
    <row collapsed="false" customFormat="false" customHeight="false" hidden="false" ht="14.75" outlineLevel="0" r="298">
      <c r="A298" s="1" t="s">
        <v>110</v>
      </c>
      <c r="B298" s="1" t="s">
        <v>313</v>
      </c>
      <c r="C298" s="1" t="s">
        <v>288</v>
      </c>
      <c r="D298" s="1" t="n">
        <v>168.9</v>
      </c>
      <c r="E298" s="1" t="n">
        <v>10.13</v>
      </c>
      <c r="F298" s="1" t="s">
        <v>9</v>
      </c>
    </row>
    <row collapsed="false" customFormat="false" customHeight="false" hidden="false" ht="14.75" outlineLevel="0" r="299">
      <c r="A299" s="1" t="s">
        <v>316</v>
      </c>
      <c r="B299" s="1" t="s">
        <v>313</v>
      </c>
      <c r="C299" s="1" t="s">
        <v>288</v>
      </c>
      <c r="D299" s="1" t="n">
        <v>199</v>
      </c>
      <c r="E299" s="1" t="n">
        <v>12.95</v>
      </c>
      <c r="F299" s="1" t="s">
        <v>9</v>
      </c>
    </row>
    <row collapsed="false" customFormat="false" customHeight="false" hidden="false" ht="14.75" outlineLevel="0" r="300">
      <c r="A300" s="1" t="s">
        <v>317</v>
      </c>
      <c r="B300" s="1" t="s">
        <v>288</v>
      </c>
      <c r="C300" s="1" t="s">
        <v>288</v>
      </c>
      <c r="D300" s="1" t="n">
        <v>191.04</v>
      </c>
      <c r="E300" s="1" t="n">
        <v>15.8333333333333</v>
      </c>
      <c r="F300" s="1" t="s">
        <v>9</v>
      </c>
    </row>
    <row collapsed="false" customFormat="false" customHeight="false" hidden="false" ht="14.75" outlineLevel="0" r="301">
      <c r="A301" s="1" t="s">
        <v>318</v>
      </c>
      <c r="B301" s="1" t="s">
        <v>294</v>
      </c>
      <c r="C301" s="1" t="s">
        <v>288</v>
      </c>
      <c r="D301" s="1" t="n">
        <v>308</v>
      </c>
      <c r="E301" s="1" t="n">
        <v>19.11</v>
      </c>
      <c r="F301" s="1" t="n">
        <f aca="false">9/5</f>
        <v>1.8</v>
      </c>
    </row>
    <row collapsed="false" customFormat="false" customHeight="false" hidden="false" ht="14.75" outlineLevel="0" r="302">
      <c r="A302" s="1" t="s">
        <v>319</v>
      </c>
      <c r="B302" s="1" t="s">
        <v>294</v>
      </c>
      <c r="C302" s="1" t="s">
        <v>288</v>
      </c>
      <c r="D302" s="1" t="n">
        <v>412</v>
      </c>
      <c r="E302" s="1" t="n">
        <v>18.5</v>
      </c>
      <c r="F302" s="1" t="n">
        <f aca="false">12/5</f>
        <v>2.4</v>
      </c>
    </row>
    <row collapsed="false" customFormat="false" customHeight="false" hidden="false" ht="14.75" outlineLevel="0" r="303">
      <c r="A303" s="1" t="s">
        <v>320</v>
      </c>
      <c r="B303" s="1" t="s">
        <v>294</v>
      </c>
      <c r="C303" s="1" t="s">
        <v>288</v>
      </c>
      <c r="D303" s="1" t="n">
        <v>172</v>
      </c>
      <c r="E303" s="1" t="n">
        <v>13.67</v>
      </c>
      <c r="F303" s="1" t="n">
        <f aca="false">4/5</f>
        <v>0.8</v>
      </c>
    </row>
    <row collapsed="false" customFormat="false" customHeight="false" hidden="false" ht="14.75" outlineLevel="0" r="304">
      <c r="A304" s="1" t="s">
        <v>111</v>
      </c>
      <c r="B304" s="1" t="s">
        <v>288</v>
      </c>
      <c r="C304" s="1" t="s">
        <v>288</v>
      </c>
      <c r="D304" s="1" t="n">
        <v>162</v>
      </c>
      <c r="E304" s="1" t="n">
        <v>12.8378378378378</v>
      </c>
      <c r="F304" s="1" t="s">
        <v>9</v>
      </c>
    </row>
    <row collapsed="false" customFormat="false" customHeight="false" hidden="false" ht="14.75" outlineLevel="0" r="305">
      <c r="A305" s="1" t="s">
        <v>112</v>
      </c>
      <c r="B305" s="1" t="s">
        <v>288</v>
      </c>
      <c r="C305" s="1" t="s">
        <v>288</v>
      </c>
      <c r="D305" s="1" t="n">
        <v>116.98</v>
      </c>
      <c r="E305" s="1" t="n">
        <v>10.4166666666667</v>
      </c>
      <c r="F305" s="1" t="s">
        <v>9</v>
      </c>
    </row>
    <row collapsed="false" customFormat="false" customHeight="false" hidden="false" ht="14.75" outlineLevel="0" r="306">
      <c r="A306" s="1" t="s">
        <v>321</v>
      </c>
      <c r="B306" s="1" t="s">
        <v>291</v>
      </c>
      <c r="C306" s="1" t="s">
        <v>288</v>
      </c>
      <c r="D306" s="1" t="n">
        <v>93.1</v>
      </c>
      <c r="E306" s="1" t="n">
        <v>10.39</v>
      </c>
      <c r="F306" s="1" t="n">
        <v>0.3</v>
      </c>
    </row>
    <row collapsed="false" customFormat="false" customHeight="false" hidden="false" ht="14.75" outlineLevel="0" r="307">
      <c r="A307" s="1" t="s">
        <v>322</v>
      </c>
      <c r="B307" s="1" t="s">
        <v>291</v>
      </c>
      <c r="C307" s="1" t="s">
        <v>288</v>
      </c>
      <c r="D307" s="1" t="n">
        <v>60.6</v>
      </c>
      <c r="E307" s="1" t="n">
        <v>5.59</v>
      </c>
      <c r="F307" s="1" t="n">
        <v>0.3</v>
      </c>
    </row>
    <row collapsed="false" customFormat="false" customHeight="false" hidden="false" ht="14.75" outlineLevel="0" r="308">
      <c r="A308" s="1" t="s">
        <v>323</v>
      </c>
      <c r="B308" s="1" t="s">
        <v>287</v>
      </c>
      <c r="C308" s="1" t="s">
        <v>288</v>
      </c>
      <c r="D308" s="1" t="n">
        <v>346.5</v>
      </c>
      <c r="E308" s="1" t="n">
        <v>22.92</v>
      </c>
      <c r="F308" s="1" t="n">
        <v>5.2</v>
      </c>
    </row>
    <row collapsed="false" customFormat="false" customHeight="false" hidden="false" ht="14.75" outlineLevel="0" r="309">
      <c r="A309" s="1" t="s">
        <v>324</v>
      </c>
      <c r="B309" s="1" t="s">
        <v>291</v>
      </c>
      <c r="C309" s="1" t="s">
        <v>288</v>
      </c>
      <c r="D309" s="1" t="n">
        <v>115</v>
      </c>
      <c r="E309" s="1" t="n">
        <v>9.02</v>
      </c>
      <c r="F309" s="1" t="n">
        <v>0.5</v>
      </c>
    </row>
    <row collapsed="false" customFormat="false" customHeight="false" hidden="false" ht="14.75" outlineLevel="0" r="310">
      <c r="A310" s="1" t="s">
        <v>325</v>
      </c>
      <c r="B310" s="1" t="s">
        <v>299</v>
      </c>
      <c r="C310" s="1" t="s">
        <v>288</v>
      </c>
      <c r="D310" s="1" t="n">
        <v>240.6</v>
      </c>
      <c r="E310" s="1" t="n">
        <v>14.34</v>
      </c>
      <c r="F310" s="1" t="s">
        <v>9</v>
      </c>
    </row>
    <row collapsed="false" customFormat="false" customHeight="false" hidden="false" ht="14.75" outlineLevel="0" r="311">
      <c r="A311" s="1" t="s">
        <v>326</v>
      </c>
      <c r="B311" s="1" t="s">
        <v>287</v>
      </c>
      <c r="C311" s="1" t="s">
        <v>288</v>
      </c>
      <c r="D311" s="1" t="n">
        <v>513</v>
      </c>
      <c r="E311" s="1" t="n">
        <v>25.49</v>
      </c>
      <c r="F311" s="1" t="n">
        <v>9.7</v>
      </c>
    </row>
    <row collapsed="false" customFormat="false" customHeight="false" hidden="false" ht="14.75" outlineLevel="0" r="312">
      <c r="A312" s="1" t="s">
        <v>11</v>
      </c>
      <c r="B312" s="1" t="s">
        <v>287</v>
      </c>
      <c r="C312" s="1" t="s">
        <v>288</v>
      </c>
      <c r="D312" s="1" t="n">
        <v>420</v>
      </c>
      <c r="E312" s="1" t="n">
        <v>25.34</v>
      </c>
      <c r="F312" s="1" t="n">
        <f aca="false">102/12</f>
        <v>8.5</v>
      </c>
    </row>
    <row collapsed="false" customFormat="false" customHeight="false" hidden="false" ht="14.75" outlineLevel="0" r="313">
      <c r="A313" s="1" t="s">
        <v>327</v>
      </c>
      <c r="B313" s="1" t="s">
        <v>299</v>
      </c>
      <c r="C313" s="1" t="s">
        <v>288</v>
      </c>
      <c r="D313" s="1" t="n">
        <v>195.6</v>
      </c>
      <c r="E313" s="1" t="n">
        <v>14.39</v>
      </c>
      <c r="F313" s="1" t="s">
        <v>9</v>
      </c>
    </row>
    <row collapsed="false" customFormat="false" customHeight="false" hidden="false" ht="14.75" outlineLevel="0" r="314">
      <c r="A314" s="1" t="s">
        <v>328</v>
      </c>
      <c r="B314" s="1" t="s">
        <v>299</v>
      </c>
      <c r="C314" s="1" t="s">
        <v>288</v>
      </c>
      <c r="D314" s="1" t="n">
        <v>89.4</v>
      </c>
      <c r="E314" s="1" t="n">
        <v>7.8</v>
      </c>
      <c r="F314" s="1" t="s">
        <v>9</v>
      </c>
    </row>
    <row collapsed="false" customFormat="false" customHeight="false" hidden="false" ht="14.75" outlineLevel="0" r="315">
      <c r="A315" s="1" t="s">
        <v>329</v>
      </c>
      <c r="B315" s="1" t="s">
        <v>299</v>
      </c>
      <c r="C315" s="1" t="s">
        <v>288</v>
      </c>
      <c r="D315" s="1" t="n">
        <v>137.1</v>
      </c>
      <c r="E315" s="1" t="n">
        <v>13.57</v>
      </c>
      <c r="F315" s="1" t="s">
        <v>9</v>
      </c>
    </row>
    <row collapsed="false" customFormat="false" customHeight="false" hidden="false" ht="14.75" outlineLevel="0" r="316">
      <c r="A316" s="1" t="s">
        <v>330</v>
      </c>
      <c r="B316" s="1" t="s">
        <v>288</v>
      </c>
      <c r="C316" s="1" t="s">
        <v>288</v>
      </c>
      <c r="D316" s="1" t="n">
        <v>363.02</v>
      </c>
      <c r="E316" s="1" t="n">
        <v>22.787610619469</v>
      </c>
      <c r="F316" s="1" t="s">
        <v>9</v>
      </c>
    </row>
    <row collapsed="false" customFormat="false" customHeight="false" hidden="false" ht="14.75" outlineLevel="0" r="317">
      <c r="A317" s="1" t="s">
        <v>331</v>
      </c>
      <c r="B317" s="1" t="s">
        <v>313</v>
      </c>
      <c r="C317" s="1" t="s">
        <v>288</v>
      </c>
      <c r="D317" s="1" t="n">
        <v>105.6</v>
      </c>
      <c r="E317" s="1" t="n">
        <v>9.23</v>
      </c>
      <c r="F317" s="1" t="s">
        <v>9</v>
      </c>
    </row>
    <row collapsed="false" customFormat="false" customHeight="false" hidden="false" ht="14.75" outlineLevel="0" r="318">
      <c r="A318" s="1" t="s">
        <v>332</v>
      </c>
      <c r="B318" s="1" t="s">
        <v>291</v>
      </c>
      <c r="C318" s="1" t="s">
        <v>288</v>
      </c>
      <c r="D318" s="1" t="n">
        <v>395.5</v>
      </c>
      <c r="E318" s="1" t="n">
        <v>19.02</v>
      </c>
      <c r="F318" s="1" t="n">
        <v>4.7</v>
      </c>
    </row>
    <row collapsed="false" customFormat="false" customHeight="false" hidden="false" ht="14.75" outlineLevel="0" r="319">
      <c r="A319" s="1" t="s">
        <v>333</v>
      </c>
      <c r="B319" s="1" t="s">
        <v>291</v>
      </c>
      <c r="C319" s="1" t="s">
        <v>288</v>
      </c>
      <c r="D319" s="1" t="n">
        <v>230.5</v>
      </c>
      <c r="E319" s="1" t="n">
        <v>14.53</v>
      </c>
      <c r="F319" s="1" t="n">
        <v>2.3</v>
      </c>
    </row>
    <row collapsed="false" customFormat="false" customHeight="false" hidden="false" ht="14.75" outlineLevel="0" r="320">
      <c r="A320" s="1" t="s">
        <v>334</v>
      </c>
      <c r="B320" s="1" t="s">
        <v>313</v>
      </c>
      <c r="C320" s="1" t="s">
        <v>288</v>
      </c>
      <c r="D320" s="1" t="n">
        <v>183</v>
      </c>
      <c r="E320" s="1" t="n">
        <v>12.84</v>
      </c>
      <c r="F320" s="1" t="s">
        <v>9</v>
      </c>
    </row>
    <row collapsed="false" customFormat="false" customHeight="false" hidden="false" ht="14.75" outlineLevel="0" r="321">
      <c r="A321" s="1" t="s">
        <v>335</v>
      </c>
      <c r="B321" s="1" t="s">
        <v>313</v>
      </c>
      <c r="C321" s="1" t="s">
        <v>288</v>
      </c>
      <c r="D321" s="1" t="n">
        <v>24</v>
      </c>
      <c r="E321" s="1" t="n">
        <v>4.44</v>
      </c>
      <c r="F321" s="1" t="s">
        <v>9</v>
      </c>
    </row>
    <row collapsed="false" customFormat="false" customHeight="false" hidden="false" ht="14.75" outlineLevel="0" r="322">
      <c r="A322" s="1" t="s">
        <v>41</v>
      </c>
      <c r="B322" s="1" t="s">
        <v>288</v>
      </c>
      <c r="C322" s="1" t="s">
        <v>288</v>
      </c>
      <c r="D322" s="1" t="n">
        <v>444.48</v>
      </c>
      <c r="E322" s="1" t="n">
        <v>25.511811023622</v>
      </c>
      <c r="F322" s="1" t="s">
        <v>9</v>
      </c>
    </row>
    <row collapsed="false" customFormat="false" customHeight="false" hidden="false" ht="14.75" outlineLevel="0" r="323">
      <c r="A323" s="1" t="s">
        <v>336</v>
      </c>
      <c r="B323" s="1" t="s">
        <v>288</v>
      </c>
      <c r="C323" s="1" t="s">
        <v>288</v>
      </c>
      <c r="D323" s="1" t="n">
        <v>370.48</v>
      </c>
      <c r="E323" s="1" t="n">
        <v>23.75</v>
      </c>
      <c r="F323" s="1" t="s">
        <v>9</v>
      </c>
    </row>
    <row collapsed="false" customFormat="false" customHeight="false" hidden="false" ht="14.75" outlineLevel="0" r="324">
      <c r="A324" s="1" t="s">
        <v>337</v>
      </c>
      <c r="B324" s="1" t="s">
        <v>294</v>
      </c>
      <c r="C324" s="1" t="s">
        <v>288</v>
      </c>
      <c r="D324" s="1" t="n">
        <v>590</v>
      </c>
      <c r="E324" s="1" t="n">
        <v>22.7</v>
      </c>
      <c r="F324" s="1" t="n">
        <f aca="false">44/5</f>
        <v>8.8</v>
      </c>
    </row>
    <row collapsed="false" customFormat="false" customHeight="false" hidden="false" ht="14.75" outlineLevel="0" r="325">
      <c r="A325" s="1" t="s">
        <v>338</v>
      </c>
      <c r="B325" s="1" t="s">
        <v>294</v>
      </c>
      <c r="C325" s="1" t="s">
        <v>288</v>
      </c>
      <c r="D325" s="1" t="n">
        <v>162</v>
      </c>
      <c r="E325" s="1" t="n">
        <v>14.8</v>
      </c>
      <c r="F325" s="1" t="n">
        <f aca="false">2/5</f>
        <v>0.4</v>
      </c>
    </row>
    <row collapsed="false" customFormat="false" customHeight="false" hidden="false" ht="14.75" outlineLevel="0" r="326">
      <c r="A326" s="1" t="s">
        <v>339</v>
      </c>
      <c r="B326" s="1" t="s">
        <v>313</v>
      </c>
      <c r="C326" s="1" t="s">
        <v>288</v>
      </c>
      <c r="D326" s="1" t="n">
        <v>324</v>
      </c>
      <c r="E326" s="1" t="n">
        <v>19.78</v>
      </c>
      <c r="F326" s="1" t="s">
        <v>9</v>
      </c>
    </row>
    <row collapsed="false" customFormat="false" customHeight="false" hidden="false" ht="14.75" outlineLevel="0" r="327">
      <c r="A327" s="1" t="s">
        <v>340</v>
      </c>
      <c r="B327" s="1" t="s">
        <v>313</v>
      </c>
      <c r="C327" s="1" t="s">
        <v>288</v>
      </c>
      <c r="D327" s="1" t="n">
        <v>217.5</v>
      </c>
      <c r="E327" s="1" t="n">
        <v>14.83</v>
      </c>
      <c r="F327" s="1" t="s">
        <v>9</v>
      </c>
    </row>
    <row collapsed="false" customFormat="false" customHeight="false" hidden="false" ht="14.75" outlineLevel="0" r="328">
      <c r="A328" s="1" t="s">
        <v>341</v>
      </c>
      <c r="B328" s="1" t="s">
        <v>313</v>
      </c>
      <c r="C328" s="1" t="s">
        <v>288</v>
      </c>
      <c r="D328" s="1" t="n">
        <v>53</v>
      </c>
      <c r="E328" s="1" t="n">
        <v>4.62</v>
      </c>
      <c r="F328" s="1" t="s">
        <v>9</v>
      </c>
    </row>
    <row collapsed="false" customFormat="false" customHeight="false" hidden="false" ht="14.75" outlineLevel="0" r="329">
      <c r="A329" s="1" t="s">
        <v>208</v>
      </c>
      <c r="B329" s="1" t="s">
        <v>309</v>
      </c>
      <c r="C329" s="4" t="s">
        <v>288</v>
      </c>
      <c r="D329" s="1" t="n">
        <v>440.5</v>
      </c>
      <c r="E329" s="1" t="n">
        <v>25.35</v>
      </c>
      <c r="F329" s="1" t="s">
        <v>9</v>
      </c>
    </row>
    <row collapsed="false" customFormat="false" customHeight="false" hidden="false" ht="14.75" outlineLevel="0" r="330">
      <c r="A330" s="1" t="s">
        <v>209</v>
      </c>
      <c r="B330" s="1" t="s">
        <v>309</v>
      </c>
      <c r="C330" s="4" t="s">
        <v>288</v>
      </c>
      <c r="D330" s="1" t="n">
        <v>274.5</v>
      </c>
      <c r="E330" s="1" t="n">
        <v>18.59</v>
      </c>
      <c r="F330" s="1" t="s">
        <v>9</v>
      </c>
    </row>
    <row collapsed="false" customFormat="false" customHeight="false" hidden="false" ht="14.75" outlineLevel="0" r="331">
      <c r="A331" s="1" t="s">
        <v>210</v>
      </c>
      <c r="B331" s="1" t="s">
        <v>309</v>
      </c>
      <c r="C331" s="4" t="s">
        <v>288</v>
      </c>
      <c r="D331" s="1" t="n">
        <v>236.5</v>
      </c>
      <c r="E331" s="1" t="n">
        <v>17.42</v>
      </c>
      <c r="F331" s="1" t="s">
        <v>9</v>
      </c>
    </row>
    <row collapsed="false" customFormat="false" customHeight="false" hidden="false" ht="14.75" outlineLevel="0" r="332">
      <c r="A332" s="1" t="s">
        <v>342</v>
      </c>
      <c r="B332" s="1" t="s">
        <v>288</v>
      </c>
      <c r="C332" s="1" t="s">
        <v>288</v>
      </c>
      <c r="D332" s="1" t="n">
        <v>230</v>
      </c>
      <c r="E332" s="1" t="n">
        <v>16.1666666666667</v>
      </c>
      <c r="F332" s="1" t="s">
        <v>9</v>
      </c>
    </row>
    <row collapsed="false" customFormat="false" customHeight="false" hidden="false" ht="14.75" outlineLevel="0" r="333">
      <c r="A333" s="1" t="s">
        <v>211</v>
      </c>
      <c r="B333" s="1" t="s">
        <v>309</v>
      </c>
      <c r="C333" s="4" t="s">
        <v>288</v>
      </c>
      <c r="D333" s="1" t="n">
        <v>546</v>
      </c>
      <c r="E333" s="1" t="n">
        <v>26.75</v>
      </c>
      <c r="F333" s="1" t="s">
        <v>9</v>
      </c>
    </row>
    <row collapsed="false" customFormat="false" customHeight="false" hidden="false" ht="14.75" outlineLevel="0" r="334">
      <c r="A334" s="1" t="s">
        <v>212</v>
      </c>
      <c r="B334" s="1" t="s">
        <v>309</v>
      </c>
      <c r="C334" s="4" t="s">
        <v>288</v>
      </c>
      <c r="D334" s="1" t="n">
        <v>440</v>
      </c>
      <c r="E334" s="1" t="n">
        <v>24.85</v>
      </c>
      <c r="F334" s="1" t="s">
        <v>9</v>
      </c>
    </row>
    <row collapsed="false" customFormat="false" customHeight="false" hidden="false" ht="14.75" outlineLevel="0" r="335">
      <c r="A335" s="1" t="s">
        <v>213</v>
      </c>
      <c r="B335" s="1" t="s">
        <v>309</v>
      </c>
      <c r="C335" s="4" t="s">
        <v>288</v>
      </c>
      <c r="D335" s="1" t="n">
        <v>325.5</v>
      </c>
      <c r="E335" s="1" t="n">
        <v>20.93</v>
      </c>
      <c r="F335" s="1" t="s">
        <v>9</v>
      </c>
    </row>
    <row collapsed="false" customFormat="false" customHeight="false" hidden="false" ht="14.75" outlineLevel="0" r="336">
      <c r="A336" s="1" t="s">
        <v>214</v>
      </c>
      <c r="B336" s="1" t="s">
        <v>309</v>
      </c>
      <c r="C336" s="4" t="s">
        <v>288</v>
      </c>
      <c r="D336" s="1" t="n">
        <v>196</v>
      </c>
      <c r="E336" s="1" t="n">
        <v>16.89</v>
      </c>
      <c r="F336" s="1" t="s">
        <v>9</v>
      </c>
    </row>
    <row collapsed="false" customFormat="false" customHeight="false" hidden="false" ht="14.75" outlineLevel="0" r="337">
      <c r="A337" s="1" t="s">
        <v>343</v>
      </c>
      <c r="B337" s="1" t="s">
        <v>287</v>
      </c>
      <c r="C337" s="1" t="s">
        <v>288</v>
      </c>
      <c r="D337" s="1" t="n">
        <v>547</v>
      </c>
      <c r="E337" s="1" t="n">
        <v>27.26</v>
      </c>
      <c r="F337" s="1" t="n">
        <v>10.3</v>
      </c>
    </row>
    <row collapsed="false" customFormat="false" customHeight="false" hidden="false" ht="14.75" outlineLevel="0" r="338">
      <c r="A338" s="1" t="s">
        <v>344</v>
      </c>
      <c r="B338" s="1" t="s">
        <v>287</v>
      </c>
      <c r="C338" s="1" t="s">
        <v>288</v>
      </c>
      <c r="D338" s="1" t="n">
        <v>341.5</v>
      </c>
      <c r="E338" s="1" t="n">
        <v>23.8</v>
      </c>
      <c r="F338" s="1" t="n">
        <v>4.7</v>
      </c>
    </row>
    <row collapsed="false" customFormat="false" customHeight="false" hidden="false" ht="14.75" outlineLevel="0" r="339">
      <c r="A339" s="1" t="s">
        <v>345</v>
      </c>
      <c r="B339" s="1" t="s">
        <v>309</v>
      </c>
      <c r="C339" s="4" t="s">
        <v>288</v>
      </c>
      <c r="D339" s="1" t="n">
        <v>252.5</v>
      </c>
      <c r="E339" s="1" t="n">
        <v>19.22</v>
      </c>
      <c r="F339" s="1" t="s">
        <v>9</v>
      </c>
    </row>
    <row collapsed="false" customFormat="false" customHeight="false" hidden="false" ht="14.75" outlineLevel="0" r="340">
      <c r="A340" s="1" t="s">
        <v>346</v>
      </c>
      <c r="B340" s="1" t="s">
        <v>309</v>
      </c>
      <c r="C340" s="4" t="s">
        <v>288</v>
      </c>
      <c r="D340" s="1" t="n">
        <v>110</v>
      </c>
      <c r="E340" s="1" t="n">
        <v>12.59</v>
      </c>
      <c r="F340" s="1" t="s">
        <v>9</v>
      </c>
    </row>
    <row collapsed="false" customFormat="false" customHeight="false" hidden="false" ht="14.75" outlineLevel="0" r="341">
      <c r="A341" s="1" t="s">
        <v>347</v>
      </c>
      <c r="B341" s="1" t="s">
        <v>309</v>
      </c>
      <c r="C341" s="4" t="s">
        <v>288</v>
      </c>
      <c r="D341" s="1" t="n">
        <v>46.5</v>
      </c>
      <c r="E341" s="1" t="n">
        <v>6.9</v>
      </c>
      <c r="F341" s="1" t="s">
        <v>9</v>
      </c>
    </row>
    <row collapsed="false" customFormat="false" customHeight="false" hidden="false" ht="14.75" outlineLevel="0" r="342">
      <c r="A342" s="1" t="s">
        <v>348</v>
      </c>
      <c r="B342" s="1" t="s">
        <v>313</v>
      </c>
      <c r="C342" s="1" t="s">
        <v>288</v>
      </c>
      <c r="D342" s="1" t="n">
        <v>621.4</v>
      </c>
      <c r="E342" s="1" t="n">
        <v>27.45</v>
      </c>
      <c r="F342" s="1" t="s">
        <v>9</v>
      </c>
    </row>
    <row collapsed="false" customFormat="false" customHeight="false" hidden="false" ht="14.75" outlineLevel="0" r="343">
      <c r="A343" s="1" t="s">
        <v>349</v>
      </c>
      <c r="B343" s="1" t="s">
        <v>313</v>
      </c>
      <c r="C343" s="1" t="s">
        <v>288</v>
      </c>
      <c r="D343" s="1" t="n">
        <v>265.5</v>
      </c>
      <c r="E343" s="1" t="n">
        <v>15.81</v>
      </c>
      <c r="F343" s="1" t="s">
        <v>9</v>
      </c>
    </row>
    <row collapsed="false" customFormat="false" customHeight="false" hidden="false" ht="14.75" outlineLevel="0" r="344">
      <c r="A344" s="1" t="s">
        <v>350</v>
      </c>
      <c r="B344" s="1" t="s">
        <v>313</v>
      </c>
      <c r="C344" s="1" t="s">
        <v>288</v>
      </c>
      <c r="D344" s="1" t="n">
        <v>149.5</v>
      </c>
      <c r="E344" s="1" t="n">
        <v>12.19</v>
      </c>
      <c r="F344" s="1" t="s">
        <v>9</v>
      </c>
    </row>
    <row collapsed="false" customFormat="false" customHeight="false" hidden="false" ht="14.75" outlineLevel="0" r="345">
      <c r="A345" s="1" t="s">
        <v>351</v>
      </c>
      <c r="B345" s="1" t="s">
        <v>287</v>
      </c>
      <c r="C345" s="1" t="s">
        <v>288</v>
      </c>
      <c r="D345" s="1" t="n">
        <v>389.5</v>
      </c>
      <c r="E345" s="1" t="n">
        <v>23.27</v>
      </c>
      <c r="F345" s="1" t="n">
        <v>6.4</v>
      </c>
    </row>
    <row collapsed="false" customFormat="false" customHeight="false" hidden="false" ht="14.75" outlineLevel="0" r="346">
      <c r="A346" s="1" t="s">
        <v>352</v>
      </c>
      <c r="B346" s="1" t="s">
        <v>287</v>
      </c>
      <c r="C346" s="1" t="s">
        <v>288</v>
      </c>
      <c r="D346" s="1" t="n">
        <v>187.5</v>
      </c>
      <c r="E346" s="1" t="n">
        <v>16.5</v>
      </c>
      <c r="F346" s="1" t="n">
        <v>1.9</v>
      </c>
    </row>
    <row collapsed="false" customFormat="false" customHeight="false" hidden="false" ht="14.75" outlineLevel="0" r="347">
      <c r="A347" s="1" t="s">
        <v>353</v>
      </c>
      <c r="B347" s="1" t="s">
        <v>299</v>
      </c>
      <c r="C347" s="1" t="s">
        <v>288</v>
      </c>
      <c r="D347" s="1" t="n">
        <v>75</v>
      </c>
      <c r="E347" s="1" t="n">
        <v>9.33</v>
      </c>
      <c r="F347" s="1" t="s">
        <v>9</v>
      </c>
    </row>
    <row collapsed="false" customFormat="false" customHeight="false" hidden="false" ht="14.75" outlineLevel="0" r="348">
      <c r="A348" s="1" t="s">
        <v>354</v>
      </c>
      <c r="B348" s="1" t="s">
        <v>291</v>
      </c>
      <c r="C348" s="1" t="s">
        <v>288</v>
      </c>
      <c r="D348" s="1" t="n">
        <v>187</v>
      </c>
      <c r="E348" s="1" t="n">
        <v>12.47</v>
      </c>
      <c r="F348" s="1" t="n">
        <v>1.2</v>
      </c>
    </row>
    <row collapsed="false" customFormat="false" customHeight="false" hidden="false" ht="14.75" outlineLevel="0" r="349">
      <c r="A349" s="1" t="s">
        <v>355</v>
      </c>
      <c r="B349" s="1" t="s">
        <v>287</v>
      </c>
      <c r="C349" s="1" t="s">
        <v>288</v>
      </c>
      <c r="D349" s="1" t="n">
        <v>408.2</v>
      </c>
      <c r="E349" s="1" t="n">
        <v>24.83</v>
      </c>
      <c r="F349" s="1" t="n">
        <f aca="false">81/11</f>
        <v>7.36363636363636</v>
      </c>
    </row>
    <row collapsed="false" customFormat="false" customHeight="false" hidden="false" ht="14.75" outlineLevel="0" r="350">
      <c r="A350" s="1" t="s">
        <v>356</v>
      </c>
      <c r="B350" s="1" t="s">
        <v>287</v>
      </c>
      <c r="C350" s="1" t="s">
        <v>288</v>
      </c>
      <c r="D350" s="1" t="n">
        <v>276.5</v>
      </c>
      <c r="E350" s="1" t="n">
        <v>19.62</v>
      </c>
      <c r="F350" s="1" t="n">
        <v>3.1</v>
      </c>
    </row>
    <row collapsed="false" customFormat="false" customHeight="false" hidden="false" ht="14.75" outlineLevel="0" r="351">
      <c r="A351" s="1" t="s">
        <v>149</v>
      </c>
      <c r="B351" s="1" t="s">
        <v>291</v>
      </c>
      <c r="C351" s="1" t="s">
        <v>288</v>
      </c>
      <c r="D351" s="1" t="n">
        <v>246</v>
      </c>
      <c r="E351" s="1" t="n">
        <v>14.69</v>
      </c>
      <c r="F351" s="1" t="n">
        <v>2.2</v>
      </c>
    </row>
    <row collapsed="false" customFormat="false" customHeight="false" hidden="false" ht="14.75" outlineLevel="0" r="352">
      <c r="A352" s="1" t="s">
        <v>357</v>
      </c>
      <c r="B352" s="1" t="s">
        <v>299</v>
      </c>
      <c r="C352" s="1" t="s">
        <v>288</v>
      </c>
      <c r="D352" s="1" t="n">
        <v>383.6</v>
      </c>
      <c r="E352" s="1" t="n">
        <v>20.56</v>
      </c>
      <c r="F352" s="1" t="s">
        <v>9</v>
      </c>
    </row>
    <row collapsed="false" customFormat="false" customHeight="false" hidden="false" ht="14.75" outlineLevel="0" r="353">
      <c r="A353" s="1" t="s">
        <v>358</v>
      </c>
      <c r="B353" s="1" t="s">
        <v>291</v>
      </c>
      <c r="C353" s="1" t="s">
        <v>288</v>
      </c>
      <c r="D353" s="1" t="n">
        <v>223.5</v>
      </c>
      <c r="E353" s="1" t="n">
        <v>15.22</v>
      </c>
      <c r="F353" s="1" t="n">
        <v>1.3</v>
      </c>
    </row>
    <row collapsed="false" customFormat="false" customHeight="false" hidden="false" ht="14.75" outlineLevel="0" r="354">
      <c r="A354" s="1" t="s">
        <v>359</v>
      </c>
      <c r="B354" s="1" t="s">
        <v>291</v>
      </c>
      <c r="C354" s="1" t="s">
        <v>288</v>
      </c>
      <c r="D354" s="1" t="n">
        <v>70.5</v>
      </c>
      <c r="E354" s="1" t="n">
        <v>7.75</v>
      </c>
      <c r="F354" s="1" t="n">
        <v>0.2</v>
      </c>
    </row>
    <row collapsed="false" customFormat="false" customHeight="false" hidden="false" ht="14.75" outlineLevel="0" r="355">
      <c r="A355" s="1" t="s">
        <v>360</v>
      </c>
      <c r="B355" s="1" t="s">
        <v>291</v>
      </c>
      <c r="C355" s="1" t="s">
        <v>288</v>
      </c>
      <c r="D355" s="1" t="n">
        <v>288.5</v>
      </c>
      <c r="E355" s="1" t="n">
        <v>15.82</v>
      </c>
      <c r="F355" s="1" t="n">
        <v>2.1</v>
      </c>
    </row>
    <row collapsed="false" customFormat="false" customHeight="false" hidden="false" ht="14.75" outlineLevel="0" r="356">
      <c r="A356" s="1" t="s">
        <v>361</v>
      </c>
      <c r="B356" s="1" t="s">
        <v>291</v>
      </c>
      <c r="C356" s="1" t="s">
        <v>288</v>
      </c>
      <c r="D356" s="1" t="n">
        <v>57</v>
      </c>
      <c r="E356" s="1" t="n">
        <v>5.79</v>
      </c>
      <c r="F356" s="1" t="n">
        <v>0.4</v>
      </c>
    </row>
    <row collapsed="false" customFormat="false" customHeight="false" hidden="false" ht="14.75" outlineLevel="0" r="357">
      <c r="A357" s="1" t="s">
        <v>362</v>
      </c>
      <c r="B357" s="1" t="s">
        <v>291</v>
      </c>
      <c r="C357" s="1" t="s">
        <v>288</v>
      </c>
      <c r="D357" s="1" t="n">
        <v>97.1</v>
      </c>
      <c r="E357" s="1" t="n">
        <v>7.69</v>
      </c>
      <c r="F357" s="1" t="n">
        <v>0.6</v>
      </c>
    </row>
    <row collapsed="false" customFormat="false" customHeight="false" hidden="false" ht="14.75" outlineLevel="0" r="358">
      <c r="A358" s="1" t="s">
        <v>218</v>
      </c>
      <c r="B358" s="1" t="s">
        <v>309</v>
      </c>
      <c r="C358" s="4" t="s">
        <v>288</v>
      </c>
      <c r="D358" s="1" t="n">
        <v>273.5</v>
      </c>
      <c r="E358" s="1" t="n">
        <v>18.38</v>
      </c>
      <c r="F358" s="1" t="s">
        <v>9</v>
      </c>
    </row>
    <row collapsed="false" customFormat="false" customHeight="false" hidden="false" ht="14.75" outlineLevel="0" r="359">
      <c r="A359" s="1" t="s">
        <v>219</v>
      </c>
      <c r="B359" s="1" t="s">
        <v>309</v>
      </c>
      <c r="C359" s="4" t="s">
        <v>288</v>
      </c>
      <c r="D359" s="1" t="n">
        <v>213</v>
      </c>
      <c r="E359" s="1" t="n">
        <v>15.34</v>
      </c>
      <c r="F359" s="1" t="s">
        <v>9</v>
      </c>
    </row>
    <row collapsed="false" customFormat="false" customHeight="false" hidden="false" ht="14.75" outlineLevel="0" r="360">
      <c r="A360" s="1" t="s">
        <v>220</v>
      </c>
      <c r="B360" s="1" t="s">
        <v>309</v>
      </c>
      <c r="C360" s="4" t="s">
        <v>288</v>
      </c>
      <c r="D360" s="1" t="n">
        <v>126</v>
      </c>
      <c r="E360" s="1" t="n">
        <v>12.46</v>
      </c>
      <c r="F360" s="1" t="s">
        <v>9</v>
      </c>
    </row>
    <row collapsed="false" customFormat="false" customHeight="false" hidden="false" ht="14.75" outlineLevel="0" r="361">
      <c r="A361" s="1" t="s">
        <v>161</v>
      </c>
      <c r="B361" s="1" t="s">
        <v>288</v>
      </c>
      <c r="C361" s="1" t="s">
        <v>288</v>
      </c>
      <c r="D361" s="1" t="n">
        <v>248.96</v>
      </c>
      <c r="E361" s="1" t="n">
        <v>17.2631578947368</v>
      </c>
      <c r="F361" s="1" t="s">
        <v>9</v>
      </c>
    </row>
    <row collapsed="false" customFormat="false" customHeight="false" hidden="false" ht="14.75" outlineLevel="0" r="362">
      <c r="A362" s="1" t="s">
        <v>162</v>
      </c>
      <c r="B362" s="1" t="s">
        <v>288</v>
      </c>
      <c r="C362" s="1" t="s">
        <v>288</v>
      </c>
      <c r="D362" s="1" t="n">
        <v>98.52</v>
      </c>
      <c r="E362" s="1" t="n">
        <v>10.4</v>
      </c>
      <c r="F362" s="1" t="s">
        <v>9</v>
      </c>
    </row>
    <row collapsed="false" customFormat="false" customHeight="false" hidden="false" ht="14.75" outlineLevel="0" r="363">
      <c r="A363" s="1" t="s">
        <v>363</v>
      </c>
      <c r="B363" s="1" t="s">
        <v>288</v>
      </c>
      <c r="C363" s="1" t="s">
        <v>288</v>
      </c>
      <c r="D363" s="1" t="n">
        <v>50.5</v>
      </c>
      <c r="E363" s="1" t="n">
        <v>5</v>
      </c>
      <c r="F363" s="1" t="s">
        <v>9</v>
      </c>
    </row>
    <row collapsed="false" customFormat="false" customHeight="false" hidden="false" ht="14.75" outlineLevel="0" r="364">
      <c r="A364" s="1" t="s">
        <v>163</v>
      </c>
      <c r="B364" s="1" t="s">
        <v>287</v>
      </c>
      <c r="C364" s="1" t="s">
        <v>288</v>
      </c>
      <c r="D364" s="1" t="n">
        <v>384.5</v>
      </c>
      <c r="E364" s="1" t="n">
        <v>24.58</v>
      </c>
      <c r="F364" s="1" t="n">
        <v>4.1</v>
      </c>
    </row>
    <row collapsed="false" customFormat="false" customHeight="false" hidden="false" ht="14.75" outlineLevel="0" r="365">
      <c r="A365" s="1" t="s">
        <v>364</v>
      </c>
      <c r="B365" s="1" t="s">
        <v>287</v>
      </c>
      <c r="C365" s="1" t="s">
        <v>288</v>
      </c>
      <c r="D365" s="1" t="n">
        <v>331.5</v>
      </c>
      <c r="E365" s="1" t="n">
        <v>23.11</v>
      </c>
      <c r="F365" s="1" t="n">
        <v>4.9</v>
      </c>
    </row>
    <row collapsed="false" customFormat="false" customHeight="false" hidden="false" ht="14.75" outlineLevel="0" r="366">
      <c r="A366" s="1" t="s">
        <v>365</v>
      </c>
      <c r="B366" s="1" t="s">
        <v>299</v>
      </c>
      <c r="C366" s="1" t="s">
        <v>288</v>
      </c>
      <c r="D366" s="1" t="n">
        <v>198.8</v>
      </c>
      <c r="E366" s="1" t="n">
        <v>13.38</v>
      </c>
      <c r="F366" s="1" t="s">
        <v>9</v>
      </c>
    </row>
    <row collapsed="false" customFormat="false" customHeight="false" hidden="false" ht="14.75" outlineLevel="0" r="367">
      <c r="A367" s="1" t="s">
        <v>366</v>
      </c>
      <c r="B367" s="1" t="s">
        <v>291</v>
      </c>
      <c r="C367" s="1" t="s">
        <v>288</v>
      </c>
      <c r="D367" s="1" t="n">
        <v>338.5</v>
      </c>
      <c r="E367" s="1" t="n">
        <v>16.97</v>
      </c>
      <c r="F367" s="1" t="n">
        <v>3</v>
      </c>
    </row>
    <row collapsed="false" customFormat="false" customHeight="false" hidden="false" ht="14.75" outlineLevel="0" r="368">
      <c r="A368" s="1" t="s">
        <v>367</v>
      </c>
      <c r="B368" s="1" t="s">
        <v>313</v>
      </c>
      <c r="C368" s="1" t="s">
        <v>288</v>
      </c>
      <c r="D368" s="1" t="n">
        <v>79.5</v>
      </c>
      <c r="E368" s="1" t="n">
        <v>6.53</v>
      </c>
      <c r="F368" s="1" t="s">
        <v>9</v>
      </c>
    </row>
    <row collapsed="false" customFormat="false" customHeight="false" hidden="false" ht="14.75" outlineLevel="0" r="369">
      <c r="A369" s="1" t="s">
        <v>368</v>
      </c>
      <c r="B369" s="1" t="s">
        <v>313</v>
      </c>
      <c r="C369" s="1" t="s">
        <v>288</v>
      </c>
      <c r="D369" s="1" t="n">
        <v>295</v>
      </c>
      <c r="E369" s="1" t="n">
        <v>16.03</v>
      </c>
      <c r="F369" s="1" t="s">
        <v>9</v>
      </c>
    </row>
    <row collapsed="false" customFormat="false" customHeight="false" hidden="false" ht="14.75" outlineLevel="0" r="370">
      <c r="A370" s="1" t="s">
        <v>369</v>
      </c>
      <c r="B370" s="1" t="s">
        <v>313</v>
      </c>
      <c r="C370" s="1" t="s">
        <v>288</v>
      </c>
      <c r="D370" s="1" t="n">
        <v>103</v>
      </c>
      <c r="E370" s="1" t="n">
        <v>9.82</v>
      </c>
      <c r="F370" s="1" t="s">
        <v>9</v>
      </c>
    </row>
    <row collapsed="false" customFormat="false" customHeight="false" hidden="false" ht="14.75" outlineLevel="0" r="371">
      <c r="A371" s="1" t="s">
        <v>370</v>
      </c>
      <c r="B371" s="1" t="s">
        <v>294</v>
      </c>
      <c r="C371" s="1" t="s">
        <v>288</v>
      </c>
      <c r="D371" s="1" t="n">
        <v>536</v>
      </c>
      <c r="E371" s="1" t="n">
        <v>25.16</v>
      </c>
      <c r="F371" s="1" t="n">
        <f aca="false">27/5</f>
        <v>5.4</v>
      </c>
    </row>
    <row collapsed="false" customFormat="false" customHeight="false" hidden="false" ht="14.75" outlineLevel="0" r="372">
      <c r="A372" s="1" t="s">
        <v>371</v>
      </c>
      <c r="B372" s="1" t="s">
        <v>294</v>
      </c>
      <c r="C372" s="1" t="s">
        <v>288</v>
      </c>
      <c r="D372" s="1" t="n">
        <v>232</v>
      </c>
      <c r="E372" s="1" t="n">
        <v>14.75</v>
      </c>
      <c r="F372" s="1" t="n">
        <v>2</v>
      </c>
    </row>
    <row collapsed="false" customFormat="false" customHeight="false" hidden="false" ht="14.75" outlineLevel="0" r="373">
      <c r="A373" s="1" t="s">
        <v>372</v>
      </c>
      <c r="B373" s="1" t="s">
        <v>299</v>
      </c>
      <c r="C373" s="1" t="s">
        <v>288</v>
      </c>
      <c r="D373" s="1" t="n">
        <v>407.5</v>
      </c>
      <c r="E373" s="1" t="n">
        <v>20.05</v>
      </c>
      <c r="F373" s="1" t="s">
        <v>9</v>
      </c>
    </row>
    <row collapsed="false" customFormat="false" customHeight="false" hidden="false" ht="14.75" outlineLevel="0" r="374">
      <c r="A374" s="1" t="s">
        <v>373</v>
      </c>
      <c r="B374" s="1" t="s">
        <v>299</v>
      </c>
      <c r="C374" s="1" t="s">
        <v>288</v>
      </c>
      <c r="D374" s="1" t="n">
        <v>249.3</v>
      </c>
      <c r="E374" s="1" t="n">
        <v>15.93</v>
      </c>
      <c r="F374" s="1" t="s">
        <v>9</v>
      </c>
    </row>
    <row collapsed="false" customFormat="false" customHeight="false" hidden="false" ht="14.75" outlineLevel="0" r="375">
      <c r="A375" s="1" t="s">
        <v>374</v>
      </c>
      <c r="B375" s="1" t="s">
        <v>299</v>
      </c>
      <c r="C375" s="1" t="s">
        <v>288</v>
      </c>
      <c r="D375" s="1" t="n">
        <v>241.2</v>
      </c>
      <c r="E375" s="1" t="n">
        <v>14.15</v>
      </c>
      <c r="F375" s="1" t="s">
        <v>9</v>
      </c>
    </row>
    <row collapsed="false" customFormat="false" customHeight="false" hidden="false" ht="14.75" outlineLevel="0" r="376">
      <c r="A376" s="1" t="s">
        <v>375</v>
      </c>
      <c r="B376" s="1" t="s">
        <v>291</v>
      </c>
      <c r="C376" s="1" t="s">
        <v>288</v>
      </c>
      <c r="D376" s="1" t="n">
        <v>170.5</v>
      </c>
      <c r="E376" s="1" t="n">
        <v>12.27</v>
      </c>
      <c r="F376" s="1" t="n">
        <v>1.3</v>
      </c>
    </row>
    <row collapsed="false" customFormat="false" customHeight="false" hidden="false" ht="14.75" outlineLevel="0" r="377">
      <c r="A377" s="1" t="s">
        <v>376</v>
      </c>
      <c r="B377" s="1" t="s">
        <v>288</v>
      </c>
      <c r="C377" s="1" t="s">
        <v>288</v>
      </c>
      <c r="D377" s="1" t="n">
        <v>369.5</v>
      </c>
      <c r="E377" s="1" t="n">
        <v>21.875</v>
      </c>
      <c r="F377" s="1" t="s">
        <v>9</v>
      </c>
    </row>
    <row collapsed="false" customFormat="false" customHeight="false" hidden="false" ht="14.75" outlineLevel="0" r="378">
      <c r="A378" s="1" t="s">
        <v>377</v>
      </c>
      <c r="B378" s="1" t="s">
        <v>288</v>
      </c>
      <c r="C378" s="1" t="s">
        <v>288</v>
      </c>
      <c r="D378" s="1" t="n">
        <v>307.98</v>
      </c>
      <c r="E378" s="1" t="n">
        <v>19.0654205607477</v>
      </c>
      <c r="F378" s="1" t="s">
        <v>9</v>
      </c>
    </row>
    <row collapsed="false" customFormat="false" customHeight="false" hidden="false" ht="14.75" outlineLevel="0" r="379">
      <c r="A379" s="1" t="s">
        <v>378</v>
      </c>
      <c r="B379" s="1" t="s">
        <v>288</v>
      </c>
      <c r="C379" s="1" t="s">
        <v>288</v>
      </c>
      <c r="D379" s="1" t="n">
        <v>203.02</v>
      </c>
      <c r="E379" s="1" t="n">
        <v>14.1860465116279</v>
      </c>
      <c r="F379" s="1" t="s">
        <v>9</v>
      </c>
    </row>
    <row collapsed="false" customFormat="false" customHeight="false" hidden="false" ht="14.75" outlineLevel="0" r="380">
      <c r="A380" s="1" t="s">
        <v>379</v>
      </c>
      <c r="B380" s="1" t="s">
        <v>299</v>
      </c>
      <c r="C380" s="1" t="s">
        <v>288</v>
      </c>
      <c r="D380" s="1" t="n">
        <v>374.3</v>
      </c>
      <c r="E380" s="1" t="n">
        <v>18.51</v>
      </c>
      <c r="F380" s="1" t="s">
        <v>9</v>
      </c>
    </row>
    <row collapsed="false" customFormat="false" customHeight="false" hidden="false" ht="14.75" outlineLevel="0" r="381">
      <c r="A381" s="1" t="s">
        <v>380</v>
      </c>
      <c r="B381" s="1" t="s">
        <v>299</v>
      </c>
      <c r="C381" s="1" t="s">
        <v>288</v>
      </c>
      <c r="D381" s="1" t="n">
        <v>164.4</v>
      </c>
      <c r="E381" s="1" t="n">
        <v>12.13</v>
      </c>
      <c r="F381" s="1" t="s">
        <v>9</v>
      </c>
    </row>
    <row collapsed="false" customFormat="false" customHeight="false" hidden="false" ht="14.75" outlineLevel="0" r="382">
      <c r="A382" s="1" t="s">
        <v>381</v>
      </c>
      <c r="B382" s="1" t="s">
        <v>299</v>
      </c>
      <c r="C382" s="1" t="s">
        <v>288</v>
      </c>
      <c r="D382" s="1" t="n">
        <v>103.8</v>
      </c>
      <c r="E382" s="1" t="n">
        <v>9.17</v>
      </c>
      <c r="F382" s="1" t="s">
        <v>9</v>
      </c>
    </row>
    <row collapsed="false" customFormat="false" customHeight="false" hidden="false" ht="14.75" outlineLevel="0" r="383">
      <c r="A383" s="1" t="s">
        <v>382</v>
      </c>
      <c r="B383" s="1" t="s">
        <v>299</v>
      </c>
      <c r="C383" s="1" t="s">
        <v>288</v>
      </c>
      <c r="D383" s="1" t="n">
        <v>160</v>
      </c>
      <c r="E383" s="1" t="n">
        <v>13.67</v>
      </c>
      <c r="F383" s="1" t="s">
        <v>9</v>
      </c>
    </row>
    <row collapsed="false" customFormat="false" customHeight="false" hidden="false" ht="14.75" outlineLevel="0" r="384">
      <c r="A384" s="1" t="s">
        <v>383</v>
      </c>
      <c r="B384" s="1" t="s">
        <v>299</v>
      </c>
      <c r="C384" s="1" t="s">
        <v>288</v>
      </c>
      <c r="D384" s="1" t="n">
        <v>116.9</v>
      </c>
      <c r="E384" s="1" t="n">
        <v>9.6</v>
      </c>
      <c r="F384" s="1" t="s">
        <v>9</v>
      </c>
    </row>
    <row collapsed="false" customFormat="false" customHeight="false" hidden="false" ht="14.75" outlineLevel="0" r="385">
      <c r="A385" s="1" t="s">
        <v>384</v>
      </c>
      <c r="B385" s="1" t="s">
        <v>288</v>
      </c>
      <c r="C385" s="1" t="s">
        <v>288</v>
      </c>
      <c r="D385" s="1" t="n">
        <v>383.48</v>
      </c>
      <c r="E385" s="1" t="n">
        <v>23</v>
      </c>
      <c r="F385" s="1" t="s">
        <v>9</v>
      </c>
    </row>
    <row collapsed="false" customFormat="false" customHeight="false" hidden="false" ht="14.75" outlineLevel="0" r="386">
      <c r="A386" s="1" t="s">
        <v>385</v>
      </c>
      <c r="B386" s="1" t="s">
        <v>288</v>
      </c>
      <c r="C386" s="1" t="s">
        <v>288</v>
      </c>
      <c r="D386" s="1" t="n">
        <v>321.54</v>
      </c>
      <c r="E386" s="1" t="n">
        <v>20.6880733944954</v>
      </c>
      <c r="F386" s="1" t="s">
        <v>9</v>
      </c>
    </row>
    <row collapsed="false" customFormat="false" customHeight="false" hidden="false" ht="14.75" outlineLevel="0" r="387">
      <c r="A387" s="1" t="s">
        <v>386</v>
      </c>
      <c r="B387" s="1" t="s">
        <v>299</v>
      </c>
      <c r="C387" s="1" t="s">
        <v>288</v>
      </c>
      <c r="D387" s="1" t="n">
        <v>244.4</v>
      </c>
      <c r="E387" s="1" t="n">
        <v>14.51</v>
      </c>
      <c r="F387" s="1" t="s">
        <v>9</v>
      </c>
    </row>
    <row collapsed="false" customFormat="false" customHeight="false" hidden="false" ht="14.75" outlineLevel="0" r="388">
      <c r="A388" s="1" t="s">
        <v>387</v>
      </c>
      <c r="B388" s="1" t="s">
        <v>299</v>
      </c>
      <c r="C388" s="1" t="s">
        <v>288</v>
      </c>
      <c r="D388" s="1" t="n">
        <v>166.9</v>
      </c>
      <c r="E388" s="1" t="n">
        <v>10.61</v>
      </c>
      <c r="F388" s="1" t="s">
        <v>9</v>
      </c>
    </row>
    <row collapsed="false" customFormat="false" customHeight="false" hidden="false" ht="14.75" outlineLevel="0" r="389">
      <c r="A389" s="1" t="s">
        <v>388</v>
      </c>
      <c r="B389" s="1" t="s">
        <v>309</v>
      </c>
      <c r="C389" s="4" t="s">
        <v>288</v>
      </c>
      <c r="D389" s="1" t="n">
        <v>212.5</v>
      </c>
      <c r="E389" s="1" t="n">
        <v>14.84</v>
      </c>
      <c r="F389" s="1" t="s">
        <v>9</v>
      </c>
    </row>
    <row collapsed="false" customFormat="false" customHeight="false" hidden="false" ht="14.75" outlineLevel="0" r="390">
      <c r="A390" s="1" t="s">
        <v>389</v>
      </c>
      <c r="B390" s="1" t="s">
        <v>288</v>
      </c>
      <c r="C390" s="1" t="s">
        <v>288</v>
      </c>
      <c r="D390" s="1" t="n">
        <v>223.98</v>
      </c>
      <c r="E390" s="1" t="n">
        <v>17.8571428571429</v>
      </c>
      <c r="F390" s="1" t="s">
        <v>9</v>
      </c>
    </row>
    <row collapsed="false" customFormat="false" customHeight="false" hidden="false" ht="14.75" outlineLevel="0" r="391">
      <c r="A391" s="1" t="s">
        <v>390</v>
      </c>
      <c r="B391" s="1" t="s">
        <v>288</v>
      </c>
      <c r="C391" s="1" t="s">
        <v>288</v>
      </c>
      <c r="D391" s="1" t="n">
        <v>76.54</v>
      </c>
      <c r="E391" s="1" t="n">
        <v>10</v>
      </c>
      <c r="F391" s="1" t="s">
        <v>9</v>
      </c>
    </row>
    <row collapsed="false" customFormat="false" customHeight="false" hidden="false" ht="14.75" outlineLevel="0" r="392">
      <c r="A392" s="1" t="s">
        <v>391</v>
      </c>
      <c r="B392" s="1" t="s">
        <v>313</v>
      </c>
      <c r="C392" s="1" t="s">
        <v>288</v>
      </c>
      <c r="D392" s="1" t="n">
        <v>353.2</v>
      </c>
      <c r="E392" s="1" t="n">
        <v>21.42</v>
      </c>
      <c r="F392" s="1" t="s">
        <v>9</v>
      </c>
    </row>
    <row collapsed="false" customFormat="false" customHeight="false" hidden="false" ht="14.75" outlineLevel="0" r="393">
      <c r="A393" s="1" t="s">
        <v>392</v>
      </c>
      <c r="B393" s="1" t="s">
        <v>313</v>
      </c>
      <c r="C393" s="1" t="s">
        <v>288</v>
      </c>
      <c r="D393" s="1" t="n">
        <v>246</v>
      </c>
      <c r="E393" s="1" t="n">
        <v>17.02</v>
      </c>
      <c r="F393" s="1" t="s">
        <v>9</v>
      </c>
    </row>
    <row collapsed="false" customFormat="false" customHeight="false" hidden="false" ht="14.75" outlineLevel="0" r="394">
      <c r="A394" s="1" t="s">
        <v>393</v>
      </c>
      <c r="B394" s="1" t="s">
        <v>313</v>
      </c>
      <c r="C394" s="1" t="s">
        <v>288</v>
      </c>
      <c r="D394" s="1" t="n">
        <v>187.5</v>
      </c>
      <c r="E394" s="1" t="n">
        <v>13.37</v>
      </c>
      <c r="F394" s="1" t="s">
        <v>9</v>
      </c>
    </row>
    <row collapsed="false" customFormat="false" customHeight="false" hidden="false" ht="14.75" outlineLevel="0" r="395">
      <c r="A395" s="1" t="s">
        <v>394</v>
      </c>
      <c r="B395" s="1" t="s">
        <v>309</v>
      </c>
      <c r="C395" s="4" t="s">
        <v>288</v>
      </c>
      <c r="D395" s="1" t="n">
        <v>273</v>
      </c>
      <c r="E395" s="1" t="n">
        <v>18.4</v>
      </c>
      <c r="F395" s="1" t="s">
        <v>9</v>
      </c>
    </row>
    <row collapsed="false" customFormat="false" customHeight="false" hidden="false" ht="14.75" outlineLevel="0" r="396">
      <c r="A396" s="1" t="s">
        <v>47</v>
      </c>
      <c r="B396" s="1" t="s">
        <v>287</v>
      </c>
      <c r="C396" s="1" t="s">
        <v>288</v>
      </c>
      <c r="D396" s="1" t="n">
        <v>417.7</v>
      </c>
      <c r="E396" s="1" t="n">
        <v>25.76</v>
      </c>
      <c r="F396" s="1" t="n">
        <f aca="false">81/11</f>
        <v>7.36363636363636</v>
      </c>
    </row>
    <row collapsed="false" customFormat="false" customHeight="false" hidden="false" ht="14.75" outlineLevel="0" r="397">
      <c r="A397" s="1" t="s">
        <v>395</v>
      </c>
      <c r="B397" s="1" t="s">
        <v>313</v>
      </c>
      <c r="C397" s="1" t="s">
        <v>288</v>
      </c>
      <c r="D397" s="1" t="n">
        <v>78</v>
      </c>
      <c r="E397" s="1" t="n">
        <v>7.72</v>
      </c>
      <c r="F397" s="1" t="s">
        <v>9</v>
      </c>
    </row>
    <row collapsed="false" customFormat="false" customHeight="false" hidden="false" ht="14.75" outlineLevel="0" r="398">
      <c r="A398" s="1" t="s">
        <v>396</v>
      </c>
      <c r="B398" s="1" t="s">
        <v>287</v>
      </c>
      <c r="C398" s="1" t="s">
        <v>288</v>
      </c>
      <c r="D398" s="1" t="n">
        <v>241.5</v>
      </c>
      <c r="E398" s="1" t="n">
        <v>17.33</v>
      </c>
      <c r="F398" s="1" t="n">
        <v>2.7</v>
      </c>
    </row>
    <row collapsed="false" customFormat="false" customHeight="false" hidden="false" ht="14.75" outlineLevel="0" r="399">
      <c r="A399" s="1" t="s">
        <v>28</v>
      </c>
      <c r="B399" s="1" t="s">
        <v>288</v>
      </c>
      <c r="C399" s="1" t="s">
        <v>288</v>
      </c>
      <c r="D399" s="1" t="n">
        <v>490</v>
      </c>
      <c r="E399" s="1" t="n">
        <v>25.6028368794326</v>
      </c>
      <c r="F399" s="1" t="s">
        <v>9</v>
      </c>
    </row>
    <row collapsed="false" customFormat="false" customHeight="false" hidden="false" ht="14.75" outlineLevel="0" r="400">
      <c r="A400" s="1" t="s">
        <v>397</v>
      </c>
      <c r="B400" s="1" t="s">
        <v>291</v>
      </c>
      <c r="C400" s="1" t="s">
        <v>288</v>
      </c>
      <c r="D400" s="1" t="n">
        <v>275.5</v>
      </c>
      <c r="E400" s="1" t="n">
        <v>14.88</v>
      </c>
      <c r="F400" s="1" t="n">
        <f aca="false">28/11</f>
        <v>2.54545454545455</v>
      </c>
    </row>
    <row collapsed="false" customFormat="false" customHeight="false" hidden="false" ht="14.75" outlineLevel="0" r="401">
      <c r="A401" s="1" t="s">
        <v>398</v>
      </c>
      <c r="B401" s="1" t="s">
        <v>291</v>
      </c>
      <c r="C401" s="1" t="s">
        <v>288</v>
      </c>
      <c r="D401" s="1" t="n">
        <v>190.5</v>
      </c>
      <c r="E401" s="1" t="n">
        <v>12.01</v>
      </c>
      <c r="F401" s="1" t="n">
        <v>1.1</v>
      </c>
    </row>
    <row collapsed="false" customFormat="false" customHeight="false" hidden="false" ht="14.75" outlineLevel="0" r="402">
      <c r="A402" s="1" t="s">
        <v>399</v>
      </c>
      <c r="B402" s="1" t="s">
        <v>291</v>
      </c>
      <c r="C402" s="1" t="s">
        <v>288</v>
      </c>
      <c r="D402" s="1" t="n">
        <v>160.6</v>
      </c>
      <c r="E402" s="1" t="n">
        <v>9.73</v>
      </c>
      <c r="F402" s="1" t="n">
        <v>0.6</v>
      </c>
    </row>
    <row collapsed="false" customFormat="false" customHeight="false" hidden="false" ht="14.75" outlineLevel="0" r="403">
      <c r="A403" s="1" t="s">
        <v>400</v>
      </c>
      <c r="B403" s="1" t="s">
        <v>288</v>
      </c>
      <c r="C403" s="1" t="s">
        <v>288</v>
      </c>
      <c r="D403" s="1" t="n">
        <v>261.52</v>
      </c>
      <c r="E403" s="1" t="n">
        <v>19.7802197802198</v>
      </c>
      <c r="F403" s="1" t="s">
        <v>9</v>
      </c>
    </row>
    <row collapsed="false" customFormat="false" customHeight="false" hidden="false" ht="14.75" outlineLevel="0" r="404">
      <c r="A404" s="1" t="s">
        <v>401</v>
      </c>
      <c r="B404" s="1" t="s">
        <v>288</v>
      </c>
      <c r="C404" s="1" t="s">
        <v>288</v>
      </c>
      <c r="D404" s="1" t="n">
        <v>266.02</v>
      </c>
      <c r="E404" s="1" t="n">
        <v>17.1287128712871</v>
      </c>
      <c r="F404" s="1" t="s">
        <v>9</v>
      </c>
    </row>
    <row collapsed="false" customFormat="false" customHeight="false" hidden="false" ht="14.75" outlineLevel="0" r="405">
      <c r="A405" s="1" t="s">
        <v>178</v>
      </c>
      <c r="B405" s="1" t="s">
        <v>287</v>
      </c>
      <c r="C405" s="1" t="s">
        <v>288</v>
      </c>
      <c r="D405" s="1" t="n">
        <v>304</v>
      </c>
      <c r="E405" s="1" t="n">
        <v>22.22</v>
      </c>
      <c r="F405" s="1" t="n">
        <v>5.3</v>
      </c>
    </row>
    <row collapsed="false" customFormat="false" customHeight="false" hidden="false" ht="14.75" outlineLevel="0" r="406">
      <c r="A406" s="1" t="s">
        <v>179</v>
      </c>
      <c r="B406" s="1" t="s">
        <v>287</v>
      </c>
      <c r="C406" s="1" t="s">
        <v>288</v>
      </c>
      <c r="D406" s="1" t="n">
        <v>272</v>
      </c>
      <c r="E406" s="1" t="n">
        <v>19.89</v>
      </c>
      <c r="F406" s="1" t="n">
        <v>3.1</v>
      </c>
    </row>
    <row collapsed="false" customFormat="false" customHeight="false" hidden="false" ht="14.75" outlineLevel="0" r="407">
      <c r="A407" s="1" t="s">
        <v>402</v>
      </c>
      <c r="B407" s="1" t="s">
        <v>291</v>
      </c>
      <c r="C407" s="1" t="s">
        <v>288</v>
      </c>
      <c r="D407" s="1" t="n">
        <v>232</v>
      </c>
      <c r="E407" s="1" t="n">
        <v>14.53</v>
      </c>
      <c r="F407" s="1" t="n">
        <v>1.4</v>
      </c>
    </row>
    <row collapsed="false" customFormat="false" customHeight="false" hidden="false" ht="14.75" outlineLevel="0" r="408">
      <c r="A408" s="1" t="s">
        <v>403</v>
      </c>
      <c r="B408" s="1" t="s">
        <v>299</v>
      </c>
      <c r="C408" s="1" t="s">
        <v>288</v>
      </c>
      <c r="D408" s="1" t="n">
        <v>157.5</v>
      </c>
      <c r="E408" s="1" t="n">
        <v>11.69</v>
      </c>
      <c r="F408" s="1" t="s">
        <v>9</v>
      </c>
    </row>
    <row collapsed="false" customFormat="false" customHeight="false" hidden="false" ht="14.75" outlineLevel="0" r="409">
      <c r="A409" s="1" t="s">
        <v>32</v>
      </c>
      <c r="B409" s="1" t="s">
        <v>288</v>
      </c>
      <c r="C409" s="1" t="s">
        <v>288</v>
      </c>
      <c r="D409" s="1" t="n">
        <v>517.98</v>
      </c>
      <c r="E409" s="1" t="n">
        <v>26.7361111111111</v>
      </c>
      <c r="F409" s="1" t="s">
        <v>9</v>
      </c>
    </row>
    <row collapsed="false" customFormat="false" customHeight="false" hidden="false" ht="14.75" outlineLevel="0" r="410">
      <c r="A410" s="1" t="s">
        <v>404</v>
      </c>
      <c r="B410" s="1" t="s">
        <v>288</v>
      </c>
      <c r="C410" s="1" t="s">
        <v>288</v>
      </c>
      <c r="D410" s="1" t="n">
        <v>267.48</v>
      </c>
      <c r="E410" s="1" t="n">
        <v>18.5567010309278</v>
      </c>
      <c r="F410" s="1" t="s">
        <v>9</v>
      </c>
    </row>
    <row collapsed="false" customFormat="false" customHeight="false" hidden="false" ht="14.75" outlineLevel="0" r="411">
      <c r="A411" s="1" t="s">
        <v>405</v>
      </c>
      <c r="B411" s="1" t="s">
        <v>288</v>
      </c>
      <c r="C411" s="1" t="s">
        <v>288</v>
      </c>
      <c r="D411" s="1" t="n">
        <v>143.02</v>
      </c>
      <c r="E411" s="1" t="n">
        <v>13.4920634920635</v>
      </c>
      <c r="F411" s="1" t="s">
        <v>9</v>
      </c>
    </row>
    <row collapsed="false" customFormat="false" customHeight="false" hidden="false" ht="14.75" outlineLevel="0" r="412">
      <c r="A412" s="1" t="s">
        <v>406</v>
      </c>
      <c r="B412" s="1" t="s">
        <v>294</v>
      </c>
      <c r="C412" s="1" t="s">
        <v>288</v>
      </c>
      <c r="D412" s="1" t="n">
        <v>236</v>
      </c>
      <c r="E412" s="1" t="n">
        <v>16</v>
      </c>
      <c r="F412" s="1" t="n">
        <v>2</v>
      </c>
    </row>
    <row collapsed="false" customFormat="false" customHeight="false" hidden="false" ht="14.75" outlineLevel="0" r="413">
      <c r="A413" s="1" t="s">
        <v>407</v>
      </c>
      <c r="B413" s="1" t="s">
        <v>294</v>
      </c>
      <c r="C413" s="1" t="s">
        <v>288</v>
      </c>
      <c r="D413" s="1" t="n">
        <v>86</v>
      </c>
      <c r="E413" s="1" t="n">
        <v>13.75</v>
      </c>
      <c r="F413" s="1" t="n">
        <f aca="false">2/5</f>
        <v>0.4</v>
      </c>
    </row>
    <row collapsed="false" customFormat="false" customHeight="false" hidden="false" ht="14.75" outlineLevel="0" r="414">
      <c r="A414" s="1" t="s">
        <v>408</v>
      </c>
      <c r="B414" s="1" t="s">
        <v>288</v>
      </c>
      <c r="C414" s="1" t="s">
        <v>288</v>
      </c>
      <c r="D414" s="1" t="n">
        <v>39.48</v>
      </c>
      <c r="E414" s="1" t="n">
        <v>5.55555555555556</v>
      </c>
      <c r="F414" s="1" t="s">
        <v>9</v>
      </c>
    </row>
    <row collapsed="false" customFormat="false" customHeight="false" hidden="false" ht="14.75" outlineLevel="0" r="415">
      <c r="A415" s="1" t="s">
        <v>409</v>
      </c>
      <c r="B415" s="1" t="s">
        <v>313</v>
      </c>
      <c r="C415" s="1" t="s">
        <v>288</v>
      </c>
      <c r="D415" s="1" t="n">
        <v>95.5</v>
      </c>
      <c r="E415" s="1" t="n">
        <v>7.29</v>
      </c>
      <c r="F415" s="1" t="s">
        <v>9</v>
      </c>
    </row>
    <row collapsed="false" customFormat="false" customHeight="false" hidden="false" ht="14.75" outlineLevel="0" r="416">
      <c r="A416" s="1" t="s">
        <v>410</v>
      </c>
      <c r="B416" s="1" t="s">
        <v>291</v>
      </c>
      <c r="C416" s="1" t="s">
        <v>288</v>
      </c>
      <c r="D416" s="1" t="n">
        <v>87.5</v>
      </c>
      <c r="E416" s="1" t="n">
        <v>8.08</v>
      </c>
      <c r="F416" s="1" t="n">
        <v>0.4</v>
      </c>
    </row>
    <row collapsed="false" customFormat="false" customHeight="false" hidden="false" ht="14.75" outlineLevel="0" r="417">
      <c r="A417" s="1" t="s">
        <v>411</v>
      </c>
      <c r="B417" s="1" t="s">
        <v>294</v>
      </c>
      <c r="C417" s="1" t="s">
        <v>288</v>
      </c>
      <c r="D417" s="1" t="n">
        <v>552</v>
      </c>
      <c r="E417" s="1" t="n">
        <v>23</v>
      </c>
      <c r="F417" s="1" t="n">
        <f aca="false">23/5</f>
        <v>4.6</v>
      </c>
    </row>
    <row collapsed="false" customFormat="false" customHeight="false" hidden="false" ht="14.75" outlineLevel="0" r="418">
      <c r="A418" s="1" t="s">
        <v>412</v>
      </c>
      <c r="B418" s="1" t="s">
        <v>294</v>
      </c>
      <c r="C418" s="1" t="s">
        <v>288</v>
      </c>
      <c r="D418" s="1" t="n">
        <v>92</v>
      </c>
      <c r="E418" s="1" t="n">
        <v>7.73</v>
      </c>
      <c r="F418" s="1" t="n">
        <f aca="false">1/5</f>
        <v>0.2</v>
      </c>
    </row>
    <row collapsed="false" customFormat="false" customHeight="false" hidden="false" ht="14.75" outlineLevel="0" r="419">
      <c r="A419" s="1" t="s">
        <v>413</v>
      </c>
      <c r="B419" s="1" t="s">
        <v>287</v>
      </c>
      <c r="C419" s="1" t="s">
        <v>288</v>
      </c>
      <c r="D419" s="1" t="n">
        <v>229</v>
      </c>
      <c r="E419" s="1" t="n">
        <v>17.53</v>
      </c>
      <c r="F419" s="1" t="n">
        <v>2.7</v>
      </c>
    </row>
    <row collapsed="false" customFormat="false" customHeight="false" hidden="false" ht="14.75" outlineLevel="0" r="420">
      <c r="A420" s="1" t="s">
        <v>414</v>
      </c>
      <c r="B420" s="1" t="s">
        <v>291</v>
      </c>
      <c r="C420" s="1" t="s">
        <v>288</v>
      </c>
      <c r="D420" s="1" t="n">
        <v>171</v>
      </c>
      <c r="E420" s="1" t="n">
        <v>11.25</v>
      </c>
      <c r="F420" s="1" t="n">
        <v>1.3</v>
      </c>
    </row>
    <row collapsed="false" customFormat="false" customHeight="false" hidden="false" ht="14.75" outlineLevel="0" r="421">
      <c r="A421" s="1" t="s">
        <v>415</v>
      </c>
      <c r="B421" s="1" t="s">
        <v>313</v>
      </c>
      <c r="C421" s="1" t="s">
        <v>288</v>
      </c>
      <c r="D421" s="1" t="n">
        <v>107</v>
      </c>
      <c r="E421" s="1" t="n">
        <v>9.47</v>
      </c>
      <c r="F421" s="1" t="s">
        <v>9</v>
      </c>
    </row>
    <row collapsed="false" customFormat="false" customHeight="false" hidden="false" ht="14.75" outlineLevel="0" r="422">
      <c r="A422" s="1" t="s">
        <v>416</v>
      </c>
      <c r="B422" s="1" t="s">
        <v>313</v>
      </c>
      <c r="C422" s="1" t="s">
        <v>288</v>
      </c>
      <c r="D422" s="1" t="n">
        <v>66.5</v>
      </c>
      <c r="E422" s="1" t="n">
        <v>6.67</v>
      </c>
      <c r="F422" s="1" t="s">
        <v>9</v>
      </c>
    </row>
    <row collapsed="false" customFormat="false" customHeight="false" hidden="false" ht="14.75" outlineLevel="0" r="423">
      <c r="A423" s="1" t="s">
        <v>417</v>
      </c>
      <c r="B423" s="1" t="s">
        <v>299</v>
      </c>
      <c r="C423" s="1" t="s">
        <v>288</v>
      </c>
      <c r="D423" s="1" t="n">
        <v>157.5</v>
      </c>
      <c r="E423" s="1" t="n">
        <v>13.16</v>
      </c>
      <c r="F423" s="1" t="s">
        <v>9</v>
      </c>
    </row>
    <row collapsed="false" customFormat="false" customHeight="false" hidden="false" ht="14.75" outlineLevel="0" r="424">
      <c r="A424" s="1" t="s">
        <v>418</v>
      </c>
      <c r="B424" s="1" t="s">
        <v>299</v>
      </c>
      <c r="C424" s="1" t="s">
        <v>288</v>
      </c>
      <c r="D424" s="1" t="n">
        <v>32.9</v>
      </c>
      <c r="E424" s="1" t="n">
        <v>6</v>
      </c>
      <c r="F424" s="1" t="s">
        <v>9</v>
      </c>
    </row>
    <row collapsed="false" customFormat="false" customHeight="false" hidden="false" ht="14.75" outlineLevel="0" r="425">
      <c r="A425" s="1" t="s">
        <v>419</v>
      </c>
      <c r="B425" s="1" t="s">
        <v>291</v>
      </c>
      <c r="C425" s="1" t="s">
        <v>288</v>
      </c>
      <c r="D425" s="1" t="n">
        <v>178.5</v>
      </c>
      <c r="E425" s="1" t="n">
        <v>11.33</v>
      </c>
      <c r="F425" s="1" t="n">
        <v>1.5</v>
      </c>
    </row>
    <row collapsed="false" customFormat="false" customHeight="false" hidden="false" ht="14.75" outlineLevel="0" r="426">
      <c r="A426" s="1" t="s">
        <v>190</v>
      </c>
      <c r="B426" s="1" t="s">
        <v>287</v>
      </c>
      <c r="C426" s="1" t="s">
        <v>288</v>
      </c>
      <c r="D426" s="1" t="n">
        <v>218.5</v>
      </c>
      <c r="E426" s="1" t="n">
        <v>20.43</v>
      </c>
      <c r="F426" s="1" t="n">
        <v>2.4</v>
      </c>
    </row>
    <row collapsed="false" customFormat="false" customHeight="false" hidden="false" ht="14.75" outlineLevel="0" r="427">
      <c r="A427" s="1" t="s">
        <v>191</v>
      </c>
      <c r="B427" s="1" t="s">
        <v>291</v>
      </c>
      <c r="C427" s="1" t="s">
        <v>288</v>
      </c>
      <c r="D427" s="1" t="n">
        <v>239</v>
      </c>
      <c r="E427" s="1" t="n">
        <v>15</v>
      </c>
      <c r="F427" s="1" t="n">
        <v>2.1</v>
      </c>
    </row>
    <row collapsed="false" customFormat="false" customHeight="false" hidden="false" ht="14.75" outlineLevel="0" r="428">
      <c r="A428" s="1" t="s">
        <v>420</v>
      </c>
      <c r="B428" s="1" t="s">
        <v>291</v>
      </c>
      <c r="C428" s="1" t="s">
        <v>288</v>
      </c>
      <c r="D428" s="1" t="n">
        <v>133.9</v>
      </c>
      <c r="E428" s="1" t="n">
        <v>9.35</v>
      </c>
      <c r="F428" s="1" t="n">
        <v>0.8</v>
      </c>
    </row>
    <row collapsed="false" customFormat="false" customHeight="false" hidden="false" ht="14.75" outlineLevel="0" r="429">
      <c r="A429" s="1" t="s">
        <v>421</v>
      </c>
      <c r="B429" s="1" t="s">
        <v>287</v>
      </c>
      <c r="C429" s="1" t="s">
        <v>288</v>
      </c>
      <c r="D429" s="1" t="n">
        <v>224</v>
      </c>
      <c r="E429" s="1" t="n">
        <v>18.48</v>
      </c>
      <c r="F429" s="1" t="n">
        <v>1.8</v>
      </c>
    </row>
    <row collapsed="false" customFormat="false" customHeight="false" hidden="false" ht="14.75" outlineLevel="0" r="430">
      <c r="A430" s="1" t="s">
        <v>422</v>
      </c>
      <c r="B430" s="1" t="s">
        <v>291</v>
      </c>
      <c r="C430" s="1" t="s">
        <v>288</v>
      </c>
      <c r="D430" s="1" t="n">
        <v>134</v>
      </c>
      <c r="E430" s="1" t="n">
        <v>8.65</v>
      </c>
      <c r="F430" s="1" t="n">
        <v>0.7</v>
      </c>
    </row>
    <row collapsed="false" customFormat="false" customHeight="false" hidden="false" ht="14.75" outlineLevel="0" r="431">
      <c r="A431" s="1" t="s">
        <v>423</v>
      </c>
      <c r="B431" s="1" t="s">
        <v>288</v>
      </c>
      <c r="C431" s="1" t="s">
        <v>288</v>
      </c>
      <c r="D431" s="1" t="n">
        <v>337.5</v>
      </c>
      <c r="E431" s="1" t="n">
        <v>23.1603773584906</v>
      </c>
      <c r="F431" s="1" t="s">
        <v>9</v>
      </c>
    </row>
    <row collapsed="false" customFormat="false" customHeight="false" hidden="false" ht="14.75" outlineLevel="0" r="432">
      <c r="A432" s="1" t="s">
        <v>424</v>
      </c>
      <c r="B432" s="1" t="s">
        <v>288</v>
      </c>
      <c r="C432" s="1" t="s">
        <v>288</v>
      </c>
      <c r="D432" s="1" t="n">
        <v>220.02</v>
      </c>
      <c r="E432" s="1" t="n">
        <v>15.9340659340659</v>
      </c>
      <c r="F432" s="1" t="s">
        <v>9</v>
      </c>
    </row>
    <row collapsed="false" customFormat="false" customHeight="false" hidden="false" ht="14.75" outlineLevel="0" r="433">
      <c r="A433" s="1" t="s">
        <v>425</v>
      </c>
      <c r="B433" s="1" t="s">
        <v>309</v>
      </c>
      <c r="C433" s="4" t="s">
        <v>288</v>
      </c>
      <c r="D433" s="1" t="n">
        <v>332.5</v>
      </c>
      <c r="E433" s="1" t="n">
        <v>23.33</v>
      </c>
      <c r="F433" s="1" t="s">
        <v>9</v>
      </c>
    </row>
    <row collapsed="false" customFormat="false" customHeight="false" hidden="false" ht="14.75" outlineLevel="0" r="434">
      <c r="A434" s="1" t="s">
        <v>426</v>
      </c>
      <c r="B434" s="1" t="s">
        <v>309</v>
      </c>
      <c r="C434" s="4" t="s">
        <v>288</v>
      </c>
      <c r="D434" s="1" t="n">
        <v>87</v>
      </c>
      <c r="E434" s="1" t="n">
        <v>10.77</v>
      </c>
      <c r="F434" s="1" t="s">
        <v>9</v>
      </c>
    </row>
    <row collapsed="false" customFormat="false" customHeight="false" hidden="false" ht="14.75" outlineLevel="0" r="435">
      <c r="A435" s="1" t="s">
        <v>427</v>
      </c>
      <c r="B435" s="1" t="s">
        <v>428</v>
      </c>
      <c r="C435" s="1" t="s">
        <v>429</v>
      </c>
      <c r="D435" s="1" t="n">
        <v>107</v>
      </c>
      <c r="E435" s="1" t="n">
        <v>9.81</v>
      </c>
      <c r="F435" s="1" t="s">
        <v>9</v>
      </c>
    </row>
    <row collapsed="false" customFormat="false" customHeight="false" hidden="false" ht="14.75" outlineLevel="0" r="436">
      <c r="A436" s="1" t="s">
        <v>430</v>
      </c>
      <c r="B436" s="1" t="s">
        <v>428</v>
      </c>
      <c r="C436" s="1" t="s">
        <v>429</v>
      </c>
      <c r="D436" s="1" t="n">
        <v>22</v>
      </c>
      <c r="E436" s="1" t="n">
        <v>1.58</v>
      </c>
      <c r="F436" s="1" t="s">
        <v>9</v>
      </c>
    </row>
    <row collapsed="false" customFormat="false" customHeight="false" hidden="false" ht="14.75" outlineLevel="0" r="437">
      <c r="A437" s="1" t="s">
        <v>431</v>
      </c>
      <c r="B437" s="1" t="s">
        <v>428</v>
      </c>
      <c r="C437" s="1" t="s">
        <v>429</v>
      </c>
      <c r="D437" s="1" t="n">
        <v>27</v>
      </c>
      <c r="E437" s="1" t="n">
        <v>3.5</v>
      </c>
      <c r="F437" s="1" t="s">
        <v>9</v>
      </c>
    </row>
    <row collapsed="false" customFormat="false" customHeight="false" hidden="false" ht="14.75" outlineLevel="0" r="438">
      <c r="A438" s="1" t="s">
        <v>50</v>
      </c>
      <c r="B438" s="1" t="s">
        <v>432</v>
      </c>
      <c r="C438" s="1" t="s">
        <v>429</v>
      </c>
      <c r="D438" s="1" t="n">
        <v>285</v>
      </c>
      <c r="E438" s="1" t="n">
        <v>17.14</v>
      </c>
      <c r="F438" s="1" t="s">
        <v>9</v>
      </c>
    </row>
    <row collapsed="false" customFormat="false" customHeight="false" hidden="false" ht="14.75" outlineLevel="0" r="439">
      <c r="A439" s="1" t="s">
        <v>55</v>
      </c>
      <c r="B439" s="1" t="s">
        <v>432</v>
      </c>
      <c r="C439" s="1" t="s">
        <v>429</v>
      </c>
      <c r="D439" s="1" t="n">
        <v>339</v>
      </c>
      <c r="E439" s="1" t="n">
        <v>20.27</v>
      </c>
      <c r="F439" s="1" t="s">
        <v>9</v>
      </c>
    </row>
    <row collapsed="false" customFormat="false" customHeight="false" hidden="false" ht="14.75" outlineLevel="0" r="440">
      <c r="A440" s="1" t="s">
        <v>286</v>
      </c>
      <c r="B440" s="1" t="s">
        <v>433</v>
      </c>
      <c r="C440" s="1" t="s">
        <v>429</v>
      </c>
      <c r="D440" s="1" t="n">
        <v>516.4</v>
      </c>
      <c r="E440" s="1" t="n">
        <v>25.35</v>
      </c>
      <c r="F440" s="1" t="s">
        <v>9</v>
      </c>
    </row>
    <row collapsed="false" customFormat="false" customHeight="false" hidden="false" ht="14.75" outlineLevel="0" r="441">
      <c r="A441" s="1" t="s">
        <v>289</v>
      </c>
      <c r="B441" s="1" t="s">
        <v>433</v>
      </c>
      <c r="C441" s="1" t="s">
        <v>429</v>
      </c>
      <c r="D441" s="1" t="n">
        <v>281.7</v>
      </c>
      <c r="E441" s="1" t="n">
        <v>17.72</v>
      </c>
      <c r="F441" s="1" t="s">
        <v>9</v>
      </c>
    </row>
    <row collapsed="false" customFormat="false" customHeight="false" hidden="false" ht="14.75" outlineLevel="0" r="442">
      <c r="A442" s="1" t="s">
        <v>434</v>
      </c>
      <c r="B442" s="1" t="s">
        <v>432</v>
      </c>
      <c r="C442" s="1" t="s">
        <v>429</v>
      </c>
      <c r="D442" s="1" t="n">
        <v>256</v>
      </c>
      <c r="E442" s="1" t="n">
        <v>16.12</v>
      </c>
      <c r="F442" s="1" t="s">
        <v>9</v>
      </c>
    </row>
    <row collapsed="false" customFormat="false" customHeight="false" hidden="false" ht="14.75" outlineLevel="0" r="443">
      <c r="A443" s="1" t="s">
        <v>435</v>
      </c>
      <c r="B443" s="1" t="s">
        <v>428</v>
      </c>
      <c r="C443" s="1" t="s">
        <v>429</v>
      </c>
      <c r="D443" s="1" t="n">
        <v>182.7</v>
      </c>
      <c r="E443" s="1" t="n">
        <v>13.93</v>
      </c>
      <c r="F443" s="1" t="s">
        <v>9</v>
      </c>
    </row>
    <row collapsed="false" customFormat="false" customHeight="false" hidden="false" ht="14.75" outlineLevel="0" r="444">
      <c r="A444" s="1" t="s">
        <v>436</v>
      </c>
      <c r="B444" s="1" t="s">
        <v>428</v>
      </c>
      <c r="C444" s="1" t="s">
        <v>429</v>
      </c>
      <c r="D444" s="1" t="n">
        <v>113</v>
      </c>
      <c r="E444" s="1" t="n">
        <v>11.32</v>
      </c>
      <c r="F444" s="1" t="s">
        <v>9</v>
      </c>
    </row>
    <row collapsed="false" customFormat="false" customHeight="false" hidden="false" ht="14.75" outlineLevel="0" r="445">
      <c r="A445" s="1" t="s">
        <v>437</v>
      </c>
      <c r="B445" s="1" t="s">
        <v>433</v>
      </c>
      <c r="C445" s="1" t="s">
        <v>429</v>
      </c>
      <c r="D445" s="1" t="n">
        <v>318.3</v>
      </c>
      <c r="E445" s="1" t="n">
        <v>20.23</v>
      </c>
      <c r="F445" s="1" t="s">
        <v>9</v>
      </c>
    </row>
    <row collapsed="false" customFormat="false" customHeight="false" hidden="false" ht="14.75" outlineLevel="0" r="446">
      <c r="A446" s="1" t="s">
        <v>438</v>
      </c>
      <c r="B446" s="1" t="s">
        <v>433</v>
      </c>
      <c r="C446" s="1" t="s">
        <v>429</v>
      </c>
      <c r="D446" s="1" t="n">
        <v>88.3</v>
      </c>
      <c r="E446" s="1" t="n">
        <v>8.61</v>
      </c>
      <c r="F446" s="1" t="s">
        <v>9</v>
      </c>
    </row>
    <row collapsed="false" customFormat="false" customHeight="false" hidden="false" ht="14.75" outlineLevel="0" r="447">
      <c r="A447" s="1" t="s">
        <v>439</v>
      </c>
      <c r="B447" s="1" t="s">
        <v>440</v>
      </c>
      <c r="C447" s="1" t="s">
        <v>429</v>
      </c>
      <c r="D447" s="1" t="n">
        <v>78.5</v>
      </c>
      <c r="E447" s="1" t="n">
        <v>6.2</v>
      </c>
      <c r="F447" s="1" t="s">
        <v>9</v>
      </c>
    </row>
    <row collapsed="false" customFormat="false" customHeight="false" hidden="false" ht="14.75" outlineLevel="0" r="448">
      <c r="A448" s="1" t="s">
        <v>441</v>
      </c>
      <c r="B448" s="1" t="s">
        <v>440</v>
      </c>
      <c r="C448" s="1" t="s">
        <v>429</v>
      </c>
      <c r="D448" s="1" t="n">
        <v>91</v>
      </c>
      <c r="E448" s="1" t="n">
        <v>8.43137254901961</v>
      </c>
      <c r="F448" s="1" t="s">
        <v>9</v>
      </c>
    </row>
    <row collapsed="false" customFormat="false" customHeight="false" hidden="false" ht="14.75" outlineLevel="0" r="449">
      <c r="A449" s="1" t="s">
        <v>442</v>
      </c>
      <c r="B449" s="1" t="s">
        <v>440</v>
      </c>
      <c r="C449" s="1" t="s">
        <v>429</v>
      </c>
      <c r="D449" s="1" t="n">
        <v>97</v>
      </c>
      <c r="E449" s="1" t="n">
        <v>7.96296296296296</v>
      </c>
      <c r="F449" s="1" t="s">
        <v>9</v>
      </c>
    </row>
    <row collapsed="false" customFormat="false" customHeight="false" hidden="false" ht="14.75" outlineLevel="0" r="450">
      <c r="A450" s="1" t="s">
        <v>443</v>
      </c>
      <c r="B450" s="1" t="s">
        <v>440</v>
      </c>
      <c r="C450" s="1" t="s">
        <v>429</v>
      </c>
      <c r="D450" s="1" t="n">
        <v>57</v>
      </c>
      <c r="E450" s="1" t="n">
        <v>5.94594594594595</v>
      </c>
      <c r="F450" s="1" t="s">
        <v>9</v>
      </c>
    </row>
    <row collapsed="false" customFormat="false" customHeight="false" hidden="false" ht="14.75" outlineLevel="0" r="451">
      <c r="A451" s="1" t="s">
        <v>444</v>
      </c>
      <c r="B451" s="1" t="s">
        <v>440</v>
      </c>
      <c r="C451" s="1" t="s">
        <v>429</v>
      </c>
      <c r="D451" s="1" t="n">
        <v>40.5</v>
      </c>
      <c r="E451" s="1" t="n">
        <v>4</v>
      </c>
      <c r="F451" s="1" t="s">
        <v>9</v>
      </c>
    </row>
    <row collapsed="false" customFormat="false" customHeight="false" hidden="false" ht="14.75" outlineLevel="0" r="452">
      <c r="A452" s="1" t="s">
        <v>445</v>
      </c>
      <c r="B452" s="1" t="s">
        <v>446</v>
      </c>
      <c r="C452" s="1" t="s">
        <v>429</v>
      </c>
      <c r="D452" s="1" t="n">
        <v>58.3111111111111</v>
      </c>
      <c r="E452" s="1" t="n">
        <v>6.14285714285714</v>
      </c>
      <c r="F452" s="1" t="s">
        <v>9</v>
      </c>
    </row>
    <row collapsed="false" customFormat="false" customHeight="false" hidden="false" ht="14.75" outlineLevel="0" r="453">
      <c r="A453" s="1" t="s">
        <v>56</v>
      </c>
      <c r="B453" s="1" t="s">
        <v>432</v>
      </c>
      <c r="C453" s="1" t="s">
        <v>429</v>
      </c>
      <c r="D453" s="1" t="n">
        <v>396</v>
      </c>
      <c r="E453" s="1" t="n">
        <v>21.68</v>
      </c>
      <c r="F453" s="1" t="s">
        <v>9</v>
      </c>
    </row>
    <row collapsed="false" customFormat="false" customHeight="false" hidden="false" ht="14.75" outlineLevel="0" r="454">
      <c r="A454" s="1" t="s">
        <v>57</v>
      </c>
      <c r="B454" s="1" t="s">
        <v>432</v>
      </c>
      <c r="C454" s="1" t="s">
        <v>429</v>
      </c>
      <c r="D454" s="1" t="n">
        <v>188</v>
      </c>
      <c r="E454" s="1" t="n">
        <v>12.65</v>
      </c>
      <c r="F454" s="1" t="s">
        <v>9</v>
      </c>
    </row>
    <row collapsed="false" customFormat="false" customHeight="false" hidden="false" ht="14.75" outlineLevel="0" r="455">
      <c r="A455" s="1" t="s">
        <v>303</v>
      </c>
      <c r="B455" s="1" t="s">
        <v>433</v>
      </c>
      <c r="C455" s="1" t="s">
        <v>429</v>
      </c>
      <c r="D455" s="1" t="n">
        <v>459.4</v>
      </c>
      <c r="E455" s="1" t="n">
        <v>23.95</v>
      </c>
      <c r="F455" s="1" t="s">
        <v>9</v>
      </c>
    </row>
    <row collapsed="false" customFormat="false" customHeight="false" hidden="false" ht="14.75" outlineLevel="0" r="456">
      <c r="A456" s="1" t="s">
        <v>38</v>
      </c>
      <c r="B456" s="1" t="s">
        <v>432</v>
      </c>
      <c r="C456" s="1" t="s">
        <v>429</v>
      </c>
      <c r="D456" s="1" t="n">
        <v>603</v>
      </c>
      <c r="E456" s="1" t="n">
        <v>26.77</v>
      </c>
      <c r="F456" s="1" t="s">
        <v>9</v>
      </c>
    </row>
    <row collapsed="false" customFormat="false" customHeight="false" hidden="false" ht="14.75" outlineLevel="0" r="457">
      <c r="A457" s="1" t="s">
        <v>58</v>
      </c>
      <c r="B457" s="1" t="s">
        <v>432</v>
      </c>
      <c r="C457" s="1" t="s">
        <v>429</v>
      </c>
      <c r="D457" s="1" t="n">
        <v>258</v>
      </c>
      <c r="E457" s="1" t="n">
        <v>20.35</v>
      </c>
      <c r="F457" s="1" t="s">
        <v>9</v>
      </c>
    </row>
    <row collapsed="false" customFormat="false" customHeight="false" hidden="false" ht="14.75" outlineLevel="0" r="458">
      <c r="A458" s="1" t="s">
        <v>59</v>
      </c>
      <c r="B458" s="1" t="s">
        <v>432</v>
      </c>
      <c r="C458" s="1" t="s">
        <v>429</v>
      </c>
      <c r="D458" s="1" t="n">
        <v>174</v>
      </c>
      <c r="E458" s="1" t="n">
        <v>14.86</v>
      </c>
      <c r="F458" s="1" t="s">
        <v>9</v>
      </c>
    </row>
    <row collapsed="false" customFormat="false" customHeight="false" hidden="false" ht="14.75" outlineLevel="0" r="459">
      <c r="A459" s="1" t="s">
        <v>447</v>
      </c>
      <c r="B459" s="1" t="s">
        <v>428</v>
      </c>
      <c r="C459" s="1" t="s">
        <v>429</v>
      </c>
      <c r="D459" s="1" t="n">
        <v>318.2</v>
      </c>
      <c r="E459" s="1" t="n">
        <v>18.69</v>
      </c>
      <c r="F459" s="1" t="s">
        <v>9</v>
      </c>
    </row>
    <row collapsed="false" customFormat="false" customHeight="false" hidden="false" ht="14.75" outlineLevel="0" r="460">
      <c r="A460" s="1" t="s">
        <v>448</v>
      </c>
      <c r="B460" s="1" t="s">
        <v>428</v>
      </c>
      <c r="C460" s="1" t="s">
        <v>429</v>
      </c>
      <c r="D460" s="1" t="n">
        <v>67</v>
      </c>
      <c r="E460" s="1" t="n">
        <v>5.58</v>
      </c>
      <c r="F460" s="1" t="s">
        <v>9</v>
      </c>
    </row>
    <row collapsed="false" customFormat="false" customHeight="false" hidden="false" ht="14.75" outlineLevel="0" r="461">
      <c r="A461" s="1" t="s">
        <v>449</v>
      </c>
      <c r="B461" s="1" t="s">
        <v>440</v>
      </c>
      <c r="C461" s="1" t="s">
        <v>429</v>
      </c>
      <c r="D461" s="1" t="n">
        <v>519</v>
      </c>
      <c r="E461" s="1" t="n">
        <v>22.5465838509317</v>
      </c>
      <c r="F461" s="1" t="s">
        <v>9</v>
      </c>
    </row>
    <row collapsed="false" customFormat="false" customHeight="false" hidden="false" ht="14.75" outlineLevel="0" r="462">
      <c r="A462" s="1" t="s">
        <v>450</v>
      </c>
      <c r="B462" s="1" t="s">
        <v>440</v>
      </c>
      <c r="C462" s="1" t="s">
        <v>429</v>
      </c>
      <c r="D462" s="1" t="n">
        <v>105.5</v>
      </c>
      <c r="E462" s="1" t="n">
        <v>8.47457627118644</v>
      </c>
      <c r="F462" s="1" t="s">
        <v>9</v>
      </c>
    </row>
    <row collapsed="false" customFormat="false" customHeight="false" hidden="false" ht="14.75" outlineLevel="0" r="463">
      <c r="A463" s="1" t="s">
        <v>451</v>
      </c>
      <c r="B463" s="1" t="s">
        <v>440</v>
      </c>
      <c r="C463" s="1" t="s">
        <v>429</v>
      </c>
      <c r="D463" s="1" t="n">
        <v>75.5</v>
      </c>
      <c r="E463" s="1" t="n">
        <v>5.47169811320755</v>
      </c>
      <c r="F463" s="1" t="s">
        <v>9</v>
      </c>
    </row>
    <row collapsed="false" customFormat="false" customHeight="false" hidden="false" ht="14.75" outlineLevel="0" r="464">
      <c r="A464" s="1" t="s">
        <v>452</v>
      </c>
      <c r="B464" s="1" t="s">
        <v>440</v>
      </c>
      <c r="C464" s="1" t="s">
        <v>429</v>
      </c>
      <c r="D464" s="1" t="n">
        <v>47</v>
      </c>
      <c r="E464" s="1" t="n">
        <v>4.54545454545455</v>
      </c>
      <c r="F464" s="1" t="s">
        <v>9</v>
      </c>
    </row>
    <row collapsed="false" customFormat="false" customHeight="false" hidden="false" ht="14.75" outlineLevel="0" r="465">
      <c r="A465" s="1" t="s">
        <v>326</v>
      </c>
      <c r="B465" s="1" t="s">
        <v>446</v>
      </c>
      <c r="C465" s="1" t="s">
        <v>429</v>
      </c>
      <c r="D465" s="1" t="n">
        <v>445</v>
      </c>
      <c r="E465" s="1" t="n">
        <v>24.6783625730994</v>
      </c>
      <c r="F465" s="1" t="s">
        <v>9</v>
      </c>
    </row>
    <row collapsed="false" customFormat="false" customHeight="false" hidden="false" ht="14.75" outlineLevel="0" r="466">
      <c r="A466" s="1" t="s">
        <v>11</v>
      </c>
      <c r="B466" s="1" t="s">
        <v>446</v>
      </c>
      <c r="C466" s="1" t="s">
        <v>429</v>
      </c>
      <c r="D466" s="1" t="n">
        <v>423.461538461538</v>
      </c>
      <c r="E466" s="1" t="n">
        <v>24.3636363636364</v>
      </c>
      <c r="F466" s="1" t="s">
        <v>9</v>
      </c>
    </row>
    <row collapsed="false" customFormat="false" customHeight="false" hidden="false" ht="14.75" outlineLevel="0" r="467">
      <c r="A467" s="1" t="s">
        <v>453</v>
      </c>
      <c r="B467" s="1" t="s">
        <v>446</v>
      </c>
      <c r="C467" s="1" t="s">
        <v>429</v>
      </c>
      <c r="D467" s="1" t="n">
        <v>74.4222222222222</v>
      </c>
      <c r="E467" s="1" t="n">
        <v>9.48717948717949</v>
      </c>
      <c r="F467" s="1" t="s">
        <v>9</v>
      </c>
    </row>
    <row collapsed="false" customFormat="false" customHeight="false" hidden="false" ht="14.75" outlineLevel="0" r="468">
      <c r="A468" s="1" t="s">
        <v>454</v>
      </c>
      <c r="B468" s="1" t="s">
        <v>432</v>
      </c>
      <c r="C468" s="1" t="s">
        <v>429</v>
      </c>
      <c r="D468" s="1" t="n">
        <v>107.8</v>
      </c>
      <c r="E468" s="1" t="n">
        <v>9.02</v>
      </c>
      <c r="F468" s="1" t="s">
        <v>9</v>
      </c>
    </row>
    <row collapsed="false" customFormat="false" customHeight="false" hidden="false" ht="14.75" outlineLevel="0" r="469">
      <c r="A469" s="1" t="s">
        <v>455</v>
      </c>
      <c r="B469" s="1" t="s">
        <v>432</v>
      </c>
      <c r="C469" s="1" t="s">
        <v>429</v>
      </c>
      <c r="D469" s="1" t="n">
        <v>65.6</v>
      </c>
      <c r="E469" s="1" t="n">
        <v>6.86</v>
      </c>
      <c r="F469" s="1" t="s">
        <v>9</v>
      </c>
    </row>
    <row collapsed="false" customFormat="false" customHeight="false" hidden="false" ht="14.75" outlineLevel="0" r="470">
      <c r="A470" s="1" t="s">
        <v>456</v>
      </c>
      <c r="B470" s="1" t="s">
        <v>428</v>
      </c>
      <c r="C470" s="1" t="s">
        <v>429</v>
      </c>
      <c r="D470" s="1" t="n">
        <v>126</v>
      </c>
      <c r="E470" s="1" t="n">
        <v>9.09</v>
      </c>
      <c r="F470" s="1" t="s">
        <v>9</v>
      </c>
    </row>
    <row collapsed="false" customFormat="false" customHeight="false" hidden="false" ht="14.75" outlineLevel="0" r="471">
      <c r="A471" s="1" t="s">
        <v>131</v>
      </c>
      <c r="B471" s="1" t="s">
        <v>428</v>
      </c>
      <c r="C471" s="1" t="s">
        <v>429</v>
      </c>
      <c r="D471" s="1" t="n">
        <v>337.3</v>
      </c>
      <c r="E471" s="1" t="n">
        <v>17.28</v>
      </c>
      <c r="F471" s="1" t="s">
        <v>9</v>
      </c>
    </row>
    <row collapsed="false" customFormat="false" customHeight="false" hidden="false" ht="14.75" outlineLevel="0" r="472">
      <c r="A472" s="1" t="s">
        <v>132</v>
      </c>
      <c r="B472" s="1" t="s">
        <v>428</v>
      </c>
      <c r="C472" s="1" t="s">
        <v>429</v>
      </c>
      <c r="D472" s="1" t="n">
        <v>53</v>
      </c>
      <c r="E472" s="1" t="n">
        <v>6.06</v>
      </c>
      <c r="F472" s="1" t="s">
        <v>9</v>
      </c>
    </row>
    <row collapsed="false" customFormat="false" customHeight="false" hidden="false" ht="14.75" outlineLevel="0" r="473">
      <c r="A473" s="1" t="s">
        <v>457</v>
      </c>
      <c r="B473" s="1" t="s">
        <v>440</v>
      </c>
      <c r="C473" s="1" t="s">
        <v>429</v>
      </c>
      <c r="D473" s="1" t="n">
        <v>150.5</v>
      </c>
      <c r="E473" s="1" t="n">
        <v>10.5263157894737</v>
      </c>
      <c r="F473" s="1" t="s">
        <v>9</v>
      </c>
    </row>
    <row collapsed="false" customFormat="false" customHeight="false" hidden="false" ht="14.75" outlineLevel="0" r="474">
      <c r="A474" s="1" t="s">
        <v>458</v>
      </c>
      <c r="B474" s="1" t="s">
        <v>440</v>
      </c>
      <c r="C474" s="1" t="s">
        <v>429</v>
      </c>
      <c r="D474" s="1" t="n">
        <v>82</v>
      </c>
      <c r="E474" s="1" t="n">
        <v>6.60377358490566</v>
      </c>
      <c r="F474" s="1" t="s">
        <v>9</v>
      </c>
    </row>
    <row collapsed="false" customFormat="false" customHeight="false" hidden="false" ht="14.75" outlineLevel="0" r="475">
      <c r="A475" s="1" t="s">
        <v>459</v>
      </c>
      <c r="B475" s="1" t="s">
        <v>446</v>
      </c>
      <c r="C475" s="1" t="s">
        <v>429</v>
      </c>
      <c r="D475" s="1" t="n">
        <v>181</v>
      </c>
      <c r="E475" s="1" t="n">
        <v>11.551724137931</v>
      </c>
      <c r="F475" s="1" t="s">
        <v>9</v>
      </c>
    </row>
    <row collapsed="false" customFormat="false" customHeight="false" hidden="false" ht="14.75" outlineLevel="0" r="476">
      <c r="A476" s="1" t="s">
        <v>460</v>
      </c>
      <c r="B476" s="1" t="s">
        <v>446</v>
      </c>
      <c r="C476" s="1" t="s">
        <v>429</v>
      </c>
      <c r="D476" s="1" t="n">
        <v>101.688888888889</v>
      </c>
      <c r="E476" s="1" t="n">
        <v>9.59183673469388</v>
      </c>
      <c r="F476" s="1" t="s">
        <v>9</v>
      </c>
    </row>
    <row collapsed="false" customFormat="false" customHeight="false" hidden="false" ht="14.75" outlineLevel="0" r="477">
      <c r="A477" s="1" t="s">
        <v>14</v>
      </c>
      <c r="B477" s="1" t="s">
        <v>446</v>
      </c>
      <c r="C477" s="1" t="s">
        <v>429</v>
      </c>
      <c r="D477" s="1" t="n">
        <v>323.5</v>
      </c>
      <c r="E477" s="1" t="n">
        <v>18.1779661016949</v>
      </c>
      <c r="F477" s="1" t="s">
        <v>9</v>
      </c>
    </row>
    <row collapsed="false" customFormat="false" customHeight="false" hidden="false" ht="14.75" outlineLevel="0" r="478">
      <c r="A478" s="1" t="s">
        <v>461</v>
      </c>
      <c r="B478" s="1" t="s">
        <v>428</v>
      </c>
      <c r="C478" s="1" t="s">
        <v>429</v>
      </c>
      <c r="D478" s="1" t="n">
        <v>32</v>
      </c>
      <c r="E478" s="1" t="n">
        <v>5.24</v>
      </c>
      <c r="F478" s="1" t="s">
        <v>9</v>
      </c>
    </row>
    <row collapsed="false" customFormat="false" customHeight="false" hidden="false" ht="14.75" outlineLevel="0" r="479">
      <c r="A479" s="1" t="s">
        <v>462</v>
      </c>
      <c r="B479" s="1" t="s">
        <v>440</v>
      </c>
      <c r="C479" s="1" t="s">
        <v>429</v>
      </c>
      <c r="D479" s="1" t="n">
        <v>248</v>
      </c>
      <c r="E479" s="1" t="n">
        <v>12.9464285714286</v>
      </c>
      <c r="F479" s="1" t="s">
        <v>9</v>
      </c>
    </row>
    <row collapsed="false" customFormat="false" customHeight="false" hidden="false" ht="14.75" outlineLevel="0" r="480">
      <c r="A480" s="1" t="s">
        <v>463</v>
      </c>
      <c r="B480" s="1" t="s">
        <v>446</v>
      </c>
      <c r="C480" s="1" t="s">
        <v>429</v>
      </c>
      <c r="D480" s="1" t="n">
        <v>81.1111111111111</v>
      </c>
      <c r="E480" s="1" t="n">
        <v>9.125</v>
      </c>
      <c r="F480" s="1" t="s">
        <v>9</v>
      </c>
    </row>
    <row collapsed="false" customFormat="false" customHeight="false" hidden="false" ht="14.75" outlineLevel="0" r="481">
      <c r="A481" s="1" t="s">
        <v>211</v>
      </c>
      <c r="B481" s="1" t="s">
        <v>446</v>
      </c>
      <c r="C481" s="1" t="s">
        <v>429</v>
      </c>
      <c r="D481" s="1" t="n">
        <v>473.369230769231</v>
      </c>
      <c r="E481" s="1" t="n">
        <v>25.859872611465</v>
      </c>
      <c r="F481" s="1" t="s">
        <v>9</v>
      </c>
    </row>
    <row collapsed="false" customFormat="false" customHeight="false" hidden="false" ht="14.75" outlineLevel="0" r="482">
      <c r="A482" s="1" t="s">
        <v>212</v>
      </c>
      <c r="B482" s="1" t="s">
        <v>446</v>
      </c>
      <c r="C482" s="1" t="s">
        <v>429</v>
      </c>
      <c r="D482" s="1" t="n">
        <v>349.215384615385</v>
      </c>
      <c r="E482" s="1" t="n">
        <v>22.1917808219178</v>
      </c>
      <c r="F482" s="1" t="s">
        <v>9</v>
      </c>
    </row>
    <row collapsed="false" customFormat="false" customHeight="false" hidden="false" ht="14.75" outlineLevel="0" r="483">
      <c r="A483" s="1" t="s">
        <v>464</v>
      </c>
      <c r="B483" s="1" t="s">
        <v>440</v>
      </c>
      <c r="C483" s="1" t="s">
        <v>429</v>
      </c>
      <c r="D483" s="1" t="n">
        <v>116</v>
      </c>
      <c r="E483" s="1" t="n">
        <v>9.03225806451613</v>
      </c>
      <c r="F483" s="1" t="s">
        <v>9</v>
      </c>
    </row>
    <row collapsed="false" customFormat="false" customHeight="false" hidden="false" ht="14.75" outlineLevel="0" r="484">
      <c r="A484" s="1" t="s">
        <v>465</v>
      </c>
      <c r="B484" s="1" t="s">
        <v>440</v>
      </c>
      <c r="C484" s="1" t="s">
        <v>429</v>
      </c>
      <c r="D484" s="1" t="n">
        <v>63</v>
      </c>
      <c r="E484" s="1" t="n">
        <v>4.1304347826087</v>
      </c>
      <c r="F484" s="1" t="s">
        <v>9</v>
      </c>
    </row>
    <row collapsed="false" customFormat="false" customHeight="false" hidden="false" ht="14.75" outlineLevel="0" r="485">
      <c r="A485" s="1" t="s">
        <v>343</v>
      </c>
      <c r="B485" s="1" t="s">
        <v>433</v>
      </c>
      <c r="C485" s="1" t="s">
        <v>429</v>
      </c>
      <c r="D485" s="1" t="n">
        <v>475.9</v>
      </c>
      <c r="E485" s="1" t="n">
        <v>25.42</v>
      </c>
      <c r="F485" s="1" t="s">
        <v>9</v>
      </c>
    </row>
    <row collapsed="false" customFormat="false" customHeight="false" hidden="false" ht="14.75" outlineLevel="0" r="486">
      <c r="A486" s="1" t="s">
        <v>344</v>
      </c>
      <c r="B486" s="1" t="s">
        <v>433</v>
      </c>
      <c r="C486" s="1" t="s">
        <v>429</v>
      </c>
      <c r="D486" s="1" t="n">
        <v>339.4</v>
      </c>
      <c r="E486" s="1" t="n">
        <v>20.55</v>
      </c>
      <c r="F486" s="1" t="s">
        <v>9</v>
      </c>
    </row>
    <row collapsed="false" customFormat="false" customHeight="false" hidden="false" ht="14.75" outlineLevel="0" r="487">
      <c r="A487" s="1" t="s">
        <v>466</v>
      </c>
      <c r="B487" s="1" t="s">
        <v>433</v>
      </c>
      <c r="C487" s="1" t="s">
        <v>429</v>
      </c>
      <c r="D487" s="1" t="n">
        <v>136.1</v>
      </c>
      <c r="E487" s="1" t="n">
        <v>11.3</v>
      </c>
      <c r="F487" s="1" t="s">
        <v>9</v>
      </c>
    </row>
    <row collapsed="false" customFormat="false" customHeight="false" hidden="false" ht="14.75" outlineLevel="0" r="488">
      <c r="A488" s="1" t="s">
        <v>467</v>
      </c>
      <c r="B488" s="1" t="s">
        <v>440</v>
      </c>
      <c r="C488" s="1" t="s">
        <v>429</v>
      </c>
      <c r="D488" s="1" t="n">
        <v>55</v>
      </c>
      <c r="E488" s="1" t="n">
        <v>4.5</v>
      </c>
      <c r="F488" s="1" t="s">
        <v>9</v>
      </c>
    </row>
    <row collapsed="false" customFormat="false" customHeight="false" hidden="false" ht="14.75" outlineLevel="0" r="489">
      <c r="A489" s="1" t="s">
        <v>468</v>
      </c>
      <c r="B489" s="1" t="s">
        <v>432</v>
      </c>
      <c r="C489" s="1" t="s">
        <v>429</v>
      </c>
      <c r="D489" s="1" t="n">
        <v>24.4</v>
      </c>
      <c r="E489" s="1" t="n">
        <v>3.75</v>
      </c>
      <c r="F489" s="1" t="s">
        <v>9</v>
      </c>
    </row>
    <row collapsed="false" customFormat="false" customHeight="false" hidden="false" ht="14.75" outlineLevel="0" r="490">
      <c r="A490" s="1" t="s">
        <v>469</v>
      </c>
      <c r="B490" s="1" t="s">
        <v>433</v>
      </c>
      <c r="C490" s="1" t="s">
        <v>429</v>
      </c>
      <c r="D490" s="1" t="n">
        <v>177.8</v>
      </c>
      <c r="E490" s="1" t="n">
        <v>13.28</v>
      </c>
      <c r="F490" s="1" t="s">
        <v>9</v>
      </c>
    </row>
    <row collapsed="false" customFormat="false" customHeight="false" hidden="false" ht="14.75" outlineLevel="0" r="491">
      <c r="A491" s="1" t="s">
        <v>470</v>
      </c>
      <c r="B491" s="1" t="s">
        <v>446</v>
      </c>
      <c r="C491" s="1" t="s">
        <v>429</v>
      </c>
      <c r="D491" s="1" t="n">
        <v>165</v>
      </c>
      <c r="E491" s="1" t="n">
        <v>14.8795180722892</v>
      </c>
      <c r="F491" s="1" t="s">
        <v>9</v>
      </c>
    </row>
    <row collapsed="false" customFormat="false" customHeight="false" hidden="false" ht="14.75" outlineLevel="0" r="492">
      <c r="A492" s="1" t="s">
        <v>471</v>
      </c>
      <c r="B492" s="1" t="s">
        <v>446</v>
      </c>
      <c r="C492" s="1" t="s">
        <v>429</v>
      </c>
      <c r="D492" s="1" t="n">
        <v>36.1333333333333</v>
      </c>
      <c r="E492" s="1" t="n">
        <v>5.41666666666667</v>
      </c>
      <c r="F492" s="1" t="s">
        <v>9</v>
      </c>
    </row>
    <row collapsed="false" customFormat="false" customHeight="false" hidden="false" ht="14.75" outlineLevel="0" r="493">
      <c r="A493" s="1" t="s">
        <v>44</v>
      </c>
      <c r="B493" s="1" t="s">
        <v>446</v>
      </c>
      <c r="C493" s="1" t="s">
        <v>429</v>
      </c>
      <c r="D493" s="1" t="n">
        <v>426.666666666667</v>
      </c>
      <c r="E493" s="1" t="n">
        <v>24.1176470588235</v>
      </c>
      <c r="F493" s="1" t="s">
        <v>9</v>
      </c>
    </row>
    <row collapsed="false" customFormat="false" customHeight="false" hidden="false" ht="14.75" outlineLevel="0" r="494">
      <c r="A494" s="1" t="s">
        <v>45</v>
      </c>
      <c r="B494" s="1" t="s">
        <v>446</v>
      </c>
      <c r="C494" s="1" t="s">
        <v>429</v>
      </c>
      <c r="D494" s="1" t="n">
        <v>350.133333333333</v>
      </c>
      <c r="E494" s="1" t="n">
        <v>21.0752688172043</v>
      </c>
      <c r="F494" s="1" t="s">
        <v>9</v>
      </c>
    </row>
    <row collapsed="false" customFormat="false" customHeight="false" hidden="false" ht="14.75" outlineLevel="0" r="495">
      <c r="A495" s="1" t="s">
        <v>472</v>
      </c>
      <c r="B495" s="1" t="s">
        <v>446</v>
      </c>
      <c r="C495" s="1" t="s">
        <v>429</v>
      </c>
      <c r="D495" s="1" t="n">
        <v>271.088888888889</v>
      </c>
      <c r="E495" s="1" t="n">
        <v>16.0416666666667</v>
      </c>
      <c r="F495" s="1" t="s">
        <v>9</v>
      </c>
    </row>
    <row collapsed="false" customFormat="false" customHeight="false" hidden="false" ht="14.75" outlineLevel="0" r="496">
      <c r="A496" s="1" t="s">
        <v>473</v>
      </c>
      <c r="B496" s="1" t="s">
        <v>428</v>
      </c>
      <c r="C496" s="1" t="s">
        <v>429</v>
      </c>
      <c r="D496" s="1" t="n">
        <v>505</v>
      </c>
      <c r="E496" s="1" t="n">
        <v>23.67</v>
      </c>
      <c r="F496" s="1" t="s">
        <v>9</v>
      </c>
    </row>
    <row collapsed="false" customFormat="false" customHeight="false" hidden="false" ht="14.75" outlineLevel="0" r="497">
      <c r="A497" s="1" t="s">
        <v>474</v>
      </c>
      <c r="B497" s="1" t="s">
        <v>428</v>
      </c>
      <c r="C497" s="1" t="s">
        <v>429</v>
      </c>
      <c r="D497" s="1" t="n">
        <v>133.6</v>
      </c>
      <c r="E497" s="1" t="n">
        <v>10.42</v>
      </c>
      <c r="F497" s="1" t="s">
        <v>9</v>
      </c>
    </row>
    <row collapsed="false" customFormat="false" customHeight="false" hidden="false" ht="14.75" outlineLevel="0" r="498">
      <c r="A498" s="1" t="s">
        <v>46</v>
      </c>
      <c r="B498" s="1" t="s">
        <v>433</v>
      </c>
      <c r="C498" s="1" t="s">
        <v>429</v>
      </c>
      <c r="D498" s="1" t="n">
        <v>408.3</v>
      </c>
      <c r="E498" s="1" t="n">
        <v>21.43</v>
      </c>
      <c r="F498" s="1" t="s">
        <v>9</v>
      </c>
    </row>
    <row collapsed="false" customFormat="false" customHeight="false" hidden="false" ht="14.75" outlineLevel="0" r="499">
      <c r="A499" s="1" t="s">
        <v>475</v>
      </c>
      <c r="B499" s="1" t="s">
        <v>440</v>
      </c>
      <c r="C499" s="1" t="s">
        <v>429</v>
      </c>
      <c r="D499" s="1" t="n">
        <v>70</v>
      </c>
      <c r="E499" s="1" t="n">
        <v>4.89795918367347</v>
      </c>
      <c r="F499" s="1" t="s">
        <v>9</v>
      </c>
    </row>
    <row collapsed="false" customFormat="false" customHeight="false" hidden="false" ht="14.75" outlineLevel="0" r="500">
      <c r="A500" s="1" t="s">
        <v>476</v>
      </c>
      <c r="B500" s="1" t="s">
        <v>440</v>
      </c>
      <c r="C500" s="1" t="s">
        <v>429</v>
      </c>
      <c r="D500" s="1" t="n">
        <v>21</v>
      </c>
      <c r="E500" s="1" t="n">
        <v>6.15384615384615</v>
      </c>
      <c r="F500" s="1" t="s">
        <v>9</v>
      </c>
    </row>
    <row collapsed="false" customFormat="false" customHeight="false" hidden="false" ht="14.75" outlineLevel="0" r="501">
      <c r="A501" s="1" t="s">
        <v>21</v>
      </c>
      <c r="B501" s="1" t="s">
        <v>433</v>
      </c>
      <c r="C501" s="1" t="s">
        <v>429</v>
      </c>
      <c r="D501" s="1" t="n">
        <v>393.3</v>
      </c>
      <c r="E501" s="1" t="n">
        <v>22.35</v>
      </c>
      <c r="F501" s="1" t="s">
        <v>9</v>
      </c>
    </row>
    <row collapsed="false" customFormat="false" customHeight="false" hidden="false" ht="14.75" outlineLevel="0" r="502">
      <c r="A502" s="1" t="s">
        <v>477</v>
      </c>
      <c r="B502" s="1" t="s">
        <v>446</v>
      </c>
      <c r="C502" s="1" t="s">
        <v>429</v>
      </c>
      <c r="D502" s="1" t="n">
        <v>202.5</v>
      </c>
      <c r="E502" s="1" t="n">
        <v>13.8461538461538</v>
      </c>
      <c r="F502" s="1" t="s">
        <v>9</v>
      </c>
    </row>
    <row collapsed="false" customFormat="false" customHeight="false" hidden="false" ht="14.75" outlineLevel="0" r="503">
      <c r="A503" s="1" t="s">
        <v>216</v>
      </c>
      <c r="B503" s="1" t="s">
        <v>428</v>
      </c>
      <c r="C503" s="1" t="s">
        <v>429</v>
      </c>
      <c r="D503" s="1" t="n">
        <v>447.3</v>
      </c>
      <c r="E503" s="1" t="n">
        <v>23.7</v>
      </c>
      <c r="F503" s="1" t="s">
        <v>9</v>
      </c>
    </row>
    <row collapsed="false" customFormat="false" customHeight="false" hidden="false" ht="14.75" outlineLevel="0" r="504">
      <c r="A504" s="1" t="s">
        <v>217</v>
      </c>
      <c r="B504" s="1" t="s">
        <v>428</v>
      </c>
      <c r="C504" s="1" t="s">
        <v>429</v>
      </c>
      <c r="D504" s="1" t="n">
        <v>246</v>
      </c>
      <c r="E504" s="1" t="n">
        <v>17.64</v>
      </c>
      <c r="F504" s="1" t="s">
        <v>9</v>
      </c>
    </row>
    <row collapsed="false" customFormat="false" customHeight="false" hidden="false" ht="14.75" outlineLevel="0" r="505">
      <c r="A505" s="1" t="s">
        <v>72</v>
      </c>
      <c r="B505" s="1" t="s">
        <v>432</v>
      </c>
      <c r="C505" s="1" t="s">
        <v>429</v>
      </c>
      <c r="D505" s="1" t="n">
        <v>276</v>
      </c>
      <c r="E505" s="1" t="n">
        <v>16.29</v>
      </c>
      <c r="F505" s="1" t="s">
        <v>9</v>
      </c>
    </row>
    <row collapsed="false" customFormat="false" customHeight="false" hidden="false" ht="14.75" outlineLevel="0" r="506">
      <c r="A506" s="1" t="s">
        <v>73</v>
      </c>
      <c r="B506" s="1" t="s">
        <v>432</v>
      </c>
      <c r="C506" s="1" t="s">
        <v>429</v>
      </c>
      <c r="D506" s="1" t="n">
        <v>131</v>
      </c>
      <c r="E506" s="1" t="n">
        <v>10.15</v>
      </c>
      <c r="F506" s="1" t="s">
        <v>9</v>
      </c>
    </row>
    <row collapsed="false" customFormat="false" customHeight="false" hidden="false" ht="14.75" outlineLevel="0" r="507">
      <c r="A507" s="1" t="s">
        <v>163</v>
      </c>
      <c r="B507" s="1" t="s">
        <v>433</v>
      </c>
      <c r="C507" s="1" t="s">
        <v>429</v>
      </c>
      <c r="D507" s="1" t="n">
        <v>362.2</v>
      </c>
      <c r="E507" s="1" t="n">
        <v>20.71</v>
      </c>
      <c r="F507" s="1" t="s">
        <v>9</v>
      </c>
    </row>
    <row collapsed="false" customFormat="false" customHeight="false" hidden="false" ht="14.75" outlineLevel="0" r="508">
      <c r="A508" s="1" t="s">
        <v>478</v>
      </c>
      <c r="B508" s="1" t="s">
        <v>432</v>
      </c>
      <c r="C508" s="1" t="s">
        <v>429</v>
      </c>
      <c r="D508" s="1" t="n">
        <v>401</v>
      </c>
      <c r="E508" s="1" t="n">
        <v>21.33</v>
      </c>
      <c r="F508" s="1" t="s">
        <v>9</v>
      </c>
    </row>
    <row collapsed="false" customFormat="false" customHeight="false" hidden="false" ht="14.75" outlineLevel="0" r="509">
      <c r="A509" s="1" t="s">
        <v>364</v>
      </c>
      <c r="B509" s="1" t="s">
        <v>428</v>
      </c>
      <c r="C509" s="1" t="s">
        <v>429</v>
      </c>
      <c r="D509" s="1" t="n">
        <v>378.2</v>
      </c>
      <c r="E509" s="1" t="n">
        <v>20.81</v>
      </c>
      <c r="F509" s="1" t="s">
        <v>9</v>
      </c>
    </row>
    <row collapsed="false" customFormat="false" customHeight="false" hidden="false" ht="14.75" outlineLevel="0" r="510">
      <c r="A510" s="1" t="s">
        <v>479</v>
      </c>
      <c r="B510" s="1" t="s">
        <v>446</v>
      </c>
      <c r="C510" s="1" t="s">
        <v>429</v>
      </c>
      <c r="D510" s="1" t="n">
        <v>58.75</v>
      </c>
      <c r="E510" s="1" t="n">
        <v>5.38461538461539</v>
      </c>
      <c r="F510" s="1" t="s">
        <v>9</v>
      </c>
    </row>
    <row collapsed="false" customFormat="false" customHeight="false" hidden="false" ht="14.75" outlineLevel="0" r="511">
      <c r="A511" s="1" t="s">
        <v>480</v>
      </c>
      <c r="B511" s="1" t="s">
        <v>428</v>
      </c>
      <c r="C511" s="1" t="s">
        <v>429</v>
      </c>
      <c r="D511" s="1" t="n">
        <v>249.1</v>
      </c>
      <c r="E511" s="1" t="n">
        <v>16.35</v>
      </c>
      <c r="F511" s="1" t="s">
        <v>9</v>
      </c>
    </row>
    <row collapsed="false" customFormat="false" customHeight="false" hidden="false" ht="14.75" outlineLevel="0" r="512">
      <c r="A512" s="1" t="s">
        <v>481</v>
      </c>
      <c r="B512" s="1" t="s">
        <v>428</v>
      </c>
      <c r="C512" s="1" t="s">
        <v>429</v>
      </c>
      <c r="D512" s="1" t="n">
        <v>138</v>
      </c>
      <c r="E512" s="1" t="n">
        <v>10.91</v>
      </c>
      <c r="F512" s="1" t="s">
        <v>9</v>
      </c>
    </row>
    <row collapsed="false" customFormat="false" customHeight="false" hidden="false" ht="14.75" outlineLevel="0" r="513">
      <c r="A513" s="1" t="s">
        <v>482</v>
      </c>
      <c r="B513" s="1" t="s">
        <v>428</v>
      </c>
      <c r="C513" s="1" t="s">
        <v>429</v>
      </c>
      <c r="D513" s="1" t="n">
        <v>107</v>
      </c>
      <c r="E513" s="1" t="n">
        <v>8.45</v>
      </c>
      <c r="F513" s="1" t="s">
        <v>9</v>
      </c>
    </row>
    <row collapsed="false" customFormat="false" customHeight="false" hidden="false" ht="14.75" outlineLevel="0" r="514">
      <c r="A514" s="1" t="s">
        <v>483</v>
      </c>
      <c r="B514" s="1" t="s">
        <v>432</v>
      </c>
      <c r="C514" s="1" t="s">
        <v>429</v>
      </c>
      <c r="D514" s="1" t="n">
        <v>166.7</v>
      </c>
      <c r="E514" s="1" t="n">
        <v>14.83</v>
      </c>
      <c r="F514" s="1" t="s">
        <v>9</v>
      </c>
    </row>
    <row collapsed="false" customFormat="false" customHeight="false" hidden="false" ht="14.75" outlineLevel="0" r="515">
      <c r="A515" s="1" t="s">
        <v>484</v>
      </c>
      <c r="B515" s="1" t="s">
        <v>428</v>
      </c>
      <c r="C515" s="1" t="s">
        <v>429</v>
      </c>
      <c r="D515" s="1" t="n">
        <v>52</v>
      </c>
      <c r="E515" s="1" t="n">
        <v>4.44</v>
      </c>
      <c r="F515" s="1" t="s">
        <v>9</v>
      </c>
    </row>
    <row collapsed="false" customFormat="false" customHeight="false" hidden="false" ht="14.75" outlineLevel="0" r="516">
      <c r="A516" s="1" t="s">
        <v>485</v>
      </c>
      <c r="B516" s="1" t="s">
        <v>432</v>
      </c>
      <c r="C516" s="1" t="s">
        <v>429</v>
      </c>
      <c r="D516" s="1" t="n">
        <v>149</v>
      </c>
      <c r="E516" s="1" t="n">
        <v>11.91</v>
      </c>
      <c r="F516" s="1" t="s">
        <v>9</v>
      </c>
    </row>
    <row collapsed="false" customFormat="false" customHeight="false" hidden="false" ht="14.75" outlineLevel="0" r="517">
      <c r="A517" s="1" t="s">
        <v>486</v>
      </c>
      <c r="B517" s="1" t="s">
        <v>432</v>
      </c>
      <c r="C517" s="1" t="s">
        <v>429</v>
      </c>
      <c r="D517" s="1" t="n">
        <v>72.2</v>
      </c>
      <c r="E517" s="1" t="n">
        <v>9.12</v>
      </c>
      <c r="F517" s="1" t="s">
        <v>9</v>
      </c>
    </row>
    <row collapsed="false" customFormat="false" customHeight="false" hidden="false" ht="14.75" outlineLevel="0" r="518">
      <c r="A518" s="1" t="s">
        <v>487</v>
      </c>
      <c r="B518" s="1" t="s">
        <v>440</v>
      </c>
      <c r="C518" s="1" t="s">
        <v>429</v>
      </c>
      <c r="D518" s="1" t="n">
        <v>129.5</v>
      </c>
      <c r="E518" s="1" t="n">
        <v>10.3030303030303</v>
      </c>
      <c r="F518" s="1" t="s">
        <v>9</v>
      </c>
    </row>
    <row collapsed="false" customFormat="false" customHeight="false" hidden="false" ht="14.75" outlineLevel="0" r="519">
      <c r="A519" s="1" t="s">
        <v>488</v>
      </c>
      <c r="B519" s="1" t="s">
        <v>440</v>
      </c>
      <c r="C519" s="1" t="s">
        <v>429</v>
      </c>
      <c r="D519" s="1" t="n">
        <v>51.5</v>
      </c>
      <c r="E519" s="1" t="n">
        <v>5.27777777777778</v>
      </c>
      <c r="F519" s="1" t="s">
        <v>9</v>
      </c>
    </row>
    <row collapsed="false" customFormat="false" customHeight="false" hidden="false" ht="14.75" outlineLevel="0" r="520">
      <c r="A520" s="1" t="s">
        <v>223</v>
      </c>
      <c r="B520" s="1" t="s">
        <v>446</v>
      </c>
      <c r="C520" s="1" t="s">
        <v>429</v>
      </c>
      <c r="D520" s="1" t="n">
        <v>116.111111111111</v>
      </c>
      <c r="E520" s="1" t="n">
        <v>11.3461538461538</v>
      </c>
      <c r="F520" s="1" t="s">
        <v>9</v>
      </c>
    </row>
    <row collapsed="false" customFormat="false" customHeight="false" hidden="false" ht="14.75" outlineLevel="0" r="521">
      <c r="A521" s="1" t="s">
        <v>224</v>
      </c>
      <c r="B521" s="1" t="s">
        <v>446</v>
      </c>
      <c r="C521" s="1" t="s">
        <v>429</v>
      </c>
      <c r="D521" s="1" t="n">
        <v>46.5333333333333</v>
      </c>
      <c r="E521" s="1" t="n">
        <v>5.83333333333333</v>
      </c>
      <c r="F521" s="1" t="s">
        <v>9</v>
      </c>
    </row>
    <row collapsed="false" customFormat="false" customHeight="false" hidden="false" ht="14.75" outlineLevel="0" r="522">
      <c r="A522" s="1" t="s">
        <v>225</v>
      </c>
      <c r="B522" s="1" t="s">
        <v>446</v>
      </c>
      <c r="C522" s="1" t="s">
        <v>429</v>
      </c>
      <c r="D522" s="1" t="n">
        <v>45.0222222222222</v>
      </c>
      <c r="E522" s="1" t="n">
        <v>6.29032258064516</v>
      </c>
      <c r="F522" s="1" t="s">
        <v>9</v>
      </c>
    </row>
    <row collapsed="false" customFormat="false" customHeight="false" hidden="false" ht="14.75" outlineLevel="0" r="523">
      <c r="A523" s="1" t="s">
        <v>489</v>
      </c>
      <c r="B523" s="1" t="s">
        <v>440</v>
      </c>
      <c r="C523" s="1" t="s">
        <v>429</v>
      </c>
      <c r="D523" s="1" t="n">
        <v>99</v>
      </c>
      <c r="E523" s="1" t="n">
        <v>8.42105263157895</v>
      </c>
      <c r="F523" s="1" t="s">
        <v>9</v>
      </c>
    </row>
    <row collapsed="false" customFormat="false" customHeight="false" hidden="false" ht="14.75" outlineLevel="0" r="524">
      <c r="A524" s="1" t="s">
        <v>490</v>
      </c>
      <c r="B524" s="1" t="s">
        <v>440</v>
      </c>
      <c r="C524" s="1" t="s">
        <v>429</v>
      </c>
      <c r="D524" s="1" t="n">
        <v>28</v>
      </c>
      <c r="E524" s="1" t="n">
        <v>2.5</v>
      </c>
      <c r="F524" s="1" t="s">
        <v>9</v>
      </c>
    </row>
    <row collapsed="false" customFormat="false" customHeight="false" hidden="false" ht="14.75" outlineLevel="0" r="525">
      <c r="A525" s="1" t="s">
        <v>26</v>
      </c>
      <c r="B525" s="1" t="s">
        <v>446</v>
      </c>
      <c r="C525" s="1" t="s">
        <v>429</v>
      </c>
      <c r="D525" s="1" t="n">
        <v>444.2</v>
      </c>
      <c r="E525" s="1" t="n">
        <v>25.4934210526316</v>
      </c>
      <c r="F525" s="1" t="s">
        <v>9</v>
      </c>
    </row>
    <row collapsed="false" customFormat="false" customHeight="false" hidden="false" ht="14.75" outlineLevel="0" r="526">
      <c r="A526" s="1" t="s">
        <v>491</v>
      </c>
      <c r="B526" s="1" t="s">
        <v>446</v>
      </c>
      <c r="C526" s="1" t="s">
        <v>429</v>
      </c>
      <c r="D526" s="1" t="n">
        <v>215.5</v>
      </c>
      <c r="E526" s="1" t="n">
        <v>14.8888888888889</v>
      </c>
      <c r="F526" s="1" t="s">
        <v>9</v>
      </c>
    </row>
    <row collapsed="false" customFormat="false" customHeight="false" hidden="false" ht="14.75" outlineLevel="0" r="527">
      <c r="A527" s="1" t="s">
        <v>492</v>
      </c>
      <c r="B527" s="1" t="s">
        <v>446</v>
      </c>
      <c r="C527" s="1" t="s">
        <v>429</v>
      </c>
      <c r="D527" s="1" t="n">
        <v>329.2</v>
      </c>
      <c r="E527" s="1" t="n">
        <v>20.037037037037</v>
      </c>
      <c r="F527" s="1" t="s">
        <v>9</v>
      </c>
    </row>
    <row collapsed="false" customFormat="false" customHeight="false" hidden="false" ht="14.75" outlineLevel="0" r="528">
      <c r="A528" s="1" t="s">
        <v>493</v>
      </c>
      <c r="B528" s="1" t="s">
        <v>446</v>
      </c>
      <c r="C528" s="1" t="s">
        <v>429</v>
      </c>
      <c r="D528" s="1" t="n">
        <v>97.2444444444445</v>
      </c>
      <c r="E528" s="1" t="n">
        <v>10.2127659574468</v>
      </c>
      <c r="F528" s="1" t="s">
        <v>9</v>
      </c>
    </row>
    <row collapsed="false" customFormat="false" customHeight="false" hidden="false" ht="14.75" outlineLevel="0" r="529">
      <c r="A529" s="1" t="s">
        <v>400</v>
      </c>
      <c r="B529" s="1" t="s">
        <v>446</v>
      </c>
      <c r="C529" s="1" t="s">
        <v>429</v>
      </c>
      <c r="D529" s="1" t="n">
        <v>205.015384615385</v>
      </c>
      <c r="E529" s="1" t="n">
        <v>17.0588235294118</v>
      </c>
      <c r="F529" s="1" t="s">
        <v>9</v>
      </c>
    </row>
    <row collapsed="false" customFormat="false" customHeight="false" hidden="false" ht="14.75" outlineLevel="0" r="530">
      <c r="A530" s="1" t="s">
        <v>401</v>
      </c>
      <c r="B530" s="1" t="s">
        <v>446</v>
      </c>
      <c r="C530" s="1" t="s">
        <v>429</v>
      </c>
      <c r="D530" s="1" t="n">
        <v>171.892307692308</v>
      </c>
      <c r="E530" s="1" t="n">
        <v>15.1086956521739</v>
      </c>
      <c r="F530" s="1" t="s">
        <v>9</v>
      </c>
    </row>
    <row collapsed="false" customFormat="false" customHeight="false" hidden="false" ht="14.75" outlineLevel="0" r="531">
      <c r="A531" s="1" t="s">
        <v>494</v>
      </c>
      <c r="B531" s="1" t="s">
        <v>446</v>
      </c>
      <c r="C531" s="1" t="s">
        <v>429</v>
      </c>
      <c r="D531" s="1" t="n">
        <v>96</v>
      </c>
      <c r="E531" s="1" t="n">
        <v>10.5882352941176</v>
      </c>
      <c r="F531" s="1" t="s">
        <v>9</v>
      </c>
    </row>
    <row collapsed="false" customFormat="false" customHeight="false" hidden="false" ht="14.75" outlineLevel="0" r="532">
      <c r="A532" s="1" t="s">
        <v>495</v>
      </c>
      <c r="B532" s="1" t="s">
        <v>446</v>
      </c>
      <c r="C532" s="1" t="s">
        <v>429</v>
      </c>
      <c r="D532" s="1" t="n">
        <v>76</v>
      </c>
      <c r="E532" s="1" t="n">
        <v>8.75</v>
      </c>
      <c r="F532" s="1" t="s">
        <v>9</v>
      </c>
    </row>
    <row collapsed="false" customFormat="false" customHeight="false" hidden="false" ht="14.75" outlineLevel="0" r="533">
      <c r="A533" s="1" t="s">
        <v>496</v>
      </c>
      <c r="B533" s="1" t="s">
        <v>446</v>
      </c>
      <c r="C533" s="1" t="s">
        <v>429</v>
      </c>
      <c r="D533" s="1" t="n">
        <v>44.4666666666667</v>
      </c>
      <c r="E533" s="1" t="n">
        <v>8.26086956521739</v>
      </c>
      <c r="F533" s="1" t="s">
        <v>9</v>
      </c>
    </row>
    <row collapsed="false" customFormat="false" customHeight="false" hidden="false" ht="14.75" outlineLevel="0" r="534">
      <c r="A534" s="1" t="s">
        <v>497</v>
      </c>
      <c r="B534" s="1" t="s">
        <v>446</v>
      </c>
      <c r="C534" s="1" t="s">
        <v>429</v>
      </c>
      <c r="D534" s="1" t="n">
        <v>120.022222222222</v>
      </c>
      <c r="E534" s="1" t="n">
        <v>9.47368421052632</v>
      </c>
      <c r="F534" s="1" t="s">
        <v>9</v>
      </c>
    </row>
    <row collapsed="false" customFormat="false" customHeight="false" hidden="false" ht="14.75" outlineLevel="0" r="535">
      <c r="A535" s="1" t="s">
        <v>498</v>
      </c>
      <c r="B535" s="1" t="s">
        <v>446</v>
      </c>
      <c r="C535" s="1" t="s">
        <v>429</v>
      </c>
      <c r="D535" s="1" t="n">
        <v>52.2</v>
      </c>
      <c r="E535" s="1" t="n">
        <v>7.77777777777778</v>
      </c>
      <c r="F535" s="1" t="s">
        <v>9</v>
      </c>
    </row>
    <row collapsed="false" customFormat="false" customHeight="false" hidden="false" ht="14.75" outlineLevel="0" r="536">
      <c r="A536" s="1" t="s">
        <v>178</v>
      </c>
      <c r="B536" s="1" t="s">
        <v>433</v>
      </c>
      <c r="C536" s="1" t="s">
        <v>429</v>
      </c>
      <c r="D536" s="1" t="n">
        <v>267.2</v>
      </c>
      <c r="E536" s="1" t="n">
        <v>16.78</v>
      </c>
      <c r="F536" s="1" t="s">
        <v>9</v>
      </c>
    </row>
    <row collapsed="false" customFormat="false" customHeight="false" hidden="false" ht="14.75" outlineLevel="0" r="537">
      <c r="A537" s="1" t="s">
        <v>179</v>
      </c>
      <c r="B537" s="1" t="s">
        <v>433</v>
      </c>
      <c r="C537" s="1" t="s">
        <v>429</v>
      </c>
      <c r="D537" s="1" t="n">
        <v>169.4</v>
      </c>
      <c r="E537" s="1" t="n">
        <v>13.27</v>
      </c>
      <c r="F537" s="1" t="s">
        <v>9</v>
      </c>
    </row>
    <row collapsed="false" customFormat="false" customHeight="false" hidden="false" ht="14.75" outlineLevel="0" r="538">
      <c r="A538" s="1" t="s">
        <v>32</v>
      </c>
      <c r="B538" s="1" t="s">
        <v>446</v>
      </c>
      <c r="C538" s="1" t="s">
        <v>429</v>
      </c>
      <c r="D538" s="1" t="n">
        <v>448.733333333333</v>
      </c>
      <c r="E538" s="1" t="n">
        <v>25.5128205128205</v>
      </c>
      <c r="F538" s="1" t="s">
        <v>9</v>
      </c>
    </row>
    <row collapsed="false" customFormat="false" customHeight="false" hidden="false" ht="14.75" outlineLevel="0" r="539">
      <c r="A539" s="1" t="s">
        <v>499</v>
      </c>
      <c r="B539" s="1" t="s">
        <v>440</v>
      </c>
      <c r="C539" s="1" t="s">
        <v>429</v>
      </c>
      <c r="D539" s="1" t="n">
        <v>199</v>
      </c>
      <c r="E539" s="1" t="n">
        <v>12.5531914893617</v>
      </c>
      <c r="F539" s="1" t="s">
        <v>9</v>
      </c>
    </row>
    <row collapsed="false" customFormat="false" customHeight="false" hidden="false" ht="14.75" outlineLevel="0" r="540">
      <c r="A540" s="1" t="s">
        <v>500</v>
      </c>
      <c r="B540" s="1" t="s">
        <v>446</v>
      </c>
      <c r="C540" s="1" t="s">
        <v>429</v>
      </c>
      <c r="D540" s="1" t="n">
        <v>362.066666666667</v>
      </c>
      <c r="E540" s="1" t="n">
        <v>21.8705035971223</v>
      </c>
      <c r="F540" s="1" t="s">
        <v>9</v>
      </c>
    </row>
    <row collapsed="false" customFormat="false" customHeight="false" hidden="false" ht="14.75" outlineLevel="0" r="541">
      <c r="A541" s="1" t="s">
        <v>190</v>
      </c>
      <c r="B541" s="1" t="s">
        <v>433</v>
      </c>
      <c r="C541" s="1" t="s">
        <v>429</v>
      </c>
      <c r="D541" s="1" t="n">
        <v>178.3</v>
      </c>
      <c r="E541" s="1" t="n">
        <v>14.29</v>
      </c>
      <c r="F541" s="1" t="s">
        <v>9</v>
      </c>
    </row>
    <row collapsed="false" customFormat="false" customHeight="false" hidden="false" ht="14.75" outlineLevel="0" r="542">
      <c r="A542" s="1" t="s">
        <v>191</v>
      </c>
      <c r="B542" s="1" t="s">
        <v>433</v>
      </c>
      <c r="C542" s="1" t="s">
        <v>429</v>
      </c>
      <c r="D542" s="1" t="n">
        <v>112.2</v>
      </c>
      <c r="E542" s="1" t="n">
        <v>9.02</v>
      </c>
      <c r="F542" s="1" t="s">
        <v>9</v>
      </c>
    </row>
    <row collapsed="false" customFormat="false" customHeight="false" hidden="false" ht="14.75" outlineLevel="0" r="543">
      <c r="A543" s="1" t="s">
        <v>230</v>
      </c>
      <c r="B543" s="1" t="s">
        <v>428</v>
      </c>
      <c r="C543" s="1" t="s">
        <v>429</v>
      </c>
      <c r="D543" s="1" t="n">
        <v>169</v>
      </c>
      <c r="E543" s="1" t="n">
        <v>10.36</v>
      </c>
      <c r="F543" s="1" t="s">
        <v>9</v>
      </c>
    </row>
    <row collapsed="false" customFormat="false" customHeight="false" hidden="false" ht="14.75" outlineLevel="0" r="544">
      <c r="A544" s="1" t="s">
        <v>231</v>
      </c>
      <c r="B544" s="1" t="s">
        <v>428</v>
      </c>
      <c r="C544" s="1" t="s">
        <v>429</v>
      </c>
      <c r="D544" s="1" t="n">
        <v>90</v>
      </c>
      <c r="E544" s="1" t="n">
        <v>9.15</v>
      </c>
      <c r="F544" s="1" t="s">
        <v>9</v>
      </c>
    </row>
    <row collapsed="false" customFormat="false" customHeight="false" hidden="false" ht="14.75" outlineLevel="0" r="545">
      <c r="A545" s="1" t="s">
        <v>232</v>
      </c>
      <c r="B545" s="1" t="s">
        <v>428</v>
      </c>
      <c r="C545" s="1" t="s">
        <v>429</v>
      </c>
      <c r="D545" s="1" t="n">
        <v>55</v>
      </c>
      <c r="E545" s="1" t="n">
        <v>4.47</v>
      </c>
      <c r="F545" s="1" t="s">
        <v>9</v>
      </c>
    </row>
    <row collapsed="false" customFormat="false" customHeight="false" hidden="false" ht="14.75" outlineLevel="0" r="546">
      <c r="A546" s="1" t="s">
        <v>233</v>
      </c>
      <c r="B546" s="1" t="s">
        <v>428</v>
      </c>
      <c r="C546" s="1" t="s">
        <v>429</v>
      </c>
      <c r="D546" s="1" t="n">
        <v>43</v>
      </c>
      <c r="E546" s="1" t="n">
        <v>3.87</v>
      </c>
      <c r="F546" s="1" t="s">
        <v>9</v>
      </c>
    </row>
    <row collapsed="false" customFormat="false" customHeight="false" hidden="false" ht="14.75" outlineLevel="0" r="547">
      <c r="A547" s="1" t="s">
        <v>501</v>
      </c>
      <c r="B547" s="1" t="s">
        <v>432</v>
      </c>
      <c r="C547" s="1" t="s">
        <v>429</v>
      </c>
      <c r="D547" s="1" t="n">
        <v>118</v>
      </c>
      <c r="E547" s="1" t="n">
        <v>12.69</v>
      </c>
      <c r="F547" s="1" t="s">
        <v>9</v>
      </c>
    </row>
    <row collapsed="false" customFormat="false" customHeight="false" hidden="false" ht="14.75" outlineLevel="0" r="548">
      <c r="A548" s="1" t="s">
        <v>502</v>
      </c>
      <c r="B548" s="1" t="s">
        <v>433</v>
      </c>
      <c r="C548" s="1" t="s">
        <v>429</v>
      </c>
      <c r="D548" s="1" t="n">
        <v>248.3</v>
      </c>
      <c r="E548" s="1" t="n">
        <v>16.28</v>
      </c>
      <c r="F548" s="1" t="s">
        <v>9</v>
      </c>
    </row>
    <row collapsed="false" customFormat="false" customHeight="false" hidden="false" ht="14.75" outlineLevel="0" r="549">
      <c r="A549" s="1" t="s">
        <v>503</v>
      </c>
      <c r="B549" s="1" t="s">
        <v>433</v>
      </c>
      <c r="C549" s="1" t="s">
        <v>429</v>
      </c>
      <c r="D549" s="1" t="n">
        <v>37.2</v>
      </c>
      <c r="E549" s="1" t="n">
        <v>6.67</v>
      </c>
      <c r="F549" s="1" t="s">
        <v>9</v>
      </c>
    </row>
    <row collapsed="false" customFormat="false" customHeight="false" hidden="false" ht="14.75" outlineLevel="0" r="550">
      <c r="A550" s="1" t="s">
        <v>504</v>
      </c>
      <c r="B550" s="1" t="s">
        <v>505</v>
      </c>
      <c r="C550" s="1" t="s">
        <v>506</v>
      </c>
      <c r="D550" s="1" t="n">
        <v>243.366666666667</v>
      </c>
      <c r="E550" s="1" t="n">
        <v>14.1333333333333</v>
      </c>
      <c r="F550" s="1" t="n">
        <v>2.22222222222222</v>
      </c>
    </row>
    <row collapsed="false" customFormat="false" customHeight="false" hidden="false" ht="14.75" outlineLevel="0" r="551">
      <c r="A551" s="1" t="s">
        <v>507</v>
      </c>
      <c r="B551" s="1" t="s">
        <v>508</v>
      </c>
      <c r="C551" s="1" t="s">
        <v>506</v>
      </c>
      <c r="D551" s="1" t="n">
        <v>36</v>
      </c>
      <c r="E551" s="1" t="n">
        <v>6.36</v>
      </c>
      <c r="F551" s="1" t="n">
        <f aca="false">2/5</f>
        <v>0.4</v>
      </c>
    </row>
    <row collapsed="false" customFormat="false" customHeight="false" hidden="false" ht="14.75" outlineLevel="0" r="552">
      <c r="A552" s="1" t="s">
        <v>509</v>
      </c>
      <c r="B552" s="1" t="s">
        <v>510</v>
      </c>
      <c r="C552" s="1" t="s">
        <v>506</v>
      </c>
      <c r="D552" s="1" t="n">
        <v>237.2</v>
      </c>
      <c r="E552" s="1" t="n">
        <v>17.27</v>
      </c>
      <c r="F552" s="1" t="n">
        <f aca="false">31/9</f>
        <v>3.44444444444444</v>
      </c>
    </row>
    <row collapsed="false" customFormat="false" customHeight="false" hidden="false" ht="14.75" outlineLevel="0" r="553">
      <c r="A553" s="1" t="s">
        <v>511</v>
      </c>
      <c r="B553" s="1" t="s">
        <v>510</v>
      </c>
      <c r="C553" s="1" t="s">
        <v>506</v>
      </c>
      <c r="D553" s="1" t="n">
        <v>148.1</v>
      </c>
      <c r="E553" s="1" t="n">
        <v>10.55</v>
      </c>
      <c r="F553" s="1" t="n">
        <f aca="false">20/8</f>
        <v>2.5</v>
      </c>
    </row>
    <row collapsed="false" customFormat="false" customHeight="false" hidden="false" ht="14.75" outlineLevel="0" r="554">
      <c r="A554" s="1" t="s">
        <v>512</v>
      </c>
      <c r="B554" s="1" t="s">
        <v>510</v>
      </c>
      <c r="C554" s="1" t="s">
        <v>506</v>
      </c>
      <c r="D554" s="1" t="n">
        <v>82.1</v>
      </c>
      <c r="E554" s="1" t="n">
        <v>8.87</v>
      </c>
      <c r="F554" s="1" t="n">
        <f aca="false">5/7</f>
        <v>0.714285714285714</v>
      </c>
    </row>
    <row collapsed="false" customFormat="false" customHeight="false" hidden="false" ht="14.75" outlineLevel="0" r="555">
      <c r="A555" s="1" t="s">
        <v>513</v>
      </c>
      <c r="B555" s="1" t="s">
        <v>510</v>
      </c>
      <c r="C555" s="1" t="s">
        <v>506</v>
      </c>
      <c r="D555" s="1" t="n">
        <v>307.5</v>
      </c>
      <c r="E555" s="1" t="n">
        <v>20.26</v>
      </c>
      <c r="F555" s="1" t="n">
        <v>5.5</v>
      </c>
    </row>
    <row collapsed="false" customFormat="false" customHeight="false" hidden="false" ht="14.75" outlineLevel="0" r="556">
      <c r="A556" s="1" t="s">
        <v>514</v>
      </c>
      <c r="B556" s="1" t="s">
        <v>510</v>
      </c>
      <c r="C556" s="1" t="s">
        <v>506</v>
      </c>
      <c r="D556" s="1" t="n">
        <v>132.5</v>
      </c>
      <c r="E556" s="1" t="n">
        <v>10.78</v>
      </c>
      <c r="F556" s="1" t="n">
        <f aca="false">14/8</f>
        <v>1.75</v>
      </c>
    </row>
    <row collapsed="false" customFormat="false" customHeight="false" hidden="false" ht="14.75" outlineLevel="0" r="557">
      <c r="A557" s="1" t="s">
        <v>515</v>
      </c>
      <c r="B557" s="1" t="s">
        <v>510</v>
      </c>
      <c r="C557" s="1" t="s">
        <v>506</v>
      </c>
      <c r="D557" s="1" t="n">
        <v>257.2</v>
      </c>
      <c r="E557" s="1" t="n">
        <v>14.84</v>
      </c>
      <c r="F557" s="1" t="n">
        <f aca="false">26/9</f>
        <v>2.88888888888889</v>
      </c>
    </row>
    <row collapsed="false" customFormat="false" customHeight="false" hidden="false" ht="14.75" outlineLevel="0" r="558">
      <c r="A558" s="1" t="s">
        <v>437</v>
      </c>
      <c r="B558" s="1" t="s">
        <v>516</v>
      </c>
      <c r="C558" s="1" t="s">
        <v>506</v>
      </c>
      <c r="D558" s="1" t="n">
        <v>406.8</v>
      </c>
      <c r="E558" s="1" t="n">
        <v>22.37</v>
      </c>
      <c r="F558" s="1" t="n">
        <f aca="false">73/11</f>
        <v>6.63636363636364</v>
      </c>
    </row>
    <row collapsed="false" customFormat="false" customHeight="false" hidden="false" ht="14.75" outlineLevel="0" r="559">
      <c r="A559" s="1" t="s">
        <v>517</v>
      </c>
      <c r="B559" s="1" t="s">
        <v>518</v>
      </c>
      <c r="C559" s="1" t="s">
        <v>506</v>
      </c>
      <c r="D559" s="1" t="n">
        <v>128</v>
      </c>
      <c r="E559" s="1" t="n">
        <v>10.81</v>
      </c>
      <c r="F559" s="1" t="n">
        <v>0.6</v>
      </c>
    </row>
    <row collapsed="false" customFormat="false" customHeight="false" hidden="false" ht="14.75" outlineLevel="0" r="560">
      <c r="A560" s="1" t="s">
        <v>519</v>
      </c>
      <c r="B560" s="1" t="s">
        <v>505</v>
      </c>
      <c r="C560" s="1" t="s">
        <v>506</v>
      </c>
      <c r="D560" s="1" t="n">
        <v>212.8</v>
      </c>
      <c r="E560" s="1" t="n">
        <v>12.9411764705882</v>
      </c>
      <c r="F560" s="1" t="n">
        <v>2.33333333333333</v>
      </c>
    </row>
    <row collapsed="false" customFormat="false" customHeight="false" hidden="false" ht="14.75" outlineLevel="0" r="561">
      <c r="A561" s="1" t="s">
        <v>520</v>
      </c>
      <c r="B561" s="1" t="s">
        <v>521</v>
      </c>
      <c r="C561" s="1" t="s">
        <v>506</v>
      </c>
      <c r="D561" s="1" t="n">
        <v>244.4</v>
      </c>
      <c r="E561" s="1" t="n">
        <v>19.79</v>
      </c>
      <c r="F561" s="1" t="n">
        <f aca="false">36/9</f>
        <v>4</v>
      </c>
    </row>
    <row collapsed="false" customFormat="false" customHeight="false" hidden="false" ht="14.75" outlineLevel="0" r="562">
      <c r="A562" s="1" t="s">
        <v>522</v>
      </c>
      <c r="B562" s="1" t="s">
        <v>521</v>
      </c>
      <c r="C562" s="1" t="s">
        <v>506</v>
      </c>
      <c r="D562" s="1" t="n">
        <v>117.8</v>
      </c>
      <c r="E562" s="1" t="n">
        <v>12.67</v>
      </c>
      <c r="F562" s="1" t="n">
        <f aca="false">15/9</f>
        <v>1.66666666666667</v>
      </c>
    </row>
    <row collapsed="false" customFormat="false" customHeight="false" hidden="false" ht="14.75" outlineLevel="0" r="563">
      <c r="A563" s="1" t="s">
        <v>523</v>
      </c>
      <c r="B563" s="1" t="s">
        <v>508</v>
      </c>
      <c r="C563" s="1" t="s">
        <v>506</v>
      </c>
      <c r="D563" s="1" t="n">
        <v>469</v>
      </c>
      <c r="E563" s="1" t="n">
        <v>19.51</v>
      </c>
      <c r="F563" s="1" t="n">
        <f aca="false">53/5</f>
        <v>10.6</v>
      </c>
    </row>
    <row collapsed="false" customFormat="false" customHeight="false" hidden="false" ht="14.75" outlineLevel="0" r="564">
      <c r="A564" s="1" t="s">
        <v>524</v>
      </c>
      <c r="B564" s="1" t="s">
        <v>508</v>
      </c>
      <c r="C564" s="1" t="s">
        <v>506</v>
      </c>
      <c r="D564" s="1" t="n">
        <v>158</v>
      </c>
      <c r="E564" s="1" t="n">
        <v>14.84</v>
      </c>
      <c r="F564" s="1" t="n">
        <v>2</v>
      </c>
    </row>
    <row collapsed="false" customFormat="false" customHeight="false" hidden="false" ht="14.75" outlineLevel="0" r="565">
      <c r="A565" s="1" t="s">
        <v>300</v>
      </c>
      <c r="B565" s="1" t="s">
        <v>516</v>
      </c>
      <c r="C565" s="1" t="s">
        <v>506</v>
      </c>
      <c r="D565" s="1" t="n">
        <v>469.1</v>
      </c>
      <c r="E565" s="1" t="n">
        <v>20.99</v>
      </c>
      <c r="F565" s="1" t="n">
        <f aca="false">84/11</f>
        <v>7.63636363636364</v>
      </c>
    </row>
    <row collapsed="false" customFormat="false" customHeight="false" hidden="false" ht="14.75" outlineLevel="0" r="566">
      <c r="A566" s="1" t="s">
        <v>301</v>
      </c>
      <c r="B566" s="1" t="s">
        <v>516</v>
      </c>
      <c r="C566" s="1" t="s">
        <v>506</v>
      </c>
      <c r="D566" s="1" t="n">
        <v>50.9</v>
      </c>
      <c r="E566" s="1" t="n">
        <v>4.52</v>
      </c>
      <c r="F566" s="1" t="n">
        <f aca="false">2/11</f>
        <v>0.181818181818182</v>
      </c>
    </row>
    <row collapsed="false" customFormat="false" customHeight="false" hidden="false" ht="14.75" outlineLevel="0" r="567">
      <c r="A567" s="1" t="s">
        <v>302</v>
      </c>
      <c r="B567" s="1" t="s">
        <v>508</v>
      </c>
      <c r="C567" s="1" t="s">
        <v>506</v>
      </c>
      <c r="D567" s="1" t="n">
        <v>256</v>
      </c>
      <c r="E567" s="1" t="n">
        <v>16.3</v>
      </c>
      <c r="F567" s="1" t="n">
        <f aca="false">19/5</f>
        <v>3.8</v>
      </c>
    </row>
    <row collapsed="false" customFormat="false" customHeight="false" hidden="false" ht="14.75" outlineLevel="0" r="568">
      <c r="A568" s="1" t="s">
        <v>525</v>
      </c>
      <c r="B568" s="1" t="s">
        <v>521</v>
      </c>
      <c r="C568" s="1" t="s">
        <v>506</v>
      </c>
      <c r="D568" s="1" t="n">
        <v>351</v>
      </c>
      <c r="E568" s="1" t="n">
        <v>21.76</v>
      </c>
      <c r="F568" s="1" t="n">
        <v>5.3</v>
      </c>
    </row>
    <row collapsed="false" customFormat="false" customHeight="false" hidden="false" ht="14.75" outlineLevel="0" r="569">
      <c r="A569" s="1" t="s">
        <v>303</v>
      </c>
      <c r="B569" s="1" t="s">
        <v>516</v>
      </c>
      <c r="C569" s="1" t="s">
        <v>506</v>
      </c>
      <c r="D569" s="1" t="n">
        <v>490</v>
      </c>
      <c r="E569" s="1" t="n">
        <v>24.73</v>
      </c>
      <c r="F569" s="1" t="n">
        <f aca="false">98/11</f>
        <v>8.90909090909091</v>
      </c>
    </row>
    <row collapsed="false" customFormat="false" customHeight="false" hidden="false" ht="14.75" outlineLevel="0" r="570">
      <c r="A570" s="1" t="s">
        <v>526</v>
      </c>
      <c r="B570" s="1" t="s">
        <v>521</v>
      </c>
      <c r="C570" s="1" t="s">
        <v>506</v>
      </c>
      <c r="D570" s="1" t="n">
        <v>218.3</v>
      </c>
      <c r="E570" s="1" t="n">
        <v>17.04</v>
      </c>
      <c r="F570" s="1" t="n">
        <f aca="false">20/9</f>
        <v>2.22222222222222</v>
      </c>
    </row>
    <row collapsed="false" customFormat="false" customHeight="false" hidden="false" ht="14.75" outlineLevel="0" r="571">
      <c r="A571" s="1" t="s">
        <v>527</v>
      </c>
      <c r="B571" s="1" t="s">
        <v>521</v>
      </c>
      <c r="C571" s="1" t="s">
        <v>506</v>
      </c>
      <c r="D571" s="1" t="n">
        <v>135</v>
      </c>
      <c r="E571" s="1" t="n">
        <v>13.22</v>
      </c>
      <c r="F571" s="1" t="n">
        <v>1.4</v>
      </c>
    </row>
    <row collapsed="false" customFormat="false" customHeight="false" hidden="false" ht="14.75" outlineLevel="0" r="572">
      <c r="A572" s="1" t="s">
        <v>103</v>
      </c>
      <c r="B572" s="1" t="s">
        <v>508</v>
      </c>
      <c r="C572" s="1" t="s">
        <v>506</v>
      </c>
      <c r="D572" s="1" t="n">
        <v>265</v>
      </c>
      <c r="E572" s="1" t="n">
        <v>15.6</v>
      </c>
      <c r="F572" s="1" t="n">
        <f aca="false">22/5</f>
        <v>4.4</v>
      </c>
    </row>
    <row collapsed="false" customFormat="false" customHeight="false" hidden="false" ht="14.75" outlineLevel="0" r="573">
      <c r="A573" s="1" t="s">
        <v>104</v>
      </c>
      <c r="B573" s="1" t="s">
        <v>508</v>
      </c>
      <c r="C573" s="1" t="s">
        <v>506</v>
      </c>
      <c r="D573" s="1" t="n">
        <v>183</v>
      </c>
      <c r="E573" s="1" t="n">
        <v>12.38</v>
      </c>
      <c r="F573" s="1" t="n">
        <f aca="false">16/5</f>
        <v>3.2</v>
      </c>
    </row>
    <row collapsed="false" customFormat="false" customHeight="false" hidden="false" ht="14.75" outlineLevel="0" r="574">
      <c r="A574" s="1" t="s">
        <v>528</v>
      </c>
      <c r="B574" s="1" t="s">
        <v>529</v>
      </c>
      <c r="C574" s="1" t="s">
        <v>506</v>
      </c>
      <c r="D574" s="1" t="n">
        <v>158</v>
      </c>
      <c r="E574" s="1" t="n">
        <v>9.38461538461539</v>
      </c>
      <c r="F574" s="1" t="n">
        <v>0.6</v>
      </c>
    </row>
    <row collapsed="false" customFormat="false" customHeight="false" hidden="false" ht="14.75" outlineLevel="0" r="575">
      <c r="A575" s="1" t="s">
        <v>530</v>
      </c>
      <c r="B575" s="1" t="s">
        <v>508</v>
      </c>
      <c r="C575" s="1" t="s">
        <v>506</v>
      </c>
      <c r="D575" s="1" t="n">
        <v>165</v>
      </c>
      <c r="E575" s="1" t="n">
        <v>11.58</v>
      </c>
      <c r="F575" s="1" t="n">
        <f aca="false">8/5</f>
        <v>1.6</v>
      </c>
    </row>
    <row collapsed="false" customFormat="false" customHeight="false" hidden="false" ht="14.75" outlineLevel="0" r="576">
      <c r="A576" s="1" t="s">
        <v>531</v>
      </c>
      <c r="B576" s="1" t="s">
        <v>508</v>
      </c>
      <c r="C576" s="1" t="s">
        <v>506</v>
      </c>
      <c r="D576" s="1" t="n">
        <v>38</v>
      </c>
      <c r="E576" s="1" t="n">
        <v>9.09</v>
      </c>
      <c r="F576" s="1" t="n">
        <f aca="false">1/5</f>
        <v>0.2</v>
      </c>
    </row>
    <row collapsed="false" customFormat="false" customHeight="false" hidden="false" ht="14.75" outlineLevel="0" r="577">
      <c r="A577" s="1" t="s">
        <v>532</v>
      </c>
      <c r="B577" s="1" t="s">
        <v>533</v>
      </c>
      <c r="C577" s="1" t="s">
        <v>506</v>
      </c>
      <c r="D577" s="1" t="n">
        <v>168.3</v>
      </c>
      <c r="E577" s="1" t="n">
        <v>14.63</v>
      </c>
      <c r="F577" s="1" t="n">
        <f aca="false">14/6</f>
        <v>2.33333333333333</v>
      </c>
    </row>
    <row collapsed="false" customFormat="false" customHeight="false" hidden="false" ht="14.75" outlineLevel="0" r="578">
      <c r="A578" s="1" t="s">
        <v>534</v>
      </c>
      <c r="B578" s="1" t="s">
        <v>516</v>
      </c>
      <c r="C578" s="1" t="s">
        <v>506</v>
      </c>
      <c r="D578" s="1" t="n">
        <v>65.5</v>
      </c>
      <c r="E578" s="1" t="n">
        <v>4.52</v>
      </c>
      <c r="F578" s="1" t="n">
        <f aca="false">10/11</f>
        <v>0.909090909090909</v>
      </c>
    </row>
    <row collapsed="false" customFormat="false" customHeight="false" hidden="false" ht="14.75" outlineLevel="0" r="579">
      <c r="A579" s="1" t="s">
        <v>10</v>
      </c>
      <c r="B579" s="1" t="s">
        <v>510</v>
      </c>
      <c r="C579" s="1" t="s">
        <v>506</v>
      </c>
      <c r="D579" s="1" t="n">
        <v>60</v>
      </c>
      <c r="E579" s="1" t="n">
        <v>12.37</v>
      </c>
      <c r="F579" s="1" t="n">
        <f aca="false">3/7</f>
        <v>0.428571428571429</v>
      </c>
    </row>
    <row collapsed="false" customFormat="false" customHeight="false" hidden="false" ht="14.75" outlineLevel="0" r="580">
      <c r="A580" s="1" t="s">
        <v>312</v>
      </c>
      <c r="B580" s="1" t="s">
        <v>529</v>
      </c>
      <c r="C580" s="1" t="s">
        <v>506</v>
      </c>
      <c r="D580" s="1" t="n">
        <v>258</v>
      </c>
      <c r="E580" s="1" t="n">
        <v>14.1772151898734</v>
      </c>
      <c r="F580" s="1" t="n">
        <v>3.1</v>
      </c>
    </row>
    <row collapsed="false" customFormat="false" customHeight="false" hidden="false" ht="14.75" outlineLevel="0" r="581">
      <c r="A581" s="1" t="s">
        <v>314</v>
      </c>
      <c r="B581" s="1" t="s">
        <v>529</v>
      </c>
      <c r="C581" s="1" t="s">
        <v>506</v>
      </c>
      <c r="D581" s="1" t="n">
        <v>169</v>
      </c>
      <c r="E581" s="1" t="n">
        <v>9.84375</v>
      </c>
      <c r="F581" s="1" t="n">
        <v>1.4</v>
      </c>
    </row>
    <row collapsed="false" customFormat="false" customHeight="false" hidden="false" ht="14.75" outlineLevel="0" r="582">
      <c r="A582" s="1" t="s">
        <v>535</v>
      </c>
      <c r="B582" s="1" t="s">
        <v>510</v>
      </c>
      <c r="C582" s="1" t="s">
        <v>506</v>
      </c>
      <c r="D582" s="1" t="n">
        <v>454.6</v>
      </c>
      <c r="E582" s="1" t="n">
        <v>23.64</v>
      </c>
      <c r="F582" s="1" t="n">
        <f aca="false">86/12</f>
        <v>7.16666666666667</v>
      </c>
    </row>
    <row collapsed="false" customFormat="false" customHeight="false" hidden="false" ht="14.75" outlineLevel="0" r="583">
      <c r="A583" s="1" t="s">
        <v>536</v>
      </c>
      <c r="B583" s="1" t="s">
        <v>510</v>
      </c>
      <c r="C583" s="1" t="s">
        <v>506</v>
      </c>
      <c r="D583" s="1" t="n">
        <v>274.4</v>
      </c>
      <c r="E583" s="1" t="n">
        <v>17.47</v>
      </c>
      <c r="F583" s="1" t="n">
        <f aca="false">34/9</f>
        <v>3.77777777777778</v>
      </c>
    </row>
    <row collapsed="false" customFormat="false" customHeight="false" hidden="false" ht="14.75" outlineLevel="0" r="584">
      <c r="A584" s="1" t="s">
        <v>537</v>
      </c>
      <c r="B584" s="1" t="s">
        <v>518</v>
      </c>
      <c r="C584" s="1" t="s">
        <v>506</v>
      </c>
      <c r="D584" s="1" t="n">
        <v>224</v>
      </c>
      <c r="E584" s="1" t="n">
        <v>14.6</v>
      </c>
      <c r="F584" s="1" t="n">
        <v>3.3</v>
      </c>
    </row>
    <row collapsed="false" customFormat="false" customHeight="false" hidden="false" ht="14.75" outlineLevel="0" r="585">
      <c r="A585" s="1" t="s">
        <v>538</v>
      </c>
      <c r="B585" s="1" t="s">
        <v>518</v>
      </c>
      <c r="C585" s="1" t="s">
        <v>506</v>
      </c>
      <c r="D585" s="1" t="n">
        <v>224</v>
      </c>
      <c r="E585" s="1" t="n">
        <v>15.06</v>
      </c>
      <c r="F585" s="1" t="n">
        <v>2.7</v>
      </c>
    </row>
    <row collapsed="false" customFormat="false" customHeight="false" hidden="false" ht="14.75" outlineLevel="0" r="586">
      <c r="A586" s="1" t="s">
        <v>539</v>
      </c>
      <c r="B586" s="1" t="s">
        <v>529</v>
      </c>
      <c r="C586" s="1" t="s">
        <v>506</v>
      </c>
      <c r="D586" s="1" t="n">
        <v>239</v>
      </c>
      <c r="E586" s="1" t="n">
        <v>12</v>
      </c>
      <c r="F586" s="1" t="n">
        <v>1.5</v>
      </c>
    </row>
    <row collapsed="false" customFormat="false" customHeight="false" hidden="false" ht="14.75" outlineLevel="0" r="587">
      <c r="A587" s="1" t="s">
        <v>540</v>
      </c>
      <c r="B587" s="1" t="s">
        <v>505</v>
      </c>
      <c r="C587" s="1" t="s">
        <v>506</v>
      </c>
      <c r="D587" s="1" t="n">
        <v>274.527272727273</v>
      </c>
      <c r="E587" s="1" t="n">
        <v>18.7209302325581</v>
      </c>
      <c r="F587" s="1" t="n">
        <v>2.72727272727273</v>
      </c>
    </row>
    <row collapsed="false" customFormat="false" customHeight="false" hidden="false" ht="14.75" outlineLevel="0" r="588">
      <c r="A588" s="1" t="s">
        <v>204</v>
      </c>
      <c r="B588" s="1" t="s">
        <v>518</v>
      </c>
      <c r="C588" s="1" t="s">
        <v>506</v>
      </c>
      <c r="D588" s="1" t="n">
        <v>585.5</v>
      </c>
      <c r="E588" s="1" t="n">
        <v>24.88</v>
      </c>
      <c r="F588" s="1" t="n">
        <f aca="false">117/11</f>
        <v>10.6363636363636</v>
      </c>
    </row>
    <row collapsed="false" customFormat="false" customHeight="false" hidden="false" ht="14.75" outlineLevel="0" r="589">
      <c r="A589" s="1" t="s">
        <v>205</v>
      </c>
      <c r="B589" s="1" t="s">
        <v>518</v>
      </c>
      <c r="C589" s="1" t="s">
        <v>506</v>
      </c>
      <c r="D589" s="1" t="n">
        <v>463.6</v>
      </c>
      <c r="E589" s="1" t="n">
        <v>21.03</v>
      </c>
      <c r="F589" s="1" t="n">
        <f aca="false">78/11</f>
        <v>7.09090909090909</v>
      </c>
    </row>
    <row collapsed="false" customFormat="false" customHeight="false" hidden="false" ht="14.75" outlineLevel="0" r="590">
      <c r="A590" s="1" t="s">
        <v>541</v>
      </c>
      <c r="B590" s="1" t="s">
        <v>510</v>
      </c>
      <c r="C590" s="1" t="s">
        <v>506</v>
      </c>
      <c r="D590" s="1" t="n">
        <v>85.7</v>
      </c>
      <c r="E590" s="1" t="n">
        <v>8.18</v>
      </c>
      <c r="F590" s="1" t="n">
        <f aca="false">6/7</f>
        <v>0.857142857142857</v>
      </c>
    </row>
    <row collapsed="false" customFormat="false" customHeight="false" hidden="false" ht="14.75" outlineLevel="0" r="591">
      <c r="A591" s="1" t="s">
        <v>542</v>
      </c>
      <c r="B591" s="1" t="s">
        <v>510</v>
      </c>
      <c r="C591" s="1" t="s">
        <v>506</v>
      </c>
      <c r="D591" s="1" t="n">
        <v>76.4</v>
      </c>
      <c r="E591" s="1" t="n">
        <v>10</v>
      </c>
      <c r="F591" s="1" t="n">
        <f aca="false">2/7</f>
        <v>0.285714285714286</v>
      </c>
    </row>
    <row collapsed="false" customFormat="false" customHeight="false" hidden="false" ht="14.75" outlineLevel="0" r="592">
      <c r="A592" s="1" t="s">
        <v>543</v>
      </c>
      <c r="B592" s="1" t="s">
        <v>505</v>
      </c>
      <c r="C592" s="1" t="s">
        <v>506</v>
      </c>
      <c r="D592" s="1" t="n">
        <v>576.818181818182</v>
      </c>
      <c r="E592" s="1" t="n">
        <v>24.4585987261147</v>
      </c>
      <c r="F592" s="1" t="n">
        <v>9.54545454545455</v>
      </c>
    </row>
    <row collapsed="false" customFormat="false" customHeight="false" hidden="false" ht="14.75" outlineLevel="0" r="593">
      <c r="A593" s="1" t="s">
        <v>544</v>
      </c>
      <c r="B593" s="1" t="s">
        <v>505</v>
      </c>
      <c r="C593" s="1" t="s">
        <v>506</v>
      </c>
      <c r="D593" s="1" t="n">
        <v>424.563636363636</v>
      </c>
      <c r="E593" s="1" t="n">
        <v>21.0077519379845</v>
      </c>
      <c r="F593" s="1" t="n">
        <v>6.36363636363636</v>
      </c>
    </row>
    <row collapsed="false" customFormat="false" customHeight="false" hidden="false" ht="14.75" outlineLevel="0" r="594">
      <c r="A594" s="1" t="s">
        <v>545</v>
      </c>
      <c r="B594" s="1" t="s">
        <v>505</v>
      </c>
      <c r="C594" s="1" t="s">
        <v>506</v>
      </c>
      <c r="D594" s="1" t="n">
        <v>167.233333333333</v>
      </c>
      <c r="E594" s="1" t="n">
        <v>11.6981132075472</v>
      </c>
      <c r="F594" s="1" t="n">
        <v>1.44444444444444</v>
      </c>
    </row>
    <row collapsed="false" customFormat="false" customHeight="false" hidden="false" ht="14.75" outlineLevel="0" r="595">
      <c r="A595" s="1" t="s">
        <v>119</v>
      </c>
      <c r="B595" s="1" t="s">
        <v>533</v>
      </c>
      <c r="C595" s="1" t="s">
        <v>506</v>
      </c>
      <c r="D595" s="1" t="n">
        <v>397.2</v>
      </c>
      <c r="E595" s="1" t="n">
        <v>20.9</v>
      </c>
      <c r="F595" s="1" t="n">
        <f aca="false">45/9</f>
        <v>5</v>
      </c>
    </row>
    <row collapsed="false" customFormat="false" customHeight="false" hidden="false" ht="14.75" outlineLevel="0" r="596">
      <c r="A596" s="1" t="s">
        <v>120</v>
      </c>
      <c r="B596" s="1" t="s">
        <v>533</v>
      </c>
      <c r="C596" s="1" t="s">
        <v>506</v>
      </c>
      <c r="D596" s="1" t="n">
        <v>74</v>
      </c>
      <c r="E596" s="1" t="n">
        <v>12.94</v>
      </c>
      <c r="F596" s="1" t="n">
        <v>1</v>
      </c>
    </row>
    <row collapsed="false" customFormat="false" customHeight="false" hidden="false" ht="14.75" outlineLevel="0" r="597">
      <c r="A597" s="1" t="s">
        <v>546</v>
      </c>
      <c r="B597" s="1" t="s">
        <v>521</v>
      </c>
      <c r="C597" s="1" t="s">
        <v>506</v>
      </c>
      <c r="D597" s="1" t="n">
        <v>185.6</v>
      </c>
      <c r="E597" s="1" t="n">
        <v>13.71</v>
      </c>
      <c r="F597" s="1" t="n">
        <f aca="false">13/9</f>
        <v>1.44444444444444</v>
      </c>
    </row>
    <row collapsed="false" customFormat="false" customHeight="false" hidden="false" ht="14.75" outlineLevel="0" r="598">
      <c r="A598" s="1" t="s">
        <v>547</v>
      </c>
      <c r="B598" s="1" t="s">
        <v>521</v>
      </c>
      <c r="C598" s="1" t="s">
        <v>506</v>
      </c>
      <c r="D598" s="1" t="n">
        <v>132.8</v>
      </c>
      <c r="E598" s="1" t="n">
        <v>11.91</v>
      </c>
      <c r="F598" s="1" t="n">
        <f aca="false">10/9</f>
        <v>1.11111111111111</v>
      </c>
    </row>
    <row collapsed="false" customFormat="false" customHeight="false" hidden="false" ht="14.75" outlineLevel="0" r="599">
      <c r="A599" s="1" t="s">
        <v>548</v>
      </c>
      <c r="B599" s="1" t="s">
        <v>533</v>
      </c>
      <c r="C599" s="1" t="s">
        <v>506</v>
      </c>
      <c r="D599" s="1" t="n">
        <v>448.3</v>
      </c>
      <c r="E599" s="1" t="n">
        <v>21.49</v>
      </c>
      <c r="F599" s="1" t="n">
        <f aca="false">64/9</f>
        <v>7.11111111111111</v>
      </c>
    </row>
    <row collapsed="false" customFormat="false" customHeight="false" hidden="false" ht="14.75" outlineLevel="0" r="600">
      <c r="A600" s="1" t="s">
        <v>549</v>
      </c>
      <c r="B600" s="1" t="s">
        <v>533</v>
      </c>
      <c r="C600" s="1" t="s">
        <v>506</v>
      </c>
      <c r="D600" s="1" t="n">
        <v>189.2</v>
      </c>
      <c r="E600" s="1" t="n">
        <v>14.47</v>
      </c>
      <c r="F600" s="1" t="n">
        <f aca="false">9/6</f>
        <v>1.5</v>
      </c>
    </row>
    <row collapsed="false" customFormat="false" customHeight="false" hidden="false" ht="14.75" outlineLevel="0" r="601">
      <c r="A601" s="1" t="s">
        <v>550</v>
      </c>
      <c r="B601" s="1" t="s">
        <v>533</v>
      </c>
      <c r="C601" s="1" t="s">
        <v>506</v>
      </c>
      <c r="D601" s="1" t="n">
        <v>107</v>
      </c>
      <c r="E601" s="1" t="n">
        <v>10.37</v>
      </c>
      <c r="F601" s="1" t="n">
        <f aca="false">4/5</f>
        <v>0.8</v>
      </c>
    </row>
    <row collapsed="false" customFormat="false" customHeight="false" hidden="false" ht="14.75" outlineLevel="0" r="602">
      <c r="A602" s="1" t="s">
        <v>551</v>
      </c>
      <c r="B602" s="1" t="s">
        <v>529</v>
      </c>
      <c r="C602" s="1" t="s">
        <v>506</v>
      </c>
      <c r="D602" s="1" t="n">
        <v>165</v>
      </c>
      <c r="E602" s="1" t="n">
        <v>9.53846153846154</v>
      </c>
      <c r="F602" s="1" t="n">
        <v>1.7</v>
      </c>
    </row>
    <row collapsed="false" customFormat="false" customHeight="false" hidden="false" ht="14.75" outlineLevel="0" r="603">
      <c r="A603" s="1" t="s">
        <v>552</v>
      </c>
      <c r="B603" s="1" t="s">
        <v>529</v>
      </c>
      <c r="C603" s="1" t="s">
        <v>506</v>
      </c>
      <c r="D603" s="1" t="n">
        <v>144</v>
      </c>
      <c r="E603" s="1" t="n">
        <v>6.13333333333333</v>
      </c>
      <c r="F603" s="1" t="n">
        <v>0.7</v>
      </c>
    </row>
    <row collapsed="false" customFormat="false" customHeight="false" hidden="false" ht="14.75" outlineLevel="0" r="604">
      <c r="A604" s="1" t="s">
        <v>553</v>
      </c>
      <c r="B604" s="1" t="s">
        <v>510</v>
      </c>
      <c r="C604" s="1" t="s">
        <v>506</v>
      </c>
      <c r="D604" s="1" t="n">
        <v>170.6</v>
      </c>
      <c r="E604" s="1" t="n">
        <v>11.27</v>
      </c>
      <c r="F604" s="1" t="n">
        <f aca="false">15/8</f>
        <v>1.875</v>
      </c>
    </row>
    <row collapsed="false" customFormat="false" customHeight="false" hidden="false" ht="14.75" outlineLevel="0" r="605">
      <c r="A605" s="1" t="s">
        <v>123</v>
      </c>
      <c r="B605" s="1" t="s">
        <v>533</v>
      </c>
      <c r="C605" s="1" t="s">
        <v>506</v>
      </c>
      <c r="D605" s="1" t="n">
        <v>427.5</v>
      </c>
      <c r="E605" s="1" t="n">
        <v>22.4</v>
      </c>
      <c r="F605" s="1" t="n">
        <f aca="false">51/8</f>
        <v>6.375</v>
      </c>
    </row>
    <row collapsed="false" customFormat="false" customHeight="false" hidden="false" ht="14.75" outlineLevel="0" r="606">
      <c r="A606" s="1" t="s">
        <v>124</v>
      </c>
      <c r="B606" s="1" t="s">
        <v>533</v>
      </c>
      <c r="C606" s="1" t="s">
        <v>506</v>
      </c>
      <c r="D606" s="1" t="n">
        <v>93.3</v>
      </c>
      <c r="E606" s="1" t="n">
        <v>7.67</v>
      </c>
      <c r="F606" s="1" t="n">
        <f aca="false">10/6</f>
        <v>1.66666666666667</v>
      </c>
    </row>
    <row collapsed="false" customFormat="false" customHeight="false" hidden="false" ht="14.75" outlineLevel="0" r="607">
      <c r="A607" s="1" t="s">
        <v>332</v>
      </c>
      <c r="B607" s="1" t="s">
        <v>516</v>
      </c>
      <c r="C607" s="1" t="s">
        <v>506</v>
      </c>
      <c r="D607" s="1" t="n">
        <v>235.5</v>
      </c>
      <c r="E607" s="1" t="n">
        <v>17.09</v>
      </c>
      <c r="F607" s="1" t="n">
        <f aca="false">36/11</f>
        <v>3.27272727272727</v>
      </c>
    </row>
    <row collapsed="false" customFormat="false" customHeight="false" hidden="false" ht="14.75" outlineLevel="0" r="608">
      <c r="A608" s="1" t="s">
        <v>554</v>
      </c>
      <c r="B608" s="1" t="s">
        <v>518</v>
      </c>
      <c r="C608" s="1" t="s">
        <v>506</v>
      </c>
      <c r="D608" s="1" t="n">
        <v>274.5</v>
      </c>
      <c r="E608" s="1" t="n">
        <v>16.9</v>
      </c>
      <c r="F608" s="1" t="n">
        <v>3.3</v>
      </c>
    </row>
    <row collapsed="false" customFormat="false" customHeight="false" hidden="false" ht="14.75" outlineLevel="0" r="609">
      <c r="A609" s="1" t="s">
        <v>555</v>
      </c>
      <c r="B609" s="1" t="s">
        <v>518</v>
      </c>
      <c r="C609" s="1" t="s">
        <v>506</v>
      </c>
      <c r="D609" s="1" t="n">
        <v>177</v>
      </c>
      <c r="E609" s="1" t="n">
        <v>12.15</v>
      </c>
      <c r="F609" s="1" t="n">
        <v>0.9</v>
      </c>
    </row>
    <row collapsed="false" customFormat="false" customHeight="false" hidden="false" ht="14.75" outlineLevel="0" r="610">
      <c r="A610" s="1" t="s">
        <v>556</v>
      </c>
      <c r="B610" s="1" t="s">
        <v>505</v>
      </c>
      <c r="C610" s="1" t="s">
        <v>506</v>
      </c>
      <c r="D610" s="1" t="n">
        <v>206.633333333333</v>
      </c>
      <c r="E610" s="1" t="n">
        <v>11.4084507042254</v>
      </c>
      <c r="F610" s="1" t="n">
        <v>1.11111111111111</v>
      </c>
    </row>
    <row collapsed="false" customFormat="false" customHeight="false" hidden="false" ht="14.75" outlineLevel="0" r="611">
      <c r="A611" s="1" t="s">
        <v>557</v>
      </c>
      <c r="B611" s="1" t="s">
        <v>518</v>
      </c>
      <c r="C611" s="1" t="s">
        <v>506</v>
      </c>
      <c r="D611" s="1" t="n">
        <v>130.5</v>
      </c>
      <c r="E611" s="1" t="n">
        <v>10.48</v>
      </c>
      <c r="F611" s="1" t="n">
        <v>0.7</v>
      </c>
    </row>
    <row collapsed="false" customFormat="false" customHeight="false" hidden="false" ht="14.75" outlineLevel="0" r="612">
      <c r="A612" s="1" t="s">
        <v>558</v>
      </c>
      <c r="B612" s="1" t="s">
        <v>518</v>
      </c>
      <c r="C612" s="1" t="s">
        <v>506</v>
      </c>
      <c r="D612" s="1" t="n">
        <v>32</v>
      </c>
      <c r="E612" s="1" t="n">
        <v>3.33</v>
      </c>
      <c r="F612" s="1" t="n">
        <v>0.5</v>
      </c>
    </row>
    <row collapsed="false" customFormat="false" customHeight="false" hidden="false" ht="14.75" outlineLevel="0" r="613">
      <c r="A613" s="1" t="s">
        <v>559</v>
      </c>
      <c r="B613" s="1" t="s">
        <v>521</v>
      </c>
      <c r="C613" s="1" t="s">
        <v>506</v>
      </c>
      <c r="D613" s="1" t="n">
        <v>179.5</v>
      </c>
      <c r="E613" s="1" t="n">
        <v>13.8</v>
      </c>
      <c r="F613" s="1" t="n">
        <v>1.7</v>
      </c>
    </row>
    <row collapsed="false" customFormat="false" customHeight="false" hidden="false" ht="14.75" outlineLevel="0" r="614">
      <c r="A614" s="1" t="s">
        <v>130</v>
      </c>
      <c r="B614" s="1" t="s">
        <v>529</v>
      </c>
      <c r="C614" s="1" t="s">
        <v>506</v>
      </c>
      <c r="D614" s="1" t="n">
        <v>198.3</v>
      </c>
      <c r="E614" s="1" t="n">
        <v>10.2272727272727</v>
      </c>
      <c r="F614" s="1" t="n">
        <f aca="false">20/12</f>
        <v>1.66666666666667</v>
      </c>
    </row>
    <row collapsed="false" customFormat="false" customHeight="false" hidden="false" ht="14.75" outlineLevel="0" r="615">
      <c r="A615" s="1" t="s">
        <v>560</v>
      </c>
      <c r="B615" s="1" t="s">
        <v>529</v>
      </c>
      <c r="C615" s="1" t="s">
        <v>506</v>
      </c>
      <c r="D615" s="1" t="n">
        <v>83</v>
      </c>
      <c r="E615" s="1" t="n">
        <v>6.25</v>
      </c>
      <c r="F615" s="1" t="n">
        <v>0.8</v>
      </c>
    </row>
    <row collapsed="false" customFormat="false" customHeight="false" hidden="false" ht="14.75" outlineLevel="0" r="616">
      <c r="A616" s="1" t="s">
        <v>561</v>
      </c>
      <c r="B616" s="1" t="s">
        <v>508</v>
      </c>
      <c r="C616" s="1" t="s">
        <v>506</v>
      </c>
      <c r="D616" s="1" t="n">
        <v>305</v>
      </c>
      <c r="E616" s="1" t="n">
        <v>20.71</v>
      </c>
      <c r="F616" s="1" t="n">
        <v>4</v>
      </c>
    </row>
    <row collapsed="false" customFormat="false" customHeight="false" hidden="false" ht="14.75" outlineLevel="0" r="617">
      <c r="A617" s="1" t="s">
        <v>137</v>
      </c>
      <c r="B617" s="1" t="s">
        <v>529</v>
      </c>
      <c r="C617" s="1" t="s">
        <v>506</v>
      </c>
      <c r="D617" s="1" t="n">
        <v>165</v>
      </c>
      <c r="E617" s="1" t="n">
        <v>8.2258064516129</v>
      </c>
      <c r="F617" s="1" t="n">
        <v>1.5</v>
      </c>
    </row>
    <row collapsed="false" customFormat="false" customHeight="false" hidden="false" ht="14.75" outlineLevel="0" r="618">
      <c r="A618" s="1" t="s">
        <v>562</v>
      </c>
      <c r="B618" s="1" t="s">
        <v>510</v>
      </c>
      <c r="C618" s="1" t="s">
        <v>506</v>
      </c>
      <c r="D618" s="1" t="n">
        <v>95</v>
      </c>
      <c r="E618" s="1" t="n">
        <v>8.33</v>
      </c>
      <c r="F618" s="1" t="n">
        <v>1</v>
      </c>
    </row>
    <row collapsed="false" customFormat="false" customHeight="false" hidden="false" ht="14.75" outlineLevel="0" r="619">
      <c r="A619" s="1" t="s">
        <v>563</v>
      </c>
      <c r="B619" s="1" t="s">
        <v>510</v>
      </c>
      <c r="C619" s="1" t="s">
        <v>506</v>
      </c>
      <c r="D619" s="1" t="n">
        <v>200.6</v>
      </c>
      <c r="E619" s="1" t="n">
        <v>13.21</v>
      </c>
      <c r="F619" s="1" t="n">
        <f aca="false">19/8</f>
        <v>2.375</v>
      </c>
    </row>
    <row collapsed="false" customFormat="false" customHeight="false" hidden="false" ht="14.75" outlineLevel="0" r="620">
      <c r="A620" s="1" t="s">
        <v>339</v>
      </c>
      <c r="B620" s="1" t="s">
        <v>529</v>
      </c>
      <c r="C620" s="1" t="s">
        <v>506</v>
      </c>
      <c r="D620" s="1" t="n">
        <v>230</v>
      </c>
      <c r="E620" s="1" t="n">
        <v>12.2666666666667</v>
      </c>
      <c r="F620" s="1" t="n">
        <v>3.3</v>
      </c>
    </row>
    <row collapsed="false" customFormat="false" customHeight="false" hidden="false" ht="14.75" outlineLevel="0" r="621">
      <c r="A621" s="1" t="s">
        <v>564</v>
      </c>
      <c r="B621" s="1" t="s">
        <v>529</v>
      </c>
      <c r="C621" s="1" t="s">
        <v>506</v>
      </c>
      <c r="D621" s="1" t="n">
        <v>169</v>
      </c>
      <c r="E621" s="1" t="n">
        <v>10.3076923076923</v>
      </c>
      <c r="F621" s="1" t="n">
        <v>1.4</v>
      </c>
    </row>
    <row collapsed="false" customFormat="false" customHeight="false" hidden="false" ht="14.75" outlineLevel="0" r="622">
      <c r="A622" s="1" t="s">
        <v>565</v>
      </c>
      <c r="B622" s="1" t="s">
        <v>529</v>
      </c>
      <c r="C622" s="1" t="s">
        <v>506</v>
      </c>
      <c r="D622" s="1" t="n">
        <v>215</v>
      </c>
      <c r="E622" s="1" t="n">
        <v>12.914798206278</v>
      </c>
      <c r="F622" s="1" t="n">
        <v>1.2</v>
      </c>
    </row>
    <row collapsed="false" customFormat="false" customHeight="false" hidden="false" ht="14.75" outlineLevel="0" r="623">
      <c r="A623" s="1" t="s">
        <v>142</v>
      </c>
      <c r="B623" s="1" t="s">
        <v>508</v>
      </c>
      <c r="C623" s="1" t="s">
        <v>506</v>
      </c>
      <c r="D623" s="1" t="n">
        <v>149</v>
      </c>
      <c r="E623" s="1" t="n">
        <v>10.86</v>
      </c>
      <c r="F623" s="1" t="n">
        <f aca="false">11/5</f>
        <v>2.2</v>
      </c>
    </row>
    <row collapsed="false" customFormat="false" customHeight="false" hidden="false" ht="14.75" outlineLevel="0" r="624">
      <c r="A624" s="1" t="s">
        <v>343</v>
      </c>
      <c r="B624" s="1" t="s">
        <v>516</v>
      </c>
      <c r="C624" s="1" t="s">
        <v>506</v>
      </c>
      <c r="D624" s="1" t="n">
        <v>566.8</v>
      </c>
      <c r="E624" s="1" t="n">
        <v>26.13</v>
      </c>
      <c r="F624" s="1" t="n">
        <f aca="false">113/11</f>
        <v>10.2727272727273</v>
      </c>
    </row>
    <row collapsed="false" customFormat="false" customHeight="false" hidden="false" ht="14.75" outlineLevel="0" r="625">
      <c r="A625" s="1" t="s">
        <v>344</v>
      </c>
      <c r="B625" s="1" t="s">
        <v>516</v>
      </c>
      <c r="C625" s="1" t="s">
        <v>506</v>
      </c>
      <c r="D625" s="1" t="n">
        <v>510.9</v>
      </c>
      <c r="E625" s="1" t="n">
        <v>23.7</v>
      </c>
      <c r="F625" s="1" t="n">
        <f aca="false">80/11</f>
        <v>7.27272727272727</v>
      </c>
    </row>
    <row collapsed="false" customFormat="false" customHeight="false" hidden="false" ht="14.75" outlineLevel="0" r="626">
      <c r="A626" s="1" t="s">
        <v>566</v>
      </c>
      <c r="B626" s="1" t="s">
        <v>521</v>
      </c>
      <c r="C626" s="1" t="s">
        <v>506</v>
      </c>
      <c r="D626" s="1" t="n">
        <v>272.8</v>
      </c>
      <c r="E626" s="1" t="n">
        <v>18.12</v>
      </c>
      <c r="F626" s="1" t="n">
        <f aca="false">35/9</f>
        <v>3.88888888888889</v>
      </c>
    </row>
    <row collapsed="false" customFormat="false" customHeight="false" hidden="false" ht="14.75" outlineLevel="0" r="627">
      <c r="A627" s="1" t="s">
        <v>567</v>
      </c>
      <c r="B627" s="1" t="s">
        <v>521</v>
      </c>
      <c r="C627" s="1" t="s">
        <v>506</v>
      </c>
      <c r="D627" s="1" t="n">
        <v>214</v>
      </c>
      <c r="E627" s="1" t="n">
        <v>15.42</v>
      </c>
      <c r="F627" s="1" t="n">
        <v>2.8</v>
      </c>
    </row>
    <row collapsed="false" customFormat="false" customHeight="false" hidden="false" ht="14.75" outlineLevel="0" r="628">
      <c r="A628" s="1" t="s">
        <v>568</v>
      </c>
      <c r="B628" s="1" t="s">
        <v>521</v>
      </c>
      <c r="C628" s="1" t="s">
        <v>506</v>
      </c>
      <c r="D628" s="1" t="n">
        <v>138.9</v>
      </c>
      <c r="E628" s="1" t="n">
        <v>12.82</v>
      </c>
      <c r="F628" s="1" t="n">
        <f aca="false">7/9</f>
        <v>0.777777777777778</v>
      </c>
    </row>
    <row collapsed="false" customFormat="false" customHeight="false" hidden="false" ht="14.75" outlineLevel="0" r="629">
      <c r="A629" s="1" t="s">
        <v>43</v>
      </c>
      <c r="B629" s="1" t="s">
        <v>510</v>
      </c>
      <c r="C629" s="1" t="s">
        <v>506</v>
      </c>
      <c r="D629" s="1" t="n">
        <v>422.5</v>
      </c>
      <c r="E629" s="1" t="n">
        <v>23.45</v>
      </c>
      <c r="F629" s="1" t="n">
        <v>5.6</v>
      </c>
    </row>
    <row collapsed="false" customFormat="false" customHeight="false" hidden="false" ht="14.75" outlineLevel="0" r="630">
      <c r="A630" s="1" t="s">
        <v>569</v>
      </c>
      <c r="B630" s="1" t="s">
        <v>516</v>
      </c>
      <c r="C630" s="1" t="s">
        <v>506</v>
      </c>
      <c r="D630" s="1" t="n">
        <v>254.5</v>
      </c>
      <c r="E630" s="1" t="n">
        <v>12.69</v>
      </c>
      <c r="F630" s="1" t="n">
        <f aca="false">26/11</f>
        <v>2.36363636363636</v>
      </c>
    </row>
    <row collapsed="false" customFormat="false" customHeight="false" hidden="false" ht="14.75" outlineLevel="0" r="631">
      <c r="A631" s="1" t="s">
        <v>570</v>
      </c>
      <c r="B631" s="1" t="s">
        <v>510</v>
      </c>
      <c r="C631" s="1" t="s">
        <v>506</v>
      </c>
      <c r="D631" s="1" t="n">
        <v>243.2</v>
      </c>
      <c r="E631" s="1" t="n">
        <v>16.53</v>
      </c>
      <c r="F631" s="1" t="n">
        <f aca="false">36/11</f>
        <v>3.27272727272727</v>
      </c>
    </row>
    <row collapsed="false" customFormat="false" customHeight="false" hidden="false" ht="14.75" outlineLevel="0" r="632">
      <c r="A632" s="1" t="s">
        <v>571</v>
      </c>
      <c r="B632" s="1" t="s">
        <v>510</v>
      </c>
      <c r="C632" s="1" t="s">
        <v>506</v>
      </c>
      <c r="D632" s="1" t="n">
        <v>118.6</v>
      </c>
      <c r="E632" s="1" t="n">
        <v>12.43</v>
      </c>
      <c r="F632" s="1" t="n">
        <v>1</v>
      </c>
    </row>
    <row collapsed="false" customFormat="false" customHeight="false" hidden="false" ht="14.75" outlineLevel="0" r="633">
      <c r="A633" s="1" t="s">
        <v>572</v>
      </c>
      <c r="B633" s="1" t="s">
        <v>521</v>
      </c>
      <c r="C633" s="1" t="s">
        <v>506</v>
      </c>
      <c r="D633" s="1" t="n">
        <v>418.3</v>
      </c>
      <c r="E633" s="1" t="n">
        <v>21.64</v>
      </c>
      <c r="F633" s="1" t="n">
        <f aca="false">52/9</f>
        <v>5.77777777777778</v>
      </c>
    </row>
    <row collapsed="false" customFormat="false" customHeight="false" hidden="false" ht="14.75" outlineLevel="0" r="634">
      <c r="A634" s="1" t="s">
        <v>348</v>
      </c>
      <c r="B634" s="1" t="s">
        <v>529</v>
      </c>
      <c r="C634" s="1" t="s">
        <v>506</v>
      </c>
      <c r="D634" s="1" t="n">
        <v>696.9</v>
      </c>
      <c r="E634" s="1" t="n">
        <v>26.1458333333333</v>
      </c>
      <c r="F634" s="1" t="n">
        <f aca="false">152/13</f>
        <v>11.6923076923077</v>
      </c>
    </row>
    <row collapsed="false" customFormat="false" customHeight="false" hidden="false" ht="14.75" outlineLevel="0" r="635">
      <c r="A635" s="1" t="s">
        <v>349</v>
      </c>
      <c r="B635" s="1" t="s">
        <v>529</v>
      </c>
      <c r="C635" s="1" t="s">
        <v>506</v>
      </c>
      <c r="D635" s="1" t="n">
        <v>360</v>
      </c>
      <c r="E635" s="1" t="n">
        <v>17.34375</v>
      </c>
      <c r="F635" s="1" t="n">
        <f aca="false">51/12</f>
        <v>4.25</v>
      </c>
    </row>
    <row collapsed="false" customFormat="false" customHeight="false" hidden="false" ht="14.75" outlineLevel="0" r="636">
      <c r="A636" s="1" t="s">
        <v>350</v>
      </c>
      <c r="B636" s="1" t="s">
        <v>529</v>
      </c>
      <c r="C636" s="1" t="s">
        <v>506</v>
      </c>
      <c r="D636" s="1" t="n">
        <v>182</v>
      </c>
      <c r="E636" s="1" t="n">
        <v>10</v>
      </c>
      <c r="F636" s="1" t="n">
        <v>0.7</v>
      </c>
    </row>
    <row collapsed="false" customFormat="false" customHeight="false" hidden="false" ht="14.75" outlineLevel="0" r="637">
      <c r="A637" s="1" t="s">
        <v>573</v>
      </c>
      <c r="B637" s="1" t="s">
        <v>529</v>
      </c>
      <c r="C637" s="1" t="s">
        <v>506</v>
      </c>
      <c r="D637" s="1" t="n">
        <v>98</v>
      </c>
      <c r="E637" s="1" t="n">
        <v>5.83333333333333</v>
      </c>
      <c r="F637" s="1" t="n">
        <v>0.5</v>
      </c>
    </row>
    <row collapsed="false" customFormat="false" customHeight="false" hidden="false" ht="14.75" outlineLevel="0" r="638">
      <c r="A638" s="1" t="s">
        <v>45</v>
      </c>
      <c r="B638" s="1" t="s">
        <v>510</v>
      </c>
      <c r="C638" s="1" t="s">
        <v>506</v>
      </c>
      <c r="D638" s="1" t="n">
        <v>378.1</v>
      </c>
      <c r="E638" s="1" t="n">
        <v>22.34</v>
      </c>
      <c r="F638" s="1" t="n">
        <f aca="false">73/13</f>
        <v>5.61538461538462</v>
      </c>
    </row>
    <row collapsed="false" customFormat="false" customHeight="false" hidden="false" ht="14.75" outlineLevel="0" r="639">
      <c r="A639" s="1" t="s">
        <v>472</v>
      </c>
      <c r="B639" s="1" t="s">
        <v>510</v>
      </c>
      <c r="C639" s="1" t="s">
        <v>506</v>
      </c>
      <c r="D639" s="1" t="n">
        <v>398</v>
      </c>
      <c r="E639" s="1" t="n">
        <v>21.64</v>
      </c>
      <c r="F639" s="1" t="n">
        <v>6.2</v>
      </c>
    </row>
    <row collapsed="false" customFormat="false" customHeight="false" hidden="false" ht="14.75" outlineLevel="0" r="640">
      <c r="A640" s="1" t="s">
        <v>574</v>
      </c>
      <c r="B640" s="1" t="s">
        <v>516</v>
      </c>
      <c r="C640" s="1" t="s">
        <v>506</v>
      </c>
      <c r="D640" s="1" t="n">
        <v>425.5</v>
      </c>
      <c r="E640" s="1" t="n">
        <v>22.72</v>
      </c>
      <c r="F640" s="1" t="n">
        <f aca="false">76/11</f>
        <v>6.90909090909091</v>
      </c>
    </row>
    <row collapsed="false" customFormat="false" customHeight="false" hidden="false" ht="14.75" outlineLevel="0" r="641">
      <c r="A641" s="1" t="s">
        <v>575</v>
      </c>
      <c r="B641" s="1" t="s">
        <v>516</v>
      </c>
      <c r="C641" s="1" t="s">
        <v>506</v>
      </c>
      <c r="D641" s="1" t="n">
        <v>190.5</v>
      </c>
      <c r="E641" s="1" t="n">
        <v>14.71</v>
      </c>
      <c r="F641" s="1" t="n">
        <f aca="false">19/11</f>
        <v>1.72727272727273</v>
      </c>
    </row>
    <row collapsed="false" customFormat="false" customHeight="false" hidden="false" ht="14.75" outlineLevel="0" r="642">
      <c r="A642" s="1" t="s">
        <v>19</v>
      </c>
      <c r="B642" s="1" t="s">
        <v>516</v>
      </c>
      <c r="C642" s="1" t="s">
        <v>506</v>
      </c>
      <c r="D642" s="1" t="n">
        <v>530</v>
      </c>
      <c r="E642" s="1" t="n">
        <v>24.86</v>
      </c>
      <c r="F642" s="1" t="n">
        <f aca="false">92/11</f>
        <v>8.36363636363636</v>
      </c>
    </row>
    <row collapsed="false" customFormat="false" customHeight="false" hidden="false" ht="14.75" outlineLevel="0" r="643">
      <c r="A643" s="1" t="s">
        <v>20</v>
      </c>
      <c r="B643" s="1" t="s">
        <v>516</v>
      </c>
      <c r="C643" s="1" t="s">
        <v>506</v>
      </c>
      <c r="D643" s="1" t="n">
        <v>278.2</v>
      </c>
      <c r="E643" s="1" t="n">
        <v>17.58</v>
      </c>
      <c r="F643" s="1" t="n">
        <f aca="false">38/11</f>
        <v>3.45454545454545</v>
      </c>
      <c r="J643" s="1" t="s">
        <v>576</v>
      </c>
    </row>
    <row collapsed="false" customFormat="false" customHeight="false" hidden="false" ht="14.75" outlineLevel="0" r="644">
      <c r="A644" s="1" t="s">
        <v>577</v>
      </c>
      <c r="B644" s="1" t="s">
        <v>505</v>
      </c>
      <c r="C644" s="1" t="s">
        <v>506</v>
      </c>
      <c r="D644" s="1" t="n">
        <v>163.333333333333</v>
      </c>
      <c r="E644" s="1" t="n">
        <v>11.2068965517241</v>
      </c>
      <c r="F644" s="1" t="n">
        <v>1.77777777777778</v>
      </c>
    </row>
    <row collapsed="false" customFormat="false" customHeight="false" hidden="false" ht="14.75" outlineLevel="0" r="645">
      <c r="A645" s="1" t="s">
        <v>578</v>
      </c>
      <c r="B645" s="1" t="s">
        <v>508</v>
      </c>
      <c r="C645" s="1" t="s">
        <v>506</v>
      </c>
      <c r="D645" s="1" t="n">
        <v>65</v>
      </c>
      <c r="E645" s="1" t="n">
        <v>9.41</v>
      </c>
      <c r="F645" s="1" t="n">
        <f aca="false">3/5</f>
        <v>0.6</v>
      </c>
      <c r="J645" s="1" t="s">
        <v>579</v>
      </c>
    </row>
    <row collapsed="false" customFormat="false" customHeight="false" hidden="false" ht="14.75" outlineLevel="0" r="646">
      <c r="A646" s="1" t="s">
        <v>580</v>
      </c>
      <c r="B646" s="1" t="s">
        <v>518</v>
      </c>
      <c r="C646" s="1" t="s">
        <v>506</v>
      </c>
      <c r="D646" s="1" t="n">
        <v>160</v>
      </c>
      <c r="E646" s="1" t="n">
        <v>10.63</v>
      </c>
      <c r="F646" s="1" t="n">
        <v>1.1</v>
      </c>
    </row>
    <row collapsed="false" customFormat="false" customHeight="false" hidden="false" ht="14.75" outlineLevel="0" r="647">
      <c r="A647" s="1" t="s">
        <v>581</v>
      </c>
      <c r="B647" s="1" t="s">
        <v>518</v>
      </c>
      <c r="C647" s="1" t="s">
        <v>506</v>
      </c>
      <c r="D647" s="1" t="n">
        <v>45.5</v>
      </c>
      <c r="E647" s="1" t="n">
        <v>4.57</v>
      </c>
      <c r="F647" s="1" t="n">
        <v>0.2</v>
      </c>
    </row>
    <row collapsed="false" customFormat="false" customHeight="false" hidden="false" ht="14.75" outlineLevel="0" r="648">
      <c r="A648" s="1" t="s">
        <v>582</v>
      </c>
      <c r="B648" s="1" t="s">
        <v>529</v>
      </c>
      <c r="C648" s="1" t="s">
        <v>506</v>
      </c>
      <c r="D648" s="1" t="n">
        <v>127</v>
      </c>
      <c r="E648" s="1" t="n">
        <v>9.81132075471698</v>
      </c>
      <c r="F648" s="1" t="n">
        <v>0.9</v>
      </c>
    </row>
    <row collapsed="false" customFormat="false" customHeight="false" hidden="false" ht="14.75" outlineLevel="0" r="649">
      <c r="A649" s="1" t="s">
        <v>583</v>
      </c>
      <c r="B649" s="1" t="s">
        <v>518</v>
      </c>
      <c r="C649" s="1" t="s">
        <v>506</v>
      </c>
      <c r="D649" s="1" t="n">
        <v>74.5</v>
      </c>
      <c r="E649" s="1" t="n">
        <v>6.44</v>
      </c>
      <c r="F649" s="1" t="n">
        <v>0.6</v>
      </c>
    </row>
    <row collapsed="false" customFormat="false" customHeight="false" hidden="false" ht="14.75" outlineLevel="0" r="650">
      <c r="A650" s="1" t="s">
        <v>584</v>
      </c>
      <c r="B650" s="1" t="s">
        <v>516</v>
      </c>
      <c r="C650" s="1" t="s">
        <v>506</v>
      </c>
      <c r="D650" s="1" t="n">
        <v>213.2</v>
      </c>
      <c r="E650" s="1" t="n">
        <v>13.25</v>
      </c>
      <c r="F650" s="1" t="n">
        <f aca="false">19/11</f>
        <v>1.72727272727273</v>
      </c>
    </row>
    <row collapsed="false" customFormat="false" customHeight="false" hidden="false" ht="14.75" outlineLevel="0" r="651">
      <c r="A651" s="1" t="s">
        <v>585</v>
      </c>
      <c r="B651" s="1" t="s">
        <v>516</v>
      </c>
      <c r="C651" s="1" t="s">
        <v>506</v>
      </c>
      <c r="D651" s="1" t="n">
        <v>149.1</v>
      </c>
      <c r="E651" s="1" t="n">
        <v>11.08</v>
      </c>
      <c r="F651" s="1" t="n">
        <f aca="false">14/11</f>
        <v>1.27272727272727</v>
      </c>
    </row>
    <row collapsed="false" customFormat="false" customHeight="false" hidden="false" ht="14.75" outlineLevel="0" r="652">
      <c r="A652" s="1" t="s">
        <v>158</v>
      </c>
      <c r="B652" s="1" t="s">
        <v>533</v>
      </c>
      <c r="C652" s="1" t="s">
        <v>506</v>
      </c>
      <c r="D652" s="1" t="n">
        <v>385.6</v>
      </c>
      <c r="E652" s="1" t="n">
        <v>19.9</v>
      </c>
      <c r="F652" s="1" t="n">
        <f aca="false">39/8</f>
        <v>4.875</v>
      </c>
    </row>
    <row collapsed="false" customFormat="false" customHeight="false" hidden="false" ht="14.75" outlineLevel="0" r="653">
      <c r="A653" s="1" t="s">
        <v>159</v>
      </c>
      <c r="B653" s="1" t="s">
        <v>533</v>
      </c>
      <c r="C653" s="1" t="s">
        <v>506</v>
      </c>
      <c r="D653" s="1" t="n">
        <v>191.7</v>
      </c>
      <c r="E653" s="1" t="n">
        <v>14.04</v>
      </c>
      <c r="F653" s="1" t="n">
        <f aca="false">17/6</f>
        <v>2.83333333333333</v>
      </c>
    </row>
    <row collapsed="false" customFormat="false" customHeight="false" hidden="false" ht="14.75" outlineLevel="0" r="654">
      <c r="A654" s="1" t="s">
        <v>586</v>
      </c>
      <c r="B654" s="1" t="s">
        <v>518</v>
      </c>
      <c r="C654" s="1" t="s">
        <v>506</v>
      </c>
      <c r="D654" s="1" t="n">
        <v>155.5</v>
      </c>
      <c r="E654" s="1" t="n">
        <v>13.23</v>
      </c>
      <c r="F654" s="1" t="n">
        <v>1.9</v>
      </c>
    </row>
    <row collapsed="false" customFormat="false" customHeight="false" hidden="false" ht="14.75" outlineLevel="0" r="655">
      <c r="A655" s="1" t="s">
        <v>163</v>
      </c>
      <c r="B655" s="1" t="s">
        <v>516</v>
      </c>
      <c r="C655" s="1" t="s">
        <v>506</v>
      </c>
      <c r="D655" s="1" t="n">
        <v>380.9</v>
      </c>
      <c r="E655" s="1" t="n">
        <v>21.91</v>
      </c>
      <c r="F655" s="1" t="n">
        <f aca="false">70/11</f>
        <v>6.36363636363636</v>
      </c>
    </row>
    <row collapsed="false" customFormat="false" customHeight="false" hidden="false" ht="14.75" outlineLevel="0" r="656">
      <c r="A656" s="1" t="s">
        <v>587</v>
      </c>
      <c r="B656" s="1" t="s">
        <v>518</v>
      </c>
      <c r="C656" s="1" t="s">
        <v>506</v>
      </c>
      <c r="D656" s="1" t="n">
        <v>89.5</v>
      </c>
      <c r="E656" s="1" t="n">
        <v>7.04</v>
      </c>
      <c r="F656" s="1" t="n">
        <v>0.6</v>
      </c>
    </row>
    <row collapsed="false" customFormat="false" customHeight="false" hidden="false" ht="14.75" outlineLevel="0" r="657">
      <c r="A657" s="1" t="s">
        <v>588</v>
      </c>
      <c r="B657" s="1" t="s">
        <v>529</v>
      </c>
      <c r="C657" s="1" t="s">
        <v>506</v>
      </c>
      <c r="D657" s="1" t="n">
        <v>395</v>
      </c>
      <c r="E657" s="1" t="n">
        <v>19.1472868217054</v>
      </c>
      <c r="F657" s="1" t="n">
        <f aca="false">47/12</f>
        <v>3.91666666666667</v>
      </c>
    </row>
    <row collapsed="false" customFormat="false" customHeight="false" hidden="false" ht="14.75" outlineLevel="0" r="658">
      <c r="A658" s="1" t="s">
        <v>589</v>
      </c>
      <c r="B658" s="1" t="s">
        <v>529</v>
      </c>
      <c r="C658" s="1" t="s">
        <v>506</v>
      </c>
      <c r="D658" s="1" t="n">
        <v>202</v>
      </c>
      <c r="E658" s="1" t="n">
        <v>11.9480519480519</v>
      </c>
      <c r="F658" s="1" t="n">
        <v>1.5</v>
      </c>
    </row>
    <row collapsed="false" customFormat="false" customHeight="false" hidden="false" ht="14.75" outlineLevel="0" r="659">
      <c r="A659" s="1" t="s">
        <v>590</v>
      </c>
      <c r="B659" s="1" t="s">
        <v>529</v>
      </c>
      <c r="C659" s="1" t="s">
        <v>506</v>
      </c>
      <c r="D659" s="1" t="n">
        <v>177</v>
      </c>
      <c r="E659" s="1" t="n">
        <v>10.8955223880597</v>
      </c>
      <c r="F659" s="1" t="n">
        <v>0.7</v>
      </c>
    </row>
    <row collapsed="false" customFormat="false" customHeight="false" hidden="false" ht="14.75" outlineLevel="0" r="660">
      <c r="A660" s="1" t="s">
        <v>22</v>
      </c>
      <c r="B660" s="1" t="s">
        <v>521</v>
      </c>
      <c r="C660" s="1" t="s">
        <v>506</v>
      </c>
      <c r="D660" s="1" t="n">
        <v>356</v>
      </c>
      <c r="E660" s="1" t="n">
        <v>22.19</v>
      </c>
      <c r="F660" s="1" t="n">
        <v>5.2</v>
      </c>
    </row>
    <row collapsed="false" customFormat="false" customHeight="false" hidden="false" ht="14.75" outlineLevel="0" r="661">
      <c r="A661" s="1" t="s">
        <v>24</v>
      </c>
      <c r="B661" s="1" t="s">
        <v>521</v>
      </c>
      <c r="C661" s="1" t="s">
        <v>506</v>
      </c>
      <c r="D661" s="1" t="n">
        <v>233.9</v>
      </c>
      <c r="E661" s="1" t="n">
        <v>15.74</v>
      </c>
      <c r="F661" s="1" t="n">
        <f aca="false">14/9</f>
        <v>1.55555555555556</v>
      </c>
    </row>
    <row collapsed="false" customFormat="false" customHeight="false" hidden="false" ht="14.75" outlineLevel="0" r="662">
      <c r="A662" s="1" t="s">
        <v>364</v>
      </c>
      <c r="B662" s="1" t="s">
        <v>505</v>
      </c>
      <c r="C662" s="1" t="s">
        <v>506</v>
      </c>
      <c r="D662" s="1" t="n">
        <v>431.363636363636</v>
      </c>
      <c r="E662" s="1" t="n">
        <v>21.40625</v>
      </c>
      <c r="F662" s="1" t="n">
        <v>6.27272727272727</v>
      </c>
    </row>
    <row collapsed="false" customFormat="false" customHeight="false" hidden="false" ht="14.75" outlineLevel="0" r="663">
      <c r="A663" s="1" t="s">
        <v>591</v>
      </c>
      <c r="B663" s="1" t="s">
        <v>529</v>
      </c>
      <c r="C663" s="1" t="s">
        <v>506</v>
      </c>
      <c r="D663" s="1" t="n">
        <v>320.9</v>
      </c>
      <c r="E663" s="1" t="n">
        <v>16.0550458715596</v>
      </c>
      <c r="F663" s="1" t="n">
        <f aca="false">41/11</f>
        <v>3.72727272727273</v>
      </c>
    </row>
    <row collapsed="false" customFormat="false" customHeight="false" hidden="false" ht="14.75" outlineLevel="0" r="664">
      <c r="A664" s="1" t="s">
        <v>592</v>
      </c>
      <c r="B664" s="1" t="s">
        <v>505</v>
      </c>
      <c r="C664" s="1" t="s">
        <v>506</v>
      </c>
      <c r="D664" s="1" t="n">
        <v>331.8</v>
      </c>
      <c r="E664" s="1" t="n">
        <v>19.3457943925234</v>
      </c>
      <c r="F664" s="1" t="n">
        <v>3.45454545454545</v>
      </c>
    </row>
    <row collapsed="false" customFormat="false" customHeight="false" hidden="false" ht="14.75" outlineLevel="0" r="665">
      <c r="A665" s="1" t="s">
        <v>593</v>
      </c>
      <c r="B665" s="1" t="s">
        <v>521</v>
      </c>
      <c r="C665" s="1" t="s">
        <v>506</v>
      </c>
      <c r="D665" s="1" t="n">
        <v>175.5</v>
      </c>
      <c r="E665" s="1" t="n">
        <v>15.52</v>
      </c>
      <c r="F665" s="1" t="n">
        <v>2</v>
      </c>
    </row>
    <row collapsed="false" customFormat="false" customHeight="false" hidden="false" ht="14.75" outlineLevel="0" r="666">
      <c r="A666" s="1" t="s">
        <v>594</v>
      </c>
      <c r="B666" s="1" t="s">
        <v>529</v>
      </c>
      <c r="C666" s="1" t="s">
        <v>506</v>
      </c>
      <c r="D666" s="1" t="n">
        <v>370</v>
      </c>
      <c r="E666" s="1" t="n">
        <v>15.2542372881356</v>
      </c>
      <c r="F666" s="1" t="n">
        <v>4.9</v>
      </c>
    </row>
    <row collapsed="false" customFormat="false" customHeight="false" hidden="false" ht="14.75" outlineLevel="0" r="667">
      <c r="A667" s="1" t="s">
        <v>595</v>
      </c>
      <c r="B667" s="1" t="s">
        <v>505</v>
      </c>
      <c r="C667" s="1" t="s">
        <v>506</v>
      </c>
      <c r="D667" s="1" t="n">
        <v>282.454545454545</v>
      </c>
      <c r="E667" s="1" t="n">
        <v>19.625</v>
      </c>
      <c r="F667" s="1" t="n">
        <v>3</v>
      </c>
    </row>
    <row collapsed="false" customFormat="false" customHeight="false" hidden="false" ht="14.75" outlineLevel="0" r="668">
      <c r="A668" s="1" t="s">
        <v>596</v>
      </c>
      <c r="B668" s="1" t="s">
        <v>508</v>
      </c>
      <c r="C668" s="1" t="s">
        <v>506</v>
      </c>
      <c r="D668" s="1" t="n">
        <v>201</v>
      </c>
      <c r="E668" s="1" t="n">
        <v>14.88</v>
      </c>
      <c r="F668" s="1" t="n">
        <v>3</v>
      </c>
    </row>
    <row collapsed="false" customFormat="false" customHeight="false" hidden="false" ht="14.75" outlineLevel="0" r="669">
      <c r="A669" s="1" t="s">
        <v>376</v>
      </c>
      <c r="B669" s="1" t="s">
        <v>533</v>
      </c>
      <c r="C669" s="1" t="s">
        <v>506</v>
      </c>
      <c r="D669" s="1" t="n">
        <v>410.8</v>
      </c>
      <c r="E669" s="1" t="n">
        <v>21.17</v>
      </c>
      <c r="F669" s="1" t="n">
        <f aca="false">28/6</f>
        <v>4.66666666666667</v>
      </c>
    </row>
    <row collapsed="false" customFormat="false" customHeight="false" hidden="false" ht="14.75" outlineLevel="0" r="670">
      <c r="A670" s="1" t="s">
        <v>377</v>
      </c>
      <c r="B670" s="1" t="s">
        <v>533</v>
      </c>
      <c r="C670" s="1" t="s">
        <v>506</v>
      </c>
      <c r="D670" s="1" t="n">
        <v>270.8</v>
      </c>
      <c r="E670" s="1" t="n">
        <v>16.9</v>
      </c>
      <c r="F670" s="1" t="n">
        <f aca="false">22/6</f>
        <v>3.66666666666667</v>
      </c>
    </row>
    <row collapsed="false" customFormat="false" customHeight="false" hidden="false" ht="14.75" outlineLevel="0" r="671">
      <c r="A671" s="1" t="s">
        <v>378</v>
      </c>
      <c r="B671" s="1" t="s">
        <v>533</v>
      </c>
      <c r="C671" s="1" t="s">
        <v>506</v>
      </c>
      <c r="D671" s="1" t="n">
        <v>80.8</v>
      </c>
      <c r="E671" s="1" t="n">
        <v>8.21</v>
      </c>
      <c r="F671" s="1" t="n">
        <f aca="false">5/6</f>
        <v>0.833333333333333</v>
      </c>
    </row>
    <row collapsed="false" customFormat="false" customHeight="false" hidden="false" ht="14.75" outlineLevel="0" r="672">
      <c r="A672" s="1" t="s">
        <v>597</v>
      </c>
      <c r="B672" s="1" t="s">
        <v>521</v>
      </c>
      <c r="C672" s="1" t="s">
        <v>506</v>
      </c>
      <c r="D672" s="1" t="n">
        <v>350.5</v>
      </c>
      <c r="E672" s="1" t="n">
        <v>21.25</v>
      </c>
      <c r="F672" s="1" t="n">
        <v>5.2</v>
      </c>
    </row>
    <row collapsed="false" customFormat="false" customHeight="false" hidden="false" ht="14.75" outlineLevel="0" r="673">
      <c r="A673" s="1" t="s">
        <v>598</v>
      </c>
      <c r="B673" s="1" t="s">
        <v>521</v>
      </c>
      <c r="C673" s="1" t="s">
        <v>506</v>
      </c>
      <c r="D673" s="1" t="n">
        <v>102.2</v>
      </c>
      <c r="E673" s="1" t="n">
        <v>11.56</v>
      </c>
      <c r="F673" s="1" t="n">
        <f aca="false">13/9</f>
        <v>1.44444444444444</v>
      </c>
    </row>
    <row collapsed="false" customFormat="false" customHeight="false" hidden="false" ht="14.75" outlineLevel="0" r="674">
      <c r="A674" s="1" t="s">
        <v>599</v>
      </c>
      <c r="B674" s="1" t="s">
        <v>510</v>
      </c>
      <c r="C674" s="1" t="s">
        <v>506</v>
      </c>
      <c r="D674" s="1" t="n">
        <v>151.9</v>
      </c>
      <c r="E674" s="1" t="n">
        <v>11.34</v>
      </c>
      <c r="F674" s="1" t="n">
        <f aca="false">12/8</f>
        <v>1.5</v>
      </c>
    </row>
    <row collapsed="false" customFormat="false" customHeight="false" hidden="false" ht="14.75" outlineLevel="0" r="675">
      <c r="A675" s="1" t="s">
        <v>600</v>
      </c>
      <c r="B675" s="1" t="s">
        <v>510</v>
      </c>
      <c r="C675" s="1" t="s">
        <v>506</v>
      </c>
      <c r="D675" s="1" t="n">
        <v>52.9</v>
      </c>
      <c r="E675" s="1" t="n">
        <v>7.71</v>
      </c>
      <c r="F675" s="1" t="n">
        <f aca="false">2/7</f>
        <v>0.285714285714286</v>
      </c>
    </row>
    <row collapsed="false" customFormat="false" customHeight="false" hidden="false" ht="14.75" outlineLevel="0" r="676">
      <c r="A676" s="1" t="s">
        <v>384</v>
      </c>
      <c r="B676" s="1" t="s">
        <v>508</v>
      </c>
      <c r="C676" s="1" t="s">
        <v>506</v>
      </c>
      <c r="D676" s="1" t="n">
        <v>514</v>
      </c>
      <c r="E676" s="1" t="n">
        <v>22.6</v>
      </c>
      <c r="F676" s="1" t="n">
        <f aca="false">47/5</f>
        <v>9.4</v>
      </c>
    </row>
    <row collapsed="false" customFormat="false" customHeight="false" hidden="false" ht="14.75" outlineLevel="0" r="677">
      <c r="A677" s="1" t="s">
        <v>385</v>
      </c>
      <c r="B677" s="1" t="s">
        <v>508</v>
      </c>
      <c r="C677" s="1" t="s">
        <v>506</v>
      </c>
      <c r="D677" s="1" t="n">
        <v>377</v>
      </c>
      <c r="E677" s="1" t="n">
        <v>21.23</v>
      </c>
      <c r="F677" s="1" t="n">
        <v>6</v>
      </c>
    </row>
    <row collapsed="false" customFormat="false" customHeight="false" hidden="false" ht="14.75" outlineLevel="0" r="678">
      <c r="A678" s="1" t="s">
        <v>601</v>
      </c>
      <c r="B678" s="1" t="s">
        <v>529</v>
      </c>
      <c r="C678" s="1" t="s">
        <v>506</v>
      </c>
      <c r="D678" s="1" t="n">
        <v>302.5</v>
      </c>
      <c r="E678" s="1" t="n">
        <v>15.0434782608696</v>
      </c>
      <c r="F678" s="1" t="n">
        <f aca="false">30/12</f>
        <v>2.5</v>
      </c>
    </row>
    <row collapsed="false" customFormat="false" customHeight="false" hidden="false" ht="14.75" outlineLevel="0" r="679">
      <c r="A679" s="1" t="s">
        <v>602</v>
      </c>
      <c r="B679" s="1" t="s">
        <v>529</v>
      </c>
      <c r="C679" s="1" t="s">
        <v>506</v>
      </c>
      <c r="D679" s="1" t="n">
        <v>162</v>
      </c>
      <c r="E679" s="1" t="n">
        <v>9.57746478873239</v>
      </c>
      <c r="F679" s="1" t="n">
        <v>0.7</v>
      </c>
    </row>
    <row collapsed="false" customFormat="false" customHeight="false" hidden="false" ht="14.75" outlineLevel="0" r="680">
      <c r="A680" s="1" t="s">
        <v>170</v>
      </c>
      <c r="B680" s="1" t="s">
        <v>533</v>
      </c>
      <c r="C680" s="1" t="s">
        <v>506</v>
      </c>
      <c r="D680" s="1" t="n">
        <v>110</v>
      </c>
      <c r="E680" s="1" t="n">
        <v>10.77</v>
      </c>
      <c r="F680" s="1" t="n">
        <f aca="false">1</f>
        <v>1</v>
      </c>
    </row>
    <row collapsed="false" customFormat="false" customHeight="false" hidden="false" ht="14.75" outlineLevel="0" r="681">
      <c r="A681" s="1" t="s">
        <v>391</v>
      </c>
      <c r="B681" s="1" t="s">
        <v>529</v>
      </c>
      <c r="C681" s="1" t="s">
        <v>506</v>
      </c>
      <c r="D681" s="1" t="n">
        <v>488.5</v>
      </c>
      <c r="E681" s="1" t="n">
        <v>20.2366863905325</v>
      </c>
      <c r="F681" s="1" t="n">
        <f aca="false">84/13</f>
        <v>6.46153846153846</v>
      </c>
    </row>
    <row collapsed="false" customFormat="false" customHeight="false" hidden="false" ht="14.75" outlineLevel="0" r="682">
      <c r="A682" s="1" t="s">
        <v>392</v>
      </c>
      <c r="B682" s="1" t="s">
        <v>529</v>
      </c>
      <c r="C682" s="1" t="s">
        <v>506</v>
      </c>
      <c r="D682" s="1" t="n">
        <v>326</v>
      </c>
      <c r="E682" s="1" t="n">
        <v>16.3265306122449</v>
      </c>
      <c r="F682" s="1" t="n">
        <v>4.3</v>
      </c>
    </row>
    <row collapsed="false" customFormat="false" customHeight="false" hidden="false" ht="14.75" outlineLevel="0" r="683">
      <c r="A683" s="1" t="s">
        <v>393</v>
      </c>
      <c r="B683" s="1" t="s">
        <v>529</v>
      </c>
      <c r="C683" s="1" t="s">
        <v>506</v>
      </c>
      <c r="D683" s="1" t="n">
        <v>222</v>
      </c>
      <c r="E683" s="1" t="n">
        <v>12.1875</v>
      </c>
      <c r="F683" s="1" t="n">
        <v>1.8</v>
      </c>
    </row>
    <row collapsed="false" customFormat="false" customHeight="false" hidden="false" ht="14.75" outlineLevel="0" r="684">
      <c r="A684" s="1" t="s">
        <v>603</v>
      </c>
      <c r="B684" s="1" t="s">
        <v>529</v>
      </c>
      <c r="C684" s="1" t="s">
        <v>506</v>
      </c>
      <c r="D684" s="1" t="n">
        <v>171</v>
      </c>
      <c r="E684" s="1" t="n">
        <v>11.7525773195876</v>
      </c>
      <c r="F684" s="1" t="n">
        <v>1.4</v>
      </c>
    </row>
    <row collapsed="false" customFormat="false" customHeight="false" hidden="false" ht="14.75" outlineLevel="0" r="685">
      <c r="A685" s="1" t="s">
        <v>604</v>
      </c>
      <c r="B685" s="1" t="s">
        <v>516</v>
      </c>
      <c r="C685" s="1" t="s">
        <v>506</v>
      </c>
      <c r="D685" s="1" t="n">
        <v>531.4</v>
      </c>
      <c r="E685" s="1" t="n">
        <v>25.66</v>
      </c>
      <c r="F685" s="1" t="n">
        <f aca="false">109/11</f>
        <v>9.90909090909091</v>
      </c>
    </row>
    <row collapsed="false" customFormat="false" customHeight="false" hidden="false" ht="14.75" outlineLevel="0" r="686">
      <c r="A686" s="1" t="s">
        <v>605</v>
      </c>
      <c r="B686" s="1" t="s">
        <v>529</v>
      </c>
      <c r="C686" s="1" t="s">
        <v>506</v>
      </c>
      <c r="D686" s="1" t="n">
        <v>151</v>
      </c>
      <c r="E686" s="1" t="n">
        <v>9.18032786885246</v>
      </c>
      <c r="F686" s="1" t="n">
        <v>1.5</v>
      </c>
    </row>
    <row collapsed="false" customFormat="false" customHeight="false" hidden="false" ht="14.75" outlineLevel="0" r="687">
      <c r="A687" s="1" t="s">
        <v>606</v>
      </c>
      <c r="B687" s="1" t="s">
        <v>529</v>
      </c>
      <c r="C687" s="1" t="s">
        <v>506</v>
      </c>
      <c r="D687" s="1" t="n">
        <v>65</v>
      </c>
      <c r="E687" s="1" t="n">
        <v>6</v>
      </c>
      <c r="F687" s="1" t="n">
        <v>0.4</v>
      </c>
    </row>
    <row collapsed="false" customFormat="false" customHeight="false" hidden="false" ht="14.75" outlineLevel="0" r="688">
      <c r="A688" s="1" t="s">
        <v>607</v>
      </c>
      <c r="B688" s="1" t="s">
        <v>529</v>
      </c>
      <c r="C688" s="1" t="s">
        <v>506</v>
      </c>
      <c r="D688" s="1" t="n">
        <v>372.3</v>
      </c>
      <c r="E688" s="1" t="n">
        <v>18.4732824427481</v>
      </c>
      <c r="F688" s="1" t="n">
        <f aca="false">57/13</f>
        <v>4.38461538461539</v>
      </c>
    </row>
    <row collapsed="false" customFormat="false" customHeight="false" hidden="false" ht="14.75" outlineLevel="0" r="689">
      <c r="A689" s="1" t="s">
        <v>608</v>
      </c>
      <c r="B689" s="1" t="s">
        <v>529</v>
      </c>
      <c r="C689" s="1" t="s">
        <v>506</v>
      </c>
      <c r="D689" s="1" t="n">
        <v>168</v>
      </c>
      <c r="E689" s="1" t="n">
        <v>9.85294117647059</v>
      </c>
      <c r="F689" s="1" t="n">
        <v>0.9</v>
      </c>
    </row>
    <row collapsed="false" customFormat="false" customHeight="false" hidden="false" ht="14.75" outlineLevel="0" r="690">
      <c r="A690" s="1" t="s">
        <v>609</v>
      </c>
      <c r="B690" s="1" t="s">
        <v>529</v>
      </c>
      <c r="C690" s="1" t="s">
        <v>506</v>
      </c>
      <c r="D690" s="1" t="n">
        <v>49</v>
      </c>
      <c r="E690" s="1" t="n">
        <v>4.64285714285714</v>
      </c>
      <c r="F690" s="1" t="n">
        <v>0.3</v>
      </c>
    </row>
    <row collapsed="false" customFormat="false" customHeight="false" hidden="false" ht="14.75" outlineLevel="0" r="691">
      <c r="A691" s="1" t="s">
        <v>26</v>
      </c>
      <c r="B691" s="1" t="s">
        <v>510</v>
      </c>
      <c r="C691" s="1" t="s">
        <v>506</v>
      </c>
      <c r="D691" s="1" t="n">
        <v>549.5</v>
      </c>
      <c r="E691" s="1" t="n">
        <v>25.58</v>
      </c>
      <c r="F691" s="1" t="n">
        <f aca="false">113/11</f>
        <v>10.2727272727273</v>
      </c>
    </row>
    <row collapsed="false" customFormat="false" customHeight="false" hidden="false" ht="14.75" outlineLevel="0" r="692">
      <c r="A692" s="1" t="s">
        <v>27</v>
      </c>
      <c r="B692" s="1" t="s">
        <v>510</v>
      </c>
      <c r="C692" s="1" t="s">
        <v>506</v>
      </c>
      <c r="D692" s="1" t="n">
        <v>130.6</v>
      </c>
      <c r="E692" s="1" t="n">
        <v>10.78</v>
      </c>
      <c r="F692" s="1" t="n">
        <f aca="false">7/8</f>
        <v>0.875</v>
      </c>
    </row>
    <row collapsed="false" customFormat="false" customHeight="false" hidden="false" ht="14.75" outlineLevel="0" r="693">
      <c r="A693" s="1" t="s">
        <v>610</v>
      </c>
      <c r="B693" s="1" t="s">
        <v>505</v>
      </c>
      <c r="C693" s="1" t="s">
        <v>506</v>
      </c>
      <c r="D693" s="1" t="n">
        <v>233.3</v>
      </c>
      <c r="E693" s="1" t="n">
        <v>15</v>
      </c>
      <c r="F693" s="1" t="n">
        <v>1.77777777777778</v>
      </c>
    </row>
    <row collapsed="false" customFormat="false" customHeight="false" hidden="false" ht="14.75" outlineLevel="0" r="694">
      <c r="A694" s="1" t="s">
        <v>275</v>
      </c>
      <c r="B694" s="1" t="s">
        <v>518</v>
      </c>
      <c r="C694" s="1" t="s">
        <v>506</v>
      </c>
      <c r="D694" s="1" t="n">
        <v>394</v>
      </c>
      <c r="E694" s="1" t="n">
        <v>20.16</v>
      </c>
      <c r="F694" s="1" t="n">
        <v>4.6</v>
      </c>
    </row>
    <row collapsed="false" customFormat="false" customHeight="false" hidden="false" ht="14.75" outlineLevel="0" r="695">
      <c r="A695" s="1" t="s">
        <v>276</v>
      </c>
      <c r="B695" s="1" t="s">
        <v>518</v>
      </c>
      <c r="C695" s="1" t="s">
        <v>506</v>
      </c>
      <c r="D695" s="1" t="n">
        <v>200</v>
      </c>
      <c r="E695" s="1" t="n">
        <v>12.39</v>
      </c>
      <c r="F695" s="1" t="n">
        <v>1</v>
      </c>
    </row>
    <row collapsed="false" customFormat="false" customHeight="false" hidden="false" ht="14.75" outlineLevel="0" r="696">
      <c r="A696" s="1" t="s">
        <v>278</v>
      </c>
      <c r="B696" s="1" t="s">
        <v>518</v>
      </c>
      <c r="C696" s="1" t="s">
        <v>506</v>
      </c>
      <c r="D696" s="1" t="n">
        <v>303</v>
      </c>
      <c r="E696" s="1" t="n">
        <v>19.39</v>
      </c>
      <c r="F696" s="1" t="n">
        <v>3.3</v>
      </c>
    </row>
    <row collapsed="false" customFormat="false" customHeight="false" hidden="false" ht="14.75" outlineLevel="0" r="697">
      <c r="A697" s="1" t="s">
        <v>611</v>
      </c>
      <c r="B697" s="1" t="s">
        <v>518</v>
      </c>
      <c r="C697" s="1" t="s">
        <v>506</v>
      </c>
      <c r="D697" s="1" t="n">
        <v>56</v>
      </c>
      <c r="E697" s="1" t="n">
        <v>5.71</v>
      </c>
      <c r="F697" s="1" t="n">
        <v>0.3</v>
      </c>
    </row>
    <row collapsed="false" customFormat="false" customHeight="false" hidden="false" ht="14.75" outlineLevel="0" r="698">
      <c r="A698" s="1" t="s">
        <v>279</v>
      </c>
      <c r="B698" s="1" t="s">
        <v>518</v>
      </c>
      <c r="C698" s="1" t="s">
        <v>506</v>
      </c>
      <c r="D698" s="1" t="n">
        <v>308.5</v>
      </c>
      <c r="E698" s="1" t="n">
        <v>17.12</v>
      </c>
      <c r="F698" s="1" t="n">
        <v>3.9</v>
      </c>
    </row>
    <row collapsed="false" customFormat="false" customHeight="false" hidden="false" ht="14.75" outlineLevel="0" r="699">
      <c r="A699" s="1" t="s">
        <v>280</v>
      </c>
      <c r="B699" s="1" t="s">
        <v>518</v>
      </c>
      <c r="C699" s="1" t="s">
        <v>506</v>
      </c>
      <c r="D699" s="1" t="n">
        <v>128</v>
      </c>
      <c r="E699" s="1" t="n">
        <v>10</v>
      </c>
      <c r="F699" s="1" t="n">
        <v>0.2</v>
      </c>
    </row>
    <row collapsed="false" customFormat="false" customHeight="false" hidden="false" ht="14.75" outlineLevel="0" r="700">
      <c r="A700" s="1" t="s">
        <v>281</v>
      </c>
      <c r="B700" s="1" t="s">
        <v>518</v>
      </c>
      <c r="C700" s="1" t="s">
        <v>506</v>
      </c>
      <c r="D700" s="1" t="n">
        <v>144</v>
      </c>
      <c r="E700" s="1" t="n">
        <v>10.86</v>
      </c>
      <c r="F700" s="1" t="n">
        <v>0.9</v>
      </c>
    </row>
    <row collapsed="false" customFormat="false" customHeight="false" hidden="false" ht="14.75" outlineLevel="0" r="701">
      <c r="A701" s="1" t="s">
        <v>612</v>
      </c>
      <c r="B701" s="1" t="s">
        <v>518</v>
      </c>
      <c r="C701" s="1" t="s">
        <v>506</v>
      </c>
      <c r="D701" s="1" t="n">
        <v>89.5</v>
      </c>
      <c r="E701" s="1" t="n">
        <v>10.68</v>
      </c>
      <c r="F701" s="1" t="n">
        <v>0.7</v>
      </c>
    </row>
    <row collapsed="false" customFormat="false" customHeight="false" hidden="false" ht="14.75" outlineLevel="0" r="702">
      <c r="A702" s="1" t="s">
        <v>29</v>
      </c>
      <c r="B702" s="1" t="s">
        <v>510</v>
      </c>
      <c r="C702" s="1" t="s">
        <v>506</v>
      </c>
      <c r="D702" s="1" t="n">
        <v>364.5</v>
      </c>
      <c r="E702" s="1" t="n">
        <v>20.35</v>
      </c>
      <c r="F702" s="1" t="n">
        <v>4.9</v>
      </c>
    </row>
    <row collapsed="false" customFormat="false" customHeight="false" hidden="false" ht="14.75" outlineLevel="0" r="703">
      <c r="A703" s="1" t="s">
        <v>30</v>
      </c>
      <c r="B703" s="1" t="s">
        <v>510</v>
      </c>
      <c r="C703" s="1" t="s">
        <v>506</v>
      </c>
      <c r="D703" s="1" t="n">
        <v>238.3</v>
      </c>
      <c r="E703" s="1" t="n">
        <v>13.79</v>
      </c>
      <c r="F703" s="1" t="n">
        <f aca="false">26/9</f>
        <v>2.88888888888889</v>
      </c>
    </row>
    <row collapsed="false" customFormat="false" customHeight="false" hidden="false" ht="14.75" outlineLevel="0" r="704">
      <c r="A704" s="1" t="s">
        <v>613</v>
      </c>
      <c r="B704" s="1" t="s">
        <v>510</v>
      </c>
      <c r="C704" s="1" t="s">
        <v>506</v>
      </c>
      <c r="D704" s="1" t="n">
        <v>371.9</v>
      </c>
      <c r="E704" s="1" t="n">
        <v>22.08</v>
      </c>
      <c r="F704" s="1" t="n">
        <f aca="false">68/13</f>
        <v>5.23076923076923</v>
      </c>
    </row>
    <row collapsed="false" customFormat="false" customHeight="false" hidden="false" ht="14.75" outlineLevel="0" r="705">
      <c r="A705" s="1" t="s">
        <v>614</v>
      </c>
      <c r="B705" s="1" t="s">
        <v>510</v>
      </c>
      <c r="C705" s="1" t="s">
        <v>506</v>
      </c>
      <c r="D705" s="1" t="n">
        <v>248.1</v>
      </c>
      <c r="E705" s="1" t="n">
        <v>15.47</v>
      </c>
      <c r="F705" s="1" t="n">
        <f aca="false">27/8</f>
        <v>3.375</v>
      </c>
    </row>
    <row collapsed="false" customFormat="false" customHeight="false" hidden="false" ht="14.75" outlineLevel="0" r="706">
      <c r="A706" s="1" t="s">
        <v>615</v>
      </c>
      <c r="B706" s="1" t="s">
        <v>510</v>
      </c>
      <c r="C706" s="1" t="s">
        <v>506</v>
      </c>
      <c r="D706" s="1" t="n">
        <v>168.8</v>
      </c>
      <c r="E706" s="1" t="n">
        <v>10.95</v>
      </c>
      <c r="F706" s="1" t="n">
        <f aca="false">13/8</f>
        <v>1.625</v>
      </c>
    </row>
    <row collapsed="false" customFormat="false" customHeight="false" hidden="false" ht="14.75" outlineLevel="0" r="707">
      <c r="A707" s="1" t="s">
        <v>616</v>
      </c>
      <c r="B707" s="1" t="s">
        <v>510</v>
      </c>
      <c r="C707" s="1" t="s">
        <v>506</v>
      </c>
      <c r="D707" s="1" t="n">
        <v>301.5</v>
      </c>
      <c r="E707" s="1" t="n">
        <v>18.47</v>
      </c>
      <c r="F707" s="1" t="n">
        <v>3.6</v>
      </c>
    </row>
    <row collapsed="false" customFormat="false" customHeight="false" hidden="false" ht="14.75" outlineLevel="0" r="708">
      <c r="A708" s="1" t="s">
        <v>617</v>
      </c>
      <c r="B708" s="1" t="s">
        <v>518</v>
      </c>
      <c r="C708" s="1" t="s">
        <v>506</v>
      </c>
      <c r="D708" s="1" t="n">
        <v>157</v>
      </c>
      <c r="E708" s="1" t="n">
        <v>11.86</v>
      </c>
      <c r="F708" s="1" t="n">
        <v>1.6</v>
      </c>
    </row>
    <row collapsed="false" customFormat="false" customHeight="false" hidden="false" ht="14.75" outlineLevel="0" r="709">
      <c r="A709" s="1" t="s">
        <v>177</v>
      </c>
      <c r="B709" s="1" t="s">
        <v>516</v>
      </c>
      <c r="C709" s="1" t="s">
        <v>506</v>
      </c>
      <c r="D709" s="1" t="n">
        <v>209.5</v>
      </c>
      <c r="E709" s="1" t="n">
        <v>13.25</v>
      </c>
      <c r="F709" s="1" t="n">
        <v>3</v>
      </c>
    </row>
    <row collapsed="false" customFormat="false" customHeight="false" hidden="false" ht="14.75" outlineLevel="0" r="710">
      <c r="A710" s="1" t="s">
        <v>618</v>
      </c>
      <c r="B710" s="1" t="s">
        <v>510</v>
      </c>
      <c r="C710" s="1" t="s">
        <v>506</v>
      </c>
      <c r="D710" s="1" t="n">
        <v>208.3</v>
      </c>
      <c r="E710" s="1" t="n">
        <v>15.35</v>
      </c>
      <c r="F710" s="1" t="n">
        <f aca="false">29/9</f>
        <v>3.22222222222222</v>
      </c>
    </row>
    <row collapsed="false" customFormat="false" customHeight="false" hidden="false" ht="14.75" outlineLevel="0" r="711">
      <c r="A711" s="1" t="s">
        <v>619</v>
      </c>
      <c r="B711" s="1" t="s">
        <v>510</v>
      </c>
      <c r="C711" s="1" t="s">
        <v>506</v>
      </c>
      <c r="D711" s="1" t="n">
        <v>128.3</v>
      </c>
      <c r="E711" s="1" t="n">
        <v>10.09</v>
      </c>
      <c r="F711" s="1" t="n">
        <f aca="false">14/9</f>
        <v>1.55555555555556</v>
      </c>
    </row>
    <row collapsed="false" customFormat="false" customHeight="false" hidden="false" ht="14.75" outlineLevel="0" r="712">
      <c r="A712" s="1" t="s">
        <v>32</v>
      </c>
      <c r="B712" s="1" t="s">
        <v>533</v>
      </c>
      <c r="C712" s="1" t="s">
        <v>506</v>
      </c>
      <c r="D712" s="1" t="n">
        <v>130</v>
      </c>
      <c r="E712" s="1" t="n">
        <v>12.16</v>
      </c>
      <c r="F712" s="1" t="n">
        <f aca="false">5/6</f>
        <v>0.833333333333333</v>
      </c>
    </row>
    <row collapsed="false" customFormat="false" customHeight="false" hidden="false" ht="14.75" outlineLevel="0" r="713">
      <c r="A713" s="1" t="s">
        <v>404</v>
      </c>
      <c r="B713" s="1" t="s">
        <v>533</v>
      </c>
      <c r="C713" s="1" t="s">
        <v>506</v>
      </c>
      <c r="D713" s="1" t="n">
        <v>50</v>
      </c>
      <c r="E713" s="1" t="n">
        <v>7.33</v>
      </c>
      <c r="F713" s="1" t="n">
        <v>1</v>
      </c>
    </row>
    <row collapsed="false" customFormat="false" customHeight="false" hidden="false" ht="14.75" outlineLevel="0" r="714">
      <c r="A714" s="1" t="s">
        <v>620</v>
      </c>
      <c r="B714" s="1" t="s">
        <v>521</v>
      </c>
      <c r="C714" s="1" t="s">
        <v>506</v>
      </c>
      <c r="D714" s="1" t="n">
        <v>332</v>
      </c>
      <c r="E714" s="1" t="n">
        <v>20.48</v>
      </c>
      <c r="F714" s="1" t="n">
        <v>6</v>
      </c>
    </row>
    <row collapsed="false" customFormat="false" customHeight="false" hidden="false" ht="14.75" outlineLevel="0" r="715">
      <c r="A715" s="1" t="s">
        <v>621</v>
      </c>
      <c r="B715" s="1" t="s">
        <v>521</v>
      </c>
      <c r="C715" s="1" t="s">
        <v>506</v>
      </c>
      <c r="D715" s="1" t="n">
        <v>235.6</v>
      </c>
      <c r="E715" s="1" t="n">
        <v>14.64</v>
      </c>
      <c r="F715" s="1" t="n">
        <f aca="false">30/9</f>
        <v>3.33333333333333</v>
      </c>
    </row>
    <row collapsed="false" customFormat="false" customHeight="false" hidden="false" ht="14.75" outlineLevel="0" r="716">
      <c r="A716" s="1" t="s">
        <v>409</v>
      </c>
      <c r="B716" s="1" t="s">
        <v>529</v>
      </c>
      <c r="C716" s="1" t="s">
        <v>506</v>
      </c>
      <c r="D716" s="1" t="n">
        <v>147</v>
      </c>
      <c r="E716" s="1" t="n">
        <v>9.32203389830509</v>
      </c>
      <c r="F716" s="1" t="n">
        <v>1.3</v>
      </c>
    </row>
    <row collapsed="false" customFormat="false" customHeight="false" hidden="false" ht="14.75" outlineLevel="0" r="717">
      <c r="A717" s="1" t="s">
        <v>622</v>
      </c>
      <c r="B717" s="1" t="s">
        <v>521</v>
      </c>
      <c r="C717" s="1" t="s">
        <v>506</v>
      </c>
      <c r="D717" s="1" t="n">
        <v>105.5</v>
      </c>
      <c r="E717" s="1" t="n">
        <v>9.17</v>
      </c>
      <c r="F717" s="1" t="n">
        <v>0.9</v>
      </c>
    </row>
    <row collapsed="false" customFormat="false" customHeight="false" hidden="false" ht="14.75" outlineLevel="0" r="718">
      <c r="A718" s="1" t="s">
        <v>623</v>
      </c>
      <c r="B718" s="1" t="s">
        <v>521</v>
      </c>
      <c r="C718" s="1" t="s">
        <v>506</v>
      </c>
      <c r="D718" s="1" t="n">
        <v>300.6</v>
      </c>
      <c r="E718" s="1" t="n">
        <v>19.17</v>
      </c>
      <c r="F718" s="1" t="n">
        <f aca="false">45/9</f>
        <v>5</v>
      </c>
    </row>
    <row collapsed="false" customFormat="false" customHeight="false" hidden="false" ht="14.75" outlineLevel="0" r="719">
      <c r="A719" s="1" t="s">
        <v>624</v>
      </c>
      <c r="B719" s="1" t="s">
        <v>529</v>
      </c>
      <c r="C719" s="1" t="s">
        <v>506</v>
      </c>
      <c r="D719" s="1" t="n">
        <v>57</v>
      </c>
      <c r="E719" s="1" t="n">
        <v>4.85714285714286</v>
      </c>
      <c r="F719" s="1" t="n">
        <v>0.2</v>
      </c>
    </row>
    <row collapsed="false" customFormat="false" customHeight="false" hidden="false" ht="14.75" outlineLevel="0" r="720">
      <c r="A720" s="1" t="s">
        <v>625</v>
      </c>
      <c r="B720" s="1" t="s">
        <v>510</v>
      </c>
      <c r="C720" s="1" t="s">
        <v>506</v>
      </c>
      <c r="D720" s="1" t="n">
        <v>170.7</v>
      </c>
      <c r="E720" s="1" t="n">
        <v>11.16</v>
      </c>
      <c r="F720" s="1" t="n">
        <v>1</v>
      </c>
    </row>
    <row collapsed="false" customFormat="false" customHeight="false" hidden="false" ht="14.75" outlineLevel="0" r="721">
      <c r="A721" s="1" t="s">
        <v>626</v>
      </c>
      <c r="B721" s="1" t="s">
        <v>508</v>
      </c>
      <c r="C721" s="1" t="s">
        <v>506</v>
      </c>
      <c r="D721" s="1" t="n">
        <v>588</v>
      </c>
      <c r="E721" s="1" t="n">
        <v>25</v>
      </c>
      <c r="F721" s="1" t="n">
        <f aca="false">53/5</f>
        <v>10.6</v>
      </c>
    </row>
    <row collapsed="false" customFormat="false" customHeight="false" hidden="false" ht="14.75" outlineLevel="0" r="722">
      <c r="A722" s="1" t="s">
        <v>627</v>
      </c>
      <c r="B722" s="1" t="s">
        <v>518</v>
      </c>
      <c r="C722" s="1" t="s">
        <v>506</v>
      </c>
      <c r="D722" s="1" t="n">
        <v>468.5</v>
      </c>
      <c r="E722" s="1" t="n">
        <v>21.88</v>
      </c>
      <c r="F722" s="1" t="n">
        <v>7.2</v>
      </c>
    </row>
    <row collapsed="false" customFormat="false" customHeight="false" hidden="false" ht="14.75" outlineLevel="0" r="723">
      <c r="A723" s="1" t="s">
        <v>413</v>
      </c>
      <c r="B723" s="1" t="s">
        <v>516</v>
      </c>
      <c r="C723" s="1" t="s">
        <v>506</v>
      </c>
      <c r="D723" s="1" t="n">
        <v>280.5</v>
      </c>
      <c r="E723" s="1" t="n">
        <v>17.07</v>
      </c>
      <c r="F723" s="1" t="n">
        <v>3</v>
      </c>
    </row>
    <row collapsed="false" customFormat="false" customHeight="false" hidden="false" ht="14.75" outlineLevel="0" r="724">
      <c r="A724" s="1" t="s">
        <v>414</v>
      </c>
      <c r="B724" s="1" t="s">
        <v>516</v>
      </c>
      <c r="C724" s="1" t="s">
        <v>506</v>
      </c>
      <c r="D724" s="1" t="n">
        <v>121.8</v>
      </c>
      <c r="E724" s="1" t="n">
        <v>10</v>
      </c>
      <c r="F724" s="1" t="n">
        <f aca="false">10/11</f>
        <v>0.909090909090909</v>
      </c>
    </row>
    <row collapsed="false" customFormat="false" customHeight="false" hidden="false" ht="14.75" outlineLevel="0" r="725">
      <c r="A725" s="1" t="s">
        <v>628</v>
      </c>
      <c r="B725" s="1" t="s">
        <v>521</v>
      </c>
      <c r="C725" s="1" t="s">
        <v>506</v>
      </c>
      <c r="D725" s="1" t="n">
        <v>260</v>
      </c>
      <c r="E725" s="1" t="n">
        <v>16.38</v>
      </c>
      <c r="F725" s="1" t="n">
        <f aca="false">29/9</f>
        <v>3.22222222222222</v>
      </c>
    </row>
    <row collapsed="false" customFormat="false" customHeight="false" hidden="false" ht="14.75" outlineLevel="0" r="726">
      <c r="A726" s="1" t="s">
        <v>629</v>
      </c>
      <c r="B726" s="1" t="s">
        <v>521</v>
      </c>
      <c r="C726" s="1" t="s">
        <v>506</v>
      </c>
      <c r="D726" s="1" t="n">
        <v>180.6</v>
      </c>
      <c r="E726" s="1" t="n">
        <v>13.9</v>
      </c>
      <c r="F726" s="1" t="n">
        <f aca="false">21/9</f>
        <v>2.33333333333333</v>
      </c>
    </row>
    <row collapsed="false" customFormat="false" customHeight="false" hidden="false" ht="14.75" outlineLevel="0" r="727">
      <c r="A727" s="1" t="s">
        <v>190</v>
      </c>
      <c r="B727" s="1" t="s">
        <v>516</v>
      </c>
      <c r="C727" s="1" t="s">
        <v>506</v>
      </c>
      <c r="D727" s="1" t="n">
        <v>265.9</v>
      </c>
      <c r="E727" s="1" t="n">
        <v>18.07</v>
      </c>
      <c r="F727" s="1" t="n">
        <f aca="false">35/11</f>
        <v>3.18181818181818</v>
      </c>
    </row>
    <row collapsed="false" customFormat="false" customHeight="false" hidden="false" ht="14.75" outlineLevel="0" r="728">
      <c r="A728" s="1" t="s">
        <v>191</v>
      </c>
      <c r="B728" s="1" t="s">
        <v>516</v>
      </c>
      <c r="C728" s="1" t="s">
        <v>506</v>
      </c>
      <c r="D728" s="1" t="n">
        <v>228.6</v>
      </c>
      <c r="E728" s="1" t="n">
        <v>13.23</v>
      </c>
      <c r="F728" s="1" t="n">
        <f aca="false">25/11</f>
        <v>2.27272727272727</v>
      </c>
    </row>
    <row collapsed="false" customFormat="false" customHeight="false" hidden="false" ht="14.75" outlineLevel="0" r="729">
      <c r="A729" s="1" t="s">
        <v>630</v>
      </c>
      <c r="B729" s="1" t="s">
        <v>516</v>
      </c>
      <c r="C729" s="1" t="s">
        <v>506</v>
      </c>
      <c r="D729" s="1" t="n">
        <v>290</v>
      </c>
      <c r="E729" s="1" t="n">
        <v>18.12</v>
      </c>
      <c r="F729" s="1" t="n">
        <f aca="false">38/11</f>
        <v>3.45454545454545</v>
      </c>
    </row>
    <row collapsed="false" customFormat="false" customHeight="false" hidden="false" ht="14.75" outlineLevel="0" r="730">
      <c r="A730" s="1" t="s">
        <v>631</v>
      </c>
      <c r="B730" s="1" t="s">
        <v>516</v>
      </c>
      <c r="C730" s="1" t="s">
        <v>506</v>
      </c>
      <c r="D730" s="1" t="n">
        <v>95</v>
      </c>
      <c r="E730" s="1" t="n">
        <v>6.74</v>
      </c>
      <c r="F730" s="1" t="n">
        <f aca="false">7/11</f>
        <v>0.636363636363636</v>
      </c>
    </row>
    <row collapsed="false" customFormat="false" customHeight="false" hidden="false" ht="14.75" outlineLevel="0" r="731">
      <c r="A731" s="1" t="s">
        <v>424</v>
      </c>
      <c r="B731" s="1" t="s">
        <v>508</v>
      </c>
      <c r="C731" s="1" t="s">
        <v>506</v>
      </c>
      <c r="D731" s="1" t="n">
        <v>227</v>
      </c>
      <c r="E731" s="1" t="n">
        <v>18.88</v>
      </c>
      <c r="F731" s="1" t="n">
        <f aca="false">14/5</f>
        <v>2.8</v>
      </c>
    </row>
    <row collapsed="false" customFormat="false" customHeight="false" hidden="false" ht="14.75" outlineLevel="0" r="732">
      <c r="A732" s="1" t="s">
        <v>632</v>
      </c>
      <c r="B732" s="1" t="s">
        <v>508</v>
      </c>
      <c r="C732" s="1" t="s">
        <v>506</v>
      </c>
      <c r="D732" s="1" t="n">
        <v>158</v>
      </c>
      <c r="E732" s="1" t="n">
        <v>13.28</v>
      </c>
      <c r="F732" s="1" t="n">
        <v>3</v>
      </c>
    </row>
    <row collapsed="false" customFormat="false" customHeight="false" hidden="false" ht="14.75" outlineLevel="0" r="733">
      <c r="A733" s="1" t="s">
        <v>633</v>
      </c>
      <c r="B733" s="1" t="s">
        <v>529</v>
      </c>
      <c r="C733" s="1" t="s">
        <v>506</v>
      </c>
      <c r="D733" s="1" t="n">
        <v>77</v>
      </c>
      <c r="E733" s="1" t="n">
        <v>4.5</v>
      </c>
      <c r="F733" s="1" t="n">
        <v>0.4</v>
      </c>
    </row>
    <row collapsed="false" customFormat="false" customHeight="false" hidden="false" ht="14.75" outlineLevel="0" r="734">
      <c r="A734" s="1" t="s">
        <v>634</v>
      </c>
      <c r="B734" s="1" t="s">
        <v>508</v>
      </c>
      <c r="C734" s="1" t="s">
        <v>506</v>
      </c>
      <c r="D734" s="1" t="n">
        <v>322</v>
      </c>
      <c r="E734" s="1" t="n">
        <v>18.64</v>
      </c>
      <c r="F734" s="1" t="n">
        <f aca="false">23/5</f>
        <v>4.6</v>
      </c>
    </row>
    <row collapsed="false" customFormat="false" customHeight="false" hidden="false" ht="14.75" outlineLevel="0" r="735">
      <c r="A735" s="1" t="s">
        <v>230</v>
      </c>
      <c r="B735" s="1" t="s">
        <v>505</v>
      </c>
      <c r="C735" s="1" t="s">
        <v>506</v>
      </c>
      <c r="D735" s="1" t="n">
        <v>198.866666666667</v>
      </c>
      <c r="E735" s="1" t="n">
        <v>13.2786885245902</v>
      </c>
      <c r="F735" s="1" t="n">
        <v>1.55555555555556</v>
      </c>
    </row>
    <row collapsed="false" customFormat="false" customHeight="false" hidden="false" ht="14.75" outlineLevel="0" r="736">
      <c r="A736" s="1" t="s">
        <v>231</v>
      </c>
      <c r="B736" s="1" t="s">
        <v>505</v>
      </c>
      <c r="C736" s="1" t="s">
        <v>506</v>
      </c>
      <c r="D736" s="1" t="n">
        <v>134.1</v>
      </c>
      <c r="E736" s="1" t="n">
        <v>11.8421052631579</v>
      </c>
      <c r="F736" s="1" t="n">
        <v>0.666666666666667</v>
      </c>
    </row>
    <row collapsed="false" customFormat="false" customHeight="false" hidden="false" ht="14.75" outlineLevel="0" r="737">
      <c r="A737" s="1" t="s">
        <v>50</v>
      </c>
      <c r="B737" s="1" t="s">
        <v>635</v>
      </c>
      <c r="C737" s="1" t="s">
        <v>636</v>
      </c>
      <c r="D737" s="1" t="n">
        <v>511</v>
      </c>
      <c r="E737" s="1" t="n">
        <v>22.46</v>
      </c>
      <c r="F737" s="1" t="n">
        <v>7</v>
      </c>
    </row>
    <row collapsed="false" customFormat="false" customHeight="false" hidden="false" ht="14.75" outlineLevel="0" r="738">
      <c r="A738" s="1" t="s">
        <v>637</v>
      </c>
      <c r="B738" s="1" t="s">
        <v>635</v>
      </c>
      <c r="C738" s="1" t="s">
        <v>636</v>
      </c>
      <c r="D738" s="1" t="n">
        <v>81</v>
      </c>
      <c r="E738" s="1" t="n">
        <v>8.24</v>
      </c>
      <c r="F738" s="1" t="n">
        <f aca="false">3/5</f>
        <v>0.6</v>
      </c>
    </row>
    <row collapsed="false" customFormat="false" customHeight="false" hidden="false" ht="14.75" outlineLevel="0" r="739">
      <c r="A739" s="1" t="s">
        <v>638</v>
      </c>
      <c r="B739" s="1" t="s">
        <v>635</v>
      </c>
      <c r="C739" s="1" t="s">
        <v>636</v>
      </c>
      <c r="D739" s="1" t="n">
        <v>617</v>
      </c>
      <c r="E739" s="1" t="n">
        <v>23.64</v>
      </c>
      <c r="F739" s="1" t="n">
        <f aca="false">45/5</f>
        <v>9</v>
      </c>
    </row>
    <row collapsed="false" customFormat="false" customHeight="false" hidden="false" ht="14.75" outlineLevel="0" r="740">
      <c r="A740" s="1" t="s">
        <v>304</v>
      </c>
      <c r="B740" s="1" t="s">
        <v>639</v>
      </c>
      <c r="C740" s="1" t="s">
        <v>636</v>
      </c>
      <c r="D740" s="1" t="n">
        <v>200.5</v>
      </c>
      <c r="E740" s="1" t="n">
        <v>12.12</v>
      </c>
      <c r="F740" s="1" t="n">
        <v>1.90909090909091</v>
      </c>
    </row>
    <row collapsed="false" customFormat="false" customHeight="false" hidden="false" ht="14.75" outlineLevel="0" r="741">
      <c r="A741" s="1" t="s">
        <v>38</v>
      </c>
      <c r="B741" s="1" t="s">
        <v>635</v>
      </c>
      <c r="C741" s="1" t="s">
        <v>636</v>
      </c>
      <c r="D741" s="1" t="n">
        <v>177</v>
      </c>
      <c r="E741" s="1" t="n">
        <v>14</v>
      </c>
      <c r="F741" s="1" t="n">
        <f aca="false">7/5</f>
        <v>1.4</v>
      </c>
    </row>
    <row collapsed="false" customFormat="false" customHeight="false" hidden="false" ht="14.75" outlineLevel="0" r="742">
      <c r="A742" s="1" t="s">
        <v>640</v>
      </c>
      <c r="B742" s="1" t="s">
        <v>635</v>
      </c>
      <c r="C742" s="1" t="s">
        <v>636</v>
      </c>
      <c r="D742" s="1" t="n">
        <v>138</v>
      </c>
      <c r="E742" s="1" t="n">
        <v>13.18</v>
      </c>
      <c r="F742" s="1" t="n">
        <f aca="false">8/5</f>
        <v>1.6</v>
      </c>
    </row>
    <row collapsed="false" customFormat="false" customHeight="false" hidden="false" ht="14.75" outlineLevel="0" r="743">
      <c r="A743" s="1" t="s">
        <v>107</v>
      </c>
      <c r="B743" s="1" t="s">
        <v>639</v>
      </c>
      <c r="C743" s="1" t="s">
        <v>636</v>
      </c>
      <c r="D743" s="1" t="n">
        <v>482.5</v>
      </c>
      <c r="E743" s="1" t="n">
        <v>23.13</v>
      </c>
      <c r="F743" s="1" t="n">
        <v>7.66666666666667</v>
      </c>
    </row>
    <row collapsed="false" customFormat="false" customHeight="false" hidden="false" ht="14.75" outlineLevel="0" r="744">
      <c r="A744" s="1" t="s">
        <v>61</v>
      </c>
      <c r="B744" s="1" t="s">
        <v>635</v>
      </c>
      <c r="C744" s="1" t="s">
        <v>636</v>
      </c>
      <c r="D744" s="1" t="n">
        <v>261</v>
      </c>
      <c r="E744" s="1" t="n">
        <v>14.77</v>
      </c>
      <c r="F744" s="1" t="n">
        <f aca="false">19/5</f>
        <v>3.8</v>
      </c>
    </row>
    <row collapsed="false" customFormat="false" customHeight="false" hidden="false" ht="14.75" outlineLevel="0" r="745">
      <c r="A745" s="1" t="s">
        <v>641</v>
      </c>
      <c r="B745" s="1" t="s">
        <v>635</v>
      </c>
      <c r="C745" s="1" t="s">
        <v>636</v>
      </c>
      <c r="D745" s="1" t="n">
        <v>293</v>
      </c>
      <c r="E745" s="1" t="n">
        <v>16.46</v>
      </c>
      <c r="F745" s="1" t="n">
        <f aca="false">15/5</f>
        <v>3</v>
      </c>
    </row>
    <row collapsed="false" customFormat="false" customHeight="false" hidden="false" ht="14.75" outlineLevel="0" r="746">
      <c r="A746" s="1" t="s">
        <v>642</v>
      </c>
      <c r="B746" s="1" t="s">
        <v>635</v>
      </c>
      <c r="C746" s="1" t="s">
        <v>636</v>
      </c>
      <c r="D746" s="1" t="n">
        <v>184</v>
      </c>
      <c r="E746" s="1" t="n">
        <v>13.33</v>
      </c>
      <c r="F746" s="1" t="n">
        <f aca="false">12/5</f>
        <v>2.4</v>
      </c>
    </row>
    <row collapsed="false" customFormat="false" customHeight="false" hidden="false" ht="14.75" outlineLevel="0" r="747">
      <c r="A747" s="1" t="s">
        <v>643</v>
      </c>
      <c r="B747" s="1" t="s">
        <v>635</v>
      </c>
      <c r="C747" s="1" t="s">
        <v>636</v>
      </c>
      <c r="D747" s="1" t="n">
        <v>402</v>
      </c>
      <c r="E747" s="1" t="n">
        <v>17.87</v>
      </c>
      <c r="F747" s="1" t="n">
        <f aca="false">24/5</f>
        <v>4.8</v>
      </c>
    </row>
    <row collapsed="false" customFormat="false" customHeight="false" hidden="false" ht="14.75" outlineLevel="0" r="748">
      <c r="A748" s="1" t="s">
        <v>644</v>
      </c>
      <c r="B748" s="1" t="s">
        <v>639</v>
      </c>
      <c r="C748" s="1" t="s">
        <v>636</v>
      </c>
      <c r="D748" s="1" t="n">
        <v>186.4</v>
      </c>
      <c r="E748" s="1" t="n">
        <v>14.35</v>
      </c>
      <c r="F748" s="1" t="n">
        <v>1.63636363636364</v>
      </c>
    </row>
    <row collapsed="false" customFormat="false" customHeight="false" hidden="false" ht="14.75" outlineLevel="0" r="749">
      <c r="A749" s="1" t="s">
        <v>645</v>
      </c>
      <c r="B749" s="1" t="s">
        <v>639</v>
      </c>
      <c r="C749" s="1" t="s">
        <v>636</v>
      </c>
      <c r="D749" s="1" t="n">
        <v>57.7</v>
      </c>
      <c r="E749" s="1" t="n">
        <v>9.43</v>
      </c>
      <c r="F749" s="1" t="n">
        <v>0.272727272727273</v>
      </c>
    </row>
    <row collapsed="false" customFormat="false" customHeight="false" hidden="false" ht="14.75" outlineLevel="0" r="750">
      <c r="A750" s="1" t="s">
        <v>67</v>
      </c>
      <c r="B750" s="1" t="s">
        <v>635</v>
      </c>
      <c r="C750" s="1" t="s">
        <v>636</v>
      </c>
      <c r="D750" s="1" t="n">
        <v>206</v>
      </c>
      <c r="E750" s="1" t="n">
        <v>12.68</v>
      </c>
      <c r="F750" s="1" t="n">
        <f aca="false">10/5</f>
        <v>2</v>
      </c>
    </row>
    <row collapsed="false" customFormat="false" customHeight="false" hidden="false" ht="14.75" outlineLevel="0" r="751">
      <c r="A751" s="1" t="s">
        <v>646</v>
      </c>
      <c r="B751" s="1" t="s">
        <v>639</v>
      </c>
      <c r="C751" s="1" t="s">
        <v>636</v>
      </c>
      <c r="D751" s="1" t="n">
        <v>140</v>
      </c>
      <c r="E751" s="1" t="n">
        <v>10</v>
      </c>
      <c r="F751" s="1" t="n">
        <v>1.27272727272727</v>
      </c>
    </row>
    <row collapsed="false" customFormat="false" customHeight="false" hidden="false" ht="14.75" outlineLevel="0" r="752">
      <c r="A752" s="1" t="s">
        <v>142</v>
      </c>
      <c r="B752" s="1" t="s">
        <v>639</v>
      </c>
      <c r="C752" s="1" t="s">
        <v>636</v>
      </c>
      <c r="D752" s="1" t="n">
        <v>122.7</v>
      </c>
      <c r="E752" s="1" t="n">
        <v>8.92</v>
      </c>
      <c r="F752" s="1" t="n">
        <v>0.727272727272727</v>
      </c>
    </row>
    <row collapsed="false" customFormat="false" customHeight="false" hidden="false" ht="14.75" outlineLevel="0" r="753">
      <c r="A753" s="1" t="s">
        <v>647</v>
      </c>
      <c r="B753" s="1" t="s">
        <v>648</v>
      </c>
      <c r="C753" s="1" t="s">
        <v>636</v>
      </c>
      <c r="D753" s="1" t="n">
        <v>72.8</v>
      </c>
      <c r="E753" s="1" t="n">
        <v>7</v>
      </c>
      <c r="F753" s="1" t="n">
        <f aca="false">4/9</f>
        <v>0.444444444444444</v>
      </c>
    </row>
    <row collapsed="false" customFormat="false" customHeight="false" hidden="false" ht="14.75" outlineLevel="0" r="754">
      <c r="A754" s="1" t="s">
        <v>649</v>
      </c>
      <c r="B754" s="1" t="s">
        <v>648</v>
      </c>
      <c r="C754" s="1" t="s">
        <v>636</v>
      </c>
      <c r="D754" s="1" t="n">
        <v>236.1</v>
      </c>
      <c r="E754" s="1" t="n">
        <v>15.24</v>
      </c>
      <c r="F754" s="1" t="n">
        <v>2</v>
      </c>
    </row>
    <row collapsed="false" customFormat="false" customHeight="false" hidden="false" ht="14.75" outlineLevel="0" r="755">
      <c r="A755" s="1" t="s">
        <v>650</v>
      </c>
      <c r="B755" s="1" t="s">
        <v>648</v>
      </c>
      <c r="C755" s="1" t="s">
        <v>636</v>
      </c>
      <c r="D755" s="1" t="n">
        <v>386.8</v>
      </c>
      <c r="E755" s="1" t="n">
        <v>17.17</v>
      </c>
      <c r="F755" s="1" t="n">
        <f aca="false">40/11</f>
        <v>3.63636363636364</v>
      </c>
    </row>
    <row collapsed="false" customFormat="false" customHeight="false" hidden="false" ht="14.75" outlineLevel="0" r="756">
      <c r="A756" s="1" t="s">
        <v>651</v>
      </c>
      <c r="B756" s="1" t="s">
        <v>648</v>
      </c>
      <c r="C756" s="1" t="s">
        <v>636</v>
      </c>
      <c r="D756" s="1" t="n">
        <v>166.2</v>
      </c>
      <c r="E756" s="1" t="n">
        <v>12.71</v>
      </c>
      <c r="F756" s="1" t="n">
        <f aca="false">14/8</f>
        <v>1.75</v>
      </c>
    </row>
    <row collapsed="false" customFormat="false" customHeight="false" hidden="false" ht="14.75" outlineLevel="0" r="757">
      <c r="A757" s="1" t="s">
        <v>652</v>
      </c>
      <c r="B757" s="1" t="s">
        <v>648</v>
      </c>
      <c r="C757" s="1" t="s">
        <v>636</v>
      </c>
      <c r="D757" s="1" t="n">
        <v>68.8</v>
      </c>
      <c r="E757" s="1" t="n">
        <v>6.76</v>
      </c>
      <c r="F757" s="1" t="n">
        <f aca="false">3/8</f>
        <v>0.375</v>
      </c>
    </row>
    <row collapsed="false" customFormat="false" customHeight="false" hidden="false" ht="14.75" outlineLevel="0" r="758">
      <c r="A758" s="1" t="s">
        <v>653</v>
      </c>
      <c r="B758" s="1" t="s">
        <v>648</v>
      </c>
      <c r="C758" s="1" t="s">
        <v>636</v>
      </c>
      <c r="D758" s="1" t="n">
        <v>25</v>
      </c>
      <c r="E758" s="1" t="n">
        <v>4.12</v>
      </c>
      <c r="F758" s="1" t="n">
        <f aca="false">3/9</f>
        <v>0.333333333333333</v>
      </c>
    </row>
    <row collapsed="false" customFormat="false" customHeight="false" hidden="false" ht="14.75" outlineLevel="0" r="759">
      <c r="A759" s="1" t="s">
        <v>151</v>
      </c>
      <c r="B759" s="1" t="s">
        <v>639</v>
      </c>
      <c r="C759" s="1" t="s">
        <v>636</v>
      </c>
      <c r="D759" s="1" t="n">
        <v>407.7</v>
      </c>
      <c r="E759" s="1" t="n">
        <v>21.8</v>
      </c>
      <c r="F759" s="1" t="n">
        <v>6.63636363636364</v>
      </c>
    </row>
    <row collapsed="false" customFormat="false" customHeight="false" hidden="false" ht="14.75" outlineLevel="0" r="760">
      <c r="A760" s="1" t="s">
        <v>152</v>
      </c>
      <c r="B760" s="1" t="s">
        <v>639</v>
      </c>
      <c r="C760" s="1" t="s">
        <v>636</v>
      </c>
      <c r="D760" s="1" t="n">
        <v>379.1</v>
      </c>
      <c r="E760" s="1" t="n">
        <v>19.47</v>
      </c>
      <c r="F760" s="1" t="n">
        <v>6</v>
      </c>
    </row>
    <row collapsed="false" customFormat="false" customHeight="false" hidden="false" ht="14.75" outlineLevel="0" r="761">
      <c r="A761" s="1" t="s">
        <v>654</v>
      </c>
      <c r="B761" s="1" t="s">
        <v>639</v>
      </c>
      <c r="C761" s="1" t="s">
        <v>636</v>
      </c>
      <c r="D761" s="1" t="n">
        <v>229.5</v>
      </c>
      <c r="E761" s="1" t="n">
        <v>16</v>
      </c>
      <c r="F761" s="1" t="n">
        <v>1.45454545454545</v>
      </c>
    </row>
    <row collapsed="false" customFormat="false" customHeight="false" hidden="false" ht="14.75" outlineLevel="0" r="762">
      <c r="A762" s="1" t="s">
        <v>655</v>
      </c>
      <c r="B762" s="1" t="s">
        <v>635</v>
      </c>
      <c r="C762" s="1" t="s">
        <v>636</v>
      </c>
      <c r="D762" s="1" t="n">
        <v>133</v>
      </c>
      <c r="E762" s="1" t="n">
        <v>13.64</v>
      </c>
      <c r="F762" s="1" t="n">
        <f aca="false">7/5</f>
        <v>1.4</v>
      </c>
    </row>
    <row collapsed="false" customFormat="false" customHeight="false" hidden="false" ht="14.75" outlineLevel="0" r="763">
      <c r="A763" s="1" t="s">
        <v>656</v>
      </c>
      <c r="B763" s="1" t="s">
        <v>639</v>
      </c>
      <c r="C763" s="1" t="s">
        <v>636</v>
      </c>
      <c r="D763" s="1" t="n">
        <v>177.3</v>
      </c>
      <c r="E763" s="1" t="n">
        <v>13.95</v>
      </c>
      <c r="F763" s="1" t="n">
        <v>2.27272727272727</v>
      </c>
    </row>
    <row collapsed="false" customFormat="false" customHeight="false" hidden="false" ht="14.75" outlineLevel="0" r="764">
      <c r="A764" s="1" t="s">
        <v>657</v>
      </c>
      <c r="B764" s="1" t="s">
        <v>639</v>
      </c>
      <c r="C764" s="1" t="s">
        <v>636</v>
      </c>
      <c r="D764" s="1" t="n">
        <v>87.7</v>
      </c>
      <c r="E764" s="1" t="n">
        <v>8.8</v>
      </c>
      <c r="F764" s="1" t="n">
        <v>0.818181818181818</v>
      </c>
    </row>
    <row collapsed="false" customFormat="false" customHeight="false" hidden="false" ht="14.75" outlineLevel="0" r="765">
      <c r="A765" s="1" t="s">
        <v>658</v>
      </c>
      <c r="B765" s="1" t="s">
        <v>639</v>
      </c>
      <c r="C765" s="1" t="s">
        <v>636</v>
      </c>
      <c r="D765" s="1" t="n">
        <v>71.4</v>
      </c>
      <c r="E765" s="1" t="n">
        <v>7.07</v>
      </c>
      <c r="F765" s="1" t="n">
        <v>0.727272727272727</v>
      </c>
    </row>
    <row collapsed="false" customFormat="false" customHeight="false" hidden="false" ht="14.75" outlineLevel="0" r="766">
      <c r="A766" s="1" t="s">
        <v>478</v>
      </c>
      <c r="B766" s="1" t="s">
        <v>635</v>
      </c>
      <c r="C766" s="1" t="s">
        <v>636</v>
      </c>
      <c r="D766" s="1" t="n">
        <v>560</v>
      </c>
      <c r="E766" s="1" t="n">
        <v>23.75</v>
      </c>
      <c r="F766" s="1" t="n">
        <f aca="false">36/5</f>
        <v>7.2</v>
      </c>
    </row>
    <row collapsed="false" customFormat="false" customHeight="false" hidden="false" ht="14.75" outlineLevel="0" r="767">
      <c r="A767" s="1" t="s">
        <v>659</v>
      </c>
      <c r="B767" s="1" t="s">
        <v>635</v>
      </c>
      <c r="C767" s="1" t="s">
        <v>636</v>
      </c>
      <c r="D767" s="1" t="n">
        <v>309</v>
      </c>
      <c r="E767" s="1" t="n">
        <v>15.47</v>
      </c>
      <c r="F767" s="1" t="n">
        <f aca="false">21/5</f>
        <v>4.2</v>
      </c>
    </row>
    <row collapsed="false" customFormat="false" customHeight="false" hidden="false" ht="14.75" outlineLevel="0" r="768">
      <c r="A768" s="1" t="s">
        <v>660</v>
      </c>
      <c r="B768" s="1" t="s">
        <v>648</v>
      </c>
      <c r="C768" s="1" t="s">
        <v>636</v>
      </c>
      <c r="D768" s="1" t="n">
        <v>163.3</v>
      </c>
      <c r="E768" s="1" t="n">
        <v>10.41</v>
      </c>
      <c r="F768" s="1" t="n">
        <f aca="false">8/9</f>
        <v>0.888888888888889</v>
      </c>
    </row>
    <row collapsed="false" customFormat="false" customHeight="false" hidden="false" ht="14.75" outlineLevel="0" r="769">
      <c r="A769" s="1" t="s">
        <v>661</v>
      </c>
      <c r="B769" s="1" t="s">
        <v>648</v>
      </c>
      <c r="C769" s="1" t="s">
        <v>636</v>
      </c>
      <c r="D769" s="1" t="n">
        <v>77.5</v>
      </c>
      <c r="E769" s="1" t="n">
        <v>7.84</v>
      </c>
      <c r="F769" s="1" t="n">
        <v>0</v>
      </c>
    </row>
    <row collapsed="false" customFormat="false" customHeight="false" hidden="false" ht="14.75" outlineLevel="0" r="770">
      <c r="A770" s="1" t="s">
        <v>662</v>
      </c>
      <c r="B770" s="1" t="s">
        <v>648</v>
      </c>
      <c r="C770" s="1" t="s">
        <v>636</v>
      </c>
      <c r="D770" s="1" t="n">
        <v>211.9</v>
      </c>
      <c r="E770" s="1" t="n">
        <v>12.43</v>
      </c>
      <c r="F770" s="1" t="n">
        <f aca="false">19/9</f>
        <v>2.11111111111111</v>
      </c>
    </row>
    <row collapsed="false" customFormat="false" customHeight="false" hidden="false" ht="14.75" outlineLevel="0" r="771">
      <c r="A771" s="1" t="s">
        <v>663</v>
      </c>
      <c r="B771" s="1" t="s">
        <v>648</v>
      </c>
      <c r="C771" s="1" t="s">
        <v>636</v>
      </c>
      <c r="D771" s="1" t="n">
        <v>132.5</v>
      </c>
      <c r="E771" s="1" t="n">
        <v>11</v>
      </c>
      <c r="F771" s="1" t="n">
        <f aca="false">7/8</f>
        <v>0.875</v>
      </c>
    </row>
    <row collapsed="false" customFormat="false" customHeight="false" hidden="false" ht="14.75" outlineLevel="0" r="772">
      <c r="A772" s="1" t="s">
        <v>664</v>
      </c>
      <c r="B772" s="1" t="s">
        <v>648</v>
      </c>
      <c r="C772" s="1" t="s">
        <v>636</v>
      </c>
      <c r="D772" s="1" t="n">
        <v>195.6</v>
      </c>
      <c r="E772" s="1" t="n">
        <v>12.69</v>
      </c>
      <c r="F772" s="1" t="n">
        <v>2</v>
      </c>
    </row>
    <row collapsed="false" customFormat="false" customHeight="false" hidden="false" ht="14.75" outlineLevel="0" r="773">
      <c r="A773" s="1" t="s">
        <v>665</v>
      </c>
      <c r="B773" s="1" t="s">
        <v>635</v>
      </c>
      <c r="C773" s="1" t="s">
        <v>636</v>
      </c>
      <c r="D773" s="1" t="n">
        <v>152</v>
      </c>
      <c r="E773" s="1" t="n">
        <v>8.86</v>
      </c>
      <c r="F773" s="1" t="n">
        <f aca="false">8/5</f>
        <v>1.6</v>
      </c>
    </row>
    <row collapsed="false" customFormat="false" customHeight="false" hidden="false" ht="14.75" outlineLevel="0" r="774">
      <c r="A774" s="1" t="s">
        <v>666</v>
      </c>
      <c r="B774" s="1" t="s">
        <v>639</v>
      </c>
      <c r="C774" s="1" t="s">
        <v>636</v>
      </c>
      <c r="D774" s="1" t="n">
        <v>151.4</v>
      </c>
      <c r="E774" s="1" t="n">
        <v>13.96</v>
      </c>
      <c r="F774" s="1" t="n">
        <v>1.54545454545455</v>
      </c>
    </row>
    <row collapsed="false" customFormat="false" customHeight="false" hidden="false" ht="14.75" outlineLevel="0" r="775">
      <c r="A775" s="1" t="s">
        <v>667</v>
      </c>
      <c r="B775" s="1" t="s">
        <v>639</v>
      </c>
      <c r="C775" s="1" t="s">
        <v>636</v>
      </c>
      <c r="D775" s="1" t="n">
        <v>426.4</v>
      </c>
      <c r="E775" s="1" t="n">
        <v>22.98</v>
      </c>
      <c r="F775" s="1" t="n">
        <v>6.54545454545455</v>
      </c>
    </row>
    <row collapsed="false" customFormat="false" customHeight="false" hidden="false" ht="14.75" outlineLevel="0" r="776">
      <c r="A776" s="1" t="s">
        <v>668</v>
      </c>
      <c r="B776" s="1" t="s">
        <v>635</v>
      </c>
      <c r="C776" s="1" t="s">
        <v>636</v>
      </c>
      <c r="D776" s="1" t="n">
        <v>294</v>
      </c>
      <c r="E776" s="1" t="n">
        <v>16.82</v>
      </c>
      <c r="F776" s="1" t="n">
        <f aca="false">6/5</f>
        <v>1.2</v>
      </c>
    </row>
    <row collapsed="false" customFormat="false" customHeight="false" hidden="false" ht="14.75" outlineLevel="0" r="777">
      <c r="A777" s="1" t="s">
        <v>174</v>
      </c>
      <c r="B777" s="1" t="s">
        <v>648</v>
      </c>
      <c r="C777" s="1" t="s">
        <v>636</v>
      </c>
      <c r="D777" s="1" t="n">
        <v>454.5</v>
      </c>
      <c r="E777" s="1" t="n">
        <v>20.34</v>
      </c>
      <c r="F777" s="1" t="n">
        <v>6</v>
      </c>
    </row>
    <row collapsed="false" customFormat="false" customHeight="false" hidden="false" ht="14.75" outlineLevel="0" r="778">
      <c r="A778" s="1" t="s">
        <v>28</v>
      </c>
      <c r="B778" s="1" t="s">
        <v>639</v>
      </c>
      <c r="C778" s="1" t="s">
        <v>636</v>
      </c>
      <c r="D778" s="1" t="n">
        <v>580.4</v>
      </c>
      <c r="E778" s="1" t="n">
        <v>25.35</v>
      </c>
      <c r="F778" s="1" t="n">
        <v>9.75</v>
      </c>
    </row>
    <row collapsed="false" customFormat="false" customHeight="false" hidden="false" ht="14.75" outlineLevel="0" r="779">
      <c r="A779" s="1" t="s">
        <v>669</v>
      </c>
      <c r="B779" s="1" t="s">
        <v>648</v>
      </c>
      <c r="C779" s="1" t="s">
        <v>636</v>
      </c>
      <c r="D779" s="1" t="n">
        <v>145.6</v>
      </c>
      <c r="E779" s="1" t="n">
        <v>10.7</v>
      </c>
      <c r="F779" s="1" t="n">
        <f aca="false">9/8</f>
        <v>1.125</v>
      </c>
    </row>
    <row collapsed="false" customFormat="false" customHeight="false" hidden="false" ht="14.75" outlineLevel="0" r="780">
      <c r="A780" s="1" t="s">
        <v>670</v>
      </c>
      <c r="B780" s="1" t="s">
        <v>648</v>
      </c>
      <c r="C780" s="1" t="s">
        <v>636</v>
      </c>
      <c r="D780" s="1" t="n">
        <v>95</v>
      </c>
      <c r="E780" s="1" t="n">
        <v>8.68</v>
      </c>
      <c r="F780" s="1" t="n">
        <f aca="false">2/9</f>
        <v>0.222222222222222</v>
      </c>
    </row>
    <row collapsed="false" customFormat="false" customHeight="false" hidden="false" ht="14.75" outlineLevel="0" r="781">
      <c r="A781" s="1" t="s">
        <v>671</v>
      </c>
      <c r="B781" s="1" t="s">
        <v>648</v>
      </c>
      <c r="C781" s="1" t="s">
        <v>636</v>
      </c>
      <c r="D781" s="1" t="n">
        <v>206</v>
      </c>
      <c r="E781" s="1" t="n">
        <v>13.49</v>
      </c>
      <c r="F781" s="1" t="n">
        <f aca="false">25/11</f>
        <v>2.27272727272727</v>
      </c>
    </row>
    <row collapsed="false" customFormat="false" customHeight="false" hidden="false" ht="14.75" outlineLevel="0" r="782">
      <c r="A782" s="1" t="s">
        <v>83</v>
      </c>
      <c r="B782" s="1" t="s">
        <v>635</v>
      </c>
      <c r="C782" s="1" t="s">
        <v>636</v>
      </c>
      <c r="D782" s="1" t="n">
        <v>23</v>
      </c>
      <c r="E782" s="1" t="n">
        <v>2.86</v>
      </c>
      <c r="F782" s="1" t="n">
        <f aca="false">1/5</f>
        <v>0.2</v>
      </c>
    </row>
    <row collapsed="false" customFormat="false" customHeight="false" hidden="false" ht="14.75" outlineLevel="0" r="783">
      <c r="A783" s="1" t="s">
        <v>499</v>
      </c>
      <c r="B783" s="1" t="s">
        <v>648</v>
      </c>
      <c r="C783" s="1" t="s">
        <v>636</v>
      </c>
      <c r="D783" s="1" t="n">
        <v>214</v>
      </c>
      <c r="E783" s="1" t="n">
        <v>14</v>
      </c>
      <c r="F783" s="1" t="n">
        <v>2.1</v>
      </c>
    </row>
    <row collapsed="false" customFormat="false" customHeight="false" hidden="false" ht="14.75" outlineLevel="0" r="784">
      <c r="A784" s="1" t="s">
        <v>672</v>
      </c>
      <c r="B784" s="1" t="s">
        <v>639</v>
      </c>
      <c r="C784" s="1" t="s">
        <v>636</v>
      </c>
      <c r="D784" s="1" t="n">
        <v>129.5</v>
      </c>
      <c r="E784" s="1" t="n">
        <v>11.32</v>
      </c>
      <c r="F784" s="1" t="n">
        <v>1.81818181818182</v>
      </c>
    </row>
    <row collapsed="false" customFormat="false" customHeight="false" hidden="false" ht="14.75" outlineLevel="0" r="785">
      <c r="A785" s="1" t="s">
        <v>673</v>
      </c>
      <c r="B785" s="1" t="s">
        <v>635</v>
      </c>
      <c r="C785" s="1" t="s">
        <v>636</v>
      </c>
      <c r="D785" s="1" t="n">
        <v>261</v>
      </c>
      <c r="E785" s="1" t="n">
        <v>15.26</v>
      </c>
      <c r="F785" s="1" t="n">
        <f aca="false">9/5</f>
        <v>1.8</v>
      </c>
    </row>
    <row collapsed="false" customFormat="false" customHeight="false" hidden="false" ht="14.75" outlineLevel="0" r="786">
      <c r="A786" s="1" t="s">
        <v>674</v>
      </c>
      <c r="B786" s="1" t="s">
        <v>648</v>
      </c>
      <c r="C786" s="1" t="s">
        <v>636</v>
      </c>
      <c r="D786" s="1" t="n">
        <v>195</v>
      </c>
      <c r="E786" s="1" t="n">
        <v>12.56</v>
      </c>
      <c r="F786" s="1" t="n">
        <f aca="false">11/9</f>
        <v>1.22222222222222</v>
      </c>
    </row>
    <row collapsed="false" customFormat="false" customHeight="false" hidden="false" ht="14.75" outlineLevel="0" r="787">
      <c r="A787" s="1" t="s">
        <v>675</v>
      </c>
      <c r="B787" s="1" t="s">
        <v>648</v>
      </c>
      <c r="C787" s="1" t="s">
        <v>636</v>
      </c>
      <c r="D787" s="1" t="n">
        <v>56.9</v>
      </c>
      <c r="E787" s="1" t="n">
        <v>5.67</v>
      </c>
      <c r="F787" s="1" t="n">
        <f aca="false">2/8</f>
        <v>0.25</v>
      </c>
    </row>
    <row collapsed="false" customFormat="false" customHeight="false" hidden="false" ht="14.75" outlineLevel="0" r="788">
      <c r="A788" s="1" t="s">
        <v>676</v>
      </c>
      <c r="B788" s="1" t="s">
        <v>648</v>
      </c>
      <c r="C788" s="1" t="s">
        <v>636</v>
      </c>
      <c r="D788" s="1" t="n">
        <v>65</v>
      </c>
      <c r="E788" s="1" t="n">
        <v>6</v>
      </c>
      <c r="F788" s="1" t="n">
        <f aca="false">3/9</f>
        <v>0.333333333333333</v>
      </c>
    </row>
    <row collapsed="false" customFormat="false" customHeight="false" hidden="false" ht="14.75" outlineLevel="0" r="789">
      <c r="A789" s="1" t="s">
        <v>677</v>
      </c>
      <c r="B789" s="1" t="s">
        <v>635</v>
      </c>
      <c r="C789" s="1" t="s">
        <v>636</v>
      </c>
      <c r="D789" s="1" t="n">
        <v>291</v>
      </c>
      <c r="E789" s="1" t="n">
        <v>15.92</v>
      </c>
      <c r="F789" s="1" t="n">
        <f aca="false">13/5</f>
        <v>2.6</v>
      </c>
    </row>
    <row collapsed="false" customFormat="false" customHeight="false" hidden="false" ht="14.75" outlineLevel="0" r="790">
      <c r="A790" s="1" t="s">
        <v>678</v>
      </c>
      <c r="B790" s="1" t="s">
        <v>679</v>
      </c>
      <c r="C790" s="1" t="s">
        <v>680</v>
      </c>
      <c r="D790" s="1" t="n">
        <v>207.8</v>
      </c>
      <c r="E790" s="1" t="n">
        <v>16.34</v>
      </c>
      <c r="F790" s="1" t="s">
        <v>9</v>
      </c>
    </row>
    <row collapsed="false" customFormat="false" customHeight="false" hidden="false" ht="14.75" outlineLevel="0" r="791">
      <c r="A791" s="1" t="s">
        <v>681</v>
      </c>
      <c r="B791" s="1" t="s">
        <v>679</v>
      </c>
      <c r="C791" s="1" t="s">
        <v>680</v>
      </c>
      <c r="D791" s="1" t="n">
        <v>128.9</v>
      </c>
      <c r="E791" s="1" t="n">
        <v>9.66</v>
      </c>
      <c r="F791" s="1" t="s">
        <v>9</v>
      </c>
    </row>
    <row collapsed="false" customFormat="false" customHeight="false" hidden="false" ht="14.75" outlineLevel="0" r="792">
      <c r="A792" s="1" t="s">
        <v>303</v>
      </c>
      <c r="B792" s="1" t="s">
        <v>679</v>
      </c>
      <c r="C792" s="1" t="s">
        <v>680</v>
      </c>
      <c r="D792" s="1" t="n">
        <v>470.9</v>
      </c>
      <c r="E792" s="1" t="n">
        <v>23.64</v>
      </c>
      <c r="F792" s="1" t="s">
        <v>9</v>
      </c>
    </row>
    <row collapsed="false" customFormat="false" customHeight="false" hidden="false" ht="14.75" outlineLevel="0" r="793">
      <c r="A793" s="1" t="s">
        <v>682</v>
      </c>
      <c r="B793" s="1" t="s">
        <v>679</v>
      </c>
      <c r="C793" s="1" t="s">
        <v>680</v>
      </c>
      <c r="D793" s="1" t="n">
        <v>297.8</v>
      </c>
      <c r="E793" s="1" t="n">
        <v>20.45</v>
      </c>
      <c r="F793" s="1" t="s">
        <v>9</v>
      </c>
    </row>
    <row collapsed="false" customFormat="false" customHeight="false" hidden="false" ht="14.75" outlineLevel="0" r="794">
      <c r="A794" s="1" t="s">
        <v>683</v>
      </c>
      <c r="B794" s="1" t="s">
        <v>679</v>
      </c>
      <c r="C794" s="1" t="s">
        <v>680</v>
      </c>
      <c r="D794" s="1" t="n">
        <v>95.7</v>
      </c>
      <c r="E794" s="1" t="n">
        <v>7.18</v>
      </c>
      <c r="F794" s="1" t="s">
        <v>9</v>
      </c>
    </row>
    <row collapsed="false" customFormat="false" customHeight="false" hidden="false" ht="14.75" outlineLevel="0" r="795">
      <c r="A795" s="1" t="s">
        <v>321</v>
      </c>
      <c r="B795" s="1" t="s">
        <v>684</v>
      </c>
      <c r="C795" s="1" t="s">
        <v>680</v>
      </c>
      <c r="D795" s="1" t="n">
        <v>35</v>
      </c>
      <c r="E795" s="1" t="n">
        <v>6.32</v>
      </c>
      <c r="F795" s="1" t="s">
        <v>9</v>
      </c>
      <c r="J795" s="1" t="s">
        <v>685</v>
      </c>
    </row>
    <row collapsed="false" customFormat="false" customHeight="false" hidden="false" ht="14.75" outlineLevel="0" r="796">
      <c r="A796" s="1" t="s">
        <v>322</v>
      </c>
      <c r="B796" s="1" t="s">
        <v>684</v>
      </c>
      <c r="C796" s="1" t="s">
        <v>680</v>
      </c>
      <c r="D796" s="1" t="n">
        <v>51.9</v>
      </c>
      <c r="E796" s="1" t="n">
        <v>6.25</v>
      </c>
      <c r="F796" s="1" t="s">
        <v>9</v>
      </c>
    </row>
    <row collapsed="false" customFormat="false" customHeight="false" hidden="false" ht="14.75" outlineLevel="0" r="797">
      <c r="A797" s="1" t="s">
        <v>447</v>
      </c>
      <c r="B797" s="1" t="s">
        <v>679</v>
      </c>
      <c r="C797" s="1" t="s">
        <v>680</v>
      </c>
      <c r="D797" s="1" t="n">
        <v>101.1</v>
      </c>
      <c r="E797" s="1" t="n">
        <v>9.78</v>
      </c>
      <c r="F797" s="1" t="s">
        <v>9</v>
      </c>
      <c r="J797" s="1" t="s">
        <v>686</v>
      </c>
    </row>
    <row collapsed="false" customFormat="false" customHeight="false" hidden="false" ht="14.75" outlineLevel="0" r="798">
      <c r="A798" s="1" t="s">
        <v>448</v>
      </c>
      <c r="B798" s="1" t="s">
        <v>679</v>
      </c>
      <c r="C798" s="1" t="s">
        <v>680</v>
      </c>
      <c r="D798" s="1" t="n">
        <v>57.1</v>
      </c>
      <c r="E798" s="1" t="n">
        <v>10</v>
      </c>
      <c r="F798" s="1" t="s">
        <v>9</v>
      </c>
    </row>
    <row collapsed="false" customFormat="false" customHeight="false" hidden="false" ht="14.75" outlineLevel="0" r="799">
      <c r="A799" s="1" t="s">
        <v>687</v>
      </c>
      <c r="B799" s="1" t="s">
        <v>679</v>
      </c>
      <c r="C799" s="1" t="s">
        <v>680</v>
      </c>
      <c r="D799" s="1" t="n">
        <v>175.6</v>
      </c>
      <c r="E799" s="1" t="n">
        <v>13.24</v>
      </c>
      <c r="F799" s="1" t="s">
        <v>9</v>
      </c>
    </row>
    <row collapsed="false" customFormat="false" customHeight="false" hidden="false" ht="14.75" outlineLevel="0" r="800">
      <c r="A800" s="1" t="s">
        <v>332</v>
      </c>
      <c r="B800" s="1" t="s">
        <v>684</v>
      </c>
      <c r="C800" s="1" t="s">
        <v>680</v>
      </c>
      <c r="D800" s="1" t="n">
        <v>217.7</v>
      </c>
      <c r="E800" s="1" t="n">
        <v>17.11</v>
      </c>
      <c r="F800" s="1" t="s">
        <v>9</v>
      </c>
    </row>
    <row collapsed="false" customFormat="false" customHeight="false" hidden="false" ht="14.75" outlineLevel="0" r="801">
      <c r="A801" s="1" t="s">
        <v>688</v>
      </c>
      <c r="B801" s="1" t="s">
        <v>679</v>
      </c>
      <c r="C801" s="1" t="s">
        <v>680</v>
      </c>
      <c r="D801" s="1" t="n">
        <v>107.1</v>
      </c>
      <c r="E801" s="1" t="n">
        <v>9.23</v>
      </c>
      <c r="F801" s="1" t="s">
        <v>9</v>
      </c>
    </row>
    <row collapsed="false" customFormat="false" customHeight="false" hidden="false" ht="14.75" outlineLevel="0" r="802">
      <c r="A802" s="1" t="s">
        <v>689</v>
      </c>
      <c r="B802" s="1" t="s">
        <v>684</v>
      </c>
      <c r="C802" s="1" t="s">
        <v>680</v>
      </c>
      <c r="D802" s="1" t="n">
        <v>140</v>
      </c>
      <c r="E802" s="1" t="n">
        <v>12.33</v>
      </c>
      <c r="F802" s="1" t="s">
        <v>9</v>
      </c>
    </row>
    <row collapsed="false" customFormat="false" customHeight="false" hidden="false" ht="14.75" outlineLevel="0" r="803">
      <c r="A803" s="1" t="s">
        <v>690</v>
      </c>
      <c r="B803" s="1" t="s">
        <v>684</v>
      </c>
      <c r="C803" s="1" t="s">
        <v>680</v>
      </c>
      <c r="D803" s="1" t="n">
        <v>51.1</v>
      </c>
      <c r="E803" s="1" t="n">
        <v>6.43</v>
      </c>
      <c r="F803" s="1" t="s">
        <v>9</v>
      </c>
    </row>
    <row collapsed="false" customFormat="false" customHeight="false" hidden="false" ht="14.75" outlineLevel="0" r="804">
      <c r="A804" s="1" t="s">
        <v>691</v>
      </c>
      <c r="B804" s="1" t="s">
        <v>679</v>
      </c>
      <c r="C804" s="1" t="s">
        <v>680</v>
      </c>
      <c r="D804" s="1" t="n">
        <v>184.4</v>
      </c>
      <c r="E804" s="1" t="n">
        <v>15.94</v>
      </c>
      <c r="F804" s="1" t="s">
        <v>9</v>
      </c>
    </row>
    <row collapsed="false" customFormat="false" customHeight="false" hidden="false" ht="14.75" outlineLevel="0" r="805">
      <c r="A805" s="1" t="s">
        <v>692</v>
      </c>
      <c r="B805" s="1" t="s">
        <v>679</v>
      </c>
      <c r="C805" s="1" t="s">
        <v>680</v>
      </c>
      <c r="D805" s="1" t="n">
        <v>124.4</v>
      </c>
      <c r="E805" s="1" t="n">
        <v>9.14</v>
      </c>
      <c r="F805" s="1" t="s">
        <v>9</v>
      </c>
    </row>
    <row collapsed="false" customFormat="false" customHeight="false" hidden="false" ht="14.75" outlineLevel="0" r="806">
      <c r="A806" s="1" t="s">
        <v>693</v>
      </c>
      <c r="B806" s="1" t="s">
        <v>679</v>
      </c>
      <c r="C806" s="1" t="s">
        <v>680</v>
      </c>
      <c r="D806" s="1" t="n">
        <v>124.3</v>
      </c>
      <c r="E806" s="1" t="n">
        <v>12.31</v>
      </c>
      <c r="F806" s="1" t="s">
        <v>9</v>
      </c>
    </row>
    <row collapsed="false" customFormat="false" customHeight="false" hidden="false" ht="14.75" outlineLevel="0" r="807">
      <c r="A807" s="1" t="s">
        <v>19</v>
      </c>
      <c r="B807" s="1" t="s">
        <v>684</v>
      </c>
      <c r="C807" s="1" t="s">
        <v>680</v>
      </c>
      <c r="D807" s="1" t="n">
        <v>468.6</v>
      </c>
      <c r="E807" s="1" t="n">
        <v>25.97</v>
      </c>
      <c r="F807" s="1" t="s">
        <v>9</v>
      </c>
    </row>
    <row collapsed="false" customFormat="false" customHeight="false" hidden="false" ht="14.75" outlineLevel="0" r="808">
      <c r="A808" s="1" t="s">
        <v>20</v>
      </c>
      <c r="B808" s="1" t="s">
        <v>684</v>
      </c>
      <c r="C808" s="1" t="s">
        <v>680</v>
      </c>
      <c r="D808" s="1" t="n">
        <v>312.3</v>
      </c>
      <c r="E808" s="1" t="n">
        <v>18.72</v>
      </c>
      <c r="F808" s="1" t="s">
        <v>9</v>
      </c>
    </row>
    <row collapsed="false" customFormat="false" customHeight="false" hidden="false" ht="14.75" outlineLevel="0" r="809">
      <c r="A809" s="1" t="s">
        <v>149</v>
      </c>
      <c r="B809" s="1" t="s">
        <v>684</v>
      </c>
      <c r="C809" s="1" t="s">
        <v>680</v>
      </c>
      <c r="D809" s="1" t="n">
        <v>151.8</v>
      </c>
      <c r="E809" s="1" t="n">
        <v>11.01</v>
      </c>
      <c r="F809" s="1" t="s">
        <v>9</v>
      </c>
    </row>
    <row collapsed="false" customFormat="false" customHeight="false" hidden="false" ht="14.75" outlineLevel="0" r="810">
      <c r="A810" s="1" t="s">
        <v>694</v>
      </c>
      <c r="B810" s="1" t="s">
        <v>679</v>
      </c>
      <c r="C810" s="1" t="s">
        <v>680</v>
      </c>
      <c r="D810" s="1" t="n">
        <v>505.5</v>
      </c>
      <c r="E810" s="1" t="n">
        <v>25.19</v>
      </c>
      <c r="F810" s="1" t="s">
        <v>9</v>
      </c>
    </row>
    <row collapsed="false" customFormat="false" customHeight="false" hidden="false" ht="14.75" outlineLevel="0" r="811">
      <c r="A811" s="1" t="s">
        <v>695</v>
      </c>
      <c r="B811" s="1" t="s">
        <v>679</v>
      </c>
      <c r="C811" s="1" t="s">
        <v>680</v>
      </c>
      <c r="D811" s="1" t="n">
        <v>172.2</v>
      </c>
      <c r="E811" s="1" t="n">
        <v>11.83</v>
      </c>
      <c r="F811" s="1" t="s">
        <v>9</v>
      </c>
    </row>
    <row collapsed="false" customFormat="false" customHeight="false" hidden="false" ht="14.75" outlineLevel="0" r="812">
      <c r="A812" s="1" t="s">
        <v>696</v>
      </c>
      <c r="B812" s="1" t="s">
        <v>684</v>
      </c>
      <c r="C812" s="1" t="s">
        <v>680</v>
      </c>
      <c r="D812" s="1" t="n">
        <v>228.6</v>
      </c>
      <c r="E812" s="1" t="n">
        <v>14.86</v>
      </c>
      <c r="F812" s="1" t="s">
        <v>9</v>
      </c>
    </row>
    <row collapsed="false" customFormat="false" customHeight="false" hidden="false" ht="14.75" outlineLevel="0" r="813">
      <c r="A813" s="1" t="s">
        <v>163</v>
      </c>
      <c r="B813" s="1" t="s">
        <v>684</v>
      </c>
      <c r="C813" s="1" t="s">
        <v>680</v>
      </c>
      <c r="D813" s="1" t="n">
        <v>412.3</v>
      </c>
      <c r="E813" s="1" t="n">
        <v>22.64</v>
      </c>
      <c r="F813" s="1" t="s">
        <v>9</v>
      </c>
    </row>
    <row collapsed="false" customFormat="false" customHeight="false" hidden="false" ht="14.75" outlineLevel="0" r="814">
      <c r="A814" s="1" t="s">
        <v>697</v>
      </c>
      <c r="B814" s="1" t="s">
        <v>679</v>
      </c>
      <c r="C814" s="1" t="s">
        <v>680</v>
      </c>
      <c r="D814" s="1" t="n">
        <v>122.9</v>
      </c>
      <c r="E814" s="1" t="n">
        <v>9.77</v>
      </c>
      <c r="F814" s="1" t="s">
        <v>9</v>
      </c>
    </row>
    <row collapsed="false" customFormat="false" customHeight="false" hidden="false" ht="14.75" outlineLevel="0" r="815">
      <c r="A815" s="1" t="s">
        <v>698</v>
      </c>
      <c r="B815" s="1" t="s">
        <v>679</v>
      </c>
      <c r="C815" s="1" t="s">
        <v>680</v>
      </c>
      <c r="D815" s="1" t="n">
        <v>88.6</v>
      </c>
      <c r="E815" s="1" t="n">
        <v>10</v>
      </c>
      <c r="F815" s="1" t="s">
        <v>9</v>
      </c>
    </row>
    <row collapsed="false" customFormat="false" customHeight="false" hidden="false" ht="14.75" outlineLevel="0" r="816">
      <c r="A816" s="1" t="s">
        <v>699</v>
      </c>
      <c r="B816" s="1" t="s">
        <v>679</v>
      </c>
      <c r="C816" s="1" t="s">
        <v>680</v>
      </c>
      <c r="D816" s="1" t="n">
        <v>164.4</v>
      </c>
      <c r="E816" s="1" t="n">
        <v>12.42</v>
      </c>
      <c r="F816" s="1" t="s">
        <v>9</v>
      </c>
    </row>
    <row collapsed="false" customFormat="false" customHeight="false" hidden="false" ht="14.75" outlineLevel="0" r="817">
      <c r="A817" s="1" t="s">
        <v>700</v>
      </c>
      <c r="B817" s="1" t="s">
        <v>679</v>
      </c>
      <c r="C817" s="1" t="s">
        <v>680</v>
      </c>
      <c r="D817" s="1" t="n">
        <v>41.4</v>
      </c>
      <c r="E817" s="1" t="n">
        <v>6.11</v>
      </c>
      <c r="F817" s="1" t="s">
        <v>9</v>
      </c>
    </row>
    <row collapsed="false" customFormat="false" customHeight="false" hidden="false" ht="14.75" outlineLevel="0" r="818">
      <c r="A818" s="1" t="s">
        <v>701</v>
      </c>
      <c r="B818" s="1" t="s">
        <v>684</v>
      </c>
      <c r="C818" s="1" t="s">
        <v>680</v>
      </c>
      <c r="D818" s="1" t="n">
        <v>37.5</v>
      </c>
      <c r="E818" s="1" t="n">
        <v>4.17</v>
      </c>
      <c r="F818" s="1" t="s">
        <v>9</v>
      </c>
    </row>
    <row collapsed="false" customFormat="false" customHeight="false" hidden="false" ht="14.75" outlineLevel="0" r="819">
      <c r="A819" s="1" t="s">
        <v>702</v>
      </c>
      <c r="B819" s="1" t="s">
        <v>679</v>
      </c>
      <c r="C819" s="1" t="s">
        <v>680</v>
      </c>
      <c r="D819" s="1" t="n">
        <v>312.2</v>
      </c>
      <c r="E819" s="1" t="n">
        <v>18.38</v>
      </c>
      <c r="F819" s="1" t="s">
        <v>9</v>
      </c>
    </row>
    <row collapsed="false" customFormat="false" customHeight="false" hidden="false" ht="14.75" outlineLevel="0" r="820">
      <c r="A820" s="1" t="s">
        <v>703</v>
      </c>
      <c r="B820" s="1" t="s">
        <v>679</v>
      </c>
      <c r="C820" s="1" t="s">
        <v>680</v>
      </c>
      <c r="D820" s="1" t="n">
        <v>128.6</v>
      </c>
      <c r="E820" s="1" t="n">
        <v>9.57</v>
      </c>
      <c r="F820" s="1" t="s">
        <v>9</v>
      </c>
    </row>
    <row collapsed="false" customFormat="false" customHeight="false" hidden="false" ht="14.75" outlineLevel="0" r="821">
      <c r="A821" s="1" t="s">
        <v>397</v>
      </c>
      <c r="B821" s="1" t="s">
        <v>684</v>
      </c>
      <c r="C821" s="1" t="s">
        <v>680</v>
      </c>
      <c r="D821" s="1" t="n">
        <v>205.9</v>
      </c>
      <c r="E821" s="1" t="n">
        <v>14.48</v>
      </c>
      <c r="F821" s="1" t="s">
        <v>9</v>
      </c>
    </row>
    <row collapsed="false" customFormat="false" customHeight="false" hidden="false" ht="14.75" outlineLevel="0" r="822">
      <c r="A822" s="1" t="s">
        <v>398</v>
      </c>
      <c r="B822" s="1" t="s">
        <v>684</v>
      </c>
      <c r="C822" s="1" t="s">
        <v>680</v>
      </c>
      <c r="D822" s="1" t="n">
        <v>203.2</v>
      </c>
      <c r="E822" s="1" t="n">
        <v>12.35</v>
      </c>
      <c r="F822" s="1" t="s">
        <v>9</v>
      </c>
    </row>
    <row collapsed="false" customFormat="false" customHeight="false" hidden="false" ht="14.75" outlineLevel="0" r="823">
      <c r="A823" s="1" t="s">
        <v>178</v>
      </c>
      <c r="B823" s="1" t="s">
        <v>684</v>
      </c>
      <c r="C823" s="1" t="s">
        <v>680</v>
      </c>
      <c r="D823" s="1" t="n">
        <v>297.3</v>
      </c>
      <c r="E823" s="1" t="n">
        <v>19.31</v>
      </c>
      <c r="F823" s="1" t="s">
        <v>9</v>
      </c>
    </row>
    <row collapsed="false" customFormat="false" customHeight="false" hidden="false" ht="14.75" outlineLevel="0" r="824">
      <c r="A824" s="1" t="s">
        <v>179</v>
      </c>
      <c r="B824" s="1" t="s">
        <v>684</v>
      </c>
      <c r="C824" s="1" t="s">
        <v>680</v>
      </c>
      <c r="D824" s="1" t="n">
        <v>250.5</v>
      </c>
      <c r="E824" s="1" t="n">
        <v>16.51</v>
      </c>
      <c r="F824" s="1" t="s">
        <v>9</v>
      </c>
    </row>
    <row collapsed="false" customFormat="false" customHeight="false" hidden="false" ht="14.75" outlineLevel="0" r="825">
      <c r="A825" s="1" t="s">
        <v>704</v>
      </c>
      <c r="B825" s="1" t="s">
        <v>684</v>
      </c>
      <c r="C825" s="1" t="s">
        <v>680</v>
      </c>
      <c r="D825" s="1" t="n">
        <v>165</v>
      </c>
      <c r="E825" s="1" t="n">
        <v>13.81</v>
      </c>
      <c r="F825" s="1" t="s">
        <v>9</v>
      </c>
    </row>
    <row collapsed="false" customFormat="false" customHeight="false" hidden="false" ht="14.75" outlineLevel="0" r="826">
      <c r="A826" s="1" t="s">
        <v>705</v>
      </c>
      <c r="B826" s="1" t="s">
        <v>684</v>
      </c>
      <c r="C826" s="1" t="s">
        <v>680</v>
      </c>
      <c r="D826" s="1" t="n">
        <v>75</v>
      </c>
      <c r="E826" s="1" t="n">
        <v>9.74</v>
      </c>
      <c r="F826" s="1" t="s">
        <v>9</v>
      </c>
    </row>
    <row collapsed="false" customFormat="false" customHeight="false" hidden="false" ht="14.75" outlineLevel="0" r="827">
      <c r="A827" s="1" t="s">
        <v>413</v>
      </c>
      <c r="B827" s="1" t="s">
        <v>684</v>
      </c>
      <c r="C827" s="1" t="s">
        <v>680</v>
      </c>
      <c r="D827" s="1" t="n">
        <v>259.5</v>
      </c>
      <c r="E827" s="1" t="n">
        <v>17.12</v>
      </c>
      <c r="F827" s="1" t="s">
        <v>9</v>
      </c>
    </row>
    <row collapsed="false" customFormat="false" customHeight="false" hidden="false" ht="14.75" outlineLevel="0" r="828">
      <c r="A828" s="1" t="s">
        <v>414</v>
      </c>
      <c r="B828" s="1" t="s">
        <v>684</v>
      </c>
      <c r="C828" s="1" t="s">
        <v>680</v>
      </c>
      <c r="D828" s="1" t="n">
        <v>158.6</v>
      </c>
      <c r="E828" s="1" t="n">
        <v>14.38</v>
      </c>
      <c r="F828" s="1" t="s">
        <v>9</v>
      </c>
    </row>
    <row collapsed="false" customFormat="false" customHeight="false" hidden="false" ht="14.75" outlineLevel="0" r="829">
      <c r="A829" s="1" t="s">
        <v>190</v>
      </c>
      <c r="B829" s="1" t="s">
        <v>684</v>
      </c>
      <c r="C829" s="1" t="s">
        <v>680</v>
      </c>
      <c r="D829" s="1" t="n">
        <v>247.7</v>
      </c>
      <c r="E829" s="1" t="n">
        <v>17.92</v>
      </c>
      <c r="F829" s="1" t="s">
        <v>9</v>
      </c>
    </row>
    <row collapsed="false" customFormat="false" customHeight="false" hidden="false" ht="14.75" outlineLevel="0" r="830">
      <c r="A830" s="1" t="s">
        <v>191</v>
      </c>
      <c r="B830" s="1" t="s">
        <v>684</v>
      </c>
      <c r="C830" s="1" t="s">
        <v>680</v>
      </c>
      <c r="D830" s="1" t="n">
        <v>221.8</v>
      </c>
      <c r="E830" s="1" t="n">
        <v>15.72</v>
      </c>
      <c r="F830" s="1" t="s">
        <v>9</v>
      </c>
    </row>
    <row collapsed="false" customFormat="false" customHeight="false" hidden="false" ht="14.75" outlineLevel="0" r="831">
      <c r="A831" s="1" t="s">
        <v>706</v>
      </c>
      <c r="B831" s="1" t="s">
        <v>684</v>
      </c>
      <c r="C831" s="1" t="s">
        <v>680</v>
      </c>
      <c r="D831" s="1" t="n">
        <v>216.4</v>
      </c>
      <c r="E831" s="1" t="n">
        <v>15.89</v>
      </c>
      <c r="F831" s="1" t="s">
        <v>9</v>
      </c>
    </row>
    <row collapsed="false" customFormat="false" customHeight="false" hidden="false" ht="14.75" outlineLevel="0" r="832">
      <c r="A832" s="1" t="s">
        <v>707</v>
      </c>
      <c r="B832" s="1" t="s">
        <v>684</v>
      </c>
      <c r="C832" s="1" t="s">
        <v>680</v>
      </c>
      <c r="D832" s="1" t="n">
        <v>276.4</v>
      </c>
      <c r="E832" s="1" t="n">
        <v>19.4</v>
      </c>
      <c r="F832" s="1" t="s">
        <v>9</v>
      </c>
    </row>
    <row collapsed="false" customFormat="false" customHeight="false" hidden="false" ht="14.75" outlineLevel="0" r="833">
      <c r="A833" s="1" t="s">
        <v>708</v>
      </c>
      <c r="B833" s="1" t="s">
        <v>684</v>
      </c>
      <c r="C833" s="1" t="s">
        <v>680</v>
      </c>
      <c r="D833" s="1" t="n">
        <v>73.5</v>
      </c>
      <c r="E833" s="1" t="n">
        <v>10.61</v>
      </c>
      <c r="F833" s="1" t="s">
        <v>9</v>
      </c>
    </row>
    <row collapsed="false" customFormat="false" customHeight="false" hidden="false" ht="14.75" outlineLevel="0" r="834">
      <c r="A834" s="1" t="s">
        <v>253</v>
      </c>
      <c r="B834" s="1" t="s">
        <v>709</v>
      </c>
      <c r="C834" s="1" t="s">
        <v>710</v>
      </c>
      <c r="D834" s="1" t="n">
        <v>382.5</v>
      </c>
      <c r="E834" s="1" t="n">
        <v>21.32</v>
      </c>
      <c r="F834" s="1" t="n">
        <f aca="false">21/6</f>
        <v>3.5</v>
      </c>
    </row>
    <row collapsed="false" customFormat="false" customHeight="false" hidden="false" ht="14.75" outlineLevel="0" r="835">
      <c r="A835" s="1" t="s">
        <v>254</v>
      </c>
      <c r="B835" s="1" t="s">
        <v>709</v>
      </c>
      <c r="C835" s="1" t="s">
        <v>710</v>
      </c>
      <c r="D835" s="1" t="n">
        <v>237.5</v>
      </c>
      <c r="E835" s="1" t="n">
        <v>16.98</v>
      </c>
      <c r="F835" s="1" t="n">
        <f aca="false">7/6</f>
        <v>1.16666666666667</v>
      </c>
    </row>
    <row collapsed="false" customFormat="false" customHeight="false" hidden="false" ht="14.75" outlineLevel="0" r="836">
      <c r="A836" s="1" t="s">
        <v>711</v>
      </c>
      <c r="B836" s="1" t="s">
        <v>709</v>
      </c>
      <c r="C836" s="1" t="s">
        <v>710</v>
      </c>
      <c r="D836" s="1" t="n">
        <v>99.2</v>
      </c>
      <c r="E836" s="1" t="n">
        <v>12.59</v>
      </c>
      <c r="F836" s="1" t="n">
        <v>0</v>
      </c>
    </row>
    <row collapsed="false" customFormat="false" customHeight="false" hidden="false" ht="14.75" outlineLevel="0" r="837">
      <c r="A837" s="1" t="s">
        <v>712</v>
      </c>
      <c r="B837" s="1" t="s">
        <v>709</v>
      </c>
      <c r="C837" s="1" t="s">
        <v>710</v>
      </c>
      <c r="D837" s="1" t="n">
        <v>145.8</v>
      </c>
      <c r="E837" s="1" t="n">
        <v>16.36</v>
      </c>
      <c r="F837" s="1" t="n">
        <v>1</v>
      </c>
    </row>
    <row collapsed="false" customFormat="false" customHeight="false" hidden="false" ht="14.75" outlineLevel="0" r="838">
      <c r="A838" s="1" t="s">
        <v>713</v>
      </c>
      <c r="B838" s="1" t="s">
        <v>709</v>
      </c>
      <c r="C838" s="1" t="s">
        <v>710</v>
      </c>
      <c r="D838" s="1" t="n">
        <v>33.3</v>
      </c>
      <c r="E838" s="1" t="n">
        <v>8.18</v>
      </c>
      <c r="F838" s="1" t="n">
        <f aca="false">1/6</f>
        <v>0.166666666666667</v>
      </c>
    </row>
    <row collapsed="false" customFormat="false" customHeight="false" hidden="false" ht="14.75" outlineLevel="0" r="839">
      <c r="A839" s="1" t="s">
        <v>714</v>
      </c>
      <c r="B839" s="1" t="s">
        <v>709</v>
      </c>
      <c r="C839" s="1" t="s">
        <v>710</v>
      </c>
      <c r="D839" s="1" t="n">
        <v>145</v>
      </c>
      <c r="E839" s="1" t="n">
        <v>14.86</v>
      </c>
      <c r="F839" s="1" t="n">
        <f aca="false">2/6</f>
        <v>0.333333333333333</v>
      </c>
    </row>
    <row collapsed="false" customFormat="false" customHeight="false" hidden="false" ht="14.75" outlineLevel="0" r="840">
      <c r="A840" s="1" t="s">
        <v>267</v>
      </c>
      <c r="B840" s="1" t="s">
        <v>709</v>
      </c>
      <c r="C840" s="1" t="s">
        <v>710</v>
      </c>
      <c r="D840" s="1" t="n">
        <v>278.3</v>
      </c>
      <c r="E840" s="1" t="n">
        <v>17.1</v>
      </c>
      <c r="F840" s="1" t="n">
        <f aca="false">7/6</f>
        <v>1.16666666666667</v>
      </c>
    </row>
    <row collapsed="false" customFormat="false" customHeight="false" hidden="false" ht="14.75" outlineLevel="0" r="841">
      <c r="A841" s="1" t="s">
        <v>715</v>
      </c>
      <c r="B841" s="1" t="s">
        <v>709</v>
      </c>
      <c r="C841" s="1" t="s">
        <v>710</v>
      </c>
      <c r="D841" s="1" t="n">
        <v>179.2</v>
      </c>
      <c r="E841" s="1" t="n">
        <v>16.46</v>
      </c>
      <c r="F841" s="1" t="n">
        <v>1</v>
      </c>
    </row>
    <row collapsed="false" customFormat="false" customHeight="false" hidden="false" ht="14.75" outlineLevel="0" r="842">
      <c r="A842" s="1" t="s">
        <v>275</v>
      </c>
      <c r="B842" s="1" t="s">
        <v>709</v>
      </c>
      <c r="C842" s="1" t="s">
        <v>710</v>
      </c>
      <c r="D842" s="1" t="n">
        <v>535.8</v>
      </c>
      <c r="E842" s="1" t="n">
        <v>23.55</v>
      </c>
      <c r="F842" s="1" t="n">
        <f aca="false">32/6</f>
        <v>5.33333333333333</v>
      </c>
    </row>
    <row collapsed="false" customFormat="false" customHeight="false" hidden="false" ht="14.75" outlineLevel="0" r="843">
      <c r="A843" s="1" t="s">
        <v>276</v>
      </c>
      <c r="B843" s="1" t="s">
        <v>709</v>
      </c>
      <c r="C843" s="1" t="s">
        <v>710</v>
      </c>
      <c r="D843" s="1" t="n">
        <v>235.8</v>
      </c>
      <c r="E843" s="1" t="n">
        <v>18.4</v>
      </c>
      <c r="F843" s="1" t="n">
        <f aca="false">12/6</f>
        <v>2</v>
      </c>
    </row>
    <row collapsed="false" customFormat="false" customHeight="false" hidden="false" ht="14.75" outlineLevel="0" r="844">
      <c r="A844" s="1" t="s">
        <v>277</v>
      </c>
      <c r="B844" s="1" t="s">
        <v>709</v>
      </c>
      <c r="C844" s="1" t="s">
        <v>710</v>
      </c>
      <c r="D844" s="1" t="n">
        <v>120.8</v>
      </c>
      <c r="E844" s="1" t="n">
        <v>13.12</v>
      </c>
      <c r="F844" s="1" t="n">
        <f aca="false">8/6</f>
        <v>1.33333333333333</v>
      </c>
    </row>
    <row collapsed="false" customFormat="false" customHeight="false" hidden="false" ht="14.75" outlineLevel="0" r="845">
      <c r="A845" s="1" t="s">
        <v>716</v>
      </c>
      <c r="B845" s="1" t="s">
        <v>709</v>
      </c>
      <c r="C845" s="1" t="s">
        <v>710</v>
      </c>
      <c r="D845" s="1" t="n">
        <v>54.2</v>
      </c>
      <c r="E845" s="1" t="n">
        <v>11.25</v>
      </c>
      <c r="F845" s="1" t="n">
        <f aca="false">1/6</f>
        <v>0.166666666666667</v>
      </c>
    </row>
    <row collapsed="false" customFormat="false" customHeight="false" hidden="false" ht="14.75" outlineLevel="0" r="846">
      <c r="A846" s="1" t="s">
        <v>627</v>
      </c>
      <c r="B846" s="1" t="s">
        <v>709</v>
      </c>
      <c r="C846" s="1" t="s">
        <v>710</v>
      </c>
      <c r="D846" s="1" t="n">
        <v>535.8</v>
      </c>
      <c r="E846" s="1" t="n">
        <v>25.58</v>
      </c>
      <c r="F846" s="1" t="n">
        <f aca="false">40/6</f>
        <v>6.66666666666667</v>
      </c>
    </row>
    <row collapsed="false" customFormat="false" customHeight="false" hidden="false" ht="14.75" outlineLevel="0" r="847">
      <c r="A847" s="1" t="s">
        <v>717</v>
      </c>
      <c r="B847" s="1" t="s">
        <v>709</v>
      </c>
      <c r="C847" s="1" t="s">
        <v>710</v>
      </c>
      <c r="D847" s="1" t="n">
        <v>76.7</v>
      </c>
      <c r="E847" s="1" t="n">
        <v>11.9</v>
      </c>
      <c r="F847" s="1" t="n">
        <f aca="false">2/6</f>
        <v>0.333333333333333</v>
      </c>
    </row>
    <row collapsed="false" customFormat="false" customHeight="false" hidden="false" ht="14.75" outlineLevel="0" r="848">
      <c r="A848" s="1" t="s">
        <v>718</v>
      </c>
      <c r="B848" s="1" t="s">
        <v>719</v>
      </c>
      <c r="C848" s="1" t="s">
        <v>720</v>
      </c>
      <c r="D848" s="1" t="n">
        <v>65.8</v>
      </c>
      <c r="E848" s="1" t="n">
        <v>13.33</v>
      </c>
      <c r="F848" s="1" t="n">
        <v>0</v>
      </c>
    </row>
    <row collapsed="false" customFormat="false" customHeight="false" hidden="false" ht="14.75" outlineLevel="0" r="849">
      <c r="A849" s="1" t="s">
        <v>721</v>
      </c>
      <c r="B849" s="1" t="s">
        <v>722</v>
      </c>
      <c r="C849" s="1" t="s">
        <v>720</v>
      </c>
      <c r="D849" s="1" t="n">
        <v>205.6</v>
      </c>
      <c r="E849" s="1" t="n">
        <v>17.97</v>
      </c>
      <c r="F849" s="1" t="n">
        <v>1</v>
      </c>
    </row>
    <row collapsed="false" customFormat="false" customHeight="false" hidden="false" ht="14.75" outlineLevel="0" r="850">
      <c r="A850" s="1" t="s">
        <v>723</v>
      </c>
      <c r="B850" s="1" t="s">
        <v>722</v>
      </c>
      <c r="C850" s="1" t="s">
        <v>720</v>
      </c>
      <c r="D850" s="1" t="n">
        <v>118.8</v>
      </c>
      <c r="E850" s="1" t="n">
        <v>11.33</v>
      </c>
      <c r="F850" s="1" t="n">
        <f aca="false">3/8</f>
        <v>0.375</v>
      </c>
    </row>
    <row collapsed="false" customFormat="false" customHeight="false" hidden="false" ht="14.75" outlineLevel="0" r="851">
      <c r="A851" s="1" t="s">
        <v>724</v>
      </c>
      <c r="B851" s="1" t="s">
        <v>719</v>
      </c>
      <c r="C851" s="1" t="s">
        <v>720</v>
      </c>
      <c r="D851" s="1" t="n">
        <v>358.6</v>
      </c>
      <c r="E851" s="1" t="n">
        <v>20.86</v>
      </c>
      <c r="F851" s="1" t="n">
        <f aca="false">9/7</f>
        <v>1.28571428571429</v>
      </c>
    </row>
    <row collapsed="false" customFormat="false" customHeight="false" hidden="false" ht="14.75" outlineLevel="0" r="852">
      <c r="A852" s="1" t="s">
        <v>725</v>
      </c>
      <c r="B852" s="1" t="s">
        <v>719</v>
      </c>
      <c r="C852" s="1" t="s">
        <v>720</v>
      </c>
      <c r="D852" s="1" t="n">
        <v>132.9</v>
      </c>
      <c r="E852" s="1" t="n">
        <v>13.75</v>
      </c>
      <c r="F852" s="1" t="n">
        <f aca="false">2/7</f>
        <v>0.285714285714286</v>
      </c>
    </row>
    <row collapsed="false" customFormat="false" customHeight="false" hidden="false" ht="14.75" outlineLevel="0" r="853">
      <c r="A853" s="1" t="s">
        <v>726</v>
      </c>
      <c r="B853" s="1" t="s">
        <v>719</v>
      </c>
      <c r="C853" s="1" t="s">
        <v>720</v>
      </c>
      <c r="D853" s="1" t="n">
        <v>58.3</v>
      </c>
      <c r="E853" s="1" t="n">
        <v>11.11</v>
      </c>
      <c r="F853" s="1" t="n">
        <v>0</v>
      </c>
    </row>
    <row collapsed="false" customFormat="false" customHeight="false" hidden="false" ht="14.75" outlineLevel="0" r="854">
      <c r="A854" s="1" t="s">
        <v>727</v>
      </c>
      <c r="B854" s="1" t="s">
        <v>722</v>
      </c>
      <c r="C854" s="1" t="s">
        <v>720</v>
      </c>
      <c r="D854" s="1" t="n">
        <v>211.2</v>
      </c>
      <c r="E854" s="1" t="n">
        <v>19.15</v>
      </c>
      <c r="F854" s="1" t="n">
        <f aca="false">13/8</f>
        <v>1.625</v>
      </c>
    </row>
    <row collapsed="false" customFormat="false" customHeight="false" hidden="false" ht="14.75" outlineLevel="0" r="855">
      <c r="A855" s="1" t="s">
        <v>728</v>
      </c>
      <c r="B855" s="1" t="s">
        <v>722</v>
      </c>
      <c r="C855" s="1" t="s">
        <v>720</v>
      </c>
      <c r="D855" s="1" t="n">
        <v>114.4</v>
      </c>
      <c r="E855" s="1" t="n">
        <v>11.9</v>
      </c>
      <c r="F855" s="1" t="n">
        <f aca="false">3/8</f>
        <v>0.375</v>
      </c>
    </row>
    <row collapsed="false" customFormat="false" customHeight="false" hidden="false" ht="14.75" outlineLevel="0" r="856">
      <c r="A856" s="1" t="s">
        <v>729</v>
      </c>
      <c r="B856" s="1" t="s">
        <v>722</v>
      </c>
      <c r="C856" s="1" t="s">
        <v>720</v>
      </c>
      <c r="D856" s="1" t="n">
        <v>85.6</v>
      </c>
      <c r="E856" s="1" t="n">
        <v>10.29</v>
      </c>
      <c r="F856" s="1" t="n">
        <f aca="false">1/8</f>
        <v>0.125</v>
      </c>
    </row>
    <row collapsed="false" customFormat="false" customHeight="false" hidden="false" ht="14.75" outlineLevel="0" r="857">
      <c r="A857" s="1" t="s">
        <v>730</v>
      </c>
      <c r="B857" s="1" t="s">
        <v>722</v>
      </c>
      <c r="C857" s="1" t="s">
        <v>720</v>
      </c>
      <c r="D857" s="1" t="n">
        <v>46.2</v>
      </c>
      <c r="E857" s="1" t="n">
        <v>5.77</v>
      </c>
      <c r="F857" s="1" t="n">
        <v>0</v>
      </c>
    </row>
    <row collapsed="false" customFormat="false" customHeight="false" hidden="false" ht="14.75" outlineLevel="0" r="858">
      <c r="A858" s="1" t="s">
        <v>731</v>
      </c>
      <c r="B858" s="1" t="s">
        <v>722</v>
      </c>
      <c r="C858" s="1" t="s">
        <v>720</v>
      </c>
      <c r="D858" s="1" t="n">
        <v>138.1</v>
      </c>
      <c r="E858" s="1" t="n">
        <v>13.06</v>
      </c>
      <c r="F858" s="1" t="n">
        <f aca="false">1/8</f>
        <v>0.125</v>
      </c>
    </row>
    <row collapsed="false" customFormat="false" customHeight="false" hidden="false" ht="14.75" outlineLevel="0" r="859">
      <c r="A859" s="1" t="s">
        <v>732</v>
      </c>
      <c r="B859" s="1" t="s">
        <v>722</v>
      </c>
      <c r="C859" s="1" t="s">
        <v>720</v>
      </c>
      <c r="D859" s="1" t="n">
        <v>61.9</v>
      </c>
      <c r="E859" s="1" t="n">
        <v>8.04</v>
      </c>
      <c r="F859" s="1" t="n">
        <f aca="false">2/8</f>
        <v>0.25</v>
      </c>
    </row>
    <row collapsed="false" customFormat="false" customHeight="false" hidden="false" ht="14.75" outlineLevel="0" r="860">
      <c r="A860" s="1" t="s">
        <v>733</v>
      </c>
      <c r="B860" s="1" t="s">
        <v>722</v>
      </c>
      <c r="C860" s="1" t="s">
        <v>720</v>
      </c>
      <c r="D860" s="1" t="n">
        <v>33.1</v>
      </c>
      <c r="E860" s="1" t="n">
        <v>9.64</v>
      </c>
      <c r="F860" s="1" t="n">
        <v>0</v>
      </c>
    </row>
    <row collapsed="false" customFormat="false" customHeight="false" hidden="false" ht="14.75" outlineLevel="0" r="861">
      <c r="A861" s="1" t="s">
        <v>734</v>
      </c>
      <c r="B861" s="1" t="s">
        <v>719</v>
      </c>
      <c r="C861" s="1" t="s">
        <v>720</v>
      </c>
      <c r="D861" s="1" t="n">
        <v>252.9</v>
      </c>
      <c r="E861" s="1" t="n">
        <v>18.55</v>
      </c>
      <c r="F861" s="1" t="n">
        <f aca="false">6/7</f>
        <v>0.857142857142857</v>
      </c>
    </row>
    <row collapsed="false" customFormat="false" customHeight="false" hidden="false" ht="14.75" outlineLevel="0" r="862">
      <c r="A862" s="1" t="s">
        <v>735</v>
      </c>
      <c r="B862" s="1" t="s">
        <v>719</v>
      </c>
      <c r="C862" s="1" t="s">
        <v>720</v>
      </c>
      <c r="D862" s="1" t="n">
        <v>146.7</v>
      </c>
      <c r="E862" s="1" t="n">
        <v>19.03</v>
      </c>
      <c r="F862" s="1" t="n">
        <f aca="false">3/6</f>
        <v>0.5</v>
      </c>
    </row>
    <row collapsed="false" customFormat="false" customHeight="false" hidden="false" ht="14.75" outlineLevel="0" r="863">
      <c r="A863" s="1" t="s">
        <v>736</v>
      </c>
      <c r="B863" s="1" t="s">
        <v>719</v>
      </c>
      <c r="C863" s="1" t="s">
        <v>720</v>
      </c>
      <c r="D863" s="1" t="n">
        <v>206.7</v>
      </c>
      <c r="E863" s="1" t="n">
        <v>18.44</v>
      </c>
      <c r="F863" s="1" t="n">
        <v>0.5</v>
      </c>
    </row>
    <row collapsed="false" customFormat="false" customHeight="false" hidden="false" ht="14.75" outlineLevel="0" r="864">
      <c r="A864" s="1" t="s">
        <v>737</v>
      </c>
      <c r="B864" s="1" t="s">
        <v>722</v>
      </c>
      <c r="C864" s="1" t="s">
        <v>720</v>
      </c>
      <c r="D864" s="1" t="n">
        <v>121.9</v>
      </c>
      <c r="E864" s="1" t="n">
        <v>12.16</v>
      </c>
      <c r="F864" s="1" t="n">
        <f aca="false">2/8</f>
        <v>0.25</v>
      </c>
    </row>
    <row collapsed="false" customFormat="false" customHeight="false" hidden="false" ht="14.75" outlineLevel="0" r="865">
      <c r="A865" s="1" t="s">
        <v>738</v>
      </c>
      <c r="B865" s="1" t="s">
        <v>722</v>
      </c>
      <c r="C865" s="1" t="s">
        <v>720</v>
      </c>
      <c r="D865" s="1" t="n">
        <v>206.2</v>
      </c>
      <c r="E865" s="1" t="n">
        <v>18.28</v>
      </c>
      <c r="F865" s="1" t="n">
        <f aca="false">9/8</f>
        <v>1.125</v>
      </c>
    </row>
    <row collapsed="false" customFormat="false" customHeight="false" hidden="false" ht="14.75" outlineLevel="0" r="866">
      <c r="A866" s="1" t="s">
        <v>739</v>
      </c>
      <c r="B866" s="1" t="s">
        <v>722</v>
      </c>
      <c r="C866" s="1" t="s">
        <v>720</v>
      </c>
      <c r="D866" s="1" t="n">
        <v>80.6</v>
      </c>
      <c r="E866" s="1" t="n">
        <v>11.45</v>
      </c>
      <c r="F866" s="1" t="n">
        <f aca="false">3/8</f>
        <v>0.375</v>
      </c>
    </row>
    <row collapsed="false" customFormat="false" customHeight="false" hidden="false" ht="14.75" outlineLevel="0" r="867">
      <c r="A867" s="1" t="s">
        <v>740</v>
      </c>
      <c r="B867" s="1" t="s">
        <v>722</v>
      </c>
      <c r="C867" s="1" t="s">
        <v>720</v>
      </c>
      <c r="D867" s="1" t="n">
        <v>128.1</v>
      </c>
      <c r="E867" s="1" t="n">
        <v>13.22</v>
      </c>
      <c r="F867" s="1" t="n">
        <v>0.5</v>
      </c>
    </row>
    <row collapsed="false" customFormat="false" customHeight="false" hidden="false" ht="14.75" outlineLevel="0" r="868">
      <c r="A868" s="1" t="s">
        <v>741</v>
      </c>
      <c r="B868" s="1" t="s">
        <v>722</v>
      </c>
      <c r="C868" s="1" t="s">
        <v>720</v>
      </c>
      <c r="D868" s="1" t="n">
        <v>115</v>
      </c>
      <c r="E868" s="1" t="n">
        <v>12.44</v>
      </c>
      <c r="F868" s="1" t="n">
        <f aca="false">2/8</f>
        <v>0.25</v>
      </c>
    </row>
    <row collapsed="false" customFormat="false" customHeight="false" hidden="false" ht="14.75" outlineLevel="0" r="869">
      <c r="A869" s="1" t="s">
        <v>742</v>
      </c>
      <c r="B869" s="1" t="s">
        <v>722</v>
      </c>
      <c r="C869" s="1" t="s">
        <v>720</v>
      </c>
      <c r="D869" s="1" t="n">
        <v>96.2</v>
      </c>
      <c r="E869" s="1" t="n">
        <v>10.95</v>
      </c>
      <c r="F869" s="1" t="n">
        <f aca="false">2/8</f>
        <v>0.25</v>
      </c>
    </row>
    <row collapsed="false" customFormat="false" customHeight="false" hidden="false" ht="14.75" outlineLevel="0" r="870">
      <c r="A870" s="1" t="s">
        <v>743</v>
      </c>
      <c r="B870" s="1" t="s">
        <v>722</v>
      </c>
      <c r="C870" s="1" t="s">
        <v>720</v>
      </c>
      <c r="D870" s="1" t="n">
        <v>38.1</v>
      </c>
      <c r="E870" s="1" t="n">
        <v>5</v>
      </c>
      <c r="F870" s="1" t="n">
        <f aca="false">1/8</f>
        <v>0.125</v>
      </c>
    </row>
    <row collapsed="false" customFormat="false" customHeight="false" hidden="false" ht="14.75" outlineLevel="0" r="871">
      <c r="A871" s="1" t="s">
        <v>744</v>
      </c>
      <c r="B871" s="1" t="s">
        <v>722</v>
      </c>
      <c r="C871" s="1" t="s">
        <v>720</v>
      </c>
      <c r="D871" s="1" t="n">
        <v>75</v>
      </c>
      <c r="E871" s="1" t="n">
        <v>7.94</v>
      </c>
      <c r="F871" s="1" t="n">
        <f aca="false">1/8</f>
        <v>0.125</v>
      </c>
    </row>
    <row collapsed="false" customFormat="false" customHeight="false" hidden="false" ht="14.75" outlineLevel="0" r="872">
      <c r="A872" s="1" t="s">
        <v>745</v>
      </c>
      <c r="B872" s="1" t="s">
        <v>722</v>
      </c>
      <c r="C872" s="1" t="s">
        <v>720</v>
      </c>
      <c r="D872" s="1" t="n">
        <v>139</v>
      </c>
      <c r="E872" s="1" t="n">
        <v>14.64</v>
      </c>
      <c r="F872" s="1" t="n">
        <f aca="false">6/5</f>
        <v>1.2</v>
      </c>
    </row>
    <row collapsed="false" customFormat="false" customHeight="false" hidden="false" ht="14.75" outlineLevel="0" r="873">
      <c r="A873" s="1" t="s">
        <v>746</v>
      </c>
      <c r="B873" s="1" t="s">
        <v>719</v>
      </c>
      <c r="C873" s="1" t="s">
        <v>720</v>
      </c>
      <c r="D873" s="1" t="n">
        <v>122.9</v>
      </c>
      <c r="E873" s="1" t="n">
        <v>17.1</v>
      </c>
      <c r="F873" s="1" t="n">
        <v>1</v>
      </c>
    </row>
    <row collapsed="false" customFormat="false" customHeight="false" hidden="false" ht="14.75" outlineLevel="0" r="874">
      <c r="A874" s="1" t="s">
        <v>747</v>
      </c>
      <c r="B874" s="1" t="s">
        <v>722</v>
      </c>
      <c r="C874" s="1" t="s">
        <v>720</v>
      </c>
      <c r="D874" s="1" t="n">
        <v>435</v>
      </c>
      <c r="E874" s="1" t="n">
        <v>24.53</v>
      </c>
      <c r="F874" s="1" t="n">
        <f aca="false">44/8</f>
        <v>5.5</v>
      </c>
    </row>
    <row collapsed="false" customFormat="false" customHeight="false" hidden="false" ht="14.75" outlineLevel="0" r="875">
      <c r="A875" s="1" t="s">
        <v>748</v>
      </c>
      <c r="B875" s="1" t="s">
        <v>722</v>
      </c>
      <c r="C875" s="1" t="s">
        <v>720</v>
      </c>
      <c r="D875" s="1" t="n">
        <v>106.4</v>
      </c>
      <c r="E875" s="1" t="n">
        <v>10.14</v>
      </c>
      <c r="F875" s="1" t="n">
        <f aca="false">6/7</f>
        <v>0.857142857142857</v>
      </c>
    </row>
    <row collapsed="false" customFormat="false" customHeight="false" hidden="false" ht="14.75" outlineLevel="0" r="876">
      <c r="A876" s="1" t="s">
        <v>749</v>
      </c>
      <c r="B876" s="1" t="s">
        <v>719</v>
      </c>
      <c r="C876" s="1" t="s">
        <v>720</v>
      </c>
      <c r="D876" s="1" t="n">
        <v>373.6</v>
      </c>
      <c r="E876" s="1" t="n">
        <v>20.77</v>
      </c>
      <c r="F876" s="1" t="n">
        <v>2</v>
      </c>
    </row>
    <row collapsed="false" customFormat="false" customHeight="false" hidden="false" ht="14.75" outlineLevel="0" r="877">
      <c r="A877" s="1" t="s">
        <v>750</v>
      </c>
      <c r="B877" s="1" t="s">
        <v>719</v>
      </c>
      <c r="C877" s="1" t="s">
        <v>720</v>
      </c>
      <c r="D877" s="1" t="n">
        <v>200.7</v>
      </c>
      <c r="E877" s="1" t="n">
        <v>16.11</v>
      </c>
      <c r="F877" s="1" t="n">
        <f aca="false">5/7</f>
        <v>0.714285714285714</v>
      </c>
    </row>
    <row collapsed="false" customFormat="false" customHeight="false" hidden="false" ht="14.75" outlineLevel="0" r="878">
      <c r="A878" s="1" t="s">
        <v>751</v>
      </c>
      <c r="B878" s="1" t="s">
        <v>719</v>
      </c>
      <c r="C878" s="1" t="s">
        <v>720</v>
      </c>
      <c r="D878" s="1" t="n">
        <v>226.4</v>
      </c>
      <c r="E878" s="1" t="n">
        <v>17.88</v>
      </c>
      <c r="F878" s="1" t="n">
        <f aca="false">4/7</f>
        <v>0.571428571428571</v>
      </c>
    </row>
    <row collapsed="false" customFormat="false" customHeight="false" hidden="false" ht="14.75" outlineLevel="0" r="879">
      <c r="A879" s="1" t="s">
        <v>752</v>
      </c>
      <c r="B879" s="1" t="s">
        <v>722</v>
      </c>
      <c r="C879" s="1" t="s">
        <v>720</v>
      </c>
      <c r="D879" s="1" t="n">
        <v>326.2</v>
      </c>
      <c r="E879" s="1" t="n">
        <v>21.62</v>
      </c>
      <c r="F879" s="1" t="n">
        <f aca="false">28/8</f>
        <v>3.5</v>
      </c>
    </row>
    <row collapsed="false" customFormat="false" customHeight="false" hidden="false" ht="14.75" outlineLevel="0" r="880">
      <c r="A880" s="1" t="s">
        <v>753</v>
      </c>
      <c r="B880" s="1" t="s">
        <v>722</v>
      </c>
      <c r="C880" s="1" t="s">
        <v>720</v>
      </c>
      <c r="D880" s="1" t="n">
        <v>97.5</v>
      </c>
      <c r="E880" s="1" t="n">
        <v>11.76</v>
      </c>
      <c r="F880" s="1" t="n">
        <f aca="false">5/8</f>
        <v>0.625</v>
      </c>
    </row>
    <row collapsed="false" customFormat="false" customHeight="false" hidden="false" ht="14.75" outlineLevel="0" r="881">
      <c r="A881" s="1" t="s">
        <v>754</v>
      </c>
      <c r="B881" s="1" t="s">
        <v>722</v>
      </c>
      <c r="C881" s="1" t="s">
        <v>720</v>
      </c>
      <c r="D881" s="1" t="n">
        <v>90.6</v>
      </c>
      <c r="E881" s="1" t="n">
        <v>13.44</v>
      </c>
      <c r="F881" s="1" t="n">
        <f aca="false">2/8</f>
        <v>0.25</v>
      </c>
    </row>
    <row collapsed="false" customFormat="false" customHeight="false" hidden="false" ht="14.75" outlineLevel="0" r="882">
      <c r="A882" s="1" t="s">
        <v>755</v>
      </c>
      <c r="B882" s="1" t="s">
        <v>722</v>
      </c>
      <c r="C882" s="1" t="s">
        <v>720</v>
      </c>
      <c r="D882" s="1" t="n">
        <v>61.9</v>
      </c>
      <c r="E882" s="1" t="n">
        <v>8.52</v>
      </c>
      <c r="F882" s="1" t="n">
        <f aca="false">1/8</f>
        <v>0.125</v>
      </c>
    </row>
    <row collapsed="false" customFormat="false" customHeight="false" hidden="false" ht="14.75" outlineLevel="0" r="883">
      <c r="A883" s="1" t="s">
        <v>756</v>
      </c>
      <c r="B883" s="1" t="s">
        <v>722</v>
      </c>
      <c r="C883" s="1" t="s">
        <v>720</v>
      </c>
      <c r="D883" s="1" t="n">
        <v>77.5</v>
      </c>
      <c r="E883" s="1" t="n">
        <v>10.16</v>
      </c>
      <c r="F883" s="1" t="n">
        <f aca="false">2/8</f>
        <v>0.25</v>
      </c>
    </row>
    <row collapsed="false" customFormat="false" customHeight="false" hidden="false" ht="14.75" outlineLevel="0" r="884">
      <c r="A884" s="1" t="s">
        <v>757</v>
      </c>
      <c r="B884" s="1" t="s">
        <v>722</v>
      </c>
      <c r="C884" s="1" t="s">
        <v>720</v>
      </c>
      <c r="D884" s="1" t="n">
        <v>243.1</v>
      </c>
      <c r="E884" s="1" t="n">
        <v>19.54</v>
      </c>
      <c r="F884" s="1" t="n">
        <v>1</v>
      </c>
    </row>
    <row collapsed="false" customFormat="false" customHeight="false" hidden="false" ht="14.75" outlineLevel="0" r="885">
      <c r="A885" s="1" t="s">
        <v>758</v>
      </c>
      <c r="B885" s="1" t="s">
        <v>722</v>
      </c>
      <c r="C885" s="1" t="s">
        <v>720</v>
      </c>
      <c r="D885" s="1" t="n">
        <v>103.8</v>
      </c>
      <c r="E885" s="1" t="n">
        <v>8.67</v>
      </c>
      <c r="F885" s="1" t="n">
        <v>0</v>
      </c>
    </row>
    <row collapsed="false" customFormat="false" customHeight="false" hidden="false" ht="14.75" outlineLevel="0" r="886">
      <c r="A886" s="1" t="s">
        <v>759</v>
      </c>
      <c r="B886" s="1" t="s">
        <v>722</v>
      </c>
      <c r="C886" s="1" t="s">
        <v>720</v>
      </c>
      <c r="D886" s="1" t="n">
        <v>91.9</v>
      </c>
      <c r="E886" s="1" t="n">
        <v>8.59</v>
      </c>
      <c r="F886" s="1" t="n">
        <f aca="false">2/8</f>
        <v>0.25</v>
      </c>
    </row>
    <row collapsed="false" customFormat="false" customHeight="false" hidden="false" ht="14.75" outlineLevel="0" r="887">
      <c r="A887" s="1" t="s">
        <v>760</v>
      </c>
      <c r="B887" s="1" t="s">
        <v>722</v>
      </c>
      <c r="C887" s="1" t="s">
        <v>720</v>
      </c>
      <c r="D887" s="1" t="n">
        <v>67.5</v>
      </c>
      <c r="E887" s="1" t="n">
        <v>9.29</v>
      </c>
      <c r="F887" s="1" t="n">
        <f aca="false">1/8</f>
        <v>0.125</v>
      </c>
    </row>
    <row collapsed="false" customFormat="false" customHeight="false" hidden="false" ht="14.75" outlineLevel="0" r="888">
      <c r="A888" s="1" t="s">
        <v>761</v>
      </c>
      <c r="B888" s="1" t="s">
        <v>722</v>
      </c>
      <c r="C888" s="1" t="s">
        <v>720</v>
      </c>
      <c r="D888" s="1" t="n">
        <v>178.8</v>
      </c>
      <c r="E888" s="1" t="n">
        <v>17.74</v>
      </c>
      <c r="F888" s="1" t="n">
        <f aca="false">6/8</f>
        <v>0.75</v>
      </c>
    </row>
    <row collapsed="false" customFormat="false" customHeight="false" hidden="false" ht="14.75" outlineLevel="0" r="889">
      <c r="A889" s="1" t="s">
        <v>762</v>
      </c>
      <c r="B889" s="1" t="s">
        <v>722</v>
      </c>
      <c r="C889" s="1" t="s">
        <v>720</v>
      </c>
      <c r="D889" s="1" t="n">
        <v>105</v>
      </c>
      <c r="E889" s="1" t="n">
        <v>15.45</v>
      </c>
      <c r="F889" s="1" t="n">
        <f aca="false">9/8</f>
        <v>1.125</v>
      </c>
    </row>
    <row collapsed="false" customFormat="false" customHeight="false" hidden="false" ht="14.75" outlineLevel="0" r="890">
      <c r="A890" s="1" t="s">
        <v>763</v>
      </c>
      <c r="B890" s="1" t="s">
        <v>722</v>
      </c>
      <c r="C890" s="1" t="s">
        <v>720</v>
      </c>
      <c r="D890" s="1" t="n">
        <v>86.2</v>
      </c>
      <c r="E890" s="1" t="n">
        <v>9.32</v>
      </c>
      <c r="F890" s="1" t="n">
        <v>0</v>
      </c>
    </row>
    <row collapsed="false" customFormat="false" customHeight="false" hidden="false" ht="14.75" outlineLevel="0" r="891">
      <c r="A891" s="1" t="s">
        <v>764</v>
      </c>
      <c r="B891" s="1" t="s">
        <v>719</v>
      </c>
      <c r="C891" s="1" t="s">
        <v>720</v>
      </c>
      <c r="D891" s="1" t="n">
        <v>346.4</v>
      </c>
      <c r="E891" s="1" t="n">
        <v>21.64</v>
      </c>
      <c r="F891" s="1" t="n">
        <f aca="false">16/7</f>
        <v>2.28571428571429</v>
      </c>
    </row>
    <row collapsed="false" customFormat="false" customHeight="false" hidden="false" ht="14.75" outlineLevel="0" r="892">
      <c r="A892" s="1" t="s">
        <v>765</v>
      </c>
      <c r="B892" s="1" t="s">
        <v>722</v>
      </c>
      <c r="C892" s="1" t="s">
        <v>720</v>
      </c>
      <c r="D892" s="1" t="n">
        <v>204.4</v>
      </c>
      <c r="E892" s="1" t="n">
        <v>16.13</v>
      </c>
      <c r="F892" s="1" t="n">
        <v>2</v>
      </c>
    </row>
    <row collapsed="false" customFormat="false" customHeight="false" hidden="false" ht="14.75" outlineLevel="0" r="893">
      <c r="A893" s="1" t="s">
        <v>766</v>
      </c>
      <c r="B893" s="1" t="s">
        <v>722</v>
      </c>
      <c r="C893" s="1" t="s">
        <v>720</v>
      </c>
      <c r="D893" s="1" t="n">
        <v>85</v>
      </c>
      <c r="E893" s="1" t="n">
        <v>10.59</v>
      </c>
      <c r="F893" s="1" t="n">
        <f aca="false">1/8</f>
        <v>0.125</v>
      </c>
    </row>
    <row collapsed="false" customFormat="false" customHeight="false" hidden="false" ht="14.75" outlineLevel="0" r="894">
      <c r="A894" s="1" t="s">
        <v>767</v>
      </c>
      <c r="B894" s="1" t="s">
        <v>722</v>
      </c>
      <c r="C894" s="1" t="s">
        <v>720</v>
      </c>
      <c r="D894" s="1" t="n">
        <v>110.6</v>
      </c>
      <c r="E894" s="1" t="n">
        <v>13.51</v>
      </c>
      <c r="F894" s="1" t="n">
        <f aca="false">5/8</f>
        <v>0.625</v>
      </c>
    </row>
    <row collapsed="false" customFormat="false" customHeight="false" hidden="false" ht="14.75" outlineLevel="0" r="895">
      <c r="A895" s="1" t="s">
        <v>768</v>
      </c>
      <c r="B895" s="1" t="s">
        <v>722</v>
      </c>
      <c r="C895" s="1" t="s">
        <v>720</v>
      </c>
      <c r="D895" s="1" t="n">
        <v>65.8</v>
      </c>
      <c r="E895" s="1" t="n">
        <v>9.05</v>
      </c>
      <c r="F895" s="1" t="n">
        <f aca="false">2/6</f>
        <v>0.333333333333333</v>
      </c>
    </row>
    <row collapsed="false" customFormat="false" customHeight="false" hidden="false" ht="14.75" outlineLevel="0" r="896">
      <c r="A896" s="1" t="s">
        <v>769</v>
      </c>
      <c r="B896" s="1" t="s">
        <v>722</v>
      </c>
      <c r="C896" s="1" t="s">
        <v>720</v>
      </c>
      <c r="D896" s="1" t="n">
        <v>86.2</v>
      </c>
      <c r="E896" s="1" t="n">
        <v>12.19</v>
      </c>
      <c r="F896" s="1" t="n">
        <v>0.5</v>
      </c>
    </row>
    <row collapsed="false" customFormat="false" customHeight="false" hidden="false" ht="14.75" outlineLevel="0" r="897">
      <c r="A897" s="1" t="s">
        <v>770</v>
      </c>
      <c r="B897" s="1" t="s">
        <v>722</v>
      </c>
      <c r="C897" s="1" t="s">
        <v>720</v>
      </c>
      <c r="D897" s="1" t="n">
        <v>396.9</v>
      </c>
      <c r="E897" s="1" t="n">
        <v>21.86</v>
      </c>
      <c r="F897" s="1" t="n">
        <f aca="false">32/8</f>
        <v>4</v>
      </c>
    </row>
    <row collapsed="false" customFormat="false" customHeight="false" hidden="false" ht="14.75" outlineLevel="0" r="898">
      <c r="A898" s="1" t="s">
        <v>771</v>
      </c>
      <c r="B898" s="1" t="s">
        <v>722</v>
      </c>
      <c r="C898" s="1" t="s">
        <v>720</v>
      </c>
      <c r="D898" s="1" t="n">
        <v>235</v>
      </c>
      <c r="E898" s="1" t="n">
        <v>15.41</v>
      </c>
      <c r="F898" s="1" t="n">
        <f aca="false">12/8</f>
        <v>1.5</v>
      </c>
    </row>
    <row collapsed="false" customFormat="false" customHeight="false" hidden="false" ht="14.75" outlineLevel="0" r="899">
      <c r="A899" s="1" t="s">
        <v>772</v>
      </c>
      <c r="B899" s="1" t="s">
        <v>722</v>
      </c>
      <c r="C899" s="1" t="s">
        <v>720</v>
      </c>
      <c r="D899" s="1" t="n">
        <v>90</v>
      </c>
      <c r="E899" s="1" t="n">
        <v>10.27</v>
      </c>
      <c r="F899" s="1" t="n">
        <f aca="false">3/8</f>
        <v>0.375</v>
      </c>
    </row>
    <row collapsed="false" customFormat="false" customHeight="false" hidden="false" ht="14.75" outlineLevel="0" r="900">
      <c r="A900" s="1" t="s">
        <v>773</v>
      </c>
      <c r="B900" s="1" t="s">
        <v>722</v>
      </c>
      <c r="C900" s="1" t="s">
        <v>720</v>
      </c>
      <c r="D900" s="1" t="n">
        <v>93.1</v>
      </c>
      <c r="E900" s="1" t="n">
        <v>8.9</v>
      </c>
      <c r="F900" s="1" t="n">
        <f aca="false">5/8</f>
        <v>0.625</v>
      </c>
    </row>
    <row collapsed="false" customFormat="false" customHeight="false" hidden="false" ht="14.75" outlineLevel="0" r="901">
      <c r="A901" s="1" t="s">
        <v>774</v>
      </c>
      <c r="B901" s="1" t="s">
        <v>722</v>
      </c>
      <c r="C901" s="1" t="s">
        <v>720</v>
      </c>
      <c r="D901" s="1" t="n">
        <v>137.5</v>
      </c>
      <c r="E901" s="1" t="n">
        <v>14.89</v>
      </c>
      <c r="F901" s="1" t="n">
        <f aca="false">5/8</f>
        <v>0.625</v>
      </c>
    </row>
    <row collapsed="false" customFormat="false" customHeight="false" hidden="false" ht="14.75" outlineLevel="0" r="902">
      <c r="A902" s="1" t="s">
        <v>775</v>
      </c>
      <c r="B902" s="1" t="s">
        <v>722</v>
      </c>
      <c r="C902" s="1" t="s">
        <v>720</v>
      </c>
      <c r="D902" s="1" t="n">
        <v>133.1</v>
      </c>
      <c r="E902" s="1" t="n">
        <v>13.59</v>
      </c>
      <c r="F902" s="1" t="n">
        <v>1</v>
      </c>
    </row>
    <row collapsed="false" customFormat="false" customHeight="false" hidden="false" ht="14.75" outlineLevel="0" r="903">
      <c r="A903" s="1" t="s">
        <v>776</v>
      </c>
      <c r="B903" s="1" t="s">
        <v>722</v>
      </c>
      <c r="C903" s="1" t="s">
        <v>720</v>
      </c>
      <c r="D903" s="1" t="n">
        <v>66.9</v>
      </c>
      <c r="E903" s="1" t="n">
        <v>7.19</v>
      </c>
      <c r="F903" s="1" t="n">
        <f aca="false">1/8</f>
        <v>0.125</v>
      </c>
    </row>
    <row collapsed="false" customFormat="false" customHeight="false" hidden="false" ht="14.75" outlineLevel="0" r="904">
      <c r="A904" s="1" t="s">
        <v>777</v>
      </c>
      <c r="B904" s="1" t="s">
        <v>722</v>
      </c>
      <c r="C904" s="1" t="s">
        <v>720</v>
      </c>
      <c r="D904" s="1" t="n">
        <v>156.9</v>
      </c>
      <c r="E904" s="1" t="n">
        <v>11.64</v>
      </c>
      <c r="F904" s="1" t="n">
        <v>0.5</v>
      </c>
    </row>
    <row collapsed="false" customFormat="false" customHeight="false" hidden="false" ht="14.75" outlineLevel="0" r="905">
      <c r="A905" s="1" t="s">
        <v>778</v>
      </c>
      <c r="B905" s="1" t="s">
        <v>722</v>
      </c>
      <c r="C905" s="1" t="s">
        <v>720</v>
      </c>
      <c r="D905" s="1" t="n">
        <v>116.9</v>
      </c>
      <c r="E905" s="1" t="n">
        <v>10.43</v>
      </c>
      <c r="F905" s="1" t="n">
        <v>0</v>
      </c>
    </row>
    <row collapsed="false" customFormat="false" customHeight="false" hidden="false" ht="14.75" outlineLevel="0" r="906">
      <c r="A906" s="1" t="s">
        <v>779</v>
      </c>
      <c r="B906" s="1" t="s">
        <v>722</v>
      </c>
      <c r="C906" s="1" t="s">
        <v>720</v>
      </c>
      <c r="D906" s="1" t="n">
        <v>146.2</v>
      </c>
      <c r="E906" s="1" t="n">
        <v>14.89</v>
      </c>
      <c r="F906" s="1" t="n">
        <f aca="false">3/8</f>
        <v>0.375</v>
      </c>
    </row>
    <row collapsed="false" customFormat="false" customHeight="false" hidden="false" ht="14.75" outlineLevel="0" r="907">
      <c r="A907" s="1" t="s">
        <v>780</v>
      </c>
      <c r="B907" s="1" t="s">
        <v>722</v>
      </c>
      <c r="C907" s="1" t="s">
        <v>720</v>
      </c>
      <c r="D907" s="1" t="n">
        <v>105</v>
      </c>
      <c r="E907" s="1" t="n">
        <v>10.75</v>
      </c>
      <c r="F907" s="1" t="n">
        <f aca="false">5/8</f>
        <v>0.625</v>
      </c>
    </row>
    <row collapsed="false" customFormat="false" customHeight="false" hidden="false" ht="14.75" outlineLevel="0" r="908">
      <c r="A908" s="1" t="s">
        <v>781</v>
      </c>
      <c r="B908" s="1" t="s">
        <v>722</v>
      </c>
      <c r="C908" s="1" t="s">
        <v>720</v>
      </c>
      <c r="D908" s="1" t="n">
        <v>99.4</v>
      </c>
      <c r="E908" s="1" t="n">
        <v>12.22</v>
      </c>
      <c r="F908" s="1" t="n">
        <f aca="false">3/8</f>
        <v>0.375</v>
      </c>
    </row>
    <row collapsed="false" customFormat="false" customHeight="false" hidden="false" ht="14.75" outlineLevel="0" r="909">
      <c r="A909" s="1" t="s">
        <v>782</v>
      </c>
      <c r="B909" s="1" t="s">
        <v>722</v>
      </c>
      <c r="C909" s="1" t="s">
        <v>720</v>
      </c>
      <c r="D909" s="1" t="n">
        <v>35</v>
      </c>
      <c r="E909" s="1" t="n">
        <v>6.47</v>
      </c>
      <c r="F909" s="1" t="n">
        <f aca="false">1/8</f>
        <v>0.125</v>
      </c>
    </row>
    <row collapsed="false" customFormat="false" customHeight="false" hidden="false" ht="14.75" outlineLevel="0" r="910">
      <c r="A910" s="1" t="s">
        <v>783</v>
      </c>
      <c r="B910" s="1" t="s">
        <v>722</v>
      </c>
      <c r="C910" s="1" t="s">
        <v>720</v>
      </c>
      <c r="D910" s="1" t="n">
        <v>25.6</v>
      </c>
      <c r="E910" s="1" t="n">
        <v>6</v>
      </c>
      <c r="F910" s="1" t="n">
        <v>0</v>
      </c>
    </row>
    <row collapsed="false" customFormat="false" customHeight="false" hidden="false" ht="14.75" outlineLevel="0" r="911">
      <c r="A911" s="1" t="s">
        <v>784</v>
      </c>
      <c r="B911" s="1" t="s">
        <v>722</v>
      </c>
      <c r="C911" s="1" t="s">
        <v>720</v>
      </c>
      <c r="D911" s="1" t="n">
        <v>95</v>
      </c>
      <c r="E911" s="1" t="n">
        <v>10.54</v>
      </c>
      <c r="F911" s="1" t="n">
        <v>0</v>
      </c>
    </row>
    <row collapsed="false" customFormat="false" customHeight="false" hidden="false" ht="14.75" outlineLevel="0" r="912">
      <c r="A912" s="1" t="s">
        <v>785</v>
      </c>
      <c r="B912" s="1" t="s">
        <v>786</v>
      </c>
      <c r="C912" s="1" t="s">
        <v>787</v>
      </c>
      <c r="D912" s="1" t="n">
        <v>145.5</v>
      </c>
      <c r="E912" s="1" t="n">
        <v>10</v>
      </c>
      <c r="F912" s="1" t="n">
        <f aca="false">8/11</f>
        <v>0.727272727272727</v>
      </c>
    </row>
    <row collapsed="false" customFormat="false" customHeight="false" hidden="false" ht="14.75" outlineLevel="0" r="913">
      <c r="A913" s="1" t="s">
        <v>788</v>
      </c>
      <c r="B913" s="1" t="s">
        <v>786</v>
      </c>
      <c r="C913" s="1" t="s">
        <v>787</v>
      </c>
      <c r="D913" s="1" t="n">
        <v>117</v>
      </c>
      <c r="E913" s="1" t="n">
        <v>8.44</v>
      </c>
      <c r="F913" s="1" t="n">
        <v>1</v>
      </c>
    </row>
    <row collapsed="false" customFormat="false" customHeight="false" hidden="false" ht="14.75" outlineLevel="0" r="914">
      <c r="A914" s="1" t="s">
        <v>789</v>
      </c>
      <c r="B914" s="1" t="s">
        <v>790</v>
      </c>
      <c r="C914" s="1" t="s">
        <v>787</v>
      </c>
      <c r="D914" s="1" t="n">
        <v>403.5</v>
      </c>
      <c r="E914" s="1" t="n">
        <v>20.95</v>
      </c>
      <c r="F914" s="1" t="n">
        <v>4.6</v>
      </c>
    </row>
    <row collapsed="false" customFormat="false" customHeight="false" hidden="false" ht="14.75" outlineLevel="0" r="915">
      <c r="A915" s="1" t="s">
        <v>791</v>
      </c>
      <c r="B915" s="1" t="s">
        <v>790</v>
      </c>
      <c r="C915" s="1" t="s">
        <v>787</v>
      </c>
      <c r="D915" s="1" t="n">
        <v>385</v>
      </c>
      <c r="E915" s="1" t="n">
        <v>19.37</v>
      </c>
      <c r="F915" s="1" t="n">
        <v>5.2</v>
      </c>
    </row>
    <row collapsed="false" customFormat="false" customHeight="false" hidden="false" ht="14.75" outlineLevel="0" r="916">
      <c r="A916" s="1" t="s">
        <v>792</v>
      </c>
      <c r="B916" s="1" t="s">
        <v>790</v>
      </c>
      <c r="C916" s="1" t="s">
        <v>787</v>
      </c>
      <c r="D916" s="1" t="n">
        <v>177.5</v>
      </c>
      <c r="E916" s="1" t="n">
        <v>13.75</v>
      </c>
      <c r="F916" s="1" t="n">
        <v>1.6</v>
      </c>
    </row>
    <row collapsed="false" customFormat="false" customHeight="false" hidden="false" ht="14.75" outlineLevel="0" r="917">
      <c r="A917" s="1" t="s">
        <v>793</v>
      </c>
      <c r="B917" s="1" t="s">
        <v>790</v>
      </c>
      <c r="C917" s="1" t="s">
        <v>787</v>
      </c>
      <c r="D917" s="1" t="n">
        <v>223.5</v>
      </c>
      <c r="E917" s="1" t="n">
        <v>15.41</v>
      </c>
      <c r="F917" s="1" t="n">
        <v>3.3</v>
      </c>
    </row>
    <row collapsed="false" customFormat="false" customHeight="false" hidden="false" ht="14.75" outlineLevel="0" r="918">
      <c r="A918" s="1" t="s">
        <v>794</v>
      </c>
      <c r="B918" s="1" t="s">
        <v>790</v>
      </c>
      <c r="C918" s="1" t="s">
        <v>787</v>
      </c>
      <c r="D918" s="1" t="n">
        <v>127.5</v>
      </c>
      <c r="E918" s="1" t="n">
        <v>11.1</v>
      </c>
      <c r="F918" s="1" t="n">
        <v>1.3</v>
      </c>
    </row>
    <row collapsed="false" customFormat="false" customHeight="false" hidden="false" ht="14.75" outlineLevel="0" r="919">
      <c r="A919" s="1" t="s">
        <v>795</v>
      </c>
      <c r="B919" s="1" t="s">
        <v>790</v>
      </c>
      <c r="C919" s="1" t="s">
        <v>787</v>
      </c>
      <c r="D919" s="1" t="n">
        <v>175.5</v>
      </c>
      <c r="E919" s="1" t="n">
        <v>14.71</v>
      </c>
      <c r="F919" s="1" t="n">
        <v>2.3</v>
      </c>
    </row>
    <row collapsed="false" customFormat="false" customHeight="false" hidden="false" ht="14.75" outlineLevel="0" r="920">
      <c r="A920" s="1" t="s">
        <v>796</v>
      </c>
      <c r="B920" s="1" t="s">
        <v>797</v>
      </c>
      <c r="C920" s="1" t="s">
        <v>787</v>
      </c>
      <c r="D920" s="1" t="n">
        <v>277</v>
      </c>
      <c r="E920" s="1" t="n">
        <v>15.05</v>
      </c>
      <c r="F920" s="1" t="n">
        <v>3</v>
      </c>
    </row>
    <row collapsed="false" customFormat="false" customHeight="false" hidden="false" ht="14.75" outlineLevel="0" r="921">
      <c r="A921" s="1" t="s">
        <v>798</v>
      </c>
      <c r="B921" s="1" t="s">
        <v>797</v>
      </c>
      <c r="C921" s="1" t="s">
        <v>787</v>
      </c>
      <c r="D921" s="1" t="n">
        <v>149.5</v>
      </c>
      <c r="E921" s="1" t="n">
        <v>10.58</v>
      </c>
      <c r="F921" s="1" t="n">
        <v>1.2</v>
      </c>
    </row>
    <row collapsed="false" customFormat="false" customHeight="false" hidden="false" ht="14.75" outlineLevel="0" r="922">
      <c r="A922" s="1" t="s">
        <v>799</v>
      </c>
      <c r="B922" s="1" t="s">
        <v>797</v>
      </c>
      <c r="C922" s="1" t="s">
        <v>787</v>
      </c>
      <c r="D922" s="1" t="n">
        <v>123.5</v>
      </c>
      <c r="E922" s="1" t="n">
        <v>9.53</v>
      </c>
      <c r="F922" s="1" t="n">
        <v>0.6</v>
      </c>
    </row>
    <row collapsed="false" customFormat="false" customHeight="false" hidden="false" ht="14.75" outlineLevel="0" r="923">
      <c r="A923" s="1" t="s">
        <v>800</v>
      </c>
      <c r="B923" s="1" t="s">
        <v>797</v>
      </c>
      <c r="C923" s="1" t="s">
        <v>787</v>
      </c>
      <c r="D923" s="1" t="n">
        <v>98.9</v>
      </c>
      <c r="E923" s="1" t="n">
        <v>6.67</v>
      </c>
      <c r="F923" s="1" t="n">
        <v>0.7</v>
      </c>
    </row>
    <row collapsed="false" customFormat="false" customHeight="false" hidden="false" ht="14.75" outlineLevel="0" r="924">
      <c r="A924" s="1" t="s">
        <v>801</v>
      </c>
      <c r="B924" s="1" t="s">
        <v>797</v>
      </c>
      <c r="C924" s="1" t="s">
        <v>787</v>
      </c>
      <c r="D924" s="1" t="n">
        <v>33.9</v>
      </c>
      <c r="E924" s="1" t="n">
        <v>5</v>
      </c>
      <c r="F924" s="1" t="n">
        <v>0.2</v>
      </c>
    </row>
    <row collapsed="false" customFormat="false" customHeight="false" hidden="false" ht="14.75" outlineLevel="0" r="925">
      <c r="A925" s="1" t="s">
        <v>513</v>
      </c>
      <c r="B925" s="1" t="s">
        <v>802</v>
      </c>
      <c r="C925" s="1" t="s">
        <v>787</v>
      </c>
      <c r="D925" s="1" t="n">
        <v>325</v>
      </c>
      <c r="E925" s="1" t="n">
        <v>19.48</v>
      </c>
      <c r="F925" s="1" t="n">
        <f aca="false">32/8</f>
        <v>4</v>
      </c>
    </row>
    <row collapsed="false" customFormat="false" customHeight="false" hidden="false" ht="14.75" outlineLevel="0" r="926">
      <c r="A926" s="1" t="s">
        <v>514</v>
      </c>
      <c r="B926" s="1" t="s">
        <v>802</v>
      </c>
      <c r="C926" s="1" t="s">
        <v>787</v>
      </c>
      <c r="D926" s="1" t="n">
        <v>308.8</v>
      </c>
      <c r="E926" s="1" t="n">
        <v>16.32</v>
      </c>
      <c r="F926" s="1" t="n">
        <f aca="false">26/8</f>
        <v>3.25</v>
      </c>
    </row>
    <row collapsed="false" customFormat="false" customHeight="false" hidden="false" ht="14.75" outlineLevel="0" r="927">
      <c r="A927" s="1" t="s">
        <v>195</v>
      </c>
      <c r="B927" s="1" t="s">
        <v>803</v>
      </c>
      <c r="C927" s="1" t="s">
        <v>787</v>
      </c>
      <c r="D927" s="1" t="n">
        <v>315</v>
      </c>
      <c r="E927" s="1" t="n">
        <v>16.11</v>
      </c>
      <c r="F927" s="1" t="n">
        <v>2</v>
      </c>
    </row>
    <row collapsed="false" customFormat="false" customHeight="false" hidden="false" ht="14.75" outlineLevel="0" r="928">
      <c r="A928" s="1" t="s">
        <v>197</v>
      </c>
      <c r="B928" s="1" t="s">
        <v>803</v>
      </c>
      <c r="C928" s="1" t="s">
        <v>787</v>
      </c>
      <c r="D928" s="1" t="n">
        <v>160</v>
      </c>
      <c r="E928" s="1" t="n">
        <v>13.57</v>
      </c>
      <c r="F928" s="1" t="n">
        <f aca="false">6/8</f>
        <v>0.75</v>
      </c>
    </row>
    <row collapsed="false" customFormat="false" customHeight="false" hidden="false" ht="14.75" outlineLevel="0" r="929">
      <c r="A929" s="1" t="s">
        <v>804</v>
      </c>
      <c r="B929" s="1" t="s">
        <v>805</v>
      </c>
      <c r="C929" s="1" t="s">
        <v>787</v>
      </c>
      <c r="D929" s="1" t="n">
        <v>76.7</v>
      </c>
      <c r="E929" s="1" t="n">
        <v>10</v>
      </c>
      <c r="F929" s="1" t="n">
        <v>0</v>
      </c>
    </row>
    <row collapsed="false" customFormat="false" customHeight="false" hidden="false" ht="14.75" outlineLevel="0" r="930">
      <c r="A930" s="1" t="s">
        <v>806</v>
      </c>
      <c r="B930" s="1" t="s">
        <v>803</v>
      </c>
      <c r="C930" s="1" t="s">
        <v>787</v>
      </c>
      <c r="D930" s="1" t="n">
        <v>131.2</v>
      </c>
      <c r="E930" s="1" t="n">
        <v>12.83</v>
      </c>
      <c r="F930" s="1" t="n">
        <f aca="false">6/8</f>
        <v>0.75</v>
      </c>
    </row>
    <row collapsed="false" customFormat="false" customHeight="false" hidden="false" ht="14.75" outlineLevel="0" r="931">
      <c r="A931" s="1" t="s">
        <v>807</v>
      </c>
      <c r="B931" s="1" t="s">
        <v>803</v>
      </c>
      <c r="C931" s="1" t="s">
        <v>787</v>
      </c>
      <c r="D931" s="1" t="n">
        <v>36.2</v>
      </c>
      <c r="E931" s="1" t="n">
        <v>8.82</v>
      </c>
      <c r="F931" s="1" t="n">
        <v>0</v>
      </c>
    </row>
    <row collapsed="false" customFormat="false" customHeight="false" hidden="false" ht="14.75" outlineLevel="0" r="932">
      <c r="A932" s="1" t="s">
        <v>808</v>
      </c>
      <c r="B932" s="1" t="s">
        <v>803</v>
      </c>
      <c r="C932" s="1" t="s">
        <v>787</v>
      </c>
      <c r="D932" s="1" t="n">
        <v>21.9</v>
      </c>
      <c r="E932" s="1" t="n">
        <v>3.33</v>
      </c>
      <c r="F932" s="1" t="n">
        <v>0.5</v>
      </c>
    </row>
    <row collapsed="false" customFormat="false" customHeight="false" hidden="false" ht="14.75" outlineLevel="0" r="933">
      <c r="A933" s="1" t="s">
        <v>809</v>
      </c>
      <c r="B933" s="1" t="s">
        <v>810</v>
      </c>
      <c r="C933" s="1" t="s">
        <v>787</v>
      </c>
      <c r="D933" s="1" t="n">
        <v>170.6</v>
      </c>
      <c r="E933" s="1" t="n">
        <v>13.73</v>
      </c>
      <c r="F933" s="1" t="n">
        <f aca="false">11/8</f>
        <v>1.375</v>
      </c>
    </row>
    <row collapsed="false" customFormat="false" customHeight="false" hidden="false" ht="14.75" outlineLevel="0" r="934">
      <c r="A934" s="1" t="s">
        <v>811</v>
      </c>
      <c r="B934" s="1" t="s">
        <v>810</v>
      </c>
      <c r="C934" s="1" t="s">
        <v>787</v>
      </c>
      <c r="D934" s="1" t="n">
        <v>27.5</v>
      </c>
      <c r="E934" s="1" t="n">
        <v>3.53</v>
      </c>
      <c r="F934" s="1" t="n">
        <f aca="false">2/8</f>
        <v>0.25</v>
      </c>
    </row>
    <row collapsed="false" customFormat="false" customHeight="false" hidden="false" ht="14.75" outlineLevel="0" r="935">
      <c r="A935" s="1" t="s">
        <v>812</v>
      </c>
      <c r="B935" s="1" t="s">
        <v>813</v>
      </c>
      <c r="C935" s="1" t="s">
        <v>787</v>
      </c>
      <c r="D935" s="1" t="n">
        <v>408.8</v>
      </c>
      <c r="E935" s="1" t="n">
        <v>22</v>
      </c>
      <c r="F935" s="1" t="n">
        <f aca="false">79/12</f>
        <v>6.58333333333333</v>
      </c>
    </row>
    <row collapsed="false" customFormat="false" customHeight="false" hidden="false" ht="14.75" outlineLevel="0" r="936">
      <c r="A936" s="1" t="s">
        <v>523</v>
      </c>
      <c r="B936" s="1" t="s">
        <v>803</v>
      </c>
      <c r="C936" s="1" t="s">
        <v>787</v>
      </c>
      <c r="D936" s="1" t="n">
        <v>131.2</v>
      </c>
      <c r="E936" s="1" t="n">
        <v>8.07</v>
      </c>
      <c r="F936" s="1" t="n">
        <f aca="false">11/8</f>
        <v>1.375</v>
      </c>
    </row>
    <row collapsed="false" customFormat="false" customHeight="false" hidden="false" ht="14.75" outlineLevel="0" r="937">
      <c r="A937" s="1" t="s">
        <v>524</v>
      </c>
      <c r="B937" s="1" t="s">
        <v>803</v>
      </c>
      <c r="C937" s="1" t="s">
        <v>787</v>
      </c>
      <c r="D937" s="1" t="n">
        <v>75.6</v>
      </c>
      <c r="E937" s="1" t="n">
        <v>7.84</v>
      </c>
      <c r="F937" s="1" t="n">
        <v>0.5</v>
      </c>
    </row>
    <row collapsed="false" customFormat="false" customHeight="false" hidden="false" ht="14.75" outlineLevel="0" r="938">
      <c r="A938" s="1" t="s">
        <v>814</v>
      </c>
      <c r="B938" s="1" t="s">
        <v>803</v>
      </c>
      <c r="C938" s="1" t="s">
        <v>787</v>
      </c>
      <c r="D938" s="1" t="n">
        <v>56.2</v>
      </c>
      <c r="E938" s="1" t="n">
        <v>5.76</v>
      </c>
      <c r="F938" s="1" t="n">
        <f aca="false">2/8</f>
        <v>0.25</v>
      </c>
    </row>
    <row collapsed="false" customFormat="false" customHeight="false" hidden="false" ht="14.75" outlineLevel="0" r="939">
      <c r="A939" s="1" t="s">
        <v>815</v>
      </c>
      <c r="B939" s="1" t="s">
        <v>816</v>
      </c>
      <c r="C939" s="1" t="s">
        <v>787</v>
      </c>
      <c r="D939" s="1" t="n">
        <v>104.7</v>
      </c>
      <c r="E939" s="1" t="n">
        <v>8.39</v>
      </c>
      <c r="F939" s="1" t="n">
        <f aca="false">6/11</f>
        <v>0.545454545454545</v>
      </c>
    </row>
    <row collapsed="false" customFormat="false" customHeight="false" hidden="false" ht="14.75" outlineLevel="0" r="940">
      <c r="A940" s="1" t="s">
        <v>817</v>
      </c>
      <c r="B940" s="1" t="s">
        <v>818</v>
      </c>
      <c r="C940" s="1" t="s">
        <v>787</v>
      </c>
      <c r="D940" s="1" t="n">
        <v>37</v>
      </c>
      <c r="E940" s="1" t="n">
        <v>8</v>
      </c>
      <c r="F940" s="1" t="n">
        <f aca="false">4/5</f>
        <v>0.8</v>
      </c>
    </row>
    <row collapsed="false" customFormat="false" customHeight="false" hidden="false" ht="14.75" outlineLevel="0" r="941">
      <c r="A941" s="1" t="s">
        <v>302</v>
      </c>
      <c r="B941" s="1" t="s">
        <v>813</v>
      </c>
      <c r="C941" s="1" t="s">
        <v>787</v>
      </c>
      <c r="D941" s="1" t="n">
        <v>116</v>
      </c>
      <c r="E941" s="1" t="n">
        <v>10.89</v>
      </c>
      <c r="F941" s="1" t="n">
        <f aca="false">8/10</f>
        <v>0.8</v>
      </c>
    </row>
    <row collapsed="false" customFormat="false" customHeight="false" hidden="false" ht="14.75" outlineLevel="0" r="942">
      <c r="A942" s="1" t="s">
        <v>819</v>
      </c>
      <c r="B942" s="1" t="s">
        <v>816</v>
      </c>
      <c r="C942" s="1" t="s">
        <v>787</v>
      </c>
      <c r="D942" s="1" t="n">
        <v>326.1</v>
      </c>
      <c r="E942" s="1" t="n">
        <v>15.79</v>
      </c>
      <c r="F942" s="1" t="n">
        <f aca="false">31/11</f>
        <v>2.81818181818182</v>
      </c>
    </row>
    <row collapsed="false" customFormat="false" customHeight="false" hidden="false" ht="14.75" outlineLevel="0" r="943">
      <c r="A943" s="1" t="s">
        <v>820</v>
      </c>
      <c r="B943" s="1" t="s">
        <v>818</v>
      </c>
      <c r="C943" s="1" t="s">
        <v>787</v>
      </c>
      <c r="D943" s="1" t="n">
        <v>126.2</v>
      </c>
      <c r="E943" s="1" t="n">
        <v>9.61</v>
      </c>
      <c r="F943" s="1" t="n">
        <v>1</v>
      </c>
    </row>
    <row collapsed="false" customFormat="false" customHeight="false" hidden="false" ht="14.75" outlineLevel="0" r="944">
      <c r="A944" s="1" t="s">
        <v>821</v>
      </c>
      <c r="B944" s="1" t="s">
        <v>818</v>
      </c>
      <c r="C944" s="1" t="s">
        <v>787</v>
      </c>
      <c r="D944" s="1" t="n">
        <v>178.5</v>
      </c>
      <c r="E944" s="1" t="n">
        <v>11.98</v>
      </c>
      <c r="F944" s="1" t="n">
        <v>1.6</v>
      </c>
    </row>
    <row collapsed="false" customFormat="false" customHeight="false" hidden="false" ht="14.75" outlineLevel="0" r="945">
      <c r="A945" s="1" t="s">
        <v>103</v>
      </c>
      <c r="B945" s="1" t="s">
        <v>813</v>
      </c>
      <c r="C945" s="1" t="s">
        <v>787</v>
      </c>
      <c r="D945" s="1" t="n">
        <v>186.1</v>
      </c>
      <c r="E945" s="1" t="n">
        <v>13.77</v>
      </c>
      <c r="F945" s="1" t="n">
        <f aca="false">20/9</f>
        <v>2.22222222222222</v>
      </c>
    </row>
    <row collapsed="false" customFormat="false" customHeight="false" hidden="false" ht="14.75" outlineLevel="0" r="946">
      <c r="A946" s="1" t="s">
        <v>104</v>
      </c>
      <c r="B946" s="1" t="s">
        <v>813</v>
      </c>
      <c r="C946" s="1" t="s">
        <v>787</v>
      </c>
      <c r="D946" s="1" t="n">
        <v>146.1</v>
      </c>
      <c r="E946" s="1" t="n">
        <v>12.13</v>
      </c>
      <c r="F946" s="1" t="n">
        <f aca="false">10/9</f>
        <v>1.11111111111111</v>
      </c>
    </row>
    <row collapsed="false" customFormat="false" customHeight="false" hidden="false" ht="14.75" outlineLevel="0" r="947">
      <c r="A947" s="1" t="s">
        <v>822</v>
      </c>
      <c r="B947" s="1" t="s">
        <v>813</v>
      </c>
      <c r="C947" s="1" t="s">
        <v>787</v>
      </c>
      <c r="D947" s="1" t="n">
        <v>90</v>
      </c>
      <c r="E947" s="1" t="n">
        <v>8</v>
      </c>
      <c r="F947" s="1" t="n">
        <f aca="false">9/9</f>
        <v>1</v>
      </c>
    </row>
    <row collapsed="false" customFormat="false" customHeight="false" hidden="false" ht="14.75" outlineLevel="0" r="948">
      <c r="A948" s="1" t="s">
        <v>823</v>
      </c>
      <c r="B948" s="1" t="s">
        <v>813</v>
      </c>
      <c r="C948" s="1" t="s">
        <v>787</v>
      </c>
      <c r="D948" s="1" t="n">
        <v>65.6</v>
      </c>
      <c r="E948" s="1" t="n">
        <v>8.28</v>
      </c>
      <c r="F948" s="1" t="n">
        <f aca="false">4/9</f>
        <v>0.444444444444444</v>
      </c>
    </row>
    <row collapsed="false" customFormat="false" customHeight="false" hidden="false" ht="14.75" outlineLevel="0" r="949">
      <c r="A949" s="1" t="s">
        <v>824</v>
      </c>
      <c r="B949" s="1" t="s">
        <v>797</v>
      </c>
      <c r="C949" s="1" t="s">
        <v>787</v>
      </c>
      <c r="D949" s="1" t="n">
        <v>438.2</v>
      </c>
      <c r="E949" s="1" t="n">
        <v>21.05</v>
      </c>
      <c r="F949" s="1" t="n">
        <f aca="false">64/11</f>
        <v>5.81818181818182</v>
      </c>
    </row>
    <row collapsed="false" customFormat="false" customHeight="false" hidden="false" ht="14.75" outlineLevel="0" r="950">
      <c r="A950" s="1" t="s">
        <v>825</v>
      </c>
      <c r="B950" s="1" t="s">
        <v>797</v>
      </c>
      <c r="C950" s="1" t="s">
        <v>787</v>
      </c>
      <c r="D950" s="1" t="n">
        <v>150</v>
      </c>
      <c r="E950" s="1" t="n">
        <v>13.65</v>
      </c>
      <c r="F950" s="1" t="n">
        <v>0.7</v>
      </c>
    </row>
    <row collapsed="false" customFormat="false" customHeight="false" hidden="false" ht="14.75" outlineLevel="0" r="951">
      <c r="A951" s="1" t="s">
        <v>826</v>
      </c>
      <c r="B951" s="1" t="s">
        <v>797</v>
      </c>
      <c r="C951" s="1" t="s">
        <v>787</v>
      </c>
      <c r="D951" s="1" t="n">
        <v>114.5</v>
      </c>
      <c r="E951" s="1" t="n">
        <v>9.18</v>
      </c>
      <c r="F951" s="1" t="n">
        <v>0.6</v>
      </c>
    </row>
    <row collapsed="false" customFormat="false" customHeight="false" hidden="false" ht="14.75" outlineLevel="0" r="952">
      <c r="A952" s="1" t="s">
        <v>532</v>
      </c>
      <c r="B952" s="1" t="s">
        <v>818</v>
      </c>
      <c r="C952" s="1" t="s">
        <v>787</v>
      </c>
      <c r="D952" s="1" t="n">
        <v>154</v>
      </c>
      <c r="E952" s="1" t="n">
        <v>11.1</v>
      </c>
      <c r="F952" s="1" t="n">
        <v>1.2</v>
      </c>
    </row>
    <row collapsed="false" customFormat="false" customHeight="false" hidden="false" ht="14.75" outlineLevel="0" r="953">
      <c r="A953" s="1" t="s">
        <v>200</v>
      </c>
      <c r="B953" s="1" t="s">
        <v>803</v>
      </c>
      <c r="C953" s="1" t="s">
        <v>787</v>
      </c>
      <c r="D953" s="1" t="n">
        <f aca="false">((186.7*3)+(319.4*8))/11</f>
        <v>283.209090909091</v>
      </c>
      <c r="E953" s="1" t="n">
        <f aca="false">(340+1580)/(22+91)</f>
        <v>16.9911504424779</v>
      </c>
      <c r="F953" s="1" t="n">
        <v>3</v>
      </c>
    </row>
    <row collapsed="false" customFormat="false" customHeight="false" hidden="false" ht="14.75" outlineLevel="0" r="954">
      <c r="A954" s="1" t="s">
        <v>827</v>
      </c>
      <c r="B954" s="1" t="s">
        <v>797</v>
      </c>
      <c r="C954" s="1" t="s">
        <v>787</v>
      </c>
      <c r="D954" s="1" t="n">
        <v>332.3</v>
      </c>
      <c r="E954" s="1" t="n">
        <v>19.27</v>
      </c>
      <c r="F954" s="1" t="n">
        <f aca="false">40/11</f>
        <v>3.63636363636364</v>
      </c>
    </row>
    <row collapsed="false" customFormat="false" customHeight="false" hidden="false" ht="14.75" outlineLevel="0" r="955">
      <c r="A955" s="1" t="s">
        <v>828</v>
      </c>
      <c r="B955" s="1" t="s">
        <v>797</v>
      </c>
      <c r="C955" s="1" t="s">
        <v>787</v>
      </c>
      <c r="D955" s="1" t="n">
        <v>179</v>
      </c>
      <c r="E955" s="1" t="n">
        <v>12.72</v>
      </c>
      <c r="F955" s="1" t="n">
        <v>2.4</v>
      </c>
    </row>
    <row collapsed="false" customFormat="false" customHeight="false" hidden="false" ht="14.75" outlineLevel="0" r="956">
      <c r="A956" s="1" t="s">
        <v>829</v>
      </c>
      <c r="B956" s="1" t="s">
        <v>797</v>
      </c>
      <c r="C956" s="1" t="s">
        <v>787</v>
      </c>
      <c r="D956" s="1" t="n">
        <v>159.5</v>
      </c>
      <c r="E956" s="1" t="n">
        <v>10.53</v>
      </c>
      <c r="F956" s="1" t="n">
        <v>1.1</v>
      </c>
    </row>
    <row collapsed="false" customFormat="false" customHeight="false" hidden="false" ht="14.75" outlineLevel="0" r="957">
      <c r="A957" s="1" t="s">
        <v>830</v>
      </c>
      <c r="B957" s="1" t="s">
        <v>797</v>
      </c>
      <c r="C957" s="1" t="s">
        <v>787</v>
      </c>
      <c r="D957" s="1" t="n">
        <v>97.2</v>
      </c>
      <c r="E957" s="1" t="n">
        <v>7.69</v>
      </c>
      <c r="F957" s="1" t="n">
        <v>0.4</v>
      </c>
    </row>
    <row collapsed="false" customFormat="false" customHeight="false" hidden="false" ht="14.75" outlineLevel="0" r="958">
      <c r="A958" s="1" t="s">
        <v>831</v>
      </c>
      <c r="B958" s="1" t="s">
        <v>797</v>
      </c>
      <c r="C958" s="1" t="s">
        <v>787</v>
      </c>
      <c r="D958" s="1" t="n">
        <v>129</v>
      </c>
      <c r="E958" s="1" t="n">
        <v>10.29</v>
      </c>
      <c r="F958" s="1" t="n">
        <v>0.9</v>
      </c>
    </row>
    <row collapsed="false" customFormat="false" customHeight="false" hidden="false" ht="14.75" outlineLevel="0" r="959">
      <c r="A959" s="1" t="s">
        <v>832</v>
      </c>
      <c r="B959" s="1" t="s">
        <v>797</v>
      </c>
      <c r="C959" s="1" t="s">
        <v>787</v>
      </c>
      <c r="D959" s="1" t="n">
        <v>86.5</v>
      </c>
      <c r="E959" s="1" t="n">
        <v>7.4</v>
      </c>
      <c r="F959" s="1" t="n">
        <v>1.1</v>
      </c>
    </row>
    <row collapsed="false" customFormat="false" customHeight="false" hidden="false" ht="14.75" outlineLevel="0" r="960">
      <c r="A960" s="1" t="s">
        <v>535</v>
      </c>
      <c r="B960" s="1" t="s">
        <v>802</v>
      </c>
      <c r="C960" s="1" t="s">
        <v>787</v>
      </c>
      <c r="D960" s="1" t="n">
        <v>395.5</v>
      </c>
      <c r="E960" s="1" t="n">
        <v>21.07</v>
      </c>
      <c r="F960" s="1" t="n">
        <v>5.5</v>
      </c>
    </row>
    <row collapsed="false" customFormat="false" customHeight="false" hidden="false" ht="14.75" outlineLevel="0" r="961">
      <c r="A961" s="1" t="s">
        <v>536</v>
      </c>
      <c r="B961" s="1" t="s">
        <v>802</v>
      </c>
      <c r="C961" s="1" t="s">
        <v>787</v>
      </c>
      <c r="D961" s="1" t="n">
        <v>479.5</v>
      </c>
      <c r="E961" s="1" t="n">
        <v>22.45</v>
      </c>
      <c r="F961" s="1" t="n">
        <v>6.2</v>
      </c>
    </row>
    <row collapsed="false" customFormat="false" customHeight="false" hidden="false" ht="14.75" outlineLevel="0" r="962">
      <c r="A962" s="1" t="s">
        <v>833</v>
      </c>
      <c r="B962" s="1" t="s">
        <v>805</v>
      </c>
      <c r="C962" s="1" t="s">
        <v>787</v>
      </c>
      <c r="D962" s="1" t="n">
        <v>211.7</v>
      </c>
      <c r="E962" s="1" t="n">
        <v>12.5</v>
      </c>
      <c r="F962" s="1" t="n">
        <v>1</v>
      </c>
    </row>
    <row collapsed="false" customFormat="false" customHeight="false" hidden="false" ht="14.75" outlineLevel="0" r="963">
      <c r="A963" s="1" t="s">
        <v>834</v>
      </c>
      <c r="B963" s="1" t="s">
        <v>805</v>
      </c>
      <c r="C963" s="1" t="s">
        <v>787</v>
      </c>
      <c r="D963" s="1" t="n">
        <v>57.5</v>
      </c>
      <c r="E963" s="1" t="n">
        <v>9.5</v>
      </c>
      <c r="F963" s="1" t="n">
        <v>0</v>
      </c>
    </row>
    <row collapsed="false" customFormat="false" customHeight="false" hidden="false" ht="14.75" outlineLevel="0" r="964">
      <c r="A964" s="1" t="s">
        <v>835</v>
      </c>
      <c r="B964" s="1" t="s">
        <v>786</v>
      </c>
      <c r="C964" s="1" t="s">
        <v>787</v>
      </c>
      <c r="D964" s="1" t="n">
        <v>136.5</v>
      </c>
      <c r="E964" s="1" t="n">
        <v>9.58</v>
      </c>
      <c r="F964" s="1" t="n">
        <v>0.7</v>
      </c>
    </row>
    <row collapsed="false" customFormat="false" customHeight="false" hidden="false" ht="14.75" outlineLevel="0" r="965">
      <c r="A965" s="1" t="s">
        <v>836</v>
      </c>
      <c r="B965" s="1" t="s">
        <v>786</v>
      </c>
      <c r="C965" s="1" t="s">
        <v>787</v>
      </c>
      <c r="D965" s="1" t="n">
        <v>52.5</v>
      </c>
      <c r="E965" s="1" t="n">
        <v>6</v>
      </c>
      <c r="F965" s="1" t="n">
        <v>0.1</v>
      </c>
    </row>
    <row collapsed="false" customFormat="false" customHeight="false" hidden="false" ht="14.75" outlineLevel="0" r="966">
      <c r="A966" s="1" t="s">
        <v>837</v>
      </c>
      <c r="B966" s="1" t="s">
        <v>805</v>
      </c>
      <c r="C966" s="1" t="s">
        <v>787</v>
      </c>
      <c r="D966" s="1" t="n">
        <v>150.8</v>
      </c>
      <c r="E966" s="1" t="n">
        <v>11.19</v>
      </c>
      <c r="F966" s="1" t="n">
        <f aca="false">10/7</f>
        <v>1.42857142857143</v>
      </c>
    </row>
    <row collapsed="false" customFormat="false" customHeight="false" hidden="false" ht="14.75" outlineLevel="0" r="967">
      <c r="A967" s="1" t="s">
        <v>838</v>
      </c>
      <c r="B967" s="1" t="s">
        <v>805</v>
      </c>
      <c r="C967" s="1" t="s">
        <v>787</v>
      </c>
      <c r="D967" s="1" t="n">
        <v>28.3</v>
      </c>
      <c r="E967" s="1" t="n">
        <v>5.91</v>
      </c>
      <c r="F967" s="1" t="n">
        <f aca="false">2/7</f>
        <v>0.285714285714286</v>
      </c>
    </row>
    <row collapsed="false" customFormat="false" customHeight="false" hidden="false" ht="14.75" outlineLevel="0" r="968">
      <c r="A968" s="1" t="s">
        <v>108</v>
      </c>
      <c r="B968" s="1" t="s">
        <v>839</v>
      </c>
      <c r="C968" s="1" t="s">
        <v>787</v>
      </c>
      <c r="D968" s="1" t="n">
        <v>327</v>
      </c>
      <c r="E968" s="1" t="n">
        <v>17.1</v>
      </c>
      <c r="F968" s="1" t="n">
        <v>2.8</v>
      </c>
    </row>
    <row collapsed="false" customFormat="false" customHeight="false" hidden="false" ht="14.75" outlineLevel="0" r="969">
      <c r="A969" s="1" t="s">
        <v>110</v>
      </c>
      <c r="B969" s="1" t="s">
        <v>839</v>
      </c>
      <c r="C969" s="1" t="s">
        <v>787</v>
      </c>
      <c r="D969" s="1" t="n">
        <v>284.5</v>
      </c>
      <c r="E969" s="1" t="n">
        <v>14.4</v>
      </c>
      <c r="F969" s="1" t="n">
        <v>1.7</v>
      </c>
    </row>
    <row collapsed="false" customFormat="false" customHeight="false" hidden="false" ht="14.75" outlineLevel="0" r="970">
      <c r="A970" s="1" t="s">
        <v>840</v>
      </c>
      <c r="B970" s="1" t="s">
        <v>802</v>
      </c>
      <c r="C970" s="1" t="s">
        <v>787</v>
      </c>
      <c r="D970" s="1" t="n">
        <v>190</v>
      </c>
      <c r="E970" s="1" t="n">
        <v>12.41</v>
      </c>
      <c r="F970" s="1" t="n">
        <f aca="false">17/7</f>
        <v>2.42857142857143</v>
      </c>
    </row>
    <row collapsed="false" customFormat="false" customHeight="false" hidden="false" ht="14.75" outlineLevel="0" r="971">
      <c r="A971" s="1" t="s">
        <v>841</v>
      </c>
      <c r="B971" s="1" t="s">
        <v>802</v>
      </c>
      <c r="C971" s="1" t="s">
        <v>787</v>
      </c>
      <c r="D971" s="1" t="n">
        <v>75.7</v>
      </c>
      <c r="E971" s="1" t="n">
        <v>10.19</v>
      </c>
      <c r="F971" s="1" t="n">
        <f aca="false">3/7</f>
        <v>0.428571428571429</v>
      </c>
    </row>
    <row collapsed="false" customFormat="false" customHeight="false" hidden="false" ht="14.75" outlineLevel="0" r="972">
      <c r="A972" s="1" t="s">
        <v>842</v>
      </c>
      <c r="B972" s="1" t="s">
        <v>803</v>
      </c>
      <c r="C972" s="1" t="s">
        <v>787</v>
      </c>
      <c r="D972" s="1" t="n">
        <v>90.6</v>
      </c>
      <c r="E972" s="1" t="n">
        <v>7.38</v>
      </c>
      <c r="F972" s="1" t="n">
        <f aca="false">6/8</f>
        <v>0.75</v>
      </c>
    </row>
    <row collapsed="false" customFormat="false" customHeight="false" hidden="false" ht="14.75" outlineLevel="0" r="973">
      <c r="A973" s="1" t="s">
        <v>843</v>
      </c>
      <c r="B973" s="1" t="s">
        <v>844</v>
      </c>
      <c r="C973" s="1" t="s">
        <v>787</v>
      </c>
      <c r="D973" s="1" t="n">
        <v>65.8</v>
      </c>
      <c r="E973" s="1" t="n">
        <v>10.24</v>
      </c>
      <c r="F973" s="1" t="n">
        <f aca="false">3/8</f>
        <v>0.375</v>
      </c>
    </row>
    <row collapsed="false" customFormat="false" customHeight="false" hidden="false" ht="14.75" outlineLevel="0" r="974">
      <c r="A974" s="1" t="s">
        <v>845</v>
      </c>
      <c r="B974" s="1" t="s">
        <v>839</v>
      </c>
      <c r="C974" s="1" t="s">
        <v>787</v>
      </c>
      <c r="D974" s="1" t="n">
        <v>141.5</v>
      </c>
      <c r="E974" s="1" t="n">
        <v>9.3</v>
      </c>
      <c r="F974" s="1" t="n">
        <v>1.3</v>
      </c>
    </row>
    <row collapsed="false" customFormat="false" customHeight="false" hidden="false" ht="14.75" outlineLevel="0" r="975">
      <c r="A975" s="1" t="s">
        <v>846</v>
      </c>
      <c r="B975" s="1" t="s">
        <v>797</v>
      </c>
      <c r="C975" s="1" t="s">
        <v>787</v>
      </c>
      <c r="D975" s="1" t="n">
        <v>174.5</v>
      </c>
      <c r="E975" s="1" t="n">
        <v>12.5</v>
      </c>
      <c r="F975" s="1" t="n">
        <v>1</v>
      </c>
    </row>
    <row collapsed="false" customFormat="false" customHeight="false" hidden="false" ht="14.75" outlineLevel="0" r="976">
      <c r="A976" s="1" t="s">
        <v>847</v>
      </c>
      <c r="B976" s="1" t="s">
        <v>797</v>
      </c>
      <c r="C976" s="1" t="s">
        <v>787</v>
      </c>
      <c r="D976" s="1" t="n">
        <v>102.5</v>
      </c>
      <c r="E976" s="1" t="n">
        <v>7.46</v>
      </c>
      <c r="F976" s="1" t="n">
        <v>1.6</v>
      </c>
    </row>
    <row collapsed="false" customFormat="false" customHeight="false" hidden="false" ht="14.75" outlineLevel="0" r="977">
      <c r="A977" s="1" t="s">
        <v>848</v>
      </c>
      <c r="B977" s="1" t="s">
        <v>849</v>
      </c>
      <c r="C977" s="1" t="s">
        <v>787</v>
      </c>
      <c r="D977" s="1" t="n">
        <v>405.8</v>
      </c>
      <c r="E977" s="1" t="n">
        <v>22.33</v>
      </c>
      <c r="F977" s="1" t="n">
        <f aca="false">68/12</f>
        <v>5.66666666666667</v>
      </c>
    </row>
    <row collapsed="false" customFormat="false" customHeight="false" hidden="false" ht="14.75" outlineLevel="0" r="978">
      <c r="A978" s="1" t="s">
        <v>850</v>
      </c>
      <c r="B978" s="1" t="s">
        <v>844</v>
      </c>
      <c r="C978" s="1" t="s">
        <v>787</v>
      </c>
      <c r="D978" s="1" t="n">
        <v>49</v>
      </c>
      <c r="E978" s="1" t="n">
        <v>8.57</v>
      </c>
      <c r="F978" s="1" t="n">
        <v>0</v>
      </c>
    </row>
    <row collapsed="false" customFormat="false" customHeight="false" hidden="false" ht="14.75" outlineLevel="0" r="979">
      <c r="A979" s="1" t="s">
        <v>851</v>
      </c>
      <c r="B979" s="1" t="s">
        <v>844</v>
      </c>
      <c r="C979" s="1" t="s">
        <v>787</v>
      </c>
      <c r="D979" s="1" t="n">
        <v>171</v>
      </c>
      <c r="E979" s="1" t="n">
        <v>13.16</v>
      </c>
      <c r="F979" s="1" t="n">
        <f aca="false">2/8</f>
        <v>0.25</v>
      </c>
    </row>
    <row collapsed="false" customFormat="false" customHeight="false" hidden="false" ht="14.75" outlineLevel="0" r="980">
      <c r="A980" s="1" t="s">
        <v>204</v>
      </c>
      <c r="B980" s="1" t="s">
        <v>849</v>
      </c>
      <c r="C980" s="1" t="s">
        <v>787</v>
      </c>
      <c r="D980" s="1" t="n">
        <v>462.5</v>
      </c>
      <c r="E980" s="1" t="n">
        <v>24.14</v>
      </c>
      <c r="F980" s="1" t="n">
        <f aca="false">89/12</f>
        <v>7.41666666666667</v>
      </c>
    </row>
    <row collapsed="false" customFormat="false" customHeight="false" hidden="false" ht="14.75" outlineLevel="0" r="981">
      <c r="A981" s="1" t="s">
        <v>205</v>
      </c>
      <c r="B981" s="1" t="s">
        <v>849</v>
      </c>
      <c r="C981" s="1" t="s">
        <v>787</v>
      </c>
      <c r="D981" s="1" t="n">
        <v>339.5</v>
      </c>
      <c r="E981" s="1" t="n">
        <v>19.05</v>
      </c>
      <c r="F981" s="1" t="n">
        <v>4.6</v>
      </c>
    </row>
    <row collapsed="false" customFormat="false" customHeight="false" hidden="false" ht="14.75" outlineLevel="0" r="982">
      <c r="A982" s="1" t="s">
        <v>113</v>
      </c>
      <c r="B982" s="1" t="s">
        <v>839</v>
      </c>
      <c r="C982" s="1" t="s">
        <v>787</v>
      </c>
      <c r="D982" s="1" t="n">
        <v>132</v>
      </c>
      <c r="E982" s="1" t="n">
        <v>11.1</v>
      </c>
      <c r="F982" s="1" t="n">
        <v>0.4</v>
      </c>
    </row>
    <row collapsed="false" customFormat="false" customHeight="false" hidden="false" ht="14.75" outlineLevel="0" r="983">
      <c r="A983" s="1" t="s">
        <v>114</v>
      </c>
      <c r="B983" s="1" t="s">
        <v>839</v>
      </c>
      <c r="C983" s="1" t="s">
        <v>787</v>
      </c>
      <c r="D983" s="1" t="n">
        <v>39.5</v>
      </c>
      <c r="E983" s="1" t="n">
        <v>2.1</v>
      </c>
      <c r="F983" s="1" t="n">
        <v>0.2</v>
      </c>
    </row>
    <row collapsed="false" customFormat="false" customHeight="false" hidden="false" ht="14.75" outlineLevel="0" r="984">
      <c r="A984" s="1" t="s">
        <v>852</v>
      </c>
      <c r="B984" s="1" t="s">
        <v>805</v>
      </c>
      <c r="C984" s="1" t="s">
        <v>787</v>
      </c>
      <c r="D984" s="1" t="n">
        <v>215</v>
      </c>
      <c r="E984" s="1" t="n">
        <v>13.28</v>
      </c>
      <c r="F984" s="1" t="n">
        <f aca="false">4/9</f>
        <v>0.444444444444444</v>
      </c>
    </row>
    <row collapsed="false" customFormat="false" customHeight="false" hidden="false" ht="14.75" outlineLevel="0" r="985">
      <c r="A985" s="1" t="s">
        <v>119</v>
      </c>
      <c r="B985" s="1" t="s">
        <v>818</v>
      </c>
      <c r="C985" s="1" t="s">
        <v>787</v>
      </c>
      <c r="D985" s="1" t="n">
        <v>378.6</v>
      </c>
      <c r="E985" s="1" t="n">
        <v>20.15</v>
      </c>
      <c r="F985" s="1" t="n">
        <f aca="false">47/11</f>
        <v>4.27272727272727</v>
      </c>
    </row>
    <row collapsed="false" customFormat="false" customHeight="false" hidden="false" ht="14.75" outlineLevel="0" r="986">
      <c r="A986" s="1" t="s">
        <v>853</v>
      </c>
      <c r="B986" s="1" t="s">
        <v>797</v>
      </c>
      <c r="C986" s="1" t="s">
        <v>787</v>
      </c>
      <c r="D986" s="1" t="n">
        <v>250</v>
      </c>
      <c r="E986" s="1" t="n">
        <v>16.74</v>
      </c>
      <c r="F986" s="1" t="n">
        <v>2</v>
      </c>
    </row>
    <row collapsed="false" customFormat="false" customHeight="false" hidden="false" ht="14.75" outlineLevel="0" r="987">
      <c r="A987" s="1" t="s">
        <v>854</v>
      </c>
      <c r="B987" s="1" t="s">
        <v>797</v>
      </c>
      <c r="C987" s="1" t="s">
        <v>787</v>
      </c>
      <c r="D987" s="1" t="n">
        <v>146</v>
      </c>
      <c r="E987" s="1" t="n">
        <v>10.87</v>
      </c>
      <c r="F987" s="1" t="n">
        <v>0.8</v>
      </c>
    </row>
    <row collapsed="false" customFormat="false" customHeight="false" hidden="false" ht="14.75" outlineLevel="0" r="988">
      <c r="A988" s="1" t="s">
        <v>855</v>
      </c>
      <c r="B988" s="1" t="s">
        <v>797</v>
      </c>
      <c r="C988" s="1" t="s">
        <v>787</v>
      </c>
      <c r="D988" s="1" t="n">
        <v>144.5</v>
      </c>
      <c r="E988" s="1" t="n">
        <v>11.52</v>
      </c>
      <c r="F988" s="1" t="n">
        <v>1</v>
      </c>
    </row>
    <row collapsed="false" customFormat="false" customHeight="false" hidden="false" ht="14.75" outlineLevel="0" r="989">
      <c r="A989" s="1" t="s">
        <v>856</v>
      </c>
      <c r="B989" s="1" t="s">
        <v>805</v>
      </c>
      <c r="C989" s="1" t="s">
        <v>787</v>
      </c>
      <c r="D989" s="1" t="n">
        <v>286.7</v>
      </c>
      <c r="E989" s="1" t="n">
        <v>16.21</v>
      </c>
      <c r="F989" s="1" t="n">
        <v>1.2</v>
      </c>
    </row>
    <row collapsed="false" customFormat="false" customHeight="false" hidden="false" ht="14.75" outlineLevel="0" r="990">
      <c r="A990" s="1" t="s">
        <v>857</v>
      </c>
      <c r="B990" s="1" t="s">
        <v>805</v>
      </c>
      <c r="C990" s="1" t="s">
        <v>787</v>
      </c>
      <c r="D990" s="1" t="n">
        <v>185.8</v>
      </c>
      <c r="E990" s="1" t="n">
        <v>10.37</v>
      </c>
      <c r="F990" s="1" t="n">
        <v>0.9</v>
      </c>
    </row>
    <row collapsed="false" customFormat="false" customHeight="false" hidden="false" ht="14.75" outlineLevel="0" r="991">
      <c r="A991" s="1" t="s">
        <v>858</v>
      </c>
      <c r="B991" s="1" t="s">
        <v>805</v>
      </c>
      <c r="C991" s="1" t="s">
        <v>787</v>
      </c>
      <c r="D991" s="1" t="n">
        <v>172.5</v>
      </c>
      <c r="E991" s="1" t="n">
        <v>11.6</v>
      </c>
      <c r="F991" s="1" t="n">
        <f aca="false">13/8</f>
        <v>1.625</v>
      </c>
    </row>
    <row collapsed="false" customFormat="false" customHeight="false" hidden="false" ht="14.75" outlineLevel="0" r="992">
      <c r="A992" s="1" t="s">
        <v>859</v>
      </c>
      <c r="B992" s="1" t="s">
        <v>813</v>
      </c>
      <c r="C992" s="1" t="s">
        <v>787</v>
      </c>
      <c r="D992" s="1" t="n">
        <v>28.9</v>
      </c>
      <c r="E992" s="1" t="n">
        <v>1.82</v>
      </c>
      <c r="F992" s="1" t="n">
        <f aca="false">4/9</f>
        <v>0.444444444444444</v>
      </c>
    </row>
    <row collapsed="false" customFormat="false" customHeight="false" hidden="false" ht="14.75" outlineLevel="0" r="993">
      <c r="A993" s="1" t="s">
        <v>123</v>
      </c>
      <c r="B993" s="1" t="s">
        <v>818</v>
      </c>
      <c r="C993" s="1" t="s">
        <v>787</v>
      </c>
      <c r="D993" s="1" t="n">
        <v>365</v>
      </c>
      <c r="E993" s="1" t="n">
        <v>20.31</v>
      </c>
      <c r="F993" s="1" t="n">
        <f aca="false">48/11</f>
        <v>4.36363636363636</v>
      </c>
    </row>
    <row collapsed="false" customFormat="false" customHeight="false" hidden="false" ht="14.75" outlineLevel="0" r="994">
      <c r="A994" s="1" t="s">
        <v>124</v>
      </c>
      <c r="B994" s="1" t="s">
        <v>818</v>
      </c>
      <c r="C994" s="1" t="s">
        <v>787</v>
      </c>
      <c r="D994" s="1" t="n">
        <v>101.5</v>
      </c>
      <c r="E994" s="1" t="n">
        <v>10.66</v>
      </c>
      <c r="F994" s="1" t="n">
        <v>0.5</v>
      </c>
    </row>
    <row collapsed="false" customFormat="false" customHeight="false" hidden="false" ht="14.75" outlineLevel="0" r="995">
      <c r="A995" s="1" t="s">
        <v>860</v>
      </c>
      <c r="B995" s="1" t="s">
        <v>844</v>
      </c>
      <c r="C995" s="1" t="s">
        <v>787</v>
      </c>
      <c r="D995" s="1" t="n">
        <v>378.1</v>
      </c>
      <c r="E995" s="1" t="n">
        <v>19.4</v>
      </c>
      <c r="F995" s="1" t="n">
        <f aca="false">26/8</f>
        <v>3.25</v>
      </c>
    </row>
    <row collapsed="false" customFormat="false" customHeight="false" hidden="false" ht="14.75" outlineLevel="0" r="996">
      <c r="A996" s="1" t="s">
        <v>861</v>
      </c>
      <c r="B996" s="1" t="s">
        <v>844</v>
      </c>
      <c r="C996" s="1" t="s">
        <v>787</v>
      </c>
      <c r="D996" s="1" t="n">
        <v>126</v>
      </c>
      <c r="E996" s="1" t="n">
        <v>12.07</v>
      </c>
      <c r="F996" s="1" t="n">
        <f aca="false">7/8</f>
        <v>0.875</v>
      </c>
    </row>
    <row collapsed="false" customFormat="false" customHeight="false" hidden="false" ht="14.75" outlineLevel="0" r="997">
      <c r="A997" s="1" t="s">
        <v>862</v>
      </c>
      <c r="B997" s="1" t="s">
        <v>818</v>
      </c>
      <c r="C997" s="1" t="s">
        <v>787</v>
      </c>
      <c r="D997" s="1" t="n">
        <v>182.2</v>
      </c>
      <c r="E997" s="1" t="n">
        <v>12</v>
      </c>
      <c r="F997" s="1" t="n">
        <f aca="false">15/9</f>
        <v>1.66666666666667</v>
      </c>
    </row>
    <row collapsed="false" customFormat="false" customHeight="false" hidden="false" ht="14.75" outlineLevel="0" r="998">
      <c r="A998" s="1" t="s">
        <v>863</v>
      </c>
      <c r="B998" s="1" t="s">
        <v>810</v>
      </c>
      <c r="C998" s="1" t="s">
        <v>787</v>
      </c>
      <c r="D998" s="1" t="n">
        <v>314.4</v>
      </c>
      <c r="E998" s="1" t="n">
        <v>17.53</v>
      </c>
      <c r="F998" s="1" t="n">
        <v>3</v>
      </c>
    </row>
    <row collapsed="false" customFormat="false" customHeight="false" hidden="false" ht="14.75" outlineLevel="0" r="999">
      <c r="A999" s="1" t="s">
        <v>864</v>
      </c>
      <c r="B999" s="1" t="s">
        <v>844</v>
      </c>
      <c r="C999" s="1" t="s">
        <v>787</v>
      </c>
      <c r="D999" s="1" t="n">
        <v>218.1</v>
      </c>
      <c r="E999" s="1" t="n">
        <v>16.15</v>
      </c>
      <c r="F999" s="1" t="n">
        <f aca="false">14/8</f>
        <v>1.75</v>
      </c>
    </row>
    <row collapsed="false" customFormat="false" customHeight="false" hidden="false" ht="14.75" outlineLevel="0" r="1000">
      <c r="A1000" s="1" t="s">
        <v>865</v>
      </c>
      <c r="B1000" s="1" t="s">
        <v>813</v>
      </c>
      <c r="C1000" s="1" t="s">
        <v>787</v>
      </c>
      <c r="D1000" s="1" t="n">
        <v>407.9</v>
      </c>
      <c r="E1000" s="1" t="n">
        <v>21.76</v>
      </c>
      <c r="F1000" s="1" t="n">
        <f aca="false">80/12</f>
        <v>6.66666666666667</v>
      </c>
    </row>
    <row collapsed="false" customFormat="false" customHeight="false" hidden="false" ht="14.75" outlineLevel="0" r="1001">
      <c r="A1001" s="1" t="s">
        <v>866</v>
      </c>
      <c r="B1001" s="1" t="s">
        <v>813</v>
      </c>
      <c r="C1001" s="1" t="s">
        <v>787</v>
      </c>
      <c r="D1001" s="1" t="n">
        <v>96.7</v>
      </c>
      <c r="E1001" s="1" t="n">
        <v>10.23</v>
      </c>
      <c r="F1001" s="1" t="n">
        <f aca="false">7/9</f>
        <v>0.777777777777778</v>
      </c>
    </row>
    <row collapsed="false" customFormat="false" customHeight="false" hidden="false" ht="14.75" outlineLevel="0" r="1002">
      <c r="A1002" s="1" t="s">
        <v>867</v>
      </c>
      <c r="B1002" s="1" t="s">
        <v>802</v>
      </c>
      <c r="C1002" s="1" t="s">
        <v>787</v>
      </c>
      <c r="D1002" s="1" t="n">
        <v>183.1</v>
      </c>
      <c r="E1002" s="1" t="n">
        <v>12.31</v>
      </c>
      <c r="F1002" s="1" t="n">
        <f aca="false">11/8</f>
        <v>1.375</v>
      </c>
    </row>
    <row collapsed="false" customFormat="false" customHeight="false" hidden="false" ht="14.75" outlineLevel="0" r="1003">
      <c r="A1003" s="1" t="s">
        <v>561</v>
      </c>
      <c r="B1003" s="1" t="s">
        <v>813</v>
      </c>
      <c r="C1003" s="1" t="s">
        <v>787</v>
      </c>
      <c r="D1003" s="1" t="n">
        <v>266</v>
      </c>
      <c r="E1003" s="1" t="n">
        <v>16.08</v>
      </c>
      <c r="F1003" s="1" t="n">
        <f aca="false">31/10</f>
        <v>3.1</v>
      </c>
    </row>
    <row collapsed="false" customFormat="false" customHeight="false" hidden="false" ht="14.75" outlineLevel="0" r="1004">
      <c r="A1004" s="1" t="s">
        <v>868</v>
      </c>
      <c r="B1004" s="1" t="s">
        <v>803</v>
      </c>
      <c r="C1004" s="1" t="s">
        <v>787</v>
      </c>
      <c r="D1004" s="1" t="n">
        <v>384.1</v>
      </c>
      <c r="E1004" s="1" t="n">
        <v>18.88</v>
      </c>
      <c r="F1004" s="1" t="n">
        <f aca="false">42/11</f>
        <v>3.81818181818182</v>
      </c>
    </row>
    <row collapsed="false" customFormat="false" customHeight="false" hidden="false" ht="14.75" outlineLevel="0" r="1005">
      <c r="A1005" s="1" t="s">
        <v>869</v>
      </c>
      <c r="B1005" s="1" t="s">
        <v>803</v>
      </c>
      <c r="C1005" s="1" t="s">
        <v>787</v>
      </c>
      <c r="D1005" s="1" t="n">
        <v>217.3</v>
      </c>
      <c r="E1005" s="1" t="n">
        <v>15</v>
      </c>
      <c r="F1005" s="1" t="n">
        <f aca="false">23/11</f>
        <v>2.09090909090909</v>
      </c>
    </row>
    <row collapsed="false" customFormat="false" customHeight="false" hidden="false" ht="14.75" outlineLevel="0" r="1006">
      <c r="A1006" s="1" t="s">
        <v>870</v>
      </c>
      <c r="B1006" s="1" t="s">
        <v>803</v>
      </c>
      <c r="C1006" s="1" t="s">
        <v>787</v>
      </c>
      <c r="D1006" s="1" t="n">
        <v>49.4</v>
      </c>
      <c r="E1006" s="1" t="n">
        <v>4.29</v>
      </c>
      <c r="F1006" s="1" t="n">
        <f aca="false">1/8</f>
        <v>0.125</v>
      </c>
    </row>
    <row collapsed="false" customFormat="false" customHeight="false" hidden="false" ht="14.75" outlineLevel="0" r="1007">
      <c r="A1007" s="1" t="s">
        <v>871</v>
      </c>
      <c r="B1007" s="1" t="s">
        <v>818</v>
      </c>
      <c r="C1007" s="1" t="s">
        <v>787</v>
      </c>
      <c r="D1007" s="1" t="n">
        <v>280</v>
      </c>
      <c r="E1007" s="1" t="n">
        <v>17.65</v>
      </c>
      <c r="F1007" s="1" t="n">
        <f aca="false">25/12</f>
        <v>2.08333333333333</v>
      </c>
    </row>
    <row collapsed="false" customFormat="false" customHeight="false" hidden="false" ht="14.75" outlineLevel="0" r="1008">
      <c r="A1008" s="1" t="s">
        <v>872</v>
      </c>
      <c r="B1008" s="1" t="s">
        <v>818</v>
      </c>
      <c r="C1008" s="1" t="s">
        <v>787</v>
      </c>
      <c r="D1008" s="1" t="n">
        <v>131</v>
      </c>
      <c r="E1008" s="1" t="n">
        <v>12.59</v>
      </c>
      <c r="F1008" s="1" t="n">
        <f aca="false">4/5</f>
        <v>0.8</v>
      </c>
    </row>
    <row collapsed="false" customFormat="false" customHeight="false" hidden="false" ht="14.75" outlineLevel="0" r="1009">
      <c r="A1009" s="1" t="s">
        <v>873</v>
      </c>
      <c r="B1009" s="1" t="s">
        <v>818</v>
      </c>
      <c r="C1009" s="1" t="s">
        <v>787</v>
      </c>
      <c r="D1009" s="1" t="n">
        <v>82</v>
      </c>
      <c r="E1009" s="1" t="n">
        <v>11.58</v>
      </c>
      <c r="F1009" s="1" t="n">
        <f aca="false">4/5</f>
        <v>0.8</v>
      </c>
    </row>
    <row collapsed="false" customFormat="false" customHeight="false" hidden="false" ht="14.75" outlineLevel="0" r="1010">
      <c r="A1010" s="1" t="s">
        <v>137</v>
      </c>
      <c r="B1010" s="1" t="s">
        <v>839</v>
      </c>
      <c r="C1010" s="1" t="s">
        <v>787</v>
      </c>
      <c r="D1010" s="1" t="n">
        <v>166</v>
      </c>
      <c r="E1010" s="1" t="n">
        <v>9.9</v>
      </c>
      <c r="F1010" s="1" t="n">
        <v>1.2</v>
      </c>
    </row>
    <row collapsed="false" customFormat="false" customHeight="false" hidden="false" ht="14.75" outlineLevel="0" r="1011">
      <c r="A1011" s="1" t="s">
        <v>874</v>
      </c>
      <c r="B1011" s="1" t="s">
        <v>839</v>
      </c>
      <c r="C1011" s="1" t="s">
        <v>787</v>
      </c>
      <c r="D1011" s="1" t="n">
        <v>208.5</v>
      </c>
      <c r="E1011" s="1" t="n">
        <v>12</v>
      </c>
      <c r="F1011" s="1" t="n">
        <v>1.6</v>
      </c>
    </row>
    <row collapsed="false" customFormat="false" customHeight="false" hidden="false" ht="14.75" outlineLevel="0" r="1012">
      <c r="A1012" s="1" t="s">
        <v>875</v>
      </c>
      <c r="B1012" s="1" t="s">
        <v>802</v>
      </c>
      <c r="C1012" s="1" t="s">
        <v>787</v>
      </c>
      <c r="D1012" s="1" t="n">
        <v>109.2</v>
      </c>
      <c r="E1012" s="1" t="n">
        <v>11.88</v>
      </c>
      <c r="F1012" s="1" t="n">
        <v>0.5</v>
      </c>
    </row>
    <row collapsed="false" customFormat="false" customHeight="false" hidden="false" ht="14.75" outlineLevel="0" r="1013">
      <c r="A1013" s="1" t="s">
        <v>876</v>
      </c>
      <c r="B1013" s="1" t="s">
        <v>802</v>
      </c>
      <c r="C1013" s="1" t="s">
        <v>787</v>
      </c>
      <c r="D1013" s="1" t="n">
        <v>103.3</v>
      </c>
      <c r="E1013" s="1" t="n">
        <v>10.67</v>
      </c>
      <c r="F1013" s="1" t="n">
        <v>0</v>
      </c>
    </row>
    <row collapsed="false" customFormat="false" customHeight="false" hidden="false" ht="14.75" outlineLevel="0" r="1014">
      <c r="A1014" s="1" t="s">
        <v>877</v>
      </c>
      <c r="B1014" s="1" t="s">
        <v>849</v>
      </c>
      <c r="C1014" s="1" t="s">
        <v>787</v>
      </c>
      <c r="D1014" s="1" t="n">
        <v>307</v>
      </c>
      <c r="E1014" s="1" t="n">
        <v>20.6</v>
      </c>
      <c r="F1014" s="1" t="n">
        <v>2.6</v>
      </c>
    </row>
    <row collapsed="false" customFormat="false" customHeight="false" hidden="false" ht="14.75" outlineLevel="0" r="1015">
      <c r="A1015" s="1" t="s">
        <v>878</v>
      </c>
      <c r="B1015" s="1" t="s">
        <v>849</v>
      </c>
      <c r="C1015" s="1" t="s">
        <v>787</v>
      </c>
      <c r="D1015" s="1" t="n">
        <v>139</v>
      </c>
      <c r="E1015" s="1" t="n">
        <v>13.62</v>
      </c>
      <c r="F1015" s="1" t="n">
        <v>2.2</v>
      </c>
    </row>
    <row collapsed="false" customFormat="false" customHeight="false" hidden="false" ht="14.75" outlineLevel="0" r="1016">
      <c r="A1016" s="1" t="s">
        <v>879</v>
      </c>
      <c r="B1016" s="1" t="s">
        <v>803</v>
      </c>
      <c r="C1016" s="1" t="s">
        <v>787</v>
      </c>
      <c r="D1016" s="1" t="n">
        <v>225.5</v>
      </c>
      <c r="E1016" s="1" t="n">
        <v>14.26</v>
      </c>
      <c r="F1016" s="1" t="n">
        <f aca="false">24/11</f>
        <v>2.18181818181818</v>
      </c>
    </row>
    <row collapsed="false" customFormat="false" customHeight="false" hidden="false" ht="14.75" outlineLevel="0" r="1017">
      <c r="A1017" s="1" t="s">
        <v>880</v>
      </c>
      <c r="B1017" s="1" t="s">
        <v>803</v>
      </c>
      <c r="C1017" s="1" t="s">
        <v>787</v>
      </c>
      <c r="D1017" s="1" t="n">
        <v>429.2</v>
      </c>
      <c r="E1017" s="1" t="n">
        <v>21.35</v>
      </c>
      <c r="F1017" s="1" t="n">
        <f aca="false">76/12</f>
        <v>6.33333333333333</v>
      </c>
    </row>
    <row collapsed="false" customFormat="false" customHeight="false" hidden="false" ht="14.75" outlineLevel="0" r="1018">
      <c r="A1018" s="1" t="s">
        <v>881</v>
      </c>
      <c r="B1018" s="1" t="s">
        <v>805</v>
      </c>
      <c r="C1018" s="1" t="s">
        <v>787</v>
      </c>
      <c r="D1018" s="1" t="n">
        <v>126.7</v>
      </c>
      <c r="E1018" s="1" t="n">
        <v>11.35</v>
      </c>
      <c r="F1018" s="1" t="n">
        <f aca="false">1/9</f>
        <v>0.111111111111111</v>
      </c>
    </row>
    <row collapsed="false" customFormat="false" customHeight="false" hidden="false" ht="14.75" outlineLevel="0" r="1019">
      <c r="A1019" s="1" t="s">
        <v>882</v>
      </c>
      <c r="B1019" s="1" t="s">
        <v>844</v>
      </c>
      <c r="C1019" s="1" t="s">
        <v>787</v>
      </c>
      <c r="D1019" s="1" t="n">
        <v>294.2</v>
      </c>
      <c r="E1019" s="1" t="n">
        <v>15.74</v>
      </c>
      <c r="F1019" s="1" t="n">
        <f aca="false">15/8</f>
        <v>1.875</v>
      </c>
    </row>
    <row collapsed="false" customFormat="false" customHeight="false" hidden="false" ht="14.75" outlineLevel="0" r="1020">
      <c r="A1020" s="1" t="s">
        <v>883</v>
      </c>
      <c r="B1020" s="1" t="s">
        <v>797</v>
      </c>
      <c r="C1020" s="1" t="s">
        <v>787</v>
      </c>
      <c r="D1020" s="1" t="n">
        <v>175.5</v>
      </c>
      <c r="E1020" s="1" t="n">
        <v>10.82</v>
      </c>
      <c r="F1020" s="1" t="n">
        <v>1.2</v>
      </c>
    </row>
    <row collapsed="false" customFormat="false" customHeight="false" hidden="false" ht="14.75" outlineLevel="0" r="1021">
      <c r="A1021" s="1" t="s">
        <v>884</v>
      </c>
      <c r="B1021" s="1" t="s">
        <v>797</v>
      </c>
      <c r="C1021" s="1" t="s">
        <v>787</v>
      </c>
      <c r="D1021" s="1" t="n">
        <v>92.2</v>
      </c>
      <c r="E1021" s="1" t="n">
        <v>7.35</v>
      </c>
      <c r="F1021" s="1" t="n">
        <v>0.3</v>
      </c>
    </row>
    <row collapsed="false" customFormat="false" customHeight="false" hidden="false" ht="14.75" outlineLevel="0" r="1022">
      <c r="A1022" s="1" t="s">
        <v>885</v>
      </c>
      <c r="B1022" s="1" t="s">
        <v>844</v>
      </c>
      <c r="C1022" s="1" t="s">
        <v>787</v>
      </c>
      <c r="D1022" s="1" t="n">
        <v>275.6</v>
      </c>
      <c r="E1022" s="1" t="n">
        <v>15.98</v>
      </c>
      <c r="F1022" s="1" t="n">
        <f aca="false">28/8</f>
        <v>3.5</v>
      </c>
    </row>
    <row collapsed="false" customFormat="false" customHeight="false" hidden="false" ht="14.75" outlineLevel="0" r="1023">
      <c r="A1023" s="1" t="s">
        <v>211</v>
      </c>
      <c r="B1023" s="1" t="s">
        <v>803</v>
      </c>
      <c r="C1023" s="1" t="s">
        <v>787</v>
      </c>
      <c r="D1023" s="1" t="n">
        <v>513.8</v>
      </c>
      <c r="E1023" s="1" t="n">
        <v>22.47</v>
      </c>
      <c r="F1023" s="1" t="n">
        <f aca="false">87/12</f>
        <v>7.25</v>
      </c>
    </row>
    <row collapsed="false" customFormat="false" customHeight="false" hidden="false" ht="14.75" outlineLevel="0" r="1024">
      <c r="A1024" s="1" t="s">
        <v>212</v>
      </c>
      <c r="B1024" s="1" t="s">
        <v>803</v>
      </c>
      <c r="C1024" s="1" t="s">
        <v>787</v>
      </c>
      <c r="D1024" s="1" t="n">
        <v>398.8</v>
      </c>
      <c r="E1024" s="1" t="n">
        <v>21.22</v>
      </c>
      <c r="F1024" s="1" t="n">
        <f aca="false">72/12</f>
        <v>6</v>
      </c>
    </row>
    <row collapsed="false" customFormat="false" customHeight="false" hidden="false" ht="14.75" outlineLevel="0" r="1025">
      <c r="A1025" s="1" t="s">
        <v>213</v>
      </c>
      <c r="B1025" s="1" t="s">
        <v>803</v>
      </c>
      <c r="C1025" s="1" t="s">
        <v>787</v>
      </c>
      <c r="D1025" s="1" t="n">
        <v>165.6</v>
      </c>
      <c r="E1025" s="1" t="n">
        <v>10.46</v>
      </c>
      <c r="F1025" s="1" t="n">
        <f aca="false">6/8</f>
        <v>0.75</v>
      </c>
    </row>
    <row collapsed="false" customFormat="false" customHeight="false" hidden="false" ht="14.75" outlineLevel="0" r="1026">
      <c r="A1026" s="1" t="s">
        <v>886</v>
      </c>
      <c r="B1026" s="1" t="s">
        <v>805</v>
      </c>
      <c r="C1026" s="1" t="s">
        <v>787</v>
      </c>
      <c r="D1026" s="1" t="n">
        <v>94.2</v>
      </c>
      <c r="E1026" s="1" t="n">
        <v>9.03</v>
      </c>
      <c r="F1026" s="1" t="n">
        <v>0</v>
      </c>
    </row>
    <row collapsed="false" customFormat="false" customHeight="false" hidden="false" ht="14.75" outlineLevel="0" r="1027">
      <c r="A1027" s="1" t="s">
        <v>887</v>
      </c>
      <c r="B1027" s="1" t="s">
        <v>805</v>
      </c>
      <c r="C1027" s="1" t="s">
        <v>787</v>
      </c>
      <c r="D1027" s="1" t="n">
        <v>56.7</v>
      </c>
      <c r="E1027" s="1" t="n">
        <v>8.5</v>
      </c>
      <c r="F1027" s="1" t="n">
        <v>0</v>
      </c>
    </row>
    <row collapsed="false" customFormat="false" customHeight="false" hidden="false" ht="14.75" outlineLevel="0" r="1028">
      <c r="A1028" s="1" t="s">
        <v>888</v>
      </c>
      <c r="B1028" s="1" t="s">
        <v>790</v>
      </c>
      <c r="C1028" s="1" t="s">
        <v>787</v>
      </c>
      <c r="D1028" s="1" t="n">
        <v>242</v>
      </c>
      <c r="E1028" s="1" t="n">
        <v>15.43</v>
      </c>
      <c r="F1028" s="1" t="n">
        <v>2</v>
      </c>
    </row>
    <row collapsed="false" customFormat="false" customHeight="false" hidden="false" ht="14.75" outlineLevel="0" r="1029">
      <c r="A1029" s="1" t="s">
        <v>889</v>
      </c>
      <c r="B1029" s="1" t="s">
        <v>839</v>
      </c>
      <c r="C1029" s="1" t="s">
        <v>787</v>
      </c>
      <c r="D1029" s="1" t="n">
        <v>187</v>
      </c>
      <c r="E1029" s="1" t="n">
        <v>9.9</v>
      </c>
      <c r="F1029" s="1" t="n">
        <v>0.9</v>
      </c>
    </row>
    <row collapsed="false" customFormat="false" customHeight="false" hidden="false" ht="14.75" outlineLevel="0" r="1030">
      <c r="A1030" s="1" t="s">
        <v>890</v>
      </c>
      <c r="B1030" s="1" t="s">
        <v>844</v>
      </c>
      <c r="C1030" s="1" t="s">
        <v>787</v>
      </c>
      <c r="D1030" s="1" t="n">
        <v>301.2</v>
      </c>
      <c r="E1030" s="1" t="n">
        <v>16.93</v>
      </c>
      <c r="F1030" s="1" t="n">
        <f aca="false">23/8</f>
        <v>2.875</v>
      </c>
    </row>
    <row collapsed="false" customFormat="false" customHeight="false" hidden="false" ht="14.75" outlineLevel="0" r="1031">
      <c r="A1031" s="1" t="s">
        <v>891</v>
      </c>
      <c r="B1031" s="1" t="s">
        <v>844</v>
      </c>
      <c r="C1031" s="1" t="s">
        <v>787</v>
      </c>
      <c r="D1031" s="1" t="n">
        <v>142.5</v>
      </c>
      <c r="E1031" s="1" t="n">
        <v>11.25</v>
      </c>
      <c r="F1031" s="1" t="n">
        <f aca="false">5/8</f>
        <v>0.625</v>
      </c>
    </row>
    <row collapsed="false" customFormat="false" customHeight="false" hidden="false" ht="14.75" outlineLevel="0" r="1032">
      <c r="A1032" s="1" t="s">
        <v>892</v>
      </c>
      <c r="B1032" s="1" t="s">
        <v>849</v>
      </c>
      <c r="C1032" s="1" t="s">
        <v>787</v>
      </c>
      <c r="D1032" s="1" t="n">
        <v>183.5</v>
      </c>
      <c r="E1032" s="1" t="n">
        <v>12.86</v>
      </c>
      <c r="F1032" s="1" t="n">
        <v>1.9</v>
      </c>
    </row>
    <row collapsed="false" customFormat="false" customHeight="false" hidden="false" ht="14.75" outlineLevel="0" r="1033">
      <c r="A1033" s="1" t="s">
        <v>893</v>
      </c>
      <c r="B1033" s="1" t="s">
        <v>849</v>
      </c>
      <c r="C1033" s="1" t="s">
        <v>787</v>
      </c>
      <c r="D1033" s="1" t="n">
        <v>60.5</v>
      </c>
      <c r="E1033" s="1" t="n">
        <v>8.33</v>
      </c>
      <c r="F1033" s="1" t="n">
        <v>0.5</v>
      </c>
    </row>
    <row collapsed="false" customFormat="false" customHeight="false" hidden="false" ht="14.75" outlineLevel="0" r="1034">
      <c r="A1034" s="1" t="s">
        <v>18</v>
      </c>
      <c r="B1034" s="1" t="s">
        <v>802</v>
      </c>
      <c r="C1034" s="1" t="s">
        <v>787</v>
      </c>
      <c r="D1034" s="1" t="n">
        <v>365.7</v>
      </c>
      <c r="E1034" s="1" t="n">
        <v>18.93</v>
      </c>
      <c r="F1034" s="1" t="n">
        <f aca="false">32/7</f>
        <v>4.57142857142857</v>
      </c>
    </row>
    <row collapsed="false" customFormat="false" customHeight="false" hidden="false" ht="14.75" outlineLevel="0" r="1035">
      <c r="A1035" s="1" t="s">
        <v>470</v>
      </c>
      <c r="B1035" s="1" t="s">
        <v>803</v>
      </c>
      <c r="C1035" s="1" t="s">
        <v>787</v>
      </c>
      <c r="D1035" s="1" t="n">
        <v>257.7</v>
      </c>
      <c r="E1035" s="1" t="n">
        <v>13.31</v>
      </c>
      <c r="F1035" s="1" t="n">
        <f aca="false">35/11</f>
        <v>3.18181818181818</v>
      </c>
    </row>
    <row collapsed="false" customFormat="false" customHeight="false" hidden="false" ht="14.75" outlineLevel="0" r="1036">
      <c r="A1036" s="1" t="s">
        <v>471</v>
      </c>
      <c r="B1036" s="1" t="s">
        <v>803</v>
      </c>
      <c r="C1036" s="1" t="s">
        <v>787</v>
      </c>
      <c r="D1036" s="1" t="n">
        <v>98.8</v>
      </c>
      <c r="E1036" s="1" t="n">
        <v>10</v>
      </c>
      <c r="F1036" s="1" t="n">
        <f aca="false">6/8</f>
        <v>0.75</v>
      </c>
    </row>
    <row collapsed="false" customFormat="false" customHeight="false" hidden="false" ht="14.75" outlineLevel="0" r="1037">
      <c r="A1037" s="1" t="s">
        <v>894</v>
      </c>
      <c r="B1037" s="1" t="s">
        <v>803</v>
      </c>
      <c r="C1037" s="1" t="s">
        <v>787</v>
      </c>
      <c r="D1037" s="1" t="n">
        <f aca="false">((106.2*8)+(55*2))/10</f>
        <v>95.96</v>
      </c>
      <c r="E1037" s="1" t="n">
        <f aca="false">(60+410)/(5+45)</f>
        <v>9.4</v>
      </c>
      <c r="F1037" s="1" t="n">
        <v>0.6</v>
      </c>
    </row>
    <row collapsed="false" customFormat="false" customHeight="false" hidden="false" ht="14.75" outlineLevel="0" r="1038">
      <c r="A1038" s="1" t="s">
        <v>895</v>
      </c>
      <c r="B1038" s="1" t="s">
        <v>816</v>
      </c>
      <c r="C1038" s="1" t="s">
        <v>787</v>
      </c>
      <c r="D1038" s="1" t="n">
        <v>74.9</v>
      </c>
      <c r="E1038" s="1" t="n">
        <v>5.87</v>
      </c>
      <c r="F1038" s="1" t="n">
        <v>0.2</v>
      </c>
    </row>
    <row collapsed="false" customFormat="false" customHeight="false" hidden="false" ht="14.75" outlineLevel="0" r="1039">
      <c r="A1039" s="1" t="s">
        <v>896</v>
      </c>
      <c r="B1039" s="1" t="s">
        <v>816</v>
      </c>
      <c r="C1039" s="1" t="s">
        <v>787</v>
      </c>
      <c r="D1039" s="1" t="n">
        <v>82.9</v>
      </c>
      <c r="E1039" s="1" t="n">
        <v>6.54</v>
      </c>
      <c r="F1039" s="1" t="n">
        <v>0.3</v>
      </c>
    </row>
    <row collapsed="false" customFormat="false" customHeight="false" hidden="false" ht="14.75" outlineLevel="0" r="1040">
      <c r="A1040" s="1" t="s">
        <v>897</v>
      </c>
      <c r="B1040" s="1" t="s">
        <v>839</v>
      </c>
      <c r="C1040" s="1" t="s">
        <v>787</v>
      </c>
      <c r="D1040" s="1" t="n">
        <v>127.5</v>
      </c>
      <c r="E1040" s="1" t="n">
        <v>7.5</v>
      </c>
      <c r="F1040" s="1" t="n">
        <v>1.4</v>
      </c>
    </row>
    <row collapsed="false" customFormat="false" customHeight="false" hidden="false" ht="14.75" outlineLevel="0" r="1041">
      <c r="A1041" s="1" t="s">
        <v>898</v>
      </c>
      <c r="B1041" s="1" t="s">
        <v>839</v>
      </c>
      <c r="C1041" s="1" t="s">
        <v>787</v>
      </c>
      <c r="D1041" s="1" t="n">
        <v>134.5</v>
      </c>
      <c r="E1041" s="1" t="n">
        <v>10.5</v>
      </c>
      <c r="F1041" s="1" t="n">
        <v>0.3</v>
      </c>
    </row>
    <row collapsed="false" customFormat="false" customHeight="false" hidden="false" ht="14.75" outlineLevel="0" r="1042">
      <c r="A1042" s="1" t="s">
        <v>348</v>
      </c>
      <c r="B1042" s="1" t="s">
        <v>839</v>
      </c>
      <c r="C1042" s="1" t="s">
        <v>787</v>
      </c>
      <c r="D1042" s="1" t="n">
        <v>471.9</v>
      </c>
      <c r="E1042" s="1" t="n">
        <v>20.7</v>
      </c>
      <c r="F1042" s="1" t="n">
        <f aca="false">83/13</f>
        <v>6.38461538461539</v>
      </c>
    </row>
    <row collapsed="false" customFormat="false" customHeight="false" hidden="false" ht="14.75" outlineLevel="0" r="1043">
      <c r="A1043" s="1" t="s">
        <v>349</v>
      </c>
      <c r="B1043" s="1" t="s">
        <v>839</v>
      </c>
      <c r="C1043" s="1" t="s">
        <v>787</v>
      </c>
      <c r="D1043" s="1" t="n">
        <v>416.2</v>
      </c>
      <c r="E1043" s="1" t="n">
        <v>18.9</v>
      </c>
      <c r="F1043" s="1" t="n">
        <f aca="false">68/13</f>
        <v>5.23076923076923</v>
      </c>
    </row>
    <row collapsed="false" customFormat="false" customHeight="false" hidden="false" ht="14.75" outlineLevel="0" r="1044">
      <c r="A1044" s="1" t="s">
        <v>350</v>
      </c>
      <c r="B1044" s="1" t="s">
        <v>839</v>
      </c>
      <c r="C1044" s="1" t="s">
        <v>787</v>
      </c>
      <c r="D1044" s="1" t="n">
        <v>407.5</v>
      </c>
      <c r="E1044" s="1" t="n">
        <v>19.2</v>
      </c>
      <c r="F1044" s="1" t="n">
        <v>4.4</v>
      </c>
    </row>
    <row collapsed="false" customFormat="false" customHeight="false" hidden="false" ht="14.75" outlineLevel="0" r="1045">
      <c r="A1045" s="1" t="s">
        <v>573</v>
      </c>
      <c r="B1045" s="1" t="s">
        <v>839</v>
      </c>
      <c r="C1045" s="1" t="s">
        <v>787</v>
      </c>
      <c r="D1045" s="1" t="n">
        <v>145.5</v>
      </c>
      <c r="E1045" s="1" t="n">
        <v>9.6</v>
      </c>
      <c r="F1045" s="1" t="n">
        <v>1.1</v>
      </c>
    </row>
    <row collapsed="false" customFormat="false" customHeight="false" hidden="false" ht="14.75" outlineLevel="0" r="1046">
      <c r="A1046" s="1" t="s">
        <v>899</v>
      </c>
      <c r="B1046" s="1" t="s">
        <v>839</v>
      </c>
      <c r="C1046" s="1" t="s">
        <v>787</v>
      </c>
      <c r="D1046" s="1" t="n">
        <v>215.5</v>
      </c>
      <c r="E1046" s="1" t="n">
        <v>12</v>
      </c>
      <c r="F1046" s="1" t="n">
        <v>0.7</v>
      </c>
    </row>
    <row collapsed="false" customFormat="false" customHeight="false" hidden="false" ht="14.75" outlineLevel="0" r="1047">
      <c r="A1047" s="1" t="s">
        <v>650</v>
      </c>
      <c r="B1047" s="1" t="s">
        <v>839</v>
      </c>
      <c r="C1047" s="1" t="s">
        <v>787</v>
      </c>
      <c r="D1047" s="1" t="n">
        <v>321.5</v>
      </c>
      <c r="E1047" s="1" t="n">
        <v>16.8</v>
      </c>
      <c r="F1047" s="1" t="n">
        <v>2.9</v>
      </c>
    </row>
    <row collapsed="false" customFormat="false" customHeight="false" hidden="false" ht="14.75" outlineLevel="0" r="1048">
      <c r="A1048" s="1" t="s">
        <v>900</v>
      </c>
      <c r="B1048" s="1" t="s">
        <v>844</v>
      </c>
      <c r="C1048" s="1" t="s">
        <v>787</v>
      </c>
      <c r="D1048" s="1" t="n">
        <v>150.8</v>
      </c>
      <c r="E1048" s="1" t="n">
        <v>11.43</v>
      </c>
      <c r="F1048" s="1" t="n">
        <f aca="false">9/8</f>
        <v>1.125</v>
      </c>
    </row>
    <row collapsed="false" customFormat="false" customHeight="false" hidden="false" ht="14.75" outlineLevel="0" r="1049">
      <c r="A1049" s="1" t="s">
        <v>901</v>
      </c>
      <c r="B1049" s="1" t="s">
        <v>844</v>
      </c>
      <c r="C1049" s="1" t="s">
        <v>787</v>
      </c>
      <c r="D1049" s="1" t="n">
        <v>21</v>
      </c>
      <c r="E1049" s="1" t="n">
        <v>5.71</v>
      </c>
      <c r="F1049" s="1" t="n">
        <v>0</v>
      </c>
    </row>
    <row collapsed="false" customFormat="false" customHeight="false" hidden="false" ht="14.75" outlineLevel="0" r="1050">
      <c r="A1050" s="1" t="s">
        <v>902</v>
      </c>
      <c r="B1050" s="1" t="s">
        <v>803</v>
      </c>
      <c r="C1050" s="1" t="s">
        <v>787</v>
      </c>
      <c r="D1050" s="1" t="n">
        <v>212.8</v>
      </c>
      <c r="E1050" s="1" t="n">
        <v>14.74</v>
      </c>
      <c r="F1050" s="1" t="n">
        <v>1.9</v>
      </c>
    </row>
    <row collapsed="false" customFormat="false" customHeight="false" hidden="false" ht="14.75" outlineLevel="0" r="1051">
      <c r="A1051" s="1" t="s">
        <v>903</v>
      </c>
      <c r="B1051" s="1" t="s">
        <v>803</v>
      </c>
      <c r="C1051" s="1" t="s">
        <v>787</v>
      </c>
      <c r="D1051" s="1" t="n">
        <v>140.9</v>
      </c>
      <c r="E1051" s="1" t="n">
        <v>10.81</v>
      </c>
      <c r="F1051" s="1" t="n">
        <v>1</v>
      </c>
    </row>
    <row collapsed="false" customFormat="false" customHeight="false" hidden="false" ht="14.75" outlineLevel="0" r="1052">
      <c r="A1052" s="1" t="s">
        <v>904</v>
      </c>
      <c r="B1052" s="1" t="s">
        <v>813</v>
      </c>
      <c r="C1052" s="1" t="s">
        <v>787</v>
      </c>
      <c r="D1052" s="1" t="n">
        <v>203.9</v>
      </c>
      <c r="E1052" s="1" t="n">
        <v>16.23</v>
      </c>
      <c r="F1052" s="1" t="n">
        <f aca="false">21/9</f>
        <v>2.33333333333333</v>
      </c>
    </row>
    <row collapsed="false" customFormat="false" customHeight="false" hidden="false" ht="14.75" outlineLevel="0" r="1053">
      <c r="A1053" s="1" t="s">
        <v>905</v>
      </c>
      <c r="B1053" s="1" t="s">
        <v>839</v>
      </c>
      <c r="C1053" s="1" t="s">
        <v>787</v>
      </c>
      <c r="D1053" s="1" t="n">
        <v>206.5</v>
      </c>
      <c r="E1053" s="1" t="n">
        <v>13.8</v>
      </c>
      <c r="F1053" s="1" t="n">
        <v>1.4</v>
      </c>
    </row>
    <row collapsed="false" customFormat="false" customHeight="false" hidden="false" ht="14.75" outlineLevel="0" r="1054">
      <c r="A1054" s="1" t="s">
        <v>218</v>
      </c>
      <c r="B1054" s="1" t="s">
        <v>803</v>
      </c>
      <c r="C1054" s="1" t="s">
        <v>787</v>
      </c>
      <c r="D1054" s="1" t="n">
        <v>290.5</v>
      </c>
      <c r="E1054" s="1" t="n">
        <v>17.57</v>
      </c>
      <c r="F1054" s="1" t="n">
        <f aca="false">32/11</f>
        <v>2.90909090909091</v>
      </c>
    </row>
    <row collapsed="false" customFormat="false" customHeight="false" hidden="false" ht="14.75" outlineLevel="0" r="1055">
      <c r="A1055" s="1" t="s">
        <v>906</v>
      </c>
      <c r="B1055" s="1" t="s">
        <v>797</v>
      </c>
      <c r="C1055" s="1" t="s">
        <v>787</v>
      </c>
      <c r="D1055" s="1" t="n">
        <v>142.5</v>
      </c>
      <c r="E1055" s="1" t="n">
        <v>12.39</v>
      </c>
      <c r="F1055" s="1" t="n">
        <v>1.6</v>
      </c>
    </row>
    <row collapsed="false" customFormat="false" customHeight="false" hidden="false" ht="14.75" outlineLevel="0" r="1056">
      <c r="A1056" s="1" t="s">
        <v>907</v>
      </c>
      <c r="B1056" s="1" t="s">
        <v>797</v>
      </c>
      <c r="C1056" s="1" t="s">
        <v>787</v>
      </c>
      <c r="D1056" s="1" t="n">
        <v>104.4</v>
      </c>
      <c r="E1056" s="1" t="n">
        <v>9.49</v>
      </c>
      <c r="F1056" s="1" t="n">
        <v>0.8</v>
      </c>
    </row>
    <row collapsed="false" customFormat="false" customHeight="false" hidden="false" ht="14.75" outlineLevel="0" r="1057">
      <c r="A1057" s="1" t="s">
        <v>908</v>
      </c>
      <c r="B1057" s="1" t="s">
        <v>797</v>
      </c>
      <c r="C1057" s="1" t="s">
        <v>787</v>
      </c>
      <c r="D1057" s="1" t="n">
        <v>280</v>
      </c>
      <c r="E1057" s="1" t="n">
        <v>16.13</v>
      </c>
      <c r="F1057" s="1" t="n">
        <f aca="false">34/11</f>
        <v>3.09090909090909</v>
      </c>
    </row>
    <row collapsed="false" customFormat="false" customHeight="false" hidden="false" ht="14.75" outlineLevel="0" r="1058">
      <c r="A1058" s="1" t="s">
        <v>909</v>
      </c>
      <c r="B1058" s="1" t="s">
        <v>797</v>
      </c>
      <c r="C1058" s="1" t="s">
        <v>787</v>
      </c>
      <c r="D1058" s="1" t="n">
        <v>120.5</v>
      </c>
      <c r="E1058" s="1" t="n">
        <v>12.05</v>
      </c>
      <c r="F1058" s="1" t="n">
        <v>1.1</v>
      </c>
    </row>
    <row collapsed="false" customFormat="false" customHeight="false" hidden="false" ht="14.75" outlineLevel="0" r="1059">
      <c r="A1059" s="1" t="s">
        <v>910</v>
      </c>
      <c r="B1059" s="1" t="s">
        <v>797</v>
      </c>
      <c r="C1059" s="1" t="s">
        <v>787</v>
      </c>
      <c r="D1059" s="1" t="n">
        <v>77.8</v>
      </c>
      <c r="E1059" s="1" t="n">
        <v>8.5</v>
      </c>
      <c r="F1059" s="1" t="n">
        <v>0.4</v>
      </c>
    </row>
    <row collapsed="false" customFormat="false" customHeight="false" hidden="false" ht="14.75" outlineLevel="0" r="1060">
      <c r="A1060" s="1" t="s">
        <v>911</v>
      </c>
      <c r="B1060" s="1" t="s">
        <v>803</v>
      </c>
      <c r="C1060" s="1" t="s">
        <v>787</v>
      </c>
      <c r="D1060" s="1" t="n">
        <v>138.1</v>
      </c>
      <c r="E1060" s="1" t="n">
        <v>10.96</v>
      </c>
      <c r="F1060" s="1" t="n">
        <f aca="false">10/8</f>
        <v>1.25</v>
      </c>
    </row>
    <row collapsed="false" customFormat="false" customHeight="false" hidden="false" ht="14.75" outlineLevel="0" r="1061">
      <c r="A1061" s="1" t="s">
        <v>158</v>
      </c>
      <c r="B1061" s="1" t="s">
        <v>818</v>
      </c>
      <c r="C1061" s="1" t="s">
        <v>787</v>
      </c>
      <c r="D1061" s="1" t="n">
        <v>370</v>
      </c>
      <c r="E1061" s="1" t="n">
        <v>20.35</v>
      </c>
      <c r="F1061" s="1" t="n">
        <f aca="false">56/12</f>
        <v>4.66666666666667</v>
      </c>
    </row>
    <row collapsed="false" customFormat="false" customHeight="false" hidden="false" ht="14.75" outlineLevel="0" r="1062">
      <c r="A1062" s="1" t="s">
        <v>159</v>
      </c>
      <c r="B1062" s="1" t="s">
        <v>818</v>
      </c>
      <c r="C1062" s="1" t="s">
        <v>787</v>
      </c>
      <c r="D1062" s="1" t="n">
        <v>231</v>
      </c>
      <c r="E1062" s="1" t="n">
        <v>15.96</v>
      </c>
      <c r="F1062" s="1" t="n">
        <v>1.7</v>
      </c>
    </row>
    <row collapsed="false" customFormat="false" customHeight="false" hidden="false" ht="14.75" outlineLevel="0" r="1063">
      <c r="A1063" s="1" t="s">
        <v>912</v>
      </c>
      <c r="B1063" s="1" t="s">
        <v>786</v>
      </c>
      <c r="C1063" s="1" t="s">
        <v>787</v>
      </c>
      <c r="D1063" s="1" t="n">
        <v>113.5</v>
      </c>
      <c r="E1063" s="1" t="n">
        <v>8.23</v>
      </c>
      <c r="F1063" s="1" t="n">
        <v>0.8</v>
      </c>
    </row>
    <row collapsed="false" customFormat="false" customHeight="false" hidden="false" ht="14.75" outlineLevel="0" r="1064">
      <c r="A1064" s="1" t="s">
        <v>913</v>
      </c>
      <c r="B1064" s="1" t="s">
        <v>786</v>
      </c>
      <c r="C1064" s="1" t="s">
        <v>787</v>
      </c>
      <c r="D1064" s="1" t="n">
        <v>231.8</v>
      </c>
      <c r="E1064" s="1" t="n">
        <v>12.79</v>
      </c>
      <c r="F1064" s="1" t="n">
        <v>2</v>
      </c>
    </row>
    <row collapsed="false" customFormat="false" customHeight="false" hidden="false" ht="14.75" outlineLevel="0" r="1065">
      <c r="A1065" s="1" t="s">
        <v>914</v>
      </c>
      <c r="B1065" s="1" t="s">
        <v>786</v>
      </c>
      <c r="C1065" s="1" t="s">
        <v>787</v>
      </c>
      <c r="D1065" s="1" t="n">
        <v>93.5</v>
      </c>
      <c r="E1065" s="1" t="n">
        <v>6.84</v>
      </c>
      <c r="F1065" s="1" t="n">
        <v>0.8</v>
      </c>
    </row>
    <row collapsed="false" customFormat="false" customHeight="false" hidden="false" ht="14.75" outlineLevel="0" r="1066">
      <c r="A1066" s="1" t="s">
        <v>915</v>
      </c>
      <c r="B1066" s="1" t="s">
        <v>805</v>
      </c>
      <c r="C1066" s="1" t="s">
        <v>787</v>
      </c>
      <c r="D1066" s="1" t="n">
        <v>160.8</v>
      </c>
      <c r="E1066" s="1" t="n">
        <v>12.22</v>
      </c>
      <c r="F1066" s="1" t="n">
        <f aca="false">3/7</f>
        <v>0.428571428571429</v>
      </c>
    </row>
    <row collapsed="false" customFormat="false" customHeight="false" hidden="false" ht="14.75" outlineLevel="0" r="1067">
      <c r="A1067" s="1" t="s">
        <v>916</v>
      </c>
      <c r="B1067" s="1" t="s">
        <v>805</v>
      </c>
      <c r="C1067" s="1" t="s">
        <v>787</v>
      </c>
      <c r="D1067" s="1" t="n">
        <v>221.7</v>
      </c>
      <c r="E1067" s="1" t="n">
        <v>13.82</v>
      </c>
      <c r="F1067" s="1" t="n">
        <f aca="false">7/9</f>
        <v>0.777777777777778</v>
      </c>
    </row>
    <row collapsed="false" customFormat="false" customHeight="false" hidden="false" ht="14.75" outlineLevel="0" r="1068">
      <c r="A1068" s="1" t="s">
        <v>917</v>
      </c>
      <c r="B1068" s="1" t="s">
        <v>839</v>
      </c>
      <c r="C1068" s="1" t="s">
        <v>787</v>
      </c>
      <c r="D1068" s="1" t="n">
        <v>359</v>
      </c>
      <c r="E1068" s="1" t="n">
        <v>17.1</v>
      </c>
      <c r="F1068" s="1" t="n">
        <v>3.1</v>
      </c>
    </row>
    <row collapsed="false" customFormat="false" customHeight="false" hidden="false" ht="14.75" outlineLevel="0" r="1069">
      <c r="A1069" s="1" t="s">
        <v>918</v>
      </c>
      <c r="B1069" s="1" t="s">
        <v>849</v>
      </c>
      <c r="C1069" s="1" t="s">
        <v>787</v>
      </c>
      <c r="D1069" s="1" t="n">
        <v>133.5</v>
      </c>
      <c r="E1069" s="1" t="n">
        <v>10.71</v>
      </c>
      <c r="F1069" s="1" t="n">
        <v>1.3</v>
      </c>
    </row>
    <row collapsed="false" customFormat="false" customHeight="false" hidden="false" ht="14.75" outlineLevel="0" r="1070">
      <c r="A1070" s="1" t="s">
        <v>919</v>
      </c>
      <c r="B1070" s="1" t="s">
        <v>849</v>
      </c>
      <c r="C1070" s="1" t="s">
        <v>787</v>
      </c>
      <c r="D1070" s="1" t="n">
        <v>80</v>
      </c>
      <c r="E1070" s="1" t="n">
        <v>10.38</v>
      </c>
      <c r="F1070" s="1" t="n">
        <v>0.8</v>
      </c>
    </row>
    <row collapsed="false" customFormat="false" customHeight="false" hidden="false" ht="14.75" outlineLevel="0" r="1071">
      <c r="A1071" s="1" t="s">
        <v>920</v>
      </c>
      <c r="B1071" s="1" t="s">
        <v>839</v>
      </c>
      <c r="C1071" s="1" t="s">
        <v>787</v>
      </c>
      <c r="D1071" s="1" t="n">
        <v>107</v>
      </c>
      <c r="E1071" s="1" t="n">
        <v>8.7</v>
      </c>
      <c r="F1071" s="1" t="n">
        <v>0.8</v>
      </c>
    </row>
    <row collapsed="false" customFormat="false" customHeight="false" hidden="false" ht="14.75" outlineLevel="0" r="1072">
      <c r="A1072" s="1" t="s">
        <v>921</v>
      </c>
      <c r="B1072" s="1" t="s">
        <v>797</v>
      </c>
      <c r="C1072" s="1" t="s">
        <v>787</v>
      </c>
      <c r="D1072" s="1" t="n">
        <v>134.5</v>
      </c>
      <c r="E1072" s="1" t="n">
        <v>11.18</v>
      </c>
      <c r="F1072" s="1" t="n">
        <v>0.6</v>
      </c>
    </row>
    <row collapsed="false" customFormat="false" customHeight="false" hidden="false" ht="14.75" outlineLevel="0" r="1073">
      <c r="A1073" s="1" t="s">
        <v>922</v>
      </c>
      <c r="B1073" s="1" t="s">
        <v>839</v>
      </c>
      <c r="C1073" s="1" t="s">
        <v>787</v>
      </c>
      <c r="D1073" s="1" t="n">
        <v>371.7</v>
      </c>
      <c r="E1073" s="1" t="n">
        <v>18</v>
      </c>
      <c r="F1073" s="1" t="n">
        <f aca="false">49/12</f>
        <v>4.08333333333333</v>
      </c>
    </row>
    <row collapsed="false" customFormat="false" customHeight="false" hidden="false" ht="14.75" outlineLevel="0" r="1074">
      <c r="A1074" s="1" t="s">
        <v>923</v>
      </c>
      <c r="B1074" s="1" t="s">
        <v>839</v>
      </c>
      <c r="C1074" s="1" t="s">
        <v>787</v>
      </c>
      <c r="D1074" s="1" t="n">
        <v>196.5</v>
      </c>
      <c r="E1074" s="1" t="n">
        <v>9.6</v>
      </c>
      <c r="F1074" s="1" t="n">
        <v>2.1</v>
      </c>
    </row>
    <row collapsed="false" customFormat="false" customHeight="false" hidden="false" ht="14.75" outlineLevel="0" r="1075">
      <c r="A1075" s="1" t="s">
        <v>924</v>
      </c>
      <c r="B1075" s="1" t="s">
        <v>786</v>
      </c>
      <c r="C1075" s="1" t="s">
        <v>787</v>
      </c>
      <c r="D1075" s="1" t="n">
        <v>92.5</v>
      </c>
      <c r="E1075" s="1" t="n">
        <v>7.41</v>
      </c>
      <c r="F1075" s="1" t="n">
        <v>0.6</v>
      </c>
    </row>
    <row collapsed="false" customFormat="false" customHeight="false" hidden="false" ht="14.75" outlineLevel="0" r="1076">
      <c r="A1076" s="1" t="s">
        <v>925</v>
      </c>
      <c r="B1076" s="1" t="s">
        <v>926</v>
      </c>
      <c r="C1076" s="1" t="s">
        <v>787</v>
      </c>
      <c r="D1076" s="1" t="n">
        <v>43.2</v>
      </c>
      <c r="E1076" s="1" t="n">
        <v>7.14</v>
      </c>
      <c r="F1076" s="1" t="n">
        <f aca="false">1/7</f>
        <v>0.142857142857143</v>
      </c>
    </row>
    <row collapsed="false" customFormat="false" customHeight="false" hidden="false" ht="14.75" outlineLevel="0" r="1077">
      <c r="A1077" s="1" t="s">
        <v>927</v>
      </c>
      <c r="B1077" s="1" t="s">
        <v>926</v>
      </c>
      <c r="C1077" s="1" t="s">
        <v>787</v>
      </c>
      <c r="D1077" s="1" t="n">
        <v>41</v>
      </c>
      <c r="E1077" s="1" t="n">
        <v>3.64</v>
      </c>
      <c r="F1077" s="1" t="n">
        <f aca="false">2/7</f>
        <v>0.285714285714286</v>
      </c>
    </row>
    <row collapsed="false" customFormat="false" customHeight="false" hidden="false" ht="14.75" outlineLevel="0" r="1078">
      <c r="A1078" s="1" t="s">
        <v>169</v>
      </c>
      <c r="B1078" s="1" t="s">
        <v>839</v>
      </c>
      <c r="C1078" s="1" t="s">
        <v>787</v>
      </c>
      <c r="D1078" s="1" t="n">
        <v>275</v>
      </c>
      <c r="E1078" s="1" t="n">
        <v>13.8</v>
      </c>
      <c r="F1078" s="1" t="n">
        <v>1.9</v>
      </c>
    </row>
    <row collapsed="false" customFormat="false" customHeight="false" hidden="false" ht="14.75" outlineLevel="0" r="1079">
      <c r="A1079" s="1" t="s">
        <v>928</v>
      </c>
      <c r="B1079" s="1" t="s">
        <v>816</v>
      </c>
      <c r="C1079" s="1" t="s">
        <v>787</v>
      </c>
      <c r="D1079" s="1" t="n">
        <v>261.1</v>
      </c>
      <c r="E1079" s="1" t="n">
        <v>14.22</v>
      </c>
      <c r="F1079" s="1" t="n">
        <v>1.7</v>
      </c>
    </row>
    <row collapsed="false" customFormat="false" customHeight="false" hidden="false" ht="14.75" outlineLevel="0" r="1080">
      <c r="A1080" s="1" t="s">
        <v>929</v>
      </c>
      <c r="B1080" s="1" t="s">
        <v>803</v>
      </c>
      <c r="C1080" s="1" t="s">
        <v>787</v>
      </c>
      <c r="D1080" s="1" t="n">
        <v>216.9</v>
      </c>
      <c r="E1080" s="1" t="n">
        <v>12.31</v>
      </c>
      <c r="F1080" s="1" t="n">
        <f aca="false">11/8</f>
        <v>1.375</v>
      </c>
    </row>
    <row collapsed="false" customFormat="false" customHeight="false" hidden="false" ht="14.75" outlineLevel="0" r="1081">
      <c r="A1081" s="1" t="s">
        <v>930</v>
      </c>
      <c r="B1081" s="1" t="s">
        <v>803</v>
      </c>
      <c r="C1081" s="1" t="s">
        <v>787</v>
      </c>
      <c r="D1081" s="1" t="n">
        <v>144.4</v>
      </c>
      <c r="E1081" s="1" t="n">
        <v>9.33</v>
      </c>
      <c r="F1081" s="1" t="n">
        <f aca="false">11/8</f>
        <v>1.375</v>
      </c>
    </row>
    <row collapsed="false" customFormat="false" customHeight="false" hidden="false" ht="14.75" outlineLevel="0" r="1082">
      <c r="A1082" s="1" t="s">
        <v>931</v>
      </c>
      <c r="B1082" s="1" t="s">
        <v>803</v>
      </c>
      <c r="C1082" s="1" t="s">
        <v>787</v>
      </c>
      <c r="D1082" s="1" t="n">
        <v>65.6</v>
      </c>
      <c r="E1082" s="1" t="n">
        <v>7.5</v>
      </c>
      <c r="F1082" s="1" t="n">
        <f aca="false">2/8</f>
        <v>0.25</v>
      </c>
    </row>
    <row collapsed="false" customFormat="false" customHeight="false" hidden="false" ht="14.75" outlineLevel="0" r="1083">
      <c r="A1083" s="1" t="s">
        <v>932</v>
      </c>
      <c r="B1083" s="1" t="s">
        <v>849</v>
      </c>
      <c r="C1083" s="1" t="s">
        <v>787</v>
      </c>
      <c r="D1083" s="1" t="n">
        <v>93</v>
      </c>
      <c r="E1083" s="1" t="n">
        <v>9.79</v>
      </c>
      <c r="F1083" s="1" t="n">
        <v>0.4</v>
      </c>
    </row>
    <row collapsed="false" customFormat="false" customHeight="false" hidden="false" ht="14.75" outlineLevel="0" r="1084">
      <c r="A1084" s="1" t="s">
        <v>933</v>
      </c>
      <c r="B1084" s="1" t="s">
        <v>818</v>
      </c>
      <c r="C1084" s="1" t="s">
        <v>787</v>
      </c>
      <c r="D1084" s="1" t="n">
        <v>234.4</v>
      </c>
      <c r="E1084" s="1" t="n">
        <v>15.43</v>
      </c>
      <c r="F1084" s="1" t="n">
        <f aca="false">29/9</f>
        <v>3.22222222222222</v>
      </c>
    </row>
    <row collapsed="false" customFormat="false" customHeight="false" hidden="false" ht="14.75" outlineLevel="0" r="1085">
      <c r="A1085" s="1" t="s">
        <v>934</v>
      </c>
      <c r="B1085" s="1" t="s">
        <v>818</v>
      </c>
      <c r="C1085" s="1" t="s">
        <v>787</v>
      </c>
      <c r="D1085" s="1" t="n">
        <v>140</v>
      </c>
      <c r="E1085" s="1" t="n">
        <v>10.48</v>
      </c>
      <c r="F1085" s="1" t="n">
        <f aca="false">7/9</f>
        <v>0.777777777777778</v>
      </c>
    </row>
    <row collapsed="false" customFormat="false" customHeight="false" hidden="false" ht="14.75" outlineLevel="0" r="1086">
      <c r="A1086" s="1" t="s">
        <v>935</v>
      </c>
      <c r="B1086" s="1" t="s">
        <v>818</v>
      </c>
      <c r="C1086" s="1" t="s">
        <v>787</v>
      </c>
      <c r="D1086" s="1" t="n">
        <v>103.3</v>
      </c>
      <c r="E1086" s="1" t="n">
        <v>9.39</v>
      </c>
      <c r="F1086" s="1" t="n">
        <f aca="false">7/9</f>
        <v>0.777777777777778</v>
      </c>
    </row>
    <row collapsed="false" customFormat="false" customHeight="false" hidden="false" ht="14.75" outlineLevel="0" r="1087">
      <c r="A1087" s="1" t="s">
        <v>376</v>
      </c>
      <c r="B1087" s="1" t="s">
        <v>818</v>
      </c>
      <c r="C1087" s="1" t="s">
        <v>787</v>
      </c>
      <c r="D1087" s="1" t="n">
        <v>350.5</v>
      </c>
      <c r="E1087" s="1" t="n">
        <v>17.82</v>
      </c>
      <c r="F1087" s="1" t="n">
        <f aca="false">49/11</f>
        <v>4.45454545454545</v>
      </c>
    </row>
    <row collapsed="false" customFormat="false" customHeight="false" hidden="false" ht="14.75" outlineLevel="0" r="1088">
      <c r="A1088" s="1" t="s">
        <v>377</v>
      </c>
      <c r="B1088" s="1" t="s">
        <v>818</v>
      </c>
      <c r="C1088" s="1" t="s">
        <v>787</v>
      </c>
      <c r="D1088" s="1" t="n">
        <v>303.2</v>
      </c>
      <c r="E1088" s="1" t="n">
        <v>18.32</v>
      </c>
      <c r="F1088" s="1" t="n">
        <f aca="false">49/11</f>
        <v>4.45454545454545</v>
      </c>
    </row>
    <row collapsed="false" customFormat="false" customHeight="false" hidden="false" ht="14.75" outlineLevel="0" r="1089">
      <c r="A1089" s="1" t="s">
        <v>378</v>
      </c>
      <c r="B1089" s="1" t="s">
        <v>818</v>
      </c>
      <c r="C1089" s="1" t="s">
        <v>787</v>
      </c>
      <c r="D1089" s="1" t="n">
        <v>225</v>
      </c>
      <c r="E1089" s="1" t="n">
        <v>14.72</v>
      </c>
      <c r="F1089" s="1" t="n">
        <v>1.3</v>
      </c>
    </row>
    <row collapsed="false" customFormat="false" customHeight="false" hidden="false" ht="14.75" outlineLevel="0" r="1090">
      <c r="A1090" s="1" t="s">
        <v>936</v>
      </c>
      <c r="B1090" s="1" t="s">
        <v>818</v>
      </c>
      <c r="C1090" s="1" t="s">
        <v>787</v>
      </c>
      <c r="D1090" s="1" t="n">
        <v>148.5</v>
      </c>
      <c r="E1090" s="1" t="n">
        <v>10.69</v>
      </c>
      <c r="F1090" s="1" t="n">
        <v>0.8</v>
      </c>
    </row>
    <row collapsed="false" customFormat="false" customHeight="false" hidden="false" ht="14.75" outlineLevel="0" r="1091">
      <c r="A1091" s="1" t="s">
        <v>597</v>
      </c>
      <c r="B1091" s="1" t="s">
        <v>790</v>
      </c>
      <c r="C1091" s="1" t="s">
        <v>787</v>
      </c>
      <c r="D1091" s="1" t="n">
        <v>359</v>
      </c>
      <c r="E1091" s="1" t="n">
        <v>21.58</v>
      </c>
      <c r="F1091" s="1" t="n">
        <v>4.4</v>
      </c>
    </row>
    <row collapsed="false" customFormat="false" customHeight="false" hidden="false" ht="14.75" outlineLevel="0" r="1092">
      <c r="A1092" s="1" t="s">
        <v>598</v>
      </c>
      <c r="B1092" s="1" t="s">
        <v>790</v>
      </c>
      <c r="C1092" s="1" t="s">
        <v>787</v>
      </c>
      <c r="D1092" s="1" t="n">
        <v>79</v>
      </c>
      <c r="E1092" s="1" t="n">
        <v>8.64</v>
      </c>
      <c r="F1092" s="1" t="n">
        <v>1</v>
      </c>
    </row>
    <row collapsed="false" customFormat="false" customHeight="false" hidden="false" ht="14.75" outlineLevel="0" r="1093">
      <c r="A1093" s="1" t="s">
        <v>937</v>
      </c>
      <c r="B1093" s="1" t="s">
        <v>790</v>
      </c>
      <c r="C1093" s="1" t="s">
        <v>787</v>
      </c>
      <c r="D1093" s="1" t="n">
        <v>94.5</v>
      </c>
      <c r="E1093" s="1" t="n">
        <v>9.7</v>
      </c>
      <c r="F1093" s="1" t="n">
        <v>0.9</v>
      </c>
    </row>
    <row collapsed="false" customFormat="false" customHeight="false" hidden="false" ht="14.75" outlineLevel="0" r="1094">
      <c r="A1094" s="1" t="s">
        <v>938</v>
      </c>
      <c r="B1094" s="1" t="s">
        <v>839</v>
      </c>
      <c r="C1094" s="1" t="s">
        <v>787</v>
      </c>
      <c r="D1094" s="1" t="n">
        <v>161</v>
      </c>
      <c r="E1094" s="1" t="n">
        <v>9</v>
      </c>
      <c r="F1094" s="1" t="n">
        <v>0.9</v>
      </c>
    </row>
    <row collapsed="false" customFormat="false" customHeight="false" hidden="false" ht="14.75" outlineLevel="0" r="1095">
      <c r="A1095" s="1" t="s">
        <v>939</v>
      </c>
      <c r="B1095" s="1" t="s">
        <v>797</v>
      </c>
      <c r="C1095" s="1" t="s">
        <v>787</v>
      </c>
      <c r="D1095" s="1" t="n">
        <v>80.8</v>
      </c>
      <c r="E1095" s="1" t="n">
        <v>7.59</v>
      </c>
      <c r="F1095" s="1" t="n">
        <v>0.3</v>
      </c>
    </row>
    <row collapsed="false" customFormat="false" customHeight="false" hidden="false" ht="14.75" outlineLevel="0" r="1096">
      <c r="A1096" s="1" t="s">
        <v>940</v>
      </c>
      <c r="B1096" s="1" t="s">
        <v>797</v>
      </c>
      <c r="C1096" s="1" t="s">
        <v>787</v>
      </c>
      <c r="D1096" s="1" t="n">
        <v>8.3</v>
      </c>
      <c r="E1096" s="1" t="n">
        <v>3.33</v>
      </c>
      <c r="F1096" s="1" t="n">
        <v>0</v>
      </c>
    </row>
    <row collapsed="false" customFormat="false" customHeight="false" hidden="false" ht="14.75" outlineLevel="0" r="1097">
      <c r="A1097" s="1" t="s">
        <v>941</v>
      </c>
      <c r="B1097" s="1" t="s">
        <v>818</v>
      </c>
      <c r="C1097" s="1" t="s">
        <v>787</v>
      </c>
      <c r="D1097" s="1" t="n">
        <v>100</v>
      </c>
      <c r="E1097" s="1" t="n">
        <v>8.81</v>
      </c>
      <c r="F1097" s="1" t="n">
        <f aca="false">7/8</f>
        <v>0.875</v>
      </c>
    </row>
    <row collapsed="false" customFormat="false" customHeight="false" hidden="false" ht="14.75" outlineLevel="0" r="1098">
      <c r="A1098" s="1" t="s">
        <v>223</v>
      </c>
      <c r="B1098" s="1" t="s">
        <v>803</v>
      </c>
      <c r="C1098" s="1" t="s">
        <v>787</v>
      </c>
      <c r="D1098" s="1" t="n">
        <v>260.5</v>
      </c>
      <c r="E1098" s="1" t="n">
        <v>15.59</v>
      </c>
      <c r="F1098" s="1" t="n">
        <f aca="false">15/11</f>
        <v>1.36363636363636</v>
      </c>
    </row>
    <row collapsed="false" customFormat="false" customHeight="false" hidden="false" ht="14.75" outlineLevel="0" r="1099">
      <c r="A1099" s="1" t="s">
        <v>224</v>
      </c>
      <c r="B1099" s="1" t="s">
        <v>803</v>
      </c>
      <c r="C1099" s="1" t="s">
        <v>787</v>
      </c>
      <c r="D1099" s="1" t="n">
        <v>78.1</v>
      </c>
      <c r="E1099" s="1" t="n">
        <v>7.5</v>
      </c>
      <c r="F1099" s="1" t="n">
        <f aca="false">6/8</f>
        <v>0.75</v>
      </c>
    </row>
    <row collapsed="false" customFormat="false" customHeight="false" hidden="false" ht="14.75" outlineLevel="0" r="1100">
      <c r="A1100" s="1" t="s">
        <v>225</v>
      </c>
      <c r="B1100" s="1" t="s">
        <v>803</v>
      </c>
      <c r="C1100" s="1" t="s">
        <v>787</v>
      </c>
      <c r="D1100" s="1" t="n">
        <v>53.6</v>
      </c>
      <c r="E1100" s="1" t="n">
        <v>7.27</v>
      </c>
      <c r="F1100" s="1" t="n">
        <f aca="false">4/8</f>
        <v>0.5</v>
      </c>
    </row>
    <row collapsed="false" customFormat="false" customHeight="false" hidden="false" ht="14.75" outlineLevel="0" r="1101">
      <c r="A1101" s="1" t="s">
        <v>942</v>
      </c>
      <c r="B1101" s="1" t="s">
        <v>803</v>
      </c>
      <c r="C1101" s="1" t="s">
        <v>787</v>
      </c>
      <c r="D1101" s="1" t="n">
        <v>61.2</v>
      </c>
      <c r="E1101" s="1" t="n">
        <v>7.59</v>
      </c>
      <c r="F1101" s="1" t="n">
        <f aca="false">1/8</f>
        <v>0.125</v>
      </c>
    </row>
    <row collapsed="false" customFormat="false" customHeight="false" hidden="false" ht="14.75" outlineLevel="0" r="1102">
      <c r="A1102" s="1" t="s">
        <v>943</v>
      </c>
      <c r="B1102" s="1" t="s">
        <v>813</v>
      </c>
      <c r="C1102" s="1" t="s">
        <v>787</v>
      </c>
      <c r="D1102" s="1" t="n">
        <v>384.2</v>
      </c>
      <c r="E1102" s="1" t="n">
        <v>20.85</v>
      </c>
      <c r="F1102" s="1" t="n">
        <f aca="false">71/12</f>
        <v>5.91666666666667</v>
      </c>
    </row>
    <row collapsed="false" customFormat="false" customHeight="false" hidden="false" ht="14.75" outlineLevel="0" r="1103">
      <c r="A1103" s="1" t="s">
        <v>944</v>
      </c>
      <c r="B1103" s="1" t="s">
        <v>813</v>
      </c>
      <c r="C1103" s="1" t="s">
        <v>787</v>
      </c>
      <c r="D1103" s="1" t="n">
        <v>310</v>
      </c>
      <c r="E1103" s="1" t="n">
        <v>17.63</v>
      </c>
      <c r="F1103" s="1" t="n">
        <f aca="false">24/9</f>
        <v>2.66666666666667</v>
      </c>
    </row>
    <row collapsed="false" customFormat="false" customHeight="false" hidden="false" ht="14.75" outlineLevel="0" r="1104">
      <c r="A1104" s="1" t="s">
        <v>391</v>
      </c>
      <c r="B1104" s="1" t="s">
        <v>839</v>
      </c>
      <c r="C1104" s="1" t="s">
        <v>787</v>
      </c>
      <c r="D1104" s="1" t="n">
        <v>408.8</v>
      </c>
      <c r="E1104" s="1" t="n">
        <v>20.1</v>
      </c>
      <c r="F1104" s="1" t="n">
        <f aca="false">53/12</f>
        <v>4.41666666666667</v>
      </c>
    </row>
    <row collapsed="false" customFormat="false" customHeight="false" hidden="false" ht="14.75" outlineLevel="0" r="1105">
      <c r="A1105" s="1" t="s">
        <v>392</v>
      </c>
      <c r="B1105" s="1" t="s">
        <v>839</v>
      </c>
      <c r="C1105" s="1" t="s">
        <v>787</v>
      </c>
      <c r="D1105" s="1" t="n">
        <v>282.5</v>
      </c>
      <c r="E1105" s="1" t="n">
        <v>13.5</v>
      </c>
      <c r="F1105" s="1" t="n">
        <v>2.5</v>
      </c>
    </row>
    <row collapsed="false" customFormat="false" customHeight="false" hidden="false" ht="14.75" outlineLevel="0" r="1106">
      <c r="A1106" s="1" t="s">
        <v>393</v>
      </c>
      <c r="B1106" s="1" t="s">
        <v>839</v>
      </c>
      <c r="C1106" s="1" t="s">
        <v>787</v>
      </c>
      <c r="D1106" s="1" t="n">
        <v>160</v>
      </c>
      <c r="E1106" s="1" t="n">
        <v>9.6</v>
      </c>
      <c r="F1106" s="1" t="n">
        <v>0.8</v>
      </c>
    </row>
    <row collapsed="false" customFormat="false" customHeight="false" hidden="false" ht="14.75" outlineLevel="0" r="1107">
      <c r="A1107" s="1" t="s">
        <v>603</v>
      </c>
      <c r="B1107" s="1" t="s">
        <v>839</v>
      </c>
      <c r="C1107" s="1" t="s">
        <v>787</v>
      </c>
      <c r="D1107" s="1" t="n">
        <v>145.5</v>
      </c>
      <c r="E1107" s="1" t="n">
        <v>9.6</v>
      </c>
      <c r="F1107" s="1" t="n">
        <v>0.5</v>
      </c>
    </row>
    <row collapsed="false" customFormat="false" customHeight="false" hidden="false" ht="14.75" outlineLevel="0" r="1108">
      <c r="A1108" s="1" t="s">
        <v>945</v>
      </c>
      <c r="B1108" s="1" t="s">
        <v>816</v>
      </c>
      <c r="C1108" s="1" t="s">
        <v>787</v>
      </c>
      <c r="D1108" s="1" t="n">
        <v>74.5</v>
      </c>
      <c r="E1108" s="1" t="n">
        <v>7.14</v>
      </c>
      <c r="F1108" s="1" t="n">
        <v>0.2</v>
      </c>
    </row>
    <row collapsed="false" customFormat="false" customHeight="false" hidden="false" ht="14.75" outlineLevel="0" r="1109">
      <c r="A1109" s="1" t="s">
        <v>946</v>
      </c>
      <c r="B1109" s="1" t="s">
        <v>839</v>
      </c>
      <c r="C1109" s="1" t="s">
        <v>787</v>
      </c>
      <c r="D1109" s="1" t="n">
        <v>140</v>
      </c>
      <c r="E1109" s="1" t="n">
        <v>7.5</v>
      </c>
      <c r="F1109" s="1" t="n">
        <v>1.1</v>
      </c>
    </row>
    <row collapsed="false" customFormat="false" customHeight="false" hidden="false" ht="14.75" outlineLevel="0" r="1110">
      <c r="A1110" s="1" t="s">
        <v>947</v>
      </c>
      <c r="B1110" s="1" t="s">
        <v>790</v>
      </c>
      <c r="C1110" s="1" t="s">
        <v>787</v>
      </c>
      <c r="D1110" s="1" t="n">
        <v>375.5</v>
      </c>
      <c r="E1110" s="1" t="n">
        <v>21.32</v>
      </c>
      <c r="F1110" s="1" t="n">
        <v>4.2</v>
      </c>
    </row>
    <row collapsed="false" customFormat="false" customHeight="false" hidden="false" ht="14.75" outlineLevel="0" r="1111">
      <c r="A1111" s="1" t="s">
        <v>948</v>
      </c>
      <c r="B1111" s="1" t="s">
        <v>790</v>
      </c>
      <c r="C1111" s="1" t="s">
        <v>787</v>
      </c>
      <c r="D1111" s="1" t="n">
        <v>260.5</v>
      </c>
      <c r="E1111" s="1" t="n">
        <v>14.62</v>
      </c>
      <c r="F1111" s="1" t="n">
        <v>2.3</v>
      </c>
    </row>
    <row collapsed="false" customFormat="false" customHeight="false" hidden="false" ht="14.75" outlineLevel="0" r="1112">
      <c r="A1112" s="1" t="s">
        <v>949</v>
      </c>
      <c r="B1112" s="1" t="s">
        <v>790</v>
      </c>
      <c r="C1112" s="1" t="s">
        <v>787</v>
      </c>
      <c r="D1112" s="1" t="n">
        <v>99.5</v>
      </c>
      <c r="E1112" s="1" t="n">
        <v>8.3</v>
      </c>
      <c r="F1112" s="1" t="n">
        <v>1</v>
      </c>
    </row>
    <row collapsed="false" customFormat="false" customHeight="false" hidden="false" ht="14.75" outlineLevel="0" r="1113">
      <c r="A1113" s="1" t="s">
        <v>26</v>
      </c>
      <c r="B1113" s="1" t="s">
        <v>802</v>
      </c>
      <c r="C1113" s="1" t="s">
        <v>787</v>
      </c>
      <c r="D1113" s="1" t="n">
        <v>494.4</v>
      </c>
      <c r="E1113" s="1" t="n">
        <v>23.46</v>
      </c>
      <c r="F1113" s="1" t="n">
        <f aca="false">72/9</f>
        <v>8</v>
      </c>
    </row>
    <row collapsed="false" customFormat="false" customHeight="false" hidden="false" ht="14.75" outlineLevel="0" r="1114">
      <c r="A1114" s="1" t="s">
        <v>27</v>
      </c>
      <c r="B1114" s="1" t="s">
        <v>802</v>
      </c>
      <c r="C1114" s="1" t="s">
        <v>787</v>
      </c>
      <c r="D1114" s="1" t="n">
        <v>385</v>
      </c>
      <c r="E1114" s="1" t="n">
        <v>19.95</v>
      </c>
      <c r="F1114" s="1" t="n">
        <f aca="false">49/9</f>
        <v>5.44444444444444</v>
      </c>
    </row>
    <row collapsed="false" customFormat="false" customHeight="false" hidden="false" ht="14.75" outlineLevel="0" r="1115">
      <c r="A1115" s="1" t="s">
        <v>950</v>
      </c>
      <c r="B1115" s="1" t="s">
        <v>818</v>
      </c>
      <c r="C1115" s="1" t="s">
        <v>787</v>
      </c>
      <c r="D1115" s="1" t="n">
        <v>144</v>
      </c>
      <c r="E1115" s="1" t="n">
        <v>9.59</v>
      </c>
      <c r="F1115" s="1" t="n">
        <v>1.1</v>
      </c>
    </row>
    <row collapsed="false" customFormat="false" customHeight="false" hidden="false" ht="14.75" outlineLevel="0" r="1116">
      <c r="A1116" s="1" t="s">
        <v>951</v>
      </c>
      <c r="B1116" s="1" t="s">
        <v>816</v>
      </c>
      <c r="C1116" s="1" t="s">
        <v>787</v>
      </c>
      <c r="D1116" s="1" t="n">
        <v>70.6</v>
      </c>
      <c r="E1116" s="1" t="n">
        <v>6.14</v>
      </c>
      <c r="F1116" s="1" t="n">
        <v>0.3</v>
      </c>
    </row>
    <row collapsed="false" customFormat="false" customHeight="false" hidden="false" ht="14.75" outlineLevel="0" r="1117">
      <c r="A1117" s="1" t="s">
        <v>952</v>
      </c>
      <c r="B1117" s="1" t="s">
        <v>802</v>
      </c>
      <c r="C1117" s="1" t="s">
        <v>787</v>
      </c>
      <c r="D1117" s="1" t="n">
        <v>285</v>
      </c>
      <c r="E1117" s="1" t="n">
        <v>15.74</v>
      </c>
      <c r="F1117" s="1" t="n">
        <f aca="false">23/7</f>
        <v>3.28571428571429</v>
      </c>
    </row>
    <row collapsed="false" customFormat="false" customHeight="false" hidden="false" ht="14.75" outlineLevel="0" r="1118">
      <c r="A1118" s="1" t="s">
        <v>953</v>
      </c>
      <c r="B1118" s="1" t="s">
        <v>813</v>
      </c>
      <c r="C1118" s="1" t="s">
        <v>787</v>
      </c>
      <c r="D1118" s="1" t="n">
        <v>151.1</v>
      </c>
      <c r="E1118" s="1" t="n">
        <v>11.25</v>
      </c>
      <c r="F1118" s="1" t="n">
        <f aca="false">15/9</f>
        <v>1.66666666666667</v>
      </c>
    </row>
    <row collapsed="false" customFormat="false" customHeight="false" hidden="false" ht="14.75" outlineLevel="0" r="1119">
      <c r="A1119" s="1" t="s">
        <v>954</v>
      </c>
      <c r="B1119" s="1" t="s">
        <v>797</v>
      </c>
      <c r="C1119" s="1" t="s">
        <v>787</v>
      </c>
      <c r="D1119" s="1" t="n">
        <v>230</v>
      </c>
      <c r="E1119" s="1" t="n">
        <v>12.16</v>
      </c>
      <c r="F1119" s="1" t="n">
        <v>2.2</v>
      </c>
    </row>
    <row collapsed="false" customFormat="false" customHeight="false" hidden="false" ht="14.75" outlineLevel="0" r="1120">
      <c r="A1120" s="1" t="s">
        <v>955</v>
      </c>
      <c r="B1120" s="1" t="s">
        <v>797</v>
      </c>
      <c r="C1120" s="1" t="s">
        <v>787</v>
      </c>
      <c r="D1120" s="1" t="n">
        <v>80</v>
      </c>
      <c r="E1120" s="1" t="n">
        <v>5.62</v>
      </c>
      <c r="F1120" s="1" t="n">
        <v>0.5</v>
      </c>
    </row>
    <row collapsed="false" customFormat="false" customHeight="false" hidden="false" ht="14.75" outlineLevel="0" r="1121">
      <c r="A1121" s="1" t="s">
        <v>956</v>
      </c>
      <c r="B1121" s="1" t="s">
        <v>797</v>
      </c>
      <c r="C1121" s="1" t="s">
        <v>787</v>
      </c>
      <c r="D1121" s="1" t="n">
        <v>118.9</v>
      </c>
      <c r="E1121" s="1" t="n">
        <v>8.79</v>
      </c>
      <c r="F1121" s="1" t="n">
        <v>0.7</v>
      </c>
    </row>
    <row collapsed="false" customFormat="false" customHeight="false" hidden="false" ht="14.75" outlineLevel="0" r="1122">
      <c r="A1122" s="1" t="s">
        <v>957</v>
      </c>
      <c r="B1122" s="1" t="s">
        <v>797</v>
      </c>
      <c r="C1122" s="1" t="s">
        <v>787</v>
      </c>
      <c r="D1122" s="1" t="n">
        <v>66.5</v>
      </c>
      <c r="E1122" s="1" t="n">
        <v>6.1</v>
      </c>
      <c r="F1122" s="1" t="n">
        <v>0.6</v>
      </c>
    </row>
    <row collapsed="false" customFormat="false" customHeight="false" hidden="false" ht="14.75" outlineLevel="0" r="1123">
      <c r="A1123" s="1" t="s">
        <v>958</v>
      </c>
      <c r="B1123" s="1" t="s">
        <v>813</v>
      </c>
      <c r="C1123" s="1" t="s">
        <v>787</v>
      </c>
      <c r="D1123" s="1" t="n">
        <v>441.7</v>
      </c>
      <c r="E1123" s="1" t="n">
        <v>21.28</v>
      </c>
      <c r="F1123" s="1" t="n">
        <f aca="false">66/9</f>
        <v>7.33333333333333</v>
      </c>
    </row>
    <row collapsed="false" customFormat="false" customHeight="false" hidden="false" ht="14.75" outlineLevel="0" r="1124">
      <c r="A1124" s="1" t="s">
        <v>959</v>
      </c>
      <c r="B1124" s="1" t="s">
        <v>926</v>
      </c>
      <c r="C1124" s="1" t="s">
        <v>787</v>
      </c>
      <c r="D1124" s="1" t="n">
        <v>153.2</v>
      </c>
      <c r="E1124" s="1" t="n">
        <v>10.59</v>
      </c>
      <c r="F1124" s="1" t="n">
        <v>1</v>
      </c>
    </row>
    <row collapsed="false" customFormat="false" customHeight="false" hidden="false" ht="14.75" outlineLevel="0" r="1125">
      <c r="A1125" s="1" t="s">
        <v>960</v>
      </c>
      <c r="B1125" s="1" t="s">
        <v>926</v>
      </c>
      <c r="C1125" s="1" t="s">
        <v>787</v>
      </c>
      <c r="D1125" s="1" t="n">
        <v>18.2</v>
      </c>
      <c r="E1125" s="1" t="n">
        <v>5.45</v>
      </c>
      <c r="F1125" s="1" t="n">
        <v>0</v>
      </c>
    </row>
    <row collapsed="false" customFormat="false" customHeight="false" hidden="false" ht="14.75" outlineLevel="0" r="1126">
      <c r="A1126" s="1" t="s">
        <v>30</v>
      </c>
      <c r="B1126" s="1" t="s">
        <v>802</v>
      </c>
      <c r="C1126" s="1" t="s">
        <v>787</v>
      </c>
      <c r="D1126" s="1" t="n">
        <v>160</v>
      </c>
      <c r="E1126" s="1" t="n">
        <v>11.6</v>
      </c>
      <c r="F1126" s="1" t="n">
        <f aca="false">14/7</f>
        <v>2</v>
      </c>
    </row>
    <row collapsed="false" customFormat="false" customHeight="false" hidden="false" ht="14.75" outlineLevel="0" r="1127">
      <c r="A1127" s="1" t="s">
        <v>31</v>
      </c>
      <c r="B1127" s="1" t="s">
        <v>802</v>
      </c>
      <c r="C1127" s="1" t="s">
        <v>787</v>
      </c>
      <c r="D1127" s="1" t="n">
        <v>310</v>
      </c>
      <c r="E1127" s="1" t="n">
        <v>16.41</v>
      </c>
      <c r="F1127" s="1" t="n">
        <f aca="false">29/7</f>
        <v>4.14285714285714</v>
      </c>
    </row>
    <row collapsed="false" customFormat="false" customHeight="false" hidden="false" ht="14.75" outlineLevel="0" r="1128">
      <c r="A1128" s="1" t="s">
        <v>961</v>
      </c>
      <c r="B1128" s="1" t="s">
        <v>849</v>
      </c>
      <c r="C1128" s="1" t="s">
        <v>787</v>
      </c>
      <c r="D1128" s="1" t="n">
        <v>190.5</v>
      </c>
      <c r="E1128" s="1" t="n">
        <v>14.49</v>
      </c>
      <c r="F1128" s="1" t="n">
        <v>2.1</v>
      </c>
    </row>
    <row collapsed="false" customFormat="false" customHeight="false" hidden="false" ht="14.75" outlineLevel="0" r="1129">
      <c r="A1129" s="1" t="s">
        <v>962</v>
      </c>
      <c r="B1129" s="1" t="s">
        <v>813</v>
      </c>
      <c r="C1129" s="1" t="s">
        <v>787</v>
      </c>
      <c r="D1129" s="1" t="n">
        <v>383.8</v>
      </c>
      <c r="E1129" s="1" t="n">
        <v>21.8</v>
      </c>
      <c r="F1129" s="1" t="n">
        <f aca="false">73/12</f>
        <v>6.08333333333333</v>
      </c>
    </row>
    <row collapsed="false" customFormat="false" customHeight="false" hidden="false" ht="14.75" outlineLevel="0" r="1130">
      <c r="A1130" s="1" t="s">
        <v>616</v>
      </c>
      <c r="B1130" s="1" t="s">
        <v>802</v>
      </c>
      <c r="C1130" s="1" t="s">
        <v>787</v>
      </c>
      <c r="D1130" s="1" t="n">
        <v>308.6</v>
      </c>
      <c r="E1130" s="1" t="n">
        <v>16.82</v>
      </c>
      <c r="F1130" s="1" t="n">
        <f aca="false">26/7</f>
        <v>3.71428571428571</v>
      </c>
    </row>
    <row collapsed="false" customFormat="false" customHeight="false" hidden="false" ht="14.75" outlineLevel="0" r="1131">
      <c r="A1131" s="1" t="s">
        <v>963</v>
      </c>
      <c r="B1131" s="1" t="s">
        <v>802</v>
      </c>
      <c r="C1131" s="1" t="s">
        <v>787</v>
      </c>
      <c r="D1131" s="1" t="n">
        <v>293.8</v>
      </c>
      <c r="E1131" s="1" t="n">
        <v>14.01</v>
      </c>
      <c r="F1131" s="1" t="n">
        <f aca="false">14/8</f>
        <v>1.75</v>
      </c>
    </row>
    <row collapsed="false" customFormat="false" customHeight="false" hidden="false" ht="14.75" outlineLevel="0" r="1132">
      <c r="A1132" s="1" t="s">
        <v>964</v>
      </c>
      <c r="B1132" s="1" t="s">
        <v>839</v>
      </c>
      <c r="C1132" s="1" t="s">
        <v>787</v>
      </c>
      <c r="D1132" s="1" t="n">
        <v>175.5</v>
      </c>
      <c r="E1132" s="1" t="n">
        <v>11.4</v>
      </c>
      <c r="F1132" s="1" t="n">
        <v>0.5</v>
      </c>
    </row>
    <row collapsed="false" customFormat="false" customHeight="false" hidden="false" ht="14.75" outlineLevel="0" r="1133">
      <c r="A1133" s="1" t="s">
        <v>32</v>
      </c>
      <c r="B1133" s="1" t="s">
        <v>818</v>
      </c>
      <c r="C1133" s="1" t="s">
        <v>787</v>
      </c>
      <c r="D1133" s="1" t="n">
        <v>167</v>
      </c>
      <c r="E1133" s="1" t="n">
        <v>12.01</v>
      </c>
      <c r="F1133" s="1" t="n">
        <v>1.1</v>
      </c>
    </row>
    <row collapsed="false" customFormat="false" customHeight="false" hidden="false" ht="14.75" outlineLevel="0" r="1134">
      <c r="A1134" s="1" t="s">
        <v>404</v>
      </c>
      <c r="B1134" s="1" t="s">
        <v>818</v>
      </c>
      <c r="C1134" s="1" t="s">
        <v>787</v>
      </c>
      <c r="D1134" s="1" t="n">
        <v>94.4</v>
      </c>
      <c r="E1134" s="1" t="n">
        <v>8.54</v>
      </c>
      <c r="F1134" s="1" t="n">
        <f aca="false">3/9</f>
        <v>0.333333333333333</v>
      </c>
    </row>
    <row collapsed="false" customFormat="false" customHeight="false" hidden="false" ht="14.75" outlineLevel="0" r="1135">
      <c r="A1135" s="1" t="s">
        <v>965</v>
      </c>
      <c r="B1135" s="1" t="s">
        <v>816</v>
      </c>
      <c r="C1135" s="1" t="s">
        <v>787</v>
      </c>
      <c r="D1135" s="1" t="n">
        <v>113</v>
      </c>
      <c r="E1135" s="1" t="n">
        <v>8.47</v>
      </c>
      <c r="F1135" s="1" t="n">
        <v>0.9</v>
      </c>
    </row>
    <row collapsed="false" customFormat="false" customHeight="false" hidden="false" ht="14.75" outlineLevel="0" r="1136">
      <c r="A1136" s="1" t="s">
        <v>966</v>
      </c>
      <c r="B1136" s="1" t="s">
        <v>816</v>
      </c>
      <c r="C1136" s="1" t="s">
        <v>787</v>
      </c>
      <c r="D1136" s="1" t="n">
        <v>102.4</v>
      </c>
      <c r="E1136" s="1" t="n">
        <v>6.92</v>
      </c>
      <c r="F1136" s="1" t="n">
        <f aca="false">4/11</f>
        <v>0.363636363636364</v>
      </c>
    </row>
    <row collapsed="false" customFormat="false" customHeight="false" hidden="false" ht="14.75" outlineLevel="0" r="1137">
      <c r="A1137" s="1" t="s">
        <v>620</v>
      </c>
      <c r="B1137" s="1" t="s">
        <v>790</v>
      </c>
      <c r="C1137" s="1" t="s">
        <v>787</v>
      </c>
      <c r="D1137" s="1" t="n">
        <v>346.5</v>
      </c>
      <c r="E1137" s="1" t="n">
        <v>20.41</v>
      </c>
      <c r="F1137" s="1" t="n">
        <v>4.9</v>
      </c>
    </row>
    <row collapsed="false" customFormat="false" customHeight="false" hidden="false" ht="14.75" outlineLevel="0" r="1138">
      <c r="A1138" s="1" t="s">
        <v>621</v>
      </c>
      <c r="B1138" s="1" t="s">
        <v>790</v>
      </c>
      <c r="C1138" s="1" t="s">
        <v>787</v>
      </c>
      <c r="D1138" s="1" t="n">
        <v>143.5</v>
      </c>
      <c r="E1138" s="1" t="n">
        <v>12.38</v>
      </c>
      <c r="F1138" s="1" t="n">
        <v>1.3</v>
      </c>
    </row>
    <row collapsed="false" customFormat="false" customHeight="false" hidden="false" ht="14.75" outlineLevel="0" r="1139">
      <c r="A1139" s="1" t="s">
        <v>967</v>
      </c>
      <c r="B1139" s="1" t="s">
        <v>810</v>
      </c>
      <c r="C1139" s="1" t="s">
        <v>787</v>
      </c>
      <c r="D1139" s="1" t="n">
        <v>329.4</v>
      </c>
      <c r="E1139" s="1" t="n">
        <v>19.33</v>
      </c>
      <c r="F1139" s="1" t="n">
        <v>3</v>
      </c>
    </row>
    <row collapsed="false" customFormat="false" customHeight="false" hidden="false" ht="14.75" outlineLevel="0" r="1140">
      <c r="A1140" s="1" t="s">
        <v>968</v>
      </c>
      <c r="B1140" s="1" t="s">
        <v>810</v>
      </c>
      <c r="C1140" s="1" t="s">
        <v>787</v>
      </c>
      <c r="D1140" s="1" t="n">
        <v>119.4</v>
      </c>
      <c r="E1140" s="1" t="n">
        <v>8.63</v>
      </c>
      <c r="F1140" s="1" t="n">
        <f aca="false">7/8</f>
        <v>0.875</v>
      </c>
    </row>
    <row collapsed="false" customFormat="false" customHeight="false" hidden="false" ht="14.75" outlineLevel="0" r="1141">
      <c r="A1141" s="1" t="s">
        <v>969</v>
      </c>
      <c r="B1141" s="1" t="s">
        <v>805</v>
      </c>
      <c r="C1141" s="1" t="s">
        <v>787</v>
      </c>
      <c r="D1141" s="1" t="n">
        <v>106.6</v>
      </c>
      <c r="E1141" s="1" t="n">
        <v>7.3</v>
      </c>
      <c r="F1141" s="1" t="n">
        <f aca="false">6/8</f>
        <v>0.75</v>
      </c>
    </row>
    <row collapsed="false" customFormat="false" customHeight="false" hidden="false" ht="14.75" outlineLevel="0" r="1142">
      <c r="A1142" s="1" t="s">
        <v>181</v>
      </c>
      <c r="B1142" s="1" t="s">
        <v>839</v>
      </c>
      <c r="C1142" s="1" t="s">
        <v>787</v>
      </c>
      <c r="D1142" s="1" t="n">
        <v>107.5</v>
      </c>
      <c r="E1142" s="1" t="n">
        <v>10.2</v>
      </c>
      <c r="F1142" s="1" t="n">
        <v>0.9</v>
      </c>
    </row>
    <row collapsed="false" customFormat="false" customHeight="false" hidden="false" ht="14.75" outlineLevel="0" r="1143">
      <c r="A1143" s="1" t="s">
        <v>182</v>
      </c>
      <c r="B1143" s="1" t="s">
        <v>839</v>
      </c>
      <c r="C1143" s="1" t="s">
        <v>787</v>
      </c>
      <c r="D1143" s="1" t="n">
        <v>24.5</v>
      </c>
      <c r="E1143" s="1" t="n">
        <v>1.8</v>
      </c>
      <c r="F1143" s="1" t="n">
        <v>0.3</v>
      </c>
    </row>
    <row collapsed="false" customFormat="false" customHeight="false" hidden="false" ht="14.75" outlineLevel="0" r="1144">
      <c r="A1144" s="1" t="s">
        <v>970</v>
      </c>
      <c r="B1144" s="1" t="s">
        <v>926</v>
      </c>
      <c r="C1144" s="1" t="s">
        <v>787</v>
      </c>
      <c r="D1144" s="1" t="n">
        <v>296.6</v>
      </c>
      <c r="E1144" s="1" t="n">
        <v>18.15</v>
      </c>
      <c r="F1144" s="1" t="n">
        <f aca="false">34/8</f>
        <v>4.25</v>
      </c>
    </row>
    <row collapsed="false" customFormat="false" customHeight="false" hidden="false" ht="14.75" outlineLevel="0" r="1145">
      <c r="A1145" s="1" t="s">
        <v>971</v>
      </c>
      <c r="B1145" s="1" t="s">
        <v>839</v>
      </c>
      <c r="C1145" s="1" t="s">
        <v>787</v>
      </c>
      <c r="D1145" s="1" t="n">
        <v>75.5</v>
      </c>
      <c r="E1145" s="1" t="n">
        <v>6.9</v>
      </c>
      <c r="F1145" s="1" t="n">
        <v>0.4</v>
      </c>
    </row>
    <row collapsed="false" customFormat="false" customHeight="false" hidden="false" ht="14.75" outlineLevel="0" r="1146">
      <c r="A1146" s="1" t="s">
        <v>972</v>
      </c>
      <c r="B1146" s="1" t="s">
        <v>805</v>
      </c>
      <c r="C1146" s="1" t="s">
        <v>787</v>
      </c>
      <c r="D1146" s="1" t="n">
        <v>80.2</v>
      </c>
      <c r="E1146" s="1" t="n">
        <v>7.59</v>
      </c>
      <c r="F1146" s="1" t="n">
        <f aca="false">4/7</f>
        <v>0.571428571428571</v>
      </c>
    </row>
    <row collapsed="false" customFormat="false" customHeight="false" hidden="false" ht="14.75" outlineLevel="0" r="1147">
      <c r="A1147" s="1" t="s">
        <v>973</v>
      </c>
      <c r="B1147" s="1" t="s">
        <v>813</v>
      </c>
      <c r="C1147" s="1" t="s">
        <v>787</v>
      </c>
      <c r="D1147" s="1" t="n">
        <v>333.9</v>
      </c>
      <c r="E1147" s="1" t="n">
        <v>18.88</v>
      </c>
      <c r="F1147" s="1" t="n">
        <f aca="false">54/9</f>
        <v>6</v>
      </c>
    </row>
    <row collapsed="false" customFormat="false" customHeight="false" hidden="false" ht="14.75" outlineLevel="0" r="1148">
      <c r="A1148" s="1" t="s">
        <v>974</v>
      </c>
      <c r="B1148" s="1" t="s">
        <v>797</v>
      </c>
      <c r="C1148" s="1" t="s">
        <v>787</v>
      </c>
      <c r="D1148" s="1" t="n">
        <v>407.7</v>
      </c>
      <c r="E1148" s="1" t="n">
        <v>20.14</v>
      </c>
      <c r="F1148" s="1" t="n">
        <f aca="false">48/11</f>
        <v>4.36363636363636</v>
      </c>
    </row>
    <row collapsed="false" customFormat="false" customHeight="false" hidden="false" ht="14.75" outlineLevel="0" r="1149">
      <c r="A1149" s="1" t="s">
        <v>975</v>
      </c>
      <c r="B1149" s="1" t="s">
        <v>797</v>
      </c>
      <c r="C1149" s="1" t="s">
        <v>787</v>
      </c>
      <c r="D1149" s="1" t="n">
        <v>227.5</v>
      </c>
      <c r="E1149" s="1" t="n">
        <v>13.61</v>
      </c>
      <c r="F1149" s="1" t="n">
        <v>2.7</v>
      </c>
    </row>
    <row collapsed="false" customFormat="false" customHeight="false" hidden="false" ht="14.75" outlineLevel="0" r="1150">
      <c r="A1150" s="1" t="s">
        <v>976</v>
      </c>
      <c r="B1150" s="1" t="s">
        <v>797</v>
      </c>
      <c r="C1150" s="1" t="s">
        <v>787</v>
      </c>
      <c r="D1150" s="1" t="n">
        <v>130</v>
      </c>
      <c r="E1150" s="1" t="n">
        <v>12.42</v>
      </c>
      <c r="F1150" s="1" t="n">
        <v>1</v>
      </c>
    </row>
    <row collapsed="false" customFormat="false" customHeight="false" hidden="false" ht="14.75" outlineLevel="0" r="1151">
      <c r="A1151" s="1" t="s">
        <v>977</v>
      </c>
      <c r="B1151" s="1" t="s">
        <v>803</v>
      </c>
      <c r="C1151" s="1" t="s">
        <v>787</v>
      </c>
      <c r="D1151" s="1" t="n">
        <v>61.9</v>
      </c>
      <c r="E1151" s="1" t="n">
        <v>7.67</v>
      </c>
      <c r="F1151" s="1" t="n">
        <f aca="false">7/8</f>
        <v>0.875</v>
      </c>
    </row>
    <row collapsed="false" customFormat="false" customHeight="false" hidden="false" ht="14.75" outlineLevel="0" r="1152">
      <c r="A1152" s="1" t="s">
        <v>978</v>
      </c>
      <c r="B1152" s="1" t="s">
        <v>803</v>
      </c>
      <c r="C1152" s="1" t="s">
        <v>787</v>
      </c>
      <c r="D1152" s="1" t="n">
        <v>46.4</v>
      </c>
      <c r="E1152" s="1" t="n">
        <v>8</v>
      </c>
      <c r="F1152" s="1" t="n">
        <f aca="false">3/8</f>
        <v>0.375</v>
      </c>
    </row>
    <row collapsed="false" customFormat="false" customHeight="false" hidden="false" ht="14.75" outlineLevel="0" r="1153">
      <c r="A1153" s="1" t="s">
        <v>979</v>
      </c>
      <c r="B1153" s="1" t="s">
        <v>816</v>
      </c>
      <c r="C1153" s="1" t="s">
        <v>787</v>
      </c>
      <c r="D1153" s="1" t="n">
        <v>116.4</v>
      </c>
      <c r="E1153" s="1" t="n">
        <v>10</v>
      </c>
      <c r="F1153" s="1" t="n">
        <f aca="false">9/11</f>
        <v>0.818181818181818</v>
      </c>
    </row>
    <row collapsed="false" customFormat="false" customHeight="false" hidden="false" ht="14.75" outlineLevel="0" r="1154">
      <c r="A1154" s="1" t="s">
        <v>980</v>
      </c>
      <c r="B1154" s="1" t="s">
        <v>816</v>
      </c>
      <c r="C1154" s="1" t="s">
        <v>787</v>
      </c>
      <c r="D1154" s="1" t="n">
        <v>50</v>
      </c>
      <c r="E1154" s="1" t="n">
        <v>6.45</v>
      </c>
      <c r="F1154" s="1" t="n">
        <v>0.2</v>
      </c>
    </row>
    <row collapsed="false" customFormat="false" customHeight="false" hidden="false" ht="14.75" outlineLevel="0" r="1155">
      <c r="A1155" s="1" t="s">
        <v>981</v>
      </c>
      <c r="B1155" s="1" t="s">
        <v>816</v>
      </c>
      <c r="C1155" s="1" t="s">
        <v>787</v>
      </c>
      <c r="D1155" s="1" t="n">
        <v>58.9</v>
      </c>
      <c r="E1155" s="1" t="n">
        <v>4.63</v>
      </c>
      <c r="F1155" s="1" t="n">
        <v>0.3</v>
      </c>
    </row>
    <row collapsed="false" customFormat="false" customHeight="false" hidden="false" ht="14.75" outlineLevel="0" r="1156">
      <c r="A1156" s="1" t="s">
        <v>982</v>
      </c>
      <c r="B1156" s="1" t="s">
        <v>816</v>
      </c>
      <c r="C1156" s="1" t="s">
        <v>787</v>
      </c>
      <c r="D1156" s="1" t="n">
        <v>42.6</v>
      </c>
      <c r="E1156" s="1" t="n">
        <v>3.87</v>
      </c>
      <c r="F1156" s="1" t="n">
        <v>0.2</v>
      </c>
    </row>
    <row collapsed="false" customFormat="false" customHeight="false" hidden="false" ht="14.75" outlineLevel="0" r="1157">
      <c r="A1157" s="1" t="s">
        <v>983</v>
      </c>
      <c r="B1157" s="1" t="s">
        <v>816</v>
      </c>
      <c r="C1157" s="1" t="s">
        <v>787</v>
      </c>
      <c r="D1157" s="1" t="n">
        <v>39</v>
      </c>
      <c r="E1157" s="1" t="n">
        <v>4</v>
      </c>
      <c r="F1157" s="1" t="n">
        <v>0.1</v>
      </c>
    </row>
    <row collapsed="false" customFormat="false" customHeight="false" hidden="false" ht="14.75" outlineLevel="0" r="1158">
      <c r="A1158" s="1" t="s">
        <v>984</v>
      </c>
      <c r="B1158" s="1" t="s">
        <v>802</v>
      </c>
      <c r="C1158" s="1" t="s">
        <v>787</v>
      </c>
      <c r="D1158" s="1" t="n">
        <v>235</v>
      </c>
      <c r="E1158" s="1" t="n">
        <v>12.43</v>
      </c>
      <c r="F1158" s="1" t="n">
        <f aca="false">18/7</f>
        <v>2.57142857142857</v>
      </c>
    </row>
    <row collapsed="false" customFormat="false" customHeight="false" hidden="false" ht="14.75" outlineLevel="0" r="1159">
      <c r="A1159" s="1" t="s">
        <v>985</v>
      </c>
      <c r="B1159" s="1" t="s">
        <v>790</v>
      </c>
      <c r="C1159" s="1" t="s">
        <v>787</v>
      </c>
      <c r="D1159" s="1" t="n">
        <v>193.5</v>
      </c>
      <c r="E1159" s="1" t="n">
        <v>13.9</v>
      </c>
      <c r="F1159" s="1" t="n">
        <v>1.5</v>
      </c>
    </row>
    <row collapsed="false" customFormat="false" customHeight="false" hidden="false" ht="14.75" outlineLevel="0" r="1160">
      <c r="A1160" s="1" t="s">
        <v>986</v>
      </c>
      <c r="B1160" s="1" t="s">
        <v>813</v>
      </c>
      <c r="C1160" s="1" t="s">
        <v>787</v>
      </c>
      <c r="D1160" s="1" t="n">
        <v>272.8</v>
      </c>
      <c r="E1160" s="1" t="n">
        <v>16.8</v>
      </c>
      <c r="F1160" s="1" t="n">
        <f aca="false">33/9</f>
        <v>3.66666666666667</v>
      </c>
    </row>
    <row collapsed="false" customFormat="false" customHeight="false" hidden="false" ht="14.75" outlineLevel="0" r="1161">
      <c r="A1161" s="1" t="s">
        <v>987</v>
      </c>
      <c r="B1161" s="1" t="s">
        <v>803</v>
      </c>
      <c r="C1161" s="1" t="s">
        <v>787</v>
      </c>
      <c r="D1161" s="1" t="n">
        <f aca="false">((393.8*8)+(285*4))/12</f>
        <v>357.533333333333</v>
      </c>
      <c r="E1161" s="1" t="n">
        <f aca="false">(2060+790)/(104+36)</f>
        <v>20.3571428571429</v>
      </c>
      <c r="F1161" s="1" t="n">
        <f aca="false">39/12</f>
        <v>3.25</v>
      </c>
    </row>
    <row collapsed="false" customFormat="false" customHeight="false" hidden="false" ht="14.75" outlineLevel="0" r="1162">
      <c r="A1162" s="1" t="s">
        <v>988</v>
      </c>
      <c r="B1162" s="1" t="s">
        <v>803</v>
      </c>
      <c r="C1162" s="1" t="s">
        <v>787</v>
      </c>
      <c r="D1162" s="1" t="n">
        <v>335.9</v>
      </c>
      <c r="E1162" s="1" t="n">
        <v>18.48</v>
      </c>
      <c r="F1162" s="1" t="n">
        <f aca="false">40/11</f>
        <v>3.63636363636364</v>
      </c>
    </row>
    <row collapsed="false" customFormat="false" customHeight="false" hidden="false" ht="14.75" outlineLevel="0" r="1163">
      <c r="A1163" s="1" t="s">
        <v>989</v>
      </c>
      <c r="B1163" s="1" t="s">
        <v>926</v>
      </c>
      <c r="C1163" s="1" t="s">
        <v>787</v>
      </c>
      <c r="D1163" s="1" t="n">
        <v>324.5</v>
      </c>
      <c r="E1163" s="1" t="n">
        <v>16.95</v>
      </c>
      <c r="F1163" s="1" t="n">
        <f aca="false">25/8</f>
        <v>3.125</v>
      </c>
    </row>
    <row collapsed="false" customFormat="false" customHeight="false" hidden="false" ht="14.75" outlineLevel="0" r="1164">
      <c r="A1164" s="1" t="s">
        <v>990</v>
      </c>
      <c r="B1164" s="1" t="s">
        <v>926</v>
      </c>
      <c r="C1164" s="1" t="s">
        <v>787</v>
      </c>
      <c r="D1164" s="1" t="n">
        <v>155.9</v>
      </c>
      <c r="E1164" s="1" t="n">
        <v>10.37</v>
      </c>
      <c r="F1164" s="1" t="n">
        <f aca="false">9/7</f>
        <v>1.28571428571429</v>
      </c>
    </row>
    <row collapsed="false" customFormat="false" customHeight="false" hidden="false" ht="14.75" outlineLevel="0" r="1165">
      <c r="A1165" s="1" t="s">
        <v>991</v>
      </c>
      <c r="B1165" s="1" t="s">
        <v>926</v>
      </c>
      <c r="C1165" s="1" t="s">
        <v>787</v>
      </c>
      <c r="D1165" s="1" t="n">
        <v>106.1</v>
      </c>
      <c r="E1165" s="1" t="n">
        <v>8.6</v>
      </c>
      <c r="F1165" s="1" t="n">
        <f aca="false">1/7</f>
        <v>0.142857142857143</v>
      </c>
    </row>
    <row collapsed="false" customFormat="false" customHeight="false" hidden="false" ht="14.75" outlineLevel="0" r="1166">
      <c r="A1166" s="1" t="s">
        <v>992</v>
      </c>
      <c r="B1166" s="1" t="s">
        <v>816</v>
      </c>
      <c r="C1166" s="1" t="s">
        <v>787</v>
      </c>
      <c r="D1166" s="1" t="n">
        <v>98.5</v>
      </c>
      <c r="E1166" s="1" t="n">
        <v>6.84</v>
      </c>
      <c r="F1166" s="1" t="n">
        <v>1</v>
      </c>
    </row>
    <row collapsed="false" customFormat="false" customHeight="false" hidden="false" ht="14.75" outlineLevel="0" r="1167">
      <c r="A1167" s="1" t="s">
        <v>993</v>
      </c>
      <c r="B1167" s="1" t="s">
        <v>994</v>
      </c>
      <c r="C1167" s="1" t="s">
        <v>995</v>
      </c>
      <c r="D1167" s="1" t="n">
        <v>264.5</v>
      </c>
      <c r="E1167" s="1" t="n">
        <v>18.02</v>
      </c>
      <c r="F1167" s="1" t="n">
        <v>3</v>
      </c>
    </row>
    <row collapsed="false" customFormat="false" customHeight="false" hidden="false" ht="14.75" outlineLevel="0" r="1168">
      <c r="A1168" s="1" t="s">
        <v>996</v>
      </c>
      <c r="B1168" s="1" t="s">
        <v>997</v>
      </c>
      <c r="C1168" s="1" t="s">
        <v>995</v>
      </c>
      <c r="D1168" s="1" t="n">
        <v>170.3</v>
      </c>
      <c r="E1168" s="1" t="n">
        <v>12.59</v>
      </c>
      <c r="F1168" s="1" t="n">
        <f aca="false">6/8</f>
        <v>0.75</v>
      </c>
    </row>
    <row collapsed="false" customFormat="false" customHeight="false" hidden="false" ht="14.75" outlineLevel="0" r="1169">
      <c r="A1169" s="1" t="s">
        <v>998</v>
      </c>
      <c r="B1169" s="1" t="s">
        <v>999</v>
      </c>
      <c r="C1169" s="1" t="s">
        <v>995</v>
      </c>
      <c r="D1169" s="1" t="n">
        <v>471.4</v>
      </c>
      <c r="E1169" s="1" t="n">
        <v>24.81</v>
      </c>
      <c r="F1169" s="1" t="n">
        <f aca="false">52/7</f>
        <v>7.42857142857143</v>
      </c>
    </row>
    <row collapsed="false" customFormat="false" customHeight="false" hidden="false" ht="14.75" outlineLevel="0" r="1170">
      <c r="A1170" s="1" t="s">
        <v>1000</v>
      </c>
      <c r="B1170" s="1" t="s">
        <v>1001</v>
      </c>
      <c r="C1170" s="1" t="s">
        <v>995</v>
      </c>
      <c r="D1170" s="1" t="n">
        <v>240</v>
      </c>
      <c r="E1170" s="1" t="n">
        <v>15.31</v>
      </c>
      <c r="F1170" s="1" t="n">
        <v>2.1</v>
      </c>
    </row>
    <row collapsed="false" customFormat="false" customHeight="false" hidden="false" ht="14.75" outlineLevel="0" r="1171">
      <c r="A1171" s="1" t="s">
        <v>1002</v>
      </c>
      <c r="B1171" s="1" t="s">
        <v>997</v>
      </c>
      <c r="C1171" s="1" t="s">
        <v>995</v>
      </c>
      <c r="D1171" s="1" t="n">
        <v>74.6</v>
      </c>
      <c r="E1171" s="1" t="n">
        <v>7.14</v>
      </c>
      <c r="F1171" s="1" t="n">
        <f aca="false">2/7</f>
        <v>0.285714285714286</v>
      </c>
    </row>
    <row collapsed="false" customFormat="false" customHeight="false" hidden="false" ht="14.75" outlineLevel="0" r="1172">
      <c r="A1172" s="1" t="s">
        <v>1003</v>
      </c>
      <c r="B1172" s="1" t="s">
        <v>1004</v>
      </c>
      <c r="C1172" s="1" t="s">
        <v>995</v>
      </c>
      <c r="D1172" s="1" t="n">
        <v>180</v>
      </c>
      <c r="E1172" s="1" t="n">
        <v>15.71</v>
      </c>
      <c r="F1172" s="1" t="s">
        <v>9</v>
      </c>
    </row>
    <row collapsed="false" customFormat="false" customHeight="false" hidden="false" ht="14.75" outlineLevel="0" r="1173">
      <c r="A1173" s="1" t="s">
        <v>298</v>
      </c>
      <c r="B1173" s="1" t="s">
        <v>1005</v>
      </c>
      <c r="C1173" s="1" t="s">
        <v>995</v>
      </c>
      <c r="D1173" s="1" t="n">
        <v>150</v>
      </c>
      <c r="E1173" s="1" t="n">
        <v>12.56</v>
      </c>
      <c r="F1173" s="1" t="n">
        <f aca="false">8/6</f>
        <v>1.33333333333333</v>
      </c>
    </row>
    <row collapsed="false" customFormat="false" customHeight="false" hidden="false" ht="14.75" outlineLevel="0" r="1174">
      <c r="A1174" s="1" t="s">
        <v>1006</v>
      </c>
      <c r="B1174" s="1" t="s">
        <v>1007</v>
      </c>
      <c r="C1174" s="1" t="s">
        <v>995</v>
      </c>
      <c r="D1174" s="1" t="n">
        <v>75.8</v>
      </c>
      <c r="E1174" s="1" t="n">
        <v>10.22</v>
      </c>
      <c r="F1174" s="1" t="n">
        <f aca="false">1/7</f>
        <v>0.142857142857143</v>
      </c>
    </row>
    <row collapsed="false" customFormat="false" customHeight="false" hidden="false" ht="14.75" outlineLevel="0" r="1175">
      <c r="A1175" s="1" t="s">
        <v>1008</v>
      </c>
      <c r="B1175" s="1" t="s">
        <v>997</v>
      </c>
      <c r="C1175" s="1" t="s">
        <v>995</v>
      </c>
      <c r="D1175" s="1" t="n">
        <v>174.6</v>
      </c>
      <c r="E1175" s="1" t="n">
        <v>13.8</v>
      </c>
      <c r="F1175" s="1" t="n">
        <f aca="false">3/7</f>
        <v>0.428571428571429</v>
      </c>
    </row>
    <row collapsed="false" customFormat="false" customHeight="false" hidden="false" ht="14.75" outlineLevel="0" r="1176">
      <c r="A1176" s="1" t="s">
        <v>1009</v>
      </c>
      <c r="B1176" s="1" t="s">
        <v>997</v>
      </c>
      <c r="C1176" s="1" t="s">
        <v>995</v>
      </c>
      <c r="D1176" s="1" t="n">
        <v>184.7</v>
      </c>
      <c r="E1176" s="1" t="n">
        <v>15.31</v>
      </c>
      <c r="F1176" s="1" t="n">
        <f aca="false">12/8</f>
        <v>1.5</v>
      </c>
    </row>
    <row collapsed="false" customFormat="false" customHeight="false" hidden="false" ht="14.75" outlineLevel="0" r="1177">
      <c r="A1177" s="1" t="s">
        <v>1010</v>
      </c>
      <c r="B1177" s="1" t="s">
        <v>1004</v>
      </c>
      <c r="C1177" s="1" t="s">
        <v>995</v>
      </c>
      <c r="D1177" s="1" t="n">
        <v>138.6</v>
      </c>
      <c r="E1177" s="1" t="n">
        <v>18.53</v>
      </c>
      <c r="F1177" s="1" t="s">
        <v>9</v>
      </c>
    </row>
    <row collapsed="false" customFormat="false" customHeight="false" hidden="false" ht="14.75" outlineLevel="0" r="1178">
      <c r="A1178" s="1" t="s">
        <v>1011</v>
      </c>
      <c r="B1178" s="1" t="s">
        <v>999</v>
      </c>
      <c r="C1178" s="1" t="s">
        <v>995</v>
      </c>
      <c r="D1178" s="1" t="n">
        <v>220.1</v>
      </c>
      <c r="E1178" s="1" t="n">
        <v>15.4</v>
      </c>
      <c r="F1178" s="1" t="n">
        <f aca="false">20/6</f>
        <v>3.33333333333333</v>
      </c>
    </row>
    <row collapsed="false" customFormat="false" customHeight="false" hidden="false" ht="14.75" outlineLevel="0" r="1179">
      <c r="A1179" s="1" t="s">
        <v>1012</v>
      </c>
      <c r="B1179" s="1" t="s">
        <v>999</v>
      </c>
      <c r="C1179" s="1" t="s">
        <v>995</v>
      </c>
      <c r="D1179" s="1" t="n">
        <v>154.2</v>
      </c>
      <c r="E1179" s="1" t="n">
        <v>14.13</v>
      </c>
      <c r="F1179" s="1" t="n">
        <f aca="false">8/6</f>
        <v>1.33333333333333</v>
      </c>
    </row>
    <row collapsed="false" customFormat="false" customHeight="false" hidden="false" ht="14.75" outlineLevel="0" r="1180">
      <c r="A1180" s="1" t="s">
        <v>827</v>
      </c>
      <c r="B1180" s="1" t="s">
        <v>997</v>
      </c>
      <c r="C1180" s="1" t="s">
        <v>995</v>
      </c>
      <c r="D1180" s="1" t="n">
        <v>373.8</v>
      </c>
      <c r="E1180" s="1" t="n">
        <v>21.22</v>
      </c>
      <c r="F1180" s="1" t="n">
        <f aca="false">53/11</f>
        <v>4.81818181818182</v>
      </c>
    </row>
    <row collapsed="false" customFormat="false" customHeight="false" hidden="false" ht="14.75" outlineLevel="0" r="1181">
      <c r="A1181" s="1" t="s">
        <v>828</v>
      </c>
      <c r="B1181" s="1" t="s">
        <v>997</v>
      </c>
      <c r="C1181" s="1" t="s">
        <v>995</v>
      </c>
      <c r="D1181" s="1" t="n">
        <v>242.1</v>
      </c>
      <c r="E1181" s="1" t="n">
        <v>18.19</v>
      </c>
      <c r="F1181" s="1" t="n">
        <f aca="false">19/8</f>
        <v>2.375</v>
      </c>
    </row>
    <row collapsed="false" customFormat="false" customHeight="false" hidden="false" ht="14.75" outlineLevel="0" r="1182">
      <c r="A1182" s="1" t="s">
        <v>829</v>
      </c>
      <c r="B1182" s="1" t="s">
        <v>997</v>
      </c>
      <c r="C1182" s="1" t="s">
        <v>995</v>
      </c>
      <c r="D1182" s="1" t="n">
        <v>148.4</v>
      </c>
      <c r="E1182" s="1" t="n">
        <v>13.02</v>
      </c>
      <c r="F1182" s="1" t="n">
        <f aca="false">12/8</f>
        <v>1.5</v>
      </c>
    </row>
    <row collapsed="false" customFormat="false" customHeight="false" hidden="false" ht="14.75" outlineLevel="0" r="1183">
      <c r="A1183" s="1" t="s">
        <v>830</v>
      </c>
      <c r="B1183" s="1" t="s">
        <v>997</v>
      </c>
      <c r="C1183" s="1" t="s">
        <v>995</v>
      </c>
      <c r="D1183" s="1" t="n">
        <v>160.5</v>
      </c>
      <c r="E1183" s="1" t="n">
        <v>15.32</v>
      </c>
      <c r="F1183" s="1" t="n">
        <f aca="false">3/8</f>
        <v>0.375</v>
      </c>
    </row>
    <row collapsed="false" customFormat="false" customHeight="false" hidden="false" ht="14.75" outlineLevel="0" r="1184">
      <c r="A1184" s="1" t="s">
        <v>831</v>
      </c>
      <c r="B1184" s="1" t="s">
        <v>997</v>
      </c>
      <c r="C1184" s="1" t="s">
        <v>995</v>
      </c>
      <c r="D1184" s="1" t="n">
        <v>123</v>
      </c>
      <c r="E1184" s="1" t="n">
        <v>13.49</v>
      </c>
      <c r="F1184" s="1" t="n">
        <f aca="false">12/7</f>
        <v>1.71428571428571</v>
      </c>
    </row>
    <row collapsed="false" customFormat="false" customHeight="false" hidden="false" ht="14.75" outlineLevel="0" r="1185">
      <c r="A1185" s="1" t="s">
        <v>843</v>
      </c>
      <c r="B1185" s="1" t="s">
        <v>994</v>
      </c>
      <c r="C1185" s="1" t="s">
        <v>995</v>
      </c>
      <c r="D1185" s="1" t="n">
        <v>118.5</v>
      </c>
      <c r="E1185" s="1" t="n">
        <v>10.69</v>
      </c>
      <c r="F1185" s="1" t="n">
        <v>0.4</v>
      </c>
    </row>
    <row collapsed="false" customFormat="false" customHeight="false" hidden="false" ht="14.75" outlineLevel="0" r="1186">
      <c r="A1186" s="1" t="s">
        <v>1013</v>
      </c>
      <c r="B1186" s="1" t="s">
        <v>1004</v>
      </c>
      <c r="C1186" s="1" t="s">
        <v>995</v>
      </c>
      <c r="D1186" s="1" t="n">
        <v>257.1</v>
      </c>
      <c r="E1186" s="1" t="n">
        <v>19.51</v>
      </c>
      <c r="F1186" s="1" t="s">
        <v>9</v>
      </c>
    </row>
    <row collapsed="false" customFormat="false" customHeight="false" hidden="false" ht="14.75" outlineLevel="0" r="1187">
      <c r="A1187" s="1" t="s">
        <v>1014</v>
      </c>
      <c r="B1187" s="1" t="s">
        <v>999</v>
      </c>
      <c r="C1187" s="1" t="s">
        <v>995</v>
      </c>
      <c r="D1187" s="1" t="n">
        <v>415.5</v>
      </c>
      <c r="E1187" s="1" t="n">
        <v>22.65</v>
      </c>
      <c r="F1187" s="1" t="n">
        <f aca="false">42/7</f>
        <v>6</v>
      </c>
    </row>
    <row collapsed="false" customFormat="false" customHeight="false" hidden="false" ht="14.75" outlineLevel="0" r="1188">
      <c r="A1188" s="1" t="s">
        <v>1015</v>
      </c>
      <c r="B1188" s="1" t="s">
        <v>999</v>
      </c>
      <c r="C1188" s="1" t="s">
        <v>995</v>
      </c>
      <c r="D1188" s="1" t="n">
        <v>301.4</v>
      </c>
      <c r="E1188" s="1" t="n">
        <v>18.11</v>
      </c>
      <c r="F1188" s="1" t="n">
        <f aca="false">25/6</f>
        <v>4.16666666666667</v>
      </c>
    </row>
    <row collapsed="false" customFormat="false" customHeight="false" hidden="false" ht="14.75" outlineLevel="0" r="1189">
      <c r="A1189" s="1" t="s">
        <v>1016</v>
      </c>
      <c r="B1189" s="1" t="s">
        <v>999</v>
      </c>
      <c r="C1189" s="1" t="s">
        <v>995</v>
      </c>
      <c r="D1189" s="1" t="n">
        <v>121.7</v>
      </c>
      <c r="E1189" s="1" t="n">
        <v>14.83</v>
      </c>
      <c r="F1189" s="1" t="n">
        <f aca="false">4/5</f>
        <v>0.8</v>
      </c>
    </row>
    <row collapsed="false" customFormat="false" customHeight="false" hidden="false" ht="14.75" outlineLevel="0" r="1190">
      <c r="A1190" s="1" t="s">
        <v>1017</v>
      </c>
      <c r="B1190" s="1" t="s">
        <v>999</v>
      </c>
      <c r="C1190" s="1" t="s">
        <v>995</v>
      </c>
      <c r="D1190" s="1" t="n">
        <v>96.5</v>
      </c>
      <c r="E1190" s="1" t="n">
        <v>11.56</v>
      </c>
      <c r="F1190" s="1" t="n">
        <v>1</v>
      </c>
    </row>
    <row collapsed="false" customFormat="false" customHeight="false" hidden="false" ht="14.75" outlineLevel="0" r="1191">
      <c r="A1191" s="1" t="s">
        <v>64</v>
      </c>
      <c r="B1191" s="1" t="s">
        <v>1004</v>
      </c>
      <c r="C1191" s="1" t="s">
        <v>995</v>
      </c>
      <c r="D1191" s="1" t="n">
        <v>487.1</v>
      </c>
      <c r="E1191" s="1" t="n">
        <v>23.11</v>
      </c>
      <c r="F1191" s="1" t="s">
        <v>9</v>
      </c>
    </row>
    <row collapsed="false" customFormat="false" customHeight="false" hidden="false" ht="14.75" outlineLevel="0" r="1192">
      <c r="A1192" s="1" t="s">
        <v>64</v>
      </c>
      <c r="B1192" s="1" t="s">
        <v>1004</v>
      </c>
      <c r="C1192" s="1" t="s">
        <v>995</v>
      </c>
      <c r="D1192" s="1" t="n">
        <v>244.3</v>
      </c>
      <c r="E1192" s="1" t="n">
        <v>15.15</v>
      </c>
      <c r="F1192" s="1" t="s">
        <v>9</v>
      </c>
    </row>
    <row collapsed="false" customFormat="false" customHeight="false" hidden="false" ht="14.75" outlineLevel="0" r="1193">
      <c r="A1193" s="1" t="s">
        <v>1018</v>
      </c>
      <c r="B1193" s="1" t="s">
        <v>1004</v>
      </c>
      <c r="C1193" s="1" t="s">
        <v>995</v>
      </c>
      <c r="D1193" s="1" t="n">
        <v>298.6</v>
      </c>
      <c r="E1193" s="1" t="n">
        <v>20.74</v>
      </c>
      <c r="F1193" s="1" t="s">
        <v>9</v>
      </c>
    </row>
    <row collapsed="false" customFormat="false" customHeight="false" hidden="false" ht="14.75" outlineLevel="0" r="1194">
      <c r="A1194" s="1" t="s">
        <v>1018</v>
      </c>
      <c r="B1194" s="1" t="s">
        <v>1004</v>
      </c>
      <c r="C1194" s="1" t="s">
        <v>995</v>
      </c>
      <c r="D1194" s="1" t="n">
        <v>168.6</v>
      </c>
      <c r="E1194" s="1" t="n">
        <v>16.82</v>
      </c>
      <c r="F1194" s="1" t="s">
        <v>9</v>
      </c>
    </row>
    <row collapsed="false" customFormat="false" customHeight="false" hidden="false" ht="14.75" outlineLevel="0" r="1195">
      <c r="A1195" s="1" t="s">
        <v>852</v>
      </c>
      <c r="B1195" s="1" t="s">
        <v>1007</v>
      </c>
      <c r="C1195" s="1" t="s">
        <v>995</v>
      </c>
      <c r="D1195" s="1" t="n">
        <v>259.2</v>
      </c>
      <c r="E1195" s="1" t="n">
        <v>13.85</v>
      </c>
      <c r="F1195" s="1" t="n">
        <f aca="false">15/8</f>
        <v>1.875</v>
      </c>
    </row>
    <row collapsed="false" customFormat="false" customHeight="false" hidden="false" ht="14.75" outlineLevel="0" r="1196">
      <c r="A1196" s="1" t="s">
        <v>327</v>
      </c>
      <c r="B1196" s="1" t="s">
        <v>1005</v>
      </c>
      <c r="C1196" s="1" t="s">
        <v>995</v>
      </c>
      <c r="D1196" s="1" t="n">
        <v>309.4</v>
      </c>
      <c r="E1196" s="1" t="n">
        <v>20.05</v>
      </c>
      <c r="F1196" s="1" t="n">
        <f aca="false">24/9</f>
        <v>2.66666666666667</v>
      </c>
    </row>
    <row collapsed="false" customFormat="false" customHeight="false" hidden="false" ht="14.75" outlineLevel="0" r="1197">
      <c r="A1197" s="1" t="s">
        <v>328</v>
      </c>
      <c r="B1197" s="1" t="s">
        <v>1005</v>
      </c>
      <c r="C1197" s="1" t="s">
        <v>995</v>
      </c>
      <c r="D1197" s="1" t="n">
        <v>217.1</v>
      </c>
      <c r="E1197" s="1" t="n">
        <v>16.67</v>
      </c>
      <c r="F1197" s="1" t="n">
        <f aca="false">8/7</f>
        <v>1.14285714285714</v>
      </c>
    </row>
    <row collapsed="false" customFormat="false" customHeight="false" hidden="false" ht="14.75" outlineLevel="0" r="1198">
      <c r="A1198" s="1" t="s">
        <v>1019</v>
      </c>
      <c r="B1198" s="1" t="s">
        <v>1005</v>
      </c>
      <c r="C1198" s="1" t="s">
        <v>995</v>
      </c>
      <c r="D1198" s="1" t="n">
        <v>150.8</v>
      </c>
      <c r="E1198" s="1" t="n">
        <v>11.83</v>
      </c>
      <c r="F1198" s="1" t="n">
        <f aca="false">7/6</f>
        <v>1.16666666666667</v>
      </c>
    </row>
    <row collapsed="false" customFormat="false" customHeight="false" hidden="false" ht="14.75" outlineLevel="0" r="1199">
      <c r="A1199" s="1" t="s">
        <v>853</v>
      </c>
      <c r="B1199" s="1" t="s">
        <v>997</v>
      </c>
      <c r="C1199" s="1" t="s">
        <v>995</v>
      </c>
      <c r="D1199" s="1" t="n">
        <v>331</v>
      </c>
      <c r="E1199" s="1" t="n">
        <v>20.05</v>
      </c>
      <c r="F1199" s="1" t="n">
        <f aca="false">22/9</f>
        <v>2.44444444444444</v>
      </c>
    </row>
    <row collapsed="false" customFormat="false" customHeight="false" hidden="false" ht="14.75" outlineLevel="0" r="1200">
      <c r="A1200" s="1" t="s">
        <v>854</v>
      </c>
      <c r="B1200" s="1" t="s">
        <v>997</v>
      </c>
      <c r="C1200" s="1" t="s">
        <v>995</v>
      </c>
      <c r="D1200" s="1" t="n">
        <v>177.7</v>
      </c>
      <c r="E1200" s="1" t="n">
        <v>15.1</v>
      </c>
      <c r="F1200" s="1" t="n">
        <f aca="false">2/7</f>
        <v>0.285714285714286</v>
      </c>
    </row>
    <row collapsed="false" customFormat="false" customHeight="false" hidden="false" ht="14.75" outlineLevel="0" r="1201">
      <c r="A1201" s="1" t="s">
        <v>1020</v>
      </c>
      <c r="B1201" s="1" t="s">
        <v>1007</v>
      </c>
      <c r="C1201" s="1" t="s">
        <v>995</v>
      </c>
      <c r="D1201" s="1" t="n">
        <v>360.8</v>
      </c>
      <c r="E1201" s="1" t="n">
        <v>18.92</v>
      </c>
      <c r="F1201" s="1" t="n">
        <f aca="false">16/9</f>
        <v>1.77777777777778</v>
      </c>
    </row>
    <row collapsed="false" customFormat="false" customHeight="false" hidden="false" ht="14.75" outlineLevel="0" r="1202">
      <c r="A1202" s="1" t="s">
        <v>858</v>
      </c>
      <c r="B1202" s="1" t="s">
        <v>1007</v>
      </c>
      <c r="C1202" s="1" t="s">
        <v>995</v>
      </c>
      <c r="D1202" s="1" t="n">
        <v>253.3</v>
      </c>
      <c r="E1202" s="1" t="n">
        <v>15.86</v>
      </c>
      <c r="F1202" s="1" t="n">
        <f aca="false">13/7</f>
        <v>1.85714285714286</v>
      </c>
    </row>
    <row collapsed="false" customFormat="false" customHeight="false" hidden="false" ht="14.75" outlineLevel="0" r="1203">
      <c r="A1203" s="1" t="s">
        <v>1021</v>
      </c>
      <c r="B1203" s="1" t="s">
        <v>1005</v>
      </c>
      <c r="C1203" s="1" t="s">
        <v>995</v>
      </c>
      <c r="D1203" s="1" t="n">
        <v>97.5</v>
      </c>
      <c r="E1203" s="1" t="n">
        <v>12.31</v>
      </c>
      <c r="F1203" s="1" t="n">
        <f aca="false">4/6</f>
        <v>0.666666666666667</v>
      </c>
    </row>
    <row collapsed="false" customFormat="false" customHeight="false" hidden="false" ht="14.75" outlineLevel="0" r="1204">
      <c r="A1204" s="1" t="s">
        <v>1022</v>
      </c>
      <c r="B1204" s="1" t="s">
        <v>1004</v>
      </c>
      <c r="C1204" s="1" t="s">
        <v>995</v>
      </c>
      <c r="D1204" s="1" t="n">
        <v>170</v>
      </c>
      <c r="E1204" s="1" t="n">
        <v>19.02</v>
      </c>
      <c r="F1204" s="1" t="s">
        <v>9</v>
      </c>
    </row>
    <row collapsed="false" customFormat="false" customHeight="false" hidden="false" ht="14.75" outlineLevel="0" r="1205">
      <c r="A1205" s="1" t="s">
        <v>1023</v>
      </c>
      <c r="B1205" s="1" t="s">
        <v>1004</v>
      </c>
      <c r="C1205" s="1" t="s">
        <v>995</v>
      </c>
      <c r="D1205" s="1" t="n">
        <v>304.3</v>
      </c>
      <c r="E1205" s="1" t="n">
        <v>21.79</v>
      </c>
      <c r="F1205" s="1" t="s">
        <v>9</v>
      </c>
    </row>
    <row collapsed="false" customFormat="false" customHeight="false" hidden="false" ht="14.75" outlineLevel="0" r="1206">
      <c r="A1206" s="1" t="s">
        <v>881</v>
      </c>
      <c r="B1206" s="1" t="s">
        <v>1007</v>
      </c>
      <c r="C1206" s="1" t="s">
        <v>995</v>
      </c>
      <c r="D1206" s="1" t="n">
        <v>163.3</v>
      </c>
      <c r="E1206" s="1" t="n">
        <v>12.56</v>
      </c>
      <c r="F1206" s="1" t="n">
        <f aca="false">7/8</f>
        <v>0.875</v>
      </c>
    </row>
    <row collapsed="false" customFormat="false" customHeight="false" hidden="false" ht="14.75" outlineLevel="0" r="1207">
      <c r="A1207" s="1" t="s">
        <v>1024</v>
      </c>
      <c r="B1207" s="1" t="s">
        <v>994</v>
      </c>
      <c r="C1207" s="1" t="s">
        <v>995</v>
      </c>
      <c r="D1207" s="1" t="n">
        <v>370.5</v>
      </c>
      <c r="E1207" s="1" t="n">
        <v>21.39</v>
      </c>
      <c r="F1207" s="1" t="n">
        <v>3.3</v>
      </c>
    </row>
    <row collapsed="false" customFormat="false" customHeight="false" hidden="false" ht="14.75" outlineLevel="0" r="1208">
      <c r="A1208" s="1" t="s">
        <v>1025</v>
      </c>
      <c r="B1208" s="1" t="s">
        <v>994</v>
      </c>
      <c r="C1208" s="1" t="s">
        <v>995</v>
      </c>
      <c r="D1208" s="1" t="n">
        <v>356.5</v>
      </c>
      <c r="E1208" s="1" t="n">
        <v>21.31</v>
      </c>
      <c r="F1208" s="1" t="n">
        <v>3.4</v>
      </c>
    </row>
    <row collapsed="false" customFormat="false" customHeight="false" hidden="false" ht="14.75" outlineLevel="0" r="1209">
      <c r="A1209" s="1" t="s">
        <v>1026</v>
      </c>
      <c r="B1209" s="1" t="s">
        <v>994</v>
      </c>
      <c r="C1209" s="1" t="s">
        <v>995</v>
      </c>
      <c r="D1209" s="1" t="n">
        <v>177</v>
      </c>
      <c r="E1209" s="1" t="n">
        <v>15.21</v>
      </c>
      <c r="F1209" s="1" t="n">
        <v>2.2</v>
      </c>
    </row>
    <row collapsed="false" customFormat="false" customHeight="false" hidden="false" ht="14.75" outlineLevel="0" r="1210">
      <c r="A1210" s="1" t="s">
        <v>1027</v>
      </c>
      <c r="B1210" s="1" t="s">
        <v>994</v>
      </c>
      <c r="C1210" s="1" t="s">
        <v>995</v>
      </c>
      <c r="D1210" s="1" t="n">
        <v>106</v>
      </c>
      <c r="E1210" s="1" t="n">
        <v>11.49</v>
      </c>
      <c r="F1210" s="1" t="n">
        <v>0.7</v>
      </c>
    </row>
    <row collapsed="false" customFormat="false" customHeight="false" hidden="false" ht="14.75" outlineLevel="0" r="1211">
      <c r="A1211" s="1" t="s">
        <v>1028</v>
      </c>
      <c r="B1211" s="1" t="s">
        <v>994</v>
      </c>
      <c r="C1211" s="1" t="s">
        <v>995</v>
      </c>
      <c r="D1211" s="1" t="n">
        <v>131</v>
      </c>
      <c r="E1211" s="1" t="n">
        <v>11.11</v>
      </c>
      <c r="F1211" s="1" t="n">
        <v>1</v>
      </c>
    </row>
    <row collapsed="false" customFormat="false" customHeight="false" hidden="false" ht="14.75" outlineLevel="0" r="1212">
      <c r="A1212" s="1" t="s">
        <v>1029</v>
      </c>
      <c r="B1212" s="1" t="s">
        <v>994</v>
      </c>
      <c r="C1212" s="1" t="s">
        <v>995</v>
      </c>
      <c r="D1212" s="1" t="n">
        <v>101.5</v>
      </c>
      <c r="E1212" s="1" t="n">
        <v>10.2</v>
      </c>
      <c r="F1212" s="1" t="n">
        <v>0.6</v>
      </c>
    </row>
    <row collapsed="false" customFormat="false" customHeight="false" hidden="false" ht="14.75" outlineLevel="0" r="1213">
      <c r="A1213" s="1" t="s">
        <v>1030</v>
      </c>
      <c r="B1213" s="1" t="s">
        <v>997</v>
      </c>
      <c r="C1213" s="1" t="s">
        <v>995</v>
      </c>
      <c r="D1213" s="1" t="n">
        <v>260</v>
      </c>
      <c r="E1213" s="1" t="n">
        <v>19.73</v>
      </c>
      <c r="F1213" s="1" t="n">
        <f aca="false">21/9</f>
        <v>2.33333333333333</v>
      </c>
    </row>
    <row collapsed="false" customFormat="false" customHeight="false" hidden="false" ht="14.75" outlineLevel="0" r="1214">
      <c r="A1214" s="1" t="s">
        <v>883</v>
      </c>
      <c r="B1214" s="1" t="s">
        <v>997</v>
      </c>
      <c r="C1214" s="1" t="s">
        <v>995</v>
      </c>
      <c r="D1214" s="1" t="n">
        <v>146.9</v>
      </c>
      <c r="E1214" s="1" t="n">
        <v>14</v>
      </c>
      <c r="F1214" s="1" t="n">
        <f aca="false">4/7</f>
        <v>0.571428571428571</v>
      </c>
    </row>
    <row collapsed="false" customFormat="false" customHeight="false" hidden="false" ht="14.75" outlineLevel="0" r="1215">
      <c r="A1215" s="1" t="s">
        <v>884</v>
      </c>
      <c r="B1215" s="1" t="s">
        <v>997</v>
      </c>
      <c r="C1215" s="1" t="s">
        <v>995</v>
      </c>
      <c r="D1215" s="1" t="n">
        <v>163.6</v>
      </c>
      <c r="E1215" s="1" t="n">
        <v>14.12</v>
      </c>
      <c r="F1215" s="1" t="n">
        <f aca="false">10/7</f>
        <v>1.42857142857143</v>
      </c>
    </row>
    <row collapsed="false" customFormat="false" customHeight="false" hidden="false" ht="14.75" outlineLevel="0" r="1216">
      <c r="A1216" s="1" t="s">
        <v>1031</v>
      </c>
      <c r="B1216" s="1" t="s">
        <v>994</v>
      </c>
      <c r="C1216" s="1" t="s">
        <v>995</v>
      </c>
      <c r="D1216" s="1" t="n">
        <v>326.1</v>
      </c>
      <c r="E1216" s="1" t="n">
        <v>19.49</v>
      </c>
      <c r="F1216" s="1" t="n">
        <v>3</v>
      </c>
    </row>
    <row collapsed="false" customFormat="false" customHeight="false" hidden="false" ht="14.75" outlineLevel="0" r="1217">
      <c r="A1217" s="1" t="s">
        <v>1032</v>
      </c>
      <c r="B1217" s="1" t="s">
        <v>1004</v>
      </c>
      <c r="C1217" s="1" t="s">
        <v>995</v>
      </c>
      <c r="D1217" s="1" t="n">
        <v>320</v>
      </c>
      <c r="E1217" s="1" t="n">
        <v>19.47</v>
      </c>
      <c r="F1217" s="1" t="s">
        <v>9</v>
      </c>
    </row>
    <row collapsed="false" customFormat="false" customHeight="false" hidden="false" ht="14.75" outlineLevel="0" r="1218">
      <c r="A1218" s="1" t="s">
        <v>1033</v>
      </c>
      <c r="B1218" s="1" t="s">
        <v>997</v>
      </c>
      <c r="C1218" s="1" t="s">
        <v>995</v>
      </c>
      <c r="D1218" s="1" t="n">
        <v>152.4</v>
      </c>
      <c r="E1218" s="1" t="n">
        <v>12.98</v>
      </c>
      <c r="F1218" s="1" t="n">
        <f aca="false">9/7</f>
        <v>1.28571428571429</v>
      </c>
    </row>
    <row collapsed="false" customFormat="false" customHeight="false" hidden="false" ht="14.75" outlineLevel="0" r="1219">
      <c r="A1219" s="1" t="s">
        <v>1034</v>
      </c>
      <c r="B1219" s="1" t="s">
        <v>1007</v>
      </c>
      <c r="C1219" s="1" t="s">
        <v>995</v>
      </c>
      <c r="D1219" s="1" t="n">
        <v>171.7</v>
      </c>
      <c r="E1219" s="1" t="n">
        <v>12.89</v>
      </c>
      <c r="F1219" s="1" t="n">
        <f aca="false">4/9</f>
        <v>0.444444444444444</v>
      </c>
    </row>
    <row collapsed="false" customFormat="false" customHeight="false" hidden="false" ht="14.75" outlineLevel="0" r="1220">
      <c r="A1220" s="1" t="s">
        <v>1035</v>
      </c>
      <c r="B1220" s="1" t="s">
        <v>1007</v>
      </c>
      <c r="C1220" s="1" t="s">
        <v>995</v>
      </c>
      <c r="D1220" s="1" t="n">
        <v>194.2</v>
      </c>
      <c r="E1220" s="1" t="n">
        <v>13.1</v>
      </c>
      <c r="F1220" s="1" t="n">
        <f aca="false">7/8</f>
        <v>0.875</v>
      </c>
    </row>
    <row collapsed="false" customFormat="false" customHeight="false" hidden="false" ht="14.75" outlineLevel="0" r="1221">
      <c r="A1221" s="1" t="s">
        <v>1036</v>
      </c>
      <c r="B1221" s="1" t="s">
        <v>1001</v>
      </c>
      <c r="C1221" s="1" t="s">
        <v>995</v>
      </c>
      <c r="D1221" s="1" t="n">
        <v>306.7</v>
      </c>
      <c r="E1221" s="1" t="n">
        <v>16.49</v>
      </c>
      <c r="F1221" s="1" t="n">
        <f aca="false">17/9</f>
        <v>1.88888888888889</v>
      </c>
    </row>
    <row collapsed="false" customFormat="false" customHeight="false" hidden="false" ht="14.75" outlineLevel="0" r="1222">
      <c r="A1222" s="1" t="s">
        <v>1037</v>
      </c>
      <c r="B1222" s="1" t="s">
        <v>1001</v>
      </c>
      <c r="C1222" s="1" t="s">
        <v>995</v>
      </c>
      <c r="D1222" s="1" t="n">
        <v>214.5</v>
      </c>
      <c r="E1222" s="1" t="n">
        <v>13.67</v>
      </c>
      <c r="F1222" s="1" t="n">
        <v>1.5</v>
      </c>
    </row>
    <row collapsed="false" customFormat="false" customHeight="false" hidden="false" ht="14.75" outlineLevel="0" r="1223">
      <c r="A1223" s="1" t="s">
        <v>1038</v>
      </c>
      <c r="B1223" s="1" t="s">
        <v>1001</v>
      </c>
      <c r="C1223" s="1" t="s">
        <v>995</v>
      </c>
      <c r="D1223" s="1" t="n">
        <v>48.8</v>
      </c>
      <c r="E1223" s="1" t="n">
        <v>5</v>
      </c>
      <c r="F1223" s="1" t="n">
        <f aca="false">1/8</f>
        <v>0.125</v>
      </c>
    </row>
    <row collapsed="false" customFormat="false" customHeight="false" hidden="false" ht="14.75" outlineLevel="0" r="1224">
      <c r="A1224" s="1" t="s">
        <v>1039</v>
      </c>
      <c r="B1224" s="1" t="s">
        <v>1001</v>
      </c>
      <c r="C1224" s="1" t="s">
        <v>995</v>
      </c>
      <c r="D1224" s="1" t="n">
        <v>70</v>
      </c>
      <c r="E1224" s="1" t="n">
        <v>7.5</v>
      </c>
      <c r="F1224" s="1" t="n">
        <f aca="false">2/9</f>
        <v>0.222222222222222</v>
      </c>
    </row>
    <row collapsed="false" customFormat="false" customHeight="false" hidden="false" ht="14.75" outlineLevel="0" r="1225">
      <c r="A1225" s="1" t="s">
        <v>1040</v>
      </c>
      <c r="B1225" s="1" t="s">
        <v>994</v>
      </c>
      <c r="C1225" s="1" t="s">
        <v>995</v>
      </c>
      <c r="D1225" s="1" t="n">
        <v>253.5</v>
      </c>
      <c r="E1225" s="1" t="n">
        <v>18.86</v>
      </c>
      <c r="F1225" s="1" t="n">
        <v>2.1</v>
      </c>
    </row>
    <row collapsed="false" customFormat="false" customHeight="false" hidden="false" ht="14.75" outlineLevel="0" r="1226">
      <c r="A1226" s="1" t="s">
        <v>1041</v>
      </c>
      <c r="B1226" s="1" t="s">
        <v>1005</v>
      </c>
      <c r="C1226" s="1" t="s">
        <v>995</v>
      </c>
      <c r="D1226" s="1" t="n">
        <v>267.9</v>
      </c>
      <c r="E1226" s="1" t="n">
        <v>17.25</v>
      </c>
      <c r="F1226" s="1" t="n">
        <f aca="false">14/7</f>
        <v>2</v>
      </c>
    </row>
    <row collapsed="false" customFormat="false" customHeight="false" hidden="false" ht="14.75" outlineLevel="0" r="1227">
      <c r="A1227" s="1" t="s">
        <v>1042</v>
      </c>
      <c r="B1227" s="1" t="s">
        <v>1005</v>
      </c>
      <c r="C1227" s="1" t="s">
        <v>995</v>
      </c>
      <c r="D1227" s="1" t="n">
        <v>348.3</v>
      </c>
      <c r="E1227" s="1" t="n">
        <v>19.52</v>
      </c>
      <c r="F1227" s="1" t="n">
        <f aca="false">34/9</f>
        <v>3.77777777777778</v>
      </c>
    </row>
    <row collapsed="false" customFormat="false" customHeight="false" hidden="false" ht="14.75" outlineLevel="0" r="1228">
      <c r="A1228" s="1" t="s">
        <v>1043</v>
      </c>
      <c r="B1228" s="1" t="s">
        <v>1005</v>
      </c>
      <c r="C1228" s="1" t="s">
        <v>995</v>
      </c>
      <c r="D1228" s="1" t="n">
        <v>140</v>
      </c>
      <c r="E1228" s="1" t="n">
        <v>11.15</v>
      </c>
      <c r="F1228" s="1" t="n">
        <f aca="false">4/6</f>
        <v>0.666666666666667</v>
      </c>
    </row>
    <row collapsed="false" customFormat="false" customHeight="false" hidden="false" ht="14.75" outlineLevel="0" r="1229">
      <c r="A1229" s="1" t="s">
        <v>147</v>
      </c>
      <c r="B1229" s="1" t="s">
        <v>1005</v>
      </c>
      <c r="C1229" s="1" t="s">
        <v>995</v>
      </c>
      <c r="D1229" s="1" t="n">
        <v>188.6</v>
      </c>
      <c r="E1229" s="1" t="n">
        <v>15</v>
      </c>
      <c r="F1229" s="1" t="n">
        <f aca="false">9/7</f>
        <v>1.28571428571429</v>
      </c>
    </row>
    <row collapsed="false" customFormat="false" customHeight="false" hidden="false" ht="14.75" outlineLevel="0" r="1230">
      <c r="A1230" s="1" t="s">
        <v>148</v>
      </c>
      <c r="B1230" s="1" t="s">
        <v>1005</v>
      </c>
      <c r="C1230" s="1" t="s">
        <v>995</v>
      </c>
      <c r="D1230" s="1" t="n">
        <v>158.3</v>
      </c>
      <c r="E1230" s="1" t="n">
        <v>16.57</v>
      </c>
      <c r="F1230" s="1" t="n">
        <f aca="false">7/6</f>
        <v>1.16666666666667</v>
      </c>
    </row>
    <row collapsed="false" customFormat="false" customHeight="false" hidden="false" ht="14.75" outlineLevel="0" r="1231">
      <c r="A1231" s="1" t="s">
        <v>1044</v>
      </c>
      <c r="B1231" s="1" t="s">
        <v>1005</v>
      </c>
      <c r="C1231" s="1" t="s">
        <v>995</v>
      </c>
      <c r="D1231" s="1" t="n">
        <v>401.7</v>
      </c>
      <c r="E1231" s="1" t="n">
        <v>19.66</v>
      </c>
      <c r="F1231" s="1" t="n">
        <f aca="false">46/9</f>
        <v>5.11111111111111</v>
      </c>
    </row>
    <row collapsed="false" customFormat="false" customHeight="false" hidden="false" ht="14.75" outlineLevel="0" r="1232">
      <c r="A1232" s="1" t="s">
        <v>1045</v>
      </c>
      <c r="B1232" s="1" t="s">
        <v>1005</v>
      </c>
      <c r="C1232" s="1" t="s">
        <v>995</v>
      </c>
      <c r="D1232" s="1" t="n">
        <v>195</v>
      </c>
      <c r="E1232" s="1" t="n">
        <v>12.92</v>
      </c>
      <c r="F1232" s="1" t="n">
        <f aca="false">12/9</f>
        <v>1.33333333333333</v>
      </c>
    </row>
    <row collapsed="false" customFormat="false" customHeight="false" hidden="false" ht="14.75" outlineLevel="0" r="1233">
      <c r="A1233" s="1" t="s">
        <v>908</v>
      </c>
      <c r="B1233" s="1" t="s">
        <v>997</v>
      </c>
      <c r="C1233" s="1" t="s">
        <v>995</v>
      </c>
      <c r="D1233" s="1" t="n">
        <v>246.7</v>
      </c>
      <c r="E1233" s="1" t="n">
        <v>16.43</v>
      </c>
      <c r="F1233" s="1" t="n">
        <f aca="false">24/9</f>
        <v>2.66666666666667</v>
      </c>
    </row>
    <row collapsed="false" customFormat="false" customHeight="false" hidden="false" ht="14.75" outlineLevel="0" r="1234">
      <c r="A1234" s="1" t="s">
        <v>909</v>
      </c>
      <c r="B1234" s="1" t="s">
        <v>997</v>
      </c>
      <c r="C1234" s="1" t="s">
        <v>995</v>
      </c>
      <c r="D1234" s="1" t="n">
        <v>126.5</v>
      </c>
      <c r="E1234" s="1" t="n">
        <v>10.47</v>
      </c>
      <c r="F1234" s="1" t="n">
        <v>1</v>
      </c>
    </row>
    <row collapsed="false" customFormat="false" customHeight="false" hidden="false" ht="14.75" outlineLevel="0" r="1235">
      <c r="A1235" s="1" t="s">
        <v>910</v>
      </c>
      <c r="B1235" s="1" t="s">
        <v>997</v>
      </c>
      <c r="C1235" s="1" t="s">
        <v>995</v>
      </c>
      <c r="D1235" s="1" t="n">
        <v>135.1</v>
      </c>
      <c r="E1235" s="1" t="n">
        <v>11.43</v>
      </c>
      <c r="F1235" s="1" t="n">
        <f aca="false">2/7</f>
        <v>0.285714285714286</v>
      </c>
    </row>
    <row collapsed="false" customFormat="false" customHeight="false" hidden="false" ht="14.75" outlineLevel="0" r="1236">
      <c r="A1236" s="1" t="s">
        <v>1046</v>
      </c>
      <c r="B1236" s="1" t="s">
        <v>997</v>
      </c>
      <c r="C1236" s="1" t="s">
        <v>995</v>
      </c>
      <c r="D1236" s="1" t="n">
        <v>325.3</v>
      </c>
      <c r="E1236" s="1" t="n">
        <v>20.23</v>
      </c>
      <c r="F1236" s="1" t="n">
        <f aca="false">47/11</f>
        <v>4.27272727272727</v>
      </c>
    </row>
    <row collapsed="false" customFormat="false" customHeight="false" hidden="false" ht="14.75" outlineLevel="0" r="1237">
      <c r="A1237" s="1" t="s">
        <v>1047</v>
      </c>
      <c r="B1237" s="1" t="s">
        <v>997</v>
      </c>
      <c r="C1237" s="1" t="s">
        <v>995</v>
      </c>
      <c r="D1237" s="1" t="n">
        <v>301.8</v>
      </c>
      <c r="E1237" s="1" t="n">
        <v>17</v>
      </c>
      <c r="F1237" s="1" t="n">
        <f aca="false">28/8</f>
        <v>3.5</v>
      </c>
    </row>
    <row collapsed="false" customFormat="false" customHeight="false" hidden="false" ht="14.75" outlineLevel="0" r="1238">
      <c r="A1238" s="1" t="s">
        <v>1048</v>
      </c>
      <c r="B1238" s="1" t="s">
        <v>997</v>
      </c>
      <c r="C1238" s="1" t="s">
        <v>995</v>
      </c>
      <c r="D1238" s="1" t="n">
        <v>76.2</v>
      </c>
      <c r="E1238" s="1" t="n">
        <v>10</v>
      </c>
      <c r="F1238" s="1" t="n">
        <f aca="false">3/7</f>
        <v>0.428571428571429</v>
      </c>
    </row>
    <row collapsed="false" customFormat="false" customHeight="false" hidden="false" ht="14.75" outlineLevel="0" r="1239">
      <c r="A1239" s="1" t="s">
        <v>365</v>
      </c>
      <c r="B1239" s="1" t="s">
        <v>1005</v>
      </c>
      <c r="C1239" s="1" t="s">
        <v>995</v>
      </c>
      <c r="D1239" s="1" t="n">
        <v>255.7</v>
      </c>
      <c r="E1239" s="1" t="n">
        <v>17.15</v>
      </c>
      <c r="F1239" s="1" t="n">
        <f aca="false">25/7</f>
        <v>3.57142857142857</v>
      </c>
    </row>
    <row collapsed="false" customFormat="false" customHeight="false" hidden="false" ht="14.75" outlineLevel="0" r="1240">
      <c r="A1240" s="1" t="s">
        <v>1049</v>
      </c>
      <c r="B1240" s="1" t="s">
        <v>1004</v>
      </c>
      <c r="C1240" s="1" t="s">
        <v>995</v>
      </c>
      <c r="D1240" s="1" t="n">
        <v>230</v>
      </c>
      <c r="E1240" s="1" t="n">
        <v>14.77</v>
      </c>
      <c r="F1240" s="1" t="s">
        <v>9</v>
      </c>
    </row>
    <row collapsed="false" customFormat="false" customHeight="false" hidden="false" ht="14.75" outlineLevel="0" r="1241">
      <c r="A1241" s="1" t="s">
        <v>266</v>
      </c>
      <c r="B1241" s="1" t="s">
        <v>999</v>
      </c>
      <c r="C1241" s="1" t="s">
        <v>995</v>
      </c>
      <c r="D1241" s="1" t="n">
        <v>451</v>
      </c>
      <c r="E1241" s="1" t="n">
        <v>25.09</v>
      </c>
      <c r="F1241" s="1" t="n">
        <f aca="false">72/8</f>
        <v>9</v>
      </c>
    </row>
    <row collapsed="false" customFormat="false" customHeight="false" hidden="false" ht="14.75" outlineLevel="0" r="1242">
      <c r="A1242" s="1" t="s">
        <v>267</v>
      </c>
      <c r="B1242" s="1" t="s">
        <v>999</v>
      </c>
      <c r="C1242" s="1" t="s">
        <v>995</v>
      </c>
      <c r="D1242" s="1" t="n">
        <v>259.7</v>
      </c>
      <c r="E1242" s="1" t="n">
        <v>18.52</v>
      </c>
      <c r="F1242" s="1" t="n">
        <f aca="false">23/6</f>
        <v>3.83333333333333</v>
      </c>
    </row>
    <row collapsed="false" customFormat="false" customHeight="false" hidden="false" ht="14.75" outlineLevel="0" r="1243">
      <c r="A1243" s="1" t="s">
        <v>1050</v>
      </c>
      <c r="B1243" s="1" t="s">
        <v>1001</v>
      </c>
      <c r="C1243" s="1" t="s">
        <v>995</v>
      </c>
      <c r="D1243" s="1" t="n">
        <v>123.3</v>
      </c>
      <c r="E1243" s="1" t="n">
        <v>11.35</v>
      </c>
      <c r="F1243" s="1" t="n">
        <f aca="false">4/9</f>
        <v>0.444444444444444</v>
      </c>
    </row>
    <row collapsed="false" customFormat="false" customHeight="false" hidden="false" ht="14.75" outlineLevel="0" r="1244">
      <c r="A1244" s="1" t="s">
        <v>1051</v>
      </c>
      <c r="B1244" s="1" t="s">
        <v>1001</v>
      </c>
      <c r="C1244" s="1" t="s">
        <v>995</v>
      </c>
      <c r="D1244" s="1" t="n">
        <v>123.5</v>
      </c>
      <c r="E1244" s="1" t="n">
        <v>10.85</v>
      </c>
      <c r="F1244" s="1" t="n">
        <v>0.5</v>
      </c>
    </row>
    <row collapsed="false" customFormat="false" customHeight="false" hidden="false" ht="14.75" outlineLevel="0" r="1245">
      <c r="A1245" s="1" t="s">
        <v>1052</v>
      </c>
      <c r="B1245" s="1" t="s">
        <v>1001</v>
      </c>
      <c r="C1245" s="1" t="s">
        <v>995</v>
      </c>
      <c r="D1245" s="1" t="n">
        <v>230.5</v>
      </c>
      <c r="E1245" s="1" t="n">
        <v>14.95</v>
      </c>
      <c r="F1245" s="1" t="n">
        <v>1.6</v>
      </c>
    </row>
    <row collapsed="false" customFormat="false" customHeight="false" hidden="false" ht="14.75" outlineLevel="0" r="1246">
      <c r="A1246" s="1" t="s">
        <v>1053</v>
      </c>
      <c r="B1246" s="1" t="s">
        <v>1001</v>
      </c>
      <c r="C1246" s="1" t="s">
        <v>995</v>
      </c>
      <c r="D1246" s="1" t="n">
        <v>131.1</v>
      </c>
      <c r="E1246" s="1" t="n">
        <v>10.91</v>
      </c>
      <c r="F1246" s="1" t="n">
        <f aca="false">8/9</f>
        <v>0.888888888888889</v>
      </c>
    </row>
    <row collapsed="false" customFormat="false" customHeight="false" hidden="false" ht="14.75" outlineLevel="0" r="1247">
      <c r="A1247" s="1" t="s">
        <v>1054</v>
      </c>
      <c r="B1247" s="1" t="s">
        <v>1001</v>
      </c>
      <c r="C1247" s="1" t="s">
        <v>995</v>
      </c>
      <c r="D1247" s="1" t="n">
        <v>61.1</v>
      </c>
      <c r="E1247" s="1" t="n">
        <v>5.88</v>
      </c>
      <c r="F1247" s="1" t="n">
        <f aca="false">2/9</f>
        <v>0.222222222222222</v>
      </c>
    </row>
    <row collapsed="false" customFormat="false" customHeight="false" hidden="false" ht="14.75" outlineLevel="0" r="1248">
      <c r="A1248" s="1" t="s">
        <v>1055</v>
      </c>
      <c r="B1248" s="1" t="s">
        <v>999</v>
      </c>
      <c r="C1248" s="1" t="s">
        <v>995</v>
      </c>
      <c r="D1248" s="1" t="n">
        <v>220.8</v>
      </c>
      <c r="E1248" s="1" t="n">
        <v>16.75</v>
      </c>
      <c r="F1248" s="1" t="n">
        <f aca="false">19/6</f>
        <v>3.16666666666667</v>
      </c>
    </row>
    <row collapsed="false" customFormat="false" customHeight="false" hidden="false" ht="14.75" outlineLevel="0" r="1249">
      <c r="A1249" s="1" t="s">
        <v>1056</v>
      </c>
      <c r="B1249" s="1" t="s">
        <v>999</v>
      </c>
      <c r="C1249" s="1" t="s">
        <v>995</v>
      </c>
      <c r="D1249" s="1" t="n">
        <v>70.1</v>
      </c>
      <c r="E1249" s="1" t="n">
        <v>6.83</v>
      </c>
      <c r="F1249" s="1" t="n">
        <f aca="false">5/6</f>
        <v>0.833333333333333</v>
      </c>
    </row>
    <row collapsed="false" customFormat="false" customHeight="false" hidden="false" ht="14.75" outlineLevel="0" r="1250">
      <c r="A1250" s="1" t="s">
        <v>1057</v>
      </c>
      <c r="B1250" s="1" t="s">
        <v>1007</v>
      </c>
      <c r="C1250" s="1" t="s">
        <v>995</v>
      </c>
      <c r="D1250" s="1" t="n">
        <v>52.5</v>
      </c>
      <c r="E1250" s="1" t="n">
        <v>8.82</v>
      </c>
      <c r="F1250" s="1" t="n">
        <v>0</v>
      </c>
    </row>
    <row collapsed="false" customFormat="false" customHeight="false" hidden="false" ht="14.75" outlineLevel="0" r="1251">
      <c r="A1251" s="1" t="s">
        <v>1058</v>
      </c>
      <c r="B1251" s="1" t="s">
        <v>1004</v>
      </c>
      <c r="C1251" s="1" t="s">
        <v>995</v>
      </c>
      <c r="D1251" s="1" t="n">
        <v>280</v>
      </c>
      <c r="E1251" s="1" t="n">
        <v>21.61</v>
      </c>
      <c r="F1251" s="1" t="s">
        <v>9</v>
      </c>
    </row>
    <row collapsed="false" customFormat="false" customHeight="false" hidden="false" ht="14.75" outlineLevel="0" r="1252">
      <c r="A1252" s="1" t="s">
        <v>1059</v>
      </c>
      <c r="B1252" s="1" t="s">
        <v>1004</v>
      </c>
      <c r="C1252" s="1" t="s">
        <v>995</v>
      </c>
      <c r="D1252" s="1" t="n">
        <v>190</v>
      </c>
      <c r="E1252" s="1" t="n">
        <v>18.91</v>
      </c>
      <c r="F1252" s="1" t="s">
        <v>9</v>
      </c>
    </row>
    <row collapsed="false" customFormat="false" customHeight="false" hidden="false" ht="14.75" outlineLevel="0" r="1253">
      <c r="A1253" s="1" t="s">
        <v>1060</v>
      </c>
      <c r="B1253" s="1" t="s">
        <v>997</v>
      </c>
      <c r="C1253" s="1" t="s">
        <v>995</v>
      </c>
      <c r="D1253" s="1" t="n">
        <v>277.2</v>
      </c>
      <c r="E1253" s="1" t="n">
        <v>19.21</v>
      </c>
      <c r="F1253" s="1" t="n">
        <f aca="false">21/8</f>
        <v>2.625</v>
      </c>
    </row>
    <row collapsed="false" customFormat="false" customHeight="false" hidden="false" ht="14.75" outlineLevel="0" r="1254">
      <c r="A1254" s="1" t="s">
        <v>1061</v>
      </c>
      <c r="B1254" s="1" t="s">
        <v>997</v>
      </c>
      <c r="C1254" s="1" t="s">
        <v>995</v>
      </c>
      <c r="D1254" s="1" t="n">
        <v>198.7</v>
      </c>
      <c r="E1254" s="1" t="n">
        <v>13.44</v>
      </c>
      <c r="F1254" s="1" t="n">
        <f aca="false">15/8</f>
        <v>1.875</v>
      </c>
    </row>
    <row collapsed="false" customFormat="false" customHeight="false" hidden="false" ht="14.75" outlineLevel="0" r="1255">
      <c r="A1255" s="1" t="s">
        <v>1062</v>
      </c>
      <c r="B1255" s="1" t="s">
        <v>997</v>
      </c>
      <c r="C1255" s="1" t="s">
        <v>995</v>
      </c>
      <c r="D1255" s="1" t="n">
        <v>126.8</v>
      </c>
      <c r="E1255" s="1" t="n">
        <v>13.17</v>
      </c>
      <c r="F1255" s="1" t="n">
        <f aca="false">5/7</f>
        <v>0.714285714285714</v>
      </c>
    </row>
    <row collapsed="false" customFormat="false" customHeight="false" hidden="false" ht="14.75" outlineLevel="0" r="1256">
      <c r="A1256" s="1" t="s">
        <v>1063</v>
      </c>
      <c r="B1256" s="1" t="s">
        <v>999</v>
      </c>
      <c r="C1256" s="1" t="s">
        <v>995</v>
      </c>
      <c r="D1256" s="1" t="n">
        <v>116.7</v>
      </c>
      <c r="E1256" s="1" t="n">
        <v>14.15</v>
      </c>
      <c r="F1256" s="1" t="n">
        <f aca="false">3/7</f>
        <v>0.428571428571429</v>
      </c>
    </row>
    <row collapsed="false" customFormat="false" customHeight="false" hidden="false" ht="14.75" outlineLevel="0" r="1257">
      <c r="A1257" s="1" t="s">
        <v>1064</v>
      </c>
      <c r="B1257" s="1" t="s">
        <v>1004</v>
      </c>
      <c r="C1257" s="1" t="s">
        <v>995</v>
      </c>
      <c r="D1257" s="1" t="n">
        <v>154.3</v>
      </c>
      <c r="E1257" s="1" t="n">
        <v>14.55</v>
      </c>
      <c r="F1257" s="1" t="s">
        <v>9</v>
      </c>
    </row>
    <row collapsed="false" customFormat="false" customHeight="false" hidden="false" ht="14.75" outlineLevel="0" r="1258">
      <c r="A1258" s="1" t="s">
        <v>1065</v>
      </c>
      <c r="B1258" s="1" t="s">
        <v>1004</v>
      </c>
      <c r="C1258" s="1" t="s">
        <v>995</v>
      </c>
      <c r="D1258" s="1" t="n">
        <v>151.4</v>
      </c>
      <c r="E1258" s="1" t="n">
        <v>17.18</v>
      </c>
      <c r="F1258" s="1" t="s">
        <v>9</v>
      </c>
    </row>
    <row collapsed="false" customFormat="false" customHeight="false" hidden="false" ht="14.75" outlineLevel="0" r="1259">
      <c r="A1259" s="1" t="s">
        <v>1066</v>
      </c>
      <c r="B1259" s="1" t="s">
        <v>1004</v>
      </c>
      <c r="C1259" s="1" t="s">
        <v>995</v>
      </c>
      <c r="D1259" s="1" t="n">
        <v>207.1</v>
      </c>
      <c r="E1259" s="1" t="n">
        <v>16.85</v>
      </c>
      <c r="F1259" s="1" t="s">
        <v>9</v>
      </c>
    </row>
    <row collapsed="false" customFormat="false" customHeight="false" hidden="false" ht="14.75" outlineLevel="0" r="1260">
      <c r="A1260" s="1" t="s">
        <v>491</v>
      </c>
      <c r="B1260" s="1" t="s">
        <v>994</v>
      </c>
      <c r="C1260" s="1" t="s">
        <v>995</v>
      </c>
      <c r="D1260" s="1" t="n">
        <v>461.5</v>
      </c>
      <c r="E1260" s="1" t="n">
        <v>23.11</v>
      </c>
      <c r="F1260" s="1" t="n">
        <v>4</v>
      </c>
    </row>
    <row collapsed="false" customFormat="false" customHeight="false" hidden="false" ht="14.75" outlineLevel="0" r="1261">
      <c r="A1261" s="1" t="s">
        <v>1067</v>
      </c>
      <c r="B1261" s="1" t="s">
        <v>997</v>
      </c>
      <c r="C1261" s="1" t="s">
        <v>995</v>
      </c>
      <c r="D1261" s="1" t="n">
        <v>400.4</v>
      </c>
      <c r="E1261" s="1" t="n">
        <v>21.1</v>
      </c>
      <c r="F1261" s="1" t="n">
        <f aca="false">42/11</f>
        <v>3.81818181818182</v>
      </c>
    </row>
    <row collapsed="false" customFormat="false" customHeight="false" hidden="false" ht="14.75" outlineLevel="0" r="1262">
      <c r="A1262" s="1" t="s">
        <v>1068</v>
      </c>
      <c r="B1262" s="1" t="s">
        <v>997</v>
      </c>
      <c r="C1262" s="1" t="s">
        <v>995</v>
      </c>
      <c r="D1262" s="1" t="n">
        <v>97.4</v>
      </c>
      <c r="E1262" s="1" t="n">
        <v>9.47</v>
      </c>
      <c r="F1262" s="1" t="n">
        <f aca="false">5/7</f>
        <v>0.714285714285714</v>
      </c>
    </row>
    <row collapsed="false" customFormat="false" customHeight="false" hidden="false" ht="14.75" outlineLevel="0" r="1263">
      <c r="A1263" s="1" t="s">
        <v>1069</v>
      </c>
      <c r="B1263" s="1" t="s">
        <v>1007</v>
      </c>
      <c r="C1263" s="1" t="s">
        <v>995</v>
      </c>
      <c r="D1263" s="1" t="n">
        <v>265.8</v>
      </c>
      <c r="E1263" s="1" t="n">
        <v>16.07</v>
      </c>
      <c r="F1263" s="1" t="n">
        <f aca="false">11/9</f>
        <v>1.22222222222222</v>
      </c>
    </row>
    <row collapsed="false" customFormat="false" customHeight="false" hidden="false" ht="14.75" outlineLevel="0" r="1264">
      <c r="A1264" s="1" t="s">
        <v>1070</v>
      </c>
      <c r="B1264" s="1" t="s">
        <v>1001</v>
      </c>
      <c r="C1264" s="1" t="s">
        <v>995</v>
      </c>
      <c r="D1264" s="1" t="n">
        <v>228</v>
      </c>
      <c r="E1264" s="1" t="n">
        <v>15.71</v>
      </c>
      <c r="F1264" s="1" t="n">
        <v>1.2</v>
      </c>
    </row>
    <row collapsed="false" customFormat="false" customHeight="false" hidden="false" ht="14.75" outlineLevel="0" r="1265">
      <c r="A1265" s="1" t="s">
        <v>1071</v>
      </c>
      <c r="B1265" s="1" t="s">
        <v>1001</v>
      </c>
      <c r="C1265" s="1" t="s">
        <v>995</v>
      </c>
      <c r="D1265" s="1" t="n">
        <v>120.6</v>
      </c>
      <c r="E1265" s="1" t="n">
        <v>10.28</v>
      </c>
      <c r="F1265" s="1" t="n">
        <f aca="false">3/9</f>
        <v>0.333333333333333</v>
      </c>
    </row>
    <row collapsed="false" customFormat="false" customHeight="false" hidden="false" ht="14.75" outlineLevel="0" r="1266">
      <c r="A1266" s="1" t="s">
        <v>1072</v>
      </c>
      <c r="B1266" s="1" t="s">
        <v>1001</v>
      </c>
      <c r="C1266" s="1" t="s">
        <v>995</v>
      </c>
      <c r="D1266" s="1" t="n">
        <v>220.6</v>
      </c>
      <c r="E1266" s="1" t="n">
        <v>14.75</v>
      </c>
      <c r="F1266" s="1" t="n">
        <f aca="false">7/9</f>
        <v>0.777777777777778</v>
      </c>
    </row>
    <row collapsed="false" customFormat="false" customHeight="false" hidden="false" ht="14.75" outlineLevel="0" r="1267">
      <c r="A1267" s="1" t="s">
        <v>1073</v>
      </c>
      <c r="B1267" s="1" t="s">
        <v>1001</v>
      </c>
      <c r="C1267" s="1" t="s">
        <v>995</v>
      </c>
      <c r="D1267" s="1" t="n">
        <v>172</v>
      </c>
      <c r="E1267" s="1" t="n">
        <v>12.18</v>
      </c>
      <c r="F1267" s="1" t="n">
        <v>0.4</v>
      </c>
    </row>
    <row collapsed="false" customFormat="false" customHeight="false" hidden="false" ht="14.75" outlineLevel="0" r="1268">
      <c r="A1268" s="1" t="s">
        <v>1074</v>
      </c>
      <c r="B1268" s="1" t="s">
        <v>1001</v>
      </c>
      <c r="C1268" s="1" t="s">
        <v>995</v>
      </c>
      <c r="D1268" s="1" t="n">
        <v>79.4</v>
      </c>
      <c r="E1268" s="1" t="n">
        <v>8.25</v>
      </c>
      <c r="F1268" s="1" t="n">
        <v>0</v>
      </c>
    </row>
    <row collapsed="false" customFormat="false" customHeight="false" hidden="false" ht="14.75" outlineLevel="0" r="1269">
      <c r="A1269" s="1" t="s">
        <v>1075</v>
      </c>
      <c r="B1269" s="1" t="s">
        <v>1007</v>
      </c>
      <c r="C1269" s="1" t="s">
        <v>995</v>
      </c>
      <c r="D1269" s="1" t="n">
        <v>185.8</v>
      </c>
      <c r="E1269" s="1" t="n">
        <v>11.76</v>
      </c>
      <c r="F1269" s="1" t="n">
        <f aca="false">3/8</f>
        <v>0.375</v>
      </c>
    </row>
    <row collapsed="false" customFormat="false" customHeight="false" hidden="false" ht="14.75" outlineLevel="0" r="1270">
      <c r="A1270" s="1" t="s">
        <v>1076</v>
      </c>
      <c r="B1270" s="1" t="s">
        <v>1007</v>
      </c>
      <c r="C1270" s="1" t="s">
        <v>995</v>
      </c>
      <c r="D1270" s="1" t="n">
        <v>67.5</v>
      </c>
      <c r="E1270" s="1" t="n">
        <v>7.08</v>
      </c>
      <c r="F1270" s="1" t="n">
        <f aca="false">2/7</f>
        <v>0.285714285714286</v>
      </c>
    </row>
    <row collapsed="false" customFormat="false" customHeight="false" hidden="false" ht="14.75" outlineLevel="0" r="1271">
      <c r="A1271" s="1" t="s">
        <v>1077</v>
      </c>
      <c r="B1271" s="1" t="s">
        <v>1004</v>
      </c>
      <c r="C1271" s="1" t="s">
        <v>995</v>
      </c>
      <c r="D1271" s="1" t="n">
        <v>268.6</v>
      </c>
      <c r="E1271" s="1" t="n">
        <v>19.84</v>
      </c>
      <c r="F1271" s="1" t="s">
        <v>9</v>
      </c>
    </row>
    <row collapsed="false" customFormat="false" customHeight="false" hidden="false" ht="14.75" outlineLevel="0" r="1272">
      <c r="A1272" s="1" t="s">
        <v>1078</v>
      </c>
      <c r="B1272" s="1" t="s">
        <v>1004</v>
      </c>
      <c r="C1272" s="1" t="s">
        <v>995</v>
      </c>
      <c r="D1272" s="1" t="n">
        <v>110</v>
      </c>
      <c r="E1272" s="1" t="n">
        <v>15.67</v>
      </c>
      <c r="F1272" s="1" t="s">
        <v>9</v>
      </c>
    </row>
    <row collapsed="false" customFormat="false" customHeight="false" hidden="false" ht="14.75" outlineLevel="0" r="1273">
      <c r="A1273" s="1" t="s">
        <v>1079</v>
      </c>
      <c r="B1273" s="1" t="s">
        <v>994</v>
      </c>
      <c r="C1273" s="1" t="s">
        <v>995</v>
      </c>
      <c r="D1273" s="1" t="n">
        <v>257</v>
      </c>
      <c r="E1273" s="1" t="n">
        <v>17.86</v>
      </c>
      <c r="F1273" s="1" t="n">
        <v>2.1</v>
      </c>
    </row>
    <row collapsed="false" customFormat="false" customHeight="false" hidden="false" ht="14.75" outlineLevel="0" r="1274">
      <c r="A1274" s="1" t="s">
        <v>1080</v>
      </c>
      <c r="B1274" s="1" t="s">
        <v>1004</v>
      </c>
      <c r="C1274" s="1" t="s">
        <v>995</v>
      </c>
      <c r="D1274" s="1" t="n">
        <v>197.1</v>
      </c>
      <c r="E1274" s="1" t="n">
        <v>18.16</v>
      </c>
      <c r="F1274" s="1" t="s">
        <v>9</v>
      </c>
    </row>
    <row collapsed="false" customFormat="false" customHeight="false" hidden="false" ht="14.75" outlineLevel="0" r="1275">
      <c r="A1275" s="1" t="s">
        <v>972</v>
      </c>
      <c r="B1275" s="1" t="s">
        <v>1007</v>
      </c>
      <c r="C1275" s="1" t="s">
        <v>995</v>
      </c>
      <c r="D1275" s="1" t="n">
        <v>160.8</v>
      </c>
      <c r="E1275" s="1" t="n">
        <v>11.36</v>
      </c>
      <c r="F1275" s="1" t="n">
        <v>1</v>
      </c>
    </row>
    <row collapsed="false" customFormat="false" customHeight="false" hidden="false" ht="14.75" outlineLevel="0" r="1276">
      <c r="A1276" s="1" t="s">
        <v>1081</v>
      </c>
      <c r="B1276" s="1" t="s">
        <v>1005</v>
      </c>
      <c r="C1276" s="1" t="s">
        <v>995</v>
      </c>
      <c r="D1276" s="1" t="n">
        <v>168.3</v>
      </c>
      <c r="E1276" s="1" t="n">
        <v>13.93</v>
      </c>
      <c r="F1276" s="1" t="n">
        <f aca="false">5/6</f>
        <v>0.833333333333333</v>
      </c>
    </row>
    <row collapsed="false" customFormat="false" customHeight="false" hidden="false" ht="14.75" outlineLevel="0" r="1277">
      <c r="A1277" s="1" t="s">
        <v>1082</v>
      </c>
      <c r="B1277" s="1" t="s">
        <v>999</v>
      </c>
      <c r="C1277" s="1" t="s">
        <v>995</v>
      </c>
      <c r="D1277" s="1" t="n">
        <v>487</v>
      </c>
      <c r="E1277" s="1" t="n">
        <v>23.45</v>
      </c>
      <c r="F1277" s="1" t="n">
        <f aca="false">83/9</f>
        <v>9.22222222222222</v>
      </c>
    </row>
    <row collapsed="false" customFormat="false" customHeight="false" hidden="false" ht="14.75" outlineLevel="0" r="1278">
      <c r="A1278" s="1" t="s">
        <v>1083</v>
      </c>
      <c r="B1278" s="1" t="s">
        <v>999</v>
      </c>
      <c r="C1278" s="1" t="s">
        <v>995</v>
      </c>
      <c r="D1278" s="1" t="n">
        <v>192.5</v>
      </c>
      <c r="E1278" s="1" t="n">
        <v>15.57</v>
      </c>
      <c r="F1278" s="1" t="n">
        <v>2</v>
      </c>
    </row>
    <row collapsed="false" customFormat="false" customHeight="false" hidden="false" ht="14.75" outlineLevel="0" r="1279">
      <c r="A1279" s="1" t="s">
        <v>974</v>
      </c>
      <c r="B1279" s="1" t="s">
        <v>997</v>
      </c>
      <c r="C1279" s="1" t="s">
        <v>995</v>
      </c>
      <c r="D1279" s="1" t="n">
        <v>449.8</v>
      </c>
      <c r="E1279" s="1" t="n">
        <v>23.42</v>
      </c>
      <c r="F1279" s="1" t="n">
        <f aca="false">65/11</f>
        <v>5.90909090909091</v>
      </c>
    </row>
    <row collapsed="false" customFormat="false" customHeight="false" hidden="false" ht="14.75" outlineLevel="0" r="1280">
      <c r="A1280" s="1" t="s">
        <v>975</v>
      </c>
      <c r="B1280" s="1" t="s">
        <v>997</v>
      </c>
      <c r="C1280" s="1" t="s">
        <v>995</v>
      </c>
      <c r="D1280" s="1" t="n">
        <v>330.7</v>
      </c>
      <c r="E1280" s="1" t="n">
        <v>19.19</v>
      </c>
      <c r="F1280" s="1" t="n">
        <f aca="false">44/9</f>
        <v>4.88888888888889</v>
      </c>
    </row>
    <row collapsed="false" customFormat="false" customHeight="false" hidden="false" ht="14.75" outlineLevel="0" r="1281">
      <c r="A1281" s="1" t="s">
        <v>976</v>
      </c>
      <c r="B1281" s="1" t="s">
        <v>997</v>
      </c>
      <c r="C1281" s="1" t="s">
        <v>995</v>
      </c>
      <c r="D1281" s="1" t="n">
        <v>101.4</v>
      </c>
      <c r="E1281" s="1" t="n">
        <v>9</v>
      </c>
      <c r="F1281" s="1" t="n">
        <f aca="false">4/7</f>
        <v>0.571428571428571</v>
      </c>
    </row>
    <row collapsed="false" customFormat="false" customHeight="false" hidden="false" ht="14.75" outlineLevel="0" r="1282">
      <c r="A1282" s="1" t="s">
        <v>1084</v>
      </c>
      <c r="B1282" s="1" t="s">
        <v>997</v>
      </c>
      <c r="C1282" s="1" t="s">
        <v>995</v>
      </c>
      <c r="D1282" s="1" t="n">
        <v>57.9</v>
      </c>
      <c r="E1282" s="1" t="n">
        <v>5.22</v>
      </c>
      <c r="F1282" s="1" t="n">
        <f aca="false">3/7</f>
        <v>0.428571428571429</v>
      </c>
    </row>
    <row collapsed="false" customFormat="false" customHeight="false" hidden="false" ht="14.75" outlineLevel="0" r="1283">
      <c r="A1283" s="1" t="s">
        <v>1085</v>
      </c>
      <c r="B1283" s="1" t="s">
        <v>1004</v>
      </c>
      <c r="C1283" s="1" t="s">
        <v>995</v>
      </c>
      <c r="D1283" s="1" t="n">
        <v>154.3</v>
      </c>
      <c r="E1283" s="1" t="n">
        <v>14</v>
      </c>
      <c r="F1283" s="1" t="s">
        <v>9</v>
      </c>
    </row>
    <row collapsed="false" customFormat="false" customHeight="false" hidden="false" ht="14.75" outlineLevel="0" r="1284">
      <c r="A1284" s="1" t="s">
        <v>87</v>
      </c>
      <c r="B1284" s="1" t="s">
        <v>1086</v>
      </c>
      <c r="C1284" s="1" t="s">
        <v>1087</v>
      </c>
      <c r="D1284" s="1" t="n">
        <v>207.9</v>
      </c>
      <c r="E1284" s="1" t="n">
        <v>13.02</v>
      </c>
      <c r="F1284" s="1" t="n">
        <f aca="false">6/7</f>
        <v>0.857142857142857</v>
      </c>
    </row>
    <row collapsed="false" customFormat="false" customHeight="false" hidden="false" ht="14.75" outlineLevel="0" r="1285">
      <c r="A1285" s="1" t="s">
        <v>993</v>
      </c>
      <c r="B1285" s="1" t="s">
        <v>1086</v>
      </c>
      <c r="C1285" s="1" t="s">
        <v>1087</v>
      </c>
      <c r="D1285" s="1" t="n">
        <v>349.4</v>
      </c>
      <c r="E1285" s="1" t="n">
        <v>13.15</v>
      </c>
      <c r="F1285" s="1" t="n">
        <f aca="false">34/8</f>
        <v>4.25</v>
      </c>
    </row>
    <row collapsed="false" customFormat="false" customHeight="false" hidden="false" ht="14.75" outlineLevel="0" r="1286">
      <c r="A1286" s="1" t="s">
        <v>1088</v>
      </c>
      <c r="B1286" s="1" t="s">
        <v>1089</v>
      </c>
      <c r="C1286" s="1" t="s">
        <v>1087</v>
      </c>
      <c r="D1286" s="1" t="n">
        <v>285.8</v>
      </c>
      <c r="E1286" s="1" t="n">
        <v>17.76</v>
      </c>
      <c r="F1286" s="1" t="n">
        <f aca="false">35/12</f>
        <v>2.91666666666667</v>
      </c>
    </row>
    <row collapsed="false" customFormat="false" customHeight="false" hidden="false" ht="14.75" outlineLevel="0" r="1287">
      <c r="A1287" s="1" t="s">
        <v>1090</v>
      </c>
      <c r="B1287" s="1" t="s">
        <v>1089</v>
      </c>
      <c r="C1287" s="1" t="s">
        <v>1087</v>
      </c>
      <c r="D1287" s="1" t="n">
        <v>269</v>
      </c>
      <c r="E1287" s="1" t="n">
        <v>14.59</v>
      </c>
      <c r="F1287" s="1" t="n">
        <v>1.5</v>
      </c>
    </row>
    <row collapsed="false" customFormat="false" customHeight="false" hidden="false" ht="14.75" outlineLevel="0" r="1288">
      <c r="A1288" s="1" t="s">
        <v>1091</v>
      </c>
      <c r="B1288" s="1" t="s">
        <v>1089</v>
      </c>
      <c r="C1288" s="1" t="s">
        <v>1087</v>
      </c>
      <c r="D1288" s="1" t="n">
        <v>162.8</v>
      </c>
      <c r="E1288" s="1" t="n">
        <v>10.42</v>
      </c>
      <c r="F1288" s="1" t="n">
        <f aca="false">13/9</f>
        <v>1.44444444444444</v>
      </c>
    </row>
    <row collapsed="false" customFormat="false" customHeight="false" hidden="false" ht="14.75" outlineLevel="0" r="1289">
      <c r="A1289" s="1" t="s">
        <v>1092</v>
      </c>
      <c r="B1289" s="1" t="s">
        <v>1089</v>
      </c>
      <c r="C1289" s="1" t="s">
        <v>1087</v>
      </c>
      <c r="D1289" s="1" t="n">
        <v>100</v>
      </c>
      <c r="E1289" s="1" t="n">
        <v>6.94</v>
      </c>
      <c r="F1289" s="1" t="n">
        <v>0.5</v>
      </c>
    </row>
    <row collapsed="false" customFormat="false" customHeight="false" hidden="false" ht="14.75" outlineLevel="0" r="1290">
      <c r="A1290" s="1" t="s">
        <v>509</v>
      </c>
      <c r="B1290" s="1" t="s">
        <v>1093</v>
      </c>
      <c r="C1290" s="1" t="s">
        <v>1087</v>
      </c>
      <c r="D1290" s="1" t="n">
        <v>193.3</v>
      </c>
      <c r="E1290" s="1" t="n">
        <v>13.67</v>
      </c>
      <c r="F1290" s="1" t="n">
        <f aca="false">19/9</f>
        <v>2.11111111111111</v>
      </c>
    </row>
    <row collapsed="false" customFormat="false" customHeight="false" hidden="false" ht="14.75" outlineLevel="0" r="1291">
      <c r="A1291" s="1" t="s">
        <v>1094</v>
      </c>
      <c r="B1291" s="1" t="s">
        <v>1086</v>
      </c>
      <c r="C1291" s="1" t="s">
        <v>1087</v>
      </c>
      <c r="D1291" s="1" t="n">
        <v>135</v>
      </c>
      <c r="E1291" s="1" t="n">
        <v>10</v>
      </c>
      <c r="F1291" s="1" t="n">
        <f aca="false">6/7</f>
        <v>0.857142857142857</v>
      </c>
    </row>
    <row collapsed="false" customFormat="false" customHeight="false" hidden="false" ht="14.75" outlineLevel="0" r="1292">
      <c r="A1292" s="1" t="s">
        <v>1095</v>
      </c>
      <c r="B1292" s="1" t="s">
        <v>1086</v>
      </c>
      <c r="C1292" s="1" t="s">
        <v>1087</v>
      </c>
      <c r="D1292" s="1" t="n">
        <v>140.7</v>
      </c>
      <c r="E1292" s="1" t="n">
        <v>7.68</v>
      </c>
      <c r="F1292" s="1" t="n">
        <f aca="false">5/7</f>
        <v>0.714285714285714</v>
      </c>
    </row>
    <row collapsed="false" customFormat="false" customHeight="false" hidden="false" ht="14.75" outlineLevel="0" r="1293">
      <c r="A1293" s="1" t="s">
        <v>1096</v>
      </c>
      <c r="B1293" s="1" t="s">
        <v>1097</v>
      </c>
      <c r="C1293" s="1" t="s">
        <v>1087</v>
      </c>
      <c r="D1293" s="1" t="n">
        <v>326</v>
      </c>
      <c r="E1293" s="1" t="n">
        <v>20.61</v>
      </c>
      <c r="F1293" s="1" t="n">
        <f aca="false">39/11</f>
        <v>3.54545454545455</v>
      </c>
    </row>
    <row collapsed="false" customFormat="false" customHeight="false" hidden="false" ht="14.75" outlineLevel="0" r="1294">
      <c r="A1294" s="1" t="s">
        <v>1098</v>
      </c>
      <c r="B1294" s="1" t="s">
        <v>1097</v>
      </c>
      <c r="C1294" s="1" t="s">
        <v>1087</v>
      </c>
      <c r="D1294" s="1" t="n">
        <v>73.3</v>
      </c>
      <c r="E1294" s="1" t="n">
        <v>7.02</v>
      </c>
      <c r="F1294" s="1" t="n">
        <f aca="false">3/9</f>
        <v>0.333333333333333</v>
      </c>
    </row>
    <row collapsed="false" customFormat="false" customHeight="false" hidden="false" ht="14.75" outlineLevel="0" r="1295">
      <c r="A1295" s="1" t="s">
        <v>1099</v>
      </c>
      <c r="B1295" s="1" t="s">
        <v>1086</v>
      </c>
      <c r="C1295" s="1" t="s">
        <v>1087</v>
      </c>
      <c r="D1295" s="1" t="n">
        <v>232.1</v>
      </c>
      <c r="E1295" s="1" t="n">
        <v>13.68</v>
      </c>
      <c r="F1295" s="1" t="n">
        <f aca="false">19/7</f>
        <v>2.71428571428571</v>
      </c>
    </row>
    <row collapsed="false" customFormat="false" customHeight="false" hidden="false" ht="14.75" outlineLevel="0" r="1296">
      <c r="A1296" s="1" t="s">
        <v>286</v>
      </c>
      <c r="B1296" s="1" t="s">
        <v>1100</v>
      </c>
      <c r="C1296" s="1" t="s">
        <v>1087</v>
      </c>
      <c r="D1296" s="1" t="n">
        <v>476.1</v>
      </c>
      <c r="E1296" s="1" t="n">
        <v>23.12</v>
      </c>
      <c r="F1296" s="1" t="n">
        <f aca="false">59/9</f>
        <v>6.55555555555556</v>
      </c>
    </row>
    <row collapsed="false" customFormat="false" customHeight="false" hidden="false" ht="14.75" outlineLevel="0" r="1297">
      <c r="A1297" s="1" t="s">
        <v>289</v>
      </c>
      <c r="B1297" s="1" t="s">
        <v>1100</v>
      </c>
      <c r="C1297" s="1" t="s">
        <v>1087</v>
      </c>
      <c r="D1297" s="1" t="n">
        <v>190.6</v>
      </c>
      <c r="E1297" s="1" t="n">
        <v>12.9</v>
      </c>
      <c r="F1297" s="1" t="n">
        <f aca="false">17/9</f>
        <v>1.88888888888889</v>
      </c>
    </row>
    <row collapsed="false" customFormat="false" customHeight="false" hidden="false" ht="14.75" outlineLevel="0" r="1298">
      <c r="A1298" s="1" t="s">
        <v>290</v>
      </c>
      <c r="B1298" s="1" t="s">
        <v>1101</v>
      </c>
      <c r="C1298" s="1" t="s">
        <v>1087</v>
      </c>
      <c r="D1298" s="1" t="n">
        <v>132.5</v>
      </c>
      <c r="E1298" s="1" t="n">
        <v>5.67</v>
      </c>
      <c r="F1298" s="1" t="n">
        <v>0.875</v>
      </c>
    </row>
    <row collapsed="false" customFormat="false" customHeight="false" hidden="false" ht="14.75" outlineLevel="0" r="1299">
      <c r="A1299" s="1" t="s">
        <v>435</v>
      </c>
      <c r="B1299" s="1" t="s">
        <v>1102</v>
      </c>
      <c r="C1299" s="1" t="s">
        <v>1087</v>
      </c>
      <c r="D1299" s="1" t="n">
        <v>252</v>
      </c>
      <c r="E1299" s="1" t="n">
        <v>16.08</v>
      </c>
      <c r="F1299" s="1" t="n">
        <v>2.3</v>
      </c>
    </row>
    <row collapsed="false" customFormat="false" customHeight="false" hidden="false" ht="14.75" outlineLevel="0" r="1300">
      <c r="A1300" s="1" t="s">
        <v>1103</v>
      </c>
      <c r="B1300" s="1" t="s">
        <v>1086</v>
      </c>
      <c r="C1300" s="1" t="s">
        <v>1087</v>
      </c>
      <c r="D1300" s="1" t="n">
        <v>39.3</v>
      </c>
      <c r="E1300" s="1" t="n">
        <v>3.33</v>
      </c>
      <c r="F1300" s="1" t="n">
        <v>0</v>
      </c>
    </row>
    <row collapsed="false" customFormat="false" customHeight="false" hidden="false" ht="14.75" outlineLevel="0" r="1301">
      <c r="A1301" s="1" t="s">
        <v>1104</v>
      </c>
      <c r="B1301" s="1" t="s">
        <v>1102</v>
      </c>
      <c r="C1301" s="1" t="s">
        <v>1087</v>
      </c>
      <c r="D1301" s="1" t="n">
        <v>134</v>
      </c>
      <c r="E1301" s="1" t="n">
        <v>11.08</v>
      </c>
      <c r="F1301" s="1" t="n">
        <v>0.8</v>
      </c>
    </row>
    <row collapsed="false" customFormat="false" customHeight="false" hidden="false" ht="14.75" outlineLevel="0" r="1302">
      <c r="A1302" s="1" t="s">
        <v>1105</v>
      </c>
      <c r="B1302" s="1" t="s">
        <v>1106</v>
      </c>
      <c r="C1302" s="1" t="s">
        <v>1087</v>
      </c>
      <c r="D1302" s="1" t="n">
        <v>111.2</v>
      </c>
      <c r="E1302" s="1" t="n">
        <v>6.98</v>
      </c>
      <c r="F1302" s="1" t="n">
        <v>0</v>
      </c>
    </row>
    <row collapsed="false" customFormat="false" customHeight="false" hidden="false" ht="14.75" outlineLevel="0" r="1303">
      <c r="A1303" s="1" t="s">
        <v>1107</v>
      </c>
      <c r="B1303" s="1" t="s">
        <v>1106</v>
      </c>
      <c r="C1303" s="1" t="s">
        <v>1087</v>
      </c>
      <c r="D1303" s="1" t="n">
        <v>78.1</v>
      </c>
      <c r="E1303" s="1" t="n">
        <v>3.66</v>
      </c>
      <c r="F1303" s="1" t="n">
        <f aca="false">1/8</f>
        <v>0.125</v>
      </c>
    </row>
    <row collapsed="false" customFormat="false" customHeight="false" hidden="false" ht="14.75" outlineLevel="0" r="1304">
      <c r="A1304" s="1" t="s">
        <v>295</v>
      </c>
      <c r="B1304" s="1" t="s">
        <v>1106</v>
      </c>
      <c r="C1304" s="1" t="s">
        <v>1087</v>
      </c>
      <c r="D1304" s="1" t="n">
        <v>466.7</v>
      </c>
      <c r="E1304" s="1" t="n">
        <v>19.07</v>
      </c>
      <c r="F1304" s="1" t="n">
        <f aca="false">48/9</f>
        <v>5.33333333333333</v>
      </c>
    </row>
    <row collapsed="false" customFormat="false" customHeight="false" hidden="false" ht="14.75" outlineLevel="0" r="1305">
      <c r="A1305" s="1" t="s">
        <v>296</v>
      </c>
      <c r="B1305" s="1" t="s">
        <v>1106</v>
      </c>
      <c r="C1305" s="1" t="s">
        <v>1087</v>
      </c>
      <c r="D1305" s="1" t="n">
        <v>112.5</v>
      </c>
      <c r="E1305" s="1" t="n">
        <v>5.2</v>
      </c>
      <c r="F1305" s="1" t="n">
        <f aca="false">4/8</f>
        <v>0.5</v>
      </c>
    </row>
    <row collapsed="false" customFormat="false" customHeight="false" hidden="false" ht="14.75" outlineLevel="0" r="1306">
      <c r="A1306" s="1" t="s">
        <v>195</v>
      </c>
      <c r="B1306" s="1" t="s">
        <v>1097</v>
      </c>
      <c r="C1306" s="1" t="s">
        <v>1087</v>
      </c>
      <c r="D1306" s="1" t="n">
        <v>275.7</v>
      </c>
      <c r="E1306" s="1" t="n">
        <v>16.22</v>
      </c>
      <c r="F1306" s="1" t="n">
        <f aca="false">18/7</f>
        <v>2.57142857142857</v>
      </c>
    </row>
    <row collapsed="false" customFormat="false" customHeight="false" hidden="false" ht="14.75" outlineLevel="0" r="1307">
      <c r="A1307" s="1" t="s">
        <v>197</v>
      </c>
      <c r="B1307" s="1" t="s">
        <v>1097</v>
      </c>
      <c r="C1307" s="1" t="s">
        <v>1087</v>
      </c>
      <c r="D1307" s="1" t="n">
        <v>199.3</v>
      </c>
      <c r="E1307" s="1" t="n">
        <v>12.95</v>
      </c>
      <c r="F1307" s="1" t="n">
        <f aca="false">8/7</f>
        <v>1.14285714285714</v>
      </c>
    </row>
    <row collapsed="false" customFormat="false" customHeight="false" hidden="false" ht="14.75" outlineLevel="0" r="1308">
      <c r="A1308" s="1" t="s">
        <v>1108</v>
      </c>
      <c r="B1308" s="1" t="s">
        <v>1106</v>
      </c>
      <c r="C1308" s="1" t="s">
        <v>1087</v>
      </c>
      <c r="D1308" s="1" t="n">
        <v>183.3</v>
      </c>
      <c r="E1308" s="1" t="n">
        <v>9.04</v>
      </c>
      <c r="F1308" s="1" t="n">
        <f aca="false">2/9</f>
        <v>0.222222222222222</v>
      </c>
    </row>
    <row collapsed="false" customFormat="false" customHeight="false" hidden="false" ht="14.75" outlineLevel="0" r="1309">
      <c r="A1309" s="1" t="s">
        <v>1109</v>
      </c>
      <c r="B1309" s="1" t="s">
        <v>1110</v>
      </c>
      <c r="C1309" s="1" t="s">
        <v>1087</v>
      </c>
      <c r="D1309" s="1" t="n">
        <v>220.6</v>
      </c>
      <c r="E1309" s="1" t="n">
        <v>11.82</v>
      </c>
      <c r="F1309" s="1" t="n">
        <f aca="false">7/8</f>
        <v>0.875</v>
      </c>
    </row>
    <row collapsed="false" customFormat="false" customHeight="false" hidden="false" ht="14.75" outlineLevel="0" r="1310">
      <c r="A1310" s="1" t="s">
        <v>1111</v>
      </c>
      <c r="B1310" s="1" t="s">
        <v>1112</v>
      </c>
      <c r="C1310" s="1" t="s">
        <v>1087</v>
      </c>
      <c r="D1310" s="1" t="n">
        <v>92.2</v>
      </c>
      <c r="E1310" s="1" t="n">
        <v>5.15</v>
      </c>
      <c r="F1310" s="1" t="s">
        <v>9</v>
      </c>
    </row>
    <row collapsed="false" customFormat="false" customHeight="false" hidden="false" ht="14.75" outlineLevel="0" r="1311">
      <c r="A1311" s="1" t="s">
        <v>678</v>
      </c>
      <c r="B1311" s="1" t="s">
        <v>1110</v>
      </c>
      <c r="C1311" s="1" t="s">
        <v>1087</v>
      </c>
      <c r="D1311" s="1" t="n">
        <v>300.6</v>
      </c>
      <c r="E1311" s="1" t="n">
        <v>12.1</v>
      </c>
      <c r="F1311" s="1" t="n">
        <f aca="false">18/8</f>
        <v>2.25</v>
      </c>
    </row>
    <row collapsed="false" customFormat="false" customHeight="false" hidden="false" ht="14.75" outlineLevel="0" r="1312">
      <c r="A1312" s="1" t="s">
        <v>681</v>
      </c>
      <c r="B1312" s="1" t="s">
        <v>1110</v>
      </c>
      <c r="C1312" s="1" t="s">
        <v>1087</v>
      </c>
      <c r="D1312" s="1" t="n">
        <v>143.8</v>
      </c>
      <c r="E1312" s="1" t="n">
        <v>8.7</v>
      </c>
      <c r="F1312" s="1" t="n">
        <v>1</v>
      </c>
    </row>
    <row collapsed="false" customFormat="false" customHeight="false" hidden="false" ht="14.75" outlineLevel="0" r="1313">
      <c r="A1313" s="1" t="s">
        <v>1113</v>
      </c>
      <c r="B1313" s="1" t="s">
        <v>1110</v>
      </c>
      <c r="C1313" s="1" t="s">
        <v>1087</v>
      </c>
      <c r="D1313" s="1" t="n">
        <v>238.8</v>
      </c>
      <c r="E1313" s="1" t="n">
        <v>11.22</v>
      </c>
      <c r="F1313" s="1" t="n">
        <f aca="false">10/8</f>
        <v>1.25</v>
      </c>
    </row>
    <row collapsed="false" customFormat="false" customHeight="false" hidden="false" ht="14.75" outlineLevel="0" r="1314">
      <c r="A1314" s="1" t="s">
        <v>1114</v>
      </c>
      <c r="B1314" s="1" t="s">
        <v>1110</v>
      </c>
      <c r="C1314" s="1" t="s">
        <v>1087</v>
      </c>
      <c r="D1314" s="1" t="n">
        <v>193.8</v>
      </c>
      <c r="E1314" s="1" t="n">
        <v>9.76</v>
      </c>
      <c r="F1314" s="1" t="n">
        <f aca="false">7/8</f>
        <v>0.875</v>
      </c>
    </row>
    <row collapsed="false" customFormat="false" customHeight="false" hidden="false" ht="14.75" outlineLevel="0" r="1315">
      <c r="A1315" s="1" t="s">
        <v>1003</v>
      </c>
      <c r="B1315" s="1" t="s">
        <v>1110</v>
      </c>
      <c r="C1315" s="1" t="s">
        <v>1087</v>
      </c>
      <c r="D1315" s="1" t="n">
        <v>80</v>
      </c>
      <c r="E1315" s="1" t="n">
        <v>5.97</v>
      </c>
      <c r="F1315" s="1" t="n">
        <v>0</v>
      </c>
    </row>
    <row collapsed="false" customFormat="false" customHeight="false" hidden="false" ht="14.75" outlineLevel="0" r="1316">
      <c r="A1316" s="1" t="s">
        <v>1115</v>
      </c>
      <c r="B1316" s="1" t="s">
        <v>1089</v>
      </c>
      <c r="C1316" s="1" t="s">
        <v>1087</v>
      </c>
      <c r="D1316" s="1" t="n">
        <v>68.1</v>
      </c>
      <c r="E1316" s="1" t="n">
        <v>6.76</v>
      </c>
      <c r="F1316" s="1" t="n">
        <f aca="false">2/8</f>
        <v>0.25</v>
      </c>
    </row>
    <row collapsed="false" customFormat="false" customHeight="false" hidden="false" ht="14.75" outlineLevel="0" r="1317">
      <c r="A1317" s="1" t="s">
        <v>1116</v>
      </c>
      <c r="B1317" s="1" t="s">
        <v>1089</v>
      </c>
      <c r="C1317" s="1" t="s">
        <v>1087</v>
      </c>
      <c r="D1317" s="1" t="n">
        <v>28.9</v>
      </c>
      <c r="E1317" s="1" t="n">
        <v>1.3</v>
      </c>
      <c r="F1317" s="1" t="n">
        <f aca="false">1/9</f>
        <v>0.111111111111111</v>
      </c>
    </row>
    <row collapsed="false" customFormat="false" customHeight="false" hidden="false" ht="14.75" outlineLevel="0" r="1318">
      <c r="A1318" s="1" t="s">
        <v>1117</v>
      </c>
      <c r="B1318" s="1" t="s">
        <v>1110</v>
      </c>
      <c r="C1318" s="1" t="s">
        <v>1087</v>
      </c>
      <c r="D1318" s="1" t="n">
        <v>257.2</v>
      </c>
      <c r="E1318" s="1" t="n">
        <v>12.05</v>
      </c>
      <c r="F1318" s="1" t="n">
        <v>2</v>
      </c>
    </row>
    <row collapsed="false" customFormat="false" customHeight="false" hidden="false" ht="14.75" outlineLevel="0" r="1319">
      <c r="A1319" s="1" t="s">
        <v>1118</v>
      </c>
      <c r="B1319" s="1" t="s">
        <v>1110</v>
      </c>
      <c r="C1319" s="1" t="s">
        <v>1087</v>
      </c>
      <c r="D1319" s="1" t="n">
        <v>111.2</v>
      </c>
      <c r="E1319" s="1" t="n">
        <v>6.2</v>
      </c>
      <c r="F1319" s="1" t="n">
        <f aca="false">2/8</f>
        <v>0.25</v>
      </c>
    </row>
    <row collapsed="false" customFormat="false" customHeight="false" hidden="false" ht="14.75" outlineLevel="0" r="1320">
      <c r="A1320" s="1" t="s">
        <v>815</v>
      </c>
      <c r="B1320" s="1" t="s">
        <v>1119</v>
      </c>
      <c r="C1320" s="1" t="s">
        <v>1087</v>
      </c>
      <c r="D1320" s="1" t="n">
        <v>65.5</v>
      </c>
      <c r="E1320" s="1" t="n">
        <v>7.84</v>
      </c>
      <c r="F1320" s="1" t="n">
        <v>0.3</v>
      </c>
    </row>
    <row collapsed="false" customFormat="false" customHeight="false" hidden="false" ht="14.75" outlineLevel="0" r="1321">
      <c r="A1321" s="1" t="s">
        <v>1120</v>
      </c>
      <c r="B1321" s="1" t="s">
        <v>1121</v>
      </c>
      <c r="C1321" s="1" t="s">
        <v>1087</v>
      </c>
      <c r="D1321" s="1" t="n">
        <v>95</v>
      </c>
      <c r="E1321" s="1" t="n">
        <v>5.65</v>
      </c>
      <c r="F1321" s="1" t="s">
        <v>9</v>
      </c>
    </row>
    <row collapsed="false" customFormat="false" customHeight="false" hidden="false" ht="14.75" outlineLevel="0" r="1322">
      <c r="A1322" s="1" t="s">
        <v>1122</v>
      </c>
      <c r="B1322" s="1" t="s">
        <v>1119</v>
      </c>
      <c r="C1322" s="1" t="s">
        <v>1087</v>
      </c>
      <c r="D1322" s="1" t="n">
        <v>321</v>
      </c>
      <c r="E1322" s="1" t="n">
        <v>15.4</v>
      </c>
      <c r="F1322" s="1" t="n">
        <v>2.7</v>
      </c>
    </row>
    <row collapsed="false" customFormat="false" customHeight="false" hidden="false" ht="14.75" outlineLevel="0" r="1323">
      <c r="A1323" s="1" t="s">
        <v>1123</v>
      </c>
      <c r="B1323" s="1" t="s">
        <v>1119</v>
      </c>
      <c r="C1323" s="1" t="s">
        <v>1087</v>
      </c>
      <c r="D1323" s="1" t="n">
        <v>85.5</v>
      </c>
      <c r="E1323" s="1" t="n">
        <v>5</v>
      </c>
      <c r="F1323" s="1" t="n">
        <f aca="false">4/11</f>
        <v>0.363636363636364</v>
      </c>
    </row>
    <row collapsed="false" customFormat="false" customHeight="false" hidden="false" ht="14.75" outlineLevel="0" r="1324">
      <c r="A1324" s="1" t="s">
        <v>1124</v>
      </c>
      <c r="B1324" s="1" t="s">
        <v>1119</v>
      </c>
      <c r="C1324" s="1" t="s">
        <v>1087</v>
      </c>
      <c r="D1324" s="1" t="n">
        <v>55</v>
      </c>
      <c r="E1324" s="1" t="n">
        <v>3.33</v>
      </c>
      <c r="F1324" s="1" t="n">
        <v>0</v>
      </c>
    </row>
    <row collapsed="false" customFormat="false" customHeight="false" hidden="false" ht="14.75" outlineLevel="0" r="1325">
      <c r="A1325" s="1" t="s">
        <v>1125</v>
      </c>
      <c r="B1325" s="1" t="s">
        <v>1086</v>
      </c>
      <c r="C1325" s="1" t="s">
        <v>1087</v>
      </c>
      <c r="D1325" s="1" t="n">
        <v>201.4</v>
      </c>
      <c r="E1325" s="1" t="n">
        <v>12.78</v>
      </c>
      <c r="F1325" s="1" t="n">
        <v>2</v>
      </c>
    </row>
    <row collapsed="false" customFormat="false" customHeight="false" hidden="false" ht="14.75" outlineLevel="0" r="1326">
      <c r="A1326" s="1" t="s">
        <v>56</v>
      </c>
      <c r="B1326" s="1" t="s">
        <v>1086</v>
      </c>
      <c r="C1326" s="1" t="s">
        <v>1087</v>
      </c>
      <c r="D1326" s="1" t="n">
        <v>424.5</v>
      </c>
      <c r="E1326" s="1" t="n">
        <v>21.03</v>
      </c>
      <c r="F1326" s="1" t="n">
        <f aca="false">54/11</f>
        <v>4.90909090909091</v>
      </c>
    </row>
    <row collapsed="false" customFormat="false" customHeight="false" hidden="false" ht="14.75" outlineLevel="0" r="1327">
      <c r="A1327" s="1" t="s">
        <v>57</v>
      </c>
      <c r="B1327" s="1" t="s">
        <v>1086</v>
      </c>
      <c r="C1327" s="1" t="s">
        <v>1087</v>
      </c>
      <c r="D1327" s="1" t="n">
        <v>297.5</v>
      </c>
      <c r="E1327" s="1" t="n">
        <v>16.4</v>
      </c>
      <c r="F1327" s="1" t="n">
        <f aca="false">19/8</f>
        <v>2.375</v>
      </c>
    </row>
    <row collapsed="false" customFormat="false" customHeight="false" hidden="false" ht="14.75" outlineLevel="0" r="1328">
      <c r="A1328" s="1" t="s">
        <v>1126</v>
      </c>
      <c r="B1328" s="1" t="s">
        <v>1106</v>
      </c>
      <c r="C1328" s="1" t="s">
        <v>1087</v>
      </c>
      <c r="D1328" s="1" t="n">
        <v>143.1</v>
      </c>
      <c r="E1328" s="1" t="n">
        <v>8.08</v>
      </c>
      <c r="F1328" s="1" t="n">
        <f aca="false">11/8</f>
        <v>1.375</v>
      </c>
    </row>
    <row collapsed="false" customFormat="false" customHeight="false" hidden="false" ht="14.75" outlineLevel="0" r="1329">
      <c r="A1329" s="1" t="s">
        <v>525</v>
      </c>
      <c r="B1329" s="1" t="s">
        <v>1127</v>
      </c>
      <c r="C1329" s="1" t="s">
        <v>1087</v>
      </c>
      <c r="D1329" s="1" t="n">
        <v>386.5</v>
      </c>
      <c r="E1329" s="1" t="n">
        <v>21.62</v>
      </c>
      <c r="F1329" s="1" t="n">
        <v>4.5</v>
      </c>
    </row>
    <row collapsed="false" customFormat="false" customHeight="false" hidden="false" ht="14.75" outlineLevel="0" r="1330">
      <c r="A1330" s="1" t="s">
        <v>1128</v>
      </c>
      <c r="B1330" s="1" t="s">
        <v>1100</v>
      </c>
      <c r="C1330" s="1" t="s">
        <v>1087</v>
      </c>
      <c r="D1330" s="1" t="n">
        <v>314.4</v>
      </c>
      <c r="E1330" s="1" t="n">
        <v>17.22</v>
      </c>
      <c r="F1330" s="1" t="n">
        <f aca="false">30/9</f>
        <v>3.33333333333333</v>
      </c>
    </row>
    <row collapsed="false" customFormat="false" customHeight="false" hidden="false" ht="14.75" outlineLevel="0" r="1331">
      <c r="A1331" s="1" t="s">
        <v>1129</v>
      </c>
      <c r="B1331" s="1" t="s">
        <v>1101</v>
      </c>
      <c r="C1331" s="1" t="s">
        <v>1087</v>
      </c>
      <c r="D1331" s="1" t="n">
        <v>148.8</v>
      </c>
      <c r="E1331" s="1" t="n">
        <v>9.61</v>
      </c>
      <c r="F1331" s="1" t="n">
        <v>0.5</v>
      </c>
    </row>
    <row collapsed="false" customFormat="false" customHeight="false" hidden="false" ht="14.75" outlineLevel="0" r="1332">
      <c r="A1332" s="1" t="s">
        <v>1130</v>
      </c>
      <c r="B1332" s="1" t="s">
        <v>1101</v>
      </c>
      <c r="C1332" s="1" t="s">
        <v>1087</v>
      </c>
      <c r="D1332" s="1" t="n">
        <v>150</v>
      </c>
      <c r="E1332" s="1" t="n">
        <v>8.04</v>
      </c>
      <c r="F1332" s="1" t="n">
        <v>1.5</v>
      </c>
    </row>
    <row collapsed="false" customFormat="false" customHeight="false" hidden="false" ht="14.75" outlineLevel="0" r="1333">
      <c r="A1333" s="1" t="s">
        <v>103</v>
      </c>
      <c r="B1333" s="1" t="s">
        <v>1110</v>
      </c>
      <c r="C1333" s="1" t="s">
        <v>1087</v>
      </c>
      <c r="D1333" s="1" t="n">
        <v>432.8</v>
      </c>
      <c r="E1333" s="1" t="n">
        <v>20.09</v>
      </c>
      <c r="F1333" s="1" t="n">
        <f aca="false">41/9</f>
        <v>4.55555555555556</v>
      </c>
    </row>
    <row collapsed="false" customFormat="false" customHeight="false" hidden="false" ht="14.75" outlineLevel="0" r="1334">
      <c r="A1334" s="1" t="s">
        <v>104</v>
      </c>
      <c r="B1334" s="1" t="s">
        <v>1110</v>
      </c>
      <c r="C1334" s="1" t="s">
        <v>1087</v>
      </c>
      <c r="D1334" s="1" t="n">
        <v>113.8</v>
      </c>
      <c r="E1334" s="1" t="n">
        <v>7.33</v>
      </c>
      <c r="F1334" s="1" t="n">
        <f aca="false">5/8</f>
        <v>0.625</v>
      </c>
    </row>
    <row collapsed="false" customFormat="false" customHeight="false" hidden="false" ht="14.75" outlineLevel="0" r="1335">
      <c r="A1335" s="1" t="s">
        <v>1131</v>
      </c>
      <c r="B1335" s="1" t="s">
        <v>1110</v>
      </c>
      <c r="C1335" s="1" t="s">
        <v>1087</v>
      </c>
      <c r="D1335" s="1" t="n">
        <v>193.3</v>
      </c>
      <c r="E1335" s="1" t="n">
        <v>8.68</v>
      </c>
      <c r="F1335" s="1" t="n">
        <f aca="false">14/9</f>
        <v>1.55555555555556</v>
      </c>
    </row>
    <row collapsed="false" customFormat="false" customHeight="false" hidden="false" ht="14.75" outlineLevel="0" r="1336">
      <c r="A1336" s="1" t="s">
        <v>1132</v>
      </c>
      <c r="B1336" s="1" t="s">
        <v>1110</v>
      </c>
      <c r="C1336" s="1" t="s">
        <v>1087</v>
      </c>
      <c r="D1336" s="1" t="n">
        <v>101.9</v>
      </c>
      <c r="E1336" s="1" t="n">
        <v>5.73</v>
      </c>
      <c r="F1336" s="1" t="n">
        <f aca="false">2/8</f>
        <v>0.25</v>
      </c>
    </row>
    <row collapsed="false" customFormat="false" customHeight="false" hidden="false" ht="14.75" outlineLevel="0" r="1337">
      <c r="A1337" s="1" t="s">
        <v>1133</v>
      </c>
      <c r="B1337" s="1" t="s">
        <v>1134</v>
      </c>
      <c r="C1337" s="1" t="s">
        <v>1087</v>
      </c>
      <c r="D1337" s="1" t="n">
        <v>200</v>
      </c>
      <c r="E1337" s="1" t="n">
        <v>12.84</v>
      </c>
      <c r="F1337" s="1" t="n">
        <v>1.2</v>
      </c>
    </row>
    <row collapsed="false" customFormat="false" customHeight="false" hidden="false" ht="14.75" outlineLevel="0" r="1338">
      <c r="A1338" s="1" t="s">
        <v>1135</v>
      </c>
      <c r="B1338" s="1" t="s">
        <v>1134</v>
      </c>
      <c r="C1338" s="1" t="s">
        <v>1087</v>
      </c>
      <c r="D1338" s="1" t="n">
        <v>93.5</v>
      </c>
      <c r="E1338" s="1" t="n">
        <v>8.56</v>
      </c>
      <c r="F1338" s="1" t="n">
        <v>0.8</v>
      </c>
    </row>
    <row collapsed="false" customFormat="false" customHeight="false" hidden="false" ht="14.75" outlineLevel="0" r="1339">
      <c r="A1339" s="1" t="s">
        <v>1136</v>
      </c>
      <c r="B1339" s="1" t="s">
        <v>1089</v>
      </c>
      <c r="C1339" s="1" t="s">
        <v>1087</v>
      </c>
      <c r="D1339" s="1" t="n">
        <v>216.3</v>
      </c>
      <c r="E1339" s="1" t="n">
        <v>13.91</v>
      </c>
      <c r="F1339" s="1" t="n">
        <v>1.1</v>
      </c>
    </row>
    <row collapsed="false" customFormat="false" customHeight="false" hidden="false" ht="14.75" outlineLevel="0" r="1340">
      <c r="A1340" s="1" t="s">
        <v>1137</v>
      </c>
      <c r="B1340" s="1" t="s">
        <v>1089</v>
      </c>
      <c r="C1340" s="1" t="s">
        <v>1087</v>
      </c>
      <c r="D1340" s="1" t="n">
        <v>23.8</v>
      </c>
      <c r="E1340" s="1" t="n">
        <v>8.33</v>
      </c>
      <c r="F1340" s="1" t="n">
        <v>0</v>
      </c>
    </row>
    <row collapsed="false" customFormat="false" customHeight="false" hidden="false" ht="14.75" outlineLevel="0" r="1341">
      <c r="A1341" s="1" t="s">
        <v>199</v>
      </c>
      <c r="B1341" s="1" t="s">
        <v>1097</v>
      </c>
      <c r="C1341" s="1" t="s">
        <v>1087</v>
      </c>
      <c r="D1341" s="1" t="n">
        <v>338.2</v>
      </c>
      <c r="E1341" s="1" t="n">
        <v>19.07</v>
      </c>
      <c r="F1341" s="1" t="n">
        <f aca="false">27/11</f>
        <v>2.45454545454545</v>
      </c>
    </row>
    <row collapsed="false" customFormat="false" customHeight="false" hidden="false" ht="14.75" outlineLevel="0" r="1342">
      <c r="A1342" s="1" t="s">
        <v>200</v>
      </c>
      <c r="B1342" s="1" t="s">
        <v>1097</v>
      </c>
      <c r="C1342" s="1" t="s">
        <v>1087</v>
      </c>
      <c r="D1342" s="1" t="n">
        <v>303.6</v>
      </c>
      <c r="E1342" s="1" t="n">
        <v>18.79</v>
      </c>
      <c r="F1342" s="1" t="n">
        <f aca="false">21/11</f>
        <v>1.90909090909091</v>
      </c>
    </row>
    <row collapsed="false" customFormat="false" customHeight="false" hidden="false" ht="14.75" outlineLevel="0" r="1343">
      <c r="A1343" s="1" t="s">
        <v>201</v>
      </c>
      <c r="B1343" s="1" t="s">
        <v>1097</v>
      </c>
      <c r="C1343" s="1" t="s">
        <v>1087</v>
      </c>
      <c r="D1343" s="1" t="n">
        <v>161.5</v>
      </c>
      <c r="E1343" s="1" t="n">
        <v>10.49</v>
      </c>
      <c r="F1343" s="1" t="n">
        <v>0.9</v>
      </c>
    </row>
    <row collapsed="false" customFormat="false" customHeight="false" hidden="false" ht="14.75" outlineLevel="0" r="1344">
      <c r="A1344" s="1" t="s">
        <v>202</v>
      </c>
      <c r="B1344" s="1" t="s">
        <v>1097</v>
      </c>
      <c r="C1344" s="1" t="s">
        <v>1087</v>
      </c>
      <c r="D1344" s="1" t="n">
        <v>140.5</v>
      </c>
      <c r="E1344" s="1" t="n">
        <v>10.88</v>
      </c>
      <c r="F1344" s="1" t="n">
        <f aca="false">6/9</f>
        <v>0.666666666666667</v>
      </c>
    </row>
    <row collapsed="false" customFormat="false" customHeight="false" hidden="false" ht="14.75" outlineLevel="0" r="1345">
      <c r="A1345" s="1" t="s">
        <v>1138</v>
      </c>
      <c r="B1345" s="1" t="s">
        <v>1119</v>
      </c>
      <c r="C1345" s="1" t="s">
        <v>1087</v>
      </c>
      <c r="D1345" s="1" t="n">
        <v>141.5</v>
      </c>
      <c r="E1345" s="1" t="n">
        <v>9.59</v>
      </c>
      <c r="F1345" s="1" t="n">
        <v>0.2</v>
      </c>
    </row>
    <row collapsed="false" customFormat="false" customHeight="false" hidden="false" ht="14.75" outlineLevel="0" r="1346">
      <c r="A1346" s="1" t="s">
        <v>1139</v>
      </c>
      <c r="B1346" s="1" t="s">
        <v>1119</v>
      </c>
      <c r="C1346" s="1" t="s">
        <v>1087</v>
      </c>
      <c r="D1346" s="1" t="n">
        <v>42</v>
      </c>
      <c r="E1346" s="1" t="n">
        <v>3.44</v>
      </c>
      <c r="F1346" s="1" t="n">
        <v>0.1</v>
      </c>
    </row>
    <row collapsed="false" customFormat="false" customHeight="false" hidden="false" ht="14.75" outlineLevel="0" r="1347">
      <c r="A1347" s="1" t="s">
        <v>308</v>
      </c>
      <c r="B1347" s="1" t="s">
        <v>1097</v>
      </c>
      <c r="C1347" s="1" t="s">
        <v>1087</v>
      </c>
      <c r="D1347" s="1" t="n">
        <v>95.7</v>
      </c>
      <c r="E1347" s="1" t="n">
        <v>8.46</v>
      </c>
      <c r="F1347" s="1" t="n">
        <f aca="false">4/7</f>
        <v>0.571428571428571</v>
      </c>
    </row>
    <row collapsed="false" customFormat="false" customHeight="false" hidden="false" ht="14.75" outlineLevel="0" r="1348">
      <c r="A1348" s="1" t="s">
        <v>1140</v>
      </c>
      <c r="B1348" s="1" t="s">
        <v>1097</v>
      </c>
      <c r="C1348" s="1" t="s">
        <v>1087</v>
      </c>
      <c r="D1348" s="1" t="n">
        <v>46.4</v>
      </c>
      <c r="E1348" s="1" t="n">
        <v>4.57</v>
      </c>
      <c r="F1348" s="1" t="n">
        <f aca="false">1/7</f>
        <v>0.142857142857143</v>
      </c>
    </row>
    <row collapsed="false" customFormat="false" customHeight="false" hidden="false" ht="14.75" outlineLevel="0" r="1349">
      <c r="A1349" s="1" t="s">
        <v>1141</v>
      </c>
      <c r="B1349" s="1" t="s">
        <v>1086</v>
      </c>
      <c r="C1349" s="1" t="s">
        <v>1087</v>
      </c>
      <c r="D1349" s="1" t="n">
        <v>89.3</v>
      </c>
      <c r="E1349" s="1" t="n">
        <v>7.57</v>
      </c>
      <c r="F1349" s="1" t="n">
        <f aca="false">5/7</f>
        <v>0.714285714285714</v>
      </c>
    </row>
    <row collapsed="false" customFormat="false" customHeight="false" hidden="false" ht="14.75" outlineLevel="0" r="1350">
      <c r="A1350" s="1" t="s">
        <v>1142</v>
      </c>
      <c r="B1350" s="1" t="s">
        <v>1101</v>
      </c>
      <c r="C1350" s="1" t="s">
        <v>1087</v>
      </c>
      <c r="D1350" s="1" t="n">
        <v>253.8</v>
      </c>
      <c r="E1350" s="1" t="n">
        <v>14.92</v>
      </c>
      <c r="F1350" s="1" t="n">
        <v>1.5</v>
      </c>
    </row>
    <row collapsed="false" customFormat="false" customHeight="false" hidden="false" ht="14.75" outlineLevel="0" r="1351">
      <c r="A1351" s="1" t="s">
        <v>1143</v>
      </c>
      <c r="B1351" s="1" t="s">
        <v>1101</v>
      </c>
      <c r="C1351" s="1" t="s">
        <v>1087</v>
      </c>
      <c r="D1351" s="1" t="n">
        <v>97.5</v>
      </c>
      <c r="E1351" s="1" t="n">
        <v>6.58</v>
      </c>
      <c r="F1351" s="1" t="n">
        <v>0.75</v>
      </c>
    </row>
    <row collapsed="false" customFormat="false" customHeight="false" hidden="false" ht="14.75" outlineLevel="0" r="1352">
      <c r="A1352" s="1" t="s">
        <v>1144</v>
      </c>
      <c r="B1352" s="1" t="s">
        <v>1093</v>
      </c>
      <c r="C1352" s="1" t="s">
        <v>1087</v>
      </c>
      <c r="D1352" s="1" t="n">
        <v>115</v>
      </c>
      <c r="E1352" s="1" t="n">
        <v>8.11</v>
      </c>
      <c r="F1352" s="1" t="n">
        <f aca="false">5/7</f>
        <v>0.714285714285714</v>
      </c>
    </row>
    <row collapsed="false" customFormat="false" customHeight="false" hidden="false" ht="14.75" outlineLevel="0" r="1353">
      <c r="A1353" s="1" t="s">
        <v>1145</v>
      </c>
      <c r="B1353" s="1" t="s">
        <v>1093</v>
      </c>
      <c r="C1353" s="1" t="s">
        <v>1087</v>
      </c>
      <c r="D1353" s="1" t="n">
        <v>107.5</v>
      </c>
      <c r="E1353" s="1" t="n">
        <v>7.84</v>
      </c>
      <c r="F1353" s="1" t="n">
        <f aca="false">1/8</f>
        <v>0.125</v>
      </c>
    </row>
    <row collapsed="false" customFormat="false" customHeight="false" hidden="false" ht="14.75" outlineLevel="0" r="1354">
      <c r="A1354" s="1" t="s">
        <v>535</v>
      </c>
      <c r="B1354" s="1" t="s">
        <v>1146</v>
      </c>
      <c r="C1354" s="1" t="s">
        <v>1087</v>
      </c>
      <c r="D1354" s="1" t="n">
        <v>528</v>
      </c>
      <c r="E1354" s="1" t="n">
        <v>22.53</v>
      </c>
      <c r="F1354" s="1" t="n">
        <v>7.3</v>
      </c>
    </row>
    <row collapsed="false" customFormat="false" customHeight="false" hidden="false" ht="14.75" outlineLevel="0" r="1355">
      <c r="A1355" s="1" t="s">
        <v>536</v>
      </c>
      <c r="B1355" s="1" t="s">
        <v>1146</v>
      </c>
      <c r="C1355" s="1" t="s">
        <v>1087</v>
      </c>
      <c r="D1355" s="1" t="n">
        <v>273.9</v>
      </c>
      <c r="E1355" s="1" t="n">
        <v>14.95</v>
      </c>
      <c r="F1355" s="1" t="n">
        <f aca="false">23/9</f>
        <v>2.55555555555556</v>
      </c>
    </row>
    <row collapsed="false" customFormat="false" customHeight="false" hidden="false" ht="14.75" outlineLevel="0" r="1356">
      <c r="A1356" s="1" t="s">
        <v>1147</v>
      </c>
      <c r="B1356" s="1" t="s">
        <v>1148</v>
      </c>
      <c r="C1356" s="1" t="s">
        <v>1087</v>
      </c>
      <c r="D1356" s="1" t="n">
        <v>184.4</v>
      </c>
      <c r="E1356" s="1" t="n">
        <v>13.01</v>
      </c>
      <c r="F1356" s="1" t="n">
        <f aca="false">10/9</f>
        <v>1.11111111111111</v>
      </c>
    </row>
    <row collapsed="false" customFormat="false" customHeight="false" hidden="false" ht="14.75" outlineLevel="0" r="1357">
      <c r="A1357" s="1" t="s">
        <v>1149</v>
      </c>
      <c r="B1357" s="1" t="s">
        <v>1148</v>
      </c>
      <c r="C1357" s="1" t="s">
        <v>1087</v>
      </c>
      <c r="D1357" s="1" t="n">
        <v>155.6</v>
      </c>
      <c r="E1357" s="1" t="n">
        <v>11.55</v>
      </c>
      <c r="F1357" s="1" t="n">
        <f aca="false">10/8</f>
        <v>1.25</v>
      </c>
    </row>
    <row collapsed="false" customFormat="false" customHeight="false" hidden="false" ht="14.75" outlineLevel="0" r="1358">
      <c r="A1358" s="1" t="s">
        <v>1150</v>
      </c>
      <c r="B1358" s="1" t="s">
        <v>1102</v>
      </c>
      <c r="C1358" s="1" t="s">
        <v>1087</v>
      </c>
      <c r="D1358" s="1" t="n">
        <v>267</v>
      </c>
      <c r="E1358" s="1" t="n">
        <v>17.92</v>
      </c>
      <c r="F1358" s="1" t="n">
        <v>1.8</v>
      </c>
    </row>
    <row collapsed="false" customFormat="false" customHeight="false" hidden="false" ht="14.75" outlineLevel="0" r="1359">
      <c r="A1359" s="1" t="s">
        <v>1151</v>
      </c>
      <c r="B1359" s="1" t="s">
        <v>1086</v>
      </c>
      <c r="C1359" s="1" t="s">
        <v>1087</v>
      </c>
      <c r="D1359" s="1" t="n">
        <v>132.5</v>
      </c>
      <c r="E1359" s="1" t="n">
        <v>9.76</v>
      </c>
      <c r="F1359" s="1" t="n">
        <v>1</v>
      </c>
    </row>
    <row collapsed="false" customFormat="false" customHeight="false" hidden="false" ht="14.75" outlineLevel="0" r="1360">
      <c r="A1360" s="1" t="s">
        <v>321</v>
      </c>
      <c r="B1360" s="1" t="s">
        <v>1101</v>
      </c>
      <c r="C1360" s="1" t="s">
        <v>1087</v>
      </c>
      <c r="D1360" s="1" t="n">
        <v>73.1</v>
      </c>
      <c r="E1360" s="1" t="n">
        <v>6.43</v>
      </c>
      <c r="F1360" s="1" t="n">
        <v>0.125</v>
      </c>
    </row>
    <row collapsed="false" customFormat="false" customHeight="false" hidden="false" ht="14.75" outlineLevel="0" r="1361">
      <c r="A1361" s="1" t="s">
        <v>322</v>
      </c>
      <c r="B1361" s="1" t="s">
        <v>1101</v>
      </c>
      <c r="C1361" s="1" t="s">
        <v>1087</v>
      </c>
      <c r="D1361" s="1" t="n">
        <v>85.6</v>
      </c>
      <c r="E1361" s="1" t="n">
        <v>6.84</v>
      </c>
      <c r="F1361" s="1" t="n">
        <v>0.375</v>
      </c>
    </row>
    <row collapsed="false" customFormat="false" customHeight="false" hidden="false" ht="14.75" outlineLevel="0" r="1362">
      <c r="A1362" s="1" t="s">
        <v>1152</v>
      </c>
      <c r="B1362" s="1" t="s">
        <v>1110</v>
      </c>
      <c r="C1362" s="1" t="s">
        <v>1087</v>
      </c>
      <c r="D1362" s="1" t="n">
        <v>196.7</v>
      </c>
      <c r="E1362" s="1" t="n">
        <v>8.8</v>
      </c>
      <c r="F1362" s="1" t="n">
        <f aca="false">14/9</f>
        <v>1.55555555555556</v>
      </c>
    </row>
    <row collapsed="false" customFormat="false" customHeight="false" hidden="false" ht="14.75" outlineLevel="0" r="1363">
      <c r="A1363" s="1" t="s">
        <v>447</v>
      </c>
      <c r="B1363" s="1" t="s">
        <v>1110</v>
      </c>
      <c r="C1363" s="1" t="s">
        <v>1087</v>
      </c>
      <c r="D1363" s="1" t="n">
        <v>195</v>
      </c>
      <c r="E1363" s="1" t="n">
        <v>9.7</v>
      </c>
      <c r="F1363" s="1" t="n">
        <f aca="false">6/8</f>
        <v>0.75</v>
      </c>
    </row>
    <row collapsed="false" customFormat="false" customHeight="false" hidden="false" ht="14.75" outlineLevel="0" r="1364">
      <c r="A1364" s="1" t="s">
        <v>447</v>
      </c>
      <c r="B1364" s="1" t="s">
        <v>1102</v>
      </c>
      <c r="C1364" s="1" t="s">
        <v>1087</v>
      </c>
      <c r="D1364" s="1" t="n">
        <v>289</v>
      </c>
      <c r="E1364" s="1" t="n">
        <v>18.42</v>
      </c>
      <c r="F1364" s="1" t="n">
        <v>2.4</v>
      </c>
    </row>
    <row collapsed="false" customFormat="false" customHeight="false" hidden="false" ht="14.75" outlineLevel="0" r="1365">
      <c r="A1365" s="1" t="s">
        <v>448</v>
      </c>
      <c r="B1365" s="1" t="s">
        <v>1110</v>
      </c>
      <c r="C1365" s="1" t="s">
        <v>1087</v>
      </c>
      <c r="D1365" s="1" t="n">
        <v>60.6</v>
      </c>
      <c r="E1365" s="1" t="n">
        <v>4.8</v>
      </c>
      <c r="F1365" s="1" t="n">
        <f aca="false">1/8</f>
        <v>0.125</v>
      </c>
    </row>
    <row collapsed="false" customFormat="false" customHeight="false" hidden="false" ht="14.75" outlineLevel="0" r="1366">
      <c r="A1366" s="1" t="s">
        <v>448</v>
      </c>
      <c r="B1366" s="1" t="s">
        <v>1102</v>
      </c>
      <c r="C1366" s="1" t="s">
        <v>1087</v>
      </c>
      <c r="D1366" s="1" t="n">
        <v>142.5</v>
      </c>
      <c r="E1366" s="1" t="n">
        <v>9.86</v>
      </c>
      <c r="F1366" s="1" t="n">
        <v>0.6</v>
      </c>
    </row>
    <row collapsed="false" customFormat="false" customHeight="false" hidden="false" ht="14.75" outlineLevel="0" r="1367">
      <c r="A1367" s="1" t="s">
        <v>1153</v>
      </c>
      <c r="B1367" s="1" t="s">
        <v>1106</v>
      </c>
      <c r="C1367" s="1" t="s">
        <v>1087</v>
      </c>
      <c r="D1367" s="1" t="n">
        <v>179.4</v>
      </c>
      <c r="E1367" s="1" t="n">
        <v>8.59</v>
      </c>
      <c r="F1367" s="1" t="n">
        <f aca="false">11/9</f>
        <v>1.22222222222222</v>
      </c>
    </row>
    <row collapsed="false" customFormat="false" customHeight="false" hidden="false" ht="14.75" outlineLevel="0" r="1368">
      <c r="A1368" s="1" t="s">
        <v>852</v>
      </c>
      <c r="B1368" s="1" t="s">
        <v>1146</v>
      </c>
      <c r="C1368" s="1" t="s">
        <v>1087</v>
      </c>
      <c r="D1368" s="1" t="n">
        <v>141.2</v>
      </c>
      <c r="E1368" s="1" t="n">
        <v>12.55</v>
      </c>
      <c r="F1368" s="1" t="n">
        <f aca="false">7/8</f>
        <v>0.875</v>
      </c>
    </row>
    <row collapsed="false" customFormat="false" customHeight="false" hidden="false" ht="14.75" outlineLevel="0" r="1369">
      <c r="A1369" s="1" t="s">
        <v>543</v>
      </c>
      <c r="B1369" s="1" t="s">
        <v>1102</v>
      </c>
      <c r="C1369" s="1" t="s">
        <v>1087</v>
      </c>
      <c r="D1369" s="1" t="n">
        <v>469</v>
      </c>
      <c r="E1369" s="1" t="n">
        <v>23.12</v>
      </c>
      <c r="F1369" s="1" t="n">
        <v>5.1</v>
      </c>
    </row>
    <row collapsed="false" customFormat="false" customHeight="false" hidden="false" ht="14.75" outlineLevel="0" r="1370">
      <c r="A1370" s="1" t="s">
        <v>544</v>
      </c>
      <c r="B1370" s="1" t="s">
        <v>1102</v>
      </c>
      <c r="C1370" s="1" t="s">
        <v>1087</v>
      </c>
      <c r="D1370" s="1" t="n">
        <v>289.5</v>
      </c>
      <c r="E1370" s="1" t="n">
        <v>15.95</v>
      </c>
      <c r="F1370" s="1" t="n">
        <v>1.9</v>
      </c>
    </row>
    <row collapsed="false" customFormat="false" customHeight="false" hidden="false" ht="14.75" outlineLevel="0" r="1371">
      <c r="A1371" s="1" t="s">
        <v>119</v>
      </c>
      <c r="B1371" s="1" t="s">
        <v>1134</v>
      </c>
      <c r="C1371" s="1" t="s">
        <v>1087</v>
      </c>
      <c r="D1371" s="1" t="n">
        <v>405.5</v>
      </c>
      <c r="E1371" s="1" t="n">
        <v>20.62</v>
      </c>
      <c r="F1371" s="1" t="n">
        <v>3.9</v>
      </c>
    </row>
    <row collapsed="false" customFormat="false" customHeight="false" hidden="false" ht="14.75" outlineLevel="0" r="1372">
      <c r="A1372" s="1" t="s">
        <v>120</v>
      </c>
      <c r="B1372" s="1" t="s">
        <v>1134</v>
      </c>
      <c r="C1372" s="1" t="s">
        <v>1087</v>
      </c>
      <c r="D1372" s="1" t="n">
        <v>118</v>
      </c>
      <c r="E1372" s="1" t="n">
        <v>10.83</v>
      </c>
      <c r="F1372" s="1" t="n">
        <v>1.1</v>
      </c>
    </row>
    <row collapsed="false" customFormat="false" customHeight="false" hidden="false" ht="14.75" outlineLevel="0" r="1373">
      <c r="A1373" s="1" t="s">
        <v>1154</v>
      </c>
      <c r="B1373" s="1" t="s">
        <v>1127</v>
      </c>
      <c r="C1373" s="1" t="s">
        <v>1087</v>
      </c>
      <c r="D1373" s="1" t="n">
        <v>160</v>
      </c>
      <c r="E1373" s="1" t="n">
        <v>13.91</v>
      </c>
      <c r="F1373" s="1" t="n">
        <f aca="false">8/9</f>
        <v>0.888888888888889</v>
      </c>
    </row>
    <row collapsed="false" customFormat="false" customHeight="false" hidden="false" ht="14.75" outlineLevel="0" r="1374">
      <c r="A1374" s="1" t="s">
        <v>1155</v>
      </c>
      <c r="B1374" s="1" t="s">
        <v>1093</v>
      </c>
      <c r="C1374" s="1" t="s">
        <v>1087</v>
      </c>
      <c r="D1374" s="1" t="n">
        <v>72.5</v>
      </c>
      <c r="E1374" s="1" t="n">
        <v>4.38</v>
      </c>
      <c r="F1374" s="1" t="n">
        <f aca="false">2/6</f>
        <v>0.333333333333333</v>
      </c>
    </row>
    <row collapsed="false" customFormat="false" customHeight="false" hidden="false" ht="14.75" outlineLevel="0" r="1375">
      <c r="A1375" s="1" t="s">
        <v>1156</v>
      </c>
      <c r="B1375" s="1" t="s">
        <v>1093</v>
      </c>
      <c r="C1375" s="1" t="s">
        <v>1087</v>
      </c>
      <c r="D1375" s="1" t="n">
        <v>30.8</v>
      </c>
      <c r="E1375" s="1" t="n">
        <v>3.12</v>
      </c>
      <c r="F1375" s="1" t="n">
        <f aca="false">1/6</f>
        <v>0.166666666666667</v>
      </c>
    </row>
    <row collapsed="false" customFormat="false" customHeight="false" hidden="false" ht="14.75" outlineLevel="0" r="1376">
      <c r="A1376" s="1" t="s">
        <v>1020</v>
      </c>
      <c r="B1376" s="1" t="s">
        <v>1146</v>
      </c>
      <c r="C1376" s="1" t="s">
        <v>1087</v>
      </c>
      <c r="D1376" s="1" t="n">
        <v>161.4</v>
      </c>
      <c r="E1376" s="1" t="n">
        <v>9.73</v>
      </c>
      <c r="F1376" s="1" t="n">
        <f aca="false">8/7</f>
        <v>1.14285714285714</v>
      </c>
    </row>
    <row collapsed="false" customFormat="false" customHeight="false" hidden="false" ht="14.75" outlineLevel="0" r="1377">
      <c r="A1377" s="1" t="s">
        <v>856</v>
      </c>
      <c r="B1377" s="1" t="s">
        <v>1146</v>
      </c>
      <c r="C1377" s="1" t="s">
        <v>1087</v>
      </c>
      <c r="D1377" s="1" t="n">
        <v>231.2</v>
      </c>
      <c r="E1377" s="1" t="n">
        <v>14.8</v>
      </c>
      <c r="F1377" s="1" t="n">
        <f aca="false">16/8</f>
        <v>2</v>
      </c>
    </row>
    <row collapsed="false" customFormat="false" customHeight="false" hidden="false" ht="14.75" outlineLevel="0" r="1378">
      <c r="A1378" s="1" t="s">
        <v>858</v>
      </c>
      <c r="B1378" s="1" t="s">
        <v>1146</v>
      </c>
      <c r="C1378" s="1" t="s">
        <v>1087</v>
      </c>
      <c r="D1378" s="1" t="n">
        <v>110.7</v>
      </c>
      <c r="E1378" s="1" t="n">
        <v>10.75</v>
      </c>
      <c r="F1378" s="1" t="n">
        <f aca="false">6/7</f>
        <v>0.857142857142857</v>
      </c>
    </row>
    <row collapsed="false" customFormat="false" customHeight="false" hidden="false" ht="14.75" outlineLevel="0" r="1379">
      <c r="A1379" s="1" t="s">
        <v>1157</v>
      </c>
      <c r="B1379" s="1" t="s">
        <v>1127</v>
      </c>
      <c r="C1379" s="1" t="s">
        <v>1087</v>
      </c>
      <c r="D1379" s="1" t="n">
        <v>127.9</v>
      </c>
      <c r="E1379" s="1" t="n">
        <v>10.22</v>
      </c>
      <c r="F1379" s="1" t="n">
        <f aca="false">9/7</f>
        <v>1.28571428571429</v>
      </c>
    </row>
    <row collapsed="false" customFormat="false" customHeight="false" hidden="false" ht="14.75" outlineLevel="0" r="1380">
      <c r="A1380" s="1" t="s">
        <v>1158</v>
      </c>
      <c r="B1380" s="1" t="s">
        <v>1127</v>
      </c>
      <c r="C1380" s="1" t="s">
        <v>1087</v>
      </c>
      <c r="D1380" s="1" t="n">
        <v>102.2</v>
      </c>
      <c r="E1380" s="1" t="n">
        <v>9.33</v>
      </c>
      <c r="F1380" s="1" t="n">
        <f aca="false">6/9</f>
        <v>0.666666666666667</v>
      </c>
    </row>
    <row collapsed="false" customFormat="false" customHeight="false" hidden="false" ht="14.75" outlineLevel="0" r="1381">
      <c r="A1381" s="1" t="s">
        <v>1159</v>
      </c>
      <c r="B1381" s="1" t="s">
        <v>1093</v>
      </c>
      <c r="C1381" s="1" t="s">
        <v>1087</v>
      </c>
      <c r="D1381" s="1" t="n">
        <v>101.7</v>
      </c>
      <c r="E1381" s="1" t="n">
        <v>6.05</v>
      </c>
      <c r="F1381" s="1" t="n">
        <f aca="false">5/6</f>
        <v>0.833333333333333</v>
      </c>
    </row>
    <row collapsed="false" customFormat="false" customHeight="false" hidden="false" ht="14.75" outlineLevel="0" r="1382">
      <c r="A1382" s="1" t="s">
        <v>1160</v>
      </c>
      <c r="B1382" s="1" t="s">
        <v>1146</v>
      </c>
      <c r="C1382" s="1" t="s">
        <v>1087</v>
      </c>
      <c r="D1382" s="1" t="n">
        <v>89.2</v>
      </c>
      <c r="E1382" s="1" t="n">
        <v>7.19</v>
      </c>
      <c r="F1382" s="1" t="n">
        <f aca="false">3/7</f>
        <v>0.428571428571429</v>
      </c>
    </row>
    <row collapsed="false" customFormat="false" customHeight="false" hidden="false" ht="14.75" outlineLevel="0" r="1383">
      <c r="A1383" s="1" t="s">
        <v>123</v>
      </c>
      <c r="B1383" s="1" t="s">
        <v>1134</v>
      </c>
      <c r="C1383" s="1" t="s">
        <v>1087</v>
      </c>
      <c r="D1383" s="1" t="n">
        <v>459</v>
      </c>
      <c r="E1383" s="1" t="n">
        <v>21.57</v>
      </c>
      <c r="F1383" s="1" t="n">
        <v>4.9</v>
      </c>
    </row>
    <row collapsed="false" customFormat="false" customHeight="false" hidden="false" ht="14.75" outlineLevel="0" r="1384">
      <c r="A1384" s="1" t="s">
        <v>124</v>
      </c>
      <c r="B1384" s="1" t="s">
        <v>1134</v>
      </c>
      <c r="C1384" s="1" t="s">
        <v>1087</v>
      </c>
      <c r="D1384" s="1" t="n">
        <v>182</v>
      </c>
      <c r="E1384" s="1" t="n">
        <v>12.23</v>
      </c>
      <c r="F1384" s="1" t="n">
        <v>1.3</v>
      </c>
    </row>
    <row collapsed="false" customFormat="false" customHeight="false" hidden="false" ht="14.75" outlineLevel="0" r="1385">
      <c r="A1385" s="1" t="s">
        <v>1161</v>
      </c>
      <c r="B1385" s="1" t="s">
        <v>1134</v>
      </c>
      <c r="C1385" s="1" t="s">
        <v>1087</v>
      </c>
      <c r="D1385" s="1" t="n">
        <v>84</v>
      </c>
      <c r="E1385" s="1" t="n">
        <v>7.98</v>
      </c>
      <c r="F1385" s="1" t="n">
        <v>0.7</v>
      </c>
    </row>
    <row collapsed="false" customFormat="false" customHeight="false" hidden="false" ht="14.75" outlineLevel="0" r="1386">
      <c r="A1386" s="1" t="s">
        <v>1162</v>
      </c>
      <c r="B1386" s="1" t="s">
        <v>1093</v>
      </c>
      <c r="C1386" s="1" t="s">
        <v>1087</v>
      </c>
      <c r="D1386" s="1" t="n">
        <v>112.5</v>
      </c>
      <c r="E1386" s="1" t="n">
        <v>6.55</v>
      </c>
      <c r="F1386" s="1" t="n">
        <f aca="false">2/6</f>
        <v>0.333333333333333</v>
      </c>
    </row>
    <row collapsed="false" customFormat="false" customHeight="false" hidden="false" ht="14.75" outlineLevel="0" r="1387">
      <c r="A1387" s="1" t="s">
        <v>1163</v>
      </c>
      <c r="B1387" s="1" t="s">
        <v>1164</v>
      </c>
      <c r="C1387" s="1" t="s">
        <v>1087</v>
      </c>
      <c r="D1387" s="1" t="n">
        <v>254</v>
      </c>
      <c r="E1387" s="1" t="n">
        <v>13.7</v>
      </c>
      <c r="F1387" s="1" t="n">
        <f aca="false">6/5</f>
        <v>1.2</v>
      </c>
    </row>
    <row collapsed="false" customFormat="false" customHeight="false" hidden="false" ht="14.75" outlineLevel="0" r="1388">
      <c r="A1388" s="1" t="s">
        <v>1165</v>
      </c>
      <c r="B1388" s="1" t="s">
        <v>1121</v>
      </c>
      <c r="C1388" s="1" t="s">
        <v>1087</v>
      </c>
      <c r="D1388" s="1" t="n">
        <v>418</v>
      </c>
      <c r="E1388" s="1" t="n">
        <v>19.7</v>
      </c>
      <c r="F1388" s="1" t="s">
        <v>9</v>
      </c>
    </row>
    <row collapsed="false" customFormat="false" customHeight="false" hidden="false" ht="14.75" outlineLevel="0" r="1389">
      <c r="A1389" s="1" t="s">
        <v>1166</v>
      </c>
      <c r="B1389" s="1" t="s">
        <v>1121</v>
      </c>
      <c r="C1389" s="1" t="s">
        <v>1087</v>
      </c>
      <c r="D1389" s="1" t="n">
        <v>269.4</v>
      </c>
      <c r="E1389" s="1" t="n">
        <v>12.78</v>
      </c>
      <c r="F1389" s="1" t="s">
        <v>9</v>
      </c>
    </row>
    <row collapsed="false" customFormat="false" customHeight="false" hidden="false" ht="14.75" outlineLevel="0" r="1390">
      <c r="A1390" s="1" t="s">
        <v>1167</v>
      </c>
      <c r="B1390" s="1" t="s">
        <v>1112</v>
      </c>
      <c r="C1390" s="1" t="s">
        <v>1087</v>
      </c>
      <c r="D1390" s="1" t="n">
        <v>118.1</v>
      </c>
      <c r="E1390" s="1" t="n">
        <v>6.58</v>
      </c>
      <c r="F1390" s="1" t="s">
        <v>9</v>
      </c>
    </row>
    <row collapsed="false" customFormat="false" customHeight="false" hidden="false" ht="14.75" outlineLevel="0" r="1391">
      <c r="A1391" s="1" t="s">
        <v>1168</v>
      </c>
      <c r="B1391" s="1" t="s">
        <v>1101</v>
      </c>
      <c r="C1391" s="1" t="s">
        <v>1087</v>
      </c>
      <c r="D1391" s="1" t="n">
        <v>308.1</v>
      </c>
      <c r="E1391" s="1" t="n">
        <v>14.47</v>
      </c>
      <c r="F1391" s="1" t="n">
        <v>1.875</v>
      </c>
    </row>
    <row collapsed="false" customFormat="false" customHeight="false" hidden="false" ht="14.75" outlineLevel="0" r="1392">
      <c r="A1392" s="1" t="s">
        <v>1169</v>
      </c>
      <c r="B1392" s="1" t="s">
        <v>1101</v>
      </c>
      <c r="C1392" s="1" t="s">
        <v>1087</v>
      </c>
      <c r="D1392" s="1" t="n">
        <v>91.2</v>
      </c>
      <c r="E1392" s="1" t="n">
        <v>4.62</v>
      </c>
      <c r="F1392" s="1" t="n">
        <v>0.375</v>
      </c>
    </row>
    <row collapsed="false" customFormat="false" customHeight="false" hidden="false" ht="14.75" outlineLevel="0" r="1393">
      <c r="A1393" s="1" t="s">
        <v>1170</v>
      </c>
      <c r="B1393" s="1" t="s">
        <v>1101</v>
      </c>
      <c r="C1393" s="1" t="s">
        <v>1087</v>
      </c>
      <c r="D1393" s="1" t="n">
        <v>305.6</v>
      </c>
      <c r="E1393" s="1" t="n">
        <v>15.07</v>
      </c>
      <c r="F1393" s="1" t="n">
        <v>2.125</v>
      </c>
    </row>
    <row collapsed="false" customFormat="false" customHeight="false" hidden="false" ht="14.75" outlineLevel="0" r="1394">
      <c r="A1394" s="1" t="s">
        <v>1171</v>
      </c>
      <c r="B1394" s="1" t="s">
        <v>1101</v>
      </c>
      <c r="C1394" s="1" t="s">
        <v>1087</v>
      </c>
      <c r="D1394" s="1" t="n">
        <v>134.4</v>
      </c>
      <c r="E1394" s="1" t="n">
        <v>9.57</v>
      </c>
      <c r="F1394" s="1" t="n">
        <v>0.75</v>
      </c>
    </row>
    <row collapsed="false" customFormat="false" customHeight="false" hidden="false" ht="14.75" outlineLevel="0" r="1395">
      <c r="A1395" s="1" t="s">
        <v>554</v>
      </c>
      <c r="B1395" s="1" t="s">
        <v>1102</v>
      </c>
      <c r="C1395" s="1" t="s">
        <v>1087</v>
      </c>
      <c r="D1395" s="1" t="n">
        <v>249</v>
      </c>
      <c r="E1395" s="1" t="n">
        <v>17.07</v>
      </c>
      <c r="F1395" s="1" t="n">
        <v>2.1</v>
      </c>
    </row>
    <row collapsed="false" customFormat="false" customHeight="false" hidden="false" ht="14.75" outlineLevel="0" r="1396">
      <c r="A1396" s="1" t="s">
        <v>555</v>
      </c>
      <c r="B1396" s="1" t="s">
        <v>1102</v>
      </c>
      <c r="C1396" s="1" t="s">
        <v>1087</v>
      </c>
      <c r="D1396" s="1" t="n">
        <v>137</v>
      </c>
      <c r="E1396" s="1" t="n">
        <v>10.29</v>
      </c>
      <c r="F1396" s="1" t="n">
        <v>0.5</v>
      </c>
    </row>
    <row collapsed="false" customFormat="false" customHeight="false" hidden="false" ht="14.75" outlineLevel="0" r="1397">
      <c r="A1397" s="1" t="s">
        <v>1172</v>
      </c>
      <c r="B1397" s="1" t="s">
        <v>1102</v>
      </c>
      <c r="C1397" s="1" t="s">
        <v>1087</v>
      </c>
      <c r="D1397" s="1" t="n">
        <v>55.5</v>
      </c>
      <c r="E1397" s="1" t="n">
        <v>7.14</v>
      </c>
      <c r="F1397" s="1" t="n">
        <v>0.3</v>
      </c>
    </row>
    <row collapsed="false" customFormat="false" customHeight="false" hidden="false" ht="14.75" outlineLevel="0" r="1398">
      <c r="A1398" s="1" t="s">
        <v>1173</v>
      </c>
      <c r="B1398" s="1" t="s">
        <v>1102</v>
      </c>
      <c r="C1398" s="1" t="s">
        <v>1087</v>
      </c>
      <c r="D1398" s="1" t="n">
        <v>180</v>
      </c>
      <c r="E1398" s="1" t="n">
        <v>12.53</v>
      </c>
      <c r="F1398" s="1" t="n">
        <v>1</v>
      </c>
    </row>
    <row collapsed="false" customFormat="false" customHeight="false" hidden="false" ht="14.75" outlineLevel="0" r="1399">
      <c r="A1399" s="1" t="s">
        <v>1174</v>
      </c>
      <c r="B1399" s="1" t="s">
        <v>1102</v>
      </c>
      <c r="C1399" s="1" t="s">
        <v>1087</v>
      </c>
      <c r="D1399" s="1" t="n">
        <v>89</v>
      </c>
      <c r="E1399" s="1" t="n">
        <v>7.09</v>
      </c>
      <c r="F1399" s="1" t="n">
        <v>0.5</v>
      </c>
    </row>
    <row collapsed="false" customFormat="false" customHeight="false" hidden="false" ht="14.75" outlineLevel="0" r="1400">
      <c r="A1400" s="1" t="s">
        <v>1175</v>
      </c>
      <c r="B1400" s="1" t="s">
        <v>1164</v>
      </c>
      <c r="C1400" s="1" t="s">
        <v>1087</v>
      </c>
      <c r="D1400" s="1" t="n">
        <v>119</v>
      </c>
      <c r="E1400" s="1" t="n">
        <v>10.33</v>
      </c>
      <c r="F1400" s="1" t="n">
        <v>0</v>
      </c>
    </row>
    <row collapsed="false" customFormat="false" customHeight="false" hidden="false" ht="14.75" outlineLevel="0" r="1401">
      <c r="A1401" s="1" t="s">
        <v>1176</v>
      </c>
      <c r="B1401" s="1" t="s">
        <v>1127</v>
      </c>
      <c r="C1401" s="1" t="s">
        <v>1087</v>
      </c>
      <c r="D1401" s="1" t="n">
        <v>198.9</v>
      </c>
      <c r="E1401" s="1" t="n">
        <v>14.51</v>
      </c>
      <c r="F1401" s="1" t="n">
        <f aca="false">20/9</f>
        <v>2.22222222222222</v>
      </c>
    </row>
    <row collapsed="false" customFormat="false" customHeight="false" hidden="false" ht="14.75" outlineLevel="0" r="1402">
      <c r="A1402" s="1" t="s">
        <v>1177</v>
      </c>
      <c r="B1402" s="1" t="s">
        <v>1127</v>
      </c>
      <c r="C1402" s="1" t="s">
        <v>1087</v>
      </c>
      <c r="D1402" s="1" t="n">
        <v>158.9</v>
      </c>
      <c r="E1402" s="1" t="n">
        <v>10.68</v>
      </c>
      <c r="F1402" s="1" t="n">
        <f aca="false">12/9</f>
        <v>1.33333333333333</v>
      </c>
    </row>
    <row collapsed="false" customFormat="false" customHeight="false" hidden="false" ht="14.75" outlineLevel="0" r="1403">
      <c r="A1403" s="1" t="s">
        <v>127</v>
      </c>
      <c r="B1403" s="1" t="s">
        <v>1100</v>
      </c>
      <c r="C1403" s="1" t="s">
        <v>1087</v>
      </c>
      <c r="D1403" s="1" t="n">
        <v>269.4</v>
      </c>
      <c r="E1403" s="1" t="n">
        <v>16.62</v>
      </c>
      <c r="F1403" s="1" t="n">
        <f aca="false">21/9</f>
        <v>2.33333333333333</v>
      </c>
    </row>
    <row collapsed="false" customFormat="false" customHeight="false" hidden="false" ht="14.75" outlineLevel="0" r="1404">
      <c r="A1404" s="1" t="s">
        <v>129</v>
      </c>
      <c r="B1404" s="1" t="s">
        <v>1101</v>
      </c>
      <c r="C1404" s="1" t="s">
        <v>1087</v>
      </c>
      <c r="D1404" s="1" t="n">
        <v>146.9</v>
      </c>
      <c r="E1404" s="1" t="n">
        <v>8.7</v>
      </c>
      <c r="F1404" s="1" t="n">
        <v>1</v>
      </c>
    </row>
    <row collapsed="false" customFormat="false" customHeight="false" hidden="false" ht="14.75" outlineLevel="0" r="1405">
      <c r="A1405" s="1" t="s">
        <v>1178</v>
      </c>
      <c r="B1405" s="1" t="s">
        <v>1101</v>
      </c>
      <c r="C1405" s="1" t="s">
        <v>1087</v>
      </c>
      <c r="D1405" s="1" t="n">
        <v>151.2</v>
      </c>
      <c r="E1405" s="1" t="n">
        <v>10.42</v>
      </c>
      <c r="F1405" s="1" t="n">
        <v>0.625</v>
      </c>
    </row>
    <row collapsed="false" customFormat="false" customHeight="false" hidden="false" ht="14.75" outlineLevel="0" r="1406">
      <c r="A1406" s="1" t="s">
        <v>334</v>
      </c>
      <c r="B1406" s="1" t="s">
        <v>1164</v>
      </c>
      <c r="C1406" s="1" t="s">
        <v>1087</v>
      </c>
      <c r="D1406" s="1" t="n">
        <v>208</v>
      </c>
      <c r="E1406" s="1" t="n">
        <v>11.49</v>
      </c>
      <c r="F1406" s="1" t="n">
        <v>1.8</v>
      </c>
    </row>
    <row collapsed="false" customFormat="false" customHeight="false" hidden="false" ht="14.75" outlineLevel="0" r="1407">
      <c r="A1407" s="1" t="s">
        <v>335</v>
      </c>
      <c r="B1407" s="1" t="s">
        <v>1164</v>
      </c>
      <c r="C1407" s="1" t="s">
        <v>1087</v>
      </c>
      <c r="D1407" s="1" t="n">
        <v>18</v>
      </c>
      <c r="E1407" s="1" t="n">
        <v>4.29</v>
      </c>
      <c r="F1407" s="1" t="n">
        <v>0</v>
      </c>
    </row>
    <row collapsed="false" customFormat="false" customHeight="false" hidden="false" ht="14.75" outlineLevel="0" r="1408">
      <c r="A1408" s="1" t="s">
        <v>864</v>
      </c>
      <c r="B1408" s="1" t="s">
        <v>1086</v>
      </c>
      <c r="C1408" s="1" t="s">
        <v>1087</v>
      </c>
      <c r="D1408" s="1" t="n">
        <v>239.4</v>
      </c>
      <c r="E1408" s="1" t="n">
        <v>13.93</v>
      </c>
      <c r="F1408" s="1" t="n">
        <f aca="false">21/9</f>
        <v>2.33333333333333</v>
      </c>
    </row>
    <row collapsed="false" customFormat="false" customHeight="false" hidden="false" ht="14.75" outlineLevel="0" r="1409">
      <c r="A1409" s="1" t="s">
        <v>1179</v>
      </c>
      <c r="B1409" s="1" t="s">
        <v>1086</v>
      </c>
      <c r="C1409" s="1" t="s">
        <v>1087</v>
      </c>
      <c r="D1409" s="1" t="n">
        <v>77.1</v>
      </c>
      <c r="E1409" s="1" t="n">
        <v>8.91</v>
      </c>
      <c r="F1409" s="1" t="n">
        <f aca="false">1/7</f>
        <v>0.142857142857143</v>
      </c>
    </row>
    <row collapsed="false" customFormat="false" customHeight="false" hidden="false" ht="14.75" outlineLevel="0" r="1410">
      <c r="A1410" s="1" t="s">
        <v>1180</v>
      </c>
      <c r="B1410" s="1" t="s">
        <v>1119</v>
      </c>
      <c r="C1410" s="1" t="s">
        <v>1087</v>
      </c>
      <c r="D1410" s="1" t="n">
        <v>218.6</v>
      </c>
      <c r="E1410" s="1" t="n">
        <v>11.67</v>
      </c>
      <c r="F1410" s="1" t="n">
        <f aca="false">16/11</f>
        <v>1.45454545454545</v>
      </c>
    </row>
    <row collapsed="false" customFormat="false" customHeight="false" hidden="false" ht="14.75" outlineLevel="0" r="1411">
      <c r="A1411" s="1" t="s">
        <v>1181</v>
      </c>
      <c r="B1411" s="1" t="s">
        <v>1106</v>
      </c>
      <c r="C1411" s="1" t="s">
        <v>1087</v>
      </c>
      <c r="D1411" s="1" t="n">
        <v>106.9</v>
      </c>
      <c r="E1411" s="1" t="n">
        <v>6.43</v>
      </c>
      <c r="F1411" s="1" t="n">
        <f aca="false">5/8</f>
        <v>0.625</v>
      </c>
    </row>
    <row collapsed="false" customFormat="false" customHeight="false" hidden="false" ht="14.75" outlineLevel="0" r="1412">
      <c r="A1412" s="1" t="s">
        <v>1182</v>
      </c>
      <c r="B1412" s="1" t="s">
        <v>1106</v>
      </c>
      <c r="C1412" s="1" t="s">
        <v>1087</v>
      </c>
      <c r="D1412" s="1" t="n">
        <v>206.9</v>
      </c>
      <c r="E1412" s="1" t="n">
        <v>9.26</v>
      </c>
      <c r="F1412" s="1" t="n">
        <f aca="false">4/8</f>
        <v>0.5</v>
      </c>
    </row>
    <row collapsed="false" customFormat="false" customHeight="false" hidden="false" ht="14.75" outlineLevel="0" r="1413">
      <c r="A1413" s="1" t="s">
        <v>1183</v>
      </c>
      <c r="B1413" s="1" t="s">
        <v>1101</v>
      </c>
      <c r="C1413" s="1" t="s">
        <v>1087</v>
      </c>
      <c r="D1413" s="1" t="n">
        <v>224.4</v>
      </c>
      <c r="E1413" s="1" t="n">
        <v>11.33</v>
      </c>
      <c r="F1413" s="1" t="n">
        <v>1.875</v>
      </c>
    </row>
    <row collapsed="false" customFormat="false" customHeight="false" hidden="false" ht="14.75" outlineLevel="0" r="1414">
      <c r="A1414" s="1" t="s">
        <v>1184</v>
      </c>
      <c r="B1414" s="1" t="s">
        <v>1101</v>
      </c>
      <c r="C1414" s="1" t="s">
        <v>1087</v>
      </c>
      <c r="D1414" s="1" t="n">
        <v>149.4</v>
      </c>
      <c r="E1414" s="1" t="n">
        <v>8.3</v>
      </c>
      <c r="F1414" s="1" t="n">
        <v>0.875</v>
      </c>
    </row>
    <row collapsed="false" customFormat="false" customHeight="false" hidden="false" ht="14.75" outlineLevel="0" r="1415">
      <c r="A1415" s="1" t="s">
        <v>867</v>
      </c>
      <c r="B1415" s="1" t="s">
        <v>1093</v>
      </c>
      <c r="C1415" s="1" t="s">
        <v>1087</v>
      </c>
      <c r="D1415" s="1" t="n">
        <v>260.7</v>
      </c>
      <c r="E1415" s="1" t="n">
        <v>13.35</v>
      </c>
      <c r="F1415" s="1" t="n">
        <v>1</v>
      </c>
    </row>
    <row collapsed="false" customFormat="false" customHeight="false" hidden="false" ht="14.75" outlineLevel="0" r="1416">
      <c r="A1416" s="1" t="s">
        <v>689</v>
      </c>
      <c r="B1416" s="1" t="s">
        <v>1101</v>
      </c>
      <c r="C1416" s="1" t="s">
        <v>1087</v>
      </c>
      <c r="D1416" s="1" t="n">
        <v>232.5</v>
      </c>
      <c r="E1416" s="1" t="n">
        <v>10.95</v>
      </c>
      <c r="F1416" s="1" t="n">
        <v>1.25</v>
      </c>
    </row>
    <row collapsed="false" customFormat="false" customHeight="false" hidden="false" ht="14.75" outlineLevel="0" r="1417">
      <c r="A1417" s="1" t="s">
        <v>690</v>
      </c>
      <c r="B1417" s="1" t="s">
        <v>1101</v>
      </c>
      <c r="C1417" s="1" t="s">
        <v>1087</v>
      </c>
      <c r="D1417" s="1" t="n">
        <v>117.5</v>
      </c>
      <c r="E1417" s="1" t="n">
        <v>7.07</v>
      </c>
      <c r="F1417" s="1" t="n">
        <v>0.75</v>
      </c>
    </row>
    <row collapsed="false" customFormat="false" customHeight="false" hidden="false" ht="14.75" outlineLevel="0" r="1418">
      <c r="A1418" s="1" t="s">
        <v>1185</v>
      </c>
      <c r="B1418" s="1" t="s">
        <v>1101</v>
      </c>
      <c r="C1418" s="1" t="s">
        <v>1087</v>
      </c>
      <c r="D1418" s="1" t="n">
        <v>215.6</v>
      </c>
      <c r="E1418" s="1" t="n">
        <v>10.41</v>
      </c>
      <c r="F1418" s="1" t="n">
        <v>1.125</v>
      </c>
    </row>
    <row collapsed="false" customFormat="false" customHeight="false" hidden="false" ht="14.75" outlineLevel="0" r="1419">
      <c r="A1419" s="1" t="s">
        <v>1186</v>
      </c>
      <c r="B1419" s="1" t="s">
        <v>1101</v>
      </c>
      <c r="C1419" s="1" t="s">
        <v>1087</v>
      </c>
      <c r="D1419" s="1" t="n">
        <v>230</v>
      </c>
      <c r="E1419" s="1" t="n">
        <v>12.13</v>
      </c>
      <c r="F1419" s="1" t="n">
        <v>1.5</v>
      </c>
    </row>
    <row collapsed="false" customFormat="false" customHeight="false" hidden="false" ht="14.75" outlineLevel="0" r="1420">
      <c r="A1420" s="1" t="s">
        <v>691</v>
      </c>
      <c r="B1420" s="1" t="s">
        <v>1187</v>
      </c>
      <c r="C1420" s="1" t="s">
        <v>1087</v>
      </c>
      <c r="D1420" s="1" t="n">
        <v>323.9</v>
      </c>
      <c r="E1420" s="1" t="n">
        <v>18.53</v>
      </c>
      <c r="F1420" s="1" t="n">
        <f aca="false">13/9</f>
        <v>1.44444444444444</v>
      </c>
    </row>
    <row collapsed="false" customFormat="false" customHeight="false" hidden="false" ht="14.75" outlineLevel="0" r="1421">
      <c r="A1421" s="1" t="s">
        <v>692</v>
      </c>
      <c r="B1421" s="1" t="s">
        <v>1187</v>
      </c>
      <c r="C1421" s="1" t="s">
        <v>1087</v>
      </c>
      <c r="D1421" s="1" t="n">
        <v>210.6</v>
      </c>
      <c r="E1421" s="1" t="n">
        <v>11.3</v>
      </c>
      <c r="F1421" s="1" t="n">
        <f aca="false">8/9</f>
        <v>0.888888888888889</v>
      </c>
    </row>
    <row collapsed="false" customFormat="false" customHeight="false" hidden="false" ht="14.75" outlineLevel="0" r="1422">
      <c r="A1422" s="1" t="s">
        <v>206</v>
      </c>
      <c r="B1422" s="1" t="s">
        <v>1097</v>
      </c>
      <c r="C1422" s="1" t="s">
        <v>1087</v>
      </c>
      <c r="D1422" s="1" t="n">
        <v>337.7</v>
      </c>
      <c r="E1422" s="1" t="n">
        <v>19.48</v>
      </c>
      <c r="F1422" s="1" t="n">
        <f aca="false">35/11</f>
        <v>3.18181818181818</v>
      </c>
    </row>
    <row collapsed="false" customFormat="false" customHeight="false" hidden="false" ht="14.75" outlineLevel="0" r="1423">
      <c r="A1423" s="1" t="s">
        <v>207</v>
      </c>
      <c r="B1423" s="1" t="s">
        <v>1097</v>
      </c>
      <c r="C1423" s="1" t="s">
        <v>1087</v>
      </c>
      <c r="D1423" s="1" t="n">
        <v>120.6</v>
      </c>
      <c r="E1423" s="1" t="n">
        <v>10.42</v>
      </c>
      <c r="F1423" s="1" t="n">
        <f aca="false">4/9</f>
        <v>0.444444444444444</v>
      </c>
    </row>
    <row collapsed="false" customFormat="false" customHeight="false" hidden="false" ht="14.75" outlineLevel="0" r="1424">
      <c r="A1424" s="1" t="s">
        <v>1188</v>
      </c>
      <c r="B1424" s="1" t="s">
        <v>1097</v>
      </c>
      <c r="C1424" s="1" t="s">
        <v>1087</v>
      </c>
      <c r="D1424" s="1" t="n">
        <v>89</v>
      </c>
      <c r="E1424" s="1" t="n">
        <v>6.16</v>
      </c>
      <c r="F1424" s="1" t="n">
        <f aca="false">4/10</f>
        <v>0.4</v>
      </c>
    </row>
    <row collapsed="false" customFormat="false" customHeight="false" hidden="false" ht="14.75" outlineLevel="0" r="1425">
      <c r="A1425" s="1" t="s">
        <v>1189</v>
      </c>
      <c r="B1425" s="1" t="s">
        <v>1097</v>
      </c>
      <c r="C1425" s="1" t="s">
        <v>1087</v>
      </c>
      <c r="D1425" s="1" t="n">
        <v>63.5</v>
      </c>
      <c r="E1425" s="1" t="n">
        <v>6.25</v>
      </c>
      <c r="F1425" s="1" t="n">
        <f aca="false">3/10</f>
        <v>0.3</v>
      </c>
    </row>
    <row collapsed="false" customFormat="false" customHeight="false" hidden="false" ht="14.75" outlineLevel="0" r="1426">
      <c r="A1426" s="1" t="s">
        <v>1190</v>
      </c>
      <c r="B1426" s="1" t="s">
        <v>1093</v>
      </c>
      <c r="C1426" s="1" t="s">
        <v>1087</v>
      </c>
      <c r="D1426" s="1" t="n">
        <v>84.2</v>
      </c>
      <c r="E1426" s="1" t="n">
        <v>7.24</v>
      </c>
      <c r="F1426" s="1" t="n">
        <v>0.5</v>
      </c>
    </row>
    <row collapsed="false" customFormat="false" customHeight="false" hidden="false" ht="14.75" outlineLevel="0" r="1427">
      <c r="A1427" s="1" t="s">
        <v>1191</v>
      </c>
      <c r="B1427" s="1" t="s">
        <v>1093</v>
      </c>
      <c r="C1427" s="1" t="s">
        <v>1087</v>
      </c>
      <c r="D1427" s="1" t="n">
        <v>185.8</v>
      </c>
      <c r="E1427" s="1" t="n">
        <v>10.65</v>
      </c>
      <c r="F1427" s="1" t="n">
        <f aca="false">5/7</f>
        <v>0.714285714285714</v>
      </c>
    </row>
    <row collapsed="false" customFormat="false" customHeight="false" hidden="false" ht="14.75" outlineLevel="0" r="1428">
      <c r="A1428" s="1" t="s">
        <v>1192</v>
      </c>
      <c r="B1428" s="1" t="s">
        <v>1093</v>
      </c>
      <c r="C1428" s="1" t="s">
        <v>1087</v>
      </c>
      <c r="D1428" s="1" t="n">
        <v>57.5</v>
      </c>
      <c r="E1428" s="1" t="n">
        <v>4.4</v>
      </c>
      <c r="F1428" s="1" t="n">
        <v>0</v>
      </c>
    </row>
    <row collapsed="false" customFormat="false" customHeight="false" hidden="false" ht="14.75" outlineLevel="0" r="1429">
      <c r="A1429" s="1" t="s">
        <v>1193</v>
      </c>
      <c r="B1429" s="1" t="s">
        <v>1093</v>
      </c>
      <c r="C1429" s="1" t="s">
        <v>1087</v>
      </c>
      <c r="D1429" s="1" t="n">
        <v>33.3</v>
      </c>
      <c r="E1429" s="1" t="n">
        <v>5.38</v>
      </c>
      <c r="F1429" s="1" t="n">
        <f aca="false">1/6</f>
        <v>0.166666666666667</v>
      </c>
    </row>
    <row collapsed="false" customFormat="false" customHeight="false" hidden="false" ht="14.75" outlineLevel="0" r="1430">
      <c r="A1430" s="1" t="s">
        <v>562</v>
      </c>
      <c r="B1430" s="1" t="s">
        <v>1093</v>
      </c>
      <c r="C1430" s="1" t="s">
        <v>1087</v>
      </c>
      <c r="D1430" s="1" t="n">
        <v>125.7</v>
      </c>
      <c r="E1430" s="1" t="n">
        <v>8.16</v>
      </c>
      <c r="F1430" s="1" t="n">
        <f aca="false">3/7</f>
        <v>0.428571428571429</v>
      </c>
    </row>
    <row collapsed="false" customFormat="false" customHeight="false" hidden="false" ht="14.75" outlineLevel="0" r="1431">
      <c r="A1431" s="1" t="s">
        <v>563</v>
      </c>
      <c r="B1431" s="1" t="s">
        <v>1093</v>
      </c>
      <c r="C1431" s="1" t="s">
        <v>1087</v>
      </c>
      <c r="D1431" s="1" t="n">
        <v>125</v>
      </c>
      <c r="E1431" s="1" t="n">
        <v>7.74</v>
      </c>
      <c r="F1431" s="1" t="n">
        <f aca="false">4/6</f>
        <v>0.666666666666667</v>
      </c>
    </row>
    <row collapsed="false" customFormat="false" customHeight="false" hidden="false" ht="14.75" outlineLevel="0" r="1432">
      <c r="A1432" s="1" t="s">
        <v>1194</v>
      </c>
      <c r="B1432" s="1" t="s">
        <v>1093</v>
      </c>
      <c r="C1432" s="1" t="s">
        <v>1087</v>
      </c>
      <c r="D1432" s="1" t="n">
        <v>100</v>
      </c>
      <c r="E1432" s="1" t="n">
        <v>5.95</v>
      </c>
      <c r="F1432" s="1" t="n">
        <f aca="false">4/6</f>
        <v>0.666666666666667</v>
      </c>
    </row>
    <row collapsed="false" customFormat="false" customHeight="false" hidden="false" ht="14.75" outlineLevel="0" r="1433">
      <c r="A1433" s="1" t="s">
        <v>339</v>
      </c>
      <c r="B1433" s="1" t="s">
        <v>1164</v>
      </c>
      <c r="C1433" s="1" t="s">
        <v>1087</v>
      </c>
      <c r="D1433" s="1" t="n">
        <v>299</v>
      </c>
      <c r="E1433" s="1" t="n">
        <v>18.56</v>
      </c>
      <c r="F1433" s="1" t="n">
        <f aca="false">22/5</f>
        <v>4.4</v>
      </c>
    </row>
    <row collapsed="false" customFormat="false" customHeight="false" hidden="false" ht="14.75" outlineLevel="0" r="1434">
      <c r="A1434" s="1" t="s">
        <v>564</v>
      </c>
      <c r="B1434" s="1" t="s">
        <v>1164</v>
      </c>
      <c r="C1434" s="1" t="s">
        <v>1087</v>
      </c>
      <c r="D1434" s="1" t="n">
        <v>269</v>
      </c>
      <c r="E1434" s="1" t="n">
        <v>15.19</v>
      </c>
      <c r="F1434" s="1" t="n">
        <f aca="false">9/5</f>
        <v>1.8</v>
      </c>
    </row>
    <row collapsed="false" customFormat="false" customHeight="false" hidden="false" ht="14.75" outlineLevel="0" r="1435">
      <c r="A1435" s="1" t="s">
        <v>881</v>
      </c>
      <c r="B1435" s="1" t="s">
        <v>1146</v>
      </c>
      <c r="C1435" s="1" t="s">
        <v>1087</v>
      </c>
      <c r="D1435" s="1" t="n">
        <v>130.7</v>
      </c>
      <c r="E1435" s="1" t="n">
        <v>9.78</v>
      </c>
      <c r="F1435" s="1" t="n">
        <f aca="false">9/7</f>
        <v>1.28571428571429</v>
      </c>
    </row>
    <row collapsed="false" customFormat="false" customHeight="false" hidden="false" ht="14.75" outlineLevel="0" r="1436">
      <c r="A1436" s="1" t="s">
        <v>1195</v>
      </c>
      <c r="B1436" s="1" t="s">
        <v>1101</v>
      </c>
      <c r="C1436" s="1" t="s">
        <v>1087</v>
      </c>
      <c r="D1436" s="1" t="n">
        <v>175</v>
      </c>
      <c r="E1436" s="1" t="n">
        <v>9.54</v>
      </c>
      <c r="F1436" s="1" t="n">
        <v>0.375</v>
      </c>
    </row>
    <row collapsed="false" customFormat="false" customHeight="false" hidden="false" ht="14.75" outlineLevel="0" r="1437">
      <c r="A1437" s="1" t="s">
        <v>1196</v>
      </c>
      <c r="B1437" s="1" t="s">
        <v>1101</v>
      </c>
      <c r="C1437" s="1" t="s">
        <v>1087</v>
      </c>
      <c r="D1437" s="1" t="n">
        <v>90.6</v>
      </c>
      <c r="E1437" s="1" t="n">
        <v>5.71</v>
      </c>
      <c r="F1437" s="1" t="n">
        <v>0.125</v>
      </c>
    </row>
    <row collapsed="false" customFormat="false" customHeight="false" hidden="false" ht="14.75" outlineLevel="0" r="1438">
      <c r="A1438" s="1" t="s">
        <v>1197</v>
      </c>
      <c r="B1438" s="1" t="s">
        <v>1134</v>
      </c>
      <c r="C1438" s="1" t="s">
        <v>1087</v>
      </c>
      <c r="D1438" s="1" t="n">
        <v>180.5</v>
      </c>
      <c r="E1438" s="1" t="n">
        <v>12.68</v>
      </c>
      <c r="F1438" s="1" t="n">
        <v>1.2</v>
      </c>
    </row>
    <row collapsed="false" customFormat="false" customHeight="false" hidden="false" ht="14.75" outlineLevel="0" r="1439">
      <c r="A1439" s="1" t="s">
        <v>1198</v>
      </c>
      <c r="B1439" s="1" t="s">
        <v>1134</v>
      </c>
      <c r="C1439" s="1" t="s">
        <v>1087</v>
      </c>
      <c r="D1439" s="1" t="n">
        <v>76</v>
      </c>
      <c r="E1439" s="1" t="n">
        <v>7.67</v>
      </c>
      <c r="F1439" s="1" t="n">
        <v>0.3</v>
      </c>
    </row>
    <row collapsed="false" customFormat="false" customHeight="false" hidden="false" ht="14.75" outlineLevel="0" r="1440">
      <c r="A1440" s="1" t="s">
        <v>1199</v>
      </c>
      <c r="B1440" s="1" t="s">
        <v>1086</v>
      </c>
      <c r="C1440" s="1" t="s">
        <v>1087</v>
      </c>
      <c r="D1440" s="1" t="n">
        <v>208.6</v>
      </c>
      <c r="E1440" s="1" t="n">
        <v>13.12</v>
      </c>
      <c r="F1440" s="1" t="n">
        <f aca="false">8/7</f>
        <v>1.14285714285714</v>
      </c>
    </row>
    <row collapsed="false" customFormat="false" customHeight="false" hidden="false" ht="14.75" outlineLevel="0" r="1441">
      <c r="A1441" s="1" t="s">
        <v>1200</v>
      </c>
      <c r="B1441" s="1" t="s">
        <v>1101</v>
      </c>
      <c r="C1441" s="1" t="s">
        <v>1087</v>
      </c>
      <c r="D1441" s="1" t="n">
        <v>250</v>
      </c>
      <c r="E1441" s="1" t="n">
        <v>12.05</v>
      </c>
      <c r="F1441" s="1" t="n">
        <v>1.375</v>
      </c>
    </row>
    <row collapsed="false" customFormat="false" customHeight="false" hidden="false" ht="14.75" outlineLevel="0" r="1442">
      <c r="A1442" s="1" t="s">
        <v>1201</v>
      </c>
      <c r="B1442" s="1" t="s">
        <v>1101</v>
      </c>
      <c r="C1442" s="1" t="s">
        <v>1087</v>
      </c>
      <c r="D1442" s="1" t="n">
        <v>112.5</v>
      </c>
      <c r="E1442" s="1" t="n">
        <v>7.14</v>
      </c>
      <c r="F1442" s="1" t="n">
        <v>0.25</v>
      </c>
    </row>
    <row collapsed="false" customFormat="false" customHeight="false" hidden="false" ht="14.75" outlineLevel="0" r="1443">
      <c r="A1443" s="1" t="s">
        <v>1202</v>
      </c>
      <c r="B1443" s="1" t="s">
        <v>1093</v>
      </c>
      <c r="C1443" s="1" t="s">
        <v>1087</v>
      </c>
      <c r="D1443" s="1" t="n">
        <v>196.4</v>
      </c>
      <c r="E1443" s="1" t="n">
        <v>12.38</v>
      </c>
      <c r="F1443" s="1" t="n">
        <f aca="false">4/7</f>
        <v>0.571428571428571</v>
      </c>
    </row>
    <row collapsed="false" customFormat="false" customHeight="false" hidden="false" ht="14.75" outlineLevel="0" r="1444">
      <c r="A1444" s="1" t="s">
        <v>1203</v>
      </c>
      <c r="B1444" s="1" t="s">
        <v>1093</v>
      </c>
      <c r="C1444" s="1" t="s">
        <v>1087</v>
      </c>
      <c r="D1444" s="1" t="n">
        <v>197.9</v>
      </c>
      <c r="E1444" s="1" t="n">
        <v>12.87</v>
      </c>
      <c r="F1444" s="1" t="n">
        <f aca="false">6/7</f>
        <v>0.857142857142857</v>
      </c>
    </row>
    <row collapsed="false" customFormat="false" customHeight="false" hidden="false" ht="14.75" outlineLevel="0" r="1445">
      <c r="A1445" s="1" t="s">
        <v>885</v>
      </c>
      <c r="B1445" s="1" t="s">
        <v>1086</v>
      </c>
      <c r="C1445" s="1" t="s">
        <v>1087</v>
      </c>
      <c r="D1445" s="1" t="n">
        <v>229.2</v>
      </c>
      <c r="E1445" s="1" t="n">
        <v>12.7</v>
      </c>
      <c r="F1445" s="1" t="n">
        <v>1</v>
      </c>
    </row>
    <row collapsed="false" customFormat="false" customHeight="false" hidden="false" ht="14.75" outlineLevel="0" r="1446">
      <c r="A1446" s="1" t="s">
        <v>211</v>
      </c>
      <c r="B1446" s="1" t="s">
        <v>1097</v>
      </c>
      <c r="C1446" s="1" t="s">
        <v>1087</v>
      </c>
      <c r="D1446" s="1" t="n">
        <v>523.8</v>
      </c>
      <c r="E1446" s="1" t="n">
        <v>24.36</v>
      </c>
      <c r="F1446" s="1" t="n">
        <f aca="false">99/12</f>
        <v>8.25</v>
      </c>
    </row>
    <row collapsed="false" customFormat="false" customHeight="false" hidden="false" ht="14.75" outlineLevel="0" r="1447">
      <c r="A1447" s="1" t="s">
        <v>212</v>
      </c>
      <c r="B1447" s="1" t="s">
        <v>1097</v>
      </c>
      <c r="C1447" s="1" t="s">
        <v>1087</v>
      </c>
      <c r="D1447" s="1" t="n">
        <v>282.3</v>
      </c>
      <c r="E1447" s="1" t="n">
        <v>16.27</v>
      </c>
      <c r="F1447" s="1" t="n">
        <f aca="false">29/11</f>
        <v>2.63636363636364</v>
      </c>
    </row>
    <row collapsed="false" customFormat="false" customHeight="false" hidden="false" ht="14.75" outlineLevel="0" r="1448">
      <c r="A1448" s="1" t="s">
        <v>213</v>
      </c>
      <c r="B1448" s="1" t="s">
        <v>1097</v>
      </c>
      <c r="C1448" s="1" t="s">
        <v>1087</v>
      </c>
      <c r="D1448" s="1" t="n">
        <v>125.7</v>
      </c>
      <c r="E1448" s="1" t="n">
        <v>9.35</v>
      </c>
      <c r="F1448" s="1" t="n">
        <f aca="false">3/7</f>
        <v>0.428571428571429</v>
      </c>
    </row>
    <row collapsed="false" customFormat="false" customHeight="false" hidden="false" ht="14.75" outlineLevel="0" r="1449">
      <c r="A1449" s="1" t="s">
        <v>214</v>
      </c>
      <c r="B1449" s="1" t="s">
        <v>1097</v>
      </c>
      <c r="C1449" s="1" t="s">
        <v>1087</v>
      </c>
      <c r="D1449" s="1" t="n">
        <v>126.4</v>
      </c>
      <c r="E1449" s="1" t="n">
        <v>9.57</v>
      </c>
      <c r="F1449" s="1" t="n">
        <f aca="false">4/7</f>
        <v>0.571428571428571</v>
      </c>
    </row>
    <row collapsed="false" customFormat="false" customHeight="false" hidden="false" ht="14.75" outlineLevel="0" r="1450">
      <c r="A1450" s="1" t="s">
        <v>1204</v>
      </c>
      <c r="B1450" s="1" t="s">
        <v>1101</v>
      </c>
      <c r="C1450" s="1" t="s">
        <v>1087</v>
      </c>
      <c r="D1450" s="1" t="n">
        <v>150</v>
      </c>
      <c r="E1450" s="1" t="n">
        <v>7.86</v>
      </c>
      <c r="F1450" s="1" t="n">
        <v>0.75</v>
      </c>
    </row>
    <row collapsed="false" customFormat="false" customHeight="false" hidden="false" ht="14.75" outlineLevel="0" r="1451">
      <c r="A1451" s="1" t="s">
        <v>343</v>
      </c>
      <c r="B1451" s="1" t="s">
        <v>1100</v>
      </c>
      <c r="C1451" s="1" t="s">
        <v>1087</v>
      </c>
      <c r="D1451" s="1" t="n">
        <v>596.7</v>
      </c>
      <c r="E1451" s="1" t="n">
        <v>24.85</v>
      </c>
      <c r="F1451" s="1" t="n">
        <f aca="false">86/9</f>
        <v>9.55555555555556</v>
      </c>
    </row>
    <row collapsed="false" customFormat="false" customHeight="false" hidden="false" ht="14.75" outlineLevel="0" r="1452">
      <c r="A1452" s="1" t="s">
        <v>344</v>
      </c>
      <c r="B1452" s="1" t="s">
        <v>1100</v>
      </c>
      <c r="C1452" s="1" t="s">
        <v>1087</v>
      </c>
      <c r="D1452" s="1" t="n">
        <v>415.6</v>
      </c>
      <c r="E1452" s="1" t="n">
        <v>20.71</v>
      </c>
      <c r="F1452" s="1" t="n">
        <f aca="false">50/9</f>
        <v>5.55555555555556</v>
      </c>
    </row>
    <row collapsed="false" customFormat="false" customHeight="false" hidden="false" ht="14.75" outlineLevel="0" r="1453">
      <c r="A1453" s="1" t="s">
        <v>466</v>
      </c>
      <c r="B1453" s="1" t="s">
        <v>1101</v>
      </c>
      <c r="C1453" s="1" t="s">
        <v>1087</v>
      </c>
      <c r="D1453" s="1" t="n">
        <v>257.5</v>
      </c>
      <c r="E1453" s="1" t="n">
        <v>13.78</v>
      </c>
      <c r="F1453" s="1" t="n">
        <v>1.25</v>
      </c>
    </row>
    <row collapsed="false" customFormat="false" customHeight="false" hidden="false" ht="14.75" outlineLevel="0" r="1454">
      <c r="A1454" s="1" t="s">
        <v>1031</v>
      </c>
      <c r="B1454" s="1" t="s">
        <v>1086</v>
      </c>
      <c r="C1454" s="1" t="s">
        <v>1087</v>
      </c>
      <c r="D1454" s="1" t="n">
        <v>178.6</v>
      </c>
      <c r="E1454" s="1" t="n">
        <v>13.82</v>
      </c>
      <c r="F1454" s="1" t="n">
        <f aca="false">10/7</f>
        <v>1.42857142857143</v>
      </c>
    </row>
    <row collapsed="false" customFormat="false" customHeight="false" hidden="false" ht="14.75" outlineLevel="0" r="1455">
      <c r="A1455" s="1" t="s">
        <v>566</v>
      </c>
      <c r="B1455" s="1" t="s">
        <v>1127</v>
      </c>
      <c r="C1455" s="1" t="s">
        <v>1087</v>
      </c>
      <c r="D1455" s="1" t="n">
        <v>307</v>
      </c>
      <c r="E1455" s="1" t="n">
        <v>17.16</v>
      </c>
      <c r="F1455" s="1" t="n">
        <v>4</v>
      </c>
    </row>
    <row collapsed="false" customFormat="false" customHeight="false" hidden="false" ht="14.75" outlineLevel="0" r="1456">
      <c r="A1456" s="1" t="s">
        <v>567</v>
      </c>
      <c r="B1456" s="1" t="s">
        <v>1127</v>
      </c>
      <c r="C1456" s="1" t="s">
        <v>1087</v>
      </c>
      <c r="D1456" s="1" t="n">
        <v>247.8</v>
      </c>
      <c r="E1456" s="1" t="n">
        <v>18.83</v>
      </c>
      <c r="F1456" s="1" t="n">
        <f aca="false">16/9</f>
        <v>1.77777777777778</v>
      </c>
    </row>
    <row collapsed="false" customFormat="false" customHeight="false" hidden="false" ht="14.75" outlineLevel="0" r="1457">
      <c r="A1457" s="1" t="s">
        <v>345</v>
      </c>
      <c r="B1457" s="1" t="s">
        <v>1097</v>
      </c>
      <c r="C1457" s="1" t="s">
        <v>1087</v>
      </c>
      <c r="D1457" s="1" t="n">
        <v>239.5</v>
      </c>
      <c r="E1457" s="1" t="n">
        <v>13.8</v>
      </c>
      <c r="F1457" s="1" t="n">
        <f aca="false">24/10</f>
        <v>2.4</v>
      </c>
    </row>
    <row collapsed="false" customFormat="false" customHeight="false" hidden="false" ht="14.75" outlineLevel="0" r="1458">
      <c r="A1458" s="1" t="s">
        <v>1205</v>
      </c>
      <c r="B1458" s="1" t="s">
        <v>1119</v>
      </c>
      <c r="C1458" s="1" t="s">
        <v>1087</v>
      </c>
      <c r="D1458" s="1" t="n">
        <v>134</v>
      </c>
      <c r="E1458" s="1" t="n">
        <v>8.24</v>
      </c>
      <c r="F1458" s="1" t="n">
        <v>0.8</v>
      </c>
    </row>
    <row collapsed="false" customFormat="false" customHeight="false" hidden="false" ht="14.75" outlineLevel="0" r="1459">
      <c r="A1459" s="1" t="s">
        <v>1206</v>
      </c>
      <c r="B1459" s="1" t="s">
        <v>1119</v>
      </c>
      <c r="C1459" s="1" t="s">
        <v>1087</v>
      </c>
      <c r="D1459" s="1" t="n">
        <v>98</v>
      </c>
      <c r="E1459" s="1" t="n">
        <v>5.71</v>
      </c>
      <c r="F1459" s="1" t="n">
        <v>0.4</v>
      </c>
    </row>
    <row collapsed="false" customFormat="false" customHeight="false" hidden="false" ht="14.75" outlineLevel="0" r="1460">
      <c r="A1460" s="1" t="s">
        <v>1207</v>
      </c>
      <c r="B1460" s="1" t="s">
        <v>1101</v>
      </c>
      <c r="C1460" s="1" t="s">
        <v>1087</v>
      </c>
      <c r="D1460" s="1" t="n">
        <v>165.6</v>
      </c>
      <c r="E1460" s="1" t="n">
        <v>8.07</v>
      </c>
      <c r="F1460" s="1" t="n">
        <v>1.125</v>
      </c>
    </row>
    <row collapsed="false" customFormat="false" customHeight="false" hidden="false" ht="14.75" outlineLevel="0" r="1461">
      <c r="A1461" s="1" t="s">
        <v>1208</v>
      </c>
      <c r="B1461" s="1" t="s">
        <v>1086</v>
      </c>
      <c r="C1461" s="1" t="s">
        <v>1087</v>
      </c>
      <c r="D1461" s="1" t="n">
        <v>314</v>
      </c>
      <c r="E1461" s="1" t="n">
        <v>17.77</v>
      </c>
      <c r="F1461" s="1" t="n">
        <v>2</v>
      </c>
    </row>
    <row collapsed="false" customFormat="false" customHeight="false" hidden="false" ht="14.75" outlineLevel="0" r="1462">
      <c r="A1462" s="1" t="s">
        <v>1209</v>
      </c>
      <c r="B1462" s="1" t="s">
        <v>1086</v>
      </c>
      <c r="C1462" s="1" t="s">
        <v>1087</v>
      </c>
      <c r="D1462" s="1" t="n">
        <v>195.8</v>
      </c>
      <c r="E1462" s="1" t="n">
        <v>11.55</v>
      </c>
      <c r="F1462" s="1" t="n">
        <f aca="false">5/6</f>
        <v>0.833333333333333</v>
      </c>
    </row>
    <row collapsed="false" customFormat="false" customHeight="false" hidden="false" ht="14.75" outlineLevel="0" r="1463">
      <c r="A1463" s="1" t="s">
        <v>1210</v>
      </c>
      <c r="B1463" s="1" t="s">
        <v>1101</v>
      </c>
      <c r="C1463" s="1" t="s">
        <v>1087</v>
      </c>
      <c r="D1463" s="1" t="n">
        <v>279.4</v>
      </c>
      <c r="E1463" s="1" t="n">
        <v>14.67</v>
      </c>
      <c r="F1463" s="1" t="n">
        <v>1.5</v>
      </c>
    </row>
    <row collapsed="false" customFormat="false" customHeight="false" hidden="false" ht="14.75" outlineLevel="0" r="1464">
      <c r="A1464" s="1" t="s">
        <v>895</v>
      </c>
      <c r="B1464" s="1" t="s">
        <v>1119</v>
      </c>
      <c r="C1464" s="1" t="s">
        <v>1087</v>
      </c>
      <c r="D1464" s="1" t="n">
        <v>67.5</v>
      </c>
      <c r="E1464" s="1" t="n">
        <v>5.8</v>
      </c>
      <c r="F1464" s="1" t="n">
        <v>0.1</v>
      </c>
    </row>
    <row collapsed="false" customFormat="false" customHeight="false" hidden="false" ht="14.75" outlineLevel="0" r="1465">
      <c r="A1465" s="1" t="s">
        <v>896</v>
      </c>
      <c r="B1465" s="1" t="s">
        <v>1119</v>
      </c>
      <c r="C1465" s="1" t="s">
        <v>1087</v>
      </c>
      <c r="D1465" s="1" t="n">
        <v>49.5</v>
      </c>
      <c r="E1465" s="1" t="n">
        <v>3.16</v>
      </c>
      <c r="F1465" s="1" t="n">
        <v>0.1</v>
      </c>
    </row>
    <row collapsed="false" customFormat="false" customHeight="false" hidden="false" ht="14.75" outlineLevel="0" r="1466">
      <c r="A1466" s="1" t="s">
        <v>1211</v>
      </c>
      <c r="B1466" s="1" t="s">
        <v>1119</v>
      </c>
      <c r="C1466" s="1" t="s">
        <v>1087</v>
      </c>
      <c r="D1466" s="1" t="n">
        <v>46.5</v>
      </c>
      <c r="E1466" s="1" t="n">
        <v>2.7</v>
      </c>
      <c r="F1466" s="1" t="n">
        <v>0</v>
      </c>
    </row>
    <row collapsed="false" customFormat="false" customHeight="false" hidden="false" ht="14.75" outlineLevel="0" r="1467">
      <c r="A1467" s="1" t="s">
        <v>897</v>
      </c>
      <c r="B1467" s="1" t="s">
        <v>1164</v>
      </c>
      <c r="C1467" s="1" t="s">
        <v>1087</v>
      </c>
      <c r="D1467" s="1" t="n">
        <v>117</v>
      </c>
      <c r="E1467" s="1" t="n">
        <v>10.32</v>
      </c>
      <c r="F1467" s="1" t="n">
        <v>0.2</v>
      </c>
    </row>
    <row collapsed="false" customFormat="false" customHeight="false" hidden="false" ht="14.75" outlineLevel="0" r="1468">
      <c r="A1468" s="1" t="s">
        <v>898</v>
      </c>
      <c r="B1468" s="1" t="s">
        <v>1164</v>
      </c>
      <c r="C1468" s="1" t="s">
        <v>1087</v>
      </c>
      <c r="D1468" s="1" t="n">
        <v>118</v>
      </c>
      <c r="E1468" s="1" t="n">
        <v>8.24</v>
      </c>
      <c r="F1468" s="1" t="n">
        <v>0</v>
      </c>
    </row>
    <row collapsed="false" customFormat="false" customHeight="false" hidden="false" ht="14.75" outlineLevel="0" r="1469">
      <c r="A1469" s="1" t="s">
        <v>1212</v>
      </c>
      <c r="B1469" s="1" t="s">
        <v>1093</v>
      </c>
      <c r="C1469" s="1" t="s">
        <v>1087</v>
      </c>
      <c r="D1469" s="1" t="n">
        <v>256.5</v>
      </c>
      <c r="E1469" s="1" t="n">
        <v>14.67</v>
      </c>
      <c r="F1469" s="1" t="n">
        <v>2</v>
      </c>
    </row>
    <row collapsed="false" customFormat="false" customHeight="false" hidden="false" ht="14.75" outlineLevel="0" r="1470">
      <c r="A1470" s="1" t="s">
        <v>1213</v>
      </c>
      <c r="B1470" s="1" t="s">
        <v>1093</v>
      </c>
      <c r="C1470" s="1" t="s">
        <v>1087</v>
      </c>
      <c r="D1470" s="1" t="n">
        <v>152.5</v>
      </c>
      <c r="E1470" s="1" t="n">
        <v>9.58</v>
      </c>
      <c r="F1470" s="1" t="n">
        <v>0.5</v>
      </c>
    </row>
    <row collapsed="false" customFormat="false" customHeight="false" hidden="false" ht="14.75" outlineLevel="0" r="1471">
      <c r="A1471" s="1" t="s">
        <v>1035</v>
      </c>
      <c r="B1471" s="1" t="s">
        <v>1146</v>
      </c>
      <c r="C1471" s="1" t="s">
        <v>1087</v>
      </c>
      <c r="D1471" s="1" t="n">
        <v>110.8</v>
      </c>
      <c r="E1471" s="1" t="n">
        <v>7.25</v>
      </c>
      <c r="F1471" s="1" t="n">
        <f aca="false">3/7</f>
        <v>0.428571428571429</v>
      </c>
    </row>
    <row collapsed="false" customFormat="false" customHeight="false" hidden="false" ht="14.75" outlineLevel="0" r="1472">
      <c r="A1472" s="1" t="s">
        <v>1214</v>
      </c>
      <c r="B1472" s="1" t="s">
        <v>1127</v>
      </c>
      <c r="C1472" s="1" t="s">
        <v>1087</v>
      </c>
      <c r="D1472" s="1" t="n">
        <v>170</v>
      </c>
      <c r="E1472" s="1" t="n">
        <v>14.31</v>
      </c>
      <c r="F1472" s="1" t="n">
        <f aca="false">12/8</f>
        <v>1.5</v>
      </c>
    </row>
    <row collapsed="false" customFormat="false" customHeight="false" hidden="false" ht="14.75" outlineLevel="0" r="1473">
      <c r="A1473" s="1" t="s">
        <v>1215</v>
      </c>
      <c r="B1473" s="1" t="s">
        <v>1127</v>
      </c>
      <c r="C1473" s="1" t="s">
        <v>1087</v>
      </c>
      <c r="D1473" s="1" t="n">
        <v>366.5</v>
      </c>
      <c r="E1473" s="1" t="n">
        <v>21.49</v>
      </c>
      <c r="F1473" s="1" t="n">
        <v>2.9</v>
      </c>
    </row>
    <row collapsed="false" customFormat="false" customHeight="false" hidden="false" ht="14.75" outlineLevel="0" r="1474">
      <c r="A1474" s="1" t="s">
        <v>1216</v>
      </c>
      <c r="B1474" s="1" t="s">
        <v>1127</v>
      </c>
      <c r="C1474" s="1" t="s">
        <v>1087</v>
      </c>
      <c r="D1474" s="1" t="n">
        <v>132.5</v>
      </c>
      <c r="E1474" s="1" t="n">
        <v>10.47</v>
      </c>
      <c r="F1474" s="1" t="n">
        <f aca="false">3/8</f>
        <v>0.375</v>
      </c>
    </row>
    <row collapsed="false" customFormat="false" customHeight="false" hidden="false" ht="14.75" outlineLevel="0" r="1475">
      <c r="A1475" s="1" t="s">
        <v>348</v>
      </c>
      <c r="B1475" s="1" t="s">
        <v>1164</v>
      </c>
      <c r="C1475" s="1" t="s">
        <v>1087</v>
      </c>
      <c r="D1475" s="1" t="n">
        <v>590</v>
      </c>
      <c r="E1475" s="1" t="n">
        <v>23.06</v>
      </c>
      <c r="F1475" s="1" t="n">
        <f aca="false">36/5</f>
        <v>7.2</v>
      </c>
    </row>
    <row collapsed="false" customFormat="false" customHeight="false" hidden="false" ht="14.75" outlineLevel="0" r="1476">
      <c r="A1476" s="1" t="s">
        <v>349</v>
      </c>
      <c r="B1476" s="1" t="s">
        <v>1164</v>
      </c>
      <c r="C1476" s="1" t="s">
        <v>1087</v>
      </c>
      <c r="D1476" s="1" t="n">
        <v>253</v>
      </c>
      <c r="E1476" s="1" t="n">
        <v>14.52</v>
      </c>
      <c r="F1476" s="1" t="n">
        <f aca="false">8/5</f>
        <v>1.6</v>
      </c>
    </row>
    <row collapsed="false" customFormat="false" customHeight="false" hidden="false" ht="14.75" outlineLevel="0" r="1477">
      <c r="A1477" s="1" t="s">
        <v>350</v>
      </c>
      <c r="B1477" s="1" t="s">
        <v>1164</v>
      </c>
      <c r="C1477" s="1" t="s">
        <v>1087</v>
      </c>
      <c r="D1477" s="1" t="n">
        <v>159</v>
      </c>
      <c r="E1477" s="1" t="n">
        <v>8.6</v>
      </c>
      <c r="F1477" s="1" t="n">
        <f aca="false">8/5</f>
        <v>1.6</v>
      </c>
    </row>
    <row collapsed="false" customFormat="false" customHeight="false" hidden="false" ht="14.75" outlineLevel="0" r="1478">
      <c r="A1478" s="1" t="s">
        <v>1217</v>
      </c>
      <c r="B1478" s="1" t="s">
        <v>1101</v>
      </c>
      <c r="C1478" s="1" t="s">
        <v>1087</v>
      </c>
      <c r="D1478" s="1" t="n">
        <v>367.5</v>
      </c>
      <c r="E1478" s="1" t="n">
        <v>17.18</v>
      </c>
      <c r="F1478" s="1" t="n">
        <f aca="false">27/8</f>
        <v>3.375</v>
      </c>
    </row>
    <row collapsed="false" customFormat="false" customHeight="false" hidden="false" ht="14.75" outlineLevel="0" r="1479">
      <c r="A1479" s="1" t="s">
        <v>1218</v>
      </c>
      <c r="B1479" s="1" t="s">
        <v>1101</v>
      </c>
      <c r="C1479" s="1" t="s">
        <v>1087</v>
      </c>
      <c r="D1479" s="1" t="n">
        <v>175.6</v>
      </c>
      <c r="E1479" s="1" t="n">
        <v>10.61</v>
      </c>
      <c r="F1479" s="1" t="n">
        <v>0.25</v>
      </c>
    </row>
    <row collapsed="false" customFormat="false" customHeight="false" hidden="false" ht="14.75" outlineLevel="0" r="1480">
      <c r="A1480" s="1" t="s">
        <v>1219</v>
      </c>
      <c r="B1480" s="1" t="s">
        <v>1086</v>
      </c>
      <c r="C1480" s="1" t="s">
        <v>1087</v>
      </c>
      <c r="D1480" s="1" t="n">
        <v>206.9</v>
      </c>
      <c r="E1480" s="1" t="n">
        <v>14.37</v>
      </c>
      <c r="F1480" s="1" t="n">
        <f aca="false">12/8</f>
        <v>1.5</v>
      </c>
    </row>
    <row collapsed="false" customFormat="false" customHeight="false" hidden="false" ht="14.75" outlineLevel="0" r="1481">
      <c r="A1481" s="1" t="s">
        <v>1220</v>
      </c>
      <c r="B1481" s="1" t="s">
        <v>1086</v>
      </c>
      <c r="C1481" s="1" t="s">
        <v>1087</v>
      </c>
      <c r="D1481" s="1" t="n">
        <v>134.3</v>
      </c>
      <c r="E1481" s="1" t="n">
        <v>10</v>
      </c>
      <c r="F1481" s="1" t="n">
        <f aca="false">4/7</f>
        <v>0.571428571428571</v>
      </c>
    </row>
    <row collapsed="false" customFormat="false" customHeight="false" hidden="false" ht="14.75" outlineLevel="0" r="1482">
      <c r="A1482" s="1" t="s">
        <v>574</v>
      </c>
      <c r="B1482" s="1" t="s">
        <v>1101</v>
      </c>
      <c r="C1482" s="1" t="s">
        <v>1087</v>
      </c>
      <c r="D1482" s="1" t="n">
        <v>362.5</v>
      </c>
      <c r="E1482" s="1" t="n">
        <v>16.92</v>
      </c>
      <c r="F1482" s="1" t="n">
        <v>2.5</v>
      </c>
    </row>
    <row collapsed="false" customFormat="false" customHeight="false" hidden="false" ht="14.75" outlineLevel="0" r="1483">
      <c r="A1483" s="1" t="s">
        <v>575</v>
      </c>
      <c r="B1483" s="1" t="s">
        <v>1101</v>
      </c>
      <c r="C1483" s="1" t="s">
        <v>1087</v>
      </c>
      <c r="D1483" s="1" t="n">
        <v>234.4</v>
      </c>
      <c r="E1483" s="1" t="n">
        <v>4.8</v>
      </c>
      <c r="F1483" s="1" t="n">
        <v>1.875</v>
      </c>
    </row>
    <row collapsed="false" customFormat="false" customHeight="false" hidden="false" ht="14.75" outlineLevel="0" r="1484">
      <c r="A1484" s="1" t="s">
        <v>1221</v>
      </c>
      <c r="B1484" s="1" t="s">
        <v>1101</v>
      </c>
      <c r="C1484" s="1" t="s">
        <v>1087</v>
      </c>
      <c r="D1484" s="1" t="n">
        <v>145.6</v>
      </c>
      <c r="E1484" s="1" t="n">
        <v>7.92</v>
      </c>
      <c r="F1484" s="1" t="n">
        <v>0.375</v>
      </c>
    </row>
    <row collapsed="false" customFormat="false" customHeight="false" hidden="false" ht="14.75" outlineLevel="0" r="1485">
      <c r="A1485" s="1" t="s">
        <v>352</v>
      </c>
      <c r="B1485" s="1" t="s">
        <v>1100</v>
      </c>
      <c r="C1485" s="1" t="s">
        <v>1087</v>
      </c>
      <c r="D1485" s="1" t="n">
        <v>265.6</v>
      </c>
      <c r="E1485" s="1" t="n">
        <v>14.62</v>
      </c>
      <c r="F1485" s="1" t="n">
        <f aca="false">25/9</f>
        <v>2.77777777777778</v>
      </c>
    </row>
    <row collapsed="false" customFormat="false" customHeight="false" hidden="false" ht="14.75" outlineLevel="0" r="1486">
      <c r="A1486" s="1" t="s">
        <v>1222</v>
      </c>
      <c r="B1486" s="1" t="s">
        <v>1121</v>
      </c>
      <c r="C1486" s="1" t="s">
        <v>1087</v>
      </c>
      <c r="D1486" s="1" t="n">
        <v>63.3</v>
      </c>
      <c r="E1486" s="1" t="n">
        <v>4.71</v>
      </c>
      <c r="F1486" s="1" t="s">
        <v>9</v>
      </c>
    </row>
    <row collapsed="false" customFormat="false" customHeight="false" hidden="false" ht="14.75" outlineLevel="0" r="1487">
      <c r="A1487" s="1" t="s">
        <v>1223</v>
      </c>
      <c r="B1487" s="1" t="s">
        <v>1148</v>
      </c>
      <c r="C1487" s="1" t="s">
        <v>1087</v>
      </c>
      <c r="D1487" s="1" t="n">
        <v>302</v>
      </c>
      <c r="E1487" s="1" t="n">
        <v>16.59</v>
      </c>
      <c r="F1487" s="1" t="n">
        <v>2.5</v>
      </c>
    </row>
    <row collapsed="false" customFormat="false" customHeight="false" hidden="false" ht="14.75" outlineLevel="0" r="1488">
      <c r="A1488" s="1" t="s">
        <v>1224</v>
      </c>
      <c r="B1488" s="1" t="s">
        <v>1148</v>
      </c>
      <c r="C1488" s="1" t="s">
        <v>1087</v>
      </c>
      <c r="D1488" s="1" t="n">
        <v>279.5</v>
      </c>
      <c r="E1488" s="1" t="n">
        <v>16.42</v>
      </c>
      <c r="F1488" s="1" t="n">
        <v>2.4</v>
      </c>
    </row>
    <row collapsed="false" customFormat="false" customHeight="false" hidden="false" ht="14.75" outlineLevel="0" r="1489">
      <c r="A1489" s="1" t="s">
        <v>1225</v>
      </c>
      <c r="B1489" s="1" t="s">
        <v>1148</v>
      </c>
      <c r="C1489" s="1" t="s">
        <v>1087</v>
      </c>
      <c r="D1489" s="1" t="n">
        <v>103.6</v>
      </c>
      <c r="E1489" s="1" t="n">
        <v>12.81</v>
      </c>
      <c r="F1489" s="1" t="n">
        <f aca="false">6/7</f>
        <v>0.857142857142857</v>
      </c>
    </row>
    <row collapsed="false" customFormat="false" customHeight="false" hidden="false" ht="14.75" outlineLevel="0" r="1490">
      <c r="A1490" s="1" t="s">
        <v>1226</v>
      </c>
      <c r="B1490" s="1" t="s">
        <v>1148</v>
      </c>
      <c r="C1490" s="1" t="s">
        <v>1087</v>
      </c>
      <c r="D1490" s="1" t="n">
        <v>94.3</v>
      </c>
      <c r="E1490" s="1" t="n">
        <v>7.78</v>
      </c>
      <c r="F1490" s="1" t="n">
        <v>1</v>
      </c>
    </row>
    <row collapsed="false" customFormat="false" customHeight="false" hidden="false" ht="14.75" outlineLevel="0" r="1491">
      <c r="A1491" s="1" t="s">
        <v>354</v>
      </c>
      <c r="B1491" s="1" t="s">
        <v>1101</v>
      </c>
      <c r="C1491" s="1" t="s">
        <v>1087</v>
      </c>
      <c r="D1491" s="1" t="n">
        <v>226.2</v>
      </c>
      <c r="E1491" s="1" t="n">
        <v>12.54</v>
      </c>
      <c r="F1491" s="1" t="n">
        <v>1</v>
      </c>
    </row>
    <row collapsed="false" customFormat="false" customHeight="false" hidden="false" ht="14.75" outlineLevel="0" r="1492">
      <c r="A1492" s="1" t="s">
        <v>1227</v>
      </c>
      <c r="B1492" s="1" t="s">
        <v>1127</v>
      </c>
      <c r="C1492" s="1" t="s">
        <v>1087</v>
      </c>
      <c r="D1492" s="1" t="n">
        <v>83.1</v>
      </c>
      <c r="E1492" s="1" t="n">
        <v>8.42</v>
      </c>
      <c r="F1492" s="1" t="n">
        <f aca="false">4/8</f>
        <v>0.5</v>
      </c>
    </row>
    <row collapsed="false" customFormat="false" customHeight="false" hidden="false" ht="14.75" outlineLevel="0" r="1493">
      <c r="A1493" s="1" t="s">
        <v>1228</v>
      </c>
      <c r="B1493" s="1" t="s">
        <v>1097</v>
      </c>
      <c r="C1493" s="1" t="s">
        <v>1087</v>
      </c>
      <c r="D1493" s="1" t="n">
        <v>37</v>
      </c>
      <c r="E1493" s="1" t="n">
        <v>3.33</v>
      </c>
      <c r="F1493" s="1" t="n">
        <v>0</v>
      </c>
    </row>
    <row collapsed="false" customFormat="false" customHeight="false" hidden="false" ht="14.75" outlineLevel="0" r="1494">
      <c r="A1494" s="1" t="s">
        <v>1229</v>
      </c>
      <c r="B1494" s="1" t="s">
        <v>1102</v>
      </c>
      <c r="C1494" s="1" t="s">
        <v>1087</v>
      </c>
      <c r="D1494" s="1" t="n">
        <v>130.5</v>
      </c>
      <c r="E1494" s="1" t="n">
        <v>11.08</v>
      </c>
      <c r="F1494" s="1" t="n">
        <v>1.3</v>
      </c>
    </row>
    <row collapsed="false" customFormat="false" customHeight="false" hidden="false" ht="14.75" outlineLevel="0" r="1495">
      <c r="A1495" s="1" t="s">
        <v>1230</v>
      </c>
      <c r="B1495" s="1" t="s">
        <v>1102</v>
      </c>
      <c r="C1495" s="1" t="s">
        <v>1087</v>
      </c>
      <c r="D1495" s="1" t="n">
        <v>87</v>
      </c>
      <c r="E1495" s="1" t="n">
        <v>7.8</v>
      </c>
      <c r="F1495" s="1" t="n">
        <v>0.7</v>
      </c>
    </row>
    <row collapsed="false" customFormat="false" customHeight="false" hidden="false" ht="14.75" outlineLevel="0" r="1496">
      <c r="A1496" s="1" t="s">
        <v>19</v>
      </c>
      <c r="B1496" s="1" t="s">
        <v>1100</v>
      </c>
      <c r="C1496" s="1" t="s">
        <v>1087</v>
      </c>
      <c r="D1496" s="1" t="n">
        <v>352</v>
      </c>
      <c r="E1496" s="1" t="n">
        <v>20.11</v>
      </c>
      <c r="F1496" s="1" t="n">
        <v>5.2</v>
      </c>
    </row>
    <row collapsed="false" customFormat="false" customHeight="false" hidden="false" ht="14.75" outlineLevel="0" r="1497">
      <c r="A1497" s="1" t="s">
        <v>20</v>
      </c>
      <c r="B1497" s="1" t="s">
        <v>1100</v>
      </c>
      <c r="C1497" s="1" t="s">
        <v>1087</v>
      </c>
      <c r="D1497" s="1" t="n">
        <v>253.9</v>
      </c>
      <c r="E1497" s="1" t="n">
        <v>15.2</v>
      </c>
      <c r="F1497" s="1" t="n">
        <v>2</v>
      </c>
    </row>
    <row collapsed="false" customFormat="false" customHeight="false" hidden="false" ht="14.75" outlineLevel="0" r="1498">
      <c r="A1498" s="1" t="s">
        <v>149</v>
      </c>
      <c r="B1498" s="1" t="s">
        <v>1101</v>
      </c>
      <c r="C1498" s="1" t="s">
        <v>1087</v>
      </c>
      <c r="D1498" s="1" t="n">
        <v>328.8</v>
      </c>
      <c r="E1498" s="1" t="n">
        <v>16.17</v>
      </c>
      <c r="F1498" s="1" t="n">
        <v>3.5</v>
      </c>
    </row>
    <row collapsed="false" customFormat="false" customHeight="false" hidden="false" ht="14.75" outlineLevel="0" r="1499">
      <c r="A1499" s="1" t="s">
        <v>694</v>
      </c>
      <c r="B1499" s="1" t="s">
        <v>1187</v>
      </c>
      <c r="C1499" s="1" t="s">
        <v>1087</v>
      </c>
      <c r="D1499" s="1" t="n">
        <v>494.5</v>
      </c>
      <c r="E1499" s="1" t="n">
        <v>21.18</v>
      </c>
      <c r="F1499" s="1" t="n">
        <v>3.7</v>
      </c>
    </row>
    <row collapsed="false" customFormat="false" customHeight="false" hidden="false" ht="14.75" outlineLevel="0" r="1500">
      <c r="A1500" s="1" t="s">
        <v>695</v>
      </c>
      <c r="B1500" s="1" t="s">
        <v>1187</v>
      </c>
      <c r="C1500" s="1" t="s">
        <v>1087</v>
      </c>
      <c r="D1500" s="1" t="n">
        <v>107.9</v>
      </c>
      <c r="E1500" s="1" t="n">
        <v>8.87</v>
      </c>
      <c r="F1500" s="1" t="n">
        <f aca="false">4/7</f>
        <v>0.571428571428571</v>
      </c>
    </row>
    <row collapsed="false" customFormat="false" customHeight="false" hidden="false" ht="14.75" outlineLevel="0" r="1501">
      <c r="A1501" s="1" t="s">
        <v>1231</v>
      </c>
      <c r="B1501" s="1" t="s">
        <v>1110</v>
      </c>
      <c r="C1501" s="1" t="s">
        <v>1087</v>
      </c>
      <c r="D1501" s="1" t="n">
        <v>268.8</v>
      </c>
      <c r="E1501" s="1" t="n">
        <v>13.21</v>
      </c>
      <c r="F1501" s="1" t="n">
        <f aca="false">6/8</f>
        <v>0.75</v>
      </c>
    </row>
    <row collapsed="false" customFormat="false" customHeight="false" hidden="false" ht="14.75" outlineLevel="0" r="1502">
      <c r="A1502" s="1" t="s">
        <v>1232</v>
      </c>
      <c r="B1502" s="1" t="s">
        <v>1110</v>
      </c>
      <c r="C1502" s="1" t="s">
        <v>1087</v>
      </c>
      <c r="D1502" s="1" t="n">
        <v>158.8</v>
      </c>
      <c r="E1502" s="1" t="n">
        <v>8.07</v>
      </c>
      <c r="F1502" s="1" t="n">
        <f aca="false">2/8</f>
        <v>0.25</v>
      </c>
    </row>
    <row collapsed="false" customFormat="false" customHeight="false" hidden="false" ht="14.75" outlineLevel="0" r="1503">
      <c r="A1503" s="1" t="s">
        <v>358</v>
      </c>
      <c r="B1503" s="1" t="s">
        <v>1100</v>
      </c>
      <c r="C1503" s="1" t="s">
        <v>1087</v>
      </c>
      <c r="D1503" s="1" t="n">
        <v>276.7</v>
      </c>
      <c r="E1503" s="1" t="n">
        <v>16.67</v>
      </c>
      <c r="F1503" s="1" t="n">
        <f aca="false">28/9</f>
        <v>3.11111111111111</v>
      </c>
    </row>
    <row collapsed="false" customFormat="false" customHeight="false" hidden="false" ht="14.75" outlineLevel="0" r="1504">
      <c r="A1504" s="1" t="s">
        <v>359</v>
      </c>
      <c r="B1504" s="1" t="s">
        <v>1101</v>
      </c>
      <c r="C1504" s="1" t="s">
        <v>1087</v>
      </c>
      <c r="D1504" s="1" t="n">
        <v>153.8</v>
      </c>
      <c r="E1504" s="1" t="n">
        <v>10</v>
      </c>
      <c r="F1504" s="1" t="n">
        <v>0.5</v>
      </c>
    </row>
    <row collapsed="false" customFormat="false" customHeight="false" hidden="false" ht="14.75" outlineLevel="0" r="1505">
      <c r="A1505" s="1" t="s">
        <v>1233</v>
      </c>
      <c r="B1505" s="1" t="s">
        <v>1106</v>
      </c>
      <c r="C1505" s="1" t="s">
        <v>1087</v>
      </c>
      <c r="D1505" s="1" t="n">
        <v>265</v>
      </c>
      <c r="E1505" s="1" t="n">
        <v>12.86</v>
      </c>
      <c r="F1505" s="1" t="n">
        <f aca="false">11/9</f>
        <v>1.22222222222222</v>
      </c>
    </row>
    <row collapsed="false" customFormat="false" customHeight="false" hidden="false" ht="14.75" outlineLevel="0" r="1506">
      <c r="A1506" s="1" t="s">
        <v>1234</v>
      </c>
      <c r="B1506" s="1" t="s">
        <v>1101</v>
      </c>
      <c r="C1506" s="1" t="s">
        <v>1087</v>
      </c>
      <c r="D1506" s="1" t="n">
        <v>175</v>
      </c>
      <c r="E1506" s="1" t="n">
        <v>9.31</v>
      </c>
      <c r="F1506" s="1" t="n">
        <v>1.125</v>
      </c>
    </row>
    <row collapsed="false" customFormat="false" customHeight="false" hidden="false" ht="14.75" outlineLevel="0" r="1507">
      <c r="A1507" s="1" t="s">
        <v>1235</v>
      </c>
      <c r="B1507" s="1" t="s">
        <v>1089</v>
      </c>
      <c r="C1507" s="1" t="s">
        <v>1087</v>
      </c>
      <c r="D1507" s="1" t="n">
        <v>161.2</v>
      </c>
      <c r="E1507" s="1" t="n">
        <v>10.4</v>
      </c>
      <c r="F1507" s="1" t="n">
        <f aca="false">11/9</f>
        <v>1.22222222222222</v>
      </c>
    </row>
    <row collapsed="false" customFormat="false" customHeight="false" hidden="false" ht="14.75" outlineLevel="0" r="1508">
      <c r="A1508" s="1" t="s">
        <v>1236</v>
      </c>
      <c r="B1508" s="1" t="s">
        <v>1089</v>
      </c>
      <c r="C1508" s="1" t="s">
        <v>1087</v>
      </c>
      <c r="D1508" s="1" t="n">
        <v>82.5</v>
      </c>
      <c r="E1508" s="1" t="n">
        <v>6.34</v>
      </c>
      <c r="F1508" s="1" t="n">
        <f aca="false">2/8</f>
        <v>0.25</v>
      </c>
    </row>
    <row collapsed="false" customFormat="false" customHeight="false" hidden="false" ht="14.75" outlineLevel="0" r="1509">
      <c r="A1509" s="1" t="s">
        <v>1237</v>
      </c>
      <c r="B1509" s="1" t="s">
        <v>1093</v>
      </c>
      <c r="C1509" s="1" t="s">
        <v>1087</v>
      </c>
      <c r="D1509" s="1" t="n">
        <v>130.7</v>
      </c>
      <c r="E1509" s="1" t="n">
        <v>9.68</v>
      </c>
      <c r="F1509" s="1" t="n">
        <f aca="false">5/7</f>
        <v>0.714285714285714</v>
      </c>
    </row>
    <row collapsed="false" customFormat="false" customHeight="false" hidden="false" ht="14.75" outlineLevel="0" r="1510">
      <c r="A1510" s="1" t="s">
        <v>362</v>
      </c>
      <c r="B1510" s="1" t="s">
        <v>1101</v>
      </c>
      <c r="C1510" s="1" t="s">
        <v>1087</v>
      </c>
      <c r="D1510" s="1" t="n">
        <v>134.4</v>
      </c>
      <c r="E1510" s="1" t="n">
        <v>7.83</v>
      </c>
      <c r="F1510" s="1" t="n">
        <v>0.5</v>
      </c>
    </row>
    <row collapsed="false" customFormat="false" customHeight="false" hidden="false" ht="14.75" outlineLevel="0" r="1511">
      <c r="A1511" s="1" t="s">
        <v>1238</v>
      </c>
      <c r="B1511" s="1" t="s">
        <v>1112</v>
      </c>
      <c r="C1511" s="1" t="s">
        <v>1087</v>
      </c>
      <c r="D1511" s="1" t="n">
        <v>77.6</v>
      </c>
      <c r="E1511" s="1" t="n">
        <v>7</v>
      </c>
      <c r="F1511" s="1" t="s">
        <v>9</v>
      </c>
    </row>
    <row collapsed="false" customFormat="false" customHeight="false" hidden="false" ht="14.75" outlineLevel="0" r="1512">
      <c r="A1512" s="1" t="s">
        <v>1239</v>
      </c>
      <c r="B1512" s="1" t="s">
        <v>1148</v>
      </c>
      <c r="C1512" s="1" t="s">
        <v>1087</v>
      </c>
      <c r="D1512" s="1" t="n">
        <v>162.8</v>
      </c>
      <c r="E1512" s="1" t="n">
        <v>13.23</v>
      </c>
      <c r="F1512" s="1" t="n">
        <f aca="false">12/9</f>
        <v>1.33333333333333</v>
      </c>
    </row>
    <row collapsed="false" customFormat="false" customHeight="false" hidden="false" ht="14.75" outlineLevel="0" r="1513">
      <c r="A1513" s="1" t="s">
        <v>1240</v>
      </c>
      <c r="B1513" s="1" t="s">
        <v>1100</v>
      </c>
      <c r="C1513" s="1" t="s">
        <v>1087</v>
      </c>
      <c r="D1513" s="1" t="n">
        <v>188.9</v>
      </c>
      <c r="E1513" s="1" t="n">
        <v>13.65</v>
      </c>
      <c r="F1513" s="1" t="n">
        <f aca="false">13/9</f>
        <v>1.44444444444444</v>
      </c>
    </row>
    <row collapsed="false" customFormat="false" customHeight="false" hidden="false" ht="14.75" outlineLevel="0" r="1514">
      <c r="A1514" s="1" t="s">
        <v>1241</v>
      </c>
      <c r="B1514" s="1" t="s">
        <v>1101</v>
      </c>
      <c r="C1514" s="1" t="s">
        <v>1087</v>
      </c>
      <c r="D1514" s="1" t="n">
        <v>80</v>
      </c>
      <c r="E1514" s="1" t="n">
        <v>4.84</v>
      </c>
      <c r="F1514" s="1" t="n">
        <v>0.625</v>
      </c>
    </row>
    <row collapsed="false" customFormat="false" customHeight="false" hidden="false" ht="14.75" outlineLevel="0" r="1515">
      <c r="A1515" s="1" t="s">
        <v>1242</v>
      </c>
      <c r="B1515" s="1" t="s">
        <v>1093</v>
      </c>
      <c r="C1515" s="1" t="s">
        <v>1087</v>
      </c>
      <c r="D1515" s="1" t="n">
        <v>94.2</v>
      </c>
      <c r="E1515" s="1" t="n">
        <v>9.31</v>
      </c>
      <c r="F1515" s="1" t="n">
        <v>1</v>
      </c>
    </row>
    <row collapsed="false" customFormat="false" customHeight="false" hidden="false" ht="14.75" outlineLevel="0" r="1516">
      <c r="A1516" s="1" t="s">
        <v>1243</v>
      </c>
      <c r="B1516" s="1" t="s">
        <v>1093</v>
      </c>
      <c r="C1516" s="1" t="s">
        <v>1087</v>
      </c>
      <c r="D1516" s="1" t="n">
        <v>66.7</v>
      </c>
      <c r="E1516" s="1" t="n">
        <v>3.67</v>
      </c>
      <c r="F1516" s="1" t="n">
        <f aca="false">1/6</f>
        <v>0.166666666666667</v>
      </c>
    </row>
    <row collapsed="false" customFormat="false" customHeight="false" hidden="false" ht="14.75" outlineLevel="0" r="1517">
      <c r="A1517" s="1" t="s">
        <v>1244</v>
      </c>
      <c r="B1517" s="1" t="s">
        <v>1093</v>
      </c>
      <c r="C1517" s="1" t="s">
        <v>1087</v>
      </c>
      <c r="D1517" s="1" t="n">
        <v>103.3</v>
      </c>
      <c r="E1517" s="1" t="n">
        <v>5.9</v>
      </c>
      <c r="F1517" s="1" t="n">
        <v>0</v>
      </c>
    </row>
    <row collapsed="false" customFormat="false" customHeight="false" hidden="false" ht="14.75" outlineLevel="0" r="1518">
      <c r="A1518" s="1" t="s">
        <v>218</v>
      </c>
      <c r="B1518" s="1" t="s">
        <v>1097</v>
      </c>
      <c r="C1518" s="1" t="s">
        <v>1087</v>
      </c>
      <c r="D1518" s="1" t="n">
        <v>235.9</v>
      </c>
      <c r="E1518" s="1" t="n">
        <v>15.24</v>
      </c>
      <c r="F1518" s="1" t="n">
        <f aca="false">29/11</f>
        <v>2.63636363636364</v>
      </c>
    </row>
    <row collapsed="false" customFormat="false" customHeight="false" hidden="false" ht="14.75" outlineLevel="0" r="1519">
      <c r="A1519" s="1" t="s">
        <v>219</v>
      </c>
      <c r="B1519" s="1" t="s">
        <v>1097</v>
      </c>
      <c r="C1519" s="1" t="s">
        <v>1087</v>
      </c>
      <c r="D1519" s="1" t="n">
        <v>149</v>
      </c>
      <c r="E1519" s="1" t="n">
        <v>9.81</v>
      </c>
      <c r="F1519" s="1" t="n">
        <v>0.9</v>
      </c>
    </row>
    <row collapsed="false" customFormat="false" customHeight="false" hidden="false" ht="14.75" outlineLevel="0" r="1520">
      <c r="A1520" s="1" t="s">
        <v>1245</v>
      </c>
      <c r="B1520" s="1" t="s">
        <v>1101</v>
      </c>
      <c r="C1520" s="1" t="s">
        <v>1087</v>
      </c>
      <c r="D1520" s="1" t="n">
        <v>156.2</v>
      </c>
      <c r="E1520" s="1" t="n">
        <v>9.3</v>
      </c>
      <c r="F1520" s="1" t="n">
        <v>0.75</v>
      </c>
    </row>
    <row collapsed="false" customFormat="false" customHeight="false" hidden="false" ht="14.75" outlineLevel="0" r="1521">
      <c r="A1521" s="1" t="s">
        <v>1246</v>
      </c>
      <c r="B1521" s="1" t="s">
        <v>1101</v>
      </c>
      <c r="C1521" s="1" t="s">
        <v>1087</v>
      </c>
      <c r="D1521" s="1" t="n">
        <v>90.6</v>
      </c>
      <c r="E1521" s="1" t="n">
        <v>5.13</v>
      </c>
      <c r="F1521" s="1" t="n">
        <v>0.5</v>
      </c>
    </row>
    <row collapsed="false" customFormat="false" customHeight="false" hidden="false" ht="14.75" outlineLevel="0" r="1522">
      <c r="A1522" s="1" t="s">
        <v>1247</v>
      </c>
      <c r="B1522" s="1" t="s">
        <v>1106</v>
      </c>
      <c r="C1522" s="1" t="s">
        <v>1087</v>
      </c>
      <c r="D1522" s="1" t="n">
        <v>198.1</v>
      </c>
      <c r="E1522" s="1" t="n">
        <v>8.68</v>
      </c>
      <c r="F1522" s="1" t="n">
        <f aca="false">11/8</f>
        <v>1.375</v>
      </c>
    </row>
    <row collapsed="false" customFormat="false" customHeight="false" hidden="false" ht="14.75" outlineLevel="0" r="1523">
      <c r="A1523" s="1" t="s">
        <v>155</v>
      </c>
      <c r="B1523" s="1" t="s">
        <v>1110</v>
      </c>
      <c r="C1523" s="1" t="s">
        <v>1087</v>
      </c>
      <c r="D1523" s="1" t="n">
        <v>205</v>
      </c>
      <c r="E1523" s="1" t="n">
        <v>11.19</v>
      </c>
      <c r="F1523" s="1" t="n">
        <f aca="false">5/8</f>
        <v>0.625</v>
      </c>
    </row>
    <row collapsed="false" customFormat="false" customHeight="false" hidden="false" ht="14.75" outlineLevel="0" r="1524">
      <c r="A1524" s="1" t="s">
        <v>1248</v>
      </c>
      <c r="B1524" s="1" t="s">
        <v>1106</v>
      </c>
      <c r="C1524" s="1" t="s">
        <v>1087</v>
      </c>
      <c r="D1524" s="1" t="n">
        <v>143.8</v>
      </c>
      <c r="E1524" s="1" t="n">
        <v>8.67</v>
      </c>
      <c r="F1524" s="1" t="n">
        <f aca="false">2/8</f>
        <v>0.25</v>
      </c>
    </row>
    <row collapsed="false" customFormat="false" customHeight="false" hidden="false" ht="14.75" outlineLevel="0" r="1525">
      <c r="A1525" s="1" t="s">
        <v>1249</v>
      </c>
      <c r="B1525" s="1" t="s">
        <v>1086</v>
      </c>
      <c r="C1525" s="1" t="s">
        <v>1087</v>
      </c>
      <c r="D1525" s="1" t="n">
        <v>56.9</v>
      </c>
      <c r="E1525" s="1" t="n">
        <v>4.52</v>
      </c>
      <c r="F1525" s="1" t="n">
        <f aca="false">5/8</f>
        <v>0.625</v>
      </c>
    </row>
    <row collapsed="false" customFormat="false" customHeight="false" hidden="false" ht="14.75" outlineLevel="0" r="1526">
      <c r="A1526" s="1" t="s">
        <v>1250</v>
      </c>
      <c r="B1526" s="1" t="s">
        <v>1086</v>
      </c>
      <c r="C1526" s="1" t="s">
        <v>1087</v>
      </c>
      <c r="D1526" s="1" t="n">
        <v>25.7</v>
      </c>
      <c r="E1526" s="1" t="n">
        <v>2.67</v>
      </c>
      <c r="F1526" s="1" t="n">
        <v>0</v>
      </c>
    </row>
    <row collapsed="false" customFormat="false" customHeight="false" hidden="false" ht="14.75" outlineLevel="0" r="1527">
      <c r="A1527" s="1" t="s">
        <v>1251</v>
      </c>
      <c r="B1527" s="1" t="s">
        <v>1102</v>
      </c>
      <c r="C1527" s="1" t="s">
        <v>1087</v>
      </c>
      <c r="D1527" s="1" t="n">
        <v>32.5</v>
      </c>
      <c r="E1527" s="1" t="n">
        <v>4.17</v>
      </c>
      <c r="F1527" s="1" t="n">
        <v>0.1</v>
      </c>
    </row>
    <row collapsed="false" customFormat="false" customHeight="false" hidden="false" ht="14.75" outlineLevel="0" r="1528">
      <c r="A1528" s="1" t="s">
        <v>1252</v>
      </c>
      <c r="B1528" s="1" t="s">
        <v>1097</v>
      </c>
      <c r="C1528" s="1" t="s">
        <v>1087</v>
      </c>
      <c r="D1528" s="1" t="n">
        <v>220</v>
      </c>
      <c r="E1528" s="1" t="n">
        <v>12.43</v>
      </c>
      <c r="F1528" s="1" t="n">
        <f aca="false">4/7</f>
        <v>0.571428571428571</v>
      </c>
    </row>
    <row collapsed="false" customFormat="false" customHeight="false" hidden="false" ht="14.75" outlineLevel="0" r="1529">
      <c r="A1529" s="1" t="s">
        <v>1253</v>
      </c>
      <c r="B1529" s="1" t="s">
        <v>1097</v>
      </c>
      <c r="C1529" s="1" t="s">
        <v>1087</v>
      </c>
      <c r="D1529" s="1" t="n">
        <v>62.9</v>
      </c>
      <c r="E1529" s="1" t="n">
        <v>5.33</v>
      </c>
      <c r="F1529" s="1" t="n">
        <f aca="false">1/7</f>
        <v>0.142857142857143</v>
      </c>
    </row>
    <row collapsed="false" customFormat="false" customHeight="false" hidden="false" ht="14.75" outlineLevel="0" r="1530">
      <c r="A1530" s="1" t="s">
        <v>1254</v>
      </c>
      <c r="B1530" s="1" t="s">
        <v>1097</v>
      </c>
      <c r="C1530" s="1" t="s">
        <v>1087</v>
      </c>
      <c r="D1530" s="1" t="n">
        <v>33.6</v>
      </c>
      <c r="E1530" s="1" t="n">
        <v>4.5</v>
      </c>
      <c r="F1530" s="1" t="n">
        <f aca="false">1/7</f>
        <v>0.142857142857143</v>
      </c>
    </row>
    <row collapsed="false" customFormat="false" customHeight="false" hidden="false" ht="14.75" outlineLevel="0" r="1531">
      <c r="A1531" s="1" t="s">
        <v>1255</v>
      </c>
      <c r="B1531" s="1" t="s">
        <v>1097</v>
      </c>
      <c r="C1531" s="1" t="s">
        <v>1087</v>
      </c>
      <c r="D1531" s="1" t="n">
        <v>184.3</v>
      </c>
      <c r="E1531" s="1" t="n">
        <v>9.7</v>
      </c>
      <c r="F1531" s="1" t="n">
        <v>1</v>
      </c>
    </row>
    <row collapsed="false" customFormat="false" customHeight="false" hidden="false" ht="14.75" outlineLevel="0" r="1532">
      <c r="A1532" s="1" t="s">
        <v>584</v>
      </c>
      <c r="B1532" s="1" t="s">
        <v>1101</v>
      </c>
      <c r="C1532" s="1" t="s">
        <v>1087</v>
      </c>
      <c r="D1532" s="1" t="n">
        <v>339.4</v>
      </c>
      <c r="E1532" s="1" t="n">
        <v>15.44</v>
      </c>
      <c r="F1532" s="1" t="n">
        <v>2.625</v>
      </c>
    </row>
    <row collapsed="false" customFormat="false" customHeight="false" hidden="false" ht="14.75" outlineLevel="0" r="1533">
      <c r="A1533" s="1" t="s">
        <v>585</v>
      </c>
      <c r="B1533" s="1" t="s">
        <v>1101</v>
      </c>
      <c r="C1533" s="1" t="s">
        <v>1087</v>
      </c>
      <c r="D1533" s="1" t="n">
        <v>119.4</v>
      </c>
      <c r="E1533" s="1" t="n">
        <v>7.05</v>
      </c>
      <c r="F1533" s="1" t="n">
        <v>0.375</v>
      </c>
    </row>
    <row collapsed="false" customFormat="false" customHeight="false" hidden="false" ht="14.75" outlineLevel="0" r="1534">
      <c r="A1534" s="1" t="s">
        <v>158</v>
      </c>
      <c r="B1534" s="1" t="s">
        <v>1134</v>
      </c>
      <c r="C1534" s="1" t="s">
        <v>1087</v>
      </c>
      <c r="D1534" s="1" t="n">
        <v>295</v>
      </c>
      <c r="E1534" s="1" t="n">
        <v>16.18</v>
      </c>
      <c r="F1534" s="1" t="n">
        <v>1.7</v>
      </c>
    </row>
    <row collapsed="false" customFormat="false" customHeight="false" hidden="false" ht="14.75" outlineLevel="0" r="1535">
      <c r="A1535" s="1" t="s">
        <v>159</v>
      </c>
      <c r="B1535" s="1" t="s">
        <v>1134</v>
      </c>
      <c r="C1535" s="1" t="s">
        <v>1087</v>
      </c>
      <c r="D1535" s="1" t="n">
        <v>137.5</v>
      </c>
      <c r="E1535" s="1" t="n">
        <v>11.41</v>
      </c>
      <c r="F1535" s="1" t="n">
        <v>0.7</v>
      </c>
    </row>
    <row collapsed="false" customFormat="false" customHeight="false" hidden="false" ht="14.75" outlineLevel="0" r="1536">
      <c r="A1536" s="1" t="s">
        <v>163</v>
      </c>
      <c r="B1536" s="1" t="s">
        <v>1100</v>
      </c>
      <c r="C1536" s="1" t="s">
        <v>1087</v>
      </c>
      <c r="D1536" s="1" t="n">
        <v>340</v>
      </c>
      <c r="E1536" s="1" t="n">
        <v>20.36</v>
      </c>
      <c r="F1536" s="1" t="n">
        <f aca="false">36/9</f>
        <v>4</v>
      </c>
    </row>
    <row collapsed="false" customFormat="false" customHeight="false" hidden="false" ht="14.75" outlineLevel="0" r="1537">
      <c r="A1537" s="1" t="s">
        <v>1256</v>
      </c>
      <c r="B1537" s="1" t="s">
        <v>1089</v>
      </c>
      <c r="C1537" s="1" t="s">
        <v>1087</v>
      </c>
      <c r="D1537" s="1" t="n">
        <v>62.5</v>
      </c>
      <c r="E1537" s="1" t="n">
        <v>5.3</v>
      </c>
      <c r="F1537" s="1" t="n">
        <f aca="false">3/8</f>
        <v>0.375</v>
      </c>
    </row>
    <row collapsed="false" customFormat="false" customHeight="false" hidden="false" ht="14.75" outlineLevel="0" r="1538">
      <c r="A1538" s="1" t="s">
        <v>1257</v>
      </c>
      <c r="B1538" s="1" t="s">
        <v>1089</v>
      </c>
      <c r="C1538" s="1" t="s">
        <v>1087</v>
      </c>
      <c r="D1538" s="1" t="n">
        <v>71.1</v>
      </c>
      <c r="E1538" s="1" t="n">
        <v>6</v>
      </c>
      <c r="F1538" s="1" t="n">
        <f aca="false">4/9</f>
        <v>0.444444444444444</v>
      </c>
    </row>
    <row collapsed="false" customFormat="false" customHeight="false" hidden="false" ht="14.75" outlineLevel="0" r="1539">
      <c r="A1539" s="1" t="s">
        <v>1258</v>
      </c>
      <c r="B1539" s="1" t="s">
        <v>1127</v>
      </c>
      <c r="C1539" s="1" t="s">
        <v>1087</v>
      </c>
      <c r="D1539" s="1" t="n">
        <v>417</v>
      </c>
      <c r="E1539" s="1" t="n">
        <v>21.01</v>
      </c>
      <c r="F1539" s="1" t="n">
        <v>5.1</v>
      </c>
    </row>
    <row collapsed="false" customFormat="false" customHeight="false" hidden="false" ht="14.75" outlineLevel="0" r="1540">
      <c r="A1540" s="1" t="s">
        <v>1259</v>
      </c>
      <c r="B1540" s="1" t="s">
        <v>1127</v>
      </c>
      <c r="C1540" s="1" t="s">
        <v>1087</v>
      </c>
      <c r="D1540" s="1" t="n">
        <v>235</v>
      </c>
      <c r="E1540" s="1" t="n">
        <v>16.81</v>
      </c>
      <c r="F1540" s="1" t="n">
        <f aca="false">14/9</f>
        <v>1.55555555555556</v>
      </c>
    </row>
    <row collapsed="false" customFormat="false" customHeight="false" hidden="false" ht="14.75" outlineLevel="0" r="1541">
      <c r="A1541" s="1" t="s">
        <v>478</v>
      </c>
      <c r="B1541" s="1" t="s">
        <v>1086</v>
      </c>
      <c r="C1541" s="1" t="s">
        <v>1087</v>
      </c>
      <c r="D1541" s="1" t="n">
        <v>383.1</v>
      </c>
      <c r="E1541" s="1" t="n">
        <v>18.49</v>
      </c>
      <c r="F1541" s="1" t="n">
        <v>4</v>
      </c>
    </row>
    <row collapsed="false" customFormat="false" customHeight="false" hidden="false" ht="14.75" outlineLevel="0" r="1542">
      <c r="A1542" s="1" t="s">
        <v>1260</v>
      </c>
      <c r="B1542" s="1" t="s">
        <v>1110</v>
      </c>
      <c r="C1542" s="1" t="s">
        <v>1087</v>
      </c>
      <c r="D1542" s="1" t="n">
        <v>178.8</v>
      </c>
      <c r="E1542" s="1" t="n">
        <v>8.64</v>
      </c>
      <c r="F1542" s="1" t="n">
        <f aca="false">6/8</f>
        <v>0.75</v>
      </c>
    </row>
    <row collapsed="false" customFormat="false" customHeight="false" hidden="false" ht="14.75" outlineLevel="0" r="1543">
      <c r="A1543" s="1" t="s">
        <v>915</v>
      </c>
      <c r="B1543" s="1" t="s">
        <v>1146</v>
      </c>
      <c r="C1543" s="1" t="s">
        <v>1087</v>
      </c>
      <c r="D1543" s="1" t="n">
        <v>155</v>
      </c>
      <c r="E1543" s="1" t="n">
        <v>7.3</v>
      </c>
      <c r="F1543" s="1" t="n">
        <f aca="false">10/7</f>
        <v>1.42857142857143</v>
      </c>
    </row>
    <row collapsed="false" customFormat="false" customHeight="false" hidden="false" ht="14.75" outlineLevel="0" r="1544">
      <c r="A1544" s="1" t="s">
        <v>916</v>
      </c>
      <c r="B1544" s="1" t="s">
        <v>1146</v>
      </c>
      <c r="C1544" s="1" t="s">
        <v>1087</v>
      </c>
      <c r="D1544" s="1" t="n">
        <v>196.9</v>
      </c>
      <c r="E1544" s="1" t="n">
        <v>11.53</v>
      </c>
      <c r="F1544" s="1" t="n">
        <f aca="false">12/8</f>
        <v>1.5</v>
      </c>
    </row>
    <row collapsed="false" customFormat="false" customHeight="false" hidden="false" ht="14.75" outlineLevel="0" r="1545">
      <c r="A1545" s="1" t="s">
        <v>264</v>
      </c>
      <c r="B1545" s="1" t="s">
        <v>1102</v>
      </c>
      <c r="C1545" s="1" t="s">
        <v>1087</v>
      </c>
      <c r="D1545" s="1" t="n">
        <v>384.1</v>
      </c>
      <c r="E1545" s="1" t="n">
        <v>19.5</v>
      </c>
      <c r="F1545" s="1" t="n">
        <f aca="false">42/11</f>
        <v>3.81818181818182</v>
      </c>
    </row>
    <row collapsed="false" customFormat="false" customHeight="false" hidden="false" ht="14.75" outlineLevel="0" r="1546">
      <c r="A1546" s="1" t="s">
        <v>265</v>
      </c>
      <c r="B1546" s="1" t="s">
        <v>1102</v>
      </c>
      <c r="C1546" s="1" t="s">
        <v>1087</v>
      </c>
      <c r="D1546" s="1" t="n">
        <v>59</v>
      </c>
      <c r="E1546" s="1" t="n">
        <v>3.86</v>
      </c>
      <c r="F1546" s="1" t="n">
        <v>0.3</v>
      </c>
    </row>
    <row collapsed="false" customFormat="false" customHeight="false" hidden="false" ht="14.75" outlineLevel="0" r="1547">
      <c r="A1547" s="1" t="s">
        <v>1261</v>
      </c>
      <c r="B1547" s="1" t="s">
        <v>1102</v>
      </c>
      <c r="C1547" s="1" t="s">
        <v>1087</v>
      </c>
      <c r="D1547" s="1" t="n">
        <v>40.5</v>
      </c>
      <c r="E1547" s="1" t="n">
        <v>3.67</v>
      </c>
      <c r="F1547" s="1" t="n">
        <v>0.1</v>
      </c>
    </row>
    <row collapsed="false" customFormat="false" customHeight="false" hidden="false" ht="14.75" outlineLevel="0" r="1548">
      <c r="A1548" s="1" t="s">
        <v>1262</v>
      </c>
      <c r="B1548" s="1" t="s">
        <v>1101</v>
      </c>
      <c r="C1548" s="1" t="s">
        <v>1087</v>
      </c>
      <c r="D1548" s="1" t="n">
        <v>231.2</v>
      </c>
      <c r="E1548" s="1" t="n">
        <v>13.52</v>
      </c>
      <c r="F1548" s="1" t="n">
        <v>1.75</v>
      </c>
    </row>
    <row collapsed="false" customFormat="false" customHeight="false" hidden="false" ht="14.75" outlineLevel="0" r="1549">
      <c r="A1549" s="1" t="s">
        <v>1263</v>
      </c>
      <c r="B1549" s="1" t="s">
        <v>1164</v>
      </c>
      <c r="C1549" s="1" t="s">
        <v>1087</v>
      </c>
      <c r="D1549" s="1" t="n">
        <v>239</v>
      </c>
      <c r="E1549" s="1" t="n">
        <v>13.08</v>
      </c>
      <c r="F1549" s="1" t="n">
        <v>2</v>
      </c>
    </row>
    <row collapsed="false" customFormat="false" customHeight="false" hidden="false" ht="14.75" outlineLevel="0" r="1550">
      <c r="A1550" s="1" t="s">
        <v>1264</v>
      </c>
      <c r="B1550" s="1" t="s">
        <v>1086</v>
      </c>
      <c r="C1550" s="1" t="s">
        <v>1087</v>
      </c>
      <c r="D1550" s="1" t="n">
        <v>156.4</v>
      </c>
      <c r="E1550" s="1" t="n">
        <v>10.46</v>
      </c>
      <c r="F1550" s="1" t="n">
        <v>1</v>
      </c>
    </row>
    <row collapsed="false" customFormat="false" customHeight="false" hidden="false" ht="14.75" outlineLevel="0" r="1551">
      <c r="A1551" s="1" t="s">
        <v>591</v>
      </c>
      <c r="B1551" s="1" t="s">
        <v>1164</v>
      </c>
      <c r="C1551" s="1" t="s">
        <v>1087</v>
      </c>
      <c r="D1551" s="1" t="n">
        <v>235.8</v>
      </c>
      <c r="E1551" s="1" t="n">
        <v>13.51</v>
      </c>
      <c r="F1551" s="1" t="n">
        <v>1</v>
      </c>
    </row>
    <row collapsed="false" customFormat="false" customHeight="false" hidden="false" ht="14.75" outlineLevel="0" r="1552">
      <c r="A1552" s="1" t="s">
        <v>1265</v>
      </c>
      <c r="B1552" s="1" t="s">
        <v>1097</v>
      </c>
      <c r="C1552" s="1" t="s">
        <v>1087</v>
      </c>
      <c r="D1552" s="1" t="n">
        <v>43</v>
      </c>
      <c r="E1552" s="1" t="n">
        <v>6</v>
      </c>
      <c r="F1552" s="1" t="n">
        <v>0</v>
      </c>
    </row>
    <row collapsed="false" customFormat="false" customHeight="false" hidden="false" ht="14.75" outlineLevel="0" r="1553">
      <c r="A1553" s="1" t="s">
        <v>266</v>
      </c>
      <c r="B1553" s="1" t="s">
        <v>1102</v>
      </c>
      <c r="C1553" s="1" t="s">
        <v>1087</v>
      </c>
      <c r="D1553" s="1" t="n">
        <v>442.3</v>
      </c>
      <c r="E1553" s="1" t="n">
        <v>21.34</v>
      </c>
      <c r="F1553" s="1" t="n">
        <f aca="false">65/11</f>
        <v>5.90909090909091</v>
      </c>
    </row>
    <row collapsed="false" customFormat="false" customHeight="false" hidden="false" ht="14.75" outlineLevel="0" r="1554">
      <c r="A1554" s="1" t="s">
        <v>267</v>
      </c>
      <c r="B1554" s="1" t="s">
        <v>1102</v>
      </c>
      <c r="C1554" s="1" t="s">
        <v>1087</v>
      </c>
      <c r="D1554" s="1" t="n">
        <v>160</v>
      </c>
      <c r="E1554" s="1" t="n">
        <v>11.05</v>
      </c>
      <c r="F1554" s="1" t="n">
        <v>1.1</v>
      </c>
    </row>
    <row collapsed="false" customFormat="false" customHeight="false" hidden="false" ht="14.75" outlineLevel="0" r="1555">
      <c r="A1555" s="1" t="s">
        <v>715</v>
      </c>
      <c r="B1555" s="1" t="s">
        <v>1102</v>
      </c>
      <c r="C1555" s="1" t="s">
        <v>1087</v>
      </c>
      <c r="D1555" s="1" t="n">
        <v>137</v>
      </c>
      <c r="E1555" s="1" t="n">
        <v>8.18</v>
      </c>
      <c r="F1555" s="1" t="n">
        <v>0.4</v>
      </c>
    </row>
    <row collapsed="false" customFormat="false" customHeight="false" hidden="false" ht="14.75" outlineLevel="0" r="1556">
      <c r="A1556" s="1" t="s">
        <v>1266</v>
      </c>
      <c r="B1556" s="1" t="s">
        <v>1100</v>
      </c>
      <c r="C1556" s="1" t="s">
        <v>1087</v>
      </c>
      <c r="D1556" s="1" t="n">
        <v>267.2</v>
      </c>
      <c r="E1556" s="1" t="n">
        <v>15.64</v>
      </c>
      <c r="F1556" s="1" t="n">
        <f aca="false">19/9</f>
        <v>2.11111111111111</v>
      </c>
    </row>
    <row collapsed="false" customFormat="false" customHeight="false" hidden="false" ht="14.75" outlineLevel="0" r="1557">
      <c r="A1557" s="1" t="s">
        <v>1267</v>
      </c>
      <c r="B1557" s="1" t="s">
        <v>1101</v>
      </c>
      <c r="C1557" s="1" t="s">
        <v>1087</v>
      </c>
      <c r="D1557" s="1" t="n">
        <v>137.5</v>
      </c>
      <c r="E1557" s="1" t="n">
        <v>7</v>
      </c>
      <c r="F1557" s="1" t="n">
        <v>0.375</v>
      </c>
    </row>
    <row collapsed="false" customFormat="false" customHeight="false" hidden="false" ht="14.75" outlineLevel="0" r="1558">
      <c r="A1558" s="1" t="s">
        <v>1268</v>
      </c>
      <c r="B1558" s="1" t="s">
        <v>1101</v>
      </c>
      <c r="C1558" s="1" t="s">
        <v>1087</v>
      </c>
      <c r="D1558" s="1" t="n">
        <v>146.9</v>
      </c>
      <c r="E1558" s="1" t="n">
        <v>8.46</v>
      </c>
      <c r="F1558" s="1" t="n">
        <v>1.375</v>
      </c>
    </row>
    <row collapsed="false" customFormat="false" customHeight="false" hidden="false" ht="14.75" outlineLevel="0" r="1559">
      <c r="A1559" s="1" t="s">
        <v>1269</v>
      </c>
      <c r="B1559" s="1" t="s">
        <v>1101</v>
      </c>
      <c r="C1559" s="1" t="s">
        <v>1087</v>
      </c>
      <c r="D1559" s="1" t="n">
        <v>100.6</v>
      </c>
      <c r="E1559" s="1" t="n">
        <v>6.58</v>
      </c>
      <c r="F1559" s="1" t="n">
        <v>0.5</v>
      </c>
    </row>
    <row collapsed="false" customFormat="false" customHeight="false" hidden="false" ht="14.75" outlineLevel="0" r="1560">
      <c r="A1560" s="1" t="s">
        <v>1270</v>
      </c>
      <c r="B1560" s="1" t="s">
        <v>1086</v>
      </c>
      <c r="C1560" s="1" t="s">
        <v>1087</v>
      </c>
      <c r="D1560" s="1" t="n">
        <v>97.1</v>
      </c>
      <c r="E1560" s="1" t="n">
        <v>5.95</v>
      </c>
      <c r="F1560" s="1" t="n">
        <v>1</v>
      </c>
    </row>
    <row collapsed="false" customFormat="false" customHeight="false" hidden="false" ht="14.75" outlineLevel="0" r="1561">
      <c r="A1561" s="1" t="s">
        <v>1271</v>
      </c>
      <c r="B1561" s="1" t="s">
        <v>1121</v>
      </c>
      <c r="C1561" s="1" t="s">
        <v>1087</v>
      </c>
      <c r="D1561" s="1" t="n">
        <v>111.7</v>
      </c>
      <c r="E1561" s="1" t="n">
        <v>8.15</v>
      </c>
      <c r="F1561" s="1" t="s">
        <v>9</v>
      </c>
    </row>
    <row collapsed="false" customFormat="false" customHeight="false" hidden="false" ht="14.75" outlineLevel="0" r="1562">
      <c r="A1562" s="1" t="s">
        <v>1272</v>
      </c>
      <c r="B1562" s="1" t="s">
        <v>1121</v>
      </c>
      <c r="C1562" s="1" t="s">
        <v>1087</v>
      </c>
      <c r="D1562" s="1" t="n">
        <v>55.6</v>
      </c>
      <c r="E1562" s="1" t="n">
        <v>3.93</v>
      </c>
      <c r="F1562" s="1" t="s">
        <v>9</v>
      </c>
    </row>
    <row collapsed="false" customFormat="false" customHeight="false" hidden="false" ht="14.75" outlineLevel="0" r="1563">
      <c r="A1563" s="1" t="s">
        <v>1273</v>
      </c>
      <c r="B1563" s="1" t="s">
        <v>1121</v>
      </c>
      <c r="C1563" s="1" t="s">
        <v>1087</v>
      </c>
      <c r="D1563" s="1" t="n">
        <v>270</v>
      </c>
      <c r="E1563" s="1" t="n">
        <v>14.22</v>
      </c>
      <c r="F1563" s="1" t="s">
        <v>9</v>
      </c>
    </row>
    <row collapsed="false" customFormat="false" customHeight="false" hidden="false" ht="14.75" outlineLevel="0" r="1564">
      <c r="A1564" s="1" t="s">
        <v>1274</v>
      </c>
      <c r="B1564" s="1" t="s">
        <v>1121</v>
      </c>
      <c r="C1564" s="1" t="s">
        <v>1087</v>
      </c>
      <c r="D1564" s="1" t="n">
        <v>118.9</v>
      </c>
      <c r="E1564" s="1" t="n">
        <v>6.86</v>
      </c>
      <c r="F1564" s="1" t="s">
        <v>9</v>
      </c>
    </row>
    <row collapsed="false" customFormat="false" customHeight="false" hidden="false" ht="14.75" outlineLevel="0" r="1565">
      <c r="A1565" s="1" t="s">
        <v>1275</v>
      </c>
      <c r="B1565" s="1" t="s">
        <v>1164</v>
      </c>
      <c r="C1565" s="1" t="s">
        <v>1087</v>
      </c>
      <c r="D1565" s="1" t="n">
        <v>92</v>
      </c>
      <c r="E1565" s="1" t="n">
        <v>8.46</v>
      </c>
      <c r="F1565" s="1" t="n">
        <v>0.2</v>
      </c>
    </row>
    <row collapsed="false" customFormat="false" customHeight="false" hidden="false" ht="14.75" outlineLevel="0" r="1566">
      <c r="A1566" s="1" t="s">
        <v>1276</v>
      </c>
      <c r="B1566" s="1" t="s">
        <v>1110</v>
      </c>
      <c r="C1566" s="1" t="s">
        <v>1087</v>
      </c>
      <c r="D1566" s="1" t="n">
        <v>180.6</v>
      </c>
      <c r="E1566" s="1" t="n">
        <v>9.84</v>
      </c>
      <c r="F1566" s="1" t="n">
        <f aca="false">5/8</f>
        <v>0.625</v>
      </c>
    </row>
    <row collapsed="false" customFormat="false" customHeight="false" hidden="false" ht="14.75" outlineLevel="0" r="1567">
      <c r="A1567" s="1" t="s">
        <v>1277</v>
      </c>
      <c r="B1567" s="1" t="s">
        <v>1187</v>
      </c>
      <c r="C1567" s="1" t="s">
        <v>1087</v>
      </c>
      <c r="D1567" s="1" t="n">
        <v>84.3</v>
      </c>
      <c r="E1567" s="1" t="n">
        <v>5.3</v>
      </c>
      <c r="F1567" s="1" t="n">
        <v>1</v>
      </c>
    </row>
    <row collapsed="false" customFormat="false" customHeight="false" hidden="false" ht="14.75" outlineLevel="0" r="1568">
      <c r="A1568" s="1" t="s">
        <v>1278</v>
      </c>
      <c r="B1568" s="1" t="s">
        <v>1146</v>
      </c>
      <c r="C1568" s="1" t="s">
        <v>1087</v>
      </c>
      <c r="D1568" s="1" t="n">
        <v>131.4</v>
      </c>
      <c r="E1568" s="1" t="n">
        <v>7.79</v>
      </c>
      <c r="F1568" s="1" t="n">
        <f aca="false">5/7</f>
        <v>0.714285714285714</v>
      </c>
    </row>
    <row collapsed="false" customFormat="false" customHeight="false" hidden="false" ht="14.75" outlineLevel="0" r="1569">
      <c r="A1569" s="1" t="s">
        <v>1279</v>
      </c>
      <c r="B1569" s="1" t="s">
        <v>1146</v>
      </c>
      <c r="C1569" s="1" t="s">
        <v>1087</v>
      </c>
      <c r="D1569" s="1" t="n">
        <v>60.8</v>
      </c>
      <c r="E1569" s="1" t="n">
        <v>5.62</v>
      </c>
      <c r="F1569" s="1" t="n">
        <f aca="false">3/7</f>
        <v>0.428571428571429</v>
      </c>
    </row>
    <row collapsed="false" customFormat="false" customHeight="false" hidden="false" ht="14.75" outlineLevel="0" r="1570">
      <c r="A1570" s="1" t="s">
        <v>1280</v>
      </c>
      <c r="B1570" s="1" t="s">
        <v>1110</v>
      </c>
      <c r="C1570" s="1" t="s">
        <v>1087</v>
      </c>
      <c r="D1570" s="1" t="n">
        <v>131.2</v>
      </c>
      <c r="E1570" s="1" t="n">
        <v>5.66</v>
      </c>
      <c r="F1570" s="1" t="n">
        <v>1</v>
      </c>
    </row>
    <row collapsed="false" customFormat="false" customHeight="false" hidden="false" ht="14.75" outlineLevel="0" r="1571">
      <c r="A1571" s="1" t="s">
        <v>1281</v>
      </c>
      <c r="B1571" s="1" t="s">
        <v>1121</v>
      </c>
      <c r="C1571" s="1" t="s">
        <v>1087</v>
      </c>
      <c r="D1571" s="1" t="n">
        <v>95</v>
      </c>
      <c r="E1571" s="1" t="n">
        <v>5.96</v>
      </c>
      <c r="F1571" s="1" t="s">
        <v>9</v>
      </c>
    </row>
    <row collapsed="false" customFormat="false" customHeight="false" hidden="false" ht="14.75" outlineLevel="0" r="1572">
      <c r="A1572" s="1" t="s">
        <v>1282</v>
      </c>
      <c r="B1572" s="1" t="s">
        <v>1106</v>
      </c>
      <c r="C1572" s="1" t="s">
        <v>1087</v>
      </c>
      <c r="D1572" s="1" t="n">
        <v>128.8</v>
      </c>
      <c r="E1572" s="1" t="n">
        <v>7.4</v>
      </c>
      <c r="F1572" s="1" t="n">
        <f aca="false">3/8</f>
        <v>0.375</v>
      </c>
    </row>
    <row collapsed="false" customFormat="false" customHeight="false" hidden="false" ht="14.75" outlineLevel="0" r="1573">
      <c r="A1573" s="1" t="s">
        <v>1283</v>
      </c>
      <c r="B1573" s="1" t="s">
        <v>1187</v>
      </c>
      <c r="C1573" s="1" t="s">
        <v>1087</v>
      </c>
      <c r="D1573" s="1" t="n">
        <v>192.1</v>
      </c>
      <c r="E1573" s="1" t="n">
        <v>13.02</v>
      </c>
      <c r="F1573" s="1" t="n">
        <f aca="false">3/7</f>
        <v>0.428571428571429</v>
      </c>
    </row>
    <row collapsed="false" customFormat="false" customHeight="false" hidden="false" ht="14.75" outlineLevel="0" r="1574">
      <c r="A1574" s="1" t="s">
        <v>1284</v>
      </c>
      <c r="B1574" s="1" t="s">
        <v>1127</v>
      </c>
      <c r="C1574" s="1" t="s">
        <v>1087</v>
      </c>
      <c r="D1574" s="1" t="n">
        <v>151.9</v>
      </c>
      <c r="E1574" s="1" t="n">
        <v>10</v>
      </c>
      <c r="F1574" s="1" t="n">
        <f aca="false">13/8</f>
        <v>1.625</v>
      </c>
    </row>
    <row collapsed="false" customFormat="false" customHeight="false" hidden="false" ht="14.75" outlineLevel="0" r="1575">
      <c r="A1575" s="1" t="s">
        <v>1285</v>
      </c>
      <c r="B1575" s="1" t="s">
        <v>1097</v>
      </c>
      <c r="C1575" s="1" t="s">
        <v>1087</v>
      </c>
      <c r="D1575" s="1" t="n">
        <v>311.8</v>
      </c>
      <c r="E1575" s="1" t="n">
        <v>18.66</v>
      </c>
      <c r="F1575" s="1" t="n">
        <f aca="false">33/11</f>
        <v>3</v>
      </c>
    </row>
    <row collapsed="false" customFormat="false" customHeight="false" hidden="false" ht="14.75" outlineLevel="0" r="1576">
      <c r="A1576" s="1" t="s">
        <v>1286</v>
      </c>
      <c r="B1576" s="1" t="s">
        <v>1097</v>
      </c>
      <c r="C1576" s="1" t="s">
        <v>1087</v>
      </c>
      <c r="D1576" s="1" t="n">
        <v>122.9</v>
      </c>
      <c r="E1576" s="1" t="n">
        <v>9.56</v>
      </c>
      <c r="F1576" s="1" t="n">
        <f aca="false">4/7</f>
        <v>0.571428571428571</v>
      </c>
    </row>
    <row collapsed="false" customFormat="false" customHeight="false" hidden="false" ht="14.75" outlineLevel="0" r="1577">
      <c r="A1577" s="1" t="s">
        <v>1287</v>
      </c>
      <c r="B1577" s="1" t="s">
        <v>1110</v>
      </c>
      <c r="C1577" s="1" t="s">
        <v>1087</v>
      </c>
      <c r="D1577" s="1" t="n">
        <v>155</v>
      </c>
      <c r="E1577" s="1" t="n">
        <v>8.55</v>
      </c>
      <c r="F1577" s="1" t="n">
        <f aca="false">5/8</f>
        <v>0.625</v>
      </c>
    </row>
    <row collapsed="false" customFormat="false" customHeight="false" hidden="false" ht="14.75" outlineLevel="0" r="1578">
      <c r="A1578" s="1" t="s">
        <v>1288</v>
      </c>
      <c r="B1578" s="1" t="s">
        <v>1127</v>
      </c>
      <c r="C1578" s="1" t="s">
        <v>1087</v>
      </c>
      <c r="D1578" s="1" t="n">
        <v>216.2</v>
      </c>
      <c r="E1578" s="1" t="n">
        <v>15.94</v>
      </c>
      <c r="F1578" s="1" t="n">
        <f aca="false">16/8</f>
        <v>2</v>
      </c>
    </row>
    <row collapsed="false" customFormat="false" customHeight="false" hidden="false" ht="14.75" outlineLevel="0" r="1579">
      <c r="A1579" s="1" t="s">
        <v>1289</v>
      </c>
      <c r="B1579" s="1" t="s">
        <v>1127</v>
      </c>
      <c r="C1579" s="1" t="s">
        <v>1087</v>
      </c>
      <c r="D1579" s="1" t="n">
        <v>180</v>
      </c>
      <c r="E1579" s="1" t="n">
        <v>11.38</v>
      </c>
      <c r="F1579" s="1" t="n">
        <f aca="false">12/8</f>
        <v>1.5</v>
      </c>
    </row>
    <row collapsed="false" customFormat="false" customHeight="false" hidden="false" ht="14.75" outlineLevel="0" r="1580">
      <c r="A1580" s="1" t="s">
        <v>1290</v>
      </c>
      <c r="B1580" s="1" t="s">
        <v>1127</v>
      </c>
      <c r="C1580" s="1" t="s">
        <v>1087</v>
      </c>
      <c r="D1580" s="1" t="n">
        <v>42.5</v>
      </c>
      <c r="E1580" s="1" t="n">
        <v>5</v>
      </c>
      <c r="F1580" s="1" t="n">
        <v>0</v>
      </c>
    </row>
    <row collapsed="false" customFormat="false" customHeight="false" hidden="false" ht="14.75" outlineLevel="0" r="1581">
      <c r="A1581" s="1" t="s">
        <v>1291</v>
      </c>
      <c r="B1581" s="1" t="s">
        <v>1089</v>
      </c>
      <c r="C1581" s="1" t="s">
        <v>1087</v>
      </c>
      <c r="D1581" s="1" t="n">
        <v>239</v>
      </c>
      <c r="E1581" s="1" t="n">
        <v>13.38</v>
      </c>
      <c r="F1581" s="1" t="n">
        <v>1.5</v>
      </c>
    </row>
    <row collapsed="false" customFormat="false" customHeight="false" hidden="false" ht="14.75" outlineLevel="0" r="1582">
      <c r="A1582" s="1" t="s">
        <v>223</v>
      </c>
      <c r="B1582" s="1" t="s">
        <v>1097</v>
      </c>
      <c r="C1582" s="1" t="s">
        <v>1087</v>
      </c>
      <c r="D1582" s="1" t="n">
        <v>119.4</v>
      </c>
      <c r="E1582" s="1" t="n">
        <v>10.7</v>
      </c>
      <c r="F1582" s="1" t="n">
        <f aca="false">6/10</f>
        <v>0.6</v>
      </c>
    </row>
    <row collapsed="false" customFormat="false" customHeight="false" hidden="false" ht="14.75" outlineLevel="0" r="1583">
      <c r="A1583" s="1" t="s">
        <v>224</v>
      </c>
      <c r="B1583" s="1" t="s">
        <v>1097</v>
      </c>
      <c r="C1583" s="1" t="s">
        <v>1087</v>
      </c>
      <c r="D1583" s="1" t="n">
        <v>78.5</v>
      </c>
      <c r="E1583" s="1" t="n">
        <v>6.08</v>
      </c>
      <c r="F1583" s="1" t="n">
        <v>0.3</v>
      </c>
    </row>
    <row collapsed="false" customFormat="false" customHeight="false" hidden="false" ht="14.75" outlineLevel="0" r="1584">
      <c r="A1584" s="1" t="s">
        <v>225</v>
      </c>
      <c r="B1584" s="1" t="s">
        <v>1097</v>
      </c>
      <c r="C1584" s="1" t="s">
        <v>1087</v>
      </c>
      <c r="D1584" s="1" t="n">
        <v>81.5</v>
      </c>
      <c r="E1584" s="1" t="n">
        <v>6.27</v>
      </c>
      <c r="F1584" s="1" t="n">
        <v>0.4</v>
      </c>
    </row>
    <row collapsed="false" customFormat="false" customHeight="false" hidden="false" ht="14.75" outlineLevel="0" r="1585">
      <c r="A1585" s="1" t="s">
        <v>942</v>
      </c>
      <c r="B1585" s="1" t="s">
        <v>1097</v>
      </c>
      <c r="C1585" s="1" t="s">
        <v>1087</v>
      </c>
      <c r="D1585" s="1" t="n">
        <v>97.2</v>
      </c>
      <c r="E1585" s="1" t="n">
        <v>9.24</v>
      </c>
      <c r="F1585" s="1" t="n">
        <f aca="false">5/9</f>
        <v>0.555555555555556</v>
      </c>
    </row>
    <row collapsed="false" customFormat="false" customHeight="false" hidden="false" ht="14.75" outlineLevel="0" r="1586">
      <c r="A1586" s="1" t="s">
        <v>1292</v>
      </c>
      <c r="B1586" s="1" t="s">
        <v>1110</v>
      </c>
      <c r="C1586" s="1" t="s">
        <v>1087</v>
      </c>
      <c r="D1586" s="1" t="n">
        <v>193.1</v>
      </c>
      <c r="E1586" s="1" t="n">
        <v>10.62</v>
      </c>
      <c r="F1586" s="1" t="n">
        <f aca="false">13/8</f>
        <v>1.625</v>
      </c>
    </row>
    <row collapsed="false" customFormat="false" customHeight="false" hidden="false" ht="14.75" outlineLevel="0" r="1587">
      <c r="A1587" s="1" t="s">
        <v>1293</v>
      </c>
      <c r="B1587" s="1" t="s">
        <v>1106</v>
      </c>
      <c r="C1587" s="1" t="s">
        <v>1087</v>
      </c>
      <c r="D1587" s="1" t="n">
        <v>140</v>
      </c>
      <c r="E1587" s="1" t="n">
        <v>7.14</v>
      </c>
      <c r="F1587" s="1" t="n">
        <f aca="false">9/8</f>
        <v>1.125</v>
      </c>
    </row>
    <row collapsed="false" customFormat="false" customHeight="false" hidden="false" ht="14.75" outlineLevel="0" r="1588">
      <c r="A1588" s="1" t="s">
        <v>1294</v>
      </c>
      <c r="B1588" s="1" t="s">
        <v>1106</v>
      </c>
      <c r="C1588" s="1" t="s">
        <v>1087</v>
      </c>
      <c r="D1588" s="1" t="n">
        <v>128.8</v>
      </c>
      <c r="E1588" s="1" t="n">
        <v>7.35</v>
      </c>
      <c r="F1588" s="1" t="n">
        <f aca="false">2/8</f>
        <v>0.25</v>
      </c>
    </row>
    <row collapsed="false" customFormat="false" customHeight="false" hidden="false" ht="14.75" outlineLevel="0" r="1589">
      <c r="A1589" s="1" t="s">
        <v>1295</v>
      </c>
      <c r="B1589" s="1" t="s">
        <v>1106</v>
      </c>
      <c r="C1589" s="1" t="s">
        <v>1087</v>
      </c>
      <c r="D1589" s="1" t="n">
        <v>192.8</v>
      </c>
      <c r="E1589" s="1" t="n">
        <v>10.15</v>
      </c>
      <c r="F1589" s="1" t="n">
        <f aca="false">10/9</f>
        <v>1.11111111111111</v>
      </c>
    </row>
    <row collapsed="false" customFormat="false" customHeight="false" hidden="false" ht="14.75" outlineLevel="0" r="1590">
      <c r="A1590" s="1" t="s">
        <v>1296</v>
      </c>
      <c r="B1590" s="1" t="s">
        <v>1106</v>
      </c>
      <c r="C1590" s="1" t="s">
        <v>1087</v>
      </c>
      <c r="D1590" s="1" t="n">
        <v>91.2</v>
      </c>
      <c r="E1590" s="1" t="n">
        <v>8.75</v>
      </c>
      <c r="F1590" s="1" t="n">
        <f aca="false">2/8</f>
        <v>0.25</v>
      </c>
    </row>
    <row collapsed="false" customFormat="false" customHeight="false" hidden="false" ht="14.75" outlineLevel="0" r="1591">
      <c r="A1591" s="1" t="s">
        <v>1297</v>
      </c>
      <c r="B1591" s="1" t="s">
        <v>1106</v>
      </c>
      <c r="C1591" s="1" t="s">
        <v>1087</v>
      </c>
      <c r="D1591" s="1" t="n">
        <v>190.6</v>
      </c>
      <c r="E1591" s="1" t="n">
        <v>8.9</v>
      </c>
      <c r="F1591" s="1" t="n">
        <f aca="false">4/8</f>
        <v>0.5</v>
      </c>
    </row>
    <row collapsed="false" customFormat="false" customHeight="false" hidden="false" ht="14.75" outlineLevel="0" r="1592">
      <c r="A1592" s="1" t="s">
        <v>1298</v>
      </c>
      <c r="B1592" s="1" t="s">
        <v>1101</v>
      </c>
      <c r="C1592" s="1" t="s">
        <v>1087</v>
      </c>
      <c r="D1592" s="1" t="n">
        <v>255</v>
      </c>
      <c r="E1592" s="1" t="n">
        <v>12.99</v>
      </c>
      <c r="F1592" s="1" t="n">
        <v>1.75</v>
      </c>
    </row>
    <row collapsed="false" customFormat="false" customHeight="false" hidden="false" ht="14.75" outlineLevel="0" r="1593">
      <c r="A1593" s="1" t="s">
        <v>1299</v>
      </c>
      <c r="B1593" s="1" t="s">
        <v>1101</v>
      </c>
      <c r="C1593" s="1" t="s">
        <v>1087</v>
      </c>
      <c r="D1593" s="1" t="n">
        <v>186.2</v>
      </c>
      <c r="E1593" s="1" t="n">
        <v>8.62</v>
      </c>
      <c r="F1593" s="1" t="n">
        <v>1.125</v>
      </c>
    </row>
    <row collapsed="false" customFormat="false" customHeight="false" hidden="false" ht="14.75" outlineLevel="0" r="1594">
      <c r="A1594" s="1" t="s">
        <v>1300</v>
      </c>
      <c r="B1594" s="1" t="s">
        <v>1101</v>
      </c>
      <c r="C1594" s="1" t="s">
        <v>1087</v>
      </c>
      <c r="D1594" s="1" t="n">
        <v>238.8</v>
      </c>
      <c r="E1594" s="1" t="n">
        <v>12.39</v>
      </c>
      <c r="F1594" s="1" t="n">
        <v>2.125</v>
      </c>
    </row>
    <row collapsed="false" customFormat="false" customHeight="false" hidden="false" ht="14.75" outlineLevel="0" r="1595">
      <c r="A1595" s="1" t="s">
        <v>1301</v>
      </c>
      <c r="B1595" s="1" t="s">
        <v>1086</v>
      </c>
      <c r="C1595" s="1" t="s">
        <v>1087</v>
      </c>
      <c r="D1595" s="1" t="n">
        <v>91.4</v>
      </c>
      <c r="E1595" s="1" t="n">
        <v>8.24</v>
      </c>
      <c r="F1595" s="1" t="n">
        <v>0</v>
      </c>
    </row>
    <row collapsed="false" customFormat="false" customHeight="false" hidden="false" ht="14.75" outlineLevel="0" r="1596">
      <c r="A1596" s="1" t="s">
        <v>1302</v>
      </c>
      <c r="B1596" s="1" t="s">
        <v>1086</v>
      </c>
      <c r="C1596" s="1" t="s">
        <v>1087</v>
      </c>
      <c r="D1596" s="1" t="n">
        <v>104.3</v>
      </c>
      <c r="E1596" s="1" t="n">
        <v>10.71</v>
      </c>
      <c r="F1596" s="1" t="n">
        <f aca="false">3/7</f>
        <v>0.428571428571429</v>
      </c>
    </row>
    <row collapsed="false" customFormat="false" customHeight="false" hidden="false" ht="14.75" outlineLevel="0" r="1597">
      <c r="A1597" s="1" t="s">
        <v>1303</v>
      </c>
      <c r="B1597" s="1" t="s">
        <v>1127</v>
      </c>
      <c r="C1597" s="1" t="s">
        <v>1087</v>
      </c>
      <c r="D1597" s="1" t="n">
        <v>114.4</v>
      </c>
      <c r="E1597" s="1" t="n">
        <v>8.27</v>
      </c>
      <c r="F1597" s="1" t="n">
        <f aca="false">7/8</f>
        <v>0.875</v>
      </c>
    </row>
    <row collapsed="false" customFormat="false" customHeight="false" hidden="false" ht="14.75" outlineLevel="0" r="1598">
      <c r="A1598" s="1" t="s">
        <v>226</v>
      </c>
      <c r="B1598" s="1" t="s">
        <v>1097</v>
      </c>
      <c r="C1598" s="1" t="s">
        <v>1087</v>
      </c>
      <c r="D1598" s="1" t="n">
        <v>310</v>
      </c>
      <c r="E1598" s="1" t="n">
        <v>16.5</v>
      </c>
      <c r="F1598" s="1" t="n">
        <f aca="false">23/7</f>
        <v>3.28571428571429</v>
      </c>
    </row>
    <row collapsed="false" customFormat="false" customHeight="false" hidden="false" ht="14.75" outlineLevel="0" r="1599">
      <c r="A1599" s="1" t="s">
        <v>27</v>
      </c>
      <c r="B1599" s="1" t="s">
        <v>1093</v>
      </c>
      <c r="C1599" s="1" t="s">
        <v>1087</v>
      </c>
      <c r="D1599" s="1" t="n">
        <v>133.3</v>
      </c>
      <c r="E1599" s="1" t="n">
        <v>9.29</v>
      </c>
      <c r="F1599" s="1" t="n">
        <f aca="false">5/6</f>
        <v>0.833333333333333</v>
      </c>
    </row>
    <row collapsed="false" customFormat="false" customHeight="false" hidden="false" ht="14.75" outlineLevel="0" r="1600">
      <c r="A1600" s="1" t="s">
        <v>1304</v>
      </c>
      <c r="B1600" s="1" t="s">
        <v>1093</v>
      </c>
      <c r="C1600" s="1" t="s">
        <v>1087</v>
      </c>
      <c r="D1600" s="1" t="n">
        <v>62.5</v>
      </c>
      <c r="E1600" s="1" t="n">
        <v>6.4</v>
      </c>
      <c r="F1600" s="1" t="n">
        <f aca="false">1/6</f>
        <v>0.166666666666667</v>
      </c>
    </row>
    <row collapsed="false" customFormat="false" customHeight="false" hidden="false" ht="14.75" outlineLevel="0" r="1601">
      <c r="A1601" s="1" t="s">
        <v>1305</v>
      </c>
      <c r="B1601" s="1" t="s">
        <v>1102</v>
      </c>
      <c r="C1601" s="1" t="s">
        <v>1087</v>
      </c>
      <c r="D1601" s="1" t="n">
        <v>244.5</v>
      </c>
      <c r="E1601" s="1" t="n">
        <v>16.11</v>
      </c>
      <c r="F1601" s="1" t="n">
        <v>1.6</v>
      </c>
    </row>
    <row collapsed="false" customFormat="false" customHeight="false" hidden="false" ht="14.75" outlineLevel="0" r="1602">
      <c r="A1602" s="1" t="s">
        <v>1306</v>
      </c>
      <c r="B1602" s="1" t="s">
        <v>1164</v>
      </c>
      <c r="C1602" s="1" t="s">
        <v>1087</v>
      </c>
      <c r="D1602" s="1" t="n">
        <v>117</v>
      </c>
      <c r="E1602" s="1" t="n">
        <v>9.41</v>
      </c>
      <c r="F1602" s="1" t="n">
        <f aca="false">2/5</f>
        <v>0.4</v>
      </c>
    </row>
    <row collapsed="false" customFormat="false" customHeight="false" hidden="false" ht="14.75" outlineLevel="0" r="1603">
      <c r="A1603" s="1" t="s">
        <v>1307</v>
      </c>
      <c r="B1603" s="1" t="s">
        <v>1164</v>
      </c>
      <c r="C1603" s="1" t="s">
        <v>1087</v>
      </c>
      <c r="D1603" s="1" t="n">
        <v>143</v>
      </c>
      <c r="E1603" s="1" t="n">
        <v>8.9</v>
      </c>
      <c r="F1603" s="1" t="n">
        <f aca="false">6/5</f>
        <v>1.2</v>
      </c>
    </row>
    <row collapsed="false" customFormat="false" customHeight="false" hidden="false" ht="14.75" outlineLevel="0" r="1604">
      <c r="A1604" s="1" t="s">
        <v>1308</v>
      </c>
      <c r="B1604" s="1" t="s">
        <v>1102</v>
      </c>
      <c r="C1604" s="1" t="s">
        <v>1087</v>
      </c>
      <c r="D1604" s="1" t="n">
        <v>339</v>
      </c>
      <c r="E1604" s="1" t="n">
        <v>19.96</v>
      </c>
      <c r="F1604" s="1" t="n">
        <v>3.3</v>
      </c>
    </row>
    <row collapsed="false" customFormat="false" customHeight="false" hidden="false" ht="14.75" outlineLevel="0" r="1605">
      <c r="A1605" s="1" t="s">
        <v>278</v>
      </c>
      <c r="B1605" s="1" t="s">
        <v>1119</v>
      </c>
      <c r="C1605" s="1" t="s">
        <v>1087</v>
      </c>
      <c r="D1605" s="1" t="n">
        <v>293.6</v>
      </c>
      <c r="E1605" s="1" t="n">
        <v>14.31</v>
      </c>
      <c r="F1605" s="1" t="n">
        <f aca="false">30/11</f>
        <v>2.72727272727273</v>
      </c>
    </row>
    <row collapsed="false" customFormat="false" customHeight="false" hidden="false" ht="14.75" outlineLevel="0" r="1606">
      <c r="A1606" s="1" t="s">
        <v>611</v>
      </c>
      <c r="B1606" s="1" t="s">
        <v>1119</v>
      </c>
      <c r="C1606" s="1" t="s">
        <v>1087</v>
      </c>
      <c r="D1606" s="1" t="n">
        <v>72</v>
      </c>
      <c r="E1606" s="1" t="n">
        <v>5.31</v>
      </c>
      <c r="F1606" s="1" t="n">
        <v>0.3</v>
      </c>
    </row>
    <row collapsed="false" customFormat="false" customHeight="false" hidden="false" ht="14.75" outlineLevel="0" r="1607">
      <c r="A1607" s="1" t="s">
        <v>951</v>
      </c>
      <c r="B1607" s="1" t="s">
        <v>1119</v>
      </c>
      <c r="C1607" s="1" t="s">
        <v>1087</v>
      </c>
      <c r="D1607" s="1" t="n">
        <v>100</v>
      </c>
      <c r="E1607" s="1" t="n">
        <v>7.3</v>
      </c>
      <c r="F1607" s="1" t="n">
        <f aca="false">3/11</f>
        <v>0.272727272727273</v>
      </c>
    </row>
    <row collapsed="false" customFormat="false" customHeight="false" hidden="false" ht="14.75" outlineLevel="0" r="1608">
      <c r="A1608" s="1" t="s">
        <v>1309</v>
      </c>
      <c r="B1608" s="1" t="s">
        <v>1127</v>
      </c>
      <c r="C1608" s="1" t="s">
        <v>1087</v>
      </c>
      <c r="D1608" s="1" t="n">
        <v>202.5</v>
      </c>
      <c r="E1608" s="1" t="n">
        <v>13.66</v>
      </c>
      <c r="F1608" s="1" t="n">
        <f aca="false">18/8</f>
        <v>2.25</v>
      </c>
    </row>
    <row collapsed="false" customFormat="false" customHeight="false" hidden="false" ht="14.75" outlineLevel="0" r="1609">
      <c r="A1609" s="1" t="s">
        <v>1310</v>
      </c>
      <c r="B1609" s="1" t="s">
        <v>1086</v>
      </c>
      <c r="C1609" s="1" t="s">
        <v>1087</v>
      </c>
      <c r="D1609" s="1" t="n">
        <v>270.7</v>
      </c>
      <c r="E1609" s="1" t="n">
        <v>14.93</v>
      </c>
      <c r="F1609" s="1" t="n">
        <f aca="false">9/7</f>
        <v>1.28571428571429</v>
      </c>
    </row>
    <row collapsed="false" customFormat="false" customHeight="false" hidden="false" ht="14.75" outlineLevel="0" r="1610">
      <c r="A1610" s="1" t="s">
        <v>1311</v>
      </c>
      <c r="B1610" s="1" t="s">
        <v>1086</v>
      </c>
      <c r="C1610" s="1" t="s">
        <v>1087</v>
      </c>
      <c r="D1610" s="1" t="n">
        <v>88.6</v>
      </c>
      <c r="E1610" s="1" t="n">
        <v>11</v>
      </c>
      <c r="F1610" s="1" t="n">
        <f aca="false">1/7</f>
        <v>0.142857142857143</v>
      </c>
    </row>
    <row collapsed="false" customFormat="false" customHeight="false" hidden="false" ht="14.75" outlineLevel="0" r="1611">
      <c r="A1611" s="1" t="s">
        <v>702</v>
      </c>
      <c r="B1611" s="1" t="s">
        <v>1187</v>
      </c>
      <c r="C1611" s="1" t="s">
        <v>1087</v>
      </c>
      <c r="D1611" s="1" t="n">
        <v>348.5</v>
      </c>
      <c r="E1611" s="1" t="n">
        <v>18.63</v>
      </c>
      <c r="F1611" s="1" t="n">
        <v>1.8</v>
      </c>
    </row>
    <row collapsed="false" customFormat="false" customHeight="false" hidden="false" ht="14.75" outlineLevel="0" r="1612">
      <c r="A1612" s="1" t="s">
        <v>703</v>
      </c>
      <c r="B1612" s="1" t="s">
        <v>1187</v>
      </c>
      <c r="C1612" s="1" t="s">
        <v>1087</v>
      </c>
      <c r="D1612" s="1" t="n">
        <v>166.4</v>
      </c>
      <c r="E1612" s="1" t="n">
        <v>12.05</v>
      </c>
      <c r="F1612" s="1" t="n">
        <f aca="false">10/7</f>
        <v>1.42857142857143</v>
      </c>
    </row>
    <row collapsed="false" customFormat="false" customHeight="false" hidden="false" ht="14.75" outlineLevel="0" r="1613">
      <c r="A1613" s="1" t="s">
        <v>279</v>
      </c>
      <c r="B1613" s="1" t="s">
        <v>1102</v>
      </c>
      <c r="C1613" s="1" t="s">
        <v>1087</v>
      </c>
      <c r="D1613" s="1" t="n">
        <v>166.5</v>
      </c>
      <c r="E1613" s="1" t="n">
        <v>13.38</v>
      </c>
      <c r="F1613" s="1" t="n">
        <v>0.7</v>
      </c>
    </row>
    <row collapsed="false" customFormat="false" customHeight="false" hidden="false" ht="14.75" outlineLevel="0" r="1614">
      <c r="A1614" s="1" t="s">
        <v>280</v>
      </c>
      <c r="B1614" s="1" t="s">
        <v>1102</v>
      </c>
      <c r="C1614" s="1" t="s">
        <v>1087</v>
      </c>
      <c r="D1614" s="1" t="n">
        <v>115</v>
      </c>
      <c r="E1614" s="1" t="n">
        <v>9.17</v>
      </c>
      <c r="F1614" s="1" t="n">
        <v>0.4</v>
      </c>
    </row>
    <row collapsed="false" customFormat="false" customHeight="false" hidden="false" ht="14.75" outlineLevel="0" r="1615">
      <c r="A1615" s="1" t="s">
        <v>281</v>
      </c>
      <c r="B1615" s="1" t="s">
        <v>1102</v>
      </c>
      <c r="C1615" s="1" t="s">
        <v>1087</v>
      </c>
      <c r="D1615" s="1" t="n">
        <v>134</v>
      </c>
      <c r="E1615" s="1" t="n">
        <v>10.45</v>
      </c>
      <c r="F1615" s="1" t="n">
        <v>0.9</v>
      </c>
    </row>
    <row collapsed="false" customFormat="false" customHeight="false" hidden="false" ht="14.75" outlineLevel="0" r="1616">
      <c r="A1616" s="1" t="s">
        <v>1312</v>
      </c>
      <c r="B1616" s="1" t="s">
        <v>1101</v>
      </c>
      <c r="C1616" s="1" t="s">
        <v>1087</v>
      </c>
      <c r="D1616" s="1" t="n">
        <v>217.5</v>
      </c>
      <c r="E1616" s="1" t="n">
        <v>12.21</v>
      </c>
      <c r="F1616" s="1" t="n">
        <v>1</v>
      </c>
    </row>
    <row collapsed="false" customFormat="false" customHeight="false" hidden="false" ht="14.75" outlineLevel="0" r="1617">
      <c r="A1617" s="1" t="s">
        <v>1313</v>
      </c>
      <c r="B1617" s="1" t="s">
        <v>1089</v>
      </c>
      <c r="C1617" s="1" t="s">
        <v>1087</v>
      </c>
      <c r="D1617" s="1" t="n">
        <v>72.8</v>
      </c>
      <c r="E1617" s="1" t="n">
        <v>6.22</v>
      </c>
      <c r="F1617" s="1" t="n">
        <f aca="false">4/9</f>
        <v>0.444444444444444</v>
      </c>
    </row>
    <row collapsed="false" customFormat="false" customHeight="false" hidden="false" ht="14.75" outlineLevel="0" r="1618">
      <c r="A1618" s="1" t="s">
        <v>1314</v>
      </c>
      <c r="B1618" s="1" t="s">
        <v>1100</v>
      </c>
      <c r="C1618" s="1" t="s">
        <v>1087</v>
      </c>
      <c r="D1618" s="1" t="n">
        <v>183.3</v>
      </c>
      <c r="E1618" s="1" t="n">
        <v>12.32</v>
      </c>
      <c r="F1618" s="1" t="n">
        <f aca="false">10/9</f>
        <v>1.11111111111111</v>
      </c>
    </row>
    <row collapsed="false" customFormat="false" customHeight="false" hidden="false" ht="14.75" outlineLevel="0" r="1619">
      <c r="A1619" s="1" t="s">
        <v>1315</v>
      </c>
      <c r="B1619" s="1" t="s">
        <v>1101</v>
      </c>
      <c r="C1619" s="1" t="s">
        <v>1087</v>
      </c>
      <c r="D1619" s="1" t="n">
        <v>161.9</v>
      </c>
      <c r="E1619" s="1" t="n">
        <v>7.37</v>
      </c>
      <c r="F1619" s="1" t="n">
        <v>0.5</v>
      </c>
    </row>
    <row collapsed="false" customFormat="false" customHeight="false" hidden="false" ht="14.75" outlineLevel="0" r="1620">
      <c r="A1620" s="1" t="s">
        <v>30</v>
      </c>
      <c r="B1620" s="1" t="s">
        <v>1093</v>
      </c>
      <c r="C1620" s="1" t="s">
        <v>1087</v>
      </c>
      <c r="D1620" s="1" t="n">
        <v>391.7</v>
      </c>
      <c r="E1620" s="1" t="n">
        <v>18.64</v>
      </c>
      <c r="F1620" s="1" t="n">
        <v>2.8</v>
      </c>
    </row>
    <row collapsed="false" customFormat="false" customHeight="false" hidden="false" ht="14.75" outlineLevel="0" r="1621">
      <c r="A1621" s="1" t="s">
        <v>31</v>
      </c>
      <c r="B1621" s="1" t="s">
        <v>1093</v>
      </c>
      <c r="C1621" s="1" t="s">
        <v>1087</v>
      </c>
      <c r="D1621" s="1" t="n">
        <v>297.2</v>
      </c>
      <c r="E1621" s="1" t="n">
        <v>14.36</v>
      </c>
      <c r="F1621" s="1" t="n">
        <f aca="false">16/9</f>
        <v>1.77777777777778</v>
      </c>
    </row>
    <row collapsed="false" customFormat="false" customHeight="false" hidden="false" ht="14.75" outlineLevel="0" r="1622">
      <c r="A1622" s="1" t="s">
        <v>1316</v>
      </c>
      <c r="B1622" s="1" t="s">
        <v>1093</v>
      </c>
      <c r="C1622" s="1" t="s">
        <v>1087</v>
      </c>
      <c r="D1622" s="1" t="n">
        <v>231.9</v>
      </c>
      <c r="E1622" s="1" t="n">
        <v>12.53</v>
      </c>
      <c r="F1622" s="1" t="n">
        <f aca="false">15/8</f>
        <v>1.875</v>
      </c>
    </row>
    <row collapsed="false" customFormat="false" customHeight="false" hidden="false" ht="14.75" outlineLevel="0" r="1623">
      <c r="A1623" s="1" t="s">
        <v>1317</v>
      </c>
      <c r="B1623" s="1" t="s">
        <v>1097</v>
      </c>
      <c r="C1623" s="1" t="s">
        <v>1087</v>
      </c>
      <c r="D1623" s="1" t="n">
        <v>440.8</v>
      </c>
      <c r="E1623" s="1" t="n">
        <v>21.69</v>
      </c>
      <c r="F1623" s="1" t="n">
        <f aca="false">68/12</f>
        <v>5.66666666666667</v>
      </c>
    </row>
    <row collapsed="false" customFormat="false" customHeight="false" hidden="false" ht="14.75" outlineLevel="0" r="1624">
      <c r="A1624" s="1" t="s">
        <v>613</v>
      </c>
      <c r="B1624" s="1" t="s">
        <v>1146</v>
      </c>
      <c r="C1624" s="1" t="s">
        <v>1087</v>
      </c>
      <c r="D1624" s="1" t="n">
        <v>441.5</v>
      </c>
      <c r="E1624" s="1" t="n">
        <v>22.2</v>
      </c>
      <c r="F1624" s="1" t="n">
        <v>4.7</v>
      </c>
    </row>
    <row collapsed="false" customFormat="false" customHeight="false" hidden="false" ht="14.75" outlineLevel="0" r="1625">
      <c r="A1625" s="1" t="s">
        <v>614</v>
      </c>
      <c r="B1625" s="1" t="s">
        <v>1146</v>
      </c>
      <c r="C1625" s="1" t="s">
        <v>1087</v>
      </c>
      <c r="D1625" s="1" t="n">
        <v>241.1</v>
      </c>
      <c r="E1625" s="1" t="n">
        <v>13.21</v>
      </c>
      <c r="F1625" s="1" t="n">
        <f aca="false">23/9</f>
        <v>2.55555555555556</v>
      </c>
    </row>
    <row collapsed="false" customFormat="false" customHeight="false" hidden="false" ht="14.75" outlineLevel="0" r="1626">
      <c r="A1626" s="1" t="s">
        <v>615</v>
      </c>
      <c r="B1626" s="1" t="s">
        <v>1146</v>
      </c>
      <c r="C1626" s="1" t="s">
        <v>1087</v>
      </c>
      <c r="D1626" s="1" t="n">
        <v>185.7</v>
      </c>
      <c r="E1626" s="1" t="n">
        <v>9.53</v>
      </c>
      <c r="F1626" s="1" t="n">
        <v>2</v>
      </c>
    </row>
    <row collapsed="false" customFormat="false" customHeight="false" hidden="false" ht="14.75" outlineLevel="0" r="1627">
      <c r="A1627" s="1" t="s">
        <v>1318</v>
      </c>
      <c r="B1627" s="1" t="s">
        <v>1101</v>
      </c>
      <c r="C1627" s="1" t="s">
        <v>1087</v>
      </c>
      <c r="D1627" s="1" t="n">
        <v>195.6</v>
      </c>
      <c r="E1627" s="1" t="n">
        <v>11.07</v>
      </c>
      <c r="F1627" s="1" t="n">
        <v>0.375</v>
      </c>
    </row>
    <row collapsed="false" customFormat="false" customHeight="false" hidden="false" ht="14.75" outlineLevel="0" r="1628">
      <c r="A1628" s="1" t="s">
        <v>1319</v>
      </c>
      <c r="B1628" s="1" t="s">
        <v>1101</v>
      </c>
      <c r="C1628" s="1" t="s">
        <v>1087</v>
      </c>
      <c r="D1628" s="1" t="n">
        <v>78.1</v>
      </c>
      <c r="E1628" s="1" t="n">
        <v>5.67</v>
      </c>
      <c r="F1628" s="1" t="n">
        <v>0.5</v>
      </c>
    </row>
    <row collapsed="false" customFormat="false" customHeight="false" hidden="false" ht="14.75" outlineLevel="0" r="1629">
      <c r="A1629" s="1" t="s">
        <v>397</v>
      </c>
      <c r="B1629" s="1" t="s">
        <v>1101</v>
      </c>
      <c r="C1629" s="1" t="s">
        <v>1087</v>
      </c>
      <c r="D1629" s="1" t="n">
        <v>270.6</v>
      </c>
      <c r="E1629" s="1" t="n">
        <v>12.96</v>
      </c>
      <c r="F1629" s="1" t="n">
        <v>2.125</v>
      </c>
    </row>
    <row collapsed="false" customFormat="false" customHeight="false" hidden="false" ht="14.75" outlineLevel="0" r="1630">
      <c r="A1630" s="1" t="s">
        <v>398</v>
      </c>
      <c r="B1630" s="1" t="s">
        <v>1101</v>
      </c>
      <c r="C1630" s="1" t="s">
        <v>1087</v>
      </c>
      <c r="D1630" s="1" t="n">
        <v>193.1</v>
      </c>
      <c r="E1630" s="1" t="n">
        <v>11.02</v>
      </c>
      <c r="F1630" s="1" t="n">
        <v>0.375</v>
      </c>
    </row>
    <row collapsed="false" customFormat="false" customHeight="false" hidden="false" ht="14.75" outlineLevel="0" r="1631">
      <c r="A1631" s="1" t="s">
        <v>1320</v>
      </c>
      <c r="B1631" s="1" t="s">
        <v>1097</v>
      </c>
      <c r="C1631" s="1" t="s">
        <v>1087</v>
      </c>
      <c r="D1631" s="1" t="n">
        <v>220</v>
      </c>
      <c r="E1631" s="1" t="n">
        <v>13.32</v>
      </c>
      <c r="F1631" s="1" t="n">
        <v>1.8</v>
      </c>
    </row>
    <row collapsed="false" customFormat="false" customHeight="false" hidden="false" ht="14.75" outlineLevel="0" r="1632">
      <c r="A1632" s="1" t="s">
        <v>1321</v>
      </c>
      <c r="B1632" s="1" t="s">
        <v>1106</v>
      </c>
      <c r="C1632" s="1" t="s">
        <v>1087</v>
      </c>
      <c r="D1632" s="1" t="n">
        <v>213.3</v>
      </c>
      <c r="E1632" s="1" t="n">
        <v>10.51</v>
      </c>
      <c r="F1632" s="1" t="n">
        <f aca="false">10/9</f>
        <v>1.11111111111111</v>
      </c>
    </row>
    <row collapsed="false" customFormat="false" customHeight="false" hidden="false" ht="14.75" outlineLevel="0" r="1633">
      <c r="A1633" s="1" t="s">
        <v>1322</v>
      </c>
      <c r="B1633" s="1" t="s">
        <v>1106</v>
      </c>
      <c r="C1633" s="1" t="s">
        <v>1087</v>
      </c>
      <c r="D1633" s="1" t="n">
        <v>176.9</v>
      </c>
      <c r="E1633" s="1" t="n">
        <v>9.14</v>
      </c>
      <c r="F1633" s="1" t="n">
        <v>1.5</v>
      </c>
    </row>
    <row collapsed="false" customFormat="false" customHeight="false" hidden="false" ht="14.75" outlineLevel="0" r="1634">
      <c r="A1634" s="1" t="s">
        <v>178</v>
      </c>
      <c r="B1634" s="1" t="s">
        <v>1100</v>
      </c>
      <c r="C1634" s="1" t="s">
        <v>1087</v>
      </c>
      <c r="D1634" s="1" t="n">
        <v>373</v>
      </c>
      <c r="E1634" s="1" t="n">
        <v>20.3</v>
      </c>
      <c r="F1634" s="1" t="n">
        <v>4.8</v>
      </c>
    </row>
    <row collapsed="false" customFormat="false" customHeight="false" hidden="false" ht="14.75" outlineLevel="0" r="1635">
      <c r="A1635" s="1" t="s">
        <v>179</v>
      </c>
      <c r="B1635" s="1" t="s">
        <v>1101</v>
      </c>
      <c r="C1635" s="1" t="s">
        <v>1087</v>
      </c>
      <c r="D1635" s="1" t="n">
        <v>319.4</v>
      </c>
      <c r="E1635" s="1" t="n">
        <v>17.12</v>
      </c>
      <c r="F1635" s="1" t="n">
        <v>3.125</v>
      </c>
    </row>
    <row collapsed="false" customFormat="false" customHeight="false" hidden="false" ht="14.75" outlineLevel="0" r="1636">
      <c r="A1636" s="1" t="s">
        <v>1323</v>
      </c>
      <c r="B1636" s="1" t="s">
        <v>1106</v>
      </c>
      <c r="C1636" s="1" t="s">
        <v>1087</v>
      </c>
      <c r="D1636" s="1" t="n">
        <v>200.6</v>
      </c>
      <c r="E1636" s="1" t="n">
        <v>9.44</v>
      </c>
      <c r="F1636" s="1" t="n">
        <f aca="false">14/9</f>
        <v>1.55555555555556</v>
      </c>
    </row>
    <row collapsed="false" customFormat="false" customHeight="false" hidden="false" ht="14.75" outlineLevel="0" r="1637">
      <c r="A1637" s="1" t="s">
        <v>1069</v>
      </c>
      <c r="B1637" s="1" t="s">
        <v>1146</v>
      </c>
      <c r="C1637" s="1" t="s">
        <v>1087</v>
      </c>
      <c r="D1637" s="1" t="n">
        <v>93.6</v>
      </c>
      <c r="E1637" s="1" t="n">
        <v>7.95</v>
      </c>
      <c r="F1637" s="1" t="n">
        <v>1</v>
      </c>
    </row>
    <row collapsed="false" customFormat="false" customHeight="false" hidden="false" ht="14.75" outlineLevel="0" r="1638">
      <c r="A1638" s="1" t="s">
        <v>1324</v>
      </c>
      <c r="B1638" s="1" t="s">
        <v>1093</v>
      </c>
      <c r="C1638" s="1" t="s">
        <v>1087</v>
      </c>
      <c r="D1638" s="1" t="n">
        <v>167.9</v>
      </c>
      <c r="E1638" s="1" t="n">
        <v>10.7</v>
      </c>
      <c r="F1638" s="1" t="n">
        <f aca="false">5/7</f>
        <v>0.714285714285714</v>
      </c>
    </row>
    <row collapsed="false" customFormat="false" customHeight="false" hidden="false" ht="14.75" outlineLevel="0" r="1639">
      <c r="A1639" s="1" t="s">
        <v>1325</v>
      </c>
      <c r="B1639" s="1" t="s">
        <v>1110</v>
      </c>
      <c r="C1639" s="1" t="s">
        <v>1087</v>
      </c>
      <c r="D1639" s="1" t="n">
        <v>196.2</v>
      </c>
      <c r="E1639" s="1" t="n">
        <v>10.17</v>
      </c>
      <c r="F1639" s="1" t="n">
        <f aca="false">6/8</f>
        <v>0.75</v>
      </c>
    </row>
    <row collapsed="false" customFormat="false" customHeight="false" hidden="false" ht="14.75" outlineLevel="0" r="1640">
      <c r="A1640" s="1" t="s">
        <v>1326</v>
      </c>
      <c r="B1640" s="1" t="s">
        <v>1102</v>
      </c>
      <c r="C1640" s="1" t="s">
        <v>1087</v>
      </c>
      <c r="D1640" s="1" t="n">
        <v>355.5</v>
      </c>
      <c r="E1640" s="1" t="n">
        <v>21.23</v>
      </c>
      <c r="F1640" s="1" t="n">
        <v>4.6</v>
      </c>
    </row>
    <row collapsed="false" customFormat="false" customHeight="false" hidden="false" ht="14.75" outlineLevel="0" r="1641">
      <c r="A1641" s="1" t="s">
        <v>1327</v>
      </c>
      <c r="B1641" s="1" t="s">
        <v>1106</v>
      </c>
      <c r="C1641" s="1" t="s">
        <v>1087</v>
      </c>
      <c r="D1641" s="1" t="n">
        <v>259.4</v>
      </c>
      <c r="E1641" s="1" t="n">
        <v>12.76</v>
      </c>
      <c r="F1641" s="1" t="n">
        <f aca="false">12/9</f>
        <v>1.33333333333333</v>
      </c>
    </row>
    <row collapsed="false" customFormat="false" customHeight="false" hidden="false" ht="14.75" outlineLevel="0" r="1642">
      <c r="A1642" s="1" t="s">
        <v>1328</v>
      </c>
      <c r="B1642" s="1" t="s">
        <v>1106</v>
      </c>
      <c r="C1642" s="1" t="s">
        <v>1087</v>
      </c>
      <c r="D1642" s="1" t="n">
        <v>159.4</v>
      </c>
      <c r="E1642" s="1" t="n">
        <v>8.77</v>
      </c>
      <c r="F1642" s="1" t="n">
        <f aca="false">4/8</f>
        <v>0.5</v>
      </c>
    </row>
    <row collapsed="false" customFormat="false" customHeight="false" hidden="false" ht="14.75" outlineLevel="0" r="1643">
      <c r="A1643" s="1" t="s">
        <v>1329</v>
      </c>
      <c r="B1643" s="1" t="s">
        <v>1093</v>
      </c>
      <c r="C1643" s="1" t="s">
        <v>1087</v>
      </c>
      <c r="D1643" s="1" t="n">
        <v>235</v>
      </c>
      <c r="E1643" s="1" t="n">
        <v>12.84</v>
      </c>
      <c r="F1643" s="1" t="n">
        <f aca="false">16/8</f>
        <v>2</v>
      </c>
    </row>
    <row collapsed="false" customFormat="false" customHeight="false" hidden="false" ht="14.75" outlineLevel="0" r="1644">
      <c r="A1644" s="1" t="s">
        <v>1330</v>
      </c>
      <c r="B1644" s="1" t="s">
        <v>1093</v>
      </c>
      <c r="C1644" s="1" t="s">
        <v>1087</v>
      </c>
      <c r="D1644" s="1" t="n">
        <v>283.1</v>
      </c>
      <c r="E1644" s="1" t="n">
        <v>16.16</v>
      </c>
      <c r="F1644" s="1" t="n">
        <f aca="false">13/8</f>
        <v>1.625</v>
      </c>
    </row>
    <row collapsed="false" customFormat="false" customHeight="false" hidden="false" ht="14.75" outlineLevel="0" r="1645">
      <c r="A1645" s="1" t="s">
        <v>1331</v>
      </c>
      <c r="B1645" s="1" t="s">
        <v>1093</v>
      </c>
      <c r="C1645" s="1" t="s">
        <v>1087</v>
      </c>
      <c r="D1645" s="1" t="n">
        <v>75</v>
      </c>
      <c r="E1645" s="1" t="n">
        <v>6.17</v>
      </c>
      <c r="F1645" s="1" t="n">
        <v>0.5</v>
      </c>
    </row>
    <row collapsed="false" customFormat="false" customHeight="false" hidden="false" ht="14.75" outlineLevel="0" r="1646">
      <c r="A1646" s="1" t="s">
        <v>1332</v>
      </c>
      <c r="B1646" s="1" t="s">
        <v>1101</v>
      </c>
      <c r="C1646" s="1" t="s">
        <v>1087</v>
      </c>
      <c r="D1646" s="1" t="n">
        <v>167.5</v>
      </c>
      <c r="E1646" s="1" t="n">
        <v>8.28</v>
      </c>
      <c r="F1646" s="1" t="n">
        <v>0.875</v>
      </c>
    </row>
    <row collapsed="false" customFormat="false" customHeight="false" hidden="false" ht="14.75" outlineLevel="0" r="1647">
      <c r="A1647" s="1" t="s">
        <v>282</v>
      </c>
      <c r="B1647" s="1" t="s">
        <v>1102</v>
      </c>
      <c r="C1647" s="1" t="s">
        <v>1087</v>
      </c>
      <c r="D1647" s="1" t="n">
        <v>157</v>
      </c>
      <c r="E1647" s="1" t="n">
        <v>11.62</v>
      </c>
      <c r="F1647" s="1" t="n">
        <v>0.6</v>
      </c>
    </row>
    <row collapsed="false" customFormat="false" customHeight="false" hidden="false" ht="14.75" outlineLevel="0" r="1648">
      <c r="A1648" s="1" t="s">
        <v>620</v>
      </c>
      <c r="B1648" s="1" t="s">
        <v>1127</v>
      </c>
      <c r="C1648" s="1" t="s">
        <v>1087</v>
      </c>
      <c r="D1648" s="1" t="n">
        <v>311.1</v>
      </c>
      <c r="E1648" s="1" t="n">
        <v>17.45</v>
      </c>
      <c r="F1648" s="1" t="n">
        <f aca="false">24/9</f>
        <v>2.66666666666667</v>
      </c>
    </row>
    <row collapsed="false" customFormat="false" customHeight="false" hidden="false" ht="14.75" outlineLevel="0" r="1649">
      <c r="A1649" s="1" t="s">
        <v>621</v>
      </c>
      <c r="B1649" s="1" t="s">
        <v>1127</v>
      </c>
      <c r="C1649" s="1" t="s">
        <v>1087</v>
      </c>
      <c r="D1649" s="1" t="n">
        <v>189</v>
      </c>
      <c r="E1649" s="1" t="n">
        <v>12.99</v>
      </c>
      <c r="F1649" s="1" t="n">
        <v>1.4</v>
      </c>
    </row>
    <row collapsed="false" customFormat="false" customHeight="false" hidden="false" ht="14.75" outlineLevel="0" r="1650">
      <c r="A1650" s="1" t="s">
        <v>1333</v>
      </c>
      <c r="B1650" s="1" t="s">
        <v>1086</v>
      </c>
      <c r="C1650" s="1" t="s">
        <v>1087</v>
      </c>
      <c r="D1650" s="1" t="n">
        <v>122.9</v>
      </c>
      <c r="E1650" s="1" t="n">
        <v>8.3</v>
      </c>
      <c r="F1650" s="1" t="n">
        <f aca="false">6/7</f>
        <v>0.857142857142857</v>
      </c>
    </row>
    <row collapsed="false" customFormat="false" customHeight="false" hidden="false" ht="14.75" outlineLevel="0" r="1651">
      <c r="A1651" s="1" t="s">
        <v>182</v>
      </c>
      <c r="B1651" s="1" t="s">
        <v>1164</v>
      </c>
      <c r="C1651" s="1" t="s">
        <v>1087</v>
      </c>
      <c r="D1651" s="1" t="n">
        <v>34</v>
      </c>
      <c r="E1651" s="1" t="n">
        <v>7</v>
      </c>
      <c r="F1651" s="1" t="n">
        <v>0</v>
      </c>
    </row>
    <row collapsed="false" customFormat="false" customHeight="false" hidden="false" ht="14.75" outlineLevel="0" r="1652">
      <c r="A1652" s="1" t="s">
        <v>1334</v>
      </c>
      <c r="B1652" s="1" t="s">
        <v>1127</v>
      </c>
      <c r="C1652" s="1" t="s">
        <v>1087</v>
      </c>
      <c r="D1652" s="1" t="n">
        <v>42.8</v>
      </c>
      <c r="E1652" s="1" t="n">
        <v>3.67</v>
      </c>
      <c r="F1652" s="1" t="n">
        <f aca="false">5/9</f>
        <v>0.555555555555556</v>
      </c>
    </row>
    <row collapsed="false" customFormat="false" customHeight="false" hidden="false" ht="14.75" outlineLevel="0" r="1653">
      <c r="A1653" s="1" t="s">
        <v>1335</v>
      </c>
      <c r="B1653" s="1" t="s">
        <v>1127</v>
      </c>
      <c r="C1653" s="1" t="s">
        <v>1087</v>
      </c>
      <c r="D1653" s="1" t="n">
        <v>34.4</v>
      </c>
      <c r="E1653" s="1" t="n">
        <v>6.5</v>
      </c>
      <c r="F1653" s="1" t="n">
        <f aca="false">3/9</f>
        <v>0.333333333333333</v>
      </c>
    </row>
    <row collapsed="false" customFormat="false" customHeight="false" hidden="false" ht="14.75" outlineLevel="0" r="1654">
      <c r="A1654" s="1" t="s">
        <v>1336</v>
      </c>
      <c r="B1654" s="1" t="s">
        <v>1146</v>
      </c>
      <c r="C1654" s="1" t="s">
        <v>1087</v>
      </c>
      <c r="D1654" s="1" t="n">
        <v>13.3</v>
      </c>
      <c r="E1654" s="1" t="n">
        <v>0</v>
      </c>
      <c r="F1654" s="1" t="n">
        <v>0</v>
      </c>
    </row>
    <row collapsed="false" customFormat="false" customHeight="false" hidden="false" ht="14.75" outlineLevel="0" r="1655">
      <c r="A1655" s="1" t="s">
        <v>1337</v>
      </c>
      <c r="B1655" s="1" t="s">
        <v>1121</v>
      </c>
      <c r="C1655" s="1" t="s">
        <v>1087</v>
      </c>
      <c r="D1655" s="1" t="n">
        <v>511</v>
      </c>
      <c r="E1655" s="1" t="n">
        <v>22</v>
      </c>
      <c r="F1655" s="1" t="s">
        <v>9</v>
      </c>
    </row>
    <row collapsed="false" customFormat="false" customHeight="false" hidden="false" ht="14.75" outlineLevel="0" r="1656">
      <c r="A1656" s="1" t="s">
        <v>1338</v>
      </c>
      <c r="B1656" s="1" t="s">
        <v>1089</v>
      </c>
      <c r="C1656" s="1" t="s">
        <v>1087</v>
      </c>
      <c r="D1656" s="1" t="n">
        <v>121.3</v>
      </c>
      <c r="E1656" s="1" t="n">
        <v>7.46</v>
      </c>
      <c r="F1656" s="1" t="n">
        <v>0.7</v>
      </c>
    </row>
    <row collapsed="false" customFormat="false" customHeight="false" hidden="false" ht="14.75" outlineLevel="0" r="1657">
      <c r="A1657" s="1" t="s">
        <v>1339</v>
      </c>
      <c r="B1657" s="1" t="s">
        <v>1086</v>
      </c>
      <c r="C1657" s="1" t="s">
        <v>1087</v>
      </c>
      <c r="D1657" s="1" t="n">
        <v>154.3</v>
      </c>
      <c r="E1657" s="1" t="n">
        <v>8.5</v>
      </c>
      <c r="F1657" s="1" t="n">
        <f aca="false">6/7</f>
        <v>0.857142857142857</v>
      </c>
    </row>
    <row collapsed="false" customFormat="false" customHeight="false" hidden="false" ht="14.75" outlineLevel="0" r="1658">
      <c r="A1658" s="1" t="s">
        <v>1340</v>
      </c>
      <c r="B1658" s="1" t="s">
        <v>1102</v>
      </c>
      <c r="C1658" s="1" t="s">
        <v>1087</v>
      </c>
      <c r="D1658" s="1" t="n">
        <v>248.5</v>
      </c>
      <c r="E1658" s="1" t="n">
        <v>16.33</v>
      </c>
      <c r="F1658" s="1" t="n">
        <v>2.1</v>
      </c>
    </row>
    <row collapsed="false" customFormat="false" customHeight="false" hidden="false" ht="14.75" outlineLevel="0" r="1659">
      <c r="A1659" s="1" t="s">
        <v>627</v>
      </c>
      <c r="B1659" s="1" t="s">
        <v>1102</v>
      </c>
      <c r="C1659" s="1" t="s">
        <v>1087</v>
      </c>
      <c r="D1659" s="1" t="n">
        <v>416</v>
      </c>
      <c r="E1659" s="1" t="n">
        <v>22.36</v>
      </c>
      <c r="F1659" s="1" t="n">
        <v>4.7</v>
      </c>
    </row>
    <row collapsed="false" customFormat="false" customHeight="false" hidden="false" ht="14.75" outlineLevel="0" r="1660">
      <c r="A1660" s="1" t="s">
        <v>413</v>
      </c>
      <c r="B1660" s="1" t="s">
        <v>1100</v>
      </c>
      <c r="C1660" s="1" t="s">
        <v>1087</v>
      </c>
      <c r="D1660" s="1" t="n">
        <v>288.3</v>
      </c>
      <c r="E1660" s="1" t="n">
        <v>16.35</v>
      </c>
      <c r="F1660" s="1" t="n">
        <f aca="false">22/9</f>
        <v>2.44444444444444</v>
      </c>
    </row>
    <row collapsed="false" customFormat="false" customHeight="false" hidden="false" ht="14.75" outlineLevel="0" r="1661">
      <c r="A1661" s="1" t="s">
        <v>414</v>
      </c>
      <c r="B1661" s="1" t="s">
        <v>1101</v>
      </c>
      <c r="C1661" s="1" t="s">
        <v>1087</v>
      </c>
      <c r="D1661" s="1" t="n">
        <v>137.5</v>
      </c>
      <c r="E1661" s="1" t="n">
        <v>5.96</v>
      </c>
      <c r="F1661" s="1" t="n">
        <v>0.5</v>
      </c>
    </row>
    <row collapsed="false" customFormat="false" customHeight="false" hidden="false" ht="14.75" outlineLevel="0" r="1662">
      <c r="A1662" s="1" t="s">
        <v>1341</v>
      </c>
      <c r="B1662" s="1" t="s">
        <v>1164</v>
      </c>
      <c r="C1662" s="1" t="s">
        <v>1087</v>
      </c>
      <c r="D1662" s="1" t="n">
        <v>162</v>
      </c>
      <c r="E1662" s="1" t="n">
        <v>13.06</v>
      </c>
      <c r="F1662" s="1" t="n">
        <f aca="false">3/5</f>
        <v>0.6</v>
      </c>
    </row>
    <row collapsed="false" customFormat="false" customHeight="false" hidden="false" ht="14.75" outlineLevel="0" r="1663">
      <c r="A1663" s="1" t="s">
        <v>1342</v>
      </c>
      <c r="B1663" s="1" t="s">
        <v>1101</v>
      </c>
      <c r="C1663" s="1" t="s">
        <v>1087</v>
      </c>
      <c r="D1663" s="1" t="n">
        <v>146.9</v>
      </c>
      <c r="E1663" s="1" t="n">
        <v>7.36</v>
      </c>
      <c r="F1663" s="1" t="n">
        <v>0.5</v>
      </c>
    </row>
    <row collapsed="false" customFormat="false" customHeight="false" hidden="false" ht="14.75" outlineLevel="0" r="1664">
      <c r="A1664" s="1" t="s">
        <v>1343</v>
      </c>
      <c r="B1664" s="1" t="s">
        <v>1089</v>
      </c>
      <c r="C1664" s="1" t="s">
        <v>1087</v>
      </c>
      <c r="D1664" s="1" t="n">
        <v>369.5</v>
      </c>
      <c r="E1664" s="1" t="n">
        <v>18.99</v>
      </c>
      <c r="F1664" s="1" t="n">
        <f aca="false">25/11</f>
        <v>2.27272727272727</v>
      </c>
    </row>
    <row collapsed="false" customFormat="false" customHeight="false" hidden="false" ht="14.75" outlineLevel="0" r="1665">
      <c r="A1665" s="1" t="s">
        <v>1344</v>
      </c>
      <c r="B1665" s="1" t="s">
        <v>1089</v>
      </c>
      <c r="C1665" s="1" t="s">
        <v>1087</v>
      </c>
      <c r="D1665" s="1" t="n">
        <v>242.7</v>
      </c>
      <c r="E1665" s="1" t="n">
        <v>14.1</v>
      </c>
      <c r="F1665" s="1" t="n">
        <f aca="false">15/11</f>
        <v>1.36363636363636</v>
      </c>
    </row>
    <row collapsed="false" customFormat="false" customHeight="false" hidden="false" ht="14.75" outlineLevel="0" r="1666">
      <c r="A1666" s="1" t="s">
        <v>628</v>
      </c>
      <c r="B1666" s="1" t="s">
        <v>1127</v>
      </c>
      <c r="C1666" s="1" t="s">
        <v>1087</v>
      </c>
      <c r="D1666" s="1" t="n">
        <v>202.5</v>
      </c>
      <c r="E1666" s="1" t="n">
        <v>13.38</v>
      </c>
      <c r="F1666" s="1" t="n">
        <f aca="false">18/8</f>
        <v>2.25</v>
      </c>
    </row>
    <row collapsed="false" customFormat="false" customHeight="false" hidden="false" ht="14.75" outlineLevel="0" r="1667">
      <c r="A1667" s="1" t="s">
        <v>629</v>
      </c>
      <c r="B1667" s="1" t="s">
        <v>1127</v>
      </c>
      <c r="C1667" s="1" t="s">
        <v>1087</v>
      </c>
      <c r="D1667" s="1" t="n">
        <v>171.9</v>
      </c>
      <c r="E1667" s="1" t="n">
        <v>11.92</v>
      </c>
      <c r="F1667" s="1" t="n">
        <f aca="false">9/8</f>
        <v>1.125</v>
      </c>
    </row>
    <row collapsed="false" customFormat="false" customHeight="false" hidden="false" ht="14.75" outlineLevel="0" r="1668">
      <c r="A1668" s="1" t="s">
        <v>419</v>
      </c>
      <c r="B1668" s="1" t="s">
        <v>1101</v>
      </c>
      <c r="C1668" s="1" t="s">
        <v>1087</v>
      </c>
      <c r="D1668" s="1" t="n">
        <v>214.4</v>
      </c>
      <c r="E1668" s="1" t="n">
        <v>9.58</v>
      </c>
      <c r="F1668" s="1" t="n">
        <v>1.375</v>
      </c>
    </row>
    <row collapsed="false" customFormat="false" customHeight="false" hidden="false" ht="14.75" outlineLevel="0" r="1669">
      <c r="A1669" s="1" t="s">
        <v>190</v>
      </c>
      <c r="B1669" s="1" t="s">
        <v>1100</v>
      </c>
      <c r="C1669" s="1" t="s">
        <v>1087</v>
      </c>
      <c r="D1669" s="1" t="n">
        <v>298.3</v>
      </c>
      <c r="E1669" s="1" t="n">
        <v>18.38</v>
      </c>
      <c r="F1669" s="1" t="n">
        <f aca="false">30/9</f>
        <v>3.33333333333333</v>
      </c>
    </row>
    <row collapsed="false" customFormat="false" customHeight="false" hidden="false" ht="14.75" outlineLevel="0" r="1670">
      <c r="A1670" s="1" t="s">
        <v>191</v>
      </c>
      <c r="B1670" s="1" t="s">
        <v>1101</v>
      </c>
      <c r="C1670" s="1" t="s">
        <v>1087</v>
      </c>
      <c r="D1670" s="1" t="n">
        <v>273.1</v>
      </c>
      <c r="E1670" s="1" t="n">
        <v>14.19</v>
      </c>
      <c r="F1670" s="1" t="n">
        <v>2.875</v>
      </c>
    </row>
    <row collapsed="false" customFormat="false" customHeight="false" hidden="false" ht="14.75" outlineLevel="0" r="1671">
      <c r="A1671" s="1" t="s">
        <v>420</v>
      </c>
      <c r="B1671" s="1" t="s">
        <v>1101</v>
      </c>
      <c r="C1671" s="1" t="s">
        <v>1087</v>
      </c>
      <c r="D1671" s="1" t="n">
        <v>109.4</v>
      </c>
      <c r="E1671" s="1" t="n">
        <v>8.08</v>
      </c>
      <c r="F1671" s="1" t="n">
        <v>0.75</v>
      </c>
    </row>
    <row collapsed="false" customFormat="false" customHeight="false" hidden="false" ht="14.75" outlineLevel="0" r="1672">
      <c r="A1672" s="1" t="s">
        <v>1345</v>
      </c>
      <c r="B1672" s="1" t="s">
        <v>1101</v>
      </c>
      <c r="C1672" s="1" t="s">
        <v>1087</v>
      </c>
      <c r="D1672" s="1" t="n">
        <v>125.6</v>
      </c>
      <c r="E1672" s="1" t="n">
        <v>7.07</v>
      </c>
      <c r="F1672" s="1" t="n">
        <v>0.5</v>
      </c>
    </row>
    <row collapsed="false" customFormat="false" customHeight="false" hidden="false" ht="14.75" outlineLevel="0" r="1673">
      <c r="A1673" s="1" t="s">
        <v>421</v>
      </c>
      <c r="B1673" s="1" t="s">
        <v>1100</v>
      </c>
      <c r="C1673" s="1" t="s">
        <v>1087</v>
      </c>
      <c r="D1673" s="1" t="n">
        <v>340.6</v>
      </c>
      <c r="E1673" s="1" t="n">
        <v>19.23</v>
      </c>
      <c r="F1673" s="1" t="n">
        <f aca="false">21/9</f>
        <v>2.33333333333333</v>
      </c>
    </row>
    <row collapsed="false" customFormat="false" customHeight="false" hidden="false" ht="14.75" outlineLevel="0" r="1674">
      <c r="A1674" s="1" t="s">
        <v>422</v>
      </c>
      <c r="B1674" s="1" t="s">
        <v>1101</v>
      </c>
      <c r="C1674" s="1" t="s">
        <v>1087</v>
      </c>
      <c r="D1674" s="1" t="n">
        <v>126.9</v>
      </c>
      <c r="E1674" s="1" t="n">
        <v>7.56</v>
      </c>
      <c r="F1674" s="1" t="n">
        <v>0.625</v>
      </c>
    </row>
    <row collapsed="false" customFormat="false" customHeight="false" hidden="false" ht="14.75" outlineLevel="0" r="1675">
      <c r="A1675" s="1" t="s">
        <v>1346</v>
      </c>
      <c r="B1675" s="1" t="s">
        <v>1097</v>
      </c>
      <c r="C1675" s="1" t="s">
        <v>1087</v>
      </c>
      <c r="D1675" s="1" t="n">
        <v>315</v>
      </c>
      <c r="E1675" s="1" t="n">
        <v>19.81</v>
      </c>
      <c r="F1675" s="1" t="n">
        <f aca="false">39/11</f>
        <v>3.54545454545455</v>
      </c>
    </row>
    <row collapsed="false" customFormat="false" customHeight="false" hidden="false" ht="14.75" outlineLevel="0" r="1676">
      <c r="A1676" s="1" t="s">
        <v>1347</v>
      </c>
      <c r="B1676" s="1" t="s">
        <v>1097</v>
      </c>
      <c r="C1676" s="1" t="s">
        <v>1087</v>
      </c>
      <c r="D1676" s="1" t="n">
        <v>198</v>
      </c>
      <c r="E1676" s="1" t="n">
        <v>13</v>
      </c>
      <c r="F1676" s="1" t="n">
        <v>1.5</v>
      </c>
    </row>
    <row collapsed="false" customFormat="false" customHeight="false" hidden="false" ht="14.75" outlineLevel="0" r="1677">
      <c r="A1677" s="1" t="s">
        <v>1348</v>
      </c>
      <c r="B1677" s="1" t="s">
        <v>1097</v>
      </c>
      <c r="C1677" s="1" t="s">
        <v>1087</v>
      </c>
      <c r="D1677" s="1" t="n">
        <v>186</v>
      </c>
      <c r="E1677" s="1" t="n">
        <v>11.67</v>
      </c>
      <c r="F1677" s="1" t="n">
        <v>1.2</v>
      </c>
    </row>
    <row collapsed="false" customFormat="false" customHeight="false" hidden="false" ht="14.75" outlineLevel="0" r="1678">
      <c r="A1678" s="1" t="s">
        <v>1349</v>
      </c>
      <c r="B1678" s="1" t="s">
        <v>1097</v>
      </c>
      <c r="C1678" s="1" t="s">
        <v>1087</v>
      </c>
      <c r="D1678" s="1" t="n">
        <v>41.4</v>
      </c>
      <c r="E1678" s="1" t="n">
        <v>2.5</v>
      </c>
      <c r="F1678" s="1" t="n">
        <f aca="false">2/7</f>
        <v>0.285714285714286</v>
      </c>
    </row>
    <row collapsed="false" customFormat="false" customHeight="false" hidden="false" ht="14.75" outlineLevel="0" r="1679">
      <c r="A1679" s="1" t="s">
        <v>1350</v>
      </c>
      <c r="B1679" s="1" t="s">
        <v>1146</v>
      </c>
      <c r="C1679" s="1" t="s">
        <v>1087</v>
      </c>
      <c r="D1679" s="1" t="n">
        <v>129.3</v>
      </c>
      <c r="E1679" s="1" t="n">
        <v>9.89</v>
      </c>
      <c r="F1679" s="1" t="n">
        <f aca="false">12/7</f>
        <v>1.71428571428571</v>
      </c>
    </row>
    <row collapsed="false" customFormat="false" customHeight="false" hidden="false" ht="14.75" outlineLevel="0" r="1680">
      <c r="A1680" s="1" t="s">
        <v>1351</v>
      </c>
      <c r="B1680" s="1" t="s">
        <v>1146</v>
      </c>
      <c r="C1680" s="1" t="s">
        <v>1087</v>
      </c>
      <c r="D1680" s="1" t="n">
        <v>103.3</v>
      </c>
      <c r="E1680" s="1" t="n">
        <v>8.82</v>
      </c>
      <c r="F1680" s="1" t="n">
        <f aca="false">3/7</f>
        <v>0.428571428571429</v>
      </c>
    </row>
    <row collapsed="false" customFormat="false" customHeight="false" hidden="false" ht="14.75" outlineLevel="0" r="1681">
      <c r="A1681" s="1" t="s">
        <v>1352</v>
      </c>
      <c r="B1681" s="1" t="s">
        <v>1089</v>
      </c>
      <c r="C1681" s="1" t="s">
        <v>1087</v>
      </c>
      <c r="D1681" s="1" t="n">
        <v>119.1</v>
      </c>
      <c r="E1681" s="1" t="n">
        <v>7.34</v>
      </c>
      <c r="F1681" s="1" t="n">
        <v>1.1</v>
      </c>
    </row>
    <row collapsed="false" customFormat="false" customHeight="false" hidden="false" ht="14.75" outlineLevel="0" r="1682">
      <c r="A1682" s="1" t="s">
        <v>1353</v>
      </c>
      <c r="B1682" s="1" t="s">
        <v>1089</v>
      </c>
      <c r="C1682" s="1" t="s">
        <v>1087</v>
      </c>
      <c r="D1682" s="1" t="n">
        <v>36.1</v>
      </c>
      <c r="E1682" s="1" t="n">
        <v>3.96</v>
      </c>
      <c r="F1682" s="1" t="n">
        <f aca="false">2/9</f>
        <v>0.222222222222222</v>
      </c>
    </row>
    <row collapsed="false" customFormat="false" customHeight="false" hidden="false" ht="14.75" outlineLevel="0" r="1683">
      <c r="A1683" s="1" t="s">
        <v>1354</v>
      </c>
      <c r="B1683" s="1" t="s">
        <v>1106</v>
      </c>
      <c r="C1683" s="1" t="s">
        <v>1087</v>
      </c>
      <c r="D1683" s="1" t="n">
        <v>81.2</v>
      </c>
      <c r="E1683" s="1" t="n">
        <v>2.33</v>
      </c>
      <c r="F1683" s="1" t="n">
        <v>0.5</v>
      </c>
    </row>
    <row collapsed="false" customFormat="false" customHeight="false" hidden="false" ht="14.75" outlineLevel="0" r="1684">
      <c r="A1684" s="1" t="s">
        <v>1355</v>
      </c>
      <c r="B1684" s="1" t="s">
        <v>1093</v>
      </c>
      <c r="C1684" s="1" t="s">
        <v>1087</v>
      </c>
      <c r="D1684" s="1" t="n">
        <v>39.2</v>
      </c>
      <c r="E1684" s="1" t="n">
        <v>4.38</v>
      </c>
      <c r="F1684" s="1" t="n">
        <f aca="false">1/6</f>
        <v>0.166666666666667</v>
      </c>
    </row>
    <row collapsed="false" customFormat="false" customHeight="false" hidden="false" ht="14.75" outlineLevel="0" r="1685">
      <c r="A1685" s="1" t="s">
        <v>1356</v>
      </c>
      <c r="B1685" s="1" t="s">
        <v>1093</v>
      </c>
      <c r="C1685" s="1" t="s">
        <v>1087</v>
      </c>
      <c r="D1685" s="1" t="n">
        <v>20</v>
      </c>
      <c r="E1685" s="1" t="n">
        <v>2</v>
      </c>
      <c r="F1685" s="1" t="n">
        <v>0</v>
      </c>
    </row>
    <row collapsed="false" customFormat="false" customHeight="false" hidden="false" ht="14.75" outlineLevel="0" r="1686">
      <c r="A1686" s="1" t="s">
        <v>1357</v>
      </c>
      <c r="B1686" s="1" t="s">
        <v>1146</v>
      </c>
      <c r="C1686" s="1" t="s">
        <v>1087</v>
      </c>
      <c r="D1686" s="1" t="n">
        <v>166.9</v>
      </c>
      <c r="E1686" s="1" t="n">
        <v>12.83</v>
      </c>
      <c r="F1686" s="1" t="n">
        <v>0.5</v>
      </c>
    </row>
    <row collapsed="false" customFormat="false" customHeight="false" hidden="false" ht="14.75" outlineLevel="0" r="1687">
      <c r="A1687" s="1" t="s">
        <v>1358</v>
      </c>
      <c r="B1687" s="1" t="s">
        <v>1146</v>
      </c>
      <c r="C1687" s="1" t="s">
        <v>1087</v>
      </c>
      <c r="D1687" s="1" t="n">
        <v>119.2</v>
      </c>
      <c r="E1687" s="1" t="n">
        <v>7.56</v>
      </c>
      <c r="F1687" s="1" t="n">
        <f aca="false">3/7</f>
        <v>0.428571428571429</v>
      </c>
    </row>
    <row collapsed="false" customFormat="false" customHeight="false" hidden="false" ht="14.75" outlineLevel="0" r="1688">
      <c r="A1688" s="1" t="s">
        <v>1359</v>
      </c>
      <c r="B1688" s="1" t="s">
        <v>1360</v>
      </c>
      <c r="C1688" s="1" t="s">
        <v>1361</v>
      </c>
      <c r="D1688" s="1" t="n">
        <v>180.2</v>
      </c>
      <c r="E1688" s="1" t="n">
        <v>13.37</v>
      </c>
      <c r="F1688" s="1" t="n">
        <f aca="false">8/7</f>
        <v>1.14285714285714</v>
      </c>
    </row>
    <row collapsed="false" customFormat="false" customHeight="false" hidden="false" ht="14.75" outlineLevel="0" r="1689">
      <c r="A1689" s="1" t="s">
        <v>1362</v>
      </c>
      <c r="B1689" s="1" t="s">
        <v>1363</v>
      </c>
      <c r="C1689" s="1" t="s">
        <v>1361</v>
      </c>
      <c r="D1689" s="1" t="n">
        <v>92.7</v>
      </c>
      <c r="E1689" s="1" t="n">
        <v>11.25</v>
      </c>
      <c r="F1689" s="1" t="n">
        <f aca="false">1/7</f>
        <v>0.142857142857143</v>
      </c>
    </row>
    <row collapsed="false" customFormat="false" customHeight="false" hidden="false" ht="14.75" outlineLevel="0" r="1690">
      <c r="A1690" s="1" t="s">
        <v>1364</v>
      </c>
      <c r="B1690" s="1" t="s">
        <v>1365</v>
      </c>
      <c r="C1690" s="1" t="s">
        <v>1361</v>
      </c>
      <c r="D1690" s="1" t="n">
        <v>269.5</v>
      </c>
      <c r="E1690" s="1" t="n">
        <v>15.7</v>
      </c>
      <c r="F1690" s="1" t="n">
        <f aca="false">21/11</f>
        <v>1.90909090909091</v>
      </c>
    </row>
    <row collapsed="false" customFormat="false" customHeight="false" hidden="false" ht="14.75" outlineLevel="0" r="1691">
      <c r="A1691" s="1" t="s">
        <v>1366</v>
      </c>
      <c r="B1691" s="1" t="s">
        <v>1365</v>
      </c>
      <c r="C1691" s="1" t="s">
        <v>1361</v>
      </c>
      <c r="D1691" s="1" t="n">
        <v>103.6</v>
      </c>
      <c r="E1691" s="1" t="n">
        <v>9.91</v>
      </c>
      <c r="F1691" s="1" t="n">
        <f aca="false">6/11</f>
        <v>0.545454545454545</v>
      </c>
    </row>
    <row collapsed="false" customFormat="false" customHeight="false" hidden="false" ht="14.75" outlineLevel="0" r="1692">
      <c r="A1692" s="1" t="s">
        <v>1367</v>
      </c>
      <c r="B1692" s="1" t="s">
        <v>1368</v>
      </c>
      <c r="C1692" s="1" t="s">
        <v>1361</v>
      </c>
      <c r="D1692" s="1" t="n">
        <v>122.1</v>
      </c>
      <c r="E1692" s="1" t="n">
        <v>11.79</v>
      </c>
      <c r="F1692" s="1" t="n">
        <f aca="false">2/7</f>
        <v>0.285714285714286</v>
      </c>
    </row>
    <row collapsed="false" customFormat="false" customHeight="false" hidden="false" ht="14.75" outlineLevel="0" r="1693">
      <c r="A1693" s="1" t="s">
        <v>1369</v>
      </c>
      <c r="B1693" s="1" t="s">
        <v>1363</v>
      </c>
      <c r="C1693" s="1" t="s">
        <v>1361</v>
      </c>
      <c r="D1693" s="1" t="n">
        <v>400</v>
      </c>
      <c r="E1693" s="1" t="n">
        <v>20.9</v>
      </c>
      <c r="F1693" s="1" t="n">
        <v>3</v>
      </c>
    </row>
    <row collapsed="false" customFormat="false" customHeight="false" hidden="false" ht="14.75" outlineLevel="0" r="1694">
      <c r="A1694" s="1" t="s">
        <v>1370</v>
      </c>
      <c r="B1694" s="1" t="s">
        <v>1365</v>
      </c>
      <c r="C1694" s="1" t="s">
        <v>1361</v>
      </c>
      <c r="D1694" s="1" t="n">
        <v>128.6</v>
      </c>
      <c r="E1694" s="1" t="n">
        <v>10</v>
      </c>
      <c r="F1694" s="1" t="n">
        <f aca="false">7/11</f>
        <v>0.636363636363636</v>
      </c>
    </row>
    <row collapsed="false" customFormat="false" customHeight="false" hidden="false" ht="14.75" outlineLevel="0" r="1695">
      <c r="A1695" s="1" t="s">
        <v>1371</v>
      </c>
      <c r="B1695" s="1" t="s">
        <v>1360</v>
      </c>
      <c r="C1695" s="1" t="s">
        <v>1361</v>
      </c>
      <c r="D1695" s="1" t="n">
        <v>159.1</v>
      </c>
      <c r="E1695" s="1" t="n">
        <v>13.72</v>
      </c>
      <c r="F1695" s="1" t="n">
        <v>1</v>
      </c>
    </row>
    <row collapsed="false" customFormat="false" customHeight="false" hidden="false" ht="14.75" outlineLevel="0" r="1696">
      <c r="A1696" s="1" t="s">
        <v>1104</v>
      </c>
      <c r="B1696" s="1" t="s">
        <v>282</v>
      </c>
      <c r="C1696" s="1" t="s">
        <v>1361</v>
      </c>
      <c r="D1696" s="1" t="n">
        <v>180</v>
      </c>
      <c r="E1696" s="1" t="n">
        <v>16.17</v>
      </c>
      <c r="F1696" s="1" t="n">
        <f aca="false">10/7</f>
        <v>1.42857142857143</v>
      </c>
    </row>
    <row collapsed="false" customFormat="false" customHeight="false" hidden="false" ht="14.75" outlineLevel="0" r="1697">
      <c r="A1697" s="1" t="s">
        <v>1372</v>
      </c>
      <c r="B1697" s="1" t="s">
        <v>1373</v>
      </c>
      <c r="C1697" s="1" t="s">
        <v>1361</v>
      </c>
      <c r="D1697" s="1" t="n">
        <v>267.1</v>
      </c>
      <c r="E1697" s="1" t="n">
        <v>20.27</v>
      </c>
      <c r="F1697" s="1" t="n">
        <v>3.2</v>
      </c>
    </row>
    <row collapsed="false" customFormat="false" customHeight="false" hidden="false" ht="14.75" outlineLevel="0" r="1698">
      <c r="A1698" s="1" t="s">
        <v>1374</v>
      </c>
      <c r="B1698" s="1" t="s">
        <v>282</v>
      </c>
      <c r="C1698" s="1" t="s">
        <v>1361</v>
      </c>
      <c r="D1698" s="1" t="n">
        <v>186.4</v>
      </c>
      <c r="E1698" s="1" t="n">
        <v>12.81</v>
      </c>
      <c r="F1698" s="1" t="n">
        <f aca="false">5/7</f>
        <v>0.714285714285714</v>
      </c>
    </row>
    <row collapsed="false" customFormat="false" customHeight="false" hidden="false" ht="14.75" outlineLevel="0" r="1699">
      <c r="A1699" s="1" t="s">
        <v>1375</v>
      </c>
      <c r="B1699" s="1" t="s">
        <v>1376</v>
      </c>
      <c r="C1699" s="1" t="s">
        <v>1361</v>
      </c>
      <c r="D1699" s="1" t="n">
        <v>86.4</v>
      </c>
      <c r="E1699" s="1" t="n">
        <v>7.65</v>
      </c>
      <c r="F1699" s="1" t="n">
        <f aca="false">3/7</f>
        <v>0.428571428571429</v>
      </c>
    </row>
    <row collapsed="false" customFormat="false" customHeight="false" hidden="false" ht="14.75" outlineLevel="0" r="1700">
      <c r="A1700" s="1" t="s">
        <v>1377</v>
      </c>
      <c r="B1700" s="1" t="s">
        <v>1365</v>
      </c>
      <c r="C1700" s="1" t="s">
        <v>1361</v>
      </c>
      <c r="D1700" s="1" t="n">
        <v>45.5</v>
      </c>
      <c r="E1700" s="1" t="n">
        <v>7</v>
      </c>
      <c r="F1700" s="1" t="n">
        <f aca="false">4/11</f>
        <v>0.363636363636364</v>
      </c>
    </row>
    <row collapsed="false" customFormat="false" customHeight="false" hidden="false" ht="14.75" outlineLevel="0" r="1701">
      <c r="A1701" s="1" t="s">
        <v>1125</v>
      </c>
      <c r="B1701" s="1" t="s">
        <v>1368</v>
      </c>
      <c r="C1701" s="1" t="s">
        <v>1361</v>
      </c>
      <c r="D1701" s="1" t="n">
        <v>280.7</v>
      </c>
      <c r="E1701" s="1" t="n">
        <v>19.55</v>
      </c>
      <c r="F1701" s="1" t="n">
        <f aca="false">18/7</f>
        <v>2.57142857142857</v>
      </c>
    </row>
    <row collapsed="false" customFormat="false" customHeight="false" hidden="false" ht="14.75" outlineLevel="0" r="1702">
      <c r="A1702" s="1" t="s">
        <v>1378</v>
      </c>
      <c r="B1702" s="1" t="s">
        <v>1376</v>
      </c>
      <c r="C1702" s="1" t="s">
        <v>1361</v>
      </c>
      <c r="D1702" s="1" t="n">
        <v>251</v>
      </c>
      <c r="E1702" s="1" t="n">
        <v>15.94</v>
      </c>
      <c r="F1702" s="1" t="n">
        <v>1.3</v>
      </c>
    </row>
    <row collapsed="false" customFormat="false" customHeight="false" hidden="false" ht="14.75" outlineLevel="0" r="1703">
      <c r="A1703" s="1" t="s">
        <v>1379</v>
      </c>
      <c r="B1703" s="1" t="s">
        <v>1376</v>
      </c>
      <c r="C1703" s="1" t="s">
        <v>1361</v>
      </c>
      <c r="D1703" s="1" t="n">
        <v>286</v>
      </c>
      <c r="E1703" s="1" t="n">
        <v>16.38</v>
      </c>
      <c r="F1703" s="1" t="n">
        <v>2.3</v>
      </c>
    </row>
    <row collapsed="false" customFormat="false" customHeight="false" hidden="false" ht="14.75" outlineLevel="0" r="1704">
      <c r="A1704" s="1" t="s">
        <v>1380</v>
      </c>
      <c r="B1704" s="1" t="s">
        <v>1368</v>
      </c>
      <c r="C1704" s="1" t="s">
        <v>1361</v>
      </c>
      <c r="D1704" s="1" t="n">
        <v>105.7</v>
      </c>
      <c r="E1704" s="1" t="n">
        <v>11.76</v>
      </c>
      <c r="F1704" s="1" t="n">
        <f aca="false">4/7</f>
        <v>0.571428571428571</v>
      </c>
    </row>
    <row collapsed="false" customFormat="false" customHeight="false" hidden="false" ht="14.75" outlineLevel="0" r="1705">
      <c r="A1705" s="1" t="s">
        <v>1381</v>
      </c>
      <c r="B1705" s="1" t="s">
        <v>1368</v>
      </c>
      <c r="C1705" s="1" t="s">
        <v>1361</v>
      </c>
      <c r="D1705" s="1" t="n">
        <v>31.4</v>
      </c>
      <c r="E1705" s="1" t="n">
        <v>6.39</v>
      </c>
      <c r="F1705" s="1" t="n">
        <f aca="false">2/7</f>
        <v>0.285714285714286</v>
      </c>
    </row>
    <row collapsed="false" customFormat="false" customHeight="false" hidden="false" ht="14.75" outlineLevel="0" r="1706">
      <c r="A1706" s="1" t="s">
        <v>724</v>
      </c>
      <c r="B1706" s="1" t="s">
        <v>1365</v>
      </c>
      <c r="C1706" s="1" t="s">
        <v>1361</v>
      </c>
      <c r="D1706" s="1" t="n">
        <v>334.6</v>
      </c>
      <c r="E1706" s="1" t="n">
        <v>18.97</v>
      </c>
      <c r="F1706" s="1" t="n">
        <f aca="false">32/12</f>
        <v>2.66666666666667</v>
      </c>
    </row>
    <row collapsed="false" customFormat="false" customHeight="false" hidden="false" ht="14.75" outlineLevel="0" r="1707">
      <c r="A1707" s="1" t="s">
        <v>1382</v>
      </c>
      <c r="B1707" s="1" t="s">
        <v>282</v>
      </c>
      <c r="C1707" s="1" t="s">
        <v>1361</v>
      </c>
      <c r="D1707" s="1" t="n">
        <v>121.4</v>
      </c>
      <c r="E1707" s="1" t="n">
        <v>13.65</v>
      </c>
      <c r="F1707" s="1" t="n">
        <f aca="false">3/7</f>
        <v>0.428571428571429</v>
      </c>
    </row>
    <row collapsed="false" customFormat="false" customHeight="false" hidden="false" ht="14.75" outlineLevel="0" r="1708">
      <c r="A1708" s="1" t="s">
        <v>1383</v>
      </c>
      <c r="B1708" s="1" t="s">
        <v>1384</v>
      </c>
      <c r="C1708" s="1" t="s">
        <v>1361</v>
      </c>
      <c r="D1708" s="1" t="n">
        <v>152.5</v>
      </c>
      <c r="E1708" s="1" t="n">
        <v>13.44</v>
      </c>
      <c r="F1708" s="1" t="n">
        <v>0.6</v>
      </c>
    </row>
    <row collapsed="false" customFormat="false" customHeight="false" hidden="false" ht="14.75" outlineLevel="0" r="1709">
      <c r="A1709" s="1" t="s">
        <v>1385</v>
      </c>
      <c r="B1709" s="1" t="s">
        <v>1384</v>
      </c>
      <c r="C1709" s="1" t="s">
        <v>1361</v>
      </c>
      <c r="D1709" s="1" t="n">
        <v>24</v>
      </c>
      <c r="E1709" s="1" t="n">
        <v>7.06</v>
      </c>
      <c r="F1709" s="1" t="n">
        <v>0.2</v>
      </c>
    </row>
    <row collapsed="false" customFormat="false" customHeight="false" hidden="false" ht="14.75" outlineLevel="0" r="1710">
      <c r="A1710" s="1" t="s">
        <v>1386</v>
      </c>
      <c r="B1710" s="1" t="s">
        <v>1365</v>
      </c>
      <c r="C1710" s="1" t="s">
        <v>1361</v>
      </c>
      <c r="D1710" s="1" t="n">
        <v>125</v>
      </c>
      <c r="E1710" s="1" t="n">
        <v>9.71</v>
      </c>
      <c r="F1710" s="1" t="n">
        <f aca="false">4/11</f>
        <v>0.363636363636364</v>
      </c>
    </row>
    <row collapsed="false" customFormat="false" customHeight="false" hidden="false" ht="14.75" outlineLevel="0" r="1711">
      <c r="A1711" s="1" t="s">
        <v>1387</v>
      </c>
      <c r="B1711" s="1" t="s">
        <v>1365</v>
      </c>
      <c r="C1711" s="1" t="s">
        <v>1361</v>
      </c>
      <c r="D1711" s="1" t="n">
        <v>53.6</v>
      </c>
      <c r="E1711" s="1" t="n">
        <v>5.68</v>
      </c>
      <c r="F1711" s="1" t="n">
        <f aca="false">2/11</f>
        <v>0.181818181818182</v>
      </c>
    </row>
    <row collapsed="false" customFormat="false" customHeight="false" hidden="false" ht="14.75" outlineLevel="0" r="1712">
      <c r="A1712" s="1" t="s">
        <v>1388</v>
      </c>
      <c r="B1712" s="1" t="s">
        <v>1389</v>
      </c>
      <c r="C1712" s="1" t="s">
        <v>1361</v>
      </c>
      <c r="D1712" s="1" t="n">
        <v>285</v>
      </c>
      <c r="E1712" s="1" t="n">
        <v>16.85</v>
      </c>
      <c r="F1712" s="1" t="n">
        <v>1</v>
      </c>
    </row>
    <row collapsed="false" customFormat="false" customHeight="false" hidden="false" ht="14.75" outlineLevel="0" r="1713">
      <c r="A1713" s="1" t="s">
        <v>1390</v>
      </c>
      <c r="B1713" s="1" t="s">
        <v>1376</v>
      </c>
      <c r="C1713" s="1" t="s">
        <v>1361</v>
      </c>
      <c r="D1713" s="1" t="n">
        <v>112.9</v>
      </c>
      <c r="E1713" s="1" t="n">
        <v>10.77</v>
      </c>
      <c r="F1713" s="1" t="n">
        <f aca="false">4/7</f>
        <v>0.571428571428571</v>
      </c>
    </row>
    <row collapsed="false" customFormat="false" customHeight="false" hidden="false" ht="14.75" outlineLevel="0" r="1714">
      <c r="A1714" s="1" t="s">
        <v>312</v>
      </c>
      <c r="B1714" s="1" t="s">
        <v>1384</v>
      </c>
      <c r="C1714" s="1" t="s">
        <v>1361</v>
      </c>
      <c r="D1714" s="1" t="n">
        <v>159.5</v>
      </c>
      <c r="E1714" s="1" t="n">
        <v>14.46</v>
      </c>
      <c r="F1714" s="1" t="n">
        <v>0.5</v>
      </c>
    </row>
    <row collapsed="false" customFormat="false" customHeight="false" hidden="false" ht="14.75" outlineLevel="0" r="1715">
      <c r="A1715" s="1" t="s">
        <v>314</v>
      </c>
      <c r="B1715" s="1" t="s">
        <v>1384</v>
      </c>
      <c r="C1715" s="1" t="s">
        <v>1361</v>
      </c>
      <c r="D1715" s="1" t="n">
        <v>219</v>
      </c>
      <c r="E1715" s="1" t="n">
        <v>14.77</v>
      </c>
      <c r="F1715" s="1" t="n">
        <v>1.5</v>
      </c>
    </row>
    <row collapsed="false" customFormat="false" customHeight="false" hidden="false" ht="14.75" outlineLevel="0" r="1716">
      <c r="A1716" s="1" t="s">
        <v>843</v>
      </c>
      <c r="B1716" s="1" t="s">
        <v>1368</v>
      </c>
      <c r="C1716" s="1" t="s">
        <v>1361</v>
      </c>
      <c r="D1716" s="1" t="n">
        <v>210</v>
      </c>
      <c r="E1716" s="1" t="n">
        <v>15.25</v>
      </c>
      <c r="F1716" s="1" t="n">
        <v>1</v>
      </c>
    </row>
    <row collapsed="false" customFormat="false" customHeight="false" hidden="false" ht="14.75" outlineLevel="0" r="1717">
      <c r="A1717" s="1" t="s">
        <v>1391</v>
      </c>
      <c r="B1717" s="1" t="s">
        <v>1368</v>
      </c>
      <c r="C1717" s="1" t="s">
        <v>1361</v>
      </c>
      <c r="D1717" s="1" t="n">
        <v>102.1</v>
      </c>
      <c r="E1717" s="1" t="n">
        <v>8.95</v>
      </c>
      <c r="F1717" s="1" t="n">
        <f aca="false">3/7</f>
        <v>0.428571428571429</v>
      </c>
    </row>
    <row collapsed="false" customFormat="false" customHeight="false" hidden="false" ht="14.75" outlineLevel="0" r="1718">
      <c r="A1718" s="1" t="s">
        <v>1392</v>
      </c>
      <c r="B1718" s="1" t="s">
        <v>1368</v>
      </c>
      <c r="C1718" s="1" t="s">
        <v>1361</v>
      </c>
      <c r="D1718" s="1" t="n">
        <v>236.4</v>
      </c>
      <c r="E1718" s="1" t="n">
        <v>18.45</v>
      </c>
      <c r="F1718" s="1" t="n">
        <f aca="false">9/7</f>
        <v>1.28571428571429</v>
      </c>
    </row>
    <row collapsed="false" customFormat="false" customHeight="false" hidden="false" ht="14.75" outlineLevel="0" r="1719">
      <c r="A1719" s="1" t="s">
        <v>1393</v>
      </c>
      <c r="B1719" s="1" t="s">
        <v>1389</v>
      </c>
      <c r="C1719" s="1" t="s">
        <v>1361</v>
      </c>
      <c r="D1719" s="1" t="n">
        <v>468</v>
      </c>
      <c r="E1719" s="1" t="n">
        <v>22.36</v>
      </c>
      <c r="F1719" s="1" t="n">
        <v>4.5</v>
      </c>
    </row>
    <row collapsed="false" customFormat="false" customHeight="false" hidden="false" ht="14.75" outlineLevel="0" r="1720">
      <c r="A1720" s="1" t="s">
        <v>1394</v>
      </c>
      <c r="B1720" s="1" t="s">
        <v>1389</v>
      </c>
      <c r="C1720" s="1" t="s">
        <v>1361</v>
      </c>
      <c r="D1720" s="1" t="n">
        <v>223</v>
      </c>
      <c r="E1720" s="1" t="n">
        <v>16.47</v>
      </c>
      <c r="F1720" s="1" t="n">
        <v>1.9</v>
      </c>
    </row>
    <row collapsed="false" customFormat="false" customHeight="false" hidden="false" ht="14.75" outlineLevel="0" r="1721">
      <c r="A1721" s="1" t="s">
        <v>1395</v>
      </c>
      <c r="B1721" s="1" t="s">
        <v>1368</v>
      </c>
      <c r="C1721" s="1" t="s">
        <v>1361</v>
      </c>
      <c r="D1721" s="1" t="n">
        <v>207.9</v>
      </c>
      <c r="E1721" s="1" t="n">
        <v>17.55</v>
      </c>
      <c r="F1721" s="1" t="n">
        <f aca="false">17/7</f>
        <v>2.42857142857143</v>
      </c>
    </row>
    <row collapsed="false" customFormat="false" customHeight="false" hidden="false" ht="14.75" outlineLevel="0" r="1722">
      <c r="A1722" s="1" t="s">
        <v>552</v>
      </c>
      <c r="B1722" s="1" t="s">
        <v>1384</v>
      </c>
      <c r="C1722" s="1" t="s">
        <v>1361</v>
      </c>
      <c r="D1722" s="1" t="n">
        <v>127.8</v>
      </c>
      <c r="E1722" s="1" t="n">
        <v>12.8</v>
      </c>
      <c r="F1722" s="1" t="n">
        <v>0.7</v>
      </c>
    </row>
    <row collapsed="false" customFormat="false" customHeight="false" hidden="false" ht="14.75" outlineLevel="0" r="1723">
      <c r="A1723" s="1" t="s">
        <v>1396</v>
      </c>
      <c r="B1723" s="1" t="s">
        <v>1363</v>
      </c>
      <c r="C1723" s="1" t="s">
        <v>1361</v>
      </c>
      <c r="D1723" s="1" t="n">
        <v>283.1</v>
      </c>
      <c r="E1723" s="1" t="n">
        <v>18.73</v>
      </c>
      <c r="F1723" s="1" t="n">
        <v>2</v>
      </c>
    </row>
    <row collapsed="false" customFormat="false" customHeight="false" hidden="false" ht="14.75" outlineLevel="0" r="1724">
      <c r="A1724" s="1" t="s">
        <v>1397</v>
      </c>
      <c r="B1724" s="1" t="s">
        <v>1363</v>
      </c>
      <c r="C1724" s="1" t="s">
        <v>1361</v>
      </c>
      <c r="D1724" s="1" t="n">
        <v>150.8</v>
      </c>
      <c r="E1724" s="1" t="n">
        <v>14.49</v>
      </c>
      <c r="F1724" s="1" t="n">
        <f aca="false">6/7</f>
        <v>0.857142857142857</v>
      </c>
    </row>
    <row collapsed="false" customFormat="false" customHeight="false" hidden="false" ht="14.75" outlineLevel="0" r="1725">
      <c r="A1725" s="1" t="s">
        <v>1398</v>
      </c>
      <c r="B1725" s="1" t="s">
        <v>1365</v>
      </c>
      <c r="C1725" s="1" t="s">
        <v>1361</v>
      </c>
      <c r="D1725" s="1" t="n">
        <v>236.2</v>
      </c>
      <c r="E1725" s="1" t="n">
        <v>13.94</v>
      </c>
      <c r="F1725" s="1" t="n">
        <f aca="false">19/12</f>
        <v>1.58333333333333</v>
      </c>
    </row>
    <row collapsed="false" customFormat="false" customHeight="false" hidden="false" ht="14.75" outlineLevel="0" r="1726">
      <c r="A1726" s="1" t="s">
        <v>1399</v>
      </c>
      <c r="B1726" s="1" t="s">
        <v>1365</v>
      </c>
      <c r="C1726" s="1" t="s">
        <v>1361</v>
      </c>
      <c r="D1726" s="1" t="n">
        <v>143.2</v>
      </c>
      <c r="E1726" s="1" t="n">
        <v>11.35</v>
      </c>
      <c r="F1726" s="1" t="n">
        <f aca="false">6/11</f>
        <v>0.545454545454545</v>
      </c>
    </row>
    <row collapsed="false" customFormat="false" customHeight="false" hidden="false" ht="14.75" outlineLevel="0" r="1727">
      <c r="A1727" s="1" t="s">
        <v>1400</v>
      </c>
      <c r="B1727" s="1" t="s">
        <v>282</v>
      </c>
      <c r="C1727" s="1" t="s">
        <v>1361</v>
      </c>
      <c r="D1727" s="1" t="n">
        <v>299.3</v>
      </c>
      <c r="E1727" s="1" t="n">
        <v>18.66</v>
      </c>
      <c r="F1727" s="1" t="n">
        <f aca="false">25/7</f>
        <v>3.57142857142857</v>
      </c>
    </row>
    <row collapsed="false" customFormat="false" customHeight="false" hidden="false" ht="14.75" outlineLevel="0" r="1728">
      <c r="A1728" s="1" t="s">
        <v>864</v>
      </c>
      <c r="B1728" s="1" t="s">
        <v>1368</v>
      </c>
      <c r="C1728" s="1" t="s">
        <v>1361</v>
      </c>
      <c r="D1728" s="1" t="n">
        <v>338.6</v>
      </c>
      <c r="E1728" s="1" t="n">
        <v>21.01</v>
      </c>
      <c r="F1728" s="1" t="n">
        <f aca="false">24/7</f>
        <v>3.42857142857143</v>
      </c>
    </row>
    <row collapsed="false" customFormat="false" customHeight="false" hidden="false" ht="14.75" outlineLevel="0" r="1729">
      <c r="A1729" s="1" t="s">
        <v>1179</v>
      </c>
      <c r="B1729" s="1" t="s">
        <v>1368</v>
      </c>
      <c r="C1729" s="1" t="s">
        <v>1361</v>
      </c>
      <c r="D1729" s="1" t="n">
        <v>100.7</v>
      </c>
      <c r="E1729" s="1" t="n">
        <v>12.26</v>
      </c>
      <c r="F1729" s="1" t="n">
        <f aca="false">8/7</f>
        <v>1.14285714285714</v>
      </c>
    </row>
    <row collapsed="false" customFormat="false" customHeight="false" hidden="false" ht="14.75" outlineLevel="0" r="1730">
      <c r="A1730" s="1" t="s">
        <v>1401</v>
      </c>
      <c r="B1730" s="1" t="s">
        <v>1368</v>
      </c>
      <c r="C1730" s="1" t="s">
        <v>1361</v>
      </c>
      <c r="D1730" s="1" t="n">
        <v>181.4</v>
      </c>
      <c r="E1730" s="1" t="n">
        <v>13.36</v>
      </c>
      <c r="F1730" s="1" t="n">
        <f aca="false">10/7</f>
        <v>1.42857142857143</v>
      </c>
    </row>
    <row collapsed="false" customFormat="false" customHeight="false" hidden="false" ht="14.75" outlineLevel="0" r="1731">
      <c r="A1731" s="1" t="s">
        <v>1402</v>
      </c>
      <c r="B1731" s="1" t="s">
        <v>1368</v>
      </c>
      <c r="C1731" s="1" t="s">
        <v>1361</v>
      </c>
      <c r="D1731" s="1" t="n">
        <v>85.7</v>
      </c>
      <c r="E1731" s="1" t="n">
        <v>10</v>
      </c>
      <c r="F1731" s="1" t="n">
        <f aca="false">1/7</f>
        <v>0.142857142857143</v>
      </c>
    </row>
    <row collapsed="false" customFormat="false" customHeight="false" hidden="false" ht="14.75" outlineLevel="0" r="1732">
      <c r="A1732" s="1" t="s">
        <v>1403</v>
      </c>
      <c r="B1732" s="1" t="s">
        <v>1368</v>
      </c>
      <c r="C1732" s="1" t="s">
        <v>1361</v>
      </c>
      <c r="D1732" s="1" t="n">
        <v>176.4</v>
      </c>
      <c r="E1732" s="1" t="n">
        <v>11.75</v>
      </c>
      <c r="F1732" s="1" t="n">
        <v>1</v>
      </c>
    </row>
    <row collapsed="false" customFormat="false" customHeight="false" hidden="false" ht="14.75" outlineLevel="0" r="1733">
      <c r="A1733" s="1" t="s">
        <v>560</v>
      </c>
      <c r="B1733" s="1" t="s">
        <v>1384</v>
      </c>
      <c r="C1733" s="1" t="s">
        <v>1361</v>
      </c>
      <c r="D1733" s="1" t="n">
        <v>95.5</v>
      </c>
      <c r="E1733" s="1" t="n">
        <v>9.59</v>
      </c>
      <c r="F1733" s="1" t="n">
        <v>0.4</v>
      </c>
    </row>
    <row collapsed="false" customFormat="false" customHeight="false" hidden="false" ht="14.75" outlineLevel="0" r="1734">
      <c r="A1734" s="1" t="s">
        <v>560</v>
      </c>
      <c r="B1734" s="1" t="s">
        <v>1368</v>
      </c>
      <c r="C1734" s="1" t="s">
        <v>1361</v>
      </c>
      <c r="D1734" s="1" t="n">
        <v>335.7</v>
      </c>
      <c r="E1734" s="1" t="n">
        <v>19.55</v>
      </c>
      <c r="F1734" s="1" t="n">
        <f aca="false">17/7</f>
        <v>2.42857142857143</v>
      </c>
    </row>
    <row collapsed="false" customFormat="false" customHeight="false" hidden="false" ht="14.75" outlineLevel="0" r="1735">
      <c r="A1735" s="1" t="s">
        <v>1404</v>
      </c>
      <c r="B1735" s="1" t="s">
        <v>1365</v>
      </c>
      <c r="C1735" s="1" t="s">
        <v>1361</v>
      </c>
      <c r="D1735" s="1" t="n">
        <v>161.8</v>
      </c>
      <c r="E1735" s="1" t="n">
        <v>13.25</v>
      </c>
      <c r="F1735" s="1" t="n">
        <f aca="false">7/11</f>
        <v>0.636363636363636</v>
      </c>
    </row>
    <row collapsed="false" customFormat="false" customHeight="false" hidden="false" ht="14.75" outlineLevel="0" r="1736">
      <c r="A1736" s="1" t="s">
        <v>1405</v>
      </c>
      <c r="B1736" s="1" t="s">
        <v>1365</v>
      </c>
      <c r="C1736" s="1" t="s">
        <v>1361</v>
      </c>
      <c r="D1736" s="1" t="n">
        <v>98.6</v>
      </c>
      <c r="E1736" s="1" t="n">
        <v>9.64</v>
      </c>
      <c r="F1736" s="1" t="n">
        <f aca="false">2/11</f>
        <v>0.181818181818182</v>
      </c>
    </row>
    <row collapsed="false" customFormat="false" customHeight="true" hidden="false" ht="15.75" outlineLevel="0" r="1737">
      <c r="A1737" s="1" t="s">
        <v>1022</v>
      </c>
      <c r="B1737" s="1" t="s">
        <v>282</v>
      </c>
      <c r="C1737" s="1" t="s">
        <v>1361</v>
      </c>
      <c r="D1737" s="1" t="n">
        <v>100</v>
      </c>
      <c r="E1737" s="1" t="n">
        <v>12.42</v>
      </c>
      <c r="F1737" s="1" t="n">
        <f aca="false">6/7</f>
        <v>0.857142857142857</v>
      </c>
    </row>
    <row collapsed="false" customFormat="false" customHeight="false" hidden="false" ht="14.75" outlineLevel="0" r="1738">
      <c r="A1738" s="1" t="s">
        <v>459</v>
      </c>
      <c r="B1738" s="1" t="s">
        <v>1389</v>
      </c>
      <c r="C1738" s="1" t="s">
        <v>1361</v>
      </c>
      <c r="D1738" s="1" t="n">
        <v>361</v>
      </c>
      <c r="E1738" s="1" t="n">
        <v>20.55</v>
      </c>
      <c r="F1738" s="1" t="n">
        <v>1.7</v>
      </c>
    </row>
    <row collapsed="false" customFormat="false" customHeight="false" hidden="false" ht="14.75" outlineLevel="0" r="1739">
      <c r="A1739" s="1" t="s">
        <v>460</v>
      </c>
      <c r="B1739" s="1" t="s">
        <v>1389</v>
      </c>
      <c r="C1739" s="1" t="s">
        <v>1361</v>
      </c>
      <c r="D1739" s="1" t="n">
        <v>193.5</v>
      </c>
      <c r="E1739" s="1" t="n">
        <v>12.44</v>
      </c>
      <c r="F1739" s="1" t="n">
        <v>0.9</v>
      </c>
    </row>
    <row collapsed="false" customFormat="false" customHeight="false" hidden="false" ht="14.75" outlineLevel="0" r="1740">
      <c r="A1740" s="1" t="s">
        <v>1406</v>
      </c>
      <c r="B1740" s="1" t="s">
        <v>1384</v>
      </c>
      <c r="C1740" s="1" t="s">
        <v>1361</v>
      </c>
      <c r="D1740" s="1" t="n">
        <v>240.5</v>
      </c>
      <c r="E1740" s="1" t="n">
        <v>14.74</v>
      </c>
      <c r="F1740" s="1" t="n">
        <v>1.1</v>
      </c>
    </row>
    <row collapsed="false" customFormat="false" customHeight="false" hidden="false" ht="14.75" outlineLevel="0" r="1741">
      <c r="A1741" s="1" t="s">
        <v>1407</v>
      </c>
      <c r="B1741" s="1" t="s">
        <v>1384</v>
      </c>
      <c r="C1741" s="1" t="s">
        <v>1361</v>
      </c>
      <c r="D1741" s="1" t="n">
        <v>160.5</v>
      </c>
      <c r="E1741" s="1" t="n">
        <v>11.45</v>
      </c>
      <c r="F1741" s="1" t="n">
        <v>1.6</v>
      </c>
    </row>
    <row collapsed="false" customFormat="false" customHeight="false" hidden="false" ht="14.75" outlineLevel="0" r="1742">
      <c r="A1742" s="1" t="s">
        <v>1408</v>
      </c>
      <c r="B1742" s="1" t="s">
        <v>1373</v>
      </c>
      <c r="C1742" s="1" t="s">
        <v>1361</v>
      </c>
      <c r="D1742" s="1" t="n">
        <v>367</v>
      </c>
      <c r="E1742" s="1" t="n">
        <v>22.62</v>
      </c>
      <c r="F1742" s="1" t="n">
        <v>5.6</v>
      </c>
    </row>
    <row collapsed="false" customFormat="false" customHeight="false" hidden="false" ht="14.75" outlineLevel="0" r="1743">
      <c r="A1743" s="1" t="s">
        <v>1409</v>
      </c>
      <c r="B1743" s="1" t="s">
        <v>1410</v>
      </c>
      <c r="C1743" s="1" t="s">
        <v>1361</v>
      </c>
      <c r="D1743" s="1" t="n">
        <v>197.8</v>
      </c>
      <c r="E1743" s="1" t="n">
        <v>13.64</v>
      </c>
      <c r="F1743" s="1" t="n">
        <f aca="false">13/9</f>
        <v>1.44444444444444</v>
      </c>
    </row>
    <row collapsed="false" customFormat="false" customHeight="false" hidden="false" ht="14.75" outlineLevel="0" r="1744">
      <c r="A1744" s="1" t="s">
        <v>339</v>
      </c>
      <c r="B1744" s="1" t="s">
        <v>1384</v>
      </c>
      <c r="C1744" s="1" t="s">
        <v>1361</v>
      </c>
      <c r="D1744" s="1" t="n">
        <v>360</v>
      </c>
      <c r="E1744" s="1" t="n">
        <v>21.03</v>
      </c>
      <c r="F1744" s="1" t="n">
        <f aca="false">42/11</f>
        <v>3.81818181818182</v>
      </c>
    </row>
    <row collapsed="false" customFormat="false" customHeight="false" hidden="false" ht="14.75" outlineLevel="0" r="1745">
      <c r="A1745" s="1" t="s">
        <v>564</v>
      </c>
      <c r="B1745" s="1" t="s">
        <v>1384</v>
      </c>
      <c r="C1745" s="1" t="s">
        <v>1361</v>
      </c>
      <c r="D1745" s="1" t="n">
        <v>174</v>
      </c>
      <c r="E1745" s="1" t="n">
        <v>13.99</v>
      </c>
      <c r="F1745" s="1" t="n">
        <v>0.6</v>
      </c>
    </row>
    <row collapsed="false" customFormat="false" customHeight="false" hidden="false" ht="14.75" outlineLevel="0" r="1746">
      <c r="A1746" s="1" t="s">
        <v>1411</v>
      </c>
      <c r="B1746" s="1" t="s">
        <v>1389</v>
      </c>
      <c r="C1746" s="1" t="s">
        <v>1361</v>
      </c>
      <c r="D1746" s="1" t="n">
        <v>247.5</v>
      </c>
      <c r="E1746" s="1" t="n">
        <v>16.65</v>
      </c>
      <c r="F1746" s="1" t="n">
        <v>2.1</v>
      </c>
    </row>
    <row collapsed="false" customFormat="false" customHeight="false" hidden="false" ht="14.75" outlineLevel="0" r="1747">
      <c r="A1747" s="1" t="s">
        <v>1412</v>
      </c>
      <c r="B1747" s="1" t="s">
        <v>1389</v>
      </c>
      <c r="C1747" s="1" t="s">
        <v>1361</v>
      </c>
      <c r="D1747" s="1" t="n">
        <v>165</v>
      </c>
      <c r="E1747" s="1" t="n">
        <v>12.5</v>
      </c>
      <c r="F1747" s="1" t="n">
        <v>1.8</v>
      </c>
    </row>
    <row collapsed="false" customFormat="false" customHeight="false" hidden="false" ht="14.75" outlineLevel="0" r="1748">
      <c r="A1748" s="1" t="s">
        <v>1413</v>
      </c>
      <c r="B1748" s="1" t="s">
        <v>1365</v>
      </c>
      <c r="C1748" s="1" t="s">
        <v>1361</v>
      </c>
      <c r="D1748" s="1" t="n">
        <v>358.3</v>
      </c>
      <c r="E1748" s="1" t="n">
        <v>18.43</v>
      </c>
      <c r="F1748" s="1" t="n">
        <f aca="false">40/12</f>
        <v>3.33333333333333</v>
      </c>
    </row>
    <row collapsed="false" customFormat="false" customHeight="false" hidden="false" ht="14.75" outlineLevel="0" r="1749">
      <c r="A1749" s="1" t="s">
        <v>1414</v>
      </c>
      <c r="B1749" s="1" t="s">
        <v>1365</v>
      </c>
      <c r="C1749" s="1" t="s">
        <v>1361</v>
      </c>
      <c r="D1749" s="1" t="n">
        <v>238.3</v>
      </c>
      <c r="E1749" s="1" t="n">
        <v>15.54</v>
      </c>
      <c r="F1749" s="1" t="n">
        <f aca="false">15/12</f>
        <v>1.25</v>
      </c>
    </row>
    <row collapsed="false" customFormat="false" customHeight="false" hidden="false" ht="14.75" outlineLevel="0" r="1750">
      <c r="A1750" s="1" t="s">
        <v>1415</v>
      </c>
      <c r="B1750" s="1" t="s">
        <v>1416</v>
      </c>
      <c r="C1750" s="1" t="s">
        <v>1361</v>
      </c>
      <c r="D1750" s="1" t="n">
        <v>148.6</v>
      </c>
      <c r="E1750" s="1" t="n">
        <v>12.83</v>
      </c>
      <c r="F1750" s="1" t="n">
        <f aca="false">4/7</f>
        <v>0.571428571428571</v>
      </c>
    </row>
    <row collapsed="false" customFormat="false" customHeight="false" hidden="false" ht="14.75" outlineLevel="0" r="1751">
      <c r="A1751" s="1" t="s">
        <v>1417</v>
      </c>
      <c r="B1751" s="1" t="s">
        <v>282</v>
      </c>
      <c r="C1751" s="1" t="s">
        <v>1361</v>
      </c>
      <c r="D1751" s="1" t="n">
        <v>155</v>
      </c>
      <c r="E1751" s="1" t="n">
        <v>11.8</v>
      </c>
      <c r="F1751" s="1" t="n">
        <f aca="false">3/7</f>
        <v>0.428571428571429</v>
      </c>
    </row>
    <row collapsed="false" customFormat="false" customHeight="false" hidden="false" ht="14.75" outlineLevel="0" r="1752">
      <c r="A1752" s="1" t="s">
        <v>647</v>
      </c>
      <c r="B1752" s="1" t="s">
        <v>1365</v>
      </c>
      <c r="C1752" s="1" t="s">
        <v>1361</v>
      </c>
      <c r="D1752" s="1" t="n">
        <v>145</v>
      </c>
      <c r="E1752" s="1" t="n">
        <v>10.12</v>
      </c>
      <c r="F1752" s="1" t="n">
        <f aca="false">4/11</f>
        <v>0.363636363636364</v>
      </c>
    </row>
    <row collapsed="false" customFormat="false" customHeight="false" hidden="false" ht="14.75" outlineLevel="0" r="1753">
      <c r="A1753" s="1" t="s">
        <v>1418</v>
      </c>
      <c r="B1753" s="1" t="s">
        <v>1360</v>
      </c>
      <c r="C1753" s="1" t="s">
        <v>1361</v>
      </c>
      <c r="D1753" s="1" t="n">
        <v>82.6</v>
      </c>
      <c r="E1753" s="1" t="n">
        <v>6.39</v>
      </c>
      <c r="F1753" s="1" t="n">
        <f aca="false">5/7</f>
        <v>0.714285714285714</v>
      </c>
    </row>
    <row collapsed="false" customFormat="false" customHeight="false" hidden="false" ht="14.75" outlineLevel="0" r="1754">
      <c r="A1754" s="1" t="s">
        <v>1419</v>
      </c>
      <c r="B1754" s="1" t="s">
        <v>1360</v>
      </c>
      <c r="C1754" s="1" t="s">
        <v>1361</v>
      </c>
      <c r="D1754" s="1" t="n">
        <v>111.4</v>
      </c>
      <c r="E1754" s="1" t="n">
        <v>8.14</v>
      </c>
      <c r="F1754" s="1" t="n">
        <f aca="false">4/7</f>
        <v>0.571428571428571</v>
      </c>
    </row>
    <row collapsed="false" customFormat="false" customHeight="false" hidden="false" ht="14.75" outlineLevel="0" r="1755">
      <c r="A1755" s="1" t="s">
        <v>1420</v>
      </c>
      <c r="B1755" s="1" t="s">
        <v>1376</v>
      </c>
      <c r="C1755" s="1" t="s">
        <v>1361</v>
      </c>
      <c r="D1755" s="1" t="n">
        <v>115</v>
      </c>
      <c r="E1755" s="1" t="n">
        <v>9.79</v>
      </c>
      <c r="F1755" s="1" t="n">
        <v>0.5</v>
      </c>
    </row>
    <row collapsed="false" customFormat="false" customHeight="false" hidden="false" ht="14.75" outlineLevel="0" r="1756">
      <c r="A1756" s="1" t="s">
        <v>1421</v>
      </c>
      <c r="B1756" s="1" t="s">
        <v>1410</v>
      </c>
      <c r="C1756" s="1" t="s">
        <v>1361</v>
      </c>
      <c r="D1756" s="1" t="n">
        <v>133.8</v>
      </c>
      <c r="E1756" s="1" t="n">
        <v>12.2</v>
      </c>
      <c r="F1756" s="1" t="n">
        <f aca="false">9/8</f>
        <v>1.125</v>
      </c>
    </row>
    <row collapsed="false" customFormat="false" customHeight="false" hidden="false" ht="14.75" outlineLevel="0" r="1757">
      <c r="A1757" s="1" t="s">
        <v>1422</v>
      </c>
      <c r="B1757" s="1" t="s">
        <v>1368</v>
      </c>
      <c r="C1757" s="1" t="s">
        <v>1361</v>
      </c>
      <c r="D1757" s="1" t="n">
        <v>183.6</v>
      </c>
      <c r="E1757" s="1" t="n">
        <v>12.2</v>
      </c>
      <c r="F1757" s="1" t="n">
        <f aca="false">9/7</f>
        <v>1.28571428571429</v>
      </c>
    </row>
    <row collapsed="false" customFormat="false" customHeight="false" hidden="false" ht="14.75" outlineLevel="0" r="1758">
      <c r="A1758" s="1" t="s">
        <v>1423</v>
      </c>
      <c r="B1758" s="1" t="s">
        <v>1363</v>
      </c>
      <c r="C1758" s="1" t="s">
        <v>1361</v>
      </c>
      <c r="D1758" s="1" t="n">
        <v>308.9</v>
      </c>
      <c r="E1758" s="1" t="n">
        <v>17.07</v>
      </c>
      <c r="F1758" s="1" t="n">
        <v>2</v>
      </c>
    </row>
    <row collapsed="false" customFormat="false" customHeight="false" hidden="false" ht="14.75" outlineLevel="0" r="1759">
      <c r="A1759" s="1" t="s">
        <v>1424</v>
      </c>
      <c r="B1759" s="1" t="s">
        <v>1363</v>
      </c>
      <c r="C1759" s="1" t="s">
        <v>1361</v>
      </c>
      <c r="D1759" s="1" t="n">
        <v>233.1</v>
      </c>
      <c r="E1759" s="1" t="n">
        <v>15.52</v>
      </c>
      <c r="F1759" s="1" t="n">
        <v>1</v>
      </c>
    </row>
    <row collapsed="false" customFormat="false" customHeight="false" hidden="false" ht="14.75" outlineLevel="0" r="1760">
      <c r="A1760" s="1" t="s">
        <v>1425</v>
      </c>
      <c r="B1760" s="1" t="s">
        <v>1363</v>
      </c>
      <c r="C1760" s="1" t="s">
        <v>1361</v>
      </c>
      <c r="D1760" s="1" t="n">
        <v>155.7</v>
      </c>
      <c r="E1760" s="1" t="n">
        <v>13.11</v>
      </c>
      <c r="F1760" s="1" t="n">
        <v>1</v>
      </c>
    </row>
    <row collapsed="false" customFormat="false" customHeight="false" hidden="false" ht="14.75" outlineLevel="0" r="1761">
      <c r="A1761" s="1" t="s">
        <v>1426</v>
      </c>
      <c r="B1761" s="1" t="s">
        <v>282</v>
      </c>
      <c r="C1761" s="1" t="s">
        <v>1361</v>
      </c>
      <c r="D1761" s="1" t="n">
        <v>240.7</v>
      </c>
      <c r="E1761" s="1" t="n">
        <v>18.28</v>
      </c>
      <c r="F1761" s="1" t="n">
        <f aca="false">18/7</f>
        <v>2.57142857142857</v>
      </c>
    </row>
    <row collapsed="false" customFormat="false" customHeight="false" hidden="false" ht="14.75" outlineLevel="0" r="1762">
      <c r="A1762" s="1" t="s">
        <v>1427</v>
      </c>
      <c r="B1762" s="1" t="s">
        <v>1373</v>
      </c>
      <c r="C1762" s="1" t="s">
        <v>1361</v>
      </c>
      <c r="D1762" s="1" t="n">
        <v>304.7</v>
      </c>
      <c r="E1762" s="1" t="n">
        <v>20</v>
      </c>
      <c r="F1762" s="1" t="n">
        <v>3.1</v>
      </c>
    </row>
    <row collapsed="false" customFormat="false" customHeight="false" hidden="false" ht="14.75" outlineLevel="0" r="1763">
      <c r="A1763" s="1" t="s">
        <v>1428</v>
      </c>
      <c r="B1763" s="1" t="s">
        <v>282</v>
      </c>
      <c r="C1763" s="1" t="s">
        <v>1361</v>
      </c>
      <c r="D1763" s="1" t="n">
        <v>207.1</v>
      </c>
      <c r="E1763" s="1" t="n">
        <v>11.97</v>
      </c>
      <c r="F1763" s="1" t="n">
        <f aca="false">9/7</f>
        <v>1.28571428571429</v>
      </c>
    </row>
    <row collapsed="false" customFormat="false" customHeight="false" hidden="false" ht="14.75" outlineLevel="0" r="1764">
      <c r="A1764" s="1" t="s">
        <v>1429</v>
      </c>
      <c r="B1764" s="1" t="s">
        <v>282</v>
      </c>
      <c r="C1764" s="1" t="s">
        <v>1361</v>
      </c>
      <c r="D1764" s="1" t="n">
        <v>143.6</v>
      </c>
      <c r="E1764" s="1" t="n">
        <v>12.5</v>
      </c>
      <c r="F1764" s="1" t="n">
        <f aca="false">11/7</f>
        <v>1.57142857142857</v>
      </c>
    </row>
    <row collapsed="false" customFormat="false" customHeight="false" hidden="false" ht="14.75" outlineLevel="0" r="1765">
      <c r="A1765" s="1" t="s">
        <v>1430</v>
      </c>
      <c r="B1765" s="1" t="s">
        <v>282</v>
      </c>
      <c r="C1765" s="1" t="s">
        <v>1361</v>
      </c>
      <c r="D1765" s="1" t="n">
        <v>78.6</v>
      </c>
      <c r="E1765" s="1" t="n">
        <v>7.74</v>
      </c>
      <c r="F1765" s="1" t="n">
        <f aca="false">2/7</f>
        <v>0.285714285714286</v>
      </c>
    </row>
    <row collapsed="false" customFormat="false" customHeight="false" hidden="false" ht="14.75" outlineLevel="0" r="1766">
      <c r="A1766" s="1" t="s">
        <v>1431</v>
      </c>
      <c r="B1766" s="1" t="s">
        <v>1373</v>
      </c>
      <c r="C1766" s="1" t="s">
        <v>1361</v>
      </c>
      <c r="D1766" s="1" t="n">
        <v>225.8</v>
      </c>
      <c r="E1766" s="1" t="n">
        <v>21.54</v>
      </c>
      <c r="F1766" s="1" t="n">
        <v>1.7</v>
      </c>
    </row>
    <row collapsed="false" customFormat="false" customHeight="false" hidden="false" ht="14.75" outlineLevel="0" r="1767">
      <c r="A1767" s="1" t="s">
        <v>582</v>
      </c>
      <c r="B1767" s="1" t="s">
        <v>1384</v>
      </c>
      <c r="C1767" s="1" t="s">
        <v>1361</v>
      </c>
      <c r="D1767" s="1" t="n">
        <v>133</v>
      </c>
      <c r="E1767" s="1" t="n">
        <v>11.41</v>
      </c>
      <c r="F1767" s="1" t="n">
        <v>0.8</v>
      </c>
    </row>
    <row collapsed="false" customFormat="false" customHeight="false" hidden="false" ht="14.75" outlineLevel="0" r="1768">
      <c r="A1768" s="1" t="s">
        <v>1432</v>
      </c>
      <c r="B1768" s="1" t="s">
        <v>1363</v>
      </c>
      <c r="C1768" s="1" t="s">
        <v>1361</v>
      </c>
      <c r="D1768" s="1" t="n">
        <v>106.2</v>
      </c>
      <c r="E1768" s="1" t="n">
        <v>9.05</v>
      </c>
      <c r="F1768" s="1" t="n">
        <f aca="false">2/7</f>
        <v>0.285714285714286</v>
      </c>
    </row>
    <row collapsed="false" customFormat="false" customHeight="false" hidden="false" ht="14.75" outlineLevel="0" r="1769">
      <c r="A1769" s="1" t="s">
        <v>1433</v>
      </c>
      <c r="B1769" s="1" t="s">
        <v>1389</v>
      </c>
      <c r="C1769" s="1" t="s">
        <v>1361</v>
      </c>
      <c r="D1769" s="1" t="n">
        <v>120.5</v>
      </c>
      <c r="E1769" s="1" t="n">
        <v>15.32</v>
      </c>
      <c r="F1769" s="1" t="n">
        <v>0.6</v>
      </c>
    </row>
    <row collapsed="false" customFormat="false" customHeight="false" hidden="false" ht="14.75" outlineLevel="0" r="1770">
      <c r="A1770" s="1" t="s">
        <v>1434</v>
      </c>
      <c r="B1770" s="1" t="s">
        <v>1389</v>
      </c>
      <c r="C1770" s="1" t="s">
        <v>1361</v>
      </c>
      <c r="D1770" s="1" t="n">
        <v>220</v>
      </c>
      <c r="E1770" s="1" t="n">
        <v>17.22</v>
      </c>
      <c r="F1770" s="1" t="n">
        <v>0.6</v>
      </c>
    </row>
    <row collapsed="false" customFormat="false" customHeight="false" hidden="false" ht="14.75" outlineLevel="0" r="1771">
      <c r="A1771" s="1" t="s">
        <v>1435</v>
      </c>
      <c r="B1771" s="1" t="s">
        <v>1363</v>
      </c>
      <c r="C1771" s="1" t="s">
        <v>1361</v>
      </c>
      <c r="D1771" s="1" t="n">
        <v>149.6</v>
      </c>
      <c r="E1771" s="1" t="n">
        <v>12.73</v>
      </c>
      <c r="F1771" s="1" t="n">
        <f aca="false">6/7</f>
        <v>0.857142857142857</v>
      </c>
    </row>
    <row collapsed="false" customFormat="false" customHeight="false" hidden="false" ht="14.75" outlineLevel="0" r="1772">
      <c r="A1772" s="1" t="s">
        <v>364</v>
      </c>
      <c r="B1772" s="1" t="s">
        <v>282</v>
      </c>
      <c r="C1772" s="1" t="s">
        <v>1361</v>
      </c>
      <c r="D1772" s="1" t="n">
        <v>413.6</v>
      </c>
      <c r="E1772" s="1" t="n">
        <v>21.82</v>
      </c>
      <c r="F1772" s="1" t="n">
        <f aca="false">32/7</f>
        <v>4.57142857142857</v>
      </c>
    </row>
    <row collapsed="false" customFormat="false" customHeight="false" hidden="false" ht="14.75" outlineLevel="0" r="1773">
      <c r="A1773" s="1" t="s">
        <v>1436</v>
      </c>
      <c r="B1773" s="1" t="s">
        <v>282</v>
      </c>
      <c r="C1773" s="1" t="s">
        <v>1361</v>
      </c>
      <c r="D1773" s="1" t="n">
        <v>118.6</v>
      </c>
      <c r="E1773" s="1" t="n">
        <v>9.52</v>
      </c>
      <c r="F1773" s="1" t="n">
        <f aca="false">4/7</f>
        <v>0.571428571428571</v>
      </c>
    </row>
    <row collapsed="false" customFormat="false" customHeight="false" hidden="false" ht="14.75" outlineLevel="0" r="1774">
      <c r="A1774" s="1" t="s">
        <v>1437</v>
      </c>
      <c r="B1774" s="1" t="s">
        <v>1389</v>
      </c>
      <c r="C1774" s="1" t="s">
        <v>1361</v>
      </c>
      <c r="D1774" s="1" t="n">
        <v>186</v>
      </c>
      <c r="E1774" s="1" t="n">
        <v>15</v>
      </c>
      <c r="F1774" s="1" t="n">
        <v>1.7</v>
      </c>
    </row>
    <row collapsed="false" customFormat="false" customHeight="false" hidden="false" ht="14.75" outlineLevel="0" r="1775">
      <c r="A1775" s="1" t="s">
        <v>1438</v>
      </c>
      <c r="B1775" s="1" t="s">
        <v>1376</v>
      </c>
      <c r="C1775" s="1" t="s">
        <v>1361</v>
      </c>
      <c r="D1775" s="1" t="n">
        <v>114.3</v>
      </c>
      <c r="E1775" s="1" t="n">
        <v>11.32</v>
      </c>
      <c r="F1775" s="1" t="n">
        <f aca="false">3/7</f>
        <v>0.428571428571429</v>
      </c>
    </row>
    <row collapsed="false" customFormat="false" customHeight="false" hidden="false" ht="14.75" outlineLevel="0" r="1776">
      <c r="A1776" s="1" t="s">
        <v>1439</v>
      </c>
      <c r="B1776" s="1" t="s">
        <v>1376</v>
      </c>
      <c r="C1776" s="1" t="s">
        <v>1361</v>
      </c>
      <c r="D1776" s="1" t="n">
        <v>120</v>
      </c>
      <c r="E1776" s="1" t="n">
        <v>12.27</v>
      </c>
      <c r="F1776" s="1" t="n">
        <f aca="false">5/8</f>
        <v>0.625</v>
      </c>
    </row>
    <row collapsed="false" customFormat="false" customHeight="false" hidden="false" ht="14.75" outlineLevel="0" r="1777">
      <c r="A1777" s="1" t="s">
        <v>1440</v>
      </c>
      <c r="B1777" s="1" t="s">
        <v>1376</v>
      </c>
      <c r="C1777" s="1" t="s">
        <v>1361</v>
      </c>
      <c r="D1777" s="1" t="n">
        <v>42.1</v>
      </c>
      <c r="E1777" s="1" t="n">
        <v>6.67</v>
      </c>
      <c r="F1777" s="1" t="n">
        <v>0</v>
      </c>
    </row>
    <row collapsed="false" customFormat="false" customHeight="false" hidden="false" ht="14.75" outlineLevel="0" r="1778">
      <c r="A1778" s="1" t="s">
        <v>591</v>
      </c>
      <c r="B1778" s="1" t="s">
        <v>1384</v>
      </c>
      <c r="C1778" s="1" t="s">
        <v>1361</v>
      </c>
      <c r="D1778" s="1" t="n">
        <v>234.5</v>
      </c>
      <c r="E1778" s="1" t="n">
        <v>14.53</v>
      </c>
      <c r="F1778" s="1" t="n">
        <v>1.4</v>
      </c>
    </row>
    <row collapsed="false" customFormat="false" customHeight="false" hidden="false" ht="14.75" outlineLevel="0" r="1779">
      <c r="A1779" s="1" t="s">
        <v>1441</v>
      </c>
      <c r="B1779" s="1" t="s">
        <v>1389</v>
      </c>
      <c r="C1779" s="1" t="s">
        <v>1361</v>
      </c>
      <c r="D1779" s="1" t="n">
        <v>164.5</v>
      </c>
      <c r="E1779" s="1" t="n">
        <v>16.94</v>
      </c>
      <c r="F1779" s="1" t="n">
        <v>0.8</v>
      </c>
    </row>
    <row collapsed="false" customFormat="false" customHeight="false" hidden="false" ht="14.75" outlineLevel="0" r="1780">
      <c r="A1780" s="1" t="s">
        <v>1442</v>
      </c>
      <c r="B1780" s="1" t="s">
        <v>1389</v>
      </c>
      <c r="C1780" s="1" t="s">
        <v>1361</v>
      </c>
      <c r="D1780" s="1" t="n">
        <v>106</v>
      </c>
      <c r="E1780" s="1" t="n">
        <v>10.98</v>
      </c>
      <c r="F1780" s="1" t="n">
        <v>0.4</v>
      </c>
    </row>
    <row collapsed="false" customFormat="false" customHeight="false" hidden="false" ht="14.75" outlineLevel="0" r="1781">
      <c r="A1781" s="1" t="s">
        <v>1443</v>
      </c>
      <c r="B1781" s="1" t="s">
        <v>1410</v>
      </c>
      <c r="C1781" s="1" t="s">
        <v>1361</v>
      </c>
      <c r="D1781" s="1" t="n">
        <v>180.6</v>
      </c>
      <c r="E1781" s="1" t="n">
        <v>11.51</v>
      </c>
      <c r="F1781" s="1" t="n">
        <f aca="false">16/9</f>
        <v>1.77777777777778</v>
      </c>
    </row>
    <row collapsed="false" customFormat="false" customHeight="false" hidden="false" ht="14.75" outlineLevel="0" r="1782">
      <c r="A1782" s="1" t="s">
        <v>1444</v>
      </c>
      <c r="B1782" s="1" t="s">
        <v>1410</v>
      </c>
      <c r="C1782" s="1" t="s">
        <v>1361</v>
      </c>
      <c r="D1782" s="1" t="n">
        <v>138.8</v>
      </c>
      <c r="E1782" s="1" t="n">
        <v>11.6</v>
      </c>
      <c r="F1782" s="1" t="n">
        <f aca="false">7/8</f>
        <v>0.875</v>
      </c>
    </row>
    <row collapsed="false" customFormat="false" customHeight="false" hidden="false" ht="14.75" outlineLevel="0" r="1783">
      <c r="A1783" s="1" t="s">
        <v>1445</v>
      </c>
      <c r="B1783" s="1" t="s">
        <v>1363</v>
      </c>
      <c r="C1783" s="1" t="s">
        <v>1361</v>
      </c>
      <c r="D1783" s="1" t="n">
        <v>303</v>
      </c>
      <c r="E1783" s="1" t="n">
        <v>18.38</v>
      </c>
      <c r="F1783" s="1" t="n">
        <f aca="false">15/7</f>
        <v>2.14285714285714</v>
      </c>
    </row>
    <row collapsed="false" customFormat="false" customHeight="false" hidden="false" ht="14.75" outlineLevel="0" r="1784">
      <c r="A1784" s="1" t="s">
        <v>1446</v>
      </c>
      <c r="B1784" s="1" t="s">
        <v>1363</v>
      </c>
      <c r="C1784" s="1" t="s">
        <v>1361</v>
      </c>
      <c r="D1784" s="1" t="n">
        <v>190.2</v>
      </c>
      <c r="E1784" s="1" t="n">
        <v>14.68</v>
      </c>
      <c r="F1784" s="1" t="n">
        <v>1</v>
      </c>
    </row>
    <row collapsed="false" customFormat="false" customHeight="false" hidden="false" ht="14.75" outlineLevel="0" r="1785">
      <c r="A1785" s="1" t="s">
        <v>1447</v>
      </c>
      <c r="B1785" s="1" t="s">
        <v>1363</v>
      </c>
      <c r="C1785" s="1" t="s">
        <v>1361</v>
      </c>
      <c r="D1785" s="1" t="n">
        <v>84.8</v>
      </c>
      <c r="E1785" s="1" t="n">
        <v>10.71</v>
      </c>
      <c r="F1785" s="1" t="n">
        <f aca="false">3/7</f>
        <v>0.428571428571429</v>
      </c>
    </row>
    <row collapsed="false" customFormat="false" customHeight="false" hidden="false" ht="14.75" outlineLevel="0" r="1786">
      <c r="A1786" s="1" t="s">
        <v>169</v>
      </c>
      <c r="B1786" s="1" t="s">
        <v>1384</v>
      </c>
      <c r="C1786" s="1" t="s">
        <v>1361</v>
      </c>
      <c r="D1786" s="1" t="n">
        <v>287.7</v>
      </c>
      <c r="E1786" s="1" t="n">
        <v>18.11</v>
      </c>
      <c r="F1786" s="1" t="n">
        <v>2</v>
      </c>
    </row>
    <row collapsed="false" customFormat="false" customHeight="false" hidden="false" ht="14.75" outlineLevel="0" r="1787">
      <c r="A1787" s="1" t="s">
        <v>1448</v>
      </c>
      <c r="B1787" s="1" t="s">
        <v>1368</v>
      </c>
      <c r="C1787" s="1" t="s">
        <v>1361</v>
      </c>
      <c r="D1787" s="1" t="n">
        <v>445</v>
      </c>
      <c r="E1787" s="1" t="n">
        <v>22.39</v>
      </c>
      <c r="F1787" s="1" t="n">
        <f aca="false">34/7</f>
        <v>4.85714285714286</v>
      </c>
    </row>
    <row collapsed="false" customFormat="false" customHeight="false" hidden="false" ht="14.75" outlineLevel="0" r="1788">
      <c r="A1788" s="1" t="s">
        <v>1449</v>
      </c>
      <c r="B1788" s="1" t="s">
        <v>1368</v>
      </c>
      <c r="C1788" s="1" t="s">
        <v>1361</v>
      </c>
      <c r="D1788" s="1" t="n">
        <v>206.4</v>
      </c>
      <c r="E1788" s="1" t="n">
        <v>15.18</v>
      </c>
      <c r="F1788" s="1" t="n">
        <f aca="false">11/7</f>
        <v>1.57142857142857</v>
      </c>
    </row>
    <row collapsed="false" customFormat="false" customHeight="false" hidden="false" ht="14.75" outlineLevel="0" r="1789">
      <c r="A1789" s="1" t="s">
        <v>1450</v>
      </c>
      <c r="B1789" s="1" t="s">
        <v>1368</v>
      </c>
      <c r="C1789" s="1" t="s">
        <v>1361</v>
      </c>
      <c r="D1789" s="1" t="n">
        <v>120</v>
      </c>
      <c r="E1789" s="1" t="n">
        <v>11</v>
      </c>
      <c r="F1789" s="1" t="n">
        <f aca="false">4/7</f>
        <v>0.571428571428571</v>
      </c>
    </row>
    <row collapsed="false" customFormat="false" customHeight="false" hidden="false" ht="14.75" outlineLevel="0" r="1790">
      <c r="A1790" s="1" t="s">
        <v>1451</v>
      </c>
      <c r="B1790" s="1" t="s">
        <v>1368</v>
      </c>
      <c r="C1790" s="1" t="s">
        <v>1361</v>
      </c>
      <c r="D1790" s="1" t="n">
        <v>285</v>
      </c>
      <c r="E1790" s="1" t="n">
        <v>20.08</v>
      </c>
      <c r="F1790" s="1" t="n">
        <f aca="false">23/7</f>
        <v>3.28571428571429</v>
      </c>
    </row>
    <row collapsed="false" customFormat="false" customHeight="false" hidden="false" ht="14.75" outlineLevel="0" r="1791">
      <c r="A1791" s="1" t="s">
        <v>1452</v>
      </c>
      <c r="B1791" s="1" t="s">
        <v>1368</v>
      </c>
      <c r="C1791" s="1" t="s">
        <v>1361</v>
      </c>
      <c r="D1791" s="1" t="n">
        <v>177.9</v>
      </c>
      <c r="E1791" s="1" t="n">
        <v>16.38</v>
      </c>
      <c r="F1791" s="1" t="n">
        <f aca="false">11/7</f>
        <v>1.57142857142857</v>
      </c>
    </row>
    <row collapsed="false" customFormat="false" customHeight="false" hidden="false" ht="14.75" outlineLevel="0" r="1792">
      <c r="A1792" s="1" t="s">
        <v>601</v>
      </c>
      <c r="B1792" s="1" t="s">
        <v>1384</v>
      </c>
      <c r="C1792" s="1" t="s">
        <v>1361</v>
      </c>
      <c r="D1792" s="1" t="n">
        <v>341.4</v>
      </c>
      <c r="E1792" s="1" t="n">
        <v>18.31</v>
      </c>
      <c r="F1792" s="1" t="n">
        <f aca="false">25/11</f>
        <v>2.27272727272727</v>
      </c>
    </row>
    <row collapsed="false" customFormat="false" customHeight="false" hidden="false" ht="14.75" outlineLevel="0" r="1793">
      <c r="A1793" s="1" t="s">
        <v>602</v>
      </c>
      <c r="B1793" s="1" t="s">
        <v>1384</v>
      </c>
      <c r="C1793" s="1" t="s">
        <v>1361</v>
      </c>
      <c r="D1793" s="1" t="n">
        <v>181</v>
      </c>
      <c r="E1793" s="1" t="n">
        <v>13.51</v>
      </c>
      <c r="F1793" s="1" t="n">
        <v>0.6</v>
      </c>
    </row>
    <row collapsed="false" customFormat="false" customHeight="false" hidden="false" ht="14.75" outlineLevel="0" r="1794">
      <c r="A1794" s="1" t="s">
        <v>1453</v>
      </c>
      <c r="B1794" s="1" t="s">
        <v>1360</v>
      </c>
      <c r="C1794" s="1" t="s">
        <v>1361</v>
      </c>
      <c r="D1794" s="1" t="n">
        <v>149.2</v>
      </c>
      <c r="E1794" s="1" t="n">
        <v>11.63</v>
      </c>
      <c r="F1794" s="1" t="n">
        <f aca="false">4/7</f>
        <v>0.571428571428571</v>
      </c>
    </row>
    <row collapsed="false" customFormat="false" customHeight="false" hidden="false" ht="14.75" outlineLevel="0" r="1795">
      <c r="A1795" s="1" t="s">
        <v>391</v>
      </c>
      <c r="B1795" s="1" t="s">
        <v>1384</v>
      </c>
      <c r="C1795" s="1" t="s">
        <v>1361</v>
      </c>
      <c r="D1795" s="1" t="n">
        <v>455</v>
      </c>
      <c r="E1795" s="1" t="n">
        <v>21.27</v>
      </c>
      <c r="F1795" s="1" t="n">
        <f aca="false">65/11</f>
        <v>5.90909090909091</v>
      </c>
    </row>
    <row collapsed="false" customFormat="false" customHeight="false" hidden="false" ht="14.75" outlineLevel="0" r="1796">
      <c r="A1796" s="1" t="s">
        <v>392</v>
      </c>
      <c r="B1796" s="1" t="s">
        <v>1384</v>
      </c>
      <c r="C1796" s="1" t="s">
        <v>1361</v>
      </c>
      <c r="D1796" s="1" t="n">
        <v>263.5</v>
      </c>
      <c r="E1796" s="1" t="n">
        <v>16.79</v>
      </c>
      <c r="F1796" s="1" t="n">
        <v>2.5</v>
      </c>
    </row>
    <row collapsed="false" customFormat="false" customHeight="false" hidden="false" ht="14.75" outlineLevel="0" r="1797">
      <c r="A1797" s="1" t="s">
        <v>393</v>
      </c>
      <c r="B1797" s="1" t="s">
        <v>1384</v>
      </c>
      <c r="C1797" s="1" t="s">
        <v>1361</v>
      </c>
      <c r="D1797" s="1" t="n">
        <v>179</v>
      </c>
      <c r="E1797" s="1" t="n">
        <v>13.46</v>
      </c>
      <c r="F1797" s="1" t="n">
        <v>1</v>
      </c>
    </row>
    <row collapsed="false" customFormat="false" customHeight="false" hidden="false" ht="14.75" outlineLevel="0" r="1798">
      <c r="A1798" s="1" t="s">
        <v>1454</v>
      </c>
      <c r="B1798" s="1" t="s">
        <v>1416</v>
      </c>
      <c r="C1798" s="1" t="s">
        <v>1361</v>
      </c>
      <c r="D1798" s="1" t="n">
        <v>202.1</v>
      </c>
      <c r="E1798" s="1" t="n">
        <v>14.91</v>
      </c>
      <c r="F1798" s="1" t="n">
        <f aca="false">9/7</f>
        <v>1.28571428571429</v>
      </c>
    </row>
    <row collapsed="false" customFormat="false" customHeight="false" hidden="false" ht="14.75" outlineLevel="0" r="1799">
      <c r="A1799" s="1" t="s">
        <v>1455</v>
      </c>
      <c r="B1799" s="1" t="s">
        <v>282</v>
      </c>
      <c r="C1799" s="1" t="s">
        <v>1361</v>
      </c>
      <c r="D1799" s="1" t="n">
        <v>224.3</v>
      </c>
      <c r="E1799" s="1" t="n">
        <v>18.18</v>
      </c>
      <c r="F1799" s="1" t="n">
        <f aca="false">14/7</f>
        <v>2</v>
      </c>
    </row>
    <row collapsed="false" customFormat="false" customHeight="false" hidden="false" ht="14.75" outlineLevel="0" r="1800">
      <c r="A1800" s="1" t="s">
        <v>1305</v>
      </c>
      <c r="B1800" s="1" t="s">
        <v>282</v>
      </c>
      <c r="C1800" s="1" t="s">
        <v>1361</v>
      </c>
      <c r="D1800" s="1" t="n">
        <v>327.9</v>
      </c>
      <c r="E1800" s="1" t="n">
        <v>20</v>
      </c>
      <c r="F1800" s="1" t="n">
        <f aca="false">16/7</f>
        <v>2.28571428571429</v>
      </c>
    </row>
    <row collapsed="false" customFormat="false" customHeight="false" hidden="false" ht="14.75" outlineLevel="0" r="1801">
      <c r="A1801" s="1" t="s">
        <v>1456</v>
      </c>
      <c r="B1801" s="1" t="s">
        <v>282</v>
      </c>
      <c r="C1801" s="1" t="s">
        <v>1361</v>
      </c>
      <c r="D1801" s="1" t="n">
        <v>315.7</v>
      </c>
      <c r="E1801" s="1" t="n">
        <v>17.44</v>
      </c>
      <c r="F1801" s="1" t="n">
        <f aca="false">24/7</f>
        <v>3.42857142857143</v>
      </c>
    </row>
    <row collapsed="false" customFormat="false" customHeight="false" hidden="false" ht="14.75" outlineLevel="0" r="1802">
      <c r="A1802" s="1" t="s">
        <v>1457</v>
      </c>
      <c r="B1802" s="1" t="s">
        <v>282</v>
      </c>
      <c r="C1802" s="1" t="s">
        <v>1361</v>
      </c>
      <c r="D1802" s="1" t="n">
        <v>175.7</v>
      </c>
      <c r="E1802" s="1" t="n">
        <v>17.73</v>
      </c>
      <c r="F1802" s="1" t="n">
        <f aca="false">13/7</f>
        <v>1.85714285714286</v>
      </c>
    </row>
    <row collapsed="false" customFormat="false" customHeight="false" hidden="false" ht="14.75" outlineLevel="0" r="1803">
      <c r="A1803" s="1" t="s">
        <v>1458</v>
      </c>
      <c r="B1803" s="1" t="s">
        <v>1389</v>
      </c>
      <c r="C1803" s="1" t="s">
        <v>1361</v>
      </c>
      <c r="D1803" s="1" t="n">
        <v>215</v>
      </c>
      <c r="E1803" s="1" t="n">
        <v>15.83</v>
      </c>
      <c r="F1803" s="1" t="n">
        <v>0.8</v>
      </c>
    </row>
    <row collapsed="false" customFormat="false" customHeight="false" hidden="false" ht="14.75" outlineLevel="0" r="1804">
      <c r="A1804" s="1" t="s">
        <v>1459</v>
      </c>
      <c r="B1804" s="1" t="s">
        <v>1376</v>
      </c>
      <c r="C1804" s="1" t="s">
        <v>1361</v>
      </c>
      <c r="D1804" s="1" t="n">
        <v>160.5</v>
      </c>
      <c r="E1804" s="1" t="n">
        <v>11.99</v>
      </c>
      <c r="F1804" s="1" t="n">
        <v>0.8</v>
      </c>
    </row>
    <row collapsed="false" customFormat="false" customHeight="false" hidden="false" ht="14.75" outlineLevel="0" r="1805">
      <c r="A1805" s="1" t="s">
        <v>1460</v>
      </c>
      <c r="B1805" s="1" t="s">
        <v>1376</v>
      </c>
      <c r="C1805" s="1" t="s">
        <v>1361</v>
      </c>
      <c r="D1805" s="1" t="n">
        <v>163.6</v>
      </c>
      <c r="E1805" s="1" t="n">
        <v>12.31</v>
      </c>
      <c r="F1805" s="1" t="n">
        <v>0</v>
      </c>
    </row>
    <row collapsed="false" customFormat="false" customHeight="false" hidden="false" ht="14.75" outlineLevel="0" r="1806">
      <c r="A1806" s="1" t="s">
        <v>1461</v>
      </c>
      <c r="B1806" s="1" t="s">
        <v>1376</v>
      </c>
      <c r="C1806" s="1" t="s">
        <v>1361</v>
      </c>
      <c r="D1806" s="1" t="n">
        <v>162.1</v>
      </c>
      <c r="E1806" s="1" t="n">
        <v>10.36</v>
      </c>
      <c r="F1806" s="1" t="n">
        <f aca="false">6/7</f>
        <v>0.857142857142857</v>
      </c>
    </row>
    <row collapsed="false" customFormat="false" customHeight="false" hidden="false" ht="14.75" outlineLevel="0" r="1807">
      <c r="A1807" s="1" t="s">
        <v>1462</v>
      </c>
      <c r="B1807" s="1" t="s">
        <v>1360</v>
      </c>
      <c r="C1807" s="1" t="s">
        <v>1361</v>
      </c>
      <c r="D1807" s="1" t="n">
        <v>225</v>
      </c>
      <c r="E1807" s="1" t="n">
        <v>14.83</v>
      </c>
      <c r="F1807" s="1" t="n">
        <f aca="false">6/7</f>
        <v>0.857142857142857</v>
      </c>
    </row>
    <row collapsed="false" customFormat="false" customHeight="false" hidden="false" ht="14.75" outlineLevel="0" r="1808">
      <c r="A1808" s="1" t="s">
        <v>1463</v>
      </c>
      <c r="B1808" s="1" t="s">
        <v>1360</v>
      </c>
      <c r="C1808" s="1" t="s">
        <v>1361</v>
      </c>
      <c r="D1808" s="1" t="n">
        <v>244.9</v>
      </c>
      <c r="E1808" s="1" t="n">
        <v>15.69</v>
      </c>
      <c r="F1808" s="1" t="n">
        <f aca="false">13/7</f>
        <v>1.85714285714286</v>
      </c>
    </row>
    <row collapsed="false" customFormat="false" customHeight="false" hidden="false" ht="14.75" outlineLevel="0" r="1809">
      <c r="A1809" s="1" t="s">
        <v>1464</v>
      </c>
      <c r="B1809" s="1" t="s">
        <v>1384</v>
      </c>
      <c r="C1809" s="1" t="s">
        <v>1361</v>
      </c>
      <c r="D1809" s="1" t="n">
        <v>106.7</v>
      </c>
      <c r="E1809" s="1" t="n">
        <v>11.82</v>
      </c>
      <c r="F1809" s="1" t="n">
        <v>0.8</v>
      </c>
    </row>
    <row collapsed="false" customFormat="false" customHeight="false" hidden="false" ht="14.75" outlineLevel="0" r="1810">
      <c r="A1810" s="1" t="s">
        <v>1465</v>
      </c>
      <c r="B1810" s="1" t="s">
        <v>1376</v>
      </c>
      <c r="C1810" s="1" t="s">
        <v>1361</v>
      </c>
      <c r="D1810" s="1" t="n">
        <v>63.6</v>
      </c>
      <c r="E1810" s="1" t="n">
        <v>5.71</v>
      </c>
      <c r="F1810" s="1" t="n">
        <f aca="false">1/7</f>
        <v>0.142857142857143</v>
      </c>
    </row>
    <row collapsed="false" customFormat="false" customHeight="false" hidden="false" ht="14.75" outlineLevel="0" r="1811">
      <c r="A1811" s="1" t="s">
        <v>176</v>
      </c>
      <c r="B1811" s="1" t="s">
        <v>1365</v>
      </c>
      <c r="C1811" s="1" t="s">
        <v>1361</v>
      </c>
      <c r="D1811" s="1" t="n">
        <v>125.5</v>
      </c>
      <c r="E1811" s="1" t="n">
        <v>11.01</v>
      </c>
      <c r="F1811" s="1" t="n">
        <f aca="false">5/11</f>
        <v>0.454545454545455</v>
      </c>
    </row>
    <row collapsed="false" customFormat="false" customHeight="false" hidden="false" ht="14.75" outlineLevel="0" r="1812">
      <c r="A1812" s="1" t="s">
        <v>1466</v>
      </c>
      <c r="B1812" s="1" t="s">
        <v>282</v>
      </c>
      <c r="C1812" s="1" t="s">
        <v>1361</v>
      </c>
      <c r="D1812" s="1" t="n">
        <v>320</v>
      </c>
      <c r="E1812" s="1" t="n">
        <v>20.48</v>
      </c>
      <c r="F1812" s="1" t="n">
        <f aca="false">17/7</f>
        <v>2.42857142857143</v>
      </c>
    </row>
    <row collapsed="false" customFormat="false" customHeight="false" hidden="false" ht="14.75" outlineLevel="0" r="1813">
      <c r="A1813" s="1" t="s">
        <v>1467</v>
      </c>
      <c r="B1813" s="1" t="s">
        <v>282</v>
      </c>
      <c r="C1813" s="1" t="s">
        <v>1361</v>
      </c>
      <c r="D1813" s="1" t="n">
        <v>155</v>
      </c>
      <c r="E1813" s="1" t="n">
        <v>14.13</v>
      </c>
      <c r="F1813" s="1" t="n">
        <f aca="false">19/7</f>
        <v>2.71428571428571</v>
      </c>
    </row>
    <row collapsed="false" customFormat="false" customHeight="false" hidden="false" ht="14.75" outlineLevel="0" r="1814">
      <c r="A1814" s="1" t="s">
        <v>1468</v>
      </c>
      <c r="B1814" s="1" t="s">
        <v>1416</v>
      </c>
      <c r="C1814" s="1" t="s">
        <v>1361</v>
      </c>
      <c r="D1814" s="1" t="n">
        <v>272.9</v>
      </c>
      <c r="E1814" s="1" t="n">
        <v>17.32</v>
      </c>
      <c r="F1814" s="1" t="n">
        <f aca="false">13/7</f>
        <v>1.85714285714286</v>
      </c>
    </row>
    <row collapsed="false" customFormat="false" customHeight="false" hidden="false" ht="14.75" outlineLevel="0" r="1815">
      <c r="A1815" s="1" t="s">
        <v>1469</v>
      </c>
      <c r="B1815" s="1" t="s">
        <v>1416</v>
      </c>
      <c r="C1815" s="1" t="s">
        <v>1361</v>
      </c>
      <c r="D1815" s="1" t="n">
        <v>136.4</v>
      </c>
      <c r="E1815" s="1" t="n">
        <v>13.75</v>
      </c>
      <c r="F1815" s="1" t="n">
        <f aca="false">6/7</f>
        <v>0.857142857142857</v>
      </c>
    </row>
    <row collapsed="false" customFormat="false" customHeight="false" hidden="false" ht="14.75" outlineLevel="0" r="1816">
      <c r="A1816" s="1" t="s">
        <v>1470</v>
      </c>
      <c r="B1816" s="1" t="s">
        <v>1365</v>
      </c>
      <c r="C1816" s="1" t="s">
        <v>1361</v>
      </c>
      <c r="D1816" s="1" t="n">
        <v>84.1</v>
      </c>
      <c r="E1816" s="1" t="n">
        <v>7.31</v>
      </c>
      <c r="F1816" s="1" t="n">
        <f aca="false">8/11</f>
        <v>0.727272727272727</v>
      </c>
    </row>
    <row collapsed="false" customFormat="false" customHeight="false" hidden="false" ht="14.75" outlineLevel="0" r="1817">
      <c r="A1817" s="1" t="s">
        <v>1471</v>
      </c>
      <c r="B1817" s="1" t="s">
        <v>1360</v>
      </c>
      <c r="C1817" s="1" t="s">
        <v>1361</v>
      </c>
      <c r="D1817" s="1" t="n">
        <v>106.6</v>
      </c>
      <c r="E1817" s="1" t="n">
        <v>10</v>
      </c>
      <c r="F1817" s="1" t="n">
        <v>1</v>
      </c>
    </row>
    <row collapsed="false" customFormat="false" customHeight="false" hidden="false" ht="14.75" outlineLevel="0" r="1818">
      <c r="A1818" s="1" t="s">
        <v>400</v>
      </c>
      <c r="B1818" s="1" t="s">
        <v>1389</v>
      </c>
      <c r="C1818" s="1" t="s">
        <v>1361</v>
      </c>
      <c r="D1818" s="1" t="n">
        <v>392</v>
      </c>
      <c r="E1818" s="1" t="n">
        <v>19.69</v>
      </c>
      <c r="F1818" s="1" t="n">
        <v>4</v>
      </c>
    </row>
    <row collapsed="false" customFormat="false" customHeight="false" hidden="false" ht="14.75" outlineLevel="0" r="1819">
      <c r="A1819" s="1" t="s">
        <v>401</v>
      </c>
      <c r="B1819" s="1" t="s">
        <v>1389</v>
      </c>
      <c r="C1819" s="1" t="s">
        <v>1361</v>
      </c>
      <c r="D1819" s="1" t="n">
        <v>215.5</v>
      </c>
      <c r="E1819" s="1" t="n">
        <v>15.89</v>
      </c>
      <c r="F1819" s="1" t="n">
        <v>0.8</v>
      </c>
    </row>
    <row collapsed="false" customFormat="false" customHeight="false" hidden="false" ht="14.75" outlineLevel="0" r="1820">
      <c r="A1820" s="1" t="s">
        <v>1472</v>
      </c>
      <c r="B1820" s="1" t="s">
        <v>1376</v>
      </c>
      <c r="C1820" s="1" t="s">
        <v>1361</v>
      </c>
      <c r="D1820" s="1" t="n">
        <v>135.6</v>
      </c>
      <c r="E1820" s="1" t="n">
        <v>11.47</v>
      </c>
      <c r="F1820" s="1" t="n">
        <f aca="false">5/8</f>
        <v>0.625</v>
      </c>
    </row>
    <row collapsed="false" customFormat="false" customHeight="false" hidden="false" ht="14.75" outlineLevel="0" r="1821">
      <c r="A1821" s="1" t="s">
        <v>1473</v>
      </c>
      <c r="B1821" s="1" t="s">
        <v>1389</v>
      </c>
      <c r="C1821" s="1" t="s">
        <v>1361</v>
      </c>
      <c r="D1821" s="1" t="n">
        <v>155.5</v>
      </c>
      <c r="E1821" s="1" t="n">
        <v>13.09</v>
      </c>
      <c r="F1821" s="1" t="n">
        <v>0.3</v>
      </c>
    </row>
    <row collapsed="false" customFormat="false" customHeight="false" hidden="false" ht="14.75" outlineLevel="0" r="1822">
      <c r="A1822" s="1" t="s">
        <v>1474</v>
      </c>
      <c r="B1822" s="1" t="s">
        <v>1389</v>
      </c>
      <c r="C1822" s="1" t="s">
        <v>1361</v>
      </c>
      <c r="D1822" s="1" t="n">
        <v>97</v>
      </c>
      <c r="E1822" s="1" t="n">
        <v>8.36</v>
      </c>
      <c r="F1822" s="1" t="n">
        <v>0.3</v>
      </c>
    </row>
    <row collapsed="false" customFormat="false" customHeight="false" hidden="false" ht="14.75" outlineLevel="0" r="1823">
      <c r="A1823" s="1" t="s">
        <v>1326</v>
      </c>
      <c r="B1823" s="1" t="s">
        <v>282</v>
      </c>
      <c r="C1823" s="1" t="s">
        <v>1361</v>
      </c>
      <c r="D1823" s="1" t="n">
        <v>439.3</v>
      </c>
      <c r="E1823" s="1" t="n">
        <v>22.61</v>
      </c>
      <c r="F1823" s="1" t="n">
        <f aca="false">37/7</f>
        <v>5.28571428571429</v>
      </c>
    </row>
    <row collapsed="false" customFormat="false" customHeight="false" hidden="false" ht="14.75" outlineLevel="0" r="1824">
      <c r="A1824" s="1" t="s">
        <v>1475</v>
      </c>
      <c r="B1824" s="1" t="s">
        <v>282</v>
      </c>
      <c r="C1824" s="1" t="s">
        <v>1361</v>
      </c>
      <c r="D1824" s="1" t="n">
        <v>55</v>
      </c>
      <c r="E1824" s="1" t="n">
        <v>6.52</v>
      </c>
      <c r="F1824" s="1" t="n">
        <f aca="false">2/7</f>
        <v>0.285714285714286</v>
      </c>
    </row>
    <row collapsed="false" customFormat="false" customHeight="false" hidden="false" ht="14.75" outlineLevel="0" r="1825">
      <c r="A1825" s="1" t="s">
        <v>1476</v>
      </c>
      <c r="B1825" s="1" t="s">
        <v>1389</v>
      </c>
      <c r="C1825" s="1" t="s">
        <v>1361</v>
      </c>
      <c r="D1825" s="1" t="n">
        <v>234.5</v>
      </c>
      <c r="E1825" s="1" t="n">
        <v>16.67</v>
      </c>
      <c r="F1825" s="1" t="n">
        <v>2.2</v>
      </c>
    </row>
    <row collapsed="false" customFormat="false" customHeight="false" hidden="false" ht="14.75" outlineLevel="0" r="1826">
      <c r="A1826" s="1" t="s">
        <v>1477</v>
      </c>
      <c r="B1826" s="1" t="s">
        <v>1376</v>
      </c>
      <c r="C1826" s="1" t="s">
        <v>1361</v>
      </c>
      <c r="D1826" s="1" t="n">
        <v>143.1</v>
      </c>
      <c r="E1826" s="1" t="n">
        <v>11.09</v>
      </c>
      <c r="F1826" s="1" t="n">
        <v>0.25</v>
      </c>
    </row>
    <row collapsed="false" customFormat="false" customHeight="false" hidden="false" ht="14.75" outlineLevel="0" r="1827">
      <c r="A1827" s="1" t="s">
        <v>1478</v>
      </c>
      <c r="B1827" s="1" t="s">
        <v>1376</v>
      </c>
      <c r="C1827" s="1" t="s">
        <v>1361</v>
      </c>
      <c r="D1827" s="1" t="n">
        <v>191</v>
      </c>
      <c r="E1827" s="1" t="n">
        <v>14.36</v>
      </c>
      <c r="F1827" s="1" t="n">
        <v>0.9</v>
      </c>
    </row>
    <row collapsed="false" customFormat="false" customHeight="false" hidden="false" ht="14.75" outlineLevel="0" r="1828">
      <c r="A1828" s="1" t="s">
        <v>409</v>
      </c>
      <c r="B1828" s="1" t="s">
        <v>1384</v>
      </c>
      <c r="C1828" s="1" t="s">
        <v>1361</v>
      </c>
      <c r="D1828" s="1" t="n">
        <v>152</v>
      </c>
      <c r="E1828" s="1" t="n">
        <v>10.97</v>
      </c>
      <c r="F1828" s="1" t="n">
        <v>1.1</v>
      </c>
    </row>
    <row collapsed="false" customFormat="false" customHeight="false" hidden="false" ht="14.75" outlineLevel="0" r="1829">
      <c r="A1829" s="1" t="s">
        <v>1479</v>
      </c>
      <c r="B1829" s="1" t="s">
        <v>282</v>
      </c>
      <c r="C1829" s="1" t="s">
        <v>1361</v>
      </c>
      <c r="D1829" s="1" t="n">
        <v>182.1</v>
      </c>
      <c r="E1829" s="1" t="n">
        <v>12.63</v>
      </c>
      <c r="F1829" s="1" t="n">
        <f aca="false">9/7</f>
        <v>1.28571428571429</v>
      </c>
    </row>
    <row collapsed="false" customFormat="false" customHeight="false" hidden="false" ht="14.75" outlineLevel="0" r="1830">
      <c r="A1830" s="1" t="s">
        <v>1480</v>
      </c>
      <c r="B1830" s="1" t="s">
        <v>1376</v>
      </c>
      <c r="C1830" s="1" t="s">
        <v>1361</v>
      </c>
      <c r="D1830" s="1" t="n">
        <v>128.6</v>
      </c>
      <c r="E1830" s="1" t="n">
        <v>10</v>
      </c>
      <c r="F1830" s="1" t="n">
        <f aca="false">6/7</f>
        <v>0.857142857142857</v>
      </c>
    </row>
    <row collapsed="false" customFormat="false" customHeight="false" hidden="false" ht="14.75" outlineLevel="0" r="1831">
      <c r="A1831" s="1" t="s">
        <v>1340</v>
      </c>
      <c r="B1831" s="1" t="s">
        <v>282</v>
      </c>
      <c r="C1831" s="1" t="s">
        <v>1361</v>
      </c>
      <c r="D1831" s="1" t="n">
        <v>430.7</v>
      </c>
      <c r="E1831" s="1" t="n">
        <v>21.08</v>
      </c>
      <c r="F1831" s="1" t="n">
        <f aca="false">35/7</f>
        <v>5</v>
      </c>
    </row>
    <row collapsed="false" customFormat="false" customHeight="false" hidden="false" ht="14.75" outlineLevel="0" r="1832">
      <c r="A1832" s="1" t="s">
        <v>1481</v>
      </c>
      <c r="B1832" s="1" t="s">
        <v>1363</v>
      </c>
      <c r="C1832" s="1" t="s">
        <v>1361</v>
      </c>
      <c r="D1832" s="1" t="n">
        <v>388.7</v>
      </c>
      <c r="E1832" s="1" t="n">
        <v>22.92</v>
      </c>
      <c r="F1832" s="1" t="n">
        <f aca="false">24/7</f>
        <v>3.42857142857143</v>
      </c>
    </row>
    <row collapsed="false" customFormat="false" customHeight="false" hidden="false" ht="14.75" outlineLevel="0" r="1833">
      <c r="A1833" s="1" t="s">
        <v>1482</v>
      </c>
      <c r="B1833" s="1" t="s">
        <v>282</v>
      </c>
      <c r="C1833" s="1" t="s">
        <v>1361</v>
      </c>
      <c r="D1833" s="1" t="n">
        <v>258.6</v>
      </c>
      <c r="E1833" s="1" t="n">
        <v>18.71</v>
      </c>
      <c r="F1833" s="1" t="n">
        <f aca="false">15/7</f>
        <v>2.14285714285714</v>
      </c>
    </row>
    <row collapsed="false" customFormat="false" customHeight="false" hidden="false" ht="14.75" outlineLevel="0" r="1834">
      <c r="A1834" s="1" t="s">
        <v>1483</v>
      </c>
      <c r="B1834" s="1" t="s">
        <v>1410</v>
      </c>
      <c r="C1834" s="1" t="s">
        <v>1361</v>
      </c>
      <c r="D1834" s="1" t="n">
        <v>150</v>
      </c>
      <c r="E1834" s="1" t="n">
        <v>13.08</v>
      </c>
      <c r="F1834" s="1" t="n">
        <f aca="false">6/8</f>
        <v>0.75</v>
      </c>
    </row>
    <row collapsed="false" customFormat="false" customHeight="false" hidden="false" ht="14.75" outlineLevel="0" r="1835">
      <c r="A1835" s="1" t="s">
        <v>1484</v>
      </c>
      <c r="B1835" s="1" t="s">
        <v>1410</v>
      </c>
      <c r="C1835" s="1" t="s">
        <v>1361</v>
      </c>
      <c r="D1835" s="1" t="n">
        <v>165.6</v>
      </c>
      <c r="E1835" s="1" t="n">
        <v>12.17</v>
      </c>
      <c r="F1835" s="1" t="n">
        <f aca="false">7/8</f>
        <v>0.875</v>
      </c>
    </row>
    <row collapsed="false" customFormat="false" customHeight="false" hidden="false" ht="14.75" outlineLevel="0" r="1836">
      <c r="A1836" s="1" t="s">
        <v>1485</v>
      </c>
      <c r="B1836" s="1" t="s">
        <v>1363</v>
      </c>
      <c r="C1836" s="1" t="s">
        <v>1361</v>
      </c>
      <c r="D1836" s="1" t="n">
        <v>209.6</v>
      </c>
      <c r="E1836" s="1" t="n">
        <v>15</v>
      </c>
      <c r="F1836" s="1" t="n">
        <f aca="false">6/7</f>
        <v>0.857142857142857</v>
      </c>
    </row>
    <row collapsed="false" customFormat="false" customHeight="false" hidden="false" ht="14.75" outlineLevel="0" r="1837">
      <c r="A1837" s="1" t="s">
        <v>1486</v>
      </c>
      <c r="B1837" s="1" t="s">
        <v>282</v>
      </c>
      <c r="C1837" s="1" t="s">
        <v>1361</v>
      </c>
      <c r="D1837" s="1" t="n">
        <v>184.4</v>
      </c>
      <c r="E1837" s="1" t="n">
        <v>12.59</v>
      </c>
      <c r="F1837" s="1" t="n">
        <f aca="false">6/7</f>
        <v>0.857142857142857</v>
      </c>
    </row>
    <row collapsed="false" customFormat="false" customHeight="false" hidden="false" ht="14.75" outlineLevel="0" r="1838">
      <c r="A1838" s="1" t="s">
        <v>1487</v>
      </c>
      <c r="B1838" s="1" t="s">
        <v>1389</v>
      </c>
      <c r="C1838" s="1" t="s">
        <v>1361</v>
      </c>
      <c r="D1838" s="1" t="n">
        <v>101.5</v>
      </c>
      <c r="E1838" s="1" t="n">
        <v>10.39</v>
      </c>
      <c r="F1838" s="1" t="n">
        <v>0.8</v>
      </c>
    </row>
    <row collapsed="false" customFormat="false" customHeight="false" hidden="false" ht="14.75" outlineLevel="0" r="1839">
      <c r="A1839" s="1" t="s">
        <v>1488</v>
      </c>
      <c r="B1839" s="1" t="s">
        <v>1389</v>
      </c>
      <c r="C1839" s="1" t="s">
        <v>1361</v>
      </c>
      <c r="D1839" s="1" t="n">
        <v>97</v>
      </c>
      <c r="E1839" s="1" t="n">
        <v>11.52</v>
      </c>
      <c r="F1839" s="1" t="n">
        <v>0.6</v>
      </c>
    </row>
    <row collapsed="false" customFormat="false" customHeight="false" hidden="false" ht="14.75" outlineLevel="0" r="1840">
      <c r="A1840" s="1" t="s">
        <v>1489</v>
      </c>
      <c r="B1840" s="4" t="s">
        <v>1490</v>
      </c>
      <c r="C1840" s="1" t="s">
        <v>1491</v>
      </c>
      <c r="D1840" s="1" t="n">
        <v>281.9</v>
      </c>
      <c r="E1840" s="1" t="n">
        <v>18.16</v>
      </c>
      <c r="F1840" s="1" t="n">
        <f aca="false">26/8</f>
        <v>3.25</v>
      </c>
    </row>
    <row collapsed="false" customFormat="false" customHeight="false" hidden="false" ht="14.75" outlineLevel="0" r="1841">
      <c r="A1841" s="1" t="s">
        <v>1492</v>
      </c>
      <c r="B1841" s="1" t="s">
        <v>1493</v>
      </c>
      <c r="C1841" s="1" t="s">
        <v>1491</v>
      </c>
      <c r="D1841" s="1" t="n">
        <v>163.3</v>
      </c>
      <c r="E1841" s="1" t="n">
        <v>14.25</v>
      </c>
      <c r="F1841" s="1" t="n">
        <v>1</v>
      </c>
    </row>
    <row collapsed="false" customFormat="false" customHeight="false" hidden="false" ht="14.75" outlineLevel="0" r="1842">
      <c r="A1842" s="1" t="s">
        <v>1367</v>
      </c>
      <c r="B1842" s="4" t="s">
        <v>1490</v>
      </c>
      <c r="C1842" s="1" t="s">
        <v>1491</v>
      </c>
      <c r="D1842" s="1" t="n">
        <v>17.9</v>
      </c>
      <c r="E1842" s="1" t="n">
        <v>0.83</v>
      </c>
      <c r="F1842" s="1" t="n">
        <v>0</v>
      </c>
    </row>
    <row collapsed="false" customFormat="false" customHeight="false" hidden="false" ht="14.75" outlineLevel="0" r="1843">
      <c r="A1843" s="1" t="s">
        <v>796</v>
      </c>
      <c r="B1843" s="1" t="s">
        <v>1494</v>
      </c>
      <c r="C1843" s="1" t="s">
        <v>1491</v>
      </c>
      <c r="D1843" s="1" t="n">
        <v>251.7</v>
      </c>
      <c r="E1843" s="1" t="n">
        <v>17.86</v>
      </c>
      <c r="F1843" s="1" t="n">
        <v>1.4</v>
      </c>
    </row>
    <row collapsed="false" customFormat="false" customHeight="false" hidden="false" ht="14.75" outlineLevel="0" r="1844">
      <c r="A1844" s="1" t="s">
        <v>1495</v>
      </c>
      <c r="B1844" s="1" t="s">
        <v>1496</v>
      </c>
      <c r="C1844" s="1" t="s">
        <v>1491</v>
      </c>
      <c r="D1844" s="1" t="n">
        <v>118.3</v>
      </c>
      <c r="E1844" s="1" t="n">
        <v>12.58</v>
      </c>
      <c r="F1844" s="1" t="n">
        <v>1</v>
      </c>
    </row>
    <row collapsed="false" customFormat="false" customHeight="false" hidden="false" ht="14.75" outlineLevel="0" r="1845">
      <c r="A1845" s="1" t="s">
        <v>1497</v>
      </c>
      <c r="B1845" s="1" t="s">
        <v>1496</v>
      </c>
      <c r="C1845" s="1" t="s">
        <v>1491</v>
      </c>
      <c r="D1845" s="1" t="n">
        <v>77.5</v>
      </c>
      <c r="E1845" s="1" t="n">
        <v>8.08</v>
      </c>
      <c r="F1845" s="1" t="n">
        <f aca="false">5/6</f>
        <v>0.833333333333333</v>
      </c>
    </row>
    <row collapsed="false" customFormat="false" customHeight="false" hidden="false" ht="14.75" outlineLevel="0" r="1846">
      <c r="A1846" s="1" t="s">
        <v>1498</v>
      </c>
      <c r="B1846" s="1" t="s">
        <v>1499</v>
      </c>
      <c r="C1846" s="4" t="s">
        <v>1491</v>
      </c>
      <c r="D1846" s="1" t="n">
        <v>126</v>
      </c>
      <c r="E1846" s="1" t="n">
        <v>10.24</v>
      </c>
      <c r="F1846" s="1" t="n">
        <v>0.8</v>
      </c>
    </row>
    <row collapsed="false" customFormat="false" customHeight="false" hidden="false" ht="14.75" outlineLevel="0" r="1847">
      <c r="A1847" s="1" t="s">
        <v>1500</v>
      </c>
      <c r="B1847" s="1" t="s">
        <v>1499</v>
      </c>
      <c r="C1847" s="4" t="s">
        <v>1491</v>
      </c>
      <c r="D1847" s="1" t="n">
        <v>128</v>
      </c>
      <c r="E1847" s="1" t="n">
        <v>10.21</v>
      </c>
      <c r="F1847" s="1" t="n">
        <v>0.6</v>
      </c>
    </row>
    <row collapsed="false" customFormat="false" customHeight="false" hidden="false" ht="14.75" outlineLevel="0" r="1848">
      <c r="A1848" s="1" t="s">
        <v>1501</v>
      </c>
      <c r="B1848" s="1" t="s">
        <v>1499</v>
      </c>
      <c r="C1848" s="4" t="s">
        <v>1491</v>
      </c>
      <c r="D1848" s="1" t="n">
        <v>154</v>
      </c>
      <c r="E1848" s="1" t="n">
        <v>7.66</v>
      </c>
      <c r="F1848" s="1" t="n">
        <v>0.9</v>
      </c>
    </row>
    <row collapsed="false" customFormat="false" customHeight="false" hidden="false" ht="14.75" outlineLevel="0" r="1849">
      <c r="A1849" s="1" t="s">
        <v>511</v>
      </c>
      <c r="B1849" s="1" t="s">
        <v>1496</v>
      </c>
      <c r="C1849" s="1" t="s">
        <v>1491</v>
      </c>
      <c r="D1849" s="1" t="n">
        <v>221.4</v>
      </c>
      <c r="E1849" s="1" t="n">
        <v>15</v>
      </c>
      <c r="F1849" s="1" t="n">
        <v>2</v>
      </c>
    </row>
    <row collapsed="false" customFormat="false" customHeight="false" hidden="false" ht="14.75" outlineLevel="0" r="1850">
      <c r="A1850" s="1" t="s">
        <v>512</v>
      </c>
      <c r="B1850" s="1" t="s">
        <v>1496</v>
      </c>
      <c r="C1850" s="1" t="s">
        <v>1491</v>
      </c>
      <c r="D1850" s="1" t="n">
        <v>78.3</v>
      </c>
      <c r="E1850" s="1" t="n">
        <v>8.21</v>
      </c>
      <c r="F1850" s="1" t="n">
        <f aca="false">4/6</f>
        <v>0.666666666666667</v>
      </c>
    </row>
    <row collapsed="false" customFormat="false" customHeight="false" hidden="false" ht="14.75" outlineLevel="0" r="1851">
      <c r="A1851" s="1" t="s">
        <v>1502</v>
      </c>
      <c r="B1851" s="1" t="s">
        <v>1496</v>
      </c>
      <c r="C1851" s="1" t="s">
        <v>1491</v>
      </c>
      <c r="D1851" s="1" t="n">
        <v>84.2</v>
      </c>
      <c r="E1851" s="1" t="n">
        <v>10.38</v>
      </c>
      <c r="F1851" s="1" t="n">
        <v>0.5</v>
      </c>
    </row>
    <row collapsed="false" customFormat="false" customHeight="false" hidden="false" ht="14.75" outlineLevel="0" r="1852">
      <c r="A1852" s="1" t="s">
        <v>1503</v>
      </c>
      <c r="B1852" s="1" t="s">
        <v>1504</v>
      </c>
      <c r="C1852" s="1" t="s">
        <v>1491</v>
      </c>
      <c r="D1852" s="1" t="n">
        <v>275</v>
      </c>
      <c r="E1852" s="1" t="n">
        <v>14.23</v>
      </c>
      <c r="F1852" s="1" t="n">
        <f aca="false">10/7</f>
        <v>1.42857142857143</v>
      </c>
    </row>
    <row collapsed="false" customFormat="false" customHeight="false" hidden="false" ht="14.75" outlineLevel="0" r="1853">
      <c r="A1853" s="1" t="s">
        <v>1505</v>
      </c>
      <c r="B1853" s="1" t="s">
        <v>1504</v>
      </c>
      <c r="C1853" s="1" t="s">
        <v>1491</v>
      </c>
      <c r="D1853" s="1" t="n">
        <v>130.7</v>
      </c>
      <c r="E1853" s="1" t="n">
        <v>10.1</v>
      </c>
      <c r="F1853" s="1" t="n">
        <f aca="false">3/7</f>
        <v>0.428571428571429</v>
      </c>
    </row>
    <row collapsed="false" customFormat="false" customHeight="false" hidden="false" ht="14.75" outlineLevel="0" r="1854">
      <c r="A1854" s="1" t="s">
        <v>1506</v>
      </c>
      <c r="B1854" s="1" t="s">
        <v>1499</v>
      </c>
      <c r="C1854" s="4" t="s">
        <v>1491</v>
      </c>
      <c r="D1854" s="1" t="n">
        <v>293.4</v>
      </c>
      <c r="E1854" s="1" t="n">
        <v>18.22</v>
      </c>
      <c r="F1854" s="1" t="n">
        <f aca="false">31/11</f>
        <v>2.81818181818182</v>
      </c>
    </row>
    <row collapsed="false" customFormat="false" customHeight="false" hidden="false" ht="14.75" outlineLevel="0" r="1855">
      <c r="A1855" s="1" t="s">
        <v>1507</v>
      </c>
      <c r="B1855" s="1" t="s">
        <v>1496</v>
      </c>
      <c r="C1855" s="1" t="s">
        <v>1491</v>
      </c>
      <c r="D1855" s="1" t="n">
        <v>13.3</v>
      </c>
      <c r="E1855" s="1" t="n">
        <v>1.43</v>
      </c>
      <c r="F1855" s="1" t="n">
        <v>0</v>
      </c>
    </row>
    <row collapsed="false" customFormat="false" customHeight="false" hidden="false" ht="14.75" outlineLevel="0" r="1856">
      <c r="A1856" s="1" t="s">
        <v>513</v>
      </c>
      <c r="B1856" s="1" t="s">
        <v>1496</v>
      </c>
      <c r="C1856" s="1" t="s">
        <v>1491</v>
      </c>
      <c r="D1856" s="1" t="n">
        <v>372.5</v>
      </c>
      <c r="E1856" s="1" t="n">
        <v>20.79</v>
      </c>
      <c r="F1856" s="1" t="n">
        <f aca="false">28/8</f>
        <v>3.5</v>
      </c>
    </row>
    <row collapsed="false" customFormat="false" customHeight="false" hidden="false" ht="14.75" outlineLevel="0" r="1857">
      <c r="A1857" s="1" t="s">
        <v>514</v>
      </c>
      <c r="B1857" s="1" t="s">
        <v>1496</v>
      </c>
      <c r="C1857" s="1" t="s">
        <v>1491</v>
      </c>
      <c r="D1857" s="1" t="n">
        <v>245</v>
      </c>
      <c r="E1857" s="1" t="n">
        <v>17.92</v>
      </c>
      <c r="F1857" s="1" t="n">
        <f aca="false">15/7</f>
        <v>2.14285714285714</v>
      </c>
    </row>
    <row collapsed="false" customFormat="false" customHeight="false" hidden="false" ht="14.75" outlineLevel="0" r="1858">
      <c r="A1858" s="1" t="s">
        <v>1508</v>
      </c>
      <c r="B1858" s="1" t="s">
        <v>1496</v>
      </c>
      <c r="C1858" s="1" t="s">
        <v>1491</v>
      </c>
      <c r="D1858" s="1" t="n">
        <v>64.2</v>
      </c>
      <c r="E1858" s="1" t="n">
        <v>10</v>
      </c>
      <c r="F1858" s="1" t="n">
        <f aca="false">1/6</f>
        <v>0.166666666666667</v>
      </c>
    </row>
    <row collapsed="false" customFormat="false" customHeight="false" hidden="false" ht="14.75" outlineLevel="0" r="1859">
      <c r="A1859" s="1" t="s">
        <v>1509</v>
      </c>
      <c r="B1859" s="1" t="s">
        <v>1496</v>
      </c>
      <c r="C1859" s="1" t="s">
        <v>1491</v>
      </c>
      <c r="D1859" s="1" t="n">
        <v>86.7</v>
      </c>
      <c r="E1859" s="1" t="n">
        <v>9.66</v>
      </c>
      <c r="F1859" s="1" t="n">
        <f aca="false">2/6</f>
        <v>0.333333333333333</v>
      </c>
    </row>
    <row collapsed="false" customFormat="false" customHeight="false" hidden="false" ht="14.75" outlineLevel="0" r="1860">
      <c r="A1860" s="1" t="s">
        <v>1510</v>
      </c>
      <c r="B1860" s="4" t="s">
        <v>1490</v>
      </c>
      <c r="C1860" s="1" t="s">
        <v>1491</v>
      </c>
      <c r="D1860" s="1" t="n">
        <v>114.3</v>
      </c>
      <c r="E1860" s="1" t="n">
        <v>10.25</v>
      </c>
      <c r="F1860" s="1" t="n">
        <f aca="false">1/7</f>
        <v>0.142857142857143</v>
      </c>
    </row>
    <row collapsed="false" customFormat="false" customHeight="false" hidden="false" ht="14.75" outlineLevel="0" r="1861">
      <c r="A1861" s="1" t="s">
        <v>1511</v>
      </c>
      <c r="B1861" s="4" t="s">
        <v>1490</v>
      </c>
      <c r="C1861" s="1" t="s">
        <v>1491</v>
      </c>
      <c r="D1861" s="1" t="n">
        <v>73.1</v>
      </c>
      <c r="E1861" s="1" t="n">
        <v>4.87</v>
      </c>
      <c r="F1861" s="1" t="n">
        <f aca="false">5/8</f>
        <v>0.625</v>
      </c>
    </row>
    <row collapsed="false" customFormat="false" customHeight="false" hidden="false" ht="14.75" outlineLevel="0" r="1862">
      <c r="A1862" s="1" t="s">
        <v>439</v>
      </c>
      <c r="B1862" s="1" t="s">
        <v>1493</v>
      </c>
      <c r="C1862" s="1" t="s">
        <v>1491</v>
      </c>
      <c r="D1862" s="1" t="n">
        <v>142.1</v>
      </c>
      <c r="E1862" s="1" t="n">
        <v>9.8</v>
      </c>
      <c r="F1862" s="1" t="n">
        <f aca="false">6/8</f>
        <v>0.75</v>
      </c>
    </row>
    <row collapsed="false" customFormat="false" customHeight="false" hidden="false" ht="14.75" outlineLevel="0" r="1863">
      <c r="A1863" s="1" t="s">
        <v>441</v>
      </c>
      <c r="B1863" s="1" t="s">
        <v>1493</v>
      </c>
      <c r="C1863" s="1" t="s">
        <v>1491</v>
      </c>
      <c r="D1863" s="1" t="n">
        <v>125.7</v>
      </c>
      <c r="E1863" s="1" t="n">
        <v>10.83</v>
      </c>
      <c r="F1863" s="1" t="n">
        <f aca="false">6/7</f>
        <v>0.857142857142857</v>
      </c>
    </row>
    <row collapsed="false" customFormat="false" customHeight="false" hidden="false" ht="14.75" outlineLevel="0" r="1864">
      <c r="A1864" s="1" t="s">
        <v>1125</v>
      </c>
      <c r="B1864" s="4" t="s">
        <v>1490</v>
      </c>
      <c r="C1864" s="1" t="s">
        <v>1491</v>
      </c>
      <c r="D1864" s="1" t="n">
        <v>221.4</v>
      </c>
      <c r="E1864" s="1" t="n">
        <v>15</v>
      </c>
      <c r="F1864" s="1" t="n">
        <v>2</v>
      </c>
    </row>
    <row collapsed="false" customFormat="false" customHeight="false" hidden="false" ht="14.75" outlineLevel="0" r="1865">
      <c r="A1865" s="1" t="s">
        <v>821</v>
      </c>
      <c r="B1865" s="1" t="s">
        <v>1512</v>
      </c>
      <c r="C1865" s="1" t="s">
        <v>1491</v>
      </c>
      <c r="D1865" s="1" t="n">
        <v>305</v>
      </c>
      <c r="E1865" s="1" t="n">
        <v>18.13</v>
      </c>
      <c r="F1865" s="1" t="n">
        <v>2.2</v>
      </c>
    </row>
    <row collapsed="false" customFormat="false" customHeight="false" hidden="false" ht="14.75" outlineLevel="0" r="1866">
      <c r="A1866" s="1" t="s">
        <v>1513</v>
      </c>
      <c r="B1866" s="1" t="s">
        <v>1512</v>
      </c>
      <c r="C1866" s="1" t="s">
        <v>1491</v>
      </c>
      <c r="D1866" s="1" t="n">
        <v>111</v>
      </c>
      <c r="E1866" s="1" t="n">
        <v>9.62</v>
      </c>
      <c r="F1866" s="1" t="n">
        <v>0.7</v>
      </c>
    </row>
    <row collapsed="false" customFormat="false" customHeight="false" hidden="false" ht="14.75" outlineLevel="0" r="1867">
      <c r="A1867" s="1" t="s">
        <v>101</v>
      </c>
      <c r="B1867" s="1" t="s">
        <v>1512</v>
      </c>
      <c r="C1867" s="1" t="s">
        <v>1491</v>
      </c>
      <c r="D1867" s="1" t="n">
        <v>391</v>
      </c>
      <c r="E1867" s="1" t="n">
        <v>18.5</v>
      </c>
      <c r="F1867" s="1" t="n">
        <v>4.5</v>
      </c>
    </row>
    <row collapsed="false" customFormat="false" customHeight="false" hidden="false" ht="14.75" outlineLevel="0" r="1868">
      <c r="A1868" s="1" t="s">
        <v>1514</v>
      </c>
      <c r="B1868" s="1" t="s">
        <v>1512</v>
      </c>
      <c r="C1868" s="1" t="s">
        <v>1491</v>
      </c>
      <c r="D1868" s="1" t="n">
        <v>126.5</v>
      </c>
      <c r="E1868" s="1" t="n">
        <v>10.65</v>
      </c>
      <c r="F1868" s="1" t="n">
        <f aca="false">3/5</f>
        <v>0.6</v>
      </c>
    </row>
    <row collapsed="false" customFormat="false" customHeight="false" hidden="false" ht="14.75" outlineLevel="0" r="1869">
      <c r="A1869" s="1" t="s">
        <v>824</v>
      </c>
      <c r="B1869" s="1" t="s">
        <v>1494</v>
      </c>
      <c r="C1869" s="1" t="s">
        <v>1491</v>
      </c>
      <c r="D1869" s="1" t="n">
        <v>291</v>
      </c>
      <c r="E1869" s="1" t="n">
        <v>17.75</v>
      </c>
      <c r="F1869" s="1" t="n">
        <v>2.7</v>
      </c>
    </row>
    <row collapsed="false" customFormat="false" customHeight="false" hidden="false" ht="14.75" outlineLevel="0" r="1870">
      <c r="A1870" s="1" t="s">
        <v>1008</v>
      </c>
      <c r="B1870" s="1" t="s">
        <v>1494</v>
      </c>
      <c r="C1870" s="1" t="s">
        <v>1491</v>
      </c>
      <c r="D1870" s="1" t="n">
        <v>194</v>
      </c>
      <c r="E1870" s="1" t="n">
        <v>14.25</v>
      </c>
      <c r="F1870" s="1" t="n">
        <v>1</v>
      </c>
    </row>
    <row collapsed="false" customFormat="false" customHeight="false" hidden="false" ht="14.75" outlineLevel="0" r="1871">
      <c r="A1871" s="1" t="s">
        <v>1009</v>
      </c>
      <c r="B1871" s="1" t="s">
        <v>1494</v>
      </c>
      <c r="C1871" s="1" t="s">
        <v>1491</v>
      </c>
      <c r="D1871" s="1" t="n">
        <v>103.9</v>
      </c>
      <c r="E1871" s="1" t="n">
        <v>10.85</v>
      </c>
      <c r="F1871" s="1" t="n">
        <v>0.8</v>
      </c>
    </row>
    <row collapsed="false" customFormat="false" customHeight="false" hidden="false" ht="14.75" outlineLevel="0" r="1872">
      <c r="A1872" s="1" t="s">
        <v>1011</v>
      </c>
      <c r="B1872" s="1" t="s">
        <v>1499</v>
      </c>
      <c r="C1872" s="4" t="s">
        <v>1491</v>
      </c>
      <c r="D1872" s="1" t="n">
        <v>164</v>
      </c>
      <c r="E1872" s="1" t="n">
        <v>12.08</v>
      </c>
      <c r="F1872" s="1" t="n">
        <v>1.5</v>
      </c>
    </row>
    <row collapsed="false" customFormat="false" customHeight="false" hidden="false" ht="14.75" outlineLevel="0" r="1873">
      <c r="A1873" s="1" t="s">
        <v>1012</v>
      </c>
      <c r="B1873" s="1" t="s">
        <v>1499</v>
      </c>
      <c r="C1873" s="4" t="s">
        <v>1491</v>
      </c>
      <c r="D1873" s="1" t="n">
        <v>156.7</v>
      </c>
      <c r="E1873" s="1" t="n">
        <v>10.86</v>
      </c>
      <c r="F1873" s="1" t="n">
        <v>0.9</v>
      </c>
    </row>
    <row collapsed="false" customFormat="false" customHeight="false" hidden="false" ht="14.75" outlineLevel="0" r="1874">
      <c r="A1874" s="1" t="s">
        <v>1515</v>
      </c>
      <c r="B1874" s="1" t="s">
        <v>1499</v>
      </c>
      <c r="C1874" s="4" t="s">
        <v>1491</v>
      </c>
      <c r="D1874" s="1" t="n">
        <v>104.7</v>
      </c>
      <c r="E1874" s="1" t="n">
        <v>6.04</v>
      </c>
      <c r="F1874" s="1" t="n">
        <v>0.6</v>
      </c>
    </row>
    <row collapsed="false" customFormat="false" customHeight="false" hidden="false" ht="14.75" outlineLevel="0" r="1875">
      <c r="A1875" s="1" t="s">
        <v>827</v>
      </c>
      <c r="B1875" s="1" t="s">
        <v>1494</v>
      </c>
      <c r="C1875" s="1" t="s">
        <v>1491</v>
      </c>
      <c r="D1875" s="1" t="n">
        <v>308.2</v>
      </c>
      <c r="E1875" s="1" t="n">
        <v>18.99</v>
      </c>
      <c r="F1875" s="1" t="n">
        <f aca="false">30/11</f>
        <v>2.72727272727273</v>
      </c>
    </row>
    <row collapsed="false" customFormat="false" customHeight="false" hidden="false" ht="14.75" outlineLevel="0" r="1876">
      <c r="A1876" s="1" t="s">
        <v>828</v>
      </c>
      <c r="B1876" s="1" t="s">
        <v>1494</v>
      </c>
      <c r="C1876" s="1" t="s">
        <v>1491</v>
      </c>
      <c r="D1876" s="1" t="n">
        <v>173.5</v>
      </c>
      <c r="E1876" s="1" t="n">
        <v>11.57</v>
      </c>
      <c r="F1876" s="1" t="n">
        <v>0.9</v>
      </c>
    </row>
    <row collapsed="false" customFormat="false" customHeight="false" hidden="false" ht="14.75" outlineLevel="0" r="1877">
      <c r="A1877" s="1" t="s">
        <v>829</v>
      </c>
      <c r="B1877" s="1" t="s">
        <v>1494</v>
      </c>
      <c r="C1877" s="1" t="s">
        <v>1491</v>
      </c>
      <c r="D1877" s="1" t="n">
        <v>80</v>
      </c>
      <c r="E1877" s="1" t="n">
        <v>8</v>
      </c>
      <c r="F1877" s="1" t="n">
        <v>0.3</v>
      </c>
    </row>
    <row collapsed="false" customFormat="false" customHeight="false" hidden="false" ht="14.75" outlineLevel="0" r="1878">
      <c r="A1878" s="1" t="s">
        <v>830</v>
      </c>
      <c r="B1878" s="1" t="s">
        <v>1494</v>
      </c>
      <c r="C1878" s="1" t="s">
        <v>1491</v>
      </c>
      <c r="D1878" s="1" t="n">
        <v>105.6</v>
      </c>
      <c r="E1878" s="1" t="n">
        <v>9.06</v>
      </c>
      <c r="F1878" s="1" t="n">
        <v>0.9</v>
      </c>
    </row>
    <row collapsed="false" customFormat="false" customHeight="false" hidden="false" ht="14.75" outlineLevel="0" r="1879">
      <c r="A1879" s="1" t="s">
        <v>831</v>
      </c>
      <c r="B1879" s="1" t="s">
        <v>1494</v>
      </c>
      <c r="C1879" s="1" t="s">
        <v>1491</v>
      </c>
      <c r="D1879" s="1" t="n">
        <v>114.5</v>
      </c>
      <c r="E1879" s="1" t="n">
        <v>8.59</v>
      </c>
      <c r="F1879" s="1" t="n">
        <v>1.2</v>
      </c>
    </row>
    <row collapsed="false" customFormat="false" customHeight="false" hidden="false" ht="14.75" outlineLevel="0" r="1880">
      <c r="A1880" s="1" t="s">
        <v>832</v>
      </c>
      <c r="B1880" s="1" t="s">
        <v>1494</v>
      </c>
      <c r="C1880" s="1" t="s">
        <v>1491</v>
      </c>
      <c r="D1880" s="1" t="n">
        <v>79.4</v>
      </c>
      <c r="E1880" s="1" t="n">
        <v>7.44</v>
      </c>
      <c r="F1880" s="1" t="n">
        <v>0.3</v>
      </c>
    </row>
    <row collapsed="false" customFormat="false" customHeight="false" hidden="false" ht="14.75" outlineLevel="0" r="1881">
      <c r="A1881" s="1" t="s">
        <v>1144</v>
      </c>
      <c r="B1881" s="1" t="s">
        <v>1496</v>
      </c>
      <c r="C1881" s="1" t="s">
        <v>1491</v>
      </c>
      <c r="D1881" s="1" t="n">
        <v>172.1</v>
      </c>
      <c r="E1881" s="1" t="n">
        <v>13.37</v>
      </c>
      <c r="F1881" s="1" t="n">
        <f aca="false">8/7</f>
        <v>1.14285714285714</v>
      </c>
    </row>
    <row collapsed="false" customFormat="false" customHeight="false" hidden="false" ht="14.75" outlineLevel="0" r="1882">
      <c r="A1882" s="1" t="s">
        <v>1145</v>
      </c>
      <c r="B1882" s="1" t="s">
        <v>1496</v>
      </c>
      <c r="C1882" s="1" t="s">
        <v>1491</v>
      </c>
      <c r="D1882" s="1" t="n">
        <v>132.5</v>
      </c>
      <c r="E1882" s="1" t="n">
        <v>11.32</v>
      </c>
      <c r="F1882" s="1" t="n">
        <f aca="false">5/6</f>
        <v>0.833333333333333</v>
      </c>
    </row>
    <row collapsed="false" customFormat="false" customHeight="false" hidden="false" ht="14.75" outlineLevel="0" r="1883">
      <c r="A1883" s="1" t="s">
        <v>535</v>
      </c>
      <c r="B1883" s="1" t="s">
        <v>1496</v>
      </c>
      <c r="C1883" s="1" t="s">
        <v>1491</v>
      </c>
      <c r="D1883" s="1" t="n">
        <v>517.2</v>
      </c>
      <c r="E1883" s="1" t="n">
        <v>23.92</v>
      </c>
      <c r="F1883" s="1" t="n">
        <v>5.9</v>
      </c>
    </row>
    <row collapsed="false" customFormat="false" customHeight="false" hidden="false" ht="14.75" outlineLevel="0" r="1884">
      <c r="A1884" s="1" t="s">
        <v>536</v>
      </c>
      <c r="B1884" s="1" t="s">
        <v>1496</v>
      </c>
      <c r="C1884" s="1" t="s">
        <v>1491</v>
      </c>
      <c r="D1884" s="1" t="n">
        <v>204.2</v>
      </c>
      <c r="E1884" s="1" t="n">
        <v>15.96</v>
      </c>
      <c r="F1884" s="1" t="n">
        <f aca="false">16/6</f>
        <v>2.66666666666667</v>
      </c>
    </row>
    <row collapsed="false" customFormat="false" customHeight="false" hidden="false" ht="14.75" outlineLevel="0" r="1885">
      <c r="A1885" s="1" t="s">
        <v>1516</v>
      </c>
      <c r="B1885" s="1" t="s">
        <v>1517</v>
      </c>
      <c r="C1885" s="1" t="s">
        <v>1491</v>
      </c>
      <c r="D1885" s="1" t="n">
        <v>299</v>
      </c>
      <c r="E1885" s="1" t="n">
        <v>17.7830188679245</v>
      </c>
      <c r="F1885" s="1" t="n">
        <v>2.33333333333333</v>
      </c>
    </row>
    <row collapsed="false" customFormat="false" customHeight="false" hidden="false" ht="14.75" outlineLevel="0" r="1886">
      <c r="A1886" s="1" t="s">
        <v>1518</v>
      </c>
      <c r="B1886" s="4" t="s">
        <v>1490</v>
      </c>
      <c r="C1886" s="1" t="s">
        <v>1491</v>
      </c>
      <c r="D1886" s="1" t="n">
        <v>101.4</v>
      </c>
      <c r="E1886" s="1" t="n">
        <v>9.72</v>
      </c>
      <c r="F1886" s="1" t="n">
        <v>1</v>
      </c>
    </row>
    <row collapsed="false" customFormat="false" customHeight="false" hidden="false" ht="14.75" outlineLevel="0" r="1887">
      <c r="A1887" s="1" t="s">
        <v>1519</v>
      </c>
      <c r="B1887" s="4" t="s">
        <v>1490</v>
      </c>
      <c r="C1887" s="1" t="s">
        <v>1491</v>
      </c>
      <c r="D1887" s="1" t="n">
        <v>52.5</v>
      </c>
      <c r="E1887" s="1" t="n">
        <v>4.33</v>
      </c>
      <c r="F1887" s="1" t="n">
        <v>0</v>
      </c>
    </row>
    <row collapsed="false" customFormat="false" customHeight="false" hidden="false" ht="14.75" outlineLevel="0" r="1888">
      <c r="A1888" s="1" t="s">
        <v>846</v>
      </c>
      <c r="B1888" s="1" t="s">
        <v>1494</v>
      </c>
      <c r="C1888" s="1" t="s">
        <v>1491</v>
      </c>
      <c r="D1888" s="1" t="n">
        <v>142.2</v>
      </c>
      <c r="E1888" s="1" t="n">
        <v>12.13</v>
      </c>
      <c r="F1888" s="1" t="n">
        <v>1.1</v>
      </c>
    </row>
    <row collapsed="false" customFormat="false" customHeight="false" hidden="false" ht="14.75" outlineLevel="0" r="1889">
      <c r="A1889" s="1" t="s">
        <v>847</v>
      </c>
      <c r="B1889" s="1" t="s">
        <v>1494</v>
      </c>
      <c r="C1889" s="1" t="s">
        <v>1491</v>
      </c>
      <c r="D1889" s="1" t="n">
        <v>128.5</v>
      </c>
      <c r="E1889" s="1" t="n">
        <v>10.46</v>
      </c>
      <c r="F1889" s="1" t="n">
        <v>1</v>
      </c>
    </row>
    <row collapsed="false" customFormat="false" customHeight="false" hidden="false" ht="14.75" outlineLevel="0" r="1890">
      <c r="A1890" s="1" t="s">
        <v>253</v>
      </c>
      <c r="B1890" s="1" t="s">
        <v>1499</v>
      </c>
      <c r="C1890" s="4" t="s">
        <v>1491</v>
      </c>
      <c r="D1890" s="1" t="n">
        <v>218</v>
      </c>
      <c r="E1890" s="1" t="n">
        <v>17.31</v>
      </c>
      <c r="F1890" s="1" t="n">
        <v>1.7</v>
      </c>
    </row>
    <row collapsed="false" customFormat="false" customHeight="false" hidden="false" ht="14.75" outlineLevel="0" r="1891">
      <c r="A1891" s="1" t="s">
        <v>254</v>
      </c>
      <c r="B1891" s="1" t="s">
        <v>1499</v>
      </c>
      <c r="C1891" s="4" t="s">
        <v>1491</v>
      </c>
      <c r="D1891" s="1" t="n">
        <v>156.7</v>
      </c>
      <c r="E1891" s="1" t="n">
        <v>10.32</v>
      </c>
      <c r="F1891" s="1" t="n">
        <v>0.2</v>
      </c>
    </row>
    <row collapsed="false" customFormat="false" customHeight="false" hidden="false" ht="14.75" outlineLevel="0" r="1892">
      <c r="A1892" s="1" t="s">
        <v>1520</v>
      </c>
      <c r="B1892" s="1" t="s">
        <v>1499</v>
      </c>
      <c r="C1892" s="4" t="s">
        <v>1491</v>
      </c>
      <c r="D1892" s="1" t="n">
        <v>158.7</v>
      </c>
      <c r="E1892" s="1" t="n">
        <v>9.03</v>
      </c>
      <c r="F1892" s="1" t="n">
        <v>0.3</v>
      </c>
    </row>
    <row collapsed="false" customFormat="false" customHeight="false" hidden="false" ht="14.75" outlineLevel="0" r="1893">
      <c r="A1893" s="1" t="s">
        <v>1521</v>
      </c>
      <c r="B1893" s="1" t="s">
        <v>1517</v>
      </c>
      <c r="C1893" s="1" t="s">
        <v>1491</v>
      </c>
      <c r="D1893" s="1" t="n">
        <v>167.02</v>
      </c>
      <c r="E1893" s="1" t="n">
        <v>15.5384615384615</v>
      </c>
      <c r="F1893" s="1" t="n">
        <v>1.5</v>
      </c>
    </row>
    <row collapsed="false" customFormat="false" customHeight="false" hidden="false" ht="14.75" outlineLevel="0" r="1894">
      <c r="A1894" s="1" t="s">
        <v>1522</v>
      </c>
      <c r="B1894" s="1" t="s">
        <v>1493</v>
      </c>
      <c r="C1894" s="1" t="s">
        <v>1491</v>
      </c>
      <c r="D1894" s="1" t="n">
        <v>387.9</v>
      </c>
      <c r="E1894" s="1" t="n">
        <v>20.89</v>
      </c>
      <c r="F1894" s="1" t="n">
        <f aca="false">53/13</f>
        <v>4.07692307692308</v>
      </c>
    </row>
    <row collapsed="false" customFormat="false" customHeight="false" hidden="false" ht="14.75" outlineLevel="0" r="1895">
      <c r="A1895" s="1" t="s">
        <v>324</v>
      </c>
      <c r="B1895" s="1" t="s">
        <v>1493</v>
      </c>
      <c r="C1895" s="1" t="s">
        <v>1491</v>
      </c>
      <c r="D1895" s="1" t="n">
        <v>111.4</v>
      </c>
      <c r="E1895" s="1" t="n">
        <v>9.15</v>
      </c>
      <c r="F1895" s="1" t="n">
        <f aca="false">3/7</f>
        <v>0.428571428571429</v>
      </c>
    </row>
    <row collapsed="false" customFormat="false" customHeight="false" hidden="false" ht="14.75" outlineLevel="0" r="1896">
      <c r="A1896" s="1" t="s">
        <v>1523</v>
      </c>
      <c r="B1896" s="1" t="s">
        <v>1517</v>
      </c>
      <c r="C1896" s="1" t="s">
        <v>1491</v>
      </c>
      <c r="D1896" s="1" t="n">
        <v>93.8666666666667</v>
      </c>
      <c r="E1896" s="1" t="n">
        <v>7.2</v>
      </c>
      <c r="F1896" s="1" t="n">
        <v>1.16666666666667</v>
      </c>
    </row>
    <row collapsed="false" customFormat="false" customHeight="false" hidden="false" ht="14.75" outlineLevel="0" r="1897">
      <c r="A1897" s="1" t="s">
        <v>1524</v>
      </c>
      <c r="B1897" s="1" t="s">
        <v>1517</v>
      </c>
      <c r="C1897" s="1" t="s">
        <v>1491</v>
      </c>
      <c r="D1897" s="1" t="n">
        <v>22.2333333333333</v>
      </c>
      <c r="E1897" s="1" t="n">
        <v>3.125</v>
      </c>
      <c r="F1897" s="1" t="n">
        <v>0</v>
      </c>
    </row>
    <row collapsed="false" customFormat="false" customHeight="false" hidden="false" ht="14.75" outlineLevel="0" r="1898">
      <c r="A1898" s="1" t="s">
        <v>1525</v>
      </c>
      <c r="B1898" s="1" t="s">
        <v>1504</v>
      </c>
      <c r="C1898" s="1" t="s">
        <v>1491</v>
      </c>
      <c r="D1898" s="1" t="n">
        <v>275.7</v>
      </c>
      <c r="E1898" s="1" t="n">
        <v>14.94</v>
      </c>
      <c r="F1898" s="1" t="n">
        <v>2</v>
      </c>
    </row>
    <row collapsed="false" customFormat="false" customHeight="false" hidden="false" ht="14.75" outlineLevel="0" r="1899">
      <c r="A1899" s="1" t="s">
        <v>1526</v>
      </c>
      <c r="B1899" s="1" t="s">
        <v>1504</v>
      </c>
      <c r="C1899" s="1" t="s">
        <v>1491</v>
      </c>
      <c r="D1899" s="1" t="n">
        <v>309.3</v>
      </c>
      <c r="E1899" s="1" t="n">
        <v>16.16</v>
      </c>
      <c r="F1899" s="1" t="n">
        <v>3</v>
      </c>
    </row>
    <row collapsed="false" customFormat="false" customHeight="false" hidden="false" ht="14.75" outlineLevel="0" r="1900">
      <c r="A1900" s="1" t="s">
        <v>1527</v>
      </c>
      <c r="B1900" s="1" t="s">
        <v>1504</v>
      </c>
      <c r="C1900" s="1" t="s">
        <v>1491</v>
      </c>
      <c r="D1900" s="1" t="n">
        <v>135</v>
      </c>
      <c r="E1900" s="1" t="n">
        <v>9.79</v>
      </c>
      <c r="F1900" s="1" t="n">
        <f aca="false">8/7</f>
        <v>1.14285714285714</v>
      </c>
    </row>
    <row collapsed="false" customFormat="false" customHeight="false" hidden="false" ht="14.75" outlineLevel="0" r="1901">
      <c r="A1901" s="1" t="s">
        <v>1014</v>
      </c>
      <c r="B1901" s="1" t="s">
        <v>1493</v>
      </c>
      <c r="C1901" s="1" t="s">
        <v>1491</v>
      </c>
      <c r="D1901" s="1" t="n">
        <v>579.1</v>
      </c>
      <c r="E1901" s="1" t="n">
        <v>21.55</v>
      </c>
      <c r="F1901" s="1" t="n">
        <f aca="false">94/11</f>
        <v>8.54545454545455</v>
      </c>
    </row>
    <row collapsed="false" customFormat="false" customHeight="false" hidden="false" ht="14.75" outlineLevel="0" r="1902">
      <c r="A1902" s="1" t="s">
        <v>1015</v>
      </c>
      <c r="B1902" s="1" t="s">
        <v>1493</v>
      </c>
      <c r="C1902" s="1" t="s">
        <v>1491</v>
      </c>
      <c r="D1902" s="1" t="n">
        <v>348.2</v>
      </c>
      <c r="E1902" s="1" t="n">
        <v>19.44</v>
      </c>
      <c r="F1902" s="1" t="n">
        <f aca="false">45/12</f>
        <v>3.75</v>
      </c>
    </row>
    <row collapsed="false" customFormat="false" customHeight="false" hidden="false" ht="14.75" outlineLevel="0" r="1903">
      <c r="A1903" s="1" t="s">
        <v>1528</v>
      </c>
      <c r="B1903" s="1" t="s">
        <v>1493</v>
      </c>
      <c r="C1903" s="1" t="s">
        <v>1491</v>
      </c>
      <c r="D1903" s="1" t="n">
        <v>485</v>
      </c>
      <c r="E1903" s="1" t="n">
        <v>21.47</v>
      </c>
      <c r="F1903" s="1" t="n">
        <f aca="false">67/12</f>
        <v>5.58333333333333</v>
      </c>
    </row>
    <row collapsed="false" customFormat="false" customHeight="false" hidden="false" ht="14.75" outlineLevel="0" r="1904">
      <c r="A1904" s="1" t="s">
        <v>1529</v>
      </c>
      <c r="B1904" s="1" t="s">
        <v>1493</v>
      </c>
      <c r="C1904" s="1" t="s">
        <v>1491</v>
      </c>
      <c r="D1904" s="1" t="n">
        <v>138.8</v>
      </c>
      <c r="E1904" s="1" t="n">
        <v>10.75</v>
      </c>
      <c r="F1904" s="1" t="n">
        <f aca="false">6/8</f>
        <v>0.75</v>
      </c>
    </row>
    <row collapsed="false" customFormat="false" customHeight="false" hidden="false" ht="14.75" outlineLevel="0" r="1905">
      <c r="A1905" s="1" t="s">
        <v>1530</v>
      </c>
      <c r="B1905" s="1" t="s">
        <v>1517</v>
      </c>
      <c r="C1905" s="1" t="s">
        <v>1491</v>
      </c>
      <c r="D1905" s="1" t="n">
        <v>152.766666666667</v>
      </c>
      <c r="E1905" s="1" t="n">
        <v>12.1875</v>
      </c>
      <c r="F1905" s="1" t="n">
        <v>0.5</v>
      </c>
    </row>
    <row collapsed="false" customFormat="false" customHeight="false" hidden="false" ht="14.75" outlineLevel="0" r="1906">
      <c r="A1906" s="1" t="s">
        <v>1531</v>
      </c>
      <c r="B1906" s="1" t="s">
        <v>1512</v>
      </c>
      <c r="C1906" s="1" t="s">
        <v>1491</v>
      </c>
      <c r="D1906" s="1" t="n">
        <v>415</v>
      </c>
      <c r="E1906" s="1" t="n">
        <v>22.24</v>
      </c>
      <c r="F1906" s="1" t="n">
        <v>4.4</v>
      </c>
    </row>
    <row collapsed="false" customFormat="false" customHeight="false" hidden="false" ht="14.75" outlineLevel="0" r="1907">
      <c r="A1907" s="1" t="s">
        <v>1532</v>
      </c>
      <c r="B1907" s="1" t="s">
        <v>1512</v>
      </c>
      <c r="C1907" s="1" t="s">
        <v>1491</v>
      </c>
      <c r="D1907" s="1" t="n">
        <v>402</v>
      </c>
      <c r="E1907" s="1" t="n">
        <v>20.23</v>
      </c>
      <c r="F1907" s="1" t="n">
        <v>4.4</v>
      </c>
    </row>
    <row collapsed="false" customFormat="false" customHeight="false" hidden="false" ht="14.75" outlineLevel="0" r="1908">
      <c r="A1908" s="1" t="s">
        <v>1533</v>
      </c>
      <c r="B1908" s="1" t="s">
        <v>1512</v>
      </c>
      <c r="C1908" s="1" t="s">
        <v>1491</v>
      </c>
      <c r="D1908" s="1" t="n">
        <v>191.5</v>
      </c>
      <c r="E1908" s="1" t="n">
        <v>12.21</v>
      </c>
      <c r="F1908" s="1" t="n">
        <v>1.3</v>
      </c>
    </row>
    <row collapsed="false" customFormat="false" customHeight="false" hidden="false" ht="14.75" outlineLevel="0" r="1909">
      <c r="A1909" s="1" t="s">
        <v>853</v>
      </c>
      <c r="B1909" s="1" t="s">
        <v>1494</v>
      </c>
      <c r="C1909" s="1" t="s">
        <v>1491</v>
      </c>
      <c r="D1909" s="1" t="n">
        <v>204</v>
      </c>
      <c r="E1909" s="1" t="n">
        <v>15.37</v>
      </c>
      <c r="F1909" s="1" t="n">
        <v>2.4</v>
      </c>
    </row>
    <row collapsed="false" customFormat="false" customHeight="false" hidden="false" ht="14.75" outlineLevel="0" r="1910">
      <c r="A1910" s="1" t="s">
        <v>1534</v>
      </c>
      <c r="B1910" s="1" t="s">
        <v>1535</v>
      </c>
      <c r="C1910" s="1" t="s">
        <v>1491</v>
      </c>
      <c r="D1910" s="1" t="n">
        <v>124</v>
      </c>
      <c r="E1910" s="1" t="n">
        <v>11.29</v>
      </c>
      <c r="F1910" s="1" t="n">
        <f aca="false">8/6</f>
        <v>1.33333333333333</v>
      </c>
    </row>
    <row collapsed="false" customFormat="false" customHeight="false" hidden="false" ht="14.75" outlineLevel="0" r="1911">
      <c r="A1911" s="1" t="s">
        <v>1536</v>
      </c>
      <c r="B1911" s="1" t="s">
        <v>1535</v>
      </c>
      <c r="C1911" s="1" t="s">
        <v>1491</v>
      </c>
      <c r="D1911" s="1" t="n">
        <v>82</v>
      </c>
      <c r="E1911" s="1" t="n">
        <v>6.67</v>
      </c>
      <c r="F1911" s="1" t="n">
        <f aca="false">3/6</f>
        <v>0.5</v>
      </c>
    </row>
    <row collapsed="false" customFormat="false" customHeight="false" hidden="false" ht="14.75" outlineLevel="0" r="1912">
      <c r="A1912" s="1" t="s">
        <v>1537</v>
      </c>
      <c r="B1912" s="1" t="s">
        <v>1535</v>
      </c>
      <c r="C1912" s="1" t="s">
        <v>1491</v>
      </c>
      <c r="D1912" s="1" t="n">
        <v>33</v>
      </c>
      <c r="E1912" s="1" t="n">
        <v>4.17</v>
      </c>
      <c r="F1912" s="1" t="n">
        <f aca="false">1/6</f>
        <v>0.166666666666667</v>
      </c>
    </row>
    <row collapsed="false" customFormat="false" customHeight="false" hidden="false" ht="14.75" outlineLevel="0" r="1913">
      <c r="A1913" s="1" t="s">
        <v>1538</v>
      </c>
      <c r="B1913" s="1" t="s">
        <v>1535</v>
      </c>
      <c r="C1913" s="1" t="s">
        <v>1491</v>
      </c>
      <c r="D1913" s="1" t="n">
        <v>63</v>
      </c>
      <c r="E1913" s="1" t="n">
        <v>6</v>
      </c>
      <c r="F1913" s="1" t="n">
        <f aca="false">1/6</f>
        <v>0.166666666666667</v>
      </c>
    </row>
    <row collapsed="false" customFormat="false" customHeight="false" hidden="false" ht="14.75" outlineLevel="0" r="1914">
      <c r="A1914" s="1" t="s">
        <v>122</v>
      </c>
      <c r="B1914" s="1" t="s">
        <v>1512</v>
      </c>
      <c r="C1914" s="1" t="s">
        <v>1491</v>
      </c>
      <c r="D1914" s="1" t="n">
        <v>67.5</v>
      </c>
      <c r="E1914" s="1" t="n">
        <v>6.9</v>
      </c>
      <c r="F1914" s="1" t="n">
        <v>0.5</v>
      </c>
    </row>
    <row collapsed="false" customFormat="false" customHeight="false" hidden="false" ht="14.75" outlineLevel="0" r="1915">
      <c r="A1915" s="1" t="s">
        <v>1162</v>
      </c>
      <c r="B1915" s="1" t="s">
        <v>1496</v>
      </c>
      <c r="C1915" s="1" t="s">
        <v>1491</v>
      </c>
      <c r="D1915" s="1" t="n">
        <v>61.7</v>
      </c>
      <c r="E1915" s="1" t="n">
        <v>6.82</v>
      </c>
      <c r="F1915" s="1" t="n">
        <f aca="false">1/6</f>
        <v>0.166666666666667</v>
      </c>
    </row>
    <row collapsed="false" customFormat="false" customHeight="false" hidden="false" ht="14.75" outlineLevel="0" r="1916">
      <c r="A1916" s="1" t="s">
        <v>1539</v>
      </c>
      <c r="B1916" s="1" t="s">
        <v>1499</v>
      </c>
      <c r="C1916" s="4" t="s">
        <v>1491</v>
      </c>
      <c r="D1916" s="1" t="n">
        <v>53.8</v>
      </c>
      <c r="E1916" s="1" t="n">
        <v>5.91</v>
      </c>
      <c r="F1916" s="1" t="n">
        <f aca="false">2/8</f>
        <v>0.25</v>
      </c>
    </row>
    <row collapsed="false" customFormat="false" customHeight="false" hidden="false" ht="14.75" outlineLevel="0" r="1917">
      <c r="A1917" s="1" t="s">
        <v>1540</v>
      </c>
      <c r="B1917" s="1" t="s">
        <v>1493</v>
      </c>
      <c r="C1917" s="1" t="s">
        <v>1491</v>
      </c>
      <c r="D1917" s="1" t="n">
        <v>91.7</v>
      </c>
      <c r="E1917" s="1" t="n">
        <v>9.29</v>
      </c>
      <c r="F1917" s="1" t="n">
        <f aca="false">3/7</f>
        <v>0.428571428571429</v>
      </c>
    </row>
    <row collapsed="false" customFormat="false" customHeight="false" hidden="false" ht="14.75" outlineLevel="0" r="1918">
      <c r="A1918" s="1" t="s">
        <v>864</v>
      </c>
      <c r="B1918" s="4" t="s">
        <v>1490</v>
      </c>
      <c r="C1918" s="1" t="s">
        <v>1491</v>
      </c>
      <c r="D1918" s="1" t="n">
        <v>276.9</v>
      </c>
      <c r="E1918" s="1" t="n">
        <v>16.14</v>
      </c>
      <c r="F1918" s="1" t="n">
        <f aca="false">17/8</f>
        <v>2.125</v>
      </c>
    </row>
    <row collapsed="false" customFormat="false" customHeight="false" hidden="false" ht="14.75" outlineLevel="0" r="1919">
      <c r="A1919" s="1" t="s">
        <v>1179</v>
      </c>
      <c r="B1919" s="4" t="s">
        <v>1490</v>
      </c>
      <c r="C1919" s="1" t="s">
        <v>1491</v>
      </c>
      <c r="D1919" s="1" t="n">
        <v>90</v>
      </c>
      <c r="E1919" s="1" t="n">
        <v>7.82</v>
      </c>
      <c r="F1919" s="1" t="n">
        <f aca="false">4/7</f>
        <v>0.571428571428571</v>
      </c>
    </row>
    <row collapsed="false" customFormat="false" customHeight="false" hidden="false" ht="14.75" outlineLevel="0" r="1920">
      <c r="A1920" s="1" t="s">
        <v>1541</v>
      </c>
      <c r="B1920" s="4" t="s">
        <v>1490</v>
      </c>
      <c r="C1920" s="1" t="s">
        <v>1491</v>
      </c>
      <c r="D1920" s="1" t="n">
        <v>160.6</v>
      </c>
      <c r="E1920" s="1" t="n">
        <v>10.48</v>
      </c>
      <c r="F1920" s="1" t="n">
        <f aca="false">9/8</f>
        <v>1.125</v>
      </c>
    </row>
    <row collapsed="false" customFormat="false" customHeight="false" hidden="false" ht="14.75" outlineLevel="0" r="1921">
      <c r="A1921" s="1" t="s">
        <v>1542</v>
      </c>
      <c r="B1921" s="4" t="s">
        <v>1490</v>
      </c>
      <c r="C1921" s="1" t="s">
        <v>1491</v>
      </c>
      <c r="D1921" s="1" t="n">
        <v>73.1</v>
      </c>
      <c r="E1921" s="1" t="n">
        <v>5.83</v>
      </c>
      <c r="F1921" s="1" t="n">
        <f aca="false">6/8</f>
        <v>0.75</v>
      </c>
    </row>
    <row collapsed="false" customFormat="false" customHeight="false" hidden="false" ht="14.75" outlineLevel="0" r="1922">
      <c r="A1922" s="1" t="s">
        <v>867</v>
      </c>
      <c r="B1922" s="1" t="s">
        <v>1496</v>
      </c>
      <c r="C1922" s="1" t="s">
        <v>1491</v>
      </c>
      <c r="D1922" s="1" t="n">
        <v>210</v>
      </c>
      <c r="E1922" s="1" t="n">
        <v>14.67</v>
      </c>
      <c r="F1922" s="1" t="n">
        <v>1</v>
      </c>
    </row>
    <row collapsed="false" customFormat="false" customHeight="false" hidden="false" ht="14.75" outlineLevel="0" r="1923">
      <c r="A1923" s="1" t="s">
        <v>1543</v>
      </c>
      <c r="B1923" s="1" t="s">
        <v>1517</v>
      </c>
      <c r="C1923" s="1" t="s">
        <v>1491</v>
      </c>
      <c r="D1923" s="1" t="n">
        <v>482.52</v>
      </c>
      <c r="E1923" s="1" t="n">
        <v>22.6595744680851</v>
      </c>
      <c r="F1923" s="1" t="n">
        <v>7.83333333333333</v>
      </c>
    </row>
    <row collapsed="false" customFormat="false" customHeight="false" hidden="false" ht="14.75" outlineLevel="0" r="1924">
      <c r="A1924" s="1" t="s">
        <v>1544</v>
      </c>
      <c r="B1924" s="1" t="s">
        <v>1517</v>
      </c>
      <c r="C1924" s="1" t="s">
        <v>1491</v>
      </c>
      <c r="D1924" s="1" t="n">
        <v>113.5</v>
      </c>
      <c r="E1924" s="1" t="n">
        <v>10.1694915254237</v>
      </c>
      <c r="F1924" s="1" t="n">
        <v>0.5</v>
      </c>
    </row>
    <row collapsed="false" customFormat="false" customHeight="false" hidden="false" ht="14.75" outlineLevel="0" r="1925">
      <c r="A1925" s="1" t="s">
        <v>133</v>
      </c>
      <c r="B1925" s="1" t="s">
        <v>1512</v>
      </c>
      <c r="C1925" s="1" t="s">
        <v>1491</v>
      </c>
      <c r="D1925" s="1" t="n">
        <v>321.5</v>
      </c>
      <c r="E1925" s="1" t="n">
        <v>18.45</v>
      </c>
      <c r="F1925" s="1" t="n">
        <v>2.8</v>
      </c>
    </row>
    <row collapsed="false" customFormat="false" customHeight="false" hidden="false" ht="14.75" outlineLevel="0" r="1926">
      <c r="A1926" s="1" t="s">
        <v>1545</v>
      </c>
      <c r="B1926" s="1" t="s">
        <v>1493</v>
      </c>
      <c r="C1926" s="1" t="s">
        <v>1491</v>
      </c>
      <c r="D1926" s="1" t="n">
        <v>106.7</v>
      </c>
      <c r="E1926" s="1" t="n">
        <v>8</v>
      </c>
      <c r="F1926" s="1" t="n">
        <f aca="false">6/7</f>
        <v>0.857142857142857</v>
      </c>
    </row>
    <row collapsed="false" customFormat="false" customHeight="false" hidden="false" ht="14.75" outlineLevel="0" r="1927">
      <c r="A1927" s="1" t="s">
        <v>1546</v>
      </c>
      <c r="B1927" s="1" t="s">
        <v>1493</v>
      </c>
      <c r="C1927" s="1" t="s">
        <v>1491</v>
      </c>
      <c r="D1927" s="1" t="n">
        <v>198.9</v>
      </c>
      <c r="E1927" s="1" t="n">
        <v>12.82</v>
      </c>
      <c r="F1927" s="1" t="n">
        <v>1</v>
      </c>
    </row>
    <row collapsed="false" customFormat="false" customHeight="false" hidden="false" ht="14.75" outlineLevel="0" r="1928">
      <c r="A1928" s="1" t="s">
        <v>135</v>
      </c>
      <c r="B1928" s="1" t="s">
        <v>1512</v>
      </c>
      <c r="C1928" s="1" t="s">
        <v>1491</v>
      </c>
      <c r="D1928" s="1" t="n">
        <v>205</v>
      </c>
      <c r="E1928" s="1" t="n">
        <v>17.24</v>
      </c>
      <c r="F1928" s="1" t="n">
        <v>1.2</v>
      </c>
    </row>
    <row collapsed="false" customFormat="false" customHeight="false" hidden="false" ht="14.75" outlineLevel="0" r="1929">
      <c r="A1929" s="1" t="s">
        <v>1547</v>
      </c>
      <c r="B1929" s="1" t="s">
        <v>1499</v>
      </c>
      <c r="C1929" s="4" t="s">
        <v>1491</v>
      </c>
      <c r="D1929" s="1" t="n">
        <v>260.7</v>
      </c>
      <c r="E1929" s="1" t="n">
        <v>14.94</v>
      </c>
      <c r="F1929" s="1" t="n">
        <v>1.7</v>
      </c>
    </row>
    <row collapsed="false" customFormat="false" customHeight="false" hidden="false" ht="14.75" outlineLevel="0" r="1930">
      <c r="A1930" s="1" t="s">
        <v>1548</v>
      </c>
      <c r="B1930" s="1" t="s">
        <v>1499</v>
      </c>
      <c r="C1930" s="4" t="s">
        <v>1491</v>
      </c>
      <c r="D1930" s="1" t="n">
        <v>145.3</v>
      </c>
      <c r="E1930" s="1" t="n">
        <v>11.83</v>
      </c>
      <c r="F1930" s="1" t="n">
        <v>0.2</v>
      </c>
    </row>
    <row collapsed="false" customFormat="false" customHeight="false" hidden="false" ht="14.75" outlineLevel="0" r="1931">
      <c r="A1931" s="1" t="s">
        <v>1549</v>
      </c>
      <c r="B1931" s="1" t="s">
        <v>1499</v>
      </c>
      <c r="C1931" s="4" t="s">
        <v>1491</v>
      </c>
      <c r="D1931" s="1" t="n">
        <v>391.3</v>
      </c>
      <c r="E1931" s="1" t="n">
        <v>23.35</v>
      </c>
      <c r="F1931" s="1" t="n">
        <f aca="false">59/12</f>
        <v>4.91666666666667</v>
      </c>
    </row>
    <row collapsed="false" customFormat="false" customHeight="false" hidden="false" ht="14.75" outlineLevel="0" r="1932">
      <c r="A1932" s="1" t="s">
        <v>1550</v>
      </c>
      <c r="B1932" s="1" t="s">
        <v>1499</v>
      </c>
      <c r="C1932" s="4" t="s">
        <v>1491</v>
      </c>
      <c r="D1932" s="1" t="n">
        <v>154.5</v>
      </c>
      <c r="E1932" s="1" t="n">
        <v>14.06</v>
      </c>
      <c r="F1932" s="1" t="n">
        <v>1.1</v>
      </c>
    </row>
    <row collapsed="false" customFormat="false" customHeight="false" hidden="false" ht="14.75" outlineLevel="0" r="1933">
      <c r="A1933" s="1" t="s">
        <v>1551</v>
      </c>
      <c r="B1933" s="1" t="s">
        <v>1499</v>
      </c>
      <c r="C1933" s="4" t="s">
        <v>1491</v>
      </c>
      <c r="D1933" s="1" t="n">
        <v>212</v>
      </c>
      <c r="E1933" s="1" t="n">
        <v>10.77</v>
      </c>
      <c r="F1933" s="1" t="n">
        <v>0.8</v>
      </c>
    </row>
    <row collapsed="false" customFormat="false" customHeight="false" hidden="false" ht="14.75" outlineLevel="0" r="1934">
      <c r="A1934" s="1" t="s">
        <v>1552</v>
      </c>
      <c r="B1934" s="1" t="s">
        <v>1512</v>
      </c>
      <c r="C1934" s="1" t="s">
        <v>1491</v>
      </c>
      <c r="D1934" s="1" t="n">
        <v>51.5</v>
      </c>
      <c r="E1934" s="1" t="n">
        <v>7.67</v>
      </c>
      <c r="F1934" s="1" t="n">
        <v>0.5</v>
      </c>
    </row>
    <row collapsed="false" customFormat="false" customHeight="false" hidden="false" ht="14.75" outlineLevel="0" r="1935">
      <c r="A1935" s="1" t="s">
        <v>1553</v>
      </c>
      <c r="B1935" s="1" t="s">
        <v>1512</v>
      </c>
      <c r="C1935" s="1" t="s">
        <v>1491</v>
      </c>
      <c r="D1935" s="1" t="n">
        <v>76.5</v>
      </c>
      <c r="E1935" s="1" t="n">
        <v>6.12</v>
      </c>
      <c r="F1935" s="1" t="n">
        <v>0.3</v>
      </c>
    </row>
    <row collapsed="false" customFormat="false" customHeight="false" hidden="false" ht="14.75" outlineLevel="0" r="1936">
      <c r="A1936" s="1" t="s">
        <v>1554</v>
      </c>
      <c r="B1936" s="1" t="s">
        <v>1493</v>
      </c>
      <c r="C1936" s="1" t="s">
        <v>1491</v>
      </c>
      <c r="D1936" s="1" t="n">
        <v>207.5</v>
      </c>
      <c r="E1936" s="1" t="n">
        <v>17.02</v>
      </c>
      <c r="F1936" s="1" t="n">
        <f aca="false">12/9</f>
        <v>1.33333333333333</v>
      </c>
    </row>
    <row collapsed="false" customFormat="false" customHeight="false" hidden="false" ht="14.75" outlineLevel="0" r="1937">
      <c r="A1937" s="1" t="s">
        <v>1024</v>
      </c>
      <c r="B1937" s="4" t="s">
        <v>1490</v>
      </c>
      <c r="C1937" s="1" t="s">
        <v>1491</v>
      </c>
      <c r="D1937" s="1" t="n">
        <v>304.3</v>
      </c>
      <c r="E1937" s="1" t="n">
        <v>18.38</v>
      </c>
      <c r="F1937" s="1" t="n">
        <f aca="false">18/7</f>
        <v>2.57142857142857</v>
      </c>
    </row>
    <row collapsed="false" customFormat="false" customHeight="false" hidden="false" ht="14.75" outlineLevel="0" r="1938">
      <c r="A1938" s="1" t="s">
        <v>1025</v>
      </c>
      <c r="B1938" s="4" t="s">
        <v>1490</v>
      </c>
      <c r="C1938" s="1" t="s">
        <v>1491</v>
      </c>
      <c r="D1938" s="1" t="n">
        <v>301.9</v>
      </c>
      <c r="E1938" s="1" t="n">
        <v>17.08</v>
      </c>
      <c r="F1938" s="1" t="n">
        <f aca="false">18/8</f>
        <v>2.25</v>
      </c>
    </row>
    <row collapsed="false" customFormat="false" customHeight="false" hidden="false" ht="14.75" outlineLevel="0" r="1939">
      <c r="A1939" s="1" t="s">
        <v>1555</v>
      </c>
      <c r="B1939" s="1" t="s">
        <v>1496</v>
      </c>
      <c r="C1939" s="1" t="s">
        <v>1491</v>
      </c>
      <c r="D1939" s="1" t="n">
        <v>78</v>
      </c>
      <c r="E1939" s="1" t="n">
        <v>6.52</v>
      </c>
      <c r="F1939" s="1" t="n">
        <f aca="false">4/6</f>
        <v>0.666666666666667</v>
      </c>
    </row>
    <row collapsed="false" customFormat="false" customHeight="false" hidden="false" ht="14.75" outlineLevel="0" r="1940">
      <c r="A1940" s="1" t="s">
        <v>883</v>
      </c>
      <c r="B1940" s="1" t="s">
        <v>1494</v>
      </c>
      <c r="C1940" s="1" t="s">
        <v>1491</v>
      </c>
      <c r="D1940" s="1" t="n">
        <v>153.5</v>
      </c>
      <c r="E1940" s="1" t="n">
        <v>11.07</v>
      </c>
      <c r="F1940" s="1" t="n">
        <v>0.9</v>
      </c>
    </row>
    <row collapsed="false" customFormat="false" customHeight="false" hidden="false" ht="14.75" outlineLevel="0" r="1941">
      <c r="A1941" s="1" t="s">
        <v>884</v>
      </c>
      <c r="B1941" s="1" t="s">
        <v>1494</v>
      </c>
      <c r="C1941" s="1" t="s">
        <v>1491</v>
      </c>
      <c r="D1941" s="1" t="n">
        <v>138</v>
      </c>
      <c r="E1941" s="1" t="n">
        <v>10.74</v>
      </c>
      <c r="F1941" s="1" t="n">
        <v>0.7</v>
      </c>
    </row>
    <row collapsed="false" customFormat="false" customHeight="false" hidden="false" ht="14.75" outlineLevel="0" r="1942">
      <c r="A1942" s="1" t="s">
        <v>1556</v>
      </c>
      <c r="B1942" s="1" t="s">
        <v>1494</v>
      </c>
      <c r="C1942" s="1" t="s">
        <v>1491</v>
      </c>
      <c r="D1942" s="1" t="n">
        <v>92.5</v>
      </c>
      <c r="E1942" s="1" t="n">
        <v>10.21</v>
      </c>
      <c r="F1942" s="1" t="n">
        <v>0.6</v>
      </c>
    </row>
    <row collapsed="false" customFormat="false" customHeight="false" hidden="false" ht="14.75" outlineLevel="0" r="1943">
      <c r="A1943" s="1" t="s">
        <v>464</v>
      </c>
      <c r="B1943" s="1" t="s">
        <v>1493</v>
      </c>
      <c r="C1943" s="1" t="s">
        <v>1491</v>
      </c>
      <c r="D1943" s="1" t="n">
        <v>146.4</v>
      </c>
      <c r="E1943" s="1" t="n">
        <v>10</v>
      </c>
      <c r="F1943" s="1" t="n">
        <f aca="false">5/7</f>
        <v>0.714285714285714</v>
      </c>
    </row>
    <row collapsed="false" customFormat="false" customHeight="false" hidden="false" ht="14.75" outlineLevel="0" r="1944">
      <c r="A1944" s="1" t="s">
        <v>465</v>
      </c>
      <c r="B1944" s="1" t="s">
        <v>1493</v>
      </c>
      <c r="C1944" s="1" t="s">
        <v>1491</v>
      </c>
      <c r="D1944" s="1" t="n">
        <v>30.7</v>
      </c>
      <c r="E1944" s="1" t="n">
        <v>6.15</v>
      </c>
      <c r="F1944" s="1" t="n">
        <f aca="false">3/7</f>
        <v>0.428571428571429</v>
      </c>
    </row>
    <row collapsed="false" customFormat="false" customHeight="false" hidden="false" ht="14.75" outlineLevel="0" r="1945">
      <c r="A1945" s="1" t="s">
        <v>1031</v>
      </c>
      <c r="B1945" s="4" t="s">
        <v>1490</v>
      </c>
      <c r="C1945" s="1" t="s">
        <v>1491</v>
      </c>
      <c r="D1945" s="1" t="n">
        <v>225.6</v>
      </c>
      <c r="E1945" s="1" t="n">
        <v>15.14</v>
      </c>
      <c r="F1945" s="1" t="n">
        <f aca="false">7/8</f>
        <v>0.875</v>
      </c>
    </row>
    <row collapsed="false" customFormat="false" customHeight="false" hidden="false" ht="14.75" outlineLevel="0" r="1946">
      <c r="A1946" s="1" t="s">
        <v>1557</v>
      </c>
      <c r="B1946" s="1" t="s">
        <v>1504</v>
      </c>
      <c r="C1946" s="1" t="s">
        <v>1491</v>
      </c>
      <c r="D1946" s="1" t="n">
        <v>98.6</v>
      </c>
      <c r="E1946" s="1" t="n">
        <v>9.17</v>
      </c>
      <c r="F1946" s="1" t="n">
        <f aca="false">5/7</f>
        <v>0.714285714285714</v>
      </c>
    </row>
    <row collapsed="false" customFormat="false" customHeight="false" hidden="false" ht="14.75" outlineLevel="0" r="1947">
      <c r="A1947" s="1" t="s">
        <v>1558</v>
      </c>
      <c r="B1947" s="1" t="s">
        <v>1504</v>
      </c>
      <c r="C1947" s="1" t="s">
        <v>1491</v>
      </c>
      <c r="D1947" s="1" t="n">
        <v>56.4</v>
      </c>
      <c r="E1947" s="1" t="n">
        <v>9.58</v>
      </c>
      <c r="F1947" s="1" t="n">
        <f aca="false">1/7</f>
        <v>0.142857142857143</v>
      </c>
    </row>
    <row collapsed="false" customFormat="false" customHeight="false" hidden="false" ht="14.75" outlineLevel="0" r="1948">
      <c r="A1948" s="1" t="s">
        <v>467</v>
      </c>
      <c r="B1948" s="1" t="s">
        <v>1493</v>
      </c>
      <c r="C1948" s="1" t="s">
        <v>1491</v>
      </c>
      <c r="D1948" s="1" t="n">
        <v>72.5</v>
      </c>
      <c r="E1948" s="1" t="n">
        <v>6.73</v>
      </c>
      <c r="F1948" s="1" t="n">
        <f aca="false">3/7</f>
        <v>0.428571428571429</v>
      </c>
    </row>
    <row collapsed="false" customFormat="false" customHeight="false" hidden="false" ht="14.75" outlineLevel="0" r="1949">
      <c r="A1949" s="1" t="s">
        <v>1559</v>
      </c>
      <c r="B1949" s="1" t="s">
        <v>1512</v>
      </c>
      <c r="C1949" s="1" t="s">
        <v>1491</v>
      </c>
      <c r="D1949" s="1" t="n">
        <v>150</v>
      </c>
      <c r="E1949" s="1" t="n">
        <v>11.47</v>
      </c>
      <c r="F1949" s="1" t="n">
        <v>1.1</v>
      </c>
    </row>
    <row collapsed="false" customFormat="false" customHeight="false" hidden="false" ht="14.75" outlineLevel="0" r="1950">
      <c r="A1950" s="1" t="s">
        <v>1560</v>
      </c>
      <c r="B1950" s="1" t="s">
        <v>1493</v>
      </c>
      <c r="C1950" s="1" t="s">
        <v>1491</v>
      </c>
      <c r="D1950" s="1" t="n">
        <v>206.7</v>
      </c>
      <c r="E1950" s="1" t="n">
        <v>9.78</v>
      </c>
      <c r="F1950" s="1" t="n">
        <f aca="false">17/9</f>
        <v>1.88888888888889</v>
      </c>
    </row>
    <row collapsed="false" customFormat="false" customHeight="false" hidden="false" ht="14.75" outlineLevel="0" r="1951">
      <c r="A1951" s="1" t="s">
        <v>570</v>
      </c>
      <c r="B1951" s="1" t="s">
        <v>1496</v>
      </c>
      <c r="C1951" s="1" t="s">
        <v>1491</v>
      </c>
      <c r="D1951" s="1" t="n">
        <v>297.1</v>
      </c>
      <c r="E1951" s="1" t="n">
        <v>18.63</v>
      </c>
      <c r="F1951" s="1" t="n">
        <f aca="false">9/7</f>
        <v>1.28571428571429</v>
      </c>
    </row>
    <row collapsed="false" customFormat="false" customHeight="false" hidden="false" ht="14.75" outlineLevel="0" r="1952">
      <c r="A1952" s="1" t="s">
        <v>571</v>
      </c>
      <c r="B1952" s="1" t="s">
        <v>1496</v>
      </c>
      <c r="C1952" s="1" t="s">
        <v>1491</v>
      </c>
      <c r="D1952" s="1" t="n">
        <v>127.5</v>
      </c>
      <c r="E1952" s="1" t="n">
        <v>13.53</v>
      </c>
      <c r="F1952" s="1" t="n">
        <f aca="false">5/6</f>
        <v>0.833333333333333</v>
      </c>
    </row>
    <row collapsed="false" customFormat="false" customHeight="false" hidden="false" ht="14.75" outlineLevel="0" r="1953">
      <c r="A1953" s="1" t="s">
        <v>1561</v>
      </c>
      <c r="B1953" s="1" t="s">
        <v>1535</v>
      </c>
      <c r="C1953" s="1" t="s">
        <v>1491</v>
      </c>
      <c r="D1953" s="1" t="n">
        <v>345.5</v>
      </c>
      <c r="E1953" s="1" t="n">
        <v>16.02</v>
      </c>
      <c r="F1953" s="1" t="n">
        <v>4.6</v>
      </c>
    </row>
    <row collapsed="false" customFormat="false" customHeight="false" hidden="false" ht="14.75" outlineLevel="0" r="1954">
      <c r="A1954" s="1" t="s">
        <v>1562</v>
      </c>
      <c r="B1954" s="1" t="s">
        <v>1535</v>
      </c>
      <c r="C1954" s="1" t="s">
        <v>1491</v>
      </c>
      <c r="D1954" s="1" t="n">
        <v>225</v>
      </c>
      <c r="E1954" s="1" t="n">
        <v>15.2</v>
      </c>
      <c r="F1954" s="1" t="n">
        <f aca="false">11/9</f>
        <v>1.22222222222222</v>
      </c>
    </row>
    <row collapsed="false" customFormat="false" customHeight="false" hidden="false" ht="14.75" outlineLevel="0" r="1955">
      <c r="A1955" s="1" t="s">
        <v>1563</v>
      </c>
      <c r="B1955" s="1" t="s">
        <v>1535</v>
      </c>
      <c r="C1955" s="1" t="s">
        <v>1491</v>
      </c>
      <c r="D1955" s="1" t="n">
        <v>254.4</v>
      </c>
      <c r="E1955" s="1" t="n">
        <v>17.67</v>
      </c>
      <c r="F1955" s="1" t="n">
        <f aca="false">17/9</f>
        <v>1.88888888888889</v>
      </c>
    </row>
    <row collapsed="false" customFormat="false" customHeight="false" hidden="false" ht="14.75" outlineLevel="0" r="1956">
      <c r="A1956" s="1" t="s">
        <v>1564</v>
      </c>
      <c r="B1956" s="1" t="s">
        <v>1496</v>
      </c>
      <c r="C1956" s="1" t="s">
        <v>1491</v>
      </c>
      <c r="D1956" s="1" t="n">
        <v>424.4</v>
      </c>
      <c r="E1956" s="1" t="n">
        <v>20.85</v>
      </c>
      <c r="F1956" s="1" t="n">
        <f aca="false">41/8</f>
        <v>5.125</v>
      </c>
    </row>
    <row collapsed="false" customFormat="false" customHeight="false" hidden="false" ht="14.75" outlineLevel="0" r="1957">
      <c r="A1957" s="1" t="s">
        <v>1565</v>
      </c>
      <c r="B1957" s="1" t="s">
        <v>1496</v>
      </c>
      <c r="C1957" s="1" t="s">
        <v>1491</v>
      </c>
      <c r="D1957" s="1" t="n">
        <v>419.4</v>
      </c>
      <c r="E1957" s="1" t="n">
        <v>20.05</v>
      </c>
      <c r="F1957" s="1" t="n">
        <f aca="false">46/8</f>
        <v>5.75</v>
      </c>
    </row>
    <row collapsed="false" customFormat="false" customHeight="false" hidden="false" ht="14.75" outlineLevel="0" r="1958">
      <c r="A1958" s="1" t="s">
        <v>1566</v>
      </c>
      <c r="B1958" s="1" t="s">
        <v>1496</v>
      </c>
      <c r="C1958" s="1" t="s">
        <v>1491</v>
      </c>
      <c r="D1958" s="1" t="n">
        <v>354.4</v>
      </c>
      <c r="E1958" s="1" t="n">
        <v>18.37</v>
      </c>
      <c r="F1958" s="1" t="n">
        <f aca="false">27/8</f>
        <v>3.375</v>
      </c>
    </row>
    <row collapsed="false" customFormat="false" customHeight="false" hidden="false" ht="14.75" outlineLevel="0" r="1959">
      <c r="A1959" s="1" t="s">
        <v>1567</v>
      </c>
      <c r="B1959" s="1" t="s">
        <v>1496</v>
      </c>
      <c r="C1959" s="1" t="s">
        <v>1491</v>
      </c>
      <c r="D1959" s="1" t="n">
        <v>393.3</v>
      </c>
      <c r="E1959" s="1" t="n">
        <v>19.91</v>
      </c>
      <c r="F1959" s="1" t="n">
        <f aca="false">48/9</f>
        <v>5.33333333333333</v>
      </c>
    </row>
    <row collapsed="false" customFormat="false" customHeight="false" hidden="false" ht="14.75" outlineLevel="0" r="1960">
      <c r="A1960" s="1" t="s">
        <v>1568</v>
      </c>
      <c r="B1960" s="4" t="s">
        <v>1490</v>
      </c>
      <c r="C1960" s="1" t="s">
        <v>1491</v>
      </c>
      <c r="D1960" s="1" t="n">
        <v>145.6</v>
      </c>
      <c r="E1960" s="1" t="n">
        <v>9.19</v>
      </c>
      <c r="F1960" s="1" t="n">
        <f aca="false">6/8</f>
        <v>0.75</v>
      </c>
    </row>
    <row collapsed="false" customFormat="false" customHeight="false" hidden="false" ht="14.75" outlineLevel="0" r="1961">
      <c r="A1961" s="1" t="s">
        <v>1569</v>
      </c>
      <c r="B1961" s="4" t="s">
        <v>1490</v>
      </c>
      <c r="C1961" s="1" t="s">
        <v>1491</v>
      </c>
      <c r="D1961" s="1" t="n">
        <v>76.9</v>
      </c>
      <c r="E1961" s="1" t="n">
        <v>6.32</v>
      </c>
      <c r="F1961" s="1" t="n">
        <f aca="false">3/8</f>
        <v>0.375</v>
      </c>
    </row>
    <row collapsed="false" customFormat="false" customHeight="false" hidden="false" ht="14.75" outlineLevel="0" r="1962">
      <c r="A1962" s="1" t="s">
        <v>1570</v>
      </c>
      <c r="B1962" s="4" t="s">
        <v>1490</v>
      </c>
      <c r="C1962" s="1" t="s">
        <v>1491</v>
      </c>
      <c r="D1962" s="1" t="n">
        <v>29.4</v>
      </c>
      <c r="E1962" s="1" t="n">
        <v>2.11</v>
      </c>
      <c r="F1962" s="1" t="n">
        <f aca="false">1/8</f>
        <v>0.125</v>
      </c>
    </row>
    <row collapsed="false" customFormat="false" customHeight="false" hidden="false" ht="14.75" outlineLevel="0" r="1963">
      <c r="A1963" s="1" t="s">
        <v>1422</v>
      </c>
      <c r="B1963" s="4" t="s">
        <v>1490</v>
      </c>
      <c r="C1963" s="1" t="s">
        <v>1491</v>
      </c>
      <c r="D1963" s="1" t="n">
        <v>173.6</v>
      </c>
      <c r="E1963" s="1" t="n">
        <v>13.56</v>
      </c>
      <c r="F1963" s="1" t="n">
        <f aca="false">10/7</f>
        <v>1.42857142857143</v>
      </c>
    </row>
    <row collapsed="false" customFormat="false" customHeight="false" hidden="false" ht="14.75" outlineLevel="0" r="1964">
      <c r="A1964" s="1" t="s">
        <v>151</v>
      </c>
      <c r="B1964" s="1" t="s">
        <v>1517</v>
      </c>
      <c r="C1964" s="1" t="s">
        <v>1491</v>
      </c>
      <c r="D1964" s="1" t="n">
        <v>329</v>
      </c>
      <c r="E1964" s="1" t="n">
        <v>19</v>
      </c>
      <c r="F1964" s="1" t="n">
        <v>4</v>
      </c>
    </row>
    <row collapsed="false" customFormat="false" customHeight="false" hidden="false" ht="14.75" outlineLevel="0" r="1965">
      <c r="A1965" s="1" t="s">
        <v>152</v>
      </c>
      <c r="B1965" s="1" t="s">
        <v>1517</v>
      </c>
      <c r="C1965" s="1" t="s">
        <v>1491</v>
      </c>
      <c r="D1965" s="1" t="n">
        <v>258.52</v>
      </c>
      <c r="E1965" s="1" t="n">
        <v>18.6931818181818</v>
      </c>
      <c r="F1965" s="1" t="n">
        <v>1.83333333333333</v>
      </c>
    </row>
    <row collapsed="false" customFormat="false" customHeight="false" hidden="false" ht="14.75" outlineLevel="0" r="1966">
      <c r="A1966" s="1" t="s">
        <v>654</v>
      </c>
      <c r="B1966" s="1" t="s">
        <v>1517</v>
      </c>
      <c r="C1966" s="1" t="s">
        <v>1491</v>
      </c>
      <c r="D1966" s="1" t="n">
        <v>220.02</v>
      </c>
      <c r="E1966" s="1" t="n">
        <v>14.8823529411765</v>
      </c>
      <c r="F1966" s="1" t="n">
        <v>1.66666666666667</v>
      </c>
    </row>
    <row collapsed="false" customFormat="false" customHeight="false" hidden="false" ht="14.75" outlineLevel="0" r="1967">
      <c r="A1967" s="1" t="s">
        <v>1571</v>
      </c>
      <c r="B1967" s="1" t="s">
        <v>1517</v>
      </c>
      <c r="C1967" s="1" t="s">
        <v>1491</v>
      </c>
      <c r="D1967" s="1" t="n">
        <v>120.54</v>
      </c>
      <c r="E1967" s="1" t="n">
        <v>10.1666666666667</v>
      </c>
      <c r="F1967" s="1" t="n">
        <v>0.333333333333333</v>
      </c>
    </row>
    <row collapsed="false" customFormat="false" customHeight="false" hidden="false" ht="14.75" outlineLevel="0" r="1968">
      <c r="A1968" s="1" t="s">
        <v>1572</v>
      </c>
      <c r="B1968" s="1" t="s">
        <v>1512</v>
      </c>
      <c r="C1968" s="1" t="s">
        <v>1491</v>
      </c>
      <c r="D1968" s="1" t="n">
        <v>87.5</v>
      </c>
      <c r="E1968" s="1" t="n">
        <v>11.54</v>
      </c>
      <c r="F1968" s="1" t="n">
        <v>0.5</v>
      </c>
    </row>
    <row collapsed="false" customFormat="false" customHeight="false" hidden="false" ht="14.75" outlineLevel="0" r="1969">
      <c r="A1969" s="1" t="s">
        <v>1573</v>
      </c>
      <c r="B1969" s="4" t="s">
        <v>1490</v>
      </c>
      <c r="C1969" s="1" t="s">
        <v>1491</v>
      </c>
      <c r="D1969" s="1" t="n">
        <v>221.2</v>
      </c>
      <c r="E1969" s="1" t="n">
        <v>16.77</v>
      </c>
      <c r="F1969" s="1" t="n">
        <f aca="false">18/8</f>
        <v>2.25</v>
      </c>
    </row>
    <row collapsed="false" customFormat="false" customHeight="false" hidden="false" ht="14.75" outlineLevel="0" r="1970">
      <c r="A1970" s="1" t="s">
        <v>1574</v>
      </c>
      <c r="B1970" s="1" t="s">
        <v>1494</v>
      </c>
      <c r="C1970" s="1" t="s">
        <v>1491</v>
      </c>
      <c r="D1970" s="1" t="n">
        <v>166</v>
      </c>
      <c r="E1970" s="1" t="n">
        <v>15.37</v>
      </c>
      <c r="F1970" s="1" t="n">
        <v>0.4</v>
      </c>
    </row>
    <row collapsed="false" customFormat="false" customHeight="false" hidden="false" ht="14.75" outlineLevel="0" r="1971">
      <c r="A1971" s="1" t="s">
        <v>1046</v>
      </c>
      <c r="B1971" s="1" t="s">
        <v>1494</v>
      </c>
      <c r="C1971" s="1" t="s">
        <v>1491</v>
      </c>
      <c r="D1971" s="1" t="n">
        <v>271.5</v>
      </c>
      <c r="E1971" s="1" t="n">
        <v>16.47</v>
      </c>
      <c r="F1971" s="1" t="n">
        <v>2.4</v>
      </c>
    </row>
    <row collapsed="false" customFormat="false" customHeight="false" hidden="false" ht="14.75" outlineLevel="0" r="1972">
      <c r="A1972" s="1" t="s">
        <v>1047</v>
      </c>
      <c r="B1972" s="1" t="s">
        <v>1494</v>
      </c>
      <c r="C1972" s="1" t="s">
        <v>1491</v>
      </c>
      <c r="D1972" s="1" t="n">
        <v>255</v>
      </c>
      <c r="E1972" s="1" t="n">
        <v>15.3</v>
      </c>
      <c r="F1972" s="1" t="n">
        <v>2.5</v>
      </c>
    </row>
    <row collapsed="false" customFormat="false" customHeight="false" hidden="false" ht="14.75" outlineLevel="0" r="1973">
      <c r="A1973" s="1" t="s">
        <v>1048</v>
      </c>
      <c r="B1973" s="1" t="s">
        <v>1494</v>
      </c>
      <c r="C1973" s="1" t="s">
        <v>1491</v>
      </c>
      <c r="D1973" s="1" t="n">
        <v>116</v>
      </c>
      <c r="E1973" s="1" t="n">
        <v>8.44</v>
      </c>
      <c r="F1973" s="1" t="n">
        <v>0.5</v>
      </c>
    </row>
    <row collapsed="false" customFormat="false" customHeight="false" hidden="false" ht="14.75" outlineLevel="0" r="1974">
      <c r="A1974" s="1" t="s">
        <v>1575</v>
      </c>
      <c r="B1974" s="1" t="s">
        <v>1493</v>
      </c>
      <c r="C1974" s="1" t="s">
        <v>1491</v>
      </c>
      <c r="D1974" s="1" t="n">
        <v>121.2</v>
      </c>
      <c r="E1974" s="1" t="n">
        <v>9.23</v>
      </c>
      <c r="F1974" s="1" t="n">
        <v>0.5</v>
      </c>
    </row>
    <row collapsed="false" customFormat="false" customHeight="false" hidden="false" ht="14.75" outlineLevel="0" r="1975">
      <c r="A1975" s="1" t="s">
        <v>158</v>
      </c>
      <c r="B1975" s="1" t="s">
        <v>1512</v>
      </c>
      <c r="C1975" s="1" t="s">
        <v>1491</v>
      </c>
      <c r="D1975" s="1" t="n">
        <v>293.5</v>
      </c>
      <c r="E1975" s="1" t="n">
        <v>19.5</v>
      </c>
      <c r="F1975" s="1" t="n">
        <v>1.9</v>
      </c>
    </row>
    <row collapsed="false" customFormat="false" customHeight="false" hidden="false" ht="14.75" outlineLevel="0" r="1976">
      <c r="A1976" s="1" t="s">
        <v>159</v>
      </c>
      <c r="B1976" s="1" t="s">
        <v>1512</v>
      </c>
      <c r="C1976" s="1" t="s">
        <v>1491</v>
      </c>
      <c r="D1976" s="1" t="n">
        <v>367.5</v>
      </c>
      <c r="E1976" s="1" t="n">
        <v>18.64</v>
      </c>
      <c r="F1976" s="1" t="n">
        <v>3.1</v>
      </c>
    </row>
    <row collapsed="false" customFormat="false" customHeight="false" hidden="false" ht="14.75" outlineLevel="0" r="1977">
      <c r="A1977" s="1" t="s">
        <v>1576</v>
      </c>
      <c r="B1977" s="1" t="s">
        <v>1512</v>
      </c>
      <c r="C1977" s="1" t="s">
        <v>1491</v>
      </c>
      <c r="D1977" s="1" t="n">
        <v>155.5</v>
      </c>
      <c r="E1977" s="1" t="n">
        <v>14.7</v>
      </c>
      <c r="F1977" s="1" t="n">
        <v>1</v>
      </c>
    </row>
    <row collapsed="false" customFormat="false" customHeight="false" hidden="false" ht="14.75" outlineLevel="0" r="1978">
      <c r="A1978" s="1" t="s">
        <v>161</v>
      </c>
      <c r="B1978" s="1" t="s">
        <v>1517</v>
      </c>
      <c r="C1978" s="1" t="s">
        <v>1491</v>
      </c>
      <c r="D1978" s="1" t="n">
        <v>258.48</v>
      </c>
      <c r="E1978" s="1" t="n">
        <v>16.0714285714286</v>
      </c>
      <c r="F1978" s="1" t="n">
        <v>3</v>
      </c>
    </row>
    <row collapsed="false" customFormat="false" customHeight="false" hidden="false" ht="14.75" outlineLevel="0" r="1979">
      <c r="A1979" s="1" t="s">
        <v>162</v>
      </c>
      <c r="B1979" s="1" t="s">
        <v>1517</v>
      </c>
      <c r="C1979" s="1" t="s">
        <v>1491</v>
      </c>
      <c r="D1979" s="1" t="n">
        <v>111.1</v>
      </c>
      <c r="E1979" s="1" t="n">
        <v>9.61538461538462</v>
      </c>
      <c r="F1979" s="1" t="n">
        <v>0.166666666666667</v>
      </c>
    </row>
    <row collapsed="false" customFormat="false" customHeight="false" hidden="false" ht="14.75" outlineLevel="0" r="1980">
      <c r="A1980" s="1" t="s">
        <v>363</v>
      </c>
      <c r="B1980" s="1" t="s">
        <v>1517</v>
      </c>
      <c r="C1980" s="1" t="s">
        <v>1491</v>
      </c>
      <c r="D1980" s="1" t="n">
        <v>66.1</v>
      </c>
      <c r="E1980" s="1" t="n">
        <v>6.80555555555556</v>
      </c>
      <c r="F1980" s="1" t="n">
        <v>0.666666666666667</v>
      </c>
    </row>
    <row collapsed="false" customFormat="false" customHeight="false" hidden="false" ht="14.75" outlineLevel="0" r="1981">
      <c r="A1981" s="1" t="s">
        <v>1577</v>
      </c>
      <c r="B1981" s="1" t="s">
        <v>1499</v>
      </c>
      <c r="C1981" s="4" t="s">
        <v>1491</v>
      </c>
      <c r="D1981" s="1" t="n">
        <v>40</v>
      </c>
      <c r="E1981" s="1" t="n">
        <v>5.68</v>
      </c>
      <c r="F1981" s="1" t="n">
        <v>0.3</v>
      </c>
    </row>
    <row collapsed="false" customFormat="false" customHeight="false" hidden="false" ht="14.75" outlineLevel="0" r="1982">
      <c r="A1982" s="1" t="s">
        <v>1578</v>
      </c>
      <c r="B1982" s="1" t="s">
        <v>1499</v>
      </c>
      <c r="C1982" s="4" t="s">
        <v>1491</v>
      </c>
      <c r="D1982" s="1" t="n">
        <v>216.5</v>
      </c>
      <c r="E1982" s="1" t="n">
        <v>14.29</v>
      </c>
      <c r="F1982" s="1" t="n">
        <v>1.2</v>
      </c>
    </row>
    <row collapsed="false" customFormat="false" customHeight="false" hidden="false" ht="14.75" outlineLevel="0" r="1983">
      <c r="A1983" s="1" t="s">
        <v>1579</v>
      </c>
      <c r="B1983" s="1" t="s">
        <v>1499</v>
      </c>
      <c r="C1983" s="4" t="s">
        <v>1491</v>
      </c>
      <c r="D1983" s="1" t="n">
        <v>117.3</v>
      </c>
      <c r="E1983" s="1" t="n">
        <v>9.35</v>
      </c>
      <c r="F1983" s="1" t="n">
        <v>0.2</v>
      </c>
    </row>
    <row collapsed="false" customFormat="false" customHeight="false" hidden="false" ht="14.75" outlineLevel="0" r="1984">
      <c r="A1984" s="1" t="s">
        <v>364</v>
      </c>
      <c r="B1984" s="1" t="s">
        <v>1499</v>
      </c>
      <c r="C1984" s="4" t="s">
        <v>1491</v>
      </c>
      <c r="D1984" s="1" t="n">
        <v>337.7</v>
      </c>
      <c r="E1984" s="1" t="n">
        <v>20.64</v>
      </c>
      <c r="F1984" s="1" t="n">
        <f aca="false">37/12</f>
        <v>3.08333333333333</v>
      </c>
    </row>
    <row collapsed="false" customFormat="false" customHeight="false" hidden="false" ht="14.75" outlineLevel="0" r="1985">
      <c r="A1985" s="1" t="s">
        <v>1580</v>
      </c>
      <c r="B1985" s="1" t="s">
        <v>1493</v>
      </c>
      <c r="C1985" s="1" t="s">
        <v>1491</v>
      </c>
      <c r="D1985" s="1" t="n">
        <v>285.7</v>
      </c>
      <c r="E1985" s="1" t="n">
        <v>17.7</v>
      </c>
      <c r="F1985" s="1" t="n">
        <v>1.8</v>
      </c>
    </row>
    <row collapsed="false" customFormat="false" customHeight="false" hidden="false" ht="14.75" outlineLevel="0" r="1986">
      <c r="A1986" s="1" t="s">
        <v>1581</v>
      </c>
      <c r="B1986" s="1" t="s">
        <v>1493</v>
      </c>
      <c r="C1986" s="1" t="s">
        <v>1491</v>
      </c>
      <c r="D1986" s="1" t="n">
        <v>148.3</v>
      </c>
      <c r="E1986" s="1" t="n">
        <v>12.07</v>
      </c>
      <c r="F1986" s="1" t="n">
        <f aca="false">5/7</f>
        <v>0.714285714285714</v>
      </c>
    </row>
    <row collapsed="false" customFormat="false" customHeight="false" hidden="false" ht="14.75" outlineLevel="0" r="1987">
      <c r="A1987" s="1" t="s">
        <v>266</v>
      </c>
      <c r="B1987" s="1" t="s">
        <v>1499</v>
      </c>
      <c r="C1987" s="4" t="s">
        <v>1491</v>
      </c>
      <c r="D1987" s="1" t="n">
        <v>423.6</v>
      </c>
      <c r="E1987" s="1" t="n">
        <v>21.91</v>
      </c>
      <c r="F1987" s="1" t="n">
        <f aca="false">57/11</f>
        <v>5.18181818181818</v>
      </c>
    </row>
    <row collapsed="false" customFormat="false" customHeight="false" hidden="false" ht="14.75" outlineLevel="0" r="1988">
      <c r="A1988" s="1" t="s">
        <v>267</v>
      </c>
      <c r="B1988" s="1" t="s">
        <v>1499</v>
      </c>
      <c r="C1988" s="4" t="s">
        <v>1491</v>
      </c>
      <c r="D1988" s="1" t="n">
        <v>195</v>
      </c>
      <c r="E1988" s="1" t="n">
        <v>14.44</v>
      </c>
      <c r="F1988" s="1" t="n">
        <v>1.9</v>
      </c>
    </row>
    <row collapsed="false" customFormat="false" customHeight="false" hidden="false" ht="14.75" outlineLevel="0" r="1989">
      <c r="A1989" s="1" t="s">
        <v>715</v>
      </c>
      <c r="B1989" s="1" t="s">
        <v>1499</v>
      </c>
      <c r="C1989" s="4" t="s">
        <v>1491</v>
      </c>
      <c r="D1989" s="1" t="n">
        <v>127.1</v>
      </c>
      <c r="E1989" s="1" t="n">
        <v>10.7</v>
      </c>
      <c r="F1989" s="1" t="n">
        <v>0.5</v>
      </c>
    </row>
    <row collapsed="false" customFormat="false" customHeight="false" hidden="false" ht="14.75" outlineLevel="0" r="1990">
      <c r="A1990" s="1" t="s">
        <v>1582</v>
      </c>
      <c r="B1990" s="1" t="s">
        <v>1499</v>
      </c>
      <c r="C1990" s="4" t="s">
        <v>1491</v>
      </c>
      <c r="D1990" s="1" t="n">
        <v>131.3</v>
      </c>
      <c r="E1990" s="1" t="n">
        <v>8.8</v>
      </c>
      <c r="F1990" s="1" t="n">
        <v>0.2</v>
      </c>
    </row>
    <row collapsed="false" customFormat="false" customHeight="false" hidden="false" ht="14.75" outlineLevel="0" r="1991">
      <c r="A1991" s="1" t="s">
        <v>1583</v>
      </c>
      <c r="B1991" s="1" t="s">
        <v>1499</v>
      </c>
      <c r="C1991" s="4" t="s">
        <v>1491</v>
      </c>
      <c r="D1991" s="1" t="n">
        <v>110</v>
      </c>
      <c r="E1991" s="1" t="n">
        <v>8</v>
      </c>
      <c r="F1991" s="1" t="n">
        <v>0.4</v>
      </c>
    </row>
    <row collapsed="false" customFormat="false" customHeight="false" hidden="false" ht="14.75" outlineLevel="0" r="1992">
      <c r="A1992" s="1" t="s">
        <v>1584</v>
      </c>
      <c r="B1992" s="1" t="s">
        <v>1499</v>
      </c>
      <c r="C1992" s="4" t="s">
        <v>1491</v>
      </c>
      <c r="D1992" s="1" t="n">
        <v>54.6</v>
      </c>
      <c r="E1992" s="1" t="n">
        <v>4.58</v>
      </c>
      <c r="F1992" s="1" t="n">
        <f aca="false">2/8</f>
        <v>0.25</v>
      </c>
    </row>
    <row collapsed="false" customFormat="false" customHeight="false" hidden="false" ht="14.75" outlineLevel="0" r="1993">
      <c r="A1993" s="1" t="s">
        <v>1585</v>
      </c>
      <c r="B1993" s="1" t="s">
        <v>1535</v>
      </c>
      <c r="C1993" s="1" t="s">
        <v>1491</v>
      </c>
      <c r="D1993" s="1" t="n">
        <v>148.3</v>
      </c>
      <c r="E1993" s="1" t="n">
        <v>13.39</v>
      </c>
      <c r="F1993" s="1" t="n">
        <f aca="false">13/9</f>
        <v>1.44444444444444</v>
      </c>
    </row>
    <row collapsed="false" customFormat="false" customHeight="false" hidden="false" ht="14.75" outlineLevel="0" r="1994">
      <c r="A1994" s="1" t="s">
        <v>1586</v>
      </c>
      <c r="B1994" s="1" t="s">
        <v>1535</v>
      </c>
      <c r="C1994" s="1" t="s">
        <v>1491</v>
      </c>
      <c r="D1994" s="1" t="n">
        <v>95</v>
      </c>
      <c r="E1994" s="1" t="n">
        <v>8.52</v>
      </c>
      <c r="F1994" s="1" t="n">
        <f aca="false">5/6</f>
        <v>0.833333333333333</v>
      </c>
    </row>
    <row collapsed="false" customFormat="false" customHeight="false" hidden="false" ht="14.75" outlineLevel="0" r="1995">
      <c r="A1995" s="1" t="s">
        <v>1587</v>
      </c>
      <c r="B1995" s="1" t="s">
        <v>1535</v>
      </c>
      <c r="C1995" s="1" t="s">
        <v>1491</v>
      </c>
      <c r="D1995" s="1" t="n">
        <v>20</v>
      </c>
      <c r="E1995" s="1" t="n">
        <v>6.67</v>
      </c>
      <c r="F1995" s="1" t="n">
        <f aca="false">1/6</f>
        <v>0.166666666666667</v>
      </c>
    </row>
    <row collapsed="false" customFormat="false" customHeight="false" hidden="false" ht="14.75" outlineLevel="0" r="1996">
      <c r="A1996" s="1" t="s">
        <v>269</v>
      </c>
      <c r="B1996" s="1" t="s">
        <v>1499</v>
      </c>
      <c r="C1996" s="4" t="s">
        <v>1491</v>
      </c>
      <c r="D1996" s="1" t="n">
        <v>142.5</v>
      </c>
      <c r="E1996" s="1" t="n">
        <v>10.34</v>
      </c>
      <c r="F1996" s="1" t="n">
        <v>0.7</v>
      </c>
    </row>
    <row collapsed="false" customFormat="false" customHeight="false" hidden="false" ht="14.75" outlineLevel="0" r="1997">
      <c r="A1997" s="1" t="s">
        <v>1588</v>
      </c>
      <c r="B1997" s="1" t="s">
        <v>1499</v>
      </c>
      <c r="C1997" s="4" t="s">
        <v>1491</v>
      </c>
      <c r="D1997" s="1" t="n">
        <v>79.3</v>
      </c>
      <c r="E1997" s="1" t="n">
        <v>7.7</v>
      </c>
      <c r="F1997" s="1" t="n">
        <v>0.4</v>
      </c>
    </row>
    <row collapsed="false" customFormat="false" customHeight="false" hidden="false" ht="14.75" outlineLevel="0" r="1998">
      <c r="A1998" s="1" t="s">
        <v>1055</v>
      </c>
      <c r="B1998" s="1" t="s">
        <v>1493</v>
      </c>
      <c r="C1998" s="1" t="s">
        <v>1491</v>
      </c>
      <c r="D1998" s="1" t="n">
        <v>90</v>
      </c>
      <c r="E1998" s="1" t="n">
        <v>8</v>
      </c>
      <c r="F1998" s="1" t="n">
        <f aca="false">3/7</f>
        <v>0.428571428571429</v>
      </c>
    </row>
    <row collapsed="false" customFormat="false" customHeight="false" hidden="false" ht="14.75" outlineLevel="0" r="1999">
      <c r="A1999" s="1" t="s">
        <v>1055</v>
      </c>
      <c r="B1999" s="1" t="s">
        <v>1499</v>
      </c>
      <c r="C1999" s="4" t="s">
        <v>1491</v>
      </c>
      <c r="D1999" s="1" t="n">
        <v>160.7</v>
      </c>
      <c r="E1999" s="1" t="n">
        <v>12.91</v>
      </c>
      <c r="F1999" s="1" t="n">
        <v>1.2</v>
      </c>
    </row>
    <row collapsed="false" customFormat="false" customHeight="false" hidden="false" ht="14.75" outlineLevel="0" r="2000">
      <c r="A2000" s="1" t="s">
        <v>1056</v>
      </c>
      <c r="B2000" s="1" t="s">
        <v>1493</v>
      </c>
      <c r="C2000" s="1" t="s">
        <v>1491</v>
      </c>
      <c r="D2000" s="1" t="n">
        <v>113.6</v>
      </c>
      <c r="E2000" s="1" t="n">
        <v>9.02</v>
      </c>
      <c r="F2000" s="1" t="n">
        <f aca="false">4/7</f>
        <v>0.571428571428571</v>
      </c>
    </row>
    <row collapsed="false" customFormat="false" customHeight="false" hidden="false" ht="14.75" outlineLevel="0" r="2001">
      <c r="A2001" s="1" t="s">
        <v>1589</v>
      </c>
      <c r="B2001" s="1" t="s">
        <v>1499</v>
      </c>
      <c r="C2001" s="4" t="s">
        <v>1491</v>
      </c>
      <c r="D2001" s="1" t="n">
        <v>246</v>
      </c>
      <c r="E2001" s="1" t="n">
        <v>11.55</v>
      </c>
      <c r="F2001" s="1" t="n">
        <v>1.8</v>
      </c>
    </row>
    <row collapsed="false" customFormat="false" customHeight="false" hidden="false" ht="14.75" outlineLevel="0" r="2002">
      <c r="A2002" s="1" t="s">
        <v>1590</v>
      </c>
      <c r="B2002" s="1" t="s">
        <v>1499</v>
      </c>
      <c r="C2002" s="4" t="s">
        <v>1491</v>
      </c>
      <c r="D2002" s="1" t="n">
        <v>138</v>
      </c>
      <c r="E2002" s="1" t="n">
        <v>9.26</v>
      </c>
      <c r="F2002" s="1" t="n">
        <v>0.3</v>
      </c>
    </row>
    <row collapsed="false" customFormat="false" customHeight="false" hidden="false" ht="14.75" outlineLevel="0" r="2003">
      <c r="A2003" s="1" t="s">
        <v>1591</v>
      </c>
      <c r="B2003" s="1" t="s">
        <v>1535</v>
      </c>
      <c r="C2003" s="1" t="s">
        <v>1491</v>
      </c>
      <c r="D2003" s="1" t="n">
        <v>145</v>
      </c>
      <c r="E2003" s="1" t="n">
        <v>13.21</v>
      </c>
      <c r="F2003" s="1" t="n">
        <f aca="false">5/6</f>
        <v>0.833333333333333</v>
      </c>
    </row>
    <row collapsed="false" customFormat="false" customHeight="false" hidden="false" ht="14.75" outlineLevel="0" r="2004">
      <c r="A2004" s="1" t="s">
        <v>1592</v>
      </c>
      <c r="B2004" s="1" t="s">
        <v>1535</v>
      </c>
      <c r="C2004" s="1" t="s">
        <v>1491</v>
      </c>
      <c r="D2004" s="1" t="n">
        <v>91.7</v>
      </c>
      <c r="E2004" s="1" t="n">
        <v>9.48</v>
      </c>
      <c r="F2004" s="1" t="n">
        <v>1</v>
      </c>
    </row>
    <row collapsed="false" customFormat="false" customHeight="false" hidden="false" ht="14.75" outlineLevel="0" r="2005">
      <c r="A2005" s="1" t="s">
        <v>1593</v>
      </c>
      <c r="B2005" s="1" t="s">
        <v>1535</v>
      </c>
      <c r="C2005" s="1" t="s">
        <v>1491</v>
      </c>
      <c r="D2005" s="1" t="n">
        <v>237.2</v>
      </c>
      <c r="E2005" s="1" t="n">
        <v>15.73</v>
      </c>
      <c r="F2005" s="1" t="n">
        <v>1</v>
      </c>
    </row>
    <row collapsed="false" customFormat="false" customHeight="false" hidden="false" ht="14.75" outlineLevel="0" r="2006">
      <c r="A2006" s="1" t="s">
        <v>376</v>
      </c>
      <c r="B2006" s="1" t="s">
        <v>1512</v>
      </c>
      <c r="C2006" s="1" t="s">
        <v>1491</v>
      </c>
      <c r="D2006" s="1" t="n">
        <v>354</v>
      </c>
      <c r="E2006" s="1" t="n">
        <v>19</v>
      </c>
      <c r="F2006" s="1" t="n">
        <v>3.6</v>
      </c>
    </row>
    <row collapsed="false" customFormat="false" customHeight="false" hidden="false" ht="14.75" outlineLevel="0" r="2007">
      <c r="A2007" s="1" t="s">
        <v>377</v>
      </c>
      <c r="B2007" s="1" t="s">
        <v>1512</v>
      </c>
      <c r="C2007" s="1" t="s">
        <v>1491</v>
      </c>
      <c r="D2007" s="1" t="n">
        <v>321</v>
      </c>
      <c r="E2007" s="1" t="n">
        <v>19.07</v>
      </c>
      <c r="F2007" s="1" t="n">
        <v>3</v>
      </c>
    </row>
    <row collapsed="false" customFormat="false" customHeight="false" hidden="false" ht="14.75" outlineLevel="0" r="2008">
      <c r="A2008" s="1" t="s">
        <v>378</v>
      </c>
      <c r="B2008" s="1" t="s">
        <v>1512</v>
      </c>
      <c r="C2008" s="1" t="s">
        <v>1491</v>
      </c>
      <c r="D2008" s="1" t="n">
        <v>271</v>
      </c>
      <c r="E2008" s="1" t="n">
        <v>16.1</v>
      </c>
      <c r="F2008" s="1" t="n">
        <v>1.8</v>
      </c>
    </row>
    <row collapsed="false" customFormat="false" customHeight="false" hidden="false" ht="14.75" outlineLevel="0" r="2009">
      <c r="A2009" s="1" t="s">
        <v>936</v>
      </c>
      <c r="B2009" s="1" t="s">
        <v>1512</v>
      </c>
      <c r="C2009" s="1" t="s">
        <v>1491</v>
      </c>
      <c r="D2009" s="1" t="n">
        <v>160.5</v>
      </c>
      <c r="E2009" s="1" t="n">
        <v>13.33</v>
      </c>
      <c r="F2009" s="1" t="n">
        <v>1</v>
      </c>
    </row>
    <row collapsed="false" customFormat="false" customHeight="false" hidden="false" ht="14.75" outlineLevel="0" r="2010">
      <c r="A2010" s="1" t="s">
        <v>1594</v>
      </c>
      <c r="B2010" s="1" t="s">
        <v>1512</v>
      </c>
      <c r="C2010" s="1" t="s">
        <v>1491</v>
      </c>
      <c r="D2010" s="1" t="n">
        <v>144</v>
      </c>
      <c r="E2010" s="1" t="n">
        <v>10.86</v>
      </c>
      <c r="F2010" s="1" t="n">
        <v>1.4</v>
      </c>
    </row>
    <row collapsed="false" customFormat="false" customHeight="false" hidden="false" ht="14.75" outlineLevel="0" r="2011">
      <c r="A2011" s="1" t="s">
        <v>1595</v>
      </c>
      <c r="B2011" s="1" t="s">
        <v>1512</v>
      </c>
      <c r="C2011" s="1" t="s">
        <v>1491</v>
      </c>
      <c r="D2011" s="1" t="n">
        <v>72.5</v>
      </c>
      <c r="E2011" s="1" t="n">
        <v>5.96</v>
      </c>
      <c r="F2011" s="1" t="n">
        <v>0.5</v>
      </c>
    </row>
    <row collapsed="false" customFormat="false" customHeight="false" hidden="false" ht="14.75" outlineLevel="0" r="2012">
      <c r="A2012" s="1" t="s">
        <v>1596</v>
      </c>
      <c r="B2012" s="4" t="s">
        <v>1490</v>
      </c>
      <c r="C2012" s="1" t="s">
        <v>1491</v>
      </c>
      <c r="D2012" s="1" t="n">
        <v>134.3</v>
      </c>
      <c r="E2012" s="1" t="n">
        <v>11.11</v>
      </c>
      <c r="F2012" s="1" t="n">
        <v>1</v>
      </c>
    </row>
    <row collapsed="false" customFormat="false" customHeight="false" hidden="false" ht="14.75" outlineLevel="0" r="2013">
      <c r="A2013" s="1" t="s">
        <v>1597</v>
      </c>
      <c r="B2013" s="4" t="s">
        <v>1490</v>
      </c>
      <c r="C2013" s="1" t="s">
        <v>1491</v>
      </c>
      <c r="D2013" s="1" t="n">
        <v>166.2</v>
      </c>
      <c r="E2013" s="1" t="n">
        <v>10.78</v>
      </c>
      <c r="F2013" s="1" t="n">
        <f aca="false">12/8</f>
        <v>1.5</v>
      </c>
    </row>
    <row collapsed="false" customFormat="false" customHeight="false" hidden="false" ht="14.75" outlineLevel="0" r="2014">
      <c r="A2014" s="1" t="s">
        <v>487</v>
      </c>
      <c r="B2014" s="1" t="s">
        <v>1493</v>
      </c>
      <c r="C2014" s="1" t="s">
        <v>1491</v>
      </c>
      <c r="D2014" s="1" t="n">
        <v>142.1</v>
      </c>
      <c r="E2014" s="1" t="n">
        <v>13.07</v>
      </c>
      <c r="F2014" s="1" t="n">
        <f aca="false">5/7</f>
        <v>0.714285714285714</v>
      </c>
    </row>
    <row collapsed="false" customFormat="false" customHeight="false" hidden="false" ht="14.75" outlineLevel="0" r="2015">
      <c r="A2015" s="1" t="s">
        <v>488</v>
      </c>
      <c r="B2015" s="1" t="s">
        <v>1493</v>
      </c>
      <c r="C2015" s="1" t="s">
        <v>1491</v>
      </c>
      <c r="D2015" s="1" t="n">
        <v>25</v>
      </c>
      <c r="E2015" s="1" t="n">
        <v>5</v>
      </c>
      <c r="F2015" s="1" t="n">
        <v>0</v>
      </c>
    </row>
    <row collapsed="false" customFormat="false" customHeight="false" hidden="false" ht="14.75" outlineLevel="0" r="2016">
      <c r="A2016" s="1" t="s">
        <v>384</v>
      </c>
      <c r="B2016" s="1" t="s">
        <v>1517</v>
      </c>
      <c r="C2016" s="1" t="s">
        <v>1491</v>
      </c>
      <c r="D2016" s="1" t="n">
        <v>375.52</v>
      </c>
      <c r="E2016" s="1" t="n">
        <v>22.6106194690265</v>
      </c>
      <c r="F2016" s="1" t="n">
        <v>4.5</v>
      </c>
    </row>
    <row collapsed="false" customFormat="false" customHeight="false" hidden="false" ht="14.75" outlineLevel="0" r="2017">
      <c r="A2017" s="1" t="s">
        <v>385</v>
      </c>
      <c r="B2017" s="1" t="s">
        <v>1517</v>
      </c>
      <c r="C2017" s="1" t="s">
        <v>1491</v>
      </c>
      <c r="D2017" s="1" t="n">
        <v>305.5</v>
      </c>
      <c r="E2017" s="1" t="n">
        <v>17.5</v>
      </c>
      <c r="F2017" s="1" t="n">
        <v>4.83333333333333</v>
      </c>
    </row>
    <row collapsed="false" customFormat="false" customHeight="false" hidden="false" ht="14.75" outlineLevel="0" r="2018">
      <c r="A2018" s="1" t="s">
        <v>1598</v>
      </c>
      <c r="B2018" s="1" t="s">
        <v>1512</v>
      </c>
      <c r="C2018" s="1" t="s">
        <v>1491</v>
      </c>
      <c r="D2018" s="1" t="n">
        <v>108.5</v>
      </c>
      <c r="E2018" s="1" t="n">
        <v>10.58</v>
      </c>
      <c r="F2018" s="1" t="n">
        <v>0.7</v>
      </c>
    </row>
    <row collapsed="false" customFormat="false" customHeight="false" hidden="false" ht="14.75" outlineLevel="0" r="2019">
      <c r="A2019" s="1" t="s">
        <v>1599</v>
      </c>
      <c r="B2019" s="1" t="s">
        <v>1504</v>
      </c>
      <c r="C2019" s="1" t="s">
        <v>1491</v>
      </c>
      <c r="D2019" s="1" t="n">
        <v>186.4</v>
      </c>
      <c r="E2019" s="1" t="n">
        <v>12.33</v>
      </c>
      <c r="F2019" s="1" t="n">
        <f aca="false">4/7</f>
        <v>0.571428571428571</v>
      </c>
    </row>
    <row collapsed="false" customFormat="false" customHeight="false" hidden="false" ht="14.75" outlineLevel="0" r="2020">
      <c r="A2020" s="1" t="s">
        <v>1600</v>
      </c>
      <c r="B2020" s="1" t="s">
        <v>1496</v>
      </c>
      <c r="C2020" s="1" t="s">
        <v>1491</v>
      </c>
      <c r="D2020" s="1" t="n">
        <v>116.7</v>
      </c>
      <c r="E2020" s="1" t="n">
        <v>8.89</v>
      </c>
      <c r="F2020" s="1" t="n">
        <f aca="false">9/6</f>
        <v>1.5</v>
      </c>
    </row>
    <row collapsed="false" customFormat="false" customHeight="false" hidden="false" ht="14.75" outlineLevel="0" r="2021">
      <c r="A2021" s="1" t="s">
        <v>1601</v>
      </c>
      <c r="B2021" s="1" t="s">
        <v>1496</v>
      </c>
      <c r="C2021" s="1" t="s">
        <v>1491</v>
      </c>
      <c r="D2021" s="1" t="n">
        <v>432.5</v>
      </c>
      <c r="E2021" s="1" t="n">
        <v>20.92</v>
      </c>
      <c r="F2021" s="1" t="n">
        <v>6.8</v>
      </c>
    </row>
    <row collapsed="false" customFormat="false" customHeight="false" hidden="false" ht="14.75" outlineLevel="0" r="2022">
      <c r="A2022" s="1" t="s">
        <v>275</v>
      </c>
      <c r="B2022" s="1" t="s">
        <v>1499</v>
      </c>
      <c r="C2022" s="4" t="s">
        <v>1491</v>
      </c>
      <c r="D2022" s="1" t="n">
        <v>317.5</v>
      </c>
      <c r="E2022" s="1" t="n">
        <v>19.81</v>
      </c>
      <c r="F2022" s="1" t="n">
        <v>4.2</v>
      </c>
    </row>
    <row collapsed="false" customFormat="false" customHeight="false" hidden="false" ht="14.75" outlineLevel="0" r="2023">
      <c r="A2023" s="1" t="s">
        <v>276</v>
      </c>
      <c r="B2023" s="1" t="s">
        <v>1499</v>
      </c>
      <c r="C2023" s="4" t="s">
        <v>1491</v>
      </c>
      <c r="D2023" s="1" t="n">
        <v>112.9</v>
      </c>
      <c r="E2023" s="1" t="n">
        <v>8.6</v>
      </c>
      <c r="F2023" s="1" t="n">
        <v>0.3</v>
      </c>
    </row>
    <row collapsed="false" customFormat="false" customHeight="false" hidden="false" ht="14.75" outlineLevel="0" r="2024">
      <c r="A2024" s="1" t="s">
        <v>1602</v>
      </c>
      <c r="B2024" s="1" t="s">
        <v>1499</v>
      </c>
      <c r="C2024" s="4" t="s">
        <v>1491</v>
      </c>
      <c r="D2024" s="1" t="n">
        <v>102.7</v>
      </c>
      <c r="E2024" s="1" t="n">
        <v>10.66</v>
      </c>
      <c r="F2024" s="1" t="n">
        <v>0.3</v>
      </c>
    </row>
    <row collapsed="false" customFormat="false" customHeight="false" hidden="false" ht="14.75" outlineLevel="0" r="2025">
      <c r="A2025" s="1" t="s">
        <v>1603</v>
      </c>
      <c r="B2025" s="1" t="s">
        <v>1499</v>
      </c>
      <c r="C2025" s="4" t="s">
        <v>1491</v>
      </c>
      <c r="D2025" s="1" t="n">
        <v>64.7</v>
      </c>
      <c r="E2025" s="1" t="n">
        <v>5.31</v>
      </c>
      <c r="F2025" s="1" t="n">
        <v>0.1</v>
      </c>
    </row>
    <row collapsed="false" customFormat="false" customHeight="false" hidden="false" ht="14.75" outlineLevel="0" r="2026">
      <c r="A2026" s="1" t="s">
        <v>1604</v>
      </c>
      <c r="B2026" s="1" t="s">
        <v>1493</v>
      </c>
      <c r="C2026" s="1" t="s">
        <v>1491</v>
      </c>
      <c r="D2026" s="1" t="n">
        <v>46.4</v>
      </c>
      <c r="E2026" s="1" t="n">
        <v>4.35</v>
      </c>
      <c r="F2026" s="1" t="n">
        <f aca="false">1/7</f>
        <v>0.142857142857143</v>
      </c>
    </row>
    <row collapsed="false" customFormat="false" customHeight="false" hidden="false" ht="14.75" outlineLevel="0" r="2027">
      <c r="A2027" s="1" t="s">
        <v>28</v>
      </c>
      <c r="B2027" s="1" t="s">
        <v>1517</v>
      </c>
      <c r="C2027" s="1" t="s">
        <v>1491</v>
      </c>
      <c r="D2027" s="1" t="n">
        <v>462.5</v>
      </c>
      <c r="E2027" s="1" t="n">
        <v>22.007299270073</v>
      </c>
      <c r="F2027" s="1" t="n">
        <v>7.66666666666667</v>
      </c>
    </row>
    <row collapsed="false" customFormat="false" customHeight="false" hidden="false" ht="14.75" outlineLevel="0" r="2028">
      <c r="A2028" s="1" t="s">
        <v>1605</v>
      </c>
      <c r="B2028" s="1" t="s">
        <v>1496</v>
      </c>
      <c r="C2028" s="1" t="s">
        <v>1491</v>
      </c>
      <c r="D2028" s="1" t="n">
        <v>268.6</v>
      </c>
      <c r="E2028" s="1" t="n">
        <v>16.91</v>
      </c>
      <c r="F2028" s="1" t="n">
        <f aca="false">18/7</f>
        <v>2.57142857142857</v>
      </c>
    </row>
    <row collapsed="false" customFormat="false" customHeight="false" hidden="false" ht="14.75" outlineLevel="0" r="2029">
      <c r="A2029" s="1" t="s">
        <v>1606</v>
      </c>
      <c r="B2029" s="1" t="s">
        <v>1496</v>
      </c>
      <c r="C2029" s="1" t="s">
        <v>1491</v>
      </c>
      <c r="D2029" s="1" t="n">
        <v>186.7</v>
      </c>
      <c r="E2029" s="1" t="n">
        <v>11.96</v>
      </c>
      <c r="F2029" s="1" t="n">
        <f aca="false">8/6</f>
        <v>1.33333333333333</v>
      </c>
    </row>
    <row collapsed="false" customFormat="false" customHeight="false" hidden="false" ht="14.75" outlineLevel="0" r="2030">
      <c r="A2030" s="1" t="s">
        <v>1607</v>
      </c>
      <c r="B2030" s="1" t="s">
        <v>1496</v>
      </c>
      <c r="C2030" s="1" t="s">
        <v>1491</v>
      </c>
      <c r="D2030" s="1" t="n">
        <v>505</v>
      </c>
      <c r="E2030" s="1" t="n">
        <v>24.26</v>
      </c>
      <c r="F2030" s="1" t="n">
        <f aca="false">26/7</f>
        <v>3.71428571428571</v>
      </c>
    </row>
    <row collapsed="false" customFormat="false" customHeight="false" hidden="false" ht="14.75" outlineLevel="0" r="2031">
      <c r="A2031" s="1" t="s">
        <v>616</v>
      </c>
      <c r="B2031" s="1" t="s">
        <v>1496</v>
      </c>
      <c r="C2031" s="1" t="s">
        <v>1491</v>
      </c>
      <c r="D2031" s="1" t="n">
        <v>338.6</v>
      </c>
      <c r="E2031" s="1" t="n">
        <v>18.11</v>
      </c>
      <c r="F2031" s="1" t="n">
        <f aca="false">15/7</f>
        <v>2.14285714285714</v>
      </c>
    </row>
    <row collapsed="false" customFormat="false" customHeight="false" hidden="false" ht="14.75" outlineLevel="0" r="2032">
      <c r="A2032" s="1" t="s">
        <v>1608</v>
      </c>
      <c r="B2032" s="1" t="s">
        <v>1494</v>
      </c>
      <c r="C2032" s="1" t="s">
        <v>1491</v>
      </c>
      <c r="D2032" s="1" t="n">
        <v>312.5</v>
      </c>
      <c r="E2032" s="1" t="n">
        <v>16.1</v>
      </c>
      <c r="F2032" s="1" t="n">
        <v>2</v>
      </c>
    </row>
    <row collapsed="false" customFormat="false" customHeight="false" hidden="false" ht="14.75" outlineLevel="0" r="2033">
      <c r="A2033" s="1" t="s">
        <v>32</v>
      </c>
      <c r="B2033" s="1" t="s">
        <v>1517</v>
      </c>
      <c r="C2033" s="1" t="s">
        <v>1491</v>
      </c>
      <c r="D2033" s="1" t="n">
        <v>432.98</v>
      </c>
      <c r="E2033" s="1" t="n">
        <v>22.6</v>
      </c>
      <c r="F2033" s="1" t="n">
        <v>7.33333333333333</v>
      </c>
    </row>
    <row collapsed="false" customFormat="false" customHeight="false" hidden="false" ht="14.75" outlineLevel="0" r="2034">
      <c r="A2034" s="1" t="s">
        <v>404</v>
      </c>
      <c r="B2034" s="1" t="s">
        <v>1517</v>
      </c>
      <c r="C2034" s="1" t="s">
        <v>1491</v>
      </c>
      <c r="D2034" s="1" t="n">
        <v>252.52</v>
      </c>
      <c r="E2034" s="1" t="n">
        <v>15.9183673469388</v>
      </c>
      <c r="F2034" s="1" t="n">
        <v>2.16666666666667</v>
      </c>
    </row>
    <row collapsed="false" customFormat="false" customHeight="false" hidden="false" ht="14.75" outlineLevel="0" r="2035">
      <c r="A2035" s="1" t="s">
        <v>1609</v>
      </c>
      <c r="B2035" s="1" t="s">
        <v>1517</v>
      </c>
      <c r="C2035" s="1" t="s">
        <v>1491</v>
      </c>
      <c r="D2035" s="1" t="n">
        <v>117.98</v>
      </c>
      <c r="E2035" s="1" t="n">
        <v>10.7627118644068</v>
      </c>
      <c r="F2035" s="1" t="n">
        <v>0.666666666666667</v>
      </c>
    </row>
    <row collapsed="false" customFormat="false" customHeight="false" hidden="false" ht="14.75" outlineLevel="0" r="2036">
      <c r="A2036" s="1" t="s">
        <v>1610</v>
      </c>
      <c r="B2036" s="1" t="s">
        <v>1493</v>
      </c>
      <c r="C2036" s="1" t="s">
        <v>1491</v>
      </c>
      <c r="D2036" s="1" t="n">
        <v>290</v>
      </c>
      <c r="E2036" s="1" t="n">
        <v>16.93</v>
      </c>
      <c r="F2036" s="1" t="n">
        <v>1.7</v>
      </c>
    </row>
    <row collapsed="false" customFormat="false" customHeight="false" hidden="false" ht="14.75" outlineLevel="0" r="2037">
      <c r="A2037" s="1" t="s">
        <v>1611</v>
      </c>
      <c r="B2037" s="1" t="s">
        <v>1493</v>
      </c>
      <c r="C2037" s="1" t="s">
        <v>1491</v>
      </c>
      <c r="D2037" s="1" t="n">
        <v>155</v>
      </c>
      <c r="E2037" s="1" t="n">
        <v>10.98</v>
      </c>
      <c r="F2037" s="1" t="n">
        <v>1</v>
      </c>
    </row>
    <row collapsed="false" customFormat="false" customHeight="false" hidden="false" ht="14.75" outlineLevel="0" r="2038">
      <c r="A2038" s="1" t="s">
        <v>499</v>
      </c>
      <c r="B2038" s="1" t="s">
        <v>1493</v>
      </c>
      <c r="C2038" s="1" t="s">
        <v>1491</v>
      </c>
      <c r="D2038" s="1" t="n">
        <v>261.7</v>
      </c>
      <c r="E2038" s="1" t="n">
        <v>16.39</v>
      </c>
      <c r="F2038" s="1" t="n">
        <f aca="false">8/9</f>
        <v>0.888888888888889</v>
      </c>
    </row>
    <row collapsed="false" customFormat="false" customHeight="false" hidden="false" ht="14.75" outlineLevel="0" r="2039">
      <c r="A2039" s="1" t="s">
        <v>1612</v>
      </c>
      <c r="B2039" s="1" t="s">
        <v>1499</v>
      </c>
      <c r="C2039" s="4" t="s">
        <v>1491</v>
      </c>
      <c r="D2039" s="1" t="n">
        <v>164.7</v>
      </c>
      <c r="E2039" s="1" t="n">
        <v>12.24</v>
      </c>
      <c r="F2039" s="1" t="n">
        <v>1.2</v>
      </c>
    </row>
    <row collapsed="false" customFormat="false" customHeight="false" hidden="false" ht="14.75" outlineLevel="0" r="2040">
      <c r="A2040" s="1" t="s">
        <v>1613</v>
      </c>
      <c r="B2040" s="1" t="s">
        <v>1493</v>
      </c>
      <c r="C2040" s="1" t="s">
        <v>1491</v>
      </c>
      <c r="D2040" s="1" t="n">
        <v>348.2</v>
      </c>
      <c r="E2040" s="1" t="n">
        <v>20</v>
      </c>
      <c r="F2040" s="1" t="n">
        <f aca="false">35/12</f>
        <v>2.91666666666667</v>
      </c>
    </row>
    <row collapsed="false" customFormat="false" customHeight="false" hidden="false" ht="14.75" outlineLevel="0" r="2041">
      <c r="A2041" s="1" t="s">
        <v>1614</v>
      </c>
      <c r="B2041" s="1" t="s">
        <v>1493</v>
      </c>
      <c r="C2041" s="1" t="s">
        <v>1491</v>
      </c>
      <c r="D2041" s="1" t="n">
        <v>171.1</v>
      </c>
      <c r="E2041" s="1" t="n">
        <v>11.86</v>
      </c>
      <c r="F2041" s="1" t="n">
        <v>1</v>
      </c>
    </row>
    <row collapsed="false" customFormat="false" customHeight="false" hidden="false" ht="14.75" outlineLevel="0" r="2042">
      <c r="A2042" s="1" t="s">
        <v>672</v>
      </c>
      <c r="B2042" s="1" t="s">
        <v>1517</v>
      </c>
      <c r="C2042" s="1" t="s">
        <v>1491</v>
      </c>
      <c r="D2042" s="1" t="n">
        <v>83.8666666666667</v>
      </c>
      <c r="E2042" s="1" t="n">
        <v>9.88372093023256</v>
      </c>
      <c r="F2042" s="1" t="n">
        <v>0.166666666666667</v>
      </c>
    </row>
    <row collapsed="false" customFormat="false" customHeight="false" hidden="false" ht="14.75" outlineLevel="0" r="2043">
      <c r="A2043" s="1" t="s">
        <v>1615</v>
      </c>
      <c r="B2043" s="1" t="s">
        <v>1496</v>
      </c>
      <c r="C2043" s="1" t="s">
        <v>1491</v>
      </c>
      <c r="D2043" s="1" t="n">
        <v>180</v>
      </c>
      <c r="E2043" s="1" t="n">
        <v>11.18</v>
      </c>
      <c r="F2043" s="1" t="n">
        <f aca="false">5/6</f>
        <v>0.833333333333333</v>
      </c>
    </row>
    <row collapsed="false" customFormat="false" customHeight="false" hidden="false" ht="14.75" outlineLevel="0" r="2044">
      <c r="A2044" s="1" t="s">
        <v>1616</v>
      </c>
      <c r="B2044" s="1" t="s">
        <v>1496</v>
      </c>
      <c r="C2044" s="1" t="s">
        <v>1491</v>
      </c>
      <c r="D2044" s="1" t="n">
        <v>124.2</v>
      </c>
      <c r="E2044" s="1" t="n">
        <v>9</v>
      </c>
      <c r="F2044" s="1" t="n">
        <f aca="false">1/6</f>
        <v>0.166666666666667</v>
      </c>
    </row>
    <row collapsed="false" customFormat="false" customHeight="false" hidden="false" ht="14.75" outlineLevel="0" r="2045">
      <c r="A2045" s="1" t="s">
        <v>1617</v>
      </c>
      <c r="B2045" s="1" t="s">
        <v>1499</v>
      </c>
      <c r="C2045" s="4" t="s">
        <v>1491</v>
      </c>
      <c r="D2045" s="1" t="n">
        <v>55.4</v>
      </c>
      <c r="E2045" s="1" t="n">
        <v>6.52</v>
      </c>
      <c r="F2045" s="1" t="n">
        <f aca="false">1/8</f>
        <v>0.125</v>
      </c>
    </row>
    <row collapsed="false" customFormat="false" customHeight="false" hidden="false" ht="14.75" outlineLevel="0" r="2046">
      <c r="A2046" s="1" t="s">
        <v>974</v>
      </c>
      <c r="B2046" s="1" t="s">
        <v>1494</v>
      </c>
      <c r="C2046" s="1" t="s">
        <v>1491</v>
      </c>
      <c r="D2046" s="1" t="n">
        <v>418.6</v>
      </c>
      <c r="E2046" s="1" t="n">
        <v>21.1</v>
      </c>
      <c r="F2046" s="1" t="n">
        <f aca="false">35/11</f>
        <v>3.18181818181818</v>
      </c>
    </row>
    <row collapsed="false" customFormat="false" customHeight="false" hidden="false" ht="14.75" outlineLevel="0" r="2047">
      <c r="A2047" s="1" t="s">
        <v>975</v>
      </c>
      <c r="B2047" s="1" t="s">
        <v>1494</v>
      </c>
      <c r="C2047" s="1" t="s">
        <v>1491</v>
      </c>
      <c r="D2047" s="1" t="n">
        <v>224.5</v>
      </c>
      <c r="E2047" s="1" t="n">
        <v>14.84</v>
      </c>
      <c r="F2047" s="1" t="n">
        <v>1.7</v>
      </c>
    </row>
    <row collapsed="false" customFormat="false" customHeight="false" hidden="false" ht="14.75" outlineLevel="0" r="2048">
      <c r="A2048" s="1" t="s">
        <v>976</v>
      </c>
      <c r="B2048" s="1" t="s">
        <v>1494</v>
      </c>
      <c r="C2048" s="1" t="s">
        <v>1491</v>
      </c>
      <c r="D2048" s="1" t="n">
        <v>62.2</v>
      </c>
      <c r="E2048" s="1" t="n">
        <v>8.71</v>
      </c>
      <c r="F2048" s="1" t="n">
        <v>0.4</v>
      </c>
    </row>
    <row collapsed="false" customFormat="false" customHeight="false" hidden="false" ht="14.75" outlineLevel="0" r="2049">
      <c r="A2049" s="1" t="s">
        <v>1618</v>
      </c>
      <c r="B2049" s="1" t="s">
        <v>1535</v>
      </c>
      <c r="C2049" s="1" t="s">
        <v>1491</v>
      </c>
      <c r="D2049" s="1" t="n">
        <v>280</v>
      </c>
      <c r="E2049" s="1" t="n">
        <v>16.52</v>
      </c>
      <c r="F2049" s="1" t="n">
        <v>1.8</v>
      </c>
    </row>
    <row collapsed="false" customFormat="false" customHeight="false" hidden="false" ht="14.75" outlineLevel="0" r="2050">
      <c r="A2050" s="1" t="s">
        <v>1619</v>
      </c>
      <c r="B2050" s="1" t="s">
        <v>1496</v>
      </c>
      <c r="C2050" s="1" t="s">
        <v>1491</v>
      </c>
      <c r="D2050" s="1" t="n">
        <v>229.3</v>
      </c>
      <c r="E2050" s="1" t="n">
        <v>15.74</v>
      </c>
      <c r="F2050" s="1" t="n">
        <f aca="false">11/7</f>
        <v>1.57142857142857</v>
      </c>
    </row>
    <row collapsed="false" customFormat="false" customHeight="false" hidden="false" ht="14.75" outlineLevel="0" r="2051">
      <c r="A2051" s="1" t="s">
        <v>984</v>
      </c>
      <c r="B2051" s="1" t="s">
        <v>1496</v>
      </c>
      <c r="C2051" s="1" t="s">
        <v>1491</v>
      </c>
      <c r="D2051" s="1" t="n">
        <v>185.8</v>
      </c>
      <c r="E2051" s="1" t="n">
        <v>12.2</v>
      </c>
      <c r="F2051" s="1" t="n">
        <v>2</v>
      </c>
    </row>
    <row collapsed="false" customFormat="false" customHeight="false" hidden="false" ht="14.75" outlineLevel="0" r="2052">
      <c r="A2052" s="1" t="s">
        <v>1620</v>
      </c>
      <c r="B2052" s="1" t="s">
        <v>1499</v>
      </c>
      <c r="C2052" s="4" t="s">
        <v>1491</v>
      </c>
      <c r="D2052" s="1" t="n">
        <v>82.3</v>
      </c>
      <c r="E2052" s="1" t="n">
        <v>9.31</v>
      </c>
      <c r="F2052" s="1" t="n">
        <v>0.1</v>
      </c>
    </row>
    <row collapsed="false" customFormat="false" customHeight="false" hidden="false" ht="14.75" outlineLevel="0" r="2053">
      <c r="A2053" s="1" t="s">
        <v>1621</v>
      </c>
      <c r="B2053" s="1" t="s">
        <v>1499</v>
      </c>
      <c r="C2053" s="4" t="s">
        <v>1491</v>
      </c>
      <c r="D2053" s="1" t="n">
        <v>35.3</v>
      </c>
      <c r="E2053" s="1" t="n">
        <v>4.5</v>
      </c>
      <c r="F2053" s="1" t="n">
        <v>0.2</v>
      </c>
    </row>
    <row collapsed="false" customFormat="false" customHeight="false" hidden="false" ht="14.75" outlineLevel="0" r="2054">
      <c r="A2054" s="1" t="s">
        <v>1622</v>
      </c>
      <c r="B2054" s="1" t="s">
        <v>1499</v>
      </c>
      <c r="C2054" s="4" t="s">
        <v>1491</v>
      </c>
      <c r="D2054" s="1" t="n">
        <v>67.7</v>
      </c>
      <c r="E2054" s="1" t="n">
        <v>6.3</v>
      </c>
      <c r="F2054" s="1" t="n">
        <v>0</v>
      </c>
    </row>
    <row collapsed="false" customFormat="false" customHeight="false" hidden="false" ht="14.75" outlineLevel="0" r="2055">
      <c r="A2055" s="1" t="s">
        <v>1623</v>
      </c>
      <c r="B2055" s="1" t="s">
        <v>1496</v>
      </c>
      <c r="C2055" s="1" t="s">
        <v>1491</v>
      </c>
      <c r="D2055" s="1" t="n">
        <v>53.3</v>
      </c>
      <c r="E2055" s="1" t="n">
        <v>7.78</v>
      </c>
      <c r="F2055" s="1" t="n">
        <v>0</v>
      </c>
    </row>
    <row collapsed="false" customFormat="false" customHeight="false" hidden="false" ht="14.75" outlineLevel="0" r="2056">
      <c r="A2056" s="1" t="s">
        <v>1624</v>
      </c>
      <c r="B2056" s="1" t="s">
        <v>1496</v>
      </c>
      <c r="C2056" s="1" t="s">
        <v>1491</v>
      </c>
      <c r="D2056" s="1" t="n">
        <v>30</v>
      </c>
      <c r="E2056" s="1" t="n">
        <v>3.57</v>
      </c>
      <c r="F2056" s="1" t="n">
        <v>0</v>
      </c>
    </row>
    <row collapsed="false" customFormat="false" customHeight="false" hidden="false" ht="14.75" outlineLevel="0" r="2057">
      <c r="A2057" s="1" t="s">
        <v>1625</v>
      </c>
      <c r="B2057" s="1" t="s">
        <v>1626</v>
      </c>
      <c r="C2057" s="1" t="s">
        <v>1627</v>
      </c>
      <c r="D2057" s="1" t="n">
        <v>193</v>
      </c>
      <c r="E2057" s="1" t="n">
        <v>12.71</v>
      </c>
      <c r="F2057" s="1" t="n">
        <v>1.5</v>
      </c>
    </row>
    <row collapsed="false" customFormat="false" customHeight="false" hidden="false" ht="14.75" outlineLevel="0" r="2058">
      <c r="A2058" s="1" t="s">
        <v>1628</v>
      </c>
      <c r="B2058" s="1" t="s">
        <v>1626</v>
      </c>
      <c r="C2058" s="1" t="s">
        <v>1627</v>
      </c>
      <c r="D2058" s="1" t="n">
        <v>53.9</v>
      </c>
      <c r="E2058" s="1" t="n">
        <v>9.23</v>
      </c>
      <c r="F2058" s="1" t="n">
        <v>0.1</v>
      </c>
    </row>
    <row collapsed="false" customFormat="false" customHeight="false" hidden="false" ht="14.75" outlineLevel="0" r="2059">
      <c r="A2059" s="1" t="s">
        <v>1629</v>
      </c>
      <c r="B2059" s="1" t="s">
        <v>1626</v>
      </c>
      <c r="C2059" s="1" t="s">
        <v>1627</v>
      </c>
      <c r="D2059" s="1" t="n">
        <v>110.5</v>
      </c>
      <c r="E2059" s="1" t="n">
        <v>12.45</v>
      </c>
      <c r="F2059" s="1" t="n">
        <v>0.6</v>
      </c>
    </row>
    <row collapsed="false" customFormat="false" customHeight="false" hidden="false" ht="14.75" outlineLevel="0" r="2060">
      <c r="A2060" s="1" t="s">
        <v>1088</v>
      </c>
      <c r="B2060" s="1" t="s">
        <v>1626</v>
      </c>
      <c r="C2060" s="1" t="s">
        <v>1627</v>
      </c>
      <c r="D2060" s="1" t="n">
        <v>315</v>
      </c>
      <c r="E2060" s="1" t="n">
        <v>21.01</v>
      </c>
      <c r="F2060" s="1" t="n">
        <v>3.9</v>
      </c>
    </row>
    <row collapsed="false" customFormat="false" customHeight="false" hidden="false" ht="14.75" outlineLevel="0" r="2061">
      <c r="A2061" s="1" t="s">
        <v>1090</v>
      </c>
      <c r="B2061" s="1" t="s">
        <v>1626</v>
      </c>
      <c r="C2061" s="1" t="s">
        <v>1627</v>
      </c>
      <c r="D2061" s="1" t="n">
        <v>245</v>
      </c>
      <c r="E2061" s="1" t="n">
        <v>15</v>
      </c>
      <c r="F2061" s="1" t="n">
        <v>1.8</v>
      </c>
    </row>
    <row collapsed="false" customFormat="false" customHeight="false" hidden="false" ht="14.75" outlineLevel="0" r="2062">
      <c r="A2062" s="1" t="s">
        <v>1630</v>
      </c>
      <c r="B2062" s="1" t="s">
        <v>1631</v>
      </c>
      <c r="C2062" s="1" t="s">
        <v>1627</v>
      </c>
      <c r="D2062" s="1" t="n">
        <v>248.1</v>
      </c>
      <c r="E2062" s="1" t="n">
        <v>16.45</v>
      </c>
      <c r="F2062" s="1" t="n">
        <f aca="false">11/8</f>
        <v>1.375</v>
      </c>
    </row>
    <row collapsed="false" customFormat="false" customHeight="false" hidden="false" ht="14.75" outlineLevel="0" r="2063">
      <c r="A2063" s="1" t="s">
        <v>789</v>
      </c>
      <c r="B2063" s="1" t="s">
        <v>1632</v>
      </c>
      <c r="C2063" s="1" t="s">
        <v>1627</v>
      </c>
      <c r="D2063" s="1" t="n">
        <v>443.6</v>
      </c>
      <c r="E2063" s="1" t="n">
        <v>22.21</v>
      </c>
      <c r="F2063" s="1" t="n">
        <f aca="false">68/11</f>
        <v>6.18181818181818</v>
      </c>
    </row>
    <row collapsed="false" customFormat="false" customHeight="false" hidden="false" ht="14.75" outlineLevel="0" r="2064">
      <c r="A2064" s="1" t="s">
        <v>791</v>
      </c>
      <c r="B2064" s="1" t="s">
        <v>1632</v>
      </c>
      <c r="C2064" s="1" t="s">
        <v>1627</v>
      </c>
      <c r="D2064" s="1" t="n">
        <v>365.9</v>
      </c>
      <c r="E2064" s="1" t="n">
        <v>20.39</v>
      </c>
      <c r="F2064" s="1" t="n">
        <f aca="false">56/11</f>
        <v>5.09090909090909</v>
      </c>
    </row>
    <row collapsed="false" customFormat="false" customHeight="false" hidden="false" ht="14.75" outlineLevel="0" r="2065">
      <c r="A2065" s="1" t="s">
        <v>792</v>
      </c>
      <c r="B2065" s="1" t="s">
        <v>1632</v>
      </c>
      <c r="C2065" s="1" t="s">
        <v>1627</v>
      </c>
      <c r="D2065" s="1" t="n">
        <v>185.9</v>
      </c>
      <c r="E2065" s="1" t="n">
        <v>16.1</v>
      </c>
      <c r="F2065" s="1" t="n">
        <f aca="false">25/11</f>
        <v>2.27272727272727</v>
      </c>
    </row>
    <row collapsed="false" customFormat="false" customHeight="false" hidden="false" ht="14.75" outlineLevel="0" r="2066">
      <c r="A2066" s="1" t="s">
        <v>793</v>
      </c>
      <c r="B2066" s="1" t="s">
        <v>1632</v>
      </c>
      <c r="C2066" s="1" t="s">
        <v>1627</v>
      </c>
      <c r="D2066" s="1" t="n">
        <v>276.8</v>
      </c>
      <c r="E2066" s="1" t="n">
        <v>18.98</v>
      </c>
      <c r="F2066" s="1" t="n">
        <f aca="false">19/11</f>
        <v>1.72727272727273</v>
      </c>
    </row>
    <row collapsed="false" customFormat="false" customHeight="false" hidden="false" ht="14.75" outlineLevel="0" r="2067">
      <c r="A2067" s="1" t="s">
        <v>1096</v>
      </c>
      <c r="B2067" s="1" t="s">
        <v>1633</v>
      </c>
      <c r="C2067" s="1" t="s">
        <v>1627</v>
      </c>
      <c r="D2067" s="1" t="n">
        <v>497.5</v>
      </c>
      <c r="E2067" s="1" t="n">
        <v>25.38</v>
      </c>
      <c r="F2067" s="1" t="n">
        <v>8.3</v>
      </c>
    </row>
    <row collapsed="false" customFormat="false" customHeight="false" hidden="false" ht="14.75" outlineLevel="0" r="2068">
      <c r="A2068" s="1" t="s">
        <v>1098</v>
      </c>
      <c r="B2068" s="1" t="s">
        <v>1633</v>
      </c>
      <c r="C2068" s="1" t="s">
        <v>1627</v>
      </c>
      <c r="D2068" s="1" t="n">
        <v>219</v>
      </c>
      <c r="E2068" s="1" t="n">
        <v>15.23</v>
      </c>
      <c r="F2068" s="1" t="n">
        <f aca="false">8/5</f>
        <v>1.6</v>
      </c>
    </row>
    <row collapsed="false" customFormat="false" customHeight="false" hidden="false" ht="14.75" outlineLevel="0" r="2069">
      <c r="A2069" s="1" t="s">
        <v>996</v>
      </c>
      <c r="B2069" s="1" t="s">
        <v>1634</v>
      </c>
      <c r="C2069" s="1" t="s">
        <v>1627</v>
      </c>
      <c r="D2069" s="1" t="n">
        <v>255.6</v>
      </c>
      <c r="E2069" s="1" t="n">
        <v>14.41</v>
      </c>
      <c r="F2069" s="1" t="n">
        <f aca="false">15/8</f>
        <v>1.875</v>
      </c>
    </row>
    <row collapsed="false" customFormat="false" customHeight="false" hidden="false" ht="14.75" outlineLevel="0" r="2070">
      <c r="A2070" s="1" t="s">
        <v>1635</v>
      </c>
      <c r="B2070" s="1" t="s">
        <v>1631</v>
      </c>
      <c r="C2070" s="1" t="s">
        <v>1627</v>
      </c>
      <c r="D2070" s="1" t="n">
        <v>518.3</v>
      </c>
      <c r="E2070" s="1" t="n">
        <v>22.87</v>
      </c>
      <c r="F2070" s="1" t="n">
        <f aca="false">51/9</f>
        <v>5.66666666666667</v>
      </c>
    </row>
    <row collapsed="false" customFormat="false" customHeight="false" hidden="false" ht="14.75" outlineLevel="0" r="2071">
      <c r="A2071" s="1" t="s">
        <v>1636</v>
      </c>
      <c r="B2071" s="1" t="s">
        <v>1631</v>
      </c>
      <c r="C2071" s="1" t="s">
        <v>1627</v>
      </c>
      <c r="D2071" s="1" t="n">
        <v>317.5</v>
      </c>
      <c r="E2071" s="1" t="n">
        <v>20.42</v>
      </c>
      <c r="F2071" s="1" t="n">
        <v>2</v>
      </c>
    </row>
    <row collapsed="false" customFormat="false" customHeight="false" hidden="false" ht="14.75" outlineLevel="0" r="2072">
      <c r="A2072" s="1" t="s">
        <v>1637</v>
      </c>
      <c r="B2072" s="1" t="s">
        <v>1633</v>
      </c>
      <c r="C2072" s="1" t="s">
        <v>1627</v>
      </c>
      <c r="D2072" s="1" t="n">
        <v>433.5</v>
      </c>
      <c r="E2072" s="1" t="n">
        <v>22.25</v>
      </c>
      <c r="F2072" s="1" t="n">
        <v>4.8</v>
      </c>
    </row>
    <row collapsed="false" customFormat="false" customHeight="false" hidden="false" ht="14.75" outlineLevel="0" r="2073">
      <c r="A2073" s="1" t="s">
        <v>1638</v>
      </c>
      <c r="B2073" s="1" t="s">
        <v>1633</v>
      </c>
      <c r="C2073" s="1" t="s">
        <v>1627</v>
      </c>
      <c r="D2073" s="1" t="n">
        <v>278</v>
      </c>
      <c r="E2073" s="1" t="n">
        <v>17.4</v>
      </c>
      <c r="F2073" s="1" t="n">
        <f aca="false">8/5</f>
        <v>1.6</v>
      </c>
    </row>
    <row collapsed="false" customFormat="false" customHeight="false" hidden="false" ht="14.75" outlineLevel="0" r="2074">
      <c r="A2074" s="1" t="s">
        <v>1639</v>
      </c>
      <c r="B2074" s="1" t="s">
        <v>1633</v>
      </c>
      <c r="C2074" s="1" t="s">
        <v>1627</v>
      </c>
      <c r="D2074" s="1" t="n">
        <v>79</v>
      </c>
      <c r="E2074" s="1" t="n">
        <v>14.44</v>
      </c>
      <c r="F2074" s="1" t="n">
        <v>0.6</v>
      </c>
    </row>
    <row collapsed="false" customFormat="false" customHeight="false" hidden="false" ht="14.75" outlineLevel="0" r="2075">
      <c r="A2075" s="1" t="s">
        <v>1109</v>
      </c>
      <c r="B2075" s="1" t="s">
        <v>1634</v>
      </c>
      <c r="C2075" s="1" t="s">
        <v>1627</v>
      </c>
      <c r="D2075" s="1" t="n">
        <v>249.4</v>
      </c>
      <c r="E2075" s="1" t="n">
        <v>16.42</v>
      </c>
      <c r="F2075" s="1" t="n">
        <f aca="false">13/9</f>
        <v>1.44444444444444</v>
      </c>
    </row>
    <row collapsed="false" customFormat="false" customHeight="false" hidden="false" ht="14.75" outlineLevel="0" r="2076">
      <c r="A2076" s="1" t="s">
        <v>1640</v>
      </c>
      <c r="B2076" s="1" t="s">
        <v>1633</v>
      </c>
      <c r="C2076" s="1" t="s">
        <v>1627</v>
      </c>
      <c r="D2076" s="1" t="n">
        <v>56</v>
      </c>
      <c r="E2076" s="1" t="n">
        <v>5.79</v>
      </c>
      <c r="F2076" s="1" t="n">
        <v>0.6</v>
      </c>
    </row>
    <row collapsed="false" customFormat="false" customHeight="false" hidden="false" ht="14.75" outlineLevel="0" r="2077">
      <c r="A2077" s="1" t="s">
        <v>1641</v>
      </c>
      <c r="B2077" s="1" t="s">
        <v>1633</v>
      </c>
      <c r="C2077" s="1" t="s">
        <v>1627</v>
      </c>
      <c r="D2077" s="1" t="n">
        <v>86</v>
      </c>
      <c r="E2077" s="1" t="n">
        <v>7.92</v>
      </c>
      <c r="F2077" s="1" t="n">
        <f aca="false">2/5</f>
        <v>0.4</v>
      </c>
    </row>
    <row collapsed="false" customFormat="false" customHeight="false" hidden="false" ht="14.75" outlineLevel="0" r="2078">
      <c r="A2078" s="1" t="s">
        <v>1642</v>
      </c>
      <c r="B2078" s="1" t="s">
        <v>1633</v>
      </c>
      <c r="C2078" s="1" t="s">
        <v>1627</v>
      </c>
      <c r="D2078" s="1" t="n">
        <v>63</v>
      </c>
      <c r="E2078" s="1" t="n">
        <v>11.33</v>
      </c>
      <c r="F2078" s="1" t="n">
        <f aca="false">1/5</f>
        <v>0.2</v>
      </c>
    </row>
    <row collapsed="false" customFormat="false" customHeight="false" hidden="false" ht="14.75" outlineLevel="0" r="2079">
      <c r="A2079" s="1" t="s">
        <v>678</v>
      </c>
      <c r="B2079" s="1" t="s">
        <v>1634</v>
      </c>
      <c r="C2079" s="1" t="s">
        <v>1627</v>
      </c>
      <c r="D2079" s="1" t="n">
        <v>427.8</v>
      </c>
      <c r="E2079" s="1" t="n">
        <v>20.45</v>
      </c>
      <c r="F2079" s="1" t="n">
        <v>4</v>
      </c>
    </row>
    <row collapsed="false" customFormat="false" customHeight="false" hidden="false" ht="14.75" outlineLevel="0" r="2080">
      <c r="A2080" s="1" t="s">
        <v>681</v>
      </c>
      <c r="B2080" s="1" t="s">
        <v>1634</v>
      </c>
      <c r="C2080" s="1" t="s">
        <v>1627</v>
      </c>
      <c r="D2080" s="1" t="n">
        <v>269.4</v>
      </c>
      <c r="E2080" s="1" t="n">
        <v>14.66</v>
      </c>
      <c r="F2080" s="1" t="n">
        <f aca="false">17/8</f>
        <v>2.125</v>
      </c>
    </row>
    <row collapsed="false" customFormat="false" customHeight="false" hidden="false" ht="14.75" outlineLevel="0" r="2081">
      <c r="A2081" s="1" t="s">
        <v>1003</v>
      </c>
      <c r="B2081" s="1" t="s">
        <v>1634</v>
      </c>
      <c r="C2081" s="1" t="s">
        <v>1627</v>
      </c>
      <c r="D2081" s="1" t="n">
        <v>240.6</v>
      </c>
      <c r="E2081" s="1" t="n">
        <v>12.91</v>
      </c>
      <c r="F2081" s="1" t="n">
        <f aca="false">11/8</f>
        <v>1.375</v>
      </c>
    </row>
    <row collapsed="false" customFormat="false" customHeight="false" hidden="false" ht="14.75" outlineLevel="0" r="2082">
      <c r="A2082" s="1" t="s">
        <v>1115</v>
      </c>
      <c r="B2082" s="1" t="s">
        <v>1626</v>
      </c>
      <c r="C2082" s="1" t="s">
        <v>1627</v>
      </c>
      <c r="D2082" s="1" t="n">
        <v>177.5</v>
      </c>
      <c r="E2082" s="1" t="n">
        <v>14.11</v>
      </c>
      <c r="F2082" s="1" t="n">
        <v>1.2</v>
      </c>
    </row>
    <row collapsed="false" customFormat="false" customHeight="false" hidden="false" ht="14.75" outlineLevel="0" r="2083">
      <c r="A2083" s="1" t="s">
        <v>1116</v>
      </c>
      <c r="B2083" s="1" t="s">
        <v>1626</v>
      </c>
      <c r="C2083" s="1" t="s">
        <v>1627</v>
      </c>
      <c r="D2083" s="1" t="n">
        <v>48</v>
      </c>
      <c r="E2083" s="1" t="n">
        <v>12.73</v>
      </c>
      <c r="F2083" s="1" t="n">
        <v>0</v>
      </c>
    </row>
    <row collapsed="false" customFormat="false" customHeight="false" hidden="false" ht="14.75" outlineLevel="0" r="2084">
      <c r="A2084" s="1" t="s">
        <v>1117</v>
      </c>
      <c r="B2084" s="1" t="s">
        <v>1634</v>
      </c>
      <c r="C2084" s="1" t="s">
        <v>1627</v>
      </c>
      <c r="D2084" s="1" t="n">
        <v>384.4</v>
      </c>
      <c r="E2084" s="1" t="n">
        <v>19.9</v>
      </c>
      <c r="F2084" s="1" t="n">
        <f aca="false">34/9</f>
        <v>3.77777777777778</v>
      </c>
    </row>
    <row collapsed="false" customFormat="false" customHeight="false" hidden="false" ht="14.75" outlineLevel="0" r="2085">
      <c r="A2085" s="1" t="s">
        <v>1118</v>
      </c>
      <c r="B2085" s="1" t="s">
        <v>1634</v>
      </c>
      <c r="C2085" s="1" t="s">
        <v>1627</v>
      </c>
      <c r="D2085" s="1" t="n">
        <v>176.2</v>
      </c>
      <c r="E2085" s="1" t="n">
        <v>13.08</v>
      </c>
      <c r="F2085" s="1" t="n">
        <f aca="false">12/8</f>
        <v>1.5</v>
      </c>
    </row>
    <row collapsed="false" customFormat="false" customHeight="false" hidden="false" ht="14.75" outlineLevel="0" r="2086">
      <c r="A2086" s="1" t="s">
        <v>1643</v>
      </c>
      <c r="B2086" s="1" t="s">
        <v>1644</v>
      </c>
      <c r="C2086" s="1" t="s">
        <v>1627</v>
      </c>
      <c r="D2086" s="1" t="n">
        <v>258.8</v>
      </c>
      <c r="E2086" s="1" t="n">
        <v>17</v>
      </c>
      <c r="F2086" s="1" t="n">
        <v>2</v>
      </c>
    </row>
    <row collapsed="false" customFormat="false" customHeight="false" hidden="false" ht="14.75" outlineLevel="0" r="2087">
      <c r="A2087" s="1" t="s">
        <v>1645</v>
      </c>
      <c r="B2087" s="1" t="s">
        <v>1646</v>
      </c>
      <c r="C2087" s="1" t="s">
        <v>1627</v>
      </c>
      <c r="D2087" s="1" t="n">
        <v>7.5</v>
      </c>
      <c r="E2087" s="1" t="n">
        <v>0</v>
      </c>
      <c r="F2087" s="1" t="n">
        <v>0</v>
      </c>
    </row>
    <row collapsed="false" customFormat="false" customHeight="false" hidden="false" ht="14.75" outlineLevel="0" r="2088">
      <c r="A2088" s="1" t="s">
        <v>1647</v>
      </c>
      <c r="B2088" s="1" t="s">
        <v>1646</v>
      </c>
      <c r="C2088" s="1" t="s">
        <v>1627</v>
      </c>
      <c r="D2088" s="1" t="n">
        <v>28.8</v>
      </c>
      <c r="E2088" s="1" t="n">
        <v>5</v>
      </c>
      <c r="F2088" s="1" t="n">
        <v>0.25</v>
      </c>
    </row>
    <row collapsed="false" customFormat="false" customHeight="false" hidden="false" ht="14.75" outlineLevel="0" r="2089">
      <c r="A2089" s="1" t="s">
        <v>1648</v>
      </c>
      <c r="B2089" s="1" t="s">
        <v>1632</v>
      </c>
      <c r="C2089" s="1" t="s">
        <v>1627</v>
      </c>
      <c r="D2089" s="1" t="n">
        <v>405</v>
      </c>
      <c r="E2089" s="1" t="n">
        <v>22.12</v>
      </c>
      <c r="F2089" s="1" t="n">
        <f aca="false">43/11</f>
        <v>3.90909090909091</v>
      </c>
    </row>
    <row collapsed="false" customFormat="false" customHeight="false" hidden="false" ht="14.75" outlineLevel="0" r="2090">
      <c r="A2090" s="1" t="s">
        <v>1649</v>
      </c>
      <c r="B2090" s="1" t="s">
        <v>1632</v>
      </c>
      <c r="C2090" s="1" t="s">
        <v>1627</v>
      </c>
      <c r="D2090" s="1" t="n">
        <v>246.8</v>
      </c>
      <c r="E2090" s="1" t="n">
        <v>17.27</v>
      </c>
      <c r="F2090" s="1" t="n">
        <f aca="false">16/11</f>
        <v>1.45454545454545</v>
      </c>
    </row>
    <row collapsed="false" customFormat="false" customHeight="false" hidden="false" ht="14.75" outlineLevel="0" r="2091">
      <c r="A2091" s="1" t="s">
        <v>1650</v>
      </c>
      <c r="B2091" s="1" t="s">
        <v>1632</v>
      </c>
      <c r="C2091" s="1" t="s">
        <v>1627</v>
      </c>
      <c r="D2091" s="1" t="n">
        <v>268.2</v>
      </c>
      <c r="E2091" s="1" t="n">
        <v>18.92</v>
      </c>
      <c r="F2091" s="1" t="n">
        <f aca="false">21/11</f>
        <v>1.90909090909091</v>
      </c>
    </row>
    <row collapsed="false" customFormat="false" customHeight="false" hidden="false" ht="14.75" outlineLevel="0" r="2092">
      <c r="A2092" s="1" t="s">
        <v>1651</v>
      </c>
      <c r="B2092" s="1" t="s">
        <v>1632</v>
      </c>
      <c r="C2092" s="1" t="s">
        <v>1627</v>
      </c>
      <c r="D2092" s="1" t="n">
        <v>162.7</v>
      </c>
      <c r="E2092" s="1" t="n">
        <v>13.82</v>
      </c>
      <c r="F2092" s="1" t="n">
        <f aca="false">18/11</f>
        <v>1.63636363636364</v>
      </c>
    </row>
    <row collapsed="false" customFormat="false" customHeight="false" hidden="false" ht="14.75" outlineLevel="0" r="2093">
      <c r="A2093" s="1" t="s">
        <v>1652</v>
      </c>
      <c r="B2093" s="1" t="s">
        <v>1644</v>
      </c>
      <c r="C2093" s="1" t="s">
        <v>1627</v>
      </c>
      <c r="D2093" s="1" t="n">
        <v>384.4</v>
      </c>
      <c r="E2093" s="1" t="n">
        <v>17.94</v>
      </c>
      <c r="F2093" s="1" t="n">
        <f aca="false">23/8</f>
        <v>2.875</v>
      </c>
    </row>
    <row collapsed="false" customFormat="false" customHeight="false" hidden="false" ht="14.75" outlineLevel="0" r="2094">
      <c r="A2094" s="1" t="s">
        <v>1653</v>
      </c>
      <c r="B2094" s="1" t="s">
        <v>1644</v>
      </c>
      <c r="C2094" s="1" t="s">
        <v>1627</v>
      </c>
      <c r="D2094" s="1" t="n">
        <v>215</v>
      </c>
      <c r="E2094" s="1" t="n">
        <v>19.32</v>
      </c>
      <c r="F2094" s="1" t="n">
        <v>1</v>
      </c>
    </row>
    <row collapsed="false" customFormat="false" customHeight="false" hidden="false" ht="14.75" outlineLevel="0" r="2095">
      <c r="A2095" s="1" t="s">
        <v>1654</v>
      </c>
      <c r="B2095" s="1" t="s">
        <v>1646</v>
      </c>
      <c r="C2095" s="1" t="s">
        <v>1627</v>
      </c>
      <c r="D2095" s="1" t="n">
        <v>297.5</v>
      </c>
      <c r="E2095" s="1" t="n">
        <v>14.57</v>
      </c>
      <c r="F2095" s="1" t="n">
        <v>1</v>
      </c>
    </row>
    <row collapsed="false" customFormat="false" customHeight="false" hidden="false" ht="14.75" outlineLevel="0" r="2096">
      <c r="A2096" s="1" t="s">
        <v>1655</v>
      </c>
      <c r="B2096" s="1" t="s">
        <v>1626</v>
      </c>
      <c r="C2096" s="1" t="s">
        <v>1627</v>
      </c>
      <c r="D2096" s="1" t="n">
        <v>223.5</v>
      </c>
      <c r="E2096" s="1" t="n">
        <v>18.38</v>
      </c>
      <c r="F2096" s="1" t="n">
        <v>2.3</v>
      </c>
    </row>
    <row collapsed="false" customFormat="false" customHeight="false" hidden="false" ht="14.75" outlineLevel="0" r="2097">
      <c r="A2097" s="1" t="s">
        <v>1656</v>
      </c>
      <c r="B2097" s="1" t="s">
        <v>1634</v>
      </c>
      <c r="C2097" s="1" t="s">
        <v>1627</v>
      </c>
      <c r="D2097" s="1" t="n">
        <v>207.5</v>
      </c>
      <c r="E2097" s="1" t="n">
        <v>11.83</v>
      </c>
      <c r="F2097" s="1" t="n">
        <f aca="false">12/8</f>
        <v>1.5</v>
      </c>
    </row>
    <row collapsed="false" customFormat="false" customHeight="false" hidden="false" ht="14.75" outlineLevel="0" r="2098">
      <c r="A2098" s="1" t="s">
        <v>1657</v>
      </c>
      <c r="B2098" s="1" t="s">
        <v>1634</v>
      </c>
      <c r="C2098" s="1" t="s">
        <v>1627</v>
      </c>
      <c r="D2098" s="1" t="n">
        <v>162.5</v>
      </c>
      <c r="E2098" s="1" t="n">
        <v>10.8</v>
      </c>
      <c r="F2098" s="1" t="n">
        <f aca="false">10/8</f>
        <v>1.25</v>
      </c>
    </row>
    <row collapsed="false" customFormat="false" customHeight="false" hidden="false" ht="14.75" outlineLevel="0" r="2099">
      <c r="A2099" s="1" t="s">
        <v>1136</v>
      </c>
      <c r="B2099" s="1" t="s">
        <v>1626</v>
      </c>
      <c r="C2099" s="1" t="s">
        <v>1627</v>
      </c>
      <c r="D2099" s="1" t="n">
        <v>267.5</v>
      </c>
      <c r="E2099" s="1" t="n">
        <v>18.15</v>
      </c>
      <c r="F2099" s="1" t="n">
        <v>2.6</v>
      </c>
    </row>
    <row collapsed="false" customFormat="false" customHeight="false" hidden="false" ht="14.75" outlineLevel="0" r="2100">
      <c r="A2100" s="1" t="s">
        <v>1137</v>
      </c>
      <c r="B2100" s="1" t="s">
        <v>1626</v>
      </c>
      <c r="C2100" s="1" t="s">
        <v>1627</v>
      </c>
      <c r="D2100" s="1" t="n">
        <v>152.8</v>
      </c>
      <c r="E2100" s="1" t="n">
        <v>12.1</v>
      </c>
      <c r="F2100" s="1" t="n">
        <v>0.8</v>
      </c>
    </row>
    <row collapsed="false" customFormat="false" customHeight="false" hidden="false" ht="14.75" outlineLevel="0" r="2101">
      <c r="A2101" s="1" t="s">
        <v>827</v>
      </c>
      <c r="B2101" s="1" t="s">
        <v>1658</v>
      </c>
      <c r="C2101" s="1" t="s">
        <v>1627</v>
      </c>
      <c r="D2101" s="1" t="n">
        <v>378.4</v>
      </c>
      <c r="E2101" s="1" t="n">
        <v>23.91</v>
      </c>
      <c r="F2101" s="1" t="n">
        <v>6.1</v>
      </c>
    </row>
    <row collapsed="false" customFormat="false" customHeight="false" hidden="false" ht="14.75" outlineLevel="0" r="2102">
      <c r="A2102" s="1" t="s">
        <v>828</v>
      </c>
      <c r="B2102" s="1" t="s">
        <v>1658</v>
      </c>
      <c r="C2102" s="1" t="s">
        <v>1627</v>
      </c>
      <c r="D2102" s="1" t="n">
        <v>256.9</v>
      </c>
      <c r="E2102" s="1" t="n">
        <v>17.69</v>
      </c>
      <c r="F2102" s="1" t="n">
        <v>2.16666666666667</v>
      </c>
    </row>
    <row collapsed="false" customFormat="false" customHeight="false" hidden="false" ht="14.75" outlineLevel="0" r="2103">
      <c r="A2103" s="1" t="s">
        <v>829</v>
      </c>
      <c r="B2103" s="1" t="s">
        <v>1658</v>
      </c>
      <c r="C2103" s="1" t="s">
        <v>1627</v>
      </c>
      <c r="D2103" s="1" t="n">
        <v>137</v>
      </c>
      <c r="E2103" s="1" t="n">
        <v>11.09</v>
      </c>
      <c r="F2103" s="1" t="n">
        <v>0.833333333333333</v>
      </c>
    </row>
    <row collapsed="false" customFormat="false" customHeight="false" hidden="false" ht="14.75" outlineLevel="0" r="2104">
      <c r="A2104" s="1" t="s">
        <v>830</v>
      </c>
      <c r="B2104" s="1" t="s">
        <v>1658</v>
      </c>
      <c r="C2104" s="1" t="s">
        <v>1627</v>
      </c>
      <c r="D2104" s="1" t="n">
        <v>261</v>
      </c>
      <c r="E2104" s="1" t="n">
        <v>16.8</v>
      </c>
      <c r="F2104" s="1" t="n">
        <f aca="false">18/7</f>
        <v>2.57142857142857</v>
      </c>
    </row>
    <row collapsed="false" customFormat="false" customHeight="false" hidden="false" ht="14.75" outlineLevel="0" r="2105">
      <c r="A2105" s="1" t="s">
        <v>831</v>
      </c>
      <c r="B2105" s="1" t="s">
        <v>1658</v>
      </c>
      <c r="C2105" s="1" t="s">
        <v>1627</v>
      </c>
      <c r="D2105" s="1" t="n">
        <v>187</v>
      </c>
      <c r="E2105" s="1" t="n">
        <v>17.45</v>
      </c>
      <c r="F2105" s="1" t="n">
        <v>1</v>
      </c>
    </row>
    <row collapsed="false" customFormat="false" customHeight="false" hidden="false" ht="14.75" outlineLevel="0" r="2106">
      <c r="A2106" s="1" t="s">
        <v>832</v>
      </c>
      <c r="B2106" s="1" t="s">
        <v>1658</v>
      </c>
      <c r="C2106" s="1" t="s">
        <v>1627</v>
      </c>
      <c r="D2106" s="1" t="n">
        <v>131.2</v>
      </c>
      <c r="E2106" s="1" t="n">
        <v>11.97</v>
      </c>
      <c r="F2106" s="1" t="n">
        <v>0.833333333333333</v>
      </c>
    </row>
    <row collapsed="false" customFormat="false" customHeight="false" hidden="false" ht="14.75" outlineLevel="0" r="2107">
      <c r="A2107" s="1" t="s">
        <v>1659</v>
      </c>
      <c r="B2107" s="1" t="s">
        <v>1631</v>
      </c>
      <c r="C2107" s="1" t="s">
        <v>1627</v>
      </c>
      <c r="D2107" s="1" t="n">
        <v>383.1</v>
      </c>
      <c r="E2107" s="1" t="n">
        <v>19.67</v>
      </c>
      <c r="F2107" s="1" t="n">
        <f aca="false">27/8</f>
        <v>3.375</v>
      </c>
    </row>
    <row collapsed="false" customFormat="false" customHeight="false" hidden="false" ht="14.75" outlineLevel="0" r="2108">
      <c r="A2108" s="1" t="s">
        <v>10</v>
      </c>
      <c r="B2108" s="1" t="s">
        <v>1660</v>
      </c>
      <c r="C2108" s="1" t="s">
        <v>1627</v>
      </c>
      <c r="D2108" s="1" t="n">
        <v>134.3</v>
      </c>
      <c r="E2108" s="1" t="n">
        <v>13.75</v>
      </c>
      <c r="F2108" s="1" t="n">
        <f aca="false">8/7</f>
        <v>1.14285714285714</v>
      </c>
    </row>
    <row collapsed="false" customFormat="false" customHeight="false" hidden="false" ht="14.75" outlineLevel="0" r="2109">
      <c r="A2109" s="1" t="s">
        <v>1661</v>
      </c>
      <c r="B2109" s="1" t="s">
        <v>1644</v>
      </c>
      <c r="C2109" s="1" t="s">
        <v>1627</v>
      </c>
      <c r="D2109" s="1" t="n">
        <v>100.6</v>
      </c>
      <c r="E2109" s="1" t="n">
        <v>9.03</v>
      </c>
      <c r="F2109" s="1" t="n">
        <f aca="false">5/8</f>
        <v>0.625</v>
      </c>
    </row>
    <row collapsed="false" customFormat="false" customHeight="false" hidden="false" ht="14.75" outlineLevel="0" r="2110">
      <c r="A2110" s="1" t="s">
        <v>1518</v>
      </c>
      <c r="B2110" s="1" t="s">
        <v>1644</v>
      </c>
      <c r="C2110" s="1" t="s">
        <v>1627</v>
      </c>
      <c r="D2110" s="1" t="n">
        <v>290.6</v>
      </c>
      <c r="E2110" s="1" t="n">
        <v>16.23</v>
      </c>
      <c r="F2110" s="1" t="n">
        <f aca="false">15/8</f>
        <v>1.875</v>
      </c>
    </row>
    <row collapsed="false" customFormat="false" customHeight="false" hidden="false" ht="14.75" outlineLevel="0" r="2111">
      <c r="A2111" s="1" t="s">
        <v>1522</v>
      </c>
      <c r="B2111" s="1" t="s">
        <v>1662</v>
      </c>
      <c r="C2111" s="1" t="s">
        <v>1627</v>
      </c>
      <c r="D2111" s="1" t="n">
        <v>247.7</v>
      </c>
      <c r="E2111" s="1" t="n">
        <v>16.14</v>
      </c>
      <c r="F2111" s="1" t="n">
        <f aca="false">30/11</f>
        <v>2.72727272727273</v>
      </c>
    </row>
    <row collapsed="false" customFormat="false" customHeight="false" hidden="false" ht="14.75" outlineLevel="0" r="2112">
      <c r="A2112" s="1" t="s">
        <v>324</v>
      </c>
      <c r="B2112" s="1" t="s">
        <v>1662</v>
      </c>
      <c r="C2112" s="1" t="s">
        <v>1627</v>
      </c>
      <c r="D2112" s="1" t="n">
        <v>126.8</v>
      </c>
      <c r="E2112" s="1" t="n">
        <v>11.48</v>
      </c>
      <c r="F2112" s="1" t="n">
        <f aca="false">13/11</f>
        <v>1.18181818181818</v>
      </c>
    </row>
    <row collapsed="false" customFormat="false" customHeight="false" hidden="false" ht="14.75" outlineLevel="0" r="2113">
      <c r="A2113" s="1" t="s">
        <v>447</v>
      </c>
      <c r="B2113" s="1" t="s">
        <v>1634</v>
      </c>
      <c r="C2113" s="1" t="s">
        <v>1627</v>
      </c>
      <c r="D2113" s="1" t="n">
        <v>195.6</v>
      </c>
      <c r="E2113" s="1" t="n">
        <v>16.53</v>
      </c>
      <c r="F2113" s="1" t="n">
        <f aca="false">21/8</f>
        <v>2.625</v>
      </c>
    </row>
    <row collapsed="false" customFormat="false" customHeight="false" hidden="false" ht="14.75" outlineLevel="0" r="2114">
      <c r="A2114" s="1" t="s">
        <v>448</v>
      </c>
      <c r="B2114" s="1" t="s">
        <v>1634</v>
      </c>
      <c r="C2114" s="1" t="s">
        <v>1627</v>
      </c>
      <c r="D2114" s="1" t="n">
        <v>140</v>
      </c>
      <c r="E2114" s="1" t="n">
        <v>10.68</v>
      </c>
      <c r="F2114" s="1" t="n">
        <f aca="false">6/8</f>
        <v>0.75</v>
      </c>
    </row>
    <row collapsed="false" customFormat="false" customHeight="false" hidden="false" ht="14.75" outlineLevel="0" r="2115">
      <c r="A2115" s="1" t="s">
        <v>1663</v>
      </c>
      <c r="B2115" s="1" t="s">
        <v>1626</v>
      </c>
      <c r="C2115" s="1" t="s">
        <v>1627</v>
      </c>
      <c r="D2115" s="1" t="n">
        <v>154.4</v>
      </c>
      <c r="E2115" s="1" t="n">
        <v>12.74</v>
      </c>
      <c r="F2115" s="1" t="n">
        <v>0.5</v>
      </c>
    </row>
    <row collapsed="false" customFormat="false" customHeight="false" hidden="false" ht="14.75" outlineLevel="0" r="2116">
      <c r="A2116" s="1" t="s">
        <v>204</v>
      </c>
      <c r="B2116" s="1" t="s">
        <v>1662</v>
      </c>
      <c r="C2116" s="1" t="s">
        <v>1627</v>
      </c>
      <c r="D2116" s="1" t="n">
        <v>348.6</v>
      </c>
      <c r="E2116" s="1" t="n">
        <v>21.83</v>
      </c>
      <c r="F2116" s="1" t="n">
        <f aca="false">25/11</f>
        <v>2.27272727272727</v>
      </c>
    </row>
    <row collapsed="false" customFormat="false" customHeight="false" hidden="false" ht="14.75" outlineLevel="0" r="2117">
      <c r="A2117" s="1" t="s">
        <v>205</v>
      </c>
      <c r="B2117" s="1" t="s">
        <v>1662</v>
      </c>
      <c r="C2117" s="1" t="s">
        <v>1627</v>
      </c>
      <c r="D2117" s="1" t="n">
        <v>250</v>
      </c>
      <c r="E2117" s="1" t="n">
        <v>16.86</v>
      </c>
      <c r="F2117" s="1" t="n">
        <f aca="false">14/11</f>
        <v>1.27272727272727</v>
      </c>
    </row>
    <row collapsed="false" customFormat="false" customHeight="false" hidden="false" ht="14.75" outlineLevel="0" r="2118">
      <c r="A2118" s="1" t="s">
        <v>1664</v>
      </c>
      <c r="B2118" s="1" t="s">
        <v>1633</v>
      </c>
      <c r="C2118" s="1" t="s">
        <v>1627</v>
      </c>
      <c r="D2118" s="1" t="n">
        <v>140</v>
      </c>
      <c r="E2118" s="1" t="n">
        <v>16.43</v>
      </c>
      <c r="F2118" s="1" t="n">
        <v>0.2</v>
      </c>
    </row>
    <row collapsed="false" customFormat="false" customHeight="false" hidden="false" ht="14.75" outlineLevel="0" r="2119">
      <c r="A2119" s="1" t="s">
        <v>1665</v>
      </c>
      <c r="B2119" s="1" t="s">
        <v>1633</v>
      </c>
      <c r="C2119" s="1" t="s">
        <v>1627</v>
      </c>
      <c r="D2119" s="1" t="n">
        <v>54</v>
      </c>
      <c r="E2119" s="1" t="n">
        <v>8.44</v>
      </c>
      <c r="F2119" s="1" t="n">
        <v>0.4</v>
      </c>
    </row>
    <row collapsed="false" customFormat="false" customHeight="false" hidden="false" ht="14.75" outlineLevel="0" r="2120">
      <c r="A2120" s="1" t="s">
        <v>1666</v>
      </c>
      <c r="B2120" s="1" t="s">
        <v>1658</v>
      </c>
      <c r="C2120" s="1" t="s">
        <v>1627</v>
      </c>
      <c r="D2120" s="1" t="n">
        <v>172.8</v>
      </c>
      <c r="E2120" s="1" t="n">
        <v>15.44</v>
      </c>
      <c r="F2120" s="1" t="n">
        <f aca="false">6/7</f>
        <v>0.857142857142857</v>
      </c>
    </row>
    <row collapsed="false" customFormat="false" customHeight="false" hidden="false" ht="14.75" outlineLevel="0" r="2121">
      <c r="A2121" s="1" t="s">
        <v>1667</v>
      </c>
      <c r="B2121" s="1" t="s">
        <v>1658</v>
      </c>
      <c r="C2121" s="1" t="s">
        <v>1627</v>
      </c>
      <c r="D2121" s="1" t="n">
        <v>188.8</v>
      </c>
      <c r="E2121" s="1" t="n">
        <v>17.72</v>
      </c>
      <c r="F2121" s="1" t="n">
        <f aca="false">16/7</f>
        <v>2.28571428571429</v>
      </c>
    </row>
    <row collapsed="false" customFormat="false" customHeight="false" hidden="false" ht="14.75" outlineLevel="0" r="2122">
      <c r="A2122" s="1" t="s">
        <v>1668</v>
      </c>
      <c r="B2122" s="1" t="s">
        <v>1658</v>
      </c>
      <c r="C2122" s="1" t="s">
        <v>1627</v>
      </c>
      <c r="D2122" s="1" t="n">
        <v>116.4</v>
      </c>
      <c r="E2122" s="1" t="n">
        <v>14.06</v>
      </c>
      <c r="F2122" s="1" t="n">
        <v>0.833333333333333</v>
      </c>
    </row>
    <row collapsed="false" customFormat="false" customHeight="false" hidden="false" ht="14.75" outlineLevel="0" r="2123">
      <c r="A2123" s="1" t="s">
        <v>1669</v>
      </c>
      <c r="B2123" s="1" t="s">
        <v>1633</v>
      </c>
      <c r="C2123" s="1" t="s">
        <v>1627</v>
      </c>
      <c r="D2123" s="1" t="n">
        <v>242</v>
      </c>
      <c r="E2123" s="1" t="n">
        <v>16.59</v>
      </c>
      <c r="F2123" s="1" t="n">
        <f aca="false">13/5</f>
        <v>2.6</v>
      </c>
    </row>
    <row collapsed="false" customFormat="false" customHeight="false" hidden="false" ht="14.75" outlineLevel="0" r="2124">
      <c r="A2124" s="1" t="s">
        <v>1670</v>
      </c>
      <c r="B2124" s="1" t="s">
        <v>1634</v>
      </c>
      <c r="C2124" s="1" t="s">
        <v>1627</v>
      </c>
      <c r="D2124" s="1" t="n">
        <v>203.8</v>
      </c>
      <c r="E2124" s="1" t="n">
        <v>15.45</v>
      </c>
      <c r="F2124" s="1" t="n">
        <f aca="false">12/8</f>
        <v>1.5</v>
      </c>
    </row>
    <row collapsed="false" customFormat="false" customHeight="false" hidden="false" ht="14.75" outlineLevel="0" r="2125">
      <c r="A2125" s="1" t="s">
        <v>853</v>
      </c>
      <c r="B2125" s="1" t="s">
        <v>1658</v>
      </c>
      <c r="C2125" s="1" t="s">
        <v>1627</v>
      </c>
      <c r="D2125" s="1" t="n">
        <v>327.1</v>
      </c>
      <c r="E2125" s="1" t="n">
        <v>19.52</v>
      </c>
      <c r="F2125" s="1" t="n">
        <f aca="false">28/8</f>
        <v>3.5</v>
      </c>
    </row>
    <row collapsed="false" customFormat="false" customHeight="false" hidden="false" ht="14.75" outlineLevel="0" r="2126">
      <c r="A2126" s="1" t="s">
        <v>854</v>
      </c>
      <c r="B2126" s="1" t="s">
        <v>1658</v>
      </c>
      <c r="C2126" s="1" t="s">
        <v>1627</v>
      </c>
      <c r="D2126" s="1" t="n">
        <v>276.7</v>
      </c>
      <c r="E2126" s="1" t="n">
        <v>17.03</v>
      </c>
      <c r="F2126" s="1" t="n">
        <v>3.83333333333333</v>
      </c>
    </row>
    <row collapsed="false" customFormat="false" customHeight="false" hidden="false" ht="14.75" outlineLevel="0" r="2127">
      <c r="A2127" s="1" t="s">
        <v>1671</v>
      </c>
      <c r="B2127" s="1" t="s">
        <v>1632</v>
      </c>
      <c r="C2127" s="1" t="s">
        <v>1627</v>
      </c>
      <c r="D2127" s="1" t="n">
        <v>144.1</v>
      </c>
      <c r="E2127" s="1" t="n">
        <v>12.75</v>
      </c>
      <c r="F2127" s="1" t="n">
        <f aca="false">10/11</f>
        <v>0.909090909090909</v>
      </c>
    </row>
    <row collapsed="false" customFormat="false" customHeight="false" hidden="false" ht="14.75" outlineLevel="0" r="2128">
      <c r="A2128" s="1" t="s">
        <v>1672</v>
      </c>
      <c r="B2128" s="1" t="s">
        <v>1632</v>
      </c>
      <c r="C2128" s="1" t="s">
        <v>1627</v>
      </c>
      <c r="D2128" s="1" t="n">
        <v>105.9</v>
      </c>
      <c r="E2128" s="1" t="n">
        <v>9.13</v>
      </c>
      <c r="F2128" s="1" t="n">
        <f aca="false">8/11</f>
        <v>0.727272727272727</v>
      </c>
    </row>
    <row collapsed="false" customFormat="false" customHeight="false" hidden="false" ht="14.75" outlineLevel="0" r="2129">
      <c r="A2129" s="1" t="s">
        <v>1673</v>
      </c>
      <c r="B2129" s="1" t="s">
        <v>1633</v>
      </c>
      <c r="C2129" s="1" t="s">
        <v>1627</v>
      </c>
      <c r="D2129" s="1" t="n">
        <v>167</v>
      </c>
      <c r="E2129" s="1" t="n">
        <v>12.78</v>
      </c>
      <c r="F2129" s="1" t="n">
        <f aca="false">7/5</f>
        <v>1.4</v>
      </c>
    </row>
    <row collapsed="false" customFormat="false" customHeight="false" hidden="false" ht="14.75" outlineLevel="0" r="2130">
      <c r="A2130" s="1" t="s">
        <v>1674</v>
      </c>
      <c r="B2130" s="1" t="s">
        <v>1634</v>
      </c>
      <c r="C2130" s="1" t="s">
        <v>1627</v>
      </c>
      <c r="D2130" s="1" t="n">
        <v>248.1</v>
      </c>
      <c r="E2130" s="1" t="n">
        <v>15.79</v>
      </c>
      <c r="F2130" s="1" t="n">
        <f aca="false">15/8</f>
        <v>1.875</v>
      </c>
    </row>
    <row collapsed="false" customFormat="false" customHeight="false" hidden="false" ht="14.75" outlineLevel="0" r="2131">
      <c r="A2131" s="1" t="s">
        <v>1675</v>
      </c>
      <c r="B2131" s="1" t="s">
        <v>1634</v>
      </c>
      <c r="C2131" s="1" t="s">
        <v>1627</v>
      </c>
      <c r="D2131" s="1" t="n">
        <v>291.9</v>
      </c>
      <c r="E2131" s="1" t="n">
        <v>10</v>
      </c>
      <c r="F2131" s="1" t="n">
        <f aca="false">9/8</f>
        <v>1.125</v>
      </c>
    </row>
    <row collapsed="false" customFormat="false" customHeight="false" hidden="false" ht="14.75" outlineLevel="0" r="2132">
      <c r="A2132" s="1" t="s">
        <v>1676</v>
      </c>
      <c r="B2132" s="1" t="s">
        <v>1677</v>
      </c>
      <c r="C2132" s="1" t="s">
        <v>1627</v>
      </c>
      <c r="D2132" s="1" t="n">
        <v>60</v>
      </c>
      <c r="E2132" s="1" t="n">
        <v>8.52</v>
      </c>
      <c r="F2132" s="1" t="n">
        <v>0</v>
      </c>
    </row>
    <row collapsed="false" customFormat="false" customHeight="false" hidden="false" ht="14.75" outlineLevel="0" r="2133">
      <c r="A2133" s="1" t="s">
        <v>1678</v>
      </c>
      <c r="B2133" s="1" t="s">
        <v>1677</v>
      </c>
      <c r="C2133" s="1" t="s">
        <v>1627</v>
      </c>
      <c r="D2133" s="1" t="n">
        <v>76.2</v>
      </c>
      <c r="E2133" s="1" t="n">
        <v>7.65</v>
      </c>
      <c r="F2133" s="1" t="n">
        <f aca="false">4/8</f>
        <v>0.5</v>
      </c>
    </row>
    <row collapsed="false" customFormat="false" customHeight="false" hidden="false" ht="14.75" outlineLevel="0" r="2134">
      <c r="A2134" s="1" t="s">
        <v>1679</v>
      </c>
      <c r="B2134" s="1" t="s">
        <v>1646</v>
      </c>
      <c r="C2134" s="1" t="s">
        <v>1627</v>
      </c>
      <c r="D2134" s="1" t="n">
        <v>287.5</v>
      </c>
      <c r="E2134" s="1" t="n">
        <v>15.71</v>
      </c>
      <c r="F2134" s="1" t="n">
        <v>0.5</v>
      </c>
    </row>
    <row collapsed="false" customFormat="false" customHeight="false" hidden="false" ht="14.75" outlineLevel="0" r="2135">
      <c r="A2135" s="1" t="s">
        <v>1680</v>
      </c>
      <c r="B2135" s="1" t="s">
        <v>1633</v>
      </c>
      <c r="C2135" s="1" t="s">
        <v>1627</v>
      </c>
      <c r="D2135" s="1" t="n">
        <v>235</v>
      </c>
      <c r="E2135" s="1" t="n">
        <v>17.33</v>
      </c>
      <c r="F2135" s="1" t="n">
        <f aca="false">7/5</f>
        <v>1.4</v>
      </c>
    </row>
    <row collapsed="false" customFormat="false" customHeight="false" hidden="false" ht="14.75" outlineLevel="0" r="2136">
      <c r="A2136" s="1" t="s">
        <v>1681</v>
      </c>
      <c r="B2136" s="1" t="s">
        <v>1633</v>
      </c>
      <c r="C2136" s="1" t="s">
        <v>1627</v>
      </c>
      <c r="D2136" s="1" t="n">
        <v>116</v>
      </c>
      <c r="E2136" s="1" t="n">
        <v>10</v>
      </c>
      <c r="F2136" s="1" t="n">
        <v>0.4</v>
      </c>
    </row>
    <row collapsed="false" customFormat="false" customHeight="false" hidden="false" ht="14.75" outlineLevel="0" r="2137">
      <c r="A2137" s="1" t="s">
        <v>1168</v>
      </c>
      <c r="B2137" s="1" t="s">
        <v>1631</v>
      </c>
      <c r="C2137" s="1" t="s">
        <v>1627</v>
      </c>
      <c r="D2137" s="1" t="n">
        <v>376.1</v>
      </c>
      <c r="E2137" s="1" t="n">
        <v>18.7</v>
      </c>
      <c r="F2137" s="1" t="n">
        <f aca="false">43/9</f>
        <v>4.77777777777778</v>
      </c>
    </row>
    <row collapsed="false" customFormat="false" customHeight="false" hidden="false" ht="14.75" outlineLevel="0" r="2138">
      <c r="A2138" s="1" t="s">
        <v>1169</v>
      </c>
      <c r="B2138" s="1" t="s">
        <v>1631</v>
      </c>
      <c r="C2138" s="1" t="s">
        <v>1627</v>
      </c>
      <c r="D2138" s="1" t="n">
        <v>118.1</v>
      </c>
      <c r="E2138" s="1" t="n">
        <v>10.91</v>
      </c>
      <c r="F2138" s="1" t="n">
        <f aca="false">3/8</f>
        <v>0.375</v>
      </c>
    </row>
    <row collapsed="false" customFormat="false" customHeight="false" hidden="false" ht="14.75" outlineLevel="0" r="2139">
      <c r="A2139" s="1" t="s">
        <v>1181</v>
      </c>
      <c r="B2139" s="1" t="s">
        <v>1634</v>
      </c>
      <c r="C2139" s="1" t="s">
        <v>1627</v>
      </c>
      <c r="D2139" s="1" t="n">
        <v>135.6</v>
      </c>
      <c r="E2139" s="1" t="n">
        <v>9.76</v>
      </c>
      <c r="F2139" s="1" t="n">
        <f aca="false">13/8</f>
        <v>1.625</v>
      </c>
    </row>
    <row collapsed="false" customFormat="false" customHeight="false" hidden="false" ht="14.75" outlineLevel="0" r="2140">
      <c r="A2140" s="1" t="s">
        <v>1543</v>
      </c>
      <c r="B2140" s="1" t="s">
        <v>1633</v>
      </c>
      <c r="C2140" s="1" t="s">
        <v>1627</v>
      </c>
      <c r="D2140" s="1" t="n">
        <v>420</v>
      </c>
      <c r="E2140" s="1" t="n">
        <v>21.6</v>
      </c>
      <c r="F2140" s="1" t="n">
        <v>6.6</v>
      </c>
    </row>
    <row collapsed="false" customFormat="false" customHeight="false" hidden="false" ht="14.75" outlineLevel="0" r="2141">
      <c r="A2141" s="1" t="s">
        <v>1544</v>
      </c>
      <c r="B2141" s="1" t="s">
        <v>1633</v>
      </c>
      <c r="C2141" s="1" t="s">
        <v>1627</v>
      </c>
      <c r="D2141" s="1" t="n">
        <v>462.7</v>
      </c>
      <c r="E2141" s="1" t="n">
        <v>24.68</v>
      </c>
      <c r="F2141" s="1" t="n">
        <f aca="false">75/11</f>
        <v>6.81818181818182</v>
      </c>
    </row>
    <row collapsed="false" customFormat="false" customHeight="false" hidden="false" ht="14.75" outlineLevel="0" r="2142">
      <c r="A2142" s="1" t="s">
        <v>689</v>
      </c>
      <c r="B2142" s="1" t="s">
        <v>1631</v>
      </c>
      <c r="C2142" s="1" t="s">
        <v>1627</v>
      </c>
      <c r="D2142" s="1" t="n">
        <v>324.4</v>
      </c>
      <c r="E2142" s="1" t="n">
        <v>18.46</v>
      </c>
      <c r="F2142" s="1" t="n">
        <f aca="false">19/8</f>
        <v>2.375</v>
      </c>
    </row>
    <row collapsed="false" customFormat="false" customHeight="false" hidden="false" ht="14.75" outlineLevel="0" r="2143">
      <c r="A2143" s="1" t="s">
        <v>690</v>
      </c>
      <c r="B2143" s="1" t="s">
        <v>1631</v>
      </c>
      <c r="C2143" s="1" t="s">
        <v>1627</v>
      </c>
      <c r="D2143" s="1" t="n">
        <v>131.9</v>
      </c>
      <c r="E2143" s="1" t="n">
        <v>13.53</v>
      </c>
      <c r="F2143" s="1" t="n">
        <f aca="false">5/8</f>
        <v>0.625</v>
      </c>
    </row>
    <row collapsed="false" customFormat="false" customHeight="false" hidden="false" ht="14.75" outlineLevel="0" r="2144">
      <c r="A2144" s="1" t="s">
        <v>1185</v>
      </c>
      <c r="B2144" s="1" t="s">
        <v>1631</v>
      </c>
      <c r="C2144" s="1" t="s">
        <v>1627</v>
      </c>
      <c r="D2144" s="1" t="n">
        <v>331.9</v>
      </c>
      <c r="E2144" s="1" t="n">
        <v>20.42</v>
      </c>
      <c r="F2144" s="1" t="n">
        <f aca="false">29/8</f>
        <v>3.625</v>
      </c>
    </row>
    <row collapsed="false" customFormat="false" customHeight="false" hidden="false" ht="14.75" outlineLevel="0" r="2145">
      <c r="A2145" s="1" t="s">
        <v>1186</v>
      </c>
      <c r="B2145" s="1" t="s">
        <v>1631</v>
      </c>
      <c r="C2145" s="1" t="s">
        <v>1627</v>
      </c>
      <c r="D2145" s="1" t="n">
        <v>171.9</v>
      </c>
      <c r="E2145" s="1" t="n">
        <v>16.19</v>
      </c>
      <c r="F2145" s="1" t="n">
        <f aca="false">7/8</f>
        <v>0.875</v>
      </c>
    </row>
    <row collapsed="false" customFormat="false" customHeight="false" hidden="false" ht="14.75" outlineLevel="0" r="2146">
      <c r="A2146" s="1" t="s">
        <v>1682</v>
      </c>
      <c r="B2146" s="1" t="s">
        <v>1633</v>
      </c>
      <c r="C2146" s="1" t="s">
        <v>1627</v>
      </c>
      <c r="D2146" s="1" t="n">
        <v>351</v>
      </c>
      <c r="E2146" s="1" t="n">
        <v>19.91</v>
      </c>
      <c r="F2146" s="1" t="n">
        <f aca="false">21/5</f>
        <v>4.2</v>
      </c>
    </row>
    <row collapsed="false" customFormat="false" customHeight="false" hidden="false" ht="14.75" outlineLevel="0" r="2147">
      <c r="A2147" s="1" t="s">
        <v>868</v>
      </c>
      <c r="B2147" s="1" t="s">
        <v>1633</v>
      </c>
      <c r="C2147" s="1" t="s">
        <v>1627</v>
      </c>
      <c r="D2147" s="1" t="n">
        <v>446.1</v>
      </c>
      <c r="E2147" s="1" t="n">
        <v>23.43</v>
      </c>
      <c r="F2147" s="1" t="n">
        <f aca="false">58/9</f>
        <v>6.44444444444444</v>
      </c>
    </row>
    <row collapsed="false" customFormat="false" customHeight="false" hidden="false" ht="14.75" outlineLevel="0" r="2148">
      <c r="A2148" s="1" t="s">
        <v>869</v>
      </c>
      <c r="B2148" s="1" t="s">
        <v>1633</v>
      </c>
      <c r="C2148" s="1" t="s">
        <v>1627</v>
      </c>
      <c r="D2148" s="1" t="n">
        <v>303</v>
      </c>
      <c r="E2148" s="1" t="n">
        <v>21.6</v>
      </c>
      <c r="F2148" s="1" t="n">
        <v>3</v>
      </c>
    </row>
    <row collapsed="false" customFormat="false" customHeight="false" hidden="false" ht="14.75" outlineLevel="0" r="2149">
      <c r="A2149" s="1" t="s">
        <v>870</v>
      </c>
      <c r="B2149" s="1" t="s">
        <v>1633</v>
      </c>
      <c r="C2149" s="1" t="s">
        <v>1627</v>
      </c>
      <c r="D2149" s="1" t="n">
        <v>149</v>
      </c>
      <c r="E2149" s="1" t="n">
        <v>13.75</v>
      </c>
      <c r="F2149" s="1" t="n">
        <v>0.6</v>
      </c>
    </row>
    <row collapsed="false" customFormat="false" customHeight="false" hidden="false" ht="14.75" outlineLevel="0" r="2150">
      <c r="A2150" s="1" t="s">
        <v>1683</v>
      </c>
      <c r="B2150" s="1" t="s">
        <v>1633</v>
      </c>
      <c r="C2150" s="1" t="s">
        <v>1627</v>
      </c>
      <c r="D2150" s="1" t="n">
        <v>139</v>
      </c>
      <c r="E2150" s="1" t="n">
        <v>10.91</v>
      </c>
      <c r="F2150" s="1" t="n">
        <v>0.2</v>
      </c>
    </row>
    <row collapsed="false" customFormat="false" customHeight="false" hidden="false" ht="14.75" outlineLevel="0" r="2151">
      <c r="A2151" s="1" t="s">
        <v>1684</v>
      </c>
      <c r="B2151" s="1" t="s">
        <v>1633</v>
      </c>
      <c r="C2151" s="1" t="s">
        <v>1627</v>
      </c>
      <c r="D2151" s="1" t="n">
        <v>51</v>
      </c>
      <c r="E2151" s="1" t="n">
        <v>8.57</v>
      </c>
      <c r="F2151" s="1" t="n">
        <f aca="false">2/5</f>
        <v>0.4</v>
      </c>
    </row>
    <row collapsed="false" customFormat="false" customHeight="false" hidden="false" ht="14.75" outlineLevel="0" r="2152">
      <c r="A2152" s="1" t="s">
        <v>1685</v>
      </c>
      <c r="B2152" s="1" t="s">
        <v>1633</v>
      </c>
      <c r="C2152" s="1" t="s">
        <v>1627</v>
      </c>
      <c r="D2152" s="1" t="n">
        <v>180</v>
      </c>
      <c r="E2152" s="1" t="n">
        <v>13.78</v>
      </c>
      <c r="F2152" s="1" t="n">
        <f aca="false">7/5</f>
        <v>1.4</v>
      </c>
    </row>
    <row collapsed="false" customFormat="false" customHeight="false" hidden="false" ht="14.75" outlineLevel="0" r="2153">
      <c r="A2153" s="1" t="s">
        <v>1686</v>
      </c>
      <c r="B2153" s="1" t="s">
        <v>1644</v>
      </c>
      <c r="C2153" s="1" t="s">
        <v>1627</v>
      </c>
      <c r="D2153" s="1" t="n">
        <v>281.2</v>
      </c>
      <c r="E2153" s="1" t="n">
        <v>15</v>
      </c>
      <c r="F2153" s="1" t="n">
        <f aca="false">18/8</f>
        <v>2.25</v>
      </c>
    </row>
    <row collapsed="false" customFormat="false" customHeight="false" hidden="false" ht="14.75" outlineLevel="0" r="2154">
      <c r="A2154" s="1" t="s">
        <v>1687</v>
      </c>
      <c r="B2154" s="1" t="s">
        <v>1644</v>
      </c>
      <c r="C2154" s="1" t="s">
        <v>1627</v>
      </c>
      <c r="D2154" s="1" t="n">
        <v>132.5</v>
      </c>
      <c r="E2154" s="1" t="n">
        <v>14.83</v>
      </c>
      <c r="F2154" s="1" t="n">
        <f aca="false">10/8</f>
        <v>1.25</v>
      </c>
    </row>
    <row collapsed="false" customFormat="false" customHeight="false" hidden="false" ht="14.75" outlineLevel="0" r="2155">
      <c r="A2155" s="1" t="s">
        <v>1688</v>
      </c>
      <c r="B2155" s="1" t="s">
        <v>1633</v>
      </c>
      <c r="C2155" s="1" t="s">
        <v>1627</v>
      </c>
      <c r="D2155" s="1" t="n">
        <v>261</v>
      </c>
      <c r="E2155" s="1" t="n">
        <v>17.61</v>
      </c>
      <c r="F2155" s="1" t="n">
        <f aca="false">14/5</f>
        <v>2.8</v>
      </c>
    </row>
    <row collapsed="false" customFormat="false" customHeight="false" hidden="false" ht="14.75" outlineLevel="0" r="2156">
      <c r="A2156" s="1" t="s">
        <v>1689</v>
      </c>
      <c r="B2156" s="1" t="s">
        <v>1633</v>
      </c>
      <c r="C2156" s="1" t="s">
        <v>1627</v>
      </c>
      <c r="D2156" s="1" t="n">
        <v>128</v>
      </c>
      <c r="E2156" s="1" t="n">
        <v>14.07</v>
      </c>
      <c r="F2156" s="1" t="n">
        <v>1</v>
      </c>
    </row>
    <row collapsed="false" customFormat="false" customHeight="false" hidden="false" ht="14.75" outlineLevel="0" r="2157">
      <c r="A2157" s="1" t="s">
        <v>875</v>
      </c>
      <c r="B2157" s="1" t="s">
        <v>1660</v>
      </c>
      <c r="C2157" s="1" t="s">
        <v>1627</v>
      </c>
      <c r="D2157" s="1" t="n">
        <v>251.4</v>
      </c>
      <c r="E2157" s="1" t="n">
        <v>16.56</v>
      </c>
      <c r="F2157" s="1" t="n">
        <f aca="false">17/7</f>
        <v>2.42857142857143</v>
      </c>
    </row>
    <row collapsed="false" customFormat="false" customHeight="false" hidden="false" ht="14.75" outlineLevel="0" r="2158">
      <c r="A2158" s="1" t="s">
        <v>877</v>
      </c>
      <c r="B2158" s="1" t="s">
        <v>1662</v>
      </c>
      <c r="C2158" s="1" t="s">
        <v>1627</v>
      </c>
      <c r="D2158" s="1" t="n">
        <v>229.5</v>
      </c>
      <c r="E2158" s="1" t="n">
        <v>17.45</v>
      </c>
      <c r="F2158" s="1" t="n">
        <f aca="false">21/11</f>
        <v>1.90909090909091</v>
      </c>
    </row>
    <row collapsed="false" customFormat="false" customHeight="false" hidden="false" ht="14.75" outlineLevel="0" r="2159">
      <c r="A2159" s="1" t="s">
        <v>878</v>
      </c>
      <c r="B2159" s="1" t="s">
        <v>1662</v>
      </c>
      <c r="C2159" s="1" t="s">
        <v>1627</v>
      </c>
      <c r="D2159" s="1" t="n">
        <v>179.5</v>
      </c>
      <c r="E2159" s="1" t="n">
        <v>14.75</v>
      </c>
      <c r="F2159" s="1" t="n">
        <v>1</v>
      </c>
    </row>
    <row collapsed="false" customFormat="false" customHeight="false" hidden="false" ht="14.75" outlineLevel="0" r="2160">
      <c r="A2160" s="1" t="s">
        <v>1690</v>
      </c>
      <c r="B2160" s="1" t="s">
        <v>1633</v>
      </c>
      <c r="C2160" s="1" t="s">
        <v>1627</v>
      </c>
      <c r="D2160" s="1" t="n">
        <v>280.8</v>
      </c>
      <c r="E2160" s="1" t="n">
        <v>18.53</v>
      </c>
      <c r="F2160" s="1" t="n">
        <f aca="false">19/6</f>
        <v>3.16666666666667</v>
      </c>
    </row>
    <row collapsed="false" customFormat="false" customHeight="false" hidden="false" ht="14.75" outlineLevel="0" r="2161">
      <c r="A2161" s="1" t="s">
        <v>1691</v>
      </c>
      <c r="B2161" s="1" t="s">
        <v>1633</v>
      </c>
      <c r="C2161" s="1" t="s">
        <v>1627</v>
      </c>
      <c r="D2161" s="1" t="n">
        <v>175</v>
      </c>
      <c r="E2161" s="1" t="n">
        <v>16.36</v>
      </c>
      <c r="F2161" s="1" t="n">
        <v>1.4</v>
      </c>
    </row>
    <row collapsed="false" customFormat="false" customHeight="false" hidden="false" ht="14.75" outlineLevel="0" r="2162">
      <c r="A2162" s="1" t="s">
        <v>1692</v>
      </c>
      <c r="B2162" s="1" t="s">
        <v>1644</v>
      </c>
      <c r="C2162" s="1" t="s">
        <v>1627</v>
      </c>
      <c r="D2162" s="1" t="n">
        <v>368.8</v>
      </c>
      <c r="E2162" s="1" t="n">
        <v>20.12</v>
      </c>
      <c r="F2162" s="1" t="n">
        <f aca="false">22/8</f>
        <v>2.75</v>
      </c>
    </row>
    <row collapsed="false" customFormat="false" customHeight="false" hidden="false" ht="14.75" outlineLevel="0" r="2163">
      <c r="A2163" s="1" t="s">
        <v>1693</v>
      </c>
      <c r="B2163" s="1" t="s">
        <v>1644</v>
      </c>
      <c r="C2163" s="1" t="s">
        <v>1627</v>
      </c>
      <c r="D2163" s="1" t="n">
        <v>219.4</v>
      </c>
      <c r="E2163" s="1" t="n">
        <v>14.82</v>
      </c>
      <c r="F2163" s="1" t="n">
        <f aca="false">13/8</f>
        <v>1.625</v>
      </c>
    </row>
    <row collapsed="false" customFormat="false" customHeight="false" hidden="false" ht="14.75" outlineLevel="0" r="2164">
      <c r="A2164" s="1" t="s">
        <v>1694</v>
      </c>
      <c r="B2164" s="1" t="s">
        <v>1631</v>
      </c>
      <c r="C2164" s="1" t="s">
        <v>1627</v>
      </c>
      <c r="D2164" s="1" t="n">
        <v>308.1</v>
      </c>
      <c r="E2164" s="1" t="n">
        <v>17.82</v>
      </c>
      <c r="F2164" s="1" t="n">
        <f aca="false">13/8</f>
        <v>1.625</v>
      </c>
    </row>
    <row collapsed="false" customFormat="false" customHeight="false" hidden="false" ht="14.75" outlineLevel="0" r="2165">
      <c r="A2165" s="1" t="s">
        <v>1695</v>
      </c>
      <c r="B2165" s="1" t="s">
        <v>1658</v>
      </c>
      <c r="C2165" s="1" t="s">
        <v>1627</v>
      </c>
      <c r="D2165" s="1" t="n">
        <v>250.7</v>
      </c>
      <c r="E2165" s="1" t="n">
        <v>18.57</v>
      </c>
      <c r="F2165" s="1" t="n">
        <v>3.16666666666667</v>
      </c>
    </row>
    <row collapsed="false" customFormat="false" customHeight="false" hidden="false" ht="14.75" outlineLevel="0" r="2166">
      <c r="A2166" s="1" t="s">
        <v>1696</v>
      </c>
      <c r="B2166" s="1" t="s">
        <v>1658</v>
      </c>
      <c r="C2166" s="1" t="s">
        <v>1627</v>
      </c>
      <c r="D2166" s="1" t="n">
        <v>151.9</v>
      </c>
      <c r="E2166" s="1" t="n">
        <v>13.41</v>
      </c>
      <c r="F2166" s="1" t="n">
        <v>0.666666666666667</v>
      </c>
    </row>
    <row collapsed="false" customFormat="false" customHeight="false" hidden="false" ht="14.75" outlineLevel="0" r="2167">
      <c r="A2167" s="1" t="s">
        <v>1697</v>
      </c>
      <c r="B2167" s="1" t="s">
        <v>1658</v>
      </c>
      <c r="C2167" s="1" t="s">
        <v>1627</v>
      </c>
      <c r="D2167" s="1" t="n">
        <v>64.9</v>
      </c>
      <c r="E2167" s="1" t="n">
        <v>7.2</v>
      </c>
      <c r="F2167" s="1" t="n">
        <v>0.166666666666667</v>
      </c>
    </row>
    <row collapsed="false" customFormat="false" customHeight="false" hidden="false" ht="14.75" outlineLevel="0" r="2168">
      <c r="A2168" s="1" t="s">
        <v>1698</v>
      </c>
      <c r="B2168" s="1" t="s">
        <v>1633</v>
      </c>
      <c r="C2168" s="1" t="s">
        <v>1627</v>
      </c>
      <c r="D2168" s="1" t="n">
        <v>372.1</v>
      </c>
      <c r="E2168" s="1" t="n">
        <v>23.44</v>
      </c>
      <c r="F2168" s="1" t="n">
        <f aca="false">23/7</f>
        <v>3.28571428571429</v>
      </c>
    </row>
    <row collapsed="false" customFormat="false" customHeight="false" hidden="false" ht="14.75" outlineLevel="0" r="2169">
      <c r="A2169" s="1" t="s">
        <v>1202</v>
      </c>
      <c r="B2169" s="1" t="s">
        <v>1660</v>
      </c>
      <c r="C2169" s="1" t="s">
        <v>1627</v>
      </c>
      <c r="D2169" s="1" t="n">
        <v>302.9</v>
      </c>
      <c r="E2169" s="1" t="n">
        <v>21.36</v>
      </c>
      <c r="F2169" s="1" t="n">
        <f aca="false">18/7</f>
        <v>2.57142857142857</v>
      </c>
    </row>
    <row collapsed="false" customFormat="false" customHeight="false" hidden="false" ht="14.75" outlineLevel="0" r="2170">
      <c r="A2170" s="1" t="s">
        <v>1203</v>
      </c>
      <c r="B2170" s="1" t="s">
        <v>1660</v>
      </c>
      <c r="C2170" s="1" t="s">
        <v>1627</v>
      </c>
      <c r="D2170" s="1" t="n">
        <v>197.1</v>
      </c>
      <c r="E2170" s="1" t="n">
        <v>17.35</v>
      </c>
      <c r="F2170" s="1" t="n">
        <f aca="false">12/7</f>
        <v>1.71428571428571</v>
      </c>
    </row>
    <row collapsed="false" customFormat="false" customHeight="false" hidden="false" ht="14.75" outlineLevel="0" r="2171">
      <c r="A2171" s="1" t="s">
        <v>213</v>
      </c>
      <c r="B2171" s="1" t="s">
        <v>1633</v>
      </c>
      <c r="C2171" s="1" t="s">
        <v>1627</v>
      </c>
      <c r="D2171" s="1" t="n">
        <v>270</v>
      </c>
      <c r="E2171" s="1" t="n">
        <v>17.86</v>
      </c>
      <c r="F2171" s="1" t="n">
        <f aca="false">15/6</f>
        <v>2.5</v>
      </c>
    </row>
    <row collapsed="false" customFormat="false" customHeight="false" hidden="false" ht="14.75" outlineLevel="0" r="2172">
      <c r="A2172" s="1" t="s">
        <v>214</v>
      </c>
      <c r="B2172" s="1" t="s">
        <v>1633</v>
      </c>
      <c r="C2172" s="1" t="s">
        <v>1627</v>
      </c>
      <c r="D2172" s="1" t="n">
        <v>123.8</v>
      </c>
      <c r="E2172" s="1" t="n">
        <v>11.25</v>
      </c>
      <c r="F2172" s="1" t="n">
        <v>0</v>
      </c>
    </row>
    <row collapsed="false" customFormat="false" customHeight="false" hidden="false" ht="14.75" outlineLevel="0" r="2173">
      <c r="A2173" s="1" t="s">
        <v>345</v>
      </c>
      <c r="B2173" s="1" t="s">
        <v>1633</v>
      </c>
      <c r="C2173" s="1" t="s">
        <v>1627</v>
      </c>
      <c r="D2173" s="1" t="n">
        <v>424.3</v>
      </c>
      <c r="E2173" s="1" t="n">
        <v>23.09</v>
      </c>
      <c r="F2173" s="1" t="n">
        <v>4</v>
      </c>
    </row>
    <row collapsed="false" customFormat="false" customHeight="false" hidden="false" ht="14.75" outlineLevel="0" r="2174">
      <c r="A2174" s="1" t="s">
        <v>346</v>
      </c>
      <c r="B2174" s="1" t="s">
        <v>1633</v>
      </c>
      <c r="C2174" s="1" t="s">
        <v>1627</v>
      </c>
      <c r="D2174" s="1" t="n">
        <v>146</v>
      </c>
      <c r="E2174" s="1" t="n">
        <v>12.42</v>
      </c>
      <c r="F2174" s="1" t="n">
        <v>2.2</v>
      </c>
      <c r="J2174" s="1" t="s">
        <v>1699</v>
      </c>
    </row>
    <row collapsed="false" customFormat="false" customHeight="false" hidden="false" ht="14.75" outlineLevel="0" r="2175">
      <c r="A2175" s="1" t="s">
        <v>347</v>
      </c>
      <c r="B2175" s="1" t="s">
        <v>1633</v>
      </c>
      <c r="C2175" s="1" t="s">
        <v>1627</v>
      </c>
      <c r="D2175" s="1" t="n">
        <v>77</v>
      </c>
      <c r="E2175" s="1" t="n">
        <v>11</v>
      </c>
      <c r="F2175" s="1" t="n">
        <f aca="false">2/5</f>
        <v>0.4</v>
      </c>
    </row>
    <row collapsed="false" customFormat="false" customHeight="false" hidden="false" ht="14.75" outlineLevel="0" r="2176">
      <c r="A2176" s="1" t="s">
        <v>1700</v>
      </c>
      <c r="B2176" s="1" t="s">
        <v>1646</v>
      </c>
      <c r="C2176" s="1" t="s">
        <v>1627</v>
      </c>
      <c r="D2176" s="1" t="n">
        <v>331.2</v>
      </c>
      <c r="E2176" s="1" t="n">
        <v>16.82</v>
      </c>
      <c r="F2176" s="1" t="n">
        <f aca="false">5/4</f>
        <v>1.25</v>
      </c>
    </row>
    <row collapsed="false" customFormat="false" customHeight="false" hidden="false" ht="14.75" outlineLevel="0" r="2177">
      <c r="A2177" s="1" t="s">
        <v>470</v>
      </c>
      <c r="B2177" s="1" t="s">
        <v>1633</v>
      </c>
      <c r="C2177" s="1" t="s">
        <v>1627</v>
      </c>
      <c r="D2177" s="1" t="n">
        <v>378.6</v>
      </c>
      <c r="E2177" s="1" t="n">
        <v>20.78</v>
      </c>
      <c r="F2177" s="1" t="n">
        <f aca="false">37/7</f>
        <v>5.28571428571429</v>
      </c>
    </row>
    <row collapsed="false" customFormat="false" customHeight="false" hidden="false" ht="14.75" outlineLevel="0" r="2178">
      <c r="A2178" s="1" t="s">
        <v>471</v>
      </c>
      <c r="B2178" s="1" t="s">
        <v>1633</v>
      </c>
      <c r="C2178" s="1" t="s">
        <v>1627</v>
      </c>
      <c r="D2178" s="1" t="n">
        <v>210</v>
      </c>
      <c r="E2178" s="1" t="n">
        <v>16</v>
      </c>
      <c r="F2178" s="1" t="n">
        <v>2</v>
      </c>
    </row>
    <row collapsed="false" customFormat="false" customHeight="false" hidden="false" ht="14.75" outlineLevel="0" r="2179">
      <c r="A2179" s="1" t="s">
        <v>894</v>
      </c>
      <c r="B2179" s="1" t="s">
        <v>1633</v>
      </c>
      <c r="C2179" s="1" t="s">
        <v>1627</v>
      </c>
      <c r="D2179" s="1" t="n">
        <v>137</v>
      </c>
      <c r="E2179" s="1" t="n">
        <v>12.33</v>
      </c>
      <c r="F2179" s="1" t="n">
        <v>1.2</v>
      </c>
    </row>
    <row collapsed="false" customFormat="false" customHeight="false" hidden="false" ht="14.75" outlineLevel="0" r="2180">
      <c r="A2180" s="1" t="s">
        <v>1701</v>
      </c>
      <c r="B2180" s="1" t="s">
        <v>1633</v>
      </c>
      <c r="C2180" s="1" t="s">
        <v>1627</v>
      </c>
      <c r="D2180" s="1" t="n">
        <v>263</v>
      </c>
      <c r="E2180" s="1" t="n">
        <v>19.55</v>
      </c>
      <c r="F2180" s="1" t="n">
        <f aca="false">8/5</f>
        <v>1.6</v>
      </c>
    </row>
    <row collapsed="false" customFormat="false" customHeight="false" hidden="false" ht="14.75" outlineLevel="0" r="2181">
      <c r="A2181" s="1" t="s">
        <v>1702</v>
      </c>
      <c r="B2181" s="1" t="s">
        <v>1633</v>
      </c>
      <c r="C2181" s="1" t="s">
        <v>1627</v>
      </c>
      <c r="D2181" s="1" t="n">
        <v>279.2</v>
      </c>
      <c r="E2181" s="1" t="n">
        <v>18.07</v>
      </c>
      <c r="F2181" s="1" t="n">
        <f aca="false">26/6</f>
        <v>4.33333333333333</v>
      </c>
    </row>
    <row collapsed="false" customFormat="false" customHeight="false" hidden="false" ht="14.75" outlineLevel="0" r="2182">
      <c r="A2182" s="1" t="s">
        <v>1703</v>
      </c>
      <c r="B2182" s="1" t="s">
        <v>1633</v>
      </c>
      <c r="C2182" s="1" t="s">
        <v>1627</v>
      </c>
      <c r="D2182" s="1" t="n">
        <v>208</v>
      </c>
      <c r="E2182" s="1" t="n">
        <v>15.37</v>
      </c>
      <c r="F2182" s="1" t="n">
        <v>1</v>
      </c>
    </row>
    <row collapsed="false" customFormat="false" customHeight="false" hidden="false" ht="14.75" outlineLevel="0" r="2183">
      <c r="A2183" s="1" t="s">
        <v>1704</v>
      </c>
      <c r="B2183" s="1" t="s">
        <v>1633</v>
      </c>
      <c r="C2183" s="1" t="s">
        <v>1627</v>
      </c>
      <c r="D2183" s="1" t="n">
        <v>109</v>
      </c>
      <c r="E2183" s="1" t="n">
        <v>12.5</v>
      </c>
      <c r="F2183" s="1" t="n">
        <f aca="false">3/5</f>
        <v>0.6</v>
      </c>
    </row>
    <row collapsed="false" customFormat="false" customHeight="false" hidden="false" ht="14.75" outlineLevel="0" r="2184">
      <c r="A2184" s="1" t="s">
        <v>1705</v>
      </c>
      <c r="B2184" s="1" t="s">
        <v>1633</v>
      </c>
      <c r="C2184" s="1" t="s">
        <v>1627</v>
      </c>
      <c r="D2184" s="1" t="n">
        <v>99</v>
      </c>
      <c r="E2184" s="1" t="n">
        <v>11.3</v>
      </c>
      <c r="F2184" s="1" t="n">
        <v>0.8</v>
      </c>
    </row>
    <row collapsed="false" customFormat="false" customHeight="false" hidden="false" ht="14.75" outlineLevel="0" r="2185">
      <c r="A2185" s="1" t="s">
        <v>1706</v>
      </c>
      <c r="B2185" s="1" t="s">
        <v>1633</v>
      </c>
      <c r="C2185" s="1" t="s">
        <v>1627</v>
      </c>
      <c r="D2185" s="1" t="n">
        <v>272</v>
      </c>
      <c r="E2185" s="1" t="n">
        <v>16.57</v>
      </c>
      <c r="F2185" s="1" t="n">
        <f aca="false">6/5</f>
        <v>1.2</v>
      </c>
    </row>
    <row collapsed="false" customFormat="false" customHeight="false" hidden="false" ht="14.75" outlineLevel="0" r="2186">
      <c r="A2186" s="1" t="s">
        <v>1707</v>
      </c>
      <c r="B2186" s="1" t="s">
        <v>1633</v>
      </c>
      <c r="C2186" s="1" t="s">
        <v>1627</v>
      </c>
      <c r="D2186" s="1" t="n">
        <v>430</v>
      </c>
      <c r="E2186" s="1" t="n">
        <v>22.11</v>
      </c>
      <c r="F2186" s="1" t="n">
        <f aca="false">34/6</f>
        <v>5.66666666666667</v>
      </c>
    </row>
    <row collapsed="false" customFormat="false" customHeight="false" hidden="false" ht="14.75" outlineLevel="0" r="2187">
      <c r="A2187" s="1" t="s">
        <v>1708</v>
      </c>
      <c r="B2187" s="1" t="s">
        <v>1633</v>
      </c>
      <c r="C2187" s="1" t="s">
        <v>1627</v>
      </c>
      <c r="D2187" s="1" t="n">
        <v>263.3</v>
      </c>
      <c r="E2187" s="1" t="n">
        <v>17.5</v>
      </c>
      <c r="F2187" s="1" t="n">
        <f aca="false">15/6</f>
        <v>2.5</v>
      </c>
    </row>
    <row collapsed="false" customFormat="false" customHeight="false" hidden="false" ht="14.75" outlineLevel="0" r="2188">
      <c r="A2188" s="1" t="s">
        <v>1709</v>
      </c>
      <c r="B2188" s="1" t="s">
        <v>1634</v>
      </c>
      <c r="C2188" s="1" t="s">
        <v>1627</v>
      </c>
      <c r="D2188" s="1" t="n">
        <v>225</v>
      </c>
      <c r="E2188" s="1" t="n">
        <v>13.67</v>
      </c>
      <c r="F2188" s="1" t="n">
        <f aca="false">18/8</f>
        <v>2.25</v>
      </c>
    </row>
    <row collapsed="false" customFormat="false" customHeight="false" hidden="false" ht="14.75" outlineLevel="0" r="2189">
      <c r="A2189" s="1" t="s">
        <v>358</v>
      </c>
      <c r="B2189" s="1" t="s">
        <v>1631</v>
      </c>
      <c r="C2189" s="1" t="s">
        <v>1627</v>
      </c>
      <c r="D2189" s="1" t="n">
        <v>425.6</v>
      </c>
      <c r="E2189" s="1" t="n">
        <v>21.43</v>
      </c>
      <c r="F2189" s="1" t="n">
        <f aca="false">42/9</f>
        <v>4.66666666666667</v>
      </c>
    </row>
    <row collapsed="false" customFormat="false" customHeight="false" hidden="false" ht="14.75" outlineLevel="0" r="2190">
      <c r="A2190" s="1" t="s">
        <v>359</v>
      </c>
      <c r="B2190" s="1" t="s">
        <v>1631</v>
      </c>
      <c r="C2190" s="1" t="s">
        <v>1627</v>
      </c>
      <c r="D2190" s="1" t="n">
        <v>183.8</v>
      </c>
      <c r="E2190" s="1" t="n">
        <v>13.65</v>
      </c>
      <c r="F2190" s="1" t="n">
        <f aca="false">6/8</f>
        <v>0.75</v>
      </c>
    </row>
    <row collapsed="false" customFormat="false" customHeight="false" hidden="false" ht="14.75" outlineLevel="0" r="2191">
      <c r="A2191" s="1" t="s">
        <v>1710</v>
      </c>
      <c r="B2191" s="1" t="s">
        <v>1626</v>
      </c>
      <c r="C2191" s="1" t="s">
        <v>1627</v>
      </c>
      <c r="D2191" s="1" t="n">
        <v>184.5</v>
      </c>
      <c r="E2191" s="1" t="n">
        <v>13.57</v>
      </c>
      <c r="F2191" s="1" t="n">
        <v>2.5</v>
      </c>
    </row>
    <row collapsed="false" customFormat="false" customHeight="false" hidden="false" ht="14.75" outlineLevel="0" r="2192">
      <c r="A2192" s="1" t="s">
        <v>360</v>
      </c>
      <c r="B2192" s="1" t="s">
        <v>1631</v>
      </c>
      <c r="C2192" s="1" t="s">
        <v>1627</v>
      </c>
      <c r="D2192" s="1" t="n">
        <v>412.8</v>
      </c>
      <c r="E2192" s="1" t="n">
        <v>22.48</v>
      </c>
      <c r="F2192" s="1" t="n">
        <f aca="false">25/9</f>
        <v>2.77777777777778</v>
      </c>
    </row>
    <row collapsed="false" customFormat="false" customHeight="false" hidden="false" ht="14.75" outlineLevel="0" r="2193">
      <c r="A2193" s="1" t="s">
        <v>361</v>
      </c>
      <c r="B2193" s="1" t="s">
        <v>1631</v>
      </c>
      <c r="C2193" s="1" t="s">
        <v>1627</v>
      </c>
      <c r="D2193" s="1" t="n">
        <v>184.4</v>
      </c>
      <c r="E2193" s="1" t="n">
        <v>13.89</v>
      </c>
      <c r="F2193" s="1" t="n">
        <f aca="false">11/8</f>
        <v>1.375</v>
      </c>
    </row>
    <row collapsed="false" customFormat="false" customHeight="false" hidden="false" ht="14.75" outlineLevel="0" r="2194">
      <c r="A2194" s="1" t="s">
        <v>1711</v>
      </c>
      <c r="B2194" s="1" t="s">
        <v>1644</v>
      </c>
      <c r="C2194" s="1" t="s">
        <v>1627</v>
      </c>
      <c r="D2194" s="1" t="n">
        <v>336.2</v>
      </c>
      <c r="E2194" s="1" t="n">
        <v>18.61</v>
      </c>
      <c r="F2194" s="1" t="n">
        <f aca="false">12/8</f>
        <v>1.5</v>
      </c>
    </row>
    <row collapsed="false" customFormat="false" customHeight="false" hidden="false" ht="14.75" outlineLevel="0" r="2195">
      <c r="A2195" s="1" t="s">
        <v>1712</v>
      </c>
      <c r="B2195" s="1" t="s">
        <v>1644</v>
      </c>
      <c r="C2195" s="1" t="s">
        <v>1627</v>
      </c>
      <c r="D2195" s="1" t="n">
        <v>164.4</v>
      </c>
      <c r="E2195" s="1" t="n">
        <v>13.4</v>
      </c>
      <c r="F2195" s="1" t="n">
        <f aca="false">1/8</f>
        <v>0.125</v>
      </c>
    </row>
    <row collapsed="false" customFormat="false" customHeight="false" hidden="false" ht="14.75" outlineLevel="0" r="2196">
      <c r="A2196" s="1" t="s">
        <v>1713</v>
      </c>
      <c r="B2196" s="1" t="s">
        <v>1626</v>
      </c>
      <c r="C2196" s="1" t="s">
        <v>1627</v>
      </c>
      <c r="D2196" s="1" t="n">
        <v>288.5</v>
      </c>
      <c r="E2196" s="1" t="n">
        <v>18.7</v>
      </c>
      <c r="F2196" s="1" t="n">
        <v>2.4</v>
      </c>
    </row>
    <row collapsed="false" customFormat="false" customHeight="false" hidden="false" ht="14.75" outlineLevel="0" r="2197">
      <c r="A2197" s="1" t="s">
        <v>1714</v>
      </c>
      <c r="B2197" s="1" t="s">
        <v>1633</v>
      </c>
      <c r="C2197" s="1" t="s">
        <v>1627</v>
      </c>
      <c r="D2197" s="1" t="n">
        <v>198</v>
      </c>
      <c r="E2197" s="1" t="n">
        <v>17.5</v>
      </c>
      <c r="F2197" s="1" t="n">
        <f aca="false">3/5</f>
        <v>0.6</v>
      </c>
    </row>
    <row collapsed="false" customFormat="false" customHeight="false" hidden="false" ht="14.75" outlineLevel="0" r="2198">
      <c r="A2198" s="1" t="s">
        <v>1715</v>
      </c>
      <c r="B2198" s="1" t="s">
        <v>1633</v>
      </c>
      <c r="C2198" s="1" t="s">
        <v>1627</v>
      </c>
      <c r="D2198" s="1" t="n">
        <v>127</v>
      </c>
      <c r="E2198" s="1" t="n">
        <v>18.33</v>
      </c>
      <c r="F2198" s="1" t="n">
        <v>1.8</v>
      </c>
    </row>
    <row collapsed="false" customFormat="false" customHeight="false" hidden="false" ht="14.75" outlineLevel="0" r="2199">
      <c r="A2199" s="1" t="s">
        <v>1716</v>
      </c>
      <c r="B2199" s="1" t="s">
        <v>1660</v>
      </c>
      <c r="C2199" s="1" t="s">
        <v>1627</v>
      </c>
      <c r="D2199" s="1" t="n">
        <v>126.4</v>
      </c>
      <c r="E2199" s="1" t="n">
        <v>15.88</v>
      </c>
      <c r="F2199" s="1" t="n">
        <f aca="false">4/7</f>
        <v>0.571428571428571</v>
      </c>
    </row>
    <row collapsed="false" customFormat="false" customHeight="false" hidden="false" ht="14.75" outlineLevel="0" r="2200">
      <c r="A2200" s="1" t="s">
        <v>1717</v>
      </c>
      <c r="B2200" s="1" t="s">
        <v>1634</v>
      </c>
      <c r="C2200" s="1" t="s">
        <v>1627</v>
      </c>
      <c r="D2200" s="1" t="n">
        <v>158.8</v>
      </c>
      <c r="E2200" s="1" t="n">
        <v>11.09</v>
      </c>
      <c r="F2200" s="1" t="n">
        <v>2</v>
      </c>
    </row>
    <row collapsed="false" customFormat="false" customHeight="false" hidden="false" ht="14.75" outlineLevel="0" r="2201">
      <c r="A2201" s="1" t="s">
        <v>1718</v>
      </c>
      <c r="B2201" s="1" t="s">
        <v>1633</v>
      </c>
      <c r="C2201" s="1" t="s">
        <v>1627</v>
      </c>
      <c r="D2201" s="1" t="n">
        <v>93</v>
      </c>
      <c r="E2201" s="1" t="n">
        <v>12.62</v>
      </c>
      <c r="F2201" s="1" t="n">
        <f aca="false">3/5</f>
        <v>0.6</v>
      </c>
    </row>
    <row collapsed="false" customFormat="false" customHeight="false" hidden="false" ht="14.75" outlineLevel="0" r="2202">
      <c r="A2202" s="1" t="s">
        <v>906</v>
      </c>
      <c r="B2202" s="1" t="s">
        <v>1658</v>
      </c>
      <c r="C2202" s="1" t="s">
        <v>1627</v>
      </c>
      <c r="D2202" s="1" t="n">
        <v>199.4</v>
      </c>
      <c r="E2202" s="1" t="n">
        <v>16.45</v>
      </c>
      <c r="F2202" s="1" t="n">
        <f aca="false">17/7</f>
        <v>2.42857142857143</v>
      </c>
    </row>
    <row collapsed="false" customFormat="false" customHeight="false" hidden="false" ht="14.75" outlineLevel="0" r="2203">
      <c r="A2203" s="1" t="s">
        <v>907</v>
      </c>
      <c r="B2203" s="1" t="s">
        <v>1658</v>
      </c>
      <c r="C2203" s="1" t="s">
        <v>1627</v>
      </c>
      <c r="D2203" s="1" t="n">
        <v>169.9</v>
      </c>
      <c r="E2203" s="1" t="n">
        <v>12.34</v>
      </c>
      <c r="F2203" s="1" t="n">
        <v>2.66666666666667</v>
      </c>
    </row>
    <row collapsed="false" customFormat="false" customHeight="false" hidden="false" ht="14.75" outlineLevel="0" r="2204">
      <c r="A2204" s="1" t="s">
        <v>908</v>
      </c>
      <c r="B2204" s="1" t="s">
        <v>1658</v>
      </c>
      <c r="C2204" s="1" t="s">
        <v>1627</v>
      </c>
      <c r="D2204" s="1" t="n">
        <v>252.4</v>
      </c>
      <c r="E2204" s="1" t="n">
        <v>19.29</v>
      </c>
      <c r="F2204" s="1" t="n">
        <f aca="false">22/7</f>
        <v>3.14285714285714</v>
      </c>
    </row>
    <row collapsed="false" customFormat="false" customHeight="false" hidden="false" ht="14.75" outlineLevel="0" r="2205">
      <c r="A2205" s="1" t="s">
        <v>909</v>
      </c>
      <c r="B2205" s="1" t="s">
        <v>1658</v>
      </c>
      <c r="C2205" s="1" t="s">
        <v>1627</v>
      </c>
      <c r="D2205" s="1" t="n">
        <v>235.7</v>
      </c>
      <c r="E2205" s="1" t="n">
        <v>17.75</v>
      </c>
      <c r="F2205" s="1" t="n">
        <f aca="false">21/7</f>
        <v>3</v>
      </c>
    </row>
    <row collapsed="false" customFormat="false" customHeight="false" hidden="false" ht="14.75" outlineLevel="0" r="2206">
      <c r="A2206" s="1" t="s">
        <v>910</v>
      </c>
      <c r="B2206" s="1" t="s">
        <v>1658</v>
      </c>
      <c r="C2206" s="1" t="s">
        <v>1627</v>
      </c>
      <c r="D2206" s="1" t="n">
        <v>151.1</v>
      </c>
      <c r="E2206" s="1" t="n">
        <v>13.33</v>
      </c>
      <c r="F2206" s="1" t="n">
        <v>1.5</v>
      </c>
    </row>
    <row collapsed="false" customFormat="false" customHeight="false" hidden="false" ht="14.75" outlineLevel="0" r="2207">
      <c r="A2207" s="1" t="s">
        <v>1245</v>
      </c>
      <c r="B2207" s="1" t="s">
        <v>1631</v>
      </c>
      <c r="C2207" s="1" t="s">
        <v>1627</v>
      </c>
      <c r="D2207" s="1" t="n">
        <v>219.4</v>
      </c>
      <c r="E2207" s="1" t="n">
        <v>14.83</v>
      </c>
      <c r="F2207" s="1" t="n">
        <f aca="false">7/8</f>
        <v>0.875</v>
      </c>
    </row>
    <row collapsed="false" customFormat="false" customHeight="false" hidden="false" ht="14.75" outlineLevel="0" r="2208">
      <c r="A2208" s="1" t="s">
        <v>1246</v>
      </c>
      <c r="B2208" s="1" t="s">
        <v>1631</v>
      </c>
      <c r="C2208" s="1" t="s">
        <v>1627</v>
      </c>
      <c r="D2208" s="1" t="n">
        <v>100.6</v>
      </c>
      <c r="E2208" s="1" t="n">
        <v>10.3</v>
      </c>
      <c r="F2208" s="1" t="n">
        <f aca="false">5/8</f>
        <v>0.625</v>
      </c>
    </row>
    <row collapsed="false" customFormat="false" customHeight="false" hidden="false" ht="14.75" outlineLevel="0" r="2209">
      <c r="A2209" s="1" t="s">
        <v>1719</v>
      </c>
      <c r="B2209" s="1" t="s">
        <v>1633</v>
      </c>
      <c r="C2209" s="1" t="s">
        <v>1627</v>
      </c>
      <c r="D2209" s="1" t="n">
        <v>175</v>
      </c>
      <c r="E2209" s="1" t="n">
        <v>14.43</v>
      </c>
      <c r="F2209" s="1" t="n">
        <f aca="false">12/5</f>
        <v>2.4</v>
      </c>
    </row>
    <row collapsed="false" customFormat="false" customHeight="false" hidden="false" ht="14.75" outlineLevel="0" r="2210">
      <c r="A2210" s="1" t="s">
        <v>1574</v>
      </c>
      <c r="B2210" s="1" t="s">
        <v>1658</v>
      </c>
      <c r="C2210" s="1" t="s">
        <v>1627</v>
      </c>
      <c r="D2210" s="1" t="n">
        <v>216.7</v>
      </c>
      <c r="E2210" s="1" t="n">
        <v>18.04</v>
      </c>
      <c r="F2210" s="1" t="n">
        <v>1.5</v>
      </c>
    </row>
    <row collapsed="false" customFormat="false" customHeight="false" hidden="false" ht="14.75" outlineLevel="0" r="2211">
      <c r="A2211" s="1" t="s">
        <v>1046</v>
      </c>
      <c r="B2211" s="1" t="s">
        <v>1658</v>
      </c>
      <c r="C2211" s="1" t="s">
        <v>1627</v>
      </c>
      <c r="D2211" s="1" t="n">
        <v>337.1</v>
      </c>
      <c r="E2211" s="1" t="n">
        <v>20.41</v>
      </c>
      <c r="F2211" s="1" t="n">
        <v>3.6</v>
      </c>
    </row>
    <row collapsed="false" customFormat="false" customHeight="false" hidden="false" ht="14.75" outlineLevel="0" r="2212">
      <c r="A2212" s="1" t="s">
        <v>1047</v>
      </c>
      <c r="B2212" s="1" t="s">
        <v>1658</v>
      </c>
      <c r="C2212" s="1" t="s">
        <v>1627</v>
      </c>
      <c r="D2212" s="1" t="n">
        <v>273.8</v>
      </c>
      <c r="E2212" s="1" t="n">
        <v>18.64</v>
      </c>
      <c r="F2212" s="1" t="n">
        <v>3.66666666666667</v>
      </c>
    </row>
    <row collapsed="false" customFormat="false" customHeight="false" hidden="false" ht="14.75" outlineLevel="0" r="2213">
      <c r="A2213" s="1" t="s">
        <v>1048</v>
      </c>
      <c r="B2213" s="1" t="s">
        <v>1658</v>
      </c>
      <c r="C2213" s="1" t="s">
        <v>1627</v>
      </c>
      <c r="D2213" s="1" t="n">
        <v>93.5</v>
      </c>
      <c r="E2213" s="1" t="n">
        <v>10.65</v>
      </c>
      <c r="F2213" s="1" t="n">
        <v>1.5</v>
      </c>
    </row>
    <row collapsed="false" customFormat="false" customHeight="false" hidden="false" ht="14.75" outlineLevel="0" r="2214">
      <c r="A2214" s="1" t="s">
        <v>1720</v>
      </c>
      <c r="B2214" s="1" t="s">
        <v>1658</v>
      </c>
      <c r="C2214" s="1" t="s">
        <v>1627</v>
      </c>
      <c r="D2214" s="1" t="n">
        <v>371.2</v>
      </c>
      <c r="E2214" s="1" t="n">
        <v>22.21</v>
      </c>
      <c r="F2214" s="1" t="n">
        <v>4.7</v>
      </c>
    </row>
    <row collapsed="false" customFormat="false" customHeight="false" hidden="false" ht="14.75" outlineLevel="0" r="2215">
      <c r="A2215" s="1" t="s">
        <v>1721</v>
      </c>
      <c r="B2215" s="1" t="s">
        <v>1633</v>
      </c>
      <c r="C2215" s="1" t="s">
        <v>1627</v>
      </c>
      <c r="D2215" s="1" t="n">
        <v>400.8</v>
      </c>
      <c r="E2215" s="1" t="n">
        <v>23.14</v>
      </c>
      <c r="F2215" s="1" t="n">
        <f aca="false">21/6</f>
        <v>3.5</v>
      </c>
    </row>
    <row collapsed="false" customFormat="false" customHeight="false" hidden="false" ht="14.75" outlineLevel="0" r="2216">
      <c r="A2216" s="1" t="s">
        <v>1722</v>
      </c>
      <c r="B2216" s="1" t="s">
        <v>1633</v>
      </c>
      <c r="C2216" s="1" t="s">
        <v>1627</v>
      </c>
      <c r="D2216" s="1" t="n">
        <v>327.5</v>
      </c>
      <c r="E2216" s="1" t="n">
        <v>18.66</v>
      </c>
      <c r="F2216" s="1" t="n">
        <f aca="false">16/6</f>
        <v>2.66666666666667</v>
      </c>
    </row>
    <row collapsed="false" customFormat="false" customHeight="false" hidden="false" ht="14.75" outlineLevel="0" r="2217">
      <c r="A2217" s="1" t="s">
        <v>1723</v>
      </c>
      <c r="B2217" s="1" t="s">
        <v>1633</v>
      </c>
      <c r="C2217" s="1" t="s">
        <v>1627</v>
      </c>
      <c r="D2217" s="1" t="n">
        <v>131</v>
      </c>
      <c r="E2217" s="1" t="n">
        <v>10.32</v>
      </c>
      <c r="F2217" s="1" t="n">
        <v>1.4</v>
      </c>
    </row>
    <row collapsed="false" customFormat="false" customHeight="false" hidden="false" ht="14.75" outlineLevel="0" r="2218">
      <c r="A2218" s="1" t="s">
        <v>1724</v>
      </c>
      <c r="B2218" s="1" t="s">
        <v>1633</v>
      </c>
      <c r="C2218" s="1" t="s">
        <v>1627</v>
      </c>
      <c r="D2218" s="1" t="n">
        <v>126</v>
      </c>
      <c r="E2218" s="1" t="n">
        <v>10.81</v>
      </c>
      <c r="F2218" s="1" t="n">
        <v>0.4</v>
      </c>
    </row>
    <row collapsed="false" customFormat="false" customHeight="false" hidden="false" ht="14.75" outlineLevel="0" r="2219">
      <c r="A2219" s="1" t="s">
        <v>1725</v>
      </c>
      <c r="B2219" s="1" t="s">
        <v>1632</v>
      </c>
      <c r="C2219" s="1" t="s">
        <v>1627</v>
      </c>
      <c r="D2219" s="1" t="n">
        <v>252.7</v>
      </c>
      <c r="E2219" s="1" t="n">
        <v>16.01</v>
      </c>
      <c r="F2219" s="1" t="n">
        <f aca="false">24/11</f>
        <v>2.18181818181818</v>
      </c>
    </row>
    <row collapsed="false" customFormat="false" customHeight="false" hidden="false" ht="14.75" outlineLevel="0" r="2220">
      <c r="A2220" s="1" t="s">
        <v>918</v>
      </c>
      <c r="B2220" s="1" t="s">
        <v>1662</v>
      </c>
      <c r="C2220" s="1" t="s">
        <v>1627</v>
      </c>
      <c r="D2220" s="1" t="n">
        <v>118.2</v>
      </c>
      <c r="E2220" s="1" t="n">
        <v>12.07</v>
      </c>
      <c r="F2220" s="1" t="n">
        <f aca="false">6/11</f>
        <v>0.545454545454545</v>
      </c>
    </row>
    <row collapsed="false" customFormat="false" customHeight="false" hidden="false" ht="14.75" outlineLevel="0" r="2221">
      <c r="A2221" s="1" t="s">
        <v>1726</v>
      </c>
      <c r="B2221" s="1" t="s">
        <v>1633</v>
      </c>
      <c r="C2221" s="1" t="s">
        <v>1627</v>
      </c>
      <c r="D2221" s="1" t="n">
        <v>252.5</v>
      </c>
      <c r="E2221" s="1" t="n">
        <v>15.88</v>
      </c>
      <c r="F2221" s="1" t="n">
        <f aca="false">14/6</f>
        <v>2.33333333333333</v>
      </c>
    </row>
    <row collapsed="false" customFormat="false" customHeight="false" hidden="false" ht="14.75" outlineLevel="0" r="2222">
      <c r="A2222" s="1" t="s">
        <v>1727</v>
      </c>
      <c r="B2222" s="1" t="s">
        <v>1633</v>
      </c>
      <c r="C2222" s="1" t="s">
        <v>1627</v>
      </c>
      <c r="D2222" s="1" t="n">
        <v>78</v>
      </c>
      <c r="E2222" s="1" t="n">
        <v>12.94</v>
      </c>
      <c r="F2222" s="1" t="n">
        <v>1</v>
      </c>
    </row>
    <row collapsed="false" customFormat="false" customHeight="false" hidden="false" ht="14.75" outlineLevel="0" r="2223">
      <c r="A2223" s="1" t="s">
        <v>1728</v>
      </c>
      <c r="B2223" s="1" t="s">
        <v>1658</v>
      </c>
      <c r="C2223" s="1" t="s">
        <v>1627</v>
      </c>
      <c r="D2223" s="1" t="n">
        <v>158.2</v>
      </c>
      <c r="E2223" s="1" t="n">
        <v>14.09</v>
      </c>
      <c r="F2223" s="1" t="n">
        <v>0.833333333333333</v>
      </c>
    </row>
    <row collapsed="false" customFormat="false" customHeight="false" hidden="false" ht="14.75" outlineLevel="0" r="2224">
      <c r="A2224" s="1" t="s">
        <v>1729</v>
      </c>
      <c r="B2224" s="1" t="s">
        <v>1658</v>
      </c>
      <c r="C2224" s="1" t="s">
        <v>1627</v>
      </c>
      <c r="D2224" s="1" t="n">
        <v>101.7</v>
      </c>
      <c r="E2224" s="1" t="n">
        <v>12.69</v>
      </c>
      <c r="F2224" s="1" t="n">
        <v>0.666666666666667</v>
      </c>
    </row>
    <row collapsed="false" customFormat="false" customHeight="false" hidden="false" ht="14.75" outlineLevel="0" r="2225">
      <c r="A2225" s="1" t="s">
        <v>364</v>
      </c>
      <c r="B2225" s="1" t="s">
        <v>1662</v>
      </c>
      <c r="C2225" s="1" t="s">
        <v>1627</v>
      </c>
      <c r="D2225" s="1" t="n">
        <v>230.5</v>
      </c>
      <c r="E2225" s="1" t="n">
        <v>17.2</v>
      </c>
      <c r="F2225" s="1" t="n">
        <f aca="false">20/11</f>
        <v>1.81818181818182</v>
      </c>
    </row>
    <row collapsed="false" customFormat="false" customHeight="false" hidden="false" ht="14.75" outlineLevel="0" r="2226">
      <c r="A2226" s="1" t="s">
        <v>1262</v>
      </c>
      <c r="B2226" s="1" t="s">
        <v>1631</v>
      </c>
      <c r="C2226" s="1" t="s">
        <v>1627</v>
      </c>
      <c r="D2226" s="1" t="n">
        <v>313.8</v>
      </c>
      <c r="E2226" s="1" t="n">
        <v>22.42</v>
      </c>
      <c r="F2226" s="1" t="n">
        <f aca="false">20/8</f>
        <v>2.5</v>
      </c>
    </row>
    <row collapsed="false" customFormat="false" customHeight="false" hidden="false" ht="14.75" outlineLevel="0" r="2227">
      <c r="A2227" s="1" t="s">
        <v>921</v>
      </c>
      <c r="B2227" s="1" t="s">
        <v>1658</v>
      </c>
      <c r="C2227" s="1" t="s">
        <v>1627</v>
      </c>
      <c r="D2227" s="1" t="n">
        <v>232.6</v>
      </c>
      <c r="E2227" s="1" t="n">
        <v>15.9</v>
      </c>
      <c r="F2227" s="1" t="n">
        <v>1.83333333333333</v>
      </c>
    </row>
    <row collapsed="false" customFormat="false" customHeight="false" hidden="false" ht="14.75" outlineLevel="0" r="2228">
      <c r="A2228" s="1" t="s">
        <v>1268</v>
      </c>
      <c r="B2228" s="1" t="s">
        <v>1631</v>
      </c>
      <c r="C2228" s="1" t="s">
        <v>1627</v>
      </c>
      <c r="D2228" s="1" t="n">
        <v>195</v>
      </c>
      <c r="E2228" s="1" t="n">
        <v>13.15</v>
      </c>
      <c r="F2228" s="1" t="n">
        <f aca="false">10/8</f>
        <v>1.25</v>
      </c>
    </row>
    <row collapsed="false" customFormat="false" customHeight="false" hidden="false" ht="14.75" outlineLevel="0" r="2229">
      <c r="A2229" s="1" t="s">
        <v>1269</v>
      </c>
      <c r="B2229" s="1" t="s">
        <v>1631</v>
      </c>
      <c r="C2229" s="1" t="s">
        <v>1627</v>
      </c>
      <c r="D2229" s="1" t="n">
        <v>136.9</v>
      </c>
      <c r="E2229" s="1" t="n">
        <v>9.05</v>
      </c>
      <c r="F2229" s="1" t="n">
        <f aca="false">13/8</f>
        <v>1.625</v>
      </c>
    </row>
    <row collapsed="false" customFormat="false" customHeight="false" hidden="false" ht="14.75" outlineLevel="0" r="2230">
      <c r="A2230" s="1" t="s">
        <v>1730</v>
      </c>
      <c r="B2230" s="1" t="s">
        <v>1633</v>
      </c>
      <c r="C2230" s="1" t="s">
        <v>1627</v>
      </c>
      <c r="D2230" s="1" t="n">
        <v>63</v>
      </c>
      <c r="E2230" s="1" t="n">
        <v>10</v>
      </c>
      <c r="F2230" s="1" t="n">
        <f aca="false">1/5</f>
        <v>0.2</v>
      </c>
    </row>
    <row collapsed="false" customFormat="false" customHeight="false" hidden="false" ht="14.75" outlineLevel="0" r="2231">
      <c r="A2231" s="1" t="s">
        <v>1277</v>
      </c>
      <c r="B2231" s="1" t="s">
        <v>1634</v>
      </c>
      <c r="C2231" s="1" t="s">
        <v>1627</v>
      </c>
      <c r="D2231" s="1" t="n">
        <v>205.6</v>
      </c>
      <c r="E2231" s="1" t="n">
        <v>14.44</v>
      </c>
      <c r="F2231" s="1" t="n">
        <f aca="false">9/8</f>
        <v>1.125</v>
      </c>
    </row>
    <row collapsed="false" customFormat="false" customHeight="false" hidden="false" ht="14.75" outlineLevel="0" r="2232">
      <c r="A2232" s="1" t="s">
        <v>1731</v>
      </c>
      <c r="B2232" s="1" t="s">
        <v>1634</v>
      </c>
      <c r="C2232" s="1" t="s">
        <v>1627</v>
      </c>
      <c r="D2232" s="1" t="n">
        <v>356.1</v>
      </c>
      <c r="E2232" s="1" t="n">
        <v>17.01</v>
      </c>
      <c r="F2232" s="1" t="n">
        <f aca="false">43/9</f>
        <v>4.77777777777778</v>
      </c>
    </row>
    <row collapsed="false" customFormat="false" customHeight="false" hidden="false" ht="14.75" outlineLevel="0" r="2233">
      <c r="A2233" s="1" t="s">
        <v>1732</v>
      </c>
      <c r="B2233" s="1" t="s">
        <v>1634</v>
      </c>
      <c r="C2233" s="1" t="s">
        <v>1627</v>
      </c>
      <c r="D2233" s="1" t="n">
        <v>130</v>
      </c>
      <c r="E2233" s="1" t="n">
        <v>9.13</v>
      </c>
      <c r="F2233" s="1" t="n">
        <f aca="false">6/8</f>
        <v>0.75</v>
      </c>
    </row>
    <row collapsed="false" customFormat="false" customHeight="false" hidden="false" ht="14.75" outlineLevel="0" r="2234">
      <c r="A2234" s="1" t="s">
        <v>1733</v>
      </c>
      <c r="B2234" s="1" t="s">
        <v>1633</v>
      </c>
      <c r="C2234" s="1" t="s">
        <v>1627</v>
      </c>
      <c r="D2234" s="1" t="n">
        <v>246.7</v>
      </c>
      <c r="E2234" s="1" t="n">
        <v>17.26</v>
      </c>
      <c r="F2234" s="1" t="n">
        <f aca="false">11/6</f>
        <v>1.83333333333333</v>
      </c>
    </row>
    <row collapsed="false" customFormat="false" customHeight="false" hidden="false" ht="14.75" outlineLevel="0" r="2235">
      <c r="A2235" s="1" t="s">
        <v>932</v>
      </c>
      <c r="B2235" s="1" t="s">
        <v>1662</v>
      </c>
      <c r="C2235" s="1" t="s">
        <v>1627</v>
      </c>
      <c r="D2235" s="1" t="n">
        <v>23.6</v>
      </c>
      <c r="E2235" s="1" t="n">
        <v>5.29</v>
      </c>
      <c r="F2235" s="1" t="n">
        <v>0</v>
      </c>
    </row>
    <row collapsed="false" customFormat="false" customHeight="false" hidden="false" ht="14.75" outlineLevel="0" r="2236">
      <c r="A2236" s="1" t="s">
        <v>1734</v>
      </c>
      <c r="B2236" s="1" t="s">
        <v>1633</v>
      </c>
      <c r="C2236" s="1" t="s">
        <v>1627</v>
      </c>
      <c r="D2236" s="1" t="n">
        <v>129</v>
      </c>
      <c r="E2236" s="1" t="n">
        <v>12.76</v>
      </c>
      <c r="F2236" s="1" t="n">
        <v>1.2</v>
      </c>
    </row>
    <row collapsed="false" customFormat="false" customHeight="false" hidden="false" ht="14.75" outlineLevel="0" r="2237">
      <c r="A2237" s="1" t="s">
        <v>1735</v>
      </c>
      <c r="B2237" s="1" t="s">
        <v>1633</v>
      </c>
      <c r="C2237" s="1" t="s">
        <v>1627</v>
      </c>
      <c r="D2237" s="1" t="n">
        <v>110</v>
      </c>
      <c r="E2237" s="1" t="n">
        <v>10.91</v>
      </c>
      <c r="F2237" s="1" t="n">
        <v>1</v>
      </c>
    </row>
    <row collapsed="false" customFormat="false" customHeight="false" hidden="false" ht="14.75" outlineLevel="0" r="2238">
      <c r="A2238" s="1" t="s">
        <v>1736</v>
      </c>
      <c r="B2238" s="1" t="s">
        <v>1633</v>
      </c>
      <c r="C2238" s="1" t="s">
        <v>1627</v>
      </c>
      <c r="D2238" s="1" t="n">
        <v>46</v>
      </c>
      <c r="E2238" s="1" t="n">
        <v>10.91</v>
      </c>
      <c r="F2238" s="1" t="n">
        <f aca="false">1/5</f>
        <v>0.2</v>
      </c>
    </row>
    <row collapsed="false" customFormat="false" customHeight="false" hidden="false" ht="14.75" outlineLevel="0" r="2239">
      <c r="A2239" s="1" t="s">
        <v>1737</v>
      </c>
      <c r="B2239" s="1" t="s">
        <v>1633</v>
      </c>
      <c r="C2239" s="1" t="s">
        <v>1627</v>
      </c>
      <c r="D2239" s="1" t="n">
        <v>330</v>
      </c>
      <c r="E2239" s="1" t="n">
        <v>20.48</v>
      </c>
      <c r="F2239" s="1" t="n">
        <v>3</v>
      </c>
    </row>
    <row collapsed="false" customFormat="false" customHeight="false" hidden="false" ht="14.75" outlineLevel="0" r="2240">
      <c r="A2240" s="1" t="s">
        <v>1738</v>
      </c>
      <c r="B2240" s="1" t="s">
        <v>1633</v>
      </c>
      <c r="C2240" s="1" t="s">
        <v>1627</v>
      </c>
      <c r="D2240" s="1" t="n">
        <v>162</v>
      </c>
      <c r="E2240" s="1" t="n">
        <v>14.85</v>
      </c>
      <c r="F2240" s="1" t="n">
        <f aca="false">7/5</f>
        <v>1.4</v>
      </c>
    </row>
    <row collapsed="false" customFormat="false" customHeight="false" hidden="false" ht="14.75" outlineLevel="0" r="2241">
      <c r="A2241" s="1" t="s">
        <v>1739</v>
      </c>
      <c r="B2241" s="1" t="s">
        <v>1633</v>
      </c>
      <c r="C2241" s="1" t="s">
        <v>1627</v>
      </c>
      <c r="D2241" s="1" t="n">
        <v>230</v>
      </c>
      <c r="E2241" s="1" t="n">
        <v>18.25</v>
      </c>
      <c r="F2241" s="1" t="n">
        <f aca="false">12/5</f>
        <v>2.4</v>
      </c>
    </row>
    <row collapsed="false" customFormat="false" customHeight="false" hidden="false" ht="14.75" outlineLevel="0" r="2242">
      <c r="A2242" s="1" t="s">
        <v>1740</v>
      </c>
      <c r="B2242" s="1" t="s">
        <v>1631</v>
      </c>
      <c r="C2242" s="1" t="s">
        <v>1627</v>
      </c>
      <c r="D2242" s="1" t="n">
        <v>253.8</v>
      </c>
      <c r="E2242" s="1" t="n">
        <v>18.39</v>
      </c>
      <c r="F2242" s="1" t="n">
        <f aca="false">14/8</f>
        <v>1.75</v>
      </c>
    </row>
    <row collapsed="false" customFormat="false" customHeight="false" hidden="false" ht="14.75" outlineLevel="0" r="2243">
      <c r="A2243" s="1" t="s">
        <v>597</v>
      </c>
      <c r="B2243" s="1" t="s">
        <v>1632</v>
      </c>
      <c r="C2243" s="1" t="s">
        <v>1627</v>
      </c>
      <c r="D2243" s="1" t="n">
        <v>252.7</v>
      </c>
      <c r="E2243" s="1" t="n">
        <v>19.27</v>
      </c>
      <c r="F2243" s="1" t="n">
        <f aca="false">33/11</f>
        <v>3</v>
      </c>
    </row>
    <row collapsed="false" customFormat="false" customHeight="false" hidden="false" ht="14.75" outlineLevel="0" r="2244">
      <c r="A2244" s="1" t="s">
        <v>598</v>
      </c>
      <c r="B2244" s="1" t="s">
        <v>1632</v>
      </c>
      <c r="C2244" s="1" t="s">
        <v>1627</v>
      </c>
      <c r="D2244" s="1" t="n">
        <v>127.7</v>
      </c>
      <c r="E2244" s="1" t="n">
        <v>13.06</v>
      </c>
      <c r="F2244" s="1" t="n">
        <f aca="false">9/11</f>
        <v>0.818181818181818</v>
      </c>
    </row>
    <row collapsed="false" customFormat="false" customHeight="false" hidden="false" ht="14.75" outlineLevel="0" r="2245">
      <c r="A2245" s="1" t="s">
        <v>937</v>
      </c>
      <c r="B2245" s="1" t="s">
        <v>1632</v>
      </c>
      <c r="C2245" s="1" t="s">
        <v>1627</v>
      </c>
      <c r="D2245" s="1" t="n">
        <v>140</v>
      </c>
      <c r="E2245" s="1" t="n">
        <v>12.21</v>
      </c>
      <c r="F2245" s="1" t="n">
        <f aca="false">12/11</f>
        <v>1.09090909090909</v>
      </c>
    </row>
    <row collapsed="false" customFormat="false" customHeight="false" hidden="false" ht="14.75" outlineLevel="0" r="2246">
      <c r="A2246" s="1" t="s">
        <v>1741</v>
      </c>
      <c r="B2246" s="1" t="s">
        <v>1633</v>
      </c>
      <c r="C2246" s="1" t="s">
        <v>1627</v>
      </c>
      <c r="D2246" s="1" t="n">
        <v>454.3</v>
      </c>
      <c r="E2246" s="1" t="n">
        <v>22.83</v>
      </c>
      <c r="F2246" s="1" t="n">
        <f aca="false">34/7</f>
        <v>4.85714285714286</v>
      </c>
    </row>
    <row collapsed="false" customFormat="false" customHeight="false" hidden="false" ht="14.75" outlineLevel="0" r="2247">
      <c r="A2247" s="1" t="s">
        <v>1291</v>
      </c>
      <c r="B2247" s="1" t="s">
        <v>1626</v>
      </c>
      <c r="C2247" s="1" t="s">
        <v>1627</v>
      </c>
      <c r="D2247" s="1" t="n">
        <v>318</v>
      </c>
      <c r="E2247" s="1" t="n">
        <v>17.97</v>
      </c>
      <c r="F2247" s="1" t="n">
        <v>2.4</v>
      </c>
    </row>
    <row collapsed="false" customFormat="false" customHeight="false" hidden="false" ht="14.75" outlineLevel="0" r="2248">
      <c r="A2248" s="1" t="s">
        <v>1742</v>
      </c>
      <c r="B2248" s="1" t="s">
        <v>1677</v>
      </c>
      <c r="C2248" s="1" t="s">
        <v>1627</v>
      </c>
      <c r="D2248" s="1" t="n">
        <v>355.6</v>
      </c>
      <c r="E2248" s="1" t="n">
        <v>18.78</v>
      </c>
      <c r="F2248" s="1" t="n">
        <f aca="false">21/8</f>
        <v>2.625</v>
      </c>
    </row>
    <row collapsed="false" customFormat="false" customHeight="false" hidden="false" ht="14.75" outlineLevel="0" r="2249">
      <c r="A2249" s="1" t="s">
        <v>1743</v>
      </c>
      <c r="B2249" s="1" t="s">
        <v>1677</v>
      </c>
      <c r="C2249" s="1" t="s">
        <v>1627</v>
      </c>
      <c r="D2249" s="1" t="n">
        <v>151.2</v>
      </c>
      <c r="E2249" s="1" t="n">
        <v>9.21</v>
      </c>
      <c r="F2249" s="1" t="n">
        <f aca="false">4/8</f>
        <v>0.5</v>
      </c>
    </row>
    <row collapsed="false" customFormat="false" customHeight="false" hidden="false" ht="14.75" outlineLevel="0" r="2250">
      <c r="A2250" s="1" t="s">
        <v>1744</v>
      </c>
      <c r="B2250" s="1" t="s">
        <v>1677</v>
      </c>
      <c r="C2250" s="1" t="s">
        <v>1627</v>
      </c>
      <c r="D2250" s="1" t="n">
        <v>90</v>
      </c>
      <c r="E2250" s="1" t="n">
        <v>9.46</v>
      </c>
      <c r="F2250" s="1" t="n">
        <f aca="false">2/8</f>
        <v>0.25</v>
      </c>
    </row>
    <row collapsed="false" customFormat="false" customHeight="false" hidden="false" ht="14.75" outlineLevel="0" r="2251">
      <c r="A2251" s="1" t="s">
        <v>223</v>
      </c>
      <c r="B2251" s="1" t="s">
        <v>1633</v>
      </c>
      <c r="C2251" s="1" t="s">
        <v>1627</v>
      </c>
      <c r="D2251" s="1" t="n">
        <v>246</v>
      </c>
      <c r="E2251" s="1" t="n">
        <v>14.9</v>
      </c>
      <c r="F2251" s="1" t="n">
        <f aca="false">13/5</f>
        <v>2.6</v>
      </c>
    </row>
    <row collapsed="false" customFormat="false" customHeight="false" hidden="false" ht="14.75" outlineLevel="0" r="2252">
      <c r="A2252" s="1" t="s">
        <v>224</v>
      </c>
      <c r="B2252" s="1" t="s">
        <v>1633</v>
      </c>
      <c r="C2252" s="1" t="s">
        <v>1627</v>
      </c>
      <c r="D2252" s="1" t="n">
        <v>230</v>
      </c>
      <c r="E2252" s="1" t="n">
        <v>17.68</v>
      </c>
      <c r="F2252" s="1" t="n">
        <f aca="false">12/5</f>
        <v>2.4</v>
      </c>
    </row>
    <row collapsed="false" customFormat="false" customHeight="false" hidden="false" ht="14.75" outlineLevel="0" r="2253">
      <c r="A2253" s="1" t="s">
        <v>225</v>
      </c>
      <c r="B2253" s="1" t="s">
        <v>1633</v>
      </c>
      <c r="C2253" s="1" t="s">
        <v>1627</v>
      </c>
      <c r="D2253" s="1" t="n">
        <v>98</v>
      </c>
      <c r="E2253" s="1" t="n">
        <v>7.24</v>
      </c>
      <c r="F2253" s="1" t="n">
        <v>0.6</v>
      </c>
    </row>
    <row collapsed="false" customFormat="false" customHeight="false" hidden="false" ht="14.75" outlineLevel="0" r="2254">
      <c r="A2254" s="1" t="s">
        <v>942</v>
      </c>
      <c r="B2254" s="1" t="s">
        <v>1633</v>
      </c>
      <c r="C2254" s="1" t="s">
        <v>1627</v>
      </c>
      <c r="D2254" s="1" t="n">
        <v>80</v>
      </c>
      <c r="E2254" s="1" t="n">
        <v>7.73</v>
      </c>
      <c r="F2254" s="1" t="n">
        <f aca="false">3/5</f>
        <v>0.6</v>
      </c>
    </row>
    <row collapsed="false" customFormat="false" customHeight="false" hidden="false" ht="14.75" outlineLevel="0" r="2255">
      <c r="A2255" s="1" t="s">
        <v>1292</v>
      </c>
      <c r="B2255" s="1" t="s">
        <v>1634</v>
      </c>
      <c r="C2255" s="1" t="s">
        <v>1627</v>
      </c>
      <c r="D2255" s="1" t="n">
        <v>253.8</v>
      </c>
      <c r="E2255" s="1" t="n">
        <v>15.14</v>
      </c>
      <c r="F2255" s="1" t="n">
        <v>2</v>
      </c>
    </row>
    <row collapsed="false" customFormat="false" customHeight="false" hidden="false" ht="14.75" outlineLevel="0" r="2256">
      <c r="A2256" s="1" t="s">
        <v>1060</v>
      </c>
      <c r="B2256" s="1" t="s">
        <v>1658</v>
      </c>
      <c r="C2256" s="1" t="s">
        <v>1627</v>
      </c>
      <c r="D2256" s="1" t="n">
        <v>324.1</v>
      </c>
      <c r="E2256" s="1" t="n">
        <v>20.14</v>
      </c>
      <c r="F2256" s="1" t="n">
        <v>5.33333333333333</v>
      </c>
    </row>
    <row collapsed="false" customFormat="false" customHeight="false" hidden="false" ht="14.75" outlineLevel="0" r="2257">
      <c r="A2257" s="1" t="s">
        <v>1061</v>
      </c>
      <c r="B2257" s="1" t="s">
        <v>1658</v>
      </c>
      <c r="C2257" s="1" t="s">
        <v>1627</v>
      </c>
      <c r="D2257" s="1" t="n">
        <v>159.8</v>
      </c>
      <c r="E2257" s="1" t="n">
        <v>16.1</v>
      </c>
      <c r="F2257" s="1" t="n">
        <v>1.33333333333333</v>
      </c>
    </row>
    <row collapsed="false" customFormat="false" customHeight="false" hidden="false" ht="14.75" outlineLevel="0" r="2258">
      <c r="A2258" s="1" t="s">
        <v>1062</v>
      </c>
      <c r="B2258" s="1" t="s">
        <v>1658</v>
      </c>
      <c r="C2258" s="1" t="s">
        <v>1627</v>
      </c>
      <c r="D2258" s="1" t="n">
        <v>186.4</v>
      </c>
      <c r="E2258" s="1" t="n">
        <v>13.73</v>
      </c>
      <c r="F2258" s="1" t="n">
        <v>1.33333333333333</v>
      </c>
    </row>
    <row collapsed="false" customFormat="false" customHeight="false" hidden="false" ht="14.75" outlineLevel="0" r="2259">
      <c r="A2259" s="1" t="s">
        <v>1745</v>
      </c>
      <c r="B2259" s="1" t="s">
        <v>1658</v>
      </c>
      <c r="C2259" s="1" t="s">
        <v>1627</v>
      </c>
      <c r="D2259" s="1" t="n">
        <v>75</v>
      </c>
      <c r="E2259" s="1" t="n">
        <v>10.48</v>
      </c>
      <c r="F2259" s="1" t="n">
        <v>0.5</v>
      </c>
    </row>
    <row collapsed="false" customFormat="false" customHeight="false" hidden="false" ht="14.75" outlineLevel="0" r="2260">
      <c r="A2260" s="1" t="s">
        <v>1746</v>
      </c>
      <c r="B2260" s="1" t="s">
        <v>1658</v>
      </c>
      <c r="C2260" s="1" t="s">
        <v>1627</v>
      </c>
      <c r="D2260" s="1" t="n">
        <v>344.1</v>
      </c>
      <c r="E2260" s="1" t="n">
        <v>20.19</v>
      </c>
      <c r="F2260" s="1" t="n">
        <f aca="false">22/8</f>
        <v>2.75</v>
      </c>
    </row>
    <row collapsed="false" customFormat="false" customHeight="false" hidden="false" ht="14.75" outlineLevel="0" r="2261">
      <c r="A2261" s="1" t="s">
        <v>1747</v>
      </c>
      <c r="B2261" s="1" t="s">
        <v>1658</v>
      </c>
      <c r="C2261" s="1" t="s">
        <v>1627</v>
      </c>
      <c r="D2261" s="1" t="n">
        <v>203.7</v>
      </c>
      <c r="E2261" s="1" t="n">
        <v>15.23</v>
      </c>
      <c r="F2261" s="1" t="n">
        <v>1.16666666666667</v>
      </c>
    </row>
    <row collapsed="false" customFormat="false" customHeight="false" hidden="false" ht="14.75" outlineLevel="0" r="2262">
      <c r="A2262" s="1" t="s">
        <v>1748</v>
      </c>
      <c r="B2262" s="1" t="s">
        <v>1633</v>
      </c>
      <c r="C2262" s="1" t="s">
        <v>1627</v>
      </c>
      <c r="D2262" s="1" t="n">
        <v>277.5</v>
      </c>
      <c r="E2262" s="1" t="n">
        <v>18.77</v>
      </c>
      <c r="F2262" s="1" t="n">
        <f aca="false">15/6</f>
        <v>2.5</v>
      </c>
    </row>
    <row collapsed="false" customFormat="false" customHeight="false" hidden="false" ht="14.75" outlineLevel="0" r="2263">
      <c r="A2263" s="1" t="s">
        <v>1749</v>
      </c>
      <c r="B2263" s="1" t="s">
        <v>1658</v>
      </c>
      <c r="C2263" s="1" t="s">
        <v>1627</v>
      </c>
      <c r="D2263" s="1" t="n">
        <v>196.5</v>
      </c>
      <c r="E2263" s="1" t="n">
        <v>16.67</v>
      </c>
      <c r="F2263" s="1" t="n">
        <v>1.16666666666667</v>
      </c>
    </row>
    <row collapsed="false" customFormat="false" customHeight="false" hidden="false" ht="14.75" outlineLevel="0" r="2264">
      <c r="A2264" s="1" t="s">
        <v>1750</v>
      </c>
      <c r="B2264" s="1" t="s">
        <v>1658</v>
      </c>
      <c r="C2264" s="1" t="s">
        <v>1627</v>
      </c>
      <c r="D2264" s="1" t="n">
        <v>102.3</v>
      </c>
      <c r="E2264" s="1" t="n">
        <v>12.76</v>
      </c>
      <c r="F2264" s="1" t="n">
        <v>0.166666666666667</v>
      </c>
    </row>
    <row collapsed="false" customFormat="false" customHeight="false" hidden="false" ht="14.75" outlineLevel="0" r="2265">
      <c r="A2265" s="1" t="s">
        <v>394</v>
      </c>
      <c r="B2265" s="1" t="s">
        <v>1633</v>
      </c>
      <c r="C2265" s="1" t="s">
        <v>1627</v>
      </c>
      <c r="D2265" s="1" t="n">
        <v>292.1</v>
      </c>
      <c r="E2265" s="1" t="n">
        <v>15.52</v>
      </c>
      <c r="F2265" s="1" t="n">
        <f aca="false">32/7</f>
        <v>4.57142857142857</v>
      </c>
    </row>
    <row collapsed="false" customFormat="false" customHeight="false" hidden="false" ht="14.75" outlineLevel="0" r="2266">
      <c r="A2266" s="1" t="s">
        <v>1751</v>
      </c>
      <c r="B2266" s="1" t="s">
        <v>1633</v>
      </c>
      <c r="C2266" s="1" t="s">
        <v>1627</v>
      </c>
      <c r="D2266" s="1" t="n">
        <v>330</v>
      </c>
      <c r="E2266" s="1" t="n">
        <v>19.41</v>
      </c>
      <c r="F2266" s="1" t="n">
        <v>4</v>
      </c>
    </row>
    <row collapsed="false" customFormat="false" customHeight="false" hidden="false" ht="14.75" outlineLevel="0" r="2267">
      <c r="A2267" s="1" t="s">
        <v>1752</v>
      </c>
      <c r="B2267" s="1" t="s">
        <v>1633</v>
      </c>
      <c r="C2267" s="1" t="s">
        <v>1627</v>
      </c>
      <c r="D2267" s="1" t="n">
        <v>125</v>
      </c>
      <c r="E2267" s="1" t="n">
        <v>13.85</v>
      </c>
      <c r="F2267" s="1" t="n">
        <v>0.8</v>
      </c>
    </row>
    <row collapsed="false" customFormat="false" customHeight="false" hidden="false" ht="14.75" outlineLevel="0" r="2268">
      <c r="A2268" s="1" t="s">
        <v>47</v>
      </c>
      <c r="B2268" s="1" t="s">
        <v>1660</v>
      </c>
      <c r="C2268" s="1" t="s">
        <v>1627</v>
      </c>
      <c r="D2268" s="1" t="n">
        <v>320</v>
      </c>
      <c r="E2268" s="1" t="n">
        <v>19.29</v>
      </c>
      <c r="F2268" s="1" t="n">
        <f aca="false">27/8</f>
        <v>3.375</v>
      </c>
    </row>
    <row collapsed="false" customFormat="false" customHeight="false" hidden="false" ht="14.75" outlineLevel="0" r="2269">
      <c r="A2269" s="1" t="s">
        <v>1753</v>
      </c>
      <c r="B2269" s="1" t="s">
        <v>1658</v>
      </c>
      <c r="C2269" s="1" t="s">
        <v>1627</v>
      </c>
      <c r="D2269" s="1" t="n">
        <v>107.1</v>
      </c>
      <c r="E2269" s="1" t="n">
        <v>10.57</v>
      </c>
      <c r="F2269" s="1" t="n">
        <v>0.5</v>
      </c>
    </row>
    <row collapsed="false" customFormat="false" customHeight="false" hidden="false" ht="14.75" outlineLevel="0" r="2270">
      <c r="A2270" s="1" t="s">
        <v>1754</v>
      </c>
      <c r="B2270" s="1" t="s">
        <v>1633</v>
      </c>
      <c r="C2270" s="1" t="s">
        <v>1627</v>
      </c>
      <c r="D2270" s="1" t="n">
        <v>335.8</v>
      </c>
      <c r="E2270" s="1" t="n">
        <v>19.1</v>
      </c>
      <c r="F2270" s="1" t="n">
        <f aca="false">22/6</f>
        <v>3.66666666666667</v>
      </c>
    </row>
    <row collapsed="false" customFormat="false" customHeight="false" hidden="false" ht="14.75" outlineLevel="0" r="2271">
      <c r="A2271" s="1" t="s">
        <v>1755</v>
      </c>
      <c r="B2271" s="1" t="s">
        <v>1633</v>
      </c>
      <c r="C2271" s="1" t="s">
        <v>1627</v>
      </c>
      <c r="D2271" s="1" t="n">
        <v>193</v>
      </c>
      <c r="E2271" s="1" t="n">
        <v>14.47</v>
      </c>
      <c r="F2271" s="1" t="n">
        <f aca="false">8/5</f>
        <v>1.6</v>
      </c>
    </row>
    <row collapsed="false" customFormat="false" customHeight="false" hidden="false" ht="14.75" outlineLevel="0" r="2272">
      <c r="A2272" s="1" t="s">
        <v>1756</v>
      </c>
      <c r="B2272" s="1" t="s">
        <v>1633</v>
      </c>
      <c r="C2272" s="1" t="s">
        <v>1627</v>
      </c>
      <c r="D2272" s="1" t="n">
        <v>275</v>
      </c>
      <c r="E2272" s="1" t="n">
        <v>18.96</v>
      </c>
      <c r="F2272" s="1" t="n">
        <f aca="false">3/5</f>
        <v>0.6</v>
      </c>
    </row>
    <row collapsed="false" customFormat="false" customHeight="false" hidden="false" ht="14.75" outlineLevel="0" r="2273">
      <c r="A2273" s="1" t="s">
        <v>1757</v>
      </c>
      <c r="B2273" s="1" t="s">
        <v>1633</v>
      </c>
      <c r="C2273" s="1" t="s">
        <v>1627</v>
      </c>
      <c r="D2273" s="1" t="n">
        <v>215</v>
      </c>
      <c r="E2273" s="1" t="n">
        <v>16.07</v>
      </c>
      <c r="F2273" s="1" t="n">
        <f aca="false">3/5</f>
        <v>0.6</v>
      </c>
    </row>
    <row collapsed="false" customFormat="false" customHeight="false" hidden="false" ht="14.75" outlineLevel="0" r="2274">
      <c r="A2274" s="1" t="s">
        <v>1758</v>
      </c>
      <c r="B2274" s="1" t="s">
        <v>1633</v>
      </c>
      <c r="C2274" s="1" t="s">
        <v>1627</v>
      </c>
      <c r="D2274" s="1" t="n">
        <v>124</v>
      </c>
      <c r="E2274" s="1" t="n">
        <v>12.14</v>
      </c>
      <c r="F2274" s="1" t="n">
        <v>0.6</v>
      </c>
    </row>
    <row collapsed="false" customFormat="false" customHeight="false" hidden="false" ht="14.75" outlineLevel="0" r="2275">
      <c r="A2275" s="1" t="s">
        <v>1759</v>
      </c>
      <c r="B2275" s="1" t="s">
        <v>1633</v>
      </c>
      <c r="C2275" s="1" t="s">
        <v>1627</v>
      </c>
      <c r="D2275" s="1" t="n">
        <v>59</v>
      </c>
      <c r="E2275" s="1" t="n">
        <v>5.5</v>
      </c>
      <c r="F2275" s="1" t="n">
        <f aca="false">3/5</f>
        <v>0.6</v>
      </c>
    </row>
    <row collapsed="false" customFormat="false" customHeight="false" hidden="false" ht="14.75" outlineLevel="0" r="2276">
      <c r="A2276" s="1" t="s">
        <v>1312</v>
      </c>
      <c r="B2276" s="1" t="s">
        <v>1631</v>
      </c>
      <c r="C2276" s="1" t="s">
        <v>1627</v>
      </c>
      <c r="D2276" s="1" t="n">
        <v>286.2</v>
      </c>
      <c r="E2276" s="1" t="n">
        <v>19.21</v>
      </c>
      <c r="F2276" s="1" t="n">
        <f aca="false">18/8</f>
        <v>2.25</v>
      </c>
    </row>
    <row collapsed="false" customFormat="false" customHeight="false" hidden="false" ht="14.75" outlineLevel="0" r="2277">
      <c r="A2277" s="1" t="s">
        <v>1760</v>
      </c>
      <c r="B2277" s="1" t="s">
        <v>1660</v>
      </c>
      <c r="C2277" s="1" t="s">
        <v>1627</v>
      </c>
      <c r="D2277" s="1" t="n">
        <v>269.4</v>
      </c>
      <c r="E2277" s="1" t="n">
        <v>17.38</v>
      </c>
      <c r="F2277" s="1" t="n">
        <f aca="false">29/9</f>
        <v>3.22222222222222</v>
      </c>
    </row>
    <row collapsed="false" customFormat="false" customHeight="false" hidden="false" ht="14.75" outlineLevel="0" r="2278">
      <c r="A2278" s="1" t="s">
        <v>1317</v>
      </c>
      <c r="B2278" s="1" t="s">
        <v>1633</v>
      </c>
      <c r="C2278" s="1" t="s">
        <v>1627</v>
      </c>
      <c r="D2278" s="1" t="n">
        <v>521.8</v>
      </c>
      <c r="E2278" s="1" t="n">
        <v>24.2</v>
      </c>
      <c r="F2278" s="1" t="n">
        <f aca="false">94/11</f>
        <v>8.54545454545455</v>
      </c>
    </row>
    <row collapsed="false" customFormat="false" customHeight="false" hidden="false" ht="14.75" outlineLevel="0" r="2279">
      <c r="A2279" s="1" t="s">
        <v>961</v>
      </c>
      <c r="B2279" s="1" t="s">
        <v>1662</v>
      </c>
      <c r="C2279" s="1" t="s">
        <v>1627</v>
      </c>
      <c r="D2279" s="1" t="n">
        <v>139.5</v>
      </c>
      <c r="E2279" s="1" t="n">
        <v>15.16</v>
      </c>
      <c r="F2279" s="1" t="n">
        <f aca="false">7/11</f>
        <v>0.636363636363636</v>
      </c>
    </row>
    <row collapsed="false" customFormat="false" customHeight="false" hidden="false" ht="14.75" outlineLevel="0" r="2280">
      <c r="A2280" s="1" t="s">
        <v>1607</v>
      </c>
      <c r="B2280" s="1" t="s">
        <v>1660</v>
      </c>
      <c r="C2280" s="1" t="s">
        <v>1627</v>
      </c>
      <c r="D2280" s="1" t="n">
        <v>465.6</v>
      </c>
      <c r="E2280" s="1" t="n">
        <v>22.74</v>
      </c>
      <c r="F2280" s="1" t="n">
        <f aca="false">42/9</f>
        <v>4.66666666666667</v>
      </c>
    </row>
    <row collapsed="false" customFormat="false" customHeight="false" hidden="false" ht="14.75" outlineLevel="0" r="2281">
      <c r="A2281" s="1" t="s">
        <v>1761</v>
      </c>
      <c r="B2281" s="1" t="s">
        <v>1633</v>
      </c>
      <c r="C2281" s="1" t="s">
        <v>1627</v>
      </c>
      <c r="D2281" s="1" t="n">
        <v>302</v>
      </c>
      <c r="E2281" s="1" t="n">
        <v>19.31</v>
      </c>
      <c r="F2281" s="1" t="n">
        <f aca="false">16/5</f>
        <v>3.2</v>
      </c>
    </row>
    <row collapsed="false" customFormat="false" customHeight="false" hidden="false" ht="14.75" outlineLevel="0" r="2282">
      <c r="A2282" s="1" t="s">
        <v>1762</v>
      </c>
      <c r="B2282" s="1" t="s">
        <v>1633</v>
      </c>
      <c r="C2282" s="1" t="s">
        <v>1627</v>
      </c>
      <c r="D2282" s="1" t="n">
        <v>152</v>
      </c>
      <c r="E2282" s="1" t="n">
        <v>15.17</v>
      </c>
      <c r="F2282" s="1" t="n">
        <v>1</v>
      </c>
    </row>
    <row collapsed="false" customFormat="false" customHeight="false" hidden="false" ht="14.75" outlineLevel="0" r="2283">
      <c r="A2283" s="1" t="s">
        <v>1067</v>
      </c>
      <c r="B2283" s="1" t="s">
        <v>1658</v>
      </c>
      <c r="C2283" s="1" t="s">
        <v>1627</v>
      </c>
      <c r="D2283" s="1" t="n">
        <v>289.3</v>
      </c>
      <c r="E2283" s="1" t="n">
        <v>17.79</v>
      </c>
      <c r="F2283" s="1" t="n">
        <f aca="false">23/7</f>
        <v>3.28571428571429</v>
      </c>
    </row>
    <row collapsed="false" customFormat="false" customHeight="false" hidden="false" ht="14.75" outlineLevel="0" r="2284">
      <c r="A2284" s="1" t="s">
        <v>1068</v>
      </c>
      <c r="B2284" s="1" t="s">
        <v>1658</v>
      </c>
      <c r="C2284" s="1" t="s">
        <v>1627</v>
      </c>
      <c r="D2284" s="1" t="n">
        <v>181</v>
      </c>
      <c r="E2284" s="1" t="n">
        <v>17.95</v>
      </c>
      <c r="F2284" s="1" t="n">
        <v>1.83333333333333</v>
      </c>
    </row>
    <row collapsed="false" customFormat="false" customHeight="false" hidden="false" ht="14.75" outlineLevel="0" r="2285">
      <c r="A2285" s="1" t="s">
        <v>1763</v>
      </c>
      <c r="B2285" s="1" t="s">
        <v>1658</v>
      </c>
      <c r="C2285" s="1" t="s">
        <v>1627</v>
      </c>
      <c r="D2285" s="1" t="n">
        <v>124</v>
      </c>
      <c r="E2285" s="1" t="n">
        <v>12</v>
      </c>
      <c r="F2285" s="1" t="n">
        <v>1.83333333333333</v>
      </c>
    </row>
    <row collapsed="false" customFormat="false" customHeight="false" hidden="false" ht="14.75" outlineLevel="0" r="2286">
      <c r="A2286" s="1" t="s">
        <v>400</v>
      </c>
      <c r="B2286" s="1" t="s">
        <v>1633</v>
      </c>
      <c r="C2286" s="1" t="s">
        <v>1627</v>
      </c>
      <c r="D2286" s="1" t="n">
        <v>423.3</v>
      </c>
      <c r="E2286" s="1" t="n">
        <v>24.25</v>
      </c>
      <c r="F2286" s="1" t="n">
        <f aca="false">43/9</f>
        <v>4.77777777777778</v>
      </c>
    </row>
    <row collapsed="false" customFormat="false" customHeight="false" hidden="false" ht="14.75" outlineLevel="0" r="2287">
      <c r="A2287" s="1" t="s">
        <v>401</v>
      </c>
      <c r="B2287" s="1" t="s">
        <v>1633</v>
      </c>
      <c r="C2287" s="1" t="s">
        <v>1627</v>
      </c>
      <c r="D2287" s="1" t="n">
        <v>197.5</v>
      </c>
      <c r="E2287" s="1" t="n">
        <v>15.83</v>
      </c>
      <c r="F2287" s="1" t="n">
        <f aca="false">7/4</f>
        <v>1.75</v>
      </c>
    </row>
    <row collapsed="false" customFormat="false" customHeight="false" hidden="false" ht="14.75" outlineLevel="0" r="2288">
      <c r="A2288" s="1" t="s">
        <v>1324</v>
      </c>
      <c r="B2288" s="1" t="s">
        <v>1660</v>
      </c>
      <c r="C2288" s="1" t="s">
        <v>1627</v>
      </c>
      <c r="D2288" s="1" t="n">
        <v>231.9</v>
      </c>
      <c r="E2288" s="1" t="n">
        <v>18.23</v>
      </c>
      <c r="F2288" s="1" t="n">
        <f aca="false">17/8</f>
        <v>2.125</v>
      </c>
    </row>
    <row collapsed="false" customFormat="false" customHeight="false" hidden="false" ht="14.75" outlineLevel="0" r="2289">
      <c r="A2289" s="1" t="s">
        <v>1325</v>
      </c>
      <c r="B2289" s="1" t="s">
        <v>1634</v>
      </c>
      <c r="C2289" s="1" t="s">
        <v>1627</v>
      </c>
      <c r="D2289" s="1" t="n">
        <v>188.8</v>
      </c>
      <c r="E2289" s="1" t="n">
        <v>16.22</v>
      </c>
      <c r="F2289" s="1" t="n">
        <f aca="false">10/8</f>
        <v>1.25</v>
      </c>
    </row>
    <row collapsed="false" customFormat="false" customHeight="false" hidden="false" ht="14.75" outlineLevel="0" r="2290">
      <c r="A2290" s="1" t="s">
        <v>1764</v>
      </c>
      <c r="B2290" s="1" t="s">
        <v>1633</v>
      </c>
      <c r="C2290" s="1" t="s">
        <v>1627</v>
      </c>
      <c r="D2290" s="1" t="n">
        <v>26</v>
      </c>
      <c r="E2290" s="1" t="n">
        <v>6.25</v>
      </c>
      <c r="F2290" s="1" t="n">
        <f aca="false">2/5</f>
        <v>0.4</v>
      </c>
    </row>
    <row collapsed="false" customFormat="false" customHeight="false" hidden="false" ht="14.75" outlineLevel="0" r="2291">
      <c r="A2291" s="1" t="s">
        <v>1332</v>
      </c>
      <c r="B2291" s="1" t="s">
        <v>1631</v>
      </c>
      <c r="C2291" s="1" t="s">
        <v>1627</v>
      </c>
      <c r="D2291" s="1" t="n">
        <v>206.2</v>
      </c>
      <c r="E2291" s="1" t="n">
        <v>13.51</v>
      </c>
      <c r="F2291" s="1" t="n">
        <f aca="false">12/8</f>
        <v>1.5</v>
      </c>
    </row>
    <row collapsed="false" customFormat="false" customHeight="false" hidden="false" ht="14.75" outlineLevel="0" r="2292">
      <c r="A2292" s="1" t="s">
        <v>1765</v>
      </c>
      <c r="B2292" s="1" t="s">
        <v>1633</v>
      </c>
      <c r="C2292" s="1" t="s">
        <v>1627</v>
      </c>
      <c r="D2292" s="1" t="n">
        <v>387.9</v>
      </c>
      <c r="E2292" s="1" t="n">
        <v>23</v>
      </c>
      <c r="F2292" s="1" t="n">
        <f aca="false">27/7</f>
        <v>3.85714285714286</v>
      </c>
    </row>
    <row collapsed="false" customFormat="false" customHeight="false" hidden="false" ht="14.75" outlineLevel="0" r="2293">
      <c r="A2293" s="1" t="s">
        <v>1766</v>
      </c>
      <c r="B2293" s="1" t="s">
        <v>1633</v>
      </c>
      <c r="C2293" s="1" t="s">
        <v>1627</v>
      </c>
      <c r="D2293" s="1" t="n">
        <v>345</v>
      </c>
      <c r="E2293" s="1" t="n">
        <v>17.68</v>
      </c>
      <c r="F2293" s="1" t="n">
        <f aca="false">28/6</f>
        <v>4.66666666666667</v>
      </c>
    </row>
    <row collapsed="false" customFormat="false" customHeight="false" hidden="false" ht="14.75" outlineLevel="0" r="2294">
      <c r="A2294" s="1" t="s">
        <v>1767</v>
      </c>
      <c r="B2294" s="1" t="s">
        <v>1633</v>
      </c>
      <c r="C2294" s="1" t="s">
        <v>1627</v>
      </c>
      <c r="D2294" s="1" t="n">
        <v>257.5</v>
      </c>
      <c r="E2294" s="1" t="n">
        <v>19.9</v>
      </c>
      <c r="F2294" s="1" t="n">
        <f aca="false">14/6</f>
        <v>2.33333333333333</v>
      </c>
    </row>
    <row collapsed="false" customFormat="false" customHeight="false" hidden="false" ht="14.75" outlineLevel="0" r="2295">
      <c r="A2295" s="1" t="s">
        <v>1334</v>
      </c>
      <c r="B2295" s="1" t="s">
        <v>1632</v>
      </c>
      <c r="C2295" s="1" t="s">
        <v>1627</v>
      </c>
      <c r="D2295" s="1" t="n">
        <v>145</v>
      </c>
      <c r="E2295" s="1" t="n">
        <v>12.57</v>
      </c>
      <c r="F2295" s="1" t="n">
        <f aca="false">7/11</f>
        <v>0.636363636363636</v>
      </c>
    </row>
    <row collapsed="false" customFormat="false" customHeight="false" hidden="false" ht="14.75" outlineLevel="0" r="2296">
      <c r="A2296" s="1" t="s">
        <v>1335</v>
      </c>
      <c r="B2296" s="1" t="s">
        <v>1632</v>
      </c>
      <c r="C2296" s="1" t="s">
        <v>1627</v>
      </c>
      <c r="D2296" s="1" t="n">
        <v>64.5</v>
      </c>
      <c r="E2296" s="1" t="n">
        <v>9.73</v>
      </c>
      <c r="F2296" s="1" t="n">
        <f aca="false">7/11</f>
        <v>0.636363636363636</v>
      </c>
    </row>
    <row collapsed="false" customFormat="false" customHeight="false" hidden="false" ht="14.75" outlineLevel="0" r="2297">
      <c r="A2297" s="1" t="s">
        <v>1768</v>
      </c>
      <c r="B2297" s="1" t="s">
        <v>1633</v>
      </c>
      <c r="C2297" s="1" t="s">
        <v>1627</v>
      </c>
      <c r="D2297" s="1" t="n">
        <v>368.3</v>
      </c>
      <c r="E2297" s="1" t="n">
        <v>19.07</v>
      </c>
      <c r="F2297" s="1" t="n">
        <f aca="false">14/6</f>
        <v>2.33333333333333</v>
      </c>
    </row>
    <row collapsed="false" customFormat="false" customHeight="false" hidden="false" ht="14.75" outlineLevel="0" r="2298">
      <c r="A2298" s="1" t="s">
        <v>1769</v>
      </c>
      <c r="B2298" s="1" t="s">
        <v>1633</v>
      </c>
      <c r="C2298" s="1" t="s">
        <v>1627</v>
      </c>
      <c r="D2298" s="1" t="n">
        <v>155</v>
      </c>
      <c r="E2298" s="1" t="n">
        <v>12.94</v>
      </c>
      <c r="F2298" s="1" t="n">
        <v>1</v>
      </c>
    </row>
    <row collapsed="false" customFormat="false" customHeight="false" hidden="false" ht="14.75" outlineLevel="0" r="2299">
      <c r="A2299" s="1" t="s">
        <v>1770</v>
      </c>
      <c r="B2299" s="1" t="s">
        <v>1633</v>
      </c>
      <c r="C2299" s="1" t="s">
        <v>1627</v>
      </c>
      <c r="D2299" s="1" t="n">
        <v>155</v>
      </c>
      <c r="E2299" s="1" t="n">
        <v>10.54</v>
      </c>
      <c r="F2299" s="1" t="n">
        <v>0.8</v>
      </c>
    </row>
    <row collapsed="false" customFormat="false" customHeight="false" hidden="false" ht="14.75" outlineLevel="0" r="2300">
      <c r="A2300" s="1" t="s">
        <v>1771</v>
      </c>
      <c r="B2300" s="1" t="s">
        <v>1633</v>
      </c>
      <c r="C2300" s="1" t="s">
        <v>1627</v>
      </c>
      <c r="D2300" s="1" t="n">
        <v>127</v>
      </c>
      <c r="E2300" s="1" t="n">
        <v>12.96</v>
      </c>
      <c r="F2300" s="1" t="n">
        <v>1.4</v>
      </c>
    </row>
    <row collapsed="false" customFormat="false" customHeight="false" hidden="false" ht="14.75" outlineLevel="0" r="2301">
      <c r="A2301" s="1" t="s">
        <v>1772</v>
      </c>
      <c r="B2301" s="1" t="s">
        <v>1633</v>
      </c>
      <c r="C2301" s="1" t="s">
        <v>1627</v>
      </c>
      <c r="D2301" s="1" t="n">
        <v>81</v>
      </c>
      <c r="E2301" s="1" t="n">
        <v>10</v>
      </c>
      <c r="F2301" s="1" t="n">
        <v>0.6</v>
      </c>
    </row>
    <row collapsed="false" customFormat="false" customHeight="false" hidden="false" ht="14.75" outlineLevel="0" r="2302">
      <c r="A2302" s="1" t="s">
        <v>1615</v>
      </c>
      <c r="B2302" s="1" t="s">
        <v>1660</v>
      </c>
      <c r="C2302" s="1" t="s">
        <v>1627</v>
      </c>
      <c r="D2302" s="1" t="n">
        <v>236.1</v>
      </c>
      <c r="E2302" s="1" t="n">
        <v>17.01</v>
      </c>
      <c r="F2302" s="1" t="n">
        <f aca="false">21/9</f>
        <v>2.33333333333333</v>
      </c>
    </row>
    <row collapsed="false" customFormat="false" customHeight="false" hidden="false" ht="14.75" outlineLevel="0" r="2303">
      <c r="A2303" s="1" t="s">
        <v>1616</v>
      </c>
      <c r="B2303" s="1" t="s">
        <v>1660</v>
      </c>
      <c r="C2303" s="1" t="s">
        <v>1627</v>
      </c>
      <c r="D2303" s="1" t="n">
        <v>192.5</v>
      </c>
      <c r="E2303" s="1" t="n">
        <v>14.13</v>
      </c>
      <c r="F2303" s="1" t="n">
        <f aca="false">14/8</f>
        <v>1.75</v>
      </c>
    </row>
    <row collapsed="false" customFormat="false" customHeight="false" hidden="false" ht="14.75" outlineLevel="0" r="2304">
      <c r="A2304" s="1" t="s">
        <v>1773</v>
      </c>
      <c r="B2304" s="1" t="s">
        <v>1633</v>
      </c>
      <c r="C2304" s="1" t="s">
        <v>1627</v>
      </c>
      <c r="D2304" s="1" t="n">
        <v>253</v>
      </c>
      <c r="E2304" s="1" t="n">
        <v>18.67</v>
      </c>
      <c r="F2304" s="1" t="n">
        <f aca="false">8/5</f>
        <v>1.6</v>
      </c>
    </row>
    <row collapsed="false" customFormat="false" customHeight="false" hidden="false" ht="14.75" outlineLevel="0" r="2305">
      <c r="A2305" s="1" t="s">
        <v>1774</v>
      </c>
      <c r="B2305" s="1" t="s">
        <v>1633</v>
      </c>
      <c r="C2305" s="1" t="s">
        <v>1627</v>
      </c>
      <c r="D2305" s="1" t="n">
        <v>94</v>
      </c>
      <c r="E2305" s="1" t="n">
        <v>11.09</v>
      </c>
      <c r="F2305" s="1" t="n">
        <v>0.2</v>
      </c>
    </row>
    <row collapsed="false" customFormat="false" customHeight="false" hidden="false" ht="14.75" outlineLevel="0" r="2306">
      <c r="A2306" s="1" t="s">
        <v>1775</v>
      </c>
      <c r="B2306" s="1" t="s">
        <v>1634</v>
      </c>
      <c r="C2306" s="1" t="s">
        <v>1627</v>
      </c>
      <c r="D2306" s="1" t="n">
        <v>246.9</v>
      </c>
      <c r="E2306" s="1" t="n">
        <v>15.9</v>
      </c>
      <c r="F2306" s="1" t="n">
        <f aca="false">15/8</f>
        <v>1.875</v>
      </c>
    </row>
    <row collapsed="false" customFormat="false" customHeight="false" hidden="false" ht="14.75" outlineLevel="0" r="2307">
      <c r="A2307" s="1" t="s">
        <v>1776</v>
      </c>
      <c r="B2307" s="1" t="s">
        <v>1634</v>
      </c>
      <c r="C2307" s="1" t="s">
        <v>1627</v>
      </c>
      <c r="D2307" s="1" t="n">
        <v>243.1</v>
      </c>
      <c r="E2307" s="1" t="n">
        <v>14.84</v>
      </c>
      <c r="F2307" s="1" t="n">
        <f aca="false">23/8</f>
        <v>2.875</v>
      </c>
    </row>
    <row collapsed="false" customFormat="false" customHeight="false" hidden="false" ht="14.75" outlineLevel="0" r="2308">
      <c r="A2308" s="1" t="s">
        <v>974</v>
      </c>
      <c r="B2308" s="1" t="s">
        <v>1658</v>
      </c>
      <c r="C2308" s="1" t="s">
        <v>1627</v>
      </c>
      <c r="D2308" s="1" t="n">
        <v>388.5</v>
      </c>
      <c r="E2308" s="1" t="n">
        <v>22.39</v>
      </c>
      <c r="F2308" s="1" t="n">
        <v>6.3</v>
      </c>
    </row>
    <row collapsed="false" customFormat="false" customHeight="false" hidden="false" ht="14.75" outlineLevel="0" r="2309">
      <c r="A2309" s="1" t="s">
        <v>975</v>
      </c>
      <c r="B2309" s="1" t="s">
        <v>1658</v>
      </c>
      <c r="C2309" s="1" t="s">
        <v>1627</v>
      </c>
      <c r="D2309" s="1" t="n">
        <v>334.4</v>
      </c>
      <c r="E2309" s="1" t="n">
        <v>21.8</v>
      </c>
      <c r="F2309" s="1" t="n">
        <f aca="false">34/8</f>
        <v>4.25</v>
      </c>
    </row>
    <row collapsed="false" customFormat="false" customHeight="false" hidden="false" ht="14.75" outlineLevel="0" r="2310">
      <c r="A2310" s="1" t="s">
        <v>976</v>
      </c>
      <c r="B2310" s="1" t="s">
        <v>1658</v>
      </c>
      <c r="C2310" s="1" t="s">
        <v>1627</v>
      </c>
      <c r="D2310" s="1" t="n">
        <v>366.5</v>
      </c>
      <c r="E2310" s="1" t="n">
        <v>21.14</v>
      </c>
      <c r="F2310" s="1" t="n">
        <f aca="false">35/8</f>
        <v>4.375</v>
      </c>
    </row>
    <row collapsed="false" customFormat="false" customHeight="false" hidden="false" ht="14.75" outlineLevel="0" r="2311">
      <c r="A2311" s="1" t="s">
        <v>1084</v>
      </c>
      <c r="B2311" s="1" t="s">
        <v>1658</v>
      </c>
      <c r="C2311" s="1" t="s">
        <v>1627</v>
      </c>
      <c r="D2311" s="1" t="n">
        <v>92.7</v>
      </c>
      <c r="E2311" s="1" t="n">
        <v>12.17</v>
      </c>
      <c r="F2311" s="1" t="n">
        <v>0.166666666666667</v>
      </c>
    </row>
    <row collapsed="false" customFormat="false" customHeight="false" hidden="false" ht="14.75" outlineLevel="0" r="2312">
      <c r="A2312" s="1" t="s">
        <v>1342</v>
      </c>
      <c r="B2312" s="1" t="s">
        <v>1631</v>
      </c>
      <c r="C2312" s="1" t="s">
        <v>1627</v>
      </c>
      <c r="D2312" s="1" t="n">
        <v>216.2</v>
      </c>
      <c r="E2312" s="1" t="n">
        <v>14.14</v>
      </c>
      <c r="F2312" s="1" t="n">
        <f aca="false">10/8</f>
        <v>1.25</v>
      </c>
    </row>
    <row collapsed="false" customFormat="false" customHeight="false" hidden="false" ht="14.75" outlineLevel="0" r="2313">
      <c r="A2313" s="1" t="s">
        <v>1343</v>
      </c>
      <c r="B2313" s="1" t="s">
        <v>1626</v>
      </c>
      <c r="C2313" s="1" t="s">
        <v>1627</v>
      </c>
      <c r="D2313" s="1" t="n">
        <v>422</v>
      </c>
      <c r="E2313" s="1" t="n">
        <v>22.28</v>
      </c>
      <c r="F2313" s="1" t="n">
        <v>3.9</v>
      </c>
    </row>
    <row collapsed="false" customFormat="false" customHeight="false" hidden="false" ht="14.75" outlineLevel="0" r="2314">
      <c r="A2314" s="1" t="s">
        <v>1344</v>
      </c>
      <c r="B2314" s="1" t="s">
        <v>1626</v>
      </c>
      <c r="C2314" s="1" t="s">
        <v>1627</v>
      </c>
      <c r="D2314" s="1" t="n">
        <v>318.5</v>
      </c>
      <c r="E2314" s="1" t="n">
        <v>20.39</v>
      </c>
      <c r="F2314" s="1" t="n">
        <v>2.3</v>
      </c>
    </row>
    <row collapsed="false" customFormat="false" customHeight="false" hidden="false" ht="14.75" outlineLevel="0" r="2315">
      <c r="A2315" s="1" t="s">
        <v>1777</v>
      </c>
      <c r="B2315" s="1" t="s">
        <v>1633</v>
      </c>
      <c r="C2315" s="1" t="s">
        <v>1627</v>
      </c>
      <c r="D2315" s="1" t="n">
        <v>204</v>
      </c>
      <c r="E2315" s="1" t="n">
        <v>19</v>
      </c>
      <c r="F2315" s="1" t="n">
        <f aca="false">7/5</f>
        <v>1.4</v>
      </c>
    </row>
    <row collapsed="false" customFormat="false" customHeight="false" hidden="false" ht="14.75" outlineLevel="0" r="2316">
      <c r="A2316" s="1" t="s">
        <v>1778</v>
      </c>
      <c r="B2316" s="1" t="s">
        <v>1633</v>
      </c>
      <c r="C2316" s="1" t="s">
        <v>1627</v>
      </c>
      <c r="D2316" s="1" t="n">
        <v>160</v>
      </c>
      <c r="E2316" s="1" t="n">
        <v>15.47</v>
      </c>
      <c r="F2316" s="1" t="n">
        <v>0.4</v>
      </c>
    </row>
    <row collapsed="false" customFormat="false" customHeight="false" hidden="false" ht="14.75" outlineLevel="0" r="2317">
      <c r="A2317" s="1" t="s">
        <v>1779</v>
      </c>
      <c r="B2317" s="1" t="s">
        <v>1633</v>
      </c>
      <c r="C2317" s="1" t="s">
        <v>1627</v>
      </c>
      <c r="D2317" s="1" t="n">
        <v>93.8</v>
      </c>
      <c r="E2317" s="1" t="n">
        <v>8.5</v>
      </c>
      <c r="F2317" s="1" t="n">
        <f aca="false">6/4</f>
        <v>1.5</v>
      </c>
    </row>
    <row collapsed="false" customFormat="false" customHeight="false" hidden="false" ht="14.75" outlineLevel="0" r="2318">
      <c r="A2318" s="1" t="s">
        <v>1780</v>
      </c>
      <c r="B2318" s="1" t="s">
        <v>1662</v>
      </c>
      <c r="C2318" s="1" t="s">
        <v>1627</v>
      </c>
      <c r="D2318" s="1" t="n">
        <v>155</v>
      </c>
      <c r="E2318" s="1" t="n">
        <v>13.94</v>
      </c>
      <c r="F2318" s="1" t="n">
        <f aca="false">8/11</f>
        <v>0.727272727272727</v>
      </c>
    </row>
    <row collapsed="false" customFormat="false" customHeight="false" hidden="false" ht="14.75" outlineLevel="0" r="2319">
      <c r="A2319" s="1" t="s">
        <v>1781</v>
      </c>
      <c r="B2319" s="1" t="s">
        <v>1662</v>
      </c>
      <c r="C2319" s="1" t="s">
        <v>1627</v>
      </c>
      <c r="D2319" s="1" t="n">
        <v>80.5</v>
      </c>
      <c r="E2319" s="1" t="n">
        <v>10.23</v>
      </c>
      <c r="F2319" s="1" t="n">
        <f aca="false">2/11</f>
        <v>0.181818181818182</v>
      </c>
    </row>
    <row collapsed="false" customFormat="false" customHeight="false" hidden="false" ht="14.75" outlineLevel="0" r="2320">
      <c r="A2320" s="1" t="s">
        <v>1346</v>
      </c>
      <c r="B2320" s="1" t="s">
        <v>1633</v>
      </c>
      <c r="C2320" s="1" t="s">
        <v>1627</v>
      </c>
      <c r="D2320" s="1" t="n">
        <v>453.5</v>
      </c>
      <c r="E2320" s="1" t="n">
        <v>23.18</v>
      </c>
      <c r="F2320" s="1" t="n">
        <v>6.6</v>
      </c>
    </row>
    <row collapsed="false" customFormat="false" customHeight="false" hidden="false" ht="14.75" outlineLevel="0" r="2321">
      <c r="A2321" s="1" t="s">
        <v>1347</v>
      </c>
      <c r="B2321" s="1" t="s">
        <v>1633</v>
      </c>
      <c r="C2321" s="1" t="s">
        <v>1627</v>
      </c>
      <c r="D2321" s="1" t="n">
        <v>203</v>
      </c>
      <c r="E2321" s="1" t="n">
        <v>15.9</v>
      </c>
      <c r="F2321" s="1" t="n">
        <f aca="false">6/5</f>
        <v>1.2</v>
      </c>
    </row>
    <row collapsed="false" customFormat="false" customHeight="false" hidden="false" ht="14.75" outlineLevel="0" r="2322">
      <c r="A2322" s="1" t="s">
        <v>1348</v>
      </c>
      <c r="B2322" s="1" t="s">
        <v>1633</v>
      </c>
      <c r="C2322" s="1" t="s">
        <v>1627</v>
      </c>
      <c r="D2322" s="1" t="n">
        <v>328</v>
      </c>
      <c r="E2322" s="1" t="n">
        <v>18.21</v>
      </c>
      <c r="F2322" s="1" t="n">
        <f aca="false">19/5</f>
        <v>3.8</v>
      </c>
    </row>
    <row collapsed="false" customFormat="false" customHeight="false" hidden="false" ht="14.75" outlineLevel="0" r="2323">
      <c r="A2323" s="1" t="s">
        <v>1349</v>
      </c>
      <c r="B2323" s="1" t="s">
        <v>1633</v>
      </c>
      <c r="C2323" s="1" t="s">
        <v>1627</v>
      </c>
      <c r="D2323" s="1" t="n">
        <v>83</v>
      </c>
      <c r="E2323" s="1" t="n">
        <v>11.32</v>
      </c>
      <c r="F2323" s="1" t="n">
        <v>1.2</v>
      </c>
    </row>
    <row collapsed="false" customFormat="false" customHeight="false" hidden="false" ht="14.75" outlineLevel="0" r="2324">
      <c r="A2324" s="1" t="s">
        <v>1782</v>
      </c>
      <c r="B2324" s="1" t="s">
        <v>1644</v>
      </c>
      <c r="C2324" s="1" t="s">
        <v>1627</v>
      </c>
      <c r="D2324" s="1" t="n">
        <v>222.5</v>
      </c>
      <c r="E2324" s="1" t="n">
        <v>16.53</v>
      </c>
      <c r="F2324" s="1" t="n">
        <f aca="false">10/8</f>
        <v>1.25</v>
      </c>
    </row>
    <row collapsed="false" customFormat="false" customHeight="false" hidden="false" ht="14.75" outlineLevel="0" r="2325">
      <c r="A2325" s="1" t="s">
        <v>1352</v>
      </c>
      <c r="B2325" s="1" t="s">
        <v>1626</v>
      </c>
      <c r="C2325" s="1" t="s">
        <v>1627</v>
      </c>
      <c r="D2325" s="1" t="n">
        <v>195.6</v>
      </c>
      <c r="E2325" s="1" t="n">
        <v>14.65</v>
      </c>
      <c r="F2325" s="1" t="n">
        <v>1.7</v>
      </c>
    </row>
    <row collapsed="false" customFormat="false" customHeight="false" hidden="false" ht="14.75" outlineLevel="0" r="2326">
      <c r="A2326" s="1" t="s">
        <v>1353</v>
      </c>
      <c r="B2326" s="1" t="s">
        <v>1626</v>
      </c>
      <c r="C2326" s="1" t="s">
        <v>1627</v>
      </c>
      <c r="D2326" s="1" t="n">
        <v>56.7</v>
      </c>
      <c r="E2326" s="1" t="n">
        <v>5.62</v>
      </c>
      <c r="F2326" s="1" t="n">
        <v>0.3</v>
      </c>
    </row>
    <row collapsed="false" customFormat="false" customHeight="false" hidden="false" ht="14.75" outlineLevel="0" r="2327">
      <c r="A2327" s="1" t="s">
        <v>1783</v>
      </c>
      <c r="B2327" s="1" t="s">
        <v>1633</v>
      </c>
      <c r="C2327" s="1" t="s">
        <v>1627</v>
      </c>
      <c r="D2327" s="1" t="n">
        <v>200</v>
      </c>
      <c r="E2327" s="1" t="n">
        <v>15.38</v>
      </c>
      <c r="F2327" s="1" t="n">
        <v>1</v>
      </c>
    </row>
    <row collapsed="false" customFormat="false" customHeight="false" hidden="false" ht="14.75" outlineLevel="0" r="2328">
      <c r="A2328" s="1" t="s">
        <v>1784</v>
      </c>
      <c r="B2328" s="1" t="s">
        <v>1633</v>
      </c>
      <c r="C2328" s="1" t="s">
        <v>1627</v>
      </c>
      <c r="D2328" s="1" t="n">
        <v>141.2</v>
      </c>
      <c r="E2328" s="1" t="n">
        <v>10.34</v>
      </c>
      <c r="F2328" s="1" t="n">
        <v>1</v>
      </c>
    </row>
    <row collapsed="false" customFormat="false" customHeight="false" hidden="false" ht="14.75" outlineLevel="0" r="2329">
      <c r="A2329" s="1" t="s">
        <v>1785</v>
      </c>
      <c r="B2329" s="1" t="s">
        <v>1786</v>
      </c>
      <c r="C2329" s="1" t="s">
        <v>1787</v>
      </c>
      <c r="D2329" s="1" t="n">
        <v>36.9</v>
      </c>
      <c r="E2329" s="1" t="n">
        <v>5</v>
      </c>
      <c r="F2329" s="1" t="n">
        <f aca="false">1/8</f>
        <v>0.125</v>
      </c>
    </row>
    <row collapsed="false" customFormat="false" customHeight="false" hidden="false" ht="14.75" outlineLevel="0" r="2330">
      <c r="A2330" s="1" t="s">
        <v>1788</v>
      </c>
      <c r="B2330" s="1" t="s">
        <v>1786</v>
      </c>
      <c r="C2330" s="1" t="s">
        <v>1787</v>
      </c>
      <c r="D2330" s="1" t="n">
        <v>96.9</v>
      </c>
      <c r="E2330" s="1" t="n">
        <v>8.45</v>
      </c>
      <c r="F2330" s="1" t="n">
        <f aca="false">7/8</f>
        <v>0.875</v>
      </c>
    </row>
    <row collapsed="false" customFormat="false" customHeight="false" hidden="false" ht="14.75" outlineLevel="0" r="2331">
      <c r="A2331" s="1" t="s">
        <v>1789</v>
      </c>
      <c r="B2331" s="1" t="s">
        <v>1790</v>
      </c>
      <c r="C2331" s="4" t="s">
        <v>1787</v>
      </c>
      <c r="D2331" s="1" t="n">
        <v>307.2</v>
      </c>
      <c r="E2331" s="1" t="n">
        <v>15.41</v>
      </c>
      <c r="F2331" s="1" t="n">
        <v>3.1</v>
      </c>
    </row>
    <row collapsed="false" customFormat="false" customHeight="false" hidden="false" ht="14.75" outlineLevel="0" r="2332">
      <c r="A2332" s="1" t="s">
        <v>1791</v>
      </c>
      <c r="B2332" s="1" t="s">
        <v>1792</v>
      </c>
      <c r="C2332" s="1" t="s">
        <v>1787</v>
      </c>
      <c r="D2332" s="1" t="n">
        <v>74.4</v>
      </c>
      <c r="E2332" s="1" t="n">
        <v>7.25</v>
      </c>
      <c r="F2332" s="1" t="n">
        <f aca="false">2/9</f>
        <v>0.222222222222222</v>
      </c>
    </row>
    <row collapsed="false" customFormat="false" customHeight="false" hidden="false" ht="14.75" outlineLevel="0" r="2333">
      <c r="A2333" s="1" t="s">
        <v>1793</v>
      </c>
      <c r="B2333" s="1" t="s">
        <v>1790</v>
      </c>
      <c r="C2333" s="4" t="s">
        <v>1787</v>
      </c>
      <c r="D2333" s="1" t="n">
        <v>82.1</v>
      </c>
      <c r="E2333" s="1" t="n">
        <v>8.44</v>
      </c>
      <c r="F2333" s="1" t="n">
        <f aca="false">1/4</f>
        <v>0.25</v>
      </c>
    </row>
    <row collapsed="false" customFormat="false" customHeight="false" hidden="false" ht="14.75" outlineLevel="0" r="2334">
      <c r="A2334" s="1" t="s">
        <v>1794</v>
      </c>
      <c r="B2334" s="1" t="s">
        <v>1792</v>
      </c>
      <c r="C2334" s="1" t="s">
        <v>1787</v>
      </c>
      <c r="D2334" s="1" t="n">
        <v>50</v>
      </c>
      <c r="E2334" s="1" t="n">
        <v>5.67</v>
      </c>
      <c r="F2334" s="1" t="n">
        <f aca="false">1/9</f>
        <v>0.111111111111111</v>
      </c>
    </row>
    <row collapsed="false" customFormat="false" customHeight="false" hidden="false" ht="14.75" outlineLevel="0" r="2335">
      <c r="A2335" s="1" t="s">
        <v>1795</v>
      </c>
      <c r="B2335" s="1" t="s">
        <v>1792</v>
      </c>
      <c r="C2335" s="1" t="s">
        <v>1787</v>
      </c>
      <c r="D2335" s="1" t="n">
        <v>48.9</v>
      </c>
      <c r="E2335" s="1" t="n">
        <v>3.64</v>
      </c>
      <c r="F2335" s="1" t="n">
        <v>0</v>
      </c>
    </row>
    <row collapsed="false" customFormat="false" customHeight="false" hidden="false" ht="14.75" outlineLevel="0" r="2336">
      <c r="A2336" s="1" t="s">
        <v>678</v>
      </c>
      <c r="B2336" s="1" t="s">
        <v>1796</v>
      </c>
      <c r="C2336" s="1" t="s">
        <v>1787</v>
      </c>
      <c r="D2336" s="1" t="n">
        <v>289.4</v>
      </c>
      <c r="E2336" s="1" t="n">
        <v>15</v>
      </c>
      <c r="F2336" s="1" t="n">
        <f aca="false">17/8</f>
        <v>2.125</v>
      </c>
    </row>
    <row collapsed="false" customFormat="false" customHeight="false" hidden="false" ht="14.75" outlineLevel="0" r="2337">
      <c r="A2337" s="1" t="s">
        <v>681</v>
      </c>
      <c r="B2337" s="1" t="s">
        <v>1796</v>
      </c>
      <c r="C2337" s="1" t="s">
        <v>1787</v>
      </c>
      <c r="D2337" s="1" t="n">
        <v>141.2</v>
      </c>
      <c r="E2337" s="1" t="n">
        <v>8.72</v>
      </c>
      <c r="F2337" s="1" t="n">
        <f aca="false">4/8</f>
        <v>0.5</v>
      </c>
    </row>
    <row collapsed="false" customFormat="false" customHeight="false" hidden="false" ht="14.75" outlineLevel="0" r="2338">
      <c r="A2338" s="1" t="s">
        <v>439</v>
      </c>
      <c r="B2338" s="1" t="s">
        <v>1797</v>
      </c>
      <c r="C2338" s="1" t="s">
        <v>1787</v>
      </c>
      <c r="D2338" s="1" t="n">
        <v>195</v>
      </c>
      <c r="E2338" s="1" t="n">
        <v>12.65</v>
      </c>
      <c r="F2338" s="1" t="n">
        <v>1</v>
      </c>
    </row>
    <row collapsed="false" customFormat="false" customHeight="false" hidden="false" ht="14.75" outlineLevel="0" r="2339">
      <c r="A2339" s="1" t="s">
        <v>441</v>
      </c>
      <c r="B2339" s="1" t="s">
        <v>1797</v>
      </c>
      <c r="C2339" s="1" t="s">
        <v>1787</v>
      </c>
      <c r="D2339" s="1" t="n">
        <v>120</v>
      </c>
      <c r="E2339" s="1" t="n">
        <v>11.82</v>
      </c>
      <c r="F2339" s="1" t="n">
        <v>0.1</v>
      </c>
    </row>
    <row collapsed="false" customFormat="false" customHeight="false" hidden="false" ht="14.75" outlineLevel="0" r="2340">
      <c r="A2340" s="1" t="s">
        <v>442</v>
      </c>
      <c r="B2340" s="1" t="s">
        <v>1797</v>
      </c>
      <c r="C2340" s="1" t="s">
        <v>1787</v>
      </c>
      <c r="D2340" s="1" t="n">
        <v>118.5</v>
      </c>
      <c r="E2340" s="1" t="n">
        <v>9.33</v>
      </c>
      <c r="F2340" s="1" t="n">
        <v>0.6</v>
      </c>
    </row>
    <row collapsed="false" customFormat="false" customHeight="false" hidden="false" ht="14.75" outlineLevel="0" r="2341">
      <c r="A2341" s="1" t="s">
        <v>443</v>
      </c>
      <c r="B2341" s="1" t="s">
        <v>1797</v>
      </c>
      <c r="C2341" s="1" t="s">
        <v>1787</v>
      </c>
      <c r="D2341" s="1" t="n">
        <v>84.5</v>
      </c>
      <c r="E2341" s="1" t="n">
        <v>7.3</v>
      </c>
      <c r="F2341" s="1" t="n">
        <v>0.4</v>
      </c>
    </row>
    <row collapsed="false" customFormat="false" customHeight="false" hidden="false" ht="14.75" outlineLevel="0" r="2342">
      <c r="A2342" s="1" t="s">
        <v>1798</v>
      </c>
      <c r="B2342" s="1" t="s">
        <v>1790</v>
      </c>
      <c r="C2342" s="4" t="s">
        <v>1787</v>
      </c>
      <c r="D2342" s="1" t="n">
        <v>112.5</v>
      </c>
      <c r="E2342" s="1" t="n">
        <v>11.11</v>
      </c>
      <c r="F2342" s="1" t="n">
        <f aca="false">3/5</f>
        <v>0.6</v>
      </c>
    </row>
    <row collapsed="false" customFormat="false" customHeight="false" hidden="false" ht="14.75" outlineLevel="0" r="2343">
      <c r="A2343" s="1" t="s">
        <v>1799</v>
      </c>
      <c r="B2343" s="1" t="s">
        <v>1790</v>
      </c>
      <c r="C2343" s="4" t="s">
        <v>1787</v>
      </c>
      <c r="D2343" s="1" t="n">
        <v>161.8</v>
      </c>
      <c r="E2343" s="1" t="n">
        <v>11.18</v>
      </c>
      <c r="F2343" s="1" t="n">
        <f aca="false">4/8</f>
        <v>0.5</v>
      </c>
    </row>
    <row collapsed="false" customFormat="false" customHeight="false" hidden="false" ht="14.75" outlineLevel="0" r="2344">
      <c r="A2344" s="1" t="s">
        <v>721</v>
      </c>
      <c r="B2344" s="1" t="s">
        <v>1792</v>
      </c>
      <c r="C2344" s="1" t="s">
        <v>1787</v>
      </c>
      <c r="D2344" s="1" t="n">
        <v>191.1</v>
      </c>
      <c r="E2344" s="1" t="n">
        <v>15.29</v>
      </c>
      <c r="F2344" s="1" t="n">
        <f aca="false">14/9</f>
        <v>1.55555555555556</v>
      </c>
    </row>
    <row collapsed="false" customFormat="false" customHeight="false" hidden="false" ht="14.75" outlineLevel="0" r="2345">
      <c r="A2345" s="1" t="s">
        <v>1800</v>
      </c>
      <c r="B2345" s="1" t="s">
        <v>1786</v>
      </c>
      <c r="C2345" s="1" t="s">
        <v>1787</v>
      </c>
      <c r="D2345" s="1" t="n">
        <v>80.6</v>
      </c>
      <c r="E2345" s="1" t="n">
        <v>11.61</v>
      </c>
      <c r="F2345" s="1" t="n">
        <f aca="false">2/8</f>
        <v>0.25</v>
      </c>
    </row>
    <row collapsed="false" customFormat="false" customHeight="false" hidden="false" ht="14.75" outlineLevel="0" r="2346">
      <c r="A2346" s="1" t="s">
        <v>1801</v>
      </c>
      <c r="B2346" s="1" t="s">
        <v>1786</v>
      </c>
      <c r="C2346" s="1" t="s">
        <v>1787</v>
      </c>
      <c r="D2346" s="1" t="n">
        <v>121.9</v>
      </c>
      <c r="E2346" s="1" t="n">
        <v>10.1</v>
      </c>
      <c r="F2346" s="1" t="n">
        <f aca="false">2/8</f>
        <v>0.25</v>
      </c>
    </row>
    <row collapsed="false" customFormat="false" customHeight="false" hidden="false" ht="14.75" outlineLevel="0" r="2347">
      <c r="A2347" s="1" t="s">
        <v>1802</v>
      </c>
      <c r="B2347" s="1" t="s">
        <v>1797</v>
      </c>
      <c r="C2347" s="1" t="s">
        <v>1787</v>
      </c>
      <c r="D2347" s="1" t="n">
        <v>116</v>
      </c>
      <c r="E2347" s="1" t="n">
        <v>10.17</v>
      </c>
      <c r="F2347" s="1" t="n">
        <v>0.4</v>
      </c>
    </row>
    <row collapsed="false" customFormat="false" customHeight="false" hidden="false" ht="14.75" outlineLevel="0" r="2348">
      <c r="A2348" s="1" t="s">
        <v>1803</v>
      </c>
      <c r="B2348" s="1" t="s">
        <v>1786</v>
      </c>
      <c r="C2348" s="1" t="s">
        <v>1787</v>
      </c>
      <c r="D2348" s="1" t="n">
        <v>211.1</v>
      </c>
      <c r="E2348" s="1" t="n">
        <v>18.18</v>
      </c>
      <c r="F2348" s="1" t="n">
        <f aca="false">15/9</f>
        <v>1.66666666666667</v>
      </c>
    </row>
    <row collapsed="false" customFormat="false" customHeight="false" hidden="false" ht="14.75" outlineLevel="0" r="2349">
      <c r="A2349" s="1" t="s">
        <v>1804</v>
      </c>
      <c r="B2349" s="1" t="s">
        <v>1797</v>
      </c>
      <c r="C2349" s="1" t="s">
        <v>1787</v>
      </c>
      <c r="D2349" s="1" t="n">
        <v>181.4</v>
      </c>
      <c r="E2349" s="1" t="n">
        <v>10.49</v>
      </c>
      <c r="F2349" s="1" t="n">
        <v>0.6</v>
      </c>
    </row>
    <row collapsed="false" customFormat="false" customHeight="false" hidden="false" ht="14.75" outlineLevel="0" r="2350">
      <c r="A2350" s="1" t="s">
        <v>1805</v>
      </c>
      <c r="B2350" s="1" t="s">
        <v>1786</v>
      </c>
      <c r="C2350" s="1" t="s">
        <v>1787</v>
      </c>
      <c r="D2350" s="1" t="n">
        <v>182.5</v>
      </c>
      <c r="E2350" s="1" t="n">
        <v>13.69</v>
      </c>
      <c r="F2350" s="1" t="n">
        <v>2</v>
      </c>
    </row>
    <row collapsed="false" customFormat="false" customHeight="false" hidden="false" ht="14.75" outlineLevel="0" r="2351">
      <c r="A2351" s="1" t="s">
        <v>103</v>
      </c>
      <c r="B2351" s="1" t="s">
        <v>1796</v>
      </c>
      <c r="C2351" s="1" t="s">
        <v>1787</v>
      </c>
      <c r="D2351" s="1" t="n">
        <v>461.1</v>
      </c>
      <c r="E2351" s="1" t="n">
        <v>21.42</v>
      </c>
      <c r="F2351" s="1" t="n">
        <f aca="false">50/9</f>
        <v>5.55555555555556</v>
      </c>
    </row>
    <row collapsed="false" customFormat="false" customHeight="false" hidden="false" ht="14.75" outlineLevel="0" r="2352">
      <c r="A2352" s="1" t="s">
        <v>104</v>
      </c>
      <c r="B2352" s="1" t="s">
        <v>1796</v>
      </c>
      <c r="C2352" s="1" t="s">
        <v>1787</v>
      </c>
      <c r="D2352" s="1" t="n">
        <v>246.9</v>
      </c>
      <c r="E2352" s="1" t="n">
        <v>15</v>
      </c>
      <c r="F2352" s="1" t="n">
        <f aca="false">3/8</f>
        <v>0.375</v>
      </c>
    </row>
    <row collapsed="false" customFormat="false" customHeight="false" hidden="false" ht="14.75" outlineLevel="0" r="2353">
      <c r="A2353" s="1" t="s">
        <v>822</v>
      </c>
      <c r="B2353" s="1" t="s">
        <v>1796</v>
      </c>
      <c r="C2353" s="1" t="s">
        <v>1787</v>
      </c>
      <c r="D2353" s="1" t="n">
        <v>140</v>
      </c>
      <c r="E2353" s="1" t="n">
        <v>8.89</v>
      </c>
      <c r="F2353" s="1" t="n">
        <f aca="false">14/8</f>
        <v>1.75</v>
      </c>
    </row>
    <row collapsed="false" customFormat="false" customHeight="false" hidden="false" ht="14.75" outlineLevel="0" r="2354">
      <c r="A2354" s="1" t="s">
        <v>1806</v>
      </c>
      <c r="B2354" s="1" t="s">
        <v>1796</v>
      </c>
      <c r="C2354" s="1" t="s">
        <v>1787</v>
      </c>
      <c r="D2354" s="1" t="n">
        <v>226.9</v>
      </c>
      <c r="E2354" s="1" t="n">
        <v>12.58</v>
      </c>
      <c r="F2354" s="1" t="n">
        <f aca="false">20/8</f>
        <v>2.5</v>
      </c>
    </row>
    <row collapsed="false" customFormat="false" customHeight="false" hidden="false" ht="14.75" outlineLevel="0" r="2355">
      <c r="A2355" s="1" t="s">
        <v>727</v>
      </c>
      <c r="B2355" s="1" t="s">
        <v>1792</v>
      </c>
      <c r="C2355" s="1" t="s">
        <v>1787</v>
      </c>
      <c r="D2355" s="1" t="n">
        <v>247.2</v>
      </c>
      <c r="E2355" s="1" t="n">
        <v>15.11</v>
      </c>
      <c r="F2355" s="1" t="n">
        <f aca="false">19/9</f>
        <v>2.11111111111111</v>
      </c>
    </row>
    <row collapsed="false" customFormat="false" customHeight="false" hidden="false" ht="14.75" outlineLevel="0" r="2356">
      <c r="A2356" s="1" t="s">
        <v>728</v>
      </c>
      <c r="B2356" s="1" t="s">
        <v>1792</v>
      </c>
      <c r="C2356" s="1" t="s">
        <v>1787</v>
      </c>
      <c r="D2356" s="1" t="n">
        <v>101.1</v>
      </c>
      <c r="E2356" s="1" t="n">
        <v>8.37</v>
      </c>
      <c r="F2356" s="1" t="n">
        <f aca="false">3/9</f>
        <v>0.333333333333333</v>
      </c>
    </row>
    <row collapsed="false" customFormat="false" customHeight="false" hidden="false" ht="14.75" outlineLevel="0" r="2357">
      <c r="A2357" s="1" t="s">
        <v>1807</v>
      </c>
      <c r="B2357" s="1" t="s">
        <v>1792</v>
      </c>
      <c r="C2357" s="1" t="s">
        <v>1787</v>
      </c>
      <c r="D2357" s="1" t="n">
        <v>75.6</v>
      </c>
      <c r="E2357" s="1" t="n">
        <v>10.42</v>
      </c>
      <c r="F2357" s="1" t="n">
        <f aca="false">6/9</f>
        <v>0.666666666666667</v>
      </c>
    </row>
    <row collapsed="false" customFormat="false" customHeight="false" hidden="false" ht="14.75" outlineLevel="0" r="2358">
      <c r="A2358" s="1" t="s">
        <v>1011</v>
      </c>
      <c r="B2358" s="1" t="s">
        <v>1808</v>
      </c>
      <c r="C2358" s="1" t="s">
        <v>1787</v>
      </c>
      <c r="D2358" s="1" t="n">
        <v>215.5</v>
      </c>
      <c r="E2358" s="1" t="n">
        <v>14.06</v>
      </c>
      <c r="F2358" s="1" t="n">
        <v>2</v>
      </c>
    </row>
    <row collapsed="false" customFormat="false" customHeight="false" hidden="false" ht="14.75" outlineLevel="0" r="2359">
      <c r="A2359" s="1" t="s">
        <v>1012</v>
      </c>
      <c r="B2359" s="1" t="s">
        <v>1808</v>
      </c>
      <c r="C2359" s="1" t="s">
        <v>1787</v>
      </c>
      <c r="D2359" s="1" t="n">
        <v>128</v>
      </c>
      <c r="E2359" s="1" t="n">
        <v>11.83</v>
      </c>
      <c r="F2359" s="1" t="n">
        <v>0.6</v>
      </c>
    </row>
    <row collapsed="false" customFormat="false" customHeight="false" hidden="false" ht="14.75" outlineLevel="0" r="2360">
      <c r="A2360" s="1" t="s">
        <v>1515</v>
      </c>
      <c r="B2360" s="1" t="s">
        <v>1809</v>
      </c>
      <c r="C2360" s="1" t="s">
        <v>1787</v>
      </c>
      <c r="D2360" s="1" t="n">
        <v>93.3</v>
      </c>
      <c r="E2360" s="1" t="n">
        <v>6.67</v>
      </c>
      <c r="F2360" s="1" t="n">
        <f aca="false">5/9</f>
        <v>0.555555555555556</v>
      </c>
    </row>
    <row collapsed="false" customFormat="false" customHeight="false" hidden="false" ht="14.75" outlineLevel="0" r="2361">
      <c r="A2361" s="1" t="s">
        <v>1810</v>
      </c>
      <c r="B2361" s="1" t="s">
        <v>1790</v>
      </c>
      <c r="C2361" s="4" t="s">
        <v>1787</v>
      </c>
      <c r="D2361" s="1" t="n">
        <v>144</v>
      </c>
      <c r="E2361" s="1" t="n">
        <v>10.33</v>
      </c>
      <c r="F2361" s="1" t="n">
        <f aca="false">1/6</f>
        <v>0.166666666666667</v>
      </c>
    </row>
    <row collapsed="false" customFormat="false" customHeight="false" hidden="false" ht="14.75" outlineLevel="0" r="2362">
      <c r="A2362" s="1" t="s">
        <v>1811</v>
      </c>
      <c r="B2362" s="1" t="s">
        <v>1790</v>
      </c>
      <c r="C2362" s="4" t="s">
        <v>1787</v>
      </c>
      <c r="D2362" s="1" t="n">
        <v>99.1</v>
      </c>
      <c r="E2362" s="1" t="n">
        <v>10.37</v>
      </c>
      <c r="F2362" s="1" t="n">
        <f aca="false">1/7</f>
        <v>0.142857142857143</v>
      </c>
    </row>
    <row collapsed="false" customFormat="false" customHeight="false" hidden="false" ht="14.75" outlineLevel="0" r="2363">
      <c r="A2363" s="1" t="s">
        <v>1812</v>
      </c>
      <c r="B2363" s="1" t="s">
        <v>1786</v>
      </c>
      <c r="C2363" s="1" t="s">
        <v>1787</v>
      </c>
      <c r="D2363" s="1" t="n">
        <v>165.6</v>
      </c>
      <c r="E2363" s="1" t="n">
        <v>13.48</v>
      </c>
      <c r="F2363" s="1" t="n">
        <f aca="false">6/8</f>
        <v>0.75</v>
      </c>
    </row>
    <row collapsed="false" customFormat="false" customHeight="false" hidden="false" ht="14.75" outlineLevel="0" r="2364">
      <c r="A2364" s="1" t="s">
        <v>253</v>
      </c>
      <c r="B2364" s="1" t="s">
        <v>1808</v>
      </c>
      <c r="C2364" s="1" t="s">
        <v>1787</v>
      </c>
      <c r="D2364" s="1" t="n">
        <v>290.5</v>
      </c>
      <c r="E2364" s="1" t="n">
        <v>19.39</v>
      </c>
      <c r="F2364" s="1" t="n">
        <v>2.4</v>
      </c>
    </row>
    <row collapsed="false" customFormat="false" customHeight="false" hidden="false" ht="14.75" outlineLevel="0" r="2365">
      <c r="A2365" s="1" t="s">
        <v>254</v>
      </c>
      <c r="B2365" s="1" t="s">
        <v>1808</v>
      </c>
      <c r="C2365" s="1" t="s">
        <v>1787</v>
      </c>
      <c r="D2365" s="1" t="n">
        <v>198.5</v>
      </c>
      <c r="E2365" s="1" t="n">
        <v>12.91</v>
      </c>
      <c r="F2365" s="1" t="n">
        <v>1.8</v>
      </c>
    </row>
    <row collapsed="false" customFormat="false" customHeight="false" hidden="false" ht="14.75" outlineLevel="0" r="2366">
      <c r="A2366" s="1" t="s">
        <v>1520</v>
      </c>
      <c r="B2366" s="1" t="s">
        <v>1809</v>
      </c>
      <c r="C2366" s="1" t="s">
        <v>1787</v>
      </c>
      <c r="D2366" s="1" t="n">
        <v>145</v>
      </c>
      <c r="E2366" s="1" t="n">
        <v>9.85</v>
      </c>
      <c r="F2366" s="1" t="n">
        <f aca="false">4/9</f>
        <v>0.444444444444444</v>
      </c>
    </row>
    <row collapsed="false" customFormat="false" customHeight="false" hidden="false" ht="14.75" outlineLevel="0" r="2367">
      <c r="A2367" s="1" t="s">
        <v>1813</v>
      </c>
      <c r="B2367" s="1" t="s">
        <v>1797</v>
      </c>
      <c r="C2367" s="1" t="s">
        <v>1787</v>
      </c>
      <c r="D2367" s="1" t="n">
        <v>145.5</v>
      </c>
      <c r="E2367" s="1" t="n">
        <v>11.27</v>
      </c>
      <c r="F2367" s="1" t="n">
        <v>0.5</v>
      </c>
    </row>
    <row collapsed="false" customFormat="false" customHeight="false" hidden="false" ht="14.75" outlineLevel="0" r="2368">
      <c r="A2368" s="1" t="s">
        <v>1014</v>
      </c>
      <c r="B2368" s="1" t="s">
        <v>1797</v>
      </c>
      <c r="C2368" s="1" t="s">
        <v>1787</v>
      </c>
      <c r="D2368" s="1" t="n">
        <v>405.5</v>
      </c>
      <c r="E2368" s="1" t="n">
        <v>20.45</v>
      </c>
      <c r="F2368" s="1" t="n">
        <f aca="false">41/11</f>
        <v>3.72727272727273</v>
      </c>
    </row>
    <row collapsed="false" customFormat="false" customHeight="false" hidden="false" ht="14.75" outlineLevel="0" r="2369">
      <c r="A2369" s="1" t="s">
        <v>1015</v>
      </c>
      <c r="B2369" s="1" t="s">
        <v>1797</v>
      </c>
      <c r="C2369" s="1" t="s">
        <v>1787</v>
      </c>
      <c r="D2369" s="1" t="n">
        <v>254.5</v>
      </c>
      <c r="E2369" s="1" t="n">
        <v>14.77</v>
      </c>
      <c r="F2369" s="1" t="n">
        <f aca="false">25/11</f>
        <v>2.27272727272727</v>
      </c>
    </row>
    <row collapsed="false" customFormat="false" customHeight="false" hidden="false" ht="14.75" outlineLevel="0" r="2370">
      <c r="A2370" s="1" t="s">
        <v>1528</v>
      </c>
      <c r="B2370" s="1" t="s">
        <v>1797</v>
      </c>
      <c r="C2370" s="1" t="s">
        <v>1787</v>
      </c>
      <c r="D2370" s="1" t="n">
        <v>481.4</v>
      </c>
      <c r="E2370" s="1" t="n">
        <v>22.39</v>
      </c>
      <c r="F2370" s="1" t="n">
        <f aca="false">64/11</f>
        <v>5.81818181818182</v>
      </c>
    </row>
    <row collapsed="false" customFormat="false" customHeight="false" hidden="false" ht="14.75" outlineLevel="0" r="2371">
      <c r="A2371" s="1" t="s">
        <v>1814</v>
      </c>
      <c r="B2371" s="1" t="s">
        <v>1797</v>
      </c>
      <c r="C2371" s="1" t="s">
        <v>1787</v>
      </c>
      <c r="D2371" s="1" t="n">
        <v>197</v>
      </c>
      <c r="E2371" s="1" t="n">
        <v>12.81</v>
      </c>
      <c r="F2371" s="1" t="n">
        <v>0.5</v>
      </c>
    </row>
    <row collapsed="false" customFormat="false" customHeight="false" hidden="false" ht="14.75" outlineLevel="0" r="2372">
      <c r="A2372" s="1" t="s">
        <v>1815</v>
      </c>
      <c r="B2372" s="1" t="s">
        <v>1797</v>
      </c>
      <c r="C2372" s="1" t="s">
        <v>1787</v>
      </c>
      <c r="D2372" s="1" t="n">
        <v>139.5</v>
      </c>
      <c r="E2372" s="1" t="n">
        <v>11.52</v>
      </c>
      <c r="F2372" s="1" t="n">
        <v>0.5</v>
      </c>
    </row>
    <row collapsed="false" customFormat="false" customHeight="false" hidden="false" ht="14.75" outlineLevel="0" r="2373">
      <c r="A2373" s="1" t="s">
        <v>1816</v>
      </c>
      <c r="B2373" s="1" t="s">
        <v>1797</v>
      </c>
      <c r="C2373" s="1" t="s">
        <v>1787</v>
      </c>
      <c r="D2373" s="1" t="n">
        <v>65.5</v>
      </c>
      <c r="E2373" s="1" t="n">
        <v>7.5</v>
      </c>
      <c r="F2373" s="1" t="n">
        <v>0.6</v>
      </c>
    </row>
    <row collapsed="false" customFormat="false" customHeight="false" hidden="false" ht="14.75" outlineLevel="0" r="2374">
      <c r="A2374" s="1" t="s">
        <v>1016</v>
      </c>
      <c r="B2374" s="1" t="s">
        <v>1797</v>
      </c>
      <c r="C2374" s="1" t="s">
        <v>1787</v>
      </c>
      <c r="D2374" s="1" t="n">
        <v>131.9</v>
      </c>
      <c r="E2374" s="1" t="n">
        <v>8.64</v>
      </c>
      <c r="F2374" s="1" t="n">
        <v>1.1</v>
      </c>
    </row>
    <row collapsed="false" customFormat="false" customHeight="false" hidden="false" ht="14.75" outlineLevel="0" r="2375">
      <c r="A2375" s="1" t="s">
        <v>1017</v>
      </c>
      <c r="B2375" s="1" t="s">
        <v>1797</v>
      </c>
      <c r="C2375" s="1" t="s">
        <v>1787</v>
      </c>
      <c r="D2375" s="1" t="n">
        <v>84.5</v>
      </c>
      <c r="E2375" s="1" t="n">
        <v>10.71</v>
      </c>
      <c r="F2375" s="1" t="n">
        <v>0.3</v>
      </c>
    </row>
    <row collapsed="false" customFormat="false" customHeight="false" hidden="false" ht="14.75" outlineLevel="0" r="2376">
      <c r="A2376" s="1" t="s">
        <v>1817</v>
      </c>
      <c r="B2376" s="1" t="s">
        <v>1797</v>
      </c>
      <c r="C2376" s="1" t="s">
        <v>1787</v>
      </c>
      <c r="D2376" s="1" t="n">
        <v>143.1</v>
      </c>
      <c r="E2376" s="1" t="n">
        <v>9.66</v>
      </c>
      <c r="F2376" s="1" t="n">
        <v>1</v>
      </c>
    </row>
    <row collapsed="false" customFormat="false" customHeight="false" hidden="false" ht="14.75" outlineLevel="0" r="2377">
      <c r="A2377" s="1" t="s">
        <v>738</v>
      </c>
      <c r="B2377" s="1" t="s">
        <v>1792</v>
      </c>
      <c r="C2377" s="1" t="s">
        <v>1787</v>
      </c>
      <c r="D2377" s="1" t="n">
        <v>204.4</v>
      </c>
      <c r="E2377" s="1" t="n">
        <v>16.27</v>
      </c>
      <c r="F2377" s="1" t="n">
        <f aca="false">17/9</f>
        <v>1.88888888888889</v>
      </c>
    </row>
    <row collapsed="false" customFormat="false" customHeight="false" hidden="false" ht="14.75" outlineLevel="0" r="2378">
      <c r="A2378" s="1" t="s">
        <v>1818</v>
      </c>
      <c r="B2378" s="1" t="s">
        <v>1792</v>
      </c>
      <c r="C2378" s="1" t="s">
        <v>1787</v>
      </c>
      <c r="D2378" s="1" t="n">
        <v>176.1</v>
      </c>
      <c r="E2378" s="1" t="n">
        <v>13.75</v>
      </c>
      <c r="F2378" s="1" t="n">
        <f aca="false">12/9</f>
        <v>1.33333333333333</v>
      </c>
    </row>
    <row collapsed="false" customFormat="false" customHeight="false" hidden="false" ht="14.75" outlineLevel="0" r="2379">
      <c r="A2379" s="1" t="s">
        <v>1819</v>
      </c>
      <c r="B2379" s="1" t="s">
        <v>1792</v>
      </c>
      <c r="C2379" s="1" t="s">
        <v>1787</v>
      </c>
      <c r="D2379" s="1" t="n">
        <v>62.8</v>
      </c>
      <c r="E2379" s="1" t="n">
        <v>6.84</v>
      </c>
      <c r="F2379" s="1" t="n">
        <f aca="false">3/9</f>
        <v>0.333333333333333</v>
      </c>
    </row>
    <row collapsed="false" customFormat="false" customHeight="false" hidden="false" ht="14.75" outlineLevel="0" r="2380">
      <c r="A2380" s="1" t="s">
        <v>742</v>
      </c>
      <c r="B2380" s="1" t="s">
        <v>1792</v>
      </c>
      <c r="C2380" s="1" t="s">
        <v>1787</v>
      </c>
      <c r="D2380" s="1" t="n">
        <v>110</v>
      </c>
      <c r="E2380" s="1" t="n">
        <v>12.56</v>
      </c>
      <c r="F2380" s="1" t="n">
        <f aca="false">5/9</f>
        <v>0.555555555555556</v>
      </c>
    </row>
    <row collapsed="false" customFormat="false" customHeight="false" hidden="false" ht="14.75" outlineLevel="0" r="2381">
      <c r="A2381" s="1" t="s">
        <v>743</v>
      </c>
      <c r="B2381" s="1" t="s">
        <v>1792</v>
      </c>
      <c r="C2381" s="1" t="s">
        <v>1787</v>
      </c>
      <c r="D2381" s="1" t="n">
        <v>64.4</v>
      </c>
      <c r="E2381" s="1" t="n">
        <v>6.22</v>
      </c>
      <c r="F2381" s="1" t="n">
        <v>0</v>
      </c>
    </row>
    <row collapsed="false" customFormat="false" customHeight="false" hidden="false" ht="14.75" outlineLevel="0" r="2382">
      <c r="A2382" s="1" t="s">
        <v>744</v>
      </c>
      <c r="B2382" s="1" t="s">
        <v>1792</v>
      </c>
      <c r="C2382" s="1" t="s">
        <v>1787</v>
      </c>
      <c r="D2382" s="1" t="n">
        <v>53.9</v>
      </c>
      <c r="E2382" s="1" t="n">
        <v>5.3</v>
      </c>
      <c r="F2382" s="1" t="n">
        <v>0</v>
      </c>
    </row>
    <row collapsed="false" customFormat="false" customHeight="false" hidden="false" ht="14.75" outlineLevel="0" r="2383">
      <c r="A2383" s="1" t="s">
        <v>1820</v>
      </c>
      <c r="B2383" s="1" t="s">
        <v>1797</v>
      </c>
      <c r="C2383" s="1" t="s">
        <v>1787</v>
      </c>
      <c r="D2383" s="1" t="n">
        <v>167</v>
      </c>
      <c r="E2383" s="1" t="n">
        <v>11.28</v>
      </c>
      <c r="F2383" s="1" t="n">
        <v>0.4</v>
      </c>
    </row>
    <row collapsed="false" customFormat="false" customHeight="false" hidden="false" ht="14.75" outlineLevel="0" r="2384">
      <c r="A2384" s="1" t="s">
        <v>1821</v>
      </c>
      <c r="B2384" s="1" t="s">
        <v>1808</v>
      </c>
      <c r="C2384" s="1" t="s">
        <v>1787</v>
      </c>
      <c r="D2384" s="1" t="n">
        <v>194</v>
      </c>
      <c r="E2384" s="1" t="n">
        <v>13.81</v>
      </c>
      <c r="F2384" s="1" t="n">
        <v>1.6</v>
      </c>
    </row>
    <row collapsed="false" customFormat="false" customHeight="false" hidden="false" ht="14.75" outlineLevel="0" r="2385">
      <c r="A2385" s="1" t="s">
        <v>1822</v>
      </c>
      <c r="B2385" s="1" t="s">
        <v>1809</v>
      </c>
      <c r="C2385" s="1" t="s">
        <v>1787</v>
      </c>
      <c r="D2385" s="1" t="n">
        <v>140.6</v>
      </c>
      <c r="E2385" s="1" t="n">
        <v>8.97</v>
      </c>
      <c r="F2385" s="1" t="n">
        <f aca="false">6/9</f>
        <v>0.666666666666667</v>
      </c>
    </row>
    <row collapsed="false" customFormat="false" customHeight="false" hidden="false" ht="14.75" outlineLevel="0" r="2386">
      <c r="A2386" s="1" t="s">
        <v>1021</v>
      </c>
      <c r="B2386" s="1" t="s">
        <v>1790</v>
      </c>
      <c r="C2386" s="4" t="s">
        <v>1787</v>
      </c>
      <c r="D2386" s="1" t="n">
        <v>72.3</v>
      </c>
      <c r="E2386" s="1" t="n">
        <v>9.41</v>
      </c>
      <c r="F2386" s="1" t="n">
        <f aca="false">5/7</f>
        <v>0.714285714285714</v>
      </c>
    </row>
    <row collapsed="false" customFormat="false" customHeight="false" hidden="false" ht="14.75" outlineLevel="0" r="2387">
      <c r="A2387" s="1" t="s">
        <v>1183</v>
      </c>
      <c r="B2387" s="1" t="s">
        <v>1808</v>
      </c>
      <c r="C2387" s="1" t="s">
        <v>1787</v>
      </c>
      <c r="D2387" s="1" t="n">
        <v>39.4</v>
      </c>
      <c r="E2387" s="1" t="n">
        <v>5.2</v>
      </c>
      <c r="F2387" s="1" t="n">
        <f aca="false">1/9</f>
        <v>0.111111111111111</v>
      </c>
    </row>
    <row collapsed="false" customFormat="false" customHeight="false" hidden="false" ht="14.75" outlineLevel="0" r="2388">
      <c r="A2388" s="1" t="s">
        <v>1184</v>
      </c>
      <c r="B2388" s="1" t="s">
        <v>1808</v>
      </c>
      <c r="C2388" s="1" t="s">
        <v>1787</v>
      </c>
      <c r="D2388" s="1" t="n">
        <v>59</v>
      </c>
      <c r="E2388" s="1" t="n">
        <v>5.79</v>
      </c>
      <c r="F2388" s="1" t="n">
        <v>0.1</v>
      </c>
    </row>
    <row collapsed="false" customFormat="false" customHeight="false" hidden="false" ht="14.75" outlineLevel="0" r="2389">
      <c r="A2389" s="1" t="s">
        <v>1823</v>
      </c>
      <c r="B2389" s="1" t="s">
        <v>1808</v>
      </c>
      <c r="C2389" s="1" t="s">
        <v>1787</v>
      </c>
      <c r="D2389" s="1" t="n">
        <v>51.7</v>
      </c>
      <c r="E2389" s="1" t="n">
        <v>4.84</v>
      </c>
      <c r="F2389" s="1" t="n">
        <f aca="false">2/9</f>
        <v>0.222222222222222</v>
      </c>
    </row>
    <row collapsed="false" customFormat="false" customHeight="false" hidden="false" ht="14.75" outlineLevel="0" r="2390">
      <c r="A2390" s="1" t="s">
        <v>1824</v>
      </c>
      <c r="B2390" s="1" t="s">
        <v>1786</v>
      </c>
      <c r="C2390" s="1" t="s">
        <v>1787</v>
      </c>
      <c r="D2390" s="1" t="n">
        <v>358.1</v>
      </c>
      <c r="E2390" s="1" t="n">
        <v>18.88</v>
      </c>
      <c r="F2390" s="1" t="n">
        <f aca="false">40/8</f>
        <v>5</v>
      </c>
    </row>
    <row collapsed="false" customFormat="false" customHeight="false" hidden="false" ht="14.75" outlineLevel="0" r="2391">
      <c r="A2391" s="1" t="s">
        <v>691</v>
      </c>
      <c r="B2391" s="1" t="s">
        <v>1796</v>
      </c>
      <c r="C2391" s="1" t="s">
        <v>1787</v>
      </c>
      <c r="D2391" s="1" t="n">
        <v>355</v>
      </c>
      <c r="E2391" s="1" t="n">
        <v>17.58</v>
      </c>
      <c r="F2391" s="1" t="n">
        <f aca="false">18/8</f>
        <v>2.25</v>
      </c>
    </row>
    <row collapsed="false" customFormat="false" customHeight="false" hidden="false" ht="14.75" outlineLevel="0" r="2392">
      <c r="A2392" s="1" t="s">
        <v>692</v>
      </c>
      <c r="B2392" s="1" t="s">
        <v>1796</v>
      </c>
      <c r="C2392" s="1" t="s">
        <v>1787</v>
      </c>
      <c r="D2392" s="1" t="n">
        <v>218.8</v>
      </c>
      <c r="E2392" s="1" t="n">
        <v>13.08</v>
      </c>
      <c r="F2392" s="1" t="n">
        <f aca="false">6/8</f>
        <v>0.75</v>
      </c>
    </row>
    <row collapsed="false" customFormat="false" customHeight="false" hidden="false" ht="14.75" outlineLevel="0" r="2393">
      <c r="A2393" s="1" t="s">
        <v>1546</v>
      </c>
      <c r="B2393" s="1" t="s">
        <v>1797</v>
      </c>
      <c r="C2393" s="1" t="s">
        <v>1787</v>
      </c>
      <c r="D2393" s="1" t="n">
        <v>207.9</v>
      </c>
      <c r="E2393" s="1" t="n">
        <v>14.94</v>
      </c>
      <c r="F2393" s="1" t="n">
        <v>0.9</v>
      </c>
    </row>
    <row collapsed="false" customFormat="false" customHeight="false" hidden="false" ht="14.75" outlineLevel="0" r="2394">
      <c r="A2394" s="1" t="s">
        <v>1825</v>
      </c>
      <c r="B2394" s="1" t="s">
        <v>1797</v>
      </c>
      <c r="C2394" s="1" t="s">
        <v>1787</v>
      </c>
      <c r="D2394" s="1" t="n">
        <v>165</v>
      </c>
      <c r="E2394" s="1" t="n">
        <v>10.62</v>
      </c>
      <c r="F2394" s="1" t="n">
        <v>0.8</v>
      </c>
    </row>
    <row collapsed="false" customFormat="false" customHeight="false" hidden="false" ht="14.75" outlineLevel="0" r="2395">
      <c r="A2395" s="1" t="s">
        <v>747</v>
      </c>
      <c r="B2395" s="1" t="s">
        <v>1792</v>
      </c>
      <c r="C2395" s="1" t="s">
        <v>1787</v>
      </c>
      <c r="D2395" s="1" t="n">
        <v>411.1</v>
      </c>
      <c r="E2395" s="1" t="n">
        <v>22.46</v>
      </c>
      <c r="F2395" s="1" t="n">
        <f aca="false">28/9</f>
        <v>3.11111111111111</v>
      </c>
    </row>
    <row collapsed="false" customFormat="false" customHeight="false" hidden="false" ht="14.75" outlineLevel="0" r="2396">
      <c r="A2396" s="1" t="s">
        <v>748</v>
      </c>
      <c r="B2396" s="1" t="s">
        <v>1792</v>
      </c>
      <c r="C2396" s="1" t="s">
        <v>1787</v>
      </c>
      <c r="D2396" s="1" t="n">
        <v>137.8</v>
      </c>
      <c r="E2396" s="1" t="n">
        <v>13.12</v>
      </c>
      <c r="F2396" s="1" t="n">
        <f aca="false">10/9</f>
        <v>1.11111111111111</v>
      </c>
    </row>
    <row collapsed="false" customFormat="false" customHeight="false" hidden="false" ht="14.75" outlineLevel="0" r="2397">
      <c r="A2397" s="1" t="s">
        <v>1826</v>
      </c>
      <c r="B2397" s="1" t="s">
        <v>1797</v>
      </c>
      <c r="C2397" s="1" t="s">
        <v>1787</v>
      </c>
      <c r="D2397" s="1" t="n">
        <v>268</v>
      </c>
      <c r="E2397" s="1" t="n">
        <v>16.83</v>
      </c>
      <c r="F2397" s="1" t="n">
        <v>1.3</v>
      </c>
    </row>
    <row collapsed="false" customFormat="false" customHeight="false" hidden="false" ht="14.75" outlineLevel="0" r="2398">
      <c r="A2398" s="1" t="s">
        <v>1827</v>
      </c>
      <c r="B2398" s="1" t="s">
        <v>1786</v>
      </c>
      <c r="C2398" s="1" t="s">
        <v>1787</v>
      </c>
      <c r="D2398" s="1" t="n">
        <v>161.9</v>
      </c>
      <c r="E2398" s="1" t="n">
        <v>13.6</v>
      </c>
      <c r="F2398" s="1" t="n">
        <f aca="false">10/8</f>
        <v>1.25</v>
      </c>
    </row>
    <row collapsed="false" customFormat="false" customHeight="false" hidden="false" ht="14.75" outlineLevel="0" r="2399">
      <c r="A2399" s="1" t="s">
        <v>1549</v>
      </c>
      <c r="B2399" s="1" t="s">
        <v>1808</v>
      </c>
      <c r="C2399" s="1" t="s">
        <v>1787</v>
      </c>
      <c r="D2399" s="1" t="n">
        <v>430.8</v>
      </c>
      <c r="E2399" s="1" t="n">
        <v>21.72</v>
      </c>
      <c r="F2399" s="1" t="n">
        <v>5.8</v>
      </c>
    </row>
    <row collapsed="false" customFormat="false" customHeight="false" hidden="false" ht="14.75" outlineLevel="0" r="2400">
      <c r="A2400" s="1" t="s">
        <v>1550</v>
      </c>
      <c r="B2400" s="1" t="s">
        <v>1808</v>
      </c>
      <c r="C2400" s="1" t="s">
        <v>1787</v>
      </c>
      <c r="D2400" s="1" t="n">
        <v>211.5</v>
      </c>
      <c r="E2400" s="1" t="n">
        <v>16.67</v>
      </c>
      <c r="F2400" s="1" t="n">
        <v>1.7</v>
      </c>
    </row>
    <row collapsed="false" customFormat="false" customHeight="false" hidden="false" ht="14.75" outlineLevel="0" r="2401">
      <c r="A2401" s="1" t="s">
        <v>1828</v>
      </c>
      <c r="B2401" s="1" t="s">
        <v>1786</v>
      </c>
      <c r="C2401" s="1" t="s">
        <v>1787</v>
      </c>
      <c r="D2401" s="1" t="n">
        <v>251.9</v>
      </c>
      <c r="E2401" s="1" t="n">
        <v>15.38</v>
      </c>
      <c r="F2401" s="1" t="n">
        <f aca="false">20/8</f>
        <v>2.5</v>
      </c>
    </row>
    <row collapsed="false" customFormat="false" customHeight="false" hidden="false" ht="14.75" outlineLevel="0" r="2402">
      <c r="A2402" s="1" t="s">
        <v>1829</v>
      </c>
      <c r="B2402" s="1" t="s">
        <v>1797</v>
      </c>
      <c r="C2402" s="1" t="s">
        <v>1787</v>
      </c>
      <c r="D2402" s="1" t="n">
        <v>143.5</v>
      </c>
      <c r="E2402" s="1" t="n">
        <v>10.79</v>
      </c>
      <c r="F2402" s="1" t="n">
        <v>0.3</v>
      </c>
    </row>
    <row collapsed="false" customFormat="false" customHeight="false" hidden="false" ht="14.75" outlineLevel="0" r="2403">
      <c r="A2403" s="1" t="s">
        <v>1830</v>
      </c>
      <c r="B2403" s="1" t="s">
        <v>1797</v>
      </c>
      <c r="C2403" s="1" t="s">
        <v>1787</v>
      </c>
      <c r="D2403" s="1" t="n">
        <v>35</v>
      </c>
      <c r="E2403" s="1" t="n">
        <v>5</v>
      </c>
      <c r="F2403" s="1" t="n">
        <v>0.2</v>
      </c>
    </row>
    <row collapsed="false" customFormat="false" customHeight="false" hidden="false" ht="14.75" outlineLevel="0" r="2404">
      <c r="A2404" s="1" t="s">
        <v>883</v>
      </c>
      <c r="B2404" s="1" t="s">
        <v>1808</v>
      </c>
      <c r="C2404" s="1" t="s">
        <v>1787</v>
      </c>
      <c r="D2404" s="1" t="n">
        <v>140.5</v>
      </c>
      <c r="E2404" s="1" t="n">
        <v>12.95</v>
      </c>
      <c r="F2404" s="1" t="n">
        <v>0.7</v>
      </c>
    </row>
    <row collapsed="false" customFormat="false" customHeight="false" hidden="false" ht="14.75" outlineLevel="0" r="2405">
      <c r="A2405" s="1" t="s">
        <v>884</v>
      </c>
      <c r="B2405" s="1" t="s">
        <v>1808</v>
      </c>
      <c r="C2405" s="1" t="s">
        <v>1787</v>
      </c>
      <c r="D2405" s="1" t="n">
        <v>149</v>
      </c>
      <c r="E2405" s="1" t="n">
        <v>12.28</v>
      </c>
      <c r="F2405" s="1" t="n">
        <v>2.1</v>
      </c>
    </row>
    <row collapsed="false" customFormat="false" customHeight="false" hidden="false" ht="14.75" outlineLevel="0" r="2406">
      <c r="A2406" s="1" t="s">
        <v>1831</v>
      </c>
      <c r="B2406" s="1" t="s">
        <v>1809</v>
      </c>
      <c r="C2406" s="1" t="s">
        <v>1787</v>
      </c>
      <c r="D2406" s="1" t="n">
        <v>195</v>
      </c>
      <c r="E2406" s="1" t="n">
        <v>11.46</v>
      </c>
      <c r="F2406" s="1" t="n">
        <f aca="false">12/9</f>
        <v>1.33333333333333</v>
      </c>
    </row>
    <row collapsed="false" customFormat="false" customHeight="false" hidden="false" ht="14.75" outlineLevel="0" r="2407">
      <c r="A2407" s="1" t="s">
        <v>1832</v>
      </c>
      <c r="B2407" s="1" t="s">
        <v>1809</v>
      </c>
      <c r="C2407" s="1" t="s">
        <v>1787</v>
      </c>
      <c r="D2407" s="1" t="n">
        <v>133.9</v>
      </c>
      <c r="E2407" s="1" t="n">
        <v>10.93</v>
      </c>
      <c r="F2407" s="1" t="n">
        <f aca="false">7/9</f>
        <v>0.777777777777778</v>
      </c>
    </row>
    <row collapsed="false" customFormat="false" customHeight="false" hidden="false" ht="14.75" outlineLevel="0" r="2408">
      <c r="A2408" s="1" t="s">
        <v>1833</v>
      </c>
      <c r="B2408" s="1" t="s">
        <v>1797</v>
      </c>
      <c r="C2408" s="1" t="s">
        <v>1787</v>
      </c>
      <c r="D2408" s="1" t="n">
        <v>70.5</v>
      </c>
      <c r="E2408" s="1" t="n">
        <v>7.05</v>
      </c>
      <c r="F2408" s="1" t="n">
        <v>0.2</v>
      </c>
    </row>
    <row collapsed="false" customFormat="false" customHeight="false" hidden="false" ht="14.75" outlineLevel="0" r="2409">
      <c r="A2409" s="1" t="s">
        <v>1834</v>
      </c>
      <c r="B2409" s="1" t="s">
        <v>1797</v>
      </c>
      <c r="C2409" s="1" t="s">
        <v>1787</v>
      </c>
      <c r="D2409" s="1" t="n">
        <v>133.5</v>
      </c>
      <c r="E2409" s="1" t="n">
        <v>11.52</v>
      </c>
      <c r="F2409" s="1" t="n">
        <v>0.6</v>
      </c>
    </row>
    <row collapsed="false" customFormat="false" customHeight="false" hidden="false" ht="14.75" outlineLevel="0" r="2410">
      <c r="A2410" s="1" t="s">
        <v>467</v>
      </c>
      <c r="B2410" s="1" t="s">
        <v>1797</v>
      </c>
      <c r="C2410" s="1" t="s">
        <v>1787</v>
      </c>
      <c r="D2410" s="1" t="n">
        <v>135.5</v>
      </c>
      <c r="E2410" s="1" t="n">
        <v>8.13</v>
      </c>
      <c r="F2410" s="1" t="n">
        <v>0.7</v>
      </c>
    </row>
    <row collapsed="false" customFormat="false" customHeight="false" hidden="false" ht="14.75" outlineLevel="0" r="2411">
      <c r="A2411" s="1" t="s">
        <v>1835</v>
      </c>
      <c r="B2411" s="1" t="s">
        <v>1796</v>
      </c>
      <c r="C2411" s="1" t="s">
        <v>1787</v>
      </c>
      <c r="D2411" s="1" t="n">
        <v>241.9</v>
      </c>
      <c r="E2411" s="1" t="n">
        <v>14.2</v>
      </c>
      <c r="F2411" s="1" t="n">
        <f aca="false">21/8</f>
        <v>2.625</v>
      </c>
    </row>
    <row collapsed="false" customFormat="false" customHeight="false" hidden="false" ht="14.75" outlineLevel="0" r="2412">
      <c r="A2412" s="1" t="s">
        <v>892</v>
      </c>
      <c r="B2412" s="1" t="s">
        <v>1797</v>
      </c>
      <c r="C2412" s="1" t="s">
        <v>1787</v>
      </c>
      <c r="D2412" s="1" t="n">
        <v>196.7</v>
      </c>
      <c r="E2412" s="1" t="n">
        <v>12.12</v>
      </c>
      <c r="F2412" s="1" t="n">
        <f aca="false">10/9</f>
        <v>1.11111111111111</v>
      </c>
    </row>
    <row collapsed="false" customFormat="false" customHeight="false" hidden="false" ht="14.75" outlineLevel="0" r="2413">
      <c r="A2413" s="1" t="s">
        <v>893</v>
      </c>
      <c r="B2413" s="1" t="s">
        <v>1797</v>
      </c>
      <c r="C2413" s="1" t="s">
        <v>1787</v>
      </c>
      <c r="D2413" s="1" t="n">
        <v>126</v>
      </c>
      <c r="E2413" s="1" t="n">
        <v>9.38</v>
      </c>
      <c r="F2413" s="1" t="n">
        <v>0.8</v>
      </c>
    </row>
    <row collapsed="false" customFormat="false" customHeight="false" hidden="false" ht="14.75" outlineLevel="0" r="2414">
      <c r="A2414" s="1" t="s">
        <v>1836</v>
      </c>
      <c r="B2414" s="1" t="s">
        <v>1797</v>
      </c>
      <c r="C2414" s="1" t="s">
        <v>1787</v>
      </c>
      <c r="D2414" s="1" t="n">
        <v>193.3</v>
      </c>
      <c r="E2414" s="1" t="n">
        <v>13.47</v>
      </c>
      <c r="F2414" s="1" t="n">
        <f aca="false">13/9</f>
        <v>1.44444444444444</v>
      </c>
    </row>
    <row collapsed="false" customFormat="false" customHeight="false" hidden="false" ht="14.75" outlineLevel="0" r="2415">
      <c r="A2415" s="1" t="s">
        <v>1837</v>
      </c>
      <c r="B2415" s="1" t="s">
        <v>1797</v>
      </c>
      <c r="C2415" s="1" t="s">
        <v>1787</v>
      </c>
      <c r="D2415" s="1" t="n">
        <v>120.5</v>
      </c>
      <c r="E2415" s="1" t="n">
        <v>7.32</v>
      </c>
      <c r="F2415" s="1" t="n">
        <v>0.9</v>
      </c>
    </row>
    <row collapsed="false" customFormat="false" customHeight="false" hidden="false" ht="14.75" outlineLevel="0" r="2416">
      <c r="A2416" s="1" t="s">
        <v>1041</v>
      </c>
      <c r="B2416" s="1" t="s">
        <v>1790</v>
      </c>
      <c r="C2416" s="4" t="s">
        <v>1787</v>
      </c>
      <c r="D2416" s="1" t="n">
        <v>286.6</v>
      </c>
      <c r="E2416" s="1" t="n">
        <v>15.35</v>
      </c>
      <c r="F2416" s="1" t="n">
        <f aca="false">18/8</f>
        <v>2.25</v>
      </c>
    </row>
    <row collapsed="false" customFormat="false" customHeight="false" hidden="false" ht="14.75" outlineLevel="0" r="2417">
      <c r="A2417" s="1" t="s">
        <v>1042</v>
      </c>
      <c r="B2417" s="1" t="s">
        <v>1790</v>
      </c>
      <c r="C2417" s="4" t="s">
        <v>1787</v>
      </c>
      <c r="D2417" s="1" t="n">
        <v>121.5</v>
      </c>
      <c r="E2417" s="1" t="n">
        <v>11.67</v>
      </c>
      <c r="F2417" s="1" t="n">
        <f aca="false">3/7</f>
        <v>0.428571428571429</v>
      </c>
    </row>
    <row collapsed="false" customFormat="false" customHeight="false" hidden="false" ht="14.75" outlineLevel="0" r="2418">
      <c r="A2418" s="1" t="s">
        <v>147</v>
      </c>
      <c r="B2418" s="1" t="s">
        <v>1790</v>
      </c>
      <c r="C2418" s="4" t="s">
        <v>1787</v>
      </c>
      <c r="D2418" s="1" t="n">
        <v>190.2</v>
      </c>
      <c r="E2418" s="1" t="n">
        <v>12.8</v>
      </c>
      <c r="F2418" s="1" t="n">
        <f aca="false">10/8</f>
        <v>1.25</v>
      </c>
    </row>
    <row collapsed="false" customFormat="false" customHeight="false" hidden="false" ht="14.75" outlineLevel="0" r="2419">
      <c r="A2419" s="1" t="s">
        <v>148</v>
      </c>
      <c r="B2419" s="1" t="s">
        <v>1790</v>
      </c>
      <c r="C2419" s="4" t="s">
        <v>1787</v>
      </c>
      <c r="D2419" s="1" t="n">
        <v>81.2</v>
      </c>
      <c r="E2419" s="1" t="n">
        <v>7.14</v>
      </c>
      <c r="F2419" s="1" t="n">
        <v>0</v>
      </c>
    </row>
    <row collapsed="false" customFormat="false" customHeight="false" hidden="false" ht="14.75" outlineLevel="0" r="2420">
      <c r="A2420" s="1" t="s">
        <v>353</v>
      </c>
      <c r="B2420" s="1" t="s">
        <v>1796</v>
      </c>
      <c r="C2420" s="1" t="s">
        <v>1787</v>
      </c>
      <c r="D2420" s="1" t="n">
        <v>105</v>
      </c>
      <c r="E2420" s="1" t="n">
        <v>7.44</v>
      </c>
      <c r="F2420" s="1" t="n">
        <f aca="false">4/8</f>
        <v>0.5</v>
      </c>
    </row>
    <row collapsed="false" customFormat="false" customHeight="false" hidden="false" ht="14.75" outlineLevel="0" r="2421">
      <c r="A2421" s="1" t="s">
        <v>353</v>
      </c>
      <c r="B2421" s="1" t="s">
        <v>1790</v>
      </c>
      <c r="C2421" s="4" t="s">
        <v>1787</v>
      </c>
      <c r="D2421" s="1" t="n">
        <v>222.8</v>
      </c>
      <c r="E2421" s="1" t="n">
        <v>13.29</v>
      </c>
      <c r="F2421" s="1" t="n">
        <f aca="false">15/9</f>
        <v>1.66666666666667</v>
      </c>
    </row>
    <row collapsed="false" customFormat="false" customHeight="false" hidden="false" ht="14.75" outlineLevel="0" r="2422">
      <c r="A2422" s="1" t="s">
        <v>1838</v>
      </c>
      <c r="B2422" s="1" t="s">
        <v>1796</v>
      </c>
      <c r="C2422" s="1" t="s">
        <v>1787</v>
      </c>
      <c r="D2422" s="1" t="n">
        <v>307.5</v>
      </c>
      <c r="E2422" s="1" t="n">
        <v>15.06</v>
      </c>
      <c r="F2422" s="1" t="n">
        <f aca="false">12/8</f>
        <v>1.5</v>
      </c>
    </row>
    <row collapsed="false" customFormat="false" customHeight="false" hidden="false" ht="14.75" outlineLevel="0" r="2423">
      <c r="A2423" s="1" t="s">
        <v>1839</v>
      </c>
      <c r="B2423" s="1" t="s">
        <v>1796</v>
      </c>
      <c r="C2423" s="1" t="s">
        <v>1787</v>
      </c>
      <c r="D2423" s="1" t="n">
        <v>78.8</v>
      </c>
      <c r="E2423" s="1" t="n">
        <v>8.08</v>
      </c>
      <c r="F2423" s="1" t="n">
        <f aca="false">2/8</f>
        <v>0.25</v>
      </c>
    </row>
    <row collapsed="false" customFormat="false" customHeight="false" hidden="false" ht="14.75" outlineLevel="0" r="2424">
      <c r="A2424" s="1" t="s">
        <v>1709</v>
      </c>
      <c r="B2424" s="1" t="s">
        <v>1796</v>
      </c>
      <c r="C2424" s="1" t="s">
        <v>1787</v>
      </c>
      <c r="D2424" s="1" t="n">
        <v>187.5</v>
      </c>
      <c r="E2424" s="1" t="n">
        <v>10.65</v>
      </c>
      <c r="F2424" s="1" t="n">
        <f aca="false">10/8</f>
        <v>1.25</v>
      </c>
    </row>
    <row collapsed="false" customFormat="false" customHeight="false" hidden="false" ht="14.75" outlineLevel="0" r="2425">
      <c r="A2425" s="1" t="s">
        <v>1840</v>
      </c>
      <c r="B2425" s="1" t="s">
        <v>1797</v>
      </c>
      <c r="C2425" s="1" t="s">
        <v>1787</v>
      </c>
      <c r="D2425" s="1" t="n">
        <v>128.5</v>
      </c>
      <c r="E2425" s="1" t="n">
        <v>10.54</v>
      </c>
      <c r="F2425" s="1" t="n">
        <v>0.6</v>
      </c>
    </row>
    <row collapsed="false" customFormat="false" customHeight="false" hidden="false" ht="14.75" outlineLevel="0" r="2426">
      <c r="A2426" s="1" t="s">
        <v>1841</v>
      </c>
      <c r="B2426" s="1" t="s">
        <v>1797</v>
      </c>
      <c r="C2426" s="1" t="s">
        <v>1787</v>
      </c>
      <c r="D2426" s="1" t="n">
        <v>118</v>
      </c>
      <c r="E2426" s="1" t="n">
        <v>9.67</v>
      </c>
      <c r="F2426" s="1" t="n">
        <v>0.7</v>
      </c>
    </row>
    <row collapsed="false" customFormat="false" customHeight="false" hidden="false" ht="14.75" outlineLevel="0" r="2427">
      <c r="A2427" s="1" t="s">
        <v>694</v>
      </c>
      <c r="B2427" s="1" t="s">
        <v>1796</v>
      </c>
      <c r="C2427" s="1" t="s">
        <v>1787</v>
      </c>
      <c r="D2427" s="1" t="n">
        <v>506.1</v>
      </c>
      <c r="E2427" s="1" t="n">
        <v>21.61</v>
      </c>
      <c r="F2427" s="1" t="n">
        <f aca="false">51/9</f>
        <v>5.66666666666667</v>
      </c>
    </row>
    <row collapsed="false" customFormat="false" customHeight="false" hidden="false" ht="14.75" outlineLevel="0" r="2428">
      <c r="A2428" s="1" t="s">
        <v>695</v>
      </c>
      <c r="B2428" s="1" t="s">
        <v>1796</v>
      </c>
      <c r="C2428" s="1" t="s">
        <v>1787</v>
      </c>
      <c r="D2428" s="1" t="n">
        <v>243.8</v>
      </c>
      <c r="E2428" s="1" t="n">
        <v>12.43</v>
      </c>
      <c r="F2428" s="1" t="n">
        <f aca="false">18/8</f>
        <v>2.25</v>
      </c>
      <c r="H2428" s="5"/>
    </row>
    <row collapsed="false" customFormat="false" customHeight="false" hidden="false" ht="14.75" outlineLevel="0" r="2429">
      <c r="A2429" s="1" t="s">
        <v>1842</v>
      </c>
      <c r="B2429" s="1" t="s">
        <v>1808</v>
      </c>
      <c r="C2429" s="1" t="s">
        <v>1787</v>
      </c>
      <c r="D2429" s="1" t="n">
        <v>114.5</v>
      </c>
      <c r="E2429" s="1" t="n">
        <v>10</v>
      </c>
      <c r="F2429" s="1" t="n">
        <v>0.7</v>
      </c>
    </row>
    <row collapsed="false" customFormat="false" customHeight="false" hidden="false" ht="14.75" outlineLevel="0" r="2430">
      <c r="A2430" s="1" t="s">
        <v>1843</v>
      </c>
      <c r="B2430" s="1" t="s">
        <v>1808</v>
      </c>
      <c r="C2430" s="1" t="s">
        <v>1787</v>
      </c>
      <c r="D2430" s="1" t="n">
        <v>64</v>
      </c>
      <c r="E2430" s="1" t="n">
        <v>5.68</v>
      </c>
      <c r="F2430" s="1" t="n">
        <v>0.2</v>
      </c>
    </row>
    <row collapsed="false" customFormat="false" customHeight="false" hidden="false" ht="14.75" outlineLevel="0" r="2431">
      <c r="A2431" s="1" t="s">
        <v>1844</v>
      </c>
      <c r="B2431" s="1" t="s">
        <v>1786</v>
      </c>
      <c r="C2431" s="1" t="s">
        <v>1787</v>
      </c>
      <c r="D2431" s="1" t="n">
        <v>248.8</v>
      </c>
      <c r="E2431" s="1" t="n">
        <v>17.03</v>
      </c>
      <c r="F2431" s="1" t="n">
        <f aca="false">32/8</f>
        <v>4</v>
      </c>
      <c r="H2431" s="5"/>
    </row>
    <row collapsed="false" customFormat="false" customHeight="false" hidden="false" ht="14.75" outlineLevel="0" r="2432">
      <c r="A2432" s="1" t="s">
        <v>754</v>
      </c>
      <c r="B2432" s="1" t="s">
        <v>1792</v>
      </c>
      <c r="C2432" s="1" t="s">
        <v>1787</v>
      </c>
      <c r="D2432" s="1" t="n">
        <v>76.7</v>
      </c>
      <c r="E2432" s="1" t="n">
        <v>8.08</v>
      </c>
      <c r="F2432" s="1" t="n">
        <f aca="false">5/9</f>
        <v>0.555555555555556</v>
      </c>
    </row>
    <row collapsed="false" customFormat="false" customHeight="false" hidden="false" ht="14.75" outlineLevel="0" r="2433">
      <c r="A2433" s="1" t="s">
        <v>755</v>
      </c>
      <c r="B2433" s="1" t="s">
        <v>1792</v>
      </c>
      <c r="C2433" s="1" t="s">
        <v>1787</v>
      </c>
      <c r="D2433" s="1" t="n">
        <v>55.6</v>
      </c>
      <c r="E2433" s="1" t="n">
        <v>8.93</v>
      </c>
      <c r="F2433" s="1" t="n">
        <f aca="false">2/9</f>
        <v>0.222222222222222</v>
      </c>
    </row>
    <row collapsed="false" customFormat="false" customHeight="false" hidden="false" ht="14.75" outlineLevel="0" r="2434">
      <c r="A2434" s="1" t="s">
        <v>1845</v>
      </c>
      <c r="B2434" s="1" t="s">
        <v>1786</v>
      </c>
      <c r="C2434" s="1" t="s">
        <v>1787</v>
      </c>
      <c r="D2434" s="1" t="n">
        <v>208.8</v>
      </c>
      <c r="E2434" s="1" t="n">
        <v>13.99</v>
      </c>
      <c r="F2434" s="1" t="n">
        <f aca="false">15/8</f>
        <v>1.875</v>
      </c>
    </row>
    <row collapsed="false" customFormat="false" customHeight="false" hidden="false" ht="14.75" outlineLevel="0" r="2435">
      <c r="A2435" s="1" t="s">
        <v>1846</v>
      </c>
      <c r="B2435" s="1" t="s">
        <v>1786</v>
      </c>
      <c r="C2435" s="1" t="s">
        <v>1787</v>
      </c>
      <c r="D2435" s="1" t="n">
        <v>76.2</v>
      </c>
      <c r="E2435" s="1" t="n">
        <v>7.88</v>
      </c>
      <c r="F2435" s="1" t="n">
        <f aca="false">4/8</f>
        <v>0.5</v>
      </c>
    </row>
    <row collapsed="false" customFormat="false" customHeight="false" hidden="false" ht="14.75" outlineLevel="0" r="2436">
      <c r="A2436" s="1" t="s">
        <v>364</v>
      </c>
      <c r="B2436" s="1" t="s">
        <v>1808</v>
      </c>
      <c r="C2436" s="1" t="s">
        <v>1787</v>
      </c>
      <c r="D2436" s="1" t="n">
        <v>411.5</v>
      </c>
      <c r="E2436" s="1" t="n">
        <v>21.25</v>
      </c>
      <c r="F2436" s="1" t="n">
        <v>3.7</v>
      </c>
    </row>
    <row collapsed="false" customFormat="false" customHeight="false" hidden="false" ht="14.75" outlineLevel="0" r="2437">
      <c r="A2437" s="1" t="s">
        <v>1847</v>
      </c>
      <c r="B2437" s="1" t="s">
        <v>1797</v>
      </c>
      <c r="C2437" s="1" t="s">
        <v>1787</v>
      </c>
      <c r="D2437" s="1" t="n">
        <v>326</v>
      </c>
      <c r="E2437" s="1" t="n">
        <v>19.19</v>
      </c>
      <c r="F2437" s="1" t="n">
        <v>2.2</v>
      </c>
    </row>
    <row collapsed="false" customFormat="false" customHeight="false" hidden="false" ht="14.75" outlineLevel="0" r="2438">
      <c r="A2438" s="1" t="s">
        <v>1580</v>
      </c>
      <c r="B2438" s="1" t="s">
        <v>1797</v>
      </c>
      <c r="C2438" s="1" t="s">
        <v>1787</v>
      </c>
      <c r="D2438" s="1" t="n">
        <v>239.5</v>
      </c>
      <c r="E2438" s="1" t="n">
        <v>16.94</v>
      </c>
      <c r="F2438" s="1" t="n">
        <v>1.7</v>
      </c>
    </row>
    <row collapsed="false" customFormat="false" customHeight="false" hidden="false" ht="14.75" outlineLevel="0" r="2439">
      <c r="A2439" s="1" t="s">
        <v>1581</v>
      </c>
      <c r="B2439" s="1" t="s">
        <v>1797</v>
      </c>
      <c r="C2439" s="1" t="s">
        <v>1787</v>
      </c>
      <c r="D2439" s="1" t="n">
        <v>253.8</v>
      </c>
      <c r="E2439" s="1" t="n">
        <v>17.04</v>
      </c>
      <c r="F2439" s="1" t="n">
        <f aca="false">19/11</f>
        <v>1.72727272727273</v>
      </c>
    </row>
    <row collapsed="false" customFormat="false" customHeight="false" hidden="false" ht="14.75" outlineLevel="0" r="2440">
      <c r="A2440" s="1" t="s">
        <v>365</v>
      </c>
      <c r="B2440" s="1" t="s">
        <v>1790</v>
      </c>
      <c r="C2440" s="4" t="s">
        <v>1787</v>
      </c>
      <c r="D2440" s="1" t="n">
        <v>192.6</v>
      </c>
      <c r="E2440" s="1" t="n">
        <v>14.65</v>
      </c>
      <c r="F2440" s="1" t="n">
        <f aca="false">11/7</f>
        <v>1.57142857142857</v>
      </c>
    </row>
    <row collapsed="false" customFormat="false" customHeight="false" hidden="false" ht="14.75" outlineLevel="0" r="2441">
      <c r="A2441" s="1" t="s">
        <v>266</v>
      </c>
      <c r="B2441" s="1" t="s">
        <v>1808</v>
      </c>
      <c r="C2441" s="1" t="s">
        <v>1787</v>
      </c>
      <c r="D2441" s="1" t="n">
        <v>458.2</v>
      </c>
      <c r="E2441" s="1" t="n">
        <v>21.87</v>
      </c>
      <c r="F2441" s="1" t="n">
        <v>4.6</v>
      </c>
    </row>
    <row collapsed="false" customFormat="false" customHeight="false" hidden="false" ht="14.75" outlineLevel="0" r="2442">
      <c r="A2442" s="1" t="s">
        <v>267</v>
      </c>
      <c r="B2442" s="1" t="s">
        <v>1808</v>
      </c>
      <c r="C2442" s="1" t="s">
        <v>1787</v>
      </c>
      <c r="D2442" s="1" t="n">
        <v>212</v>
      </c>
      <c r="E2442" s="1" t="n">
        <v>15.9</v>
      </c>
      <c r="F2442" s="1" t="n">
        <v>1.4</v>
      </c>
    </row>
    <row collapsed="false" customFormat="false" customHeight="false" hidden="false" ht="14.75" outlineLevel="0" r="2443">
      <c r="A2443" s="1" t="s">
        <v>715</v>
      </c>
      <c r="B2443" s="1" t="s">
        <v>1808</v>
      </c>
      <c r="C2443" s="1" t="s">
        <v>1787</v>
      </c>
      <c r="D2443" s="1" t="n">
        <v>132</v>
      </c>
      <c r="E2443" s="1" t="n">
        <v>8.68</v>
      </c>
      <c r="F2443" s="1" t="n">
        <v>0.5</v>
      </c>
    </row>
    <row collapsed="false" customFormat="false" customHeight="false" hidden="false" ht="14.75" outlineLevel="0" r="2444">
      <c r="A2444" s="1" t="s">
        <v>1848</v>
      </c>
      <c r="B2444" s="1" t="s">
        <v>1809</v>
      </c>
      <c r="C2444" s="1" t="s">
        <v>1787</v>
      </c>
      <c r="D2444" s="1" t="n">
        <v>132.8</v>
      </c>
      <c r="E2444" s="1" t="n">
        <v>10.17</v>
      </c>
      <c r="F2444" s="1" t="n">
        <f aca="false">3/9</f>
        <v>0.333333333333333</v>
      </c>
    </row>
    <row collapsed="false" customFormat="false" customHeight="false" hidden="false" ht="14.75" outlineLevel="0" r="2445">
      <c r="A2445" s="1" t="s">
        <v>1582</v>
      </c>
      <c r="B2445" s="1" t="s">
        <v>1809</v>
      </c>
      <c r="C2445" s="1" t="s">
        <v>1787</v>
      </c>
      <c r="D2445" s="1" t="n">
        <v>32.8</v>
      </c>
      <c r="E2445" s="1" t="n">
        <v>2.08</v>
      </c>
      <c r="F2445" s="1" t="n">
        <f aca="false">2/9</f>
        <v>0.222222222222222</v>
      </c>
    </row>
    <row collapsed="false" customFormat="false" customHeight="false" hidden="false" ht="14.75" outlineLevel="0" r="2446">
      <c r="A2446" s="1" t="s">
        <v>372</v>
      </c>
      <c r="B2446" s="1" t="s">
        <v>1790</v>
      </c>
      <c r="C2446" s="4" t="s">
        <v>1787</v>
      </c>
      <c r="D2446" s="1" t="n">
        <v>392.2</v>
      </c>
      <c r="E2446" s="1" t="n">
        <v>19.72</v>
      </c>
      <c r="F2446" s="1" t="n">
        <v>1.2</v>
      </c>
    </row>
    <row collapsed="false" customFormat="false" customHeight="false" hidden="false" ht="14.75" outlineLevel="0" r="2447">
      <c r="A2447" s="1" t="s">
        <v>373</v>
      </c>
      <c r="B2447" s="1" t="s">
        <v>1790</v>
      </c>
      <c r="C2447" s="4" t="s">
        <v>1787</v>
      </c>
      <c r="D2447" s="1" t="n">
        <v>258.5</v>
      </c>
      <c r="E2447" s="1" t="n">
        <v>14.86</v>
      </c>
      <c r="F2447" s="1" t="n">
        <f aca="false">14/8</f>
        <v>1.75</v>
      </c>
    </row>
    <row collapsed="false" customFormat="false" customHeight="false" hidden="false" ht="14.75" outlineLevel="0" r="2448">
      <c r="A2448" s="1" t="s">
        <v>1849</v>
      </c>
      <c r="B2448" s="1" t="s">
        <v>1796</v>
      </c>
      <c r="C2448" s="1" t="s">
        <v>1787</v>
      </c>
      <c r="D2448" s="1" t="n">
        <v>341.7</v>
      </c>
      <c r="E2448" s="1" t="n">
        <v>17.4</v>
      </c>
      <c r="F2448" s="1" t="n">
        <f aca="false">23/9</f>
        <v>2.55555555555556</v>
      </c>
    </row>
    <row collapsed="false" customFormat="false" customHeight="false" hidden="false" ht="14.75" outlineLevel="0" r="2449">
      <c r="A2449" s="1" t="s">
        <v>1850</v>
      </c>
      <c r="B2449" s="1" t="s">
        <v>1796</v>
      </c>
      <c r="C2449" s="1" t="s">
        <v>1787</v>
      </c>
      <c r="D2449" s="1" t="n">
        <v>138.8</v>
      </c>
      <c r="E2449" s="1" t="n">
        <v>10</v>
      </c>
      <c r="F2449" s="1" t="n">
        <f aca="false">4/8</f>
        <v>0.5</v>
      </c>
    </row>
    <row collapsed="false" customFormat="false" customHeight="false" hidden="false" ht="14.75" outlineLevel="0" r="2450">
      <c r="A2450" s="1" t="s">
        <v>699</v>
      </c>
      <c r="B2450" s="1" t="s">
        <v>1796</v>
      </c>
      <c r="C2450" s="1" t="s">
        <v>1787</v>
      </c>
      <c r="D2450" s="1" t="n">
        <v>248.1</v>
      </c>
      <c r="E2450" s="1" t="n">
        <v>13.8</v>
      </c>
      <c r="F2450" s="1" t="n">
        <f aca="false">13/8</f>
        <v>1.625</v>
      </c>
    </row>
    <row collapsed="false" customFormat="false" customHeight="false" hidden="false" ht="14.75" outlineLevel="0" r="2451">
      <c r="A2451" s="1" t="s">
        <v>700</v>
      </c>
      <c r="B2451" s="1" t="s">
        <v>1796</v>
      </c>
      <c r="C2451" s="1" t="s">
        <v>1787</v>
      </c>
      <c r="D2451" s="1" t="n">
        <v>62.5</v>
      </c>
      <c r="E2451" s="1" t="n">
        <v>5.71</v>
      </c>
      <c r="F2451" s="1" t="n">
        <v>0</v>
      </c>
    </row>
    <row collapsed="false" customFormat="false" customHeight="false" hidden="false" ht="14.75" outlineLevel="0" r="2452">
      <c r="A2452" s="1" t="s">
        <v>1851</v>
      </c>
      <c r="B2452" s="1" t="s">
        <v>1797</v>
      </c>
      <c r="C2452" s="1" t="s">
        <v>1787</v>
      </c>
      <c r="D2452" s="1" t="n">
        <v>119</v>
      </c>
      <c r="E2452" s="1" t="n">
        <v>8.26</v>
      </c>
      <c r="F2452" s="1" t="n">
        <v>0</v>
      </c>
    </row>
    <row collapsed="false" customFormat="false" customHeight="false" hidden="false" ht="14.75" outlineLevel="0" r="2453">
      <c r="A2453" s="1" t="s">
        <v>1852</v>
      </c>
      <c r="B2453" s="1" t="s">
        <v>1796</v>
      </c>
      <c r="C2453" s="1" t="s">
        <v>1787</v>
      </c>
      <c r="D2453" s="1" t="n">
        <v>206.9</v>
      </c>
      <c r="E2453" s="1" t="n">
        <v>13.7</v>
      </c>
      <c r="F2453" s="1" t="n">
        <f aca="false">5/8</f>
        <v>0.625</v>
      </c>
    </row>
    <row collapsed="false" customFormat="false" customHeight="false" hidden="false" ht="14.75" outlineLevel="0" r="2454">
      <c r="A2454" s="1" t="s">
        <v>384</v>
      </c>
      <c r="B2454" s="1" t="s">
        <v>1786</v>
      </c>
      <c r="C2454" s="1" t="s">
        <v>1787</v>
      </c>
      <c r="D2454" s="1" t="n">
        <v>453.9</v>
      </c>
      <c r="E2454" s="1" t="n">
        <v>24.04</v>
      </c>
      <c r="F2454" s="1" t="n">
        <f aca="false">59/9</f>
        <v>6.55555555555556</v>
      </c>
    </row>
    <row collapsed="false" customFormat="false" customHeight="false" hidden="false" ht="14.75" outlineLevel="0" r="2455">
      <c r="A2455" s="1" t="s">
        <v>385</v>
      </c>
      <c r="B2455" s="1" t="s">
        <v>1786</v>
      </c>
      <c r="C2455" s="1" t="s">
        <v>1787</v>
      </c>
      <c r="D2455" s="1" t="n">
        <v>366.1</v>
      </c>
      <c r="E2455" s="1" t="n">
        <v>21.72</v>
      </c>
      <c r="F2455" s="1" t="n">
        <f aca="false">30/9</f>
        <v>3.33333333333333</v>
      </c>
    </row>
    <row collapsed="false" customFormat="false" customHeight="false" hidden="false" ht="14.75" outlineLevel="0" r="2456">
      <c r="A2456" s="1" t="s">
        <v>386</v>
      </c>
      <c r="B2456" s="1" t="s">
        <v>1790</v>
      </c>
      <c r="C2456" s="4" t="s">
        <v>1787</v>
      </c>
      <c r="D2456" s="1" t="n">
        <v>252</v>
      </c>
      <c r="E2456" s="1" t="n">
        <v>15.42</v>
      </c>
      <c r="F2456" s="1" t="n">
        <f aca="false">26/9</f>
        <v>2.88888888888889</v>
      </c>
    </row>
    <row collapsed="false" customFormat="false" customHeight="false" hidden="false" ht="14.75" outlineLevel="0" r="2457">
      <c r="A2457" s="1" t="s">
        <v>1853</v>
      </c>
      <c r="B2457" s="1" t="s">
        <v>1790</v>
      </c>
      <c r="C2457" s="4" t="s">
        <v>1787</v>
      </c>
      <c r="D2457" s="1" t="n">
        <v>127.6</v>
      </c>
      <c r="E2457" s="1" t="n">
        <v>11.33</v>
      </c>
      <c r="F2457" s="1" t="n">
        <v>1</v>
      </c>
    </row>
    <row collapsed="false" customFormat="false" customHeight="false" hidden="false" ht="14.75" outlineLevel="0" r="2458">
      <c r="A2458" s="1" t="s">
        <v>389</v>
      </c>
      <c r="B2458" s="1" t="s">
        <v>1786</v>
      </c>
      <c r="C2458" s="1" t="s">
        <v>1787</v>
      </c>
      <c r="D2458" s="1" t="n">
        <v>348.9</v>
      </c>
      <c r="E2458" s="1" t="n">
        <v>18.58</v>
      </c>
      <c r="F2458" s="1" t="n">
        <f aca="false">35/9</f>
        <v>3.88888888888889</v>
      </c>
    </row>
    <row collapsed="false" customFormat="false" customHeight="false" hidden="false" ht="14.75" outlineLevel="0" r="2459">
      <c r="A2459" s="1" t="s">
        <v>1854</v>
      </c>
      <c r="B2459" s="1" t="s">
        <v>1796</v>
      </c>
      <c r="C2459" s="1" t="s">
        <v>1787</v>
      </c>
      <c r="D2459" s="1" t="n">
        <v>218.1</v>
      </c>
      <c r="E2459" s="1" t="n">
        <v>14.04</v>
      </c>
      <c r="F2459" s="1" t="n">
        <f aca="false">7/8</f>
        <v>0.875</v>
      </c>
    </row>
    <row collapsed="false" customFormat="false" customHeight="false" hidden="false" ht="14.75" outlineLevel="0" r="2460">
      <c r="A2460" s="1" t="s">
        <v>1855</v>
      </c>
      <c r="B2460" s="1" t="s">
        <v>1797</v>
      </c>
      <c r="C2460" s="1" t="s">
        <v>1787</v>
      </c>
      <c r="D2460" s="1" t="n">
        <v>120.5</v>
      </c>
      <c r="E2460" s="1" t="n">
        <v>10</v>
      </c>
      <c r="F2460" s="1" t="n">
        <v>0.3</v>
      </c>
    </row>
    <row collapsed="false" customFormat="false" customHeight="false" hidden="false" ht="14.75" outlineLevel="0" r="2461">
      <c r="A2461" s="1" t="s">
        <v>1856</v>
      </c>
      <c r="B2461" s="1" t="s">
        <v>1796</v>
      </c>
      <c r="C2461" s="1" t="s">
        <v>1787</v>
      </c>
      <c r="D2461" s="1" t="n">
        <v>209.4</v>
      </c>
      <c r="E2461" s="1" t="n">
        <v>12.31</v>
      </c>
      <c r="F2461" s="1" t="n">
        <f aca="false">9/8</f>
        <v>1.125</v>
      </c>
    </row>
    <row collapsed="false" customFormat="false" customHeight="false" hidden="false" ht="14.75" outlineLevel="0" r="2462">
      <c r="A2462" s="1" t="s">
        <v>1857</v>
      </c>
      <c r="B2462" s="1" t="s">
        <v>1786</v>
      </c>
      <c r="C2462" s="1" t="s">
        <v>1787</v>
      </c>
      <c r="D2462" s="1" t="n">
        <v>464.4</v>
      </c>
      <c r="E2462" s="1" t="n">
        <v>20.73</v>
      </c>
      <c r="F2462" s="1" t="n">
        <f aca="false">57/9</f>
        <v>6.33333333333333</v>
      </c>
    </row>
    <row collapsed="false" customFormat="false" customHeight="false" hidden="false" ht="14.75" outlineLevel="0" r="2463">
      <c r="A2463" s="1" t="s">
        <v>1858</v>
      </c>
      <c r="B2463" s="1" t="s">
        <v>1786</v>
      </c>
      <c r="C2463" s="1" t="s">
        <v>1787</v>
      </c>
      <c r="D2463" s="1" t="n">
        <v>183.8</v>
      </c>
      <c r="E2463" s="1" t="n">
        <v>16.32</v>
      </c>
      <c r="F2463" s="1" t="n">
        <f aca="false">11/8</f>
        <v>1.375</v>
      </c>
    </row>
    <row collapsed="false" customFormat="false" customHeight="false" hidden="false" ht="14.75" outlineLevel="0" r="2464">
      <c r="A2464" s="1" t="s">
        <v>1859</v>
      </c>
      <c r="B2464" s="1" t="s">
        <v>1797</v>
      </c>
      <c r="C2464" s="1" t="s">
        <v>1787</v>
      </c>
      <c r="D2464" s="1" t="n">
        <v>146</v>
      </c>
      <c r="E2464" s="1" t="n">
        <v>10.27</v>
      </c>
      <c r="F2464" s="1" t="n">
        <v>0.7</v>
      </c>
    </row>
    <row collapsed="false" customFormat="false" customHeight="false" hidden="false" ht="14.75" outlineLevel="0" r="2465">
      <c r="A2465" s="1" t="s">
        <v>1063</v>
      </c>
      <c r="B2465" s="1" t="s">
        <v>1797</v>
      </c>
      <c r="C2465" s="1" t="s">
        <v>1787</v>
      </c>
      <c r="D2465" s="1" t="n">
        <v>56</v>
      </c>
      <c r="E2465" s="1" t="n">
        <v>4.5</v>
      </c>
      <c r="F2465" s="1" t="n">
        <v>0</v>
      </c>
    </row>
    <row collapsed="false" customFormat="false" customHeight="false" hidden="false" ht="14.75" outlineLevel="0" r="2466">
      <c r="A2466" s="1" t="s">
        <v>1751</v>
      </c>
      <c r="B2466" s="1" t="s">
        <v>1786</v>
      </c>
      <c r="C2466" s="1" t="s">
        <v>1787</v>
      </c>
      <c r="D2466" s="1" t="n">
        <v>261.2</v>
      </c>
      <c r="E2466" s="1" t="n">
        <v>18.52</v>
      </c>
      <c r="F2466" s="1" t="n">
        <f aca="false">17/8</f>
        <v>2.125</v>
      </c>
    </row>
    <row collapsed="false" customFormat="false" customHeight="false" hidden="false" ht="14.75" outlineLevel="0" r="2467">
      <c r="A2467" s="1" t="s">
        <v>1860</v>
      </c>
      <c r="B2467" s="1" t="s">
        <v>1797</v>
      </c>
      <c r="C2467" s="1" t="s">
        <v>1787</v>
      </c>
      <c r="D2467" s="1" t="n">
        <v>261.4</v>
      </c>
      <c r="E2467" s="1" t="n">
        <v>16.24</v>
      </c>
      <c r="F2467" s="1" t="n">
        <v>2.3</v>
      </c>
    </row>
    <row collapsed="false" customFormat="false" customHeight="false" hidden="false" ht="14.75" outlineLevel="0" r="2468">
      <c r="A2468" s="1" t="s">
        <v>770</v>
      </c>
      <c r="B2468" s="1" t="s">
        <v>1792</v>
      </c>
      <c r="C2468" s="1" t="s">
        <v>1787</v>
      </c>
      <c r="D2468" s="1" t="n">
        <v>350</v>
      </c>
      <c r="E2468" s="1" t="n">
        <v>22.06</v>
      </c>
      <c r="F2468" s="1" t="n">
        <f aca="false">34/9</f>
        <v>3.77777777777778</v>
      </c>
    </row>
    <row collapsed="false" customFormat="false" customHeight="false" hidden="false" ht="14.75" outlineLevel="0" r="2469">
      <c r="A2469" s="1" t="s">
        <v>771</v>
      </c>
      <c r="B2469" s="1" t="s">
        <v>1792</v>
      </c>
      <c r="C2469" s="1" t="s">
        <v>1787</v>
      </c>
      <c r="D2469" s="1" t="n">
        <v>181.7</v>
      </c>
      <c r="E2469" s="1" t="n">
        <v>15</v>
      </c>
      <c r="F2469" s="1" t="n">
        <f aca="false">10/9</f>
        <v>1.11111111111111</v>
      </c>
    </row>
    <row collapsed="false" customFormat="false" customHeight="false" hidden="false" ht="14.75" outlineLevel="0" r="2470">
      <c r="A2470" s="1" t="s">
        <v>772</v>
      </c>
      <c r="B2470" s="1" t="s">
        <v>1792</v>
      </c>
      <c r="C2470" s="1" t="s">
        <v>1787</v>
      </c>
      <c r="D2470" s="1" t="n">
        <v>121.1</v>
      </c>
      <c r="E2470" s="1" t="n">
        <v>10.55</v>
      </c>
      <c r="F2470" s="1" t="n">
        <f aca="false">8/9</f>
        <v>0.888888888888889</v>
      </c>
    </row>
    <row collapsed="false" customFormat="false" customHeight="false" hidden="false" ht="14.75" outlineLevel="0" r="2471">
      <c r="A2471" s="1" t="s">
        <v>773</v>
      </c>
      <c r="B2471" s="1" t="s">
        <v>1792</v>
      </c>
      <c r="C2471" s="1" t="s">
        <v>1787</v>
      </c>
      <c r="D2471" s="1" t="n">
        <v>67.2</v>
      </c>
      <c r="E2471" s="1" t="n">
        <v>9.55</v>
      </c>
      <c r="F2471" s="1" t="n">
        <f aca="false">1/9</f>
        <v>0.111111111111111</v>
      </c>
    </row>
    <row collapsed="false" customFormat="false" customHeight="false" hidden="false" ht="14.75" outlineLevel="0" r="2472">
      <c r="A2472" s="1" t="s">
        <v>774</v>
      </c>
      <c r="B2472" s="1" t="s">
        <v>1792</v>
      </c>
      <c r="C2472" s="1" t="s">
        <v>1787</v>
      </c>
      <c r="D2472" s="1" t="n">
        <v>75</v>
      </c>
      <c r="E2472" s="1" t="n">
        <v>8.78</v>
      </c>
      <c r="F2472" s="1" t="n">
        <f aca="false">2/9</f>
        <v>0.222222222222222</v>
      </c>
    </row>
    <row collapsed="false" customFormat="false" customHeight="false" hidden="false" ht="14.75" outlineLevel="0" r="2473">
      <c r="A2473" s="1" t="s">
        <v>278</v>
      </c>
      <c r="B2473" s="1" t="s">
        <v>1808</v>
      </c>
      <c r="C2473" s="1" t="s">
        <v>1787</v>
      </c>
      <c r="D2473" s="1" t="n">
        <v>306.5</v>
      </c>
      <c r="E2473" s="1" t="n">
        <v>17.5</v>
      </c>
      <c r="F2473" s="1" t="n">
        <v>3.6</v>
      </c>
    </row>
    <row collapsed="false" customFormat="false" customHeight="false" hidden="false" ht="14.75" outlineLevel="0" r="2474">
      <c r="A2474" s="1" t="s">
        <v>611</v>
      </c>
      <c r="B2474" s="1" t="s">
        <v>1808</v>
      </c>
      <c r="C2474" s="1" t="s">
        <v>1787</v>
      </c>
      <c r="D2474" s="1" t="n">
        <v>114</v>
      </c>
      <c r="E2474" s="1" t="n">
        <v>9.17</v>
      </c>
      <c r="F2474" s="1" t="n">
        <v>0.6</v>
      </c>
    </row>
    <row collapsed="false" customFormat="false" customHeight="false" hidden="false" ht="14.75" outlineLevel="0" r="2475">
      <c r="A2475" s="1" t="s">
        <v>779</v>
      </c>
      <c r="B2475" s="1" t="s">
        <v>1792</v>
      </c>
      <c r="C2475" s="1" t="s">
        <v>1787</v>
      </c>
      <c r="D2475" s="1" t="n">
        <v>121.1</v>
      </c>
      <c r="E2475" s="1" t="n">
        <v>10.59</v>
      </c>
      <c r="F2475" s="1" t="n">
        <f aca="false">10/9</f>
        <v>1.11111111111111</v>
      </c>
    </row>
    <row collapsed="false" customFormat="false" customHeight="false" hidden="false" ht="14.75" outlineLevel="0" r="2476">
      <c r="A2476" s="1" t="s">
        <v>1861</v>
      </c>
      <c r="B2476" s="1" t="s">
        <v>1797</v>
      </c>
      <c r="C2476" s="1" t="s">
        <v>1787</v>
      </c>
      <c r="D2476" s="1" t="n">
        <v>59</v>
      </c>
      <c r="E2476" s="1" t="n">
        <v>5.79</v>
      </c>
      <c r="F2476" s="1" t="n">
        <v>0.2</v>
      </c>
    </row>
    <row collapsed="false" customFormat="false" customHeight="false" hidden="false" ht="14.75" outlineLevel="0" r="2477">
      <c r="A2477" s="1" t="s">
        <v>702</v>
      </c>
      <c r="B2477" s="1" t="s">
        <v>1796</v>
      </c>
      <c r="C2477" s="1" t="s">
        <v>1787</v>
      </c>
      <c r="D2477" s="1" t="n">
        <v>437.2</v>
      </c>
      <c r="E2477" s="1" t="n">
        <v>20.35</v>
      </c>
      <c r="F2477" s="1" t="n">
        <f aca="false">31/9</f>
        <v>3.44444444444444</v>
      </c>
    </row>
    <row collapsed="false" customFormat="false" customHeight="false" hidden="false" ht="14.75" outlineLevel="0" r="2478">
      <c r="A2478" s="1" t="s">
        <v>703</v>
      </c>
      <c r="B2478" s="1" t="s">
        <v>1796</v>
      </c>
      <c r="C2478" s="1" t="s">
        <v>1787</v>
      </c>
      <c r="D2478" s="1" t="n">
        <v>198.8</v>
      </c>
      <c r="E2478" s="1" t="n">
        <v>13.09</v>
      </c>
      <c r="F2478" s="1" t="n">
        <v>1</v>
      </c>
    </row>
    <row collapsed="false" customFormat="false" customHeight="false" hidden="false" ht="14.75" outlineLevel="0" r="2479">
      <c r="A2479" s="1" t="s">
        <v>1862</v>
      </c>
      <c r="B2479" s="1" t="s">
        <v>1808</v>
      </c>
      <c r="C2479" s="1" t="s">
        <v>1787</v>
      </c>
      <c r="D2479" s="1" t="n">
        <v>268.5</v>
      </c>
      <c r="E2479" s="1" t="n">
        <v>16.37</v>
      </c>
      <c r="F2479" s="1" t="n">
        <v>2.2</v>
      </c>
    </row>
    <row collapsed="false" customFormat="false" customHeight="false" hidden="false" ht="14.75" outlineLevel="0" r="2480">
      <c r="A2480" s="1" t="s">
        <v>400</v>
      </c>
      <c r="B2480" s="1" t="s">
        <v>1786</v>
      </c>
      <c r="C2480" s="1" t="s">
        <v>1787</v>
      </c>
      <c r="D2480" s="1" t="n">
        <v>355</v>
      </c>
      <c r="E2480" s="1" t="n">
        <v>20.39</v>
      </c>
      <c r="F2480" s="1" t="n">
        <f aca="false">30/9</f>
        <v>3.33333333333333</v>
      </c>
    </row>
    <row collapsed="false" customFormat="false" customHeight="false" hidden="false" ht="14.75" outlineLevel="0" r="2481">
      <c r="A2481" s="1" t="s">
        <v>1863</v>
      </c>
      <c r="B2481" s="1" t="s">
        <v>1796</v>
      </c>
      <c r="C2481" s="1" t="s">
        <v>1787</v>
      </c>
      <c r="D2481" s="1" t="n">
        <v>100.6</v>
      </c>
      <c r="E2481" s="1" t="n">
        <v>7.11</v>
      </c>
      <c r="F2481" s="1" t="n">
        <f aca="false">5/8</f>
        <v>0.625</v>
      </c>
    </row>
    <row collapsed="false" customFormat="false" customHeight="false" hidden="false" ht="14.75" outlineLevel="0" r="2482">
      <c r="A2482" s="1" t="s">
        <v>1864</v>
      </c>
      <c r="B2482" s="1" t="s">
        <v>1797</v>
      </c>
      <c r="C2482" s="1" t="s">
        <v>1787</v>
      </c>
      <c r="D2482" s="1" t="n">
        <v>160.5</v>
      </c>
      <c r="E2482" s="1" t="n">
        <v>12.93</v>
      </c>
      <c r="F2482" s="1" t="n">
        <v>0.3</v>
      </c>
    </row>
    <row collapsed="false" customFormat="false" customHeight="false" hidden="false" ht="14.75" outlineLevel="0" r="2483">
      <c r="A2483" s="1" t="s">
        <v>1865</v>
      </c>
      <c r="B2483" s="1" t="s">
        <v>1797</v>
      </c>
      <c r="C2483" s="1" t="s">
        <v>1787</v>
      </c>
      <c r="D2483" s="1" t="n">
        <v>88</v>
      </c>
      <c r="E2483" s="1" t="n">
        <v>4.83</v>
      </c>
      <c r="F2483" s="1" t="n">
        <v>0.3</v>
      </c>
    </row>
    <row collapsed="false" customFormat="false" customHeight="false" hidden="false" ht="14.75" outlineLevel="0" r="2484">
      <c r="A2484" s="1" t="s">
        <v>282</v>
      </c>
      <c r="B2484" s="1" t="s">
        <v>1808</v>
      </c>
      <c r="C2484" s="1" t="s">
        <v>1787</v>
      </c>
      <c r="D2484" s="1" t="n">
        <v>180.5</v>
      </c>
      <c r="E2484" s="1" t="n">
        <v>13.25</v>
      </c>
      <c r="F2484" s="1" t="n">
        <v>1</v>
      </c>
    </row>
    <row collapsed="false" customFormat="false" customHeight="false" hidden="false" ht="14.75" outlineLevel="0" r="2485">
      <c r="A2485" s="1" t="s">
        <v>1866</v>
      </c>
      <c r="B2485" s="1" t="s">
        <v>1809</v>
      </c>
      <c r="C2485" s="1" t="s">
        <v>1787</v>
      </c>
      <c r="D2485" s="1" t="n">
        <v>96.7</v>
      </c>
      <c r="E2485" s="1" t="n">
        <v>7.96</v>
      </c>
      <c r="F2485" s="1" t="n">
        <f aca="false">3/9</f>
        <v>0.333333333333333</v>
      </c>
    </row>
    <row collapsed="false" customFormat="false" customHeight="false" hidden="false" ht="14.75" outlineLevel="0" r="2486">
      <c r="A2486" s="1" t="s">
        <v>1867</v>
      </c>
      <c r="B2486" s="1" t="s">
        <v>1797</v>
      </c>
      <c r="C2486" s="1" t="s">
        <v>1787</v>
      </c>
      <c r="D2486" s="1" t="n">
        <v>291.5</v>
      </c>
      <c r="E2486" s="1" t="n">
        <v>17.5</v>
      </c>
      <c r="F2486" s="1" t="n">
        <v>3.3</v>
      </c>
    </row>
    <row collapsed="false" customFormat="false" customHeight="false" hidden="false" ht="14.75" outlineLevel="0" r="2487">
      <c r="A2487" s="1" t="s">
        <v>1868</v>
      </c>
      <c r="B2487" s="1" t="s">
        <v>1797</v>
      </c>
      <c r="C2487" s="1" t="s">
        <v>1787</v>
      </c>
      <c r="D2487" s="1" t="n">
        <v>276.4</v>
      </c>
      <c r="E2487" s="1" t="n">
        <v>16.85</v>
      </c>
      <c r="F2487" s="1" t="n">
        <f aca="false">33/11</f>
        <v>3</v>
      </c>
    </row>
    <row collapsed="false" customFormat="false" customHeight="false" hidden="false" ht="14.75" outlineLevel="0" r="2488">
      <c r="A2488" s="1" t="s">
        <v>1869</v>
      </c>
      <c r="B2488" s="1" t="s">
        <v>1797</v>
      </c>
      <c r="C2488" s="1" t="s">
        <v>1787</v>
      </c>
      <c r="D2488" s="1" t="n">
        <v>154.5</v>
      </c>
      <c r="E2488" s="1" t="n">
        <v>12.14</v>
      </c>
      <c r="F2488" s="1" t="n">
        <v>1</v>
      </c>
    </row>
    <row collapsed="false" customFormat="false" customHeight="false" hidden="false" ht="14.75" outlineLevel="0" r="2489">
      <c r="A2489" s="1" t="s">
        <v>1870</v>
      </c>
      <c r="B2489" s="1" t="s">
        <v>1797</v>
      </c>
      <c r="C2489" s="1" t="s">
        <v>1787</v>
      </c>
      <c r="D2489" s="1" t="n">
        <v>328</v>
      </c>
      <c r="E2489" s="1" t="n">
        <v>18.76</v>
      </c>
      <c r="F2489" s="1" t="n">
        <v>2.7</v>
      </c>
    </row>
    <row collapsed="false" customFormat="false" customHeight="false" hidden="false" ht="14.75" outlineLevel="0" r="2490">
      <c r="A2490" s="1" t="s">
        <v>1871</v>
      </c>
      <c r="B2490" s="1" t="s">
        <v>1797</v>
      </c>
      <c r="C2490" s="1" t="s">
        <v>1787</v>
      </c>
      <c r="D2490" s="1" t="n">
        <v>169.3</v>
      </c>
      <c r="E2490" s="1" t="n">
        <v>12.88</v>
      </c>
      <c r="F2490" s="1" t="n">
        <v>0.3</v>
      </c>
    </row>
    <row collapsed="false" customFormat="false" customHeight="false" hidden="false" ht="14.75" outlineLevel="0" r="2491">
      <c r="A2491" s="1" t="s">
        <v>1872</v>
      </c>
      <c r="B2491" s="1" t="s">
        <v>1790</v>
      </c>
      <c r="C2491" s="4" t="s">
        <v>1787</v>
      </c>
      <c r="D2491" s="1" t="n">
        <v>142.3</v>
      </c>
      <c r="E2491" s="1" t="n">
        <v>12.26</v>
      </c>
      <c r="F2491" s="1" t="n">
        <f aca="false">5/7</f>
        <v>0.714285714285714</v>
      </c>
    </row>
    <row collapsed="false" customFormat="false" customHeight="false" hidden="false" ht="14.75" outlineLevel="0" r="2492">
      <c r="A2492" s="1" t="s">
        <v>1082</v>
      </c>
      <c r="B2492" s="1" t="s">
        <v>1808</v>
      </c>
      <c r="C2492" s="1" t="s">
        <v>1787</v>
      </c>
      <c r="D2492" s="1" t="n">
        <v>438</v>
      </c>
      <c r="E2492" s="1" t="n">
        <v>22.25</v>
      </c>
      <c r="F2492" s="1" t="n">
        <v>4.7</v>
      </c>
    </row>
    <row collapsed="false" customFormat="false" customHeight="false" hidden="false" ht="14.75" outlineLevel="0" r="2493">
      <c r="A2493" s="1" t="s">
        <v>1083</v>
      </c>
      <c r="B2493" s="1" t="s">
        <v>1808</v>
      </c>
      <c r="C2493" s="1" t="s">
        <v>1787</v>
      </c>
      <c r="D2493" s="1" t="n">
        <v>85</v>
      </c>
      <c r="E2493" s="1" t="n">
        <v>9.78</v>
      </c>
      <c r="F2493" s="1" t="n">
        <v>0</v>
      </c>
    </row>
    <row collapsed="false" customFormat="false" customHeight="false" hidden="false" ht="14.75" outlineLevel="0" r="2494">
      <c r="A2494" s="1" t="s">
        <v>1873</v>
      </c>
      <c r="B2494" s="1" t="s">
        <v>1796</v>
      </c>
      <c r="C2494" s="1" t="s">
        <v>1787</v>
      </c>
      <c r="D2494" s="1" t="n">
        <v>255</v>
      </c>
      <c r="E2494" s="1" t="n">
        <v>13.33</v>
      </c>
      <c r="F2494" s="1" t="n">
        <f aca="false">4/8</f>
        <v>0.5</v>
      </c>
    </row>
    <row collapsed="false" customFormat="false" customHeight="false" hidden="false" ht="14.75" outlineLevel="0" r="2495">
      <c r="A2495" s="1" t="s">
        <v>1874</v>
      </c>
      <c r="B2495" s="1" t="s">
        <v>1796</v>
      </c>
      <c r="C2495" s="1" t="s">
        <v>1787</v>
      </c>
      <c r="D2495" s="1" t="n">
        <v>103.1</v>
      </c>
      <c r="E2495" s="1" t="n">
        <v>8</v>
      </c>
      <c r="F2495" s="1" t="n">
        <f aca="false">1/8</f>
        <v>0.125</v>
      </c>
    </row>
    <row collapsed="false" customFormat="false" customHeight="false" hidden="false" ht="14.75" outlineLevel="0" r="2496">
      <c r="A2496" s="1" t="s">
        <v>1875</v>
      </c>
      <c r="B2496" s="1" t="s">
        <v>1797</v>
      </c>
      <c r="C2496" s="1" t="s">
        <v>1787</v>
      </c>
      <c r="D2496" s="1" t="n">
        <v>180.6</v>
      </c>
      <c r="E2496" s="1" t="n">
        <v>11.52</v>
      </c>
      <c r="F2496" s="1" t="n">
        <f aca="false">9/8</f>
        <v>1.125</v>
      </c>
    </row>
    <row collapsed="false" customFormat="false" customHeight="false" hidden="false" ht="14.75" outlineLevel="0" r="2497">
      <c r="A2497" s="1" t="s">
        <v>1782</v>
      </c>
      <c r="B2497" s="1" t="s">
        <v>1796</v>
      </c>
      <c r="C2497" s="1" t="s">
        <v>1787</v>
      </c>
      <c r="D2497" s="1" t="n">
        <v>155.6</v>
      </c>
      <c r="E2497" s="1" t="n">
        <v>9.81</v>
      </c>
      <c r="F2497" s="1" t="n">
        <f aca="false">3/8</f>
        <v>0.375</v>
      </c>
    </row>
    <row collapsed="false" customFormat="false" customHeight="false" hidden="false" ht="14.75" outlineLevel="0" r="2498">
      <c r="A2498" s="1" t="s">
        <v>677</v>
      </c>
      <c r="B2498" s="1" t="s">
        <v>1792</v>
      </c>
      <c r="C2498" s="1" t="s">
        <v>1787</v>
      </c>
      <c r="D2498" s="1" t="n">
        <v>156.1</v>
      </c>
      <c r="E2498" s="1" t="n">
        <v>13.44</v>
      </c>
      <c r="F2498" s="1" t="n">
        <f aca="false">5/9</f>
        <v>0.555555555555556</v>
      </c>
    </row>
    <row collapsed="false" customFormat="false" customHeight="false" hidden="false" ht="14.75" outlineLevel="0" r="2499">
      <c r="A2499" s="1" t="s">
        <v>1635</v>
      </c>
      <c r="B2499" s="1" t="s">
        <v>1876</v>
      </c>
      <c r="C2499" s="1" t="s">
        <v>1877</v>
      </c>
      <c r="D2499" s="1" t="n">
        <v>191.8</v>
      </c>
      <c r="E2499" s="1" t="n">
        <v>19.43</v>
      </c>
      <c r="F2499" s="1" t="n">
        <f aca="false">32/11</f>
        <v>2.90909090909091</v>
      </c>
    </row>
    <row collapsed="false" customFormat="false" customHeight="false" hidden="false" ht="14.75" outlineLevel="0" r="2500">
      <c r="A2500" s="1" t="s">
        <v>1636</v>
      </c>
      <c r="B2500" s="1" t="s">
        <v>1878</v>
      </c>
      <c r="C2500" s="1" t="s">
        <v>1877</v>
      </c>
      <c r="D2500" s="1" t="n">
        <v>171</v>
      </c>
      <c r="E2500" s="1" t="n">
        <v>14.79</v>
      </c>
      <c r="F2500" s="1" t="n">
        <v>1.6</v>
      </c>
    </row>
    <row collapsed="false" customFormat="false" customHeight="false" hidden="false" ht="14.75" outlineLevel="0" r="2501">
      <c r="A2501" s="1" t="s">
        <v>295</v>
      </c>
      <c r="B2501" s="1" t="s">
        <v>1876</v>
      </c>
      <c r="C2501" s="1" t="s">
        <v>1877</v>
      </c>
      <c r="D2501" s="1" t="n">
        <v>355.9</v>
      </c>
      <c r="E2501" s="1" t="n">
        <v>26.08</v>
      </c>
      <c r="F2501" s="1" t="n">
        <f aca="false">60/11</f>
        <v>5.45454545454545</v>
      </c>
    </row>
    <row collapsed="false" customFormat="false" customHeight="false" hidden="false" ht="14.75" outlineLevel="0" r="2502">
      <c r="A2502" s="1" t="s">
        <v>296</v>
      </c>
      <c r="B2502" s="1" t="s">
        <v>1878</v>
      </c>
      <c r="C2502" s="1" t="s">
        <v>1877</v>
      </c>
      <c r="D2502" s="1" t="n">
        <v>194</v>
      </c>
      <c r="E2502" s="1" t="n">
        <v>13.75</v>
      </c>
      <c r="F2502" s="1" t="n">
        <v>1.5</v>
      </c>
    </row>
    <row collapsed="false" customFormat="false" customHeight="false" hidden="false" ht="14.75" outlineLevel="0" r="2503">
      <c r="A2503" s="1" t="s">
        <v>297</v>
      </c>
      <c r="B2503" s="1" t="s">
        <v>1878</v>
      </c>
      <c r="C2503" s="1" t="s">
        <v>1877</v>
      </c>
      <c r="D2503" s="1" t="n">
        <v>54.5</v>
      </c>
      <c r="E2503" s="1" t="n">
        <v>4.87</v>
      </c>
      <c r="F2503" s="1" t="n">
        <v>0.1</v>
      </c>
    </row>
    <row collapsed="false" customFormat="false" customHeight="false" hidden="false" ht="14.75" outlineLevel="0" r="2504">
      <c r="A2504" s="1" t="s">
        <v>812</v>
      </c>
      <c r="B2504" s="1" t="s">
        <v>1879</v>
      </c>
      <c r="C2504" s="1" t="s">
        <v>1877</v>
      </c>
      <c r="D2504" s="1" t="n">
        <v>471.7</v>
      </c>
      <c r="E2504" s="1" t="n">
        <v>23.8</v>
      </c>
      <c r="F2504" s="1" t="n">
        <f aca="false">40/6</f>
        <v>6.66666666666667</v>
      </c>
    </row>
    <row collapsed="false" customFormat="false" customHeight="false" hidden="false" ht="14.75" outlineLevel="0" r="2505">
      <c r="A2505" s="1" t="s">
        <v>1880</v>
      </c>
      <c r="B2505" s="1" t="s">
        <v>1876</v>
      </c>
      <c r="C2505" s="1" t="s">
        <v>1877</v>
      </c>
      <c r="D2505" s="1" t="n">
        <v>410.8</v>
      </c>
      <c r="E2505" s="1" t="n">
        <v>25.57</v>
      </c>
      <c r="F2505" s="1" t="n">
        <f aca="false">90/12</f>
        <v>7.5</v>
      </c>
    </row>
    <row collapsed="false" customFormat="false" customHeight="false" hidden="false" ht="14.75" outlineLevel="0" r="2506">
      <c r="A2506" s="1" t="s">
        <v>1881</v>
      </c>
      <c r="B2506" s="1" t="s">
        <v>1878</v>
      </c>
      <c r="C2506" s="1" t="s">
        <v>1877</v>
      </c>
      <c r="D2506" s="1" t="n">
        <v>314.1</v>
      </c>
      <c r="E2506" s="1" t="n">
        <v>20.09</v>
      </c>
      <c r="F2506" s="1" t="n">
        <f aca="false">27/11</f>
        <v>2.45454545454545</v>
      </c>
    </row>
    <row collapsed="false" customFormat="false" customHeight="false" hidden="false" ht="14.75" outlineLevel="0" r="2507">
      <c r="A2507" s="1" t="s">
        <v>1659</v>
      </c>
      <c r="B2507" s="1" t="s">
        <v>1878</v>
      </c>
      <c r="C2507" s="1" t="s">
        <v>1877</v>
      </c>
      <c r="D2507" s="1" t="n">
        <v>148</v>
      </c>
      <c r="E2507" s="1" t="n">
        <v>13.08</v>
      </c>
      <c r="F2507" s="1" t="n">
        <v>0.9</v>
      </c>
    </row>
    <row collapsed="false" customFormat="false" customHeight="false" hidden="false" ht="14.75" outlineLevel="0" r="2508">
      <c r="A2508" s="1" t="s">
        <v>1522</v>
      </c>
      <c r="B2508" s="1" t="s">
        <v>1876</v>
      </c>
      <c r="C2508" s="1" t="s">
        <v>1877</v>
      </c>
      <c r="D2508" s="1" t="n">
        <v>327.3</v>
      </c>
      <c r="E2508" s="1" t="n">
        <v>25.15</v>
      </c>
      <c r="F2508" s="1" t="n">
        <f aca="false">53/11</f>
        <v>4.81818181818182</v>
      </c>
    </row>
    <row collapsed="false" customFormat="false" customHeight="false" hidden="false" ht="14.75" outlineLevel="0" r="2509">
      <c r="A2509" s="1" t="s">
        <v>324</v>
      </c>
      <c r="B2509" s="1" t="s">
        <v>1878</v>
      </c>
      <c r="C2509" s="1" t="s">
        <v>1877</v>
      </c>
      <c r="D2509" s="1" t="n">
        <v>235</v>
      </c>
      <c r="E2509" s="1" t="n">
        <v>16.37</v>
      </c>
      <c r="F2509" s="1" t="n">
        <v>1</v>
      </c>
    </row>
    <row collapsed="false" customFormat="false" customHeight="false" hidden="false" ht="14.75" outlineLevel="0" r="2510">
      <c r="A2510" s="1" t="s">
        <v>1882</v>
      </c>
      <c r="B2510" s="1" t="s">
        <v>1878</v>
      </c>
      <c r="C2510" s="1" t="s">
        <v>1877</v>
      </c>
      <c r="D2510" s="1" t="n">
        <v>108.5</v>
      </c>
      <c r="E2510" s="1" t="n">
        <v>11.4</v>
      </c>
      <c r="F2510" s="1" t="n">
        <v>0.5</v>
      </c>
    </row>
    <row collapsed="false" customFormat="false" customHeight="false" hidden="false" ht="14.75" outlineLevel="0" r="2511">
      <c r="A2511" s="1" t="s">
        <v>204</v>
      </c>
      <c r="B2511" s="1" t="s">
        <v>1876</v>
      </c>
      <c r="C2511" s="1" t="s">
        <v>1877</v>
      </c>
      <c r="D2511" s="1" t="n">
        <v>482.7</v>
      </c>
      <c r="E2511" s="1" t="n">
        <v>26.97</v>
      </c>
      <c r="F2511" s="1" t="n">
        <f aca="false">110/13</f>
        <v>8.46153846153846</v>
      </c>
    </row>
    <row collapsed="false" customFormat="false" customHeight="false" hidden="false" ht="14.75" outlineLevel="0" r="2512">
      <c r="A2512" s="1" t="s">
        <v>332</v>
      </c>
      <c r="B2512" s="1" t="s">
        <v>1878</v>
      </c>
      <c r="C2512" s="1" t="s">
        <v>1877</v>
      </c>
      <c r="D2512" s="1" t="n">
        <v>311.4</v>
      </c>
      <c r="E2512" s="1" t="n">
        <v>20.09</v>
      </c>
      <c r="F2512" s="1" t="n">
        <f aca="false">48/11</f>
        <v>4.36363636363636</v>
      </c>
    </row>
    <row collapsed="false" customFormat="false" customHeight="false" hidden="false" ht="14.75" outlineLevel="0" r="2513">
      <c r="A2513" s="1" t="s">
        <v>1170</v>
      </c>
      <c r="B2513" s="1" t="s">
        <v>1878</v>
      </c>
      <c r="C2513" s="1" t="s">
        <v>1877</v>
      </c>
      <c r="D2513" s="1" t="n">
        <v>309</v>
      </c>
      <c r="E2513" s="1" t="n">
        <v>18.38</v>
      </c>
      <c r="F2513" s="1" t="n">
        <v>2.5</v>
      </c>
    </row>
    <row collapsed="false" customFormat="false" customHeight="false" hidden="false" ht="14.75" outlineLevel="0" r="2514">
      <c r="A2514" s="1" t="s">
        <v>1171</v>
      </c>
      <c r="B2514" s="1" t="s">
        <v>1878</v>
      </c>
      <c r="C2514" s="1" t="s">
        <v>1877</v>
      </c>
      <c r="D2514" s="1" t="n">
        <v>180</v>
      </c>
      <c r="E2514" s="1" t="n">
        <v>15.48</v>
      </c>
      <c r="F2514" s="1" t="n">
        <v>1.5</v>
      </c>
    </row>
    <row collapsed="false" customFormat="false" customHeight="false" hidden="false" ht="14.75" outlineLevel="0" r="2515">
      <c r="A2515" s="1" t="s">
        <v>1883</v>
      </c>
      <c r="B2515" s="1" t="s">
        <v>1878</v>
      </c>
      <c r="C2515" s="1" t="s">
        <v>1877</v>
      </c>
      <c r="D2515" s="1" t="n">
        <v>111</v>
      </c>
      <c r="E2515" s="1" t="n">
        <v>9.76</v>
      </c>
      <c r="F2515" s="1" t="n">
        <v>0.8</v>
      </c>
    </row>
    <row collapsed="false" customFormat="false" customHeight="false" hidden="false" ht="14.75" outlineLevel="0" r="2516">
      <c r="A2516" s="1" t="s">
        <v>865</v>
      </c>
      <c r="B2516" s="1" t="s">
        <v>1879</v>
      </c>
      <c r="C2516" s="1" t="s">
        <v>1877</v>
      </c>
      <c r="D2516" s="1" t="n">
        <v>643.6</v>
      </c>
      <c r="E2516" s="1" t="n">
        <v>24.88</v>
      </c>
      <c r="F2516" s="1" t="n">
        <f aca="false">56/7</f>
        <v>8</v>
      </c>
    </row>
    <row collapsed="false" customFormat="false" customHeight="false" hidden="false" ht="14.75" outlineLevel="0" r="2517">
      <c r="A2517" s="1" t="s">
        <v>866</v>
      </c>
      <c r="B2517" s="1" t="s">
        <v>1879</v>
      </c>
      <c r="C2517" s="1" t="s">
        <v>1877</v>
      </c>
      <c r="D2517" s="1" t="n">
        <v>217.5</v>
      </c>
      <c r="E2517" s="1" t="n">
        <v>19.09</v>
      </c>
      <c r="F2517" s="1" t="n">
        <f aca="false">13/6</f>
        <v>2.16666666666667</v>
      </c>
    </row>
    <row collapsed="false" customFormat="false" customHeight="false" hidden="false" ht="14.75" outlineLevel="0" r="2518">
      <c r="A2518" s="1" t="s">
        <v>1884</v>
      </c>
      <c r="B2518" s="1" t="s">
        <v>1879</v>
      </c>
      <c r="C2518" s="1" t="s">
        <v>1877</v>
      </c>
      <c r="D2518" s="1" t="n">
        <v>175.8</v>
      </c>
      <c r="E2518" s="1" t="n">
        <v>17.89</v>
      </c>
      <c r="F2518" s="1" t="n">
        <f aca="false">13/6</f>
        <v>2.16666666666667</v>
      </c>
    </row>
    <row collapsed="false" customFormat="false" customHeight="false" hidden="false" ht="14.75" outlineLevel="0" r="2519">
      <c r="A2519" s="1" t="s">
        <v>561</v>
      </c>
      <c r="B2519" s="1" t="s">
        <v>1879</v>
      </c>
      <c r="C2519" s="1" t="s">
        <v>1877</v>
      </c>
      <c r="D2519" s="1" t="n">
        <v>306.4</v>
      </c>
      <c r="E2519" s="1" t="n">
        <v>21.18</v>
      </c>
      <c r="F2519" s="1" t="n">
        <f aca="false">27/7</f>
        <v>3.85714285714286</v>
      </c>
    </row>
    <row collapsed="false" customFormat="false" customHeight="false" hidden="false" ht="14.75" outlineLevel="0" r="2520">
      <c r="A2520" s="1" t="s">
        <v>142</v>
      </c>
      <c r="B2520" s="1" t="s">
        <v>1879</v>
      </c>
      <c r="C2520" s="1" t="s">
        <v>1877</v>
      </c>
      <c r="D2520" s="1" t="n">
        <v>103.6</v>
      </c>
      <c r="E2520" s="1" t="n">
        <v>11.76</v>
      </c>
      <c r="F2520" s="1" t="n">
        <f aca="false">6/7</f>
        <v>0.857142857142857</v>
      </c>
    </row>
    <row collapsed="false" customFormat="false" customHeight="false" hidden="false" ht="14.75" outlineLevel="0" r="2521">
      <c r="A2521" s="1" t="s">
        <v>343</v>
      </c>
      <c r="B2521" s="1" t="s">
        <v>1876</v>
      </c>
      <c r="C2521" s="1" t="s">
        <v>1877</v>
      </c>
      <c r="D2521" s="1" t="n">
        <v>535</v>
      </c>
      <c r="E2521" s="1" t="n">
        <v>27.42</v>
      </c>
      <c r="F2521" s="1" t="n">
        <f aca="false">125/12</f>
        <v>10.4166666666667</v>
      </c>
    </row>
    <row collapsed="false" customFormat="false" customHeight="false" hidden="false" ht="14.75" outlineLevel="0" r="2522">
      <c r="A2522" s="1" t="s">
        <v>344</v>
      </c>
      <c r="B2522" s="1" t="s">
        <v>1876</v>
      </c>
      <c r="C2522" s="1" t="s">
        <v>1877</v>
      </c>
      <c r="D2522" s="1" t="n">
        <v>345.5</v>
      </c>
      <c r="E2522" s="1" t="n">
        <v>24.8</v>
      </c>
      <c r="F2522" s="1" t="n">
        <f aca="false">65/11</f>
        <v>5.90909090909091</v>
      </c>
    </row>
    <row collapsed="false" customFormat="false" customHeight="false" hidden="false" ht="14.75" outlineLevel="0" r="2523">
      <c r="A2523" s="1" t="s">
        <v>351</v>
      </c>
      <c r="B2523" s="1" t="s">
        <v>1876</v>
      </c>
      <c r="C2523" s="1" t="s">
        <v>1877</v>
      </c>
      <c r="D2523" s="1" t="n">
        <v>415</v>
      </c>
      <c r="E2523" s="1" t="n">
        <v>25.17</v>
      </c>
      <c r="F2523" s="1" t="n">
        <f aca="false">82/11</f>
        <v>7.45454545454545</v>
      </c>
    </row>
    <row collapsed="false" customFormat="false" customHeight="false" hidden="false" ht="14.75" outlineLevel="0" r="2524">
      <c r="A2524" s="1" t="s">
        <v>904</v>
      </c>
      <c r="B2524" s="1" t="s">
        <v>1879</v>
      </c>
      <c r="C2524" s="1" t="s">
        <v>1877</v>
      </c>
      <c r="D2524" s="1" t="n">
        <v>88.6</v>
      </c>
      <c r="E2524" s="1" t="n">
        <v>11.67</v>
      </c>
      <c r="F2524" s="1" t="n">
        <f aca="false">5/7</f>
        <v>0.714285714285714</v>
      </c>
    </row>
    <row collapsed="false" customFormat="false" customHeight="false" hidden="false" ht="14.75" outlineLevel="0" r="2525">
      <c r="A2525" s="1" t="s">
        <v>19</v>
      </c>
      <c r="B2525" s="1" t="s">
        <v>1876</v>
      </c>
      <c r="C2525" s="1" t="s">
        <v>1877</v>
      </c>
      <c r="D2525" s="1" t="n">
        <v>397.3</v>
      </c>
      <c r="E2525" s="1" t="n">
        <v>26.95</v>
      </c>
      <c r="F2525" s="1" t="n">
        <f aca="false">82/11</f>
        <v>7.45454545454545</v>
      </c>
    </row>
    <row collapsed="false" customFormat="false" customHeight="false" hidden="false" ht="14.75" outlineLevel="0" r="2526">
      <c r="A2526" s="1" t="s">
        <v>1885</v>
      </c>
      <c r="B2526" s="1" t="s">
        <v>1878</v>
      </c>
      <c r="C2526" s="1" t="s">
        <v>1877</v>
      </c>
      <c r="D2526" s="1" t="n">
        <v>345</v>
      </c>
      <c r="E2526" s="1" t="n">
        <v>20.53</v>
      </c>
      <c r="F2526" s="1" t="n">
        <v>2.3</v>
      </c>
    </row>
    <row collapsed="false" customFormat="false" customHeight="false" hidden="false" ht="14.75" outlineLevel="0" r="2527">
      <c r="A2527" s="1" t="s">
        <v>1886</v>
      </c>
      <c r="B2527" s="1" t="s">
        <v>1878</v>
      </c>
      <c r="C2527" s="1" t="s">
        <v>1877</v>
      </c>
      <c r="D2527" s="1" t="n">
        <v>325.5</v>
      </c>
      <c r="E2527" s="1" t="n">
        <v>19.73</v>
      </c>
      <c r="F2527" s="1" t="n">
        <v>3</v>
      </c>
    </row>
    <row collapsed="false" customFormat="false" customHeight="false" hidden="false" ht="14.75" outlineLevel="0" r="2528">
      <c r="A2528" s="1" t="s">
        <v>1887</v>
      </c>
      <c r="B2528" s="1" t="s">
        <v>1878</v>
      </c>
      <c r="C2528" s="1" t="s">
        <v>1877</v>
      </c>
      <c r="D2528" s="1" t="n">
        <v>334.5</v>
      </c>
      <c r="E2528" s="1" t="n">
        <v>18.93</v>
      </c>
      <c r="F2528" s="1" t="n">
        <v>2.9</v>
      </c>
    </row>
    <row collapsed="false" customFormat="false" customHeight="false" hidden="false" ht="14.75" outlineLevel="0" r="2529">
      <c r="A2529" s="1" t="s">
        <v>358</v>
      </c>
      <c r="B2529" s="1" t="s">
        <v>1878</v>
      </c>
      <c r="C2529" s="1" t="s">
        <v>1877</v>
      </c>
      <c r="D2529" s="1" t="n">
        <v>289.5</v>
      </c>
      <c r="E2529" s="1" t="n">
        <v>17.19</v>
      </c>
      <c r="F2529" s="1" t="n">
        <v>3.3</v>
      </c>
    </row>
    <row collapsed="false" customFormat="false" customHeight="false" hidden="false" ht="14.75" outlineLevel="0" r="2530">
      <c r="A2530" s="1" t="s">
        <v>359</v>
      </c>
      <c r="B2530" s="1" t="s">
        <v>1878</v>
      </c>
      <c r="C2530" s="1" t="s">
        <v>1877</v>
      </c>
      <c r="D2530" s="1" t="n">
        <v>185.5</v>
      </c>
      <c r="E2530" s="1" t="n">
        <v>12.68</v>
      </c>
      <c r="F2530" s="1" t="n">
        <v>0.9</v>
      </c>
    </row>
    <row collapsed="false" customFormat="false" customHeight="false" hidden="false" ht="14.75" outlineLevel="0" r="2531">
      <c r="A2531" s="1" t="s">
        <v>1888</v>
      </c>
      <c r="B2531" s="1" t="s">
        <v>1878</v>
      </c>
      <c r="C2531" s="1" t="s">
        <v>1877</v>
      </c>
      <c r="D2531" s="1" t="n">
        <v>78.5</v>
      </c>
      <c r="E2531" s="1" t="n">
        <v>11.75</v>
      </c>
      <c r="F2531" s="1" t="n">
        <v>0.2</v>
      </c>
    </row>
    <row collapsed="false" customFormat="false" customHeight="false" hidden="false" ht="14.75" outlineLevel="0" r="2532">
      <c r="A2532" s="1" t="s">
        <v>1889</v>
      </c>
      <c r="B2532" s="1" t="s">
        <v>1879</v>
      </c>
      <c r="C2532" s="1" t="s">
        <v>1877</v>
      </c>
      <c r="D2532" s="1" t="n">
        <v>211.4</v>
      </c>
      <c r="E2532" s="1" t="n">
        <v>15.79</v>
      </c>
      <c r="F2532" s="1" t="n">
        <f aca="false">16/7</f>
        <v>2.28571428571429</v>
      </c>
    </row>
    <row collapsed="false" customFormat="false" customHeight="false" hidden="false" ht="14.75" outlineLevel="0" r="2533">
      <c r="A2533" s="1" t="s">
        <v>1890</v>
      </c>
      <c r="B2533" s="1" t="s">
        <v>1879</v>
      </c>
      <c r="C2533" s="1" t="s">
        <v>1877</v>
      </c>
      <c r="D2533" s="1" t="n">
        <v>383.6</v>
      </c>
      <c r="E2533" s="1" t="n">
        <v>21.2</v>
      </c>
      <c r="F2533" s="1" t="n">
        <f aca="false">29/7</f>
        <v>4.14285714285714</v>
      </c>
    </row>
    <row collapsed="false" customFormat="false" customHeight="false" hidden="false" ht="14.75" outlineLevel="0" r="2534">
      <c r="A2534" s="1" t="s">
        <v>163</v>
      </c>
      <c r="B2534" s="1" t="s">
        <v>1876</v>
      </c>
      <c r="C2534" s="1" t="s">
        <v>1877</v>
      </c>
      <c r="D2534" s="1" t="n">
        <v>386.8</v>
      </c>
      <c r="E2534" s="1" t="n">
        <v>25.54</v>
      </c>
      <c r="F2534" s="1" t="n">
        <f aca="false">74/11</f>
        <v>6.72727272727273</v>
      </c>
    </row>
    <row collapsed="false" customFormat="false" customHeight="false" hidden="false" ht="14.75" outlineLevel="0" r="2535">
      <c r="A2535" s="1" t="s">
        <v>666</v>
      </c>
      <c r="B2535" s="1" t="s">
        <v>1879</v>
      </c>
      <c r="C2535" s="1" t="s">
        <v>1877</v>
      </c>
      <c r="D2535" s="1" t="n">
        <v>105.8</v>
      </c>
      <c r="E2535" s="1" t="n">
        <v>14.44</v>
      </c>
      <c r="F2535" s="1" t="n">
        <f aca="false">8/6</f>
        <v>1.33333333333333</v>
      </c>
    </row>
    <row collapsed="false" customFormat="false" customHeight="false" hidden="false" ht="14.75" outlineLevel="0" r="2536">
      <c r="A2536" s="1" t="s">
        <v>1891</v>
      </c>
      <c r="B2536" s="1" t="s">
        <v>1879</v>
      </c>
      <c r="C2536" s="1" t="s">
        <v>1877</v>
      </c>
      <c r="D2536" s="1" t="n">
        <v>480.7</v>
      </c>
      <c r="E2536" s="1" t="n">
        <v>24.47</v>
      </c>
      <c r="F2536" s="1" t="n">
        <f aca="false">46/7</f>
        <v>6.57142857142857</v>
      </c>
    </row>
    <row collapsed="false" customFormat="false" customHeight="false" hidden="false" ht="14.75" outlineLevel="0" r="2537">
      <c r="A2537" s="1" t="s">
        <v>1892</v>
      </c>
      <c r="B2537" s="1" t="s">
        <v>1879</v>
      </c>
      <c r="C2537" s="1" t="s">
        <v>1877</v>
      </c>
      <c r="D2537" s="1" t="n">
        <v>588.3</v>
      </c>
      <c r="E2537" s="1" t="n">
        <v>27.5</v>
      </c>
      <c r="F2537" s="1" t="n">
        <f aca="false">58/6</f>
        <v>9.66666666666667</v>
      </c>
    </row>
    <row collapsed="false" customFormat="false" customHeight="false" hidden="false" ht="14.75" outlineLevel="0" r="2538">
      <c r="A2538" s="1" t="s">
        <v>1893</v>
      </c>
      <c r="B2538" s="1" t="s">
        <v>1879</v>
      </c>
      <c r="C2538" s="1" t="s">
        <v>1877</v>
      </c>
      <c r="D2538" s="1" t="n">
        <v>105</v>
      </c>
      <c r="E2538" s="1" t="n">
        <v>11.52</v>
      </c>
      <c r="F2538" s="1" t="n">
        <f aca="false">10/7</f>
        <v>1.42857142857143</v>
      </c>
    </row>
    <row collapsed="false" customFormat="false" customHeight="false" hidden="false" ht="14.75" outlineLevel="0" r="2539">
      <c r="A2539" s="1" t="s">
        <v>397</v>
      </c>
      <c r="B2539" s="1" t="s">
        <v>1878</v>
      </c>
      <c r="C2539" s="1" t="s">
        <v>1877</v>
      </c>
      <c r="D2539" s="1" t="n">
        <v>295</v>
      </c>
      <c r="E2539" s="1" t="n">
        <v>19.4</v>
      </c>
      <c r="F2539" s="1" t="n">
        <v>2.5</v>
      </c>
    </row>
    <row collapsed="false" customFormat="false" customHeight="false" hidden="false" ht="14.75" outlineLevel="0" r="2540">
      <c r="A2540" s="1" t="s">
        <v>398</v>
      </c>
      <c r="B2540" s="1" t="s">
        <v>1878</v>
      </c>
      <c r="C2540" s="1" t="s">
        <v>1877</v>
      </c>
      <c r="D2540" s="1" t="n">
        <v>206</v>
      </c>
      <c r="E2540" s="1" t="n">
        <v>14.14</v>
      </c>
      <c r="F2540" s="1" t="n">
        <v>1.6</v>
      </c>
    </row>
    <row collapsed="false" customFormat="false" customHeight="false" hidden="false" ht="14.75" outlineLevel="0" r="2541">
      <c r="A2541" s="1" t="s">
        <v>413</v>
      </c>
      <c r="B2541" s="1" t="s">
        <v>1878</v>
      </c>
      <c r="C2541" s="1" t="s">
        <v>1877</v>
      </c>
      <c r="D2541" s="1" t="n">
        <v>402.5</v>
      </c>
      <c r="E2541" s="1" t="n">
        <v>19.89</v>
      </c>
      <c r="F2541" s="1" t="n">
        <v>3.7</v>
      </c>
    </row>
    <row collapsed="false" customFormat="false" customHeight="false" hidden="false" ht="14.75" outlineLevel="0" r="2542">
      <c r="A2542" s="1" t="s">
        <v>414</v>
      </c>
      <c r="B2542" s="1" t="s">
        <v>1878</v>
      </c>
      <c r="C2542" s="1" t="s">
        <v>1877</v>
      </c>
      <c r="D2542" s="1" t="n">
        <v>275</v>
      </c>
      <c r="E2542" s="1" t="n">
        <v>15.71</v>
      </c>
      <c r="F2542" s="1" t="n">
        <v>1.7</v>
      </c>
    </row>
    <row collapsed="false" customFormat="false" customHeight="false" hidden="false" ht="14.75" outlineLevel="0" r="2543">
      <c r="A2543" s="1" t="s">
        <v>421</v>
      </c>
      <c r="B2543" s="1" t="s">
        <v>1876</v>
      </c>
      <c r="C2543" s="1" t="s">
        <v>1877</v>
      </c>
      <c r="D2543" s="1" t="n">
        <v>243.2</v>
      </c>
      <c r="E2543" s="1" t="n">
        <v>21.67</v>
      </c>
      <c r="F2543" s="1" t="n">
        <f aca="false">22/11</f>
        <v>2</v>
      </c>
    </row>
    <row collapsed="false" customFormat="false" customHeight="false" hidden="false" ht="14.75" outlineLevel="0" r="2544">
      <c r="A2544" s="1" t="s">
        <v>422</v>
      </c>
      <c r="B2544" s="1" t="s">
        <v>1878</v>
      </c>
      <c r="C2544" s="1" t="s">
        <v>1877</v>
      </c>
      <c r="D2544" s="1" t="n">
        <v>104</v>
      </c>
      <c r="E2544" s="1" t="n">
        <v>11.6</v>
      </c>
      <c r="F2544" s="1" t="n">
        <v>1.1</v>
      </c>
    </row>
    <row collapsed="false" customFormat="false" customHeight="false" hidden="false" ht="14.75" outlineLevel="0" r="2545">
      <c r="A2545" s="1" t="s">
        <v>986</v>
      </c>
      <c r="B2545" s="1" t="s">
        <v>1879</v>
      </c>
      <c r="C2545" s="1" t="s">
        <v>1877</v>
      </c>
      <c r="D2545" s="1" t="n">
        <v>473.3</v>
      </c>
      <c r="E2545" s="1" t="n">
        <v>25.79</v>
      </c>
      <c r="F2545" s="1" t="n">
        <f aca="false">35/6</f>
        <v>5.83333333333333</v>
      </c>
    </row>
    <row collapsed="false" customFormat="false" customHeight="false" hidden="false" ht="14.75" outlineLevel="0" r="2546">
      <c r="A2546" s="1" t="s">
        <v>1894</v>
      </c>
      <c r="B2546" s="1" t="s">
        <v>1878</v>
      </c>
      <c r="C2546" s="1" t="s">
        <v>1877</v>
      </c>
      <c r="D2546" s="1" t="n">
        <v>290</v>
      </c>
      <c r="E2546" s="1" t="n">
        <v>20.21</v>
      </c>
      <c r="F2546" s="1" t="n">
        <v>1.4</v>
      </c>
    </row>
    <row collapsed="false" customFormat="false" customHeight="false" hidden="false" ht="14.75" outlineLevel="0" r="2547">
      <c r="A2547" s="1" t="s">
        <v>1895</v>
      </c>
      <c r="B2547" s="1" t="s">
        <v>1878</v>
      </c>
      <c r="C2547" s="1" t="s">
        <v>1877</v>
      </c>
      <c r="D2547" s="1" t="n">
        <v>166.5</v>
      </c>
      <c r="E2547" s="1" t="n">
        <v>13.12</v>
      </c>
      <c r="F2547" s="1" t="n">
        <v>0.7</v>
      </c>
    </row>
    <row collapsed="false" customFormat="false" customHeight="false" hidden="false" ht="14.75" outlineLevel="0" r="2548">
      <c r="A2548" s="1" t="s">
        <v>1896</v>
      </c>
      <c r="B2548" s="1" t="s">
        <v>1879</v>
      </c>
      <c r="C2548" s="1" t="s">
        <v>1877</v>
      </c>
      <c r="D2548" s="1" t="n">
        <v>248.3</v>
      </c>
      <c r="E2548" s="1" t="n">
        <v>20.82</v>
      </c>
      <c r="F2548" s="1" t="n">
        <f aca="false">15/6</f>
        <v>2.5</v>
      </c>
    </row>
    <row collapsed="false" customFormat="false" customHeight="false" hidden="false" ht="14.75" outlineLevel="0" r="2549">
      <c r="A2549" s="1" t="s">
        <v>1897</v>
      </c>
      <c r="B2549" s="1" t="s">
        <v>1876</v>
      </c>
      <c r="C2549" s="1" t="s">
        <v>1877</v>
      </c>
      <c r="D2549" s="1" t="n">
        <v>300.5</v>
      </c>
      <c r="E2549" s="1" t="n">
        <v>24.73</v>
      </c>
      <c r="F2549" s="1" t="n">
        <f aca="false">52/11</f>
        <v>4.72727272727273</v>
      </c>
    </row>
    <row collapsed="false" customFormat="false" customHeight="false" hidden="false" ht="14.75" outlineLevel="0" r="2550">
      <c r="A2550" s="1" t="s">
        <v>1898</v>
      </c>
      <c r="B2550" s="1" t="s">
        <v>1899</v>
      </c>
      <c r="C2550" s="1" t="s">
        <v>1900</v>
      </c>
      <c r="D2550" s="1" t="n">
        <v>246.8</v>
      </c>
      <c r="E2550" s="1" t="n">
        <v>14.82</v>
      </c>
      <c r="F2550" s="1" t="s">
        <v>9</v>
      </c>
    </row>
    <row collapsed="false" customFormat="false" customHeight="false" hidden="false" ht="14.75" outlineLevel="0" r="2551">
      <c r="A2551" s="1" t="s">
        <v>1901</v>
      </c>
      <c r="B2551" s="1" t="s">
        <v>1899</v>
      </c>
      <c r="C2551" s="1" t="s">
        <v>1900</v>
      </c>
      <c r="D2551" s="1" t="n">
        <v>68.6</v>
      </c>
      <c r="E2551" s="1" t="n">
        <v>7.76</v>
      </c>
      <c r="F2551" s="1" t="s">
        <v>9</v>
      </c>
    </row>
    <row collapsed="false" customFormat="false" customHeight="false" hidden="false" ht="14.75" outlineLevel="0" r="2552">
      <c r="A2552" s="1" t="s">
        <v>1902</v>
      </c>
      <c r="B2552" s="1" t="s">
        <v>1903</v>
      </c>
      <c r="C2552" s="1" t="s">
        <v>1900</v>
      </c>
      <c r="D2552" s="1" t="n">
        <v>299.6</v>
      </c>
      <c r="E2552" s="1" t="n">
        <v>18.01</v>
      </c>
      <c r="F2552" s="1" t="s">
        <v>9</v>
      </c>
    </row>
    <row collapsed="false" customFormat="false" customHeight="false" hidden="false" ht="14.75" outlineLevel="0" r="2553">
      <c r="A2553" s="1" t="s">
        <v>1372</v>
      </c>
      <c r="B2553" s="1" t="s">
        <v>1903</v>
      </c>
      <c r="C2553" s="1" t="s">
        <v>1900</v>
      </c>
      <c r="D2553" s="1" t="n">
        <v>182</v>
      </c>
      <c r="E2553" s="1" t="n">
        <v>14.16</v>
      </c>
      <c r="F2553" s="1" t="s">
        <v>9</v>
      </c>
    </row>
    <row collapsed="false" customFormat="false" customHeight="false" hidden="false" ht="14.75" outlineLevel="0" r="2554">
      <c r="A2554" s="1" t="s">
        <v>1904</v>
      </c>
      <c r="B2554" s="1" t="s">
        <v>1899</v>
      </c>
      <c r="C2554" s="1" t="s">
        <v>1900</v>
      </c>
      <c r="D2554" s="1" t="n">
        <v>298.6</v>
      </c>
      <c r="E2554" s="1" t="n">
        <v>16.5</v>
      </c>
      <c r="F2554" s="1" t="s">
        <v>9</v>
      </c>
    </row>
    <row collapsed="false" customFormat="false" customHeight="false" hidden="false" ht="14.75" outlineLevel="0" r="2555">
      <c r="A2555" s="1" t="s">
        <v>1905</v>
      </c>
      <c r="B2555" s="1" t="s">
        <v>1899</v>
      </c>
      <c r="C2555" s="1" t="s">
        <v>1900</v>
      </c>
      <c r="D2555" s="1" t="n">
        <v>80</v>
      </c>
      <c r="E2555" s="1" t="n">
        <v>11.25</v>
      </c>
      <c r="F2555" s="1" t="s">
        <v>9</v>
      </c>
    </row>
    <row collapsed="false" customFormat="false" customHeight="false" hidden="false" ht="14.75" outlineLevel="0" r="2556">
      <c r="A2556" s="1" t="s">
        <v>1906</v>
      </c>
      <c r="B2556" s="1" t="s">
        <v>1903</v>
      </c>
      <c r="C2556" s="1" t="s">
        <v>1900</v>
      </c>
      <c r="D2556" s="1" t="n">
        <v>217</v>
      </c>
      <c r="E2556" s="1" t="n">
        <v>17.59</v>
      </c>
      <c r="F2556" s="1" t="s">
        <v>9</v>
      </c>
    </row>
    <row collapsed="false" customFormat="false" customHeight="false" hidden="false" ht="14.75" outlineLevel="0" r="2557">
      <c r="A2557" s="1" t="s">
        <v>1907</v>
      </c>
      <c r="B2557" s="1" t="s">
        <v>1899</v>
      </c>
      <c r="C2557" s="1" t="s">
        <v>1900</v>
      </c>
      <c r="D2557" s="1" t="n">
        <v>323.2</v>
      </c>
      <c r="E2557" s="1" t="n">
        <v>18.18</v>
      </c>
      <c r="F2557" s="1" t="s">
        <v>9</v>
      </c>
    </row>
    <row collapsed="false" customFormat="false" customHeight="false" hidden="false" ht="14.75" outlineLevel="0" r="2558">
      <c r="A2558" s="1" t="s">
        <v>1908</v>
      </c>
      <c r="B2558" s="1" t="s">
        <v>1899</v>
      </c>
      <c r="C2558" s="1" t="s">
        <v>1900</v>
      </c>
      <c r="D2558" s="1" t="n">
        <v>172.7</v>
      </c>
      <c r="E2558" s="1" t="n">
        <v>15.19</v>
      </c>
      <c r="F2558" s="1" t="s">
        <v>9</v>
      </c>
    </row>
    <row collapsed="false" customFormat="false" customHeight="false" hidden="false" ht="14.75" outlineLevel="0" r="2559">
      <c r="A2559" s="1" t="s">
        <v>1909</v>
      </c>
      <c r="B2559" s="1" t="s">
        <v>1899</v>
      </c>
      <c r="C2559" s="1" t="s">
        <v>1900</v>
      </c>
      <c r="D2559" s="1" t="n">
        <v>91.4</v>
      </c>
      <c r="E2559" s="1" t="n">
        <v>11.25</v>
      </c>
      <c r="F2559" s="1" t="s">
        <v>9</v>
      </c>
    </row>
    <row collapsed="false" customFormat="false" customHeight="false" hidden="false" ht="14.75" outlineLevel="0" r="2560">
      <c r="A2560" s="1" t="s">
        <v>1910</v>
      </c>
      <c r="B2560" s="1" t="s">
        <v>1899</v>
      </c>
      <c r="C2560" s="1" t="s">
        <v>1900</v>
      </c>
      <c r="D2560" s="1" t="n">
        <v>62.1</v>
      </c>
      <c r="E2560" s="1" t="n">
        <v>8.75</v>
      </c>
      <c r="F2560" s="1" t="s">
        <v>9</v>
      </c>
    </row>
    <row collapsed="false" customFormat="false" customHeight="false" hidden="false" ht="14.75" outlineLevel="0" r="2561">
      <c r="A2561" s="1" t="s">
        <v>1911</v>
      </c>
      <c r="B2561" s="1" t="s">
        <v>1903</v>
      </c>
      <c r="C2561" s="1" t="s">
        <v>1900</v>
      </c>
      <c r="D2561" s="1" t="n">
        <v>287.1</v>
      </c>
      <c r="E2561" s="1" t="n">
        <v>18.43</v>
      </c>
      <c r="F2561" s="1" t="s">
        <v>9</v>
      </c>
    </row>
    <row collapsed="false" customFormat="false" customHeight="false" hidden="false" ht="14.75" outlineLevel="0" r="2562">
      <c r="A2562" s="1" t="s">
        <v>1912</v>
      </c>
      <c r="B2562" s="1" t="s">
        <v>1899</v>
      </c>
      <c r="C2562" s="1" t="s">
        <v>1900</v>
      </c>
      <c r="D2562" s="1" t="n">
        <v>200.7</v>
      </c>
      <c r="E2562" s="1" t="n">
        <v>16.07</v>
      </c>
      <c r="F2562" s="1" t="s">
        <v>9</v>
      </c>
    </row>
    <row collapsed="false" customFormat="false" customHeight="false" hidden="false" ht="14.75" outlineLevel="0" r="2563">
      <c r="A2563" s="1" t="s">
        <v>1913</v>
      </c>
      <c r="B2563" s="1" t="s">
        <v>1899</v>
      </c>
      <c r="C2563" s="1" t="s">
        <v>1900</v>
      </c>
      <c r="D2563" s="1" t="n">
        <v>129.1</v>
      </c>
      <c r="E2563" s="1" t="n">
        <v>11.97</v>
      </c>
      <c r="F2563" s="1" t="s">
        <v>9</v>
      </c>
    </row>
    <row collapsed="false" customFormat="false" customHeight="false" hidden="false" ht="14.75" outlineLevel="0" r="2564">
      <c r="A2564" s="1" t="s">
        <v>1914</v>
      </c>
      <c r="B2564" s="1" t="s">
        <v>1899</v>
      </c>
      <c r="C2564" s="1" t="s">
        <v>1900</v>
      </c>
      <c r="D2564" s="1" t="n">
        <v>221.4</v>
      </c>
      <c r="E2564" s="1" t="n">
        <v>15.35</v>
      </c>
      <c r="F2564" s="1" t="s">
        <v>9</v>
      </c>
    </row>
    <row collapsed="false" customFormat="false" customHeight="false" hidden="false" ht="14.75" outlineLevel="0" r="2565">
      <c r="A2565" s="1" t="s">
        <v>1915</v>
      </c>
      <c r="B2565" s="1" t="s">
        <v>1899</v>
      </c>
      <c r="C2565" s="1" t="s">
        <v>1900</v>
      </c>
      <c r="D2565" s="1" t="n">
        <v>150.7</v>
      </c>
      <c r="E2565" s="1" t="n">
        <v>10.87</v>
      </c>
      <c r="F2565" s="1" t="s">
        <v>9</v>
      </c>
    </row>
    <row collapsed="false" customFormat="false" customHeight="false" hidden="false" ht="14.75" outlineLevel="0" r="2566">
      <c r="A2566" s="1" t="s">
        <v>1916</v>
      </c>
      <c r="B2566" s="1" t="s">
        <v>1899</v>
      </c>
      <c r="C2566" s="1" t="s">
        <v>1900</v>
      </c>
      <c r="D2566" s="1" t="n">
        <v>78.2</v>
      </c>
      <c r="E2566" s="1" t="n">
        <v>11.14</v>
      </c>
      <c r="F2566" s="1" t="s">
        <v>9</v>
      </c>
    </row>
    <row collapsed="false" customFormat="false" customHeight="false" hidden="false" ht="14.75" outlineLevel="0" r="2567">
      <c r="A2567" s="1" t="s">
        <v>1917</v>
      </c>
      <c r="B2567" s="1" t="s">
        <v>1899</v>
      </c>
      <c r="C2567" s="1" t="s">
        <v>1900</v>
      </c>
      <c r="D2567" s="1" t="n">
        <v>135.7</v>
      </c>
      <c r="E2567" s="1" t="n">
        <v>11.49</v>
      </c>
      <c r="F2567" s="1" t="s">
        <v>9</v>
      </c>
    </row>
    <row collapsed="false" customFormat="false" customHeight="false" hidden="false" ht="14.75" outlineLevel="0" r="2568">
      <c r="A2568" s="1" t="s">
        <v>1918</v>
      </c>
      <c r="B2568" s="1" t="s">
        <v>1899</v>
      </c>
      <c r="C2568" s="1" t="s">
        <v>1900</v>
      </c>
      <c r="D2568" s="1" t="n">
        <v>42.9</v>
      </c>
      <c r="E2568" s="1" t="n">
        <v>6.32</v>
      </c>
      <c r="F2568" s="1" t="s">
        <v>9</v>
      </c>
    </row>
    <row collapsed="false" customFormat="false" customHeight="false" hidden="false" ht="14.75" outlineLevel="0" r="2569">
      <c r="A2569" s="1" t="s">
        <v>1919</v>
      </c>
      <c r="B2569" s="1" t="s">
        <v>1899</v>
      </c>
      <c r="C2569" s="1" t="s">
        <v>1900</v>
      </c>
      <c r="D2569" s="1" t="n">
        <v>147.1</v>
      </c>
      <c r="E2569" s="1" t="n">
        <v>13.26</v>
      </c>
      <c r="F2569" s="1" t="s">
        <v>9</v>
      </c>
    </row>
    <row collapsed="false" customFormat="false" customHeight="false" hidden="false" ht="14.75" outlineLevel="0" r="2570">
      <c r="A2570" s="1" t="s">
        <v>1423</v>
      </c>
      <c r="B2570" s="1" t="s">
        <v>1899</v>
      </c>
      <c r="C2570" s="1" t="s">
        <v>1900</v>
      </c>
      <c r="D2570" s="1" t="n">
        <v>238.6</v>
      </c>
      <c r="E2570" s="1" t="n">
        <v>15.7</v>
      </c>
      <c r="F2570" s="1" t="s">
        <v>9</v>
      </c>
    </row>
    <row collapsed="false" customFormat="false" customHeight="false" hidden="false" ht="14.75" outlineLevel="0" r="2571">
      <c r="A2571" s="1" t="s">
        <v>1424</v>
      </c>
      <c r="B2571" s="1" t="s">
        <v>1899</v>
      </c>
      <c r="C2571" s="1" t="s">
        <v>1900</v>
      </c>
      <c r="D2571" s="1" t="n">
        <v>218.6</v>
      </c>
      <c r="E2571" s="1" t="n">
        <v>15</v>
      </c>
      <c r="F2571" s="1" t="s">
        <v>9</v>
      </c>
    </row>
    <row collapsed="false" customFormat="false" customHeight="false" hidden="false" ht="14.75" outlineLevel="0" r="2572">
      <c r="A2572" s="1" t="s">
        <v>665</v>
      </c>
      <c r="B2572" s="1" t="s">
        <v>1899</v>
      </c>
      <c r="C2572" s="1" t="s">
        <v>1900</v>
      </c>
      <c r="D2572" s="1" t="n">
        <v>345.5</v>
      </c>
      <c r="E2572" s="1" t="n">
        <v>20.27</v>
      </c>
      <c r="F2572" s="1" t="s">
        <v>9</v>
      </c>
    </row>
    <row collapsed="false" customFormat="false" customHeight="false" hidden="false" ht="14.75" outlineLevel="0" r="2573">
      <c r="A2573" s="1" t="s">
        <v>1920</v>
      </c>
      <c r="B2573" s="1" t="s">
        <v>1899</v>
      </c>
      <c r="C2573" s="1" t="s">
        <v>1900</v>
      </c>
      <c r="D2573" s="1" t="n">
        <v>248.6</v>
      </c>
      <c r="E2573" s="1" t="n">
        <v>14.43</v>
      </c>
      <c r="F2573" s="1" t="s">
        <v>9</v>
      </c>
    </row>
    <row collapsed="false" customFormat="false" customHeight="false" hidden="false" ht="14.75" outlineLevel="0" r="2574">
      <c r="A2574" s="1" t="s">
        <v>1921</v>
      </c>
      <c r="B2574" s="1" t="s">
        <v>1899</v>
      </c>
      <c r="C2574" s="1" t="s">
        <v>1900</v>
      </c>
      <c r="D2574" s="1" t="n">
        <v>151.4</v>
      </c>
      <c r="E2574" s="1" t="n">
        <v>11.67</v>
      </c>
      <c r="F2574" s="1" t="s">
        <v>9</v>
      </c>
    </row>
    <row collapsed="false" customFormat="false" customHeight="false" hidden="false" ht="14.75" outlineLevel="0" r="2575">
      <c r="A2575" s="1" t="s">
        <v>1922</v>
      </c>
      <c r="B2575" s="1" t="s">
        <v>1899</v>
      </c>
      <c r="C2575" s="1" t="s">
        <v>1900</v>
      </c>
      <c r="D2575" s="1" t="n">
        <v>88.6</v>
      </c>
      <c r="E2575" s="1" t="n">
        <v>11.36</v>
      </c>
      <c r="F2575" s="1" t="s">
        <v>9</v>
      </c>
    </row>
    <row collapsed="false" customFormat="false" customHeight="false" hidden="false" ht="14.75" outlineLevel="0" r="2576">
      <c r="A2576" s="1" t="s">
        <v>1923</v>
      </c>
      <c r="B2576" s="1" t="s">
        <v>1903</v>
      </c>
      <c r="C2576" s="1" t="s">
        <v>1900</v>
      </c>
      <c r="D2576" s="1" t="n">
        <v>185</v>
      </c>
      <c r="E2576" s="1" t="n">
        <v>13.86</v>
      </c>
      <c r="F2576" s="1" t="s">
        <v>9</v>
      </c>
    </row>
    <row collapsed="false" customFormat="false" customHeight="false" hidden="false" ht="14.75" outlineLevel="0" r="2577">
      <c r="A2577" s="1" t="s">
        <v>1924</v>
      </c>
      <c r="B2577" s="1" t="s">
        <v>1903</v>
      </c>
      <c r="C2577" s="1" t="s">
        <v>1900</v>
      </c>
      <c r="D2577" s="1" t="n">
        <v>132.5</v>
      </c>
      <c r="E2577" s="1" t="n">
        <v>13.05</v>
      </c>
      <c r="F2577" s="1" t="s">
        <v>9</v>
      </c>
      <c r="M2577" s="1" t="s">
        <v>1925</v>
      </c>
    </row>
    <row collapsed="false" customFormat="false" customHeight="false" hidden="false" ht="14.75" outlineLevel="0" r="2578">
      <c r="A2578" s="1" t="s">
        <v>1926</v>
      </c>
      <c r="B2578" s="1" t="s">
        <v>1899</v>
      </c>
      <c r="C2578" s="1" t="s">
        <v>1900</v>
      </c>
      <c r="D2578" s="1" t="n">
        <v>260</v>
      </c>
      <c r="E2578" s="1" t="n">
        <v>16.01</v>
      </c>
      <c r="F2578" s="1" t="s">
        <v>9</v>
      </c>
      <c r="M2578" s="1" t="s">
        <v>1927</v>
      </c>
    </row>
    <row collapsed="false" customFormat="false" customHeight="false" hidden="false" ht="14.75" outlineLevel="0" r="2579">
      <c r="A2579" s="1" t="s">
        <v>1928</v>
      </c>
      <c r="B2579" s="1" t="s">
        <v>1899</v>
      </c>
      <c r="C2579" s="1" t="s">
        <v>1900</v>
      </c>
      <c r="D2579" s="1" t="n">
        <v>186.8</v>
      </c>
      <c r="E2579" s="1" t="n">
        <v>14.89</v>
      </c>
      <c r="F2579" s="1" t="s">
        <v>9</v>
      </c>
      <c r="M2579" s="1" t="s">
        <v>1929</v>
      </c>
    </row>
    <row collapsed="false" customFormat="false" customHeight="false" hidden="false" ht="14.75" outlineLevel="0" r="2580">
      <c r="A2580" s="1" t="s">
        <v>1930</v>
      </c>
      <c r="B2580" s="1" t="s">
        <v>1931</v>
      </c>
      <c r="C2580" s="1" t="s">
        <v>1932</v>
      </c>
      <c r="D2580" s="1" t="n">
        <v>111.2</v>
      </c>
      <c r="E2580" s="1" t="n">
        <v>7.87</v>
      </c>
      <c r="F2580" s="1" t="n">
        <f aca="false">4/8</f>
        <v>0.5</v>
      </c>
    </row>
    <row collapsed="false" customFormat="false" customHeight="false" hidden="false" ht="14.75" outlineLevel="0" r="2581">
      <c r="A2581" s="1" t="s">
        <v>302</v>
      </c>
      <c r="B2581" s="1" t="s">
        <v>1932</v>
      </c>
      <c r="C2581" s="1" t="s">
        <v>1932</v>
      </c>
      <c r="D2581" s="1" t="n">
        <v>232.2</v>
      </c>
      <c r="E2581" s="1" t="n">
        <v>19.2857142857143</v>
      </c>
      <c r="F2581" s="1" t="n">
        <v>1.44444444444444</v>
      </c>
    </row>
    <row collapsed="false" customFormat="false" customHeight="false" hidden="false" ht="14.75" outlineLevel="0" r="2582">
      <c r="A2582" s="1" t="s">
        <v>303</v>
      </c>
      <c r="B2582" s="1" t="s">
        <v>1933</v>
      </c>
      <c r="C2582" s="1" t="s">
        <v>1932</v>
      </c>
      <c r="D2582" s="1" t="n">
        <v>466.4</v>
      </c>
      <c r="E2582" s="1" t="n">
        <v>25.74</v>
      </c>
      <c r="F2582" s="1" t="n">
        <v>8.18181818181818</v>
      </c>
    </row>
    <row collapsed="false" customFormat="false" customHeight="false" hidden="false" ht="14.75" outlineLevel="0" r="2583">
      <c r="A2583" s="1" t="s">
        <v>101</v>
      </c>
      <c r="B2583" s="1" t="s">
        <v>1932</v>
      </c>
      <c r="C2583" s="1" t="s">
        <v>1932</v>
      </c>
      <c r="D2583" s="1" t="n">
        <v>347.2</v>
      </c>
      <c r="E2583" s="1" t="n">
        <v>19.3269230769231</v>
      </c>
      <c r="F2583" s="1" t="n">
        <v>3.88888888888889</v>
      </c>
    </row>
    <row collapsed="false" customFormat="false" customHeight="false" hidden="false" ht="14.75" outlineLevel="0" r="2584">
      <c r="A2584" s="1" t="s">
        <v>102</v>
      </c>
      <c r="B2584" s="1" t="s">
        <v>1932</v>
      </c>
      <c r="C2584" s="1" t="s">
        <v>1932</v>
      </c>
      <c r="D2584" s="1" t="n">
        <v>161.666666666667</v>
      </c>
      <c r="E2584" s="1" t="n">
        <v>14.8333333333333</v>
      </c>
      <c r="F2584" s="1" t="n">
        <v>0.777777777777778</v>
      </c>
    </row>
    <row collapsed="false" customFormat="false" customHeight="false" hidden="false" ht="14.75" outlineLevel="0" r="2585">
      <c r="A2585" s="1" t="s">
        <v>38</v>
      </c>
      <c r="B2585" s="1" t="s">
        <v>1932</v>
      </c>
      <c r="C2585" s="1" t="s">
        <v>1932</v>
      </c>
      <c r="D2585" s="1" t="n">
        <v>241.5</v>
      </c>
      <c r="E2585" s="1" t="n">
        <v>16.9318181818182</v>
      </c>
      <c r="F2585" s="1" t="n">
        <v>2.1</v>
      </c>
    </row>
    <row collapsed="false" customFormat="false" customHeight="false" hidden="false" ht="14.75" outlineLevel="0" r="2586">
      <c r="A2586" s="1" t="s">
        <v>1934</v>
      </c>
      <c r="B2586" s="1" t="s">
        <v>1933</v>
      </c>
      <c r="C2586" s="1" t="s">
        <v>1932</v>
      </c>
      <c r="D2586" s="1" t="n">
        <v>307.3</v>
      </c>
      <c r="E2586" s="1" t="n">
        <v>18.12</v>
      </c>
      <c r="F2586" s="1" t="n">
        <v>3.81818181818182</v>
      </c>
    </row>
    <row collapsed="false" customFormat="false" customHeight="false" hidden="false" ht="14.75" outlineLevel="0" r="2587">
      <c r="A2587" s="1" t="s">
        <v>312</v>
      </c>
      <c r="B2587" s="1" t="s">
        <v>1931</v>
      </c>
      <c r="C2587" s="1" t="s">
        <v>1932</v>
      </c>
      <c r="D2587" s="1" t="n">
        <v>221.1</v>
      </c>
      <c r="E2587" s="1" t="n">
        <v>12.03</v>
      </c>
      <c r="F2587" s="1" t="n">
        <f aca="false">15/9</f>
        <v>1.66666666666667</v>
      </c>
    </row>
    <row collapsed="false" customFormat="false" customHeight="false" hidden="false" ht="14.75" outlineLevel="0" r="2588">
      <c r="A2588" s="1" t="s">
        <v>314</v>
      </c>
      <c r="B2588" s="1" t="s">
        <v>1931</v>
      </c>
      <c r="C2588" s="1" t="s">
        <v>1932</v>
      </c>
      <c r="D2588" s="1" t="n">
        <v>110.6</v>
      </c>
      <c r="E2588" s="1" t="n">
        <v>8.36</v>
      </c>
      <c r="F2588" s="1" t="n">
        <v>1</v>
      </c>
    </row>
    <row collapsed="false" customFormat="false" customHeight="false" hidden="false" ht="14.75" outlineLevel="0" r="2589">
      <c r="A2589" s="1" t="s">
        <v>317</v>
      </c>
      <c r="B2589" s="1" t="s">
        <v>1932</v>
      </c>
      <c r="C2589" s="1" t="s">
        <v>1932</v>
      </c>
      <c r="D2589" s="1" t="n">
        <v>198.333333333333</v>
      </c>
      <c r="E2589" s="1" t="n">
        <v>13.5333333333333</v>
      </c>
      <c r="F2589" s="1" t="n">
        <v>2.11111111111111</v>
      </c>
    </row>
    <row collapsed="false" customFormat="false" customHeight="false" hidden="false" ht="14.75" outlineLevel="0" r="2590">
      <c r="A2590" s="1" t="s">
        <v>40</v>
      </c>
      <c r="B2590" s="1" t="s">
        <v>1932</v>
      </c>
      <c r="C2590" s="1" t="s">
        <v>1932</v>
      </c>
      <c r="D2590" s="1" t="n">
        <v>470.4</v>
      </c>
      <c r="E2590" s="1" t="n">
        <v>25.8783783783784</v>
      </c>
      <c r="F2590" s="1" t="n">
        <v>7.25</v>
      </c>
    </row>
    <row collapsed="false" customFormat="false" customHeight="false" hidden="false" ht="14.75" outlineLevel="0" r="2591">
      <c r="A2591" s="1" t="s">
        <v>1935</v>
      </c>
      <c r="B2591" s="1" t="s">
        <v>1931</v>
      </c>
      <c r="C2591" s="1" t="s">
        <v>1932</v>
      </c>
      <c r="D2591" s="1" t="n">
        <v>72.2</v>
      </c>
      <c r="E2591" s="1" t="n">
        <v>7.38</v>
      </c>
      <c r="F2591" s="1" t="n">
        <f aca="false">2/9</f>
        <v>0.222222222222222</v>
      </c>
    </row>
    <row collapsed="false" customFormat="false" customHeight="false" hidden="false" ht="14.75" outlineLevel="0" r="2592">
      <c r="A2592" s="1" t="s">
        <v>1936</v>
      </c>
      <c r="B2592" s="1" t="s">
        <v>1931</v>
      </c>
      <c r="C2592" s="1" t="s">
        <v>1932</v>
      </c>
      <c r="D2592" s="1" t="n">
        <v>78.3</v>
      </c>
      <c r="E2592" s="1" t="n">
        <v>6.2</v>
      </c>
      <c r="F2592" s="1" t="n">
        <f aca="false">4/9</f>
        <v>0.444444444444444</v>
      </c>
    </row>
    <row collapsed="false" customFormat="false" customHeight="false" hidden="false" ht="14.75" outlineLevel="0" r="2593">
      <c r="A2593" s="1" t="s">
        <v>332</v>
      </c>
      <c r="B2593" s="1" t="s">
        <v>1933</v>
      </c>
      <c r="C2593" s="1" t="s">
        <v>1932</v>
      </c>
      <c r="D2593" s="1" t="n">
        <v>210.5</v>
      </c>
      <c r="E2593" s="1" t="n">
        <v>17.77</v>
      </c>
      <c r="F2593" s="1" t="n">
        <v>2.36363636363636</v>
      </c>
    </row>
    <row collapsed="false" customFormat="false" customHeight="false" hidden="false" ht="14.75" outlineLevel="0" r="2594">
      <c r="A2594" s="1" t="s">
        <v>865</v>
      </c>
      <c r="B2594" s="1" t="s">
        <v>1932</v>
      </c>
      <c r="C2594" s="1" t="s">
        <v>1932</v>
      </c>
      <c r="D2594" s="1" t="n">
        <v>431</v>
      </c>
      <c r="E2594" s="1" t="n">
        <v>24.4444444444444</v>
      </c>
      <c r="F2594" s="1" t="n">
        <v>6.5</v>
      </c>
    </row>
    <row collapsed="false" customFormat="false" customHeight="false" hidden="false" ht="14.75" outlineLevel="0" r="2595">
      <c r="A2595" s="1" t="s">
        <v>866</v>
      </c>
      <c r="B2595" s="1" t="s">
        <v>1932</v>
      </c>
      <c r="C2595" s="1" t="s">
        <v>1932</v>
      </c>
      <c r="D2595" s="1" t="n">
        <v>98.1</v>
      </c>
      <c r="E2595" s="1" t="n">
        <v>10.25</v>
      </c>
      <c r="F2595" s="1" t="n">
        <v>0.5</v>
      </c>
    </row>
    <row collapsed="false" customFormat="false" customHeight="false" hidden="false" ht="14.75" outlineLevel="0" r="2596">
      <c r="A2596" s="1" t="s">
        <v>560</v>
      </c>
      <c r="B2596" s="1" t="s">
        <v>1931</v>
      </c>
      <c r="C2596" s="1" t="s">
        <v>1932</v>
      </c>
      <c r="D2596" s="1" t="n">
        <v>48.8</v>
      </c>
      <c r="E2596" s="1" t="n">
        <v>5.6</v>
      </c>
      <c r="F2596" s="1" t="n">
        <f aca="false">6/8</f>
        <v>0.75</v>
      </c>
    </row>
    <row collapsed="false" customFormat="false" customHeight="false" hidden="false" ht="14.75" outlineLevel="0" r="2597">
      <c r="A2597" s="1" t="s">
        <v>691</v>
      </c>
      <c r="B2597" s="1" t="s">
        <v>1933</v>
      </c>
      <c r="C2597" s="1" t="s">
        <v>1932</v>
      </c>
      <c r="D2597" s="1" t="n">
        <v>269.5</v>
      </c>
      <c r="E2597" s="1" t="n">
        <v>16.91</v>
      </c>
      <c r="F2597" s="1" t="n">
        <v>1.45454545454545</v>
      </c>
    </row>
    <row collapsed="false" customFormat="false" customHeight="false" hidden="false" ht="14.75" outlineLevel="0" r="2598">
      <c r="A2598" s="1" t="s">
        <v>692</v>
      </c>
      <c r="B2598" s="1" t="s">
        <v>1933</v>
      </c>
      <c r="C2598" s="1" t="s">
        <v>1932</v>
      </c>
      <c r="D2598" s="1" t="n">
        <v>146.8</v>
      </c>
      <c r="E2598" s="1" t="n">
        <v>14.04</v>
      </c>
      <c r="F2598" s="1" t="n">
        <v>0.636363636363636</v>
      </c>
    </row>
    <row collapsed="false" customFormat="false" customHeight="false" hidden="false" ht="14.75" outlineLevel="0" r="2599">
      <c r="A2599" s="1" t="s">
        <v>693</v>
      </c>
      <c r="B2599" s="1" t="s">
        <v>1933</v>
      </c>
      <c r="C2599" s="1" t="s">
        <v>1932</v>
      </c>
      <c r="D2599" s="1" t="n">
        <v>144.1</v>
      </c>
      <c r="E2599" s="1" t="n">
        <v>13.64</v>
      </c>
      <c r="F2599" s="1" t="n">
        <v>1.36363636363636</v>
      </c>
    </row>
    <row collapsed="false" customFormat="false" customHeight="false" hidden="false" ht="14.75" outlineLevel="0" r="2600">
      <c r="A2600" s="1" t="s">
        <v>561</v>
      </c>
      <c r="B2600" s="1" t="s">
        <v>1932</v>
      </c>
      <c r="C2600" s="1" t="s">
        <v>1932</v>
      </c>
      <c r="D2600" s="1" t="n">
        <v>248.5</v>
      </c>
      <c r="E2600" s="1" t="n">
        <v>18.2954545454545</v>
      </c>
      <c r="F2600" s="1" t="n">
        <v>2.7</v>
      </c>
    </row>
    <row collapsed="false" customFormat="false" customHeight="false" hidden="false" ht="14.75" outlineLevel="0" r="2601">
      <c r="A2601" s="1" t="s">
        <v>1406</v>
      </c>
      <c r="B2601" s="1" t="s">
        <v>1931</v>
      </c>
      <c r="C2601" s="1" t="s">
        <v>1932</v>
      </c>
      <c r="D2601" s="1" t="n">
        <v>247.8</v>
      </c>
      <c r="E2601" s="1" t="n">
        <v>13.72</v>
      </c>
      <c r="F2601" s="1" t="n">
        <f aca="false">16/9</f>
        <v>1.77777777777778</v>
      </c>
    </row>
    <row collapsed="false" customFormat="false" customHeight="false" hidden="false" ht="14.75" outlineLevel="0" r="2602">
      <c r="A2602" s="1" t="s">
        <v>1407</v>
      </c>
      <c r="B2602" s="1" t="s">
        <v>1931</v>
      </c>
      <c r="C2602" s="1" t="s">
        <v>1932</v>
      </c>
      <c r="D2602" s="1" t="n">
        <v>168.3</v>
      </c>
      <c r="E2602" s="1" t="n">
        <v>12.64</v>
      </c>
      <c r="F2602" s="1" t="n">
        <f aca="false">8/9</f>
        <v>0.888888888888889</v>
      </c>
    </row>
    <row collapsed="false" customFormat="false" customHeight="false" hidden="false" ht="14.75" outlineLevel="0" r="2603">
      <c r="A2603" s="1" t="s">
        <v>339</v>
      </c>
      <c r="B2603" s="1" t="s">
        <v>1931</v>
      </c>
      <c r="C2603" s="1" t="s">
        <v>1932</v>
      </c>
      <c r="D2603" s="1" t="n">
        <v>414</v>
      </c>
      <c r="E2603" s="1" t="n">
        <v>19.42</v>
      </c>
      <c r="F2603" s="1" t="n">
        <f aca="false">40/11</f>
        <v>3.63636363636364</v>
      </c>
    </row>
    <row collapsed="false" customFormat="false" customHeight="false" hidden="false" ht="14.75" outlineLevel="0" r="2604">
      <c r="A2604" s="1" t="s">
        <v>564</v>
      </c>
      <c r="B2604" s="1" t="s">
        <v>1931</v>
      </c>
      <c r="C2604" s="1" t="s">
        <v>1932</v>
      </c>
      <c r="D2604" s="1" t="n">
        <v>218.9</v>
      </c>
      <c r="E2604" s="1" t="n">
        <v>13.26</v>
      </c>
      <c r="F2604" s="1" t="n">
        <v>1.4</v>
      </c>
    </row>
    <row collapsed="false" customFormat="false" customHeight="false" hidden="false" ht="14.75" outlineLevel="0" r="2605">
      <c r="A2605" s="1" t="s">
        <v>1937</v>
      </c>
      <c r="B2605" s="1" t="s">
        <v>1931</v>
      </c>
      <c r="C2605" s="1" t="s">
        <v>1932</v>
      </c>
      <c r="D2605" s="1" t="n">
        <v>167.2</v>
      </c>
      <c r="E2605" s="1" t="n">
        <v>11.48</v>
      </c>
      <c r="F2605" s="1" t="n">
        <f aca="false">6/9</f>
        <v>0.666666666666667</v>
      </c>
    </row>
    <row collapsed="false" customFormat="false" customHeight="false" hidden="false" ht="14.75" outlineLevel="0" r="2606">
      <c r="A2606" s="1" t="s">
        <v>340</v>
      </c>
      <c r="B2606" s="1" t="s">
        <v>1931</v>
      </c>
      <c r="C2606" s="1" t="s">
        <v>1932</v>
      </c>
      <c r="D2606" s="1" t="n">
        <v>178.3</v>
      </c>
      <c r="E2606" s="1" t="n">
        <v>11.18</v>
      </c>
      <c r="F2606" s="1" t="n">
        <f aca="false">11/9</f>
        <v>1.22222222222222</v>
      </c>
    </row>
    <row collapsed="false" customFormat="false" customHeight="false" hidden="false" ht="14.75" outlineLevel="0" r="2607">
      <c r="A2607" s="1" t="s">
        <v>341</v>
      </c>
      <c r="B2607" s="1" t="s">
        <v>1931</v>
      </c>
      <c r="C2607" s="1" t="s">
        <v>1932</v>
      </c>
      <c r="D2607" s="1" t="n">
        <v>213.3</v>
      </c>
      <c r="E2607" s="1" t="n">
        <v>13.25</v>
      </c>
      <c r="F2607" s="1" t="n">
        <f aca="false">10/9</f>
        <v>1.11111111111111</v>
      </c>
    </row>
    <row collapsed="false" customFormat="false" customHeight="false" hidden="false" ht="14.75" outlineLevel="0" r="2608">
      <c r="A2608" s="1" t="s">
        <v>142</v>
      </c>
      <c r="B2608" s="1" t="s">
        <v>1932</v>
      </c>
      <c r="C2608" s="1" t="s">
        <v>1932</v>
      </c>
      <c r="D2608" s="1" t="n">
        <v>96.4285714285714</v>
      </c>
      <c r="E2608" s="1" t="n">
        <v>10.9090909090909</v>
      </c>
      <c r="F2608" s="1" t="n">
        <v>0.571428571428571</v>
      </c>
    </row>
    <row collapsed="false" customFormat="false" customHeight="false" hidden="false" ht="14.75" outlineLevel="0" r="2609">
      <c r="A2609" s="1" t="s">
        <v>1938</v>
      </c>
      <c r="B2609" s="1" t="s">
        <v>1932</v>
      </c>
      <c r="C2609" s="1" t="s">
        <v>1932</v>
      </c>
      <c r="D2609" s="1" t="n">
        <v>76.6666666666667</v>
      </c>
      <c r="E2609" s="1" t="n">
        <v>6.2962962962963</v>
      </c>
      <c r="F2609" s="1" t="n">
        <v>0.666666666666667</v>
      </c>
    </row>
    <row collapsed="false" customFormat="false" customHeight="false" hidden="false" ht="14.75" outlineLevel="0" r="2610">
      <c r="A2610" s="1" t="s">
        <v>16</v>
      </c>
      <c r="B2610" s="1" t="s">
        <v>1933</v>
      </c>
      <c r="C2610" s="1" t="s">
        <v>1932</v>
      </c>
      <c r="D2610" s="1" t="n">
        <v>547.7</v>
      </c>
      <c r="E2610" s="1" t="n">
        <v>26.6</v>
      </c>
      <c r="F2610" s="1" t="n">
        <v>10.1818181818182</v>
      </c>
    </row>
    <row collapsed="false" customFormat="false" customHeight="false" hidden="false" ht="14.75" outlineLevel="0" r="2611">
      <c r="A2611" s="1" t="s">
        <v>889</v>
      </c>
      <c r="B2611" s="1" t="s">
        <v>1931</v>
      </c>
      <c r="C2611" s="1" t="s">
        <v>1932</v>
      </c>
      <c r="D2611" s="1" t="n">
        <v>207.8</v>
      </c>
      <c r="E2611" s="1" t="n">
        <v>13.17</v>
      </c>
      <c r="F2611" s="1" t="n">
        <f aca="false">10/9</f>
        <v>1.11111111111111</v>
      </c>
    </row>
    <row collapsed="false" customFormat="false" customHeight="false" hidden="false" ht="14.75" outlineLevel="0" r="2612">
      <c r="A2612" s="1" t="s">
        <v>1939</v>
      </c>
      <c r="B2612" s="1" t="s">
        <v>1931</v>
      </c>
      <c r="C2612" s="1" t="s">
        <v>1932</v>
      </c>
      <c r="D2612" s="1" t="n">
        <v>286.7</v>
      </c>
      <c r="E2612" s="1" t="n">
        <v>15.5</v>
      </c>
      <c r="F2612" s="1" t="n">
        <f aca="false">16/11</f>
        <v>1.45454545454545</v>
      </c>
    </row>
    <row collapsed="false" customFormat="false" customHeight="false" hidden="false" ht="14.75" outlineLevel="0" r="2613">
      <c r="A2613" s="1" t="s">
        <v>1940</v>
      </c>
      <c r="B2613" s="1" t="s">
        <v>1931</v>
      </c>
      <c r="C2613" s="1" t="s">
        <v>1932</v>
      </c>
      <c r="D2613" s="1" t="n">
        <v>178.3</v>
      </c>
      <c r="E2613" s="1" t="n">
        <v>12.96</v>
      </c>
      <c r="F2613" s="1" t="n">
        <v>1</v>
      </c>
    </row>
    <row collapsed="false" customFormat="false" customHeight="false" hidden="false" ht="14.75" outlineLevel="0" r="2614">
      <c r="A2614" s="1" t="s">
        <v>146</v>
      </c>
      <c r="B2614" s="1" t="s">
        <v>1933</v>
      </c>
      <c r="C2614" s="1" t="s">
        <v>1932</v>
      </c>
      <c r="D2614" s="1" t="n">
        <v>410.5</v>
      </c>
      <c r="E2614" s="1" t="n">
        <v>23.49</v>
      </c>
      <c r="F2614" s="1" t="n">
        <v>5.27272727272727</v>
      </c>
    </row>
    <row collapsed="false" customFormat="false" customHeight="false" hidden="false" ht="14.75" outlineLevel="0" r="2615">
      <c r="A2615" s="1" t="s">
        <v>1941</v>
      </c>
      <c r="B2615" s="1" t="s">
        <v>1932</v>
      </c>
      <c r="C2615" s="1" t="s">
        <v>1932</v>
      </c>
      <c r="D2615" s="1" t="n">
        <v>216.644444444444</v>
      </c>
      <c r="E2615" s="1" t="n">
        <v>16.2666666666667</v>
      </c>
      <c r="F2615" s="1" t="n">
        <v>1.11111111111111</v>
      </c>
    </row>
    <row collapsed="false" customFormat="false" customHeight="false" hidden="false" ht="14.75" outlineLevel="0" r="2616">
      <c r="A2616" s="1" t="s">
        <v>1942</v>
      </c>
      <c r="B2616" s="1" t="s">
        <v>1932</v>
      </c>
      <c r="C2616" s="1" t="s">
        <v>1932</v>
      </c>
      <c r="D2616" s="1" t="n">
        <v>99</v>
      </c>
      <c r="E2616" s="1" t="n">
        <v>10.9782608695652</v>
      </c>
      <c r="F2616" s="1" t="n">
        <v>1.1</v>
      </c>
    </row>
    <row collapsed="false" customFormat="false" customHeight="false" hidden="false" ht="14.75" outlineLevel="0" r="2617">
      <c r="A2617" s="1" t="s">
        <v>19</v>
      </c>
      <c r="B2617" s="1" t="s">
        <v>1933</v>
      </c>
      <c r="C2617" s="1" t="s">
        <v>1932</v>
      </c>
      <c r="D2617" s="1" t="n">
        <v>490</v>
      </c>
      <c r="E2617" s="1" t="n">
        <v>25.42</v>
      </c>
      <c r="F2617" s="1" t="n">
        <v>7.90909090909091</v>
      </c>
    </row>
    <row collapsed="false" customFormat="false" customHeight="false" hidden="false" ht="14.75" outlineLevel="0" r="2618">
      <c r="A2618" s="1" t="s">
        <v>20</v>
      </c>
      <c r="B2618" s="1" t="s">
        <v>1933</v>
      </c>
      <c r="C2618" s="1" t="s">
        <v>1932</v>
      </c>
      <c r="D2618" s="1" t="n">
        <v>280.9</v>
      </c>
      <c r="E2618" s="1" t="n">
        <v>18.64</v>
      </c>
      <c r="F2618" s="1" t="n">
        <v>3.18181818181818</v>
      </c>
    </row>
    <row collapsed="false" customFormat="false" customHeight="false" hidden="false" ht="14.75" outlineLevel="0" r="2619">
      <c r="A2619" s="1" t="s">
        <v>1943</v>
      </c>
      <c r="B2619" s="1" t="s">
        <v>1932</v>
      </c>
      <c r="C2619" s="1" t="s">
        <v>1932</v>
      </c>
      <c r="D2619" s="1" t="n">
        <v>322.244444444444</v>
      </c>
      <c r="E2619" s="1" t="n">
        <v>18.8144329896907</v>
      </c>
      <c r="F2619" s="1" t="n">
        <v>4.22222222222222</v>
      </c>
    </row>
    <row collapsed="false" customFormat="false" customHeight="false" hidden="false" ht="14.75" outlineLevel="0" r="2620">
      <c r="A2620" s="1" t="s">
        <v>1944</v>
      </c>
      <c r="B2620" s="1" t="s">
        <v>1931</v>
      </c>
      <c r="C2620" s="1" t="s">
        <v>1932</v>
      </c>
      <c r="D2620" s="1" t="n">
        <v>93.3</v>
      </c>
      <c r="E2620" s="1" t="n">
        <v>11.07</v>
      </c>
      <c r="F2620" s="1" t="n">
        <f aca="false">2/6</f>
        <v>0.333333333333333</v>
      </c>
    </row>
    <row collapsed="false" customFormat="false" customHeight="false" hidden="false" ht="14.75" outlineLevel="0" r="2621">
      <c r="A2621" s="1" t="s">
        <v>1945</v>
      </c>
      <c r="B2621" s="1" t="s">
        <v>1931</v>
      </c>
      <c r="C2621" s="1" t="s">
        <v>1932</v>
      </c>
      <c r="D2621" s="1" t="n">
        <v>105.8</v>
      </c>
      <c r="E2621" s="1" t="n">
        <v>12</v>
      </c>
      <c r="F2621" s="1" t="n">
        <f aca="false">2/6</f>
        <v>0.333333333333333</v>
      </c>
    </row>
    <row collapsed="false" customFormat="false" customHeight="false" hidden="false" ht="14.75" outlineLevel="0" r="2622">
      <c r="A2622" s="1" t="s">
        <v>1946</v>
      </c>
      <c r="B2622" s="1" t="s">
        <v>1931</v>
      </c>
      <c r="C2622" s="1" t="s">
        <v>1932</v>
      </c>
      <c r="D2622" s="1" t="n">
        <v>43.3</v>
      </c>
      <c r="E2622" s="1" t="n">
        <v>5.88</v>
      </c>
      <c r="F2622" s="1" t="n">
        <v>0</v>
      </c>
    </row>
    <row collapsed="false" customFormat="false" customHeight="false" hidden="false" ht="14.75" outlineLevel="0" r="2623">
      <c r="A2623" s="1" t="s">
        <v>1947</v>
      </c>
      <c r="B2623" s="1" t="s">
        <v>1931</v>
      </c>
      <c r="C2623" s="1" t="s">
        <v>1932</v>
      </c>
      <c r="D2623" s="1" t="n">
        <v>36.1</v>
      </c>
      <c r="E2623" s="1" t="n">
        <v>5.45</v>
      </c>
      <c r="F2623" s="1" t="n">
        <v>0</v>
      </c>
    </row>
    <row collapsed="false" customFormat="false" customHeight="false" hidden="false" ht="14.75" outlineLevel="0" r="2624">
      <c r="A2624" s="1" t="s">
        <v>1948</v>
      </c>
      <c r="B2624" s="1" t="s">
        <v>1931</v>
      </c>
      <c r="C2624" s="1" t="s">
        <v>1932</v>
      </c>
      <c r="D2624" s="1" t="n">
        <v>50.8</v>
      </c>
      <c r="E2624" s="1" t="n">
        <v>4.35</v>
      </c>
      <c r="F2624" s="1" t="n">
        <f aca="false">1/6</f>
        <v>0.166666666666667</v>
      </c>
    </row>
    <row collapsed="false" customFormat="false" customHeight="false" hidden="false" ht="14.75" outlineLevel="0" r="2625">
      <c r="A2625" s="1" t="s">
        <v>163</v>
      </c>
      <c r="B2625" s="1" t="s">
        <v>1933</v>
      </c>
      <c r="C2625" s="1" t="s">
        <v>1932</v>
      </c>
      <c r="D2625" s="1" t="n">
        <v>346.8</v>
      </c>
      <c r="E2625" s="1" t="n">
        <v>23.2</v>
      </c>
      <c r="F2625" s="1" t="n">
        <v>4</v>
      </c>
    </row>
    <row collapsed="false" customFormat="false" customHeight="false" hidden="false" ht="14.75" outlineLevel="0" r="2626">
      <c r="A2626" s="1" t="s">
        <v>1949</v>
      </c>
      <c r="B2626" s="1" t="s">
        <v>1933</v>
      </c>
      <c r="C2626" s="1" t="s">
        <v>1932</v>
      </c>
      <c r="D2626" s="1" t="n">
        <v>83.6</v>
      </c>
      <c r="E2626" s="1" t="n">
        <v>8.14</v>
      </c>
      <c r="F2626" s="1" t="n">
        <v>0.636363636363636</v>
      </c>
    </row>
    <row collapsed="false" customFormat="false" customHeight="false" hidden="false" ht="14.75" outlineLevel="0" r="2627">
      <c r="A2627" s="1" t="s">
        <v>920</v>
      </c>
      <c r="B2627" s="1" t="s">
        <v>1931</v>
      </c>
      <c r="C2627" s="1" t="s">
        <v>1932</v>
      </c>
      <c r="D2627" s="1" t="n">
        <v>84.4</v>
      </c>
      <c r="E2627" s="1" t="n">
        <v>9.19</v>
      </c>
      <c r="F2627" s="1" t="n">
        <f aca="false">1/8</f>
        <v>0.125</v>
      </c>
    </row>
    <row collapsed="false" customFormat="false" customHeight="false" hidden="false" ht="14.75" outlineLevel="0" r="2628">
      <c r="A2628" s="1" t="s">
        <v>169</v>
      </c>
      <c r="B2628" s="1" t="s">
        <v>1931</v>
      </c>
      <c r="C2628" s="1" t="s">
        <v>1932</v>
      </c>
      <c r="D2628" s="1" t="n">
        <v>278.2</v>
      </c>
      <c r="E2628" s="1" t="n">
        <v>15.04</v>
      </c>
      <c r="F2628" s="1" t="n">
        <f aca="false">16/11</f>
        <v>1.45454545454545</v>
      </c>
    </row>
    <row collapsed="false" customFormat="false" customHeight="false" hidden="false" ht="14.75" outlineLevel="0" r="2629">
      <c r="A2629" s="1" t="s">
        <v>667</v>
      </c>
      <c r="B2629" s="1" t="s">
        <v>1932</v>
      </c>
      <c r="C2629" s="1" t="s">
        <v>1932</v>
      </c>
      <c r="D2629" s="1" t="n">
        <v>359.5</v>
      </c>
      <c r="E2629" s="1" t="n">
        <v>23.7864077669903</v>
      </c>
      <c r="F2629" s="1" t="n">
        <v>5</v>
      </c>
    </row>
    <row collapsed="false" customFormat="false" customHeight="false" hidden="false" ht="14.75" outlineLevel="0" r="2630">
      <c r="A2630" s="1" t="s">
        <v>171</v>
      </c>
      <c r="B2630" s="1" t="s">
        <v>1932</v>
      </c>
      <c r="C2630" s="1" t="s">
        <v>1932</v>
      </c>
      <c r="D2630" s="1" t="n">
        <v>219.444444444444</v>
      </c>
      <c r="E2630" s="1" t="n">
        <v>15.1948051948052</v>
      </c>
      <c r="F2630" s="1" t="n">
        <v>2.11111111111111</v>
      </c>
    </row>
    <row collapsed="false" customFormat="false" customHeight="false" hidden="false" ht="14.75" outlineLevel="0" r="2631">
      <c r="A2631" s="1" t="s">
        <v>391</v>
      </c>
      <c r="B2631" s="1" t="s">
        <v>1933</v>
      </c>
      <c r="C2631" s="1" t="s">
        <v>1932</v>
      </c>
      <c r="D2631" s="1" t="n">
        <v>415.9</v>
      </c>
      <c r="E2631" s="1" t="n">
        <v>23.06</v>
      </c>
      <c r="F2631" s="1" t="n">
        <v>4.45454545454545</v>
      </c>
    </row>
    <row collapsed="false" customFormat="false" customHeight="false" hidden="false" ht="14.75" outlineLevel="0" r="2632">
      <c r="A2632" s="1" t="s">
        <v>392</v>
      </c>
      <c r="B2632" s="1" t="s">
        <v>1933</v>
      </c>
      <c r="C2632" s="1" t="s">
        <v>1932</v>
      </c>
      <c r="D2632" s="1" t="n">
        <v>243.2</v>
      </c>
      <c r="E2632" s="1" t="n">
        <v>16.24</v>
      </c>
      <c r="F2632" s="1" t="n">
        <v>2.18181818181818</v>
      </c>
    </row>
    <row collapsed="false" customFormat="false" customHeight="false" hidden="false" ht="14.75" outlineLevel="0" r="2633">
      <c r="A2633" s="1" t="s">
        <v>604</v>
      </c>
      <c r="B2633" s="1" t="s">
        <v>1933</v>
      </c>
      <c r="C2633" s="1" t="s">
        <v>1932</v>
      </c>
      <c r="D2633" s="1" t="n">
        <v>504.1</v>
      </c>
      <c r="E2633" s="1" t="n">
        <v>26.76</v>
      </c>
      <c r="F2633" s="1" t="n">
        <v>8.18181818181818</v>
      </c>
    </row>
    <row collapsed="false" customFormat="false" customHeight="false" hidden="false" ht="14.75" outlineLevel="0" r="2634">
      <c r="A2634" s="1" t="s">
        <v>1298</v>
      </c>
      <c r="B2634" s="1" t="s">
        <v>1933</v>
      </c>
      <c r="C2634" s="1" t="s">
        <v>1932</v>
      </c>
      <c r="D2634" s="1" t="n">
        <v>185.9</v>
      </c>
      <c r="E2634" s="1" t="n">
        <v>13.11</v>
      </c>
      <c r="F2634" s="1" t="n">
        <v>1.18181818181818</v>
      </c>
    </row>
    <row collapsed="false" customFormat="false" customHeight="false" hidden="false" ht="14.75" outlineLevel="0" r="2635">
      <c r="A2635" s="1" t="s">
        <v>395</v>
      </c>
      <c r="B2635" s="1" t="s">
        <v>1931</v>
      </c>
      <c r="C2635" s="1" t="s">
        <v>1932</v>
      </c>
      <c r="D2635" s="1" t="n">
        <v>58.9</v>
      </c>
      <c r="E2635" s="1" t="n">
        <v>8</v>
      </c>
      <c r="F2635" s="1" t="n">
        <f aca="false">2/9</f>
        <v>0.222222222222222</v>
      </c>
    </row>
    <row collapsed="false" customFormat="false" customHeight="false" hidden="false" ht="14.75" outlineLevel="0" r="2636">
      <c r="A2636" s="1" t="s">
        <v>396</v>
      </c>
      <c r="B2636" s="1" t="s">
        <v>1933</v>
      </c>
      <c r="C2636" s="1" t="s">
        <v>1932</v>
      </c>
      <c r="D2636" s="1" t="n">
        <v>269.5</v>
      </c>
      <c r="E2636" s="1" t="n">
        <v>18.48</v>
      </c>
      <c r="F2636" s="1" t="n">
        <v>2.09090909090909</v>
      </c>
    </row>
    <row collapsed="false" customFormat="false" customHeight="false" hidden="false" ht="14.75" outlineLevel="0" r="2637">
      <c r="A2637" s="1" t="s">
        <v>28</v>
      </c>
      <c r="B2637" s="1" t="s">
        <v>1932</v>
      </c>
      <c r="C2637" s="1" t="s">
        <v>1932</v>
      </c>
      <c r="D2637" s="1" t="n">
        <v>478.154545454546</v>
      </c>
      <c r="E2637" s="1" t="n">
        <v>25.354609929078</v>
      </c>
      <c r="F2637" s="1" t="n">
        <v>6.54545454545455</v>
      </c>
    </row>
    <row collapsed="false" customFormat="false" customHeight="false" hidden="false" ht="14.75" outlineLevel="0" r="2638">
      <c r="A2638" s="1" t="s">
        <v>1314</v>
      </c>
      <c r="B2638" s="1" t="s">
        <v>1933</v>
      </c>
      <c r="C2638" s="1" t="s">
        <v>1932</v>
      </c>
      <c r="D2638" s="1" t="n">
        <v>239.5</v>
      </c>
      <c r="E2638" s="1" t="n">
        <v>17.4</v>
      </c>
      <c r="F2638" s="1" t="n">
        <v>1.63636363636364</v>
      </c>
    </row>
    <row collapsed="false" customFormat="false" customHeight="false" hidden="false" ht="14.75" outlineLevel="0" r="2639">
      <c r="A2639" s="1" t="s">
        <v>1315</v>
      </c>
      <c r="B2639" s="1" t="s">
        <v>1933</v>
      </c>
      <c r="C2639" s="1" t="s">
        <v>1932</v>
      </c>
      <c r="D2639" s="1" t="n">
        <v>86.8</v>
      </c>
      <c r="E2639" s="1" t="n">
        <v>7.86</v>
      </c>
      <c r="F2639" s="1" t="n">
        <v>0.363636363636364</v>
      </c>
    </row>
    <row collapsed="false" customFormat="false" customHeight="false" hidden="false" ht="14.75" outlineLevel="0" r="2640">
      <c r="A2640" s="1" t="s">
        <v>961</v>
      </c>
      <c r="B2640" s="1" t="s">
        <v>1932</v>
      </c>
      <c r="C2640" s="1" t="s">
        <v>1932</v>
      </c>
      <c r="D2640" s="1" t="n">
        <v>358</v>
      </c>
      <c r="E2640" s="1" t="n">
        <v>23.7745098039216</v>
      </c>
      <c r="F2640" s="1" t="n">
        <v>4.9</v>
      </c>
    </row>
    <row collapsed="false" customFormat="false" customHeight="false" hidden="false" ht="14.75" outlineLevel="0" r="2641">
      <c r="A2641" s="1" t="s">
        <v>400</v>
      </c>
      <c r="B2641" s="1" t="s">
        <v>1932</v>
      </c>
      <c r="C2641" s="1" t="s">
        <v>1932</v>
      </c>
      <c r="D2641" s="1" t="n">
        <v>283.355555555556</v>
      </c>
      <c r="E2641" s="1" t="n">
        <v>18.4444444444444</v>
      </c>
      <c r="F2641" s="1" t="n">
        <v>2.44444444444444</v>
      </c>
    </row>
    <row collapsed="false" customFormat="false" customHeight="false" hidden="false" ht="14.75" outlineLevel="0" r="2642">
      <c r="A2642" s="1" t="s">
        <v>401</v>
      </c>
      <c r="B2642" s="1" t="s">
        <v>1932</v>
      </c>
      <c r="C2642" s="1" t="s">
        <v>1932</v>
      </c>
      <c r="D2642" s="1" t="n">
        <v>228.5</v>
      </c>
      <c r="E2642" s="1" t="n">
        <v>17.5903614457831</v>
      </c>
      <c r="F2642" s="1" t="n">
        <v>2.1</v>
      </c>
    </row>
    <row collapsed="false" customFormat="false" customHeight="false" hidden="false" ht="14.75" outlineLevel="0" r="2643">
      <c r="A2643" s="1" t="s">
        <v>1950</v>
      </c>
      <c r="B2643" s="1" t="s">
        <v>1933</v>
      </c>
      <c r="C2643" s="1" t="s">
        <v>1932</v>
      </c>
      <c r="D2643" s="1" t="n">
        <v>338.2</v>
      </c>
      <c r="E2643" s="1" t="n">
        <v>23.36</v>
      </c>
      <c r="F2643" s="1" t="n">
        <v>4</v>
      </c>
    </row>
    <row collapsed="false" customFormat="false" customHeight="false" hidden="false" ht="14.75" outlineLevel="0" r="2644">
      <c r="A2644" s="1" t="s">
        <v>409</v>
      </c>
      <c r="B2644" s="1" t="s">
        <v>1931</v>
      </c>
      <c r="C2644" s="1" t="s">
        <v>1932</v>
      </c>
      <c r="D2644" s="1" t="n">
        <v>163.3</v>
      </c>
      <c r="E2644" s="1" t="n">
        <v>10.47</v>
      </c>
      <c r="F2644" s="1" t="n">
        <f aca="false">5/9</f>
        <v>0.555555555555556</v>
      </c>
    </row>
    <row collapsed="false" customFormat="false" customHeight="false" hidden="false" ht="14.75" outlineLevel="0" r="2645">
      <c r="A2645" s="1" t="s">
        <v>1951</v>
      </c>
      <c r="B2645" s="1" t="s">
        <v>1931</v>
      </c>
      <c r="C2645" s="1" t="s">
        <v>1932</v>
      </c>
      <c r="D2645" s="1" t="n">
        <v>153.3</v>
      </c>
      <c r="E2645" s="1" t="n">
        <v>10.91</v>
      </c>
      <c r="F2645" s="1" t="n">
        <f aca="false">6/9</f>
        <v>0.666666666666667</v>
      </c>
    </row>
    <row collapsed="false" customFormat="false" customHeight="false" hidden="false" ht="14.75" outlineLevel="0" r="2646">
      <c r="A2646" s="1" t="s">
        <v>1952</v>
      </c>
      <c r="B2646" s="1" t="s">
        <v>1931</v>
      </c>
      <c r="C2646" s="1" t="s">
        <v>1932</v>
      </c>
      <c r="D2646" s="1" t="n">
        <v>104.4</v>
      </c>
      <c r="E2646" s="1" t="n">
        <v>9.02</v>
      </c>
      <c r="F2646" s="1" t="n">
        <f aca="false">3/9</f>
        <v>0.333333333333333</v>
      </c>
    </row>
    <row collapsed="false" customFormat="false" customHeight="false" hidden="false" ht="14.75" outlineLevel="0" r="2647">
      <c r="A2647" s="1" t="s">
        <v>1953</v>
      </c>
      <c r="B2647" s="1" t="s">
        <v>1931</v>
      </c>
      <c r="C2647" s="1" t="s">
        <v>1932</v>
      </c>
      <c r="D2647" s="1" t="n">
        <v>111.7</v>
      </c>
      <c r="E2647" s="1" t="n">
        <v>9.62</v>
      </c>
      <c r="F2647" s="1" t="n">
        <f aca="false">5/9</f>
        <v>0.555555555555556</v>
      </c>
    </row>
    <row collapsed="false" customFormat="false" customHeight="false" hidden="false" ht="14.75" outlineLevel="0" r="2648">
      <c r="A2648" s="1" t="s">
        <v>190</v>
      </c>
      <c r="B2648" s="1" t="s">
        <v>1933</v>
      </c>
      <c r="C2648" s="1" t="s">
        <v>1932</v>
      </c>
      <c r="D2648" s="1" t="n">
        <v>197.7</v>
      </c>
      <c r="E2648" s="1" t="n">
        <v>15.71</v>
      </c>
      <c r="F2648" s="1" t="n">
        <v>1.54545454545455</v>
      </c>
    </row>
    <row collapsed="false" customFormat="false" customHeight="false" hidden="false" ht="14.75" outlineLevel="0" r="2649">
      <c r="A2649" s="1" t="s">
        <v>191</v>
      </c>
      <c r="B2649" s="1" t="s">
        <v>1933</v>
      </c>
      <c r="C2649" s="1" t="s">
        <v>1932</v>
      </c>
      <c r="D2649" s="1" t="n">
        <v>121.8</v>
      </c>
      <c r="E2649" s="1" t="n">
        <v>10.31</v>
      </c>
      <c r="F2649" s="1" t="n">
        <v>1.27272727272727</v>
      </c>
    </row>
    <row collapsed="false" customFormat="false" customHeight="false" hidden="false" ht="14.75" outlineLevel="0" r="2650">
      <c r="A2650" s="1" t="s">
        <v>986</v>
      </c>
      <c r="B2650" s="1" t="s">
        <v>1932</v>
      </c>
      <c r="C2650" s="1" t="s">
        <v>1932</v>
      </c>
      <c r="D2650" s="1" t="n">
        <v>358.333333333333</v>
      </c>
      <c r="E2650" s="1" t="n">
        <v>23.1720430107527</v>
      </c>
      <c r="F2650" s="1" t="n">
        <v>5.11111111111111</v>
      </c>
    </row>
    <row collapsed="false" customFormat="false" customHeight="false" hidden="false" ht="14.75" outlineLevel="0" r="2651">
      <c r="A2651" s="1" t="s">
        <v>1894</v>
      </c>
      <c r="B2651" s="1" t="s">
        <v>1933</v>
      </c>
      <c r="C2651" s="1" t="s">
        <v>1932</v>
      </c>
      <c r="D2651" s="1" t="n">
        <v>122.3</v>
      </c>
      <c r="E2651" s="1" t="n">
        <v>11.95</v>
      </c>
      <c r="F2651" s="1" t="n">
        <v>0.272727272727273</v>
      </c>
    </row>
    <row collapsed="false" customFormat="false" customHeight="false" hidden="false" ht="14.75" outlineLevel="0" r="2652">
      <c r="A2652" s="1" t="s">
        <v>1895</v>
      </c>
      <c r="B2652" s="1" t="s">
        <v>1933</v>
      </c>
      <c r="C2652" s="1" t="s">
        <v>1932</v>
      </c>
      <c r="D2652" s="1" t="n">
        <v>39.1</v>
      </c>
      <c r="E2652" s="1" t="n">
        <v>5</v>
      </c>
      <c r="F2652" s="1" t="n">
        <v>0.0909090909090909</v>
      </c>
    </row>
    <row collapsed="false" customFormat="false" customHeight="false" hidden="false" ht="14.75" outlineLevel="0" r="2653">
      <c r="A2653" s="1" t="s">
        <v>1954</v>
      </c>
      <c r="B2653" s="1" t="s">
        <v>1955</v>
      </c>
      <c r="C2653" s="1" t="s">
        <v>1955</v>
      </c>
      <c r="D2653" s="1" t="n">
        <v>414.5</v>
      </c>
      <c r="E2653" s="1" t="n">
        <v>20.89</v>
      </c>
      <c r="F2653" s="1" t="n">
        <v>3.8</v>
      </c>
    </row>
    <row collapsed="false" customFormat="false" customHeight="false" hidden="false" ht="14.75" outlineLevel="0" r="2654">
      <c r="A2654" s="1" t="s">
        <v>1956</v>
      </c>
      <c r="B2654" s="1" t="s">
        <v>1955</v>
      </c>
      <c r="C2654" s="1" t="s">
        <v>1955</v>
      </c>
      <c r="D2654" s="1" t="n">
        <v>336</v>
      </c>
      <c r="E2654" s="1" t="n">
        <v>19.9</v>
      </c>
      <c r="F2654" s="1" t="n">
        <v>2.3</v>
      </c>
    </row>
    <row collapsed="false" customFormat="false" customHeight="false" hidden="false" ht="14.75" outlineLevel="0" r="2655">
      <c r="A2655" s="1" t="s">
        <v>336</v>
      </c>
      <c r="B2655" s="1" t="s">
        <v>1955</v>
      </c>
      <c r="C2655" s="1" t="s">
        <v>1955</v>
      </c>
      <c r="D2655" s="1" t="n">
        <v>125</v>
      </c>
      <c r="E2655" s="1" t="n">
        <v>12.61</v>
      </c>
      <c r="F2655" s="1" t="n">
        <v>1</v>
      </c>
    </row>
    <row collapsed="false" customFormat="false" customHeight="false" hidden="false" ht="14.75" outlineLevel="0" r="2656">
      <c r="A2656" s="1" t="s">
        <v>344</v>
      </c>
      <c r="B2656" s="1" t="s">
        <v>1955</v>
      </c>
      <c r="C2656" s="1" t="s">
        <v>1955</v>
      </c>
      <c r="D2656" s="1" t="n">
        <v>354.5</v>
      </c>
      <c r="E2656" s="1" t="n">
        <v>21.27</v>
      </c>
      <c r="F2656" s="1" t="n">
        <v>3.5</v>
      </c>
    </row>
    <row collapsed="false" customFormat="false" customHeight="false" hidden="false" ht="14.75" outlineLevel="0" r="2657">
      <c r="A2657" s="1" t="s">
        <v>466</v>
      </c>
      <c r="B2657" s="1" t="s">
        <v>1955</v>
      </c>
      <c r="C2657" s="1" t="s">
        <v>1955</v>
      </c>
      <c r="D2657" s="1" t="n">
        <v>133.9</v>
      </c>
      <c r="E2657" s="1" t="n">
        <v>11.88</v>
      </c>
      <c r="F2657" s="1" t="n">
        <f aca="false">6/9</f>
        <v>0.666666666666667</v>
      </c>
    </row>
    <row collapsed="false" customFormat="false" customHeight="false" hidden="false" ht="14.75" outlineLevel="0" r="2658">
      <c r="A2658" s="1" t="s">
        <v>19</v>
      </c>
      <c r="B2658" s="1" t="s">
        <v>1955</v>
      </c>
      <c r="C2658" s="1" t="s">
        <v>1955</v>
      </c>
      <c r="D2658" s="1" t="n">
        <v>538.5</v>
      </c>
      <c r="E2658" s="1" t="n">
        <v>25.07</v>
      </c>
      <c r="F2658" s="1" t="n">
        <v>7</v>
      </c>
    </row>
    <row collapsed="false" customFormat="false" customHeight="false" hidden="false" ht="14.75" outlineLevel="0" r="2659">
      <c r="A2659" s="1" t="s">
        <v>20</v>
      </c>
      <c r="B2659" s="1" t="s">
        <v>1955</v>
      </c>
      <c r="C2659" s="1" t="s">
        <v>1955</v>
      </c>
      <c r="D2659" s="1" t="n">
        <v>275</v>
      </c>
      <c r="E2659" s="1" t="n">
        <v>18.48</v>
      </c>
      <c r="F2659" s="1" t="n">
        <v>1.6</v>
      </c>
    </row>
    <row collapsed="false" customFormat="false" customHeight="false" hidden="false" ht="14.75" outlineLevel="0" r="2660">
      <c r="A2660" s="1" t="s">
        <v>21</v>
      </c>
      <c r="B2660" s="1" t="s">
        <v>1955</v>
      </c>
      <c r="C2660" s="1" t="s">
        <v>1955</v>
      </c>
      <c r="D2660" s="1" t="n">
        <v>406.5</v>
      </c>
      <c r="E2660" s="1" t="n">
        <v>20.58</v>
      </c>
      <c r="F2660" s="1" t="n">
        <v>2.2</v>
      </c>
    </row>
    <row collapsed="false" customFormat="false" customHeight="false" hidden="false" ht="14.75" outlineLevel="0" r="2661">
      <c r="A2661" s="1" t="s">
        <v>585</v>
      </c>
      <c r="B2661" s="1" t="s">
        <v>1955</v>
      </c>
      <c r="C2661" s="1" t="s">
        <v>1955</v>
      </c>
      <c r="D2661" s="1" t="n">
        <v>150.7</v>
      </c>
      <c r="E2661" s="1" t="n">
        <v>14.1</v>
      </c>
      <c r="F2661" s="1" t="n">
        <f aca="false">3/7</f>
        <v>0.428571428571429</v>
      </c>
    </row>
    <row collapsed="false" customFormat="false" customHeight="false" hidden="false" ht="14.75" outlineLevel="0" r="2662">
      <c r="A2662" s="1" t="s">
        <v>163</v>
      </c>
      <c r="B2662" s="1" t="s">
        <v>1955</v>
      </c>
      <c r="C2662" s="1" t="s">
        <v>1955</v>
      </c>
      <c r="D2662" s="1" t="n">
        <v>424.5</v>
      </c>
      <c r="E2662" s="1" t="n">
        <v>21.89</v>
      </c>
      <c r="F2662" s="1" t="n">
        <v>4.5</v>
      </c>
    </row>
    <row collapsed="false" customFormat="false" customHeight="false" hidden="false" ht="14.75" outlineLevel="0" r="2663">
      <c r="A2663" s="1" t="s">
        <v>1957</v>
      </c>
      <c r="B2663" s="1" t="s">
        <v>1955</v>
      </c>
      <c r="C2663" s="1" t="s">
        <v>1955</v>
      </c>
      <c r="D2663" s="1" t="n">
        <v>253.1</v>
      </c>
      <c r="E2663" s="1" t="n">
        <v>17.57</v>
      </c>
      <c r="F2663" s="1" t="n">
        <f aca="false">7/8</f>
        <v>0.875</v>
      </c>
    </row>
    <row collapsed="false" customFormat="false" customHeight="false" hidden="false" ht="14.75" outlineLevel="0" r="2664">
      <c r="A2664" s="1" t="s">
        <v>1958</v>
      </c>
      <c r="B2664" s="1" t="s">
        <v>1955</v>
      </c>
      <c r="C2664" s="1" t="s">
        <v>1955</v>
      </c>
      <c r="D2664" s="1" t="n">
        <v>47.1</v>
      </c>
      <c r="E2664" s="1" t="n">
        <v>6.84</v>
      </c>
      <c r="F2664" s="1" t="n">
        <f aca="false">2/7</f>
        <v>0.285714285714286</v>
      </c>
    </row>
    <row collapsed="false" customFormat="false" customHeight="false" hidden="false" ht="14.75" outlineLevel="0" r="2665">
      <c r="A2665" s="1" t="s">
        <v>286</v>
      </c>
      <c r="B2665" s="1" t="s">
        <v>1959</v>
      </c>
      <c r="C2665" s="1" t="s">
        <v>1960</v>
      </c>
      <c r="D2665" s="1" t="n">
        <v>422</v>
      </c>
      <c r="E2665" s="1" t="n">
        <v>25.6</v>
      </c>
      <c r="F2665" s="1" t="n">
        <v>8.5</v>
      </c>
    </row>
    <row collapsed="false" customFormat="false" customHeight="false" hidden="false" ht="14.75" outlineLevel="0" r="2666">
      <c r="A2666" s="1" t="s">
        <v>289</v>
      </c>
      <c r="B2666" s="1" t="s">
        <v>1961</v>
      </c>
      <c r="C2666" s="1" t="s">
        <v>1960</v>
      </c>
      <c r="D2666" s="1" t="n">
        <v>362.3</v>
      </c>
      <c r="E2666" s="1" t="n">
        <v>17.81</v>
      </c>
      <c r="F2666" s="1" t="n">
        <f aca="false">51/11</f>
        <v>4.63636363636364</v>
      </c>
    </row>
    <row collapsed="false" customFormat="false" customHeight="false" hidden="false" ht="14.75" outlineLevel="0" r="2667">
      <c r="A2667" s="1" t="s">
        <v>1105</v>
      </c>
      <c r="B2667" s="1" t="s">
        <v>1961</v>
      </c>
      <c r="C2667" s="1" t="s">
        <v>1960</v>
      </c>
      <c r="D2667" s="1" t="n">
        <v>81.7</v>
      </c>
      <c r="E2667" s="1" t="n">
        <v>8.41</v>
      </c>
      <c r="F2667" s="1" t="n">
        <f aca="false">2/9</f>
        <v>0.222222222222222</v>
      </c>
    </row>
    <row collapsed="false" customFormat="false" customHeight="false" hidden="false" ht="14.75" outlineLevel="0" r="2668">
      <c r="A2668" s="1" t="s">
        <v>1107</v>
      </c>
      <c r="B2668" s="1" t="s">
        <v>1961</v>
      </c>
      <c r="C2668" s="1" t="s">
        <v>1960</v>
      </c>
      <c r="D2668" s="1" t="n">
        <v>40.6</v>
      </c>
      <c r="E2668" s="1" t="n">
        <v>6.96</v>
      </c>
      <c r="F2668" s="1" t="n">
        <v>0</v>
      </c>
    </row>
    <row collapsed="false" customFormat="false" customHeight="false" hidden="false" ht="14.75" outlineLevel="0" r="2669">
      <c r="A2669" s="1" t="s">
        <v>295</v>
      </c>
      <c r="B2669" s="1" t="s">
        <v>1959</v>
      </c>
      <c r="C2669" s="1" t="s">
        <v>1960</v>
      </c>
      <c r="D2669" s="1" t="n">
        <v>296</v>
      </c>
      <c r="E2669" s="1" t="n">
        <v>22.91</v>
      </c>
      <c r="F2669" s="1" t="n">
        <v>5.1</v>
      </c>
    </row>
    <row collapsed="false" customFormat="false" customHeight="false" hidden="false" ht="14.75" outlineLevel="0" r="2670">
      <c r="A2670" s="1" t="s">
        <v>296</v>
      </c>
      <c r="B2670" s="1" t="s">
        <v>1961</v>
      </c>
      <c r="C2670" s="1" t="s">
        <v>1960</v>
      </c>
      <c r="D2670" s="1" t="n">
        <v>169.4</v>
      </c>
      <c r="E2670" s="1" t="n">
        <v>10.32</v>
      </c>
      <c r="F2670" s="1" t="n">
        <f aca="false">14/9</f>
        <v>1.55555555555556</v>
      </c>
    </row>
    <row collapsed="false" customFormat="false" customHeight="false" hidden="false" ht="14.75" outlineLevel="0" r="2671">
      <c r="A2671" s="1" t="s">
        <v>303</v>
      </c>
      <c r="B2671" s="1" t="s">
        <v>1959</v>
      </c>
      <c r="C2671" s="1" t="s">
        <v>1960</v>
      </c>
      <c r="D2671" s="1" t="n">
        <v>383.5</v>
      </c>
      <c r="E2671" s="1" t="n">
        <v>24.48</v>
      </c>
      <c r="F2671" s="1" t="n">
        <v>7.3</v>
      </c>
    </row>
    <row collapsed="false" customFormat="false" customHeight="false" hidden="false" ht="14.75" outlineLevel="0" r="2672">
      <c r="A2672" s="1" t="s">
        <v>534</v>
      </c>
      <c r="B2672" s="1" t="s">
        <v>1961</v>
      </c>
      <c r="C2672" s="1" t="s">
        <v>1960</v>
      </c>
      <c r="D2672" s="1" t="n">
        <v>65.6</v>
      </c>
      <c r="E2672" s="1" t="n">
        <v>6.94</v>
      </c>
      <c r="F2672" s="1" t="n">
        <f aca="false">2/9</f>
        <v>0.222222222222222</v>
      </c>
    </row>
    <row collapsed="false" customFormat="false" customHeight="false" hidden="false" ht="14.75" outlineLevel="0" r="2673">
      <c r="A2673" s="1" t="s">
        <v>332</v>
      </c>
      <c r="B2673" s="1" t="s">
        <v>1961</v>
      </c>
      <c r="C2673" s="1" t="s">
        <v>1960</v>
      </c>
      <c r="D2673" s="1" t="n">
        <v>355</v>
      </c>
      <c r="E2673" s="1" t="n">
        <v>18.07</v>
      </c>
      <c r="F2673" s="1" t="n">
        <f aca="false">42/11</f>
        <v>3.81818181818182</v>
      </c>
    </row>
    <row collapsed="false" customFormat="false" customHeight="false" hidden="false" ht="14.75" outlineLevel="0" r="2674">
      <c r="A2674" s="1" t="s">
        <v>343</v>
      </c>
      <c r="B2674" s="1" t="s">
        <v>1959</v>
      </c>
      <c r="C2674" s="1" t="s">
        <v>1960</v>
      </c>
      <c r="D2674" s="1" t="n">
        <v>359.5</v>
      </c>
      <c r="E2674" s="1" t="n">
        <v>24.05</v>
      </c>
      <c r="F2674" s="1" t="n">
        <v>6.7</v>
      </c>
    </row>
    <row collapsed="false" customFormat="false" customHeight="false" hidden="false" ht="14.75" outlineLevel="0" r="2675">
      <c r="A2675" s="1" t="s">
        <v>344</v>
      </c>
      <c r="B2675" s="1" t="s">
        <v>1961</v>
      </c>
      <c r="C2675" s="1" t="s">
        <v>1960</v>
      </c>
      <c r="D2675" s="1" t="n">
        <v>227.2</v>
      </c>
      <c r="E2675" s="1" t="n">
        <v>15.5</v>
      </c>
      <c r="F2675" s="1" t="n">
        <f aca="false">15/9</f>
        <v>1.66666666666667</v>
      </c>
    </row>
    <row collapsed="false" customFormat="false" customHeight="false" hidden="false" ht="14.75" outlineLevel="0" r="2676">
      <c r="A2676" s="1" t="s">
        <v>466</v>
      </c>
      <c r="B2676" s="1" t="s">
        <v>1961</v>
      </c>
      <c r="C2676" s="1" t="s">
        <v>1960</v>
      </c>
      <c r="D2676" s="1" t="n">
        <v>66.7</v>
      </c>
      <c r="E2676" s="1" t="n">
        <v>7.22</v>
      </c>
      <c r="F2676" s="1" t="n">
        <f aca="false">4/9</f>
        <v>0.444444444444444</v>
      </c>
    </row>
    <row collapsed="false" customFormat="false" customHeight="false" hidden="false" ht="14.75" outlineLevel="0" r="2677">
      <c r="A2677" s="1" t="s">
        <v>569</v>
      </c>
      <c r="B2677" s="1" t="s">
        <v>1961</v>
      </c>
      <c r="C2677" s="1" t="s">
        <v>1960</v>
      </c>
      <c r="D2677" s="1" t="n">
        <v>234.4</v>
      </c>
      <c r="E2677" s="1" t="n">
        <v>15.3</v>
      </c>
      <c r="F2677" s="1" t="n">
        <v>2</v>
      </c>
    </row>
    <row collapsed="false" customFormat="false" customHeight="false" hidden="false" ht="14.75" outlineLevel="0" r="2678">
      <c r="A2678" s="1" t="s">
        <v>354</v>
      </c>
      <c r="B2678" s="1" t="s">
        <v>1961</v>
      </c>
      <c r="C2678" s="1" t="s">
        <v>1960</v>
      </c>
      <c r="D2678" s="1" t="n">
        <v>155</v>
      </c>
      <c r="E2678" s="1" t="n">
        <v>9.86</v>
      </c>
      <c r="F2678" s="1" t="n">
        <f aca="false">10/9</f>
        <v>1.11111111111111</v>
      </c>
    </row>
    <row collapsed="false" customFormat="false" customHeight="false" hidden="false" ht="14.75" outlineLevel="0" r="2679">
      <c r="A2679" s="1" t="s">
        <v>19</v>
      </c>
      <c r="B2679" s="1" t="s">
        <v>1959</v>
      </c>
      <c r="C2679" s="1" t="s">
        <v>1960</v>
      </c>
      <c r="D2679" s="1" t="n">
        <v>399.5</v>
      </c>
      <c r="E2679" s="1" t="n">
        <v>25.61</v>
      </c>
      <c r="F2679" s="1" t="n">
        <v>6.6</v>
      </c>
    </row>
    <row collapsed="false" customFormat="false" customHeight="false" hidden="false" ht="14.75" outlineLevel="0" r="2680">
      <c r="A2680" s="1" t="s">
        <v>20</v>
      </c>
      <c r="B2680" s="1" t="s">
        <v>1961</v>
      </c>
      <c r="C2680" s="1" t="s">
        <v>1960</v>
      </c>
      <c r="D2680" s="1" t="n">
        <v>231.7</v>
      </c>
      <c r="E2680" s="1" t="n">
        <v>15.35</v>
      </c>
      <c r="F2680" s="1" t="n">
        <f aca="false">24/9</f>
        <v>2.66666666666667</v>
      </c>
    </row>
    <row collapsed="false" customFormat="false" customHeight="false" hidden="false" ht="14.75" outlineLevel="0" r="2681">
      <c r="A2681" s="1" t="s">
        <v>358</v>
      </c>
      <c r="B2681" s="1" t="s">
        <v>1961</v>
      </c>
      <c r="C2681" s="1" t="s">
        <v>1960</v>
      </c>
      <c r="D2681" s="1" t="n">
        <v>285.6</v>
      </c>
      <c r="E2681" s="1" t="n">
        <v>19.59</v>
      </c>
      <c r="F2681" s="1" t="n">
        <f aca="false">28/9</f>
        <v>3.11111111111111</v>
      </c>
    </row>
    <row collapsed="false" customFormat="false" customHeight="false" hidden="false" ht="14.75" outlineLevel="0" r="2682">
      <c r="A2682" s="1" t="s">
        <v>359</v>
      </c>
      <c r="B2682" s="1" t="s">
        <v>1961</v>
      </c>
      <c r="C2682" s="1" t="s">
        <v>1960</v>
      </c>
      <c r="D2682" s="1" t="n">
        <v>176.7</v>
      </c>
      <c r="E2682" s="1" t="n">
        <v>15</v>
      </c>
      <c r="F2682" s="1" t="n">
        <f aca="false">15/9</f>
        <v>1.66666666666667</v>
      </c>
    </row>
    <row collapsed="false" customFormat="false" customHeight="false" hidden="false" ht="14.75" outlineLevel="0" r="2683">
      <c r="A2683" s="1" t="s">
        <v>163</v>
      </c>
      <c r="B2683" s="1" t="s">
        <v>1959</v>
      </c>
      <c r="C2683" s="1" t="s">
        <v>1960</v>
      </c>
      <c r="D2683" s="1" t="n">
        <v>289.5</v>
      </c>
      <c r="E2683" s="1" t="n">
        <v>23.73</v>
      </c>
      <c r="F2683" s="1" t="n">
        <v>3.8</v>
      </c>
    </row>
    <row collapsed="false" customFormat="false" customHeight="false" hidden="false" ht="14.75" outlineLevel="0" r="2684">
      <c r="A2684" s="1" t="s">
        <v>1298</v>
      </c>
      <c r="B2684" s="1" t="s">
        <v>1961</v>
      </c>
      <c r="C2684" s="1" t="s">
        <v>1960</v>
      </c>
      <c r="D2684" s="1" t="n">
        <v>317.8</v>
      </c>
      <c r="E2684" s="1" t="n">
        <v>18.67</v>
      </c>
      <c r="F2684" s="1" t="n">
        <f aca="false">27/9</f>
        <v>3</v>
      </c>
    </row>
    <row collapsed="false" customFormat="false" customHeight="false" hidden="false" ht="14.75" outlineLevel="0" r="2685">
      <c r="A2685" s="1" t="s">
        <v>1962</v>
      </c>
      <c r="B2685" s="1" t="s">
        <v>1961</v>
      </c>
      <c r="C2685" s="1" t="s">
        <v>1960</v>
      </c>
      <c r="D2685" s="1" t="n">
        <v>267.2</v>
      </c>
      <c r="E2685" s="1" t="n">
        <v>14.9</v>
      </c>
      <c r="F2685" s="1" t="n">
        <f aca="false">15/9</f>
        <v>1.66666666666667</v>
      </c>
    </row>
    <row collapsed="false" customFormat="false" customHeight="false" hidden="false" ht="14.75" outlineLevel="0" r="2686">
      <c r="A2686" s="1" t="s">
        <v>1963</v>
      </c>
      <c r="B2686" s="1" t="s">
        <v>1961</v>
      </c>
      <c r="C2686" s="1" t="s">
        <v>1960</v>
      </c>
      <c r="D2686" s="1" t="n">
        <v>198.3</v>
      </c>
      <c r="E2686" s="1" t="n">
        <v>11.95</v>
      </c>
      <c r="F2686" s="1" t="n">
        <f aca="false">10/9</f>
        <v>1.11111111111111</v>
      </c>
    </row>
    <row collapsed="false" customFormat="false" customHeight="false" hidden="false" ht="14.75" outlineLevel="0" r="2687">
      <c r="A2687" s="1" t="s">
        <v>1964</v>
      </c>
      <c r="B2687" s="1" t="s">
        <v>1961</v>
      </c>
      <c r="C2687" s="1" t="s">
        <v>1960</v>
      </c>
      <c r="D2687" s="1" t="n">
        <v>94.4</v>
      </c>
      <c r="E2687" s="1" t="n">
        <v>8.37</v>
      </c>
      <c r="F2687" s="1" t="n">
        <f aca="false">3/9</f>
        <v>0.333333333333333</v>
      </c>
    </row>
    <row collapsed="false" customFormat="false" customHeight="false" hidden="false" ht="14.75" outlineLevel="0" r="2688">
      <c r="A2688" s="1" t="s">
        <v>1965</v>
      </c>
      <c r="B2688" s="1" t="s">
        <v>1961</v>
      </c>
      <c r="C2688" s="1" t="s">
        <v>1960</v>
      </c>
      <c r="D2688" s="1" t="n">
        <v>168.9</v>
      </c>
      <c r="E2688" s="1" t="n">
        <v>13.18</v>
      </c>
      <c r="F2688" s="1" t="n">
        <f aca="false">12/9</f>
        <v>1.33333333333333</v>
      </c>
    </row>
    <row collapsed="false" customFormat="false" customHeight="false" hidden="false" ht="14.75" outlineLevel="0" r="2689">
      <c r="A2689" s="1" t="s">
        <v>1966</v>
      </c>
      <c r="B2689" s="1" t="s">
        <v>1967</v>
      </c>
      <c r="C2689" s="1" t="s">
        <v>1968</v>
      </c>
      <c r="D2689" s="1" t="n">
        <v>167.2</v>
      </c>
      <c r="E2689" s="1" t="n">
        <v>11.67</v>
      </c>
      <c r="F2689" s="1" t="n">
        <f aca="false">20/16</f>
        <v>1.25</v>
      </c>
    </row>
    <row collapsed="false" customFormat="false" customHeight="false" hidden="false" ht="14.75" outlineLevel="0" r="2690">
      <c r="A2690" s="1" t="s">
        <v>1969</v>
      </c>
      <c r="B2690" s="1" t="s">
        <v>1967</v>
      </c>
      <c r="C2690" s="1" t="s">
        <v>1968</v>
      </c>
      <c r="D2690" s="1" t="n">
        <v>386.9</v>
      </c>
      <c r="E2690" s="1" t="n">
        <v>19.43</v>
      </c>
      <c r="F2690" s="1" t="n">
        <f aca="false">76/16</f>
        <v>4.75</v>
      </c>
    </row>
    <row collapsed="false" customFormat="false" customHeight="false" hidden="false" ht="14.75" outlineLevel="0" r="2691">
      <c r="A2691" s="1" t="s">
        <v>1970</v>
      </c>
      <c r="B2691" s="1" t="s">
        <v>1967</v>
      </c>
      <c r="C2691" s="1" t="s">
        <v>1968</v>
      </c>
      <c r="D2691" s="1" t="n">
        <v>305.9</v>
      </c>
      <c r="E2691" s="1" t="n">
        <v>15.92</v>
      </c>
      <c r="F2691" s="1" t="n">
        <f aca="false">28/16</f>
        <v>1.75</v>
      </c>
    </row>
    <row collapsed="false" customFormat="false" customHeight="false" hidden="false" ht="14.75" outlineLevel="0" r="2692">
      <c r="A2692" s="1" t="s">
        <v>39</v>
      </c>
      <c r="B2692" s="1" t="s">
        <v>1967</v>
      </c>
      <c r="C2692" s="1" t="s">
        <v>1968</v>
      </c>
      <c r="D2692" s="1" t="n">
        <v>173.4</v>
      </c>
      <c r="E2692" s="1" t="n">
        <v>12.23</v>
      </c>
      <c r="F2692" s="1" t="n">
        <f aca="false">13/16</f>
        <v>0.8125</v>
      </c>
    </row>
    <row collapsed="false" customFormat="false" customHeight="false" hidden="false" ht="14.75" outlineLevel="0" r="2693">
      <c r="A2693" s="1" t="s">
        <v>1971</v>
      </c>
      <c r="B2693" s="1" t="s">
        <v>1967</v>
      </c>
      <c r="C2693" s="1" t="s">
        <v>1968</v>
      </c>
      <c r="D2693" s="1" t="n">
        <v>253.1</v>
      </c>
      <c r="E2693" s="1" t="n">
        <v>14.72</v>
      </c>
      <c r="F2693" s="1" t="n">
        <f aca="false">26/16</f>
        <v>1.625</v>
      </c>
    </row>
    <row collapsed="false" customFormat="false" customHeight="false" hidden="false" ht="14.75" outlineLevel="0" r="2694">
      <c r="A2694" s="1" t="s">
        <v>1972</v>
      </c>
      <c r="B2694" s="1" t="s">
        <v>1967</v>
      </c>
      <c r="C2694" s="1" t="s">
        <v>1968</v>
      </c>
      <c r="D2694" s="1" t="n">
        <v>315.6</v>
      </c>
      <c r="E2694" s="1" t="n">
        <v>17.08</v>
      </c>
      <c r="F2694" s="1" t="n">
        <f aca="false">35/16</f>
        <v>2.1875</v>
      </c>
    </row>
    <row collapsed="false" customFormat="false" customHeight="false" hidden="false" ht="14.75" outlineLevel="0" r="2695">
      <c r="A2695" s="1" t="s">
        <v>1973</v>
      </c>
      <c r="B2695" s="1" t="s">
        <v>1967</v>
      </c>
      <c r="C2695" s="1" t="s">
        <v>1968</v>
      </c>
      <c r="D2695" s="1" t="n">
        <v>295</v>
      </c>
      <c r="E2695" s="1" t="n">
        <v>16.63</v>
      </c>
      <c r="F2695" s="1" t="n">
        <f aca="false">47/16</f>
        <v>2.9375</v>
      </c>
    </row>
    <row collapsed="false" customFormat="false" customHeight="false" hidden="false" ht="14.75" outlineLevel="0" r="2696">
      <c r="A2696" s="1" t="s">
        <v>1974</v>
      </c>
      <c r="B2696" s="1" t="s">
        <v>1967</v>
      </c>
      <c r="C2696" s="1" t="s">
        <v>1968</v>
      </c>
      <c r="D2696" s="1" t="n">
        <v>240.9</v>
      </c>
      <c r="E2696" s="1" t="n">
        <v>14.94</v>
      </c>
      <c r="F2696" s="1" t="n">
        <f aca="false">23/16</f>
        <v>1.4375</v>
      </c>
    </row>
    <row collapsed="false" customFormat="false" customHeight="false" hidden="false" ht="14.75" outlineLevel="0" r="2697">
      <c r="A2697" s="1" t="s">
        <v>1975</v>
      </c>
      <c r="B2697" s="1" t="s">
        <v>1967</v>
      </c>
      <c r="C2697" s="1" t="s">
        <v>1968</v>
      </c>
      <c r="D2697" s="1" t="n">
        <v>405.9</v>
      </c>
      <c r="E2697" s="1" t="n">
        <v>19.05</v>
      </c>
      <c r="F2697" s="1" t="n">
        <f aca="false">45/16</f>
        <v>2.8125</v>
      </c>
    </row>
    <row collapsed="false" customFormat="false" customHeight="false" hidden="false" ht="14.75" outlineLevel="0" r="2698">
      <c r="A2698" s="1" t="s">
        <v>1976</v>
      </c>
      <c r="B2698" s="1" t="s">
        <v>1967</v>
      </c>
      <c r="C2698" s="1" t="s">
        <v>1968</v>
      </c>
      <c r="D2698" s="1" t="n">
        <v>157.8</v>
      </c>
      <c r="E2698" s="1" t="n">
        <v>11.18</v>
      </c>
      <c r="F2698" s="1" t="n">
        <f aca="false">15/16</f>
        <v>0.9375</v>
      </c>
    </row>
    <row collapsed="false" customFormat="false" customHeight="false" hidden="false" ht="14.75" outlineLevel="0" r="2699">
      <c r="A2699" s="1" t="s">
        <v>1977</v>
      </c>
      <c r="B2699" s="1" t="s">
        <v>1967</v>
      </c>
      <c r="C2699" s="1" t="s">
        <v>1968</v>
      </c>
      <c r="D2699" s="1" t="n">
        <v>65.6</v>
      </c>
      <c r="E2699" s="1" t="n">
        <v>6.77</v>
      </c>
      <c r="F2699" s="1" t="n">
        <f aca="false">8/16</f>
        <v>0.5</v>
      </c>
    </row>
    <row collapsed="false" customFormat="false" customHeight="false" hidden="false" ht="14.75" outlineLevel="0" r="2700">
      <c r="A2700" s="1" t="s">
        <v>1978</v>
      </c>
      <c r="B2700" s="1" t="s">
        <v>1967</v>
      </c>
      <c r="C2700" s="1" t="s">
        <v>1968</v>
      </c>
      <c r="D2700" s="1" t="n">
        <v>273.8</v>
      </c>
      <c r="E2700" s="1" t="n">
        <v>15.86</v>
      </c>
      <c r="F2700" s="1" t="n">
        <f aca="false">45/16</f>
        <v>2.8125</v>
      </c>
    </row>
    <row collapsed="false" customFormat="false" customHeight="false" hidden="false" ht="14.75" outlineLevel="0" r="2701">
      <c r="A2701" s="1" t="s">
        <v>1979</v>
      </c>
      <c r="B2701" s="1" t="s">
        <v>1967</v>
      </c>
      <c r="C2701" s="1" t="s">
        <v>1968</v>
      </c>
      <c r="D2701" s="1" t="n">
        <v>196.6</v>
      </c>
      <c r="E2701" s="1" t="n">
        <v>12.3</v>
      </c>
      <c r="F2701" s="1" t="n">
        <f aca="false">24/16</f>
        <v>1.5</v>
      </c>
    </row>
    <row collapsed="false" customFormat="false" customHeight="false" hidden="false" ht="14.75" outlineLevel="0" r="2702">
      <c r="A2702" s="1" t="s">
        <v>1980</v>
      </c>
      <c r="B2702" s="1" t="s">
        <v>1967</v>
      </c>
      <c r="C2702" s="1" t="s">
        <v>1968</v>
      </c>
      <c r="D2702" s="1" t="n">
        <v>221.2</v>
      </c>
      <c r="E2702" s="1" t="n">
        <v>13.42</v>
      </c>
      <c r="F2702" s="1" t="n">
        <f aca="false">27/16</f>
        <v>1.6875</v>
      </c>
    </row>
    <row collapsed="false" customFormat="false" customHeight="false" hidden="false" ht="14.75" outlineLevel="0" r="2703">
      <c r="A2703" s="1" t="s">
        <v>1981</v>
      </c>
      <c r="B2703" s="1" t="s">
        <v>1967</v>
      </c>
      <c r="C2703" s="1" t="s">
        <v>1968</v>
      </c>
      <c r="D2703" s="1" t="n">
        <v>296.2</v>
      </c>
      <c r="E2703" s="1" t="n">
        <v>17.46</v>
      </c>
      <c r="F2703" s="1" t="n">
        <f aca="false">36/16</f>
        <v>2.25</v>
      </c>
    </row>
    <row collapsed="false" customFormat="false" customHeight="false" hidden="false" ht="14.75" outlineLevel="0" r="2704">
      <c r="A2704" s="1" t="s">
        <v>1982</v>
      </c>
      <c r="B2704" s="1" t="s">
        <v>1967</v>
      </c>
      <c r="C2704" s="1" t="s">
        <v>1968</v>
      </c>
      <c r="D2704" s="1" t="n">
        <v>130.9</v>
      </c>
      <c r="E2704" s="1" t="n">
        <v>10.67</v>
      </c>
      <c r="F2704" s="1" t="n">
        <f aca="false">9/16</f>
        <v>0.5625</v>
      </c>
    </row>
    <row collapsed="false" customFormat="false" customHeight="false" hidden="false" ht="14.75" outlineLevel="0" r="2705">
      <c r="A2705" s="1" t="s">
        <v>1983</v>
      </c>
      <c r="B2705" s="1" t="s">
        <v>1967</v>
      </c>
      <c r="C2705" s="1" t="s">
        <v>1968</v>
      </c>
      <c r="D2705" s="1" t="n">
        <v>109.7</v>
      </c>
      <c r="E2705" s="1" t="n">
        <v>11.18</v>
      </c>
      <c r="F2705" s="1" t="n">
        <f aca="false">7/16</f>
        <v>0.4375</v>
      </c>
    </row>
    <row collapsed="false" customFormat="false" customHeight="false" hidden="false" ht="14.75" outlineLevel="0" r="2706">
      <c r="A2706" s="1" t="s">
        <v>1984</v>
      </c>
      <c r="B2706" s="1" t="s">
        <v>1985</v>
      </c>
      <c r="C2706" s="1" t="s">
        <v>1985</v>
      </c>
      <c r="D2706" s="1" t="n">
        <v>315</v>
      </c>
      <c r="E2706" s="1" t="n">
        <v>19</v>
      </c>
      <c r="F2706" s="1" t="s">
        <v>9</v>
      </c>
    </row>
    <row collapsed="false" customFormat="false" customHeight="false" hidden="false" ht="14.75" outlineLevel="0" r="2707">
      <c r="A2707" s="1" t="s">
        <v>108</v>
      </c>
      <c r="B2707" s="1" t="s">
        <v>1985</v>
      </c>
      <c r="C2707" s="1" t="s">
        <v>1985</v>
      </c>
      <c r="D2707" s="1" t="n">
        <v>401.82</v>
      </c>
      <c r="E2707" s="1" t="n">
        <v>20.39</v>
      </c>
      <c r="F2707" s="1" t="s">
        <v>9</v>
      </c>
    </row>
    <row collapsed="false" customFormat="false" customHeight="false" hidden="false" ht="14.75" outlineLevel="0" r="2708">
      <c r="A2708" s="1" t="s">
        <v>110</v>
      </c>
      <c r="B2708" s="1" t="s">
        <v>1985</v>
      </c>
      <c r="C2708" s="1" t="s">
        <v>1985</v>
      </c>
      <c r="D2708" s="1" t="n">
        <v>257.27</v>
      </c>
      <c r="E2708" s="1" t="n">
        <v>16.77</v>
      </c>
      <c r="F2708" s="1" t="s">
        <v>9</v>
      </c>
    </row>
    <row collapsed="false" customFormat="false" customHeight="false" hidden="false" ht="14.75" outlineLevel="0" r="2709">
      <c r="A2709" s="1" t="s">
        <v>316</v>
      </c>
      <c r="B2709" s="1" t="s">
        <v>1985</v>
      </c>
      <c r="C2709" s="1" t="s">
        <v>1985</v>
      </c>
      <c r="D2709" s="1" t="n">
        <v>218</v>
      </c>
      <c r="E2709" s="1" t="n">
        <v>13.21</v>
      </c>
      <c r="F2709" s="1" t="s">
        <v>9</v>
      </c>
    </row>
    <row collapsed="false" customFormat="false" customHeight="false" hidden="false" ht="14.75" outlineLevel="0" r="2710">
      <c r="A2710" s="1" t="s">
        <v>1986</v>
      </c>
      <c r="B2710" s="1" t="s">
        <v>1985</v>
      </c>
      <c r="C2710" s="1" t="s">
        <v>1985</v>
      </c>
      <c r="D2710" s="1" t="n">
        <v>185.56</v>
      </c>
      <c r="E2710" s="1" t="n">
        <v>11.59</v>
      </c>
      <c r="F2710" s="1" t="s">
        <v>9</v>
      </c>
    </row>
    <row collapsed="false" customFormat="false" customHeight="false" hidden="false" ht="14.75" outlineLevel="0" r="2711">
      <c r="A2711" s="1" t="s">
        <v>1163</v>
      </c>
      <c r="B2711" s="1" t="s">
        <v>1985</v>
      </c>
      <c r="C2711" s="1" t="s">
        <v>1985</v>
      </c>
      <c r="D2711" s="1" t="n">
        <v>230</v>
      </c>
      <c r="E2711" s="1" t="n">
        <v>13.46</v>
      </c>
      <c r="F2711" s="1" t="s">
        <v>9</v>
      </c>
    </row>
    <row collapsed="false" customFormat="false" customHeight="false" hidden="false" ht="14.75" outlineLevel="0" r="2712">
      <c r="A2712" s="1" t="s">
        <v>1987</v>
      </c>
      <c r="B2712" s="1" t="s">
        <v>1985</v>
      </c>
      <c r="C2712" s="1" t="s">
        <v>1985</v>
      </c>
      <c r="D2712" s="1" t="n">
        <v>192</v>
      </c>
      <c r="E2712" s="1" t="n">
        <v>11.83</v>
      </c>
      <c r="F2712" s="1" t="s">
        <v>9</v>
      </c>
    </row>
    <row collapsed="false" customFormat="false" customHeight="false" hidden="false" ht="14.75" outlineLevel="0" r="2713">
      <c r="A2713" s="1" t="s">
        <v>1988</v>
      </c>
      <c r="B2713" s="1" t="s">
        <v>1985</v>
      </c>
      <c r="C2713" s="1" t="s">
        <v>1985</v>
      </c>
      <c r="D2713" s="1" t="n">
        <v>82.86</v>
      </c>
      <c r="E2713" s="1" t="n">
        <v>7.41</v>
      </c>
      <c r="F2713" s="1" t="s">
        <v>9</v>
      </c>
    </row>
    <row collapsed="false" customFormat="false" customHeight="false" hidden="false" ht="14.75" outlineLevel="0" r="2714">
      <c r="A2714" s="1" t="s">
        <v>138</v>
      </c>
      <c r="B2714" s="1" t="s">
        <v>1985</v>
      </c>
      <c r="C2714" s="1" t="s">
        <v>1985</v>
      </c>
      <c r="D2714" s="1" t="n">
        <v>71.25</v>
      </c>
      <c r="E2714" s="1" t="n">
        <v>7.41</v>
      </c>
      <c r="F2714" s="1" t="s">
        <v>9</v>
      </c>
    </row>
    <row collapsed="false" customFormat="false" customHeight="false" hidden="false" ht="14.75" outlineLevel="0" r="2715">
      <c r="A2715" s="1" t="s">
        <v>339</v>
      </c>
      <c r="B2715" s="1" t="s">
        <v>1985</v>
      </c>
      <c r="C2715" s="1" t="s">
        <v>1985</v>
      </c>
      <c r="D2715" s="1" t="n">
        <v>355.56</v>
      </c>
      <c r="E2715" s="1" t="n">
        <v>18.32</v>
      </c>
      <c r="F2715" s="1" t="s">
        <v>9</v>
      </c>
    </row>
    <row collapsed="false" customFormat="false" customHeight="false" hidden="false" ht="14.75" outlineLevel="0" r="2716">
      <c r="A2716" s="1" t="s">
        <v>564</v>
      </c>
      <c r="B2716" s="1" t="s">
        <v>1985</v>
      </c>
      <c r="C2716" s="1" t="s">
        <v>1985</v>
      </c>
      <c r="D2716" s="1" t="n">
        <v>250.91</v>
      </c>
      <c r="E2716" s="1" t="n">
        <v>14.15</v>
      </c>
      <c r="F2716" s="1" t="s">
        <v>9</v>
      </c>
    </row>
    <row collapsed="false" customFormat="false" customHeight="false" hidden="false" ht="14.75" outlineLevel="0" r="2717">
      <c r="A2717" s="1" t="s">
        <v>1937</v>
      </c>
      <c r="B2717" s="1" t="s">
        <v>1985</v>
      </c>
      <c r="C2717" s="1" t="s">
        <v>1985</v>
      </c>
      <c r="D2717" s="1" t="n">
        <v>176.67</v>
      </c>
      <c r="E2717" s="1" t="n">
        <v>12.37</v>
      </c>
      <c r="F2717" s="1" t="s">
        <v>9</v>
      </c>
    </row>
    <row collapsed="false" customFormat="false" customHeight="false" hidden="false" ht="14.75" outlineLevel="0" r="2718">
      <c r="A2718" s="1" t="s">
        <v>348</v>
      </c>
      <c r="B2718" s="1" t="s">
        <v>1985</v>
      </c>
      <c r="C2718" s="1" t="s">
        <v>1985</v>
      </c>
      <c r="D2718" s="1" t="n">
        <v>540.83</v>
      </c>
      <c r="E2718" s="1" t="n">
        <v>24.15</v>
      </c>
      <c r="F2718" s="1" t="s">
        <v>9</v>
      </c>
    </row>
    <row collapsed="false" customFormat="false" customHeight="false" hidden="false" ht="14.75" outlineLevel="0" r="2719">
      <c r="A2719" s="1" t="s">
        <v>349</v>
      </c>
      <c r="B2719" s="1" t="s">
        <v>1985</v>
      </c>
      <c r="C2719" s="1" t="s">
        <v>1985</v>
      </c>
      <c r="D2719" s="1" t="n">
        <v>288.89</v>
      </c>
      <c r="E2719" s="1" t="n">
        <v>15.76</v>
      </c>
      <c r="F2719" s="1" t="s">
        <v>9</v>
      </c>
    </row>
    <row collapsed="false" customFormat="false" customHeight="false" hidden="false" ht="14.75" outlineLevel="0" r="2720">
      <c r="A2720" s="1" t="s">
        <v>1262</v>
      </c>
      <c r="B2720" s="1" t="s">
        <v>1985</v>
      </c>
      <c r="C2720" s="1" t="s">
        <v>1985</v>
      </c>
      <c r="D2720" s="1" t="n">
        <v>295.56</v>
      </c>
      <c r="E2720" s="1" t="n">
        <v>15.22</v>
      </c>
      <c r="F2720" s="1" t="s">
        <v>9</v>
      </c>
    </row>
    <row collapsed="false" customFormat="false" customHeight="false" hidden="false" ht="14.75" outlineLevel="0" r="2721">
      <c r="A2721" s="1" t="s">
        <v>591</v>
      </c>
      <c r="B2721" s="1" t="s">
        <v>1985</v>
      </c>
      <c r="C2721" s="1" t="s">
        <v>1985</v>
      </c>
      <c r="D2721" s="1" t="n">
        <v>230</v>
      </c>
      <c r="E2721" s="1" t="n">
        <v>15.28</v>
      </c>
      <c r="F2721" s="1" t="s">
        <v>9</v>
      </c>
    </row>
    <row collapsed="false" customFormat="false" customHeight="false" hidden="false" ht="14.75" outlineLevel="0" r="2722">
      <c r="A2722" s="1" t="s">
        <v>1989</v>
      </c>
      <c r="B2722" s="1" t="s">
        <v>1985</v>
      </c>
      <c r="C2722" s="1" t="s">
        <v>1985</v>
      </c>
      <c r="D2722" s="1" t="n">
        <v>255</v>
      </c>
      <c r="E2722" s="1" t="n">
        <v>12.92</v>
      </c>
      <c r="F2722" s="1" t="s">
        <v>9</v>
      </c>
    </row>
    <row collapsed="false" customFormat="false" customHeight="false" hidden="false" ht="14.75" outlineLevel="0" r="2723">
      <c r="A2723" s="1" t="s">
        <v>1990</v>
      </c>
      <c r="B2723" s="1" t="s">
        <v>1985</v>
      </c>
      <c r="C2723" s="1" t="s">
        <v>1985</v>
      </c>
      <c r="D2723" s="1" t="n">
        <v>173.75</v>
      </c>
      <c r="E2723" s="1" t="n">
        <v>11.75</v>
      </c>
      <c r="F2723" s="1" t="s">
        <v>9</v>
      </c>
    </row>
    <row collapsed="false" customFormat="false" customHeight="false" hidden="false" ht="14.75" outlineLevel="0" r="2724">
      <c r="A2724" s="1" t="s">
        <v>1991</v>
      </c>
      <c r="B2724" s="1" t="s">
        <v>1985</v>
      </c>
      <c r="C2724" s="1" t="s">
        <v>1985</v>
      </c>
      <c r="D2724" s="1" t="n">
        <v>248.89</v>
      </c>
      <c r="E2724" s="1" t="n">
        <v>13</v>
      </c>
      <c r="F2724" s="1" t="s">
        <v>9</v>
      </c>
    </row>
    <row collapsed="false" customFormat="false" customHeight="false" hidden="false" ht="14.75" outlineLevel="0" r="2725">
      <c r="A2725" s="1" t="s">
        <v>1992</v>
      </c>
      <c r="B2725" s="1" t="s">
        <v>1985</v>
      </c>
      <c r="C2725" s="1" t="s">
        <v>1985</v>
      </c>
      <c r="D2725" s="1" t="n">
        <v>191.11</v>
      </c>
      <c r="E2725" s="1" t="n">
        <v>11.74</v>
      </c>
      <c r="F2725" s="1" t="s">
        <v>9</v>
      </c>
    </row>
    <row collapsed="false" customFormat="false" customHeight="false" hidden="false" ht="14.75" outlineLevel="0" r="2726">
      <c r="A2726" s="1" t="s">
        <v>1993</v>
      </c>
      <c r="B2726" s="1" t="s">
        <v>1985</v>
      </c>
      <c r="C2726" s="1" t="s">
        <v>1985</v>
      </c>
      <c r="D2726" s="1" t="n">
        <v>108</v>
      </c>
      <c r="E2726" s="1" t="n">
        <v>7.07</v>
      </c>
      <c r="F2726" s="1" t="s">
        <v>9</v>
      </c>
    </row>
    <row collapsed="false" customFormat="false" customHeight="false" hidden="false" ht="14.75" outlineLevel="0" r="2727">
      <c r="A2727" s="1" t="s">
        <v>922</v>
      </c>
      <c r="B2727" s="1" t="s">
        <v>1985</v>
      </c>
      <c r="C2727" s="1" t="s">
        <v>1985</v>
      </c>
      <c r="D2727" s="1" t="n">
        <v>384</v>
      </c>
      <c r="E2727" s="1" t="n">
        <v>18.89</v>
      </c>
      <c r="F2727" s="1" t="s">
        <v>9</v>
      </c>
    </row>
    <row collapsed="false" customFormat="false" customHeight="false" hidden="false" ht="14.75" outlineLevel="0" r="2728">
      <c r="A2728" s="1" t="s">
        <v>923</v>
      </c>
      <c r="B2728" s="1" t="s">
        <v>1985</v>
      </c>
      <c r="C2728" s="1" t="s">
        <v>1985</v>
      </c>
      <c r="D2728" s="1" t="n">
        <v>208.89</v>
      </c>
      <c r="E2728" s="1" t="n">
        <v>12.05</v>
      </c>
      <c r="F2728" s="1" t="s">
        <v>9</v>
      </c>
    </row>
    <row collapsed="false" customFormat="false" customHeight="false" hidden="false" ht="14.75" outlineLevel="0" r="2729">
      <c r="A2729" s="1" t="s">
        <v>1994</v>
      </c>
      <c r="B2729" s="1" t="s">
        <v>1985</v>
      </c>
      <c r="C2729" s="1" t="s">
        <v>1985</v>
      </c>
      <c r="D2729" s="1" t="n">
        <v>194</v>
      </c>
      <c r="E2729" s="1" t="n">
        <v>12.5</v>
      </c>
      <c r="F2729" s="1" t="s">
        <v>9</v>
      </c>
    </row>
    <row collapsed="false" customFormat="false" customHeight="false" hidden="false" ht="14.75" outlineLevel="0" r="2730">
      <c r="A2730" s="1" t="s">
        <v>391</v>
      </c>
      <c r="B2730" s="1" t="s">
        <v>1985</v>
      </c>
      <c r="C2730" s="1" t="s">
        <v>1985</v>
      </c>
      <c r="D2730" s="1" t="n">
        <v>387.27</v>
      </c>
      <c r="E2730" s="1" t="n">
        <v>21.37</v>
      </c>
      <c r="F2730" s="1" t="s">
        <v>9</v>
      </c>
    </row>
    <row collapsed="false" customFormat="false" customHeight="false" hidden="false" ht="14.75" outlineLevel="0" r="2731">
      <c r="A2731" s="1" t="s">
        <v>392</v>
      </c>
      <c r="B2731" s="1" t="s">
        <v>1985</v>
      </c>
      <c r="C2731" s="1" t="s">
        <v>1985</v>
      </c>
      <c r="D2731" s="1" t="n">
        <v>300</v>
      </c>
      <c r="E2731" s="1" t="n">
        <v>14.85</v>
      </c>
      <c r="F2731" s="1" t="s">
        <v>9</v>
      </c>
    </row>
    <row collapsed="false" customFormat="false" customHeight="false" hidden="false" ht="14.75" outlineLevel="0" r="2732">
      <c r="A2732" s="1" t="s">
        <v>393</v>
      </c>
      <c r="B2732" s="1" t="s">
        <v>1985</v>
      </c>
      <c r="C2732" s="1" t="s">
        <v>1985</v>
      </c>
      <c r="D2732" s="1" t="n">
        <v>193.64</v>
      </c>
      <c r="E2732" s="1" t="n">
        <v>11.63</v>
      </c>
      <c r="F2732" s="1" t="s">
        <v>9</v>
      </c>
    </row>
    <row collapsed="false" customFormat="false" customHeight="false" hidden="false" ht="14.75" outlineLevel="0" r="2733">
      <c r="A2733" s="1" t="s">
        <v>1995</v>
      </c>
      <c r="B2733" s="1" t="s">
        <v>1985</v>
      </c>
      <c r="C2733" s="1" t="s">
        <v>1985</v>
      </c>
      <c r="D2733" s="1" t="n">
        <v>40</v>
      </c>
      <c r="E2733" s="1" t="n">
        <v>5.26</v>
      </c>
      <c r="F2733" s="1" t="s">
        <v>9</v>
      </c>
    </row>
    <row collapsed="false" customFormat="false" customHeight="false" hidden="false" ht="14.75" outlineLevel="0" r="2734">
      <c r="A2734" s="1" t="s">
        <v>174</v>
      </c>
      <c r="B2734" s="1" t="s">
        <v>1985</v>
      </c>
      <c r="C2734" s="1" t="s">
        <v>1985</v>
      </c>
      <c r="D2734" s="1" t="n">
        <v>371</v>
      </c>
      <c r="E2734" s="1" t="n">
        <v>19.57</v>
      </c>
      <c r="F2734" s="1" t="s">
        <v>9</v>
      </c>
    </row>
    <row collapsed="false" customFormat="false" customHeight="false" hidden="false" ht="14.75" outlineLevel="0" r="2735">
      <c r="A2735" s="1" t="s">
        <v>1306</v>
      </c>
      <c r="B2735" s="1" t="s">
        <v>1985</v>
      </c>
      <c r="C2735" s="1" t="s">
        <v>1985</v>
      </c>
      <c r="D2735" s="1" t="n">
        <v>261</v>
      </c>
      <c r="E2735" s="1" t="n">
        <v>14.26</v>
      </c>
      <c r="F2735" s="1" t="s">
        <v>9</v>
      </c>
    </row>
    <row collapsed="false" customFormat="false" customHeight="false" hidden="false" ht="14.75" outlineLevel="0" r="2736">
      <c r="A2736" s="1" t="s">
        <v>396</v>
      </c>
      <c r="B2736" s="1" t="s">
        <v>1985</v>
      </c>
      <c r="C2736" s="1" t="s">
        <v>1985</v>
      </c>
      <c r="D2736" s="1" t="n">
        <v>330</v>
      </c>
      <c r="E2736" s="1" t="n">
        <v>15.88</v>
      </c>
      <c r="F2736" s="1" t="s">
        <v>9</v>
      </c>
    </row>
    <row collapsed="false" customFormat="false" customHeight="false" hidden="false" ht="14.75" outlineLevel="0" r="2737">
      <c r="A2737" s="1" t="s">
        <v>1867</v>
      </c>
      <c r="B2737" s="1" t="s">
        <v>1985</v>
      </c>
      <c r="C2737" s="1" t="s">
        <v>1985</v>
      </c>
      <c r="D2737" s="1" t="n">
        <v>78.33</v>
      </c>
      <c r="E2737" s="1" t="n">
        <v>6.25</v>
      </c>
      <c r="F2737" s="1" t="s">
        <v>9</v>
      </c>
    </row>
    <row collapsed="false" customFormat="false" customHeight="false" hidden="false" ht="14.75" outlineLevel="0" r="2738">
      <c r="A2738" s="1" t="s">
        <v>184</v>
      </c>
      <c r="B2738" s="1" t="s">
        <v>1985</v>
      </c>
      <c r="C2738" s="1" t="s">
        <v>1985</v>
      </c>
      <c r="D2738" s="1" t="n">
        <v>206</v>
      </c>
      <c r="E2738" s="1" t="n">
        <v>11.05</v>
      </c>
      <c r="F2738" s="1" t="s">
        <v>9</v>
      </c>
    </row>
    <row collapsed="false" customFormat="false" customHeight="false" hidden="false" ht="14.75" outlineLevel="0" r="2739">
      <c r="A2739" s="2" t="s">
        <v>1341</v>
      </c>
      <c r="B2739" s="1" t="s">
        <v>1985</v>
      </c>
      <c r="C2739" s="1" t="s">
        <v>1985</v>
      </c>
      <c r="D2739" s="1" t="n">
        <v>216.67</v>
      </c>
      <c r="E2739" s="1" t="n">
        <v>14</v>
      </c>
      <c r="F2739" s="1" t="s">
        <v>9</v>
      </c>
    </row>
    <row collapsed="false" customFormat="false" customHeight="false" hidden="false" ht="14.75" outlineLevel="0" r="2740">
      <c r="A2740" s="1" t="s">
        <v>1996</v>
      </c>
      <c r="B2740" s="1" t="s">
        <v>1997</v>
      </c>
      <c r="C2740" s="1" t="s">
        <v>1787</v>
      </c>
      <c r="D2740" s="1" t="n">
        <v>548.5</v>
      </c>
      <c r="E2740" s="1" t="n">
        <v>23.16</v>
      </c>
      <c r="F2740" s="1" t="n">
        <v>6.8</v>
      </c>
    </row>
    <row collapsed="false" customFormat="false" customHeight="false" hidden="false" ht="14.75" outlineLevel="0" r="2741">
      <c r="A2741" s="1" t="s">
        <v>1998</v>
      </c>
      <c r="B2741" s="1" t="s">
        <v>1997</v>
      </c>
      <c r="C2741" s="1" t="s">
        <v>1787</v>
      </c>
      <c r="D2741" s="1" t="n">
        <v>391</v>
      </c>
      <c r="E2741" s="1" t="n">
        <v>19.47</v>
      </c>
      <c r="F2741" s="1" t="n">
        <v>3.3</v>
      </c>
    </row>
    <row collapsed="false" customFormat="false" customHeight="false" hidden="false" ht="14.75" outlineLevel="0" r="2742">
      <c r="A2742" s="1" t="s">
        <v>1999</v>
      </c>
      <c r="B2742" s="1" t="s">
        <v>1997</v>
      </c>
      <c r="C2742" s="1" t="s">
        <v>1787</v>
      </c>
      <c r="D2742" s="1" t="n">
        <v>219.5</v>
      </c>
      <c r="E2742" s="1" t="n">
        <v>14.61</v>
      </c>
      <c r="F2742" s="1" t="n">
        <v>1.6</v>
      </c>
    </row>
    <row collapsed="false" customFormat="false" customHeight="false" hidden="false" ht="14.75" outlineLevel="0" r="2743">
      <c r="A2743" s="1" t="s">
        <v>2000</v>
      </c>
      <c r="B2743" s="1" t="s">
        <v>1997</v>
      </c>
      <c r="C2743" s="1" t="s">
        <v>1787</v>
      </c>
      <c r="D2743" s="1" t="n">
        <v>231</v>
      </c>
      <c r="E2743" s="1" t="n">
        <v>14.06</v>
      </c>
      <c r="F2743" s="1" t="n">
        <v>1.8</v>
      </c>
    </row>
    <row collapsed="false" customFormat="false" customHeight="false" hidden="false" ht="14.75" outlineLevel="0" r="2744">
      <c r="A2744" s="1" t="s">
        <v>2001</v>
      </c>
      <c r="B2744" s="1" t="s">
        <v>1997</v>
      </c>
      <c r="C2744" s="1" t="s">
        <v>1787</v>
      </c>
      <c r="D2744" s="1" t="n">
        <v>173.5</v>
      </c>
      <c r="E2744" s="1" t="n">
        <v>13.07</v>
      </c>
      <c r="F2744" s="1" t="n">
        <v>1.9</v>
      </c>
    </row>
    <row collapsed="false" customFormat="false" customHeight="false" hidden="false" ht="14.75" outlineLevel="0" r="2745">
      <c r="A2745" s="1" t="s">
        <v>2002</v>
      </c>
      <c r="B2745" s="1" t="s">
        <v>1997</v>
      </c>
      <c r="C2745" s="1" t="s">
        <v>1787</v>
      </c>
      <c r="D2745" s="1" t="n">
        <v>296</v>
      </c>
      <c r="E2745" s="1" t="n">
        <v>14.66</v>
      </c>
      <c r="F2745" s="1" t="n">
        <v>3</v>
      </c>
    </row>
    <row collapsed="false" customFormat="false" customHeight="false" hidden="false" ht="14.75" outlineLevel="0" r="2746">
      <c r="A2746" s="1" t="s">
        <v>2003</v>
      </c>
      <c r="B2746" s="1" t="s">
        <v>1997</v>
      </c>
      <c r="C2746" s="1" t="s">
        <v>1787</v>
      </c>
      <c r="D2746" s="1" t="n">
        <v>251.5</v>
      </c>
      <c r="E2746" s="1" t="n">
        <v>13.71</v>
      </c>
      <c r="F2746" s="1" t="n">
        <v>2.3</v>
      </c>
    </row>
    <row collapsed="false" customFormat="false" customHeight="false" hidden="false" ht="14.75" outlineLevel="0" r="2747">
      <c r="A2747" s="1" t="s">
        <v>2004</v>
      </c>
      <c r="B2747" s="1" t="s">
        <v>1997</v>
      </c>
      <c r="C2747" s="1" t="s">
        <v>1787</v>
      </c>
      <c r="D2747" s="1" t="n">
        <v>228</v>
      </c>
      <c r="E2747" s="1" t="n">
        <v>13.75</v>
      </c>
      <c r="F2747" s="1" t="n">
        <v>2</v>
      </c>
    </row>
    <row collapsed="false" customFormat="false" customHeight="false" hidden="false" ht="14.75" outlineLevel="0" r="2748">
      <c r="A2748" s="1" t="s">
        <v>2005</v>
      </c>
      <c r="B2748" s="1" t="s">
        <v>1997</v>
      </c>
      <c r="C2748" s="1" t="s">
        <v>1787</v>
      </c>
      <c r="D2748" s="1" t="n">
        <v>165</v>
      </c>
      <c r="E2748" s="1" t="n">
        <v>11.71</v>
      </c>
      <c r="F2748" s="1" t="n">
        <v>1.1</v>
      </c>
    </row>
    <row collapsed="false" customFormat="false" customHeight="false" hidden="false" ht="14.75" outlineLevel="0" r="2749">
      <c r="A2749" s="1" t="s">
        <v>2006</v>
      </c>
      <c r="B2749" s="1" t="s">
        <v>1997</v>
      </c>
      <c r="C2749" s="1" t="s">
        <v>1787</v>
      </c>
      <c r="D2749" s="1" t="n">
        <v>145.5</v>
      </c>
      <c r="E2749" s="1" t="n">
        <v>12.12</v>
      </c>
      <c r="F2749" s="1" t="n">
        <v>0.7</v>
      </c>
    </row>
    <row collapsed="false" customFormat="false" customHeight="false" hidden="false" ht="14.75" outlineLevel="0" r="2750">
      <c r="A2750" s="1" t="s">
        <v>2007</v>
      </c>
      <c r="B2750" s="1" t="s">
        <v>1997</v>
      </c>
      <c r="C2750" s="1" t="s">
        <v>1787</v>
      </c>
      <c r="D2750" s="1" t="n">
        <v>142</v>
      </c>
      <c r="E2750" s="1" t="n">
        <v>11.43</v>
      </c>
      <c r="F2750" s="1" t="n">
        <v>1</v>
      </c>
    </row>
    <row collapsed="false" customFormat="false" customHeight="false" hidden="false" ht="14.75" outlineLevel="0" r="2751">
      <c r="A2751" s="1" t="s">
        <v>666</v>
      </c>
      <c r="B2751" s="1" t="s">
        <v>1997</v>
      </c>
      <c r="C2751" s="1" t="s">
        <v>1787</v>
      </c>
      <c r="D2751" s="1" t="n">
        <v>148.5</v>
      </c>
      <c r="E2751" s="1" t="n">
        <v>10</v>
      </c>
      <c r="F2751" s="1" t="n">
        <v>0.7</v>
      </c>
    </row>
    <row collapsed="false" customFormat="false" customHeight="false" hidden="false" ht="14.75" outlineLevel="0" r="2752">
      <c r="A2752" s="1" t="s">
        <v>2008</v>
      </c>
      <c r="B2752" s="1" t="s">
        <v>1997</v>
      </c>
      <c r="C2752" s="1" t="s">
        <v>1787</v>
      </c>
      <c r="D2752" s="1" t="n">
        <v>132.5</v>
      </c>
      <c r="E2752" s="1" t="n">
        <v>11.41</v>
      </c>
      <c r="F2752" s="1" t="n">
        <v>1.2</v>
      </c>
    </row>
    <row collapsed="false" customFormat="false" customHeight="false" hidden="false" ht="14.75" outlineLevel="0" r="2753">
      <c r="A2753" s="1" t="s">
        <v>820</v>
      </c>
      <c r="B2753" s="1" t="s">
        <v>1997</v>
      </c>
      <c r="C2753" s="1" t="s">
        <v>1787</v>
      </c>
      <c r="D2753" s="1" t="n">
        <v>159.5</v>
      </c>
      <c r="E2753" s="1" t="n">
        <v>13.88</v>
      </c>
      <c r="F2753" s="1" t="n">
        <v>1.4</v>
      </c>
    </row>
    <row collapsed="false" customFormat="false" customHeight="false" hidden="false" ht="14.75" outlineLevel="0" r="2754">
      <c r="A2754" s="1" t="s">
        <v>2009</v>
      </c>
      <c r="B2754" s="1" t="s">
        <v>1997</v>
      </c>
      <c r="C2754" s="1" t="s">
        <v>1787</v>
      </c>
      <c r="D2754" s="1" t="n">
        <v>126.5</v>
      </c>
      <c r="E2754" s="1" t="n">
        <v>11.53</v>
      </c>
      <c r="F2754" s="1" t="n">
        <v>0.1</v>
      </c>
    </row>
    <row collapsed="false" customFormat="false" customHeight="false" hidden="false" ht="14.75" outlineLevel="0" r="2755">
      <c r="A2755" s="1" t="s">
        <v>2010</v>
      </c>
      <c r="B2755" s="1" t="s">
        <v>1997</v>
      </c>
      <c r="C2755" s="1" t="s">
        <v>1787</v>
      </c>
      <c r="D2755" s="1" t="n">
        <v>95</v>
      </c>
      <c r="E2755" s="1" t="n">
        <v>10.43</v>
      </c>
      <c r="F2755" s="1" t="n">
        <v>0.6</v>
      </c>
    </row>
    <row collapsed="false" customFormat="false" customHeight="false" hidden="false" ht="14.75" outlineLevel="0" r="2756">
      <c r="A2756" s="1" t="s">
        <v>22</v>
      </c>
      <c r="B2756" s="1" t="s">
        <v>2011</v>
      </c>
      <c r="C2756" s="1" t="s">
        <v>1491</v>
      </c>
      <c r="D2756" s="1" t="n">
        <v>420</v>
      </c>
      <c r="E2756" s="1" t="n">
        <v>22.68</v>
      </c>
      <c r="F2756" s="1" t="n">
        <f aca="false">54/11</f>
        <v>4.90909090909091</v>
      </c>
    </row>
    <row collapsed="false" customFormat="false" customHeight="false" hidden="false" ht="14.75" outlineLevel="0" r="2757">
      <c r="A2757" s="1" t="s">
        <v>1648</v>
      </c>
      <c r="B2757" s="1" t="s">
        <v>2011</v>
      </c>
      <c r="C2757" s="1" t="s">
        <v>1491</v>
      </c>
      <c r="D2757" s="1" t="n">
        <v>395.5</v>
      </c>
      <c r="E2757" s="1" t="n">
        <v>22.46</v>
      </c>
      <c r="F2757" s="1" t="n">
        <f aca="false">55/11</f>
        <v>5</v>
      </c>
    </row>
    <row collapsed="false" customFormat="false" customHeight="false" hidden="false" ht="14.75" outlineLevel="0" r="2758">
      <c r="A2758" s="1" t="s">
        <v>2012</v>
      </c>
      <c r="B2758" s="1" t="s">
        <v>2011</v>
      </c>
      <c r="C2758" s="1" t="s">
        <v>1491</v>
      </c>
      <c r="D2758" s="1" t="n">
        <v>265.5</v>
      </c>
      <c r="E2758" s="1" t="n">
        <v>17.45</v>
      </c>
      <c r="F2758" s="1" t="n">
        <v>1.7</v>
      </c>
    </row>
    <row collapsed="false" customFormat="false" customHeight="false" hidden="false" ht="14.75" outlineLevel="0" r="2759">
      <c r="A2759" s="1" t="s">
        <v>597</v>
      </c>
      <c r="B2759" s="1" t="s">
        <v>2011</v>
      </c>
      <c r="C2759" s="1" t="s">
        <v>1491</v>
      </c>
      <c r="D2759" s="1" t="n">
        <v>275.9</v>
      </c>
      <c r="E2759" s="1" t="n">
        <v>18.3</v>
      </c>
      <c r="F2759" s="1" t="n">
        <v>3</v>
      </c>
    </row>
    <row collapsed="false" customFormat="false" customHeight="false" hidden="false" ht="14.75" outlineLevel="0" r="2760">
      <c r="A2760" s="1" t="s">
        <v>947</v>
      </c>
      <c r="B2760" s="1" t="s">
        <v>2011</v>
      </c>
      <c r="C2760" s="1" t="s">
        <v>1491</v>
      </c>
      <c r="D2760" s="1" t="n">
        <v>305</v>
      </c>
      <c r="E2760" s="1" t="n">
        <v>19.23</v>
      </c>
      <c r="F2760" s="1" t="n">
        <v>2.7</v>
      </c>
    </row>
    <row collapsed="false" customFormat="false" customHeight="false" hidden="false" ht="14.75" outlineLevel="0" r="2761">
      <c r="A2761" s="1" t="s">
        <v>566</v>
      </c>
      <c r="B2761" s="1" t="s">
        <v>2011</v>
      </c>
      <c r="C2761" s="1" t="s">
        <v>1491</v>
      </c>
      <c r="D2761" s="1" t="n">
        <v>289.1</v>
      </c>
      <c r="E2761" s="1" t="n">
        <v>18.92</v>
      </c>
      <c r="F2761" s="1" t="n">
        <f aca="false">25/11</f>
        <v>2.27272727272727</v>
      </c>
    </row>
    <row collapsed="false" customFormat="false" customHeight="false" hidden="false" ht="14.75" outlineLevel="0" r="2762">
      <c r="A2762" s="1" t="s">
        <v>24</v>
      </c>
      <c r="B2762" s="1" t="s">
        <v>2011</v>
      </c>
      <c r="C2762" s="1" t="s">
        <v>1491</v>
      </c>
      <c r="D2762" s="1" t="n">
        <v>255</v>
      </c>
      <c r="E2762" s="1" t="n">
        <v>18.2</v>
      </c>
      <c r="F2762" s="1" t="n">
        <f aca="false">19/11</f>
        <v>1.72727272727273</v>
      </c>
    </row>
    <row collapsed="false" customFormat="false" customHeight="false" hidden="false" ht="14.75" outlineLevel="0" r="2763">
      <c r="A2763" s="1" t="s">
        <v>2013</v>
      </c>
      <c r="B2763" s="1" t="s">
        <v>2011</v>
      </c>
      <c r="C2763" s="1" t="s">
        <v>1491</v>
      </c>
      <c r="D2763" s="1" t="n">
        <v>230.9</v>
      </c>
      <c r="E2763" s="1" t="n">
        <v>16.2</v>
      </c>
      <c r="F2763" s="1" t="n">
        <f aca="false">25/12</f>
        <v>2.08333333333333</v>
      </c>
    </row>
    <row collapsed="false" customFormat="false" customHeight="false" hidden="false" ht="14.75" outlineLevel="0" r="2764">
      <c r="A2764" s="1" t="s">
        <v>1215</v>
      </c>
      <c r="B2764" s="1" t="s">
        <v>2011</v>
      </c>
      <c r="C2764" s="1" t="s">
        <v>1491</v>
      </c>
      <c r="D2764" s="1" t="n">
        <v>282</v>
      </c>
      <c r="E2764" s="1" t="n">
        <v>15.9</v>
      </c>
      <c r="F2764" s="1" t="n">
        <v>3.1</v>
      </c>
    </row>
    <row collapsed="false" customFormat="false" customHeight="false" hidden="false" ht="14.75" outlineLevel="0" r="2765">
      <c r="A2765" s="1" t="s">
        <v>1649</v>
      </c>
      <c r="B2765" s="1" t="s">
        <v>2011</v>
      </c>
      <c r="C2765" s="1" t="s">
        <v>1491</v>
      </c>
      <c r="D2765" s="1" t="n">
        <v>215</v>
      </c>
      <c r="E2765" s="1" t="n">
        <v>15.84</v>
      </c>
      <c r="F2765" s="1" t="n">
        <v>0.7</v>
      </c>
    </row>
    <row collapsed="false" customFormat="false" customHeight="false" hidden="false" ht="14.75" outlineLevel="0" r="2766">
      <c r="A2766" s="1" t="s">
        <v>567</v>
      </c>
      <c r="B2766" s="1" t="s">
        <v>2011</v>
      </c>
      <c r="C2766" s="1" t="s">
        <v>1491</v>
      </c>
      <c r="D2766" s="1" t="n">
        <v>223.3</v>
      </c>
      <c r="E2766" s="1" t="n">
        <v>15.51</v>
      </c>
      <c r="F2766" s="1" t="n">
        <f aca="false">21/9</f>
        <v>2.33333333333333</v>
      </c>
    </row>
    <row collapsed="false" customFormat="false" customHeight="false" hidden="false" ht="14.75" outlineLevel="0" r="2767">
      <c r="A2767" s="1" t="s">
        <v>1214</v>
      </c>
      <c r="B2767" s="1" t="s">
        <v>2011</v>
      </c>
      <c r="C2767" s="1" t="s">
        <v>1491</v>
      </c>
      <c r="D2767" s="1" t="n">
        <v>188</v>
      </c>
      <c r="E2767" s="1" t="n">
        <v>14.38</v>
      </c>
      <c r="F2767" s="1" t="n">
        <v>1.2</v>
      </c>
    </row>
    <row collapsed="false" customFormat="false" customHeight="false" hidden="false" ht="14.75" outlineLevel="0" r="2768">
      <c r="A2768" s="1" t="s">
        <v>2014</v>
      </c>
      <c r="B2768" s="1" t="s">
        <v>2011</v>
      </c>
      <c r="C2768" s="1" t="s">
        <v>1491</v>
      </c>
      <c r="D2768" s="1" t="n">
        <v>122.5</v>
      </c>
      <c r="E2768" s="1" t="n">
        <v>11.72</v>
      </c>
      <c r="F2768" s="1" t="n">
        <v>1</v>
      </c>
    </row>
    <row collapsed="false" customFormat="false" customHeight="false" hidden="false" ht="14.75" outlineLevel="0" r="2769">
      <c r="A2769" s="1" t="s">
        <v>568</v>
      </c>
      <c r="B2769" s="1" t="s">
        <v>2011</v>
      </c>
      <c r="C2769" s="1" t="s">
        <v>1491</v>
      </c>
      <c r="D2769" s="1" t="n">
        <v>194</v>
      </c>
      <c r="E2769" s="1" t="n">
        <v>13.29</v>
      </c>
      <c r="F2769" s="1" t="n">
        <v>1.3</v>
      </c>
    </row>
    <row collapsed="false" customFormat="false" customHeight="false" hidden="false" ht="14.75" outlineLevel="0" r="2770">
      <c r="A2770" s="1" t="s">
        <v>1334</v>
      </c>
      <c r="B2770" s="1" t="s">
        <v>2011</v>
      </c>
      <c r="C2770" s="1" t="s">
        <v>1491</v>
      </c>
      <c r="D2770" s="1" t="n">
        <v>92.8</v>
      </c>
      <c r="E2770" s="1" t="n">
        <v>11.58</v>
      </c>
      <c r="F2770" s="1" t="n">
        <f aca="false">6/9</f>
        <v>0.666666666666667</v>
      </c>
    </row>
    <row collapsed="false" customFormat="false" customHeight="false" hidden="false" ht="14.75" outlineLevel="0" r="2771">
      <c r="A2771" s="1" t="s">
        <v>948</v>
      </c>
      <c r="B2771" s="1" t="s">
        <v>2011</v>
      </c>
      <c r="C2771" s="1" t="s">
        <v>1491</v>
      </c>
      <c r="D2771" s="1" t="n">
        <v>276.5</v>
      </c>
      <c r="E2771" s="1" t="n">
        <v>14.73</v>
      </c>
      <c r="F2771" s="1" t="n">
        <v>1.7</v>
      </c>
    </row>
    <row collapsed="false" customFormat="false" customHeight="false" hidden="false" ht="14.75" outlineLevel="0" r="2772">
      <c r="A2772" s="1" t="s">
        <v>598</v>
      </c>
      <c r="B2772" s="1" t="s">
        <v>2011</v>
      </c>
      <c r="C2772" s="1" t="s">
        <v>1491</v>
      </c>
      <c r="D2772" s="1" t="n">
        <v>161.1</v>
      </c>
      <c r="E2772" s="1" t="n">
        <v>13.73</v>
      </c>
      <c r="F2772" s="1" t="n">
        <f aca="false">10/9</f>
        <v>1.11111111111111</v>
      </c>
    </row>
    <row collapsed="false" customFormat="false" customHeight="false" hidden="false" ht="14.75" outlineLevel="0" r="2773">
      <c r="A2773" s="1" t="s">
        <v>2015</v>
      </c>
      <c r="B2773" s="1" t="s">
        <v>2011</v>
      </c>
      <c r="C2773" s="1" t="s">
        <v>1491</v>
      </c>
      <c r="D2773" s="1" t="n">
        <v>118.5</v>
      </c>
      <c r="E2773" s="1" t="n">
        <v>10.52</v>
      </c>
      <c r="F2773" s="1" t="n">
        <v>0.7</v>
      </c>
    </row>
    <row collapsed="false" customFormat="false" customHeight="false" hidden="false" ht="14.75" outlineLevel="0" r="2774">
      <c r="A2774" s="1" t="s">
        <v>949</v>
      </c>
      <c r="B2774" s="1" t="s">
        <v>2011</v>
      </c>
      <c r="C2774" s="1" t="s">
        <v>1491</v>
      </c>
      <c r="D2774" s="1" t="n">
        <v>133</v>
      </c>
      <c r="E2774" s="1" t="n">
        <v>12.29</v>
      </c>
      <c r="F2774" s="1" t="n">
        <v>0.8</v>
      </c>
    </row>
    <row collapsed="false" customFormat="false" customHeight="false" hidden="false" ht="14.75" outlineLevel="0" r="2775">
      <c r="A2775" s="1" t="s">
        <v>2016</v>
      </c>
      <c r="B2775" s="1" t="s">
        <v>2011</v>
      </c>
      <c r="C2775" s="1" t="s">
        <v>1491</v>
      </c>
      <c r="D2775" s="1" t="n">
        <v>156.7</v>
      </c>
      <c r="E2775" s="1" t="n">
        <v>12.08</v>
      </c>
      <c r="F2775" s="1" t="n">
        <f aca="false">5/9</f>
        <v>0.555555555555556</v>
      </c>
    </row>
    <row collapsed="false" customFormat="false" customHeight="false" hidden="false" ht="14.75" outlineLevel="0" r="2776">
      <c r="A2776" s="1" t="s">
        <v>937</v>
      </c>
      <c r="B2776" s="1" t="s">
        <v>2011</v>
      </c>
      <c r="C2776" s="1" t="s">
        <v>1491</v>
      </c>
      <c r="D2776" s="1" t="n">
        <v>91</v>
      </c>
      <c r="E2776" s="1" t="n">
        <v>9.78</v>
      </c>
      <c r="F2776" s="1" t="n">
        <v>0.5</v>
      </c>
    </row>
    <row collapsed="false" customFormat="false" customHeight="false" hidden="false" ht="14.75" outlineLevel="0" r="2777">
      <c r="A2777" s="1" t="s">
        <v>1335</v>
      </c>
      <c r="B2777" s="1" t="s">
        <v>2011</v>
      </c>
      <c r="C2777" s="1" t="s">
        <v>1491</v>
      </c>
      <c r="D2777" s="1" t="n">
        <v>32</v>
      </c>
      <c r="E2777" s="1" t="n">
        <v>4.58</v>
      </c>
      <c r="F2777" s="1" t="n">
        <v>0.1</v>
      </c>
    </row>
    <row collapsed="false" customFormat="false" customHeight="false" hidden="false" ht="14.75" outlineLevel="0" r="2778">
      <c r="A2778" s="1" t="s">
        <v>747</v>
      </c>
      <c r="B2778" s="1" t="s">
        <v>2017</v>
      </c>
      <c r="C2778" s="1" t="s">
        <v>1491</v>
      </c>
      <c r="D2778" s="1" t="n">
        <v>442.5</v>
      </c>
      <c r="E2778" s="1" t="n">
        <v>21.45</v>
      </c>
      <c r="F2778" s="1" t="n">
        <f aca="false">46/12</f>
        <v>3.83333333333333</v>
      </c>
    </row>
    <row collapsed="false" customFormat="false" customHeight="false" hidden="false" ht="14.75" outlineLevel="0" r="2779">
      <c r="A2779" s="1" t="s">
        <v>1393</v>
      </c>
      <c r="B2779" s="1" t="s">
        <v>2017</v>
      </c>
      <c r="C2779" s="1" t="s">
        <v>1491</v>
      </c>
      <c r="D2779" s="1" t="n">
        <v>323.3</v>
      </c>
      <c r="E2779" s="1" t="n">
        <v>18.54</v>
      </c>
      <c r="F2779" s="1" t="n">
        <f aca="false">27/13</f>
        <v>2.07692307692308</v>
      </c>
    </row>
    <row collapsed="false" customFormat="false" customHeight="false" hidden="false" ht="14.75" outlineLevel="0" r="2780">
      <c r="A2780" s="1" t="s">
        <v>2018</v>
      </c>
      <c r="B2780" s="1" t="s">
        <v>2017</v>
      </c>
      <c r="C2780" s="1" t="s">
        <v>1491</v>
      </c>
      <c r="D2780" s="1" t="n">
        <v>206.5</v>
      </c>
      <c r="E2780" s="1" t="n">
        <v>14.29</v>
      </c>
      <c r="F2780" s="1" t="n">
        <f aca="false">19/11</f>
        <v>1.72727272727273</v>
      </c>
    </row>
    <row collapsed="false" customFormat="false" customHeight="false" hidden="false" ht="14.75" outlineLevel="0" r="2781">
      <c r="A2781" s="1" t="s">
        <v>2019</v>
      </c>
      <c r="B2781" s="1" t="s">
        <v>2017</v>
      </c>
      <c r="C2781" s="1" t="s">
        <v>1491</v>
      </c>
      <c r="D2781" s="1" t="n">
        <v>239.5</v>
      </c>
      <c r="E2781" s="1" t="n">
        <v>14.54</v>
      </c>
      <c r="F2781" s="1" t="n">
        <v>1.3</v>
      </c>
    </row>
    <row collapsed="false" customFormat="false" customHeight="false" hidden="false" ht="14.75" outlineLevel="0" r="2782">
      <c r="A2782" s="1" t="s">
        <v>2020</v>
      </c>
      <c r="B2782" s="1" t="s">
        <v>2017</v>
      </c>
      <c r="C2782" s="1" t="s">
        <v>1491</v>
      </c>
      <c r="D2782" s="1" t="n">
        <v>154.5</v>
      </c>
      <c r="E2782" s="1" t="n">
        <v>12</v>
      </c>
      <c r="F2782" s="1" t="n">
        <v>1.2</v>
      </c>
    </row>
    <row collapsed="false" customFormat="false" customHeight="false" hidden="false" ht="14.75" outlineLevel="0" r="2783">
      <c r="A2783" s="1" t="s">
        <v>2021</v>
      </c>
      <c r="B2783" s="1" t="s">
        <v>2017</v>
      </c>
      <c r="C2783" s="1" t="s">
        <v>1491</v>
      </c>
      <c r="D2783" s="1" t="n">
        <v>148.2</v>
      </c>
      <c r="E2783" s="1" t="n">
        <v>12.7</v>
      </c>
      <c r="F2783" s="1" t="n">
        <f aca="false">4/11</f>
        <v>0.363636363636364</v>
      </c>
    </row>
    <row collapsed="false" customFormat="false" customHeight="false" hidden="false" ht="14.75" outlineLevel="0" r="2784">
      <c r="A2784" s="1" t="s">
        <v>1818</v>
      </c>
      <c r="B2784" s="1" t="s">
        <v>2017</v>
      </c>
      <c r="C2784" s="1" t="s">
        <v>1491</v>
      </c>
      <c r="D2784" s="1" t="n">
        <v>131.4</v>
      </c>
      <c r="E2784" s="1" t="n">
        <v>11.32</v>
      </c>
      <c r="F2784" s="1" t="n">
        <f aca="false">10/11</f>
        <v>0.909090909090909</v>
      </c>
    </row>
    <row collapsed="false" customFormat="false" customHeight="false" hidden="false" ht="14.75" outlineLevel="0" r="2785">
      <c r="A2785" s="1" t="s">
        <v>2022</v>
      </c>
      <c r="B2785" s="1" t="s">
        <v>2017</v>
      </c>
      <c r="C2785" s="1" t="s">
        <v>1491</v>
      </c>
      <c r="D2785" s="1" t="n">
        <v>85</v>
      </c>
      <c r="E2785" s="1" t="n">
        <v>8.68</v>
      </c>
      <c r="F2785" s="1" t="n">
        <f aca="false">8/11</f>
        <v>0.727272727272727</v>
      </c>
    </row>
    <row collapsed="false" customFormat="false" customHeight="false" hidden="false" ht="14.75" outlineLevel="0" r="2786">
      <c r="A2786" s="1" t="s">
        <v>2023</v>
      </c>
      <c r="B2786" s="1" t="s">
        <v>2017</v>
      </c>
      <c r="C2786" s="1" t="s">
        <v>1491</v>
      </c>
      <c r="D2786" s="1" t="n">
        <v>127.5</v>
      </c>
      <c r="E2786" s="1" t="n">
        <v>9.78</v>
      </c>
      <c r="F2786" s="1" t="n">
        <v>0.6</v>
      </c>
    </row>
    <row collapsed="false" customFormat="false" customHeight="false" hidden="false" ht="14.75" outlineLevel="0" r="2787">
      <c r="A2787" s="1" t="s">
        <v>2024</v>
      </c>
      <c r="B2787" s="1" t="s">
        <v>2017</v>
      </c>
      <c r="C2787" s="1" t="s">
        <v>1491</v>
      </c>
      <c r="D2787" s="1" t="n">
        <v>85.6</v>
      </c>
      <c r="E2787" s="1" t="n">
        <v>9.07</v>
      </c>
      <c r="F2787" s="1" t="n">
        <v>0.1</v>
      </c>
    </row>
    <row collapsed="false" customFormat="false" customHeight="false" hidden="false" ht="14.75" outlineLevel="0" r="2788">
      <c r="A2788" s="1" t="s">
        <v>1819</v>
      </c>
      <c r="B2788" s="1" t="s">
        <v>2017</v>
      </c>
      <c r="C2788" s="1" t="s">
        <v>1491</v>
      </c>
      <c r="D2788" s="1" t="n">
        <v>105</v>
      </c>
      <c r="E2788" s="1" t="n">
        <v>8.69</v>
      </c>
      <c r="F2788" s="1" t="n">
        <f aca="false">7/11</f>
        <v>0.636363636363636</v>
      </c>
    </row>
    <row collapsed="false" customFormat="false" customHeight="false" hidden="false" ht="14.75" outlineLevel="0" r="2789">
      <c r="A2789" s="1" t="s">
        <v>2025</v>
      </c>
      <c r="B2789" s="1" t="s">
        <v>2017</v>
      </c>
      <c r="C2789" s="1" t="s">
        <v>1491</v>
      </c>
      <c r="D2789" s="1" t="n">
        <v>353.1</v>
      </c>
      <c r="E2789" s="1" t="n">
        <v>20.2</v>
      </c>
      <c r="F2789" s="1" t="n">
        <f aca="false">46/13</f>
        <v>3.53846153846154</v>
      </c>
    </row>
    <row collapsed="false" customFormat="false" customHeight="false" hidden="false" ht="14.75" outlineLevel="0" r="2790">
      <c r="A2790" s="1" t="s">
        <v>2026</v>
      </c>
      <c r="B2790" s="1" t="s">
        <v>2017</v>
      </c>
      <c r="C2790" s="1" t="s">
        <v>1491</v>
      </c>
      <c r="D2790" s="1" t="n">
        <v>287.7</v>
      </c>
      <c r="E2790" s="1" t="n">
        <v>16.36</v>
      </c>
      <c r="F2790" s="1" t="n">
        <f aca="false">19/12</f>
        <v>1.58333333333333</v>
      </c>
    </row>
    <row collapsed="false" customFormat="false" customHeight="false" hidden="false" ht="14.75" outlineLevel="0" r="2791">
      <c r="A2791" s="1" t="s">
        <v>748</v>
      </c>
      <c r="B2791" s="1" t="s">
        <v>2017</v>
      </c>
      <c r="C2791" s="1" t="s">
        <v>1491</v>
      </c>
      <c r="D2791" s="1" t="n">
        <v>227.3</v>
      </c>
      <c r="E2791" s="1" t="n">
        <v>15.1</v>
      </c>
      <c r="F2791" s="1" t="n">
        <f aca="false">17/11</f>
        <v>1.54545454545455</v>
      </c>
    </row>
    <row collapsed="false" customFormat="false" customHeight="false" hidden="false" ht="14.75" outlineLevel="0" r="2792">
      <c r="A2792" s="1" t="s">
        <v>738</v>
      </c>
      <c r="B2792" s="1" t="s">
        <v>2017</v>
      </c>
      <c r="C2792" s="1" t="s">
        <v>1491</v>
      </c>
      <c r="D2792" s="1" t="n">
        <v>215</v>
      </c>
      <c r="E2792" s="1" t="n">
        <v>14.89</v>
      </c>
      <c r="F2792" s="1" t="n">
        <v>1.5</v>
      </c>
    </row>
    <row collapsed="false" customFormat="false" customHeight="false" hidden="false" ht="14.75" outlineLevel="0" r="2793">
      <c r="A2793" s="1" t="s">
        <v>2027</v>
      </c>
      <c r="B2793" s="1" t="s">
        <v>2017</v>
      </c>
      <c r="C2793" s="1" t="s">
        <v>1491</v>
      </c>
      <c r="D2793" s="1" t="n">
        <v>186.8</v>
      </c>
      <c r="E2793" s="1" t="n">
        <v>14.76</v>
      </c>
      <c r="F2793" s="1" t="n">
        <f aca="false">9/11</f>
        <v>0.818181818181818</v>
      </c>
    </row>
    <row collapsed="false" customFormat="false" customHeight="false" hidden="false" ht="14.75" outlineLevel="0" r="2794">
      <c r="A2794" s="1" t="s">
        <v>1394</v>
      </c>
      <c r="B2794" s="1" t="s">
        <v>2017</v>
      </c>
      <c r="C2794" s="1" t="s">
        <v>1491</v>
      </c>
      <c r="D2794" s="1" t="n">
        <v>167.7</v>
      </c>
      <c r="E2794" s="1" t="n">
        <v>12.74</v>
      </c>
      <c r="F2794" s="1" t="n">
        <f aca="false">12/11</f>
        <v>1.09090909090909</v>
      </c>
    </row>
    <row collapsed="false" customFormat="false" customHeight="false" hidden="false" ht="14.75" outlineLevel="0" r="2795">
      <c r="A2795" s="1" t="s">
        <v>2028</v>
      </c>
      <c r="B2795" s="1" t="s">
        <v>2017</v>
      </c>
      <c r="C2795" s="1" t="s">
        <v>1491</v>
      </c>
      <c r="D2795" s="1" t="n">
        <v>155</v>
      </c>
      <c r="E2795" s="1" t="n">
        <v>11.5</v>
      </c>
      <c r="F2795" s="1" t="n">
        <f aca="false">8/11</f>
        <v>0.727272727272727</v>
      </c>
    </row>
    <row collapsed="false" customFormat="false" customHeight="false" hidden="false" ht="14.75" outlineLevel="0" r="2796">
      <c r="A2796" s="1" t="s">
        <v>2029</v>
      </c>
      <c r="B2796" s="1" t="s">
        <v>2017</v>
      </c>
      <c r="C2796" s="1" t="s">
        <v>1491</v>
      </c>
      <c r="D2796" s="1" t="n">
        <v>100.9</v>
      </c>
      <c r="E2796" s="1" t="n">
        <v>8.69</v>
      </c>
      <c r="F2796" s="1" t="n">
        <v>1</v>
      </c>
    </row>
    <row collapsed="false" customFormat="false" customHeight="false" hidden="false" ht="14.75" outlineLevel="0" r="2797">
      <c r="A2797" s="1" t="s">
        <v>2030</v>
      </c>
      <c r="B2797" s="1" t="s">
        <v>2017</v>
      </c>
      <c r="C2797" s="1" t="s">
        <v>1491</v>
      </c>
      <c r="D2797" s="1" t="n">
        <v>146.5</v>
      </c>
      <c r="E2797" s="1" t="n">
        <v>12.12</v>
      </c>
      <c r="F2797" s="1" t="n">
        <v>0.8</v>
      </c>
    </row>
    <row collapsed="false" customFormat="false" customHeight="false" hidden="false" ht="14.75" outlineLevel="0" r="2798">
      <c r="A2798" s="1" t="s">
        <v>1437</v>
      </c>
      <c r="B2798" s="1" t="s">
        <v>2017</v>
      </c>
      <c r="C2798" s="1" t="s">
        <v>1491</v>
      </c>
      <c r="D2798" s="1" t="n">
        <v>118.5</v>
      </c>
      <c r="E2798" s="1" t="n">
        <v>12.23</v>
      </c>
      <c r="F2798" s="1" t="n">
        <v>0.6</v>
      </c>
    </row>
    <row collapsed="false" customFormat="false" customHeight="false" hidden="false" ht="14.75" outlineLevel="0" r="2799">
      <c r="A2799" s="1" t="s">
        <v>2031</v>
      </c>
      <c r="B2799" s="1" t="s">
        <v>2017</v>
      </c>
      <c r="C2799" s="1" t="s">
        <v>1491</v>
      </c>
      <c r="D2799" s="1" t="n">
        <v>92</v>
      </c>
      <c r="E2799" s="1" t="n">
        <v>10.89</v>
      </c>
      <c r="F2799" s="1" t="n">
        <v>0.8</v>
      </c>
    </row>
    <row collapsed="false" customFormat="false" customHeight="false" hidden="false" ht="14.75" outlineLevel="0" r="2800">
      <c r="A2800" s="1" t="s">
        <v>340</v>
      </c>
      <c r="B2800" s="1" t="s">
        <v>2032</v>
      </c>
      <c r="C2800" s="1" t="s">
        <v>636</v>
      </c>
      <c r="D2800" s="1" t="n">
        <v>295</v>
      </c>
      <c r="E2800" s="1" t="n">
        <v>15.42</v>
      </c>
      <c r="F2800" s="1" t="n">
        <f aca="false">37/12</f>
        <v>3.08333333333333</v>
      </c>
    </row>
    <row collapsed="false" customFormat="false" customHeight="false" hidden="false" ht="14.75" outlineLevel="0" r="2801">
      <c r="A2801" s="1" t="s">
        <v>2033</v>
      </c>
      <c r="B2801" s="1" t="s">
        <v>2032</v>
      </c>
      <c r="C2801" s="1" t="s">
        <v>636</v>
      </c>
      <c r="D2801" s="1" t="n">
        <v>394.6</v>
      </c>
      <c r="E2801" s="1" t="n">
        <v>20.34</v>
      </c>
      <c r="F2801" s="1" t="n">
        <f aca="false">67/12</f>
        <v>5.58333333333333</v>
      </c>
    </row>
    <row collapsed="false" customFormat="false" customHeight="false" hidden="false" ht="14.75" outlineLevel="0" r="2802">
      <c r="A2802" s="1" t="s">
        <v>391</v>
      </c>
      <c r="B2802" s="1" t="s">
        <v>2032</v>
      </c>
      <c r="C2802" s="1" t="s">
        <v>636</v>
      </c>
      <c r="D2802" s="1" t="n">
        <v>344.2</v>
      </c>
      <c r="E2802" s="1" t="n">
        <v>18.21</v>
      </c>
      <c r="F2802" s="1" t="n">
        <f aca="false">53/12</f>
        <v>4.41666666666667</v>
      </c>
    </row>
    <row collapsed="false" customFormat="false" customHeight="false" hidden="false" ht="14.75" outlineLevel="0" r="2803">
      <c r="A2803" s="1" t="s">
        <v>392</v>
      </c>
      <c r="B2803" s="1" t="s">
        <v>2032</v>
      </c>
      <c r="C2803" s="1" t="s">
        <v>636</v>
      </c>
      <c r="D2803" s="1" t="n">
        <v>281.7</v>
      </c>
      <c r="E2803" s="1" t="n">
        <v>16.07</v>
      </c>
      <c r="F2803" s="1" t="n">
        <f aca="false">40/12</f>
        <v>3.33333333333333</v>
      </c>
    </row>
    <row collapsed="false" customFormat="false" customHeight="false" hidden="false" ht="14.75" outlineLevel="0" r="2804">
      <c r="A2804" s="1" t="s">
        <v>1406</v>
      </c>
      <c r="B2804" s="1" t="s">
        <v>2032</v>
      </c>
      <c r="C2804" s="1" t="s">
        <v>636</v>
      </c>
      <c r="D2804" s="1" t="n">
        <v>253.6</v>
      </c>
      <c r="E2804" s="1" t="n">
        <v>14.4</v>
      </c>
      <c r="F2804" s="1" t="n">
        <f aca="false">26/11</f>
        <v>2.36363636363636</v>
      </c>
    </row>
    <row collapsed="false" customFormat="false" customHeight="false" hidden="false" ht="14.75" outlineLevel="0" r="2805">
      <c r="A2805" s="1" t="s">
        <v>601</v>
      </c>
      <c r="B2805" s="1" t="s">
        <v>2032</v>
      </c>
      <c r="C2805" s="1" t="s">
        <v>636</v>
      </c>
      <c r="D2805" s="1" t="n">
        <v>230</v>
      </c>
      <c r="E2805" s="1" t="n">
        <v>15.15</v>
      </c>
      <c r="F2805" s="1" t="n">
        <f aca="false">18/11</f>
        <v>1.63636363636364</v>
      </c>
    </row>
    <row collapsed="false" customFormat="false" customHeight="false" hidden="false" ht="14.75" outlineLevel="0" r="2806">
      <c r="A2806" s="1" t="s">
        <v>2034</v>
      </c>
      <c r="B2806" s="1" t="s">
        <v>2032</v>
      </c>
      <c r="C2806" s="1" t="s">
        <v>636</v>
      </c>
      <c r="D2806" s="1" t="n">
        <v>228.6</v>
      </c>
      <c r="E2806" s="1" t="n">
        <v>15</v>
      </c>
      <c r="F2806" s="1" t="n">
        <f aca="false">23/11</f>
        <v>2.09090909090909</v>
      </c>
    </row>
    <row collapsed="false" customFormat="false" customHeight="false" hidden="false" ht="14.75" outlineLevel="0" r="2807">
      <c r="A2807" s="1" t="s">
        <v>334</v>
      </c>
      <c r="B2807" s="1" t="s">
        <v>2032</v>
      </c>
      <c r="C2807" s="1" t="s">
        <v>636</v>
      </c>
      <c r="D2807" s="1" t="n">
        <v>193.6</v>
      </c>
      <c r="E2807" s="1" t="n">
        <v>12.95</v>
      </c>
      <c r="F2807" s="1" t="n">
        <v>2</v>
      </c>
    </row>
    <row collapsed="false" customFormat="false" customHeight="false" hidden="false" ht="14.75" outlineLevel="0" r="2808">
      <c r="A2808" s="1" t="s">
        <v>2035</v>
      </c>
      <c r="B2808" s="1" t="s">
        <v>2032</v>
      </c>
      <c r="C2808" s="1" t="s">
        <v>636</v>
      </c>
      <c r="D2808" s="1" t="n">
        <v>313.8</v>
      </c>
      <c r="E2808" s="1" t="n">
        <v>15.92</v>
      </c>
      <c r="F2808" s="1" t="n">
        <f aca="false">25/8</f>
        <v>3.125</v>
      </c>
    </row>
    <row collapsed="false" customFormat="false" customHeight="false" hidden="false" ht="14.75" outlineLevel="0" r="2809">
      <c r="A2809" s="1" t="s">
        <v>341</v>
      </c>
      <c r="B2809" s="1" t="s">
        <v>2032</v>
      </c>
      <c r="C2809" s="1" t="s">
        <v>636</v>
      </c>
      <c r="D2809" s="1" t="n">
        <v>193.1</v>
      </c>
      <c r="E2809" s="1" t="n">
        <v>12.97</v>
      </c>
      <c r="F2809" s="1" t="n">
        <f aca="false">15/8</f>
        <v>1.875</v>
      </c>
    </row>
    <row collapsed="false" customFormat="false" customHeight="false" hidden="false" ht="14.75" outlineLevel="0" r="2810">
      <c r="A2810" s="1" t="s">
        <v>889</v>
      </c>
      <c r="B2810" s="1" t="s">
        <v>2032</v>
      </c>
      <c r="C2810" s="1" t="s">
        <v>636</v>
      </c>
      <c r="D2810" s="1" t="n">
        <v>178.8</v>
      </c>
      <c r="E2810" s="1" t="n">
        <v>10.94</v>
      </c>
      <c r="F2810" s="1" t="n">
        <f aca="false">18/8</f>
        <v>2.25</v>
      </c>
    </row>
    <row collapsed="false" customFormat="false" customHeight="false" hidden="false" ht="14.75" outlineLevel="0" r="2811">
      <c r="A2811" s="1" t="s">
        <v>2036</v>
      </c>
      <c r="B2811" s="1" t="s">
        <v>2032</v>
      </c>
      <c r="C2811" s="1" t="s">
        <v>636</v>
      </c>
      <c r="D2811" s="1" t="n">
        <v>162.5</v>
      </c>
      <c r="E2811" s="1" t="n">
        <v>10.66</v>
      </c>
      <c r="F2811" s="1" t="n">
        <v>1</v>
      </c>
    </row>
    <row collapsed="false" customFormat="false" customHeight="false" hidden="false" ht="14.75" outlineLevel="0" r="2812">
      <c r="A2812" s="1" t="s">
        <v>1407</v>
      </c>
      <c r="B2812" s="1" t="s">
        <v>2032</v>
      </c>
      <c r="C2812" s="1" t="s">
        <v>636</v>
      </c>
      <c r="D2812" s="1" t="n">
        <v>214.4</v>
      </c>
      <c r="E2812" s="1" t="n">
        <v>13.47</v>
      </c>
      <c r="F2812" s="1" t="n">
        <f aca="false">5/8</f>
        <v>0.625</v>
      </c>
    </row>
    <row collapsed="false" customFormat="false" customHeight="false" hidden="false" ht="14.75" outlineLevel="0" r="2813">
      <c r="A2813" s="1" t="s">
        <v>606</v>
      </c>
      <c r="B2813" s="1" t="s">
        <v>2032</v>
      </c>
      <c r="C2813" s="1" t="s">
        <v>636</v>
      </c>
      <c r="D2813" s="1" t="n">
        <v>153.8</v>
      </c>
      <c r="E2813" s="1" t="n">
        <v>10</v>
      </c>
      <c r="F2813" s="1" t="n">
        <f aca="false">14/8</f>
        <v>1.75</v>
      </c>
    </row>
    <row collapsed="false" customFormat="false" customHeight="false" hidden="false" ht="14.75" outlineLevel="0" r="2814">
      <c r="A2814" s="1" t="s">
        <v>605</v>
      </c>
      <c r="B2814" s="1" t="s">
        <v>2032</v>
      </c>
      <c r="C2814" s="1" t="s">
        <v>636</v>
      </c>
      <c r="D2814" s="1" t="n">
        <v>140</v>
      </c>
      <c r="E2814" s="1" t="n">
        <v>11.5</v>
      </c>
      <c r="F2814" s="1" t="n">
        <f aca="false">9/8</f>
        <v>1.125</v>
      </c>
    </row>
    <row collapsed="false" customFormat="false" customHeight="false" hidden="false" ht="14.75" outlineLevel="0" r="2815">
      <c r="A2815" s="1" t="s">
        <v>2037</v>
      </c>
      <c r="B2815" s="1" t="s">
        <v>2032</v>
      </c>
      <c r="C2815" s="1" t="s">
        <v>636</v>
      </c>
      <c r="D2815" s="1" t="n">
        <v>85.6</v>
      </c>
      <c r="E2815" s="1" t="n">
        <v>7.84</v>
      </c>
      <c r="F2815" s="1" t="n">
        <f aca="false">5/8</f>
        <v>0.625</v>
      </c>
    </row>
    <row collapsed="false" customFormat="false" customHeight="false" hidden="false" ht="14.75" outlineLevel="0" r="2816">
      <c r="A2816" s="1" t="s">
        <v>393</v>
      </c>
      <c r="B2816" s="1" t="s">
        <v>2032</v>
      </c>
      <c r="C2816" s="1" t="s">
        <v>636</v>
      </c>
      <c r="D2816" s="1" t="n">
        <v>164.4</v>
      </c>
      <c r="E2816" s="1" t="n">
        <v>9.69</v>
      </c>
      <c r="F2816" s="1" t="n">
        <f aca="false">11/8</f>
        <v>1.375</v>
      </c>
    </row>
    <row collapsed="false" customFormat="false" customHeight="false" hidden="false" ht="14.75" outlineLevel="0" r="2817">
      <c r="A2817" s="1" t="s">
        <v>1945</v>
      </c>
      <c r="B2817" s="1" t="s">
        <v>2032</v>
      </c>
      <c r="C2817" s="1" t="s">
        <v>636</v>
      </c>
      <c r="D2817" s="1" t="n">
        <v>120</v>
      </c>
      <c r="E2817" s="1" t="n">
        <v>8.84</v>
      </c>
      <c r="F2817" s="1" t="n">
        <f aca="false">6/7</f>
        <v>0.857142857142857</v>
      </c>
    </row>
    <row collapsed="false" customFormat="false" customHeight="false" hidden="false" ht="14.75" outlineLevel="0" r="2818">
      <c r="A2818" s="1" t="s">
        <v>602</v>
      </c>
      <c r="B2818" s="1" t="s">
        <v>2032</v>
      </c>
      <c r="C2818" s="1" t="s">
        <v>636</v>
      </c>
      <c r="D2818" s="1" t="n">
        <v>108.6</v>
      </c>
      <c r="E2818" s="1" t="n">
        <v>10</v>
      </c>
      <c r="F2818" s="1" t="n">
        <f aca="false">8/7</f>
        <v>1.14285714285714</v>
      </c>
    </row>
    <row collapsed="false" customFormat="false" customHeight="false" hidden="false" ht="14.75" outlineLevel="0" r="2819">
      <c r="A2819" s="1" t="s">
        <v>173</v>
      </c>
      <c r="B2819" s="1" t="s">
        <v>2032</v>
      </c>
      <c r="C2819" s="1" t="s">
        <v>636</v>
      </c>
      <c r="D2819" s="1" t="n">
        <v>108.1</v>
      </c>
      <c r="E2819" s="1" t="n">
        <v>9.52</v>
      </c>
      <c r="F2819" s="1" t="n">
        <f aca="false">9/8</f>
        <v>1.125</v>
      </c>
    </row>
    <row collapsed="false" customFormat="false" customHeight="false" hidden="false" ht="14.75" outlineLevel="0" r="2820">
      <c r="A2820" s="1" t="s">
        <v>1944</v>
      </c>
      <c r="B2820" s="1" t="s">
        <v>2032</v>
      </c>
      <c r="C2820" s="1" t="s">
        <v>636</v>
      </c>
      <c r="D2820" s="1" t="n">
        <v>74.4</v>
      </c>
      <c r="E2820" s="1" t="n">
        <v>6.57</v>
      </c>
      <c r="F2820" s="1" t="n">
        <f aca="false">3/8</f>
        <v>0.375</v>
      </c>
    </row>
    <row collapsed="false" customFormat="false" customHeight="false" hidden="false" ht="14.75" outlineLevel="0" r="2821">
      <c r="A2821" s="1" t="s">
        <v>395</v>
      </c>
      <c r="B2821" s="1" t="s">
        <v>2032</v>
      </c>
      <c r="C2821" s="1" t="s">
        <v>636</v>
      </c>
      <c r="D2821" s="1" t="n">
        <v>103.1</v>
      </c>
      <c r="E2821" s="1" t="n">
        <v>7.73</v>
      </c>
      <c r="F2821" s="1" t="n">
        <f aca="false">9/8</f>
        <v>1.125</v>
      </c>
    </row>
    <row collapsed="false" customFormat="false" customHeight="false" hidden="false" ht="14.75" outlineLevel="0" r="2822">
      <c r="A2822" s="1" t="s">
        <v>335</v>
      </c>
      <c r="B2822" s="1" t="s">
        <v>2032</v>
      </c>
      <c r="C2822" s="1" t="s">
        <v>636</v>
      </c>
      <c r="D2822" s="1" t="n">
        <v>50</v>
      </c>
      <c r="E2822" s="1" t="n">
        <v>4.29</v>
      </c>
      <c r="F2822" s="1" t="n">
        <v>0</v>
      </c>
    </row>
    <row collapsed="false" customFormat="false" customHeight="false" hidden="false" ht="14.75" outlineLevel="0" r="2823">
      <c r="A2823" s="1" t="s">
        <v>2038</v>
      </c>
      <c r="B2823" s="1" t="s">
        <v>2032</v>
      </c>
      <c r="C2823" s="1" t="s">
        <v>636</v>
      </c>
      <c r="D2823" s="1" t="n">
        <v>41.2</v>
      </c>
      <c r="E2823" s="1" t="n">
        <v>5.71</v>
      </c>
      <c r="F2823" s="1" t="n">
        <v>0</v>
      </c>
    </row>
    <row collapsed="false" customFormat="false" customHeight="false" hidden="false" ht="14.75" outlineLevel="0" r="2824">
      <c r="A2824" s="1" t="s">
        <v>286</v>
      </c>
      <c r="B2824" s="1" t="s">
        <v>2039</v>
      </c>
      <c r="C2824" s="1" t="s">
        <v>2040</v>
      </c>
      <c r="D2824" s="1" t="n">
        <v>549.6</v>
      </c>
      <c r="E2824" s="1" t="n">
        <v>24.78</v>
      </c>
      <c r="F2824" s="1" t="n">
        <f aca="false">113/12</f>
        <v>9.41666666666667</v>
      </c>
    </row>
    <row collapsed="false" customFormat="false" customHeight="false" hidden="false" ht="14.75" outlineLevel="0" r="2825">
      <c r="A2825" s="1" t="s">
        <v>343</v>
      </c>
      <c r="B2825" s="1" t="s">
        <v>2039</v>
      </c>
      <c r="C2825" s="1" t="s">
        <v>2040</v>
      </c>
      <c r="D2825" s="1" t="n">
        <v>512.9</v>
      </c>
      <c r="E2825" s="1" t="n">
        <v>23.12</v>
      </c>
      <c r="F2825" s="1" t="n">
        <f aca="false">118/12</f>
        <v>9.83333333333333</v>
      </c>
    </row>
    <row collapsed="false" customFormat="false" customHeight="false" hidden="false" ht="14.75" outlineLevel="0" r="2826">
      <c r="A2826" s="1" t="s">
        <v>303</v>
      </c>
      <c r="B2826" s="1" t="s">
        <v>2039</v>
      </c>
      <c r="C2826" s="1" t="s">
        <v>2040</v>
      </c>
      <c r="D2826" s="1" t="n">
        <v>441.8</v>
      </c>
      <c r="E2826" s="1" t="n">
        <v>20.46</v>
      </c>
      <c r="F2826" s="1" t="n">
        <f aca="false">73/11</f>
        <v>6.63636363636364</v>
      </c>
    </row>
    <row collapsed="false" customFormat="false" customHeight="false" hidden="false" ht="14.75" outlineLevel="0" r="2827">
      <c r="A2827" s="1" t="s">
        <v>355</v>
      </c>
      <c r="B2827" s="1" t="s">
        <v>2039</v>
      </c>
      <c r="C2827" s="1" t="s">
        <v>2040</v>
      </c>
      <c r="D2827" s="1" t="n">
        <v>412.9</v>
      </c>
      <c r="E2827" s="1" t="n">
        <v>21.59</v>
      </c>
      <c r="F2827" s="1" t="n">
        <f aca="false">77/12</f>
        <v>6.41666666666667</v>
      </c>
    </row>
    <row collapsed="false" customFormat="false" customHeight="false" hidden="false" ht="14.75" outlineLevel="0" r="2828">
      <c r="A2828" s="1" t="s">
        <v>344</v>
      </c>
      <c r="B2828" s="1" t="s">
        <v>2039</v>
      </c>
      <c r="C2828" s="1" t="s">
        <v>2040</v>
      </c>
      <c r="D2828" s="1" t="n">
        <v>362.5</v>
      </c>
      <c r="E2828" s="1" t="n">
        <v>23.29</v>
      </c>
      <c r="F2828" s="1" t="n">
        <f aca="false">65/11</f>
        <v>5.90909090909091</v>
      </c>
    </row>
    <row collapsed="false" customFormat="false" customHeight="false" hidden="false" ht="14.75" outlineLevel="0" r="2829">
      <c r="A2829" s="1" t="s">
        <v>163</v>
      </c>
      <c r="B2829" s="1" t="s">
        <v>2039</v>
      </c>
      <c r="C2829" s="1" t="s">
        <v>2040</v>
      </c>
      <c r="D2829" s="1" t="n">
        <v>445.5</v>
      </c>
      <c r="E2829" s="1" t="n">
        <v>22.73</v>
      </c>
      <c r="F2829" s="1" t="n">
        <f aca="false">69/11</f>
        <v>6.27272727272727</v>
      </c>
    </row>
    <row collapsed="false" customFormat="false" customHeight="false" hidden="false" ht="14.75" outlineLevel="0" r="2830">
      <c r="A2830" s="1" t="s">
        <v>295</v>
      </c>
      <c r="B2830" s="1" t="s">
        <v>2039</v>
      </c>
      <c r="C2830" s="1" t="s">
        <v>2040</v>
      </c>
      <c r="D2830" s="1" t="n">
        <v>380.5</v>
      </c>
      <c r="E2830" s="1" t="n">
        <v>20.53</v>
      </c>
      <c r="F2830" s="1" t="n">
        <f aca="false">56/11</f>
        <v>5.09090909090909</v>
      </c>
    </row>
    <row collapsed="false" customFormat="false" customHeight="false" hidden="false" ht="14.75" outlineLevel="0" r="2831">
      <c r="A2831" s="1" t="s">
        <v>38</v>
      </c>
      <c r="B2831" s="1" t="s">
        <v>2039</v>
      </c>
      <c r="C2831" s="1" t="s">
        <v>2040</v>
      </c>
      <c r="D2831" s="1" t="n">
        <v>350.5</v>
      </c>
      <c r="E2831" s="1" t="n">
        <v>20.41</v>
      </c>
      <c r="F2831" s="1" t="n">
        <f aca="false">53/11</f>
        <v>4.81818181818182</v>
      </c>
    </row>
    <row collapsed="false" customFormat="false" customHeight="false" hidden="false" ht="14.75" outlineLevel="0" r="2832">
      <c r="A2832" s="1" t="s">
        <v>2041</v>
      </c>
      <c r="B2832" s="1" t="s">
        <v>2039</v>
      </c>
      <c r="C2832" s="1" t="s">
        <v>2040</v>
      </c>
      <c r="D2832" s="1" t="n">
        <v>363.2</v>
      </c>
      <c r="E2832" s="1" t="n">
        <v>20.78</v>
      </c>
      <c r="F2832" s="1" t="n">
        <f aca="false">50/11</f>
        <v>4.54545454545455</v>
      </c>
    </row>
    <row collapsed="false" customFormat="false" customHeight="false" hidden="false" ht="14.75" outlineLevel="0" r="2833">
      <c r="A2833" s="1" t="s">
        <v>356</v>
      </c>
      <c r="B2833" s="1" t="s">
        <v>2039</v>
      </c>
      <c r="C2833" s="1" t="s">
        <v>2040</v>
      </c>
      <c r="D2833" s="1" t="n">
        <v>346.8</v>
      </c>
      <c r="E2833" s="1" t="n">
        <v>19.14</v>
      </c>
      <c r="F2833" s="1" t="n">
        <f aca="false">41/11</f>
        <v>3.72727272727273</v>
      </c>
    </row>
    <row collapsed="false" customFormat="false" customHeight="false" hidden="false" ht="14.75" outlineLevel="0" r="2834">
      <c r="A2834" s="1" t="s">
        <v>289</v>
      </c>
      <c r="B2834" s="1" t="s">
        <v>2039</v>
      </c>
      <c r="C2834" s="1" t="s">
        <v>2040</v>
      </c>
      <c r="D2834" s="1" t="n">
        <v>327.7</v>
      </c>
      <c r="E2834" s="1" t="n">
        <v>18.56</v>
      </c>
      <c r="F2834" s="1" t="n">
        <f aca="false">41/11</f>
        <v>3.72727272727273</v>
      </c>
    </row>
    <row collapsed="false" customFormat="false" customHeight="false" hidden="false" ht="14.75" outlineLevel="0" r="2835">
      <c r="A2835" s="1" t="s">
        <v>190</v>
      </c>
      <c r="B2835" s="1" t="s">
        <v>2039</v>
      </c>
      <c r="C2835" s="1" t="s">
        <v>2040</v>
      </c>
      <c r="D2835" s="1" t="n">
        <v>281.4</v>
      </c>
      <c r="E2835" s="1" t="n">
        <v>16.88</v>
      </c>
      <c r="F2835" s="1" t="n">
        <f aca="false">33/11</f>
        <v>3</v>
      </c>
    </row>
    <row collapsed="false" customFormat="false" customHeight="false" hidden="false" ht="14.75" outlineLevel="0" r="2836">
      <c r="A2836" s="1" t="s">
        <v>421</v>
      </c>
      <c r="B2836" s="1" t="s">
        <v>2039</v>
      </c>
      <c r="C2836" s="1" t="s">
        <v>2040</v>
      </c>
      <c r="D2836" s="1" t="n">
        <v>263.6</v>
      </c>
      <c r="E2836" s="1" t="n">
        <v>18.04</v>
      </c>
      <c r="F2836" s="1" t="n">
        <f aca="false">26/11</f>
        <v>2.36363636363636</v>
      </c>
    </row>
    <row collapsed="false" customFormat="false" customHeight="false" hidden="false" ht="14.75" outlineLevel="0" r="2837">
      <c r="A2837" s="1" t="s">
        <v>358</v>
      </c>
      <c r="B2837" s="1" t="s">
        <v>2039</v>
      </c>
      <c r="C2837" s="1" t="s">
        <v>2040</v>
      </c>
      <c r="D2837" s="1" t="n">
        <v>238.6</v>
      </c>
      <c r="E2837" s="1" t="n">
        <v>18.82</v>
      </c>
      <c r="F2837" s="1" t="n">
        <f aca="false">36/11</f>
        <v>3.27272727272727</v>
      </c>
    </row>
    <row collapsed="false" customFormat="false" customHeight="false" hidden="false" ht="14.75" outlineLevel="0" r="2838">
      <c r="A2838" s="1" t="s">
        <v>1314</v>
      </c>
      <c r="B2838" s="1" t="s">
        <v>2039</v>
      </c>
      <c r="C2838" s="1" t="s">
        <v>2040</v>
      </c>
      <c r="D2838" s="1" t="n">
        <v>191.8</v>
      </c>
      <c r="E2838" s="1" t="n">
        <v>16.54</v>
      </c>
      <c r="F2838" s="1" t="n">
        <f aca="false">21/11</f>
        <v>1.90909090909091</v>
      </c>
    </row>
    <row collapsed="false" customFormat="false" customHeight="false" hidden="false" ht="14.75" outlineLevel="0" r="2839">
      <c r="A2839" s="1" t="s">
        <v>2042</v>
      </c>
      <c r="B2839" s="1" t="s">
        <v>2039</v>
      </c>
      <c r="C2839" s="1" t="s">
        <v>2040</v>
      </c>
      <c r="D2839" s="1" t="n">
        <v>191.4</v>
      </c>
      <c r="E2839" s="1" t="n">
        <v>14.82</v>
      </c>
      <c r="F2839" s="1" t="n">
        <f aca="false">20/11</f>
        <v>1.81818181818182</v>
      </c>
    </row>
    <row collapsed="false" customFormat="false" customHeight="false" hidden="false" ht="14.75" outlineLevel="0" r="2840">
      <c r="A2840" s="1" t="s">
        <v>191</v>
      </c>
      <c r="B2840" s="1" t="s">
        <v>2039</v>
      </c>
      <c r="C2840" s="1" t="s">
        <v>2040</v>
      </c>
      <c r="D2840" s="1" t="n">
        <v>276.4</v>
      </c>
      <c r="E2840" s="1" t="n">
        <v>15.81</v>
      </c>
      <c r="F2840" s="1" t="n">
        <f aca="false">19/11</f>
        <v>1.72727272727273</v>
      </c>
    </row>
    <row collapsed="false" customFormat="false" customHeight="false" hidden="false" ht="14.75" outlineLevel="0" r="2841">
      <c r="A2841" s="1" t="s">
        <v>332</v>
      </c>
      <c r="B2841" s="1" t="s">
        <v>2039</v>
      </c>
      <c r="C2841" s="1" t="s">
        <v>2040</v>
      </c>
      <c r="D2841" s="1" t="n">
        <v>256.8</v>
      </c>
      <c r="E2841" s="1" t="n">
        <v>14.6</v>
      </c>
      <c r="F2841" s="1" t="n">
        <f aca="false">32/11</f>
        <v>2.90909090909091</v>
      </c>
    </row>
    <row collapsed="false" customFormat="false" customHeight="false" hidden="false" ht="14.75" outlineLevel="0" r="2842">
      <c r="A2842" s="1" t="s">
        <v>359</v>
      </c>
      <c r="B2842" s="1" t="s">
        <v>2039</v>
      </c>
      <c r="C2842" s="1" t="s">
        <v>2040</v>
      </c>
      <c r="D2842" s="1" t="n">
        <v>153.2</v>
      </c>
      <c r="E2842" s="1" t="n">
        <v>12.13</v>
      </c>
      <c r="F2842" s="1" t="n">
        <f aca="false">12/11</f>
        <v>1.09090909090909</v>
      </c>
    </row>
    <row collapsed="false" customFormat="false" customHeight="false" hidden="false" ht="14.75" outlineLevel="0" r="2843">
      <c r="A2843" s="1" t="s">
        <v>296</v>
      </c>
      <c r="B2843" s="1" t="s">
        <v>2039</v>
      </c>
      <c r="C2843" s="1" t="s">
        <v>2040</v>
      </c>
      <c r="D2843" s="1" t="n">
        <v>132.3</v>
      </c>
      <c r="E2843" s="1" t="n">
        <v>10.41</v>
      </c>
      <c r="F2843" s="1" t="n">
        <f aca="false">9/11</f>
        <v>0.818181818181818</v>
      </c>
    </row>
    <row collapsed="false" customFormat="false" customHeight="false" hidden="false" ht="14.75" outlineLevel="0" r="2844">
      <c r="A2844" s="1" t="s">
        <v>1315</v>
      </c>
      <c r="B2844" s="1" t="s">
        <v>2039</v>
      </c>
      <c r="C2844" s="1" t="s">
        <v>2040</v>
      </c>
      <c r="D2844" s="1" t="n">
        <v>118.2</v>
      </c>
      <c r="E2844" s="1" t="n">
        <v>10.98</v>
      </c>
      <c r="F2844" s="1" t="n">
        <v>1</v>
      </c>
    </row>
    <row collapsed="false" customFormat="false" customHeight="false" hidden="false" ht="14.75" outlineLevel="0" r="2845">
      <c r="A2845" s="1" t="s">
        <v>422</v>
      </c>
      <c r="B2845" s="1" t="s">
        <v>2039</v>
      </c>
      <c r="C2845" s="1" t="s">
        <v>2040</v>
      </c>
      <c r="D2845" s="1" t="n">
        <v>100</v>
      </c>
      <c r="E2845" s="1" t="n">
        <v>10.71</v>
      </c>
      <c r="F2845" s="1" t="n">
        <f aca="false">5/11</f>
        <v>0.454545454545455</v>
      </c>
    </row>
    <row collapsed="false" customFormat="false" customHeight="false" hidden="false" ht="14.75" outlineLevel="0" r="2846">
      <c r="A2846" s="1" t="s">
        <v>1022</v>
      </c>
      <c r="B2846" s="1" t="s">
        <v>2039</v>
      </c>
      <c r="C2846" s="1" t="s">
        <v>2040</v>
      </c>
      <c r="D2846" s="1" t="n">
        <v>95.9</v>
      </c>
      <c r="E2846" s="1" t="n">
        <v>9.82</v>
      </c>
      <c r="F2846" s="1" t="n">
        <f aca="false">5/11</f>
        <v>0.454545454545455</v>
      </c>
    </row>
    <row collapsed="false" customFormat="false" customHeight="false" hidden="false" ht="14.75" outlineLevel="0" r="2847">
      <c r="A2847" s="1" t="s">
        <v>2043</v>
      </c>
      <c r="B2847" s="1" t="s">
        <v>2039</v>
      </c>
      <c r="C2847" s="1" t="s">
        <v>2040</v>
      </c>
      <c r="D2847" s="1" t="n">
        <v>72.7</v>
      </c>
      <c r="E2847" s="1" t="n">
        <v>7.02</v>
      </c>
      <c r="F2847" s="1" t="n">
        <f aca="false">2/11</f>
        <v>0.181818181818182</v>
      </c>
    </row>
    <row collapsed="false" customFormat="false" customHeight="false" hidden="false" ht="14.75" outlineLevel="0" r="2848">
      <c r="A2848" s="1" t="s">
        <v>2044</v>
      </c>
      <c r="B2848" s="1" t="s">
        <v>2045</v>
      </c>
      <c r="C2848" s="1" t="s">
        <v>1491</v>
      </c>
      <c r="D2848" s="1" t="n">
        <v>590.6</v>
      </c>
      <c r="E2848" s="1" t="n">
        <v>23.36</v>
      </c>
      <c r="F2848" s="1" t="n">
        <f aca="false">83/9</f>
        <v>9.22222222222222</v>
      </c>
    </row>
    <row collapsed="false" customFormat="false" customHeight="false" hidden="false" ht="14.75" outlineLevel="0" r="2849">
      <c r="A2849" s="1" t="s">
        <v>2046</v>
      </c>
      <c r="B2849" s="1" t="s">
        <v>2045</v>
      </c>
      <c r="C2849" s="1" t="s">
        <v>1491</v>
      </c>
      <c r="D2849" s="1" t="n">
        <v>290.6</v>
      </c>
      <c r="E2849" s="1" t="n">
        <v>16.39</v>
      </c>
      <c r="F2849" s="1" t="n">
        <f aca="false">25/9</f>
        <v>2.77777777777778</v>
      </c>
    </row>
    <row collapsed="false" customFormat="false" customHeight="false" hidden="false" ht="14.75" outlineLevel="0" r="2850">
      <c r="A2850" s="1" t="s">
        <v>184</v>
      </c>
      <c r="B2850" s="1" t="s">
        <v>2045</v>
      </c>
      <c r="C2850" s="1" t="s">
        <v>1491</v>
      </c>
      <c r="D2850" s="1" t="n">
        <v>220.6</v>
      </c>
      <c r="E2850" s="1" t="n">
        <v>13.07</v>
      </c>
      <c r="F2850" s="1" t="n">
        <f aca="false">16/8</f>
        <v>2</v>
      </c>
    </row>
    <row collapsed="false" customFormat="false" customHeight="false" hidden="false" ht="14.75" outlineLevel="0" r="2851">
      <c r="A2851" s="1" t="s">
        <v>1273</v>
      </c>
      <c r="B2851" s="1" t="s">
        <v>2045</v>
      </c>
      <c r="C2851" s="1" t="s">
        <v>1491</v>
      </c>
      <c r="D2851" s="1" t="n">
        <v>229.4</v>
      </c>
      <c r="E2851" s="1" t="n">
        <v>15.56</v>
      </c>
      <c r="F2851" s="1" t="n">
        <f aca="false">13/8</f>
        <v>1.625</v>
      </c>
    </row>
    <row collapsed="false" customFormat="false" customHeight="false" hidden="false" ht="14.75" outlineLevel="0" r="2852">
      <c r="A2852" s="1" t="s">
        <v>2047</v>
      </c>
      <c r="B2852" s="1" t="s">
        <v>2045</v>
      </c>
      <c r="C2852" s="1" t="s">
        <v>1491</v>
      </c>
      <c r="D2852" s="1" t="n">
        <v>183.8</v>
      </c>
      <c r="E2852" s="1" t="n">
        <v>14.33</v>
      </c>
      <c r="F2852" s="1" t="n">
        <f aca="false">6/8</f>
        <v>0.75</v>
      </c>
    </row>
    <row collapsed="false" customFormat="false" customHeight="false" hidden="false" ht="14.75" outlineLevel="0" r="2853">
      <c r="A2853" s="1" t="s">
        <v>2048</v>
      </c>
      <c r="B2853" s="1" t="s">
        <v>2045</v>
      </c>
      <c r="C2853" s="1" t="s">
        <v>1491</v>
      </c>
      <c r="D2853" s="1" t="n">
        <v>150</v>
      </c>
      <c r="E2853" s="1" t="n">
        <v>12.41</v>
      </c>
      <c r="F2853" s="1" t="n">
        <f aca="false">6/8</f>
        <v>0.75</v>
      </c>
    </row>
    <row collapsed="false" customFormat="false" customHeight="false" hidden="false" ht="14.75" outlineLevel="0" r="2854">
      <c r="A2854" s="1" t="s">
        <v>2049</v>
      </c>
      <c r="B2854" s="1" t="s">
        <v>2045</v>
      </c>
      <c r="C2854" s="1" t="s">
        <v>1491</v>
      </c>
      <c r="D2854" s="1" t="n">
        <v>206.9</v>
      </c>
      <c r="E2854" s="1" t="n">
        <v>12.96</v>
      </c>
      <c r="F2854" s="1" t="n">
        <f aca="false">6/8</f>
        <v>0.75</v>
      </c>
    </row>
    <row collapsed="false" customFormat="false" customHeight="false" hidden="false" ht="14.75" outlineLevel="0" r="2855">
      <c r="A2855" s="1" t="s">
        <v>2050</v>
      </c>
      <c r="B2855" s="1" t="s">
        <v>2045</v>
      </c>
      <c r="C2855" s="1" t="s">
        <v>1491</v>
      </c>
      <c r="D2855" s="1" t="n">
        <v>201.2</v>
      </c>
      <c r="E2855" s="1" t="n">
        <v>13.55</v>
      </c>
      <c r="F2855" s="1" t="n">
        <f aca="false">9/8</f>
        <v>1.125</v>
      </c>
    </row>
    <row collapsed="false" customFormat="false" customHeight="false" hidden="false" ht="14.75" outlineLevel="0" r="2856">
      <c r="A2856" s="1" t="s">
        <v>1274</v>
      </c>
      <c r="B2856" s="1" t="s">
        <v>2045</v>
      </c>
      <c r="C2856" s="1" t="s">
        <v>1491</v>
      </c>
      <c r="D2856" s="1" t="n">
        <v>109.4</v>
      </c>
      <c r="E2856" s="1" t="n">
        <v>9.33</v>
      </c>
      <c r="F2856" s="1" t="n">
        <f aca="false">3/8</f>
        <v>0.375</v>
      </c>
    </row>
    <row collapsed="false" customFormat="false" customHeight="false" hidden="false" ht="14.75" outlineLevel="0" r="2857">
      <c r="A2857" s="1" t="s">
        <v>2051</v>
      </c>
      <c r="B2857" s="1" t="s">
        <v>2045</v>
      </c>
      <c r="C2857" s="1" t="s">
        <v>1491</v>
      </c>
      <c r="D2857" s="1" t="n">
        <v>76.2</v>
      </c>
      <c r="E2857" s="1" t="n">
        <v>8.82</v>
      </c>
      <c r="F2857" s="1" t="n">
        <f aca="false">2/8</f>
        <v>0.25</v>
      </c>
    </row>
    <row collapsed="false" customFormat="false" customHeight="false" hidden="false" ht="14.75" outlineLevel="0" r="2858">
      <c r="A2858" s="1" t="s">
        <v>971</v>
      </c>
      <c r="B2858" s="1" t="s">
        <v>2045</v>
      </c>
      <c r="C2858" s="1" t="s">
        <v>1491</v>
      </c>
      <c r="D2858" s="1" t="n">
        <v>53.1</v>
      </c>
      <c r="E2858" s="1" t="n">
        <v>6.92</v>
      </c>
      <c r="F2858" s="1" t="n">
        <f aca="false">4/8</f>
        <v>0.5</v>
      </c>
    </row>
    <row collapsed="false" customFormat="false" customHeight="false" hidden="false" ht="14.75" outlineLevel="0" r="2859">
      <c r="A2859" s="1" t="s">
        <v>2052</v>
      </c>
      <c r="B2859" s="1" t="s">
        <v>2045</v>
      </c>
      <c r="C2859" s="1" t="s">
        <v>1491</v>
      </c>
      <c r="D2859" s="1" t="n">
        <v>42.5</v>
      </c>
      <c r="E2859" s="1" t="n">
        <v>5.91</v>
      </c>
      <c r="F2859" s="1" t="n">
        <f aca="false">3/8</f>
        <v>0.375</v>
      </c>
    </row>
    <row collapsed="false" customFormat="false" customHeight="false" hidden="false" ht="14.75" outlineLevel="0" r="2860">
      <c r="A2860" s="1" t="s">
        <v>2053</v>
      </c>
      <c r="B2860" s="1" t="s">
        <v>2054</v>
      </c>
      <c r="C2860" s="1" t="s">
        <v>2055</v>
      </c>
      <c r="D2860" s="1" t="n">
        <v>331.1</v>
      </c>
      <c r="E2860" s="1" t="n">
        <v>18.14</v>
      </c>
      <c r="F2860" s="1" t="n">
        <v>3.2</v>
      </c>
    </row>
    <row collapsed="false" customFormat="false" customHeight="false" hidden="false" ht="14.75" outlineLevel="0" r="2861">
      <c r="A2861" s="1" t="s">
        <v>2056</v>
      </c>
      <c r="B2861" s="1" t="s">
        <v>2054</v>
      </c>
      <c r="C2861" s="1" t="s">
        <v>2055</v>
      </c>
      <c r="D2861" s="1" t="n">
        <v>304</v>
      </c>
      <c r="E2861" s="1" t="n">
        <v>17.79</v>
      </c>
      <c r="F2861" s="1" t="n">
        <v>3.6</v>
      </c>
    </row>
    <row collapsed="false" customFormat="false" customHeight="false" hidden="false" ht="14.75" outlineLevel="0" r="2862">
      <c r="A2862" s="1" t="s">
        <v>2057</v>
      </c>
      <c r="B2862" s="1" t="s">
        <v>2054</v>
      </c>
      <c r="C2862" s="1" t="s">
        <v>2055</v>
      </c>
      <c r="D2862" s="1" t="n">
        <v>257.9</v>
      </c>
      <c r="E2862" s="1" t="n">
        <v>13.22</v>
      </c>
      <c r="F2862" s="1" t="n">
        <v>1</v>
      </c>
    </row>
    <row collapsed="false" customFormat="false" customHeight="false" hidden="false" ht="14.75" outlineLevel="0" r="2863">
      <c r="A2863" s="1" t="s">
        <v>2058</v>
      </c>
      <c r="B2863" s="1" t="s">
        <v>2054</v>
      </c>
      <c r="C2863" s="1" t="s">
        <v>2055</v>
      </c>
      <c r="D2863" s="1" t="n">
        <v>312.9</v>
      </c>
      <c r="E2863" s="1" t="n">
        <v>18.07</v>
      </c>
      <c r="F2863" s="1" t="n">
        <f aca="false">26/8</f>
        <v>3.25</v>
      </c>
    </row>
    <row collapsed="false" customFormat="false" customHeight="false" hidden="false" ht="14.75" outlineLevel="0" r="2864">
      <c r="A2864" s="1" t="s">
        <v>2059</v>
      </c>
      <c r="B2864" s="1" t="s">
        <v>2054</v>
      </c>
      <c r="C2864" s="1" t="s">
        <v>2055</v>
      </c>
      <c r="D2864" s="1" t="n">
        <v>230</v>
      </c>
      <c r="E2864" s="1" t="n">
        <v>13.56</v>
      </c>
      <c r="F2864" s="1" t="n">
        <f aca="false">28/8</f>
        <v>3.5</v>
      </c>
    </row>
    <row collapsed="false" customFormat="false" customHeight="false" hidden="false" ht="14.75" outlineLevel="0" r="2865">
      <c r="A2865" s="1" t="s">
        <v>2060</v>
      </c>
      <c r="B2865" s="1" t="s">
        <v>2054</v>
      </c>
      <c r="C2865" s="1" t="s">
        <v>2055</v>
      </c>
      <c r="D2865" s="1" t="n">
        <v>148.1</v>
      </c>
      <c r="E2865" s="1" t="n">
        <v>11.94</v>
      </c>
      <c r="F2865" s="1" t="n">
        <f aca="false">11/8</f>
        <v>1.375</v>
      </c>
    </row>
    <row collapsed="false" customFormat="false" customHeight="false" hidden="false" ht="14.75" outlineLevel="0" r="2866">
      <c r="A2866" s="1" t="s">
        <v>2061</v>
      </c>
      <c r="B2866" s="1" t="s">
        <v>2054</v>
      </c>
      <c r="C2866" s="1" t="s">
        <v>2055</v>
      </c>
      <c r="D2866" s="1" t="n">
        <v>173.8</v>
      </c>
      <c r="E2866" s="1" t="n">
        <v>13.6</v>
      </c>
      <c r="F2866" s="1" t="n">
        <f aca="false">12/8</f>
        <v>1.5</v>
      </c>
    </row>
    <row collapsed="false" customFormat="false" customHeight="false" hidden="false" ht="14.75" outlineLevel="0" r="2867">
      <c r="A2867" s="1" t="s">
        <v>2062</v>
      </c>
      <c r="B2867" s="1" t="s">
        <v>2054</v>
      </c>
      <c r="C2867" s="1" t="s">
        <v>2055</v>
      </c>
      <c r="D2867" s="1" t="n">
        <v>237.5</v>
      </c>
      <c r="E2867" s="1" t="n">
        <v>14.61</v>
      </c>
      <c r="F2867" s="1" t="n">
        <f aca="false">11/8</f>
        <v>1.375</v>
      </c>
    </row>
    <row collapsed="false" customFormat="false" customHeight="false" hidden="false" ht="14.75" outlineLevel="0" r="2868">
      <c r="A2868" s="1" t="s">
        <v>2063</v>
      </c>
      <c r="B2868" s="1" t="s">
        <v>2054</v>
      </c>
      <c r="C2868" s="1" t="s">
        <v>2055</v>
      </c>
      <c r="D2868" s="1" t="n">
        <v>75.6</v>
      </c>
      <c r="E2868" s="1" t="n">
        <v>6.94</v>
      </c>
      <c r="F2868" s="1" t="n">
        <f aca="false">2/8</f>
        <v>0.25</v>
      </c>
    </row>
    <row collapsed="false" customFormat="false" customHeight="false" hidden="false" ht="14.75" outlineLevel="0" r="2869">
      <c r="A2869" s="1" t="s">
        <v>2064</v>
      </c>
      <c r="B2869" s="1" t="s">
        <v>2054</v>
      </c>
      <c r="C2869" s="1" t="s">
        <v>2055</v>
      </c>
      <c r="D2869" s="1" t="n">
        <v>80.6</v>
      </c>
      <c r="E2869" s="1" t="n">
        <v>8.57</v>
      </c>
      <c r="F2869" s="1" t="n">
        <f aca="false">1/8</f>
        <v>0.125</v>
      </c>
    </row>
    <row collapsed="false" customFormat="false" customHeight="false" hidden="false" ht="14.75" outlineLevel="0" r="2870">
      <c r="A2870" s="1" t="s">
        <v>2065</v>
      </c>
      <c r="B2870" s="1" t="s">
        <v>2054</v>
      </c>
      <c r="C2870" s="1" t="s">
        <v>2055</v>
      </c>
      <c r="D2870" s="1" t="n">
        <v>72.5</v>
      </c>
      <c r="E2870" s="1" t="n">
        <v>7.73</v>
      </c>
      <c r="F2870" s="1" t="n">
        <f aca="false">3/8</f>
        <v>0.375</v>
      </c>
    </row>
    <row collapsed="false" customFormat="false" customHeight="false" hidden="false" ht="14.75" outlineLevel="0" r="2871">
      <c r="A2871" s="1" t="s">
        <v>2066</v>
      </c>
      <c r="B2871" s="1" t="s">
        <v>2054</v>
      </c>
      <c r="C2871" s="1" t="s">
        <v>2055</v>
      </c>
      <c r="D2871" s="1" t="n">
        <v>47.9</v>
      </c>
      <c r="E2871" s="1" t="n">
        <v>10</v>
      </c>
      <c r="F2871" s="1" t="n">
        <f aca="false">1/8</f>
        <v>0.125</v>
      </c>
    </row>
    <row collapsed="false" customFormat="false" customHeight="false" hidden="false" ht="14.75" outlineLevel="0" r="2872">
      <c r="A2872" s="1" t="s">
        <v>2067</v>
      </c>
      <c r="B2872" s="1" t="s">
        <v>2068</v>
      </c>
      <c r="C2872" s="1" t="s">
        <v>1087</v>
      </c>
      <c r="D2872" s="1" t="n">
        <v>420.5</v>
      </c>
      <c r="E2872" s="1" t="n">
        <v>20.3</v>
      </c>
      <c r="F2872" s="1" t="n">
        <f aca="false">29/8</f>
        <v>3.625</v>
      </c>
    </row>
    <row collapsed="false" customFormat="false" customHeight="false" hidden="false" ht="14.75" outlineLevel="0" r="2873">
      <c r="A2873" s="1" t="s">
        <v>2069</v>
      </c>
      <c r="B2873" s="1" t="s">
        <v>2068</v>
      </c>
      <c r="C2873" s="1" t="s">
        <v>1087</v>
      </c>
      <c r="D2873" s="1" t="n">
        <v>258.6</v>
      </c>
      <c r="E2873" s="1" t="n">
        <v>11.97</v>
      </c>
      <c r="F2873" s="1" t="n">
        <v>2</v>
      </c>
    </row>
    <row collapsed="false" customFormat="false" customHeight="false" hidden="false" ht="14.75" outlineLevel="0" r="2874">
      <c r="A2874" s="1" t="s">
        <v>2070</v>
      </c>
      <c r="B2874" s="1" t="s">
        <v>2068</v>
      </c>
      <c r="C2874" s="1" t="s">
        <v>1087</v>
      </c>
      <c r="D2874" s="1" t="n">
        <v>294.9</v>
      </c>
      <c r="E2874" s="1" t="n">
        <v>14.91</v>
      </c>
      <c r="F2874" s="1" t="n">
        <f aca="false">14/8</f>
        <v>1.75</v>
      </c>
    </row>
    <row collapsed="false" customFormat="false" customHeight="false" hidden="false" ht="14.75" outlineLevel="0" r="2875">
      <c r="A2875" s="1" t="s">
        <v>2071</v>
      </c>
      <c r="B2875" s="1" t="s">
        <v>2068</v>
      </c>
      <c r="C2875" s="1" t="s">
        <v>1087</v>
      </c>
      <c r="D2875" s="1" t="n">
        <v>247.9</v>
      </c>
      <c r="E2875" s="1" t="n">
        <v>14</v>
      </c>
      <c r="F2875" s="1" t="n">
        <f aca="false">12/8</f>
        <v>1.5</v>
      </c>
    </row>
    <row collapsed="false" customFormat="false" customHeight="false" hidden="false" ht="14.75" outlineLevel="0" r="2876">
      <c r="A2876" s="1" t="s">
        <v>950</v>
      </c>
      <c r="B2876" s="1" t="s">
        <v>2068</v>
      </c>
      <c r="C2876" s="1" t="s">
        <v>1087</v>
      </c>
      <c r="D2876" s="1" t="n">
        <v>157.3</v>
      </c>
      <c r="E2876" s="1" t="n">
        <v>12.97</v>
      </c>
      <c r="F2876" s="1" t="n">
        <f aca="false">10/8</f>
        <v>1.25</v>
      </c>
    </row>
    <row collapsed="false" customFormat="false" customHeight="false" hidden="false" ht="14.75" outlineLevel="0" r="2877">
      <c r="A2877" s="1" t="s">
        <v>862</v>
      </c>
      <c r="B2877" s="1" t="s">
        <v>2068</v>
      </c>
      <c r="C2877" s="1" t="s">
        <v>1087</v>
      </c>
      <c r="D2877" s="1" t="n">
        <v>176.1</v>
      </c>
      <c r="E2877" s="1" t="n">
        <v>14.3</v>
      </c>
      <c r="F2877" s="1" t="n">
        <f aca="false">2/8</f>
        <v>0.25</v>
      </c>
    </row>
    <row collapsed="false" customFormat="false" customHeight="false" hidden="false" ht="14.75" outlineLevel="0" r="2878">
      <c r="A2878" s="1" t="s">
        <v>2072</v>
      </c>
      <c r="B2878" s="1" t="s">
        <v>2068</v>
      </c>
      <c r="C2878" s="1" t="s">
        <v>1087</v>
      </c>
      <c r="D2878" s="1" t="n">
        <v>93.5</v>
      </c>
      <c r="E2878" s="1" t="n">
        <v>7.8</v>
      </c>
      <c r="F2878" s="1" t="n">
        <f aca="false">4/8</f>
        <v>0.5</v>
      </c>
    </row>
    <row collapsed="false" customFormat="false" customHeight="false" hidden="false" ht="14.75" outlineLevel="0" r="2879">
      <c r="A2879" s="1" t="s">
        <v>2073</v>
      </c>
      <c r="B2879" s="1" t="s">
        <v>2068</v>
      </c>
      <c r="C2879" s="1" t="s">
        <v>1087</v>
      </c>
      <c r="D2879" s="1" t="n">
        <v>148</v>
      </c>
      <c r="E2879" s="1" t="n">
        <v>11.53</v>
      </c>
      <c r="F2879" s="1" t="n">
        <f aca="false">11/8</f>
        <v>1.375</v>
      </c>
    </row>
    <row collapsed="false" customFormat="false" customHeight="false" hidden="false" ht="14.75" outlineLevel="0" r="2880">
      <c r="A2880" s="1" t="s">
        <v>2074</v>
      </c>
      <c r="B2880" s="1" t="s">
        <v>2068</v>
      </c>
      <c r="C2880" s="1" t="s">
        <v>1087</v>
      </c>
      <c r="D2880" s="1" t="n">
        <v>88.5</v>
      </c>
      <c r="E2880" s="1" t="n">
        <v>7.78</v>
      </c>
      <c r="F2880" s="1" t="n">
        <f aca="false">1/8</f>
        <v>0.125</v>
      </c>
    </row>
    <row collapsed="false" customFormat="false" customHeight="false" hidden="false" ht="14.75" outlineLevel="0" r="2881">
      <c r="A2881" s="1" t="s">
        <v>2075</v>
      </c>
      <c r="B2881" s="1" t="s">
        <v>2068</v>
      </c>
      <c r="C2881" s="1" t="s">
        <v>1087</v>
      </c>
      <c r="D2881" s="1" t="n">
        <v>83.2</v>
      </c>
      <c r="E2881" s="1" t="n">
        <v>5.86</v>
      </c>
      <c r="F2881" s="1" t="n">
        <f aca="false">3/8</f>
        <v>0.375</v>
      </c>
    </row>
    <row collapsed="false" customFormat="false" customHeight="false" hidden="false" ht="14.75" outlineLevel="0" r="2882">
      <c r="A2882" s="1" t="s">
        <v>2076</v>
      </c>
      <c r="B2882" s="1" t="s">
        <v>2068</v>
      </c>
      <c r="C2882" s="1" t="s">
        <v>1087</v>
      </c>
      <c r="D2882" s="1" t="n">
        <v>57</v>
      </c>
      <c r="E2882" s="1" t="n">
        <v>6.11</v>
      </c>
      <c r="F2882" s="1" t="n">
        <f aca="false">2/8</f>
        <v>0.25</v>
      </c>
    </row>
    <row collapsed="false" customFormat="false" customHeight="false" hidden="false" ht="14.75" outlineLevel="0" r="2883">
      <c r="A2883" s="1" t="s">
        <v>348</v>
      </c>
      <c r="B2883" s="1" t="s">
        <v>2077</v>
      </c>
      <c r="C2883" s="1" t="s">
        <v>2040</v>
      </c>
      <c r="D2883" s="1" t="n">
        <v>544.2</v>
      </c>
      <c r="E2883" s="1" t="n">
        <v>23.92</v>
      </c>
      <c r="F2883" s="1" t="n">
        <f aca="false">111/12</f>
        <v>9.25</v>
      </c>
    </row>
    <row collapsed="false" customFormat="false" customHeight="false" hidden="false" ht="14.75" outlineLevel="0" r="2884">
      <c r="A2884" s="1" t="s">
        <v>339</v>
      </c>
      <c r="B2884" s="1" t="s">
        <v>2077</v>
      </c>
      <c r="C2884" s="1" t="s">
        <v>2040</v>
      </c>
      <c r="D2884" s="1" t="n">
        <v>368.8</v>
      </c>
      <c r="E2884" s="1" t="n">
        <v>19.72</v>
      </c>
      <c r="F2884" s="1" t="n">
        <f aca="false">45/12</f>
        <v>3.75</v>
      </c>
    </row>
    <row collapsed="false" customFormat="false" customHeight="false" hidden="false" ht="14.75" outlineLevel="0" r="2885">
      <c r="A2885" s="1" t="s">
        <v>607</v>
      </c>
      <c r="B2885" s="1" t="s">
        <v>2077</v>
      </c>
      <c r="C2885" s="1" t="s">
        <v>2040</v>
      </c>
      <c r="D2885" s="1" t="n">
        <v>349.2</v>
      </c>
      <c r="E2885" s="1" t="n">
        <v>19.82</v>
      </c>
      <c r="F2885" s="1" t="n">
        <f aca="false">42/12</f>
        <v>3.5</v>
      </c>
    </row>
    <row collapsed="false" customFormat="false" customHeight="false" hidden="false" ht="14.75" outlineLevel="0" r="2886">
      <c r="A2886" s="1" t="s">
        <v>2078</v>
      </c>
      <c r="B2886" s="1" t="s">
        <v>2077</v>
      </c>
      <c r="C2886" s="1" t="s">
        <v>2040</v>
      </c>
      <c r="D2886" s="1" t="n">
        <v>296.2</v>
      </c>
      <c r="E2886" s="1" t="n">
        <v>18.68</v>
      </c>
      <c r="F2886" s="1" t="n">
        <f aca="false">31/12</f>
        <v>2.58333333333333</v>
      </c>
    </row>
    <row collapsed="false" customFormat="false" customHeight="false" hidden="false" ht="14.75" outlineLevel="0" r="2887">
      <c r="A2887" s="1" t="s">
        <v>591</v>
      </c>
      <c r="B2887" s="1" t="s">
        <v>2077</v>
      </c>
      <c r="C2887" s="1" t="s">
        <v>2040</v>
      </c>
      <c r="D2887" s="1" t="n">
        <v>306.5</v>
      </c>
      <c r="E2887" s="1" t="n">
        <v>15.78</v>
      </c>
      <c r="F2887" s="1" t="n">
        <v>2.9</v>
      </c>
    </row>
    <row collapsed="false" customFormat="false" customHeight="false" hidden="false" ht="14.75" outlineLevel="0" r="2888">
      <c r="A2888" s="1" t="s">
        <v>391</v>
      </c>
      <c r="B2888" s="1" t="s">
        <v>2077</v>
      </c>
      <c r="C2888" s="1" t="s">
        <v>2040</v>
      </c>
      <c r="D2888" s="1" t="n">
        <v>255</v>
      </c>
      <c r="E2888" s="1" t="n">
        <v>15.64</v>
      </c>
      <c r="F2888" s="1" t="n">
        <v>2.8</v>
      </c>
    </row>
    <row collapsed="false" customFormat="false" customHeight="false" hidden="false" ht="14.75" outlineLevel="0" r="2889">
      <c r="A2889" s="1" t="s">
        <v>340</v>
      </c>
      <c r="B2889" s="1" t="s">
        <v>2077</v>
      </c>
      <c r="C2889" s="1" t="s">
        <v>2040</v>
      </c>
      <c r="D2889" s="1" t="n">
        <v>239</v>
      </c>
      <c r="E2889" s="1" t="n">
        <v>14.79</v>
      </c>
      <c r="F2889" s="1" t="n">
        <v>1.5</v>
      </c>
    </row>
    <row collapsed="false" customFormat="false" customHeight="false" hidden="false" ht="14.75" outlineLevel="0" r="2890">
      <c r="A2890" s="1" t="s">
        <v>349</v>
      </c>
      <c r="B2890" s="1" t="s">
        <v>2077</v>
      </c>
      <c r="C2890" s="1" t="s">
        <v>2040</v>
      </c>
      <c r="D2890" s="1" t="n">
        <v>270</v>
      </c>
      <c r="E2890" s="1" t="n">
        <v>16.5</v>
      </c>
      <c r="F2890" s="1" t="n">
        <v>2.5</v>
      </c>
    </row>
    <row collapsed="false" customFormat="false" customHeight="false" hidden="false" ht="14.75" outlineLevel="0" r="2891">
      <c r="A2891" s="1" t="s">
        <v>2079</v>
      </c>
      <c r="B2891" s="1" t="s">
        <v>2077</v>
      </c>
      <c r="C2891" s="1" t="s">
        <v>2040</v>
      </c>
      <c r="D2891" s="1" t="n">
        <v>246.5</v>
      </c>
      <c r="E2891" s="1" t="n">
        <v>14.26</v>
      </c>
      <c r="F2891" s="1" t="n">
        <v>1.5</v>
      </c>
    </row>
    <row collapsed="false" customFormat="false" customHeight="false" hidden="false" ht="14.75" outlineLevel="0" r="2892">
      <c r="A2892" s="1" t="s">
        <v>589</v>
      </c>
      <c r="B2892" s="1" t="s">
        <v>2077</v>
      </c>
      <c r="C2892" s="1" t="s">
        <v>2040</v>
      </c>
      <c r="D2892" s="1" t="n">
        <v>212</v>
      </c>
      <c r="E2892" s="1" t="n">
        <v>14.02</v>
      </c>
      <c r="F2892" s="1" t="n">
        <v>1.5</v>
      </c>
    </row>
    <row collapsed="false" customFormat="false" customHeight="false" hidden="false" ht="14.75" outlineLevel="0" r="2893">
      <c r="A2893" s="1" t="s">
        <v>392</v>
      </c>
      <c r="B2893" s="1" t="s">
        <v>2077</v>
      </c>
      <c r="C2893" s="1" t="s">
        <v>2040</v>
      </c>
      <c r="D2893" s="1" t="n">
        <v>180.5</v>
      </c>
      <c r="E2893" s="1" t="n">
        <v>12.47</v>
      </c>
      <c r="F2893" s="1" t="n">
        <v>1.2</v>
      </c>
    </row>
    <row collapsed="false" customFormat="false" customHeight="false" hidden="false" ht="14.75" outlineLevel="0" r="2894">
      <c r="A2894" s="1" t="s">
        <v>564</v>
      </c>
      <c r="B2894" s="1" t="s">
        <v>2077</v>
      </c>
      <c r="C2894" s="1" t="s">
        <v>2040</v>
      </c>
      <c r="D2894" s="1" t="n">
        <v>172.5</v>
      </c>
      <c r="E2894" s="1" t="n">
        <v>14.65</v>
      </c>
      <c r="F2894" s="1" t="n">
        <v>1.1</v>
      </c>
    </row>
    <row collapsed="false" customFormat="false" customHeight="false" hidden="false" ht="14.75" outlineLevel="0" r="2895">
      <c r="A2895" s="1" t="s">
        <v>2080</v>
      </c>
      <c r="B2895" s="1" t="s">
        <v>2077</v>
      </c>
      <c r="C2895" s="1" t="s">
        <v>2040</v>
      </c>
      <c r="D2895" s="1" t="n">
        <v>229.5</v>
      </c>
      <c r="E2895" s="1" t="n">
        <v>14.53</v>
      </c>
      <c r="F2895" s="1" t="n">
        <v>0.7</v>
      </c>
    </row>
    <row collapsed="false" customFormat="false" customHeight="false" hidden="false" ht="14.75" outlineLevel="0" r="2896">
      <c r="A2896" s="1" t="s">
        <v>938</v>
      </c>
      <c r="B2896" s="1" t="s">
        <v>2077</v>
      </c>
      <c r="C2896" s="1" t="s">
        <v>2040</v>
      </c>
      <c r="D2896" s="1" t="n">
        <v>170.5</v>
      </c>
      <c r="E2896" s="1" t="n">
        <v>13.01</v>
      </c>
      <c r="F2896" s="1" t="n">
        <v>1</v>
      </c>
    </row>
    <row collapsed="false" customFormat="false" customHeight="false" hidden="false" ht="14.75" outlineLevel="0" r="2897">
      <c r="A2897" s="1" t="s">
        <v>108</v>
      </c>
      <c r="B2897" s="1" t="s">
        <v>2077</v>
      </c>
      <c r="C2897" s="1" t="s">
        <v>2040</v>
      </c>
      <c r="D2897" s="1" t="n">
        <v>145.5</v>
      </c>
      <c r="E2897" s="1" t="n">
        <v>10.72</v>
      </c>
      <c r="F2897" s="1" t="n">
        <v>1.1</v>
      </c>
    </row>
    <row collapsed="false" customFormat="false" customHeight="false" hidden="false" ht="14.75" outlineLevel="0" r="2898">
      <c r="A2898" s="1" t="s">
        <v>2081</v>
      </c>
      <c r="B2898" s="1" t="s">
        <v>2077</v>
      </c>
      <c r="C2898" s="1" t="s">
        <v>2040</v>
      </c>
      <c r="D2898" s="1" t="n">
        <v>186</v>
      </c>
      <c r="E2898" s="1" t="n">
        <v>13.85</v>
      </c>
      <c r="F2898" s="1" t="n">
        <v>1</v>
      </c>
    </row>
    <row collapsed="false" customFormat="false" customHeight="false" hidden="false" ht="14.75" outlineLevel="0" r="2899">
      <c r="A2899" s="1" t="s">
        <v>312</v>
      </c>
      <c r="B2899" s="1" t="s">
        <v>2077</v>
      </c>
      <c r="C2899" s="1" t="s">
        <v>2040</v>
      </c>
      <c r="D2899" s="1" t="n">
        <v>181.5</v>
      </c>
      <c r="E2899" s="1" t="n">
        <v>13.85</v>
      </c>
      <c r="F2899" s="1" t="n">
        <v>0.8</v>
      </c>
    </row>
    <row collapsed="false" customFormat="false" customHeight="false" hidden="false" ht="14.75" outlineLevel="0" r="2900">
      <c r="A2900" s="1" t="s">
        <v>314</v>
      </c>
      <c r="B2900" s="1" t="s">
        <v>2077</v>
      </c>
      <c r="C2900" s="1" t="s">
        <v>2040</v>
      </c>
      <c r="D2900" s="1" t="n">
        <v>149</v>
      </c>
      <c r="E2900" s="1" t="n">
        <v>10.27</v>
      </c>
      <c r="F2900" s="1" t="n">
        <v>1.2</v>
      </c>
    </row>
    <row collapsed="false" customFormat="false" customHeight="false" hidden="false" ht="14.75" outlineLevel="0" r="2901">
      <c r="A2901" s="1" t="s">
        <v>2082</v>
      </c>
      <c r="B2901" s="1" t="s">
        <v>2077</v>
      </c>
      <c r="C2901" s="1" t="s">
        <v>2040</v>
      </c>
      <c r="D2901" s="1" t="n">
        <v>119</v>
      </c>
      <c r="E2901" s="1" t="n">
        <v>12.83</v>
      </c>
      <c r="F2901" s="1" t="n">
        <v>0.4</v>
      </c>
    </row>
    <row collapsed="false" customFormat="false" customHeight="false" hidden="false" ht="14.75" outlineLevel="0" r="2902">
      <c r="A2902" s="1" t="s">
        <v>1937</v>
      </c>
      <c r="B2902" s="1" t="s">
        <v>2077</v>
      </c>
      <c r="C2902" s="1" t="s">
        <v>2040</v>
      </c>
      <c r="D2902" s="1" t="n">
        <v>121</v>
      </c>
      <c r="E2902" s="1" t="n">
        <v>9.38</v>
      </c>
      <c r="F2902" s="1" t="n">
        <v>1.2</v>
      </c>
    </row>
    <row collapsed="false" customFormat="false" customHeight="false" hidden="false" ht="14.75" outlineLevel="0" r="2903">
      <c r="A2903" s="1" t="s">
        <v>350</v>
      </c>
      <c r="B2903" s="1" t="s">
        <v>2077</v>
      </c>
      <c r="C2903" s="1" t="s">
        <v>2040</v>
      </c>
      <c r="D2903" s="1" t="n">
        <v>152.5</v>
      </c>
      <c r="E2903" s="1" t="n">
        <v>11.78</v>
      </c>
      <c r="F2903" s="1" t="n">
        <v>1.2</v>
      </c>
    </row>
    <row collapsed="false" customFormat="false" customHeight="false" hidden="false" ht="14.75" outlineLevel="0" r="2904">
      <c r="A2904" s="1" t="s">
        <v>2083</v>
      </c>
      <c r="B2904" s="1" t="s">
        <v>2077</v>
      </c>
      <c r="C2904" s="1" t="s">
        <v>2040</v>
      </c>
      <c r="D2904" s="1" t="n">
        <v>109.5</v>
      </c>
      <c r="E2904" s="1" t="n">
        <v>8.2</v>
      </c>
      <c r="F2904" s="1" t="n">
        <v>0.9</v>
      </c>
    </row>
    <row collapsed="false" customFormat="false" customHeight="false" hidden="false" ht="14.75" outlineLevel="0" r="2905">
      <c r="A2905" s="1" t="s">
        <v>2084</v>
      </c>
      <c r="B2905" s="1" t="s">
        <v>2077</v>
      </c>
      <c r="C2905" s="1" t="s">
        <v>2040</v>
      </c>
      <c r="D2905" s="1" t="n">
        <v>139</v>
      </c>
      <c r="E2905" s="1" t="n">
        <v>11.52</v>
      </c>
      <c r="F2905" s="1" t="n">
        <v>0.3</v>
      </c>
    </row>
    <row collapsed="false" customFormat="false" customHeight="false" hidden="false" ht="14.75" outlineLevel="0" r="2906">
      <c r="A2906" s="1" t="s">
        <v>2085</v>
      </c>
      <c r="B2906" s="1" t="s">
        <v>2077</v>
      </c>
      <c r="C2906" s="1" t="s">
        <v>2040</v>
      </c>
      <c r="D2906" s="1" t="n">
        <v>150</v>
      </c>
      <c r="E2906" s="1" t="n">
        <v>10.82</v>
      </c>
      <c r="F2906" s="1" t="n">
        <v>1</v>
      </c>
    </row>
    <row collapsed="false" customFormat="false" customHeight="false" hidden="false" ht="14.75" outlineLevel="0" r="2907">
      <c r="A2907" s="1" t="s">
        <v>341</v>
      </c>
      <c r="B2907" s="1" t="s">
        <v>2077</v>
      </c>
      <c r="C2907" s="1" t="s">
        <v>2040</v>
      </c>
      <c r="D2907" s="1" t="n">
        <v>150.5</v>
      </c>
      <c r="E2907" s="1" t="n">
        <v>11.86</v>
      </c>
      <c r="F2907" s="1" t="n">
        <v>1.6</v>
      </c>
    </row>
    <row collapsed="false" customFormat="false" customHeight="false" hidden="false" ht="14.75" outlineLevel="0" r="2908">
      <c r="A2908" s="1" t="s">
        <v>2086</v>
      </c>
      <c r="B2908" s="1" t="s">
        <v>2077</v>
      </c>
      <c r="C2908" s="1" t="s">
        <v>2040</v>
      </c>
      <c r="D2908" s="1" t="n">
        <v>114</v>
      </c>
      <c r="E2908" s="1" t="n">
        <v>10.35</v>
      </c>
      <c r="F2908" s="1" t="n">
        <v>0.5</v>
      </c>
    </row>
    <row collapsed="false" customFormat="false" customHeight="false" hidden="false" ht="14.75" outlineLevel="0" r="2909">
      <c r="A2909" s="1" t="s">
        <v>608</v>
      </c>
      <c r="B2909" s="1" t="s">
        <v>2077</v>
      </c>
      <c r="C2909" s="1" t="s">
        <v>2040</v>
      </c>
      <c r="D2909" s="1" t="n">
        <v>154</v>
      </c>
      <c r="E2909" s="1" t="n">
        <v>12.14</v>
      </c>
      <c r="F2909" s="1" t="n">
        <v>0.8</v>
      </c>
    </row>
    <row collapsed="false" customFormat="false" customHeight="false" hidden="false" ht="14.75" outlineLevel="0" r="2910">
      <c r="A2910" s="1" t="s">
        <v>110</v>
      </c>
      <c r="B2910" s="1" t="s">
        <v>2077</v>
      </c>
      <c r="C2910" s="1" t="s">
        <v>2040</v>
      </c>
      <c r="D2910" s="1" t="n">
        <v>67</v>
      </c>
      <c r="E2910" s="1" t="n">
        <v>8.33</v>
      </c>
      <c r="F2910" s="1" t="n">
        <v>0.6</v>
      </c>
    </row>
    <row collapsed="false" customFormat="false" customHeight="false" hidden="false" ht="14.75" outlineLevel="0" r="2911">
      <c r="A2911" s="1" t="s">
        <v>2087</v>
      </c>
      <c r="B2911" s="1" t="s">
        <v>2077</v>
      </c>
      <c r="C2911" s="1" t="s">
        <v>2040</v>
      </c>
      <c r="D2911" s="1" t="n">
        <v>122</v>
      </c>
      <c r="E2911" s="1" t="n">
        <v>12.04</v>
      </c>
      <c r="F2911" s="1" t="n">
        <v>0.8</v>
      </c>
    </row>
    <row collapsed="false" customFormat="false" customHeight="false" hidden="false" ht="14.75" outlineLevel="0" r="2912">
      <c r="A2912" s="1" t="s">
        <v>2088</v>
      </c>
      <c r="B2912" s="1" t="s">
        <v>2077</v>
      </c>
      <c r="C2912" s="1" t="s">
        <v>2040</v>
      </c>
      <c r="D2912" s="1" t="n">
        <v>119.5</v>
      </c>
      <c r="E2912" s="1" t="n">
        <v>10.68</v>
      </c>
      <c r="F2912" s="1" t="n">
        <v>0</v>
      </c>
    </row>
    <row collapsed="false" customFormat="false" customHeight="false" hidden="false" ht="14.75" outlineLevel="0" r="2913">
      <c r="A2913" s="1" t="s">
        <v>2089</v>
      </c>
      <c r="B2913" s="1" t="s">
        <v>2077</v>
      </c>
      <c r="C2913" s="1" t="s">
        <v>2040</v>
      </c>
      <c r="D2913" s="1" t="n">
        <v>121.5</v>
      </c>
      <c r="E2913" s="1" t="n">
        <v>9.68</v>
      </c>
      <c r="F2913" s="1" t="n">
        <v>0.4</v>
      </c>
    </row>
    <row collapsed="false" customFormat="false" customHeight="false" hidden="false" ht="14.75" outlineLevel="0" r="2914">
      <c r="A2914" s="1" t="s">
        <v>2090</v>
      </c>
      <c r="B2914" s="1" t="s">
        <v>2077</v>
      </c>
      <c r="C2914" s="1" t="s">
        <v>2040</v>
      </c>
      <c r="D2914" s="1" t="n">
        <v>71.5</v>
      </c>
      <c r="E2914" s="1" t="n">
        <v>8.33</v>
      </c>
      <c r="F2914" s="1" t="n">
        <v>1</v>
      </c>
    </row>
    <row collapsed="false" customFormat="false" customHeight="false" hidden="false" ht="14.75" outlineLevel="0" r="2915">
      <c r="A2915" s="1" t="s">
        <v>865</v>
      </c>
      <c r="B2915" s="1" t="s">
        <v>2091</v>
      </c>
      <c r="C2915" s="1" t="s">
        <v>1955</v>
      </c>
      <c r="D2915" s="1" t="n">
        <v>480</v>
      </c>
      <c r="E2915" s="1" t="n">
        <v>22.6</v>
      </c>
      <c r="F2915" s="1" t="n">
        <f aca="false">47/9</f>
        <v>5.22222222222222</v>
      </c>
    </row>
    <row collapsed="false" customFormat="false" customHeight="false" hidden="false" ht="14.75" outlineLevel="0" r="2916">
      <c r="A2916" s="1" t="s">
        <v>28</v>
      </c>
      <c r="B2916" s="1" t="s">
        <v>2091</v>
      </c>
      <c r="C2916" s="1" t="s">
        <v>1955</v>
      </c>
      <c r="D2916" s="1" t="n">
        <v>487.8</v>
      </c>
      <c r="E2916" s="1" t="n">
        <v>23.37</v>
      </c>
      <c r="F2916" s="1" t="n">
        <f aca="false">58/9</f>
        <v>6.44444444444444</v>
      </c>
    </row>
    <row collapsed="false" customFormat="false" customHeight="false" hidden="false" ht="14.75" outlineLevel="0" r="2917">
      <c r="A2917" s="1" t="s">
        <v>812</v>
      </c>
      <c r="B2917" s="1" t="s">
        <v>2091</v>
      </c>
      <c r="C2917" s="1" t="s">
        <v>1955</v>
      </c>
      <c r="D2917" s="1" t="n">
        <v>408.3</v>
      </c>
      <c r="E2917" s="1" t="n">
        <v>20.68</v>
      </c>
      <c r="F2917" s="1" t="n">
        <f aca="false">44/9</f>
        <v>4.88888888888889</v>
      </c>
    </row>
    <row collapsed="false" customFormat="false" customHeight="false" hidden="false" ht="14.75" outlineLevel="0" r="2918">
      <c r="A2918" s="1" t="s">
        <v>626</v>
      </c>
      <c r="B2918" s="1" t="s">
        <v>2091</v>
      </c>
      <c r="C2918" s="1" t="s">
        <v>1955</v>
      </c>
      <c r="D2918" s="1" t="n">
        <v>454.4</v>
      </c>
      <c r="E2918" s="1" t="n">
        <v>24.3</v>
      </c>
      <c r="F2918" s="1" t="n">
        <f aca="false">41/9</f>
        <v>4.55555555555556</v>
      </c>
    </row>
    <row collapsed="false" customFormat="false" customHeight="false" hidden="false" ht="14.75" outlineLevel="0" r="2919">
      <c r="A2919" s="1" t="s">
        <v>2092</v>
      </c>
      <c r="B2919" s="1" t="s">
        <v>2091</v>
      </c>
      <c r="C2919" s="1" t="s">
        <v>1955</v>
      </c>
      <c r="D2919" s="1" t="n">
        <v>245</v>
      </c>
      <c r="E2919" s="1" t="n">
        <v>17.97</v>
      </c>
      <c r="F2919" s="1" t="n">
        <f aca="false">6/9</f>
        <v>0.666666666666667</v>
      </c>
    </row>
    <row collapsed="false" customFormat="false" customHeight="false" hidden="false" ht="14.75" outlineLevel="0" r="2920">
      <c r="A2920" s="1" t="s">
        <v>302</v>
      </c>
      <c r="B2920" s="1" t="s">
        <v>2091</v>
      </c>
      <c r="C2920" s="1" t="s">
        <v>1955</v>
      </c>
      <c r="D2920" s="1" t="n">
        <v>280.6</v>
      </c>
      <c r="E2920" s="1" t="n">
        <v>19.47</v>
      </c>
      <c r="F2920" s="1" t="n">
        <f aca="false">10/9</f>
        <v>1.11111111111111</v>
      </c>
    </row>
    <row collapsed="false" customFormat="false" customHeight="false" hidden="false" ht="14.75" outlineLevel="0" r="2921">
      <c r="A2921" s="1" t="s">
        <v>103</v>
      </c>
      <c r="B2921" s="1" t="s">
        <v>2091</v>
      </c>
      <c r="C2921" s="1" t="s">
        <v>1955</v>
      </c>
      <c r="D2921" s="1" t="n">
        <v>277.5</v>
      </c>
      <c r="E2921" s="1" t="n">
        <v>16.51</v>
      </c>
      <c r="F2921" s="1" t="n">
        <f aca="false">20/9</f>
        <v>2.22222222222222</v>
      </c>
    </row>
    <row collapsed="false" customFormat="false" customHeight="false" hidden="false" ht="14.75" outlineLevel="0" r="2922">
      <c r="A2922" s="1" t="s">
        <v>2093</v>
      </c>
      <c r="B2922" s="1" t="s">
        <v>2091</v>
      </c>
      <c r="C2922" s="1" t="s">
        <v>1955</v>
      </c>
      <c r="D2922" s="1" t="n">
        <v>247.5</v>
      </c>
      <c r="E2922" s="1" t="n">
        <v>16.18</v>
      </c>
      <c r="F2922" s="1" t="n">
        <f aca="false">19/9</f>
        <v>2.11111111111111</v>
      </c>
    </row>
    <row collapsed="false" customFormat="false" customHeight="false" hidden="false" ht="14.75" outlineLevel="0" r="2923">
      <c r="A2923" s="1" t="s">
        <v>2094</v>
      </c>
      <c r="B2923" s="1" t="s">
        <v>2091</v>
      </c>
      <c r="C2923" s="1" t="s">
        <v>1955</v>
      </c>
      <c r="D2923" s="1" t="n">
        <v>243.8</v>
      </c>
      <c r="E2923" s="1" t="n">
        <v>16.04</v>
      </c>
      <c r="F2923" s="1" t="n">
        <f aca="false">14/9</f>
        <v>1.55555555555556</v>
      </c>
    </row>
    <row collapsed="false" customFormat="false" customHeight="false" hidden="false" ht="14.75" outlineLevel="0" r="2924">
      <c r="A2924" s="1" t="s">
        <v>2095</v>
      </c>
      <c r="B2924" s="1" t="s">
        <v>2091</v>
      </c>
      <c r="C2924" s="1" t="s">
        <v>1955</v>
      </c>
      <c r="D2924" s="1" t="n">
        <v>271.7</v>
      </c>
      <c r="E2924" s="1" t="n">
        <v>15.36</v>
      </c>
      <c r="F2924" s="1" t="n">
        <v>2</v>
      </c>
    </row>
    <row collapsed="false" customFormat="false" customHeight="false" hidden="false" ht="14.75" outlineLevel="0" r="2925">
      <c r="A2925" s="1" t="s">
        <v>2096</v>
      </c>
      <c r="B2925" s="1" t="s">
        <v>2091</v>
      </c>
      <c r="C2925" s="1" t="s">
        <v>1955</v>
      </c>
      <c r="D2925" s="1" t="n">
        <v>226.7</v>
      </c>
      <c r="E2925" s="1" t="n">
        <v>15.62</v>
      </c>
      <c r="F2925" s="1" t="n">
        <f aca="false">15/9</f>
        <v>1.66666666666667</v>
      </c>
    </row>
    <row collapsed="false" customFormat="false" customHeight="false" hidden="false" ht="14.75" outlineLevel="0" r="2926">
      <c r="A2926" s="1" t="s">
        <v>2097</v>
      </c>
      <c r="B2926" s="1" t="s">
        <v>2091</v>
      </c>
      <c r="C2926" s="1" t="s">
        <v>1955</v>
      </c>
      <c r="D2926" s="1" t="n">
        <v>238.9</v>
      </c>
      <c r="E2926" s="1" t="n">
        <v>16.54</v>
      </c>
      <c r="F2926" s="1" t="n">
        <f aca="false">21/9</f>
        <v>2.33333333333333</v>
      </c>
    </row>
    <row collapsed="false" customFormat="false" customHeight="false" hidden="false" ht="14.75" outlineLevel="0" r="2927">
      <c r="A2927" s="1" t="s">
        <v>866</v>
      </c>
      <c r="B2927" s="1" t="s">
        <v>2091</v>
      </c>
      <c r="C2927" s="1" t="s">
        <v>1955</v>
      </c>
      <c r="D2927" s="1" t="n">
        <v>212.2</v>
      </c>
      <c r="E2927" s="1" t="n">
        <v>13.54</v>
      </c>
      <c r="F2927" s="1" t="n">
        <f aca="false">12/9</f>
        <v>1.33333333333333</v>
      </c>
    </row>
    <row collapsed="false" customFormat="false" customHeight="false" hidden="false" ht="14.75" outlineLevel="0" r="2928">
      <c r="A2928" s="1" t="s">
        <v>424</v>
      </c>
      <c r="B2928" s="1" t="s">
        <v>2091</v>
      </c>
      <c r="C2928" s="1" t="s">
        <v>1955</v>
      </c>
      <c r="D2928" s="1" t="n">
        <v>191.1</v>
      </c>
      <c r="E2928" s="1" t="n">
        <v>17.2</v>
      </c>
      <c r="F2928" s="1" t="n">
        <f aca="false">9/9</f>
        <v>1</v>
      </c>
    </row>
    <row collapsed="false" customFormat="false" customHeight="false" hidden="false" ht="14.75" outlineLevel="0" r="2929">
      <c r="A2929" s="1" t="s">
        <v>2098</v>
      </c>
      <c r="B2929" s="1" t="s">
        <v>2091</v>
      </c>
      <c r="C2929" s="1" t="s">
        <v>1955</v>
      </c>
      <c r="D2929" s="1" t="n">
        <v>193.8</v>
      </c>
      <c r="E2929" s="1" t="n">
        <v>14.7</v>
      </c>
      <c r="F2929" s="1" t="n">
        <f aca="false">13/9</f>
        <v>1.44444444444444</v>
      </c>
    </row>
    <row collapsed="false" customFormat="false" customHeight="false" hidden="false" ht="14.75" outlineLevel="0" r="2930">
      <c r="A2930" s="1" t="s">
        <v>666</v>
      </c>
      <c r="B2930" s="1" t="s">
        <v>2091</v>
      </c>
      <c r="C2930" s="1" t="s">
        <v>1955</v>
      </c>
      <c r="D2930" s="1" t="n">
        <v>146.2</v>
      </c>
      <c r="E2930" s="1" t="n">
        <v>12.41</v>
      </c>
      <c r="F2930" s="1" t="n">
        <f aca="false">11/9</f>
        <v>1.22222222222222</v>
      </c>
    </row>
    <row collapsed="false" customFormat="false" customHeight="false" hidden="false" ht="14.75" outlineLevel="0" r="2931">
      <c r="A2931" s="1" t="s">
        <v>2099</v>
      </c>
      <c r="B2931" s="1" t="s">
        <v>2091</v>
      </c>
      <c r="C2931" s="1" t="s">
        <v>1955</v>
      </c>
      <c r="D2931" s="1" t="n">
        <v>163.1</v>
      </c>
      <c r="E2931" s="1" t="n">
        <v>15.09</v>
      </c>
      <c r="F2931" s="1" t="n">
        <f aca="false">3/9</f>
        <v>0.333333333333333</v>
      </c>
    </row>
    <row collapsed="false" customFormat="false" customHeight="false" hidden="false" ht="14.75" outlineLevel="0" r="2932">
      <c r="A2932" s="1" t="s">
        <v>2100</v>
      </c>
      <c r="B2932" s="1" t="s">
        <v>2091</v>
      </c>
      <c r="C2932" s="1" t="s">
        <v>1955</v>
      </c>
      <c r="D2932" s="1" t="n">
        <v>138.8</v>
      </c>
      <c r="E2932" s="1" t="n">
        <v>10.36</v>
      </c>
      <c r="F2932" s="1" t="n">
        <f aca="false">9/9</f>
        <v>1</v>
      </c>
    </row>
    <row collapsed="false" customFormat="false" customHeight="false" hidden="false" ht="14.75" outlineLevel="0" r="2933">
      <c r="A2933" s="1" t="s">
        <v>104</v>
      </c>
      <c r="B2933" s="1" t="s">
        <v>2091</v>
      </c>
      <c r="C2933" s="1" t="s">
        <v>1955</v>
      </c>
      <c r="D2933" s="1" t="n">
        <v>128.8</v>
      </c>
      <c r="E2933" s="1" t="n">
        <v>10.6</v>
      </c>
      <c r="F2933" s="1" t="n">
        <f aca="false">4/9</f>
        <v>0.444444444444444</v>
      </c>
    </row>
    <row collapsed="false" customFormat="false" customHeight="false" hidden="false" ht="14.75" outlineLevel="0" r="2934">
      <c r="A2934" s="1" t="s">
        <v>142</v>
      </c>
      <c r="B2934" s="1" t="s">
        <v>2091</v>
      </c>
      <c r="C2934" s="1" t="s">
        <v>1955</v>
      </c>
      <c r="D2934" s="1" t="n">
        <v>115</v>
      </c>
      <c r="E2934" s="1" t="n">
        <v>11.78</v>
      </c>
      <c r="F2934" s="1" t="n">
        <f aca="false">4/9</f>
        <v>0.444444444444444</v>
      </c>
    </row>
    <row collapsed="false" customFormat="false" customHeight="false" hidden="false" ht="14.75" outlineLevel="0" r="2935">
      <c r="A2935" s="1" t="s">
        <v>2101</v>
      </c>
      <c r="B2935" s="1" t="s">
        <v>2091</v>
      </c>
      <c r="C2935" s="1" t="s">
        <v>1955</v>
      </c>
      <c r="D2935" s="1" t="n">
        <v>114</v>
      </c>
      <c r="E2935" s="1" t="n">
        <v>12.31</v>
      </c>
      <c r="F2935" s="1" t="n">
        <f aca="false">5/9</f>
        <v>0.555555555555556</v>
      </c>
    </row>
    <row collapsed="false" customFormat="false" customHeight="false" hidden="false" ht="14.75" outlineLevel="0" r="2936">
      <c r="A2936" s="1" t="s">
        <v>2102</v>
      </c>
      <c r="B2936" s="1" t="s">
        <v>2091</v>
      </c>
      <c r="C2936" s="1" t="s">
        <v>1955</v>
      </c>
      <c r="D2936" s="1" t="n">
        <v>79</v>
      </c>
      <c r="E2936" s="1" t="n">
        <v>12.5</v>
      </c>
      <c r="F2936" s="1" t="n">
        <f aca="false">2/9</f>
        <v>0.222222222222222</v>
      </c>
    </row>
    <row collapsed="false" customFormat="false" customHeight="false" hidden="false" ht="14.75" outlineLevel="0" r="2937">
      <c r="A2937" s="1" t="s">
        <v>2103</v>
      </c>
      <c r="B2937" s="1" t="s">
        <v>2091</v>
      </c>
      <c r="C2937" s="1" t="s">
        <v>1955</v>
      </c>
      <c r="D2937" s="1" t="n">
        <v>64</v>
      </c>
      <c r="E2937" s="1" t="n">
        <v>12.65</v>
      </c>
      <c r="F2937" s="1" t="n">
        <f aca="false">0/9</f>
        <v>0</v>
      </c>
    </row>
    <row collapsed="false" customFormat="false" customHeight="false" hidden="false" ht="14.75" outlineLevel="0" r="2938">
      <c r="A2938" s="1" t="s">
        <v>2104</v>
      </c>
      <c r="B2938" s="1" t="s">
        <v>2091</v>
      </c>
      <c r="C2938" s="1" t="s">
        <v>1955</v>
      </c>
      <c r="D2938" s="1" t="n">
        <v>20</v>
      </c>
      <c r="E2938" s="1" t="n">
        <v>4.55</v>
      </c>
      <c r="F2938" s="1" t="n">
        <f aca="false">1/9</f>
        <v>0.111111111111111</v>
      </c>
    </row>
    <row collapsed="false" customFormat="false" customHeight="false" hidden="false" ht="14.75" outlineLevel="0" r="2939">
      <c r="A2939" s="1" t="s">
        <v>880</v>
      </c>
      <c r="B2939" s="1" t="s">
        <v>2105</v>
      </c>
      <c r="C2939" s="1" t="s">
        <v>1787</v>
      </c>
      <c r="D2939" s="1" t="n">
        <v>438.8</v>
      </c>
      <c r="E2939" s="1" t="n">
        <v>22.38</v>
      </c>
      <c r="F2939" s="1" t="n">
        <f aca="false">52/8</f>
        <v>6.5</v>
      </c>
    </row>
    <row collapsed="false" customFormat="false" customHeight="false" hidden="false" ht="14.75" outlineLevel="0" r="2940">
      <c r="A2940" s="1" t="s">
        <v>218</v>
      </c>
      <c r="B2940" s="1" t="s">
        <v>2105</v>
      </c>
      <c r="C2940" s="1" t="s">
        <v>1787</v>
      </c>
      <c r="D2940" s="1" t="n">
        <v>441.2</v>
      </c>
      <c r="E2940" s="1" t="n">
        <v>20.27</v>
      </c>
      <c r="F2940" s="1" t="n">
        <f aca="false">42/8</f>
        <v>5.25</v>
      </c>
    </row>
    <row collapsed="false" customFormat="false" customHeight="false" hidden="false" ht="14.75" outlineLevel="0" r="2941">
      <c r="A2941" s="1" t="s">
        <v>2106</v>
      </c>
      <c r="B2941" s="1" t="s">
        <v>2105</v>
      </c>
      <c r="C2941" s="1" t="s">
        <v>1787</v>
      </c>
      <c r="D2941" s="1" t="n">
        <v>228.6</v>
      </c>
      <c r="E2941" s="1" t="n">
        <v>15.55</v>
      </c>
      <c r="F2941" s="1" t="n">
        <f aca="false">15/7</f>
        <v>2.14285714285714</v>
      </c>
    </row>
    <row collapsed="false" customFormat="false" customHeight="false" hidden="false" ht="14.75" outlineLevel="0" r="2942">
      <c r="A2942" s="1" t="s">
        <v>902</v>
      </c>
      <c r="B2942" s="1" t="s">
        <v>2105</v>
      </c>
      <c r="C2942" s="1" t="s">
        <v>1787</v>
      </c>
      <c r="D2942" s="1" t="n">
        <v>363.6</v>
      </c>
      <c r="E2942" s="1" t="n">
        <v>18.56</v>
      </c>
      <c r="F2942" s="1" t="n">
        <f aca="false">21/7</f>
        <v>3</v>
      </c>
    </row>
    <row collapsed="false" customFormat="false" customHeight="false" hidden="false" ht="14.75" outlineLevel="0" r="2943">
      <c r="A2943" s="1" t="s">
        <v>219</v>
      </c>
      <c r="B2943" s="1" t="s">
        <v>2105</v>
      </c>
      <c r="C2943" s="1" t="s">
        <v>1787</v>
      </c>
      <c r="D2943" s="1" t="n">
        <v>320.8</v>
      </c>
      <c r="E2943" s="1" t="n">
        <v>17.25</v>
      </c>
      <c r="F2943" s="1" t="n">
        <f aca="false">12/6</f>
        <v>2</v>
      </c>
    </row>
    <row collapsed="false" customFormat="false" customHeight="false" hidden="false" ht="14.75" outlineLevel="0" r="2944">
      <c r="A2944" s="1" t="s">
        <v>1722</v>
      </c>
      <c r="B2944" s="1" t="s">
        <v>2105</v>
      </c>
      <c r="C2944" s="1" t="s">
        <v>1787</v>
      </c>
      <c r="D2944" s="1" t="n">
        <v>269.2</v>
      </c>
      <c r="E2944" s="1" t="n">
        <v>14.03</v>
      </c>
      <c r="F2944" s="1" t="n">
        <f aca="false">7/6</f>
        <v>1.16666666666667</v>
      </c>
    </row>
    <row collapsed="false" customFormat="false" customHeight="false" hidden="false" ht="14.75" outlineLevel="0" r="2945">
      <c r="A2945" s="1" t="s">
        <v>930</v>
      </c>
      <c r="B2945" s="1" t="s">
        <v>2105</v>
      </c>
      <c r="C2945" s="1" t="s">
        <v>1787</v>
      </c>
      <c r="D2945" s="1" t="n">
        <v>326.7</v>
      </c>
      <c r="E2945" s="1" t="n">
        <v>16.94</v>
      </c>
      <c r="F2945" s="1" t="n">
        <f aca="false">12/6</f>
        <v>2</v>
      </c>
    </row>
    <row collapsed="false" customFormat="false" customHeight="false" hidden="false" ht="14.75" outlineLevel="0" r="2946">
      <c r="A2946" s="1" t="s">
        <v>931</v>
      </c>
      <c r="B2946" s="1" t="s">
        <v>2105</v>
      </c>
      <c r="C2946" s="1" t="s">
        <v>1787</v>
      </c>
      <c r="D2946" s="1" t="n">
        <v>155</v>
      </c>
      <c r="E2946" s="1" t="n">
        <v>12.62</v>
      </c>
      <c r="F2946" s="1" t="n">
        <f aca="false">7/6</f>
        <v>1.16666666666667</v>
      </c>
    </row>
    <row collapsed="false" customFormat="false" customHeight="false" hidden="false" ht="14.75" outlineLevel="0" r="2947">
      <c r="A2947" s="1" t="s">
        <v>903</v>
      </c>
      <c r="B2947" s="1" t="s">
        <v>2105</v>
      </c>
      <c r="C2947" s="1" t="s">
        <v>1787</v>
      </c>
      <c r="D2947" s="1" t="n">
        <v>283</v>
      </c>
      <c r="E2947" s="1" t="n">
        <v>19.69</v>
      </c>
      <c r="F2947" s="1" t="n">
        <f aca="false">5/5</f>
        <v>1</v>
      </c>
    </row>
    <row collapsed="false" customFormat="false" customHeight="false" hidden="false" ht="14.75" outlineLevel="0" r="2948">
      <c r="A2948" s="1" t="s">
        <v>2107</v>
      </c>
      <c r="B2948" s="1" t="s">
        <v>2105</v>
      </c>
      <c r="C2948" s="1" t="s">
        <v>1787</v>
      </c>
      <c r="D2948" s="1" t="n">
        <v>216</v>
      </c>
      <c r="E2948" s="1" t="n">
        <v>13.7</v>
      </c>
      <c r="F2948" s="1" t="n">
        <f aca="false">4/5</f>
        <v>0.8</v>
      </c>
    </row>
    <row collapsed="false" customFormat="false" customHeight="false" hidden="false" ht="14.75" outlineLevel="0" r="2949">
      <c r="A2949" s="1" t="s">
        <v>2108</v>
      </c>
      <c r="B2949" s="1" t="s">
        <v>2105</v>
      </c>
      <c r="C2949" s="1" t="s">
        <v>1787</v>
      </c>
      <c r="D2949" s="1" t="n">
        <v>204</v>
      </c>
      <c r="E2949" s="1" t="n">
        <v>13.84</v>
      </c>
      <c r="F2949" s="1" t="n">
        <v>2</v>
      </c>
    </row>
    <row collapsed="false" customFormat="false" customHeight="false" hidden="false" ht="14.75" outlineLevel="0" r="2950">
      <c r="A2950" s="1" t="s">
        <v>2109</v>
      </c>
      <c r="B2950" s="1" t="s">
        <v>2105</v>
      </c>
      <c r="C2950" s="1" t="s">
        <v>1787</v>
      </c>
      <c r="D2950" s="1" t="n">
        <v>181</v>
      </c>
      <c r="E2950" s="1" t="n">
        <v>12.56</v>
      </c>
      <c r="F2950" s="1" t="n">
        <v>1.2</v>
      </c>
    </row>
    <row collapsed="false" customFormat="false" customHeight="false" hidden="false" ht="14.75" outlineLevel="0" r="2951">
      <c r="A2951" s="1" t="s">
        <v>308</v>
      </c>
      <c r="B2951" s="1" t="s">
        <v>2105</v>
      </c>
      <c r="C2951" s="1" t="s">
        <v>1787</v>
      </c>
      <c r="D2951" s="1" t="n">
        <v>172</v>
      </c>
      <c r="E2951" s="1" t="n">
        <v>12.16</v>
      </c>
      <c r="F2951" s="1" t="n">
        <v>2</v>
      </c>
    </row>
    <row collapsed="false" customFormat="false" customHeight="false" hidden="false" ht="14.75" outlineLevel="0" r="2952">
      <c r="A2952" s="1" t="s">
        <v>1723</v>
      </c>
      <c r="B2952" s="1" t="s">
        <v>2105</v>
      </c>
      <c r="C2952" s="1" t="s">
        <v>1787</v>
      </c>
      <c r="D2952" s="1" t="n">
        <v>116</v>
      </c>
      <c r="E2952" s="1" t="n">
        <v>9.38</v>
      </c>
      <c r="F2952" s="1" t="n">
        <v>1</v>
      </c>
    </row>
    <row collapsed="false" customFormat="false" customHeight="false" hidden="false" ht="14.75" outlineLevel="0" r="2953">
      <c r="A2953" s="1" t="s">
        <v>2110</v>
      </c>
      <c r="B2953" s="1" t="s">
        <v>2105</v>
      </c>
      <c r="C2953" s="1" t="s">
        <v>1787</v>
      </c>
      <c r="D2953" s="1" t="n">
        <v>208</v>
      </c>
      <c r="E2953" s="1" t="n">
        <v>16.41</v>
      </c>
      <c r="F2953" s="1" t="n">
        <v>1.8</v>
      </c>
    </row>
    <row collapsed="false" customFormat="false" customHeight="false" hidden="false" ht="14.75" outlineLevel="0" r="2954">
      <c r="A2954" s="1" t="s">
        <v>2111</v>
      </c>
      <c r="B2954" s="1" t="s">
        <v>2105</v>
      </c>
      <c r="C2954" s="1" t="s">
        <v>1787</v>
      </c>
      <c r="D2954" s="1" t="n">
        <v>154</v>
      </c>
      <c r="E2954" s="1" t="n">
        <v>9.47</v>
      </c>
      <c r="F2954" s="1" t="n">
        <v>2</v>
      </c>
    </row>
    <row collapsed="false" customFormat="false" customHeight="false" hidden="false" ht="14.75" outlineLevel="0" r="2955">
      <c r="A2955" s="1" t="s">
        <v>2112</v>
      </c>
      <c r="B2955" s="1" t="s">
        <v>2105</v>
      </c>
      <c r="C2955" s="1" t="s">
        <v>1787</v>
      </c>
      <c r="D2955" s="1" t="n">
        <v>113</v>
      </c>
      <c r="E2955" s="1" t="n">
        <v>11.92</v>
      </c>
      <c r="F2955" s="1" t="n">
        <v>0.8</v>
      </c>
    </row>
    <row collapsed="false" customFormat="false" customHeight="false" hidden="false" ht="14.75" outlineLevel="0" r="2956">
      <c r="A2956" s="1" t="s">
        <v>2113</v>
      </c>
      <c r="B2956" s="1" t="s">
        <v>2105</v>
      </c>
      <c r="C2956" s="1" t="s">
        <v>1787</v>
      </c>
      <c r="D2956" s="1" t="n">
        <v>112</v>
      </c>
      <c r="E2956" s="1" t="n">
        <v>8.97</v>
      </c>
      <c r="F2956" s="1" t="n">
        <v>0.6</v>
      </c>
    </row>
    <row collapsed="false" customFormat="false" customHeight="false" hidden="false" ht="14.75" outlineLevel="0" r="2957">
      <c r="A2957" s="1" t="s">
        <v>842</v>
      </c>
      <c r="B2957" s="1" t="s">
        <v>2105</v>
      </c>
      <c r="C2957" s="1" t="s">
        <v>1787</v>
      </c>
      <c r="D2957" s="1" t="n">
        <v>98</v>
      </c>
      <c r="E2957" s="1" t="n">
        <v>11.74</v>
      </c>
      <c r="F2957" s="1" t="n">
        <v>0.2</v>
      </c>
    </row>
    <row collapsed="false" customFormat="false" customHeight="false" hidden="false" ht="14.75" outlineLevel="0" r="2958">
      <c r="A2958" s="1" t="s">
        <v>2114</v>
      </c>
      <c r="B2958" s="1" t="s">
        <v>2105</v>
      </c>
      <c r="C2958" s="1" t="s">
        <v>1787</v>
      </c>
      <c r="D2958" s="1" t="n">
        <v>82</v>
      </c>
      <c r="E2958" s="1" t="n">
        <v>9.76</v>
      </c>
      <c r="F2958" s="1" t="n">
        <v>0.4</v>
      </c>
    </row>
    <row collapsed="false" customFormat="false" customHeight="false" hidden="false" ht="14.75" outlineLevel="0" r="2959">
      <c r="A2959" s="1" t="s">
        <v>2115</v>
      </c>
      <c r="B2959" s="1" t="s">
        <v>2105</v>
      </c>
      <c r="C2959" s="1" t="s">
        <v>1787</v>
      </c>
      <c r="D2959" s="1" t="n">
        <v>112</v>
      </c>
      <c r="E2959" s="1" t="n">
        <v>12.31</v>
      </c>
      <c r="F2959" s="1" t="n">
        <v>0.6</v>
      </c>
    </row>
    <row collapsed="false" customFormat="false" customHeight="false" hidden="false" ht="14.75" outlineLevel="0" r="2960">
      <c r="A2960" s="1" t="s">
        <v>2116</v>
      </c>
      <c r="B2960" s="1" t="s">
        <v>2105</v>
      </c>
      <c r="C2960" s="1" t="s">
        <v>1787</v>
      </c>
      <c r="D2960" s="1" t="n">
        <v>64</v>
      </c>
      <c r="E2960" s="1" t="n">
        <v>7.78</v>
      </c>
      <c r="F2960" s="1" t="n">
        <v>0.4</v>
      </c>
    </row>
    <row collapsed="false" customFormat="false" customHeight="false" hidden="false" ht="14.75" outlineLevel="0" r="2961">
      <c r="A2961" s="1" t="s">
        <v>2117</v>
      </c>
      <c r="B2961" s="1" t="s">
        <v>2105</v>
      </c>
      <c r="C2961" s="1" t="s">
        <v>1787</v>
      </c>
      <c r="D2961" s="1" t="n">
        <v>59</v>
      </c>
      <c r="E2961" s="1" t="n">
        <v>6.67</v>
      </c>
      <c r="F2961" s="1" t="n">
        <v>0.2</v>
      </c>
    </row>
    <row collapsed="false" customFormat="false" customHeight="false" hidden="false" ht="14.75" outlineLevel="0" r="2962">
      <c r="A2962" s="1" t="s">
        <v>1724</v>
      </c>
      <c r="B2962" s="1" t="s">
        <v>2105</v>
      </c>
      <c r="C2962" s="1" t="s">
        <v>1787</v>
      </c>
      <c r="D2962" s="1" t="n">
        <v>51</v>
      </c>
      <c r="E2962" s="1" t="n">
        <v>7.5</v>
      </c>
      <c r="F2962" s="1" t="n">
        <v>0.4</v>
      </c>
    </row>
    <row collapsed="false" customFormat="false" customHeight="false" hidden="false" ht="14.75" outlineLevel="0" r="2963">
      <c r="A2963" s="1" t="s">
        <v>1140</v>
      </c>
      <c r="B2963" s="1" t="s">
        <v>2105</v>
      </c>
      <c r="C2963" s="1" t="s">
        <v>1787</v>
      </c>
      <c r="D2963" s="1" t="n">
        <v>34</v>
      </c>
      <c r="E2963" s="1" t="n">
        <v>2.14</v>
      </c>
      <c r="F2963" s="1" t="n">
        <v>0.2</v>
      </c>
    </row>
    <row collapsed="false" customFormat="false" customHeight="false" hidden="false" ht="14.75" outlineLevel="0" r="2964">
      <c r="A2964" s="1" t="s">
        <v>2118</v>
      </c>
      <c r="B2964" s="1" t="s">
        <v>2105</v>
      </c>
      <c r="C2964" s="1" t="s">
        <v>1787</v>
      </c>
      <c r="D2964" s="1" t="n">
        <v>22</v>
      </c>
      <c r="E2964" s="1" t="n">
        <v>3.75</v>
      </c>
      <c r="F2964" s="1" t="n">
        <v>0</v>
      </c>
    </row>
    <row collapsed="false" customFormat="false" customHeight="false" hidden="false" ht="14.75" outlineLevel="0" r="2965">
      <c r="A2965" s="1" t="s">
        <v>1357</v>
      </c>
      <c r="B2965" s="1" t="s">
        <v>2119</v>
      </c>
      <c r="C2965" s="1" t="s">
        <v>2040</v>
      </c>
      <c r="D2965" s="1" t="n">
        <v>274</v>
      </c>
      <c r="E2965" s="1" t="n">
        <v>14.36</v>
      </c>
      <c r="F2965" s="1" t="n">
        <v>1.3</v>
      </c>
    </row>
    <row collapsed="false" customFormat="false" customHeight="false" hidden="false" ht="14.75" outlineLevel="0" r="2966">
      <c r="A2966" s="1" t="s">
        <v>916</v>
      </c>
      <c r="B2966" s="1" t="s">
        <v>2119</v>
      </c>
      <c r="C2966" s="1" t="s">
        <v>2040</v>
      </c>
      <c r="D2966" s="1" t="n">
        <v>244</v>
      </c>
      <c r="E2966" s="1" t="n">
        <v>14</v>
      </c>
      <c r="F2966" s="1" t="n">
        <v>1.5</v>
      </c>
    </row>
    <row collapsed="false" customFormat="false" customHeight="false" hidden="false" ht="14.75" outlineLevel="0" r="2967">
      <c r="A2967" s="1" t="s">
        <v>2120</v>
      </c>
      <c r="B2967" s="1" t="s">
        <v>2119</v>
      </c>
      <c r="C2967" s="1" t="s">
        <v>2040</v>
      </c>
      <c r="D2967" s="1" t="n">
        <v>191.1</v>
      </c>
      <c r="E2967" s="1" t="n">
        <v>13.31</v>
      </c>
      <c r="F2967" s="1" t="n">
        <f aca="false">8/9</f>
        <v>0.888888888888889</v>
      </c>
    </row>
    <row collapsed="false" customFormat="false" customHeight="false" hidden="false" ht="14.75" outlineLevel="0" r="2968">
      <c r="A2968" s="1" t="s">
        <v>856</v>
      </c>
      <c r="B2968" s="1" t="s">
        <v>2119</v>
      </c>
      <c r="C2968" s="1" t="s">
        <v>2040</v>
      </c>
      <c r="D2968" s="1" t="n">
        <v>294.4</v>
      </c>
      <c r="E2968" s="1" t="n">
        <v>15.98</v>
      </c>
      <c r="F2968" s="1" t="n">
        <f aca="false">16/9</f>
        <v>1.77777777777778</v>
      </c>
    </row>
    <row collapsed="false" customFormat="false" customHeight="false" hidden="false" ht="14.75" outlineLevel="0" r="2969">
      <c r="A2969" s="1" t="s">
        <v>2121</v>
      </c>
      <c r="B2969" s="1" t="s">
        <v>2119</v>
      </c>
      <c r="C2969" s="1" t="s">
        <v>2040</v>
      </c>
      <c r="D2969" s="1" t="n">
        <v>170.6</v>
      </c>
      <c r="E2969" s="1" t="n">
        <v>13.67</v>
      </c>
      <c r="F2969" s="1" t="n">
        <f aca="false">2/8</f>
        <v>0.25</v>
      </c>
    </row>
    <row collapsed="false" customFormat="false" customHeight="false" hidden="false" ht="14.75" outlineLevel="0" r="2970">
      <c r="A2970" s="1" t="s">
        <v>1160</v>
      </c>
      <c r="B2970" s="1" t="s">
        <v>2119</v>
      </c>
      <c r="C2970" s="1" t="s">
        <v>2040</v>
      </c>
      <c r="D2970" s="1" t="n">
        <v>138.8</v>
      </c>
      <c r="E2970" s="1" t="n">
        <v>12.2</v>
      </c>
      <c r="F2970" s="1" t="n">
        <f aca="false">6/8</f>
        <v>0.75</v>
      </c>
    </row>
    <row collapsed="false" customFormat="false" customHeight="false" hidden="false" ht="14.75" outlineLevel="0" r="2971">
      <c r="A2971" s="1" t="s">
        <v>1069</v>
      </c>
      <c r="B2971" s="1" t="s">
        <v>2119</v>
      </c>
      <c r="C2971" s="1" t="s">
        <v>2040</v>
      </c>
      <c r="D2971" s="1" t="n">
        <v>205.6</v>
      </c>
      <c r="E2971" s="1" t="n">
        <v>12.11</v>
      </c>
      <c r="F2971" s="1" t="n">
        <f aca="false">4/8</f>
        <v>0.5</v>
      </c>
    </row>
    <row collapsed="false" customFormat="false" customHeight="false" hidden="false" ht="14.75" outlineLevel="0" r="2972">
      <c r="A2972" s="1" t="s">
        <v>1358</v>
      </c>
      <c r="B2972" s="1" t="s">
        <v>2119</v>
      </c>
      <c r="C2972" s="1" t="s">
        <v>2040</v>
      </c>
      <c r="D2972" s="1" t="n">
        <v>142.5</v>
      </c>
      <c r="E2972" s="1" t="n">
        <v>10.91</v>
      </c>
      <c r="F2972" s="1" t="n">
        <v>1</v>
      </c>
    </row>
    <row collapsed="false" customFormat="false" customHeight="false" hidden="false" ht="14.75" outlineLevel="0" r="2973">
      <c r="A2973" s="1" t="s">
        <v>2122</v>
      </c>
      <c r="B2973" s="1" t="s">
        <v>2119</v>
      </c>
      <c r="C2973" s="1" t="s">
        <v>2040</v>
      </c>
      <c r="D2973" s="1" t="n">
        <v>67.9</v>
      </c>
      <c r="E2973" s="1" t="n">
        <v>8.15</v>
      </c>
      <c r="F2973" s="1" t="n">
        <f aca="false">3/7</f>
        <v>0.428571428571429</v>
      </c>
    </row>
    <row collapsed="false" customFormat="false" customHeight="false" hidden="false" ht="14.75" outlineLevel="0" r="2974">
      <c r="A2974" s="1" t="s">
        <v>2123</v>
      </c>
      <c r="B2974" s="1" t="s">
        <v>2119</v>
      </c>
      <c r="C2974" s="1" t="s">
        <v>2040</v>
      </c>
      <c r="D2974" s="1" t="n">
        <v>32.2</v>
      </c>
      <c r="E2974" s="1" t="n">
        <v>7.14</v>
      </c>
      <c r="F2974" s="1" t="n">
        <f aca="false">2/7</f>
        <v>0.285714285714286</v>
      </c>
    </row>
    <row collapsed="false" customFormat="false" customHeight="false" hidden="false" ht="14.75" outlineLevel="0" r="2975">
      <c r="A2975" s="1" t="s">
        <v>857</v>
      </c>
      <c r="B2975" s="1" t="s">
        <v>2119</v>
      </c>
      <c r="C2975" s="1" t="s">
        <v>2040</v>
      </c>
      <c r="D2975" s="1" t="n">
        <v>97.9</v>
      </c>
      <c r="E2975" s="1" t="n">
        <v>7.84</v>
      </c>
      <c r="F2975" s="1" t="n">
        <f aca="false">9/7</f>
        <v>1.28571428571429</v>
      </c>
    </row>
    <row collapsed="false" customFormat="false" customHeight="false" hidden="false" ht="14.75" outlineLevel="0" r="2976">
      <c r="A2976" s="1" t="s">
        <v>881</v>
      </c>
      <c r="B2976" s="1" t="s">
        <v>2119</v>
      </c>
      <c r="C2976" s="1" t="s">
        <v>2040</v>
      </c>
      <c r="D2976" s="1" t="n">
        <v>125</v>
      </c>
      <c r="E2976" s="1" t="n">
        <v>10</v>
      </c>
      <c r="F2976" s="1" t="n">
        <f aca="false">12/7</f>
        <v>1.71428571428571</v>
      </c>
    </row>
    <row collapsed="false" customFormat="false" customHeight="false" hidden="false" ht="14.75" outlineLevel="0" r="2977">
      <c r="A2977" s="1" t="s">
        <v>2124</v>
      </c>
      <c r="B2977" s="1" t="s">
        <v>2119</v>
      </c>
      <c r="C2977" s="1" t="s">
        <v>2040</v>
      </c>
      <c r="D2977" s="1" t="n">
        <v>155.2</v>
      </c>
      <c r="E2977" s="1" t="n">
        <v>11.04</v>
      </c>
      <c r="F2977" s="1" t="n">
        <f aca="false">4/7</f>
        <v>0.571428571428571</v>
      </c>
    </row>
    <row collapsed="false" customFormat="false" customHeight="false" hidden="false" ht="14.75" outlineLevel="0" r="2978">
      <c r="A2978" s="1" t="s">
        <v>1057</v>
      </c>
      <c r="B2978" s="1" t="s">
        <v>2119</v>
      </c>
      <c r="C2978" s="1" t="s">
        <v>2040</v>
      </c>
      <c r="D2978" s="1" t="n">
        <v>69.2</v>
      </c>
      <c r="E2978" s="1" t="n">
        <v>8.52</v>
      </c>
      <c r="F2978" s="1" t="n">
        <f aca="false">2/7</f>
        <v>0.285714285714286</v>
      </c>
    </row>
    <row collapsed="false" customFormat="false" customHeight="false" hidden="false" ht="14.75" outlineLevel="0" r="2979">
      <c r="A2979" s="1" t="s">
        <v>1861</v>
      </c>
      <c r="B2979" s="1" t="s">
        <v>2119</v>
      </c>
      <c r="C2979" s="1" t="s">
        <v>2040</v>
      </c>
      <c r="D2979" s="1" t="n">
        <v>128.7</v>
      </c>
      <c r="E2979" s="1" t="n">
        <v>8</v>
      </c>
      <c r="F2979" s="1" t="n">
        <f aca="false">4/7</f>
        <v>0.571428571428571</v>
      </c>
    </row>
    <row collapsed="false" customFormat="false" customHeight="false" hidden="false" ht="14.75" outlineLevel="0" r="2980">
      <c r="A2980" s="1" t="s">
        <v>2125</v>
      </c>
      <c r="B2980" s="1" t="s">
        <v>2119</v>
      </c>
      <c r="C2980" s="1" t="s">
        <v>2040</v>
      </c>
      <c r="D2980" s="1" t="n">
        <v>117.1</v>
      </c>
      <c r="E2980" s="1" t="n">
        <v>12.16</v>
      </c>
      <c r="F2980" s="1" t="n">
        <f aca="false">4/7</f>
        <v>0.571428571428571</v>
      </c>
    </row>
    <row collapsed="false" customFormat="false" customHeight="false" hidden="false" ht="14.75" outlineLevel="0" r="2981">
      <c r="A2981" s="1" t="s">
        <v>535</v>
      </c>
      <c r="B2981" s="1" t="s">
        <v>2126</v>
      </c>
      <c r="C2981" s="1" t="s">
        <v>1787</v>
      </c>
      <c r="D2981" s="1" t="n">
        <v>489.2</v>
      </c>
      <c r="E2981" s="1" t="n">
        <v>24.86</v>
      </c>
      <c r="F2981" s="1" t="n">
        <f aca="false">83/13</f>
        <v>6.38461538461539</v>
      </c>
    </row>
    <row collapsed="false" customFormat="false" customHeight="false" hidden="false" ht="14.75" outlineLevel="0" r="2982">
      <c r="A2982" s="1" t="s">
        <v>2127</v>
      </c>
      <c r="B2982" s="1" t="s">
        <v>2126</v>
      </c>
      <c r="C2982" s="1" t="s">
        <v>1787</v>
      </c>
      <c r="D2982" s="1" t="n">
        <v>345.3</v>
      </c>
      <c r="E2982" s="1" t="n">
        <v>21.17</v>
      </c>
      <c r="F2982" s="1" t="n">
        <f aca="false">55/11</f>
        <v>5</v>
      </c>
    </row>
    <row collapsed="false" customFormat="false" customHeight="false" hidden="false" ht="14.75" outlineLevel="0" r="2983">
      <c r="A2983" s="1" t="s">
        <v>26</v>
      </c>
      <c r="B2983" s="1" t="s">
        <v>2126</v>
      </c>
      <c r="C2983" s="1" t="s">
        <v>1787</v>
      </c>
      <c r="D2983" s="1" t="n">
        <v>423.8</v>
      </c>
      <c r="E2983" s="1" t="n">
        <v>22.57</v>
      </c>
      <c r="F2983" s="1" t="n">
        <f aca="false">68/11</f>
        <v>6.18181818181818</v>
      </c>
    </row>
    <row collapsed="false" customFormat="false" customHeight="false" hidden="false" ht="14.75" outlineLevel="0" r="2984">
      <c r="A2984" s="1" t="s">
        <v>2128</v>
      </c>
      <c r="B2984" s="1" t="s">
        <v>2126</v>
      </c>
      <c r="C2984" s="1" t="s">
        <v>1787</v>
      </c>
      <c r="D2984" s="1" t="n">
        <v>216.5</v>
      </c>
      <c r="E2984" s="1" t="n">
        <v>17.8</v>
      </c>
      <c r="F2984" s="1" t="n">
        <v>2.6</v>
      </c>
    </row>
    <row collapsed="false" customFormat="false" customHeight="false" hidden="false" ht="14.75" outlineLevel="0" r="2985">
      <c r="A2985" s="1" t="s">
        <v>613</v>
      </c>
      <c r="B2985" s="1" t="s">
        <v>2126</v>
      </c>
      <c r="C2985" s="1" t="s">
        <v>1787</v>
      </c>
      <c r="D2985" s="1" t="n">
        <v>415</v>
      </c>
      <c r="E2985" s="1" t="n">
        <v>23.5</v>
      </c>
      <c r="F2985" s="1" t="n">
        <v>4.2</v>
      </c>
    </row>
    <row collapsed="false" customFormat="false" customHeight="false" hidden="false" ht="14.75" outlineLevel="0" r="2986">
      <c r="A2986" s="1" t="s">
        <v>1760</v>
      </c>
      <c r="B2986" s="1" t="s">
        <v>2126</v>
      </c>
      <c r="C2986" s="1" t="s">
        <v>1787</v>
      </c>
      <c r="D2986" s="1" t="n">
        <v>257.8</v>
      </c>
      <c r="E2986" s="1" t="n">
        <v>17.2</v>
      </c>
      <c r="F2986" s="1" t="n">
        <f aca="false">27/9</f>
        <v>3</v>
      </c>
    </row>
    <row collapsed="false" customFormat="false" customHeight="false" hidden="false" ht="14.75" outlineLevel="0" r="2987">
      <c r="A2987" s="1" t="s">
        <v>614</v>
      </c>
      <c r="B2987" s="1" t="s">
        <v>2126</v>
      </c>
      <c r="C2987" s="1" t="s">
        <v>1787</v>
      </c>
      <c r="D2987" s="1" t="n">
        <v>305.6</v>
      </c>
      <c r="E2987" s="1" t="n">
        <v>17.55</v>
      </c>
      <c r="F2987" s="1" t="n">
        <f aca="false">16/9</f>
        <v>1.77777777777778</v>
      </c>
    </row>
    <row collapsed="false" customFormat="false" customHeight="false" hidden="false" ht="14.75" outlineLevel="0" r="2988">
      <c r="A2988" s="1" t="s">
        <v>2129</v>
      </c>
      <c r="B2988" s="1" t="s">
        <v>2126</v>
      </c>
      <c r="C2988" s="1" t="s">
        <v>1787</v>
      </c>
      <c r="D2988" s="1" t="n">
        <v>244.2</v>
      </c>
      <c r="E2988" s="1" t="n">
        <v>17.85</v>
      </c>
      <c r="F2988" s="1" t="n">
        <f aca="false">19/9</f>
        <v>2.11111111111111</v>
      </c>
    </row>
    <row collapsed="false" customFormat="false" customHeight="false" hidden="false" ht="14.75" outlineLevel="0" r="2989">
      <c r="A2989" s="1" t="s">
        <v>536</v>
      </c>
      <c r="B2989" s="1" t="s">
        <v>2126</v>
      </c>
      <c r="C2989" s="1" t="s">
        <v>1787</v>
      </c>
      <c r="D2989" s="1" t="n">
        <v>343.8</v>
      </c>
      <c r="E2989" s="1" t="n">
        <v>18.6</v>
      </c>
      <c r="F2989" s="1" t="n">
        <f aca="false">26/8</f>
        <v>3.25</v>
      </c>
    </row>
    <row collapsed="false" customFormat="false" customHeight="false" hidden="false" ht="14.75" outlineLevel="0" r="2990">
      <c r="A2990" s="1" t="s">
        <v>2130</v>
      </c>
      <c r="B2990" s="1" t="s">
        <v>2126</v>
      </c>
      <c r="C2990" s="1" t="s">
        <v>1787</v>
      </c>
      <c r="D2990" s="1" t="n">
        <v>267.1</v>
      </c>
      <c r="E2990" s="1" t="n">
        <v>15</v>
      </c>
      <c r="F2990" s="1" t="n">
        <f aca="false">13/8</f>
        <v>1.625</v>
      </c>
    </row>
    <row collapsed="false" customFormat="false" customHeight="false" hidden="false" ht="14.75" outlineLevel="0" r="2991">
      <c r="A2991" s="1" t="s">
        <v>2131</v>
      </c>
      <c r="B2991" s="1" t="s">
        <v>2126</v>
      </c>
      <c r="C2991" s="1" t="s">
        <v>1787</v>
      </c>
      <c r="D2991" s="1" t="n">
        <v>205</v>
      </c>
      <c r="E2991" s="1" t="n">
        <v>15.56</v>
      </c>
      <c r="F2991" s="1" t="n">
        <f aca="false">17/8</f>
        <v>2.125</v>
      </c>
    </row>
    <row collapsed="false" customFormat="false" customHeight="false" hidden="false" ht="14.75" outlineLevel="0" r="2992">
      <c r="A2992" s="1" t="s">
        <v>2132</v>
      </c>
      <c r="B2992" s="1" t="s">
        <v>2126</v>
      </c>
      <c r="C2992" s="1" t="s">
        <v>1787</v>
      </c>
      <c r="D2992" s="1" t="n">
        <v>199.4</v>
      </c>
      <c r="E2992" s="1" t="n">
        <v>14.03</v>
      </c>
      <c r="F2992" s="1" t="n">
        <f aca="false">6/8</f>
        <v>0.75</v>
      </c>
    </row>
    <row collapsed="false" customFormat="false" customHeight="false" hidden="false" ht="14.75" outlineLevel="0" r="2993">
      <c r="A2993" s="1" t="s">
        <v>2133</v>
      </c>
      <c r="B2993" s="1" t="s">
        <v>2126</v>
      </c>
      <c r="C2993" s="1" t="s">
        <v>1787</v>
      </c>
      <c r="D2993" s="1" t="n">
        <v>59.3</v>
      </c>
      <c r="E2993" s="1" t="n">
        <v>7.92</v>
      </c>
      <c r="F2993" s="1" t="n">
        <f aca="false">6/7</f>
        <v>0.857142857142857</v>
      </c>
    </row>
    <row collapsed="false" customFormat="false" customHeight="false" hidden="false" ht="14.75" outlineLevel="0" r="2994">
      <c r="A2994" s="1" t="s">
        <v>2134</v>
      </c>
      <c r="B2994" s="1" t="s">
        <v>2126</v>
      </c>
      <c r="C2994" s="1" t="s">
        <v>1787</v>
      </c>
      <c r="D2994" s="1" t="n">
        <v>115.7</v>
      </c>
      <c r="E2994" s="1" t="n">
        <v>12.43</v>
      </c>
      <c r="F2994" s="1" t="n">
        <f aca="false">9/7</f>
        <v>1.28571428571429</v>
      </c>
    </row>
    <row collapsed="false" customFormat="false" customHeight="false" hidden="false" ht="14.75" outlineLevel="0" r="2995">
      <c r="A2995" s="1" t="s">
        <v>2135</v>
      </c>
      <c r="B2995" s="1" t="s">
        <v>2126</v>
      </c>
      <c r="C2995" s="1" t="s">
        <v>1787</v>
      </c>
      <c r="D2995" s="1" t="n">
        <v>70</v>
      </c>
      <c r="E2995" s="1" t="n">
        <v>8.52</v>
      </c>
      <c r="F2995" s="1" t="n">
        <f aca="false">2/7</f>
        <v>0.285714285714286</v>
      </c>
    </row>
    <row collapsed="false" customFormat="false" customHeight="false" hidden="false" ht="14.75" outlineLevel="0" r="2996">
      <c r="A2996" s="1" t="s">
        <v>615</v>
      </c>
      <c r="B2996" s="1" t="s">
        <v>2126</v>
      </c>
      <c r="C2996" s="1" t="s">
        <v>1787</v>
      </c>
      <c r="D2996" s="1" t="n">
        <v>145</v>
      </c>
      <c r="E2996" s="1" t="n">
        <v>11.2</v>
      </c>
      <c r="F2996" s="1" t="n">
        <f aca="false">5/7</f>
        <v>0.714285714285714</v>
      </c>
    </row>
    <row collapsed="false" customFormat="false" customHeight="false" hidden="false" ht="14.75" outlineLevel="0" r="2997">
      <c r="A2997" s="1" t="s">
        <v>27</v>
      </c>
      <c r="B2997" s="1" t="s">
        <v>2126</v>
      </c>
      <c r="C2997" s="1" t="s">
        <v>1787</v>
      </c>
      <c r="D2997" s="1" t="n">
        <v>124</v>
      </c>
      <c r="E2997" s="1" t="n">
        <v>12.96</v>
      </c>
      <c r="F2997" s="1" t="n">
        <f aca="false">3/5</f>
        <v>0.6</v>
      </c>
    </row>
    <row collapsed="false" customFormat="false" customHeight="false" hidden="false" ht="14.75" outlineLevel="0" r="2998">
      <c r="A2998" s="1" t="s">
        <v>2136</v>
      </c>
      <c r="B2998" s="1" t="s">
        <v>2126</v>
      </c>
      <c r="C2998" s="1" t="s">
        <v>1787</v>
      </c>
      <c r="D2998" s="1" t="n">
        <v>27</v>
      </c>
      <c r="E2998" s="1" t="n">
        <v>4.55</v>
      </c>
      <c r="F2998" s="1" t="n">
        <v>0</v>
      </c>
    </row>
    <row collapsed="false" customFormat="false" customHeight="false" hidden="false" ht="14.75" outlineLevel="0" r="2999">
      <c r="A2999" s="1" t="s">
        <v>2137</v>
      </c>
      <c r="B2999" s="1" t="s">
        <v>2138</v>
      </c>
      <c r="C2999" s="1" t="s">
        <v>2055</v>
      </c>
      <c r="D2999" s="1" t="n">
        <v>475.6</v>
      </c>
      <c r="E2999" s="1" t="n">
        <v>22.19</v>
      </c>
      <c r="F2999" s="1" t="n">
        <f aca="false">50/8</f>
        <v>6.25</v>
      </c>
    </row>
    <row collapsed="false" customFormat="false" customHeight="false" hidden="false" ht="14.75" outlineLevel="0" r="3000">
      <c r="A3000" s="1" t="s">
        <v>2139</v>
      </c>
      <c r="B3000" s="1" t="s">
        <v>2138</v>
      </c>
      <c r="C3000" s="1" t="s">
        <v>2055</v>
      </c>
      <c r="D3000" s="1" t="n">
        <v>417.5</v>
      </c>
      <c r="E3000" s="1" t="n">
        <v>21.37</v>
      </c>
      <c r="F3000" s="1" t="n">
        <f aca="false">39/8</f>
        <v>4.875</v>
      </c>
    </row>
    <row collapsed="false" customFormat="false" customHeight="false" hidden="false" ht="14.75" outlineLevel="0" r="3001">
      <c r="A3001" s="1" t="s">
        <v>2140</v>
      </c>
      <c r="B3001" s="1" t="s">
        <v>2138</v>
      </c>
      <c r="C3001" s="1" t="s">
        <v>2055</v>
      </c>
      <c r="D3001" s="1" t="n">
        <v>226.9</v>
      </c>
      <c r="E3001" s="1" t="n">
        <v>14.93</v>
      </c>
      <c r="F3001" s="1" t="n">
        <f aca="false">12/8</f>
        <v>1.5</v>
      </c>
    </row>
    <row collapsed="false" customFormat="false" customHeight="false" hidden="false" ht="14.75" outlineLevel="0" r="3002">
      <c r="A3002" s="1" t="s">
        <v>532</v>
      </c>
      <c r="B3002" s="1" t="s">
        <v>2138</v>
      </c>
      <c r="C3002" s="1" t="s">
        <v>2055</v>
      </c>
      <c r="D3002" s="1" t="n">
        <v>183.1</v>
      </c>
      <c r="E3002" s="1" t="n">
        <v>13.02</v>
      </c>
      <c r="F3002" s="1" t="n">
        <f aca="false">11/8</f>
        <v>1.375</v>
      </c>
    </row>
    <row collapsed="false" customFormat="false" customHeight="false" hidden="false" ht="14.75" outlineLevel="0" r="3003">
      <c r="A3003" s="1" t="s">
        <v>2141</v>
      </c>
      <c r="B3003" s="1" t="s">
        <v>2138</v>
      </c>
      <c r="C3003" s="1" t="s">
        <v>2055</v>
      </c>
      <c r="D3003" s="1" t="n">
        <v>250.6</v>
      </c>
      <c r="E3003" s="1" t="n">
        <v>15.26</v>
      </c>
      <c r="F3003" s="1" t="n">
        <f aca="false">28/8</f>
        <v>3.5</v>
      </c>
    </row>
    <row collapsed="false" customFormat="false" customHeight="false" hidden="false" ht="14.75" outlineLevel="0" r="3004">
      <c r="A3004" s="1" t="s">
        <v>2142</v>
      </c>
      <c r="B3004" s="1" t="s">
        <v>2138</v>
      </c>
      <c r="C3004" s="1" t="s">
        <v>2055</v>
      </c>
      <c r="D3004" s="1" t="n">
        <v>160.6</v>
      </c>
      <c r="E3004" s="1" t="n">
        <v>13.55</v>
      </c>
      <c r="F3004" s="1" t="n">
        <f aca="false">13/8</f>
        <v>1.625</v>
      </c>
    </row>
    <row collapsed="false" customFormat="false" customHeight="false" hidden="false" ht="14.75" outlineLevel="0" r="3005">
      <c r="A3005" s="1" t="s">
        <v>2143</v>
      </c>
      <c r="B3005" s="1" t="s">
        <v>2138</v>
      </c>
      <c r="C3005" s="1" t="s">
        <v>2055</v>
      </c>
      <c r="D3005" s="1" t="n">
        <v>86.7</v>
      </c>
      <c r="E3005" s="1" t="n">
        <v>7.67</v>
      </c>
      <c r="F3005" s="1" t="n">
        <v>0</v>
      </c>
    </row>
    <row collapsed="false" customFormat="false" customHeight="false" hidden="false" ht="14.75" outlineLevel="0" r="3006">
      <c r="A3006" s="1" t="s">
        <v>2144</v>
      </c>
      <c r="B3006" s="1" t="s">
        <v>2138</v>
      </c>
      <c r="C3006" s="1" t="s">
        <v>2055</v>
      </c>
      <c r="D3006" s="1" t="n">
        <v>69.2</v>
      </c>
      <c r="E3006" s="1" t="n">
        <v>10</v>
      </c>
      <c r="F3006" s="1" t="n">
        <f aca="false">2/8</f>
        <v>0.25</v>
      </c>
    </row>
    <row collapsed="false" customFormat="false" customHeight="false" hidden="false" ht="14.75" outlineLevel="0" r="3007">
      <c r="A3007" s="1" t="s">
        <v>2145</v>
      </c>
      <c r="B3007" s="1" t="s">
        <v>2138</v>
      </c>
      <c r="C3007" s="1" t="s">
        <v>2055</v>
      </c>
      <c r="D3007" s="1" t="n">
        <v>67.1</v>
      </c>
      <c r="E3007" s="1" t="n">
        <v>6.55</v>
      </c>
      <c r="F3007" s="1" t="n">
        <f aca="false">3/8</f>
        <v>0.375</v>
      </c>
    </row>
    <row collapsed="false" customFormat="false" customHeight="false" hidden="false" ht="14.75" outlineLevel="0" r="3008">
      <c r="A3008" s="1" t="s">
        <v>2146</v>
      </c>
      <c r="B3008" s="1" t="s">
        <v>2138</v>
      </c>
      <c r="C3008" s="1" t="s">
        <v>2055</v>
      </c>
      <c r="D3008" s="1" t="n">
        <v>84</v>
      </c>
      <c r="E3008" s="1" t="n">
        <v>8.7</v>
      </c>
      <c r="F3008" s="1" t="n">
        <f aca="false">3/8</f>
        <v>0.375</v>
      </c>
    </row>
    <row collapsed="false" customFormat="false" customHeight="false" hidden="false" ht="14.75" outlineLevel="0" r="3009">
      <c r="A3009" s="1" t="s">
        <v>2147</v>
      </c>
      <c r="B3009" s="1" t="s">
        <v>2148</v>
      </c>
      <c r="C3009" s="1" t="s">
        <v>2055</v>
      </c>
      <c r="D3009" s="1" t="n">
        <v>342.1</v>
      </c>
      <c r="E3009" s="1" t="n">
        <v>18.13</v>
      </c>
      <c r="F3009" s="1" t="n">
        <v>4</v>
      </c>
    </row>
    <row collapsed="false" customFormat="false" customHeight="false" hidden="false" ht="14.75" outlineLevel="0" r="3010">
      <c r="A3010" s="1" t="s">
        <v>2149</v>
      </c>
      <c r="B3010" s="1" t="s">
        <v>2148</v>
      </c>
      <c r="C3010" s="1" t="s">
        <v>2055</v>
      </c>
      <c r="D3010" s="1" t="n">
        <v>419.3</v>
      </c>
      <c r="E3010" s="1" t="n">
        <v>21.1</v>
      </c>
      <c r="F3010" s="1" t="n">
        <f aca="false">29/7</f>
        <v>4.14285714285714</v>
      </c>
    </row>
    <row collapsed="false" customFormat="false" customHeight="false" hidden="false" ht="14.75" outlineLevel="0" r="3011">
      <c r="A3011" s="1" t="s">
        <v>2150</v>
      </c>
      <c r="B3011" s="1" t="s">
        <v>2148</v>
      </c>
      <c r="C3011" s="1" t="s">
        <v>2055</v>
      </c>
      <c r="D3011" s="1" t="n">
        <v>187.4</v>
      </c>
      <c r="E3011" s="1" t="n">
        <v>13.89</v>
      </c>
      <c r="F3011" s="1" t="n">
        <f aca="false">10/7</f>
        <v>1.42857142857143</v>
      </c>
    </row>
    <row collapsed="false" customFormat="false" customHeight="false" hidden="false" ht="14.75" outlineLevel="0" r="3012">
      <c r="A3012" s="1" t="s">
        <v>2073</v>
      </c>
      <c r="B3012" s="1" t="s">
        <v>2148</v>
      </c>
      <c r="C3012" s="1" t="s">
        <v>2055</v>
      </c>
      <c r="D3012" s="1" t="n">
        <v>224.5</v>
      </c>
      <c r="E3012" s="1" t="n">
        <v>15.65</v>
      </c>
      <c r="F3012" s="1" t="n">
        <f aca="false">8/7</f>
        <v>1.14285714285714</v>
      </c>
    </row>
    <row collapsed="false" customFormat="false" customHeight="false" hidden="false" ht="14.75" outlineLevel="0" r="3013">
      <c r="A3013" s="1" t="s">
        <v>2151</v>
      </c>
      <c r="B3013" s="1" t="s">
        <v>2148</v>
      </c>
      <c r="C3013" s="1" t="s">
        <v>2055</v>
      </c>
      <c r="D3013" s="1" t="n">
        <v>162.1</v>
      </c>
      <c r="E3013" s="1" t="n">
        <v>11.73</v>
      </c>
      <c r="F3013" s="1" t="n">
        <f aca="false">8/7</f>
        <v>1.14285714285714</v>
      </c>
    </row>
    <row collapsed="false" customFormat="false" customHeight="false" hidden="false" ht="14.75" outlineLevel="0" r="3014">
      <c r="A3014" s="1" t="s">
        <v>2152</v>
      </c>
      <c r="B3014" s="1" t="s">
        <v>2148</v>
      </c>
      <c r="C3014" s="1" t="s">
        <v>2055</v>
      </c>
      <c r="D3014" s="1" t="n">
        <v>163.6</v>
      </c>
      <c r="E3014" s="1" t="n">
        <v>15.58</v>
      </c>
      <c r="F3014" s="1" t="n">
        <f aca="false">16/7</f>
        <v>2.28571428571429</v>
      </c>
    </row>
    <row collapsed="false" customFormat="false" customHeight="false" hidden="false" ht="14.75" outlineLevel="0" r="3015">
      <c r="A3015" s="1" t="s">
        <v>2076</v>
      </c>
      <c r="B3015" s="1" t="s">
        <v>2148</v>
      </c>
      <c r="C3015" s="1" t="s">
        <v>2055</v>
      </c>
      <c r="D3015" s="1" t="n">
        <v>115</v>
      </c>
      <c r="E3015" s="1" t="n">
        <v>13.14</v>
      </c>
      <c r="F3015" s="1" t="n">
        <f aca="false">3/7</f>
        <v>0.428571428571429</v>
      </c>
    </row>
    <row collapsed="false" customFormat="false" customHeight="false" hidden="false" ht="14.75" outlineLevel="0" r="3016">
      <c r="A3016" s="1" t="s">
        <v>2153</v>
      </c>
      <c r="B3016" s="1" t="s">
        <v>2148</v>
      </c>
      <c r="C3016" s="1" t="s">
        <v>2055</v>
      </c>
      <c r="D3016" s="1" t="n">
        <v>107.1</v>
      </c>
      <c r="E3016" s="1" t="n">
        <v>11.71</v>
      </c>
      <c r="F3016" s="1" t="n">
        <f aca="false">3/7</f>
        <v>0.428571428571429</v>
      </c>
    </row>
    <row collapsed="false" customFormat="false" customHeight="false" hidden="false" ht="14.75" outlineLevel="0" r="3017">
      <c r="A3017" s="1" t="s">
        <v>2078</v>
      </c>
      <c r="B3017" s="1" t="s">
        <v>2154</v>
      </c>
      <c r="C3017" s="1" t="s">
        <v>2055</v>
      </c>
      <c r="D3017" s="1" t="n">
        <v>473.8</v>
      </c>
      <c r="E3017" s="1" t="n">
        <v>21.95</v>
      </c>
      <c r="F3017" s="1" t="n">
        <f aca="false">47/8</f>
        <v>5.875</v>
      </c>
    </row>
    <row collapsed="false" customFormat="false" customHeight="false" hidden="false" ht="14.75" outlineLevel="0" r="3018">
      <c r="A3018" s="1" t="s">
        <v>2155</v>
      </c>
      <c r="B3018" s="1" t="s">
        <v>2154</v>
      </c>
      <c r="C3018" s="1" t="s">
        <v>2055</v>
      </c>
      <c r="D3018" s="1" t="n">
        <v>345</v>
      </c>
      <c r="E3018" s="1" t="n">
        <v>18.46</v>
      </c>
      <c r="F3018" s="1" t="n">
        <f aca="false">29/8</f>
        <v>3.625</v>
      </c>
    </row>
    <row collapsed="false" customFormat="false" customHeight="false" hidden="false" ht="14.75" outlineLevel="0" r="3019">
      <c r="A3019" s="1" t="s">
        <v>664</v>
      </c>
      <c r="B3019" s="1" t="s">
        <v>2154</v>
      </c>
      <c r="C3019" s="1" t="s">
        <v>2055</v>
      </c>
      <c r="D3019" s="1" t="n">
        <v>351.9</v>
      </c>
      <c r="E3019" s="1" t="n">
        <v>19.78</v>
      </c>
      <c r="F3019" s="1" t="n">
        <f aca="false">29/8</f>
        <v>3.625</v>
      </c>
    </row>
    <row collapsed="false" customFormat="false" customHeight="false" hidden="false" ht="14.75" outlineLevel="0" r="3020">
      <c r="A3020" s="1" t="s">
        <v>671</v>
      </c>
      <c r="B3020" s="1" t="s">
        <v>2154</v>
      </c>
      <c r="C3020" s="1" t="s">
        <v>2055</v>
      </c>
      <c r="D3020" s="1" t="n">
        <v>252.5</v>
      </c>
      <c r="E3020" s="1" t="n">
        <v>18.36</v>
      </c>
      <c r="F3020" s="1" t="n">
        <f aca="false">18/8</f>
        <v>2.25</v>
      </c>
    </row>
    <row collapsed="false" customFormat="false" customHeight="false" hidden="false" ht="14.75" outlineLevel="0" r="3021">
      <c r="A3021" s="1" t="s">
        <v>2156</v>
      </c>
      <c r="B3021" s="1" t="s">
        <v>2154</v>
      </c>
      <c r="C3021" s="1" t="s">
        <v>2055</v>
      </c>
      <c r="D3021" s="1" t="n">
        <v>225</v>
      </c>
      <c r="E3021" s="1" t="n">
        <v>13.42</v>
      </c>
      <c r="F3021" s="1" t="n">
        <f aca="false">10/6</f>
        <v>1.66666666666667</v>
      </c>
    </row>
    <row collapsed="false" customFormat="false" customHeight="false" hidden="false" ht="14.75" outlineLevel="0" r="3022">
      <c r="A3022" s="1" t="s">
        <v>649</v>
      </c>
      <c r="B3022" s="1" t="s">
        <v>2154</v>
      </c>
      <c r="C3022" s="1" t="s">
        <v>2055</v>
      </c>
      <c r="D3022" s="1" t="n">
        <v>251.7</v>
      </c>
      <c r="E3022" s="1" t="n">
        <v>18.94</v>
      </c>
      <c r="F3022" s="1" t="n">
        <f aca="false">10/6</f>
        <v>1.66666666666667</v>
      </c>
    </row>
    <row collapsed="false" customFormat="false" customHeight="false" hidden="false" ht="14.75" outlineLevel="0" r="3023">
      <c r="A3023" s="1" t="s">
        <v>669</v>
      </c>
      <c r="B3023" s="1" t="s">
        <v>2154</v>
      </c>
      <c r="C3023" s="1" t="s">
        <v>2055</v>
      </c>
      <c r="D3023" s="1" t="n">
        <v>213.3</v>
      </c>
      <c r="E3023" s="1" t="n">
        <v>13.15</v>
      </c>
      <c r="F3023" s="1" t="n">
        <f aca="false">9/6</f>
        <v>1.5</v>
      </c>
    </row>
    <row collapsed="false" customFormat="false" customHeight="false" hidden="false" ht="14.75" outlineLevel="0" r="3024">
      <c r="A3024" s="1" t="s">
        <v>499</v>
      </c>
      <c r="B3024" s="1" t="s">
        <v>2154</v>
      </c>
      <c r="C3024" s="1" t="s">
        <v>2055</v>
      </c>
      <c r="D3024" s="1" t="n">
        <v>351.7</v>
      </c>
      <c r="E3024" s="1" t="n">
        <v>17.7</v>
      </c>
      <c r="F3024" s="1" t="n">
        <f aca="false">19/6</f>
        <v>3.16666666666667</v>
      </c>
    </row>
    <row collapsed="false" customFormat="false" customHeight="false" hidden="false" ht="14.75" outlineLevel="0" r="3025">
      <c r="A3025" s="1" t="s">
        <v>2157</v>
      </c>
      <c r="B3025" s="1" t="s">
        <v>2154</v>
      </c>
      <c r="C3025" s="1" t="s">
        <v>2055</v>
      </c>
      <c r="D3025" s="1" t="n">
        <v>184</v>
      </c>
      <c r="E3025" s="1" t="n">
        <v>15.28</v>
      </c>
      <c r="F3025" s="1" t="n">
        <f aca="false">6/5</f>
        <v>1.2</v>
      </c>
    </row>
    <row collapsed="false" customFormat="false" customHeight="false" hidden="false" ht="14.75" outlineLevel="0" r="3026">
      <c r="A3026" s="1" t="s">
        <v>2158</v>
      </c>
      <c r="B3026" s="1" t="s">
        <v>2154</v>
      </c>
      <c r="C3026" s="1" t="s">
        <v>2055</v>
      </c>
      <c r="D3026" s="1" t="n">
        <v>200</v>
      </c>
      <c r="E3026" s="1" t="n">
        <v>13.02</v>
      </c>
      <c r="F3026" s="1" t="n">
        <f aca="false">8/5</f>
        <v>1.6</v>
      </c>
    </row>
    <row collapsed="false" customFormat="false" customHeight="false" hidden="false" ht="14.75" outlineLevel="0" r="3027">
      <c r="A3027" s="1" t="s">
        <v>2159</v>
      </c>
      <c r="B3027" s="1" t="s">
        <v>2154</v>
      </c>
      <c r="C3027" s="1" t="s">
        <v>2055</v>
      </c>
      <c r="D3027" s="1" t="n">
        <v>160</v>
      </c>
      <c r="E3027" s="1" t="n">
        <v>10.79</v>
      </c>
      <c r="F3027" s="1" t="n">
        <f aca="false">4/5</f>
        <v>0.8</v>
      </c>
    </row>
    <row collapsed="false" customFormat="false" customHeight="false" hidden="false" ht="14.75" outlineLevel="0" r="3028">
      <c r="A3028" s="1" t="s">
        <v>647</v>
      </c>
      <c r="B3028" s="1" t="s">
        <v>2154</v>
      </c>
      <c r="C3028" s="1" t="s">
        <v>2055</v>
      </c>
      <c r="D3028" s="1" t="n">
        <v>157</v>
      </c>
      <c r="E3028" s="1" t="n">
        <v>11.94</v>
      </c>
      <c r="F3028" s="1" t="n">
        <f aca="false">3/5</f>
        <v>0.6</v>
      </c>
    </row>
    <row collapsed="false" customFormat="false" customHeight="false" hidden="false" ht="14.75" outlineLevel="0" r="3029">
      <c r="A3029" s="1" t="s">
        <v>2160</v>
      </c>
      <c r="B3029" s="1" t="s">
        <v>2154</v>
      </c>
      <c r="C3029" s="1" t="s">
        <v>2055</v>
      </c>
      <c r="D3029" s="1" t="n">
        <v>133</v>
      </c>
      <c r="E3029" s="1" t="n">
        <v>15.56</v>
      </c>
      <c r="F3029" s="1" t="n">
        <f aca="false">1/5</f>
        <v>0.2</v>
      </c>
    </row>
    <row collapsed="false" customFormat="false" customHeight="false" hidden="false" ht="14.75" outlineLevel="0" r="3030">
      <c r="A3030" s="1" t="s">
        <v>2161</v>
      </c>
      <c r="B3030" s="1" t="s">
        <v>2154</v>
      </c>
      <c r="C3030" s="1" t="s">
        <v>2055</v>
      </c>
      <c r="D3030" s="1" t="n">
        <v>109</v>
      </c>
      <c r="E3030" s="1" t="n">
        <v>8.62</v>
      </c>
      <c r="F3030" s="1" t="n">
        <v>1</v>
      </c>
    </row>
    <row collapsed="false" customFormat="false" customHeight="false" hidden="false" ht="14.75" outlineLevel="0" r="3031">
      <c r="A3031" s="1" t="s">
        <v>2162</v>
      </c>
      <c r="B3031" s="1" t="s">
        <v>2154</v>
      </c>
      <c r="C3031" s="1" t="s">
        <v>2055</v>
      </c>
      <c r="D3031" s="1" t="n">
        <v>84</v>
      </c>
      <c r="E3031" s="1" t="n">
        <v>6.8</v>
      </c>
      <c r="F3031" s="1" t="n">
        <f aca="false">1/5</f>
        <v>0.2</v>
      </c>
    </row>
    <row collapsed="false" customFormat="false" customHeight="false" hidden="false" ht="14.75" outlineLevel="0" r="3032">
      <c r="A3032" s="1" t="s">
        <v>661</v>
      </c>
      <c r="B3032" s="1" t="s">
        <v>2154</v>
      </c>
      <c r="C3032" s="1" t="s">
        <v>2055</v>
      </c>
      <c r="D3032" s="1" t="n">
        <v>127</v>
      </c>
      <c r="E3032" s="1" t="n">
        <v>15.4</v>
      </c>
      <c r="F3032" s="1" t="n">
        <f aca="false">2/5</f>
        <v>0.4</v>
      </c>
    </row>
    <row collapsed="false" customFormat="false" customHeight="false" hidden="false" ht="14.75" outlineLevel="0" r="3033">
      <c r="A3033" s="1" t="s">
        <v>2163</v>
      </c>
      <c r="B3033" s="1" t="s">
        <v>2154</v>
      </c>
      <c r="C3033" s="1" t="s">
        <v>2055</v>
      </c>
      <c r="D3033" s="1" t="n">
        <v>39</v>
      </c>
      <c r="E3033" s="1" t="n">
        <v>10</v>
      </c>
      <c r="F3033" s="1" t="n">
        <f aca="false">1/5</f>
        <v>0.2</v>
      </c>
    </row>
    <row collapsed="false" customFormat="false" customHeight="false" hidden="false" ht="14.75" outlineLevel="0" r="3034">
      <c r="A3034" s="1" t="s">
        <v>2164</v>
      </c>
      <c r="B3034" s="1" t="s">
        <v>2154</v>
      </c>
      <c r="C3034" s="1" t="s">
        <v>2055</v>
      </c>
      <c r="D3034" s="1" t="n">
        <v>6</v>
      </c>
      <c r="E3034" s="1" t="n">
        <v>5</v>
      </c>
      <c r="F3034" s="1" t="n">
        <v>0</v>
      </c>
    </row>
    <row collapsed="false" customFormat="false" customHeight="false" hidden="false" ht="14.75" outlineLevel="0" r="3035">
      <c r="A3035" s="1" t="s">
        <v>169</v>
      </c>
      <c r="B3035" s="1" t="s">
        <v>2165</v>
      </c>
      <c r="C3035" s="1" t="s">
        <v>2055</v>
      </c>
      <c r="D3035" s="1" t="n">
        <v>315</v>
      </c>
      <c r="E3035" s="1" t="n">
        <v>16.83</v>
      </c>
      <c r="F3035" s="1" t="n">
        <f aca="false">14/8</f>
        <v>1.75</v>
      </c>
    </row>
    <row collapsed="false" customFormat="false" customHeight="false" hidden="false" ht="14.75" outlineLevel="0" r="3036">
      <c r="A3036" s="1" t="s">
        <v>2166</v>
      </c>
      <c r="B3036" s="1" t="s">
        <v>2165</v>
      </c>
      <c r="C3036" s="1" t="s">
        <v>2055</v>
      </c>
      <c r="D3036" s="1" t="n">
        <v>430.6</v>
      </c>
      <c r="E3036" s="1" t="n">
        <v>19.38</v>
      </c>
      <c r="F3036" s="1" t="n">
        <f aca="false">35/8</f>
        <v>4.375</v>
      </c>
    </row>
    <row collapsed="false" customFormat="false" customHeight="false" hidden="false" ht="14.75" outlineLevel="0" r="3037">
      <c r="A3037" s="1" t="s">
        <v>2167</v>
      </c>
      <c r="B3037" s="1" t="s">
        <v>2165</v>
      </c>
      <c r="C3037" s="1" t="s">
        <v>2055</v>
      </c>
      <c r="D3037" s="1" t="n">
        <v>222.5</v>
      </c>
      <c r="E3037" s="1" t="n">
        <v>13.44</v>
      </c>
      <c r="F3037" s="1" t="n">
        <f aca="false">10/8</f>
        <v>1.25</v>
      </c>
    </row>
    <row collapsed="false" customFormat="false" customHeight="false" hidden="false" ht="14.75" outlineLevel="0" r="3038">
      <c r="A3038" s="1" t="s">
        <v>2168</v>
      </c>
      <c r="B3038" s="1" t="s">
        <v>2165</v>
      </c>
      <c r="C3038" s="1" t="s">
        <v>2055</v>
      </c>
      <c r="D3038" s="1" t="n">
        <v>269.4</v>
      </c>
      <c r="E3038" s="1" t="n">
        <v>16.05</v>
      </c>
      <c r="F3038" s="1" t="n">
        <f aca="false">14/8</f>
        <v>1.75</v>
      </c>
    </row>
    <row collapsed="false" customFormat="false" customHeight="false" hidden="false" ht="14.75" outlineLevel="0" r="3039">
      <c r="A3039" s="1" t="s">
        <v>2169</v>
      </c>
      <c r="B3039" s="1" t="s">
        <v>2165</v>
      </c>
      <c r="C3039" s="1" t="s">
        <v>2055</v>
      </c>
      <c r="D3039" s="1" t="n">
        <v>104.2</v>
      </c>
      <c r="E3039" s="1" t="n">
        <v>10</v>
      </c>
      <c r="F3039" s="1" t="n">
        <f aca="false">7/6</f>
        <v>1.16666666666667</v>
      </c>
    </row>
    <row collapsed="false" customFormat="false" customHeight="false" hidden="false" ht="14.75" outlineLevel="0" r="3040">
      <c r="A3040" s="1" t="s">
        <v>2170</v>
      </c>
      <c r="B3040" s="1" t="s">
        <v>2165</v>
      </c>
      <c r="C3040" s="1" t="s">
        <v>2055</v>
      </c>
      <c r="D3040" s="1" t="n">
        <v>114.2</v>
      </c>
      <c r="E3040" s="1" t="n">
        <v>9.17</v>
      </c>
      <c r="F3040" s="1" t="n">
        <f aca="false">3/6</f>
        <v>0.5</v>
      </c>
    </row>
    <row collapsed="false" customFormat="false" customHeight="false" hidden="false" ht="14.75" outlineLevel="0" r="3041">
      <c r="A3041" s="1" t="s">
        <v>2171</v>
      </c>
      <c r="B3041" s="1" t="s">
        <v>2165</v>
      </c>
      <c r="C3041" s="1" t="s">
        <v>2055</v>
      </c>
      <c r="D3041" s="1" t="n">
        <v>130</v>
      </c>
      <c r="E3041" s="1" t="n">
        <v>11.62</v>
      </c>
      <c r="F3041" s="1" t="n">
        <f aca="false">4/6</f>
        <v>0.666666666666667</v>
      </c>
    </row>
    <row collapsed="false" customFormat="false" customHeight="false" hidden="false" ht="14.75" outlineLevel="0" r="3042">
      <c r="A3042" s="1" t="s">
        <v>2172</v>
      </c>
      <c r="B3042" s="1" t="s">
        <v>2165</v>
      </c>
      <c r="C3042" s="1" t="s">
        <v>2055</v>
      </c>
      <c r="D3042" s="1" t="n">
        <v>113.3</v>
      </c>
      <c r="E3042" s="1" t="n">
        <v>10.91</v>
      </c>
      <c r="F3042" s="1" t="n">
        <f aca="false">5/6</f>
        <v>0.833333333333333</v>
      </c>
    </row>
    <row collapsed="false" customFormat="false" customHeight="false" hidden="false" ht="14.75" outlineLevel="0" r="3043">
      <c r="A3043" s="1" t="s">
        <v>2173</v>
      </c>
      <c r="B3043" s="1" t="s">
        <v>2165</v>
      </c>
      <c r="C3043" s="1" t="s">
        <v>2055</v>
      </c>
      <c r="D3043" s="1" t="n">
        <v>82</v>
      </c>
      <c r="E3043" s="1" t="n">
        <v>7.83</v>
      </c>
      <c r="F3043" s="1" t="n">
        <f aca="false">1/6</f>
        <v>0.166666666666667</v>
      </c>
    </row>
    <row collapsed="false" customFormat="false" customHeight="false" hidden="false" ht="14.75" outlineLevel="0" r="3044">
      <c r="A3044" s="1" t="s">
        <v>2174</v>
      </c>
      <c r="B3044" s="1" t="s">
        <v>2165</v>
      </c>
      <c r="C3044" s="1" t="s">
        <v>2055</v>
      </c>
      <c r="D3044" s="1" t="n">
        <v>60</v>
      </c>
      <c r="E3044" s="1" t="n">
        <v>13.08</v>
      </c>
      <c r="F3044" s="1" t="n">
        <f aca="false">2/6</f>
        <v>0.333333333333333</v>
      </c>
    </row>
    <row collapsed="false" customFormat="false" customHeight="false" hidden="false" ht="14.75" outlineLevel="0" r="3045">
      <c r="A3045" s="1" t="s">
        <v>2175</v>
      </c>
      <c r="B3045" s="1" t="s">
        <v>2165</v>
      </c>
      <c r="C3045" s="1" t="s">
        <v>2055</v>
      </c>
      <c r="D3045" s="1" t="n">
        <v>66</v>
      </c>
      <c r="E3045" s="1" t="n">
        <v>9.41</v>
      </c>
      <c r="F3045" s="1" t="n">
        <f aca="false">1/6</f>
        <v>0.166666666666667</v>
      </c>
    </row>
    <row collapsed="false" customFormat="false" customHeight="false" hidden="false" ht="14.75" outlineLevel="0" r="3046">
      <c r="A3046" s="1" t="s">
        <v>2176</v>
      </c>
      <c r="B3046" s="1" t="s">
        <v>2165</v>
      </c>
      <c r="C3046" s="1" t="s">
        <v>2055</v>
      </c>
      <c r="D3046" s="1" t="n">
        <v>55</v>
      </c>
      <c r="E3046" s="1" t="n">
        <v>4</v>
      </c>
      <c r="F3046" s="1" t="n">
        <f aca="false">2/6</f>
        <v>0.333333333333333</v>
      </c>
    </row>
    <row collapsed="false" customFormat="false" customHeight="false" hidden="false" ht="14.75" outlineLevel="0" r="3047">
      <c r="A3047" s="1" t="s">
        <v>1071</v>
      </c>
      <c r="B3047" s="1" t="s">
        <v>2177</v>
      </c>
      <c r="C3047" s="1" t="s">
        <v>2055</v>
      </c>
      <c r="D3047" s="1" t="n">
        <v>365.6</v>
      </c>
      <c r="E3047" s="1" t="n">
        <v>18.17</v>
      </c>
      <c r="F3047" s="1" t="n">
        <f aca="false">24/9</f>
        <v>2.66666666666667</v>
      </c>
    </row>
    <row collapsed="false" customFormat="false" customHeight="false" hidden="false" ht="14.75" outlineLevel="0" r="3048">
      <c r="A3048" s="1" t="s">
        <v>2178</v>
      </c>
      <c r="B3048" s="1" t="s">
        <v>2177</v>
      </c>
      <c r="C3048" s="1" t="s">
        <v>2055</v>
      </c>
      <c r="D3048" s="1" t="n">
        <v>236.7</v>
      </c>
      <c r="E3048" s="1" t="n">
        <v>14.4</v>
      </c>
      <c r="F3048" s="1" t="n">
        <f aca="false">22/9</f>
        <v>2.44444444444444</v>
      </c>
    </row>
    <row collapsed="false" customFormat="false" customHeight="false" hidden="false" ht="14.75" outlineLevel="0" r="3049">
      <c r="A3049" s="1" t="s">
        <v>1036</v>
      </c>
      <c r="B3049" s="1" t="s">
        <v>2177</v>
      </c>
      <c r="C3049" s="1" t="s">
        <v>2055</v>
      </c>
      <c r="D3049" s="1" t="n">
        <v>315</v>
      </c>
      <c r="E3049" s="1" t="n">
        <v>18.07</v>
      </c>
      <c r="F3049" s="1" t="n">
        <v>3.2</v>
      </c>
    </row>
    <row collapsed="false" customFormat="false" customHeight="false" hidden="false" ht="14.75" outlineLevel="0" r="3050">
      <c r="A3050" s="1" t="s">
        <v>2179</v>
      </c>
      <c r="B3050" s="1" t="s">
        <v>2177</v>
      </c>
      <c r="C3050" s="1" t="s">
        <v>2055</v>
      </c>
      <c r="D3050" s="1" t="n">
        <v>227</v>
      </c>
      <c r="E3050" s="1" t="n">
        <v>16.47</v>
      </c>
      <c r="F3050" s="1" t="n">
        <v>1.5</v>
      </c>
    </row>
    <row collapsed="false" customFormat="false" customHeight="false" hidden="false" ht="14.75" outlineLevel="0" r="3051">
      <c r="A3051" s="1" t="s">
        <v>1037</v>
      </c>
      <c r="B3051" s="1" t="s">
        <v>2177</v>
      </c>
      <c r="C3051" s="1" t="s">
        <v>2055</v>
      </c>
      <c r="D3051" s="1" t="n">
        <v>213.3</v>
      </c>
      <c r="E3051" s="1" t="n">
        <v>15</v>
      </c>
      <c r="F3051" s="1" t="n">
        <f aca="false">14/9</f>
        <v>1.55555555555556</v>
      </c>
    </row>
    <row collapsed="false" customFormat="false" customHeight="false" hidden="false" ht="14.75" outlineLevel="0" r="3052">
      <c r="A3052" s="1" t="s">
        <v>1070</v>
      </c>
      <c r="B3052" s="1" t="s">
        <v>2177</v>
      </c>
      <c r="C3052" s="1" t="s">
        <v>2055</v>
      </c>
      <c r="D3052" s="1" t="n">
        <v>210.6</v>
      </c>
      <c r="E3052" s="1" t="n">
        <v>13.38</v>
      </c>
      <c r="F3052" s="1" t="n">
        <f aca="false">11/9</f>
        <v>1.22222222222222</v>
      </c>
    </row>
    <row collapsed="false" customFormat="false" customHeight="false" hidden="false" ht="14.75" outlineLevel="0" r="3053">
      <c r="A3053" s="1" t="s">
        <v>1039</v>
      </c>
      <c r="B3053" s="1" t="s">
        <v>2177</v>
      </c>
      <c r="C3053" s="1" t="s">
        <v>2055</v>
      </c>
      <c r="D3053" s="1" t="n">
        <v>203.1</v>
      </c>
      <c r="E3053" s="1" t="n">
        <v>14.92</v>
      </c>
      <c r="F3053" s="1" t="n">
        <f aca="false">10/9</f>
        <v>1.11111111111111</v>
      </c>
    </row>
    <row collapsed="false" customFormat="false" customHeight="false" hidden="false" ht="14.75" outlineLevel="0" r="3054">
      <c r="A3054" s="1" t="s">
        <v>996</v>
      </c>
      <c r="B3054" s="1" t="s">
        <v>2177</v>
      </c>
      <c r="C3054" s="1" t="s">
        <v>2055</v>
      </c>
      <c r="D3054" s="1" t="n">
        <v>220</v>
      </c>
      <c r="E3054" s="1" t="n">
        <v>16.57</v>
      </c>
      <c r="F3054" s="1" t="n">
        <f aca="false">14/9</f>
        <v>1.55555555555556</v>
      </c>
    </row>
    <row collapsed="false" customFormat="false" customHeight="false" hidden="false" ht="14.75" outlineLevel="0" r="3055">
      <c r="A3055" s="1" t="s">
        <v>2180</v>
      </c>
      <c r="B3055" s="1" t="s">
        <v>2177</v>
      </c>
      <c r="C3055" s="1" t="s">
        <v>2055</v>
      </c>
      <c r="D3055" s="1" t="n">
        <v>82.9</v>
      </c>
      <c r="E3055" s="1" t="n">
        <v>10</v>
      </c>
      <c r="F3055" s="1" t="n">
        <f aca="false">3/9</f>
        <v>0.333333333333333</v>
      </c>
    </row>
    <row collapsed="false" customFormat="false" customHeight="false" hidden="false" ht="14.75" outlineLevel="0" r="3056">
      <c r="A3056" s="1" t="s">
        <v>2181</v>
      </c>
      <c r="B3056" s="1" t="s">
        <v>2177</v>
      </c>
      <c r="C3056" s="1" t="s">
        <v>2055</v>
      </c>
      <c r="D3056" s="1" t="n">
        <v>91.4</v>
      </c>
      <c r="E3056" s="1" t="n">
        <v>10</v>
      </c>
      <c r="F3056" s="1" t="n">
        <f aca="false">4/9</f>
        <v>0.444444444444444</v>
      </c>
    </row>
    <row collapsed="false" customFormat="false" customHeight="false" hidden="false" ht="14.75" outlineLevel="0" r="3057">
      <c r="A3057" s="1" t="s">
        <v>2182</v>
      </c>
      <c r="B3057" s="1" t="s">
        <v>2177</v>
      </c>
      <c r="C3057" s="1" t="s">
        <v>2055</v>
      </c>
      <c r="D3057" s="1" t="n">
        <v>164</v>
      </c>
      <c r="E3057" s="1" t="n">
        <v>12.43</v>
      </c>
      <c r="F3057" s="1" t="n">
        <f aca="false">4/8</f>
        <v>0.5</v>
      </c>
    </row>
    <row collapsed="false" customFormat="false" customHeight="false" hidden="false" ht="14.75" outlineLevel="0" r="3058">
      <c r="A3058" s="1" t="s">
        <v>2183</v>
      </c>
      <c r="B3058" s="1" t="s">
        <v>2177</v>
      </c>
      <c r="C3058" s="1" t="s">
        <v>2055</v>
      </c>
      <c r="D3058" s="1" t="n">
        <v>123</v>
      </c>
      <c r="E3058" s="1" t="n">
        <v>11.79</v>
      </c>
      <c r="F3058" s="1" t="n">
        <f aca="false">2/8</f>
        <v>0.25</v>
      </c>
    </row>
    <row collapsed="false" customFormat="false" customHeight="false" hidden="false" ht="14.75" outlineLevel="0" r="3059">
      <c r="A3059" s="1" t="s">
        <v>1072</v>
      </c>
      <c r="B3059" s="1" t="s">
        <v>2177</v>
      </c>
      <c r="C3059" s="1" t="s">
        <v>2055</v>
      </c>
      <c r="D3059" s="1" t="n">
        <v>218.8</v>
      </c>
      <c r="E3059" s="1" t="n">
        <v>14.71</v>
      </c>
      <c r="F3059" s="1" t="n">
        <f aca="false">8/9</f>
        <v>0.888888888888889</v>
      </c>
    </row>
    <row collapsed="false" customFormat="false" customHeight="false" hidden="false" ht="14.75" outlineLevel="0" r="3060">
      <c r="A3060" s="1" t="s">
        <v>1038</v>
      </c>
      <c r="B3060" s="1" t="s">
        <v>2177</v>
      </c>
      <c r="C3060" s="1" t="s">
        <v>2055</v>
      </c>
      <c r="D3060" s="1" t="n">
        <v>105.6</v>
      </c>
      <c r="E3060" s="1" t="n">
        <v>10.44</v>
      </c>
      <c r="F3060" s="1" t="n">
        <f aca="false">5/9</f>
        <v>0.555555555555556</v>
      </c>
    </row>
    <row collapsed="false" customFormat="false" customHeight="false" hidden="false" ht="14.75" outlineLevel="0" r="3061">
      <c r="A3061" s="1" t="s">
        <v>2184</v>
      </c>
      <c r="B3061" s="1" t="s">
        <v>2177</v>
      </c>
      <c r="C3061" s="1" t="s">
        <v>2055</v>
      </c>
      <c r="D3061" s="1" t="n">
        <v>78.8</v>
      </c>
      <c r="E3061" s="1" t="n">
        <v>8.43</v>
      </c>
      <c r="F3061" s="1" t="n">
        <f aca="false">2/9</f>
        <v>0.222222222222222</v>
      </c>
    </row>
    <row collapsed="false" customFormat="false" customHeight="false" hidden="false" ht="14.75" outlineLevel="0" r="3062">
      <c r="A3062" s="1" t="s">
        <v>2185</v>
      </c>
      <c r="B3062" s="1" t="s">
        <v>2177</v>
      </c>
      <c r="C3062" s="1" t="s">
        <v>2055</v>
      </c>
      <c r="D3062" s="1" t="n">
        <v>117.5</v>
      </c>
      <c r="E3062" s="1" t="n">
        <v>13.17</v>
      </c>
      <c r="F3062" s="1" t="n">
        <f aca="false">1/9</f>
        <v>0.111111111111111</v>
      </c>
    </row>
    <row collapsed="false" customFormat="false" customHeight="false" hidden="false" ht="14.75" outlineLevel="0" r="3063">
      <c r="A3063" s="1" t="s">
        <v>1073</v>
      </c>
      <c r="B3063" s="1" t="s">
        <v>2177</v>
      </c>
      <c r="C3063" s="1" t="s">
        <v>2055</v>
      </c>
      <c r="D3063" s="1" t="n">
        <v>65.6</v>
      </c>
      <c r="E3063" s="1" t="n">
        <v>10.38</v>
      </c>
      <c r="F3063" s="1" t="n">
        <f aca="false">2/9</f>
        <v>0.222222222222222</v>
      </c>
    </row>
    <row collapsed="false" customFormat="false" customHeight="false" hidden="false" ht="14.75" outlineLevel="0" r="3064">
      <c r="A3064" s="1" t="s">
        <v>2186</v>
      </c>
      <c r="B3064" s="1" t="s">
        <v>2177</v>
      </c>
      <c r="C3064" s="1" t="s">
        <v>2055</v>
      </c>
      <c r="D3064" s="1" t="n">
        <v>57</v>
      </c>
      <c r="E3064" s="1" t="n">
        <v>6.11</v>
      </c>
      <c r="F3064" s="1" t="n">
        <f aca="false">1/9</f>
        <v>0.111111111111111</v>
      </c>
    </row>
    <row collapsed="false" customFormat="false" customHeight="false" hidden="false" ht="14.75" outlineLevel="0" r="3065">
      <c r="A3065" s="1" t="s">
        <v>339</v>
      </c>
      <c r="B3065" s="1" t="s">
        <v>2187</v>
      </c>
      <c r="C3065" s="1" t="s">
        <v>2055</v>
      </c>
      <c r="D3065" s="1" t="n">
        <v>507.2</v>
      </c>
      <c r="E3065" s="1" t="n">
        <v>22.06</v>
      </c>
      <c r="F3065" s="1" t="n">
        <f aca="false">56/9</f>
        <v>6.22222222222222</v>
      </c>
    </row>
    <row collapsed="false" customFormat="false" customHeight="false" hidden="false" ht="14.75" outlineLevel="0" r="3066">
      <c r="A3066" s="1" t="s">
        <v>564</v>
      </c>
      <c r="B3066" s="1" t="s">
        <v>2187</v>
      </c>
      <c r="C3066" s="1" t="s">
        <v>2055</v>
      </c>
      <c r="D3066" s="1" t="n">
        <v>272.4</v>
      </c>
      <c r="E3066" s="1" t="n">
        <v>18.92</v>
      </c>
      <c r="F3066" s="1" t="n">
        <f aca="false">30/9</f>
        <v>3.33333333333333</v>
      </c>
    </row>
    <row collapsed="false" customFormat="false" customHeight="false" hidden="false" ht="14.75" outlineLevel="0" r="3067">
      <c r="A3067" s="1" t="s">
        <v>1163</v>
      </c>
      <c r="B3067" s="1" t="s">
        <v>2187</v>
      </c>
      <c r="C3067" s="1" t="s">
        <v>2055</v>
      </c>
      <c r="D3067" s="1" t="n">
        <v>236.1</v>
      </c>
      <c r="E3067" s="1" t="n">
        <v>15.68</v>
      </c>
      <c r="F3067" s="1" t="n">
        <f aca="false">23/9</f>
        <v>2.55555555555556</v>
      </c>
    </row>
    <row collapsed="false" customFormat="false" customHeight="false" hidden="false" ht="14.75" outlineLevel="0" r="3068">
      <c r="A3068" s="1" t="s">
        <v>606</v>
      </c>
      <c r="B3068" s="1" t="s">
        <v>2187</v>
      </c>
      <c r="C3068" s="1" t="s">
        <v>2055</v>
      </c>
      <c r="D3068" s="1" t="n">
        <v>138.3</v>
      </c>
      <c r="E3068" s="1" t="n">
        <v>13.65</v>
      </c>
      <c r="F3068" s="1" t="n">
        <f aca="false">15/9</f>
        <v>1.66666666666667</v>
      </c>
    </row>
    <row collapsed="false" customFormat="false" customHeight="false" hidden="false" ht="14.75" outlineLevel="0" r="3069">
      <c r="A3069" s="1" t="s">
        <v>605</v>
      </c>
      <c r="B3069" s="1" t="s">
        <v>2187</v>
      </c>
      <c r="C3069" s="1" t="s">
        <v>2055</v>
      </c>
      <c r="D3069" s="1" t="n">
        <v>183.2</v>
      </c>
      <c r="E3069" s="1" t="n">
        <v>13.75</v>
      </c>
      <c r="F3069" s="1" t="n">
        <f aca="false">14/8</f>
        <v>1.75</v>
      </c>
    </row>
    <row collapsed="false" customFormat="false" customHeight="false" hidden="false" ht="14.75" outlineLevel="0" r="3070">
      <c r="A3070" s="1" t="s">
        <v>1937</v>
      </c>
      <c r="B3070" s="1" t="s">
        <v>2187</v>
      </c>
      <c r="C3070" s="1" t="s">
        <v>2055</v>
      </c>
      <c r="D3070" s="1" t="n">
        <v>130.6</v>
      </c>
      <c r="E3070" s="1" t="n">
        <v>11.04</v>
      </c>
      <c r="F3070" s="1" t="n">
        <f aca="false">7/8</f>
        <v>0.875</v>
      </c>
    </row>
    <row collapsed="false" customFormat="false" customHeight="false" hidden="false" ht="14.75" outlineLevel="0" r="3071">
      <c r="A3071" s="1" t="s">
        <v>173</v>
      </c>
      <c r="B3071" s="1" t="s">
        <v>2187</v>
      </c>
      <c r="C3071" s="1" t="s">
        <v>2055</v>
      </c>
      <c r="D3071" s="1" t="n">
        <v>131.9</v>
      </c>
      <c r="E3071" s="1" t="n">
        <v>11.43</v>
      </c>
      <c r="F3071" s="1" t="n">
        <f aca="false">10/8</f>
        <v>1.25</v>
      </c>
    </row>
    <row collapsed="false" customFormat="false" customHeight="false" hidden="false" ht="14.75" outlineLevel="0" r="3072">
      <c r="A3072" s="1" t="s">
        <v>1406</v>
      </c>
      <c r="B3072" s="1" t="s">
        <v>2188</v>
      </c>
      <c r="C3072" s="1" t="s">
        <v>2055</v>
      </c>
      <c r="D3072" s="1" t="n">
        <v>328.5</v>
      </c>
      <c r="E3072" s="1" t="n">
        <v>17.42</v>
      </c>
      <c r="F3072" s="1" t="n">
        <v>3.2</v>
      </c>
    </row>
    <row collapsed="false" customFormat="false" customHeight="false" hidden="false" ht="14.75" outlineLevel="0" r="3073">
      <c r="A3073" s="1" t="s">
        <v>1426</v>
      </c>
      <c r="B3073" s="1" t="s">
        <v>2188</v>
      </c>
      <c r="C3073" s="1" t="s">
        <v>2055</v>
      </c>
      <c r="D3073" s="1" t="n">
        <v>330</v>
      </c>
      <c r="E3073" s="1" t="n">
        <v>17.84</v>
      </c>
      <c r="F3073" s="1" t="n">
        <v>3.8</v>
      </c>
    </row>
    <row collapsed="false" customFormat="false" customHeight="false" hidden="false" ht="14.75" outlineLevel="0" r="3074">
      <c r="A3074" s="1" t="s">
        <v>1407</v>
      </c>
      <c r="B3074" s="1" t="s">
        <v>2188</v>
      </c>
      <c r="C3074" s="1" t="s">
        <v>2055</v>
      </c>
      <c r="D3074" s="1" t="n">
        <v>241</v>
      </c>
      <c r="E3074" s="1" t="n">
        <v>14.79</v>
      </c>
      <c r="F3074" s="1" t="n">
        <v>1.5</v>
      </c>
    </row>
    <row collapsed="false" customFormat="false" customHeight="false" hidden="false" ht="14.75" outlineLevel="0" r="3075">
      <c r="A3075" s="1" t="s">
        <v>539</v>
      </c>
      <c r="B3075" s="1" t="s">
        <v>2188</v>
      </c>
      <c r="C3075" s="1" t="s">
        <v>2055</v>
      </c>
      <c r="D3075" s="1" t="n">
        <v>229</v>
      </c>
      <c r="E3075" s="1" t="n">
        <v>15.91</v>
      </c>
      <c r="F3075" s="1" t="n">
        <v>2.3</v>
      </c>
    </row>
    <row collapsed="false" customFormat="false" customHeight="false" hidden="false" ht="14.75" outlineLevel="0" r="3076">
      <c r="A3076" s="1" t="s">
        <v>141</v>
      </c>
      <c r="B3076" s="1" t="s">
        <v>2188</v>
      </c>
      <c r="C3076" s="1" t="s">
        <v>2055</v>
      </c>
      <c r="D3076" s="1" t="n">
        <v>93</v>
      </c>
      <c r="E3076" s="1" t="n">
        <v>9.39</v>
      </c>
      <c r="F3076" s="1" t="n">
        <v>0.7</v>
      </c>
    </row>
    <row collapsed="false" customFormat="false" customHeight="false" hidden="false" ht="14.75" outlineLevel="0" r="3077">
      <c r="A3077" s="1" t="s">
        <v>2189</v>
      </c>
      <c r="B3077" s="1" t="s">
        <v>2188</v>
      </c>
      <c r="C3077" s="1" t="s">
        <v>2055</v>
      </c>
      <c r="D3077" s="1" t="n">
        <v>67.5</v>
      </c>
      <c r="E3077" s="1" t="n">
        <v>8.65</v>
      </c>
      <c r="F3077" s="1" t="n">
        <v>0.5</v>
      </c>
    </row>
    <row collapsed="false" customFormat="false" customHeight="false" hidden="false" ht="14.75" outlineLevel="0" r="3078">
      <c r="A3078" s="1" t="s">
        <v>1543</v>
      </c>
      <c r="B3078" s="1" t="s">
        <v>2190</v>
      </c>
      <c r="C3078" s="1" t="s">
        <v>2040</v>
      </c>
      <c r="D3078" s="1" t="n">
        <v>477.1</v>
      </c>
      <c r="E3078" s="1" t="n">
        <v>23.45</v>
      </c>
      <c r="F3078" s="1" t="n">
        <f aca="false">78/12</f>
        <v>6.5</v>
      </c>
    </row>
    <row collapsed="false" customFormat="false" customHeight="false" hidden="false" ht="14.75" outlineLevel="0" r="3079">
      <c r="A3079" s="1" t="s">
        <v>667</v>
      </c>
      <c r="B3079" s="1" t="s">
        <v>2190</v>
      </c>
      <c r="C3079" s="1" t="s">
        <v>2040</v>
      </c>
      <c r="D3079" s="1" t="n">
        <v>414.2</v>
      </c>
      <c r="E3079" s="1" t="n">
        <v>23.17</v>
      </c>
      <c r="F3079" s="1" t="n">
        <f aca="false">69/12</f>
        <v>5.75</v>
      </c>
    </row>
    <row collapsed="false" customFormat="false" customHeight="false" hidden="false" ht="14.75" outlineLevel="0" r="3080">
      <c r="A3080" s="1" t="s">
        <v>2191</v>
      </c>
      <c r="B3080" s="1" t="s">
        <v>2190</v>
      </c>
      <c r="C3080" s="1" t="s">
        <v>2040</v>
      </c>
      <c r="D3080" s="1" t="n">
        <v>367.7</v>
      </c>
      <c r="E3080" s="1" t="n">
        <v>20</v>
      </c>
      <c r="F3080" s="1" t="n">
        <f aca="false">34/11</f>
        <v>3.09090909090909</v>
      </c>
    </row>
    <row collapsed="false" customFormat="false" customHeight="false" hidden="false" ht="14.75" outlineLevel="0" r="3081">
      <c r="A3081" s="1" t="s">
        <v>2096</v>
      </c>
      <c r="B3081" s="1" t="s">
        <v>2190</v>
      </c>
      <c r="C3081" s="1" t="s">
        <v>2040</v>
      </c>
      <c r="D3081" s="1" t="n">
        <v>304.5</v>
      </c>
      <c r="E3081" s="1" t="n">
        <v>18.35</v>
      </c>
      <c r="F3081" s="1" t="n">
        <f aca="false">34/11</f>
        <v>3.09090909090909</v>
      </c>
    </row>
    <row collapsed="false" customFormat="false" customHeight="false" hidden="false" ht="14.75" outlineLevel="0" r="3082">
      <c r="A3082" s="1" t="s">
        <v>1803</v>
      </c>
      <c r="B3082" s="1" t="s">
        <v>2190</v>
      </c>
      <c r="C3082" s="1" t="s">
        <v>2040</v>
      </c>
      <c r="D3082" s="1" t="n">
        <v>226</v>
      </c>
      <c r="E3082" s="1" t="n">
        <v>17.16</v>
      </c>
      <c r="F3082" s="1" t="n">
        <v>1.8</v>
      </c>
    </row>
    <row collapsed="false" customFormat="false" customHeight="false" hidden="false" ht="14.75" outlineLevel="0" r="3083">
      <c r="A3083" s="1" t="s">
        <v>987</v>
      </c>
      <c r="B3083" s="1" t="s">
        <v>2190</v>
      </c>
      <c r="C3083" s="1" t="s">
        <v>2040</v>
      </c>
      <c r="D3083" s="1" t="n">
        <v>355.5</v>
      </c>
      <c r="E3083" s="1" t="n">
        <v>21.82</v>
      </c>
      <c r="F3083" s="1" t="n">
        <v>3.3</v>
      </c>
    </row>
    <row collapsed="false" customFormat="false" customHeight="false" hidden="false" ht="14.75" outlineLevel="0" r="3084">
      <c r="A3084" s="1" t="s">
        <v>1544</v>
      </c>
      <c r="B3084" s="1" t="s">
        <v>2190</v>
      </c>
      <c r="C3084" s="1" t="s">
        <v>2040</v>
      </c>
      <c r="D3084" s="1" t="n">
        <v>202.8</v>
      </c>
      <c r="E3084" s="1" t="n">
        <v>12.35</v>
      </c>
      <c r="F3084" s="1" t="n">
        <v>1.6</v>
      </c>
    </row>
    <row collapsed="false" customFormat="false" customHeight="false" hidden="false" ht="14.75" outlineLevel="0" r="3085">
      <c r="A3085" s="1" t="s">
        <v>2192</v>
      </c>
      <c r="B3085" s="1" t="s">
        <v>2190</v>
      </c>
      <c r="C3085" s="1" t="s">
        <v>2040</v>
      </c>
      <c r="D3085" s="1" t="n">
        <v>243.3</v>
      </c>
      <c r="E3085" s="1" t="n">
        <v>15.59</v>
      </c>
      <c r="F3085" s="1" t="n">
        <v>2</v>
      </c>
    </row>
    <row collapsed="false" customFormat="false" customHeight="false" hidden="false" ht="14.75" outlineLevel="0" r="3086">
      <c r="A3086" s="1" t="s">
        <v>2193</v>
      </c>
      <c r="B3086" s="1" t="s">
        <v>2190</v>
      </c>
      <c r="C3086" s="1" t="s">
        <v>2040</v>
      </c>
      <c r="D3086" s="1" t="n">
        <v>193.9</v>
      </c>
      <c r="E3086" s="1" t="n">
        <v>15.22</v>
      </c>
      <c r="F3086" s="1" t="n">
        <v>1</v>
      </c>
    </row>
    <row collapsed="false" customFormat="false" customHeight="false" hidden="false" ht="14.75" outlineLevel="0" r="3087">
      <c r="A3087" s="1" t="s">
        <v>2194</v>
      </c>
      <c r="B3087" s="1" t="s">
        <v>2190</v>
      </c>
      <c r="C3087" s="1" t="s">
        <v>2040</v>
      </c>
      <c r="D3087" s="1" t="n">
        <v>192.8</v>
      </c>
      <c r="E3087" s="1" t="n">
        <v>12.97</v>
      </c>
      <c r="F3087" s="1" t="n">
        <v>1.6</v>
      </c>
    </row>
    <row collapsed="false" customFormat="false" customHeight="false" hidden="false" ht="14.75" outlineLevel="0" r="3088">
      <c r="A3088" s="1" t="s">
        <v>2195</v>
      </c>
      <c r="B3088" s="1" t="s">
        <v>2190</v>
      </c>
      <c r="C3088" s="1" t="s">
        <v>2040</v>
      </c>
      <c r="D3088" s="1" t="n">
        <v>160</v>
      </c>
      <c r="E3088" s="1" t="n">
        <v>12.66</v>
      </c>
      <c r="F3088" s="1" t="n">
        <v>0.3</v>
      </c>
    </row>
    <row collapsed="false" customFormat="false" customHeight="false" hidden="false" ht="14.75" outlineLevel="0" r="3089">
      <c r="A3089" s="1" t="s">
        <v>2196</v>
      </c>
      <c r="B3089" s="1" t="s">
        <v>2190</v>
      </c>
      <c r="C3089" s="1" t="s">
        <v>2040</v>
      </c>
      <c r="D3089" s="1" t="n">
        <v>150</v>
      </c>
      <c r="E3089" s="1" t="n">
        <v>13.87</v>
      </c>
      <c r="F3089" s="1" t="n">
        <v>0.3</v>
      </c>
    </row>
    <row collapsed="false" customFormat="false" customHeight="false" hidden="false" ht="14.75" outlineLevel="0" r="3090">
      <c r="A3090" s="1" t="s">
        <v>142</v>
      </c>
      <c r="B3090" s="1" t="s">
        <v>2190</v>
      </c>
      <c r="C3090" s="1" t="s">
        <v>2040</v>
      </c>
      <c r="D3090" s="1" t="n">
        <v>146.5</v>
      </c>
      <c r="E3090" s="1" t="n">
        <v>11.39</v>
      </c>
      <c r="F3090" s="1" t="n">
        <v>0.6</v>
      </c>
    </row>
    <row collapsed="false" customFormat="false" customHeight="false" hidden="false" ht="14.75" outlineLevel="0" r="3091">
      <c r="A3091" s="1" t="s">
        <v>1800</v>
      </c>
      <c r="B3091" s="1" t="s">
        <v>2190</v>
      </c>
      <c r="C3091" s="1" t="s">
        <v>2040</v>
      </c>
      <c r="D3091" s="1" t="n">
        <v>170.5</v>
      </c>
      <c r="E3091" s="1" t="n">
        <v>11.12</v>
      </c>
      <c r="F3091" s="1" t="n">
        <v>0.7</v>
      </c>
    </row>
    <row collapsed="false" customFormat="false" customHeight="false" hidden="false" ht="14.75" outlineLevel="0" r="3092">
      <c r="A3092" s="1" t="s">
        <v>2197</v>
      </c>
      <c r="B3092" s="1" t="s">
        <v>2190</v>
      </c>
      <c r="C3092" s="1" t="s">
        <v>2040</v>
      </c>
      <c r="D3092" s="1" t="n">
        <v>108.5</v>
      </c>
      <c r="E3092" s="1" t="n">
        <v>8.83</v>
      </c>
      <c r="F3092" s="1" t="n">
        <v>0.2</v>
      </c>
    </row>
    <row collapsed="false" customFormat="false" customHeight="false" hidden="false" ht="14.75" outlineLevel="0" r="3093">
      <c r="A3093" s="1" t="s">
        <v>1801</v>
      </c>
      <c r="B3093" s="1" t="s">
        <v>2190</v>
      </c>
      <c r="C3093" s="1" t="s">
        <v>2040</v>
      </c>
      <c r="D3093" s="1" t="n">
        <v>114.5</v>
      </c>
      <c r="E3093" s="1" t="n">
        <v>11.45</v>
      </c>
      <c r="F3093" s="1" t="n">
        <v>0.1</v>
      </c>
    </row>
    <row collapsed="false" customFormat="false" customHeight="false" hidden="false" ht="14.75" outlineLevel="0" r="3094">
      <c r="A3094" s="1" t="s">
        <v>2198</v>
      </c>
      <c r="B3094" s="1" t="s">
        <v>2190</v>
      </c>
      <c r="C3094" s="1" t="s">
        <v>2040</v>
      </c>
      <c r="D3094" s="1" t="n">
        <v>44</v>
      </c>
      <c r="E3094" s="1" t="n">
        <v>4.84</v>
      </c>
      <c r="F3094" s="1" t="n">
        <v>0.3</v>
      </c>
    </row>
    <row collapsed="false" customFormat="false" customHeight="false" hidden="false" ht="14.75" outlineLevel="0" r="3095">
      <c r="A3095" s="1" t="s">
        <v>2199</v>
      </c>
      <c r="B3095" s="1" t="s">
        <v>2190</v>
      </c>
      <c r="C3095" s="1" t="s">
        <v>2040</v>
      </c>
      <c r="D3095" s="1" t="n">
        <v>57.5</v>
      </c>
      <c r="E3095" s="1" t="n">
        <v>6.94</v>
      </c>
      <c r="F3095" s="1" t="n">
        <v>0</v>
      </c>
    </row>
    <row collapsed="false" customFormat="false" customHeight="false" hidden="false" ht="14.75" outlineLevel="0" r="3096">
      <c r="A3096" s="1" t="s">
        <v>2200</v>
      </c>
      <c r="B3096" s="1" t="s">
        <v>2201</v>
      </c>
      <c r="C3096" s="1" t="s">
        <v>2055</v>
      </c>
      <c r="D3096" s="1" t="n">
        <v>245.6</v>
      </c>
      <c r="E3096" s="1" t="n">
        <v>14.4</v>
      </c>
      <c r="F3096" s="1" t="n">
        <f aca="false">22/9</f>
        <v>2.44444444444444</v>
      </c>
    </row>
    <row collapsed="false" customFormat="false" customHeight="false" hidden="false" ht="14.75" outlineLevel="0" r="3097">
      <c r="A3097" s="1" t="s">
        <v>1939</v>
      </c>
      <c r="B3097" s="1" t="s">
        <v>2201</v>
      </c>
      <c r="C3097" s="1" t="s">
        <v>2055</v>
      </c>
      <c r="D3097" s="1" t="n">
        <v>292.2</v>
      </c>
      <c r="E3097" s="1" t="n">
        <v>18.09</v>
      </c>
      <c r="F3097" s="1" t="n">
        <f aca="false">12/9</f>
        <v>1.33333333333333</v>
      </c>
    </row>
    <row collapsed="false" customFormat="false" customHeight="false" hidden="false" ht="14.75" outlineLevel="0" r="3098">
      <c r="A3098" s="1" t="s">
        <v>2202</v>
      </c>
      <c r="B3098" s="1" t="s">
        <v>2201</v>
      </c>
      <c r="C3098" s="1" t="s">
        <v>2055</v>
      </c>
      <c r="D3098" s="1" t="n">
        <v>119.4</v>
      </c>
      <c r="E3098" s="1" t="n">
        <v>10.64</v>
      </c>
      <c r="F3098" s="1" t="n">
        <f aca="false">6/8</f>
        <v>0.75</v>
      </c>
    </row>
    <row collapsed="false" customFormat="false" customHeight="false" hidden="false" ht="14.75" outlineLevel="0" r="3099">
      <c r="A3099" s="1" t="s">
        <v>1940</v>
      </c>
      <c r="B3099" s="1" t="s">
        <v>2201</v>
      </c>
      <c r="C3099" s="1" t="s">
        <v>2055</v>
      </c>
      <c r="D3099" s="1" t="n">
        <v>79.4</v>
      </c>
      <c r="E3099" s="1" t="n">
        <v>7.3</v>
      </c>
      <c r="F3099" s="1" t="n">
        <f aca="false">1/8</f>
        <v>0.125</v>
      </c>
    </row>
    <row collapsed="false" customFormat="false" customHeight="false" hidden="false" ht="14.75" outlineLevel="0" r="3100">
      <c r="A3100" s="1" t="s">
        <v>409</v>
      </c>
      <c r="B3100" s="1" t="s">
        <v>2201</v>
      </c>
      <c r="C3100" s="1" t="s">
        <v>2055</v>
      </c>
      <c r="D3100" s="1" t="n">
        <v>28.8</v>
      </c>
      <c r="E3100" s="1" t="n">
        <v>3.33</v>
      </c>
      <c r="F3100" s="1" t="n">
        <v>0</v>
      </c>
    </row>
    <row collapsed="false" customFormat="false" customHeight="false" hidden="false" ht="14.75" outlineLevel="0" r="3101">
      <c r="A3101" s="1" t="s">
        <v>1648</v>
      </c>
      <c r="B3101" s="1" t="s">
        <v>2203</v>
      </c>
      <c r="C3101" s="1" t="s">
        <v>1960</v>
      </c>
      <c r="D3101" s="1" t="n">
        <v>435</v>
      </c>
      <c r="E3101" s="1" t="n">
        <v>21.19</v>
      </c>
      <c r="F3101" s="1" t="n">
        <v>5.9</v>
      </c>
    </row>
    <row collapsed="false" customFormat="false" customHeight="false" hidden="false" ht="14.75" outlineLevel="0" r="3102">
      <c r="A3102" s="1" t="s">
        <v>2204</v>
      </c>
      <c r="B3102" s="1" t="s">
        <v>2203</v>
      </c>
      <c r="C3102" s="1" t="s">
        <v>1960</v>
      </c>
      <c r="D3102" s="1" t="n">
        <v>352.5</v>
      </c>
      <c r="E3102" s="1" t="n">
        <v>21.18</v>
      </c>
      <c r="F3102" s="1" t="n">
        <v>3.8</v>
      </c>
    </row>
    <row collapsed="false" customFormat="false" customHeight="false" hidden="false" ht="14.75" outlineLevel="0" r="3103">
      <c r="A3103" s="1" t="s">
        <v>888</v>
      </c>
      <c r="B3103" s="1" t="s">
        <v>2203</v>
      </c>
      <c r="C3103" s="1" t="s">
        <v>1960</v>
      </c>
      <c r="D3103" s="1" t="n">
        <v>328</v>
      </c>
      <c r="E3103" s="1" t="n">
        <v>18.57</v>
      </c>
      <c r="F3103" s="1" t="n">
        <v>3</v>
      </c>
    </row>
    <row collapsed="false" customFormat="false" customHeight="false" hidden="false" ht="14.75" outlineLevel="0" r="3104">
      <c r="A3104" s="1" t="s">
        <v>1649</v>
      </c>
      <c r="B3104" s="1" t="s">
        <v>2203</v>
      </c>
      <c r="C3104" s="1" t="s">
        <v>1960</v>
      </c>
      <c r="D3104" s="1" t="n">
        <v>325.5</v>
      </c>
      <c r="E3104" s="1" t="n">
        <v>18.6</v>
      </c>
      <c r="F3104" s="1" t="n">
        <v>4</v>
      </c>
    </row>
    <row collapsed="false" customFormat="false" customHeight="false" hidden="false" ht="14.75" outlineLevel="0" r="3105">
      <c r="A3105" s="1" t="s">
        <v>2014</v>
      </c>
      <c r="B3105" s="1" t="s">
        <v>2203</v>
      </c>
      <c r="C3105" s="1" t="s">
        <v>1960</v>
      </c>
      <c r="D3105" s="1" t="n">
        <v>312</v>
      </c>
      <c r="E3105" s="1" t="n">
        <v>18.29</v>
      </c>
      <c r="F3105" s="1" t="n">
        <v>3.4</v>
      </c>
    </row>
    <row collapsed="false" customFormat="false" customHeight="false" hidden="false" ht="14.75" outlineLevel="0" r="3106">
      <c r="A3106" s="1" t="s">
        <v>628</v>
      </c>
      <c r="B3106" s="1" t="s">
        <v>2203</v>
      </c>
      <c r="C3106" s="1" t="s">
        <v>1960</v>
      </c>
      <c r="D3106" s="1" t="n">
        <v>242.5</v>
      </c>
      <c r="E3106" s="1" t="n">
        <v>15.52</v>
      </c>
      <c r="F3106" s="1" t="n">
        <v>2.7</v>
      </c>
    </row>
    <row collapsed="false" customFormat="false" customHeight="false" hidden="false" ht="14.75" outlineLevel="0" r="3107">
      <c r="A3107" s="1" t="s">
        <v>2205</v>
      </c>
      <c r="B3107" s="1" t="s">
        <v>2203</v>
      </c>
      <c r="C3107" s="1" t="s">
        <v>1960</v>
      </c>
      <c r="D3107" s="1" t="n">
        <v>287.5</v>
      </c>
      <c r="E3107" s="1" t="n">
        <v>18.14</v>
      </c>
      <c r="F3107" s="1" t="n">
        <v>2.6</v>
      </c>
    </row>
    <row collapsed="false" customFormat="false" customHeight="false" hidden="false" ht="14.75" outlineLevel="0" r="3108">
      <c r="A3108" s="1" t="s">
        <v>2206</v>
      </c>
      <c r="B3108" s="1" t="s">
        <v>2203</v>
      </c>
      <c r="C3108" s="1" t="s">
        <v>1960</v>
      </c>
      <c r="D3108" s="1" t="n">
        <v>243.5</v>
      </c>
      <c r="E3108" s="1" t="n">
        <v>18.39</v>
      </c>
      <c r="F3108" s="1" t="n">
        <v>1.8</v>
      </c>
    </row>
    <row collapsed="false" customFormat="false" customHeight="false" hidden="false" ht="14.75" outlineLevel="0" r="3109">
      <c r="A3109" s="1" t="s">
        <v>572</v>
      </c>
      <c r="B3109" s="1" t="s">
        <v>2203</v>
      </c>
      <c r="C3109" s="1" t="s">
        <v>1960</v>
      </c>
      <c r="D3109" s="1" t="n">
        <v>127.5</v>
      </c>
      <c r="E3109" s="1" t="n">
        <v>9.14</v>
      </c>
      <c r="F3109" s="1" t="n">
        <v>2</v>
      </c>
    </row>
    <row collapsed="false" customFormat="false" customHeight="false" hidden="false" ht="14.75" outlineLevel="0" r="3110">
      <c r="A3110" s="1" t="s">
        <v>597</v>
      </c>
      <c r="B3110" s="1" t="s">
        <v>2203</v>
      </c>
      <c r="C3110" s="1" t="s">
        <v>1960</v>
      </c>
      <c r="D3110" s="1" t="n">
        <v>254</v>
      </c>
      <c r="E3110" s="1" t="n">
        <v>16.15</v>
      </c>
      <c r="F3110" s="1" t="n">
        <v>3.1</v>
      </c>
    </row>
    <row collapsed="false" customFormat="false" customHeight="false" hidden="false" ht="14.75" outlineLevel="0" r="3111">
      <c r="A3111" s="1" t="s">
        <v>2207</v>
      </c>
      <c r="B3111" s="1" t="s">
        <v>2203</v>
      </c>
      <c r="C3111" s="1" t="s">
        <v>1960</v>
      </c>
      <c r="D3111" s="1" t="n">
        <v>167.5</v>
      </c>
      <c r="E3111" s="1" t="n">
        <v>12.69</v>
      </c>
      <c r="F3111" s="1" t="n">
        <v>1.8</v>
      </c>
    </row>
    <row collapsed="false" customFormat="false" customHeight="false" hidden="false" ht="14.75" outlineLevel="0" r="3112">
      <c r="A3112" s="1" t="s">
        <v>2208</v>
      </c>
      <c r="B3112" s="1" t="s">
        <v>2203</v>
      </c>
      <c r="C3112" s="1" t="s">
        <v>1960</v>
      </c>
      <c r="D3112" s="1" t="n">
        <v>205.5</v>
      </c>
      <c r="E3112" s="1" t="n">
        <v>14.48</v>
      </c>
      <c r="F3112" s="1" t="n">
        <v>0.9</v>
      </c>
    </row>
    <row collapsed="false" customFormat="false" customHeight="false" hidden="false" ht="14.75" outlineLevel="0" r="3113">
      <c r="A3113" s="1" t="s">
        <v>2209</v>
      </c>
      <c r="B3113" s="1" t="s">
        <v>2203</v>
      </c>
      <c r="C3113" s="1" t="s">
        <v>1960</v>
      </c>
      <c r="D3113" s="1" t="n">
        <v>182</v>
      </c>
      <c r="E3113" s="1" t="n">
        <v>12.8</v>
      </c>
      <c r="F3113" s="1" t="n">
        <v>2.2</v>
      </c>
    </row>
    <row collapsed="false" customFormat="false" customHeight="false" hidden="false" ht="14.75" outlineLevel="0" r="3114">
      <c r="A3114" s="1" t="s">
        <v>629</v>
      </c>
      <c r="B3114" s="1" t="s">
        <v>2203</v>
      </c>
      <c r="C3114" s="1" t="s">
        <v>1960</v>
      </c>
      <c r="D3114" s="1" t="n">
        <v>164</v>
      </c>
      <c r="E3114" s="1" t="n">
        <v>12.27</v>
      </c>
      <c r="F3114" s="1" t="n">
        <v>1.6</v>
      </c>
    </row>
    <row collapsed="false" customFormat="false" customHeight="false" hidden="false" ht="14.75" outlineLevel="0" r="3115">
      <c r="A3115" s="1" t="s">
        <v>2210</v>
      </c>
      <c r="B3115" s="1" t="s">
        <v>2203</v>
      </c>
      <c r="C3115" s="1" t="s">
        <v>1960</v>
      </c>
      <c r="D3115" s="1" t="n">
        <v>101.5</v>
      </c>
      <c r="E3115" s="1" t="n">
        <v>10.71</v>
      </c>
      <c r="F3115" s="1" t="n">
        <v>0.9</v>
      </c>
    </row>
    <row collapsed="false" customFormat="false" customHeight="false" hidden="false" ht="14.75" outlineLevel="0" r="3116">
      <c r="A3116" s="1" t="s">
        <v>598</v>
      </c>
      <c r="B3116" s="1" t="s">
        <v>2203</v>
      </c>
      <c r="C3116" s="1" t="s">
        <v>1960</v>
      </c>
      <c r="D3116" s="1" t="n">
        <v>85</v>
      </c>
      <c r="E3116" s="1" t="n">
        <v>6.73</v>
      </c>
      <c r="F3116" s="1" t="n">
        <v>0.6</v>
      </c>
    </row>
    <row collapsed="false" customFormat="false" customHeight="false" hidden="false" ht="14.75" outlineLevel="0" r="3117">
      <c r="A3117" s="1" t="s">
        <v>2211</v>
      </c>
      <c r="B3117" s="1" t="s">
        <v>2203</v>
      </c>
      <c r="C3117" s="1" t="s">
        <v>1960</v>
      </c>
      <c r="D3117" s="1" t="n">
        <v>83.5</v>
      </c>
      <c r="E3117" s="1" t="n">
        <v>8.94</v>
      </c>
      <c r="F3117" s="1" t="n">
        <v>0.5</v>
      </c>
    </row>
    <row collapsed="false" customFormat="false" customHeight="false" hidden="false" ht="14.75" outlineLevel="0" r="3118">
      <c r="A3118" s="1" t="s">
        <v>937</v>
      </c>
      <c r="B3118" s="1" t="s">
        <v>2203</v>
      </c>
      <c r="C3118" s="1" t="s">
        <v>1960</v>
      </c>
      <c r="D3118" s="1" t="n">
        <v>63.5</v>
      </c>
      <c r="E3118" s="1" t="n">
        <v>6.92</v>
      </c>
      <c r="F3118" s="1" t="n">
        <v>0.1</v>
      </c>
    </row>
    <row collapsed="false" customFormat="false" customHeight="false" hidden="false" ht="14.75" outlineLevel="0" r="3119">
      <c r="A3119" s="1" t="s">
        <v>865</v>
      </c>
      <c r="B3119" s="1" t="s">
        <v>2212</v>
      </c>
      <c r="C3119" s="1" t="s">
        <v>2213</v>
      </c>
      <c r="D3119" s="1" t="n">
        <v>453.3</v>
      </c>
      <c r="E3119" s="1" t="n">
        <v>23.49</v>
      </c>
      <c r="F3119" s="1" t="s">
        <v>9</v>
      </c>
    </row>
    <row collapsed="false" customFormat="false" customHeight="false" hidden="false" ht="14.75" outlineLevel="0" r="3120">
      <c r="A3120" s="1" t="s">
        <v>2214</v>
      </c>
      <c r="B3120" s="1" t="s">
        <v>2212</v>
      </c>
      <c r="C3120" s="1" t="s">
        <v>2213</v>
      </c>
      <c r="D3120" s="1" t="n">
        <v>418.3</v>
      </c>
      <c r="E3120" s="1" t="n">
        <v>23.08</v>
      </c>
      <c r="F3120" s="1" t="s">
        <v>9</v>
      </c>
    </row>
    <row collapsed="false" customFormat="false" customHeight="false" hidden="false" ht="14.75" outlineLevel="0" r="3121">
      <c r="A3121" s="1" t="s">
        <v>1096</v>
      </c>
      <c r="B3121" s="1" t="s">
        <v>2212</v>
      </c>
      <c r="C3121" s="1" t="s">
        <v>2213</v>
      </c>
      <c r="D3121" s="1" t="n">
        <v>340</v>
      </c>
      <c r="E3121" s="1" t="n">
        <v>21.94</v>
      </c>
      <c r="F3121" s="1" t="s">
        <v>9</v>
      </c>
    </row>
    <row collapsed="false" customFormat="false" customHeight="false" hidden="false" ht="14.75" outlineLevel="0" r="3122">
      <c r="A3122" s="1" t="s">
        <v>1754</v>
      </c>
      <c r="B3122" s="1" t="s">
        <v>2212</v>
      </c>
      <c r="C3122" s="1" t="s">
        <v>2213</v>
      </c>
      <c r="D3122" s="1" t="n">
        <v>333.8</v>
      </c>
      <c r="E3122" s="1" t="n">
        <v>18.44</v>
      </c>
      <c r="F3122" s="1" t="s">
        <v>9</v>
      </c>
    </row>
    <row collapsed="false" customFormat="false" customHeight="false" hidden="false" ht="14.75" outlineLevel="0" r="3123">
      <c r="A3123" s="1" t="s">
        <v>2215</v>
      </c>
      <c r="B3123" s="1" t="s">
        <v>2212</v>
      </c>
      <c r="C3123" s="1" t="s">
        <v>2213</v>
      </c>
      <c r="D3123" s="1" t="n">
        <v>264.1</v>
      </c>
      <c r="E3123" s="1" t="n">
        <v>18.38</v>
      </c>
      <c r="F3123" s="1" t="s">
        <v>9</v>
      </c>
    </row>
    <row collapsed="false" customFormat="false" customHeight="false" hidden="false" ht="14.75" outlineLevel="0" r="3124">
      <c r="A3124" s="1" t="s">
        <v>2216</v>
      </c>
      <c r="B3124" s="1" t="s">
        <v>2212</v>
      </c>
      <c r="C3124" s="1" t="s">
        <v>2213</v>
      </c>
      <c r="D3124" s="1" t="n">
        <v>236.4</v>
      </c>
      <c r="E3124" s="1" t="n">
        <v>17.3</v>
      </c>
      <c r="F3124" s="1" t="s">
        <v>9</v>
      </c>
    </row>
    <row collapsed="false" customFormat="false" customHeight="false" hidden="false" ht="14.75" outlineLevel="0" r="3125">
      <c r="A3125" s="1" t="s">
        <v>1765</v>
      </c>
      <c r="B3125" s="1" t="s">
        <v>2212</v>
      </c>
      <c r="C3125" s="1" t="s">
        <v>2213</v>
      </c>
      <c r="D3125" s="1" t="n">
        <v>190.5</v>
      </c>
      <c r="E3125" s="1" t="n">
        <v>15.57</v>
      </c>
      <c r="F3125" s="1" t="s">
        <v>9</v>
      </c>
    </row>
    <row collapsed="false" customFormat="false" customHeight="false" hidden="false" ht="14.75" outlineLevel="0" r="3126">
      <c r="A3126" s="1" t="s">
        <v>2217</v>
      </c>
      <c r="B3126" s="1" t="s">
        <v>2212</v>
      </c>
      <c r="C3126" s="1" t="s">
        <v>2213</v>
      </c>
      <c r="D3126" s="1" t="n">
        <v>180.9</v>
      </c>
      <c r="E3126" s="1" t="n">
        <v>15.18</v>
      </c>
      <c r="F3126" s="1" t="s">
        <v>9</v>
      </c>
    </row>
    <row collapsed="false" customFormat="false" customHeight="false" hidden="false" ht="14.75" outlineLevel="0" r="3127">
      <c r="A3127" s="1" t="s">
        <v>1755</v>
      </c>
      <c r="B3127" s="1" t="s">
        <v>2212</v>
      </c>
      <c r="C3127" s="1" t="s">
        <v>2213</v>
      </c>
      <c r="D3127" s="1" t="n">
        <v>246.7</v>
      </c>
      <c r="E3127" s="1" t="n">
        <v>14.89</v>
      </c>
      <c r="F3127" s="1" t="s">
        <v>9</v>
      </c>
    </row>
    <row collapsed="false" customFormat="false" customHeight="false" hidden="false" ht="14.75" outlineLevel="0" r="3128">
      <c r="A3128" s="1" t="s">
        <v>866</v>
      </c>
      <c r="B3128" s="1" t="s">
        <v>2212</v>
      </c>
      <c r="C3128" s="1" t="s">
        <v>2213</v>
      </c>
      <c r="D3128" s="1" t="n">
        <v>210</v>
      </c>
      <c r="E3128" s="1" t="n">
        <v>14.44</v>
      </c>
      <c r="F3128" s="1" t="s">
        <v>9</v>
      </c>
    </row>
    <row collapsed="false" customFormat="false" customHeight="false" hidden="false" ht="14.75" outlineLevel="0" r="3129">
      <c r="A3129" s="1" t="s">
        <v>224</v>
      </c>
      <c r="B3129" s="1" t="s">
        <v>2212</v>
      </c>
      <c r="C3129" s="1" t="s">
        <v>2213</v>
      </c>
      <c r="D3129" s="1" t="n">
        <v>122.2</v>
      </c>
      <c r="E3129" s="1" t="n">
        <v>10.83</v>
      </c>
      <c r="F3129" s="1" t="s">
        <v>9</v>
      </c>
    </row>
    <row collapsed="false" customFormat="false" customHeight="false" hidden="false" ht="14.75" outlineLevel="0" r="3130">
      <c r="A3130" s="1" t="s">
        <v>215</v>
      </c>
      <c r="B3130" s="1" t="s">
        <v>2212</v>
      </c>
      <c r="C3130" s="1" t="s">
        <v>2213</v>
      </c>
      <c r="D3130" s="1" t="n">
        <v>215.6</v>
      </c>
      <c r="E3130" s="1" t="n">
        <v>15.25</v>
      </c>
      <c r="F3130" s="1" t="s">
        <v>9</v>
      </c>
    </row>
    <row collapsed="false" customFormat="false" customHeight="false" hidden="false" ht="14.75" outlineLevel="0" r="3131">
      <c r="A3131" s="1" t="s">
        <v>1766</v>
      </c>
      <c r="B3131" s="1" t="s">
        <v>2212</v>
      </c>
      <c r="C3131" s="1" t="s">
        <v>2213</v>
      </c>
      <c r="D3131" s="1" t="n">
        <v>218</v>
      </c>
      <c r="E3131" s="1" t="n">
        <v>14.35</v>
      </c>
      <c r="F3131" s="1" t="s">
        <v>9</v>
      </c>
    </row>
    <row collapsed="false" customFormat="false" customHeight="false" hidden="false" ht="14.75" outlineLevel="0" r="3132">
      <c r="A3132" s="1" t="s">
        <v>1767</v>
      </c>
      <c r="B3132" s="1" t="s">
        <v>2212</v>
      </c>
      <c r="C3132" s="1" t="s">
        <v>2213</v>
      </c>
      <c r="D3132" s="1" t="n">
        <v>165</v>
      </c>
      <c r="E3132" s="1" t="n">
        <v>13.61</v>
      </c>
      <c r="F3132" s="1" t="s">
        <v>9</v>
      </c>
    </row>
    <row collapsed="false" customFormat="false" customHeight="false" hidden="false" ht="14.75" outlineLevel="0" r="3133">
      <c r="A3133" s="1" t="s">
        <v>2218</v>
      </c>
      <c r="B3133" s="1" t="s">
        <v>2212</v>
      </c>
      <c r="C3133" s="1" t="s">
        <v>2213</v>
      </c>
      <c r="D3133" s="1" t="n">
        <v>161.3</v>
      </c>
      <c r="E3133" s="1" t="n">
        <v>13.26</v>
      </c>
      <c r="F3133" s="1" t="s">
        <v>9</v>
      </c>
    </row>
    <row collapsed="false" customFormat="false" customHeight="false" hidden="false" ht="14.75" outlineLevel="0" r="3134">
      <c r="A3134" s="1" t="s">
        <v>2219</v>
      </c>
      <c r="B3134" s="1" t="s">
        <v>2212</v>
      </c>
      <c r="C3134" s="1" t="s">
        <v>2213</v>
      </c>
      <c r="D3134" s="1" t="n">
        <v>151.7</v>
      </c>
      <c r="E3134" s="1" t="n">
        <v>11.01</v>
      </c>
      <c r="F3134" s="1" t="s">
        <v>9</v>
      </c>
    </row>
    <row collapsed="false" customFormat="false" customHeight="false" hidden="false" ht="14.75" outlineLevel="0" r="3135">
      <c r="A3135" s="1" t="s">
        <v>2220</v>
      </c>
      <c r="B3135" s="1" t="s">
        <v>2212</v>
      </c>
      <c r="C3135" s="1" t="s">
        <v>2213</v>
      </c>
      <c r="D3135" s="1" t="n">
        <v>194.4</v>
      </c>
      <c r="E3135" s="1" t="n">
        <v>12.14</v>
      </c>
      <c r="F3135" s="1" t="s">
        <v>9</v>
      </c>
    </row>
    <row collapsed="false" customFormat="false" customHeight="false" hidden="false" ht="14.75" outlineLevel="0" r="3136">
      <c r="A3136" s="1" t="s">
        <v>1098</v>
      </c>
      <c r="B3136" s="1" t="s">
        <v>2212</v>
      </c>
      <c r="C3136" s="1" t="s">
        <v>2213</v>
      </c>
      <c r="D3136" s="1" t="n">
        <v>134.5</v>
      </c>
      <c r="E3136" s="1" t="n">
        <v>10.59</v>
      </c>
      <c r="F3136" s="1" t="s">
        <v>9</v>
      </c>
    </row>
    <row collapsed="false" customFormat="false" customHeight="false" hidden="false" ht="14.75" outlineLevel="0" r="3137">
      <c r="A3137" s="1" t="s">
        <v>223</v>
      </c>
      <c r="B3137" s="1" t="s">
        <v>2212</v>
      </c>
      <c r="C3137" s="1" t="s">
        <v>2213</v>
      </c>
      <c r="D3137" s="1" t="n">
        <v>208.9</v>
      </c>
      <c r="E3137" s="1" t="n">
        <v>14.02</v>
      </c>
      <c r="F3137" s="1" t="s">
        <v>9</v>
      </c>
    </row>
    <row collapsed="false" customFormat="false" customHeight="false" hidden="false" ht="14.75" outlineLevel="0" r="3138">
      <c r="A3138" s="1" t="s">
        <v>2221</v>
      </c>
      <c r="B3138" s="1" t="s">
        <v>2212</v>
      </c>
      <c r="C3138" s="1" t="s">
        <v>2213</v>
      </c>
      <c r="D3138" s="1" t="n">
        <v>84</v>
      </c>
      <c r="E3138" s="1" t="n">
        <v>8.88</v>
      </c>
      <c r="F3138" s="1" t="s">
        <v>9</v>
      </c>
    </row>
    <row collapsed="false" customFormat="false" customHeight="false" hidden="false" ht="14.75" outlineLevel="0" r="3139">
      <c r="A3139" s="1" t="s">
        <v>225</v>
      </c>
      <c r="B3139" s="1" t="s">
        <v>2212</v>
      </c>
      <c r="C3139" s="1" t="s">
        <v>2213</v>
      </c>
      <c r="D3139" s="1" t="n">
        <v>52.5</v>
      </c>
      <c r="E3139" s="1" t="n">
        <v>5.26</v>
      </c>
      <c r="F3139" s="1" t="s">
        <v>9</v>
      </c>
    </row>
    <row collapsed="false" customFormat="false" customHeight="false" hidden="false" ht="14.75" outlineLevel="0" r="3140">
      <c r="A3140" s="1" t="s">
        <v>2222</v>
      </c>
      <c r="B3140" s="1" t="s">
        <v>2212</v>
      </c>
      <c r="C3140" s="1" t="s">
        <v>2213</v>
      </c>
      <c r="D3140" s="1" t="n">
        <v>81.4</v>
      </c>
      <c r="E3140" s="1" t="n">
        <v>8.53</v>
      </c>
      <c r="F3140" s="1" t="s">
        <v>9</v>
      </c>
    </row>
    <row collapsed="false" customFormat="false" customHeight="false" hidden="false" ht="14.75" outlineLevel="0" r="3141">
      <c r="A3141" s="1" t="s">
        <v>2223</v>
      </c>
      <c r="B3141" s="1" t="s">
        <v>2212</v>
      </c>
      <c r="C3141" s="1" t="s">
        <v>2213</v>
      </c>
      <c r="D3141" s="1" t="n">
        <v>37.5</v>
      </c>
      <c r="E3141" s="1" t="n">
        <v>7.08</v>
      </c>
      <c r="F3141" s="1" t="s">
        <v>9</v>
      </c>
    </row>
    <row collapsed="false" customFormat="false" customHeight="false" hidden="false" ht="14.75" outlineLevel="0" r="3142">
      <c r="A3142" s="1" t="s">
        <v>2224</v>
      </c>
      <c r="B3142" s="1" t="s">
        <v>2212</v>
      </c>
      <c r="C3142" s="1" t="s">
        <v>2213</v>
      </c>
      <c r="D3142" s="1" t="n">
        <v>17</v>
      </c>
      <c r="E3142" s="1" t="n">
        <v>1.11</v>
      </c>
      <c r="F3142" s="1" t="s">
        <v>9</v>
      </c>
    </row>
    <row collapsed="false" customFormat="false" customHeight="false" hidden="false" ht="14.75" outlineLevel="0" r="3143">
      <c r="A3143" s="1" t="s">
        <v>266</v>
      </c>
      <c r="B3143" s="1" t="s">
        <v>2225</v>
      </c>
      <c r="C3143" s="1" t="s">
        <v>2226</v>
      </c>
      <c r="D3143" s="1" t="n">
        <v>495</v>
      </c>
      <c r="E3143" s="1" t="n">
        <v>22.97</v>
      </c>
      <c r="F3143" s="1" t="n">
        <f aca="false">56/9</f>
        <v>6.22222222222222</v>
      </c>
    </row>
    <row collapsed="false" customFormat="false" customHeight="false" hidden="false" ht="14.75" outlineLevel="0" r="3144">
      <c r="A3144" s="1" t="s">
        <v>2227</v>
      </c>
      <c r="B3144" s="1" t="s">
        <v>2225</v>
      </c>
      <c r="C3144" s="1" t="s">
        <v>2226</v>
      </c>
      <c r="D3144" s="1" t="n">
        <v>361.9</v>
      </c>
      <c r="E3144" s="1" t="n">
        <v>18.58</v>
      </c>
      <c r="F3144" s="1" t="n">
        <f aca="false">13/8</f>
        <v>1.625</v>
      </c>
    </row>
    <row collapsed="false" customFormat="false" customHeight="false" hidden="false" ht="14.75" outlineLevel="0" r="3145">
      <c r="A3145" s="1" t="s">
        <v>2228</v>
      </c>
      <c r="B3145" s="1" t="s">
        <v>2225</v>
      </c>
      <c r="C3145" s="1" t="s">
        <v>2226</v>
      </c>
      <c r="D3145" s="1" t="n">
        <v>320.6</v>
      </c>
      <c r="E3145" s="1" t="n">
        <v>17.88</v>
      </c>
      <c r="F3145" s="1" t="n">
        <f aca="false">13/8</f>
        <v>1.625</v>
      </c>
    </row>
    <row collapsed="false" customFormat="false" customHeight="false" hidden="false" ht="14.75" outlineLevel="0" r="3146">
      <c r="A3146" s="1" t="s">
        <v>2229</v>
      </c>
      <c r="B3146" s="1" t="s">
        <v>2225</v>
      </c>
      <c r="C3146" s="1" t="s">
        <v>2226</v>
      </c>
      <c r="D3146" s="1" t="n">
        <v>241.9</v>
      </c>
      <c r="E3146" s="1" t="n">
        <v>15.87</v>
      </c>
      <c r="F3146" s="1" t="n">
        <f aca="false">14/8</f>
        <v>1.75</v>
      </c>
    </row>
    <row collapsed="false" customFormat="false" customHeight="false" hidden="false" ht="14.75" outlineLevel="0" r="3147">
      <c r="A3147" s="1" t="s">
        <v>2230</v>
      </c>
      <c r="B3147" s="1" t="s">
        <v>2225</v>
      </c>
      <c r="C3147" s="1" t="s">
        <v>2226</v>
      </c>
      <c r="D3147" s="1" t="n">
        <v>133.1</v>
      </c>
      <c r="E3147" s="1" t="n">
        <v>10.77</v>
      </c>
      <c r="F3147" s="1" t="n">
        <f aca="false">13/8</f>
        <v>1.625</v>
      </c>
    </row>
    <row collapsed="false" customFormat="false" customHeight="false" hidden="false" ht="14.75" outlineLevel="0" r="3148">
      <c r="A3148" s="1" t="s">
        <v>2231</v>
      </c>
      <c r="B3148" s="1" t="s">
        <v>2225</v>
      </c>
      <c r="C3148" s="1" t="s">
        <v>2226</v>
      </c>
      <c r="D3148" s="1" t="n">
        <v>124.4</v>
      </c>
      <c r="E3148" s="1" t="n">
        <v>9.8</v>
      </c>
      <c r="F3148" s="1" t="n">
        <f aca="false">8/8</f>
        <v>1</v>
      </c>
    </row>
    <row collapsed="false" customFormat="false" customHeight="false" hidden="false" ht="14.75" outlineLevel="0" r="3149">
      <c r="A3149" s="1" t="s">
        <v>557</v>
      </c>
      <c r="B3149" s="1" t="s">
        <v>2225</v>
      </c>
      <c r="C3149" s="1" t="s">
        <v>2226</v>
      </c>
      <c r="D3149" s="1" t="n">
        <v>118.1</v>
      </c>
      <c r="E3149" s="1" t="n">
        <v>12.09</v>
      </c>
      <c r="F3149" s="1" t="n">
        <f aca="false">4/8</f>
        <v>0.5</v>
      </c>
    </row>
    <row collapsed="false" customFormat="false" customHeight="false" hidden="false" ht="14.75" outlineLevel="0" r="3150">
      <c r="A3150" s="1" t="s">
        <v>280</v>
      </c>
      <c r="B3150" s="1" t="s">
        <v>2225</v>
      </c>
      <c r="C3150" s="1" t="s">
        <v>2226</v>
      </c>
      <c r="D3150" s="1" t="n">
        <v>111.2</v>
      </c>
      <c r="E3150" s="1" t="n">
        <v>10.1</v>
      </c>
      <c r="F3150" s="1" t="n">
        <f aca="false">5/8</f>
        <v>0.625</v>
      </c>
    </row>
    <row collapsed="false" customFormat="false" customHeight="false" hidden="false" ht="14.75" outlineLevel="0" r="3151">
      <c r="A3151" s="1" t="s">
        <v>580</v>
      </c>
      <c r="B3151" s="1" t="s">
        <v>2225</v>
      </c>
      <c r="C3151" s="1" t="s">
        <v>2226</v>
      </c>
      <c r="D3151" s="1" t="n">
        <v>90.6</v>
      </c>
      <c r="E3151" s="1" t="n">
        <v>10</v>
      </c>
      <c r="F3151" s="1" t="n">
        <f aca="false">4/8</f>
        <v>0.5</v>
      </c>
    </row>
    <row collapsed="false" customFormat="false" customHeight="false" hidden="false" ht="14.75" outlineLevel="0" r="3152">
      <c r="A3152" s="1" t="s">
        <v>2232</v>
      </c>
      <c r="B3152" s="1" t="s">
        <v>2225</v>
      </c>
      <c r="C3152" s="1" t="s">
        <v>2226</v>
      </c>
      <c r="D3152" s="1" t="n">
        <v>555</v>
      </c>
      <c r="E3152" s="1" t="n">
        <v>24.42</v>
      </c>
      <c r="F3152" s="1" t="n">
        <v>6.2</v>
      </c>
    </row>
    <row collapsed="false" customFormat="false" customHeight="false" hidden="false" ht="14.75" outlineLevel="0" r="3153">
      <c r="A3153" s="1" t="s">
        <v>267</v>
      </c>
      <c r="B3153" s="1" t="s">
        <v>2225</v>
      </c>
      <c r="C3153" s="1" t="s">
        <v>2226</v>
      </c>
      <c r="D3153" s="1" t="n">
        <v>382.2</v>
      </c>
      <c r="E3153" s="1" t="n">
        <v>19.82</v>
      </c>
      <c r="F3153" s="1" t="n">
        <f aca="false">33/9</f>
        <v>3.66666666666667</v>
      </c>
    </row>
    <row collapsed="false" customFormat="false" customHeight="false" hidden="false" ht="14.75" outlineLevel="0" r="3154">
      <c r="A3154" s="1" t="s">
        <v>279</v>
      </c>
      <c r="B3154" s="1" t="s">
        <v>2225</v>
      </c>
      <c r="C3154" s="1" t="s">
        <v>2226</v>
      </c>
      <c r="D3154" s="1" t="n">
        <v>369.4</v>
      </c>
      <c r="E3154" s="1" t="n">
        <v>20.14</v>
      </c>
      <c r="F3154" s="1" t="n">
        <f aca="false">21/9</f>
        <v>2.33333333333333</v>
      </c>
    </row>
    <row collapsed="false" customFormat="false" customHeight="false" hidden="false" ht="14.75" outlineLevel="0" r="3155">
      <c r="A3155" s="1" t="s">
        <v>2233</v>
      </c>
      <c r="B3155" s="1" t="s">
        <v>2225</v>
      </c>
      <c r="C3155" s="1" t="s">
        <v>2226</v>
      </c>
      <c r="D3155" s="1" t="n">
        <v>209.4</v>
      </c>
      <c r="E3155" s="1" t="n">
        <v>15.39</v>
      </c>
      <c r="F3155" s="1" t="n">
        <f aca="false">11/9</f>
        <v>1.22222222222222</v>
      </c>
    </row>
    <row collapsed="false" customFormat="false" customHeight="false" hidden="false" ht="14.75" outlineLevel="0" r="3156">
      <c r="A3156" s="1" t="s">
        <v>2234</v>
      </c>
      <c r="B3156" s="1" t="s">
        <v>2225</v>
      </c>
      <c r="C3156" s="1" t="s">
        <v>2226</v>
      </c>
      <c r="D3156" s="1" t="n">
        <v>205</v>
      </c>
      <c r="E3156" s="1" t="n">
        <v>15.67</v>
      </c>
      <c r="F3156" s="1" t="n">
        <f aca="false">12/9</f>
        <v>1.33333333333333</v>
      </c>
    </row>
    <row collapsed="false" customFormat="false" customHeight="false" hidden="false" ht="14.75" outlineLevel="0" r="3157">
      <c r="A3157" s="1" t="s">
        <v>281</v>
      </c>
      <c r="B3157" s="1" t="s">
        <v>2225</v>
      </c>
      <c r="C3157" s="1" t="s">
        <v>2226</v>
      </c>
      <c r="D3157" s="1" t="n">
        <v>231.7</v>
      </c>
      <c r="E3157" s="1" t="n">
        <v>15.3</v>
      </c>
      <c r="F3157" s="1" t="n">
        <f aca="false">7/9</f>
        <v>0.777777777777778</v>
      </c>
    </row>
    <row collapsed="false" customFormat="false" customHeight="false" hidden="false" ht="14.75" outlineLevel="0" r="3158">
      <c r="A3158" s="1" t="s">
        <v>2235</v>
      </c>
      <c r="B3158" s="1" t="s">
        <v>2225</v>
      </c>
      <c r="C3158" s="1" t="s">
        <v>2226</v>
      </c>
      <c r="D3158" s="1" t="n">
        <v>146.1</v>
      </c>
      <c r="E3158" s="1" t="n">
        <v>10.15</v>
      </c>
      <c r="F3158" s="1" t="n">
        <v>1</v>
      </c>
    </row>
    <row collapsed="false" customFormat="false" customHeight="false" hidden="false" ht="14.75" outlineLevel="0" r="3159">
      <c r="A3159" s="1" t="s">
        <v>2236</v>
      </c>
      <c r="B3159" s="1" t="s">
        <v>2225</v>
      </c>
      <c r="C3159" s="1" t="s">
        <v>2226</v>
      </c>
      <c r="D3159" s="1" t="n">
        <v>51.7</v>
      </c>
      <c r="E3159" s="1" t="n">
        <v>8.08</v>
      </c>
      <c r="F3159" s="1" t="n">
        <f aca="false">3/9</f>
        <v>0.333333333333333</v>
      </c>
    </row>
    <row collapsed="false" customFormat="false" customHeight="false" hidden="false" ht="14.75" outlineLevel="0" r="3160">
      <c r="A3160" s="1" t="s">
        <v>581</v>
      </c>
      <c r="B3160" s="1" t="s">
        <v>2225</v>
      </c>
      <c r="C3160" s="1" t="s">
        <v>2226</v>
      </c>
      <c r="D3160" s="1" t="n">
        <v>54.4</v>
      </c>
      <c r="E3160" s="1" t="n">
        <v>7.33</v>
      </c>
      <c r="F3160" s="1" t="n">
        <f aca="false">1/9</f>
        <v>0.111111111111111</v>
      </c>
    </row>
    <row collapsed="false" customFormat="false" customHeight="false" hidden="false" ht="14.75" outlineLevel="0" r="3161">
      <c r="A3161" s="1" t="s">
        <v>558</v>
      </c>
      <c r="B3161" s="1" t="s">
        <v>2225</v>
      </c>
      <c r="C3161" s="1" t="s">
        <v>2226</v>
      </c>
      <c r="D3161" s="1" t="n">
        <v>35.6</v>
      </c>
      <c r="E3161" s="1" t="n">
        <v>3.2</v>
      </c>
      <c r="F3161" s="1" t="n">
        <f aca="false">2/9</f>
        <v>0.222222222222222</v>
      </c>
    </row>
    <row collapsed="false" customFormat="false" customHeight="false" hidden="false" ht="14.75" outlineLevel="0" r="3162">
      <c r="A3162" s="1" t="s">
        <v>2237</v>
      </c>
      <c r="B3162" s="1" t="s">
        <v>2238</v>
      </c>
      <c r="C3162" s="1" t="s">
        <v>2226</v>
      </c>
      <c r="D3162" s="1" t="n">
        <v>563.5</v>
      </c>
      <c r="E3162" s="1" t="n">
        <v>26.46</v>
      </c>
      <c r="F3162" s="1" t="n">
        <f aca="false">140/13</f>
        <v>10.7692307692308</v>
      </c>
    </row>
    <row collapsed="false" customFormat="false" customHeight="false" hidden="false" ht="14.75" outlineLevel="0" r="3163">
      <c r="A3163" s="1" t="s">
        <v>2239</v>
      </c>
      <c r="B3163" s="1" t="s">
        <v>2238</v>
      </c>
      <c r="C3163" s="1" t="s">
        <v>2226</v>
      </c>
      <c r="D3163" s="1" t="n">
        <v>575</v>
      </c>
      <c r="E3163" s="1" t="n">
        <v>26.91</v>
      </c>
      <c r="F3163" s="1" t="n">
        <f aca="false">105/13</f>
        <v>8.07692307692308</v>
      </c>
    </row>
    <row collapsed="false" customFormat="false" customHeight="false" hidden="false" ht="14.75" outlineLevel="0" r="3164">
      <c r="A3164" s="1" t="s">
        <v>2240</v>
      </c>
      <c r="B3164" s="1" t="s">
        <v>2238</v>
      </c>
      <c r="C3164" s="1" t="s">
        <v>2226</v>
      </c>
      <c r="D3164" s="1" t="n">
        <v>404.1</v>
      </c>
      <c r="E3164" s="1" t="n">
        <v>21.84</v>
      </c>
      <c r="F3164" s="1" t="n">
        <f aca="false">59/11</f>
        <v>5.36363636363636</v>
      </c>
    </row>
    <row collapsed="false" customFormat="false" customHeight="false" hidden="false" ht="14.75" outlineLevel="0" r="3165">
      <c r="A3165" s="1" t="s">
        <v>1890</v>
      </c>
      <c r="B3165" s="1" t="s">
        <v>2238</v>
      </c>
      <c r="C3165" s="1" t="s">
        <v>2226</v>
      </c>
      <c r="D3165" s="1" t="n">
        <v>362.3</v>
      </c>
      <c r="E3165" s="1" t="n">
        <v>21.22</v>
      </c>
      <c r="F3165" s="1" t="n">
        <f aca="false">30/11</f>
        <v>2.72727272727273</v>
      </c>
    </row>
    <row collapsed="false" customFormat="false" customHeight="false" hidden="false" ht="14.75" outlineLevel="0" r="3166">
      <c r="A3166" s="1" t="s">
        <v>2241</v>
      </c>
      <c r="B3166" s="1" t="s">
        <v>2238</v>
      </c>
      <c r="C3166" s="1" t="s">
        <v>2226</v>
      </c>
      <c r="D3166" s="1" t="n">
        <v>420.9</v>
      </c>
      <c r="E3166" s="1" t="n">
        <v>23.01</v>
      </c>
      <c r="F3166" s="1" t="n">
        <f aca="false">43/11</f>
        <v>3.90909090909091</v>
      </c>
    </row>
    <row collapsed="false" customFormat="false" customHeight="false" hidden="false" ht="14.75" outlineLevel="0" r="3167">
      <c r="A3167" s="1" t="s">
        <v>2242</v>
      </c>
      <c r="B3167" s="1" t="s">
        <v>2238</v>
      </c>
      <c r="C3167" s="1" t="s">
        <v>2226</v>
      </c>
      <c r="D3167" s="1" t="n">
        <v>288.6</v>
      </c>
      <c r="E3167" s="1" t="n">
        <v>18.47</v>
      </c>
      <c r="F3167" s="1" t="n">
        <f aca="false">25/11</f>
        <v>2.27272727272727</v>
      </c>
    </row>
    <row collapsed="false" customFormat="false" customHeight="false" hidden="false" ht="14.75" outlineLevel="0" r="3168">
      <c r="A3168" s="1" t="s">
        <v>317</v>
      </c>
      <c r="B3168" s="1" t="s">
        <v>2238</v>
      </c>
      <c r="C3168" s="1" t="s">
        <v>2226</v>
      </c>
      <c r="D3168" s="1" t="n">
        <v>193.2</v>
      </c>
      <c r="E3168" s="1" t="n">
        <v>15</v>
      </c>
      <c r="F3168" s="1" t="n">
        <f aca="false">15/11</f>
        <v>1.36363636363636</v>
      </c>
    </row>
    <row collapsed="false" customFormat="false" customHeight="false" hidden="false" ht="14.75" outlineLevel="0" r="3169">
      <c r="A3169" s="1" t="s">
        <v>111</v>
      </c>
      <c r="B3169" s="1" t="s">
        <v>2238</v>
      </c>
      <c r="C3169" s="1" t="s">
        <v>2226</v>
      </c>
      <c r="D3169" s="1" t="n">
        <v>187.3</v>
      </c>
      <c r="E3169" s="1" t="n">
        <v>16.31</v>
      </c>
      <c r="F3169" s="1" t="n">
        <f aca="false">15/11</f>
        <v>1.36363636363636</v>
      </c>
    </row>
    <row collapsed="false" customFormat="false" customHeight="false" hidden="false" ht="14.75" outlineLevel="0" r="3170">
      <c r="A3170" s="1" t="s">
        <v>112</v>
      </c>
      <c r="B3170" s="1" t="s">
        <v>2238</v>
      </c>
      <c r="C3170" s="1" t="s">
        <v>2226</v>
      </c>
      <c r="D3170" s="1" t="n">
        <v>209.5</v>
      </c>
      <c r="E3170" s="1" t="n">
        <v>14.53</v>
      </c>
      <c r="F3170" s="1" t="n">
        <f aca="false">12/11</f>
        <v>1.09090909090909</v>
      </c>
    </row>
    <row collapsed="false" customFormat="false" customHeight="false" hidden="false" ht="14.75" outlineLevel="0" r="3171">
      <c r="A3171" s="1" t="s">
        <v>2243</v>
      </c>
      <c r="B3171" s="1" t="s">
        <v>2238</v>
      </c>
      <c r="C3171" s="1" t="s">
        <v>2226</v>
      </c>
      <c r="D3171" s="1" t="n">
        <v>163.2</v>
      </c>
      <c r="E3171" s="1" t="n">
        <v>11.08</v>
      </c>
      <c r="F3171" s="1" t="n">
        <f aca="false">9/11</f>
        <v>0.818181818181818</v>
      </c>
    </row>
    <row collapsed="false" customFormat="false" customHeight="false" hidden="false" ht="14.75" outlineLevel="0" r="3172">
      <c r="A3172" s="1" t="s">
        <v>2244</v>
      </c>
      <c r="B3172" s="1" t="s">
        <v>2238</v>
      </c>
      <c r="C3172" s="1" t="s">
        <v>2226</v>
      </c>
      <c r="D3172" s="1" t="n">
        <v>142.3</v>
      </c>
      <c r="E3172" s="1" t="n">
        <v>11.2</v>
      </c>
      <c r="F3172" s="1" t="n">
        <f aca="false">7/11</f>
        <v>0.636363636363636</v>
      </c>
    </row>
    <row collapsed="false" customFormat="false" customHeight="false" hidden="false" ht="14.75" outlineLevel="0" r="3173">
      <c r="A3173" s="1" t="s">
        <v>2245</v>
      </c>
      <c r="B3173" s="1" t="s">
        <v>2238</v>
      </c>
      <c r="C3173" s="1" t="s">
        <v>2226</v>
      </c>
      <c r="D3173" s="1" t="n">
        <v>134.5</v>
      </c>
      <c r="E3173" s="1" t="n">
        <v>11.64</v>
      </c>
      <c r="F3173" s="1" t="n">
        <f aca="false">7/11</f>
        <v>0.636363636363636</v>
      </c>
    </row>
    <row collapsed="false" customFormat="false" customHeight="false" hidden="false" ht="14.75" outlineLevel="0" r="3174">
      <c r="A3174" s="1" t="s">
        <v>1523</v>
      </c>
      <c r="B3174" s="1" t="s">
        <v>2238</v>
      </c>
      <c r="C3174" s="1" t="s">
        <v>2226</v>
      </c>
      <c r="D3174" s="1" t="n">
        <v>118.2</v>
      </c>
      <c r="E3174" s="1" t="n">
        <v>10.92</v>
      </c>
      <c r="F3174" s="1" t="n">
        <f aca="false">8/11</f>
        <v>0.727272727272727</v>
      </c>
    </row>
    <row collapsed="false" customFormat="false" customHeight="false" hidden="false" ht="14.75" outlineLevel="0" r="3175">
      <c r="A3175" s="1" t="s">
        <v>2246</v>
      </c>
      <c r="B3175" s="1" t="s">
        <v>2238</v>
      </c>
      <c r="C3175" s="1" t="s">
        <v>2226</v>
      </c>
      <c r="D3175" s="1" t="n">
        <v>83.6</v>
      </c>
      <c r="E3175" s="1" t="n">
        <v>10</v>
      </c>
      <c r="F3175" s="1" t="n">
        <f aca="false">3/11</f>
        <v>0.272727272727273</v>
      </c>
    </row>
    <row collapsed="false" customFormat="false" customHeight="false" hidden="false" ht="14.75" outlineLevel="0" r="3176">
      <c r="A3176" s="1" t="s">
        <v>1524</v>
      </c>
      <c r="B3176" s="1" t="s">
        <v>2238</v>
      </c>
      <c r="C3176" s="1" t="s">
        <v>2226</v>
      </c>
      <c r="D3176" s="1" t="n">
        <v>33</v>
      </c>
      <c r="E3176" s="1" t="n">
        <v>6</v>
      </c>
      <c r="F3176" s="1" t="n">
        <v>0.5</v>
      </c>
    </row>
    <row collapsed="false" customFormat="false" customHeight="false" hidden="false" ht="14.75" outlineLevel="0" r="3177">
      <c r="A3177" s="1" t="s">
        <v>2247</v>
      </c>
      <c r="B3177" s="1" t="s">
        <v>2238</v>
      </c>
      <c r="C3177" s="1" t="s">
        <v>2226</v>
      </c>
      <c r="D3177" s="1" t="n">
        <v>25.5</v>
      </c>
      <c r="E3177" s="1" t="n">
        <v>4.44</v>
      </c>
      <c r="F3177" s="1" t="n">
        <v>0.2</v>
      </c>
    </row>
    <row collapsed="false" customFormat="false" customHeight="false" hidden="false" ht="14.75" outlineLevel="0" r="3178">
      <c r="A3178" s="1" t="s">
        <v>275</v>
      </c>
      <c r="B3178" s="1" t="s">
        <v>2248</v>
      </c>
      <c r="C3178" s="1" t="s">
        <v>2249</v>
      </c>
      <c r="D3178" s="1" t="n">
        <v>388.5</v>
      </c>
      <c r="E3178" s="1" t="n">
        <v>19.7</v>
      </c>
      <c r="F3178" s="1" t="s">
        <v>9</v>
      </c>
    </row>
    <row collapsed="false" customFormat="false" customHeight="false" hidden="false" ht="14.75" outlineLevel="0" r="3179">
      <c r="A3179" s="1" t="s">
        <v>253</v>
      </c>
      <c r="B3179" s="1" t="s">
        <v>2248</v>
      </c>
      <c r="C3179" s="1" t="s">
        <v>2249</v>
      </c>
      <c r="D3179" s="1" t="n">
        <v>325</v>
      </c>
      <c r="E3179" s="1" t="n">
        <v>17.46</v>
      </c>
      <c r="F3179" s="1" t="s">
        <v>9</v>
      </c>
    </row>
    <row collapsed="false" customFormat="false" customHeight="false" hidden="false" ht="14.75" outlineLevel="0" r="3180">
      <c r="A3180" s="1" t="s">
        <v>1083</v>
      </c>
      <c r="B3180" s="1" t="s">
        <v>2248</v>
      </c>
      <c r="C3180" s="1" t="s">
        <v>2249</v>
      </c>
      <c r="D3180" s="1" t="n">
        <v>203</v>
      </c>
      <c r="E3180" s="1" t="n">
        <v>13.98</v>
      </c>
      <c r="F3180" s="1" t="s">
        <v>9</v>
      </c>
    </row>
    <row collapsed="false" customFormat="false" customHeight="false" hidden="false" ht="14.75" outlineLevel="0" r="3181">
      <c r="A3181" s="1" t="s">
        <v>1821</v>
      </c>
      <c r="B3181" s="1" t="s">
        <v>2248</v>
      </c>
      <c r="C3181" s="1" t="s">
        <v>2249</v>
      </c>
      <c r="D3181" s="1" t="n">
        <v>185.5</v>
      </c>
      <c r="E3181" s="1" t="n">
        <v>13.41</v>
      </c>
      <c r="F3181" s="1" t="s">
        <v>9</v>
      </c>
    </row>
    <row collapsed="false" customFormat="false" customHeight="false" hidden="false" ht="14.75" outlineLevel="0" r="3182">
      <c r="A3182" s="1" t="s">
        <v>254</v>
      </c>
      <c r="B3182" s="1" t="s">
        <v>2248</v>
      </c>
      <c r="C3182" s="1" t="s">
        <v>2249</v>
      </c>
      <c r="D3182" s="1" t="n">
        <v>172</v>
      </c>
      <c r="E3182" s="1" t="n">
        <v>13.33</v>
      </c>
      <c r="F3182" s="1" t="s">
        <v>9</v>
      </c>
    </row>
    <row collapsed="false" customFormat="false" customHeight="false" hidden="false" ht="14.75" outlineLevel="0" r="3183">
      <c r="A3183" s="1" t="s">
        <v>2250</v>
      </c>
      <c r="B3183" s="1" t="s">
        <v>2248</v>
      </c>
      <c r="C3183" s="1" t="s">
        <v>2249</v>
      </c>
      <c r="D3183" s="1" t="n">
        <v>149</v>
      </c>
      <c r="E3183" s="1" t="n">
        <v>12.9</v>
      </c>
      <c r="F3183" s="1" t="s">
        <v>9</v>
      </c>
    </row>
    <row collapsed="false" customFormat="false" customHeight="false" hidden="false" ht="14.75" outlineLevel="0" r="3184">
      <c r="A3184" s="1" t="s">
        <v>276</v>
      </c>
      <c r="B3184" s="1" t="s">
        <v>2248</v>
      </c>
      <c r="C3184" s="1" t="s">
        <v>2249</v>
      </c>
      <c r="D3184" s="1" t="n">
        <v>125.5</v>
      </c>
      <c r="E3184" s="1" t="n">
        <v>11.83</v>
      </c>
      <c r="F3184" s="1" t="s">
        <v>9</v>
      </c>
    </row>
    <row collapsed="false" customFormat="false" customHeight="false" hidden="false" ht="14.75" outlineLevel="0" r="3185">
      <c r="A3185" s="1" t="s">
        <v>2251</v>
      </c>
      <c r="B3185" s="1" t="s">
        <v>2248</v>
      </c>
      <c r="C3185" s="1" t="s">
        <v>2249</v>
      </c>
      <c r="D3185" s="1" t="n">
        <v>121.5</v>
      </c>
      <c r="E3185" s="1" t="n">
        <v>11.86</v>
      </c>
      <c r="F3185" s="1" t="s">
        <v>9</v>
      </c>
    </row>
    <row collapsed="false" customFormat="false" customHeight="false" hidden="false" ht="14.75" outlineLevel="0" r="3186">
      <c r="A3186" s="1" t="s">
        <v>2252</v>
      </c>
      <c r="B3186" s="1" t="s">
        <v>2253</v>
      </c>
      <c r="C3186" s="1" t="s">
        <v>2254</v>
      </c>
      <c r="D3186" s="1" t="n">
        <v>340.5</v>
      </c>
      <c r="E3186" s="1" t="n">
        <v>18.45</v>
      </c>
      <c r="F3186" s="1" t="n">
        <f aca="false">29/11</f>
        <v>2.63636363636364</v>
      </c>
    </row>
    <row collapsed="false" customFormat="false" customHeight="false" hidden="false" ht="14.75" outlineLevel="0" r="3187">
      <c r="A3187" s="1" t="s">
        <v>990</v>
      </c>
      <c r="B3187" s="1" t="s">
        <v>2253</v>
      </c>
      <c r="C3187" s="1" t="s">
        <v>2254</v>
      </c>
      <c r="D3187" s="1" t="n">
        <v>265.4</v>
      </c>
      <c r="E3187" s="1" t="n">
        <v>14.92</v>
      </c>
      <c r="F3187" s="1" t="n">
        <f aca="false">16/12</f>
        <v>1.33333333333333</v>
      </c>
    </row>
    <row collapsed="false" customFormat="false" customHeight="false" hidden="false" ht="14.75" outlineLevel="0" r="3188">
      <c r="A3188" s="1" t="s">
        <v>2255</v>
      </c>
      <c r="B3188" s="1" t="s">
        <v>2253</v>
      </c>
      <c r="C3188" s="1" t="s">
        <v>2254</v>
      </c>
      <c r="D3188" s="1" t="n">
        <v>204.2</v>
      </c>
      <c r="E3188" s="1" t="n">
        <v>14.66</v>
      </c>
      <c r="F3188" s="1" t="n">
        <f aca="false">11/12</f>
        <v>0.916666666666667</v>
      </c>
    </row>
    <row collapsed="false" customFormat="false" customHeight="false" hidden="false" ht="14.75" outlineLevel="0" r="3189">
      <c r="A3189" s="1" t="s">
        <v>989</v>
      </c>
      <c r="B3189" s="1" t="s">
        <v>2253</v>
      </c>
      <c r="C3189" s="1" t="s">
        <v>2254</v>
      </c>
      <c r="D3189" s="1" t="n">
        <v>283.2</v>
      </c>
      <c r="E3189" s="1" t="n">
        <v>16.07</v>
      </c>
      <c r="F3189" s="1" t="n">
        <f aca="false">21/11</f>
        <v>1.90909090909091</v>
      </c>
    </row>
    <row collapsed="false" customFormat="false" customHeight="false" hidden="false" ht="14.75" outlineLevel="0" r="3190">
      <c r="A3190" s="1" t="s">
        <v>38</v>
      </c>
      <c r="B3190" s="1" t="s">
        <v>2253</v>
      </c>
      <c r="C3190" s="1" t="s">
        <v>2254</v>
      </c>
      <c r="D3190" s="1" t="n">
        <v>247.3</v>
      </c>
      <c r="E3190" s="1" t="n">
        <v>14.12</v>
      </c>
      <c r="F3190" s="1" t="n">
        <f aca="false">14/11</f>
        <v>1.27272727272727</v>
      </c>
    </row>
    <row collapsed="false" customFormat="false" customHeight="false" hidden="false" ht="14.75" outlineLevel="0" r="3191">
      <c r="A3191" s="1" t="s">
        <v>2256</v>
      </c>
      <c r="B3191" s="1" t="s">
        <v>2253</v>
      </c>
      <c r="C3191" s="1" t="s">
        <v>2254</v>
      </c>
      <c r="D3191" s="1" t="n">
        <v>230.9</v>
      </c>
      <c r="E3191" s="1" t="n">
        <v>14.75</v>
      </c>
      <c r="F3191" s="1" t="n">
        <f aca="false">34/11</f>
        <v>3.09090909090909</v>
      </c>
    </row>
    <row collapsed="false" customFormat="false" customHeight="false" hidden="false" ht="14.75" outlineLevel="0" r="3192">
      <c r="A3192" s="1" t="s">
        <v>2257</v>
      </c>
      <c r="B3192" s="1" t="s">
        <v>2253</v>
      </c>
      <c r="C3192" s="1" t="s">
        <v>2254</v>
      </c>
      <c r="D3192" s="1" t="n">
        <v>195.9</v>
      </c>
      <c r="E3192" s="1" t="n">
        <v>12.4</v>
      </c>
      <c r="F3192" s="1" t="n">
        <f aca="false">17/11</f>
        <v>1.54545454545455</v>
      </c>
    </row>
    <row collapsed="false" customFormat="false" customHeight="false" hidden="false" ht="14.75" outlineLevel="0" r="3193">
      <c r="A3193" s="1" t="s">
        <v>492</v>
      </c>
      <c r="B3193" s="1" t="s">
        <v>2253</v>
      </c>
      <c r="C3193" s="1" t="s">
        <v>2254</v>
      </c>
      <c r="D3193" s="1" t="n">
        <v>145.5</v>
      </c>
      <c r="E3193" s="1" t="n">
        <v>11.28</v>
      </c>
      <c r="F3193" s="1" t="n">
        <f aca="false">6/11</f>
        <v>0.545454545454545</v>
      </c>
    </row>
    <row collapsed="false" customFormat="false" customHeight="false" hidden="false" ht="14.75" outlineLevel="0" r="3194">
      <c r="A3194" s="1" t="s">
        <v>2258</v>
      </c>
      <c r="B3194" s="1" t="s">
        <v>2253</v>
      </c>
      <c r="C3194" s="1" t="s">
        <v>2254</v>
      </c>
      <c r="D3194" s="1" t="n">
        <v>149.1</v>
      </c>
      <c r="E3194" s="1" t="n">
        <v>12.34</v>
      </c>
      <c r="F3194" s="1" t="n">
        <f aca="false">10/11</f>
        <v>0.909090909090909</v>
      </c>
    </row>
    <row collapsed="false" customFormat="false" customHeight="false" hidden="false" ht="14.75" outlineLevel="0" r="3195">
      <c r="A3195" s="1" t="s">
        <v>2259</v>
      </c>
      <c r="B3195" s="1" t="s">
        <v>2253</v>
      </c>
      <c r="C3195" s="1" t="s">
        <v>2254</v>
      </c>
      <c r="D3195" s="1" t="n">
        <v>101.4</v>
      </c>
      <c r="E3195" s="1" t="n">
        <v>8.39</v>
      </c>
      <c r="F3195" s="1" t="n">
        <f aca="false">12/11</f>
        <v>1.09090909090909</v>
      </c>
    </row>
    <row collapsed="false" customFormat="false" customHeight="false" hidden="false" ht="14.75" outlineLevel="0" r="3196">
      <c r="A3196" s="1" t="s">
        <v>493</v>
      </c>
      <c r="B3196" s="1" t="s">
        <v>2253</v>
      </c>
      <c r="C3196" s="1" t="s">
        <v>2254</v>
      </c>
      <c r="D3196" s="1" t="n">
        <v>69.1</v>
      </c>
      <c r="E3196" s="1" t="n">
        <v>8.57</v>
      </c>
      <c r="F3196" s="1" t="n">
        <f aca="false">2/11</f>
        <v>0.181818181818182</v>
      </c>
    </row>
    <row collapsed="false" customFormat="false" customHeight="false" hidden="false" ht="14.75" outlineLevel="0" r="3197">
      <c r="A3197" s="1" t="s">
        <v>2260</v>
      </c>
      <c r="B3197" s="1" t="s">
        <v>2253</v>
      </c>
      <c r="C3197" s="1" t="s">
        <v>2254</v>
      </c>
      <c r="D3197" s="1" t="n">
        <v>72.3</v>
      </c>
      <c r="E3197" s="1" t="n">
        <v>7.39</v>
      </c>
      <c r="F3197" s="1" t="n">
        <f aca="false">6/11</f>
        <v>0.545454545454545</v>
      </c>
    </row>
    <row collapsed="false" customFormat="false" customHeight="false" hidden="false" ht="14.75" outlineLevel="0" r="3198">
      <c r="A3198" s="1" t="s">
        <v>334</v>
      </c>
      <c r="B3198" s="1" t="s">
        <v>2261</v>
      </c>
      <c r="C3198" s="1" t="s">
        <v>2249</v>
      </c>
      <c r="D3198" s="1" t="n">
        <v>256.1</v>
      </c>
      <c r="E3198" s="1" t="n">
        <v>12.74</v>
      </c>
      <c r="F3198" s="1" t="s">
        <v>9</v>
      </c>
    </row>
    <row collapsed="false" customFormat="false" customHeight="false" hidden="false" ht="14.75" outlineLevel="0" r="3199">
      <c r="A3199" s="1" t="s">
        <v>551</v>
      </c>
      <c r="B3199" s="1" t="s">
        <v>2261</v>
      </c>
      <c r="C3199" s="1" t="s">
        <v>2249</v>
      </c>
      <c r="D3199" s="1" t="n">
        <v>203.9</v>
      </c>
      <c r="E3199" s="1" t="n">
        <v>11.9</v>
      </c>
      <c r="F3199" s="1" t="s">
        <v>9</v>
      </c>
    </row>
    <row collapsed="false" customFormat="false" customHeight="false" hidden="false" ht="14.75" outlineLevel="0" r="3200">
      <c r="A3200" s="1" t="s">
        <v>409</v>
      </c>
      <c r="B3200" s="1" t="s">
        <v>2261</v>
      </c>
      <c r="C3200" s="1" t="s">
        <v>2249</v>
      </c>
      <c r="D3200" s="1" t="n">
        <v>158.9</v>
      </c>
      <c r="E3200" s="1" t="n">
        <v>11.29</v>
      </c>
      <c r="F3200" s="1" t="s">
        <v>9</v>
      </c>
    </row>
    <row collapsed="false" customFormat="false" customHeight="false" hidden="false" ht="14.75" outlineLevel="0" r="3201">
      <c r="A3201" s="1" t="s">
        <v>335</v>
      </c>
      <c r="B3201" s="1" t="s">
        <v>2261</v>
      </c>
      <c r="C3201" s="1" t="s">
        <v>2249</v>
      </c>
      <c r="D3201" s="1" t="n">
        <v>42.8</v>
      </c>
      <c r="E3201" s="1" t="n">
        <v>4.21</v>
      </c>
      <c r="F3201" s="1" t="s">
        <v>9</v>
      </c>
    </row>
    <row collapsed="false" customFormat="false" customHeight="false" hidden="false" ht="14.75" outlineLevel="0" r="3202">
      <c r="A3202" s="1" t="s">
        <v>2137</v>
      </c>
      <c r="B3202" s="1" t="s">
        <v>2262</v>
      </c>
      <c r="C3202" s="1" t="s">
        <v>2254</v>
      </c>
      <c r="D3202" s="1" t="n">
        <v>395</v>
      </c>
      <c r="E3202" s="1" t="n">
        <v>21.33</v>
      </c>
      <c r="F3202" s="1" t="n">
        <f aca="false">29/8</f>
        <v>3.625</v>
      </c>
    </row>
    <row collapsed="false" customFormat="false" customHeight="false" hidden="false" ht="14.75" outlineLevel="0" r="3203">
      <c r="A3203" s="1" t="s">
        <v>2263</v>
      </c>
      <c r="B3203" s="1" t="s">
        <v>2262</v>
      </c>
      <c r="C3203" s="1" t="s">
        <v>2254</v>
      </c>
      <c r="D3203" s="1" t="n">
        <v>321.9</v>
      </c>
      <c r="E3203" s="1" t="n">
        <v>18.28</v>
      </c>
      <c r="F3203" s="1" t="n">
        <f aca="false">32/8</f>
        <v>4</v>
      </c>
    </row>
    <row collapsed="false" customFormat="false" customHeight="false" hidden="false" ht="14.75" outlineLevel="0" r="3204">
      <c r="A3204" s="1" t="s">
        <v>2264</v>
      </c>
      <c r="B3204" s="1" t="s">
        <v>2262</v>
      </c>
      <c r="C3204" s="1" t="s">
        <v>2254</v>
      </c>
      <c r="D3204" s="1" t="n">
        <v>353.8</v>
      </c>
      <c r="E3204" s="1" t="n">
        <v>20.61</v>
      </c>
      <c r="F3204" s="1" t="n">
        <f aca="false">35/8</f>
        <v>4.375</v>
      </c>
    </row>
    <row collapsed="false" customFormat="false" customHeight="false" hidden="false" ht="14.75" outlineLevel="0" r="3205">
      <c r="A3205" s="1" t="s">
        <v>2265</v>
      </c>
      <c r="B3205" s="1" t="s">
        <v>2262</v>
      </c>
      <c r="C3205" s="1" t="s">
        <v>2254</v>
      </c>
      <c r="D3205" s="1" t="n">
        <v>345</v>
      </c>
      <c r="E3205" s="1" t="n">
        <v>19.67</v>
      </c>
      <c r="F3205" s="1" t="n">
        <f aca="false">33/8</f>
        <v>4.125</v>
      </c>
    </row>
    <row collapsed="false" customFormat="false" customHeight="false" hidden="false" ht="14.75" outlineLevel="0" r="3206">
      <c r="A3206" s="1" t="s">
        <v>2266</v>
      </c>
      <c r="B3206" s="1" t="s">
        <v>2262</v>
      </c>
      <c r="C3206" s="1" t="s">
        <v>2254</v>
      </c>
      <c r="D3206" s="1" t="n">
        <v>246.2</v>
      </c>
      <c r="E3206" s="1" t="n">
        <v>17.36</v>
      </c>
      <c r="F3206" s="1" t="n">
        <f aca="false">17/8</f>
        <v>2.125</v>
      </c>
    </row>
    <row collapsed="false" customFormat="false" customHeight="false" hidden="false" ht="14.75" outlineLevel="0" r="3207">
      <c r="A3207" s="1" t="s">
        <v>2267</v>
      </c>
      <c r="B3207" s="1" t="s">
        <v>2262</v>
      </c>
      <c r="C3207" s="1" t="s">
        <v>2254</v>
      </c>
      <c r="D3207" s="1" t="n">
        <v>266.9</v>
      </c>
      <c r="E3207" s="1" t="n">
        <v>17.76</v>
      </c>
      <c r="F3207" s="1" t="n">
        <f aca="false">17/8</f>
        <v>2.125</v>
      </c>
    </row>
    <row collapsed="false" customFormat="false" customHeight="false" hidden="false" ht="14.75" outlineLevel="0" r="3208">
      <c r="A3208" s="1" t="s">
        <v>2268</v>
      </c>
      <c r="B3208" s="1" t="s">
        <v>2262</v>
      </c>
      <c r="C3208" s="1" t="s">
        <v>2254</v>
      </c>
      <c r="D3208" s="1" t="n">
        <v>246.4</v>
      </c>
      <c r="E3208" s="1" t="n">
        <v>16.36</v>
      </c>
      <c r="F3208" s="1" t="n">
        <f aca="false">15/7</f>
        <v>2.14285714285714</v>
      </c>
    </row>
    <row collapsed="false" customFormat="false" customHeight="false" hidden="false" ht="14.75" outlineLevel="0" r="3209">
      <c r="A3209" s="1" t="s">
        <v>2269</v>
      </c>
      <c r="B3209" s="1" t="s">
        <v>2262</v>
      </c>
      <c r="C3209" s="1" t="s">
        <v>2254</v>
      </c>
      <c r="D3209" s="1" t="n">
        <v>138</v>
      </c>
      <c r="E3209" s="1" t="n">
        <v>12.26</v>
      </c>
      <c r="F3209" s="1" t="n">
        <f aca="false">4/5</f>
        <v>0.8</v>
      </c>
    </row>
    <row collapsed="false" customFormat="false" customHeight="false" hidden="false" ht="14.75" outlineLevel="0" r="3210">
      <c r="A3210" s="1" t="s">
        <v>2073</v>
      </c>
      <c r="B3210" s="1" t="s">
        <v>2262</v>
      </c>
      <c r="C3210" s="1" t="s">
        <v>2254</v>
      </c>
      <c r="D3210" s="1" t="n">
        <v>123.8</v>
      </c>
      <c r="E3210" s="1" t="n">
        <v>13.11</v>
      </c>
      <c r="F3210" s="1" t="n">
        <f aca="false">6/8</f>
        <v>0.75</v>
      </c>
    </row>
    <row collapsed="false" customFormat="false" customHeight="false" hidden="false" ht="14.75" outlineLevel="0" r="3211">
      <c r="A3211" s="1" t="s">
        <v>2270</v>
      </c>
      <c r="B3211" s="1" t="s">
        <v>2262</v>
      </c>
      <c r="C3211" s="1" t="s">
        <v>2254</v>
      </c>
      <c r="D3211" s="1" t="n">
        <v>135.7</v>
      </c>
      <c r="E3211" s="1" t="n">
        <v>12.13</v>
      </c>
      <c r="F3211" s="1" t="n">
        <f aca="false">10/7</f>
        <v>1.42857142857143</v>
      </c>
    </row>
    <row collapsed="false" customFormat="false" customHeight="false" hidden="false" ht="14.75" outlineLevel="0" r="3212">
      <c r="A3212" s="1" t="s">
        <v>2271</v>
      </c>
      <c r="B3212" s="1" t="s">
        <v>2262</v>
      </c>
      <c r="C3212" s="1" t="s">
        <v>2254</v>
      </c>
      <c r="D3212" s="1" t="n">
        <v>88.6</v>
      </c>
      <c r="E3212" s="1" t="n">
        <v>11.79</v>
      </c>
      <c r="F3212" s="1" t="n">
        <f aca="false">5/7</f>
        <v>0.714285714285714</v>
      </c>
    </row>
    <row collapsed="false" customFormat="false" customHeight="false" hidden="false" ht="14.75" outlineLevel="0" r="3213">
      <c r="A3213" s="1" t="s">
        <v>2272</v>
      </c>
      <c r="B3213" s="1" t="s">
        <v>2262</v>
      </c>
      <c r="C3213" s="1" t="s">
        <v>2254</v>
      </c>
      <c r="D3213" s="1" t="n">
        <v>98.8</v>
      </c>
      <c r="E3213" s="1" t="n">
        <v>10.49</v>
      </c>
      <c r="F3213" s="1" t="n">
        <f aca="false">4/8</f>
        <v>0.5</v>
      </c>
    </row>
    <row collapsed="false" customFormat="false" customHeight="false" hidden="false" ht="14.75" outlineLevel="0" r="3214">
      <c r="A3214" s="1" t="s">
        <v>107</v>
      </c>
      <c r="B3214" s="1" t="s">
        <v>2273</v>
      </c>
      <c r="C3214" s="1" t="s">
        <v>2040</v>
      </c>
      <c r="D3214" s="1" t="n">
        <v>487.2</v>
      </c>
      <c r="E3214" s="1" t="n">
        <v>22.58</v>
      </c>
      <c r="F3214" s="1" t="n">
        <f aca="false">63/9</f>
        <v>7</v>
      </c>
    </row>
    <row collapsed="false" customFormat="false" customHeight="false" hidden="false" ht="14.75" outlineLevel="0" r="3215">
      <c r="A3215" s="1" t="s">
        <v>124</v>
      </c>
      <c r="B3215" s="1" t="s">
        <v>2273</v>
      </c>
      <c r="C3215" s="1" t="s">
        <v>2040</v>
      </c>
      <c r="D3215" s="1" t="n">
        <v>441.1</v>
      </c>
      <c r="E3215" s="1" t="n">
        <v>24.14</v>
      </c>
      <c r="F3215" s="1" t="n">
        <f aca="false">55/9</f>
        <v>6.11111111111111</v>
      </c>
    </row>
    <row collapsed="false" customFormat="false" customHeight="false" hidden="false" ht="14.75" outlineLevel="0" r="3216">
      <c r="A3216" s="1" t="s">
        <v>101</v>
      </c>
      <c r="B3216" s="1" t="s">
        <v>2273</v>
      </c>
      <c r="C3216" s="1" t="s">
        <v>2040</v>
      </c>
      <c r="D3216" s="1" t="n">
        <v>402.8</v>
      </c>
      <c r="E3216" s="1" t="n">
        <v>19.62</v>
      </c>
      <c r="F3216" s="1" t="n">
        <f aca="false">54/9</f>
        <v>6</v>
      </c>
    </row>
    <row collapsed="false" customFormat="false" customHeight="false" hidden="false" ht="14.75" outlineLevel="0" r="3217">
      <c r="A3217" s="1" t="s">
        <v>2067</v>
      </c>
      <c r="B3217" s="1" t="s">
        <v>2273</v>
      </c>
      <c r="C3217" s="1" t="s">
        <v>2040</v>
      </c>
      <c r="D3217" s="1" t="n">
        <v>404.4</v>
      </c>
      <c r="E3217" s="1" t="n">
        <v>21.82</v>
      </c>
      <c r="F3217" s="1" t="n">
        <f aca="false">39/9</f>
        <v>4.33333333333333</v>
      </c>
    </row>
    <row collapsed="false" customFormat="false" customHeight="false" hidden="false" ht="14.75" outlineLevel="0" r="3218">
      <c r="A3218" s="1" t="s">
        <v>2070</v>
      </c>
      <c r="B3218" s="1" t="s">
        <v>2273</v>
      </c>
      <c r="C3218" s="1" t="s">
        <v>2040</v>
      </c>
      <c r="D3218" s="1" t="n">
        <v>287.2</v>
      </c>
      <c r="E3218" s="1" t="n">
        <v>16.82</v>
      </c>
      <c r="F3218" s="1" t="n">
        <f aca="false">24/9</f>
        <v>2.66666666666667</v>
      </c>
    </row>
    <row collapsed="false" customFormat="false" customHeight="false" hidden="false" ht="14.75" outlineLevel="0" r="3219">
      <c r="A3219" s="1" t="s">
        <v>2274</v>
      </c>
      <c r="B3219" s="1" t="s">
        <v>2273</v>
      </c>
      <c r="C3219" s="1" t="s">
        <v>2040</v>
      </c>
      <c r="D3219" s="1" t="n">
        <v>150.6</v>
      </c>
      <c r="E3219" s="1" t="n">
        <v>12.21</v>
      </c>
      <c r="F3219" s="1" t="n">
        <v>1</v>
      </c>
    </row>
    <row collapsed="false" customFormat="false" customHeight="false" hidden="false" ht="14.75" outlineLevel="0" r="3220">
      <c r="A3220" s="1" t="s">
        <v>2069</v>
      </c>
      <c r="B3220" s="1" t="s">
        <v>2273</v>
      </c>
      <c r="C3220" s="1" t="s">
        <v>2040</v>
      </c>
      <c r="D3220" s="1" t="n">
        <v>195</v>
      </c>
      <c r="E3220" s="1" t="n">
        <v>13.72</v>
      </c>
      <c r="F3220" s="1" t="n">
        <f aca="false">12/9</f>
        <v>1.33333333333333</v>
      </c>
    </row>
    <row collapsed="false" customFormat="false" customHeight="false" hidden="false" ht="14.75" outlineLevel="0" r="3221">
      <c r="A3221" s="1" t="s">
        <v>123</v>
      </c>
      <c r="B3221" s="1" t="s">
        <v>2273</v>
      </c>
      <c r="C3221" s="1" t="s">
        <v>2040</v>
      </c>
      <c r="D3221" s="1" t="n">
        <v>164.4</v>
      </c>
      <c r="E3221" s="1" t="n">
        <v>12.31</v>
      </c>
      <c r="F3221" s="1" t="n">
        <f aca="false">5/9</f>
        <v>0.555555555555556</v>
      </c>
    </row>
    <row collapsed="false" customFormat="false" customHeight="false" hidden="false" ht="14.75" outlineLevel="0" r="3222">
      <c r="A3222" s="1" t="s">
        <v>2275</v>
      </c>
      <c r="B3222" s="1" t="s">
        <v>2273</v>
      </c>
      <c r="C3222" s="1" t="s">
        <v>2040</v>
      </c>
      <c r="D3222" s="1" t="n">
        <v>203.9</v>
      </c>
      <c r="E3222" s="1" t="n">
        <v>13.09</v>
      </c>
      <c r="F3222" s="1" t="n">
        <f aca="false">12/9</f>
        <v>1.33333333333333</v>
      </c>
    </row>
    <row collapsed="false" customFormat="false" customHeight="false" hidden="false" ht="14.75" outlineLevel="0" r="3223">
      <c r="A3223" s="1" t="s">
        <v>2276</v>
      </c>
      <c r="B3223" s="1" t="s">
        <v>2273</v>
      </c>
      <c r="C3223" s="1" t="s">
        <v>2040</v>
      </c>
      <c r="D3223" s="1" t="n">
        <v>128.9</v>
      </c>
      <c r="E3223" s="1" t="n">
        <v>8.87</v>
      </c>
      <c r="F3223" s="1" t="n">
        <f aca="false">13/9</f>
        <v>1.44444444444444</v>
      </c>
    </row>
    <row collapsed="false" customFormat="false" customHeight="false" hidden="false" ht="14.75" outlineLevel="0" r="3224">
      <c r="A3224" s="1" t="s">
        <v>102</v>
      </c>
      <c r="B3224" s="1" t="s">
        <v>2273</v>
      </c>
      <c r="C3224" s="1" t="s">
        <v>2040</v>
      </c>
      <c r="D3224" s="1" t="n">
        <v>143.9</v>
      </c>
      <c r="E3224" s="1" t="n">
        <v>12.24</v>
      </c>
      <c r="F3224" s="1" t="n">
        <f aca="false">11/9</f>
        <v>1.22222222222222</v>
      </c>
    </row>
    <row collapsed="false" customFormat="false" customHeight="false" hidden="false" ht="14.75" outlineLevel="0" r="3225">
      <c r="A3225" s="1" t="s">
        <v>2277</v>
      </c>
      <c r="B3225" s="1" t="s">
        <v>2273</v>
      </c>
      <c r="C3225" s="1" t="s">
        <v>2040</v>
      </c>
      <c r="D3225" s="1" t="n">
        <v>127.2</v>
      </c>
      <c r="E3225" s="1" t="n">
        <v>10.88</v>
      </c>
      <c r="F3225" s="1" t="n">
        <f aca="false">3/9</f>
        <v>0.333333333333333</v>
      </c>
    </row>
    <row collapsed="false" customFormat="false" customHeight="false" hidden="false" ht="14.75" outlineLevel="0" r="3226">
      <c r="A3226" s="1" t="s">
        <v>941</v>
      </c>
      <c r="B3226" s="1" t="s">
        <v>2273</v>
      </c>
      <c r="C3226" s="1" t="s">
        <v>2040</v>
      </c>
      <c r="D3226" s="1" t="n">
        <v>146.1</v>
      </c>
      <c r="E3226" s="1" t="n">
        <v>10.81</v>
      </c>
      <c r="F3226" s="1" t="n">
        <f aca="false">12/9</f>
        <v>1.33333333333333</v>
      </c>
    </row>
    <row collapsed="false" customFormat="false" customHeight="false" hidden="false" ht="14.75" outlineLevel="0" r="3227">
      <c r="A3227" s="1" t="s">
        <v>950</v>
      </c>
      <c r="B3227" s="1" t="s">
        <v>2273</v>
      </c>
      <c r="C3227" s="1" t="s">
        <v>2040</v>
      </c>
      <c r="D3227" s="1" t="n">
        <v>133.3</v>
      </c>
      <c r="E3227" s="1" t="n">
        <v>10.71</v>
      </c>
      <c r="F3227" s="1" t="n">
        <f aca="false">10/9</f>
        <v>1.11111111111111</v>
      </c>
    </row>
    <row collapsed="false" customFormat="false" customHeight="false" hidden="false" ht="14.75" outlineLevel="0" r="3228">
      <c r="A3228" s="1" t="s">
        <v>2278</v>
      </c>
      <c r="B3228" s="1" t="s">
        <v>2273</v>
      </c>
      <c r="C3228" s="1" t="s">
        <v>2040</v>
      </c>
      <c r="D3228" s="1" t="n">
        <v>143.8</v>
      </c>
      <c r="E3228" s="1" t="n">
        <v>10.17</v>
      </c>
      <c r="F3228" s="1" t="n">
        <f aca="false">6/9</f>
        <v>0.666666666666667</v>
      </c>
    </row>
    <row collapsed="false" customFormat="false" customHeight="false" hidden="false" ht="14.75" outlineLevel="0" r="3229">
      <c r="A3229" s="1" t="s">
        <v>2279</v>
      </c>
      <c r="B3229" s="1" t="s">
        <v>2273</v>
      </c>
      <c r="C3229" s="1" t="s">
        <v>2040</v>
      </c>
      <c r="D3229" s="1" t="n">
        <v>106.9</v>
      </c>
      <c r="E3229" s="1" t="n">
        <v>10</v>
      </c>
      <c r="F3229" s="1" t="n">
        <f aca="false">4/9</f>
        <v>0.444444444444444</v>
      </c>
    </row>
    <row collapsed="false" customFormat="false" customHeight="false" hidden="false" ht="14.75" outlineLevel="0" r="3230">
      <c r="A3230" s="1" t="s">
        <v>2280</v>
      </c>
      <c r="B3230" s="1" t="s">
        <v>2273</v>
      </c>
      <c r="C3230" s="1" t="s">
        <v>2040</v>
      </c>
      <c r="D3230" s="1" t="n">
        <v>106.9</v>
      </c>
      <c r="E3230" s="1" t="n">
        <v>8.43</v>
      </c>
      <c r="F3230" s="1" t="n">
        <f aca="false">6/9</f>
        <v>0.666666666666667</v>
      </c>
    </row>
    <row collapsed="false" customFormat="false" customHeight="false" hidden="false" ht="14.75" outlineLevel="0" r="3231">
      <c r="A3231" s="1" t="s">
        <v>2281</v>
      </c>
      <c r="B3231" s="1" t="s">
        <v>2273</v>
      </c>
      <c r="C3231" s="1" t="s">
        <v>2040</v>
      </c>
      <c r="D3231" s="1" t="n">
        <v>88.3</v>
      </c>
      <c r="E3231" s="1" t="n">
        <v>9.4</v>
      </c>
      <c r="F3231" s="1" t="n">
        <f aca="false">4/9</f>
        <v>0.444444444444444</v>
      </c>
    </row>
    <row collapsed="false" customFormat="false" customHeight="false" hidden="false" ht="14.75" outlineLevel="0" r="3232">
      <c r="A3232" s="1" t="s">
        <v>2282</v>
      </c>
      <c r="B3232" s="1" t="s">
        <v>2273</v>
      </c>
      <c r="C3232" s="1" t="s">
        <v>2040</v>
      </c>
      <c r="D3232" s="1" t="n">
        <v>74.7</v>
      </c>
      <c r="E3232" s="1" t="n">
        <v>6.34</v>
      </c>
      <c r="F3232" s="1" t="n">
        <v>0</v>
      </c>
    </row>
    <row collapsed="false" customFormat="false" customHeight="false" hidden="false" ht="14.75" outlineLevel="0" r="3233">
      <c r="A3233" s="1" t="s">
        <v>2283</v>
      </c>
      <c r="B3233" s="1" t="s">
        <v>2273</v>
      </c>
      <c r="C3233" s="1" t="s">
        <v>2040</v>
      </c>
      <c r="D3233" s="1" t="n">
        <v>65.6</v>
      </c>
      <c r="E3233" s="1" t="n">
        <v>8.03</v>
      </c>
      <c r="F3233" s="1" t="n">
        <f aca="false">1/9</f>
        <v>0.111111111111111</v>
      </c>
    </row>
    <row collapsed="false" customFormat="false" customHeight="false" hidden="false" ht="14.75" outlineLevel="0" r="3234">
      <c r="A3234" s="1" t="s">
        <v>2284</v>
      </c>
      <c r="B3234" s="1" t="s">
        <v>2273</v>
      </c>
      <c r="C3234" s="1" t="s">
        <v>2040</v>
      </c>
      <c r="D3234" s="1" t="n">
        <v>68.9</v>
      </c>
      <c r="E3234" s="1" t="n">
        <v>8.48</v>
      </c>
      <c r="F3234" s="1" t="n">
        <f aca="false">5/9</f>
        <v>0.555555555555556</v>
      </c>
    </row>
    <row collapsed="false" customFormat="false" customHeight="false" hidden="false" ht="14.75" outlineLevel="0" r="3235">
      <c r="A3235" s="1" t="s">
        <v>2285</v>
      </c>
      <c r="B3235" s="1" t="s">
        <v>2273</v>
      </c>
      <c r="C3235" s="1" t="s">
        <v>2040</v>
      </c>
      <c r="D3235" s="1" t="n">
        <v>85.3</v>
      </c>
      <c r="E3235" s="1" t="n">
        <v>9.47</v>
      </c>
      <c r="F3235" s="1" t="n">
        <f aca="false">2/9</f>
        <v>0.222222222222222</v>
      </c>
    </row>
    <row collapsed="false" customFormat="false" customHeight="false" hidden="false" ht="14.75" outlineLevel="0" r="3236">
      <c r="A3236" s="1" t="s">
        <v>255</v>
      </c>
      <c r="B3236" s="1" t="s">
        <v>2286</v>
      </c>
      <c r="C3236" s="1" t="s">
        <v>2040</v>
      </c>
      <c r="D3236" s="1" t="n">
        <v>445.5</v>
      </c>
      <c r="E3236" s="1" t="n">
        <v>23.37</v>
      </c>
      <c r="F3236" s="1" t="n">
        <v>6.2</v>
      </c>
    </row>
    <row collapsed="false" customFormat="false" customHeight="false" hidden="false" ht="14.75" outlineLevel="0" r="3237">
      <c r="A3237" s="1" t="s">
        <v>293</v>
      </c>
      <c r="B3237" s="1" t="s">
        <v>2286</v>
      </c>
      <c r="C3237" s="1" t="s">
        <v>2040</v>
      </c>
      <c r="D3237" s="1" t="n">
        <v>352</v>
      </c>
      <c r="E3237" s="1" t="n">
        <v>21.71</v>
      </c>
      <c r="F3237" s="1" t="n">
        <v>3.5</v>
      </c>
    </row>
    <row collapsed="false" customFormat="false" customHeight="false" hidden="false" ht="14.75" outlineLevel="0" r="3238">
      <c r="A3238" s="1" t="s">
        <v>1082</v>
      </c>
      <c r="B3238" s="1" t="s">
        <v>2286</v>
      </c>
      <c r="C3238" s="1" t="s">
        <v>2040</v>
      </c>
      <c r="D3238" s="1" t="n">
        <v>425</v>
      </c>
      <c r="E3238" s="1" t="n">
        <v>21.87</v>
      </c>
      <c r="F3238" s="1" t="n">
        <v>5.8</v>
      </c>
    </row>
    <row collapsed="false" customFormat="false" customHeight="false" hidden="false" ht="14.75" outlineLevel="0" r="3239">
      <c r="A3239" s="1" t="s">
        <v>253</v>
      </c>
      <c r="B3239" s="1" t="s">
        <v>2286</v>
      </c>
      <c r="C3239" s="1" t="s">
        <v>2040</v>
      </c>
      <c r="D3239" s="1" t="n">
        <v>242.5</v>
      </c>
      <c r="E3239" s="1" t="n">
        <v>18.14</v>
      </c>
      <c r="F3239" s="1" t="n">
        <v>1.8</v>
      </c>
    </row>
    <row collapsed="false" customFormat="false" customHeight="false" hidden="false" ht="14.75" outlineLevel="0" r="3240">
      <c r="A3240" s="1" t="s">
        <v>275</v>
      </c>
      <c r="B3240" s="1" t="s">
        <v>2286</v>
      </c>
      <c r="C3240" s="1" t="s">
        <v>2040</v>
      </c>
      <c r="D3240" s="1" t="n">
        <v>335.5</v>
      </c>
      <c r="E3240" s="1" t="n">
        <v>20.09</v>
      </c>
      <c r="F3240" s="1" t="n">
        <v>2.9</v>
      </c>
    </row>
    <row collapsed="false" customFormat="false" customHeight="false" hidden="false" ht="14.75" outlineLevel="0" r="3241">
      <c r="A3241" s="1" t="s">
        <v>2287</v>
      </c>
      <c r="B3241" s="1" t="s">
        <v>2286</v>
      </c>
      <c r="C3241" s="1" t="s">
        <v>2040</v>
      </c>
      <c r="D3241" s="1" t="n">
        <v>132.5</v>
      </c>
      <c r="E3241" s="1" t="n">
        <v>14.91</v>
      </c>
      <c r="F3241" s="1" t="n">
        <v>1.2</v>
      </c>
    </row>
    <row collapsed="false" customFormat="false" customHeight="false" hidden="false" ht="14.75" outlineLevel="0" r="3242">
      <c r="A3242" s="1" t="s">
        <v>256</v>
      </c>
      <c r="B3242" s="1" t="s">
        <v>2286</v>
      </c>
      <c r="C3242" s="1" t="s">
        <v>2040</v>
      </c>
      <c r="D3242" s="1" t="n">
        <v>220.5</v>
      </c>
      <c r="E3242" s="1" t="n">
        <v>14.23</v>
      </c>
      <c r="F3242" s="1" t="n">
        <v>2</v>
      </c>
    </row>
    <row collapsed="false" customFormat="false" customHeight="false" hidden="false" ht="14.75" outlineLevel="0" r="3243">
      <c r="A3243" s="1" t="s">
        <v>254</v>
      </c>
      <c r="B3243" s="1" t="s">
        <v>2286</v>
      </c>
      <c r="C3243" s="1" t="s">
        <v>2040</v>
      </c>
      <c r="D3243" s="1" t="n">
        <v>169</v>
      </c>
      <c r="E3243" s="1" t="n">
        <v>12.89</v>
      </c>
      <c r="F3243" s="1" t="n">
        <v>1.1</v>
      </c>
    </row>
    <row collapsed="false" customFormat="false" customHeight="false" hidden="false" ht="14.75" outlineLevel="0" r="3244">
      <c r="A3244" s="1" t="s">
        <v>623</v>
      </c>
      <c r="B3244" s="1" t="s">
        <v>2286</v>
      </c>
      <c r="C3244" s="1" t="s">
        <v>2040</v>
      </c>
      <c r="D3244" s="1" t="n">
        <v>145.5</v>
      </c>
      <c r="E3244" s="1" t="n">
        <v>11.13</v>
      </c>
      <c r="F3244" s="1" t="n">
        <v>1</v>
      </c>
    </row>
    <row collapsed="false" customFormat="false" customHeight="false" hidden="false" ht="14.75" outlineLevel="0" r="3245">
      <c r="A3245" s="1" t="s">
        <v>269</v>
      </c>
      <c r="B3245" s="1" t="s">
        <v>2286</v>
      </c>
      <c r="C3245" s="1" t="s">
        <v>2040</v>
      </c>
      <c r="D3245" s="1" t="n">
        <v>118.5</v>
      </c>
      <c r="E3245" s="1" t="n">
        <v>10.69</v>
      </c>
      <c r="F3245" s="1" t="n">
        <v>0.6</v>
      </c>
    </row>
    <row collapsed="false" customFormat="false" customHeight="false" hidden="false" ht="14.75" outlineLevel="0" r="3246">
      <c r="A3246" s="1" t="s">
        <v>270</v>
      </c>
      <c r="B3246" s="1" t="s">
        <v>2286</v>
      </c>
      <c r="C3246" s="1" t="s">
        <v>2040</v>
      </c>
      <c r="D3246" s="1" t="n">
        <v>89</v>
      </c>
      <c r="E3246" s="1" t="n">
        <v>9.57</v>
      </c>
      <c r="F3246" s="1" t="n">
        <v>0.6</v>
      </c>
    </row>
    <row collapsed="false" customFormat="false" customHeight="false" hidden="false" ht="14.75" outlineLevel="0" r="3247">
      <c r="A3247" s="1" t="s">
        <v>276</v>
      </c>
      <c r="B3247" s="1" t="s">
        <v>2286</v>
      </c>
      <c r="C3247" s="1" t="s">
        <v>2040</v>
      </c>
      <c r="D3247" s="1" t="n">
        <v>118</v>
      </c>
      <c r="E3247" s="1" t="n">
        <v>8.71</v>
      </c>
      <c r="F3247" s="1" t="n">
        <v>1</v>
      </c>
    </row>
    <row collapsed="false" customFormat="false" customHeight="false" hidden="false" ht="14.75" outlineLevel="0" r="3248">
      <c r="A3248" s="1" t="s">
        <v>2288</v>
      </c>
      <c r="B3248" s="1" t="s">
        <v>2286</v>
      </c>
      <c r="C3248" s="1" t="s">
        <v>2040</v>
      </c>
      <c r="D3248" s="1" t="n">
        <v>162.2</v>
      </c>
      <c r="E3248" s="1" t="n">
        <v>12.85</v>
      </c>
      <c r="F3248" s="1" t="n">
        <v>1.1</v>
      </c>
    </row>
    <row collapsed="false" customFormat="false" customHeight="false" hidden="false" ht="14.75" outlineLevel="0" r="3249">
      <c r="A3249" s="1" t="s">
        <v>2289</v>
      </c>
      <c r="B3249" s="1" t="s">
        <v>2286</v>
      </c>
      <c r="C3249" s="1" t="s">
        <v>2040</v>
      </c>
      <c r="D3249" s="1" t="n">
        <v>136</v>
      </c>
      <c r="E3249" s="1" t="n">
        <v>10.29</v>
      </c>
      <c r="F3249" s="1" t="n">
        <v>0.7</v>
      </c>
    </row>
    <row collapsed="false" customFormat="false" customHeight="false" hidden="false" ht="14.75" outlineLevel="0" r="3250">
      <c r="A3250" s="1" t="s">
        <v>1083</v>
      </c>
      <c r="B3250" s="1" t="s">
        <v>2286</v>
      </c>
      <c r="C3250" s="1" t="s">
        <v>2040</v>
      </c>
      <c r="D3250" s="1" t="n">
        <v>137</v>
      </c>
      <c r="E3250" s="1" t="n">
        <v>9.71</v>
      </c>
      <c r="F3250" s="1" t="n">
        <v>0.6</v>
      </c>
    </row>
    <row collapsed="false" customFormat="false" customHeight="false" hidden="false" ht="14.75" outlineLevel="0" r="3251">
      <c r="A3251" s="1" t="s">
        <v>2290</v>
      </c>
      <c r="B3251" s="1" t="s">
        <v>2286</v>
      </c>
      <c r="C3251" s="1" t="s">
        <v>2040</v>
      </c>
      <c r="D3251" s="1" t="n">
        <v>99.5</v>
      </c>
      <c r="E3251" s="1" t="n">
        <v>7.72</v>
      </c>
      <c r="F3251" s="1" t="n">
        <v>0.3</v>
      </c>
    </row>
    <row collapsed="false" customFormat="false" customHeight="false" hidden="false" ht="14.75" outlineLevel="0" r="3252">
      <c r="A3252" s="1" t="s">
        <v>271</v>
      </c>
      <c r="B3252" s="1" t="s">
        <v>2286</v>
      </c>
      <c r="C3252" s="1" t="s">
        <v>2040</v>
      </c>
      <c r="D3252" s="1" t="n">
        <v>61.7</v>
      </c>
      <c r="E3252" s="1" t="n">
        <v>4.09</v>
      </c>
      <c r="F3252" s="1" t="n">
        <v>0.4</v>
      </c>
    </row>
    <row collapsed="false" customFormat="false" customHeight="false" hidden="false" ht="14.75" outlineLevel="0" r="3253">
      <c r="A3253" s="1" t="s">
        <v>277</v>
      </c>
      <c r="B3253" s="1" t="s">
        <v>2286</v>
      </c>
      <c r="C3253" s="1" t="s">
        <v>2040</v>
      </c>
      <c r="D3253" s="1" t="n">
        <v>75</v>
      </c>
      <c r="E3253" s="1" t="n">
        <v>5.51</v>
      </c>
      <c r="F3253" s="1" t="n">
        <v>0</v>
      </c>
    </row>
    <row collapsed="false" customFormat="false" customHeight="false" hidden="false" ht="14.75" outlineLevel="0" r="3254">
      <c r="A3254" s="1" t="s">
        <v>2214</v>
      </c>
      <c r="B3254" s="1" t="s">
        <v>2291</v>
      </c>
      <c r="C3254" s="1" t="s">
        <v>37</v>
      </c>
      <c r="D3254" s="1" t="n">
        <v>244.5</v>
      </c>
      <c r="E3254" s="1" t="n">
        <v>15</v>
      </c>
      <c r="F3254" s="1" t="s">
        <v>9</v>
      </c>
    </row>
    <row collapsed="false" customFormat="false" customHeight="false" hidden="false" ht="14.75" outlineLevel="0" r="3255">
      <c r="A3255" s="1" t="s">
        <v>1317</v>
      </c>
      <c r="B3255" s="1" t="s">
        <v>2292</v>
      </c>
      <c r="C3255" s="1" t="s">
        <v>1491</v>
      </c>
      <c r="D3255" s="1" t="n">
        <v>441.1</v>
      </c>
      <c r="E3255" s="1" t="n">
        <v>21.95</v>
      </c>
      <c r="F3255" s="1" t="n">
        <f aca="false">55/9</f>
        <v>6.11111111111111</v>
      </c>
    </row>
    <row collapsed="false" customFormat="false" customHeight="false" hidden="false" ht="14.75" outlineLevel="0" r="3256">
      <c r="A3256" s="1" t="s">
        <v>880</v>
      </c>
      <c r="B3256" s="1" t="s">
        <v>2292</v>
      </c>
      <c r="C3256" s="1" t="s">
        <v>1491</v>
      </c>
      <c r="D3256" s="1" t="n">
        <v>477.2</v>
      </c>
      <c r="E3256" s="1" t="n">
        <v>24.17</v>
      </c>
      <c r="F3256" s="1" t="n">
        <f aca="false">62/9</f>
        <v>6.88888888888889</v>
      </c>
    </row>
    <row collapsed="false" customFormat="false" customHeight="false" hidden="false" ht="14.75" outlineLevel="0" r="3257">
      <c r="A3257" s="1" t="s">
        <v>2293</v>
      </c>
      <c r="B3257" s="1" t="s">
        <v>2292</v>
      </c>
      <c r="C3257" s="1" t="s">
        <v>1491</v>
      </c>
      <c r="D3257" s="1" t="n">
        <v>453.9</v>
      </c>
      <c r="E3257" s="1" t="n">
        <v>24.04</v>
      </c>
      <c r="F3257" s="1" t="n">
        <f aca="false">58/9</f>
        <v>6.44444444444444</v>
      </c>
    </row>
    <row collapsed="false" customFormat="false" customHeight="false" hidden="false" ht="14.75" outlineLevel="0" r="3258">
      <c r="A3258" s="1" t="s">
        <v>2294</v>
      </c>
      <c r="B3258" s="1" t="s">
        <v>2292</v>
      </c>
      <c r="C3258" s="1" t="s">
        <v>1491</v>
      </c>
      <c r="D3258" s="1" t="n">
        <v>369.4</v>
      </c>
      <c r="E3258" s="1" t="n">
        <v>20.61</v>
      </c>
      <c r="F3258" s="1" t="n">
        <f aca="false">32/9</f>
        <v>3.55555555555556</v>
      </c>
    </row>
    <row collapsed="false" customFormat="false" customHeight="false" hidden="false" ht="14.75" outlineLevel="0" r="3259">
      <c r="A3259" s="1" t="s">
        <v>2295</v>
      </c>
      <c r="B3259" s="1" t="s">
        <v>2292</v>
      </c>
      <c r="C3259" s="1" t="s">
        <v>1491</v>
      </c>
      <c r="D3259" s="1" t="n">
        <v>424.4</v>
      </c>
      <c r="E3259" s="1" t="n">
        <v>24.3</v>
      </c>
      <c r="F3259" s="1" t="n">
        <f aca="false">55/9</f>
        <v>6.11111111111111</v>
      </c>
    </row>
    <row collapsed="false" customFormat="false" customHeight="false" hidden="false" ht="14.75" outlineLevel="0" r="3260">
      <c r="A3260" s="1" t="s">
        <v>2296</v>
      </c>
      <c r="B3260" s="1" t="s">
        <v>2292</v>
      </c>
      <c r="C3260" s="1" t="s">
        <v>1491</v>
      </c>
      <c r="D3260" s="1" t="n">
        <v>343.3</v>
      </c>
      <c r="E3260" s="1" t="n">
        <v>18.93</v>
      </c>
      <c r="F3260" s="1" t="n">
        <f aca="false">28/9</f>
        <v>3.11111111111111</v>
      </c>
    </row>
    <row collapsed="false" customFormat="false" customHeight="false" hidden="false" ht="14.75" outlineLevel="0" r="3261">
      <c r="A3261" s="1" t="s">
        <v>2297</v>
      </c>
      <c r="B3261" s="1" t="s">
        <v>2292</v>
      </c>
      <c r="C3261" s="1" t="s">
        <v>1491</v>
      </c>
      <c r="D3261" s="1" t="n">
        <v>322.2</v>
      </c>
      <c r="E3261" s="1" t="n">
        <v>20.55</v>
      </c>
      <c r="F3261" s="1" t="n">
        <f aca="false">40/9</f>
        <v>4.44444444444444</v>
      </c>
    </row>
    <row collapsed="false" customFormat="false" customHeight="false" hidden="false" ht="14.75" outlineLevel="0" r="3262">
      <c r="A3262" s="1" t="s">
        <v>394</v>
      </c>
      <c r="B3262" s="1" t="s">
        <v>2292</v>
      </c>
      <c r="C3262" s="1" t="s">
        <v>1491</v>
      </c>
      <c r="D3262" s="1" t="n">
        <v>233.3</v>
      </c>
      <c r="E3262" s="1" t="n">
        <v>17.53</v>
      </c>
      <c r="F3262" s="1" t="n">
        <f aca="false">21/9</f>
        <v>2.33333333333333</v>
      </c>
    </row>
    <row collapsed="false" customFormat="false" customHeight="false" hidden="false" ht="14.75" outlineLevel="0" r="3263">
      <c r="A3263" s="1" t="s">
        <v>2298</v>
      </c>
      <c r="B3263" s="1" t="s">
        <v>2292</v>
      </c>
      <c r="C3263" s="1" t="s">
        <v>1491</v>
      </c>
      <c r="D3263" s="1" t="n">
        <v>271</v>
      </c>
      <c r="E3263" s="1" t="n">
        <v>16.7</v>
      </c>
      <c r="F3263" s="1" t="n">
        <f aca="false">7/5</f>
        <v>1.4</v>
      </c>
    </row>
    <row collapsed="false" customFormat="false" customHeight="false" hidden="false" ht="14.75" outlineLevel="0" r="3264">
      <c r="A3264" s="1" t="s">
        <v>223</v>
      </c>
      <c r="B3264" s="1" t="s">
        <v>2292</v>
      </c>
      <c r="C3264" s="1" t="s">
        <v>1491</v>
      </c>
      <c r="D3264" s="1" t="n">
        <v>235</v>
      </c>
      <c r="E3264" s="1" t="n">
        <v>12.64</v>
      </c>
      <c r="F3264" s="1" t="n">
        <f aca="false">7/5</f>
        <v>1.4</v>
      </c>
    </row>
    <row collapsed="false" customFormat="false" customHeight="false" hidden="false" ht="14.75" outlineLevel="0" r="3265">
      <c r="A3265" s="1" t="s">
        <v>1751</v>
      </c>
      <c r="B3265" s="1" t="s">
        <v>2292</v>
      </c>
      <c r="C3265" s="1" t="s">
        <v>1491</v>
      </c>
      <c r="D3265" s="1" t="n">
        <v>304</v>
      </c>
      <c r="E3265" s="1" t="n">
        <v>18.3</v>
      </c>
      <c r="F3265" s="1" t="n">
        <f aca="false">11/5</f>
        <v>2.2</v>
      </c>
    </row>
    <row collapsed="false" customFormat="false" customHeight="false" hidden="false" ht="14.75" outlineLevel="0" r="3266">
      <c r="A3266" s="1" t="s">
        <v>2299</v>
      </c>
      <c r="B3266" s="1" t="s">
        <v>2292</v>
      </c>
      <c r="C3266" s="1" t="s">
        <v>1491</v>
      </c>
      <c r="D3266" s="1" t="n">
        <v>272</v>
      </c>
      <c r="E3266" s="1" t="n">
        <v>16.23</v>
      </c>
      <c r="F3266" s="1" t="n">
        <f aca="false">7/5</f>
        <v>1.4</v>
      </c>
    </row>
    <row collapsed="false" customFormat="false" customHeight="false" hidden="false" ht="14.75" outlineLevel="0" r="3267">
      <c r="A3267" s="1" t="s">
        <v>2300</v>
      </c>
      <c r="B3267" s="1" t="s">
        <v>2292</v>
      </c>
      <c r="C3267" s="1" t="s">
        <v>1491</v>
      </c>
      <c r="D3267" s="1" t="n">
        <v>259</v>
      </c>
      <c r="E3267" s="1" t="n">
        <v>18.84</v>
      </c>
      <c r="F3267" s="1" t="n">
        <f aca="false">14/5</f>
        <v>2.8</v>
      </c>
    </row>
    <row collapsed="false" customFormat="false" customHeight="false" hidden="false" ht="14.75" outlineLevel="0" r="3268">
      <c r="A3268" s="1" t="s">
        <v>1518</v>
      </c>
      <c r="B3268" s="1" t="s">
        <v>2292</v>
      </c>
      <c r="C3268" s="1" t="s">
        <v>1491</v>
      </c>
      <c r="D3268" s="1" t="n">
        <v>210</v>
      </c>
      <c r="E3268" s="1" t="n">
        <v>14.52</v>
      </c>
      <c r="F3268" s="1" t="n">
        <f aca="false">9/5</f>
        <v>1.8</v>
      </c>
    </row>
    <row collapsed="false" customFormat="false" customHeight="false" hidden="false" ht="14.75" outlineLevel="0" r="3269">
      <c r="A3269" s="1" t="s">
        <v>2301</v>
      </c>
      <c r="B3269" s="1" t="s">
        <v>2292</v>
      </c>
      <c r="C3269" s="1" t="s">
        <v>1491</v>
      </c>
      <c r="D3269" s="1" t="n">
        <v>209.7</v>
      </c>
      <c r="E3269" s="1" t="n">
        <v>14.55</v>
      </c>
      <c r="F3269" s="1" t="n">
        <f aca="false">10/5</f>
        <v>2</v>
      </c>
    </row>
    <row collapsed="false" customFormat="false" customHeight="false" hidden="false" ht="14.75" outlineLevel="0" r="3270">
      <c r="A3270" s="1" t="s">
        <v>2302</v>
      </c>
      <c r="B3270" s="1" t="s">
        <v>2292</v>
      </c>
      <c r="C3270" s="1" t="s">
        <v>1491</v>
      </c>
      <c r="D3270" s="1" t="n">
        <v>226</v>
      </c>
      <c r="E3270" s="1" t="n">
        <v>16.36</v>
      </c>
      <c r="F3270" s="1" t="n">
        <f aca="false">9/5</f>
        <v>1.8</v>
      </c>
    </row>
    <row collapsed="false" customFormat="false" customHeight="false" hidden="false" ht="14.75" outlineLevel="0" r="3271">
      <c r="A3271" s="1" t="s">
        <v>2108</v>
      </c>
      <c r="B3271" s="1" t="s">
        <v>2292</v>
      </c>
      <c r="C3271" s="1" t="s">
        <v>1491</v>
      </c>
      <c r="D3271" s="1" t="n">
        <v>200</v>
      </c>
      <c r="E3271" s="1" t="n">
        <v>13.72</v>
      </c>
      <c r="F3271" s="1" t="n">
        <f aca="false">12/5</f>
        <v>2.4</v>
      </c>
    </row>
    <row collapsed="false" customFormat="false" customHeight="false" hidden="false" ht="14.75" outlineLevel="0" r="3272">
      <c r="A3272" s="1" t="s">
        <v>2303</v>
      </c>
      <c r="B3272" s="1" t="s">
        <v>2292</v>
      </c>
      <c r="C3272" s="1" t="s">
        <v>1491</v>
      </c>
      <c r="D3272" s="1" t="n">
        <v>159</v>
      </c>
      <c r="E3272" s="1" t="n">
        <v>13.24</v>
      </c>
      <c r="F3272" s="1" t="n">
        <f aca="false">8/5</f>
        <v>1.6</v>
      </c>
    </row>
    <row collapsed="false" customFormat="false" customHeight="false" hidden="false" ht="14.75" outlineLevel="0" r="3273">
      <c r="A3273" s="1" t="s">
        <v>2304</v>
      </c>
      <c r="B3273" s="1" t="s">
        <v>2292</v>
      </c>
      <c r="C3273" s="1" t="s">
        <v>1491</v>
      </c>
      <c r="D3273" s="1" t="n">
        <v>127</v>
      </c>
      <c r="E3273" s="1" t="n">
        <v>11.72</v>
      </c>
      <c r="F3273" s="1" t="n">
        <f aca="false">11/5</f>
        <v>2.2</v>
      </c>
    </row>
    <row collapsed="false" customFormat="false" customHeight="false" hidden="false" ht="14.75" outlineLevel="0" r="3274">
      <c r="A3274" s="1" t="s">
        <v>842</v>
      </c>
      <c r="B3274" s="1" t="s">
        <v>2292</v>
      </c>
      <c r="C3274" s="1" t="s">
        <v>1491</v>
      </c>
      <c r="D3274" s="1" t="n">
        <v>119</v>
      </c>
      <c r="E3274" s="1" t="n">
        <v>8.71</v>
      </c>
      <c r="F3274" s="1" t="n">
        <f aca="false">4/5</f>
        <v>0.8</v>
      </c>
    </row>
    <row collapsed="false" customFormat="false" customHeight="false" hidden="false" ht="14.75" outlineLevel="0" r="3275">
      <c r="A3275" s="1" t="s">
        <v>224</v>
      </c>
      <c r="B3275" s="1" t="s">
        <v>2292</v>
      </c>
      <c r="C3275" s="1" t="s">
        <v>1491</v>
      </c>
      <c r="D3275" s="1" t="n">
        <v>136</v>
      </c>
      <c r="E3275" s="1" t="n">
        <v>12.19</v>
      </c>
      <c r="F3275" s="1" t="n">
        <f aca="false">3/5</f>
        <v>0.6</v>
      </c>
    </row>
    <row collapsed="false" customFormat="false" customHeight="false" hidden="false" ht="14.75" outlineLevel="0" r="3276">
      <c r="A3276" s="1" t="s">
        <v>2107</v>
      </c>
      <c r="B3276" s="1" t="s">
        <v>2292</v>
      </c>
      <c r="C3276" s="1" t="s">
        <v>1491</v>
      </c>
      <c r="D3276" s="1" t="n">
        <v>121</v>
      </c>
      <c r="E3276" s="1" t="n">
        <v>11.79</v>
      </c>
      <c r="F3276" s="1" t="n">
        <f aca="false">2/5</f>
        <v>0.4</v>
      </c>
    </row>
    <row collapsed="false" customFormat="false" customHeight="false" hidden="false" ht="14.75" outlineLevel="0" r="3277">
      <c r="A3277" s="1" t="s">
        <v>1752</v>
      </c>
      <c r="B3277" s="1" t="s">
        <v>2292</v>
      </c>
      <c r="C3277" s="1" t="s">
        <v>1491</v>
      </c>
      <c r="D3277" s="1" t="n">
        <v>110</v>
      </c>
      <c r="E3277" s="1" t="n">
        <v>13.91</v>
      </c>
      <c r="F3277" s="1" t="n">
        <f aca="false">2/5</f>
        <v>0.4</v>
      </c>
    </row>
    <row collapsed="false" customFormat="false" customHeight="false" hidden="false" ht="14.75" outlineLevel="0" r="3278">
      <c r="A3278" s="1" t="s">
        <v>2305</v>
      </c>
      <c r="B3278" s="1" t="s">
        <v>2292</v>
      </c>
      <c r="C3278" s="1" t="s">
        <v>1491</v>
      </c>
      <c r="D3278" s="1" t="n">
        <v>59</v>
      </c>
      <c r="E3278" s="1" t="n">
        <v>7.22</v>
      </c>
      <c r="F3278" s="1" t="n">
        <v>0.6</v>
      </c>
    </row>
    <row collapsed="false" customFormat="false" customHeight="false" hidden="false" ht="14.75" outlineLevel="0" r="3279">
      <c r="A3279" s="1" t="s">
        <v>2306</v>
      </c>
      <c r="B3279" s="1" t="s">
        <v>2292</v>
      </c>
      <c r="C3279" s="1" t="s">
        <v>1491</v>
      </c>
      <c r="D3279" s="1" t="n">
        <v>50</v>
      </c>
      <c r="E3279" s="1" t="n">
        <v>6</v>
      </c>
      <c r="F3279" s="1" t="n">
        <v>0.8</v>
      </c>
    </row>
    <row collapsed="false" customFormat="false" customHeight="false" hidden="false" ht="14.75" outlineLevel="0" r="3280">
      <c r="A3280" s="1" t="s">
        <v>2307</v>
      </c>
      <c r="B3280" s="1" t="s">
        <v>2292</v>
      </c>
      <c r="C3280" s="1" t="s">
        <v>1491</v>
      </c>
      <c r="D3280" s="1" t="n">
        <v>71</v>
      </c>
      <c r="E3280" s="1" t="n">
        <v>8.42</v>
      </c>
      <c r="F3280" s="1" t="n">
        <v>1.2</v>
      </c>
    </row>
    <row collapsed="false" customFormat="false" customHeight="false" hidden="false" ht="14.75" outlineLevel="0" r="3281">
      <c r="A3281" s="1" t="s">
        <v>2308</v>
      </c>
      <c r="B3281" s="1" t="s">
        <v>2292</v>
      </c>
      <c r="C3281" s="1" t="s">
        <v>1491</v>
      </c>
      <c r="D3281" s="1" t="n">
        <v>65</v>
      </c>
      <c r="E3281" s="1" t="n">
        <v>6.32</v>
      </c>
      <c r="F3281" s="1" t="n">
        <v>1.2</v>
      </c>
    </row>
    <row collapsed="false" customFormat="false" customHeight="false" hidden="false" ht="14.75" outlineLevel="0" r="3282">
      <c r="A3282" s="1" t="s">
        <v>2114</v>
      </c>
      <c r="B3282" s="1" t="s">
        <v>2292</v>
      </c>
      <c r="C3282" s="1" t="s">
        <v>1491</v>
      </c>
      <c r="D3282" s="1" t="n">
        <v>33</v>
      </c>
      <c r="E3282" s="1" t="n">
        <v>7.27</v>
      </c>
      <c r="F3282" s="1" t="n">
        <v>0</v>
      </c>
    </row>
    <row collapsed="false" customFormat="false" customHeight="false" hidden="false" ht="14.75" outlineLevel="0" r="3283">
      <c r="A3283" s="1" t="s">
        <v>2309</v>
      </c>
      <c r="B3283" s="1" t="s">
        <v>2292</v>
      </c>
      <c r="C3283" s="1" t="s">
        <v>1491</v>
      </c>
      <c r="D3283" s="1" t="n">
        <v>28</v>
      </c>
      <c r="E3283" s="1" t="n">
        <v>5.56</v>
      </c>
      <c r="F3283" s="1" t="n">
        <v>0.2</v>
      </c>
    </row>
    <row collapsed="false" customFormat="false" customHeight="false" hidden="false" ht="14.75" outlineLevel="0" r="3284">
      <c r="A3284" s="1" t="s">
        <v>2310</v>
      </c>
      <c r="B3284" s="1" t="s">
        <v>2292</v>
      </c>
      <c r="C3284" s="1" t="s">
        <v>1491</v>
      </c>
      <c r="D3284" s="1" t="n">
        <v>2</v>
      </c>
      <c r="E3284" s="1" t="n">
        <v>2.5</v>
      </c>
      <c r="F3284" s="1" t="n">
        <v>0.2</v>
      </c>
    </row>
    <row collapsed="false" customFormat="false" customHeight="false" hidden="false" ht="14.75" outlineLevel="0" r="3285">
      <c r="A3285" s="1" t="s">
        <v>304</v>
      </c>
      <c r="B3285" s="1" t="s">
        <v>2311</v>
      </c>
      <c r="C3285" s="1" t="s">
        <v>2254</v>
      </c>
      <c r="D3285" s="1" t="n">
        <v>414.1</v>
      </c>
      <c r="E3285" s="1" t="n">
        <v>21.21</v>
      </c>
      <c r="F3285" s="1" t="n">
        <f aca="false">51/11</f>
        <v>4.63636363636364</v>
      </c>
    </row>
    <row collapsed="false" customFormat="false" customHeight="false" hidden="false" ht="14.75" outlineLevel="0" r="3286">
      <c r="A3286" s="1" t="s">
        <v>107</v>
      </c>
      <c r="B3286" s="1" t="s">
        <v>2311</v>
      </c>
      <c r="C3286" s="1" t="s">
        <v>2254</v>
      </c>
      <c r="D3286" s="1" t="n">
        <v>362.3</v>
      </c>
      <c r="E3286" s="1" t="n">
        <v>19.88</v>
      </c>
      <c r="F3286" s="1" t="n">
        <f aca="false">56/11</f>
        <v>5.09090909090909</v>
      </c>
    </row>
    <row collapsed="false" customFormat="false" customHeight="false" hidden="false" ht="14.75" outlineLevel="0" r="3287">
      <c r="A3287" s="1" t="s">
        <v>2312</v>
      </c>
      <c r="B3287" s="1" t="s">
        <v>2311</v>
      </c>
      <c r="C3287" s="1" t="s">
        <v>2254</v>
      </c>
      <c r="D3287" s="1" t="n">
        <v>312.1</v>
      </c>
      <c r="E3287" s="1" t="n">
        <v>17.86</v>
      </c>
      <c r="F3287" s="1" t="n">
        <f aca="false">41/12</f>
        <v>3.41666666666667</v>
      </c>
    </row>
    <row collapsed="false" customFormat="false" customHeight="false" hidden="false" ht="14.75" outlineLevel="0" r="3288">
      <c r="A3288" s="1" t="s">
        <v>32</v>
      </c>
      <c r="B3288" s="1" t="s">
        <v>2311</v>
      </c>
      <c r="C3288" s="1" t="s">
        <v>2254</v>
      </c>
      <c r="D3288" s="1" t="n">
        <v>335</v>
      </c>
      <c r="E3288" s="1" t="n">
        <v>17.76</v>
      </c>
      <c r="F3288" s="1" t="n">
        <f aca="false">61/11</f>
        <v>5.54545454545455</v>
      </c>
    </row>
    <row collapsed="false" customFormat="false" customHeight="false" hidden="false" ht="14.75" outlineLevel="0" r="3289">
      <c r="A3289" s="1" t="s">
        <v>2313</v>
      </c>
      <c r="B3289" s="1" t="s">
        <v>2311</v>
      </c>
      <c r="C3289" s="1" t="s">
        <v>2254</v>
      </c>
      <c r="D3289" s="1" t="n">
        <v>316.8</v>
      </c>
      <c r="E3289" s="1" t="n">
        <v>20</v>
      </c>
      <c r="F3289" s="1" t="n">
        <f aca="false">40/11</f>
        <v>3.63636363636364</v>
      </c>
    </row>
    <row collapsed="false" customFormat="false" customHeight="false" hidden="false" ht="14.75" outlineLevel="0" r="3290">
      <c r="A3290" s="1" t="s">
        <v>1890</v>
      </c>
      <c r="B3290" s="1" t="s">
        <v>2311</v>
      </c>
      <c r="C3290" s="1" t="s">
        <v>2254</v>
      </c>
      <c r="D3290" s="1" t="n">
        <v>245</v>
      </c>
      <c r="E3290" s="1" t="n">
        <v>18.24</v>
      </c>
      <c r="F3290" s="1" t="n">
        <v>2.2</v>
      </c>
    </row>
    <row collapsed="false" customFormat="false" customHeight="false" hidden="false" ht="14.75" outlineLevel="0" r="3291">
      <c r="A3291" s="1" t="s">
        <v>2314</v>
      </c>
      <c r="B3291" s="1" t="s">
        <v>2311</v>
      </c>
      <c r="C3291" s="1" t="s">
        <v>2254</v>
      </c>
      <c r="D3291" s="1" t="n">
        <v>266.5</v>
      </c>
      <c r="E3291" s="1" t="n">
        <v>17.09</v>
      </c>
      <c r="F3291" s="1" t="n">
        <v>1.3</v>
      </c>
    </row>
    <row collapsed="false" customFormat="false" customHeight="false" hidden="false" ht="14.75" outlineLevel="0" r="3292">
      <c r="A3292" s="1" t="s">
        <v>96</v>
      </c>
      <c r="B3292" s="1" t="s">
        <v>2311</v>
      </c>
      <c r="C3292" s="1" t="s">
        <v>2254</v>
      </c>
      <c r="D3292" s="1" t="n">
        <v>278.5</v>
      </c>
      <c r="E3292" s="1" t="n">
        <v>19.32</v>
      </c>
      <c r="F3292" s="1" t="n">
        <v>1.8</v>
      </c>
    </row>
    <row collapsed="false" customFormat="false" customHeight="false" hidden="false" ht="14.75" outlineLevel="0" r="3293">
      <c r="A3293" s="1" t="s">
        <v>2315</v>
      </c>
      <c r="B3293" s="1" t="s">
        <v>2311</v>
      </c>
      <c r="C3293" s="1" t="s">
        <v>2254</v>
      </c>
      <c r="D3293" s="1" t="n">
        <v>223.3</v>
      </c>
      <c r="E3293" s="1" t="n">
        <v>15.32</v>
      </c>
      <c r="F3293" s="1" t="n">
        <v>1</v>
      </c>
    </row>
    <row collapsed="false" customFormat="false" customHeight="false" hidden="false" ht="14.75" outlineLevel="0" r="3294">
      <c r="A3294" s="1" t="s">
        <v>404</v>
      </c>
      <c r="B3294" s="1" t="s">
        <v>2311</v>
      </c>
      <c r="C3294" s="1" t="s">
        <v>2254</v>
      </c>
      <c r="D3294" s="1" t="n">
        <v>327.2</v>
      </c>
      <c r="E3294" s="1" t="n">
        <v>18.58</v>
      </c>
      <c r="F3294" s="1" t="n">
        <f aca="false">17/9</f>
        <v>1.88888888888889</v>
      </c>
    </row>
    <row collapsed="false" customFormat="false" customHeight="false" hidden="false" ht="14.75" outlineLevel="0" r="3295">
      <c r="A3295" s="1" t="s">
        <v>2316</v>
      </c>
      <c r="B3295" s="1" t="s">
        <v>2311</v>
      </c>
      <c r="C3295" s="1" t="s">
        <v>2254</v>
      </c>
      <c r="D3295" s="1" t="n">
        <v>132.2</v>
      </c>
      <c r="E3295" s="1" t="n">
        <v>11.58</v>
      </c>
      <c r="F3295" s="1" t="n">
        <f aca="false">8/9</f>
        <v>0.888888888888889</v>
      </c>
    </row>
    <row collapsed="false" customFormat="false" customHeight="false" hidden="false" ht="14.75" outlineLevel="0" r="3296">
      <c r="A3296" s="1" t="s">
        <v>14</v>
      </c>
      <c r="B3296" s="1" t="s">
        <v>2311</v>
      </c>
      <c r="C3296" s="1" t="s">
        <v>2254</v>
      </c>
      <c r="D3296" s="1" t="n">
        <v>76.7</v>
      </c>
      <c r="E3296" s="1" t="n">
        <v>9.47</v>
      </c>
      <c r="F3296" s="1" t="n">
        <f aca="false">2/9</f>
        <v>0.222222222222222</v>
      </c>
    </row>
    <row collapsed="false" customFormat="false" customHeight="false" hidden="false" ht="14.75" outlineLevel="0" r="3297">
      <c r="A3297" s="1" t="s">
        <v>2317</v>
      </c>
      <c r="B3297" s="1" t="s">
        <v>2311</v>
      </c>
      <c r="C3297" s="1" t="s">
        <v>2254</v>
      </c>
      <c r="D3297" s="1" t="n">
        <v>49.4</v>
      </c>
      <c r="E3297" s="1" t="n">
        <v>8.6</v>
      </c>
      <c r="F3297" s="1" t="n">
        <f aca="false">1/9</f>
        <v>0.111111111111111</v>
      </c>
    </row>
    <row collapsed="false" customFormat="false" customHeight="false" hidden="false" ht="14.75" outlineLevel="0" r="3298">
      <c r="A3298" s="1" t="s">
        <v>2318</v>
      </c>
      <c r="B3298" s="1" t="s">
        <v>2311</v>
      </c>
      <c r="C3298" s="1" t="s">
        <v>2254</v>
      </c>
      <c r="D3298" s="1" t="n">
        <v>64.4</v>
      </c>
      <c r="E3298" s="1" t="n">
        <v>7.06</v>
      </c>
      <c r="F3298" s="1" t="n">
        <f aca="false">2/9</f>
        <v>0.222222222222222</v>
      </c>
    </row>
    <row collapsed="false" customFormat="false" customHeight="false" hidden="false" ht="14.75" outlineLevel="0" r="3299">
      <c r="A3299" s="1" t="s">
        <v>2319</v>
      </c>
      <c r="B3299" s="1" t="s">
        <v>2320</v>
      </c>
      <c r="C3299" s="1" t="s">
        <v>2055</v>
      </c>
      <c r="D3299" s="1" t="n">
        <v>392.6</v>
      </c>
      <c r="E3299" s="1" t="n">
        <v>19.71</v>
      </c>
      <c r="F3299" s="1" t="n">
        <f aca="false">17/8</f>
        <v>2.125</v>
      </c>
    </row>
    <row collapsed="false" customFormat="false" customHeight="false" hidden="false" ht="14.75" outlineLevel="0" r="3300">
      <c r="A3300" s="1" t="s">
        <v>2321</v>
      </c>
      <c r="B3300" s="1" t="s">
        <v>2320</v>
      </c>
      <c r="C3300" s="1" t="s">
        <v>2055</v>
      </c>
      <c r="D3300" s="1" t="n">
        <v>253.6</v>
      </c>
      <c r="E3300" s="1" t="n">
        <v>15.16</v>
      </c>
      <c r="F3300" s="1" t="n">
        <f aca="false">5/9</f>
        <v>0.555555555555556</v>
      </c>
    </row>
    <row collapsed="false" customFormat="false" customHeight="false" hidden="false" ht="14.75" outlineLevel="0" r="3301">
      <c r="A3301" s="1" t="s">
        <v>2322</v>
      </c>
      <c r="B3301" s="1" t="s">
        <v>2320</v>
      </c>
      <c r="C3301" s="1" t="s">
        <v>2055</v>
      </c>
      <c r="D3301" s="1" t="n">
        <v>208.9</v>
      </c>
      <c r="E3301" s="1" t="n">
        <v>12.91</v>
      </c>
      <c r="F3301" s="1" t="n">
        <f aca="false">9/8</f>
        <v>1.125</v>
      </c>
    </row>
    <row collapsed="false" customFormat="false" customHeight="false" hidden="false" ht="14.75" outlineLevel="0" r="3302">
      <c r="A3302" s="1" t="s">
        <v>2323</v>
      </c>
      <c r="B3302" s="1" t="s">
        <v>2320</v>
      </c>
      <c r="C3302" s="1" t="s">
        <v>2055</v>
      </c>
      <c r="D3302" s="1" t="n">
        <v>104.6</v>
      </c>
      <c r="E3302" s="1" t="n">
        <v>9.43</v>
      </c>
      <c r="F3302" s="1" t="n">
        <f aca="false">5/9</f>
        <v>0.555555555555556</v>
      </c>
    </row>
    <row collapsed="false" customFormat="false" customHeight="false" hidden="false" ht="14.75" outlineLevel="0" r="3303">
      <c r="A3303" s="1" t="s">
        <v>2324</v>
      </c>
      <c r="B3303" s="1" t="s">
        <v>2320</v>
      </c>
      <c r="C3303" s="1" t="s">
        <v>2055</v>
      </c>
      <c r="D3303" s="1" t="n">
        <v>271.4</v>
      </c>
      <c r="E3303" s="1" t="n">
        <v>15.21</v>
      </c>
      <c r="F3303" s="1" t="n">
        <f aca="false">9/7</f>
        <v>1.28571428571429</v>
      </c>
    </row>
    <row collapsed="false" customFormat="false" customHeight="false" hidden="false" ht="14.75" outlineLevel="0" r="3304">
      <c r="A3304" s="1" t="s">
        <v>2325</v>
      </c>
      <c r="B3304" s="1" t="s">
        <v>2320</v>
      </c>
      <c r="C3304" s="1" t="s">
        <v>2055</v>
      </c>
      <c r="D3304" s="1" t="n">
        <v>169</v>
      </c>
      <c r="E3304" s="1" t="n">
        <v>12.43</v>
      </c>
      <c r="F3304" s="1" t="n">
        <f aca="false">5/6</f>
        <v>0.833333333333333</v>
      </c>
    </row>
    <row collapsed="false" customFormat="false" customHeight="false" hidden="false" ht="14.75" outlineLevel="0" r="3305">
      <c r="A3305" s="1" t="s">
        <v>2326</v>
      </c>
      <c r="B3305" s="1" t="s">
        <v>2320</v>
      </c>
      <c r="C3305" s="1" t="s">
        <v>2055</v>
      </c>
      <c r="D3305" s="1" t="n">
        <v>135.4</v>
      </c>
      <c r="E3305" s="1" t="n">
        <v>10.31</v>
      </c>
      <c r="F3305" s="1" t="n">
        <f aca="false">5/7</f>
        <v>0.714285714285714</v>
      </c>
    </row>
    <row collapsed="false" customFormat="false" customHeight="false" hidden="false" ht="14.75" outlineLevel="0" r="3306">
      <c r="A3306" s="1" t="s">
        <v>1710</v>
      </c>
      <c r="B3306" s="1" t="s">
        <v>2320</v>
      </c>
      <c r="C3306" s="1" t="s">
        <v>2055</v>
      </c>
      <c r="D3306" s="1" t="n">
        <v>232.3</v>
      </c>
      <c r="E3306" s="1" t="n">
        <v>14.42</v>
      </c>
      <c r="F3306" s="1" t="n">
        <f aca="false">8/7</f>
        <v>1.14285714285714</v>
      </c>
    </row>
    <row collapsed="false" customFormat="false" customHeight="false" hidden="false" ht="14.75" outlineLevel="0" r="3307">
      <c r="A3307" s="1" t="s">
        <v>2327</v>
      </c>
      <c r="B3307" s="1" t="s">
        <v>2320</v>
      </c>
      <c r="C3307" s="1" t="s">
        <v>2055</v>
      </c>
      <c r="D3307" s="1" t="n">
        <v>114</v>
      </c>
      <c r="E3307" s="1" t="n">
        <v>12.27</v>
      </c>
      <c r="F3307" s="1" t="n">
        <f aca="false">1/6</f>
        <v>0.166666666666667</v>
      </c>
    </row>
    <row collapsed="false" customFormat="false" customHeight="false" hidden="false" ht="14.75" outlineLevel="0" r="3308">
      <c r="A3308" s="1" t="s">
        <v>2328</v>
      </c>
      <c r="B3308" s="1" t="s">
        <v>2320</v>
      </c>
      <c r="C3308" s="1" t="s">
        <v>2055</v>
      </c>
      <c r="D3308" s="1" t="n">
        <v>75.7</v>
      </c>
      <c r="E3308" s="1" t="n">
        <v>8.12</v>
      </c>
      <c r="F3308" s="1" t="n">
        <v>0</v>
      </c>
    </row>
    <row collapsed="false" customFormat="false" customHeight="false" hidden="false" ht="14.75" outlineLevel="0" r="3309">
      <c r="A3309" s="1" t="s">
        <v>2329</v>
      </c>
      <c r="B3309" s="1" t="s">
        <v>2320</v>
      </c>
      <c r="C3309" s="1" t="s">
        <v>2055</v>
      </c>
      <c r="D3309" s="1" t="n">
        <v>40.9</v>
      </c>
      <c r="E3309" s="1" t="n">
        <v>11.67</v>
      </c>
      <c r="F3309" s="1" t="n">
        <f aca="false">2/7</f>
        <v>0.285714285714286</v>
      </c>
    </row>
    <row collapsed="false" customFormat="false" customHeight="false" hidden="false" ht="14.75" outlineLevel="0" r="3310">
      <c r="A3310" s="1" t="s">
        <v>1420</v>
      </c>
      <c r="B3310" s="1" t="s">
        <v>2320</v>
      </c>
      <c r="C3310" s="1" t="s">
        <v>2055</v>
      </c>
      <c r="D3310" s="1" t="n">
        <v>175.3</v>
      </c>
      <c r="E3310" s="1" t="n">
        <v>10.26</v>
      </c>
      <c r="F3310" s="1" t="n">
        <f aca="false">4/6</f>
        <v>0.666666666666667</v>
      </c>
    </row>
    <row collapsed="false" customFormat="false" customHeight="false" hidden="false" ht="14.75" outlineLevel="0" r="3311">
      <c r="A3311" s="1" t="s">
        <v>2330</v>
      </c>
      <c r="B3311" s="1" t="s">
        <v>2320</v>
      </c>
      <c r="C3311" s="1" t="s">
        <v>2055</v>
      </c>
      <c r="D3311" s="1" t="n">
        <v>52.7</v>
      </c>
      <c r="E3311" s="1" t="n">
        <v>10</v>
      </c>
      <c r="F3311" s="1" t="n">
        <v>0</v>
      </c>
    </row>
    <row collapsed="false" customFormat="false" customHeight="false" hidden="false" ht="14.75" outlineLevel="0" r="3312">
      <c r="A3312" s="1" t="s">
        <v>2331</v>
      </c>
      <c r="B3312" s="1" t="s">
        <v>2320</v>
      </c>
      <c r="C3312" s="1" t="s">
        <v>2055</v>
      </c>
      <c r="D3312" s="1" t="n">
        <v>59.3</v>
      </c>
      <c r="E3312" s="1" t="n">
        <v>10.32</v>
      </c>
      <c r="F3312" s="1" t="n">
        <v>0</v>
      </c>
    </row>
    <row collapsed="false" customFormat="false" customHeight="false" hidden="false" ht="14.75" outlineLevel="0" r="3313">
      <c r="A3313" s="1" t="s">
        <v>1472</v>
      </c>
      <c r="B3313" s="1" t="s">
        <v>2320</v>
      </c>
      <c r="C3313" s="1" t="s">
        <v>2055</v>
      </c>
      <c r="D3313" s="1" t="n">
        <v>141.1</v>
      </c>
      <c r="E3313" s="1" t="n">
        <v>12</v>
      </c>
      <c r="F3313" s="1" t="n">
        <f aca="false">2/6</f>
        <v>0.333333333333333</v>
      </c>
    </row>
    <row collapsed="false" customFormat="false" customHeight="false" hidden="false" ht="14.75" outlineLevel="0" r="3314">
      <c r="A3314" s="1" t="s">
        <v>2332</v>
      </c>
      <c r="B3314" s="1" t="s">
        <v>2320</v>
      </c>
      <c r="C3314" s="1" t="s">
        <v>2055</v>
      </c>
      <c r="D3314" s="1" t="n">
        <v>192.3</v>
      </c>
      <c r="E3314" s="1" t="n">
        <v>13.03</v>
      </c>
      <c r="F3314" s="1" t="n">
        <v>1</v>
      </c>
    </row>
    <row collapsed="false" customFormat="false" customHeight="false" hidden="false" ht="14.75" outlineLevel="0" r="3315">
      <c r="A3315" s="1" t="s">
        <v>2333</v>
      </c>
      <c r="B3315" s="1" t="s">
        <v>2320</v>
      </c>
      <c r="C3315" s="1" t="s">
        <v>2055</v>
      </c>
      <c r="D3315" s="1" t="n">
        <v>20</v>
      </c>
      <c r="E3315" s="1" t="n">
        <v>2.86</v>
      </c>
      <c r="F3315" s="1" t="n">
        <v>0</v>
      </c>
    </row>
    <row collapsed="false" customFormat="false" customHeight="false" hidden="false" ht="14.75" outlineLevel="0" r="3316">
      <c r="A3316" s="1" t="s">
        <v>28</v>
      </c>
      <c r="B3316" s="1" t="s">
        <v>2334</v>
      </c>
      <c r="C3316" s="1" t="s">
        <v>2254</v>
      </c>
      <c r="D3316" s="1" t="n">
        <v>508.5</v>
      </c>
      <c r="E3316" s="1" t="n">
        <v>24.11</v>
      </c>
      <c r="F3316" s="1" t="n">
        <v>7.9</v>
      </c>
    </row>
    <row collapsed="false" customFormat="false" customHeight="false" hidden="false" ht="14.75" outlineLevel="0" r="3317">
      <c r="A3317" s="1" t="s">
        <v>1543</v>
      </c>
      <c r="B3317" s="1" t="s">
        <v>2334</v>
      </c>
      <c r="C3317" s="1" t="s">
        <v>2254</v>
      </c>
      <c r="D3317" s="1" t="n">
        <v>405.6</v>
      </c>
      <c r="E3317" s="1" t="n">
        <v>22.23</v>
      </c>
      <c r="F3317" s="1" t="n">
        <v>3.9</v>
      </c>
    </row>
    <row collapsed="false" customFormat="false" customHeight="false" hidden="false" ht="14.75" outlineLevel="0" r="3318">
      <c r="A3318" s="1" t="s">
        <v>384</v>
      </c>
      <c r="B3318" s="1" t="s">
        <v>2334</v>
      </c>
      <c r="C3318" s="1" t="s">
        <v>2254</v>
      </c>
      <c r="D3318" s="1" t="n">
        <v>397.5</v>
      </c>
      <c r="E3318" s="1" t="n">
        <v>23.32</v>
      </c>
      <c r="F3318" s="1" t="n">
        <v>5.3</v>
      </c>
    </row>
    <row collapsed="false" customFormat="false" customHeight="false" hidden="false" ht="14.75" outlineLevel="0" r="3319">
      <c r="A3319" s="1" t="s">
        <v>2335</v>
      </c>
      <c r="B3319" s="1" t="s">
        <v>2334</v>
      </c>
      <c r="C3319" s="1" t="s">
        <v>2254</v>
      </c>
      <c r="D3319" s="1" t="n">
        <v>455.5</v>
      </c>
      <c r="E3319" s="1" t="n">
        <v>23.4</v>
      </c>
      <c r="F3319" s="1" t="n">
        <f aca="false">67/11</f>
        <v>6.09090909090909</v>
      </c>
    </row>
    <row collapsed="false" customFormat="false" customHeight="false" hidden="false" ht="14.75" outlineLevel="0" r="3320">
      <c r="A3320" s="1" t="s">
        <v>385</v>
      </c>
      <c r="B3320" s="1" t="s">
        <v>2334</v>
      </c>
      <c r="C3320" s="1" t="s">
        <v>2254</v>
      </c>
      <c r="D3320" s="1" t="n">
        <v>402</v>
      </c>
      <c r="E3320" s="1" t="n">
        <v>21.44</v>
      </c>
      <c r="F3320" s="1" t="n">
        <v>3.9</v>
      </c>
    </row>
    <row collapsed="false" customFormat="false" customHeight="false" hidden="false" ht="14.75" outlineLevel="0" r="3321">
      <c r="A3321" s="1" t="s">
        <v>2336</v>
      </c>
      <c r="B3321" s="1" t="s">
        <v>2334</v>
      </c>
      <c r="C3321" s="1" t="s">
        <v>2254</v>
      </c>
      <c r="D3321" s="1" t="n">
        <v>255.5</v>
      </c>
      <c r="E3321" s="1" t="n">
        <v>17.88</v>
      </c>
      <c r="F3321" s="1" t="n">
        <v>2</v>
      </c>
    </row>
    <row collapsed="false" customFormat="false" customHeight="false" hidden="false" ht="14.75" outlineLevel="0" r="3322">
      <c r="A3322" s="1" t="s">
        <v>2097</v>
      </c>
      <c r="B3322" s="1" t="s">
        <v>2334</v>
      </c>
      <c r="C3322" s="1" t="s">
        <v>2254</v>
      </c>
      <c r="D3322" s="1" t="n">
        <v>348.2</v>
      </c>
      <c r="E3322" s="1" t="n">
        <v>20.72</v>
      </c>
      <c r="F3322" s="1" t="n">
        <f aca="false">29/11</f>
        <v>2.63636363636364</v>
      </c>
    </row>
    <row collapsed="false" customFormat="false" customHeight="false" hidden="false" ht="14.75" outlineLevel="0" r="3323">
      <c r="A3323" s="1" t="s">
        <v>2337</v>
      </c>
      <c r="B3323" s="1" t="s">
        <v>2334</v>
      </c>
      <c r="C3323" s="1" t="s">
        <v>2254</v>
      </c>
      <c r="D3323" s="1" t="n">
        <v>316</v>
      </c>
      <c r="E3323" s="1" t="n">
        <v>19.21</v>
      </c>
      <c r="F3323" s="1" t="n">
        <v>2.7</v>
      </c>
    </row>
    <row collapsed="false" customFormat="false" customHeight="false" hidden="false" ht="14.75" outlineLevel="0" r="3324">
      <c r="A3324" s="1" t="s">
        <v>103</v>
      </c>
      <c r="B3324" s="1" t="s">
        <v>2334</v>
      </c>
      <c r="C3324" s="1" t="s">
        <v>2254</v>
      </c>
      <c r="D3324" s="1" t="n">
        <v>254</v>
      </c>
      <c r="E3324" s="1" t="n">
        <v>17.99</v>
      </c>
      <c r="F3324" s="1" t="n">
        <v>1.7</v>
      </c>
    </row>
    <row collapsed="false" customFormat="false" customHeight="false" hidden="false" ht="14.75" outlineLevel="0" r="3325">
      <c r="A3325" s="1" t="s">
        <v>2338</v>
      </c>
      <c r="B3325" s="1" t="s">
        <v>2334</v>
      </c>
      <c r="C3325" s="1" t="s">
        <v>2254</v>
      </c>
      <c r="D3325" s="1" t="n">
        <v>243.9</v>
      </c>
      <c r="E3325" s="1" t="n">
        <v>16.45</v>
      </c>
      <c r="F3325" s="1" t="n">
        <v>2.2</v>
      </c>
    </row>
    <row collapsed="false" customFormat="false" customHeight="false" hidden="false" ht="14.75" outlineLevel="0" r="3326">
      <c r="A3326" s="1" t="s">
        <v>1544</v>
      </c>
      <c r="B3326" s="1" t="s">
        <v>2334</v>
      </c>
      <c r="C3326" s="1" t="s">
        <v>2254</v>
      </c>
      <c r="D3326" s="1" t="n">
        <v>210</v>
      </c>
      <c r="E3326" s="1" t="n">
        <v>13.82</v>
      </c>
      <c r="F3326" s="1" t="n">
        <f aca="false">20/11</f>
        <v>1.81818181818182</v>
      </c>
    </row>
    <row collapsed="false" customFormat="false" customHeight="false" hidden="false" ht="14.75" outlineLevel="0" r="3327">
      <c r="A3327" s="1" t="s">
        <v>142</v>
      </c>
      <c r="B3327" s="1" t="s">
        <v>2334</v>
      </c>
      <c r="C3327" s="1" t="s">
        <v>2254</v>
      </c>
      <c r="D3327" s="1" t="n">
        <v>104</v>
      </c>
      <c r="E3327" s="1" t="n">
        <v>10.98</v>
      </c>
      <c r="F3327" s="1" t="n">
        <v>0.5</v>
      </c>
    </row>
    <row collapsed="false" customFormat="false" customHeight="false" hidden="false" ht="14.75" outlineLevel="0" r="3328">
      <c r="A3328" s="1" t="s">
        <v>2339</v>
      </c>
      <c r="B3328" s="1" t="s">
        <v>2334</v>
      </c>
      <c r="C3328" s="1" t="s">
        <v>2254</v>
      </c>
      <c r="D3328" s="1" t="n">
        <v>199</v>
      </c>
      <c r="E3328" s="1" t="n">
        <v>14.25</v>
      </c>
      <c r="F3328" s="1" t="n">
        <f aca="false">8/6</f>
        <v>1.33333333333333</v>
      </c>
    </row>
    <row collapsed="false" customFormat="false" customHeight="false" hidden="false" ht="14.75" outlineLevel="0" r="3329">
      <c r="A3329" s="1" t="s">
        <v>2094</v>
      </c>
      <c r="B3329" s="1" t="s">
        <v>2334</v>
      </c>
      <c r="C3329" s="1" t="s">
        <v>2254</v>
      </c>
      <c r="D3329" s="1" t="n">
        <v>211.7</v>
      </c>
      <c r="E3329" s="1" t="n">
        <v>14.61</v>
      </c>
      <c r="F3329" s="1" t="n">
        <v>1.1</v>
      </c>
    </row>
    <row collapsed="false" customFormat="false" customHeight="false" hidden="false" ht="14.75" outlineLevel="0" r="3330">
      <c r="A3330" s="1" t="s">
        <v>2340</v>
      </c>
      <c r="B3330" s="1" t="s">
        <v>2334</v>
      </c>
      <c r="C3330" s="1" t="s">
        <v>2254</v>
      </c>
      <c r="D3330" s="1" t="n">
        <v>209.4</v>
      </c>
      <c r="E3330" s="1" t="n">
        <v>13.33</v>
      </c>
      <c r="F3330" s="1" t="n">
        <v>0.8</v>
      </c>
    </row>
    <row collapsed="false" customFormat="false" customHeight="false" hidden="false" ht="14.75" outlineLevel="0" r="3331">
      <c r="A3331" s="1" t="s">
        <v>2341</v>
      </c>
      <c r="B3331" s="1" t="s">
        <v>2334</v>
      </c>
      <c r="C3331" s="1" t="s">
        <v>2254</v>
      </c>
      <c r="D3331" s="1" t="n">
        <v>171.5</v>
      </c>
      <c r="E3331" s="1" t="n">
        <v>15.07</v>
      </c>
      <c r="F3331" s="1" t="n">
        <f aca="false">5/12</f>
        <v>0.416666666666667</v>
      </c>
    </row>
    <row collapsed="false" customFormat="false" customHeight="false" hidden="false" ht="14.75" outlineLevel="0" r="3332">
      <c r="A3332" s="1" t="s">
        <v>2342</v>
      </c>
      <c r="B3332" s="1" t="s">
        <v>2334</v>
      </c>
      <c r="C3332" s="1" t="s">
        <v>2254</v>
      </c>
      <c r="D3332" s="1" t="n">
        <v>58.9</v>
      </c>
      <c r="E3332" s="1" t="n">
        <v>8</v>
      </c>
      <c r="F3332" s="1" t="n">
        <f aca="false">3/11</f>
        <v>0.272727272727273</v>
      </c>
    </row>
    <row collapsed="false" customFormat="false" customHeight="false" hidden="false" ht="14.75" outlineLevel="0" r="3333">
      <c r="A3333" s="1" t="s">
        <v>104</v>
      </c>
      <c r="B3333" s="1" t="s">
        <v>2334</v>
      </c>
      <c r="C3333" s="1" t="s">
        <v>2254</v>
      </c>
      <c r="D3333" s="1" t="n">
        <v>131.5</v>
      </c>
      <c r="E3333" s="1" t="n">
        <v>10.3</v>
      </c>
      <c r="F3333" s="1" t="n">
        <v>0.7</v>
      </c>
    </row>
    <row collapsed="false" customFormat="false" customHeight="false" hidden="false" ht="14.75" outlineLevel="0" r="3334">
      <c r="A3334" s="1" t="s">
        <v>2343</v>
      </c>
      <c r="B3334" s="1" t="s">
        <v>2334</v>
      </c>
      <c r="C3334" s="1" t="s">
        <v>2254</v>
      </c>
      <c r="D3334" s="1" t="n">
        <v>196.7</v>
      </c>
      <c r="E3334" s="1" t="n">
        <v>13.63</v>
      </c>
      <c r="F3334" s="1" t="n">
        <f aca="false">5/7</f>
        <v>0.714285714285714</v>
      </c>
    </row>
    <row collapsed="false" customFormat="false" customHeight="false" hidden="false" ht="14.75" outlineLevel="0" r="3335">
      <c r="A3335" s="1" t="s">
        <v>2344</v>
      </c>
      <c r="B3335" s="1" t="s">
        <v>2334</v>
      </c>
      <c r="C3335" s="1" t="s">
        <v>2254</v>
      </c>
      <c r="D3335" s="1" t="n">
        <v>79</v>
      </c>
      <c r="E3335" s="1" t="n">
        <v>5.54</v>
      </c>
      <c r="F3335" s="1" t="n">
        <f aca="false">1/6</f>
        <v>0.166666666666667</v>
      </c>
    </row>
    <row collapsed="false" customFormat="false" customHeight="false" hidden="false" ht="14.75" outlineLevel="0" r="3336">
      <c r="A3336" s="1" t="s">
        <v>2345</v>
      </c>
      <c r="B3336" s="1" t="s">
        <v>2334</v>
      </c>
      <c r="C3336" s="1" t="s">
        <v>2254</v>
      </c>
      <c r="D3336" s="1" t="n">
        <v>75.8</v>
      </c>
      <c r="E3336" s="1" t="n">
        <v>9.6</v>
      </c>
      <c r="F3336" s="1" t="n">
        <v>0.3</v>
      </c>
    </row>
    <row collapsed="false" customFormat="false" customHeight="false" hidden="false" ht="14.75" outlineLevel="0" r="3337">
      <c r="A3337" s="1" t="s">
        <v>2346</v>
      </c>
      <c r="B3337" s="1" t="s">
        <v>2334</v>
      </c>
      <c r="C3337" s="1" t="s">
        <v>2254</v>
      </c>
      <c r="D3337" s="1" t="n">
        <v>26</v>
      </c>
      <c r="E3337" s="1" t="n">
        <v>8.33</v>
      </c>
      <c r="F3337" s="1" t="n">
        <v>0</v>
      </c>
    </row>
    <row collapsed="false" customFormat="false" customHeight="false" hidden="false" ht="14.75" outlineLevel="0" r="3338">
      <c r="A3338" s="1" t="s">
        <v>62</v>
      </c>
      <c r="B3338" s="1" t="s">
        <v>2347</v>
      </c>
      <c r="C3338" s="1" t="s">
        <v>2254</v>
      </c>
      <c r="D3338" s="1" t="n">
        <v>512.2</v>
      </c>
      <c r="E3338" s="1" t="n">
        <v>23.13</v>
      </c>
      <c r="F3338" s="1" t="n">
        <f aca="false">63/9</f>
        <v>7</v>
      </c>
    </row>
    <row collapsed="false" customFormat="false" customHeight="false" hidden="false" ht="14.75" outlineLevel="0" r="3339">
      <c r="A3339" s="1" t="s">
        <v>64</v>
      </c>
      <c r="B3339" s="1" t="s">
        <v>2347</v>
      </c>
      <c r="C3339" s="1" t="s">
        <v>2254</v>
      </c>
      <c r="D3339" s="1" t="n">
        <v>319.4</v>
      </c>
      <c r="E3339" s="1" t="n">
        <v>17.92</v>
      </c>
      <c r="F3339" s="1" t="n">
        <f aca="false">32/9</f>
        <v>3.55555555555556</v>
      </c>
    </row>
    <row collapsed="false" customFormat="false" customHeight="false" hidden="false" ht="14.75" outlineLevel="0" r="3340">
      <c r="A3340" s="1" t="s">
        <v>63</v>
      </c>
      <c r="B3340" s="1" t="s">
        <v>2347</v>
      </c>
      <c r="C3340" s="1" t="s">
        <v>2254</v>
      </c>
      <c r="D3340" s="1" t="n">
        <v>318.9</v>
      </c>
      <c r="E3340" s="1" t="n">
        <v>18.79</v>
      </c>
      <c r="F3340" s="1" t="n">
        <f aca="false">41/9</f>
        <v>4.55555555555556</v>
      </c>
    </row>
    <row collapsed="false" customFormat="false" customHeight="false" hidden="false" ht="14.75" outlineLevel="0" r="3341">
      <c r="A3341" s="1" t="s">
        <v>1065</v>
      </c>
      <c r="B3341" s="1" t="s">
        <v>2347</v>
      </c>
      <c r="C3341" s="1" t="s">
        <v>2254</v>
      </c>
      <c r="D3341" s="1" t="n">
        <v>303.3</v>
      </c>
      <c r="E3341" s="1" t="n">
        <v>18.51</v>
      </c>
      <c r="F3341" s="1" t="n">
        <f aca="false">20/9</f>
        <v>2.22222222222222</v>
      </c>
    </row>
    <row collapsed="false" customFormat="false" customHeight="false" hidden="false" ht="14.75" outlineLevel="0" r="3342">
      <c r="A3342" s="1" t="s">
        <v>1013</v>
      </c>
      <c r="B3342" s="1" t="s">
        <v>2347</v>
      </c>
      <c r="C3342" s="1" t="s">
        <v>2254</v>
      </c>
      <c r="D3342" s="1" t="n">
        <v>227.9</v>
      </c>
      <c r="E3342" s="1" t="n">
        <v>13.97</v>
      </c>
      <c r="F3342" s="1" t="n">
        <f aca="false">14/7</f>
        <v>2</v>
      </c>
    </row>
    <row collapsed="false" customFormat="false" customHeight="false" hidden="false" ht="14.75" outlineLevel="0" r="3343">
      <c r="A3343" s="1" t="s">
        <v>1058</v>
      </c>
      <c r="B3343" s="1" t="s">
        <v>2347</v>
      </c>
      <c r="C3343" s="1" t="s">
        <v>2254</v>
      </c>
      <c r="D3343" s="1" t="n">
        <v>189.3</v>
      </c>
      <c r="E3343" s="1" t="n">
        <v>11.97</v>
      </c>
      <c r="F3343" s="1" t="n">
        <f aca="false">12/7</f>
        <v>1.71428571428571</v>
      </c>
    </row>
    <row collapsed="false" customFormat="false" customHeight="false" hidden="false" ht="14.75" outlineLevel="0" r="3344">
      <c r="A3344" s="1" t="s">
        <v>2348</v>
      </c>
      <c r="B3344" s="1" t="s">
        <v>2347</v>
      </c>
      <c r="C3344" s="1" t="s">
        <v>2254</v>
      </c>
      <c r="D3344" s="1" t="n">
        <v>269.4</v>
      </c>
      <c r="E3344" s="1" t="n">
        <v>15.17</v>
      </c>
      <c r="F3344" s="1" t="n">
        <f aca="false">12/8</f>
        <v>1.5</v>
      </c>
    </row>
    <row collapsed="false" customFormat="false" customHeight="false" hidden="false" ht="14.75" outlineLevel="0" r="3345">
      <c r="A3345" s="1" t="s">
        <v>1064</v>
      </c>
      <c r="B3345" s="1" t="s">
        <v>2347</v>
      </c>
      <c r="C3345" s="1" t="s">
        <v>2254</v>
      </c>
      <c r="D3345" s="1" t="n">
        <v>209.4</v>
      </c>
      <c r="E3345" s="1" t="n">
        <v>10.36</v>
      </c>
      <c r="F3345" s="1" t="n">
        <f aca="false">7/8</f>
        <v>0.875</v>
      </c>
    </row>
    <row collapsed="false" customFormat="false" customHeight="false" hidden="false" ht="14.75" outlineLevel="0" r="3346">
      <c r="A3346" s="1" t="s">
        <v>2349</v>
      </c>
      <c r="B3346" s="1" t="s">
        <v>2347</v>
      </c>
      <c r="C3346" s="1" t="s">
        <v>2254</v>
      </c>
      <c r="D3346" s="1" t="n">
        <v>100.7</v>
      </c>
      <c r="E3346" s="1" t="n">
        <v>6.36</v>
      </c>
      <c r="F3346" s="1" t="n">
        <f aca="false">3/7</f>
        <v>0.428571428571429</v>
      </c>
    </row>
    <row collapsed="false" customFormat="false" customHeight="false" hidden="false" ht="14.75" outlineLevel="0" r="3347">
      <c r="A3347" s="1" t="s">
        <v>1907</v>
      </c>
      <c r="B3347" s="1" t="s">
        <v>2347</v>
      </c>
      <c r="C3347" s="1" t="s">
        <v>2254</v>
      </c>
      <c r="D3347" s="1" t="n">
        <v>122.5</v>
      </c>
      <c r="E3347" s="1" t="n">
        <v>8.29</v>
      </c>
      <c r="F3347" s="1" t="n">
        <f aca="false">1/6</f>
        <v>0.166666666666667</v>
      </c>
    </row>
    <row collapsed="false" customFormat="false" customHeight="false" hidden="false" ht="14.75" outlineLevel="0" r="3348">
      <c r="A3348" s="1" t="s">
        <v>1018</v>
      </c>
      <c r="B3348" s="1" t="s">
        <v>2347</v>
      </c>
      <c r="C3348" s="1" t="s">
        <v>2254</v>
      </c>
      <c r="D3348" s="1" t="n">
        <v>191.4</v>
      </c>
      <c r="E3348" s="1" t="n">
        <v>11.94</v>
      </c>
      <c r="F3348" s="1" t="n">
        <f aca="false">5/7</f>
        <v>0.714285714285714</v>
      </c>
    </row>
    <row collapsed="false" customFormat="false" customHeight="false" hidden="false" ht="14.75" outlineLevel="0" r="3349">
      <c r="A3349" s="1" t="s">
        <v>1049</v>
      </c>
      <c r="B3349" s="1" t="s">
        <v>2347</v>
      </c>
      <c r="C3349" s="1" t="s">
        <v>2254</v>
      </c>
      <c r="D3349" s="1" t="n">
        <v>170</v>
      </c>
      <c r="E3349" s="1" t="n">
        <v>14.08</v>
      </c>
      <c r="F3349" s="1" t="n">
        <f aca="false">3/7</f>
        <v>0.428571428571429</v>
      </c>
    </row>
    <row collapsed="false" customFormat="false" customHeight="false" hidden="false" ht="14.75" outlineLevel="0" r="3350">
      <c r="A3350" s="1" t="s">
        <v>1059</v>
      </c>
      <c r="B3350" s="1" t="s">
        <v>2347</v>
      </c>
      <c r="C3350" s="1" t="s">
        <v>2254</v>
      </c>
      <c r="D3350" s="1" t="n">
        <v>162.1</v>
      </c>
      <c r="E3350" s="1" t="n">
        <v>14.69</v>
      </c>
      <c r="F3350" s="1" t="n">
        <f aca="false">5/7</f>
        <v>0.714285714285714</v>
      </c>
    </row>
    <row collapsed="false" customFormat="false" customHeight="false" hidden="false" ht="14.75" outlineLevel="0" r="3351">
      <c r="A3351" s="1" t="s">
        <v>2350</v>
      </c>
      <c r="B3351" s="1" t="s">
        <v>2347</v>
      </c>
      <c r="C3351" s="1" t="s">
        <v>2254</v>
      </c>
      <c r="D3351" s="1" t="n">
        <v>140.7</v>
      </c>
      <c r="E3351" s="1" t="n">
        <v>11.28</v>
      </c>
      <c r="F3351" s="1" t="n">
        <f aca="false">3/7</f>
        <v>0.428571428571429</v>
      </c>
    </row>
    <row collapsed="false" customFormat="false" customHeight="false" hidden="false" ht="14.75" outlineLevel="0" r="3352">
      <c r="A3352" s="1" t="s">
        <v>1066</v>
      </c>
      <c r="B3352" s="1" t="s">
        <v>2347</v>
      </c>
      <c r="C3352" s="1" t="s">
        <v>2254</v>
      </c>
      <c r="D3352" s="1" t="n">
        <v>114.2</v>
      </c>
      <c r="E3352" s="1" t="n">
        <v>8.65</v>
      </c>
      <c r="F3352" s="1" t="n">
        <v>0.5</v>
      </c>
    </row>
    <row collapsed="false" customFormat="false" customHeight="false" hidden="false" ht="14.75" outlineLevel="0" r="3353">
      <c r="A3353" s="1" t="s">
        <v>2351</v>
      </c>
      <c r="B3353" s="1" t="s">
        <v>2347</v>
      </c>
      <c r="C3353" s="1" t="s">
        <v>2254</v>
      </c>
      <c r="D3353" s="1" t="n">
        <v>113.6</v>
      </c>
      <c r="E3353" s="1" t="n">
        <v>9.63</v>
      </c>
      <c r="F3353" s="1" t="n">
        <f aca="false">1/7</f>
        <v>0.142857142857143</v>
      </c>
    </row>
    <row collapsed="false" customFormat="false" customHeight="false" hidden="false" ht="14.75" outlineLevel="0" r="3354">
      <c r="A3354" s="1" t="s">
        <v>1032</v>
      </c>
      <c r="B3354" s="1" t="s">
        <v>2347</v>
      </c>
      <c r="C3354" s="1" t="s">
        <v>2254</v>
      </c>
      <c r="D3354" s="1" t="n">
        <v>197.5</v>
      </c>
      <c r="E3354" s="1" t="n">
        <v>11.85</v>
      </c>
      <c r="F3354" s="1" t="n">
        <f aca="false">2/6</f>
        <v>0.333333333333333</v>
      </c>
    </row>
    <row collapsed="false" customFormat="false" customHeight="false" hidden="false" ht="14.75" outlineLevel="0" r="3355">
      <c r="A3355" s="1" t="s">
        <v>2352</v>
      </c>
      <c r="B3355" s="1" t="s">
        <v>2347</v>
      </c>
      <c r="C3355" s="1" t="s">
        <v>2254</v>
      </c>
      <c r="D3355" s="1" t="n">
        <v>116.7</v>
      </c>
      <c r="E3355" s="1" t="n">
        <v>12</v>
      </c>
      <c r="F3355" s="1" t="n">
        <f aca="false">3/6</f>
        <v>0.5</v>
      </c>
    </row>
    <row collapsed="false" customFormat="false" customHeight="false" hidden="false" ht="14.75" outlineLevel="0" r="3356">
      <c r="A3356" s="1" t="s">
        <v>2353</v>
      </c>
      <c r="B3356" s="1" t="s">
        <v>2347</v>
      </c>
      <c r="C3356" s="1" t="s">
        <v>2254</v>
      </c>
      <c r="D3356" s="1" t="n">
        <v>110</v>
      </c>
      <c r="E3356" s="1" t="n">
        <v>7.56</v>
      </c>
      <c r="F3356" s="1" t="n">
        <f aca="false">1/6</f>
        <v>0.166666666666667</v>
      </c>
    </row>
    <row collapsed="false" customFormat="false" customHeight="false" hidden="false" ht="14.75" outlineLevel="0" r="3357">
      <c r="A3357" s="1" t="s">
        <v>2354</v>
      </c>
      <c r="B3357" s="1" t="s">
        <v>2347</v>
      </c>
      <c r="C3357" s="1" t="s">
        <v>2254</v>
      </c>
      <c r="D3357" s="1" t="n">
        <v>107.5</v>
      </c>
      <c r="E3357" s="1" t="n">
        <v>10.94</v>
      </c>
      <c r="F3357" s="1" t="n">
        <f aca="false">2/6</f>
        <v>0.333333333333333</v>
      </c>
    </row>
    <row collapsed="false" customFormat="false" customHeight="false" hidden="false" ht="14.75" outlineLevel="0" r="3358">
      <c r="A3358" s="1" t="s">
        <v>2355</v>
      </c>
      <c r="B3358" s="1" t="s">
        <v>2347</v>
      </c>
      <c r="C3358" s="1" t="s">
        <v>2254</v>
      </c>
      <c r="D3358" s="1" t="n">
        <v>88.3</v>
      </c>
      <c r="E3358" s="1" t="n">
        <v>8.06</v>
      </c>
      <c r="F3358" s="1" t="n">
        <f aca="false">2/6</f>
        <v>0.333333333333333</v>
      </c>
    </row>
    <row collapsed="false" customFormat="false" customHeight="false" hidden="false" ht="14.75" outlineLevel="0" r="3359">
      <c r="A3359" s="1" t="s">
        <v>2356</v>
      </c>
      <c r="B3359" s="1" t="s">
        <v>2347</v>
      </c>
      <c r="C3359" s="1" t="s">
        <v>2254</v>
      </c>
      <c r="D3359" s="1" t="n">
        <v>21.7</v>
      </c>
      <c r="E3359" s="1" t="n">
        <v>2.73</v>
      </c>
      <c r="F3359" s="1" t="n">
        <v>0</v>
      </c>
    </row>
    <row collapsed="false" customFormat="false" customHeight="false" hidden="false" ht="14.75" outlineLevel="0" r="3360">
      <c r="A3360" s="1" t="s">
        <v>2357</v>
      </c>
      <c r="B3360" s="1" t="s">
        <v>2347</v>
      </c>
      <c r="C3360" s="1" t="s">
        <v>2254</v>
      </c>
      <c r="D3360" s="1" t="n">
        <v>102.5</v>
      </c>
      <c r="E3360" s="1" t="n">
        <v>8.24</v>
      </c>
      <c r="F3360" s="1" t="n">
        <v>0</v>
      </c>
    </row>
    <row collapsed="false" customFormat="false" customHeight="false" hidden="false" ht="14.75" outlineLevel="0" r="3361">
      <c r="A3361" s="1" t="s">
        <v>1003</v>
      </c>
      <c r="B3361" s="1" t="s">
        <v>2347</v>
      </c>
      <c r="C3361" s="1" t="s">
        <v>2254</v>
      </c>
      <c r="D3361" s="1" t="n">
        <v>29.2</v>
      </c>
      <c r="E3361" s="1" t="n">
        <v>2</v>
      </c>
      <c r="F3361" s="1" t="n">
        <f aca="false">1/6</f>
        <v>0.166666666666667</v>
      </c>
    </row>
    <row collapsed="false" customFormat="false" customHeight="false" hidden="false" ht="14.75" outlineLevel="0" r="3362">
      <c r="A3362" s="1" t="s">
        <v>1908</v>
      </c>
      <c r="B3362" s="1" t="s">
        <v>2347</v>
      </c>
      <c r="C3362" s="1" t="s">
        <v>2254</v>
      </c>
      <c r="D3362" s="1" t="n">
        <v>26.7</v>
      </c>
      <c r="E3362" s="1" t="n">
        <v>2.31</v>
      </c>
      <c r="F3362" s="1" t="n">
        <v>0</v>
      </c>
    </row>
    <row collapsed="false" customFormat="false" customHeight="false" hidden="false" ht="14.75" outlineLevel="0" r="3363">
      <c r="A3363" s="1" t="s">
        <v>211</v>
      </c>
      <c r="B3363" s="1" t="s">
        <v>2358</v>
      </c>
      <c r="C3363" s="1" t="s">
        <v>2249</v>
      </c>
      <c r="D3363" s="1" t="n">
        <v>490.4</v>
      </c>
      <c r="E3363" s="1" t="n">
        <v>24.8</v>
      </c>
      <c r="F3363" s="1" t="s">
        <v>9</v>
      </c>
    </row>
    <row collapsed="false" customFormat="false" customHeight="false" hidden="false" ht="14.75" outlineLevel="0" r="3364">
      <c r="A3364" s="1" t="s">
        <v>2359</v>
      </c>
      <c r="B3364" s="1" t="s">
        <v>2358</v>
      </c>
      <c r="C3364" s="1" t="s">
        <v>2249</v>
      </c>
      <c r="D3364" s="1" t="n">
        <v>418.8</v>
      </c>
      <c r="E3364" s="1" t="n">
        <v>21.67</v>
      </c>
      <c r="F3364" s="1" t="s">
        <v>9</v>
      </c>
    </row>
    <row collapsed="false" customFormat="false" customHeight="false" hidden="false" ht="14.75" outlineLevel="0" r="3365">
      <c r="A3365" s="1" t="s">
        <v>212</v>
      </c>
      <c r="B3365" s="1" t="s">
        <v>2358</v>
      </c>
      <c r="C3365" s="1" t="s">
        <v>2249</v>
      </c>
      <c r="D3365" s="1" t="n">
        <v>394.5</v>
      </c>
      <c r="E3365" s="1" t="n">
        <v>22.78</v>
      </c>
      <c r="F3365" s="1" t="s">
        <v>9</v>
      </c>
    </row>
    <row collapsed="false" customFormat="false" customHeight="false" hidden="false" ht="14.75" outlineLevel="0" r="3366">
      <c r="A3366" s="1" t="s">
        <v>364</v>
      </c>
      <c r="B3366" s="1" t="s">
        <v>2358</v>
      </c>
      <c r="C3366" s="1" t="s">
        <v>2249</v>
      </c>
      <c r="D3366" s="1" t="n">
        <v>393.5</v>
      </c>
      <c r="E3366" s="1" t="n">
        <v>20.84</v>
      </c>
      <c r="F3366" s="1" t="s">
        <v>9</v>
      </c>
    </row>
    <row collapsed="false" customFormat="false" customHeight="false" hidden="false" ht="14.75" outlineLevel="0" r="3367">
      <c r="A3367" s="1" t="s">
        <v>215</v>
      </c>
      <c r="B3367" s="1" t="s">
        <v>2358</v>
      </c>
      <c r="C3367" s="1" t="s">
        <v>2249</v>
      </c>
      <c r="D3367" s="1" t="n">
        <v>229</v>
      </c>
      <c r="E3367" s="1" t="n">
        <v>16.2</v>
      </c>
      <c r="F3367" s="1" t="s">
        <v>9</v>
      </c>
    </row>
    <row collapsed="false" customFormat="false" customHeight="false" hidden="false" ht="14.75" outlineLevel="0" r="3368">
      <c r="A3368" s="1" t="s">
        <v>223</v>
      </c>
      <c r="B3368" s="1" t="s">
        <v>2358</v>
      </c>
      <c r="C3368" s="1" t="s">
        <v>2249</v>
      </c>
      <c r="D3368" s="1" t="n">
        <v>218</v>
      </c>
      <c r="E3368" s="1" t="n">
        <v>15.62</v>
      </c>
      <c r="F3368" s="1" t="s">
        <v>9</v>
      </c>
    </row>
    <row collapsed="false" customFormat="false" customHeight="false" hidden="false" ht="14.75" outlineLevel="0" r="3369">
      <c r="A3369" s="1" t="s">
        <v>213</v>
      </c>
      <c r="B3369" s="1" t="s">
        <v>2358</v>
      </c>
      <c r="C3369" s="1" t="s">
        <v>2249</v>
      </c>
      <c r="D3369" s="1" t="n">
        <v>327.5</v>
      </c>
      <c r="E3369" s="1" t="n">
        <v>16.38</v>
      </c>
      <c r="F3369" s="1" t="s">
        <v>9</v>
      </c>
    </row>
    <row collapsed="false" customFormat="false" customHeight="false" hidden="false" ht="14.75" outlineLevel="0" r="3370">
      <c r="A3370" s="1" t="s">
        <v>2360</v>
      </c>
      <c r="B3370" s="1" t="s">
        <v>2358</v>
      </c>
      <c r="C3370" s="1" t="s">
        <v>2249</v>
      </c>
      <c r="D3370" s="1" t="n">
        <v>232</v>
      </c>
      <c r="E3370" s="1" t="n">
        <v>14.6</v>
      </c>
      <c r="F3370" s="1" t="s">
        <v>9</v>
      </c>
    </row>
    <row collapsed="false" customFormat="false" customHeight="false" hidden="false" ht="14.75" outlineLevel="0" r="3371">
      <c r="A3371" s="1" t="s">
        <v>224</v>
      </c>
      <c r="B3371" s="1" t="s">
        <v>2358</v>
      </c>
      <c r="C3371" s="1" t="s">
        <v>2249</v>
      </c>
      <c r="D3371" s="1" t="n">
        <v>169</v>
      </c>
      <c r="E3371" s="1" t="n">
        <v>11.81</v>
      </c>
      <c r="F3371" s="1" t="s">
        <v>9</v>
      </c>
    </row>
    <row collapsed="false" customFormat="false" customHeight="false" hidden="false" ht="14.75" outlineLevel="0" r="3372">
      <c r="A3372" s="1" t="s">
        <v>2361</v>
      </c>
      <c r="B3372" s="1" t="s">
        <v>2358</v>
      </c>
      <c r="C3372" s="1" t="s">
        <v>2249</v>
      </c>
      <c r="D3372" s="1" t="n">
        <v>137.5</v>
      </c>
      <c r="E3372" s="1" t="n">
        <v>11.38</v>
      </c>
      <c r="F3372" s="1" t="s">
        <v>9</v>
      </c>
    </row>
    <row collapsed="false" customFormat="false" customHeight="false" hidden="false" ht="14.75" outlineLevel="0" r="3373">
      <c r="A3373" s="1" t="s">
        <v>2022</v>
      </c>
      <c r="B3373" s="1" t="s">
        <v>2358</v>
      </c>
      <c r="C3373" s="1" t="s">
        <v>2249</v>
      </c>
      <c r="D3373" s="1" t="n">
        <v>115</v>
      </c>
      <c r="E3373" s="1" t="n">
        <v>11.8</v>
      </c>
      <c r="F3373" s="1" t="s">
        <v>9</v>
      </c>
    </row>
    <row collapsed="false" customFormat="false" customHeight="false" hidden="false" ht="14.75" outlineLevel="0" r="3374">
      <c r="A3374" s="1" t="s">
        <v>2362</v>
      </c>
      <c r="B3374" s="1" t="s">
        <v>2358</v>
      </c>
      <c r="C3374" s="1" t="s">
        <v>2249</v>
      </c>
      <c r="D3374" s="1" t="n">
        <v>103</v>
      </c>
      <c r="E3374" s="1" t="n">
        <v>9.66</v>
      </c>
      <c r="F3374" s="1" t="s">
        <v>9</v>
      </c>
    </row>
    <row collapsed="false" customFormat="false" customHeight="false" hidden="false" ht="14.75" outlineLevel="0" r="3375">
      <c r="A3375" s="1" t="s">
        <v>2363</v>
      </c>
      <c r="B3375" s="1" t="s">
        <v>2358</v>
      </c>
      <c r="C3375" s="1" t="s">
        <v>2249</v>
      </c>
      <c r="D3375" s="1" t="n">
        <v>159</v>
      </c>
      <c r="E3375" s="1" t="n">
        <v>12.4</v>
      </c>
      <c r="F3375" s="1" t="s">
        <v>9</v>
      </c>
    </row>
    <row collapsed="false" customFormat="false" customHeight="false" hidden="false" ht="14.75" outlineLevel="0" r="3376">
      <c r="A3376" s="1" t="s">
        <v>2364</v>
      </c>
      <c r="B3376" s="1" t="s">
        <v>2358</v>
      </c>
      <c r="C3376" s="1" t="s">
        <v>2249</v>
      </c>
      <c r="D3376" s="1" t="n">
        <v>136.5</v>
      </c>
      <c r="E3376" s="1" t="n">
        <v>11.36</v>
      </c>
      <c r="F3376" s="1" t="s">
        <v>9</v>
      </c>
    </row>
    <row collapsed="false" customFormat="false" customHeight="false" hidden="false" ht="14.75" outlineLevel="0" r="3377">
      <c r="A3377" s="1" t="s">
        <v>2365</v>
      </c>
      <c r="B3377" s="1" t="s">
        <v>2358</v>
      </c>
      <c r="C3377" s="1" t="s">
        <v>2249</v>
      </c>
      <c r="D3377" s="1" t="n">
        <v>119.5</v>
      </c>
      <c r="E3377" s="1" t="n">
        <v>11.19</v>
      </c>
      <c r="F3377" s="1" t="s">
        <v>9</v>
      </c>
    </row>
    <row collapsed="false" customFormat="false" customHeight="false" hidden="false" ht="14.75" outlineLevel="0" r="3378">
      <c r="A3378" s="1" t="s">
        <v>1476</v>
      </c>
      <c r="B3378" s="1" t="s">
        <v>2358</v>
      </c>
      <c r="C3378" s="1" t="s">
        <v>2249</v>
      </c>
      <c r="D3378" s="1" t="n">
        <v>130.6</v>
      </c>
      <c r="E3378" s="1" t="n">
        <v>10.33</v>
      </c>
      <c r="F3378" s="1" t="s">
        <v>9</v>
      </c>
    </row>
    <row collapsed="false" customFormat="false" customHeight="false" hidden="false" ht="14.75" outlineLevel="0" r="3379">
      <c r="A3379" s="1" t="s">
        <v>1473</v>
      </c>
      <c r="B3379" s="1" t="s">
        <v>2358</v>
      </c>
      <c r="C3379" s="1" t="s">
        <v>2249</v>
      </c>
      <c r="D3379" s="1" t="n">
        <v>126</v>
      </c>
      <c r="E3379" s="1" t="n">
        <v>12</v>
      </c>
      <c r="F3379" s="1" t="s">
        <v>9</v>
      </c>
    </row>
    <row collapsed="false" customFormat="false" customHeight="false" hidden="false" ht="14.75" outlineLevel="0" r="3380">
      <c r="A3380" s="1" t="s">
        <v>2366</v>
      </c>
      <c r="B3380" s="1" t="s">
        <v>2358</v>
      </c>
      <c r="C3380" s="1" t="s">
        <v>2249</v>
      </c>
      <c r="D3380" s="1" t="n">
        <v>58.8</v>
      </c>
      <c r="E3380" s="1" t="n">
        <v>8.97</v>
      </c>
      <c r="F3380" s="1" t="s">
        <v>9</v>
      </c>
    </row>
    <row collapsed="false" customFormat="false" customHeight="false" hidden="false" ht="14.75" outlineLevel="0" r="3381">
      <c r="A3381" s="1" t="s">
        <v>225</v>
      </c>
      <c r="B3381" s="1" t="s">
        <v>2358</v>
      </c>
      <c r="C3381" s="1" t="s">
        <v>2249</v>
      </c>
      <c r="D3381" s="1" t="n">
        <v>46.4</v>
      </c>
      <c r="E3381" s="1" t="n">
        <v>5.91</v>
      </c>
      <c r="F3381" s="1" t="s">
        <v>9</v>
      </c>
    </row>
    <row collapsed="false" customFormat="false" customHeight="false" hidden="false" ht="14.75" outlineLevel="0" r="3382">
      <c r="A3382" s="1" t="s">
        <v>1474</v>
      </c>
      <c r="B3382" s="1" t="s">
        <v>2358</v>
      </c>
      <c r="C3382" s="1" t="s">
        <v>2249</v>
      </c>
      <c r="D3382" s="1" t="n">
        <v>32.5</v>
      </c>
      <c r="E3382" s="1" t="n">
        <v>4.74</v>
      </c>
      <c r="F3382" s="1" t="s">
        <v>9</v>
      </c>
    </row>
    <row collapsed="false" customFormat="false" customHeight="false" hidden="false" ht="14.75" outlineLevel="0" r="3383">
      <c r="A3383" s="1" t="s">
        <v>2367</v>
      </c>
      <c r="B3383" s="1" t="s">
        <v>2358</v>
      </c>
      <c r="C3383" s="1" t="s">
        <v>2249</v>
      </c>
      <c r="D3383" s="1" t="n">
        <v>56.4</v>
      </c>
      <c r="E3383" s="1" t="n">
        <v>7.92</v>
      </c>
      <c r="F3383" s="1" t="s">
        <v>9</v>
      </c>
    </row>
    <row collapsed="false" customFormat="false" customHeight="false" hidden="false" ht="14.75" outlineLevel="0" r="3384">
      <c r="A3384" s="1" t="s">
        <v>2368</v>
      </c>
      <c r="B3384" s="1" t="s">
        <v>2369</v>
      </c>
      <c r="C3384" s="1" t="s">
        <v>2254</v>
      </c>
      <c r="D3384" s="1" t="n">
        <v>510</v>
      </c>
      <c r="E3384" s="1" t="n">
        <v>24.84</v>
      </c>
      <c r="F3384" s="1" t="n">
        <f aca="false">89/11</f>
        <v>8.09090909090909</v>
      </c>
    </row>
    <row collapsed="false" customFormat="false" customHeight="false" hidden="false" ht="14.75" outlineLevel="0" r="3385">
      <c r="A3385" s="1" t="s">
        <v>2370</v>
      </c>
      <c r="B3385" s="1" t="s">
        <v>2369</v>
      </c>
      <c r="C3385" s="1" t="s">
        <v>2254</v>
      </c>
      <c r="D3385" s="1" t="n">
        <v>265.9</v>
      </c>
      <c r="E3385" s="1" t="n">
        <v>17.27</v>
      </c>
      <c r="F3385" s="1" t="n">
        <f aca="false">23/11</f>
        <v>2.09090909090909</v>
      </c>
    </row>
    <row collapsed="false" customFormat="false" customHeight="false" hidden="false" ht="14.75" outlineLevel="0" r="3386">
      <c r="A3386" s="1" t="s">
        <v>2371</v>
      </c>
      <c r="B3386" s="1" t="s">
        <v>2369</v>
      </c>
      <c r="C3386" s="1" t="s">
        <v>2254</v>
      </c>
      <c r="D3386" s="1" t="n">
        <v>250.3</v>
      </c>
      <c r="E3386" s="1" t="n">
        <v>17.14</v>
      </c>
      <c r="F3386" s="1" t="n">
        <f aca="false">17/9</f>
        <v>1.88888888888889</v>
      </c>
    </row>
    <row collapsed="false" customFormat="false" customHeight="false" hidden="false" ht="14.75" outlineLevel="0" r="3387">
      <c r="A3387" s="1" t="s">
        <v>1408</v>
      </c>
      <c r="B3387" s="1" t="s">
        <v>2369</v>
      </c>
      <c r="C3387" s="1" t="s">
        <v>2254</v>
      </c>
      <c r="D3387" s="1" t="n">
        <v>285</v>
      </c>
      <c r="E3387" s="1" t="n">
        <v>18.02</v>
      </c>
      <c r="F3387" s="1" t="n">
        <f aca="false">19/9</f>
        <v>2.11111111111111</v>
      </c>
    </row>
    <row collapsed="false" customFormat="false" customHeight="false" hidden="false" ht="14.75" outlineLevel="0" r="3388">
      <c r="A3388" s="1" t="s">
        <v>2372</v>
      </c>
      <c r="B3388" s="1" t="s">
        <v>2369</v>
      </c>
      <c r="C3388" s="1" t="s">
        <v>2254</v>
      </c>
      <c r="D3388" s="1" t="n">
        <v>300.5</v>
      </c>
      <c r="E3388" s="1" t="n">
        <v>18.28</v>
      </c>
      <c r="F3388" s="1" t="n">
        <f aca="false">29/9</f>
        <v>3.22222222222222</v>
      </c>
    </row>
    <row collapsed="false" customFormat="false" customHeight="false" hidden="false" ht="14.75" outlineLevel="0" r="3389">
      <c r="A3389" s="1" t="s">
        <v>2373</v>
      </c>
      <c r="B3389" s="1" t="s">
        <v>2369</v>
      </c>
      <c r="C3389" s="1" t="s">
        <v>2254</v>
      </c>
      <c r="D3389" s="1" t="n">
        <v>179.8</v>
      </c>
      <c r="E3389" s="1" t="n">
        <v>14.78</v>
      </c>
      <c r="F3389" s="1" t="n">
        <f aca="false">6/9</f>
        <v>0.666666666666667</v>
      </c>
    </row>
    <row collapsed="false" customFormat="false" customHeight="false" hidden="false" ht="14.75" outlineLevel="0" r="3390">
      <c r="A3390" s="1" t="s">
        <v>1431</v>
      </c>
      <c r="B3390" s="1" t="s">
        <v>2369</v>
      </c>
      <c r="C3390" s="1" t="s">
        <v>2254</v>
      </c>
      <c r="D3390" s="1" t="n">
        <v>173.9</v>
      </c>
      <c r="E3390" s="1" t="n">
        <v>15.73</v>
      </c>
      <c r="F3390" s="1" t="n">
        <f aca="false">10/9</f>
        <v>1.11111111111111</v>
      </c>
    </row>
    <row collapsed="false" customFormat="false" customHeight="false" hidden="false" ht="14.75" outlineLevel="0" r="3391">
      <c r="A3391" s="1" t="s">
        <v>2374</v>
      </c>
      <c r="B3391" s="1" t="s">
        <v>2369</v>
      </c>
      <c r="C3391" s="1" t="s">
        <v>2254</v>
      </c>
      <c r="D3391" s="1" t="n">
        <v>185.8</v>
      </c>
      <c r="E3391" s="1" t="n">
        <v>15.9</v>
      </c>
      <c r="F3391" s="1" t="n">
        <f aca="false">10/9</f>
        <v>1.11111111111111</v>
      </c>
    </row>
    <row collapsed="false" customFormat="false" customHeight="false" hidden="false" ht="14.75" outlineLevel="0" r="3392">
      <c r="A3392" s="1" t="s">
        <v>2375</v>
      </c>
      <c r="B3392" s="1" t="s">
        <v>2369</v>
      </c>
      <c r="C3392" s="1" t="s">
        <v>2254</v>
      </c>
      <c r="D3392" s="1" t="n">
        <v>116.7</v>
      </c>
      <c r="E3392" s="1" t="n">
        <v>13.2</v>
      </c>
      <c r="F3392" s="1" t="n">
        <f aca="false">5/9</f>
        <v>0.555555555555556</v>
      </c>
    </row>
    <row collapsed="false" customFormat="false" customHeight="false" hidden="false" ht="14.75" outlineLevel="0" r="3393">
      <c r="A3393" s="1" t="s">
        <v>2376</v>
      </c>
      <c r="B3393" s="1" t="s">
        <v>2369</v>
      </c>
      <c r="C3393" s="1" t="s">
        <v>2254</v>
      </c>
      <c r="D3393" s="1" t="n">
        <v>31.7</v>
      </c>
      <c r="E3393" s="1" t="n">
        <v>3.81</v>
      </c>
      <c r="F3393" s="1" t="n">
        <f aca="false">1/9</f>
        <v>0.111111111111111</v>
      </c>
    </row>
    <row collapsed="false" customFormat="false" customHeight="false" hidden="false" ht="14.75" outlineLevel="0" r="3394">
      <c r="A3394" s="1" t="s">
        <v>1014</v>
      </c>
      <c r="B3394" s="1" t="s">
        <v>2377</v>
      </c>
      <c r="C3394" s="1" t="s">
        <v>2254</v>
      </c>
      <c r="D3394" s="1" t="n">
        <v>555.9</v>
      </c>
      <c r="E3394" s="1" t="n">
        <v>24.09</v>
      </c>
      <c r="F3394" s="1" t="n">
        <f aca="false">80/11</f>
        <v>7.27272727272727</v>
      </c>
    </row>
    <row collapsed="false" customFormat="false" customHeight="false" hidden="false" ht="14.75" outlineLevel="0" r="3395">
      <c r="A3395" s="1" t="s">
        <v>1015</v>
      </c>
      <c r="B3395" s="1" t="s">
        <v>2377</v>
      </c>
      <c r="C3395" s="1" t="s">
        <v>2254</v>
      </c>
      <c r="D3395" s="1" t="n">
        <v>376</v>
      </c>
      <c r="E3395" s="1" t="n">
        <v>19.27</v>
      </c>
      <c r="F3395" s="1" t="n">
        <f aca="false">41/10</f>
        <v>4.1</v>
      </c>
    </row>
    <row collapsed="false" customFormat="false" customHeight="false" hidden="false" ht="14.75" outlineLevel="0" r="3396">
      <c r="A3396" s="1" t="s">
        <v>1528</v>
      </c>
      <c r="B3396" s="1" t="s">
        <v>2377</v>
      </c>
      <c r="C3396" s="1" t="s">
        <v>2254</v>
      </c>
      <c r="D3396" s="1" t="n">
        <v>430.9</v>
      </c>
      <c r="E3396" s="1" t="n">
        <v>23.45</v>
      </c>
      <c r="F3396" s="1" t="n">
        <f aca="false">55/12</f>
        <v>4.58333333333333</v>
      </c>
    </row>
    <row collapsed="false" customFormat="false" customHeight="false" hidden="false" ht="14.75" outlineLevel="0" r="3397">
      <c r="A3397" s="1" t="s">
        <v>1610</v>
      </c>
      <c r="B3397" s="1" t="s">
        <v>2377</v>
      </c>
      <c r="C3397" s="1" t="s">
        <v>2254</v>
      </c>
      <c r="D3397" s="1" t="n">
        <v>348.6</v>
      </c>
      <c r="E3397" s="1" t="n">
        <v>21.01</v>
      </c>
      <c r="F3397" s="1" t="n">
        <f aca="false">53/12</f>
        <v>4.41666666666667</v>
      </c>
    </row>
    <row collapsed="false" customFormat="false" customHeight="false" hidden="false" ht="14.75" outlineLevel="0" r="3398">
      <c r="A3398" s="1" t="s">
        <v>2378</v>
      </c>
      <c r="B3398" s="1" t="s">
        <v>2377</v>
      </c>
      <c r="C3398" s="1" t="s">
        <v>2254</v>
      </c>
      <c r="D3398" s="1" t="n">
        <v>271.7</v>
      </c>
      <c r="E3398" s="1" t="n">
        <v>16.41</v>
      </c>
      <c r="F3398" s="1" t="n">
        <f aca="false">24/12</f>
        <v>2</v>
      </c>
    </row>
    <row collapsed="false" customFormat="false" customHeight="false" hidden="false" ht="14.75" outlineLevel="0" r="3399">
      <c r="A3399" s="1" t="s">
        <v>1826</v>
      </c>
      <c r="B3399" s="1" t="s">
        <v>2377</v>
      </c>
      <c r="C3399" s="1" t="s">
        <v>2254</v>
      </c>
      <c r="D3399" s="1" t="n">
        <v>254.5</v>
      </c>
      <c r="E3399" s="1" t="n">
        <v>17.06</v>
      </c>
      <c r="F3399" s="1" t="n">
        <f aca="false">16/11</f>
        <v>1.45454545454545</v>
      </c>
    </row>
    <row collapsed="false" customFormat="false" customHeight="false" hidden="false" ht="14.75" outlineLevel="0" r="3400">
      <c r="A3400" s="1" t="s">
        <v>2379</v>
      </c>
      <c r="B3400" s="1" t="s">
        <v>2377</v>
      </c>
      <c r="C3400" s="1" t="s">
        <v>2254</v>
      </c>
      <c r="D3400" s="1" t="n">
        <v>219.5</v>
      </c>
      <c r="E3400" s="1" t="n">
        <v>18.35</v>
      </c>
      <c r="F3400" s="1" t="n">
        <f aca="false">24/11</f>
        <v>2.18181818181818</v>
      </c>
    </row>
    <row collapsed="false" customFormat="false" customHeight="false" hidden="false" ht="14.75" outlineLevel="0" r="3401">
      <c r="A3401" s="1" t="s">
        <v>2380</v>
      </c>
      <c r="B3401" s="1" t="s">
        <v>2377</v>
      </c>
      <c r="C3401" s="1" t="s">
        <v>2254</v>
      </c>
      <c r="D3401" s="1" t="n">
        <v>186.8</v>
      </c>
      <c r="E3401" s="1" t="n">
        <v>14.47</v>
      </c>
      <c r="F3401" s="1" t="n">
        <f aca="false">17/11</f>
        <v>1.54545454545455</v>
      </c>
    </row>
    <row collapsed="false" customFormat="false" customHeight="false" hidden="false" ht="14.75" outlineLevel="0" r="3402">
      <c r="A3402" s="1" t="s">
        <v>2381</v>
      </c>
      <c r="B3402" s="1" t="s">
        <v>2377</v>
      </c>
      <c r="C3402" s="1" t="s">
        <v>2254</v>
      </c>
      <c r="D3402" s="1" t="n">
        <v>258.2</v>
      </c>
      <c r="E3402" s="1" t="n">
        <v>15.95</v>
      </c>
      <c r="F3402" s="1" t="n">
        <f aca="false">20/11</f>
        <v>1.81818181818182</v>
      </c>
    </row>
    <row collapsed="false" customFormat="false" customHeight="false" hidden="false" ht="14.75" outlineLevel="0" r="3403">
      <c r="A3403" s="1" t="s">
        <v>2382</v>
      </c>
      <c r="B3403" s="1" t="s">
        <v>2377</v>
      </c>
      <c r="C3403" s="1" t="s">
        <v>2254</v>
      </c>
      <c r="D3403" s="1" t="n">
        <v>247</v>
      </c>
      <c r="E3403" s="1" t="n">
        <v>15.31</v>
      </c>
      <c r="F3403" s="1" t="n">
        <v>1.2</v>
      </c>
    </row>
    <row collapsed="false" customFormat="false" customHeight="false" hidden="false" ht="14.75" outlineLevel="0" r="3404">
      <c r="A3404" s="1" t="s">
        <v>1546</v>
      </c>
      <c r="B3404" s="1" t="s">
        <v>2377</v>
      </c>
      <c r="C3404" s="1" t="s">
        <v>2254</v>
      </c>
      <c r="D3404" s="1" t="n">
        <v>260.5</v>
      </c>
      <c r="E3404" s="1" t="n">
        <v>15.7</v>
      </c>
      <c r="F3404" s="1" t="n">
        <f aca="false">8/11</f>
        <v>0.727272727272727</v>
      </c>
    </row>
    <row collapsed="false" customFormat="false" customHeight="false" hidden="false" ht="14.75" outlineLevel="0" r="3405">
      <c r="A3405" s="1" t="s">
        <v>2383</v>
      </c>
      <c r="B3405" s="1" t="s">
        <v>2377</v>
      </c>
      <c r="C3405" s="1" t="s">
        <v>2254</v>
      </c>
      <c r="D3405" s="1" t="n">
        <v>200</v>
      </c>
      <c r="E3405" s="1" t="n">
        <v>12.9</v>
      </c>
      <c r="F3405" s="1" t="n">
        <v>1</v>
      </c>
    </row>
    <row collapsed="false" customFormat="false" customHeight="false" hidden="false" ht="14.75" outlineLevel="0" r="3406">
      <c r="A3406" s="1" t="s">
        <v>2384</v>
      </c>
      <c r="B3406" s="1" t="s">
        <v>2377</v>
      </c>
      <c r="C3406" s="1" t="s">
        <v>2254</v>
      </c>
      <c r="D3406" s="1" t="n">
        <v>202.3</v>
      </c>
      <c r="E3406" s="1" t="n">
        <v>13.16</v>
      </c>
      <c r="F3406" s="1" t="n">
        <f aca="false">9/11</f>
        <v>0.818181818181818</v>
      </c>
    </row>
    <row collapsed="false" customFormat="false" customHeight="false" hidden="false" ht="14.75" outlineLevel="0" r="3407">
      <c r="A3407" s="1" t="s">
        <v>1814</v>
      </c>
      <c r="B3407" s="1" t="s">
        <v>2377</v>
      </c>
      <c r="C3407" s="1" t="s">
        <v>2254</v>
      </c>
      <c r="D3407" s="1" t="n">
        <v>116.8</v>
      </c>
      <c r="E3407" s="1" t="n">
        <v>10.47</v>
      </c>
      <c r="F3407" s="1" t="n">
        <f aca="false">6/11</f>
        <v>0.545454545454545</v>
      </c>
    </row>
    <row collapsed="false" customFormat="false" customHeight="false" hidden="false" ht="14.75" outlineLevel="0" r="3408">
      <c r="A3408" s="1" t="s">
        <v>2385</v>
      </c>
      <c r="B3408" s="1" t="s">
        <v>2377</v>
      </c>
      <c r="C3408" s="1" t="s">
        <v>2254</v>
      </c>
      <c r="D3408" s="1" t="n">
        <v>137.3</v>
      </c>
      <c r="E3408" s="1" t="n">
        <v>11.94</v>
      </c>
      <c r="F3408" s="1" t="n">
        <f aca="false">8/11</f>
        <v>0.727272727272727</v>
      </c>
    </row>
    <row collapsed="false" customFormat="false" customHeight="false" hidden="false" ht="14.75" outlineLevel="0" r="3409">
      <c r="A3409" s="1" t="s">
        <v>2386</v>
      </c>
      <c r="B3409" s="1" t="s">
        <v>2377</v>
      </c>
      <c r="C3409" s="1" t="s">
        <v>2254</v>
      </c>
      <c r="D3409" s="1" t="n">
        <v>129.5</v>
      </c>
      <c r="E3409" s="1" t="n">
        <v>11.69</v>
      </c>
      <c r="F3409" s="1" t="n">
        <f aca="false">4/11</f>
        <v>0.363636363636364</v>
      </c>
    </row>
    <row collapsed="false" customFormat="false" customHeight="false" hidden="false" ht="14.75" outlineLevel="0" r="3410">
      <c r="A3410" s="1" t="s">
        <v>1611</v>
      </c>
      <c r="B3410" s="1" t="s">
        <v>2377</v>
      </c>
      <c r="C3410" s="1" t="s">
        <v>2254</v>
      </c>
      <c r="D3410" s="1" t="n">
        <v>211</v>
      </c>
      <c r="E3410" s="1" t="n">
        <v>13.74</v>
      </c>
      <c r="F3410" s="1" t="n">
        <v>1.3</v>
      </c>
    </row>
    <row collapsed="false" customFormat="false" customHeight="false" hidden="false" ht="14.75" outlineLevel="0" r="3411">
      <c r="A3411" s="1" t="s">
        <v>2387</v>
      </c>
      <c r="B3411" s="1" t="s">
        <v>2377</v>
      </c>
      <c r="C3411" s="1" t="s">
        <v>2254</v>
      </c>
      <c r="D3411" s="1" t="n">
        <v>149</v>
      </c>
      <c r="E3411" s="1" t="n">
        <v>10.2</v>
      </c>
      <c r="F3411" s="1" t="n">
        <v>0.8</v>
      </c>
    </row>
    <row collapsed="false" customFormat="false" customHeight="false" hidden="false" ht="14.75" outlineLevel="0" r="3412">
      <c r="A3412" s="1" t="s">
        <v>2388</v>
      </c>
      <c r="B3412" s="1" t="s">
        <v>2377</v>
      </c>
      <c r="C3412" s="1" t="s">
        <v>2254</v>
      </c>
      <c r="D3412" s="1" t="n">
        <v>106</v>
      </c>
      <c r="E3412" s="1" t="n">
        <v>10.19</v>
      </c>
      <c r="F3412" s="1" t="n">
        <v>0.4</v>
      </c>
    </row>
    <row collapsed="false" customFormat="false" customHeight="false" hidden="false" ht="14.75" outlineLevel="0" r="3413">
      <c r="A3413" s="1" t="s">
        <v>2389</v>
      </c>
      <c r="B3413" s="1" t="s">
        <v>2377</v>
      </c>
      <c r="C3413" s="1" t="s">
        <v>2254</v>
      </c>
      <c r="D3413" s="1" t="n">
        <v>104.5</v>
      </c>
      <c r="E3413" s="1" t="n">
        <v>8.31</v>
      </c>
      <c r="F3413" s="1" t="n">
        <v>0.1</v>
      </c>
    </row>
    <row collapsed="false" customFormat="false" customHeight="false" hidden="false" ht="14.75" outlineLevel="0" r="3414">
      <c r="A3414" s="1" t="s">
        <v>1817</v>
      </c>
      <c r="B3414" s="1" t="s">
        <v>2377</v>
      </c>
      <c r="C3414" s="1" t="s">
        <v>2254</v>
      </c>
      <c r="D3414" s="1" t="n">
        <v>112.5</v>
      </c>
      <c r="E3414" s="1" t="n">
        <v>10.27</v>
      </c>
      <c r="F3414" s="1" t="n">
        <v>0.6</v>
      </c>
    </row>
    <row collapsed="false" customFormat="false" customHeight="false" hidden="false" ht="14.75" outlineLevel="0" r="3415">
      <c r="A3415" s="1" t="s">
        <v>1825</v>
      </c>
      <c r="B3415" s="1" t="s">
        <v>2377</v>
      </c>
      <c r="C3415" s="1" t="s">
        <v>2254</v>
      </c>
      <c r="D3415" s="1" t="n">
        <v>98</v>
      </c>
      <c r="E3415" s="1" t="n">
        <v>10</v>
      </c>
      <c r="F3415" s="1" t="n">
        <v>0.4</v>
      </c>
    </row>
    <row collapsed="false" customFormat="false" customHeight="false" hidden="false" ht="14.75" outlineLevel="0" r="3416">
      <c r="A3416" s="1" t="s">
        <v>2390</v>
      </c>
      <c r="B3416" s="1" t="s">
        <v>2377</v>
      </c>
      <c r="C3416" s="1" t="s">
        <v>2254</v>
      </c>
      <c r="D3416" s="1" t="n">
        <v>34</v>
      </c>
      <c r="E3416" s="1" t="n">
        <v>3.57</v>
      </c>
      <c r="F3416" s="1" t="n">
        <v>0.2</v>
      </c>
    </row>
    <row collapsed="false" customFormat="false" customHeight="false" hidden="false" ht="14.75" outlineLevel="0" r="3417">
      <c r="A3417" s="1" t="s">
        <v>208</v>
      </c>
      <c r="B3417" s="1" t="s">
        <v>2391</v>
      </c>
      <c r="C3417" s="1" t="s">
        <v>2254</v>
      </c>
      <c r="D3417" s="1" t="n">
        <v>456.2</v>
      </c>
      <c r="E3417" s="1" t="n">
        <v>22.22</v>
      </c>
      <c r="F3417" s="1" t="n">
        <f aca="false">85/12</f>
        <v>7.08333333333333</v>
      </c>
    </row>
    <row collapsed="false" customFormat="false" customHeight="false" hidden="false" ht="14.75" outlineLevel="0" r="3418">
      <c r="A3418" s="1" t="s">
        <v>1317</v>
      </c>
      <c r="B3418" s="1" t="s">
        <v>2391</v>
      </c>
      <c r="C3418" s="1" t="s">
        <v>2254</v>
      </c>
      <c r="D3418" s="1" t="n">
        <v>461.8</v>
      </c>
      <c r="E3418" s="1" t="n">
        <v>21.82</v>
      </c>
      <c r="F3418" s="1" t="n">
        <f aca="false">57/11</f>
        <v>5.18181818181818</v>
      </c>
    </row>
    <row collapsed="false" customFormat="false" customHeight="false" hidden="false" ht="14.75" outlineLevel="0" r="3419">
      <c r="A3419" s="1" t="s">
        <v>218</v>
      </c>
      <c r="B3419" s="1" t="s">
        <v>2391</v>
      </c>
      <c r="C3419" s="1" t="s">
        <v>2254</v>
      </c>
      <c r="D3419" s="1" t="n">
        <v>337.3</v>
      </c>
      <c r="E3419" s="1" t="n">
        <v>18.65</v>
      </c>
      <c r="F3419" s="1" t="n">
        <f aca="false">40/11</f>
        <v>3.63636363636364</v>
      </c>
    </row>
    <row collapsed="false" customFormat="false" customHeight="false" hidden="false" ht="14.75" outlineLevel="0" r="3420">
      <c r="A3420" s="1" t="s">
        <v>2392</v>
      </c>
      <c r="B3420" s="1" t="s">
        <v>2391</v>
      </c>
      <c r="C3420" s="1" t="s">
        <v>2254</v>
      </c>
      <c r="D3420" s="1" t="n">
        <v>369.1</v>
      </c>
      <c r="E3420" s="1" t="n">
        <v>20.08</v>
      </c>
      <c r="F3420" s="1" t="n">
        <f aca="false">42/11</f>
        <v>3.81818181818182</v>
      </c>
    </row>
    <row collapsed="false" customFormat="false" customHeight="false" hidden="false" ht="14.75" outlineLevel="0" r="3421">
      <c r="A3421" s="1" t="s">
        <v>2294</v>
      </c>
      <c r="B3421" s="1" t="s">
        <v>2391</v>
      </c>
      <c r="C3421" s="1" t="s">
        <v>2254</v>
      </c>
      <c r="D3421" s="1" t="n">
        <v>337.5</v>
      </c>
      <c r="E3421" s="1" t="n">
        <v>20</v>
      </c>
      <c r="F3421" s="1" t="n">
        <v>2.5</v>
      </c>
    </row>
    <row collapsed="false" customFormat="false" customHeight="false" hidden="false" ht="14.75" outlineLevel="0" r="3422">
      <c r="A3422" s="1" t="s">
        <v>2393</v>
      </c>
      <c r="B3422" s="1" t="s">
        <v>2391</v>
      </c>
      <c r="C3422" s="1" t="s">
        <v>2254</v>
      </c>
      <c r="D3422" s="1" t="n">
        <v>344</v>
      </c>
      <c r="E3422" s="1" t="n">
        <v>20.09</v>
      </c>
      <c r="F3422" s="1" t="n">
        <v>4</v>
      </c>
    </row>
    <row collapsed="false" customFormat="false" customHeight="false" hidden="false" ht="14.75" outlineLevel="0" r="3423">
      <c r="A3423" s="1" t="s">
        <v>209</v>
      </c>
      <c r="B3423" s="1" t="s">
        <v>2391</v>
      </c>
      <c r="C3423" s="1" t="s">
        <v>2254</v>
      </c>
      <c r="D3423" s="1" t="n">
        <v>210</v>
      </c>
      <c r="E3423" s="1" t="n">
        <v>16.3</v>
      </c>
      <c r="F3423" s="1" t="n">
        <f aca="false">11/9</f>
        <v>1.22222222222222</v>
      </c>
    </row>
    <row collapsed="false" customFormat="false" customHeight="false" hidden="false" ht="14.75" outlineLevel="0" r="3424">
      <c r="A3424" s="1" t="s">
        <v>2296</v>
      </c>
      <c r="B3424" s="1" t="s">
        <v>2391</v>
      </c>
      <c r="C3424" s="1" t="s">
        <v>2254</v>
      </c>
      <c r="D3424" s="1" t="n">
        <v>268</v>
      </c>
      <c r="E3424" s="1" t="n">
        <v>17.6</v>
      </c>
      <c r="F3424" s="1" t="n">
        <v>1.6</v>
      </c>
    </row>
    <row collapsed="false" customFormat="false" customHeight="false" hidden="false" ht="14.75" outlineLevel="0" r="3425">
      <c r="A3425" s="1" t="s">
        <v>2298</v>
      </c>
      <c r="B3425" s="1" t="s">
        <v>2391</v>
      </c>
      <c r="C3425" s="1" t="s">
        <v>2254</v>
      </c>
      <c r="D3425" s="1" t="n">
        <v>300.6</v>
      </c>
      <c r="E3425" s="1" t="n">
        <v>16.08</v>
      </c>
      <c r="F3425" s="1" t="n">
        <f aca="false">17/9</f>
        <v>1.88888888888889</v>
      </c>
    </row>
    <row collapsed="false" customFormat="false" customHeight="false" hidden="false" ht="14.75" outlineLevel="0" r="3426">
      <c r="A3426" s="1" t="s">
        <v>902</v>
      </c>
      <c r="B3426" s="1" t="s">
        <v>2391</v>
      </c>
      <c r="C3426" s="1" t="s">
        <v>2254</v>
      </c>
      <c r="D3426" s="1" t="n">
        <v>278.8</v>
      </c>
      <c r="E3426" s="1" t="n">
        <v>18.7</v>
      </c>
      <c r="F3426" s="1" t="n">
        <f aca="false">16/8</f>
        <v>2</v>
      </c>
    </row>
    <row collapsed="false" customFormat="false" customHeight="false" hidden="false" ht="14.75" outlineLevel="0" r="3427">
      <c r="A3427" s="1" t="s">
        <v>2299</v>
      </c>
      <c r="B3427" s="1" t="s">
        <v>2391</v>
      </c>
      <c r="C3427" s="1" t="s">
        <v>2254</v>
      </c>
      <c r="D3427" s="1" t="n">
        <v>235.6</v>
      </c>
      <c r="E3427" s="1" t="n">
        <v>15.78</v>
      </c>
      <c r="F3427" s="1" t="n">
        <f aca="false">10/9</f>
        <v>1.11111111111111</v>
      </c>
    </row>
    <row collapsed="false" customFormat="false" customHeight="false" hidden="false" ht="14.75" outlineLevel="0" r="3428">
      <c r="A3428" s="1" t="s">
        <v>2220</v>
      </c>
      <c r="B3428" s="1" t="s">
        <v>2391</v>
      </c>
      <c r="C3428" s="1" t="s">
        <v>2254</v>
      </c>
      <c r="D3428" s="1" t="n">
        <v>235</v>
      </c>
      <c r="E3428" s="1" t="n">
        <v>14.47</v>
      </c>
      <c r="F3428" s="1" t="n">
        <f aca="false">17/9</f>
        <v>1.88888888888889</v>
      </c>
    </row>
    <row collapsed="false" customFormat="false" customHeight="false" hidden="false" ht="14.75" outlineLevel="0" r="3429">
      <c r="A3429" s="1" t="s">
        <v>2394</v>
      </c>
      <c r="B3429" s="1" t="s">
        <v>2391</v>
      </c>
      <c r="C3429" s="1" t="s">
        <v>2254</v>
      </c>
      <c r="D3429" s="1" t="n">
        <v>271.2</v>
      </c>
      <c r="E3429" s="1" t="n">
        <v>17.18</v>
      </c>
      <c r="F3429" s="1" t="n">
        <f aca="false">20/8</f>
        <v>2.5</v>
      </c>
    </row>
    <row collapsed="false" customFormat="false" customHeight="false" hidden="false" ht="14.75" outlineLevel="0" r="3430">
      <c r="A3430" s="1" t="s">
        <v>2395</v>
      </c>
      <c r="B3430" s="1" t="s">
        <v>2391</v>
      </c>
      <c r="C3430" s="1" t="s">
        <v>2254</v>
      </c>
      <c r="D3430" s="1" t="n">
        <v>197.5</v>
      </c>
      <c r="E3430" s="1" t="n">
        <v>16.07</v>
      </c>
      <c r="F3430" s="1" t="n">
        <v>1</v>
      </c>
    </row>
    <row collapsed="false" customFormat="false" customHeight="false" hidden="false" ht="14.75" outlineLevel="0" r="3431">
      <c r="A3431" s="1" t="s">
        <v>219</v>
      </c>
      <c r="B3431" s="1" t="s">
        <v>2391</v>
      </c>
      <c r="C3431" s="1" t="s">
        <v>2254</v>
      </c>
      <c r="D3431" s="1" t="n">
        <v>228.8</v>
      </c>
      <c r="E3431" s="1" t="n">
        <v>15.21</v>
      </c>
      <c r="F3431" s="1" t="n">
        <f aca="false">20/8</f>
        <v>2.5</v>
      </c>
    </row>
    <row collapsed="false" customFormat="false" customHeight="false" hidden="false" ht="14.75" outlineLevel="0" r="3432">
      <c r="A3432" s="1" t="s">
        <v>2396</v>
      </c>
      <c r="B3432" s="1" t="s">
        <v>2391</v>
      </c>
      <c r="C3432" s="1" t="s">
        <v>2254</v>
      </c>
      <c r="D3432" s="1" t="n">
        <v>250.7</v>
      </c>
      <c r="E3432" s="1" t="n">
        <v>16.82</v>
      </c>
      <c r="F3432" s="1" t="n">
        <f aca="false">8/7</f>
        <v>1.14285714285714</v>
      </c>
    </row>
    <row collapsed="false" customFormat="false" customHeight="false" hidden="false" ht="14.75" outlineLevel="0" r="3433">
      <c r="A3433" s="1" t="s">
        <v>223</v>
      </c>
      <c r="B3433" s="1" t="s">
        <v>2391</v>
      </c>
      <c r="C3433" s="1" t="s">
        <v>2254</v>
      </c>
      <c r="D3433" s="1" t="n">
        <v>235</v>
      </c>
      <c r="E3433" s="1" t="n">
        <v>15</v>
      </c>
      <c r="F3433" s="1" t="n">
        <f aca="false">18/8</f>
        <v>2.25</v>
      </c>
    </row>
    <row collapsed="false" customFormat="false" customHeight="false" hidden="false" ht="14.75" outlineLevel="0" r="3434">
      <c r="A3434" s="1" t="s">
        <v>224</v>
      </c>
      <c r="B3434" s="1" t="s">
        <v>2391</v>
      </c>
      <c r="C3434" s="1" t="s">
        <v>2254</v>
      </c>
      <c r="D3434" s="1" t="n">
        <v>206.9</v>
      </c>
      <c r="E3434" s="1" t="n">
        <v>13.06</v>
      </c>
      <c r="F3434" s="1" t="n">
        <f aca="false">12/8</f>
        <v>1.5</v>
      </c>
    </row>
    <row collapsed="false" customFormat="false" customHeight="false" hidden="false" ht="14.75" outlineLevel="0" r="3435">
      <c r="A3435" s="1" t="s">
        <v>2397</v>
      </c>
      <c r="B3435" s="1" t="s">
        <v>2391</v>
      </c>
      <c r="C3435" s="1" t="s">
        <v>2254</v>
      </c>
      <c r="D3435" s="1" t="n">
        <v>174.4</v>
      </c>
      <c r="E3435" s="1" t="n">
        <v>13.56</v>
      </c>
      <c r="F3435" s="1" t="n">
        <f aca="false">10/8</f>
        <v>1.25</v>
      </c>
    </row>
    <row collapsed="false" customFormat="false" customHeight="false" hidden="false" ht="14.75" outlineLevel="0" r="3436">
      <c r="A3436" s="1" t="s">
        <v>930</v>
      </c>
      <c r="B3436" s="1" t="s">
        <v>2391</v>
      </c>
      <c r="C3436" s="1" t="s">
        <v>2254</v>
      </c>
      <c r="D3436" s="1" t="n">
        <v>140.7</v>
      </c>
      <c r="E3436" s="1" t="n">
        <v>13.72</v>
      </c>
      <c r="F3436" s="1" t="n">
        <f aca="false">5/7</f>
        <v>0.714285714285714</v>
      </c>
    </row>
    <row collapsed="false" customFormat="false" customHeight="false" hidden="false" ht="14.75" outlineLevel="0" r="3437">
      <c r="A3437" s="1" t="s">
        <v>2398</v>
      </c>
      <c r="B3437" s="1" t="s">
        <v>2391</v>
      </c>
      <c r="C3437" s="1" t="s">
        <v>2254</v>
      </c>
      <c r="D3437" s="1" t="n">
        <v>167.5</v>
      </c>
      <c r="E3437" s="1" t="n">
        <v>12.5</v>
      </c>
      <c r="F3437" s="1" t="n">
        <f aca="false">9/8</f>
        <v>1.125</v>
      </c>
    </row>
    <row collapsed="false" customFormat="false" customHeight="false" hidden="false" ht="14.75" outlineLevel="0" r="3438">
      <c r="A3438" s="1" t="s">
        <v>225</v>
      </c>
      <c r="B3438" s="1" t="s">
        <v>2391</v>
      </c>
      <c r="C3438" s="1" t="s">
        <v>2254</v>
      </c>
      <c r="D3438" s="1" t="n">
        <v>159.4</v>
      </c>
      <c r="E3438" s="1" t="n">
        <v>13.21</v>
      </c>
      <c r="F3438" s="1" t="n">
        <v>1</v>
      </c>
    </row>
    <row collapsed="false" customFormat="false" customHeight="false" hidden="false" ht="14.75" outlineLevel="0" r="3439">
      <c r="A3439" s="1" t="s">
        <v>2399</v>
      </c>
      <c r="B3439" s="1" t="s">
        <v>2391</v>
      </c>
      <c r="C3439" s="1" t="s">
        <v>2254</v>
      </c>
      <c r="D3439" s="1" t="n">
        <v>125.6</v>
      </c>
      <c r="E3439" s="1" t="n">
        <v>13.72</v>
      </c>
      <c r="F3439" s="1" t="n">
        <f aca="false">2/8</f>
        <v>0.25</v>
      </c>
    </row>
    <row collapsed="false" customFormat="false" customHeight="false" hidden="false" ht="14.75" outlineLevel="0" r="3440">
      <c r="A3440" s="1" t="s">
        <v>2112</v>
      </c>
      <c r="B3440" s="1" t="s">
        <v>2391</v>
      </c>
      <c r="C3440" s="1" t="s">
        <v>2254</v>
      </c>
      <c r="D3440" s="1" t="n">
        <v>199.3</v>
      </c>
      <c r="E3440" s="1" t="n">
        <v>16.6</v>
      </c>
      <c r="F3440" s="1" t="n">
        <f aca="false">8/7</f>
        <v>1.14285714285714</v>
      </c>
    </row>
    <row collapsed="false" customFormat="false" customHeight="false" hidden="false" ht="14.75" outlineLevel="0" r="3441">
      <c r="A3441" s="1" t="s">
        <v>903</v>
      </c>
      <c r="B3441" s="1" t="s">
        <v>2391</v>
      </c>
      <c r="C3441" s="1" t="s">
        <v>2254</v>
      </c>
      <c r="D3441" s="1" t="n">
        <v>165.7</v>
      </c>
      <c r="E3441" s="1" t="n">
        <v>14.17</v>
      </c>
      <c r="F3441" s="1" t="n">
        <f aca="false">5/7</f>
        <v>0.714285714285714</v>
      </c>
    </row>
    <row collapsed="false" customFormat="false" customHeight="false" hidden="false" ht="14.75" outlineLevel="0" r="3442">
      <c r="A3442" s="1" t="s">
        <v>2301</v>
      </c>
      <c r="B3442" s="1" t="s">
        <v>2391</v>
      </c>
      <c r="C3442" s="1" t="s">
        <v>2254</v>
      </c>
      <c r="D3442" s="1" t="n">
        <v>147.9</v>
      </c>
      <c r="E3442" s="1" t="n">
        <v>12.65</v>
      </c>
      <c r="F3442" s="1" t="n">
        <f aca="false">4/7</f>
        <v>0.571428571428571</v>
      </c>
    </row>
    <row collapsed="false" customFormat="false" customHeight="false" hidden="false" ht="14.75" outlineLevel="0" r="3443">
      <c r="A3443" s="1" t="s">
        <v>1518</v>
      </c>
      <c r="B3443" s="1" t="s">
        <v>2391</v>
      </c>
      <c r="C3443" s="1" t="s">
        <v>2254</v>
      </c>
      <c r="D3443" s="1" t="n">
        <v>137.9</v>
      </c>
      <c r="E3443" s="1" t="n">
        <v>13.02</v>
      </c>
      <c r="F3443" s="1" t="n">
        <f aca="false">5/7</f>
        <v>0.714285714285714</v>
      </c>
    </row>
    <row collapsed="false" customFormat="false" customHeight="false" hidden="false" ht="14.75" outlineLevel="0" r="3444">
      <c r="A3444" s="1" t="s">
        <v>942</v>
      </c>
      <c r="B3444" s="1" t="s">
        <v>2391</v>
      </c>
      <c r="C3444" s="1" t="s">
        <v>2254</v>
      </c>
      <c r="D3444" s="1" t="n">
        <v>101.4</v>
      </c>
      <c r="E3444" s="1" t="n">
        <v>7.32</v>
      </c>
      <c r="F3444" s="1" t="n">
        <v>1</v>
      </c>
    </row>
    <row collapsed="false" customFormat="false" customHeight="false" hidden="false" ht="14.75" outlineLevel="0" r="3445">
      <c r="A3445" s="1" t="s">
        <v>2400</v>
      </c>
      <c r="B3445" s="1" t="s">
        <v>2391</v>
      </c>
      <c r="C3445" s="1" t="s">
        <v>2254</v>
      </c>
      <c r="D3445" s="1" t="n">
        <v>45</v>
      </c>
      <c r="E3445" s="1" t="n">
        <v>9.41</v>
      </c>
      <c r="F3445" s="1" t="n">
        <v>0</v>
      </c>
    </row>
    <row collapsed="false" customFormat="false" customHeight="false" hidden="false" ht="14.75" outlineLevel="0" r="3446">
      <c r="A3446" s="1" t="s">
        <v>2401</v>
      </c>
      <c r="B3446" s="1" t="s">
        <v>2391</v>
      </c>
      <c r="C3446" s="1" t="s">
        <v>2254</v>
      </c>
      <c r="D3446" s="1" t="n">
        <v>50.8</v>
      </c>
      <c r="E3446" s="1" t="n">
        <v>10</v>
      </c>
      <c r="F3446" s="1" t="n">
        <f aca="false">2/6</f>
        <v>0.333333333333333</v>
      </c>
    </row>
    <row collapsed="false" customFormat="false" customHeight="false" hidden="false" ht="14.75" outlineLevel="0" r="3447">
      <c r="A3447" s="1" t="s">
        <v>2402</v>
      </c>
      <c r="B3447" s="1" t="s">
        <v>2391</v>
      </c>
      <c r="C3447" s="1" t="s">
        <v>2254</v>
      </c>
      <c r="D3447" s="1" t="n">
        <v>11.4</v>
      </c>
      <c r="E3447" s="1" t="n">
        <v>1.25</v>
      </c>
      <c r="F3447" s="1" t="n">
        <f aca="false">1/7</f>
        <v>0.142857142857143</v>
      </c>
    </row>
    <row collapsed="false" customFormat="false" customHeight="false" hidden="false" ht="14.75" outlineLevel="0" r="3448">
      <c r="A3448" s="1" t="s">
        <v>868</v>
      </c>
      <c r="B3448" s="1" t="s">
        <v>2403</v>
      </c>
      <c r="C3448" s="1" t="s">
        <v>2254</v>
      </c>
      <c r="D3448" s="1" t="n">
        <v>375</v>
      </c>
      <c r="E3448" s="1" t="n">
        <v>21.72</v>
      </c>
      <c r="F3448" s="1" t="n">
        <v>3.9</v>
      </c>
    </row>
    <row collapsed="false" customFormat="false" customHeight="false" hidden="false" ht="14.75" outlineLevel="0" r="3449">
      <c r="A3449" s="1" t="s">
        <v>1096</v>
      </c>
      <c r="B3449" s="1" t="s">
        <v>2403</v>
      </c>
      <c r="C3449" s="1" t="s">
        <v>2254</v>
      </c>
      <c r="D3449" s="1" t="n">
        <v>489</v>
      </c>
      <c r="E3449" s="1" t="n">
        <v>22.95</v>
      </c>
      <c r="F3449" s="1" t="n">
        <v>4.9</v>
      </c>
    </row>
    <row collapsed="false" customFormat="false" customHeight="false" hidden="false" ht="14.75" outlineLevel="0" r="3450">
      <c r="A3450" s="1" t="s">
        <v>345</v>
      </c>
      <c r="B3450" s="1" t="s">
        <v>2403</v>
      </c>
      <c r="C3450" s="1" t="s">
        <v>2254</v>
      </c>
      <c r="D3450" s="1" t="n">
        <v>320.5</v>
      </c>
      <c r="E3450" s="1" t="n">
        <v>18.82</v>
      </c>
      <c r="F3450" s="1" t="n">
        <v>2.3</v>
      </c>
    </row>
    <row collapsed="false" customFormat="false" customHeight="false" hidden="false" ht="14.75" outlineLevel="0" r="3451">
      <c r="A3451" s="1" t="s">
        <v>215</v>
      </c>
      <c r="B3451" s="1" t="s">
        <v>2403</v>
      </c>
      <c r="C3451" s="1" t="s">
        <v>2254</v>
      </c>
      <c r="D3451" s="1" t="n">
        <v>242</v>
      </c>
      <c r="E3451" s="1" t="n">
        <v>15.26</v>
      </c>
      <c r="F3451" s="1" t="n">
        <v>1.7</v>
      </c>
    </row>
    <row collapsed="false" customFormat="false" customHeight="false" hidden="false" ht="14.75" outlineLevel="0" r="3452">
      <c r="A3452" s="1" t="s">
        <v>1098</v>
      </c>
      <c r="B3452" s="1" t="s">
        <v>2403</v>
      </c>
      <c r="C3452" s="1" t="s">
        <v>2254</v>
      </c>
      <c r="D3452" s="1" t="n">
        <v>168.5</v>
      </c>
      <c r="E3452" s="1" t="n">
        <v>14.06</v>
      </c>
      <c r="F3452" s="1" t="n">
        <v>2</v>
      </c>
    </row>
    <row collapsed="false" customFormat="false" customHeight="false" hidden="false" ht="14.75" outlineLevel="0" r="3453">
      <c r="A3453" s="1" t="s">
        <v>2404</v>
      </c>
      <c r="B3453" s="1" t="s">
        <v>2403</v>
      </c>
      <c r="C3453" s="1" t="s">
        <v>2254</v>
      </c>
      <c r="D3453" s="1" t="n">
        <v>95.5</v>
      </c>
      <c r="E3453" s="1" t="n">
        <v>10.38</v>
      </c>
      <c r="F3453" s="1" t="n">
        <v>0.5</v>
      </c>
    </row>
    <row collapsed="false" customFormat="false" customHeight="false" hidden="false" ht="14.75" outlineLevel="0" r="3454">
      <c r="A3454" s="1" t="s">
        <v>869</v>
      </c>
      <c r="B3454" s="1" t="s">
        <v>2403</v>
      </c>
      <c r="C3454" s="1" t="s">
        <v>2254</v>
      </c>
      <c r="D3454" s="1" t="n">
        <v>132</v>
      </c>
      <c r="E3454" s="1" t="n">
        <v>8.7</v>
      </c>
      <c r="F3454" s="1" t="n">
        <v>0.7</v>
      </c>
    </row>
    <row collapsed="false" customFormat="false" customHeight="false" hidden="false" ht="14.75" outlineLevel="0" r="3455">
      <c r="A3455" s="1" t="s">
        <v>2405</v>
      </c>
      <c r="B3455" s="1" t="s">
        <v>2403</v>
      </c>
      <c r="C3455" s="1" t="s">
        <v>2254</v>
      </c>
      <c r="D3455" s="1" t="n">
        <v>198.5</v>
      </c>
      <c r="E3455" s="1" t="n">
        <v>13.52</v>
      </c>
      <c r="F3455" s="1" t="n">
        <v>0.7</v>
      </c>
    </row>
    <row collapsed="false" customFormat="false" customHeight="false" hidden="false" ht="14.75" outlineLevel="0" r="3456">
      <c r="A3456" s="1" t="s">
        <v>346</v>
      </c>
      <c r="B3456" s="1" t="s">
        <v>2403</v>
      </c>
      <c r="C3456" s="1" t="s">
        <v>2254</v>
      </c>
      <c r="D3456" s="1" t="n">
        <v>140.5</v>
      </c>
      <c r="E3456" s="1" t="n">
        <v>9.86</v>
      </c>
      <c r="F3456" s="1" t="n">
        <v>1.1</v>
      </c>
    </row>
    <row collapsed="false" customFormat="false" customHeight="false" hidden="false" ht="14.75" outlineLevel="0" r="3457">
      <c r="A3457" s="1" t="s">
        <v>2406</v>
      </c>
      <c r="B3457" s="1" t="s">
        <v>2403</v>
      </c>
      <c r="C3457" s="1" t="s">
        <v>2254</v>
      </c>
      <c r="D3457" s="1" t="n">
        <v>90</v>
      </c>
      <c r="E3457" s="1" t="n">
        <v>6.85</v>
      </c>
      <c r="F3457" s="1" t="n">
        <v>0.3</v>
      </c>
    </row>
    <row collapsed="false" customFormat="false" customHeight="false" hidden="false" ht="14.75" outlineLevel="0" r="3458">
      <c r="A3458" s="1" t="s">
        <v>870</v>
      </c>
      <c r="B3458" s="1" t="s">
        <v>2403</v>
      </c>
      <c r="C3458" s="1" t="s">
        <v>2254</v>
      </c>
      <c r="D3458" s="1" t="n">
        <v>95.5</v>
      </c>
      <c r="E3458" s="1" t="n">
        <v>8.43</v>
      </c>
      <c r="F3458" s="1" t="n">
        <v>0.6</v>
      </c>
    </row>
    <row collapsed="false" customFormat="false" customHeight="false" hidden="false" ht="14.75" outlineLevel="0" r="3459">
      <c r="A3459" s="1" t="s">
        <v>2407</v>
      </c>
      <c r="B3459" s="1" t="s">
        <v>2403</v>
      </c>
      <c r="C3459" s="1" t="s">
        <v>2254</v>
      </c>
      <c r="D3459" s="1" t="n">
        <v>68.5</v>
      </c>
      <c r="E3459" s="1" t="n">
        <v>7.5</v>
      </c>
      <c r="F3459" s="1" t="n">
        <v>0.2</v>
      </c>
    </row>
    <row collapsed="false" customFormat="false" customHeight="false" hidden="false" ht="14.75" outlineLevel="0" r="3460">
      <c r="A3460" s="1" t="s">
        <v>1525</v>
      </c>
      <c r="B3460" s="1" t="s">
        <v>2408</v>
      </c>
      <c r="C3460" s="1" t="s">
        <v>2254</v>
      </c>
      <c r="D3460" s="1" t="n">
        <v>368.5</v>
      </c>
      <c r="E3460" s="1" t="n">
        <v>18.78</v>
      </c>
      <c r="F3460" s="1" t="n">
        <f aca="false">38/13</f>
        <v>2.92307692307692</v>
      </c>
    </row>
    <row collapsed="false" customFormat="false" customHeight="false" hidden="false" ht="14.75" outlineLevel="0" r="3461">
      <c r="A3461" s="1" t="s">
        <v>1526</v>
      </c>
      <c r="B3461" s="1" t="s">
        <v>2408</v>
      </c>
      <c r="C3461" s="1" t="s">
        <v>2254</v>
      </c>
      <c r="D3461" s="1" t="n">
        <v>350.2</v>
      </c>
      <c r="E3461" s="1" t="n">
        <v>18.74</v>
      </c>
      <c r="F3461" s="1" t="n">
        <f aca="false">38/13</f>
        <v>2.92307692307692</v>
      </c>
    </row>
    <row collapsed="false" customFormat="false" customHeight="false" hidden="false" ht="14.75" outlineLevel="0" r="3462">
      <c r="A3462" s="1" t="s">
        <v>2409</v>
      </c>
      <c r="B3462" s="1" t="s">
        <v>2408</v>
      </c>
      <c r="C3462" s="1" t="s">
        <v>2254</v>
      </c>
      <c r="D3462" s="1" t="n">
        <v>298.2</v>
      </c>
      <c r="E3462" s="1" t="n">
        <v>16.72</v>
      </c>
      <c r="F3462" s="1" t="n">
        <f aca="false">15/13</f>
        <v>1.15384615384615</v>
      </c>
    </row>
    <row collapsed="false" customFormat="false" customHeight="false" hidden="false" ht="14.75" outlineLevel="0" r="3463">
      <c r="A3463" s="1" t="s">
        <v>1527</v>
      </c>
      <c r="B3463" s="1" t="s">
        <v>2408</v>
      </c>
      <c r="C3463" s="1" t="s">
        <v>2254</v>
      </c>
      <c r="D3463" s="1" t="n">
        <v>235.6</v>
      </c>
      <c r="E3463" s="1" t="n">
        <v>15.99</v>
      </c>
      <c r="F3463" s="1" t="n">
        <f aca="false">14/13</f>
        <v>1.07692307692308</v>
      </c>
    </row>
    <row collapsed="false" customFormat="false" customHeight="false" hidden="false" ht="14.75" outlineLevel="0" r="3464">
      <c r="A3464" s="1" t="s">
        <v>2410</v>
      </c>
      <c r="B3464" s="1" t="s">
        <v>2408</v>
      </c>
      <c r="C3464" s="1" t="s">
        <v>2254</v>
      </c>
      <c r="D3464" s="1" t="n">
        <v>250.2</v>
      </c>
      <c r="E3464" s="1" t="n">
        <v>14.55</v>
      </c>
      <c r="F3464" s="1" t="n">
        <f aca="false">7/13</f>
        <v>0.538461538461538</v>
      </c>
    </row>
    <row collapsed="false" customFormat="false" customHeight="false" hidden="false" ht="14.75" outlineLevel="0" r="3465">
      <c r="A3465" s="1" t="s">
        <v>2411</v>
      </c>
      <c r="B3465" s="1" t="s">
        <v>2408</v>
      </c>
      <c r="C3465" s="1" t="s">
        <v>2254</v>
      </c>
      <c r="D3465" s="1" t="n">
        <v>143.5</v>
      </c>
      <c r="E3465" s="1" t="n">
        <v>12.05</v>
      </c>
      <c r="F3465" s="1" t="n">
        <f aca="false">8/13</f>
        <v>0.615384615384615</v>
      </c>
    </row>
    <row collapsed="false" customFormat="false" customHeight="false" hidden="false" ht="14.75" outlineLevel="0" r="3466">
      <c r="A3466" s="1" t="s">
        <v>2412</v>
      </c>
      <c r="B3466" s="1" t="s">
        <v>2408</v>
      </c>
      <c r="C3466" s="1" t="s">
        <v>2254</v>
      </c>
      <c r="D3466" s="1" t="n">
        <v>172</v>
      </c>
      <c r="E3466" s="1" t="n">
        <v>13.58</v>
      </c>
      <c r="F3466" s="1" t="n">
        <f aca="false">14/13</f>
        <v>1.07692307692308</v>
      </c>
    </row>
    <row collapsed="false" customFormat="false" customHeight="false" hidden="false" ht="14.75" outlineLevel="0" r="3467">
      <c r="A3467" s="1" t="s">
        <v>2413</v>
      </c>
      <c r="B3467" s="1" t="s">
        <v>2408</v>
      </c>
      <c r="C3467" s="1" t="s">
        <v>2254</v>
      </c>
      <c r="D3467" s="1" t="n">
        <v>183.8</v>
      </c>
      <c r="E3467" s="1" t="n">
        <v>12.61</v>
      </c>
      <c r="F3467" s="1" t="n">
        <f aca="false">11/13</f>
        <v>0.846153846153846</v>
      </c>
    </row>
    <row collapsed="false" customFormat="false" customHeight="false" hidden="false" ht="14.75" outlineLevel="0" r="3468">
      <c r="A3468" s="1" t="s">
        <v>2414</v>
      </c>
      <c r="B3468" s="1" t="s">
        <v>2408</v>
      </c>
      <c r="C3468" s="1" t="s">
        <v>2254</v>
      </c>
      <c r="D3468" s="1" t="n">
        <v>108.1</v>
      </c>
      <c r="E3468" s="1" t="n">
        <v>8.49</v>
      </c>
      <c r="F3468" s="1" t="n">
        <f aca="false">2/13</f>
        <v>0.153846153846154</v>
      </c>
    </row>
    <row collapsed="false" customFormat="false" customHeight="false" hidden="false" ht="14.75" outlineLevel="0" r="3469">
      <c r="A3469" s="1" t="s">
        <v>2415</v>
      </c>
      <c r="B3469" s="1" t="s">
        <v>2408</v>
      </c>
      <c r="C3469" s="1" t="s">
        <v>2254</v>
      </c>
      <c r="D3469" s="1" t="n">
        <v>115</v>
      </c>
      <c r="E3469" s="1" t="n">
        <v>12.54</v>
      </c>
      <c r="F3469" s="1" t="n">
        <f aca="false">3/13</f>
        <v>0.230769230769231</v>
      </c>
    </row>
    <row collapsed="false" customFormat="false" customHeight="false" hidden="false" ht="14.75" outlineLevel="0" r="3470">
      <c r="A3470" s="1" t="s">
        <v>2416</v>
      </c>
      <c r="B3470" s="1" t="s">
        <v>2408</v>
      </c>
      <c r="C3470" s="1" t="s">
        <v>2254</v>
      </c>
      <c r="D3470" s="1" t="n">
        <v>128.6</v>
      </c>
      <c r="E3470" s="1" t="n">
        <v>9.47</v>
      </c>
      <c r="F3470" s="1" t="n">
        <f aca="false">6/13</f>
        <v>0.461538461538462</v>
      </c>
    </row>
    <row collapsed="false" customFormat="false" customHeight="false" hidden="false" ht="14.75" outlineLevel="0" r="3471">
      <c r="A3471" s="1" t="s">
        <v>2417</v>
      </c>
      <c r="B3471" s="1" t="s">
        <v>2408</v>
      </c>
      <c r="C3471" s="1" t="s">
        <v>2254</v>
      </c>
      <c r="D3471" s="1" t="n">
        <v>76.4</v>
      </c>
      <c r="E3471" s="1" t="n">
        <v>8.96</v>
      </c>
      <c r="F3471" s="1" t="n">
        <f aca="false">1/13</f>
        <v>0.0769230769230769</v>
      </c>
    </row>
    <row collapsed="false" customFormat="false" customHeight="false" hidden="false" ht="14.75" outlineLevel="0" r="3472">
      <c r="A3472" s="1" t="s">
        <v>2418</v>
      </c>
      <c r="B3472" s="1" t="s">
        <v>2408</v>
      </c>
      <c r="C3472" s="1" t="s">
        <v>2254</v>
      </c>
      <c r="D3472" s="1" t="n">
        <v>84.4</v>
      </c>
      <c r="E3472" s="1" t="n">
        <v>8.68</v>
      </c>
      <c r="F3472" s="1" t="n">
        <f aca="false">5/13</f>
        <v>0.384615384615385</v>
      </c>
    </row>
    <row collapsed="false" customFormat="false" customHeight="false" hidden="false" ht="14.75" outlineLevel="0" r="3473">
      <c r="A3473" s="1" t="s">
        <v>2419</v>
      </c>
      <c r="B3473" s="1" t="s">
        <v>2408</v>
      </c>
      <c r="C3473" s="1" t="s">
        <v>2254</v>
      </c>
      <c r="D3473" s="1" t="n">
        <v>74.6</v>
      </c>
      <c r="E3473" s="1" t="n">
        <v>9.29</v>
      </c>
      <c r="F3473" s="1" t="n">
        <f aca="false">6/13</f>
        <v>0.461538461538462</v>
      </c>
    </row>
    <row collapsed="false" customFormat="false" customHeight="false" hidden="false" ht="14.75" outlineLevel="0" r="3474">
      <c r="A3474" s="1" t="s">
        <v>2420</v>
      </c>
      <c r="B3474" s="1" t="s">
        <v>2421</v>
      </c>
      <c r="C3474" s="1" t="s">
        <v>1787</v>
      </c>
      <c r="D3474" s="1" t="n">
        <v>275.2</v>
      </c>
      <c r="E3474" s="1" t="n">
        <v>15.17</v>
      </c>
      <c r="F3474" s="1" t="n">
        <f aca="false">7/9</f>
        <v>0.777777777777778</v>
      </c>
    </row>
    <row collapsed="false" customFormat="false" customHeight="false" hidden="false" ht="14.75" outlineLevel="0" r="3475">
      <c r="A3475" s="1" t="s">
        <v>2422</v>
      </c>
      <c r="B3475" s="1" t="s">
        <v>2421</v>
      </c>
      <c r="C3475" s="1" t="s">
        <v>1787</v>
      </c>
      <c r="D3475" s="1" t="n">
        <v>203.8</v>
      </c>
      <c r="E3475" s="1" t="n">
        <v>12.16</v>
      </c>
      <c r="F3475" s="1" t="n">
        <f aca="false">7/9</f>
        <v>0.777777777777778</v>
      </c>
    </row>
    <row collapsed="false" customFormat="false" customHeight="false" hidden="false" ht="14.75" outlineLevel="0" r="3476">
      <c r="A3476" s="1" t="s">
        <v>2423</v>
      </c>
      <c r="B3476" s="1" t="s">
        <v>2421</v>
      </c>
      <c r="C3476" s="1" t="s">
        <v>1787</v>
      </c>
      <c r="D3476" s="1" t="n">
        <v>257.6</v>
      </c>
      <c r="E3476" s="1" t="n">
        <v>13.29</v>
      </c>
      <c r="F3476" s="1" t="n">
        <f aca="false">7/8</f>
        <v>0.875</v>
      </c>
    </row>
    <row collapsed="false" customFormat="false" customHeight="false" hidden="false" ht="14.75" outlineLevel="0" r="3477">
      <c r="A3477" s="1" t="s">
        <v>2424</v>
      </c>
      <c r="B3477" s="1" t="s">
        <v>2421</v>
      </c>
      <c r="C3477" s="1" t="s">
        <v>1787</v>
      </c>
      <c r="D3477" s="1" t="n">
        <v>174.1</v>
      </c>
      <c r="E3477" s="1" t="n">
        <v>11.93</v>
      </c>
      <c r="F3477" s="1" t="n">
        <f aca="false">6/8</f>
        <v>0.75</v>
      </c>
    </row>
    <row collapsed="false" customFormat="false" customHeight="false" hidden="false" ht="14.75" outlineLevel="0" r="3478">
      <c r="A3478" s="1" t="s">
        <v>2425</v>
      </c>
      <c r="B3478" s="1" t="s">
        <v>2421</v>
      </c>
      <c r="C3478" s="1" t="s">
        <v>1787</v>
      </c>
      <c r="D3478" s="1" t="n">
        <v>182.4</v>
      </c>
      <c r="E3478" s="1" t="n">
        <v>13.15</v>
      </c>
      <c r="F3478" s="1" t="n">
        <f aca="false">8/7</f>
        <v>1.14285714285714</v>
      </c>
    </row>
    <row collapsed="false" customFormat="false" customHeight="false" hidden="false" ht="14.75" outlineLevel="0" r="3479">
      <c r="A3479" s="1" t="s">
        <v>2426</v>
      </c>
      <c r="B3479" s="1" t="s">
        <v>2421</v>
      </c>
      <c r="C3479" s="1" t="s">
        <v>1787</v>
      </c>
      <c r="D3479" s="1" t="n">
        <v>67.7</v>
      </c>
      <c r="E3479" s="1" t="n">
        <v>7.08</v>
      </c>
      <c r="F3479" s="1" t="n">
        <f aca="false">2/7</f>
        <v>0.285714285714286</v>
      </c>
    </row>
    <row collapsed="false" customFormat="false" customHeight="false" hidden="false" ht="14.75" outlineLevel="0" r="3480">
      <c r="A3480" s="1" t="s">
        <v>2427</v>
      </c>
      <c r="B3480" s="1" t="s">
        <v>2421</v>
      </c>
      <c r="C3480" s="1" t="s">
        <v>1787</v>
      </c>
      <c r="D3480" s="1" t="n">
        <v>88.9</v>
      </c>
      <c r="E3480" s="1" t="n">
        <v>10.74</v>
      </c>
      <c r="F3480" s="1" t="n">
        <f aca="false">6/7</f>
        <v>0.857142857142857</v>
      </c>
    </row>
    <row collapsed="false" customFormat="false" customHeight="false" hidden="false" ht="14.75" outlineLevel="0" r="3481">
      <c r="A3481" s="1" t="s">
        <v>2428</v>
      </c>
      <c r="B3481" s="1" t="s">
        <v>2421</v>
      </c>
      <c r="C3481" s="1" t="s">
        <v>1787</v>
      </c>
      <c r="D3481" s="1" t="n">
        <v>32.1</v>
      </c>
      <c r="E3481" s="1" t="n">
        <v>4.38</v>
      </c>
      <c r="F3481" s="1" t="n">
        <v>0</v>
      </c>
    </row>
    <row collapsed="false" customFormat="false" customHeight="false" hidden="false" ht="14.75" outlineLevel="0" r="3482">
      <c r="A3482" s="1" t="s">
        <v>2429</v>
      </c>
      <c r="B3482" s="1" t="s">
        <v>2430</v>
      </c>
      <c r="C3482" s="1" t="s">
        <v>2055</v>
      </c>
      <c r="D3482" s="1" t="n">
        <v>282.8</v>
      </c>
      <c r="E3482" s="1" t="n">
        <v>15.89</v>
      </c>
      <c r="F3482" s="1" t="n">
        <f aca="false">23/9</f>
        <v>2.55555555555556</v>
      </c>
    </row>
    <row collapsed="false" customFormat="false" customHeight="false" hidden="false" ht="14.75" outlineLevel="0" r="3483">
      <c r="A3483" s="1" t="s">
        <v>2431</v>
      </c>
      <c r="B3483" s="1" t="s">
        <v>2430</v>
      </c>
      <c r="C3483" s="1" t="s">
        <v>2055</v>
      </c>
      <c r="D3483" s="1" t="n">
        <v>237.9</v>
      </c>
      <c r="E3483" s="1" t="n">
        <v>15.79</v>
      </c>
      <c r="F3483" s="1" t="n">
        <f aca="false">20/7</f>
        <v>2.85714285714286</v>
      </c>
    </row>
    <row collapsed="false" customFormat="false" customHeight="false" hidden="false" ht="14.75" outlineLevel="0" r="3484">
      <c r="A3484" s="1" t="s">
        <v>950</v>
      </c>
      <c r="B3484" s="1" t="s">
        <v>2430</v>
      </c>
      <c r="C3484" s="1" t="s">
        <v>2055</v>
      </c>
      <c r="D3484" s="1" t="n">
        <v>290.7</v>
      </c>
      <c r="E3484" s="1" t="n">
        <v>16.78</v>
      </c>
      <c r="F3484" s="1" t="n">
        <f aca="false">13/7</f>
        <v>1.85714285714286</v>
      </c>
    </row>
    <row collapsed="false" customFormat="false" customHeight="false" hidden="false" ht="14.75" outlineLevel="0" r="3485">
      <c r="A3485" s="1" t="s">
        <v>1077</v>
      </c>
      <c r="B3485" s="1" t="s">
        <v>2430</v>
      </c>
      <c r="C3485" s="1" t="s">
        <v>2055</v>
      </c>
      <c r="D3485" s="1" t="n">
        <v>290</v>
      </c>
      <c r="E3485" s="1" t="n">
        <v>15.3</v>
      </c>
      <c r="F3485" s="1" t="n">
        <f aca="false">20/6</f>
        <v>3.33333333333333</v>
      </c>
    </row>
    <row collapsed="false" customFormat="false" customHeight="false" hidden="false" ht="14.75" outlineLevel="0" r="3486">
      <c r="A3486" s="1" t="s">
        <v>2349</v>
      </c>
      <c r="B3486" s="1" t="s">
        <v>2430</v>
      </c>
      <c r="C3486" s="1" t="s">
        <v>2055</v>
      </c>
      <c r="D3486" s="1" t="n">
        <v>164.2</v>
      </c>
      <c r="E3486" s="1" t="n">
        <v>12.09</v>
      </c>
      <c r="F3486" s="1" t="n">
        <f aca="false">8/6</f>
        <v>1.33333333333333</v>
      </c>
    </row>
    <row collapsed="false" customFormat="false" customHeight="false" hidden="false" ht="14.75" outlineLevel="0" r="3487">
      <c r="A3487" s="1" t="s">
        <v>2432</v>
      </c>
      <c r="B3487" s="1" t="s">
        <v>2430</v>
      </c>
      <c r="C3487" s="1" t="s">
        <v>2055</v>
      </c>
      <c r="D3487" s="1" t="n">
        <v>231.7</v>
      </c>
      <c r="E3487" s="1" t="n">
        <v>15.09</v>
      </c>
      <c r="F3487" s="1" t="n">
        <f aca="false">9/6</f>
        <v>1.5</v>
      </c>
    </row>
    <row collapsed="false" customFormat="false" customHeight="false" hidden="false" ht="14.75" outlineLevel="0" r="3488">
      <c r="A3488" s="1" t="s">
        <v>2071</v>
      </c>
      <c r="B3488" s="1" t="s">
        <v>2430</v>
      </c>
      <c r="C3488" s="1" t="s">
        <v>2055</v>
      </c>
      <c r="D3488" s="1" t="n">
        <v>237.1</v>
      </c>
      <c r="E3488" s="1" t="n">
        <v>15.47</v>
      </c>
      <c r="F3488" s="1" t="n">
        <f aca="false">17/7</f>
        <v>2.42857142857143</v>
      </c>
    </row>
    <row collapsed="false" customFormat="false" customHeight="false" hidden="false" ht="14.75" outlineLevel="0" r="3489">
      <c r="A3489" s="1" t="s">
        <v>1078</v>
      </c>
      <c r="B3489" s="1" t="s">
        <v>2430</v>
      </c>
      <c r="C3489" s="1" t="s">
        <v>2055</v>
      </c>
      <c r="D3489" s="1" t="n">
        <v>158.6</v>
      </c>
      <c r="E3489" s="1" t="n">
        <v>13.04</v>
      </c>
      <c r="F3489" s="1" t="n">
        <f aca="false">11/7</f>
        <v>1.57142857142857</v>
      </c>
    </row>
    <row collapsed="false" customFormat="false" customHeight="false" hidden="false" ht="14.75" outlineLevel="0" r="3490">
      <c r="A3490" s="1" t="s">
        <v>1003</v>
      </c>
      <c r="B3490" s="1" t="s">
        <v>2430</v>
      </c>
      <c r="C3490" s="1" t="s">
        <v>2055</v>
      </c>
      <c r="D3490" s="1" t="n">
        <v>135</v>
      </c>
      <c r="E3490" s="1" t="n">
        <v>10.81</v>
      </c>
      <c r="F3490" s="1" t="n">
        <v>1.5</v>
      </c>
    </row>
    <row collapsed="false" customFormat="false" customHeight="false" hidden="false" ht="14.75" outlineLevel="0" r="3491">
      <c r="A3491" s="1" t="s">
        <v>2433</v>
      </c>
      <c r="B3491" s="1" t="s">
        <v>2430</v>
      </c>
      <c r="C3491" s="1" t="s">
        <v>2055</v>
      </c>
      <c r="D3491" s="1" t="n">
        <v>124</v>
      </c>
      <c r="E3491" s="1" t="n">
        <v>10.33</v>
      </c>
      <c r="F3491" s="1" t="n">
        <f aca="false">7/5</f>
        <v>1.4</v>
      </c>
    </row>
    <row collapsed="false" customFormat="false" customHeight="false" hidden="false" ht="14.75" outlineLevel="0" r="3492">
      <c r="A3492" s="1" t="s">
        <v>2434</v>
      </c>
      <c r="B3492" s="1" t="s">
        <v>2430</v>
      </c>
      <c r="C3492" s="1" t="s">
        <v>2055</v>
      </c>
      <c r="D3492" s="1" t="n">
        <v>110</v>
      </c>
      <c r="E3492" s="1" t="n">
        <v>13.79</v>
      </c>
      <c r="F3492" s="1" t="n">
        <f aca="false">4/6</f>
        <v>0.666666666666667</v>
      </c>
    </row>
    <row collapsed="false" customFormat="false" customHeight="false" hidden="false" ht="14.75" outlineLevel="0" r="3493">
      <c r="A3493" s="1" t="s">
        <v>2435</v>
      </c>
      <c r="B3493" s="1" t="s">
        <v>2430</v>
      </c>
      <c r="C3493" s="1" t="s">
        <v>2055</v>
      </c>
      <c r="D3493" s="1" t="n">
        <v>120</v>
      </c>
      <c r="E3493" s="1" t="n">
        <v>11.18</v>
      </c>
      <c r="F3493" s="1" t="n">
        <f aca="false">4/6</f>
        <v>0.666666666666667</v>
      </c>
    </row>
    <row collapsed="false" customFormat="false" customHeight="false" hidden="false" ht="14.75" outlineLevel="0" r="3494">
      <c r="A3494" s="1" t="s">
        <v>2075</v>
      </c>
      <c r="B3494" s="1" t="s">
        <v>2430</v>
      </c>
      <c r="C3494" s="1" t="s">
        <v>2055</v>
      </c>
      <c r="D3494" s="1" t="n">
        <v>132.5</v>
      </c>
      <c r="E3494" s="1" t="n">
        <v>11.76</v>
      </c>
      <c r="F3494" s="1" t="n">
        <f aca="false">5/6</f>
        <v>0.833333333333333</v>
      </c>
    </row>
    <row collapsed="false" customFormat="false" customHeight="false" hidden="false" ht="14.75" outlineLevel="0" r="3495">
      <c r="A3495" s="1" t="s">
        <v>1648</v>
      </c>
      <c r="B3495" s="1" t="s">
        <v>2436</v>
      </c>
      <c r="C3495" s="1" t="s">
        <v>2254</v>
      </c>
      <c r="D3495" s="1" t="n">
        <v>382.5</v>
      </c>
      <c r="E3495" s="1" t="n">
        <v>21.8</v>
      </c>
      <c r="F3495" s="1" t="n">
        <f aca="false">47/12</f>
        <v>3.91666666666667</v>
      </c>
    </row>
    <row collapsed="false" customFormat="false" customHeight="false" hidden="false" ht="14.75" outlineLevel="0" r="3496">
      <c r="A3496" s="1" t="s">
        <v>789</v>
      </c>
      <c r="B3496" s="1" t="s">
        <v>2436</v>
      </c>
      <c r="C3496" s="1" t="s">
        <v>2254</v>
      </c>
      <c r="D3496" s="1" t="n">
        <v>418.8</v>
      </c>
      <c r="E3496" s="1" t="n">
        <v>22.57</v>
      </c>
      <c r="F3496" s="1" t="n">
        <f aca="false">49/12</f>
        <v>4.08333333333333</v>
      </c>
    </row>
    <row collapsed="false" customFormat="false" customHeight="false" hidden="false" ht="14.75" outlineLevel="0" r="3497">
      <c r="A3497" s="1" t="s">
        <v>22</v>
      </c>
      <c r="B3497" s="1" t="s">
        <v>2436</v>
      </c>
      <c r="C3497" s="1" t="s">
        <v>2254</v>
      </c>
      <c r="D3497" s="1" t="n">
        <v>360</v>
      </c>
      <c r="E3497" s="1" t="n">
        <v>21.53</v>
      </c>
      <c r="F3497" s="1" t="n">
        <f aca="false">43/12</f>
        <v>3.58333333333333</v>
      </c>
    </row>
    <row collapsed="false" customFormat="false" customHeight="false" hidden="false" ht="14.75" outlineLevel="0" r="3498">
      <c r="A3498" s="1" t="s">
        <v>791</v>
      </c>
      <c r="B3498" s="1" t="s">
        <v>2436</v>
      </c>
      <c r="C3498" s="1" t="s">
        <v>2254</v>
      </c>
      <c r="D3498" s="1" t="n">
        <v>290.4</v>
      </c>
      <c r="E3498" s="1" t="n">
        <v>18.59</v>
      </c>
      <c r="F3498" s="1" t="n">
        <f aca="false">40/12</f>
        <v>3.33333333333333</v>
      </c>
    </row>
    <row collapsed="false" customFormat="false" customHeight="false" hidden="false" ht="14.75" outlineLevel="0" r="3499">
      <c r="A3499" s="1" t="s">
        <v>2013</v>
      </c>
      <c r="B3499" s="1" t="s">
        <v>2436</v>
      </c>
      <c r="C3499" s="1" t="s">
        <v>2254</v>
      </c>
      <c r="D3499" s="1" t="n">
        <v>220</v>
      </c>
      <c r="E3499" s="1" t="n">
        <v>16.5</v>
      </c>
      <c r="F3499" s="1" t="n">
        <f aca="false">29/11</f>
        <v>2.63636363636364</v>
      </c>
    </row>
    <row collapsed="false" customFormat="false" customHeight="false" hidden="false" ht="14.75" outlineLevel="0" r="3500">
      <c r="A3500" s="1" t="s">
        <v>792</v>
      </c>
      <c r="B3500" s="1" t="s">
        <v>2436</v>
      </c>
      <c r="C3500" s="1" t="s">
        <v>2254</v>
      </c>
      <c r="D3500" s="1" t="n">
        <v>264.1</v>
      </c>
      <c r="E3500" s="1" t="n">
        <v>18.11</v>
      </c>
      <c r="F3500" s="1" t="n">
        <f aca="false">26/11</f>
        <v>2.36363636363636</v>
      </c>
    </row>
    <row collapsed="false" customFormat="false" customHeight="false" hidden="false" ht="14.75" outlineLevel="0" r="3501">
      <c r="A3501" s="1" t="s">
        <v>2437</v>
      </c>
      <c r="B3501" s="1" t="s">
        <v>2436</v>
      </c>
      <c r="C3501" s="1" t="s">
        <v>2254</v>
      </c>
      <c r="D3501" s="1" t="n">
        <v>308.1</v>
      </c>
      <c r="E3501" s="1" t="n">
        <v>18.36</v>
      </c>
      <c r="F3501" s="1" t="n">
        <f aca="false">39/11</f>
        <v>3.54545454545455</v>
      </c>
    </row>
    <row collapsed="false" customFormat="false" customHeight="false" hidden="false" ht="14.75" outlineLevel="0" r="3502">
      <c r="A3502" s="1" t="s">
        <v>25</v>
      </c>
      <c r="B3502" s="1" t="s">
        <v>2436</v>
      </c>
      <c r="C3502" s="1" t="s">
        <v>2254</v>
      </c>
      <c r="D3502" s="1" t="n">
        <v>230</v>
      </c>
      <c r="E3502" s="1" t="n">
        <v>15.44</v>
      </c>
      <c r="F3502" s="1" t="n">
        <f aca="false">15/11</f>
        <v>1.36363636363636</v>
      </c>
    </row>
    <row collapsed="false" customFormat="false" customHeight="false" hidden="false" ht="14.75" outlineLevel="0" r="3503">
      <c r="A3503" s="1" t="s">
        <v>629</v>
      </c>
      <c r="B3503" s="1" t="s">
        <v>2436</v>
      </c>
      <c r="C3503" s="1" t="s">
        <v>2254</v>
      </c>
      <c r="D3503" s="1" t="n">
        <v>234.5</v>
      </c>
      <c r="E3503" s="1" t="n">
        <v>15.27</v>
      </c>
      <c r="F3503" s="1" t="n">
        <v>1.8</v>
      </c>
    </row>
    <row collapsed="false" customFormat="false" customHeight="false" hidden="false" ht="14.75" outlineLevel="0" r="3504">
      <c r="A3504" s="1" t="s">
        <v>2438</v>
      </c>
      <c r="B3504" s="1" t="s">
        <v>2436</v>
      </c>
      <c r="C3504" s="1" t="s">
        <v>2254</v>
      </c>
      <c r="D3504" s="1" t="n">
        <v>211.8</v>
      </c>
      <c r="E3504" s="1" t="n">
        <v>15</v>
      </c>
      <c r="F3504" s="1" t="n">
        <v>2.8</v>
      </c>
    </row>
    <row collapsed="false" customFormat="false" customHeight="false" hidden="false" ht="14.75" outlineLevel="0" r="3505">
      <c r="A3505" s="1" t="s">
        <v>794</v>
      </c>
      <c r="B3505" s="1" t="s">
        <v>2436</v>
      </c>
      <c r="C3505" s="1" t="s">
        <v>2254</v>
      </c>
      <c r="D3505" s="1" t="n">
        <v>205.5</v>
      </c>
      <c r="E3505" s="1" t="n">
        <v>14.45</v>
      </c>
      <c r="F3505" s="1" t="n">
        <v>2.2</v>
      </c>
    </row>
    <row collapsed="false" customFormat="false" customHeight="false" hidden="false" ht="14.75" outlineLevel="0" r="3506">
      <c r="A3506" s="1" t="s">
        <v>24</v>
      </c>
      <c r="B3506" s="1" t="s">
        <v>2436</v>
      </c>
      <c r="C3506" s="1" t="s">
        <v>2254</v>
      </c>
      <c r="D3506" s="1" t="n">
        <v>231.5</v>
      </c>
      <c r="E3506" s="1" t="n">
        <v>16.19</v>
      </c>
      <c r="F3506" s="1" t="n">
        <v>1.4</v>
      </c>
    </row>
    <row collapsed="false" customFormat="false" customHeight="false" hidden="false" ht="14.75" outlineLevel="0" r="3507">
      <c r="A3507" s="1" t="s">
        <v>793</v>
      </c>
      <c r="B3507" s="1" t="s">
        <v>2436</v>
      </c>
      <c r="C3507" s="1" t="s">
        <v>2254</v>
      </c>
      <c r="D3507" s="1" t="n">
        <v>231.5</v>
      </c>
      <c r="E3507" s="1" t="n">
        <v>17.26</v>
      </c>
      <c r="F3507" s="1" t="n">
        <v>1.4</v>
      </c>
    </row>
    <row collapsed="false" customFormat="false" customHeight="false" hidden="false" ht="14.75" outlineLevel="0" r="3508">
      <c r="A3508" s="1" t="s">
        <v>2439</v>
      </c>
      <c r="B3508" s="1" t="s">
        <v>2436</v>
      </c>
      <c r="C3508" s="1" t="s">
        <v>2254</v>
      </c>
      <c r="D3508" s="1" t="n">
        <v>166.5</v>
      </c>
      <c r="E3508" s="1" t="n">
        <v>14.06</v>
      </c>
      <c r="F3508" s="1" t="n">
        <v>1.3</v>
      </c>
    </row>
    <row collapsed="false" customFormat="false" customHeight="false" hidden="false" ht="14.75" outlineLevel="0" r="3509">
      <c r="A3509" s="1" t="s">
        <v>2440</v>
      </c>
      <c r="B3509" s="1" t="s">
        <v>2436</v>
      </c>
      <c r="C3509" s="1" t="s">
        <v>2254</v>
      </c>
      <c r="D3509" s="1" t="n">
        <v>180</v>
      </c>
      <c r="E3509" s="1" t="n">
        <v>15.48</v>
      </c>
      <c r="F3509" s="1" t="n">
        <v>1.1</v>
      </c>
    </row>
    <row collapsed="false" customFormat="false" customHeight="false" hidden="false" ht="14.75" outlineLevel="0" r="3510">
      <c r="A3510" s="1" t="s">
        <v>628</v>
      </c>
      <c r="B3510" s="1" t="s">
        <v>2436</v>
      </c>
      <c r="C3510" s="1" t="s">
        <v>2254</v>
      </c>
      <c r="D3510" s="1" t="n">
        <v>206.5</v>
      </c>
      <c r="E3510" s="1" t="n">
        <v>15.93</v>
      </c>
      <c r="F3510" s="1" t="n">
        <v>1.8</v>
      </c>
    </row>
    <row collapsed="false" customFormat="false" customHeight="false" hidden="false" ht="14.75" outlineLevel="0" r="3511">
      <c r="A3511" s="1" t="s">
        <v>1649</v>
      </c>
      <c r="B3511" s="1" t="s">
        <v>2436</v>
      </c>
      <c r="C3511" s="1" t="s">
        <v>2254</v>
      </c>
      <c r="D3511" s="1" t="n">
        <v>62</v>
      </c>
      <c r="E3511" s="1" t="n">
        <v>6.58</v>
      </c>
      <c r="F3511" s="1" t="n">
        <v>0.7</v>
      </c>
    </row>
    <row collapsed="false" customFormat="false" customHeight="false" hidden="false" ht="14.75" outlineLevel="0" r="3512">
      <c r="A3512" s="1" t="s">
        <v>2441</v>
      </c>
      <c r="B3512" s="1" t="s">
        <v>2436</v>
      </c>
      <c r="C3512" s="1" t="s">
        <v>2254</v>
      </c>
      <c r="D3512" s="1" t="n">
        <v>130</v>
      </c>
      <c r="E3512" s="1" t="n">
        <v>12.71</v>
      </c>
      <c r="F3512" s="1" t="n">
        <v>1.1</v>
      </c>
    </row>
    <row collapsed="false" customFormat="false" customHeight="false" hidden="false" ht="14.75" outlineLevel="0" r="3513">
      <c r="A3513" s="1" t="s">
        <v>2442</v>
      </c>
      <c r="B3513" s="1" t="s">
        <v>2443</v>
      </c>
      <c r="C3513" s="1" t="s">
        <v>2254</v>
      </c>
      <c r="D3513" s="1" t="n">
        <v>438.6</v>
      </c>
      <c r="E3513" s="1" t="n">
        <v>19.66</v>
      </c>
      <c r="F3513" s="1" t="n">
        <f aca="false">35/11</f>
        <v>3.18181818181818</v>
      </c>
    </row>
    <row collapsed="false" customFormat="false" customHeight="false" hidden="false" ht="14.75" outlineLevel="0" r="3514">
      <c r="A3514" s="1" t="s">
        <v>2444</v>
      </c>
      <c r="B3514" s="1" t="s">
        <v>2443</v>
      </c>
      <c r="C3514" s="1" t="s">
        <v>2254</v>
      </c>
      <c r="D3514" s="1" t="n">
        <v>245</v>
      </c>
      <c r="E3514" s="1" t="n">
        <v>14.2</v>
      </c>
      <c r="F3514" s="1" t="n">
        <f aca="false">7/11</f>
        <v>0.636363636363636</v>
      </c>
    </row>
    <row collapsed="false" customFormat="false" customHeight="false" hidden="false" ht="14.75" outlineLevel="0" r="3515">
      <c r="A3515" s="1" t="s">
        <v>1799</v>
      </c>
      <c r="B3515" s="1" t="s">
        <v>2443</v>
      </c>
      <c r="C3515" s="1" t="s">
        <v>2254</v>
      </c>
      <c r="D3515" s="1" t="n">
        <v>240.5</v>
      </c>
      <c r="E3515" s="1" t="n">
        <v>15.06</v>
      </c>
      <c r="F3515" s="1" t="n">
        <f aca="false">10/11</f>
        <v>0.909090909090909</v>
      </c>
    </row>
    <row collapsed="false" customFormat="false" customHeight="false" hidden="false" ht="14.75" outlineLevel="0" r="3516">
      <c r="A3516" s="1" t="s">
        <v>2445</v>
      </c>
      <c r="B3516" s="1" t="s">
        <v>2443</v>
      </c>
      <c r="C3516" s="1" t="s">
        <v>2254</v>
      </c>
      <c r="D3516" s="1" t="n">
        <v>226.8</v>
      </c>
      <c r="E3516" s="1" t="n">
        <v>14.69</v>
      </c>
      <c r="F3516" s="1" t="n">
        <f aca="false">14/11</f>
        <v>1.27272727272727</v>
      </c>
    </row>
    <row collapsed="false" customFormat="false" customHeight="false" hidden="false" ht="14.75" outlineLevel="0" r="3517">
      <c r="A3517" s="1" t="s">
        <v>2446</v>
      </c>
      <c r="B3517" s="1" t="s">
        <v>2443</v>
      </c>
      <c r="C3517" s="1" t="s">
        <v>2254</v>
      </c>
      <c r="D3517" s="1" t="n">
        <v>217.2</v>
      </c>
      <c r="E3517" s="1" t="n">
        <v>14.59</v>
      </c>
      <c r="F3517" s="1" t="n">
        <f aca="false">10/9</f>
        <v>1.11111111111111</v>
      </c>
    </row>
    <row collapsed="false" customFormat="false" customHeight="false" hidden="false" ht="14.75" outlineLevel="0" r="3518">
      <c r="A3518" s="1" t="s">
        <v>2447</v>
      </c>
      <c r="B3518" s="1" t="s">
        <v>2443</v>
      </c>
      <c r="C3518" s="1" t="s">
        <v>2254</v>
      </c>
      <c r="D3518" s="1" t="n">
        <v>172.2</v>
      </c>
      <c r="E3518" s="1" t="n">
        <v>10.07</v>
      </c>
      <c r="F3518" s="1" t="n">
        <f aca="false">8/9</f>
        <v>0.888888888888889</v>
      </c>
    </row>
    <row collapsed="false" customFormat="false" customHeight="false" hidden="false" ht="14.75" outlineLevel="0" r="3519">
      <c r="A3519" s="1" t="s">
        <v>2448</v>
      </c>
      <c r="B3519" s="1" t="s">
        <v>2443</v>
      </c>
      <c r="C3519" s="1" t="s">
        <v>2254</v>
      </c>
      <c r="D3519" s="1" t="n">
        <v>262.2</v>
      </c>
      <c r="E3519" s="1" t="n">
        <v>15.24</v>
      </c>
      <c r="F3519" s="1" t="n">
        <f aca="false">10/9</f>
        <v>1.11111111111111</v>
      </c>
    </row>
    <row collapsed="false" customFormat="false" customHeight="false" hidden="false" ht="14.75" outlineLevel="0" r="3520">
      <c r="A3520" s="1" t="s">
        <v>2449</v>
      </c>
      <c r="B3520" s="1" t="s">
        <v>2443</v>
      </c>
      <c r="C3520" s="1" t="s">
        <v>2254</v>
      </c>
      <c r="D3520" s="1" t="n">
        <v>225.6</v>
      </c>
      <c r="E3520" s="1" t="n">
        <v>12.56</v>
      </c>
      <c r="F3520" s="1" t="n">
        <v>1</v>
      </c>
    </row>
    <row collapsed="false" customFormat="false" customHeight="false" hidden="false" ht="14.75" outlineLevel="0" r="3521">
      <c r="A3521" s="1" t="s">
        <v>2450</v>
      </c>
      <c r="B3521" s="1" t="s">
        <v>2443</v>
      </c>
      <c r="C3521" s="1" t="s">
        <v>2254</v>
      </c>
      <c r="D3521" s="1" t="n">
        <v>173.8</v>
      </c>
      <c r="E3521" s="1" t="n">
        <v>12.62</v>
      </c>
      <c r="F3521" s="1" t="n">
        <f aca="false">4/8</f>
        <v>0.5</v>
      </c>
    </row>
    <row collapsed="false" customFormat="false" customHeight="false" hidden="false" ht="14.75" outlineLevel="0" r="3522">
      <c r="A3522" s="1" t="s">
        <v>2451</v>
      </c>
      <c r="B3522" s="1" t="s">
        <v>2443</v>
      </c>
      <c r="C3522" s="1" t="s">
        <v>2254</v>
      </c>
      <c r="D3522" s="1" t="n">
        <v>137.5</v>
      </c>
      <c r="E3522" s="1" t="n">
        <v>9.82</v>
      </c>
      <c r="F3522" s="1" t="n">
        <f aca="false">3/8</f>
        <v>0.375</v>
      </c>
    </row>
    <row collapsed="false" customFormat="false" customHeight="false" hidden="false" ht="14.75" outlineLevel="0" r="3523">
      <c r="A3523" s="1" t="s">
        <v>2452</v>
      </c>
      <c r="B3523" s="1" t="s">
        <v>2443</v>
      </c>
      <c r="C3523" s="1" t="s">
        <v>2254</v>
      </c>
      <c r="D3523" s="1" t="n">
        <v>213.8</v>
      </c>
      <c r="E3523" s="1" t="n">
        <v>15.97</v>
      </c>
      <c r="F3523" s="1" t="n">
        <f aca="false">14/8</f>
        <v>1.75</v>
      </c>
    </row>
    <row collapsed="false" customFormat="false" customHeight="false" hidden="false" ht="14.75" outlineLevel="0" r="3524">
      <c r="A3524" s="1" t="s">
        <v>2453</v>
      </c>
      <c r="B3524" s="1" t="s">
        <v>2443</v>
      </c>
      <c r="C3524" s="1" t="s">
        <v>2254</v>
      </c>
      <c r="D3524" s="1" t="n">
        <v>165</v>
      </c>
      <c r="E3524" s="1" t="n">
        <v>12.18</v>
      </c>
      <c r="F3524" s="1" t="n">
        <f aca="false">4/8</f>
        <v>0.5</v>
      </c>
    </row>
    <row collapsed="false" customFormat="false" customHeight="false" hidden="false" ht="14.75" outlineLevel="0" r="3525">
      <c r="A3525" s="1" t="s">
        <v>2454</v>
      </c>
      <c r="B3525" s="1" t="s">
        <v>2443</v>
      </c>
      <c r="C3525" s="1" t="s">
        <v>2254</v>
      </c>
      <c r="D3525" s="1" t="n">
        <v>162.5</v>
      </c>
      <c r="E3525" s="1" t="n">
        <v>11.45</v>
      </c>
      <c r="F3525" s="1" t="n">
        <f aca="false">4/8</f>
        <v>0.5</v>
      </c>
    </row>
    <row collapsed="false" customFormat="false" customHeight="false" hidden="false" ht="14.75" outlineLevel="0" r="3526">
      <c r="A3526" s="1" t="s">
        <v>2455</v>
      </c>
      <c r="B3526" s="1" t="s">
        <v>2443</v>
      </c>
      <c r="C3526" s="1" t="s">
        <v>2254</v>
      </c>
      <c r="D3526" s="1" t="n">
        <v>157.5</v>
      </c>
      <c r="E3526" s="1" t="n">
        <v>10.81</v>
      </c>
      <c r="F3526" s="1" t="n">
        <f aca="false">7/8</f>
        <v>0.875</v>
      </c>
    </row>
    <row collapsed="false" customFormat="false" customHeight="false" hidden="false" ht="14.75" outlineLevel="0" r="3527">
      <c r="A3527" s="1" t="s">
        <v>2456</v>
      </c>
      <c r="B3527" s="1" t="s">
        <v>2443</v>
      </c>
      <c r="C3527" s="1" t="s">
        <v>2254</v>
      </c>
      <c r="D3527" s="1" t="n">
        <v>113.1</v>
      </c>
      <c r="E3527" s="1" t="n">
        <v>8.98</v>
      </c>
      <c r="F3527" s="1" t="n">
        <f aca="false">6/8</f>
        <v>0.75</v>
      </c>
    </row>
    <row collapsed="false" customFormat="false" customHeight="false" hidden="false" ht="14.75" outlineLevel="0" r="3528">
      <c r="A3528" s="1" t="s">
        <v>2457</v>
      </c>
      <c r="B3528" s="1" t="s">
        <v>2443</v>
      </c>
      <c r="C3528" s="1" t="s">
        <v>2254</v>
      </c>
      <c r="D3528" s="1" t="n">
        <v>76.9</v>
      </c>
      <c r="E3528" s="1" t="n">
        <v>7.7</v>
      </c>
      <c r="F3528" s="1" t="n">
        <f aca="false">3/8</f>
        <v>0.375</v>
      </c>
    </row>
    <row collapsed="false" customFormat="false" customHeight="false" hidden="false" ht="14.75" outlineLevel="0" r="3529">
      <c r="A3529" s="1" t="s">
        <v>2458</v>
      </c>
      <c r="B3529" s="1" t="s">
        <v>2443</v>
      </c>
      <c r="C3529" s="1" t="s">
        <v>2254</v>
      </c>
      <c r="D3529" s="1" t="n">
        <v>65</v>
      </c>
      <c r="E3529" s="1" t="n">
        <v>7.34</v>
      </c>
      <c r="F3529" s="1" t="n">
        <f aca="false">2/8</f>
        <v>0.25</v>
      </c>
    </row>
    <row collapsed="false" customFormat="false" customHeight="false" hidden="false" ht="14.75" outlineLevel="0" r="3530">
      <c r="A3530" s="1" t="s">
        <v>2459</v>
      </c>
      <c r="B3530" s="1" t="s">
        <v>2443</v>
      </c>
      <c r="C3530" s="1" t="s">
        <v>2254</v>
      </c>
      <c r="D3530" s="1" t="n">
        <v>61.9</v>
      </c>
      <c r="E3530" s="1" t="n">
        <v>7.19</v>
      </c>
      <c r="F3530" s="1" t="n">
        <f aca="false">1/8</f>
        <v>0.125</v>
      </c>
    </row>
    <row collapsed="false" customFormat="false" customHeight="false" hidden="false" ht="14.75" outlineLevel="0" r="3531">
      <c r="A3531" s="1" t="s">
        <v>2460</v>
      </c>
      <c r="B3531" s="1" t="s">
        <v>2443</v>
      </c>
      <c r="C3531" s="1" t="s">
        <v>2254</v>
      </c>
      <c r="D3531" s="1" t="n">
        <v>56.9</v>
      </c>
      <c r="E3531" s="1" t="n">
        <v>4.56</v>
      </c>
      <c r="F3531" s="1" t="n">
        <f aca="false">4/8</f>
        <v>0.5</v>
      </c>
    </row>
    <row collapsed="false" customFormat="false" customHeight="false" hidden="false" ht="14.75" outlineLevel="0" r="3532">
      <c r="A3532" s="1" t="s">
        <v>2461</v>
      </c>
      <c r="B3532" s="1" t="s">
        <v>2443</v>
      </c>
      <c r="C3532" s="1" t="s">
        <v>2254</v>
      </c>
      <c r="D3532" s="1" t="n">
        <v>48.1</v>
      </c>
      <c r="E3532" s="1" t="n">
        <v>7.83</v>
      </c>
      <c r="F3532" s="1" t="n">
        <f aca="false">1/8</f>
        <v>0.125</v>
      </c>
    </row>
    <row collapsed="false" customFormat="false" customHeight="false" hidden="false" ht="14.75" outlineLevel="0" r="3533">
      <c r="A3533" s="1" t="s">
        <v>2462</v>
      </c>
      <c r="B3533" s="1" t="s">
        <v>2443</v>
      </c>
      <c r="C3533" s="1" t="s">
        <v>2254</v>
      </c>
      <c r="D3533" s="1" t="n">
        <v>55</v>
      </c>
      <c r="E3533" s="1" t="n">
        <v>7</v>
      </c>
      <c r="F3533" s="1" t="n">
        <f aca="false">1/8</f>
        <v>0.125</v>
      </c>
    </row>
    <row collapsed="false" customFormat="false" customHeight="false" hidden="false" ht="14.75" outlineLevel="0" r="3534">
      <c r="A3534" s="1" t="s">
        <v>2463</v>
      </c>
      <c r="B3534" s="1" t="s">
        <v>2443</v>
      </c>
      <c r="C3534" s="1" t="s">
        <v>2254</v>
      </c>
      <c r="D3534" s="1" t="n">
        <v>48.8</v>
      </c>
      <c r="E3534" s="1" t="n">
        <v>5.52</v>
      </c>
      <c r="F3534" s="1" t="n">
        <v>0</v>
      </c>
    </row>
    <row collapsed="false" customFormat="false" customHeight="false" hidden="false" ht="14.75" outlineLevel="0" r="3535">
      <c r="A3535" s="1" t="s">
        <v>1844</v>
      </c>
      <c r="B3535" s="1" t="s">
        <v>2464</v>
      </c>
      <c r="C3535" s="1" t="s">
        <v>2055</v>
      </c>
      <c r="D3535" s="1" t="n">
        <v>428.9</v>
      </c>
      <c r="E3535" s="1" t="n">
        <v>22.19</v>
      </c>
      <c r="F3535" s="1" t="n">
        <f aca="false">55/9</f>
        <v>6.11111111111111</v>
      </c>
    </row>
    <row collapsed="false" customFormat="false" customHeight="false" hidden="false" ht="14.75" outlineLevel="0" r="3536">
      <c r="A3536" s="1" t="s">
        <v>819</v>
      </c>
      <c r="B3536" s="1" t="s">
        <v>2464</v>
      </c>
      <c r="C3536" s="1" t="s">
        <v>2055</v>
      </c>
      <c r="D3536" s="1" t="n">
        <v>351.1</v>
      </c>
      <c r="E3536" s="1" t="n">
        <v>21.22</v>
      </c>
      <c r="F3536" s="1" t="n">
        <f aca="false">37/9</f>
        <v>4.11111111111111</v>
      </c>
    </row>
    <row collapsed="false" customFormat="false" customHeight="false" hidden="false" ht="14.75" outlineLevel="0" r="3537">
      <c r="A3537" s="1" t="s">
        <v>2465</v>
      </c>
      <c r="B3537" s="1" t="s">
        <v>2464</v>
      </c>
      <c r="C3537" s="1" t="s">
        <v>2055</v>
      </c>
      <c r="D3537" s="1" t="n">
        <v>242.9</v>
      </c>
      <c r="E3537" s="1" t="n">
        <v>16.19</v>
      </c>
      <c r="F3537" s="1" t="n">
        <f aca="false">25/7</f>
        <v>3.57142857142857</v>
      </c>
    </row>
    <row collapsed="false" customFormat="false" customHeight="false" hidden="false" ht="14.75" outlineLevel="0" r="3538">
      <c r="A3538" s="1" t="s">
        <v>2466</v>
      </c>
      <c r="B3538" s="1" t="s">
        <v>2464</v>
      </c>
      <c r="C3538" s="1" t="s">
        <v>2055</v>
      </c>
      <c r="D3538" s="1" t="n">
        <v>239.3</v>
      </c>
      <c r="E3538" s="1" t="n">
        <v>16.21</v>
      </c>
      <c r="F3538" s="1" t="n">
        <f aca="false">22/7</f>
        <v>3.14285714285714</v>
      </c>
    </row>
    <row collapsed="false" customFormat="false" customHeight="false" hidden="false" ht="14.75" outlineLevel="0" r="3539">
      <c r="A3539" s="1" t="s">
        <v>2467</v>
      </c>
      <c r="B3539" s="1" t="s">
        <v>2464</v>
      </c>
      <c r="C3539" s="1" t="s">
        <v>2055</v>
      </c>
      <c r="D3539" s="1" t="n">
        <v>207.1</v>
      </c>
      <c r="E3539" s="1" t="n">
        <v>18.43</v>
      </c>
      <c r="F3539" s="1" t="n">
        <f aca="false">23/7</f>
        <v>3.28571428571429</v>
      </c>
    </row>
    <row collapsed="false" customFormat="false" customHeight="false" hidden="false" ht="14.75" outlineLevel="0" r="3540">
      <c r="A3540" s="1" t="s">
        <v>2468</v>
      </c>
      <c r="B3540" s="1" t="s">
        <v>2464</v>
      </c>
      <c r="C3540" s="1" t="s">
        <v>2055</v>
      </c>
      <c r="D3540" s="1" t="n">
        <v>187.9</v>
      </c>
      <c r="E3540" s="1" t="n">
        <v>17.29</v>
      </c>
      <c r="F3540" s="1" t="n">
        <f aca="false">18/7</f>
        <v>2.57142857142857</v>
      </c>
    </row>
    <row collapsed="false" customFormat="false" customHeight="false" hidden="false" ht="14.75" outlineLevel="0" r="3541">
      <c r="A3541" s="1" t="s">
        <v>2469</v>
      </c>
      <c r="B3541" s="1" t="s">
        <v>2464</v>
      </c>
      <c r="C3541" s="1" t="s">
        <v>2055</v>
      </c>
      <c r="D3541" s="1" t="n">
        <v>258.6</v>
      </c>
      <c r="E3541" s="1" t="n">
        <v>17.3</v>
      </c>
      <c r="F3541" s="1" t="n">
        <f aca="false">26/7</f>
        <v>3.71428571428571</v>
      </c>
    </row>
    <row collapsed="false" customFormat="false" customHeight="false" hidden="false" ht="14.75" outlineLevel="0" r="3542">
      <c r="A3542" s="1" t="s">
        <v>2470</v>
      </c>
      <c r="B3542" s="1" t="s">
        <v>2464</v>
      </c>
      <c r="C3542" s="1" t="s">
        <v>2055</v>
      </c>
      <c r="D3542" s="1" t="n">
        <v>167.1</v>
      </c>
      <c r="E3542" s="1" t="n">
        <v>15.68</v>
      </c>
      <c r="F3542" s="1" t="n">
        <f aca="false">14/7</f>
        <v>2</v>
      </c>
    </row>
    <row collapsed="false" customFormat="false" customHeight="false" hidden="false" ht="14.75" outlineLevel="0" r="3543">
      <c r="A3543" s="1" t="s">
        <v>2471</v>
      </c>
      <c r="B3543" s="1" t="s">
        <v>2472</v>
      </c>
      <c r="C3543" s="1" t="s">
        <v>1787</v>
      </c>
      <c r="D3543" s="1" t="n">
        <v>347.2</v>
      </c>
      <c r="E3543" s="1" t="n">
        <v>20.25</v>
      </c>
      <c r="F3543" s="1" t="n">
        <v>3</v>
      </c>
    </row>
    <row collapsed="false" customFormat="false" customHeight="false" hidden="false" ht="14.75" outlineLevel="0" r="3544">
      <c r="A3544" s="1" t="s">
        <v>2473</v>
      </c>
      <c r="B3544" s="1" t="s">
        <v>2472</v>
      </c>
      <c r="C3544" s="1" t="s">
        <v>1787</v>
      </c>
      <c r="D3544" s="1" t="n">
        <v>281.7</v>
      </c>
      <c r="E3544" s="1" t="n">
        <v>15.81</v>
      </c>
      <c r="F3544" s="1" t="n">
        <v>2</v>
      </c>
    </row>
    <row collapsed="false" customFormat="false" customHeight="false" hidden="false" ht="14.75" outlineLevel="0" r="3545">
      <c r="A3545" s="1" t="s">
        <v>1573</v>
      </c>
      <c r="B3545" s="1" t="s">
        <v>2472</v>
      </c>
      <c r="C3545" s="1" t="s">
        <v>1787</v>
      </c>
      <c r="D3545" s="1" t="n">
        <v>283.1</v>
      </c>
      <c r="E3545" s="1" t="n">
        <v>17.47</v>
      </c>
      <c r="F3545" s="1" t="n">
        <f aca="false">18/8</f>
        <v>2.25</v>
      </c>
    </row>
    <row collapsed="false" customFormat="false" customHeight="false" hidden="false" ht="14.75" outlineLevel="0" r="3546">
      <c r="A3546" s="1" t="s">
        <v>2474</v>
      </c>
      <c r="B3546" s="1" t="s">
        <v>2472</v>
      </c>
      <c r="C3546" s="1" t="s">
        <v>1787</v>
      </c>
      <c r="D3546" s="1" t="n">
        <v>351.7</v>
      </c>
      <c r="E3546" s="1" t="n">
        <v>19.76</v>
      </c>
      <c r="F3546" s="1" t="n">
        <f aca="false">22/9</f>
        <v>2.44444444444444</v>
      </c>
    </row>
    <row collapsed="false" customFormat="false" customHeight="false" hidden="false" ht="14.75" outlineLevel="0" r="3547">
      <c r="A3547" s="1" t="s">
        <v>1125</v>
      </c>
      <c r="B3547" s="1" t="s">
        <v>2472</v>
      </c>
      <c r="C3547" s="1" t="s">
        <v>1787</v>
      </c>
      <c r="D3547" s="1" t="n">
        <v>231.2</v>
      </c>
      <c r="E3547" s="1" t="n">
        <v>15.41</v>
      </c>
      <c r="F3547" s="1" t="n">
        <f aca="false">11/8</f>
        <v>1.375</v>
      </c>
    </row>
    <row collapsed="false" customFormat="false" customHeight="false" hidden="false" ht="14.75" outlineLevel="0" r="3548">
      <c r="A3548" s="1" t="s">
        <v>2475</v>
      </c>
      <c r="B3548" s="1" t="s">
        <v>2472</v>
      </c>
      <c r="C3548" s="1" t="s">
        <v>1787</v>
      </c>
      <c r="D3548" s="1" t="n">
        <v>231.9</v>
      </c>
      <c r="E3548" s="1" t="n">
        <v>15.27</v>
      </c>
      <c r="F3548" s="1" t="n">
        <f aca="false">13/8</f>
        <v>1.625</v>
      </c>
    </row>
    <row collapsed="false" customFormat="false" customHeight="false" hidden="false" ht="14.75" outlineLevel="0" r="3549">
      <c r="A3549" s="1" t="s">
        <v>2476</v>
      </c>
      <c r="B3549" s="1" t="s">
        <v>2472</v>
      </c>
      <c r="C3549" s="1" t="s">
        <v>1787</v>
      </c>
      <c r="D3549" s="1" t="n">
        <v>230</v>
      </c>
      <c r="E3549" s="1" t="n">
        <v>17.63</v>
      </c>
      <c r="F3549" s="1" t="n">
        <f aca="false">14/7</f>
        <v>2</v>
      </c>
    </row>
    <row collapsed="false" customFormat="false" customHeight="false" hidden="false" ht="14.75" outlineLevel="0" r="3550">
      <c r="A3550" s="1" t="s">
        <v>2477</v>
      </c>
      <c r="B3550" s="1" t="s">
        <v>2472</v>
      </c>
      <c r="C3550" s="1" t="s">
        <v>1787</v>
      </c>
      <c r="D3550" s="1" t="n">
        <v>213.8</v>
      </c>
      <c r="E3550" s="1" t="n">
        <v>13.87</v>
      </c>
      <c r="F3550" s="1" t="n">
        <f aca="false">16/8</f>
        <v>2</v>
      </c>
    </row>
    <row collapsed="false" customFormat="false" customHeight="false" hidden="false" ht="14.75" outlineLevel="0" r="3551">
      <c r="A3551" s="1" t="s">
        <v>2478</v>
      </c>
      <c r="B3551" s="1" t="s">
        <v>2472</v>
      </c>
      <c r="C3551" s="1" t="s">
        <v>1787</v>
      </c>
      <c r="D3551" s="1" t="n">
        <v>161.7</v>
      </c>
      <c r="E3551" s="1" t="n">
        <v>9.9</v>
      </c>
      <c r="F3551" s="1" t="n">
        <f aca="false">11/6</f>
        <v>1.83333333333333</v>
      </c>
    </row>
    <row collapsed="false" customFormat="false" customHeight="false" hidden="false" ht="14.75" outlineLevel="0" r="3552">
      <c r="A3552" s="1" t="s">
        <v>2479</v>
      </c>
      <c r="B3552" s="1" t="s">
        <v>2472</v>
      </c>
      <c r="C3552" s="1" t="s">
        <v>1787</v>
      </c>
      <c r="D3552" s="1" t="n">
        <v>184.3</v>
      </c>
      <c r="E3552" s="1" t="n">
        <v>14.07</v>
      </c>
      <c r="F3552" s="1" t="n">
        <f aca="false">8/7</f>
        <v>1.14285714285714</v>
      </c>
    </row>
    <row collapsed="false" customFormat="false" customHeight="false" hidden="false" ht="14.75" outlineLevel="0" r="3553">
      <c r="A3553" s="1" t="s">
        <v>2480</v>
      </c>
      <c r="B3553" s="1" t="s">
        <v>2472</v>
      </c>
      <c r="C3553" s="1" t="s">
        <v>1787</v>
      </c>
      <c r="D3553" s="1" t="n">
        <v>87.1</v>
      </c>
      <c r="E3553" s="1" t="n">
        <v>9.22</v>
      </c>
      <c r="F3553" s="1" t="n">
        <f aca="false">2/7</f>
        <v>0.285714285714286</v>
      </c>
    </row>
    <row collapsed="false" customFormat="false" customHeight="false" hidden="false" ht="14.75" outlineLevel="0" r="3554">
      <c r="A3554" s="1" t="s">
        <v>2481</v>
      </c>
      <c r="B3554" s="1" t="s">
        <v>2472</v>
      </c>
      <c r="C3554" s="1" t="s">
        <v>1787</v>
      </c>
      <c r="D3554" s="1" t="n">
        <v>65</v>
      </c>
      <c r="E3554" s="1" t="n">
        <v>8.57</v>
      </c>
      <c r="F3554" s="1" t="n">
        <f aca="false">2/6</f>
        <v>0.333333333333333</v>
      </c>
    </row>
    <row collapsed="false" customFormat="false" customHeight="false" hidden="false" ht="14.75" outlineLevel="0" r="3555">
      <c r="A3555" s="1" t="s">
        <v>2482</v>
      </c>
      <c r="B3555" s="1" t="s">
        <v>2472</v>
      </c>
      <c r="C3555" s="1" t="s">
        <v>1787</v>
      </c>
      <c r="D3555" s="1" t="n">
        <v>40.7</v>
      </c>
      <c r="E3555" s="1" t="n">
        <v>7.81</v>
      </c>
      <c r="F3555" s="1" t="n">
        <f aca="false">2/7</f>
        <v>0.285714285714286</v>
      </c>
    </row>
    <row collapsed="false" customFormat="false" customHeight="false" hidden="false" ht="14.75" outlineLevel="0" r="3556">
      <c r="A3556" s="1" t="s">
        <v>2483</v>
      </c>
      <c r="B3556" s="1" t="s">
        <v>2472</v>
      </c>
      <c r="C3556" s="1" t="s">
        <v>1787</v>
      </c>
      <c r="D3556" s="1" t="n">
        <v>97.1</v>
      </c>
      <c r="E3556" s="1" t="n">
        <v>9.17</v>
      </c>
      <c r="F3556" s="1" t="n">
        <f aca="false">4/7</f>
        <v>0.571428571428571</v>
      </c>
    </row>
    <row collapsed="false" customFormat="false" customHeight="false" hidden="false" ht="14.75" outlineLevel="0" r="3557">
      <c r="A3557" s="1" t="s">
        <v>2484</v>
      </c>
      <c r="B3557" s="1" t="s">
        <v>2472</v>
      </c>
      <c r="C3557" s="1" t="s">
        <v>1787</v>
      </c>
      <c r="D3557" s="1" t="n">
        <v>38.3</v>
      </c>
      <c r="E3557" s="1" t="n">
        <v>10</v>
      </c>
      <c r="F3557" s="1" t="n">
        <f aca="false">1/6</f>
        <v>0.166666666666667</v>
      </c>
    </row>
    <row collapsed="false" customFormat="false" customHeight="false" hidden="false" ht="14.75" outlineLevel="0" r="3558">
      <c r="A3558" s="1" t="s">
        <v>1561</v>
      </c>
      <c r="B3558" s="1" t="s">
        <v>2485</v>
      </c>
      <c r="C3558" s="1" t="s">
        <v>2254</v>
      </c>
      <c r="D3558" s="1" t="n">
        <v>397.5</v>
      </c>
      <c r="E3558" s="1" t="n">
        <v>20.39</v>
      </c>
      <c r="F3558" s="1" t="n">
        <f aca="false">36/8</f>
        <v>4.5</v>
      </c>
    </row>
    <row collapsed="false" customFormat="false" customHeight="false" hidden="false" ht="14.75" outlineLevel="0" r="3559">
      <c r="A3559" s="1" t="s">
        <v>2486</v>
      </c>
      <c r="B3559" s="1" t="s">
        <v>2485</v>
      </c>
      <c r="C3559" s="1" t="s">
        <v>2254</v>
      </c>
      <c r="D3559" s="1" t="n">
        <v>305</v>
      </c>
      <c r="E3559" s="1" t="n">
        <v>17.56</v>
      </c>
      <c r="F3559" s="1" t="n">
        <f aca="false">16/8</f>
        <v>2</v>
      </c>
    </row>
    <row collapsed="false" customFormat="false" customHeight="false" hidden="false" ht="14.75" outlineLevel="0" r="3560">
      <c r="A3560" s="1" t="s">
        <v>1562</v>
      </c>
      <c r="B3560" s="1" t="s">
        <v>2485</v>
      </c>
      <c r="C3560" s="1" t="s">
        <v>2254</v>
      </c>
      <c r="D3560" s="1" t="n">
        <v>233.1</v>
      </c>
      <c r="E3560" s="1" t="n">
        <v>15.27</v>
      </c>
      <c r="F3560" s="1" t="n">
        <v>1</v>
      </c>
    </row>
    <row collapsed="false" customFormat="false" customHeight="false" hidden="false" ht="14.75" outlineLevel="0" r="3561">
      <c r="A3561" s="1" t="s">
        <v>1618</v>
      </c>
      <c r="B3561" s="1" t="s">
        <v>2485</v>
      </c>
      <c r="C3561" s="1" t="s">
        <v>2254</v>
      </c>
      <c r="D3561" s="1" t="n">
        <v>298.8</v>
      </c>
      <c r="E3561" s="1" t="n">
        <v>17.24</v>
      </c>
      <c r="F3561" s="1" t="n">
        <f aca="false">15/8</f>
        <v>1.875</v>
      </c>
    </row>
    <row collapsed="false" customFormat="false" customHeight="false" hidden="false" ht="14.75" outlineLevel="0" r="3562">
      <c r="A3562" s="1" t="s">
        <v>2487</v>
      </c>
      <c r="B3562" s="1" t="s">
        <v>2485</v>
      </c>
      <c r="C3562" s="1" t="s">
        <v>2254</v>
      </c>
      <c r="D3562" s="1" t="n">
        <v>153.8</v>
      </c>
      <c r="E3562" s="1" t="n">
        <v>12.03</v>
      </c>
      <c r="F3562" s="1" t="n">
        <f aca="false">6/8</f>
        <v>0.75</v>
      </c>
    </row>
    <row collapsed="false" customFormat="false" customHeight="false" hidden="false" ht="14.75" outlineLevel="0" r="3563">
      <c r="A3563" s="1" t="s">
        <v>2488</v>
      </c>
      <c r="B3563" s="1" t="s">
        <v>2485</v>
      </c>
      <c r="C3563" s="1" t="s">
        <v>2254</v>
      </c>
      <c r="D3563" s="1" t="n">
        <v>89.4</v>
      </c>
      <c r="E3563" s="1" t="n">
        <v>6.98</v>
      </c>
      <c r="F3563" s="1" t="n">
        <f aca="false">4/8</f>
        <v>0.5</v>
      </c>
    </row>
    <row collapsed="false" customFormat="false" customHeight="false" hidden="false" ht="14.75" outlineLevel="0" r="3564">
      <c r="A3564" s="1" t="s">
        <v>2489</v>
      </c>
      <c r="B3564" s="1" t="s">
        <v>2485</v>
      </c>
      <c r="C3564" s="1" t="s">
        <v>2254</v>
      </c>
      <c r="D3564" s="1" t="n">
        <v>60.7</v>
      </c>
      <c r="E3564" s="1" t="n">
        <v>7.24</v>
      </c>
      <c r="F3564" s="1" t="n">
        <v>0</v>
      </c>
    </row>
    <row collapsed="false" customFormat="false" customHeight="false" hidden="false" ht="14.75" outlineLevel="0" r="3565">
      <c r="A3565" s="1" t="s">
        <v>2490</v>
      </c>
      <c r="B3565" s="1" t="s">
        <v>2485</v>
      </c>
      <c r="C3565" s="1" t="s">
        <v>2254</v>
      </c>
      <c r="D3565" s="1" t="n">
        <v>63.1</v>
      </c>
      <c r="E3565" s="1" t="n">
        <v>7.74</v>
      </c>
      <c r="F3565" s="1" t="n">
        <v>0</v>
      </c>
    </row>
    <row collapsed="false" customFormat="false" customHeight="false" hidden="false" ht="14.75" outlineLevel="0" r="3566">
      <c r="A3566" s="1" t="s">
        <v>2491</v>
      </c>
      <c r="B3566" s="1" t="s">
        <v>2485</v>
      </c>
      <c r="C3566" s="1" t="s">
        <v>2254</v>
      </c>
      <c r="D3566" s="1" t="n">
        <v>73</v>
      </c>
      <c r="E3566" s="1" t="n">
        <v>5.68</v>
      </c>
      <c r="F3566" s="1" t="n">
        <f aca="false">3/8</f>
        <v>0.375</v>
      </c>
    </row>
    <row collapsed="false" customFormat="false" customHeight="false" hidden="false" ht="14.75" outlineLevel="0" r="3567">
      <c r="A3567" s="1" t="s">
        <v>1082</v>
      </c>
      <c r="B3567" s="1" t="s">
        <v>2492</v>
      </c>
      <c r="C3567" s="1" t="s">
        <v>2254</v>
      </c>
      <c r="D3567" s="1" t="n">
        <v>421.5</v>
      </c>
      <c r="E3567" s="1" t="n">
        <v>22.88</v>
      </c>
      <c r="F3567" s="1" t="n">
        <f aca="false">63/13</f>
        <v>4.84615384615385</v>
      </c>
    </row>
    <row collapsed="false" customFormat="false" customHeight="false" hidden="false" ht="14.75" outlineLevel="0" r="3568">
      <c r="A3568" s="1" t="s">
        <v>2493</v>
      </c>
      <c r="B3568" s="1" t="s">
        <v>2492</v>
      </c>
      <c r="C3568" s="1" t="s">
        <v>2254</v>
      </c>
      <c r="D3568" s="1" t="n">
        <v>425.4</v>
      </c>
      <c r="E3568" s="1" t="n">
        <v>22.04</v>
      </c>
      <c r="F3568" s="1" t="n">
        <f aca="false">79/12</f>
        <v>6.58333333333333</v>
      </c>
    </row>
    <row collapsed="false" customFormat="false" customHeight="false" hidden="false" ht="14.75" outlineLevel="0" r="3569">
      <c r="A3569" s="1" t="s">
        <v>364</v>
      </c>
      <c r="B3569" s="1" t="s">
        <v>2492</v>
      </c>
      <c r="C3569" s="1" t="s">
        <v>2254</v>
      </c>
      <c r="D3569" s="1" t="n">
        <v>402.5</v>
      </c>
      <c r="E3569" s="1" t="n">
        <v>20.79</v>
      </c>
      <c r="F3569" s="1" t="n">
        <v>4.2</v>
      </c>
    </row>
    <row collapsed="false" customFormat="false" customHeight="false" hidden="false" ht="14.75" outlineLevel="0" r="3570">
      <c r="A3570" s="1" t="s">
        <v>266</v>
      </c>
      <c r="B3570" s="1" t="s">
        <v>2492</v>
      </c>
      <c r="C3570" s="1" t="s">
        <v>2254</v>
      </c>
      <c r="D3570" s="1" t="n">
        <v>455</v>
      </c>
      <c r="E3570" s="1" t="n">
        <v>22.45</v>
      </c>
      <c r="F3570" s="1" t="n">
        <f aca="false">58/11</f>
        <v>5.27272727272727</v>
      </c>
    </row>
    <row collapsed="false" customFormat="false" customHeight="false" hidden="false" ht="14.75" outlineLevel="0" r="3571">
      <c r="A3571" s="1" t="s">
        <v>275</v>
      </c>
      <c r="B3571" s="1" t="s">
        <v>2492</v>
      </c>
      <c r="C3571" s="1" t="s">
        <v>2254</v>
      </c>
      <c r="D3571" s="1" t="n">
        <v>393.5</v>
      </c>
      <c r="E3571" s="1" t="n">
        <v>21.27</v>
      </c>
      <c r="F3571" s="1" t="n">
        <v>4.1</v>
      </c>
    </row>
    <row collapsed="false" customFormat="false" customHeight="false" hidden="false" ht="14.75" outlineLevel="0" r="3572">
      <c r="A3572" s="1" t="s">
        <v>1326</v>
      </c>
      <c r="B3572" s="1" t="s">
        <v>2492</v>
      </c>
      <c r="C3572" s="1" t="s">
        <v>2254</v>
      </c>
      <c r="D3572" s="1" t="n">
        <v>370</v>
      </c>
      <c r="E3572" s="1" t="n">
        <v>23.09</v>
      </c>
      <c r="F3572" s="1" t="n">
        <v>3.9</v>
      </c>
    </row>
    <row collapsed="false" customFormat="false" customHeight="false" hidden="false" ht="14.75" outlineLevel="0" r="3573">
      <c r="A3573" s="1" t="s">
        <v>2229</v>
      </c>
      <c r="B3573" s="1" t="s">
        <v>2492</v>
      </c>
      <c r="C3573" s="1" t="s">
        <v>2254</v>
      </c>
      <c r="D3573" s="1" t="n">
        <v>243</v>
      </c>
      <c r="E3573" s="1" t="n">
        <v>16.85</v>
      </c>
      <c r="F3573" s="1" t="n">
        <v>1.8</v>
      </c>
    </row>
    <row collapsed="false" customFormat="false" customHeight="false" hidden="false" ht="14.75" outlineLevel="0" r="3574">
      <c r="A3574" s="1" t="s">
        <v>1400</v>
      </c>
      <c r="B3574" s="1" t="s">
        <v>2492</v>
      </c>
      <c r="C3574" s="1" t="s">
        <v>2254</v>
      </c>
      <c r="D3574" s="1" t="n">
        <v>287.5</v>
      </c>
      <c r="E3574" s="1" t="n">
        <v>18.45</v>
      </c>
      <c r="F3574" s="1" t="n">
        <v>2.1</v>
      </c>
    </row>
    <row collapsed="false" customFormat="false" customHeight="false" hidden="false" ht="14.75" outlineLevel="0" r="3575">
      <c r="A3575" s="1" t="s">
        <v>253</v>
      </c>
      <c r="B3575" s="1" t="s">
        <v>2492</v>
      </c>
      <c r="C3575" s="1" t="s">
        <v>2254</v>
      </c>
      <c r="D3575" s="1" t="n">
        <v>336</v>
      </c>
      <c r="E3575" s="1" t="n">
        <v>20.05</v>
      </c>
      <c r="F3575" s="1" t="n">
        <v>3.1</v>
      </c>
    </row>
    <row collapsed="false" customFormat="false" customHeight="false" hidden="false" ht="14.75" outlineLevel="0" r="3576">
      <c r="A3576" s="1" t="s">
        <v>2228</v>
      </c>
      <c r="B3576" s="1" t="s">
        <v>2492</v>
      </c>
      <c r="C3576" s="1" t="s">
        <v>2254</v>
      </c>
      <c r="D3576" s="1" t="n">
        <v>275.5</v>
      </c>
      <c r="E3576" s="1" t="n">
        <v>17.68</v>
      </c>
      <c r="F3576" s="1" t="n">
        <v>2.3</v>
      </c>
    </row>
    <row collapsed="false" customFormat="false" customHeight="false" hidden="false" ht="14.75" outlineLevel="0" r="3577">
      <c r="A3577" s="1" t="s">
        <v>293</v>
      </c>
      <c r="B3577" s="1" t="s">
        <v>2492</v>
      </c>
      <c r="C3577" s="1" t="s">
        <v>2254</v>
      </c>
      <c r="D3577" s="1" t="n">
        <v>214.5</v>
      </c>
      <c r="E3577" s="1" t="n">
        <v>15.93</v>
      </c>
      <c r="F3577" s="1" t="n">
        <v>2</v>
      </c>
    </row>
    <row collapsed="false" customFormat="false" customHeight="false" hidden="false" ht="14.75" outlineLevel="0" r="3578">
      <c r="A3578" s="1" t="s">
        <v>1466</v>
      </c>
      <c r="B3578" s="1" t="s">
        <v>2492</v>
      </c>
      <c r="C3578" s="1" t="s">
        <v>2254</v>
      </c>
      <c r="D3578" s="1" t="n">
        <v>255</v>
      </c>
      <c r="E3578" s="1" t="n">
        <v>18.6</v>
      </c>
      <c r="F3578" s="1" t="n">
        <v>1.6</v>
      </c>
    </row>
    <row collapsed="false" customFormat="false" customHeight="false" hidden="false" ht="14.75" outlineLevel="0" r="3579">
      <c r="A3579" s="1" t="s">
        <v>251</v>
      </c>
      <c r="B3579" s="1" t="s">
        <v>2492</v>
      </c>
      <c r="C3579" s="1" t="s">
        <v>2254</v>
      </c>
      <c r="D3579" s="1" t="n">
        <v>258.5</v>
      </c>
      <c r="E3579" s="1" t="n">
        <v>15.69</v>
      </c>
      <c r="F3579" s="1" t="n">
        <v>1.8</v>
      </c>
    </row>
    <row collapsed="false" customFormat="false" customHeight="false" hidden="false" ht="14.75" outlineLevel="0" r="3580">
      <c r="A3580" s="1" t="s">
        <v>1821</v>
      </c>
      <c r="B3580" s="1" t="s">
        <v>2492</v>
      </c>
      <c r="C3580" s="1" t="s">
        <v>2254</v>
      </c>
      <c r="D3580" s="1" t="n">
        <v>228</v>
      </c>
      <c r="E3580" s="1" t="n">
        <v>15.78</v>
      </c>
      <c r="F3580" s="1" t="n">
        <v>3</v>
      </c>
    </row>
    <row collapsed="false" customFormat="false" customHeight="false" hidden="false" ht="14.75" outlineLevel="0" r="3581">
      <c r="A3581" s="1" t="s">
        <v>1305</v>
      </c>
      <c r="B3581" s="1" t="s">
        <v>2492</v>
      </c>
      <c r="C3581" s="1" t="s">
        <v>2254</v>
      </c>
      <c r="D3581" s="1" t="n">
        <v>247.5</v>
      </c>
      <c r="E3581" s="1" t="n">
        <v>14.85</v>
      </c>
      <c r="F3581" s="1" t="n">
        <v>1.7</v>
      </c>
    </row>
    <row collapsed="false" customFormat="false" customHeight="false" hidden="false" ht="14.75" outlineLevel="0" r="3582">
      <c r="A3582" s="1" t="s">
        <v>2494</v>
      </c>
      <c r="B3582" s="1" t="s">
        <v>2492</v>
      </c>
      <c r="C3582" s="1" t="s">
        <v>2254</v>
      </c>
      <c r="D3582" s="1" t="n">
        <v>197</v>
      </c>
      <c r="E3582" s="1" t="n">
        <v>15.12</v>
      </c>
      <c r="F3582" s="1" t="n">
        <v>2</v>
      </c>
    </row>
    <row collapsed="false" customFormat="false" customHeight="false" hidden="false" ht="14.75" outlineLevel="0" r="3583">
      <c r="A3583" s="1" t="s">
        <v>267</v>
      </c>
      <c r="B3583" s="1" t="s">
        <v>2492</v>
      </c>
      <c r="C3583" s="1" t="s">
        <v>2254</v>
      </c>
      <c r="D3583" s="1" t="n">
        <v>186</v>
      </c>
      <c r="E3583" s="1" t="n">
        <v>12.93</v>
      </c>
      <c r="F3583" s="1" t="n">
        <v>1.2</v>
      </c>
    </row>
    <row collapsed="false" customFormat="false" customHeight="false" hidden="false" ht="14.75" outlineLevel="0" r="3584">
      <c r="A3584" s="1" t="s">
        <v>276</v>
      </c>
      <c r="B3584" s="1" t="s">
        <v>2492</v>
      </c>
      <c r="C3584" s="1" t="s">
        <v>2254</v>
      </c>
      <c r="D3584" s="1" t="n">
        <v>240.5</v>
      </c>
      <c r="E3584" s="1" t="n">
        <v>15.05</v>
      </c>
      <c r="F3584" s="1" t="n">
        <v>2</v>
      </c>
    </row>
    <row collapsed="false" customFormat="false" customHeight="false" hidden="false" ht="14.75" outlineLevel="0" r="3585">
      <c r="A3585" s="1" t="s">
        <v>965</v>
      </c>
      <c r="B3585" s="1" t="s">
        <v>2492</v>
      </c>
      <c r="C3585" s="1" t="s">
        <v>2254</v>
      </c>
      <c r="D3585" s="1" t="n">
        <v>223</v>
      </c>
      <c r="E3585" s="1" t="n">
        <v>12.99</v>
      </c>
      <c r="F3585" s="1" t="n">
        <v>1.6</v>
      </c>
    </row>
    <row collapsed="false" customFormat="false" customHeight="false" hidden="false" ht="14.75" outlineLevel="0" r="3586">
      <c r="A3586" s="1" t="s">
        <v>254</v>
      </c>
      <c r="B3586" s="1" t="s">
        <v>2492</v>
      </c>
      <c r="C3586" s="1" t="s">
        <v>2254</v>
      </c>
      <c r="D3586" s="1" t="n">
        <v>227.5</v>
      </c>
      <c r="E3586" s="1" t="n">
        <v>15.05</v>
      </c>
      <c r="F3586" s="1" t="n">
        <v>1.2</v>
      </c>
    </row>
    <row collapsed="false" customFormat="false" customHeight="false" hidden="false" ht="14.75" outlineLevel="0" r="3587">
      <c r="A3587" s="1" t="s">
        <v>1011</v>
      </c>
      <c r="B3587" s="1" t="s">
        <v>2492</v>
      </c>
      <c r="C3587" s="1" t="s">
        <v>2254</v>
      </c>
      <c r="D3587" s="1" t="n">
        <v>176</v>
      </c>
      <c r="E3587" s="1" t="n">
        <v>12.22</v>
      </c>
      <c r="F3587" s="1" t="n">
        <v>2.1</v>
      </c>
    </row>
    <row collapsed="false" customFormat="false" customHeight="false" hidden="false" ht="14.75" outlineLevel="0" r="3588">
      <c r="A3588" s="1" t="s">
        <v>1467</v>
      </c>
      <c r="B3588" s="1" t="s">
        <v>2492</v>
      </c>
      <c r="C3588" s="1" t="s">
        <v>2254</v>
      </c>
      <c r="D3588" s="1" t="n">
        <v>197</v>
      </c>
      <c r="E3588" s="1" t="n">
        <v>14.15</v>
      </c>
      <c r="F3588" s="1" t="n">
        <v>1.3</v>
      </c>
    </row>
    <row collapsed="false" customFormat="false" customHeight="false" hidden="false" ht="14.75" outlineLevel="0" r="3589">
      <c r="A3589" s="1" t="s">
        <v>2495</v>
      </c>
      <c r="B3589" s="1" t="s">
        <v>2492</v>
      </c>
      <c r="C3589" s="1" t="s">
        <v>2254</v>
      </c>
      <c r="D3589" s="1" t="n">
        <v>117.5</v>
      </c>
      <c r="E3589" s="1" t="n">
        <v>12.41</v>
      </c>
      <c r="F3589" s="1" t="n">
        <v>0.5</v>
      </c>
    </row>
    <row collapsed="false" customFormat="false" customHeight="false" hidden="false" ht="14.75" outlineLevel="0" r="3590">
      <c r="A3590" s="1" t="s">
        <v>2496</v>
      </c>
      <c r="B3590" s="1" t="s">
        <v>2492</v>
      </c>
      <c r="C3590" s="1" t="s">
        <v>2254</v>
      </c>
      <c r="D3590" s="1" t="n">
        <v>77.5</v>
      </c>
      <c r="E3590" s="1" t="n">
        <v>9.5</v>
      </c>
      <c r="F3590" s="1" t="n">
        <v>0.1</v>
      </c>
    </row>
    <row collapsed="false" customFormat="false" customHeight="false" hidden="false" ht="14.75" outlineLevel="0" r="3591">
      <c r="A3591" s="1" t="s">
        <v>1083</v>
      </c>
      <c r="B3591" s="1" t="s">
        <v>2492</v>
      </c>
      <c r="C3591" s="1" t="s">
        <v>2254</v>
      </c>
      <c r="D3591" s="1" t="n">
        <v>225.5</v>
      </c>
      <c r="E3591" s="1" t="n">
        <v>12.94</v>
      </c>
      <c r="F3591" s="1" t="n">
        <v>2</v>
      </c>
    </row>
    <row collapsed="false" customFormat="false" customHeight="false" hidden="false" ht="14.75" outlineLevel="0" r="3592">
      <c r="A3592" s="1" t="s">
        <v>2233</v>
      </c>
      <c r="B3592" s="1" t="s">
        <v>2492</v>
      </c>
      <c r="C3592" s="1" t="s">
        <v>2254</v>
      </c>
      <c r="D3592" s="1" t="n">
        <v>126.5</v>
      </c>
      <c r="E3592" s="1" t="n">
        <v>13.27</v>
      </c>
      <c r="F3592" s="1" t="n">
        <v>0.5</v>
      </c>
    </row>
    <row collapsed="false" customFormat="false" customHeight="false" hidden="false" ht="14.75" outlineLevel="0" r="3593">
      <c r="A3593" s="1" t="s">
        <v>277</v>
      </c>
      <c r="B3593" s="1" t="s">
        <v>2492</v>
      </c>
      <c r="C3593" s="1" t="s">
        <v>2254</v>
      </c>
      <c r="D3593" s="1" t="n">
        <v>92.5</v>
      </c>
      <c r="E3593" s="1" t="n">
        <v>8.37</v>
      </c>
      <c r="F3593" s="1" t="n">
        <v>0.8</v>
      </c>
    </row>
    <row collapsed="false" customFormat="false" customHeight="false" hidden="false" ht="14.75" outlineLevel="0" r="3594">
      <c r="A3594" s="1" t="s">
        <v>1012</v>
      </c>
      <c r="B3594" s="1" t="s">
        <v>2492</v>
      </c>
      <c r="C3594" s="1" t="s">
        <v>2254</v>
      </c>
      <c r="D3594" s="1" t="n">
        <v>102</v>
      </c>
      <c r="E3594" s="1" t="n">
        <v>10.2</v>
      </c>
      <c r="F3594" s="1" t="n">
        <v>0.7</v>
      </c>
    </row>
    <row collapsed="false" customFormat="false" customHeight="false" hidden="false" ht="14.75" outlineLevel="0" r="3595">
      <c r="A3595" s="1" t="s">
        <v>252</v>
      </c>
      <c r="B3595" s="1" t="s">
        <v>2492</v>
      </c>
      <c r="C3595" s="1" t="s">
        <v>2254</v>
      </c>
      <c r="D3595" s="1" t="n">
        <v>114.5</v>
      </c>
      <c r="E3595" s="1" t="n">
        <v>11.25</v>
      </c>
      <c r="F3595" s="1" t="n">
        <v>0.5</v>
      </c>
    </row>
    <row collapsed="false" customFormat="false" customHeight="false" hidden="false" ht="14.75" outlineLevel="0" r="3596">
      <c r="A3596" s="1" t="s">
        <v>966</v>
      </c>
      <c r="B3596" s="1" t="s">
        <v>2492</v>
      </c>
      <c r="C3596" s="1" t="s">
        <v>2254</v>
      </c>
      <c r="D3596" s="1" t="n">
        <v>93</v>
      </c>
      <c r="E3596" s="1" t="n">
        <v>7.36</v>
      </c>
      <c r="F3596" s="1" t="n">
        <v>0.7</v>
      </c>
    </row>
    <row collapsed="false" customFormat="false" customHeight="false" hidden="false" ht="14.75" outlineLevel="0" r="3597">
      <c r="A3597" s="1" t="s">
        <v>2497</v>
      </c>
      <c r="B3597" s="1" t="s">
        <v>2498</v>
      </c>
      <c r="C3597" s="1" t="s">
        <v>2254</v>
      </c>
      <c r="D3597" s="1" t="n">
        <v>438.8</v>
      </c>
      <c r="E3597" s="1" t="n">
        <v>21.71</v>
      </c>
      <c r="F3597" s="1" t="n">
        <f aca="false">41/8</f>
        <v>5.125</v>
      </c>
    </row>
    <row collapsed="false" customFormat="false" customHeight="false" hidden="false" ht="14.75" outlineLevel="0" r="3598">
      <c r="A3598" s="1" t="s">
        <v>2499</v>
      </c>
      <c r="B3598" s="1" t="s">
        <v>2498</v>
      </c>
      <c r="C3598" s="1" t="s">
        <v>2254</v>
      </c>
      <c r="D3598" s="1" t="n">
        <v>291.2</v>
      </c>
      <c r="E3598" s="1" t="n">
        <v>18.33</v>
      </c>
      <c r="F3598" s="1" t="n">
        <f aca="false">19/8</f>
        <v>2.375</v>
      </c>
    </row>
    <row collapsed="false" customFormat="false" customHeight="false" hidden="false" ht="14.75" outlineLevel="0" r="3599">
      <c r="A3599" s="1" t="s">
        <v>435</v>
      </c>
      <c r="B3599" s="1" t="s">
        <v>2498</v>
      </c>
      <c r="C3599" s="1" t="s">
        <v>2254</v>
      </c>
      <c r="D3599" s="1" t="n">
        <v>295</v>
      </c>
      <c r="E3599" s="1" t="n">
        <v>16.3</v>
      </c>
      <c r="F3599" s="1" t="n">
        <f aca="false">12/8</f>
        <v>1.5</v>
      </c>
    </row>
    <row collapsed="false" customFormat="false" customHeight="false" hidden="false" ht="14.75" outlineLevel="0" r="3600">
      <c r="A3600" s="1" t="s">
        <v>2500</v>
      </c>
      <c r="B3600" s="1" t="s">
        <v>2498</v>
      </c>
      <c r="C3600" s="1" t="s">
        <v>2254</v>
      </c>
      <c r="D3600" s="1" t="n">
        <v>291.9</v>
      </c>
      <c r="E3600" s="1" t="n">
        <v>16.74</v>
      </c>
      <c r="F3600" s="1" t="n">
        <f aca="false">18/8</f>
        <v>2.25</v>
      </c>
    </row>
    <row collapsed="false" customFormat="false" customHeight="false" hidden="false" ht="14.75" outlineLevel="0" r="3601">
      <c r="A3601" s="1" t="s">
        <v>2501</v>
      </c>
      <c r="B3601" s="1" t="s">
        <v>2498</v>
      </c>
      <c r="C3601" s="1" t="s">
        <v>2254</v>
      </c>
      <c r="D3601" s="1" t="n">
        <v>239.4</v>
      </c>
      <c r="E3601" s="1" t="n">
        <v>15.93</v>
      </c>
      <c r="F3601" s="1" t="n">
        <f aca="false">18/8</f>
        <v>2.25</v>
      </c>
    </row>
    <row collapsed="false" customFormat="false" customHeight="false" hidden="false" ht="14.75" outlineLevel="0" r="3602">
      <c r="A3602" s="1" t="s">
        <v>2502</v>
      </c>
      <c r="B3602" s="1" t="s">
        <v>2498</v>
      </c>
      <c r="C3602" s="1" t="s">
        <v>2254</v>
      </c>
      <c r="D3602" s="1" t="n">
        <v>297.5</v>
      </c>
      <c r="E3602" s="1" t="n">
        <v>17.36</v>
      </c>
      <c r="F3602" s="1" t="n">
        <f aca="false">16/8</f>
        <v>2</v>
      </c>
    </row>
    <row collapsed="false" customFormat="false" customHeight="false" hidden="false" ht="14.75" outlineLevel="0" r="3603">
      <c r="A3603" s="1" t="s">
        <v>2503</v>
      </c>
      <c r="B3603" s="1" t="s">
        <v>2498</v>
      </c>
      <c r="C3603" s="1" t="s">
        <v>2254</v>
      </c>
      <c r="D3603" s="1" t="n">
        <v>247.5</v>
      </c>
      <c r="E3603" s="1" t="n">
        <v>17.3</v>
      </c>
      <c r="F3603" s="1" t="n">
        <f aca="false">10/8</f>
        <v>1.25</v>
      </c>
    </row>
    <row collapsed="false" customFormat="false" customHeight="false" hidden="false" ht="14.75" outlineLevel="0" r="3604">
      <c r="A3604" s="1" t="s">
        <v>2504</v>
      </c>
      <c r="B3604" s="1" t="s">
        <v>2498</v>
      </c>
      <c r="C3604" s="1" t="s">
        <v>2254</v>
      </c>
      <c r="D3604" s="1" t="n">
        <v>240</v>
      </c>
      <c r="E3604" s="1" t="n">
        <v>15.2</v>
      </c>
      <c r="F3604" s="1" t="n">
        <v>2</v>
      </c>
    </row>
    <row collapsed="false" customFormat="false" customHeight="false" hidden="false" ht="14.75" outlineLevel="0" r="3605">
      <c r="A3605" s="1" t="s">
        <v>592</v>
      </c>
      <c r="B3605" s="1" t="s">
        <v>2498</v>
      </c>
      <c r="C3605" s="1" t="s">
        <v>2254</v>
      </c>
      <c r="D3605" s="1" t="n">
        <v>212.1</v>
      </c>
      <c r="E3605" s="1" t="n">
        <v>16.96</v>
      </c>
      <c r="F3605" s="1" t="n">
        <f aca="false">11/8</f>
        <v>1.375</v>
      </c>
    </row>
    <row collapsed="false" customFormat="false" customHeight="false" hidden="false" ht="14.75" outlineLevel="0" r="3606">
      <c r="A3606" s="1" t="s">
        <v>2505</v>
      </c>
      <c r="B3606" s="1" t="s">
        <v>2498</v>
      </c>
      <c r="C3606" s="1" t="s">
        <v>2254</v>
      </c>
      <c r="D3606" s="1" t="n">
        <v>180.6</v>
      </c>
      <c r="E3606" s="1" t="n">
        <v>13.1</v>
      </c>
      <c r="F3606" s="1" t="n">
        <f aca="false">7/8</f>
        <v>0.875</v>
      </c>
    </row>
    <row collapsed="false" customFormat="false" customHeight="false" hidden="false" ht="14.75" outlineLevel="0" r="3607">
      <c r="A3607" s="1" t="s">
        <v>610</v>
      </c>
      <c r="B3607" s="1" t="s">
        <v>2498</v>
      </c>
      <c r="C3607" s="1" t="s">
        <v>2254</v>
      </c>
      <c r="D3607" s="1" t="n">
        <v>146.2</v>
      </c>
      <c r="E3607" s="1" t="n">
        <v>11.25</v>
      </c>
      <c r="F3607" s="1" t="n">
        <v>1</v>
      </c>
    </row>
    <row collapsed="false" customFormat="false" customHeight="false" hidden="false" ht="14.75" outlineLevel="0" r="3608">
      <c r="A3608" s="1" t="s">
        <v>2506</v>
      </c>
      <c r="B3608" s="1" t="s">
        <v>2498</v>
      </c>
      <c r="C3608" s="1" t="s">
        <v>2254</v>
      </c>
      <c r="D3608" s="1" t="n">
        <v>120</v>
      </c>
      <c r="E3608" s="1" t="n">
        <v>12.79</v>
      </c>
      <c r="F3608" s="1" t="n">
        <v>0</v>
      </c>
    </row>
    <row collapsed="false" customFormat="false" customHeight="false" hidden="false" ht="14.75" outlineLevel="0" r="3609">
      <c r="A3609" s="1" t="s">
        <v>2507</v>
      </c>
      <c r="B3609" s="1" t="s">
        <v>2498</v>
      </c>
      <c r="C3609" s="1" t="s">
        <v>2254</v>
      </c>
      <c r="D3609" s="1" t="n">
        <v>84.3</v>
      </c>
      <c r="E3609" s="1" t="n">
        <v>7.94</v>
      </c>
      <c r="F3609" s="1" t="n">
        <f aca="false">3/8</f>
        <v>0.375</v>
      </c>
    </row>
    <row collapsed="false" customFormat="false" customHeight="false" hidden="false" ht="14.75" outlineLevel="0" r="3610">
      <c r="A3610" s="1" t="s">
        <v>2508</v>
      </c>
      <c r="B3610" s="1" t="s">
        <v>2498</v>
      </c>
      <c r="C3610" s="1" t="s">
        <v>2254</v>
      </c>
      <c r="D3610" s="1" t="n">
        <v>120</v>
      </c>
      <c r="E3610" s="1" t="n">
        <v>12.56</v>
      </c>
      <c r="F3610" s="1" t="n">
        <f aca="false">7/8</f>
        <v>0.875</v>
      </c>
    </row>
    <row collapsed="false" customFormat="false" customHeight="false" hidden="false" ht="14.75" outlineLevel="0" r="3611">
      <c r="A3611" s="1" t="s">
        <v>345</v>
      </c>
      <c r="B3611" s="1" t="s">
        <v>2509</v>
      </c>
      <c r="C3611" s="1" t="s">
        <v>2055</v>
      </c>
      <c r="D3611" s="1" t="n">
        <v>503.8</v>
      </c>
      <c r="E3611" s="1" t="n">
        <v>23.63</v>
      </c>
      <c r="F3611" s="1" t="n">
        <f aca="false">62/8</f>
        <v>7.75</v>
      </c>
    </row>
    <row collapsed="false" customFormat="false" customHeight="false" hidden="false" ht="14.75" outlineLevel="0" r="3612">
      <c r="A3612" s="1" t="s">
        <v>459</v>
      </c>
      <c r="B3612" s="1" t="s">
        <v>2509</v>
      </c>
      <c r="C3612" s="1" t="s">
        <v>2055</v>
      </c>
      <c r="D3612" s="1" t="n">
        <v>407.9</v>
      </c>
      <c r="E3612" s="1" t="n">
        <v>20.33</v>
      </c>
      <c r="F3612" s="1" t="n">
        <f aca="false">26/7</f>
        <v>3.71428571428571</v>
      </c>
    </row>
    <row collapsed="false" customFormat="false" customHeight="false" hidden="false" ht="14.75" outlineLevel="0" r="3613">
      <c r="A3613" s="1" t="s">
        <v>868</v>
      </c>
      <c r="B3613" s="1" t="s">
        <v>2509</v>
      </c>
      <c r="C3613" s="1" t="s">
        <v>2055</v>
      </c>
      <c r="D3613" s="1" t="n">
        <v>398.6</v>
      </c>
      <c r="E3613" s="1" t="n">
        <v>20.11</v>
      </c>
      <c r="F3613" s="1" t="n">
        <f aca="false">37/7</f>
        <v>5.28571428571429</v>
      </c>
    </row>
    <row collapsed="false" customFormat="false" customHeight="false" hidden="false" ht="14.75" outlineLevel="0" r="3614">
      <c r="A3614" s="1" t="s">
        <v>2510</v>
      </c>
      <c r="B3614" s="1" t="s">
        <v>2509</v>
      </c>
      <c r="C3614" s="1" t="s">
        <v>2055</v>
      </c>
      <c r="D3614" s="1" t="n">
        <v>432.5</v>
      </c>
      <c r="E3614" s="1" t="n">
        <v>21.13</v>
      </c>
      <c r="F3614" s="1" t="n">
        <f aca="false">43/8</f>
        <v>5.375</v>
      </c>
    </row>
    <row collapsed="false" customFormat="false" customHeight="false" hidden="false" ht="14.75" outlineLevel="0" r="3615">
      <c r="A3615" s="1" t="s">
        <v>1768</v>
      </c>
      <c r="B3615" s="1" t="s">
        <v>2509</v>
      </c>
      <c r="C3615" s="1" t="s">
        <v>2055</v>
      </c>
      <c r="D3615" s="1" t="n">
        <v>254.2</v>
      </c>
      <c r="E3615" s="1" t="n">
        <v>16.07</v>
      </c>
      <c r="F3615" s="1" t="n">
        <f aca="false">17/6</f>
        <v>2.83333333333333</v>
      </c>
    </row>
    <row collapsed="false" customFormat="false" customHeight="false" hidden="false" ht="14.75" outlineLevel="0" r="3616">
      <c r="A3616" s="1" t="s">
        <v>1738</v>
      </c>
      <c r="B3616" s="1" t="s">
        <v>2509</v>
      </c>
      <c r="C3616" s="1" t="s">
        <v>2055</v>
      </c>
      <c r="D3616" s="1" t="n">
        <v>243.3</v>
      </c>
      <c r="E3616" s="1" t="n">
        <v>15.18</v>
      </c>
      <c r="F3616" s="1" t="n">
        <f aca="false">13/6</f>
        <v>2.16666666666667</v>
      </c>
    </row>
    <row collapsed="false" customFormat="false" customHeight="false" hidden="false" ht="14.75" outlineLevel="0" r="3617">
      <c r="A3617" s="1" t="s">
        <v>1756</v>
      </c>
      <c r="B3617" s="1" t="s">
        <v>2509</v>
      </c>
      <c r="C3617" s="1" t="s">
        <v>2055</v>
      </c>
      <c r="D3617" s="1" t="n">
        <v>242.5</v>
      </c>
      <c r="E3617" s="1" t="n">
        <v>16.48</v>
      </c>
      <c r="F3617" s="1" t="n">
        <f aca="false">13/6</f>
        <v>2.16666666666667</v>
      </c>
    </row>
    <row collapsed="false" customFormat="false" customHeight="false" hidden="false" ht="14.75" outlineLevel="0" r="3618">
      <c r="A3618" s="1" t="s">
        <v>1722</v>
      </c>
      <c r="B3618" s="1" t="s">
        <v>2509</v>
      </c>
      <c r="C3618" s="1" t="s">
        <v>2055</v>
      </c>
      <c r="D3618" s="1" t="n">
        <v>255</v>
      </c>
      <c r="E3618" s="1" t="n">
        <v>15.31</v>
      </c>
      <c r="F3618" s="1" t="n">
        <v>3</v>
      </c>
    </row>
    <row collapsed="false" customFormat="false" customHeight="false" hidden="false" ht="14.75" outlineLevel="0" r="3619">
      <c r="A3619" s="1" t="s">
        <v>223</v>
      </c>
      <c r="B3619" s="1" t="s">
        <v>2509</v>
      </c>
      <c r="C3619" s="1" t="s">
        <v>2055</v>
      </c>
      <c r="D3619" s="1" t="n">
        <v>255</v>
      </c>
      <c r="E3619" s="1" t="n">
        <v>14.6</v>
      </c>
      <c r="F3619" s="1" t="n">
        <f aca="false">14/5</f>
        <v>2.8</v>
      </c>
    </row>
    <row collapsed="false" customFormat="false" customHeight="false" hidden="false" ht="14.75" outlineLevel="0" r="3620">
      <c r="A3620" s="1" t="s">
        <v>460</v>
      </c>
      <c r="B3620" s="1" t="s">
        <v>2509</v>
      </c>
      <c r="C3620" s="1" t="s">
        <v>2055</v>
      </c>
      <c r="D3620" s="1" t="n">
        <v>243</v>
      </c>
      <c r="E3620" s="1" t="n">
        <v>15.22</v>
      </c>
      <c r="F3620" s="1" t="n">
        <v>3</v>
      </c>
    </row>
    <row collapsed="false" customFormat="false" customHeight="false" hidden="false" ht="14.75" outlineLevel="0" r="3621">
      <c r="A3621" s="1" t="s">
        <v>1757</v>
      </c>
      <c r="B3621" s="1" t="s">
        <v>2509</v>
      </c>
      <c r="C3621" s="1" t="s">
        <v>2055</v>
      </c>
      <c r="D3621" s="1" t="n">
        <v>153</v>
      </c>
      <c r="E3621" s="1" t="n">
        <v>13.75</v>
      </c>
      <c r="F3621" s="1" t="n">
        <v>1</v>
      </c>
    </row>
    <row collapsed="false" customFormat="false" customHeight="false" hidden="false" ht="14.75" outlineLevel="0" r="3622">
      <c r="A3622" s="1" t="s">
        <v>470</v>
      </c>
      <c r="B3622" s="1" t="s">
        <v>2509</v>
      </c>
      <c r="C3622" s="1" t="s">
        <v>2055</v>
      </c>
      <c r="D3622" s="1" t="n">
        <v>263.3</v>
      </c>
      <c r="E3622" s="1" t="n">
        <v>19.09</v>
      </c>
      <c r="F3622" s="1" t="n">
        <f aca="false">16/6</f>
        <v>2.66666666666667</v>
      </c>
    </row>
    <row collapsed="false" customFormat="false" customHeight="false" hidden="false" ht="14.75" outlineLevel="0" r="3623">
      <c r="A3623" s="1" t="s">
        <v>2511</v>
      </c>
      <c r="B3623" s="1" t="s">
        <v>2509</v>
      </c>
      <c r="C3623" s="1" t="s">
        <v>2055</v>
      </c>
      <c r="D3623" s="1" t="n">
        <v>230</v>
      </c>
      <c r="E3623" s="1" t="n">
        <v>16.9</v>
      </c>
      <c r="F3623" s="1" t="n">
        <f aca="false">7/5</f>
        <v>1.4</v>
      </c>
    </row>
    <row collapsed="false" customFormat="false" customHeight="false" hidden="false" ht="14.75" outlineLevel="0" r="3624">
      <c r="A3624" s="1" t="s">
        <v>2512</v>
      </c>
      <c r="B3624" s="1" t="s">
        <v>2509</v>
      </c>
      <c r="C3624" s="1" t="s">
        <v>2055</v>
      </c>
      <c r="D3624" s="1" t="n">
        <v>165</v>
      </c>
      <c r="E3624" s="1" t="n">
        <v>14.85</v>
      </c>
      <c r="F3624" s="1" t="n">
        <f aca="false">7/5</f>
        <v>1.4</v>
      </c>
    </row>
    <row collapsed="false" customFormat="false" customHeight="false" hidden="false" ht="14.75" outlineLevel="0" r="3625">
      <c r="A3625" s="1" t="s">
        <v>1770</v>
      </c>
      <c r="B3625" s="1" t="s">
        <v>2509</v>
      </c>
      <c r="C3625" s="1" t="s">
        <v>2055</v>
      </c>
      <c r="D3625" s="1" t="n">
        <v>124</v>
      </c>
      <c r="E3625" s="1" t="n">
        <v>15.2</v>
      </c>
      <c r="F3625" s="1" t="n">
        <v>0.8</v>
      </c>
      <c r="H3625" s="1" t="s">
        <v>2513</v>
      </c>
    </row>
    <row collapsed="false" customFormat="false" customHeight="false" hidden="false" ht="14.75" outlineLevel="0" r="3626">
      <c r="A3626" s="1" t="s">
        <v>1724</v>
      </c>
      <c r="B3626" s="1" t="s">
        <v>2509</v>
      </c>
      <c r="C3626" s="1" t="s">
        <v>2055</v>
      </c>
      <c r="D3626" s="1" t="n">
        <v>89</v>
      </c>
      <c r="E3626" s="1" t="n">
        <v>13</v>
      </c>
      <c r="F3626" s="1" t="n">
        <v>0.8</v>
      </c>
      <c r="H3626" s="1" t="s">
        <v>2514</v>
      </c>
    </row>
    <row collapsed="false" customFormat="false" customHeight="false" hidden="false" ht="14.75" outlineLevel="0" r="3627">
      <c r="A3627" s="1" t="s">
        <v>2515</v>
      </c>
      <c r="B3627" s="1" t="s">
        <v>2509</v>
      </c>
      <c r="C3627" s="1" t="s">
        <v>2055</v>
      </c>
      <c r="D3627" s="1" t="n">
        <v>72</v>
      </c>
      <c r="E3627" s="1" t="n">
        <v>7.14</v>
      </c>
      <c r="F3627" s="1" t="n">
        <v>0.2</v>
      </c>
    </row>
    <row collapsed="false" customFormat="false" customHeight="false" hidden="false" ht="14.75" outlineLevel="0" r="3628">
      <c r="A3628" s="1" t="s">
        <v>2516</v>
      </c>
      <c r="B3628" s="1" t="s">
        <v>2509</v>
      </c>
      <c r="C3628" s="1" t="s">
        <v>2055</v>
      </c>
      <c r="D3628" s="1" t="n">
        <v>59</v>
      </c>
      <c r="E3628" s="1" t="n">
        <v>7.65</v>
      </c>
      <c r="F3628" s="1" t="n">
        <v>0.2</v>
      </c>
    </row>
    <row collapsed="false" customFormat="false" customHeight="false" hidden="false" ht="14.75" outlineLevel="0" r="3629">
      <c r="A3629" s="1" t="s">
        <v>1723</v>
      </c>
      <c r="B3629" s="1" t="s">
        <v>2509</v>
      </c>
      <c r="C3629" s="1" t="s">
        <v>2055</v>
      </c>
      <c r="D3629" s="1" t="n">
        <v>120</v>
      </c>
      <c r="E3629" s="1" t="n">
        <v>13.21</v>
      </c>
      <c r="F3629" s="1" t="n">
        <v>1</v>
      </c>
    </row>
    <row collapsed="false" customFormat="false" customHeight="false" hidden="false" ht="14.75" outlineLevel="0" r="3630">
      <c r="A3630" s="1" t="s">
        <v>1769</v>
      </c>
      <c r="B3630" s="1" t="s">
        <v>2509</v>
      </c>
      <c r="C3630" s="1" t="s">
        <v>2055</v>
      </c>
      <c r="D3630" s="1" t="n">
        <v>91</v>
      </c>
      <c r="E3630" s="1" t="n">
        <v>7.78</v>
      </c>
      <c r="F3630" s="1" t="n">
        <v>1</v>
      </c>
    </row>
    <row collapsed="false" customFormat="false" customHeight="false" hidden="false" ht="14.75" outlineLevel="0" r="3631">
      <c r="A3631" s="1" t="s">
        <v>2517</v>
      </c>
      <c r="B3631" s="1" t="s">
        <v>2509</v>
      </c>
      <c r="C3631" s="1" t="s">
        <v>2055</v>
      </c>
      <c r="D3631" s="1" t="n">
        <v>76</v>
      </c>
      <c r="E3631" s="1" t="n">
        <v>10</v>
      </c>
      <c r="F3631" s="1" t="n">
        <v>0.8</v>
      </c>
    </row>
    <row collapsed="false" customFormat="false" customHeight="false" hidden="false" ht="14.75" outlineLevel="0" r="3632">
      <c r="A3632" s="1" t="s">
        <v>2518</v>
      </c>
      <c r="B3632" s="1" t="s">
        <v>2509</v>
      </c>
      <c r="C3632" s="1" t="s">
        <v>2055</v>
      </c>
      <c r="D3632" s="1" t="n">
        <v>71</v>
      </c>
      <c r="E3632" s="1" t="n">
        <v>10</v>
      </c>
      <c r="F3632" s="1" t="n">
        <v>0.8</v>
      </c>
    </row>
    <row collapsed="false" customFormat="false" customHeight="false" hidden="false" ht="14.75" outlineLevel="0" r="3633">
      <c r="A3633" s="1" t="s">
        <v>523</v>
      </c>
      <c r="B3633" s="1" t="s">
        <v>2519</v>
      </c>
      <c r="C3633" s="1" t="s">
        <v>2249</v>
      </c>
      <c r="D3633" s="1" t="n">
        <v>380.9</v>
      </c>
      <c r="E3633" s="1" t="n">
        <v>21.93</v>
      </c>
      <c r="F3633" s="1" t="s">
        <v>9</v>
      </c>
    </row>
    <row collapsed="false" customFormat="false" customHeight="false" hidden="false" ht="14.75" outlineLevel="0" r="3634">
      <c r="A3634" s="1" t="s">
        <v>2093</v>
      </c>
      <c r="B3634" s="1" t="s">
        <v>2519</v>
      </c>
      <c r="C3634" s="1" t="s">
        <v>2249</v>
      </c>
      <c r="D3634" s="1" t="n">
        <v>466.2</v>
      </c>
      <c r="E3634" s="1" t="n">
        <v>24.91</v>
      </c>
      <c r="F3634" s="1" t="s">
        <v>9</v>
      </c>
    </row>
    <row collapsed="false" customFormat="false" customHeight="false" hidden="false" ht="14.75" outlineLevel="0" r="3635">
      <c r="A3635" s="1" t="s">
        <v>865</v>
      </c>
      <c r="B3635" s="1" t="s">
        <v>2519</v>
      </c>
      <c r="C3635" s="1" t="s">
        <v>2249</v>
      </c>
      <c r="D3635" s="1" t="n">
        <v>398.3</v>
      </c>
      <c r="E3635" s="1" t="n">
        <v>23.09</v>
      </c>
      <c r="F3635" s="1" t="s">
        <v>9</v>
      </c>
    </row>
    <row collapsed="false" customFormat="false" customHeight="false" hidden="false" ht="14.75" outlineLevel="0" r="3636">
      <c r="A3636" s="1" t="s">
        <v>986</v>
      </c>
      <c r="B3636" s="1" t="s">
        <v>2519</v>
      </c>
      <c r="C3636" s="1" t="s">
        <v>2249</v>
      </c>
      <c r="D3636" s="1" t="n">
        <v>430</v>
      </c>
      <c r="E3636" s="1" t="n">
        <v>23.97</v>
      </c>
      <c r="F3636" s="1" t="s">
        <v>9</v>
      </c>
    </row>
    <row collapsed="false" customFormat="false" customHeight="false" hidden="false" ht="14.75" outlineLevel="0" r="3637">
      <c r="A3637" s="1" t="s">
        <v>1891</v>
      </c>
      <c r="B3637" s="1" t="s">
        <v>2519</v>
      </c>
      <c r="C3637" s="1" t="s">
        <v>2249</v>
      </c>
      <c r="D3637" s="1" t="n">
        <v>332</v>
      </c>
      <c r="E3637" s="1" t="n">
        <v>23.4</v>
      </c>
      <c r="F3637" s="1" t="s">
        <v>9</v>
      </c>
    </row>
    <row collapsed="false" customFormat="false" customHeight="false" hidden="false" ht="14.75" outlineLevel="0" r="3638">
      <c r="A3638" s="1" t="s">
        <v>1890</v>
      </c>
      <c r="B3638" s="1" t="s">
        <v>2519</v>
      </c>
      <c r="C3638" s="1" t="s">
        <v>2249</v>
      </c>
      <c r="D3638" s="1" t="n">
        <v>229.4</v>
      </c>
      <c r="E3638" s="1" t="n">
        <v>16.62</v>
      </c>
      <c r="F3638" s="1" t="s">
        <v>9</v>
      </c>
    </row>
    <row collapsed="false" customFormat="false" customHeight="false" hidden="false" ht="14.75" outlineLevel="0" r="3639">
      <c r="A3639" s="1" t="s">
        <v>2520</v>
      </c>
      <c r="B3639" s="1" t="s">
        <v>2519</v>
      </c>
      <c r="C3639" s="1" t="s">
        <v>2249</v>
      </c>
      <c r="D3639" s="1" t="n">
        <v>301</v>
      </c>
      <c r="E3639" s="1" t="n">
        <v>19.81</v>
      </c>
      <c r="F3639" s="1" t="s">
        <v>9</v>
      </c>
    </row>
    <row collapsed="false" customFormat="false" customHeight="false" hidden="false" ht="14.75" outlineLevel="0" r="3640">
      <c r="A3640" s="1" t="s">
        <v>2241</v>
      </c>
      <c r="B3640" s="1" t="s">
        <v>2519</v>
      </c>
      <c r="C3640" s="1" t="s">
        <v>2249</v>
      </c>
      <c r="D3640" s="1" t="n">
        <v>267.2</v>
      </c>
      <c r="E3640" s="1" t="n">
        <v>19.82</v>
      </c>
      <c r="F3640" s="1" t="s">
        <v>9</v>
      </c>
    </row>
    <row collapsed="false" customFormat="false" customHeight="false" hidden="false" ht="14.75" outlineLevel="0" r="3641">
      <c r="A3641" s="1" t="s">
        <v>302</v>
      </c>
      <c r="B3641" s="1" t="s">
        <v>2519</v>
      </c>
      <c r="C3641" s="1" t="s">
        <v>2249</v>
      </c>
      <c r="D3641" s="1" t="n">
        <v>273.9</v>
      </c>
      <c r="E3641" s="1" t="n">
        <v>17.89</v>
      </c>
      <c r="F3641" s="1" t="s">
        <v>9</v>
      </c>
    </row>
    <row collapsed="false" customFormat="false" customHeight="false" hidden="false" ht="14.75" outlineLevel="0" r="3642">
      <c r="A3642" s="1" t="s">
        <v>524</v>
      </c>
      <c r="B3642" s="1" t="s">
        <v>2519</v>
      </c>
      <c r="C3642" s="1" t="s">
        <v>2249</v>
      </c>
      <c r="D3642" s="1" t="n">
        <v>255.5</v>
      </c>
      <c r="E3642" s="1" t="n">
        <v>19.72</v>
      </c>
      <c r="F3642" s="1" t="s">
        <v>9</v>
      </c>
    </row>
    <row collapsed="false" customFormat="false" customHeight="false" hidden="false" ht="14.75" outlineLevel="0" r="3643">
      <c r="A3643" s="1" t="s">
        <v>866</v>
      </c>
      <c r="B3643" s="1" t="s">
        <v>2519</v>
      </c>
      <c r="C3643" s="1" t="s">
        <v>2249</v>
      </c>
      <c r="D3643" s="1" t="n">
        <v>207.8</v>
      </c>
      <c r="E3643" s="1" t="n">
        <v>16.53</v>
      </c>
      <c r="F3643" s="1" t="s">
        <v>9</v>
      </c>
    </row>
    <row collapsed="false" customFormat="false" customHeight="false" hidden="false" ht="14.75" outlineLevel="0" r="3644">
      <c r="A3644" s="1" t="s">
        <v>2100</v>
      </c>
      <c r="B3644" s="1" t="s">
        <v>2519</v>
      </c>
      <c r="C3644" s="1" t="s">
        <v>2249</v>
      </c>
      <c r="D3644" s="1" t="n">
        <v>112.8</v>
      </c>
      <c r="E3644" s="1" t="n">
        <v>12.29</v>
      </c>
      <c r="F3644" s="1" t="s">
        <v>9</v>
      </c>
    </row>
    <row collapsed="false" customFormat="false" customHeight="false" hidden="false" ht="14.75" outlineLevel="0" r="3645">
      <c r="A3645" s="1" t="s">
        <v>666</v>
      </c>
      <c r="B3645" s="1" t="s">
        <v>2519</v>
      </c>
      <c r="C3645" s="1" t="s">
        <v>2249</v>
      </c>
      <c r="D3645" s="1" t="n">
        <v>147</v>
      </c>
      <c r="E3645" s="1" t="n">
        <v>17.33</v>
      </c>
      <c r="F3645" s="1" t="s">
        <v>9</v>
      </c>
    </row>
    <row collapsed="false" customFormat="false" customHeight="false" hidden="false" ht="14.75" outlineLevel="0" r="3646">
      <c r="A3646" s="1" t="s">
        <v>2521</v>
      </c>
      <c r="B3646" s="1" t="s">
        <v>2519</v>
      </c>
      <c r="C3646" s="1" t="s">
        <v>2249</v>
      </c>
      <c r="D3646" s="1" t="n">
        <v>133.9</v>
      </c>
      <c r="E3646" s="1" t="n">
        <v>13.58</v>
      </c>
      <c r="F3646" s="1" t="s">
        <v>9</v>
      </c>
    </row>
    <row collapsed="false" customFormat="false" customHeight="false" hidden="false" ht="14.75" outlineLevel="0" r="3647">
      <c r="A3647" s="1" t="s">
        <v>2522</v>
      </c>
      <c r="B3647" s="1" t="s">
        <v>2519</v>
      </c>
      <c r="C3647" s="1" t="s">
        <v>2249</v>
      </c>
      <c r="D3647" s="1" t="n">
        <v>95</v>
      </c>
      <c r="E3647" s="1" t="n">
        <v>12.73</v>
      </c>
      <c r="F3647" s="1" t="s">
        <v>9</v>
      </c>
    </row>
    <row collapsed="false" customFormat="false" customHeight="false" hidden="false" ht="14.75" outlineLevel="0" r="3648">
      <c r="A3648" s="1" t="s">
        <v>106</v>
      </c>
      <c r="B3648" s="1" t="s">
        <v>2523</v>
      </c>
      <c r="C3648" s="1" t="s">
        <v>2524</v>
      </c>
      <c r="D3648" s="1" t="n">
        <v>447.5</v>
      </c>
      <c r="E3648" s="1" t="n">
        <v>23.15</v>
      </c>
      <c r="F3648" s="1" t="s">
        <v>9</v>
      </c>
    </row>
    <row collapsed="false" customFormat="false" customHeight="false" hidden="false" ht="14.75" outlineLevel="0" r="3649">
      <c r="A3649" s="1" t="s">
        <v>638</v>
      </c>
      <c r="B3649" s="1" t="s">
        <v>2523</v>
      </c>
      <c r="C3649" s="1" t="s">
        <v>2524</v>
      </c>
      <c r="D3649" s="1" t="n">
        <v>463.8</v>
      </c>
      <c r="E3649" s="1" t="n">
        <v>23.12</v>
      </c>
      <c r="F3649" s="1" t="s">
        <v>9</v>
      </c>
    </row>
    <row collapsed="false" customFormat="false" customHeight="false" hidden="false" ht="14.75" outlineLevel="0" r="3650">
      <c r="A3650" s="1" t="s">
        <v>478</v>
      </c>
      <c r="B3650" s="1" t="s">
        <v>2523</v>
      </c>
      <c r="C3650" s="1" t="s">
        <v>2524</v>
      </c>
      <c r="D3650" s="1" t="n">
        <v>422.5</v>
      </c>
      <c r="E3650" s="1" t="n">
        <v>23.14</v>
      </c>
      <c r="F3650" s="1" t="s">
        <v>9</v>
      </c>
    </row>
    <row collapsed="false" customFormat="false" customHeight="false" hidden="false" ht="14.75" outlineLevel="0" r="3651">
      <c r="A3651" s="1" t="s">
        <v>50</v>
      </c>
      <c r="B3651" s="1" t="s">
        <v>2523</v>
      </c>
      <c r="C3651" s="1" t="s">
        <v>2524</v>
      </c>
      <c r="D3651" s="1" t="n">
        <v>324.3</v>
      </c>
      <c r="E3651" s="1" t="n">
        <v>19.48</v>
      </c>
      <c r="F3651" s="1" t="s">
        <v>9</v>
      </c>
    </row>
    <row collapsed="false" customFormat="false" customHeight="false" hidden="false" ht="14.75" outlineLevel="0" r="3652">
      <c r="A3652" s="1" t="s">
        <v>434</v>
      </c>
      <c r="B3652" s="1" t="s">
        <v>2523</v>
      </c>
      <c r="C3652" s="1" t="s">
        <v>2524</v>
      </c>
      <c r="D3652" s="1" t="n">
        <v>243.8</v>
      </c>
      <c r="E3652" s="1" t="n">
        <v>16.35</v>
      </c>
      <c r="F3652" s="1" t="s">
        <v>9</v>
      </c>
    </row>
    <row collapsed="false" customFormat="false" customHeight="false" hidden="false" ht="14.75" outlineLevel="0" r="3653">
      <c r="A3653" s="1" t="s">
        <v>2525</v>
      </c>
      <c r="B3653" s="1" t="s">
        <v>2523</v>
      </c>
      <c r="C3653" s="1" t="s">
        <v>2524</v>
      </c>
      <c r="D3653" s="1" t="n">
        <v>100</v>
      </c>
      <c r="E3653" s="1" t="n">
        <v>11.21</v>
      </c>
      <c r="F3653" s="1" t="s">
        <v>9</v>
      </c>
    </row>
    <row collapsed="false" customFormat="false" customHeight="false" hidden="false" ht="14.75" outlineLevel="0" r="3654">
      <c r="A3654" s="1" t="s">
        <v>103</v>
      </c>
      <c r="B3654" s="1" t="s">
        <v>2523</v>
      </c>
      <c r="C3654" s="1" t="s">
        <v>2524</v>
      </c>
      <c r="D3654" s="1" t="n">
        <v>175</v>
      </c>
      <c r="E3654" s="1" t="n">
        <v>14.14</v>
      </c>
      <c r="F3654" s="1" t="s">
        <v>9</v>
      </c>
    </row>
    <row collapsed="false" customFormat="false" customHeight="false" hidden="false" ht="14.75" outlineLevel="0" r="3655">
      <c r="A3655" s="1" t="s">
        <v>104</v>
      </c>
      <c r="B3655" s="1" t="s">
        <v>2523</v>
      </c>
      <c r="C3655" s="1" t="s">
        <v>2524</v>
      </c>
      <c r="D3655" s="1" t="n">
        <v>67.1</v>
      </c>
      <c r="E3655" s="1" t="n">
        <v>9.58</v>
      </c>
      <c r="F3655" s="1" t="s">
        <v>9</v>
      </c>
    </row>
    <row collapsed="false" customFormat="false" customHeight="false" hidden="false" ht="14.75" outlineLevel="0" r="3656">
      <c r="A3656" s="1" t="s">
        <v>142</v>
      </c>
      <c r="B3656" s="1" t="s">
        <v>2523</v>
      </c>
      <c r="C3656" s="1" t="s">
        <v>2524</v>
      </c>
      <c r="D3656" s="1" t="n">
        <v>84.3</v>
      </c>
      <c r="E3656" s="1" t="n">
        <v>10.34</v>
      </c>
      <c r="F3656" s="1" t="s">
        <v>9</v>
      </c>
    </row>
    <row collapsed="false" customFormat="false" customHeight="false" hidden="false" ht="14.75" outlineLevel="0" r="3657">
      <c r="A3657" s="1" t="s">
        <v>101</v>
      </c>
      <c r="B3657" s="1" t="s">
        <v>2526</v>
      </c>
      <c r="C3657" s="1" t="s">
        <v>2249</v>
      </c>
      <c r="D3657" s="1" t="n">
        <v>430.6</v>
      </c>
      <c r="E3657" s="1" t="n">
        <v>20.88</v>
      </c>
      <c r="F3657" s="1" t="s">
        <v>9</v>
      </c>
    </row>
    <row collapsed="false" customFormat="false" customHeight="false" hidden="false" ht="14.75" outlineLevel="0" r="3658">
      <c r="A3658" s="1" t="s">
        <v>119</v>
      </c>
      <c r="B3658" s="1" t="s">
        <v>2526</v>
      </c>
      <c r="C3658" s="1" t="s">
        <v>2249</v>
      </c>
      <c r="D3658" s="1" t="n">
        <v>402.9</v>
      </c>
      <c r="E3658" s="1" t="n">
        <v>21.58</v>
      </c>
      <c r="F3658" s="1" t="s">
        <v>9</v>
      </c>
    </row>
    <row collapsed="false" customFormat="false" customHeight="false" hidden="false" ht="14.75" outlineLevel="0" r="3659">
      <c r="A3659" s="1" t="s">
        <v>2527</v>
      </c>
      <c r="B3659" s="1" t="s">
        <v>2526</v>
      </c>
      <c r="C3659" s="1" t="s">
        <v>2249</v>
      </c>
      <c r="D3659" s="1" t="n">
        <v>437.1</v>
      </c>
      <c r="E3659" s="1" t="n">
        <v>22.63</v>
      </c>
      <c r="F3659" s="1" t="s">
        <v>9</v>
      </c>
    </row>
    <row collapsed="false" customFormat="false" customHeight="false" hidden="false" ht="14.75" outlineLevel="0" r="3660">
      <c r="A3660" s="1" t="s">
        <v>378</v>
      </c>
      <c r="B3660" s="1" t="s">
        <v>2526</v>
      </c>
      <c r="C3660" s="1" t="s">
        <v>2249</v>
      </c>
      <c r="D3660" s="1" t="n">
        <v>190</v>
      </c>
      <c r="E3660" s="1" t="n">
        <v>13.19</v>
      </c>
      <c r="F3660" s="1" t="s">
        <v>9</v>
      </c>
    </row>
    <row collapsed="false" customFormat="false" customHeight="false" hidden="false" ht="14.75" outlineLevel="0" r="3661">
      <c r="A3661" s="1" t="s">
        <v>377</v>
      </c>
      <c r="B3661" s="1" t="s">
        <v>2526</v>
      </c>
      <c r="C3661" s="1" t="s">
        <v>2249</v>
      </c>
      <c r="D3661" s="1" t="n">
        <v>260.7</v>
      </c>
      <c r="E3661" s="1" t="n">
        <v>16.03</v>
      </c>
      <c r="F3661" s="1" t="s">
        <v>9</v>
      </c>
    </row>
    <row collapsed="false" customFormat="false" customHeight="false" hidden="false" ht="14.75" outlineLevel="0" r="3662">
      <c r="A3662" s="1" t="s">
        <v>376</v>
      </c>
      <c r="B3662" s="1" t="s">
        <v>2526</v>
      </c>
      <c r="C3662" s="1" t="s">
        <v>2249</v>
      </c>
      <c r="D3662" s="1" t="n">
        <v>308.1</v>
      </c>
      <c r="E3662" s="1" t="n">
        <v>18.98</v>
      </c>
      <c r="F3662" s="1" t="s">
        <v>9</v>
      </c>
    </row>
    <row collapsed="false" customFormat="false" customHeight="false" hidden="false" ht="14.75" outlineLevel="0" r="3663">
      <c r="A3663" s="1" t="s">
        <v>2528</v>
      </c>
      <c r="B3663" s="1" t="s">
        <v>2526</v>
      </c>
      <c r="C3663" s="1" t="s">
        <v>2249</v>
      </c>
      <c r="D3663" s="1" t="n">
        <v>140.7</v>
      </c>
      <c r="E3663" s="1" t="n">
        <v>12.89</v>
      </c>
      <c r="F3663" s="1" t="s">
        <v>9</v>
      </c>
    </row>
    <row collapsed="false" customFormat="false" customHeight="false" hidden="false" ht="14.75" outlineLevel="0" r="3664">
      <c r="A3664" s="1" t="s">
        <v>120</v>
      </c>
      <c r="B3664" s="1" t="s">
        <v>2526</v>
      </c>
      <c r="C3664" s="1" t="s">
        <v>2249</v>
      </c>
      <c r="D3664" s="1" t="n">
        <v>115.7</v>
      </c>
      <c r="E3664" s="1" t="n">
        <v>10.48</v>
      </c>
      <c r="F3664" s="1" t="s">
        <v>9</v>
      </c>
    </row>
    <row collapsed="false" customFormat="false" customHeight="false" hidden="false" ht="14.75" outlineLevel="0" r="3665">
      <c r="A3665" s="1" t="s">
        <v>2529</v>
      </c>
      <c r="B3665" s="1" t="s">
        <v>2526</v>
      </c>
      <c r="C3665" s="1" t="s">
        <v>2249</v>
      </c>
      <c r="D3665" s="1" t="n">
        <v>104.4</v>
      </c>
      <c r="E3665" s="1" t="n">
        <v>10.45</v>
      </c>
      <c r="F3665" s="1" t="s">
        <v>9</v>
      </c>
    </row>
    <row collapsed="false" customFormat="false" customHeight="false" hidden="false" ht="14.75" outlineLevel="0" r="3666">
      <c r="A3666" s="1" t="s">
        <v>2530</v>
      </c>
      <c r="B3666" s="1" t="s">
        <v>2526</v>
      </c>
      <c r="C3666" s="1" t="s">
        <v>2249</v>
      </c>
      <c r="D3666" s="1" t="n">
        <v>58.6</v>
      </c>
      <c r="E3666" s="1" t="n">
        <v>6.3</v>
      </c>
      <c r="F3666" s="1" t="s">
        <v>9</v>
      </c>
    </row>
    <row collapsed="false" customFormat="false" customHeight="false" hidden="false" ht="14.75" outlineLevel="0" r="3667">
      <c r="A3667" s="1" t="s">
        <v>936</v>
      </c>
      <c r="B3667" s="1" t="s">
        <v>2526</v>
      </c>
      <c r="C3667" s="1" t="s">
        <v>2249</v>
      </c>
      <c r="D3667" s="1" t="n">
        <v>69.2</v>
      </c>
      <c r="E3667" s="1" t="n">
        <v>7.31</v>
      </c>
      <c r="F3667" s="1" t="s">
        <v>9</v>
      </c>
    </row>
    <row collapsed="false" customFormat="false" customHeight="false" hidden="false" ht="14.75" outlineLevel="0" r="3668">
      <c r="A3668" s="1" t="s">
        <v>72</v>
      </c>
      <c r="B3668" s="1" t="s">
        <v>2531</v>
      </c>
      <c r="C3668" s="1" t="s">
        <v>2249</v>
      </c>
      <c r="D3668" s="1" t="n">
        <v>532.8</v>
      </c>
      <c r="E3668" s="1" t="n">
        <v>22.89</v>
      </c>
      <c r="F3668" s="1" t="s">
        <v>9</v>
      </c>
    </row>
    <row collapsed="false" customFormat="false" customHeight="false" hidden="false" ht="14.75" outlineLevel="0" r="3669">
      <c r="A3669" s="1" t="s">
        <v>76</v>
      </c>
      <c r="B3669" s="1" t="s">
        <v>2531</v>
      </c>
      <c r="C3669" s="1" t="s">
        <v>2249</v>
      </c>
      <c r="D3669" s="1" t="n">
        <v>345</v>
      </c>
      <c r="E3669" s="1" t="n">
        <v>19.31</v>
      </c>
      <c r="F3669" s="1" t="s">
        <v>9</v>
      </c>
    </row>
    <row collapsed="false" customFormat="false" customHeight="false" hidden="false" ht="14.75" outlineLevel="0" r="3670">
      <c r="A3670" s="1" t="s">
        <v>2532</v>
      </c>
      <c r="B3670" s="1" t="s">
        <v>2531</v>
      </c>
      <c r="C3670" s="1" t="s">
        <v>2249</v>
      </c>
      <c r="D3670" s="1" t="n">
        <v>226.1</v>
      </c>
      <c r="E3670" s="1" t="n">
        <v>15.84</v>
      </c>
      <c r="F3670" s="1" t="s">
        <v>9</v>
      </c>
    </row>
    <row collapsed="false" customFormat="false" customHeight="false" hidden="false" ht="14.75" outlineLevel="0" r="3671">
      <c r="A3671" s="1" t="s">
        <v>2533</v>
      </c>
      <c r="B3671" s="1" t="s">
        <v>2531</v>
      </c>
      <c r="C3671" s="1" t="s">
        <v>2249</v>
      </c>
      <c r="D3671" s="1" t="n">
        <v>258.3</v>
      </c>
      <c r="E3671" s="1" t="n">
        <v>14.29</v>
      </c>
      <c r="F3671" s="1" t="s">
        <v>9</v>
      </c>
    </row>
    <row collapsed="false" customFormat="false" customHeight="false" hidden="false" ht="14.75" outlineLevel="0" r="3672">
      <c r="A3672" s="1" t="s">
        <v>73</v>
      </c>
      <c r="B3672" s="1" t="s">
        <v>2531</v>
      </c>
      <c r="C3672" s="1" t="s">
        <v>2249</v>
      </c>
      <c r="D3672" s="1" t="n">
        <v>192.2</v>
      </c>
      <c r="E3672" s="1" t="n">
        <v>15.36</v>
      </c>
      <c r="F3672" s="1" t="s">
        <v>9</v>
      </c>
    </row>
    <row collapsed="false" customFormat="false" customHeight="false" hidden="false" ht="14.75" outlineLevel="0" r="3673">
      <c r="A3673" s="1" t="s">
        <v>61</v>
      </c>
      <c r="B3673" s="1" t="s">
        <v>2531</v>
      </c>
      <c r="C3673" s="1" t="s">
        <v>2249</v>
      </c>
      <c r="D3673" s="1" t="n">
        <v>188.3</v>
      </c>
      <c r="E3673" s="1" t="n">
        <v>15</v>
      </c>
      <c r="F3673" s="1" t="s">
        <v>9</v>
      </c>
    </row>
    <row collapsed="false" customFormat="false" customHeight="false" hidden="false" ht="14.75" outlineLevel="0" r="3674">
      <c r="A3674" s="1" t="s">
        <v>103</v>
      </c>
      <c r="B3674" s="1" t="s">
        <v>2531</v>
      </c>
      <c r="C3674" s="1" t="s">
        <v>2249</v>
      </c>
      <c r="D3674" s="1" t="n">
        <v>134.4</v>
      </c>
      <c r="E3674" s="1" t="n">
        <v>12.46</v>
      </c>
      <c r="F3674" s="1" t="s">
        <v>9</v>
      </c>
    </row>
    <row collapsed="false" customFormat="false" customHeight="false" hidden="false" ht="14.75" outlineLevel="0" r="3675">
      <c r="A3675" s="1" t="s">
        <v>2534</v>
      </c>
      <c r="B3675" s="1" t="s">
        <v>2531</v>
      </c>
      <c r="C3675" s="1" t="s">
        <v>2249</v>
      </c>
      <c r="D3675" s="1" t="n">
        <v>108.9</v>
      </c>
      <c r="E3675" s="1" t="n">
        <v>12.65</v>
      </c>
      <c r="F3675" s="1" t="s">
        <v>9</v>
      </c>
    </row>
    <row collapsed="false" customFormat="false" customHeight="false" hidden="false" ht="14.75" outlineLevel="0" r="3676">
      <c r="A3676" s="1" t="s">
        <v>104</v>
      </c>
      <c r="B3676" s="1" t="s">
        <v>2531</v>
      </c>
      <c r="C3676" s="1" t="s">
        <v>2249</v>
      </c>
      <c r="D3676" s="1" t="n">
        <v>152.2</v>
      </c>
      <c r="E3676" s="1" t="n">
        <v>13.9</v>
      </c>
      <c r="F3676" s="1" t="s">
        <v>9</v>
      </c>
    </row>
    <row collapsed="false" customFormat="false" customHeight="false" hidden="false" ht="14.75" outlineLevel="0" r="3677">
      <c r="A3677" s="1" t="s">
        <v>2535</v>
      </c>
      <c r="B3677" s="1" t="s">
        <v>2531</v>
      </c>
      <c r="C3677" s="1" t="s">
        <v>2249</v>
      </c>
      <c r="D3677" s="1" t="n">
        <v>73.3</v>
      </c>
      <c r="E3677" s="1" t="n">
        <v>10.14</v>
      </c>
      <c r="F3677" s="1" t="s">
        <v>9</v>
      </c>
    </row>
    <row collapsed="false" customFormat="false" customHeight="false" hidden="false" ht="14.75" outlineLevel="0" r="3678">
      <c r="A3678" s="1" t="s">
        <v>2536</v>
      </c>
      <c r="B3678" s="1" t="s">
        <v>2537</v>
      </c>
      <c r="C3678" s="1" t="s">
        <v>2249</v>
      </c>
      <c r="D3678" s="1" t="n">
        <v>265.5</v>
      </c>
      <c r="E3678" s="1" t="n">
        <v>15</v>
      </c>
      <c r="F3678" s="1" t="s">
        <v>9</v>
      </c>
    </row>
    <row collapsed="false" customFormat="false" customHeight="false" hidden="false" ht="14.75" outlineLevel="0" r="3679">
      <c r="A3679" s="1" t="s">
        <v>1413</v>
      </c>
      <c r="B3679" s="1" t="s">
        <v>2537</v>
      </c>
      <c r="C3679" s="1" t="s">
        <v>2249</v>
      </c>
      <c r="D3679" s="1" t="n">
        <v>263.9</v>
      </c>
      <c r="E3679" s="1" t="n">
        <v>12.74</v>
      </c>
      <c r="F3679" s="1" t="s">
        <v>9</v>
      </c>
    </row>
    <row collapsed="false" customFormat="false" customHeight="false" hidden="false" ht="14.75" outlineLevel="0" r="3680">
      <c r="A3680" s="1" t="s">
        <v>1414</v>
      </c>
      <c r="B3680" s="1" t="s">
        <v>2537</v>
      </c>
      <c r="C3680" s="1" t="s">
        <v>2249</v>
      </c>
      <c r="D3680" s="1" t="n">
        <v>212</v>
      </c>
      <c r="E3680" s="1" t="n">
        <v>13.91</v>
      </c>
      <c r="F3680" s="1" t="s">
        <v>9</v>
      </c>
    </row>
    <row collapsed="false" customFormat="false" customHeight="false" hidden="false" ht="14.75" outlineLevel="0" r="3681">
      <c r="A3681" s="1" t="s">
        <v>2538</v>
      </c>
      <c r="B3681" s="1" t="s">
        <v>2537</v>
      </c>
      <c r="C3681" s="1" t="s">
        <v>2249</v>
      </c>
      <c r="D3681" s="1" t="n">
        <v>131.7</v>
      </c>
      <c r="E3681" s="1" t="n">
        <v>10.68</v>
      </c>
      <c r="F3681" s="1" t="s">
        <v>9</v>
      </c>
    </row>
    <row collapsed="false" customFormat="false" customHeight="false" hidden="false" ht="14.75" outlineLevel="0" r="3682">
      <c r="A3682" s="1" t="s">
        <v>2539</v>
      </c>
      <c r="B3682" s="1" t="s">
        <v>2537</v>
      </c>
      <c r="C3682" s="1" t="s">
        <v>2249</v>
      </c>
      <c r="D3682" s="1" t="n">
        <v>56.1</v>
      </c>
      <c r="E3682" s="1" t="n">
        <v>7.1</v>
      </c>
      <c r="F3682" s="1" t="s">
        <v>9</v>
      </c>
    </row>
    <row collapsed="false" customFormat="false" customHeight="false" hidden="false" ht="14.75" outlineLevel="0" r="3683">
      <c r="A3683" s="1" t="s">
        <v>2540</v>
      </c>
      <c r="B3683" s="1" t="s">
        <v>2537</v>
      </c>
      <c r="C3683" s="1" t="s">
        <v>2249</v>
      </c>
      <c r="D3683" s="1" t="n">
        <v>16.1</v>
      </c>
      <c r="E3683" s="1" t="n">
        <v>3.33</v>
      </c>
      <c r="F3683" s="1" t="s">
        <v>9</v>
      </c>
    </row>
    <row collapsed="false" customFormat="false" customHeight="false" hidden="false" ht="14.75" outlineLevel="0" r="3684">
      <c r="A3684" s="1" t="s">
        <v>812</v>
      </c>
      <c r="B3684" s="1" t="s">
        <v>2541</v>
      </c>
      <c r="C3684" s="1" t="s">
        <v>2524</v>
      </c>
      <c r="D3684" s="1" t="n">
        <v>418.2</v>
      </c>
      <c r="E3684" s="1" t="n">
        <v>22.85</v>
      </c>
      <c r="F3684" s="1" t="s">
        <v>9</v>
      </c>
    </row>
    <row collapsed="false" customFormat="false" customHeight="false" hidden="false" ht="14.75" outlineLevel="0" r="3685">
      <c r="A3685" s="1" t="s">
        <v>2542</v>
      </c>
      <c r="B3685" s="1" t="s">
        <v>2541</v>
      </c>
      <c r="C3685" s="1" t="s">
        <v>2524</v>
      </c>
      <c r="D3685" s="1" t="n">
        <v>455.9</v>
      </c>
      <c r="E3685" s="1" t="n">
        <v>25.66</v>
      </c>
      <c r="F3685" s="1" t="s">
        <v>9</v>
      </c>
    </row>
    <row collapsed="false" customFormat="false" customHeight="false" hidden="false" ht="14.75" outlineLevel="0" r="3686">
      <c r="A3686" s="1" t="s">
        <v>986</v>
      </c>
      <c r="B3686" s="1" t="s">
        <v>2541</v>
      </c>
      <c r="C3686" s="1" t="s">
        <v>2524</v>
      </c>
      <c r="D3686" s="1" t="n">
        <v>430.5</v>
      </c>
      <c r="E3686" s="1" t="n">
        <v>25.2</v>
      </c>
      <c r="F3686" s="1" t="s">
        <v>9</v>
      </c>
    </row>
    <row collapsed="false" customFormat="false" customHeight="false" hidden="false" ht="14.75" outlineLevel="0" r="3687">
      <c r="A3687" s="1" t="s">
        <v>151</v>
      </c>
      <c r="B3687" s="1" t="s">
        <v>2541</v>
      </c>
      <c r="C3687" s="1" t="s">
        <v>2524</v>
      </c>
      <c r="D3687" s="1" t="n">
        <v>318</v>
      </c>
      <c r="E3687" s="1" t="n">
        <v>20.76</v>
      </c>
      <c r="F3687" s="1" t="s">
        <v>9</v>
      </c>
    </row>
    <row collapsed="false" customFormat="false" customHeight="false" hidden="false" ht="14.75" outlineLevel="0" r="3688">
      <c r="A3688" s="1" t="s">
        <v>1943</v>
      </c>
      <c r="B3688" s="1" t="s">
        <v>2541</v>
      </c>
      <c r="C3688" s="1" t="s">
        <v>2524</v>
      </c>
      <c r="D3688" s="1" t="n">
        <v>272.5</v>
      </c>
      <c r="E3688" s="1" t="n">
        <v>20.85</v>
      </c>
      <c r="F3688" s="1" t="s">
        <v>9</v>
      </c>
    </row>
    <row collapsed="false" customFormat="false" customHeight="false" hidden="false" ht="14.75" outlineLevel="0" r="3689">
      <c r="A3689" s="1" t="s">
        <v>302</v>
      </c>
      <c r="B3689" s="1" t="s">
        <v>2541</v>
      </c>
      <c r="C3689" s="1" t="s">
        <v>2524</v>
      </c>
      <c r="D3689" s="1" t="n">
        <v>277</v>
      </c>
      <c r="E3689" s="1" t="n">
        <v>19.06</v>
      </c>
      <c r="F3689" s="1" t="s">
        <v>9</v>
      </c>
    </row>
    <row collapsed="false" customFormat="false" customHeight="false" hidden="false" ht="14.75" outlineLevel="0" r="3690">
      <c r="A3690" s="1" t="s">
        <v>561</v>
      </c>
      <c r="B3690" s="1" t="s">
        <v>2541</v>
      </c>
      <c r="C3690" s="1" t="s">
        <v>2524</v>
      </c>
      <c r="D3690" s="1" t="n">
        <v>291</v>
      </c>
      <c r="E3690" s="1" t="n">
        <v>18.93</v>
      </c>
      <c r="F3690" s="1" t="s">
        <v>9</v>
      </c>
    </row>
    <row collapsed="false" customFormat="false" customHeight="false" hidden="false" ht="14.75" outlineLevel="0" r="3691">
      <c r="A3691" s="1" t="s">
        <v>2543</v>
      </c>
      <c r="B3691" s="1" t="s">
        <v>2541</v>
      </c>
      <c r="C3691" s="1" t="s">
        <v>2524</v>
      </c>
      <c r="D3691" s="1" t="n">
        <v>266</v>
      </c>
      <c r="E3691" s="1" t="n">
        <v>16.31</v>
      </c>
      <c r="F3691" s="1" t="s">
        <v>9</v>
      </c>
    </row>
    <row collapsed="false" customFormat="false" customHeight="false" hidden="false" ht="14.75" outlineLevel="0" r="3692">
      <c r="A3692" s="1" t="s">
        <v>152</v>
      </c>
      <c r="B3692" s="1" t="s">
        <v>2541</v>
      </c>
      <c r="C3692" s="1" t="s">
        <v>2524</v>
      </c>
      <c r="D3692" s="1" t="n">
        <v>248</v>
      </c>
      <c r="E3692" s="1" t="n">
        <v>18.54</v>
      </c>
      <c r="F3692" s="1" t="s">
        <v>9</v>
      </c>
    </row>
    <row collapsed="false" customFormat="false" customHeight="false" hidden="false" ht="14.75" outlineLevel="0" r="3693">
      <c r="A3693" s="1" t="s">
        <v>2544</v>
      </c>
      <c r="B3693" s="1" t="s">
        <v>2541</v>
      </c>
      <c r="C3693" s="1" t="s">
        <v>2524</v>
      </c>
      <c r="D3693" s="1" t="n">
        <v>227.5</v>
      </c>
      <c r="E3693" s="1" t="n">
        <v>16.48</v>
      </c>
      <c r="F3693" s="1" t="s">
        <v>9</v>
      </c>
    </row>
    <row collapsed="false" customFormat="false" customHeight="false" hidden="false" ht="14.75" outlineLevel="0" r="3694">
      <c r="A3694" s="1" t="s">
        <v>2521</v>
      </c>
      <c r="B3694" s="1" t="s">
        <v>2541</v>
      </c>
      <c r="C3694" s="1" t="s">
        <v>2524</v>
      </c>
      <c r="D3694" s="1" t="n">
        <v>197.5</v>
      </c>
      <c r="E3694" s="1" t="n">
        <v>14</v>
      </c>
      <c r="F3694" s="1" t="s">
        <v>9</v>
      </c>
    </row>
    <row collapsed="false" customFormat="false" customHeight="false" hidden="false" ht="14.75" outlineLevel="0" r="3695">
      <c r="A3695" s="1" t="s">
        <v>2545</v>
      </c>
      <c r="B3695" s="1" t="s">
        <v>2541</v>
      </c>
      <c r="C3695" s="1" t="s">
        <v>2524</v>
      </c>
      <c r="D3695" s="1" t="n">
        <v>190.5</v>
      </c>
      <c r="E3695" s="1" t="n">
        <v>14.63</v>
      </c>
      <c r="F3695" s="1" t="s">
        <v>9</v>
      </c>
    </row>
    <row collapsed="false" customFormat="false" customHeight="false" hidden="false" ht="14.75" outlineLevel="0" r="3696">
      <c r="A3696" s="1" t="s">
        <v>1889</v>
      </c>
      <c r="B3696" s="1" t="s">
        <v>2541</v>
      </c>
      <c r="C3696" s="1" t="s">
        <v>2524</v>
      </c>
      <c r="D3696" s="1" t="n">
        <v>262.8</v>
      </c>
      <c r="E3696" s="1" t="n">
        <v>16.67</v>
      </c>
      <c r="F3696" s="1" t="s">
        <v>9</v>
      </c>
    </row>
    <row collapsed="false" customFormat="false" customHeight="false" hidden="false" ht="14.75" outlineLevel="0" r="3697">
      <c r="A3697" s="1" t="s">
        <v>1941</v>
      </c>
      <c r="B3697" s="1" t="s">
        <v>2541</v>
      </c>
      <c r="C3697" s="1" t="s">
        <v>2524</v>
      </c>
      <c r="D3697" s="1" t="n">
        <v>160.5</v>
      </c>
      <c r="E3697" s="1" t="n">
        <v>13.15</v>
      </c>
      <c r="F3697" s="1" t="s">
        <v>9</v>
      </c>
    </row>
    <row collapsed="false" customFormat="false" customHeight="false" hidden="false" ht="14.75" outlineLevel="0" r="3698">
      <c r="A3698" s="1" t="s">
        <v>142</v>
      </c>
      <c r="B3698" s="1" t="s">
        <v>2541</v>
      </c>
      <c r="C3698" s="1" t="s">
        <v>2524</v>
      </c>
      <c r="D3698" s="1" t="n">
        <v>71.7</v>
      </c>
      <c r="E3698" s="1" t="n">
        <v>8.16</v>
      </c>
      <c r="F3698" s="1" t="s">
        <v>9</v>
      </c>
    </row>
    <row collapsed="false" customFormat="false" customHeight="false" hidden="false" ht="14.75" outlineLevel="0" r="3699">
      <c r="A3699" s="1" t="s">
        <v>2522</v>
      </c>
      <c r="B3699" s="1" t="s">
        <v>2541</v>
      </c>
      <c r="C3699" s="1" t="s">
        <v>2524</v>
      </c>
      <c r="D3699" s="1" t="n">
        <v>108.5</v>
      </c>
      <c r="E3699" s="1" t="n">
        <v>9.15</v>
      </c>
      <c r="F3699" s="1" t="s">
        <v>9</v>
      </c>
    </row>
    <row collapsed="false" customFormat="false" customHeight="false" hidden="false" ht="14.75" outlineLevel="0" r="3700">
      <c r="A3700" s="1" t="s">
        <v>1942</v>
      </c>
      <c r="B3700" s="1" t="s">
        <v>2541</v>
      </c>
      <c r="C3700" s="1" t="s">
        <v>2524</v>
      </c>
      <c r="D3700" s="1" t="n">
        <v>58.3</v>
      </c>
      <c r="E3700" s="1" t="n">
        <v>6.36</v>
      </c>
      <c r="F3700" s="1" t="s">
        <v>9</v>
      </c>
    </row>
    <row collapsed="false" customFormat="false" customHeight="false" hidden="false" ht="14.75" outlineLevel="0" r="3701">
      <c r="A3701" s="1" t="s">
        <v>2546</v>
      </c>
      <c r="B3701" s="1" t="s">
        <v>2541</v>
      </c>
      <c r="C3701" s="1" t="s">
        <v>2524</v>
      </c>
      <c r="D3701" s="1" t="n">
        <v>34.3</v>
      </c>
      <c r="E3701" s="1" t="n">
        <v>5.29</v>
      </c>
      <c r="F3701" s="1" t="s">
        <v>9</v>
      </c>
    </row>
    <row collapsed="false" customFormat="false" customHeight="false" hidden="false" ht="14.75" outlineLevel="0" r="3702">
      <c r="A3702" s="1" t="s">
        <v>392</v>
      </c>
      <c r="B3702" s="1" t="s">
        <v>1877</v>
      </c>
      <c r="C3702" s="1" t="s">
        <v>1877</v>
      </c>
      <c r="D3702" s="1" t="n">
        <v>335.5</v>
      </c>
      <c r="E3702" s="1" t="n">
        <v>21.75</v>
      </c>
      <c r="F3702" s="1" t="n">
        <v>3.5</v>
      </c>
    </row>
    <row collapsed="false" customFormat="false" customHeight="false" hidden="false" ht="14.75" outlineLevel="0" r="3703">
      <c r="A3703" s="1" t="s">
        <v>108</v>
      </c>
      <c r="B3703" s="1" t="s">
        <v>1877</v>
      </c>
      <c r="C3703" s="1" t="s">
        <v>1877</v>
      </c>
      <c r="D3703" s="1" t="n">
        <v>303.6</v>
      </c>
      <c r="E3703" s="1" t="n">
        <v>19.28</v>
      </c>
      <c r="F3703" s="1" t="n">
        <f aca="false">39/11</f>
        <v>3.54545454545455</v>
      </c>
    </row>
    <row collapsed="false" customFormat="false" customHeight="false" hidden="false" ht="14.75" outlineLevel="0" r="3704">
      <c r="A3704" s="1" t="s">
        <v>339</v>
      </c>
      <c r="B3704" s="1" t="s">
        <v>1877</v>
      </c>
      <c r="C3704" s="1" t="s">
        <v>1877</v>
      </c>
      <c r="D3704" s="1" t="n">
        <v>400.6</v>
      </c>
      <c r="E3704" s="1" t="n">
        <v>22.19</v>
      </c>
      <c r="F3704" s="1" t="n">
        <f aca="false">48/8</f>
        <v>6</v>
      </c>
    </row>
    <row collapsed="false" customFormat="false" customHeight="false" hidden="false" ht="14.75" outlineLevel="0" r="3705">
      <c r="A3705" s="1" t="s">
        <v>1263</v>
      </c>
      <c r="B3705" s="1" t="s">
        <v>1877</v>
      </c>
      <c r="C3705" s="1" t="s">
        <v>1877</v>
      </c>
      <c r="D3705" s="1" t="n">
        <v>320.6</v>
      </c>
      <c r="E3705" s="1" t="n">
        <v>18.64</v>
      </c>
      <c r="F3705" s="1" t="n">
        <v>2</v>
      </c>
    </row>
    <row collapsed="false" customFormat="false" customHeight="false" hidden="false" ht="14.75" outlineLevel="0" r="3706">
      <c r="A3706" s="1" t="s">
        <v>393</v>
      </c>
      <c r="B3706" s="1" t="s">
        <v>1877</v>
      </c>
      <c r="C3706" s="1" t="s">
        <v>1877</v>
      </c>
      <c r="D3706" s="1" t="n">
        <v>243.8</v>
      </c>
      <c r="E3706" s="1" t="n">
        <v>16.53</v>
      </c>
      <c r="F3706" s="1" t="n">
        <f aca="false">22/8</f>
        <v>2.75</v>
      </c>
    </row>
    <row collapsed="false" customFormat="false" customHeight="false" hidden="false" ht="14.75" outlineLevel="0" r="3707">
      <c r="A3707" s="1" t="s">
        <v>391</v>
      </c>
      <c r="B3707" s="1" t="s">
        <v>1877</v>
      </c>
      <c r="C3707" s="1" t="s">
        <v>1877</v>
      </c>
      <c r="D3707" s="1" t="n">
        <v>460</v>
      </c>
      <c r="E3707" s="1" t="n">
        <v>23.48</v>
      </c>
      <c r="F3707" s="1" t="n">
        <v>6.4</v>
      </c>
    </row>
    <row collapsed="false" customFormat="false" customHeight="false" hidden="false" ht="14.75" outlineLevel="0" r="3708">
      <c r="A3708" s="1" t="s">
        <v>174</v>
      </c>
      <c r="B3708" s="1" t="s">
        <v>1877</v>
      </c>
      <c r="C3708" s="1" t="s">
        <v>1877</v>
      </c>
      <c r="D3708" s="1" t="n">
        <v>466</v>
      </c>
      <c r="E3708" s="1" t="n">
        <v>24.35</v>
      </c>
      <c r="F3708" s="1" t="n">
        <v>5.8</v>
      </c>
    </row>
    <row collapsed="false" customFormat="false" customHeight="false" hidden="false" ht="14.75" outlineLevel="0" r="3709">
      <c r="A3709" s="1" t="s">
        <v>2035</v>
      </c>
      <c r="B3709" s="1" t="s">
        <v>1877</v>
      </c>
      <c r="C3709" s="1" t="s">
        <v>1877</v>
      </c>
      <c r="D3709" s="1" t="n">
        <v>341.7</v>
      </c>
      <c r="E3709" s="1" t="n">
        <v>17.94</v>
      </c>
      <c r="F3709" s="1" t="n">
        <f aca="false">35/9</f>
        <v>3.88888888888889</v>
      </c>
    </row>
    <row collapsed="false" customFormat="false" customHeight="false" hidden="false" ht="14.75" outlineLevel="0" r="3710">
      <c r="A3710" s="1" t="s">
        <v>2547</v>
      </c>
      <c r="B3710" s="1" t="s">
        <v>1877</v>
      </c>
      <c r="C3710" s="1" t="s">
        <v>1877</v>
      </c>
      <c r="D3710" s="1" t="n">
        <v>204.4</v>
      </c>
      <c r="E3710" s="1" t="n">
        <v>15.97</v>
      </c>
      <c r="F3710" s="1" t="n">
        <f aca="false">13/8</f>
        <v>1.625</v>
      </c>
    </row>
    <row collapsed="false" customFormat="false" customHeight="false" hidden="false" ht="14.75" outlineLevel="0" r="3711">
      <c r="A3711" s="1" t="s">
        <v>130</v>
      </c>
      <c r="B3711" s="1" t="s">
        <v>1877</v>
      </c>
      <c r="C3711" s="1" t="s">
        <v>1877</v>
      </c>
      <c r="D3711" s="1" t="n">
        <v>169.4</v>
      </c>
      <c r="E3711" s="1" t="n">
        <v>14.72</v>
      </c>
      <c r="F3711" s="1" t="n">
        <f aca="false">13/8</f>
        <v>1.625</v>
      </c>
    </row>
    <row collapsed="false" customFormat="false" customHeight="false" hidden="false" ht="14.75" outlineLevel="0" r="3712">
      <c r="A3712" s="1" t="s">
        <v>316</v>
      </c>
      <c r="B3712" s="1" t="s">
        <v>1877</v>
      </c>
      <c r="C3712" s="1" t="s">
        <v>1877</v>
      </c>
      <c r="D3712" s="1" t="n">
        <v>240.8</v>
      </c>
      <c r="E3712" s="1" t="n">
        <v>16.98</v>
      </c>
      <c r="F3712" s="1" t="n">
        <f aca="false">19/7</f>
        <v>2.71428571428571</v>
      </c>
    </row>
    <row collapsed="false" customFormat="false" customHeight="false" hidden="false" ht="14.75" outlineLevel="0" r="3713">
      <c r="A3713" s="1" t="s">
        <v>2548</v>
      </c>
      <c r="B3713" s="1" t="s">
        <v>1877</v>
      </c>
      <c r="C3713" s="1" t="s">
        <v>1877</v>
      </c>
      <c r="D3713" s="1" t="n">
        <v>215.8</v>
      </c>
      <c r="E3713" s="1" t="n">
        <v>16</v>
      </c>
      <c r="F3713" s="1" t="n">
        <f aca="false">8/7</f>
        <v>1.14285714285714</v>
      </c>
    </row>
    <row collapsed="false" customFormat="false" customHeight="false" hidden="false" ht="14.75" outlineLevel="0" r="3714">
      <c r="A3714" s="1" t="s">
        <v>2549</v>
      </c>
      <c r="B3714" s="1" t="s">
        <v>1877</v>
      </c>
      <c r="C3714" s="1" t="s">
        <v>1877</v>
      </c>
      <c r="D3714" s="1" t="n">
        <v>202.1</v>
      </c>
      <c r="E3714" s="1" t="n">
        <v>16.14</v>
      </c>
      <c r="F3714" s="1" t="n">
        <f aca="false">7/8</f>
        <v>0.875</v>
      </c>
    </row>
    <row collapsed="false" customFormat="false" customHeight="false" hidden="false" ht="14.75" outlineLevel="0" r="3715">
      <c r="A3715" s="1" t="s">
        <v>110</v>
      </c>
      <c r="B3715" s="1" t="s">
        <v>1877</v>
      </c>
      <c r="C3715" s="1" t="s">
        <v>1877</v>
      </c>
      <c r="D3715" s="1" t="n">
        <v>230</v>
      </c>
      <c r="E3715" s="1" t="n">
        <v>14.84</v>
      </c>
      <c r="F3715" s="1" t="n">
        <v>2</v>
      </c>
    </row>
    <row collapsed="false" customFormat="false" customHeight="false" hidden="false" ht="14.75" outlineLevel="0" r="3716">
      <c r="A3716" s="1" t="s">
        <v>184</v>
      </c>
      <c r="B3716" s="1" t="s">
        <v>1877</v>
      </c>
      <c r="C3716" s="1" t="s">
        <v>1877</v>
      </c>
      <c r="D3716" s="1" t="n">
        <v>256</v>
      </c>
      <c r="E3716" s="1" t="n">
        <v>16.2</v>
      </c>
      <c r="F3716" s="1" t="n">
        <f aca="false">6/8</f>
        <v>0.75</v>
      </c>
    </row>
    <row collapsed="false" customFormat="false" customHeight="false" hidden="false" ht="14.75" outlineLevel="0" r="3717">
      <c r="A3717" s="1" t="s">
        <v>564</v>
      </c>
      <c r="B3717" s="1" t="s">
        <v>1877</v>
      </c>
      <c r="C3717" s="1" t="s">
        <v>1877</v>
      </c>
      <c r="D3717" s="1" t="n">
        <v>268.1</v>
      </c>
      <c r="E3717" s="1" t="n">
        <v>16.88</v>
      </c>
      <c r="F3717" s="1" t="n">
        <v>2</v>
      </c>
    </row>
    <row collapsed="false" customFormat="false" customHeight="false" hidden="false" ht="14.75" outlineLevel="0" r="3718">
      <c r="A3718" s="1" t="s">
        <v>2049</v>
      </c>
      <c r="B3718" s="1" t="s">
        <v>1877</v>
      </c>
      <c r="C3718" s="1" t="s">
        <v>1877</v>
      </c>
      <c r="D3718" s="1" t="n">
        <v>213.9</v>
      </c>
      <c r="E3718" s="1" t="n">
        <v>15.13</v>
      </c>
      <c r="F3718" s="1" t="n">
        <f aca="false">10/9</f>
        <v>1.11111111111111</v>
      </c>
    </row>
    <row collapsed="false" customFormat="false" customHeight="false" hidden="false" ht="14.75" outlineLevel="0" r="3719">
      <c r="A3719" s="1" t="s">
        <v>1341</v>
      </c>
      <c r="B3719" s="1" t="s">
        <v>1877</v>
      </c>
      <c r="C3719" s="1" t="s">
        <v>1877</v>
      </c>
      <c r="D3719" s="1" t="n">
        <v>224.4</v>
      </c>
      <c r="E3719" s="1" t="n">
        <v>13.87</v>
      </c>
      <c r="F3719" s="1" t="n">
        <f aca="false">6/8</f>
        <v>0.75</v>
      </c>
    </row>
    <row collapsed="false" customFormat="false" customHeight="false" hidden="false" ht="14.75" outlineLevel="0" r="3720">
      <c r="A3720" s="1" t="s">
        <v>2550</v>
      </c>
      <c r="B3720" s="1" t="s">
        <v>1877</v>
      </c>
      <c r="C3720" s="1" t="s">
        <v>1877</v>
      </c>
      <c r="D3720" s="1" t="n">
        <v>219.3</v>
      </c>
      <c r="E3720" s="1" t="n">
        <v>17.68</v>
      </c>
      <c r="F3720" s="1" t="n">
        <v>2</v>
      </c>
    </row>
    <row collapsed="false" customFormat="false" customHeight="false" hidden="false" ht="14.75" outlineLevel="0" r="3721">
      <c r="A3721" s="1" t="s">
        <v>2551</v>
      </c>
      <c r="B3721" s="1" t="s">
        <v>1877</v>
      </c>
      <c r="C3721" s="1" t="s">
        <v>1877</v>
      </c>
      <c r="D3721" s="1" t="n">
        <v>151.4</v>
      </c>
      <c r="E3721" s="1" t="n">
        <v>12.71</v>
      </c>
      <c r="F3721" s="1" t="n">
        <v>1</v>
      </c>
    </row>
    <row collapsed="false" customFormat="false" customHeight="false" hidden="false" ht="14.75" outlineLevel="0" r="3722">
      <c r="A3722" s="1" t="s">
        <v>2048</v>
      </c>
      <c r="B3722" s="1" t="s">
        <v>1877</v>
      </c>
      <c r="C3722" s="1" t="s">
        <v>1877</v>
      </c>
      <c r="D3722" s="1" t="n">
        <v>135</v>
      </c>
      <c r="E3722" s="1" t="n">
        <v>11.11</v>
      </c>
      <c r="F3722" s="1" t="n">
        <f aca="false">5/8</f>
        <v>0.625</v>
      </c>
    </row>
    <row collapsed="false" customFormat="false" customHeight="false" hidden="false" ht="14.75" outlineLevel="0" r="3723">
      <c r="A3723" s="1" t="s">
        <v>2090</v>
      </c>
      <c r="B3723" s="1" t="s">
        <v>1877</v>
      </c>
      <c r="C3723" s="1" t="s">
        <v>1877</v>
      </c>
      <c r="D3723" s="1" t="n">
        <v>173.8</v>
      </c>
      <c r="E3723" s="1" t="n">
        <v>11.91</v>
      </c>
      <c r="F3723" s="1" t="n">
        <f aca="false">10/8</f>
        <v>1.25</v>
      </c>
    </row>
    <row collapsed="false" customFormat="false" customHeight="false" hidden="false" ht="14.75" outlineLevel="0" r="3724">
      <c r="A3724" s="1" t="s">
        <v>2552</v>
      </c>
      <c r="B3724" s="1" t="s">
        <v>1877</v>
      </c>
      <c r="C3724" s="1" t="s">
        <v>1877</v>
      </c>
      <c r="D3724" s="1" t="n">
        <v>116.7</v>
      </c>
      <c r="E3724" s="1" t="n">
        <v>15.36</v>
      </c>
      <c r="F3724" s="1" t="n">
        <f aca="false">2/7</f>
        <v>0.285714285714286</v>
      </c>
    </row>
    <row collapsed="false" customFormat="false" customHeight="false" hidden="false" ht="14.75" outlineLevel="0" r="3725">
      <c r="A3725" s="1" t="s">
        <v>1275</v>
      </c>
      <c r="B3725" s="1" t="s">
        <v>1877</v>
      </c>
      <c r="C3725" s="1" t="s">
        <v>1877</v>
      </c>
      <c r="D3725" s="1" t="n">
        <v>108.8</v>
      </c>
      <c r="E3725" s="1" t="n">
        <v>9.33</v>
      </c>
      <c r="F3725" s="1" t="n">
        <f aca="false">5/9</f>
        <v>0.555555555555556</v>
      </c>
    </row>
    <row collapsed="false" customFormat="false" customHeight="false" hidden="false" ht="14.75" outlineLevel="0" r="3726">
      <c r="A3726" s="1" t="s">
        <v>1867</v>
      </c>
      <c r="B3726" s="1" t="s">
        <v>1877</v>
      </c>
      <c r="C3726" s="1" t="s">
        <v>1877</v>
      </c>
      <c r="D3726" s="1" t="n">
        <v>85</v>
      </c>
      <c r="E3726" s="1" t="n">
        <v>10.95</v>
      </c>
      <c r="F3726" s="1" t="n">
        <v>0</v>
      </c>
    </row>
    <row collapsed="false" customFormat="false" customHeight="false" hidden="false" ht="14.75" outlineLevel="0" r="3727">
      <c r="A3727" s="1" t="s">
        <v>2553</v>
      </c>
      <c r="B3727" s="1" t="s">
        <v>1877</v>
      </c>
      <c r="C3727" s="1" t="s">
        <v>1877</v>
      </c>
      <c r="D3727" s="1" t="n">
        <v>61.9</v>
      </c>
      <c r="E3727" s="1" t="n">
        <v>7</v>
      </c>
      <c r="F3727" s="1" t="n">
        <f aca="false">1/9</f>
        <v>0.111111111111111</v>
      </c>
    </row>
    <row collapsed="false" customFormat="false" customHeight="false" hidden="false" ht="14.75" outlineLevel="0" r="3728">
      <c r="A3728" s="1" t="s">
        <v>208</v>
      </c>
      <c r="B3728" s="1" t="s">
        <v>2554</v>
      </c>
      <c r="C3728" s="1" t="s">
        <v>1877</v>
      </c>
      <c r="D3728" s="1" t="n">
        <v>599.3</v>
      </c>
      <c r="E3728" s="1" t="n">
        <v>26.48</v>
      </c>
      <c r="F3728" s="1" t="n">
        <f aca="false">61/7</f>
        <v>8.71428571428571</v>
      </c>
    </row>
    <row collapsed="false" customFormat="false" customHeight="false" hidden="false" ht="14.75" outlineLevel="0" r="3729">
      <c r="A3729" s="1" t="s">
        <v>211</v>
      </c>
      <c r="B3729" s="1" t="s">
        <v>2554</v>
      </c>
      <c r="C3729" s="1" t="s">
        <v>1877</v>
      </c>
      <c r="D3729" s="1" t="n">
        <v>601.4</v>
      </c>
      <c r="E3729" s="1" t="n">
        <v>28.35</v>
      </c>
      <c r="F3729" s="1" t="n">
        <f aca="false">71/7</f>
        <v>10.1428571428571</v>
      </c>
    </row>
    <row collapsed="false" customFormat="false" customHeight="false" hidden="false" ht="14.75" outlineLevel="0" r="3730">
      <c r="A3730" s="1" t="s">
        <v>988</v>
      </c>
      <c r="B3730" s="1" t="s">
        <v>2554</v>
      </c>
      <c r="C3730" s="1" t="s">
        <v>1877</v>
      </c>
      <c r="D3730" s="1" t="n">
        <v>487.9</v>
      </c>
      <c r="E3730" s="1" t="n">
        <v>25.82</v>
      </c>
      <c r="F3730" s="1" t="n">
        <v>7</v>
      </c>
    </row>
    <row collapsed="false" customFormat="false" customHeight="false" hidden="false" ht="14.75" outlineLevel="0" r="3731">
      <c r="A3731" s="1" t="s">
        <v>2555</v>
      </c>
      <c r="B3731" s="1" t="s">
        <v>2554</v>
      </c>
      <c r="C3731" s="1" t="s">
        <v>1877</v>
      </c>
      <c r="D3731" s="1" t="n">
        <v>329.3</v>
      </c>
      <c r="E3731" s="1" t="n">
        <v>20.82</v>
      </c>
      <c r="F3731" s="1" t="n">
        <f aca="false">17/7</f>
        <v>2.42857142857143</v>
      </c>
    </row>
    <row collapsed="false" customFormat="false" customHeight="false" hidden="false" ht="14.75" outlineLevel="0" r="3732">
      <c r="A3732" s="1" t="s">
        <v>214</v>
      </c>
      <c r="B3732" s="1" t="s">
        <v>2554</v>
      </c>
      <c r="C3732" s="1" t="s">
        <v>1877</v>
      </c>
      <c r="D3732" s="1" t="n">
        <v>153.6</v>
      </c>
      <c r="E3732" s="1" t="n">
        <v>13.98</v>
      </c>
      <c r="F3732" s="1" t="n">
        <f aca="false">8/7</f>
        <v>1.14285714285714</v>
      </c>
    </row>
    <row collapsed="false" customFormat="false" customHeight="false" hidden="false" ht="14.75" outlineLevel="0" r="3733">
      <c r="A3733" s="1" t="s">
        <v>2556</v>
      </c>
      <c r="B3733" s="1" t="s">
        <v>2554</v>
      </c>
      <c r="C3733" s="1" t="s">
        <v>1877</v>
      </c>
      <c r="D3733" s="1" t="n">
        <v>207.9</v>
      </c>
      <c r="E3733" s="1" t="n">
        <v>18.11</v>
      </c>
      <c r="F3733" s="1" t="n">
        <f aca="false">11/7</f>
        <v>1.57142857142857</v>
      </c>
    </row>
    <row collapsed="false" customFormat="false" customHeight="false" hidden="false" ht="14.75" outlineLevel="0" r="3734">
      <c r="A3734" s="1" t="s">
        <v>2557</v>
      </c>
      <c r="B3734" s="1" t="s">
        <v>2554</v>
      </c>
      <c r="C3734" s="1" t="s">
        <v>1877</v>
      </c>
      <c r="D3734" s="1" t="n">
        <v>85</v>
      </c>
      <c r="E3734" s="1" t="n">
        <v>11.03</v>
      </c>
      <c r="F3734" s="1" t="n">
        <f aca="false">5/7</f>
        <v>0.714285714285714</v>
      </c>
    </row>
    <row collapsed="false" customFormat="false" customHeight="false" hidden="false" ht="14.75" outlineLevel="0" r="3735">
      <c r="A3735" s="1" t="s">
        <v>224</v>
      </c>
      <c r="B3735" s="1" t="s">
        <v>2554</v>
      </c>
      <c r="C3735" s="1" t="s">
        <v>1877</v>
      </c>
      <c r="D3735" s="1" t="n">
        <v>77.1</v>
      </c>
      <c r="E3735" s="1" t="n">
        <v>10.38</v>
      </c>
      <c r="F3735" s="1" t="n">
        <f aca="false">3/7</f>
        <v>0.428571428571429</v>
      </c>
    </row>
    <row collapsed="false" customFormat="false" customHeight="false" hidden="false" ht="14.75" outlineLevel="0" r="3736">
      <c r="A3736" s="1" t="s">
        <v>2558</v>
      </c>
      <c r="B3736" s="1" t="s">
        <v>2554</v>
      </c>
      <c r="C3736" s="1" t="s">
        <v>1877</v>
      </c>
      <c r="D3736" s="1" t="n">
        <v>527.1</v>
      </c>
      <c r="E3736" s="1" t="n">
        <v>25.56</v>
      </c>
      <c r="F3736" s="1" t="n">
        <f aca="false">50/7</f>
        <v>7.14285714285714</v>
      </c>
    </row>
    <row collapsed="false" customFormat="false" customHeight="false" hidden="false" ht="14.75" outlineLevel="0" r="3737">
      <c r="A3737" s="1" t="s">
        <v>212</v>
      </c>
      <c r="B3737" s="1" t="s">
        <v>2554</v>
      </c>
      <c r="C3737" s="1" t="s">
        <v>1877</v>
      </c>
      <c r="D3737" s="1" t="n">
        <v>542.1</v>
      </c>
      <c r="E3737" s="1" t="n">
        <v>25.54</v>
      </c>
      <c r="F3737" s="1" t="n">
        <f aca="false">59/7</f>
        <v>8.42857142857143</v>
      </c>
    </row>
    <row collapsed="false" customFormat="false" customHeight="false" hidden="false" ht="14.75" outlineLevel="0" r="3738">
      <c r="A3738" s="1" t="s">
        <v>213</v>
      </c>
      <c r="B3738" s="1" t="s">
        <v>2554</v>
      </c>
      <c r="C3738" s="1" t="s">
        <v>1877</v>
      </c>
      <c r="D3738" s="1" t="n">
        <v>277.1</v>
      </c>
      <c r="E3738" s="1" t="n">
        <v>22.46</v>
      </c>
      <c r="F3738" s="1" t="n">
        <f aca="false">25/7</f>
        <v>3.57142857142857</v>
      </c>
    </row>
    <row collapsed="false" customFormat="false" customHeight="false" hidden="false" ht="14.75" outlineLevel="0" r="3739">
      <c r="A3739" s="1" t="s">
        <v>215</v>
      </c>
      <c r="B3739" s="1" t="s">
        <v>2554</v>
      </c>
      <c r="C3739" s="1" t="s">
        <v>1877</v>
      </c>
      <c r="D3739" s="1" t="n">
        <v>242.1</v>
      </c>
      <c r="E3739" s="1" t="n">
        <v>18.64</v>
      </c>
      <c r="F3739" s="1" t="n">
        <f aca="false">15/7</f>
        <v>2.14285714285714</v>
      </c>
    </row>
    <row collapsed="false" customFormat="false" customHeight="false" hidden="false" ht="14.75" outlineLevel="0" r="3740">
      <c r="A3740" s="1" t="s">
        <v>209</v>
      </c>
      <c r="B3740" s="1" t="s">
        <v>2554</v>
      </c>
      <c r="C3740" s="1" t="s">
        <v>1877</v>
      </c>
      <c r="D3740" s="1" t="n">
        <v>286.4</v>
      </c>
      <c r="E3740" s="1" t="n">
        <v>20.47</v>
      </c>
      <c r="F3740" s="1" t="n">
        <v>4</v>
      </c>
    </row>
    <row collapsed="false" customFormat="false" customHeight="false" hidden="false" ht="14.75" outlineLevel="0" r="3741">
      <c r="A3741" s="1" t="s">
        <v>223</v>
      </c>
      <c r="B3741" s="1" t="s">
        <v>2554</v>
      </c>
      <c r="C3741" s="1" t="s">
        <v>1877</v>
      </c>
      <c r="D3741" s="1" t="n">
        <v>258.6</v>
      </c>
      <c r="E3741" s="1" t="n">
        <v>20.51</v>
      </c>
      <c r="F3741" s="1" t="n">
        <f aca="false">25/7</f>
        <v>3.57142857142857</v>
      </c>
    </row>
    <row collapsed="false" customFormat="false" customHeight="false" hidden="false" ht="14.75" outlineLevel="0" r="3742">
      <c r="A3742" s="1" t="s">
        <v>2559</v>
      </c>
      <c r="B3742" s="1" t="s">
        <v>2554</v>
      </c>
      <c r="C3742" s="1" t="s">
        <v>1877</v>
      </c>
      <c r="D3742" s="1" t="n">
        <v>88.3</v>
      </c>
      <c r="E3742" s="1" t="n">
        <v>12</v>
      </c>
      <c r="F3742" s="1" t="n">
        <f aca="false">5/7</f>
        <v>0.714285714285714</v>
      </c>
    </row>
    <row collapsed="false" customFormat="false" customHeight="false" hidden="false" ht="14.75" outlineLevel="0" r="3743">
      <c r="A3743" s="1" t="s">
        <v>2560</v>
      </c>
      <c r="B3743" s="1" t="s">
        <v>2554</v>
      </c>
      <c r="C3743" s="1" t="s">
        <v>1877</v>
      </c>
      <c r="D3743" s="1" t="n">
        <v>115</v>
      </c>
      <c r="E3743" s="1" t="n">
        <v>12.19</v>
      </c>
      <c r="F3743" s="1" t="n">
        <f aca="false">5/7</f>
        <v>0.714285714285714</v>
      </c>
    </row>
    <row collapsed="false" customFormat="false" customHeight="false" hidden="false" ht="14.9" outlineLevel="0" r="3744">
      <c r="A3744" s="2" t="s">
        <v>107</v>
      </c>
      <c r="B3744" s="2" t="s">
        <v>2561</v>
      </c>
      <c r="C3744" s="2" t="s">
        <v>1627</v>
      </c>
      <c r="D3744" s="2" t="n">
        <v>522.5</v>
      </c>
      <c r="E3744" s="2" t="n">
        <v>24.35</v>
      </c>
      <c r="F3744" s="2" t="n">
        <f aca="false">101/12</f>
        <v>8.41666666666667</v>
      </c>
    </row>
    <row collapsed="false" customFormat="false" customHeight="false" hidden="false" ht="14.75" outlineLevel="0" r="3745">
      <c r="A3745" s="1" t="s">
        <v>101</v>
      </c>
      <c r="B3745" s="1" t="s">
        <v>2561</v>
      </c>
      <c r="C3745" s="1" t="s">
        <v>1627</v>
      </c>
      <c r="D3745" s="1" t="n">
        <v>481.7</v>
      </c>
      <c r="E3745" s="1" t="n">
        <v>23.31</v>
      </c>
      <c r="F3745" s="1" t="n">
        <f aca="false">94/12</f>
        <v>7.83333333333333</v>
      </c>
    </row>
    <row collapsed="false" customFormat="false" customHeight="false" hidden="false" ht="14.9" outlineLevel="0" r="3746">
      <c r="A3746" s="1" t="s">
        <v>2562</v>
      </c>
      <c r="B3746" s="1" t="s">
        <v>2561</v>
      </c>
      <c r="C3746" s="1" t="s">
        <v>1627</v>
      </c>
      <c r="D3746" s="1" t="n">
        <v>285.4</v>
      </c>
      <c r="E3746" s="1" t="n">
        <v>19.33</v>
      </c>
      <c r="F3746" s="1" t="n">
        <f aca="false">38/11</f>
        <v>3.45454545454545</v>
      </c>
    </row>
    <row collapsed="false" customFormat="false" customHeight="false" hidden="false" ht="14.75" outlineLevel="0" r="3747">
      <c r="A3747" s="1" t="s">
        <v>2563</v>
      </c>
      <c r="B3747" s="1" t="s">
        <v>2561</v>
      </c>
      <c r="C3747" s="1" t="s">
        <v>1627</v>
      </c>
      <c r="D3747" s="1" t="n">
        <v>219.3</v>
      </c>
      <c r="E3747" s="1" t="n">
        <v>16.29</v>
      </c>
      <c r="F3747" s="1" t="n">
        <f aca="false">28/11</f>
        <v>2.54545454545455</v>
      </c>
    </row>
    <row collapsed="false" customFormat="false" customHeight="false" hidden="false" ht="14.9" outlineLevel="0" r="3748">
      <c r="A3748" s="1" t="s">
        <v>1998</v>
      </c>
      <c r="B3748" s="1" t="s">
        <v>2561</v>
      </c>
      <c r="C3748" s="1" t="s">
        <v>1627</v>
      </c>
      <c r="D3748" s="1" t="n">
        <v>349</v>
      </c>
      <c r="E3748" s="1" t="n">
        <v>23.33</v>
      </c>
      <c r="F3748" s="1" t="n">
        <v>4.2</v>
      </c>
    </row>
    <row collapsed="false" customFormat="false" customHeight="false" hidden="false" ht="14.9" outlineLevel="0" r="3749">
      <c r="A3749" s="1" t="s">
        <v>2564</v>
      </c>
      <c r="B3749" s="1" t="s">
        <v>2561</v>
      </c>
      <c r="C3749" s="1" t="s">
        <v>1627</v>
      </c>
      <c r="D3749" s="1" t="n">
        <v>198.5</v>
      </c>
      <c r="E3749" s="1" t="n">
        <v>19.55</v>
      </c>
      <c r="F3749" s="1" t="n">
        <v>2</v>
      </c>
    </row>
    <row collapsed="false" customFormat="false" customHeight="false" hidden="false" ht="14.75" outlineLevel="0" r="3750">
      <c r="A3750" s="1" t="s">
        <v>102</v>
      </c>
      <c r="B3750" s="1" t="s">
        <v>2561</v>
      </c>
      <c r="C3750" s="1" t="s">
        <v>1627</v>
      </c>
      <c r="D3750" s="1" t="n">
        <v>257</v>
      </c>
      <c r="E3750" s="1" t="n">
        <v>18.11</v>
      </c>
      <c r="F3750" s="1" t="n">
        <v>2.6</v>
      </c>
    </row>
    <row collapsed="false" customFormat="false" customHeight="false" hidden="false" ht="14.75" outlineLevel="0" r="3751">
      <c r="A3751" s="1" t="s">
        <v>2565</v>
      </c>
      <c r="B3751" s="1" t="s">
        <v>2561</v>
      </c>
      <c r="C3751" s="1" t="s">
        <v>1627</v>
      </c>
      <c r="D3751" s="1" t="n">
        <v>262</v>
      </c>
      <c r="E3751" s="1" t="n">
        <v>16.56</v>
      </c>
      <c r="F3751" s="1" t="n">
        <v>2</v>
      </c>
    </row>
    <row collapsed="false" customFormat="false" customHeight="false" hidden="false" ht="14.9" outlineLevel="0" r="3752">
      <c r="A3752" s="1" t="s">
        <v>1999</v>
      </c>
      <c r="B3752" s="1" t="s">
        <v>2561</v>
      </c>
      <c r="C3752" s="1" t="s">
        <v>1627</v>
      </c>
      <c r="D3752" s="1" t="n">
        <v>209.5</v>
      </c>
      <c r="E3752" s="1" t="n">
        <v>17.57</v>
      </c>
      <c r="F3752" s="1" t="n">
        <v>1.4</v>
      </c>
    </row>
    <row collapsed="false" customFormat="false" customHeight="false" hidden="false" ht="14.9" outlineLevel="0" r="3753">
      <c r="A3753" s="1" t="s">
        <v>2005</v>
      </c>
      <c r="B3753" s="1" t="s">
        <v>2561</v>
      </c>
      <c r="C3753" s="1" t="s">
        <v>1627</v>
      </c>
      <c r="D3753" s="1" t="n">
        <v>214</v>
      </c>
      <c r="E3753" s="1" t="n">
        <v>15.78</v>
      </c>
      <c r="F3753" s="1" t="n">
        <v>1.9</v>
      </c>
    </row>
    <row collapsed="false" customFormat="false" customHeight="false" hidden="false" ht="14.75" outlineLevel="0" r="3754">
      <c r="A3754" s="1" t="s">
        <v>2566</v>
      </c>
      <c r="B3754" s="1" t="s">
        <v>2561</v>
      </c>
      <c r="C3754" s="1" t="s">
        <v>1627</v>
      </c>
      <c r="D3754" s="1" t="n">
        <v>60</v>
      </c>
      <c r="E3754" s="1" t="n">
        <v>11.43</v>
      </c>
      <c r="F3754" s="1" t="n">
        <v>0</v>
      </c>
    </row>
    <row collapsed="false" customFormat="false" customHeight="false" hidden="false" ht="14.75" outlineLevel="0" r="3755">
      <c r="A3755" s="1" t="s">
        <v>2567</v>
      </c>
      <c r="B3755" s="1" t="s">
        <v>2561</v>
      </c>
      <c r="C3755" s="1" t="s">
        <v>1627</v>
      </c>
      <c r="D3755" s="1" t="n">
        <v>179.5</v>
      </c>
      <c r="E3755" s="1" t="n">
        <v>14.66</v>
      </c>
      <c r="F3755" s="1" t="n">
        <v>1.6</v>
      </c>
    </row>
    <row collapsed="false" customFormat="false" customHeight="false" hidden="false" ht="14.75" outlineLevel="0" r="3756">
      <c r="A3756" s="1" t="s">
        <v>2568</v>
      </c>
      <c r="B3756" s="1" t="s">
        <v>2569</v>
      </c>
      <c r="C3756" s="1" t="s">
        <v>2254</v>
      </c>
      <c r="D3756" s="1" t="n">
        <v>331.7</v>
      </c>
      <c r="E3756" s="1" t="n">
        <v>14.44</v>
      </c>
      <c r="F3756" s="1" t="n">
        <f aca="false">21/12</f>
        <v>1.75</v>
      </c>
    </row>
    <row collapsed="false" customFormat="false" customHeight="false" hidden="false" ht="14.9" outlineLevel="0" r="3757">
      <c r="A3757" s="1" t="s">
        <v>2570</v>
      </c>
      <c r="B3757" s="1" t="s">
        <v>2569</v>
      </c>
      <c r="C3757" s="1" t="s">
        <v>2254</v>
      </c>
      <c r="D3757" s="1" t="n">
        <v>160.4</v>
      </c>
      <c r="E3757" s="1" t="n">
        <v>10.52</v>
      </c>
      <c r="F3757" s="1" t="n">
        <f aca="false">2/12</f>
        <v>0.166666666666667</v>
      </c>
    </row>
    <row collapsed="false" customFormat="false" customHeight="false" hidden="false" ht="14.75" outlineLevel="0" r="3758">
      <c r="A3758" s="1" t="s">
        <v>2571</v>
      </c>
      <c r="B3758" s="1" t="s">
        <v>2569</v>
      </c>
      <c r="C3758" s="1" t="s">
        <v>2254</v>
      </c>
      <c r="D3758" s="1" t="n">
        <v>65</v>
      </c>
      <c r="E3758" s="1" t="n">
        <v>6.81</v>
      </c>
      <c r="F3758" s="1" t="n">
        <f aca="false">1/12</f>
        <v>0.0833333333333333</v>
      </c>
    </row>
    <row collapsed="false" customFormat="false" customHeight="false" hidden="false" ht="14.9" outlineLevel="0" r="3759">
      <c r="A3759" s="1" t="s">
        <v>2572</v>
      </c>
      <c r="B3759" s="1" t="s">
        <v>2569</v>
      </c>
      <c r="C3759" s="1" t="s">
        <v>2254</v>
      </c>
      <c r="D3759" s="1" t="n">
        <v>32.9</v>
      </c>
      <c r="E3759" s="1" t="n">
        <v>6</v>
      </c>
      <c r="F3759" s="1" t="n">
        <f aca="false">2/12</f>
        <v>0.166666666666667</v>
      </c>
    </row>
    <row collapsed="false" customFormat="false" customHeight="false" hidden="false" ht="14.75" outlineLevel="0" r="3760">
      <c r="A3760" s="1" t="s">
        <v>2573</v>
      </c>
      <c r="B3760" s="1" t="s">
        <v>2574</v>
      </c>
      <c r="C3760" s="1" t="s">
        <v>1787</v>
      </c>
      <c r="D3760" s="1" t="n">
        <v>415.6</v>
      </c>
      <c r="E3760" s="1" t="n">
        <v>19.8</v>
      </c>
      <c r="F3760" s="1" t="n">
        <f aca="false">29/9</f>
        <v>3.22222222222222</v>
      </c>
    </row>
    <row collapsed="false" customFormat="false" customHeight="false" hidden="false" ht="14.9" outlineLevel="0" r="3761">
      <c r="A3761" s="1" t="s">
        <v>1445</v>
      </c>
      <c r="B3761" s="1" t="s">
        <v>2574</v>
      </c>
      <c r="C3761" s="1" t="s">
        <v>1787</v>
      </c>
      <c r="D3761" s="1" t="n">
        <v>293.3</v>
      </c>
      <c r="E3761" s="1" t="n">
        <v>15.64</v>
      </c>
      <c r="F3761" s="1" t="n">
        <f aca="false">25/9</f>
        <v>2.77777777777778</v>
      </c>
    </row>
    <row collapsed="false" customFormat="false" customHeight="false" hidden="false" ht="14.75" outlineLevel="0" r="3762">
      <c r="A3762" s="1" t="s">
        <v>2160</v>
      </c>
      <c r="B3762" s="1" t="s">
        <v>2574</v>
      </c>
      <c r="C3762" s="1" t="s">
        <v>1787</v>
      </c>
      <c r="D3762" s="1" t="n">
        <v>235</v>
      </c>
      <c r="E3762" s="1" t="n">
        <v>13.93</v>
      </c>
      <c r="F3762" s="1" t="n">
        <f aca="false">7/9</f>
        <v>0.777777777777778</v>
      </c>
    </row>
    <row collapsed="false" customFormat="false" customHeight="false" hidden="false" ht="14.75" outlineLevel="0" r="3763">
      <c r="A3763" s="1" t="s">
        <v>2575</v>
      </c>
      <c r="B3763" s="1" t="s">
        <v>2574</v>
      </c>
      <c r="C3763" s="1" t="s">
        <v>1787</v>
      </c>
      <c r="D3763" s="1" t="n">
        <v>157.2</v>
      </c>
      <c r="E3763" s="1" t="n">
        <v>11.36</v>
      </c>
      <c r="F3763" s="1" t="n">
        <f aca="false">10/9</f>
        <v>1.11111111111111</v>
      </c>
    </row>
    <row collapsed="false" customFormat="false" customHeight="false" hidden="false" ht="14.75" outlineLevel="0" r="3764">
      <c r="A3764" s="1" t="s">
        <v>2576</v>
      </c>
      <c r="B3764" s="1" t="s">
        <v>2574</v>
      </c>
      <c r="C3764" s="1" t="s">
        <v>1787</v>
      </c>
      <c r="D3764" s="1" t="n">
        <v>229.4</v>
      </c>
      <c r="E3764" s="1" t="n">
        <v>15.37</v>
      </c>
      <c r="F3764" s="1" t="n">
        <v>2</v>
      </c>
    </row>
    <row collapsed="false" customFormat="false" customHeight="false" hidden="false" ht="14.75" outlineLevel="0" r="3765">
      <c r="A3765" s="1" t="s">
        <v>2577</v>
      </c>
      <c r="B3765" s="1" t="s">
        <v>2574</v>
      </c>
      <c r="C3765" s="1" t="s">
        <v>1787</v>
      </c>
      <c r="D3765" s="1" t="n">
        <v>196.7</v>
      </c>
      <c r="E3765" s="1" t="n">
        <v>14.13</v>
      </c>
      <c r="F3765" s="1" t="n">
        <f aca="false">8/9</f>
        <v>0.888888888888889</v>
      </c>
    </row>
    <row collapsed="false" customFormat="false" customHeight="false" hidden="false" ht="14.9" outlineLevel="0" r="3766">
      <c r="A3766" s="1" t="s">
        <v>1446</v>
      </c>
      <c r="B3766" s="1" t="s">
        <v>2574</v>
      </c>
      <c r="C3766" s="1" t="s">
        <v>1787</v>
      </c>
      <c r="D3766" s="1" t="n">
        <v>143.3</v>
      </c>
      <c r="E3766" s="1" t="n">
        <v>11.13</v>
      </c>
      <c r="F3766" s="1" t="n">
        <f aca="false">3/9</f>
        <v>0.333333333333333</v>
      </c>
    </row>
    <row collapsed="false" customFormat="false" customHeight="false" hidden="false" ht="14.75" outlineLevel="0" r="3767">
      <c r="A3767" s="1" t="s">
        <v>1920</v>
      </c>
      <c r="B3767" s="1" t="s">
        <v>2574</v>
      </c>
      <c r="C3767" s="1" t="s">
        <v>1787</v>
      </c>
      <c r="D3767" s="1" t="n">
        <v>142.2</v>
      </c>
      <c r="E3767" s="1" t="n">
        <v>12.12</v>
      </c>
      <c r="F3767" s="1" t="n">
        <f aca="false">2/9</f>
        <v>0.222222222222222</v>
      </c>
    </row>
    <row collapsed="false" customFormat="false" customHeight="false" hidden="false" ht="14.75" outlineLevel="0" r="3768">
      <c r="A3768" s="1" t="s">
        <v>2578</v>
      </c>
      <c r="B3768" s="1" t="s">
        <v>2574</v>
      </c>
      <c r="C3768" s="1" t="s">
        <v>1787</v>
      </c>
      <c r="D3768" s="1" t="n">
        <v>189.3</v>
      </c>
      <c r="E3768" s="1" t="n">
        <v>11.61</v>
      </c>
      <c r="F3768" s="1" t="n">
        <f aca="false">3/9</f>
        <v>0.333333333333333</v>
      </c>
    </row>
    <row collapsed="false" customFormat="false" customHeight="false" hidden="false" ht="14.75" outlineLevel="0" r="3769">
      <c r="A3769" s="1" t="s">
        <v>2579</v>
      </c>
      <c r="B3769" s="1" t="s">
        <v>2574</v>
      </c>
      <c r="C3769" s="1" t="s">
        <v>1787</v>
      </c>
      <c r="D3769" s="1" t="n">
        <v>72.1</v>
      </c>
      <c r="E3769" s="1" t="n">
        <v>6.13</v>
      </c>
      <c r="F3769" s="1" t="n">
        <f aca="false">1/9</f>
        <v>0.111111111111111</v>
      </c>
    </row>
    <row collapsed="false" customFormat="false" customHeight="false" hidden="false" ht="14.9" outlineLevel="0" r="3770">
      <c r="A3770" s="1" t="s">
        <v>2580</v>
      </c>
      <c r="B3770" s="1" t="s">
        <v>2574</v>
      </c>
      <c r="C3770" s="1" t="s">
        <v>1787</v>
      </c>
      <c r="D3770" s="1" t="n">
        <v>87.1</v>
      </c>
      <c r="E3770" s="1" t="n">
        <v>6.58</v>
      </c>
      <c r="F3770" s="1" t="n">
        <v>0</v>
      </c>
    </row>
    <row collapsed="false" customFormat="false" customHeight="false" hidden="false" ht="14.75" outlineLevel="0" r="3771">
      <c r="A3771" s="1" t="s">
        <v>2581</v>
      </c>
      <c r="B3771" s="1" t="s">
        <v>2574</v>
      </c>
      <c r="C3771" s="1" t="s">
        <v>1787</v>
      </c>
      <c r="D3771" s="1" t="n">
        <v>3.6</v>
      </c>
      <c r="E3771" s="1" t="n">
        <v>5</v>
      </c>
      <c r="F3771" s="1" t="n">
        <v>0</v>
      </c>
    </row>
    <row collapsed="false" customFormat="false" customHeight="false" hidden="false" ht="14.75" outlineLevel="0" r="3772">
      <c r="A3772" s="1" t="s">
        <v>400</v>
      </c>
      <c r="B3772" s="1" t="s">
        <v>2582</v>
      </c>
      <c r="C3772" s="1" t="s">
        <v>2040</v>
      </c>
      <c r="D3772" s="1" t="n">
        <v>497.9</v>
      </c>
      <c r="E3772" s="1" t="n">
        <v>21.84</v>
      </c>
      <c r="F3772" s="1" t="n">
        <f aca="false">45/12</f>
        <v>3.75</v>
      </c>
    </row>
    <row collapsed="false" customFormat="false" customHeight="false" hidden="false" ht="14.75" outlineLevel="0" r="3773">
      <c r="A3773" s="1" t="s">
        <v>819</v>
      </c>
      <c r="B3773" s="1" t="s">
        <v>2582</v>
      </c>
      <c r="C3773" s="1" t="s">
        <v>2040</v>
      </c>
      <c r="D3773" s="1" t="n">
        <v>344.2</v>
      </c>
      <c r="E3773" s="1" t="n">
        <v>16.65</v>
      </c>
      <c r="F3773" s="1" t="n">
        <f aca="false">23/12</f>
        <v>1.91666666666667</v>
      </c>
    </row>
    <row collapsed="false" customFormat="false" customHeight="false" hidden="false" ht="14.9" outlineLevel="0" r="3774">
      <c r="A3774" s="1" t="s">
        <v>2583</v>
      </c>
      <c r="B3774" s="1" t="s">
        <v>2582</v>
      </c>
      <c r="C3774" s="1" t="s">
        <v>2040</v>
      </c>
      <c r="D3774" s="1" t="n">
        <v>389.8</v>
      </c>
      <c r="E3774" s="1" t="n">
        <v>19.09</v>
      </c>
      <c r="F3774" s="1" t="n">
        <f aca="false">46/12</f>
        <v>3.83333333333333</v>
      </c>
    </row>
    <row collapsed="false" customFormat="false" customHeight="false" hidden="false" ht="14.9" outlineLevel="0" r="3775">
      <c r="A3775" s="1" t="s">
        <v>2584</v>
      </c>
      <c r="B3775" s="1" t="s">
        <v>2582</v>
      </c>
      <c r="C3775" s="1" t="s">
        <v>2040</v>
      </c>
      <c r="D3775" s="1" t="n">
        <v>228.9</v>
      </c>
      <c r="E3775" s="1" t="n">
        <v>13.48</v>
      </c>
      <c r="F3775" s="1" t="n">
        <f aca="false">7/12</f>
        <v>0.583333333333333</v>
      </c>
    </row>
    <row collapsed="false" customFormat="false" customHeight="false" hidden="false" ht="14.9" outlineLevel="0" r="3776">
      <c r="A3776" s="1" t="s">
        <v>2585</v>
      </c>
      <c r="B3776" s="1" t="s">
        <v>2582</v>
      </c>
      <c r="C3776" s="1" t="s">
        <v>2040</v>
      </c>
      <c r="D3776" s="1" t="n">
        <v>245.8</v>
      </c>
      <c r="E3776" s="1" t="n">
        <v>16.17</v>
      </c>
      <c r="F3776" s="1" t="n">
        <f aca="false">11/12</f>
        <v>0.916666666666667</v>
      </c>
    </row>
    <row collapsed="false" customFormat="false" customHeight="false" hidden="false" ht="14.75" outlineLevel="0" r="3777">
      <c r="A3777" s="1" t="s">
        <v>401</v>
      </c>
      <c r="B3777" s="1" t="s">
        <v>2582</v>
      </c>
      <c r="C3777" s="1" t="s">
        <v>2040</v>
      </c>
      <c r="D3777" s="1" t="n">
        <v>281.2</v>
      </c>
      <c r="E3777" s="1" t="n">
        <v>16.41</v>
      </c>
      <c r="F3777" s="1" t="n">
        <f aca="false">32/12</f>
        <v>2.66666666666667</v>
      </c>
    </row>
    <row collapsed="false" customFormat="false" customHeight="false" hidden="false" ht="14.9" outlineLevel="0" r="3778">
      <c r="A3778" s="1" t="s">
        <v>2586</v>
      </c>
      <c r="B3778" s="1" t="s">
        <v>2582</v>
      </c>
      <c r="C3778" s="1" t="s">
        <v>2040</v>
      </c>
      <c r="D3778" s="1" t="n">
        <v>154.6</v>
      </c>
      <c r="E3778" s="1" t="n">
        <v>8.57</v>
      </c>
      <c r="F3778" s="1" t="n">
        <f aca="false">3/12</f>
        <v>0.25</v>
      </c>
    </row>
    <row collapsed="false" customFormat="false" customHeight="false" hidden="false" ht="14.9" outlineLevel="0" r="3779">
      <c r="A3779" s="1" t="s">
        <v>2587</v>
      </c>
      <c r="B3779" s="1" t="s">
        <v>2582</v>
      </c>
      <c r="C3779" s="1" t="s">
        <v>2040</v>
      </c>
      <c r="D3779" s="1" t="n">
        <v>184.3</v>
      </c>
      <c r="E3779" s="1" t="n">
        <v>12.73</v>
      </c>
      <c r="F3779" s="1" t="n">
        <f aca="false">4/12</f>
        <v>0.333333333333333</v>
      </c>
    </row>
    <row collapsed="false" customFormat="false" customHeight="false" hidden="false" ht="14.9" outlineLevel="0" r="3780">
      <c r="A3780" s="1" t="s">
        <v>2588</v>
      </c>
      <c r="B3780" s="1" t="s">
        <v>2582</v>
      </c>
      <c r="C3780" s="1" t="s">
        <v>2040</v>
      </c>
      <c r="D3780" s="1" t="n">
        <v>103.8</v>
      </c>
      <c r="E3780" s="1" t="n">
        <v>9.02</v>
      </c>
      <c r="F3780" s="1" t="n">
        <f aca="false">6/12</f>
        <v>0.5</v>
      </c>
    </row>
    <row collapsed="false" customFormat="false" customHeight="false" hidden="false" ht="14.9" outlineLevel="0" r="3781">
      <c r="A3781" s="1" t="s">
        <v>2589</v>
      </c>
      <c r="B3781" s="1" t="s">
        <v>2582</v>
      </c>
      <c r="C3781" s="1" t="s">
        <v>2040</v>
      </c>
      <c r="D3781" s="1" t="n">
        <v>112</v>
      </c>
      <c r="E3781" s="1" t="n">
        <v>9.55</v>
      </c>
      <c r="F3781" s="1" t="n">
        <v>0.5</v>
      </c>
    </row>
    <row collapsed="false" customFormat="false" customHeight="false" hidden="false" ht="14.9" outlineLevel="0" r="3782">
      <c r="A3782" s="1" t="s">
        <v>2590</v>
      </c>
      <c r="B3782" s="1" t="s">
        <v>2582</v>
      </c>
      <c r="C3782" s="1" t="s">
        <v>2040</v>
      </c>
      <c r="D3782" s="1" t="n">
        <v>61.3</v>
      </c>
      <c r="E3782" s="1" t="n">
        <v>5.95</v>
      </c>
      <c r="F3782" s="1" t="n">
        <f aca="false">4/12</f>
        <v>0.333333333333333</v>
      </c>
    </row>
    <row collapsed="false" customFormat="false" customHeight="false" hidden="false" ht="14.9" outlineLevel="0" r="3783">
      <c r="A3783" s="1" t="s">
        <v>2591</v>
      </c>
      <c r="B3783" s="1" t="s">
        <v>2582</v>
      </c>
      <c r="C3783" s="1" t="s">
        <v>2040</v>
      </c>
      <c r="D3783" s="1" t="n">
        <v>55</v>
      </c>
      <c r="E3783" s="1" t="n">
        <v>7.33</v>
      </c>
      <c r="F3783" s="1" t="n">
        <f aca="false">1/12</f>
        <v>0.0833333333333333</v>
      </c>
    </row>
    <row collapsed="false" customFormat="false" customHeight="false" hidden="false" ht="14.9" outlineLevel="0" r="3784">
      <c r="A3784" s="1" t="s">
        <v>2592</v>
      </c>
      <c r="B3784" s="1" t="s">
        <v>2582</v>
      </c>
      <c r="C3784" s="1" t="s">
        <v>2040</v>
      </c>
      <c r="D3784" s="1" t="n">
        <v>24.3</v>
      </c>
      <c r="E3784" s="1" t="n">
        <v>5</v>
      </c>
      <c r="F3784" s="1" t="n">
        <f aca="false">3/12</f>
        <v>0.25</v>
      </c>
    </row>
  </sheetData>
  <autoFilter ref="A1:F3743"/>
  <printOptions headings="false" gridLines="false" gridLinesSet="true" horizontalCentered="false" verticalCentered="false"/>
  <pageMargins left="0.7" right="0.7" top="0.75" bottom="0.75" header="0.511805555555555" footer="0.511805555555555"/>
  <pageSetup blackAndWhite="false" cellComments="none" copies="1" draft="false" firstPageNumber="0" fitToHeight="1" fitToWidth="1" horizontalDpi="300" orientation="portrait" pageOrder="downThenOver" paperSize="1" scale="100" useFirstPageNumber="false" usePrinterDefaults="false" verticalDpi="300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1063"/>
  <sheetViews>
    <sheetView colorId="64" defaultGridColor="true" rightToLeft="false" showFormulas="false" showGridLines="true" showOutlineSymbols="true" showRowColHeaders="true" showZeros="true" tabSelected="false" topLeftCell="A1034" view="normal" windowProtection="false" workbookViewId="0" zoomScale="85" zoomScaleNormal="85" zoomScalePageLayoutView="100">
      <selection activeCell="A1052" activeCellId="0" pane="topLeft" sqref="A1052"/>
    </sheetView>
  </sheetViews>
  <cols>
    <col collapsed="false" hidden="false" max="1025" min="1" style="0" width="8.5921568627451"/>
  </cols>
  <sheetData>
    <row collapsed="false" customFormat="false" customHeight="false" hidden="false" ht="14.75" outlineLevel="0"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collapsed="false" customFormat="false" customHeight="false" hidden="false" ht="14.75" outlineLevel="0" r="2">
      <c r="A2" s="1" t="s">
        <v>785</v>
      </c>
      <c r="B2" s="1" t="s">
        <v>786</v>
      </c>
      <c r="C2" s="1" t="s">
        <v>787</v>
      </c>
      <c r="D2" s="1" t="n">
        <v>145.5</v>
      </c>
      <c r="E2" s="1" t="n">
        <v>10</v>
      </c>
      <c r="F2" s="1" t="n">
        <f aca="false">8/11</f>
        <v>0.727272727272727</v>
      </c>
    </row>
    <row collapsed="false" customFormat="false" customHeight="false" hidden="false" ht="14.75" outlineLevel="0" r="3">
      <c r="A3" s="1" t="s">
        <v>788</v>
      </c>
      <c r="B3" s="1" t="s">
        <v>786</v>
      </c>
      <c r="C3" s="1" t="s">
        <v>787</v>
      </c>
      <c r="D3" s="1" t="n">
        <v>117</v>
      </c>
      <c r="E3" s="1" t="n">
        <v>8.44</v>
      </c>
      <c r="F3" s="1" t="n">
        <v>1</v>
      </c>
    </row>
    <row collapsed="false" customFormat="false" customHeight="false" hidden="false" ht="14.75" outlineLevel="0" r="4">
      <c r="A4" s="1" t="s">
        <v>789</v>
      </c>
      <c r="B4" s="1" t="s">
        <v>790</v>
      </c>
      <c r="C4" s="1" t="s">
        <v>787</v>
      </c>
      <c r="D4" s="1" t="n">
        <v>403.5</v>
      </c>
      <c r="E4" s="1" t="n">
        <v>20.95</v>
      </c>
      <c r="F4" s="1" t="n">
        <v>4.6</v>
      </c>
    </row>
    <row collapsed="false" customFormat="false" customHeight="false" hidden="false" ht="14.75" outlineLevel="0" r="5">
      <c r="A5" s="1" t="s">
        <v>791</v>
      </c>
      <c r="B5" s="1" t="s">
        <v>790</v>
      </c>
      <c r="C5" s="1" t="s">
        <v>787</v>
      </c>
      <c r="D5" s="1" t="n">
        <v>385</v>
      </c>
      <c r="E5" s="1" t="n">
        <v>19.37</v>
      </c>
      <c r="F5" s="1" t="n">
        <v>5.2</v>
      </c>
    </row>
    <row collapsed="false" customFormat="false" customHeight="false" hidden="false" ht="14.75" outlineLevel="0" r="6">
      <c r="A6" s="1" t="s">
        <v>792</v>
      </c>
      <c r="B6" s="1" t="s">
        <v>790</v>
      </c>
      <c r="C6" s="1" t="s">
        <v>787</v>
      </c>
      <c r="D6" s="1" t="n">
        <v>177.5</v>
      </c>
      <c r="E6" s="1" t="n">
        <v>13.75</v>
      </c>
      <c r="F6" s="1" t="n">
        <v>1.6</v>
      </c>
    </row>
    <row collapsed="false" customFormat="false" customHeight="false" hidden="false" ht="14.75" outlineLevel="0" r="7">
      <c r="A7" s="1" t="s">
        <v>793</v>
      </c>
      <c r="B7" s="1" t="s">
        <v>790</v>
      </c>
      <c r="C7" s="1" t="s">
        <v>787</v>
      </c>
      <c r="D7" s="1" t="n">
        <v>223.5</v>
      </c>
      <c r="E7" s="1" t="n">
        <v>15.41</v>
      </c>
      <c r="F7" s="1" t="n">
        <v>3.3</v>
      </c>
    </row>
    <row collapsed="false" customFormat="false" customHeight="false" hidden="false" ht="14.75" outlineLevel="0" r="8">
      <c r="A8" s="1" t="s">
        <v>794</v>
      </c>
      <c r="B8" s="1" t="s">
        <v>790</v>
      </c>
      <c r="C8" s="1" t="s">
        <v>787</v>
      </c>
      <c r="D8" s="1" t="n">
        <v>127.5</v>
      </c>
      <c r="E8" s="1" t="n">
        <v>11.1</v>
      </c>
      <c r="F8" s="1" t="n">
        <v>1.3</v>
      </c>
    </row>
    <row collapsed="false" customFormat="false" customHeight="false" hidden="false" ht="14.75" outlineLevel="0" r="9">
      <c r="A9" s="1" t="s">
        <v>795</v>
      </c>
      <c r="B9" s="1" t="s">
        <v>790</v>
      </c>
      <c r="C9" s="1" t="s">
        <v>787</v>
      </c>
      <c r="D9" s="1" t="n">
        <v>175.5</v>
      </c>
      <c r="E9" s="1" t="n">
        <v>14.71</v>
      </c>
      <c r="F9" s="1" t="n">
        <v>2.3</v>
      </c>
    </row>
    <row collapsed="false" customFormat="false" customHeight="false" hidden="false" ht="14.75" outlineLevel="0" r="10">
      <c r="A10" s="1" t="s">
        <v>796</v>
      </c>
      <c r="B10" s="1" t="s">
        <v>797</v>
      </c>
      <c r="C10" s="1" t="s">
        <v>787</v>
      </c>
      <c r="D10" s="1" t="n">
        <v>277</v>
      </c>
      <c r="E10" s="1" t="n">
        <v>15.05</v>
      </c>
      <c r="F10" s="1" t="n">
        <v>3</v>
      </c>
    </row>
    <row collapsed="false" customFormat="false" customHeight="false" hidden="false" ht="14.75" outlineLevel="0" r="11">
      <c r="A11" s="1" t="s">
        <v>798</v>
      </c>
      <c r="B11" s="1" t="s">
        <v>797</v>
      </c>
      <c r="C11" s="1" t="s">
        <v>787</v>
      </c>
      <c r="D11" s="1" t="n">
        <v>149.5</v>
      </c>
      <c r="E11" s="1" t="n">
        <v>10.58</v>
      </c>
      <c r="F11" s="1" t="n">
        <v>1.2</v>
      </c>
    </row>
    <row collapsed="false" customFormat="false" customHeight="false" hidden="false" ht="14.75" outlineLevel="0" r="12">
      <c r="A12" s="1" t="s">
        <v>799</v>
      </c>
      <c r="B12" s="1" t="s">
        <v>797</v>
      </c>
      <c r="C12" s="1" t="s">
        <v>787</v>
      </c>
      <c r="D12" s="1" t="n">
        <v>123.5</v>
      </c>
      <c r="E12" s="1" t="n">
        <v>9.53</v>
      </c>
      <c r="F12" s="1" t="n">
        <v>0.6</v>
      </c>
    </row>
    <row collapsed="false" customFormat="false" customHeight="false" hidden="false" ht="14.75" outlineLevel="0" r="13">
      <c r="A13" s="1" t="s">
        <v>800</v>
      </c>
      <c r="B13" s="1" t="s">
        <v>797</v>
      </c>
      <c r="C13" s="1" t="s">
        <v>787</v>
      </c>
      <c r="D13" s="1" t="n">
        <v>98.9</v>
      </c>
      <c r="E13" s="1" t="n">
        <v>6.67</v>
      </c>
      <c r="F13" s="1" t="n">
        <v>0.7</v>
      </c>
    </row>
    <row collapsed="false" customFormat="false" customHeight="false" hidden="false" ht="14.75" outlineLevel="0" r="14">
      <c r="A14" s="1" t="s">
        <v>801</v>
      </c>
      <c r="B14" s="1" t="s">
        <v>797</v>
      </c>
      <c r="C14" s="1" t="s">
        <v>787</v>
      </c>
      <c r="D14" s="1" t="n">
        <v>33.9</v>
      </c>
      <c r="E14" s="1" t="n">
        <v>5</v>
      </c>
      <c r="F14" s="1" t="n">
        <v>0.2</v>
      </c>
    </row>
    <row collapsed="false" customFormat="false" customHeight="false" hidden="false" ht="14.75" outlineLevel="0" r="15">
      <c r="A15" s="1" t="s">
        <v>513</v>
      </c>
      <c r="B15" s="1" t="s">
        <v>802</v>
      </c>
      <c r="C15" s="1" t="s">
        <v>787</v>
      </c>
      <c r="D15" s="1" t="n">
        <v>325</v>
      </c>
      <c r="E15" s="1" t="n">
        <v>19.48</v>
      </c>
      <c r="F15" s="1" t="n">
        <f aca="false">32/8</f>
        <v>4</v>
      </c>
    </row>
    <row collapsed="false" customFormat="false" customHeight="false" hidden="false" ht="14.75" outlineLevel="0" r="16">
      <c r="A16" s="1" t="s">
        <v>514</v>
      </c>
      <c r="B16" s="1" t="s">
        <v>802</v>
      </c>
      <c r="C16" s="1" t="s">
        <v>787</v>
      </c>
      <c r="D16" s="1" t="n">
        <v>308.8</v>
      </c>
      <c r="E16" s="1" t="n">
        <v>16.32</v>
      </c>
      <c r="F16" s="1" t="n">
        <f aca="false">26/8</f>
        <v>3.25</v>
      </c>
    </row>
    <row collapsed="false" customFormat="false" customHeight="false" hidden="false" ht="14.75" outlineLevel="0" r="17">
      <c r="A17" s="1" t="s">
        <v>195</v>
      </c>
      <c r="B17" s="1" t="s">
        <v>803</v>
      </c>
      <c r="C17" s="1" t="s">
        <v>787</v>
      </c>
      <c r="D17" s="1" t="n">
        <v>315</v>
      </c>
      <c r="E17" s="1" t="n">
        <v>16.11</v>
      </c>
      <c r="F17" s="1" t="n">
        <v>2</v>
      </c>
    </row>
    <row collapsed="false" customFormat="false" customHeight="false" hidden="false" ht="14.75" outlineLevel="0" r="18">
      <c r="A18" s="1" t="s">
        <v>197</v>
      </c>
      <c r="B18" s="1" t="s">
        <v>803</v>
      </c>
      <c r="C18" s="1" t="s">
        <v>787</v>
      </c>
      <c r="D18" s="1" t="n">
        <v>160</v>
      </c>
      <c r="E18" s="1" t="n">
        <v>13.57</v>
      </c>
      <c r="F18" s="1" t="n">
        <f aca="false">6/8</f>
        <v>0.75</v>
      </c>
    </row>
    <row collapsed="false" customFormat="false" customHeight="false" hidden="false" ht="14.75" outlineLevel="0" r="19">
      <c r="A19" s="1" t="s">
        <v>804</v>
      </c>
      <c r="B19" s="1" t="s">
        <v>805</v>
      </c>
      <c r="C19" s="1" t="s">
        <v>787</v>
      </c>
      <c r="D19" s="1" t="n">
        <v>76.7</v>
      </c>
      <c r="E19" s="1" t="n">
        <v>10</v>
      </c>
      <c r="F19" s="1" t="n">
        <v>0</v>
      </c>
    </row>
    <row collapsed="false" customFormat="false" customHeight="false" hidden="false" ht="14.75" outlineLevel="0" r="20">
      <c r="A20" s="1" t="s">
        <v>806</v>
      </c>
      <c r="B20" s="1" t="s">
        <v>803</v>
      </c>
      <c r="C20" s="1" t="s">
        <v>787</v>
      </c>
      <c r="D20" s="1" t="n">
        <v>131.2</v>
      </c>
      <c r="E20" s="1" t="n">
        <v>12.83</v>
      </c>
      <c r="F20" s="1" t="n">
        <f aca="false">6/8</f>
        <v>0.75</v>
      </c>
    </row>
    <row collapsed="false" customFormat="false" customHeight="false" hidden="false" ht="14.75" outlineLevel="0" r="21">
      <c r="A21" s="1" t="s">
        <v>807</v>
      </c>
      <c r="B21" s="1" t="s">
        <v>803</v>
      </c>
      <c r="C21" s="1" t="s">
        <v>787</v>
      </c>
      <c r="D21" s="1" t="n">
        <v>36.2</v>
      </c>
      <c r="E21" s="1" t="n">
        <v>8.82</v>
      </c>
      <c r="F21" s="1" t="n">
        <v>0</v>
      </c>
    </row>
    <row collapsed="false" customFormat="false" customHeight="false" hidden="false" ht="14.75" outlineLevel="0" r="22">
      <c r="A22" s="1" t="s">
        <v>808</v>
      </c>
      <c r="B22" s="1" t="s">
        <v>803</v>
      </c>
      <c r="C22" s="1" t="s">
        <v>787</v>
      </c>
      <c r="D22" s="1" t="n">
        <v>21.9</v>
      </c>
      <c r="E22" s="1" t="n">
        <v>3.33</v>
      </c>
      <c r="F22" s="1" t="n">
        <v>0.5</v>
      </c>
    </row>
    <row collapsed="false" customFormat="false" customHeight="false" hidden="false" ht="14.75" outlineLevel="0" r="23">
      <c r="A23" s="1" t="s">
        <v>809</v>
      </c>
      <c r="B23" s="1" t="s">
        <v>810</v>
      </c>
      <c r="C23" s="1" t="s">
        <v>787</v>
      </c>
      <c r="D23" s="1" t="n">
        <v>170.6</v>
      </c>
      <c r="E23" s="1" t="n">
        <v>13.73</v>
      </c>
      <c r="F23" s="1" t="n">
        <f aca="false">11/8</f>
        <v>1.375</v>
      </c>
    </row>
    <row collapsed="false" customFormat="false" customHeight="false" hidden="false" ht="14.75" outlineLevel="0" r="24">
      <c r="A24" s="1" t="s">
        <v>811</v>
      </c>
      <c r="B24" s="1" t="s">
        <v>810</v>
      </c>
      <c r="C24" s="1" t="s">
        <v>787</v>
      </c>
      <c r="D24" s="1" t="n">
        <v>27.5</v>
      </c>
      <c r="E24" s="1" t="n">
        <v>3.53</v>
      </c>
      <c r="F24" s="1" t="n">
        <f aca="false">2/8</f>
        <v>0.25</v>
      </c>
    </row>
    <row collapsed="false" customFormat="false" customHeight="false" hidden="false" ht="14.75" outlineLevel="0" r="25">
      <c r="A25" s="1" t="s">
        <v>812</v>
      </c>
      <c r="B25" s="1" t="s">
        <v>813</v>
      </c>
      <c r="C25" s="1" t="s">
        <v>787</v>
      </c>
      <c r="D25" s="1" t="n">
        <v>408.8</v>
      </c>
      <c r="E25" s="1" t="n">
        <v>22</v>
      </c>
      <c r="F25" s="1" t="n">
        <f aca="false">79/12</f>
        <v>6.58333333333333</v>
      </c>
    </row>
    <row collapsed="false" customFormat="false" customHeight="false" hidden="false" ht="14.75" outlineLevel="0" r="26">
      <c r="A26" s="1" t="s">
        <v>523</v>
      </c>
      <c r="B26" s="1" t="s">
        <v>803</v>
      </c>
      <c r="C26" s="1" t="s">
        <v>787</v>
      </c>
      <c r="D26" s="1" t="n">
        <v>131.2</v>
      </c>
      <c r="E26" s="1" t="n">
        <v>8.07</v>
      </c>
      <c r="F26" s="1" t="n">
        <f aca="false">11/8</f>
        <v>1.375</v>
      </c>
    </row>
    <row collapsed="false" customFormat="false" customHeight="false" hidden="false" ht="14.75" outlineLevel="0" r="27">
      <c r="A27" s="1" t="s">
        <v>524</v>
      </c>
      <c r="B27" s="1" t="s">
        <v>803</v>
      </c>
      <c r="C27" s="1" t="s">
        <v>787</v>
      </c>
      <c r="D27" s="1" t="n">
        <v>75.6</v>
      </c>
      <c r="E27" s="1" t="n">
        <v>7.84</v>
      </c>
      <c r="F27" s="1" t="n">
        <v>0.5</v>
      </c>
    </row>
    <row collapsed="false" customFormat="false" customHeight="false" hidden="false" ht="14.75" outlineLevel="0" r="28">
      <c r="A28" s="1" t="s">
        <v>814</v>
      </c>
      <c r="B28" s="1" t="s">
        <v>803</v>
      </c>
      <c r="C28" s="1" t="s">
        <v>787</v>
      </c>
      <c r="D28" s="1" t="n">
        <v>56.2</v>
      </c>
      <c r="E28" s="1" t="n">
        <v>5.76</v>
      </c>
      <c r="F28" s="1" t="n">
        <f aca="false">2/8</f>
        <v>0.25</v>
      </c>
    </row>
    <row collapsed="false" customFormat="false" customHeight="false" hidden="false" ht="14.75" outlineLevel="0" r="29">
      <c r="A29" s="1" t="s">
        <v>815</v>
      </c>
      <c r="B29" s="1" t="s">
        <v>816</v>
      </c>
      <c r="C29" s="1" t="s">
        <v>787</v>
      </c>
      <c r="D29" s="1" t="n">
        <v>104.7</v>
      </c>
      <c r="E29" s="1" t="n">
        <v>8.39</v>
      </c>
      <c r="F29" s="1" t="n">
        <f aca="false">6/11</f>
        <v>0.545454545454545</v>
      </c>
    </row>
    <row collapsed="false" customFormat="false" customHeight="false" hidden="false" ht="14.75" outlineLevel="0" r="30">
      <c r="A30" s="1" t="s">
        <v>817</v>
      </c>
      <c r="B30" s="1" t="s">
        <v>818</v>
      </c>
      <c r="C30" s="1" t="s">
        <v>787</v>
      </c>
      <c r="D30" s="1" t="n">
        <v>37</v>
      </c>
      <c r="E30" s="1" t="n">
        <v>8</v>
      </c>
      <c r="F30" s="1" t="n">
        <f aca="false">4/5</f>
        <v>0.8</v>
      </c>
    </row>
    <row collapsed="false" customFormat="false" customHeight="false" hidden="false" ht="14.75" outlineLevel="0" r="31">
      <c r="A31" s="1" t="s">
        <v>302</v>
      </c>
      <c r="B31" s="1" t="s">
        <v>813</v>
      </c>
      <c r="C31" s="1" t="s">
        <v>787</v>
      </c>
      <c r="D31" s="1" t="n">
        <v>116</v>
      </c>
      <c r="E31" s="1" t="n">
        <v>10.89</v>
      </c>
      <c r="F31" s="1" t="n">
        <f aca="false">8/10</f>
        <v>0.8</v>
      </c>
    </row>
    <row collapsed="false" customFormat="false" customHeight="false" hidden="false" ht="14.75" outlineLevel="0" r="32">
      <c r="A32" s="1" t="s">
        <v>819</v>
      </c>
      <c r="B32" s="1" t="s">
        <v>816</v>
      </c>
      <c r="C32" s="1" t="s">
        <v>787</v>
      </c>
      <c r="D32" s="1" t="n">
        <v>326.1</v>
      </c>
      <c r="E32" s="1" t="n">
        <v>15.79</v>
      </c>
      <c r="F32" s="1" t="n">
        <f aca="false">31/11</f>
        <v>2.81818181818182</v>
      </c>
    </row>
    <row collapsed="false" customFormat="false" customHeight="false" hidden="false" ht="14.75" outlineLevel="0" r="33">
      <c r="A33" s="1" t="s">
        <v>820</v>
      </c>
      <c r="B33" s="1" t="s">
        <v>818</v>
      </c>
      <c r="C33" s="1" t="s">
        <v>787</v>
      </c>
      <c r="D33" s="1" t="n">
        <v>126.2</v>
      </c>
      <c r="E33" s="1" t="n">
        <v>9.61</v>
      </c>
      <c r="F33" s="1" t="n">
        <v>1</v>
      </c>
    </row>
    <row collapsed="false" customFormat="false" customHeight="false" hidden="false" ht="14.75" outlineLevel="0" r="34">
      <c r="A34" s="1" t="s">
        <v>821</v>
      </c>
      <c r="B34" s="1" t="s">
        <v>818</v>
      </c>
      <c r="C34" s="1" t="s">
        <v>787</v>
      </c>
      <c r="D34" s="1" t="n">
        <v>178.5</v>
      </c>
      <c r="E34" s="1" t="n">
        <v>11.98</v>
      </c>
      <c r="F34" s="1" t="n">
        <v>1.6</v>
      </c>
    </row>
    <row collapsed="false" customFormat="false" customHeight="false" hidden="false" ht="14.75" outlineLevel="0" r="35">
      <c r="A35" s="1" t="s">
        <v>103</v>
      </c>
      <c r="B35" s="1" t="s">
        <v>813</v>
      </c>
      <c r="C35" s="1" t="s">
        <v>787</v>
      </c>
      <c r="D35" s="1" t="n">
        <v>186.1</v>
      </c>
      <c r="E35" s="1" t="n">
        <v>13.77</v>
      </c>
      <c r="F35" s="1" t="n">
        <f aca="false">20/9</f>
        <v>2.22222222222222</v>
      </c>
    </row>
    <row collapsed="false" customFormat="false" customHeight="false" hidden="false" ht="14.75" outlineLevel="0" r="36">
      <c r="A36" s="1" t="s">
        <v>104</v>
      </c>
      <c r="B36" s="1" t="s">
        <v>813</v>
      </c>
      <c r="C36" s="1" t="s">
        <v>787</v>
      </c>
      <c r="D36" s="1" t="n">
        <v>146.1</v>
      </c>
      <c r="E36" s="1" t="n">
        <v>12.13</v>
      </c>
      <c r="F36" s="1" t="n">
        <f aca="false">10/9</f>
        <v>1.11111111111111</v>
      </c>
    </row>
    <row collapsed="false" customFormat="false" customHeight="false" hidden="false" ht="14.75" outlineLevel="0" r="37">
      <c r="A37" s="1" t="s">
        <v>822</v>
      </c>
      <c r="B37" s="1" t="s">
        <v>813</v>
      </c>
      <c r="C37" s="1" t="s">
        <v>787</v>
      </c>
      <c r="D37" s="1" t="n">
        <v>90</v>
      </c>
      <c r="E37" s="1" t="n">
        <v>8</v>
      </c>
      <c r="F37" s="1" t="n">
        <f aca="false">9/9</f>
        <v>1</v>
      </c>
    </row>
    <row collapsed="false" customFormat="false" customHeight="false" hidden="false" ht="14.75" outlineLevel="0" r="38">
      <c r="A38" s="1" t="s">
        <v>823</v>
      </c>
      <c r="B38" s="1" t="s">
        <v>813</v>
      </c>
      <c r="C38" s="1" t="s">
        <v>787</v>
      </c>
      <c r="D38" s="1" t="n">
        <v>65.6</v>
      </c>
      <c r="E38" s="1" t="n">
        <v>8.28</v>
      </c>
      <c r="F38" s="1" t="n">
        <f aca="false">4/9</f>
        <v>0.444444444444444</v>
      </c>
    </row>
    <row collapsed="false" customFormat="false" customHeight="false" hidden="false" ht="14.75" outlineLevel="0" r="39">
      <c r="A39" s="1" t="s">
        <v>824</v>
      </c>
      <c r="B39" s="1" t="s">
        <v>797</v>
      </c>
      <c r="C39" s="1" t="s">
        <v>787</v>
      </c>
      <c r="D39" s="1" t="n">
        <v>438.2</v>
      </c>
      <c r="E39" s="1" t="n">
        <v>21.05</v>
      </c>
      <c r="F39" s="1" t="n">
        <f aca="false">64/11</f>
        <v>5.81818181818182</v>
      </c>
    </row>
    <row collapsed="false" customFormat="false" customHeight="false" hidden="false" ht="14.75" outlineLevel="0" r="40">
      <c r="A40" s="1" t="s">
        <v>825</v>
      </c>
      <c r="B40" s="1" t="s">
        <v>797</v>
      </c>
      <c r="C40" s="1" t="s">
        <v>787</v>
      </c>
      <c r="D40" s="1" t="n">
        <v>150</v>
      </c>
      <c r="E40" s="1" t="n">
        <v>13.65</v>
      </c>
      <c r="F40" s="1" t="n">
        <v>0.7</v>
      </c>
    </row>
    <row collapsed="false" customFormat="false" customHeight="false" hidden="false" ht="14.75" outlineLevel="0" r="41">
      <c r="A41" s="1" t="s">
        <v>826</v>
      </c>
      <c r="B41" s="1" t="s">
        <v>797</v>
      </c>
      <c r="C41" s="1" t="s">
        <v>787</v>
      </c>
      <c r="D41" s="1" t="n">
        <v>114.5</v>
      </c>
      <c r="E41" s="1" t="n">
        <v>9.18</v>
      </c>
      <c r="F41" s="1" t="n">
        <v>0.6</v>
      </c>
    </row>
    <row collapsed="false" customFormat="false" customHeight="false" hidden="false" ht="14.75" outlineLevel="0" r="42">
      <c r="A42" s="1" t="s">
        <v>532</v>
      </c>
      <c r="B42" s="1" t="s">
        <v>818</v>
      </c>
      <c r="C42" s="1" t="s">
        <v>787</v>
      </c>
      <c r="D42" s="1" t="n">
        <v>154</v>
      </c>
      <c r="E42" s="1" t="n">
        <v>11.1</v>
      </c>
      <c r="F42" s="1" t="n">
        <v>1.2</v>
      </c>
    </row>
    <row collapsed="false" customFormat="false" customHeight="false" hidden="false" ht="14.75" outlineLevel="0" r="43">
      <c r="A43" s="1" t="s">
        <v>200</v>
      </c>
      <c r="B43" s="1" t="s">
        <v>803</v>
      </c>
      <c r="C43" s="1" t="s">
        <v>787</v>
      </c>
      <c r="D43" s="1" t="n">
        <f aca="false">((186.7*3)+(319.4*8))/11</f>
        <v>283.209090909091</v>
      </c>
      <c r="E43" s="1" t="n">
        <f aca="false">(340+1580)/(22+91)</f>
        <v>16.9911504424779</v>
      </c>
      <c r="F43" s="1" t="n">
        <v>3</v>
      </c>
    </row>
    <row collapsed="false" customFormat="false" customHeight="false" hidden="false" ht="14.75" outlineLevel="0" r="44">
      <c r="A44" s="1" t="s">
        <v>827</v>
      </c>
      <c r="B44" s="1" t="s">
        <v>797</v>
      </c>
      <c r="C44" s="1" t="s">
        <v>787</v>
      </c>
      <c r="D44" s="1" t="n">
        <v>332.3</v>
      </c>
      <c r="E44" s="1" t="n">
        <v>19.27</v>
      </c>
      <c r="F44" s="1" t="n">
        <f aca="false">40/11</f>
        <v>3.63636363636364</v>
      </c>
    </row>
    <row collapsed="false" customFormat="false" customHeight="false" hidden="false" ht="14.75" outlineLevel="0" r="45">
      <c r="A45" s="1" t="s">
        <v>828</v>
      </c>
      <c r="B45" s="1" t="s">
        <v>797</v>
      </c>
      <c r="C45" s="1" t="s">
        <v>787</v>
      </c>
      <c r="D45" s="1" t="n">
        <v>179</v>
      </c>
      <c r="E45" s="1" t="n">
        <v>12.72</v>
      </c>
      <c r="F45" s="1" t="n">
        <v>2.4</v>
      </c>
    </row>
    <row collapsed="false" customFormat="false" customHeight="false" hidden="false" ht="14.75" outlineLevel="0" r="46">
      <c r="A46" s="1" t="s">
        <v>829</v>
      </c>
      <c r="B46" s="1" t="s">
        <v>797</v>
      </c>
      <c r="C46" s="1" t="s">
        <v>787</v>
      </c>
      <c r="D46" s="1" t="n">
        <v>159.5</v>
      </c>
      <c r="E46" s="1" t="n">
        <v>10.53</v>
      </c>
      <c r="F46" s="1" t="n">
        <v>1.1</v>
      </c>
    </row>
    <row collapsed="false" customFormat="false" customHeight="false" hidden="false" ht="14.75" outlineLevel="0" r="47">
      <c r="A47" s="1" t="s">
        <v>830</v>
      </c>
      <c r="B47" s="1" t="s">
        <v>797</v>
      </c>
      <c r="C47" s="1" t="s">
        <v>787</v>
      </c>
      <c r="D47" s="1" t="n">
        <v>97.2</v>
      </c>
      <c r="E47" s="1" t="n">
        <v>7.69</v>
      </c>
      <c r="F47" s="1" t="n">
        <v>0.4</v>
      </c>
    </row>
    <row collapsed="false" customFormat="false" customHeight="false" hidden="false" ht="14.75" outlineLevel="0" r="48">
      <c r="A48" s="1" t="s">
        <v>831</v>
      </c>
      <c r="B48" s="1" t="s">
        <v>797</v>
      </c>
      <c r="C48" s="1" t="s">
        <v>787</v>
      </c>
      <c r="D48" s="1" t="n">
        <v>129</v>
      </c>
      <c r="E48" s="1" t="n">
        <v>10.29</v>
      </c>
      <c r="F48" s="1" t="n">
        <v>0.9</v>
      </c>
    </row>
    <row collapsed="false" customFormat="false" customHeight="false" hidden="false" ht="14.75" outlineLevel="0" r="49">
      <c r="A49" s="1" t="s">
        <v>832</v>
      </c>
      <c r="B49" s="1" t="s">
        <v>797</v>
      </c>
      <c r="C49" s="1" t="s">
        <v>787</v>
      </c>
      <c r="D49" s="1" t="n">
        <v>86.5</v>
      </c>
      <c r="E49" s="1" t="n">
        <v>7.4</v>
      </c>
      <c r="F49" s="1" t="n">
        <v>1.1</v>
      </c>
    </row>
    <row collapsed="false" customFormat="false" customHeight="false" hidden="false" ht="14.75" outlineLevel="0" r="50">
      <c r="A50" s="1" t="s">
        <v>535</v>
      </c>
      <c r="B50" s="1" t="s">
        <v>802</v>
      </c>
      <c r="C50" s="1" t="s">
        <v>787</v>
      </c>
      <c r="D50" s="1" t="n">
        <v>395.5</v>
      </c>
      <c r="E50" s="1" t="n">
        <v>21.07</v>
      </c>
      <c r="F50" s="1" t="n">
        <v>5.5</v>
      </c>
    </row>
    <row collapsed="false" customFormat="false" customHeight="false" hidden="false" ht="14.75" outlineLevel="0" r="51">
      <c r="A51" s="1" t="s">
        <v>536</v>
      </c>
      <c r="B51" s="1" t="s">
        <v>802</v>
      </c>
      <c r="C51" s="1" t="s">
        <v>787</v>
      </c>
      <c r="D51" s="1" t="n">
        <v>479.5</v>
      </c>
      <c r="E51" s="1" t="n">
        <v>22.45</v>
      </c>
      <c r="F51" s="1" t="n">
        <v>6.2</v>
      </c>
    </row>
    <row collapsed="false" customFormat="false" customHeight="false" hidden="false" ht="14.75" outlineLevel="0" r="52">
      <c r="A52" s="1" t="s">
        <v>833</v>
      </c>
      <c r="B52" s="1" t="s">
        <v>805</v>
      </c>
      <c r="C52" s="1" t="s">
        <v>787</v>
      </c>
      <c r="D52" s="1" t="n">
        <v>211.7</v>
      </c>
      <c r="E52" s="1" t="n">
        <v>12.5</v>
      </c>
      <c r="F52" s="1" t="n">
        <v>1</v>
      </c>
    </row>
    <row collapsed="false" customFormat="false" customHeight="false" hidden="false" ht="14.75" outlineLevel="0" r="53">
      <c r="A53" s="1" t="s">
        <v>834</v>
      </c>
      <c r="B53" s="1" t="s">
        <v>805</v>
      </c>
      <c r="C53" s="1" t="s">
        <v>787</v>
      </c>
      <c r="D53" s="1" t="n">
        <v>57.5</v>
      </c>
      <c r="E53" s="1" t="n">
        <v>9.5</v>
      </c>
      <c r="F53" s="1" t="n">
        <v>0</v>
      </c>
    </row>
    <row collapsed="false" customFormat="false" customHeight="false" hidden="false" ht="14.75" outlineLevel="0" r="54">
      <c r="A54" s="1" t="s">
        <v>835</v>
      </c>
      <c r="B54" s="1" t="s">
        <v>786</v>
      </c>
      <c r="C54" s="1" t="s">
        <v>787</v>
      </c>
      <c r="D54" s="1" t="n">
        <v>136.5</v>
      </c>
      <c r="E54" s="1" t="n">
        <v>9.58</v>
      </c>
      <c r="F54" s="1" t="n">
        <v>0.7</v>
      </c>
    </row>
    <row collapsed="false" customFormat="false" customHeight="false" hidden="false" ht="14.75" outlineLevel="0" r="55">
      <c r="A55" s="1" t="s">
        <v>836</v>
      </c>
      <c r="B55" s="1" t="s">
        <v>786</v>
      </c>
      <c r="C55" s="1" t="s">
        <v>787</v>
      </c>
      <c r="D55" s="1" t="n">
        <v>52.5</v>
      </c>
      <c r="E55" s="1" t="n">
        <v>6</v>
      </c>
      <c r="F55" s="1" t="n">
        <v>0.1</v>
      </c>
    </row>
    <row collapsed="false" customFormat="false" customHeight="false" hidden="false" ht="14.75" outlineLevel="0" r="56">
      <c r="A56" s="1" t="s">
        <v>837</v>
      </c>
      <c r="B56" s="1" t="s">
        <v>805</v>
      </c>
      <c r="C56" s="1" t="s">
        <v>787</v>
      </c>
      <c r="D56" s="1" t="n">
        <v>150.8</v>
      </c>
      <c r="E56" s="1" t="n">
        <v>11.19</v>
      </c>
      <c r="F56" s="1" t="n">
        <f aca="false">10/7</f>
        <v>1.42857142857143</v>
      </c>
    </row>
    <row collapsed="false" customFormat="false" customHeight="false" hidden="false" ht="14.75" outlineLevel="0" r="57">
      <c r="A57" s="1" t="s">
        <v>838</v>
      </c>
      <c r="B57" s="1" t="s">
        <v>805</v>
      </c>
      <c r="C57" s="1" t="s">
        <v>787</v>
      </c>
      <c r="D57" s="1" t="n">
        <v>28.3</v>
      </c>
      <c r="E57" s="1" t="n">
        <v>5.91</v>
      </c>
      <c r="F57" s="1" t="n">
        <f aca="false">2/7</f>
        <v>0.285714285714286</v>
      </c>
    </row>
    <row collapsed="false" customFormat="false" customHeight="false" hidden="false" ht="14.75" outlineLevel="0" r="58">
      <c r="A58" s="1" t="s">
        <v>108</v>
      </c>
      <c r="B58" s="1" t="s">
        <v>839</v>
      </c>
      <c r="C58" s="1" t="s">
        <v>787</v>
      </c>
      <c r="D58" s="1" t="n">
        <v>327</v>
      </c>
      <c r="E58" s="1" t="n">
        <v>17.1</v>
      </c>
      <c r="F58" s="1" t="n">
        <v>2.8</v>
      </c>
    </row>
    <row collapsed="false" customFormat="false" customHeight="false" hidden="false" ht="14.75" outlineLevel="0" r="59">
      <c r="A59" s="1" t="s">
        <v>110</v>
      </c>
      <c r="B59" s="1" t="s">
        <v>839</v>
      </c>
      <c r="C59" s="1" t="s">
        <v>787</v>
      </c>
      <c r="D59" s="1" t="n">
        <v>284.5</v>
      </c>
      <c r="E59" s="1" t="n">
        <v>14.4</v>
      </c>
      <c r="F59" s="1" t="n">
        <v>1.7</v>
      </c>
    </row>
    <row collapsed="false" customFormat="false" customHeight="false" hidden="false" ht="14.75" outlineLevel="0" r="60">
      <c r="A60" s="1" t="s">
        <v>840</v>
      </c>
      <c r="B60" s="1" t="s">
        <v>802</v>
      </c>
      <c r="C60" s="1" t="s">
        <v>787</v>
      </c>
      <c r="D60" s="1" t="n">
        <v>190</v>
      </c>
      <c r="E60" s="1" t="n">
        <v>12.41</v>
      </c>
      <c r="F60" s="1" t="n">
        <f aca="false">17/7</f>
        <v>2.42857142857143</v>
      </c>
    </row>
    <row collapsed="false" customFormat="false" customHeight="false" hidden="false" ht="14.75" outlineLevel="0" r="61">
      <c r="A61" s="1" t="s">
        <v>841</v>
      </c>
      <c r="B61" s="1" t="s">
        <v>802</v>
      </c>
      <c r="C61" s="1" t="s">
        <v>787</v>
      </c>
      <c r="D61" s="1" t="n">
        <v>75.7</v>
      </c>
      <c r="E61" s="1" t="n">
        <v>10.19</v>
      </c>
      <c r="F61" s="1" t="n">
        <f aca="false">3/7</f>
        <v>0.428571428571429</v>
      </c>
    </row>
    <row collapsed="false" customFormat="false" customHeight="false" hidden="false" ht="14.75" outlineLevel="0" r="62">
      <c r="A62" s="1" t="s">
        <v>842</v>
      </c>
      <c r="B62" s="1" t="s">
        <v>803</v>
      </c>
      <c r="C62" s="1" t="s">
        <v>787</v>
      </c>
      <c r="D62" s="1" t="n">
        <v>90.6</v>
      </c>
      <c r="E62" s="1" t="n">
        <v>7.38</v>
      </c>
      <c r="F62" s="1" t="n">
        <f aca="false">6/8</f>
        <v>0.75</v>
      </c>
    </row>
    <row collapsed="false" customFormat="false" customHeight="false" hidden="false" ht="14.75" outlineLevel="0" r="63">
      <c r="A63" s="1" t="s">
        <v>843</v>
      </c>
      <c r="B63" s="1" t="s">
        <v>844</v>
      </c>
      <c r="C63" s="1" t="s">
        <v>787</v>
      </c>
      <c r="D63" s="1" t="n">
        <v>65.8</v>
      </c>
      <c r="E63" s="1" t="n">
        <v>10.24</v>
      </c>
      <c r="F63" s="1" t="n">
        <f aca="false">3/8</f>
        <v>0.375</v>
      </c>
    </row>
    <row collapsed="false" customFormat="false" customHeight="false" hidden="false" ht="14.75" outlineLevel="0" r="64">
      <c r="A64" s="1" t="s">
        <v>845</v>
      </c>
      <c r="B64" s="1" t="s">
        <v>839</v>
      </c>
      <c r="C64" s="1" t="s">
        <v>787</v>
      </c>
      <c r="D64" s="1" t="n">
        <v>141.5</v>
      </c>
      <c r="E64" s="1" t="n">
        <v>9.3</v>
      </c>
      <c r="F64" s="1" t="n">
        <v>1.3</v>
      </c>
    </row>
    <row collapsed="false" customFormat="false" customHeight="false" hidden="false" ht="14.75" outlineLevel="0" r="65">
      <c r="A65" s="1" t="s">
        <v>846</v>
      </c>
      <c r="B65" s="1" t="s">
        <v>797</v>
      </c>
      <c r="C65" s="1" t="s">
        <v>787</v>
      </c>
      <c r="D65" s="1" t="n">
        <v>174.5</v>
      </c>
      <c r="E65" s="1" t="n">
        <v>12.5</v>
      </c>
      <c r="F65" s="1" t="n">
        <v>1</v>
      </c>
    </row>
    <row collapsed="false" customFormat="false" customHeight="false" hidden="false" ht="14.75" outlineLevel="0" r="66">
      <c r="A66" s="1" t="s">
        <v>847</v>
      </c>
      <c r="B66" s="1" t="s">
        <v>797</v>
      </c>
      <c r="C66" s="1" t="s">
        <v>787</v>
      </c>
      <c r="D66" s="1" t="n">
        <v>102.5</v>
      </c>
      <c r="E66" s="1" t="n">
        <v>7.46</v>
      </c>
      <c r="F66" s="1" t="n">
        <v>1.6</v>
      </c>
    </row>
    <row collapsed="false" customFormat="false" customHeight="false" hidden="false" ht="14.75" outlineLevel="0" r="67">
      <c r="A67" s="1" t="s">
        <v>848</v>
      </c>
      <c r="B67" s="1" t="s">
        <v>849</v>
      </c>
      <c r="C67" s="1" t="s">
        <v>787</v>
      </c>
      <c r="D67" s="1" t="n">
        <v>405.8</v>
      </c>
      <c r="E67" s="1" t="n">
        <v>22.33</v>
      </c>
      <c r="F67" s="1" t="n">
        <f aca="false">68/12</f>
        <v>5.66666666666667</v>
      </c>
    </row>
    <row collapsed="false" customFormat="false" customHeight="false" hidden="false" ht="14.75" outlineLevel="0" r="68">
      <c r="A68" s="1" t="s">
        <v>850</v>
      </c>
      <c r="B68" s="1" t="s">
        <v>844</v>
      </c>
      <c r="C68" s="1" t="s">
        <v>787</v>
      </c>
      <c r="D68" s="1" t="n">
        <v>49</v>
      </c>
      <c r="E68" s="1" t="n">
        <v>8.57</v>
      </c>
      <c r="F68" s="1" t="n">
        <v>0</v>
      </c>
    </row>
    <row collapsed="false" customFormat="false" customHeight="false" hidden="false" ht="14.75" outlineLevel="0" r="69">
      <c r="A69" s="1" t="s">
        <v>851</v>
      </c>
      <c r="B69" s="1" t="s">
        <v>844</v>
      </c>
      <c r="C69" s="1" t="s">
        <v>787</v>
      </c>
      <c r="D69" s="1" t="n">
        <v>171</v>
      </c>
      <c r="E69" s="1" t="n">
        <v>13.16</v>
      </c>
      <c r="F69" s="1" t="n">
        <f aca="false">2/8</f>
        <v>0.25</v>
      </c>
    </row>
    <row collapsed="false" customFormat="false" customHeight="false" hidden="false" ht="14.75" outlineLevel="0" r="70">
      <c r="A70" s="1" t="s">
        <v>204</v>
      </c>
      <c r="B70" s="1" t="s">
        <v>849</v>
      </c>
      <c r="C70" s="1" t="s">
        <v>787</v>
      </c>
      <c r="D70" s="1" t="n">
        <v>462.5</v>
      </c>
      <c r="E70" s="1" t="n">
        <v>24.14</v>
      </c>
      <c r="F70" s="1" t="n">
        <f aca="false">89/12</f>
        <v>7.41666666666667</v>
      </c>
    </row>
    <row collapsed="false" customFormat="false" customHeight="false" hidden="false" ht="14.75" outlineLevel="0" r="71">
      <c r="A71" s="1" t="s">
        <v>205</v>
      </c>
      <c r="B71" s="1" t="s">
        <v>849</v>
      </c>
      <c r="C71" s="1" t="s">
        <v>787</v>
      </c>
      <c r="D71" s="1" t="n">
        <v>339.5</v>
      </c>
      <c r="E71" s="1" t="n">
        <v>19.05</v>
      </c>
      <c r="F71" s="1" t="n">
        <v>4.6</v>
      </c>
    </row>
    <row collapsed="false" customFormat="false" customHeight="false" hidden="false" ht="14.75" outlineLevel="0" r="72">
      <c r="A72" s="1" t="s">
        <v>113</v>
      </c>
      <c r="B72" s="1" t="s">
        <v>839</v>
      </c>
      <c r="C72" s="1" t="s">
        <v>787</v>
      </c>
      <c r="D72" s="1" t="n">
        <v>132</v>
      </c>
      <c r="E72" s="1" t="n">
        <v>11.1</v>
      </c>
      <c r="F72" s="1" t="n">
        <v>0.4</v>
      </c>
    </row>
    <row collapsed="false" customFormat="false" customHeight="false" hidden="false" ht="14.75" outlineLevel="0" r="73">
      <c r="A73" s="1" t="s">
        <v>114</v>
      </c>
      <c r="B73" s="1" t="s">
        <v>839</v>
      </c>
      <c r="C73" s="1" t="s">
        <v>787</v>
      </c>
      <c r="D73" s="1" t="n">
        <v>39.5</v>
      </c>
      <c r="E73" s="1" t="n">
        <v>2.1</v>
      </c>
      <c r="F73" s="1" t="n">
        <v>0.2</v>
      </c>
    </row>
    <row collapsed="false" customFormat="false" customHeight="false" hidden="false" ht="14.75" outlineLevel="0" r="74">
      <c r="A74" s="1" t="s">
        <v>852</v>
      </c>
      <c r="B74" s="1" t="s">
        <v>805</v>
      </c>
      <c r="C74" s="1" t="s">
        <v>787</v>
      </c>
      <c r="D74" s="1" t="n">
        <v>215</v>
      </c>
      <c r="E74" s="1" t="n">
        <v>13.28</v>
      </c>
      <c r="F74" s="1" t="n">
        <f aca="false">4/9</f>
        <v>0.444444444444444</v>
      </c>
    </row>
    <row collapsed="false" customFormat="false" customHeight="false" hidden="false" ht="14.75" outlineLevel="0" r="75">
      <c r="A75" s="1" t="s">
        <v>119</v>
      </c>
      <c r="B75" s="1" t="s">
        <v>818</v>
      </c>
      <c r="C75" s="1" t="s">
        <v>787</v>
      </c>
      <c r="D75" s="1" t="n">
        <v>378.6</v>
      </c>
      <c r="E75" s="1" t="n">
        <v>20.15</v>
      </c>
      <c r="F75" s="1" t="n">
        <f aca="false">47/11</f>
        <v>4.27272727272727</v>
      </c>
    </row>
    <row collapsed="false" customFormat="false" customHeight="false" hidden="false" ht="14.75" outlineLevel="0" r="76">
      <c r="A76" s="1" t="s">
        <v>853</v>
      </c>
      <c r="B76" s="1" t="s">
        <v>797</v>
      </c>
      <c r="C76" s="1" t="s">
        <v>787</v>
      </c>
      <c r="D76" s="1" t="n">
        <v>250</v>
      </c>
      <c r="E76" s="1" t="n">
        <v>16.74</v>
      </c>
      <c r="F76" s="1" t="n">
        <v>2</v>
      </c>
    </row>
    <row collapsed="false" customFormat="false" customHeight="false" hidden="false" ht="14.75" outlineLevel="0" r="77">
      <c r="A77" s="1" t="s">
        <v>854</v>
      </c>
      <c r="B77" s="1" t="s">
        <v>797</v>
      </c>
      <c r="C77" s="1" t="s">
        <v>787</v>
      </c>
      <c r="D77" s="1" t="n">
        <v>146</v>
      </c>
      <c r="E77" s="1" t="n">
        <v>10.87</v>
      </c>
      <c r="F77" s="1" t="n">
        <v>0.8</v>
      </c>
    </row>
    <row collapsed="false" customFormat="false" customHeight="false" hidden="false" ht="14.75" outlineLevel="0" r="78">
      <c r="A78" s="1" t="s">
        <v>855</v>
      </c>
      <c r="B78" s="1" t="s">
        <v>797</v>
      </c>
      <c r="C78" s="1" t="s">
        <v>787</v>
      </c>
      <c r="D78" s="1" t="n">
        <v>144.5</v>
      </c>
      <c r="E78" s="1" t="n">
        <v>11.52</v>
      </c>
      <c r="F78" s="1" t="n">
        <v>1</v>
      </c>
    </row>
    <row collapsed="false" customFormat="false" customHeight="false" hidden="false" ht="14.75" outlineLevel="0" r="79">
      <c r="A79" s="1" t="s">
        <v>856</v>
      </c>
      <c r="B79" s="1" t="s">
        <v>805</v>
      </c>
      <c r="C79" s="1" t="s">
        <v>787</v>
      </c>
      <c r="D79" s="1" t="n">
        <v>286.7</v>
      </c>
      <c r="E79" s="1" t="n">
        <v>16.21</v>
      </c>
      <c r="F79" s="1" t="n">
        <v>1.2</v>
      </c>
    </row>
    <row collapsed="false" customFormat="false" customHeight="false" hidden="false" ht="14.75" outlineLevel="0" r="80">
      <c r="A80" s="1" t="s">
        <v>857</v>
      </c>
      <c r="B80" s="1" t="s">
        <v>805</v>
      </c>
      <c r="C80" s="1" t="s">
        <v>787</v>
      </c>
      <c r="D80" s="1" t="n">
        <v>185.8</v>
      </c>
      <c r="E80" s="1" t="n">
        <v>10.37</v>
      </c>
      <c r="F80" s="1" t="n">
        <v>0.9</v>
      </c>
    </row>
    <row collapsed="false" customFormat="false" customHeight="false" hidden="false" ht="14.75" outlineLevel="0" r="81">
      <c r="A81" s="1" t="s">
        <v>858</v>
      </c>
      <c r="B81" s="1" t="s">
        <v>805</v>
      </c>
      <c r="C81" s="1" t="s">
        <v>787</v>
      </c>
      <c r="D81" s="1" t="n">
        <v>172.5</v>
      </c>
      <c r="E81" s="1" t="n">
        <v>11.6</v>
      </c>
      <c r="F81" s="1" t="n">
        <f aca="false">13/8</f>
        <v>1.625</v>
      </c>
    </row>
    <row collapsed="false" customFormat="false" customHeight="false" hidden="false" ht="14.75" outlineLevel="0" r="82">
      <c r="A82" s="1" t="s">
        <v>859</v>
      </c>
      <c r="B82" s="1" t="s">
        <v>813</v>
      </c>
      <c r="C82" s="1" t="s">
        <v>787</v>
      </c>
      <c r="D82" s="1" t="n">
        <v>28.9</v>
      </c>
      <c r="E82" s="1" t="n">
        <v>1.82</v>
      </c>
      <c r="F82" s="1" t="n">
        <f aca="false">4/9</f>
        <v>0.444444444444444</v>
      </c>
    </row>
    <row collapsed="false" customFormat="false" customHeight="false" hidden="false" ht="14.75" outlineLevel="0" r="83">
      <c r="A83" s="1" t="s">
        <v>123</v>
      </c>
      <c r="B83" s="1" t="s">
        <v>818</v>
      </c>
      <c r="C83" s="1" t="s">
        <v>787</v>
      </c>
      <c r="D83" s="1" t="n">
        <v>365</v>
      </c>
      <c r="E83" s="1" t="n">
        <v>20.31</v>
      </c>
      <c r="F83" s="1" t="n">
        <f aca="false">48/11</f>
        <v>4.36363636363636</v>
      </c>
    </row>
    <row collapsed="false" customFormat="false" customHeight="false" hidden="false" ht="14.75" outlineLevel="0" r="84">
      <c r="A84" s="1" t="s">
        <v>124</v>
      </c>
      <c r="B84" s="1" t="s">
        <v>818</v>
      </c>
      <c r="C84" s="1" t="s">
        <v>787</v>
      </c>
      <c r="D84" s="1" t="n">
        <v>101.5</v>
      </c>
      <c r="E84" s="1" t="n">
        <v>10.66</v>
      </c>
      <c r="F84" s="1" t="n">
        <v>0.5</v>
      </c>
    </row>
    <row collapsed="false" customFormat="false" customHeight="false" hidden="false" ht="14.75" outlineLevel="0" r="85">
      <c r="A85" s="1" t="s">
        <v>860</v>
      </c>
      <c r="B85" s="1" t="s">
        <v>844</v>
      </c>
      <c r="C85" s="1" t="s">
        <v>787</v>
      </c>
      <c r="D85" s="1" t="n">
        <v>378.1</v>
      </c>
      <c r="E85" s="1" t="n">
        <v>19.4</v>
      </c>
      <c r="F85" s="1" t="n">
        <f aca="false">26/8</f>
        <v>3.25</v>
      </c>
    </row>
    <row collapsed="false" customFormat="false" customHeight="false" hidden="false" ht="14.75" outlineLevel="0" r="86">
      <c r="A86" s="1" t="s">
        <v>861</v>
      </c>
      <c r="B86" s="1" t="s">
        <v>844</v>
      </c>
      <c r="C86" s="1" t="s">
        <v>787</v>
      </c>
      <c r="D86" s="1" t="n">
        <v>126</v>
      </c>
      <c r="E86" s="1" t="n">
        <v>12.07</v>
      </c>
      <c r="F86" s="1" t="n">
        <f aca="false">7/8</f>
        <v>0.875</v>
      </c>
    </row>
    <row collapsed="false" customFormat="false" customHeight="false" hidden="false" ht="14.75" outlineLevel="0" r="87">
      <c r="A87" s="1" t="s">
        <v>862</v>
      </c>
      <c r="B87" s="1" t="s">
        <v>818</v>
      </c>
      <c r="C87" s="1" t="s">
        <v>787</v>
      </c>
      <c r="D87" s="1" t="n">
        <v>182.2</v>
      </c>
      <c r="E87" s="1" t="n">
        <v>12</v>
      </c>
      <c r="F87" s="1" t="n">
        <f aca="false">15/9</f>
        <v>1.66666666666667</v>
      </c>
    </row>
    <row collapsed="false" customFormat="false" customHeight="false" hidden="false" ht="14.75" outlineLevel="0" r="88">
      <c r="A88" s="1" t="s">
        <v>863</v>
      </c>
      <c r="B88" s="1" t="s">
        <v>810</v>
      </c>
      <c r="C88" s="1" t="s">
        <v>787</v>
      </c>
      <c r="D88" s="1" t="n">
        <v>314.4</v>
      </c>
      <c r="E88" s="1" t="n">
        <v>17.53</v>
      </c>
      <c r="F88" s="1" t="n">
        <v>3</v>
      </c>
    </row>
    <row collapsed="false" customFormat="false" customHeight="false" hidden="false" ht="14.75" outlineLevel="0" r="89">
      <c r="A89" s="1" t="s">
        <v>864</v>
      </c>
      <c r="B89" s="1" t="s">
        <v>844</v>
      </c>
      <c r="C89" s="1" t="s">
        <v>787</v>
      </c>
      <c r="D89" s="1" t="n">
        <v>218.1</v>
      </c>
      <c r="E89" s="1" t="n">
        <v>16.15</v>
      </c>
      <c r="F89" s="1" t="n">
        <f aca="false">14/8</f>
        <v>1.75</v>
      </c>
    </row>
    <row collapsed="false" customFormat="false" customHeight="false" hidden="false" ht="14.75" outlineLevel="0" r="90">
      <c r="A90" s="1" t="s">
        <v>865</v>
      </c>
      <c r="B90" s="1" t="s">
        <v>813</v>
      </c>
      <c r="C90" s="1" t="s">
        <v>787</v>
      </c>
      <c r="D90" s="1" t="n">
        <v>407.9</v>
      </c>
      <c r="E90" s="1" t="n">
        <v>21.76</v>
      </c>
      <c r="F90" s="1" t="n">
        <f aca="false">80/12</f>
        <v>6.66666666666667</v>
      </c>
    </row>
    <row collapsed="false" customFormat="false" customHeight="false" hidden="false" ht="14.75" outlineLevel="0" r="91">
      <c r="A91" s="1" t="s">
        <v>866</v>
      </c>
      <c r="B91" s="1" t="s">
        <v>813</v>
      </c>
      <c r="C91" s="1" t="s">
        <v>787</v>
      </c>
      <c r="D91" s="1" t="n">
        <v>96.7</v>
      </c>
      <c r="E91" s="1" t="n">
        <v>10.23</v>
      </c>
      <c r="F91" s="1" t="n">
        <f aca="false">7/9</f>
        <v>0.777777777777778</v>
      </c>
    </row>
    <row collapsed="false" customFormat="false" customHeight="false" hidden="false" ht="14.75" outlineLevel="0" r="92">
      <c r="A92" s="1" t="s">
        <v>867</v>
      </c>
      <c r="B92" s="1" t="s">
        <v>802</v>
      </c>
      <c r="C92" s="1" t="s">
        <v>787</v>
      </c>
      <c r="D92" s="1" t="n">
        <v>183.1</v>
      </c>
      <c r="E92" s="1" t="n">
        <v>12.31</v>
      </c>
      <c r="F92" s="1" t="n">
        <f aca="false">11/8</f>
        <v>1.375</v>
      </c>
    </row>
    <row collapsed="false" customFormat="false" customHeight="false" hidden="false" ht="14.75" outlineLevel="0" r="93">
      <c r="A93" s="1" t="s">
        <v>561</v>
      </c>
      <c r="B93" s="1" t="s">
        <v>813</v>
      </c>
      <c r="C93" s="1" t="s">
        <v>787</v>
      </c>
      <c r="D93" s="1" t="n">
        <v>266</v>
      </c>
      <c r="E93" s="1" t="n">
        <v>16.08</v>
      </c>
      <c r="F93" s="1" t="n">
        <f aca="false">31/10</f>
        <v>3.1</v>
      </c>
    </row>
    <row collapsed="false" customFormat="false" customHeight="false" hidden="false" ht="14.75" outlineLevel="0" r="94">
      <c r="A94" s="1" t="s">
        <v>868</v>
      </c>
      <c r="B94" s="1" t="s">
        <v>803</v>
      </c>
      <c r="C94" s="1" t="s">
        <v>787</v>
      </c>
      <c r="D94" s="1" t="n">
        <v>384.1</v>
      </c>
      <c r="E94" s="1" t="n">
        <v>18.88</v>
      </c>
      <c r="F94" s="1" t="n">
        <f aca="false">42/11</f>
        <v>3.81818181818182</v>
      </c>
    </row>
    <row collapsed="false" customFormat="false" customHeight="false" hidden="false" ht="14.75" outlineLevel="0" r="95">
      <c r="A95" s="1" t="s">
        <v>869</v>
      </c>
      <c r="B95" s="1" t="s">
        <v>803</v>
      </c>
      <c r="C95" s="1" t="s">
        <v>787</v>
      </c>
      <c r="D95" s="1" t="n">
        <v>217.3</v>
      </c>
      <c r="E95" s="1" t="n">
        <v>15</v>
      </c>
      <c r="F95" s="1" t="n">
        <f aca="false">23/11</f>
        <v>2.09090909090909</v>
      </c>
    </row>
    <row collapsed="false" customFormat="false" customHeight="false" hidden="false" ht="14.75" outlineLevel="0" r="96">
      <c r="A96" s="1" t="s">
        <v>870</v>
      </c>
      <c r="B96" s="1" t="s">
        <v>803</v>
      </c>
      <c r="C96" s="1" t="s">
        <v>787</v>
      </c>
      <c r="D96" s="1" t="n">
        <v>49.4</v>
      </c>
      <c r="E96" s="1" t="n">
        <v>4.29</v>
      </c>
      <c r="F96" s="1" t="n">
        <f aca="false">1/8</f>
        <v>0.125</v>
      </c>
    </row>
    <row collapsed="false" customFormat="false" customHeight="false" hidden="false" ht="14.75" outlineLevel="0" r="97">
      <c r="A97" s="1" t="s">
        <v>871</v>
      </c>
      <c r="B97" s="1" t="s">
        <v>818</v>
      </c>
      <c r="C97" s="1" t="s">
        <v>787</v>
      </c>
      <c r="D97" s="1" t="n">
        <v>280</v>
      </c>
      <c r="E97" s="1" t="n">
        <v>17.65</v>
      </c>
      <c r="F97" s="1" t="n">
        <f aca="false">25/12</f>
        <v>2.08333333333333</v>
      </c>
    </row>
    <row collapsed="false" customFormat="false" customHeight="false" hidden="false" ht="14.75" outlineLevel="0" r="98">
      <c r="A98" s="1" t="s">
        <v>872</v>
      </c>
      <c r="B98" s="1" t="s">
        <v>818</v>
      </c>
      <c r="C98" s="1" t="s">
        <v>787</v>
      </c>
      <c r="D98" s="1" t="n">
        <v>131</v>
      </c>
      <c r="E98" s="1" t="n">
        <v>12.59</v>
      </c>
      <c r="F98" s="1" t="n">
        <f aca="false">4/5</f>
        <v>0.8</v>
      </c>
    </row>
    <row collapsed="false" customFormat="false" customHeight="false" hidden="false" ht="14.75" outlineLevel="0" r="99">
      <c r="A99" s="1" t="s">
        <v>873</v>
      </c>
      <c r="B99" s="1" t="s">
        <v>818</v>
      </c>
      <c r="C99" s="1" t="s">
        <v>787</v>
      </c>
      <c r="D99" s="1" t="n">
        <v>82</v>
      </c>
      <c r="E99" s="1" t="n">
        <v>11.58</v>
      </c>
      <c r="F99" s="1" t="n">
        <f aca="false">4/5</f>
        <v>0.8</v>
      </c>
    </row>
    <row collapsed="false" customFormat="false" customHeight="false" hidden="false" ht="14.75" outlineLevel="0" r="100">
      <c r="A100" s="1" t="s">
        <v>137</v>
      </c>
      <c r="B100" s="1" t="s">
        <v>839</v>
      </c>
      <c r="C100" s="1" t="s">
        <v>787</v>
      </c>
      <c r="D100" s="1" t="n">
        <v>166</v>
      </c>
      <c r="E100" s="1" t="n">
        <v>9.9</v>
      </c>
      <c r="F100" s="1" t="n">
        <v>1.2</v>
      </c>
    </row>
    <row collapsed="false" customFormat="false" customHeight="false" hidden="false" ht="14.75" outlineLevel="0" r="101">
      <c r="A101" s="1" t="s">
        <v>874</v>
      </c>
      <c r="B101" s="1" t="s">
        <v>839</v>
      </c>
      <c r="C101" s="1" t="s">
        <v>787</v>
      </c>
      <c r="D101" s="1" t="n">
        <v>208.5</v>
      </c>
      <c r="E101" s="1" t="n">
        <v>12</v>
      </c>
      <c r="F101" s="1" t="n">
        <v>1.6</v>
      </c>
    </row>
    <row collapsed="false" customFormat="false" customHeight="false" hidden="false" ht="14.75" outlineLevel="0" r="102">
      <c r="A102" s="1" t="s">
        <v>875</v>
      </c>
      <c r="B102" s="1" t="s">
        <v>802</v>
      </c>
      <c r="C102" s="1" t="s">
        <v>787</v>
      </c>
      <c r="D102" s="1" t="n">
        <v>109.2</v>
      </c>
      <c r="E102" s="1" t="n">
        <v>11.88</v>
      </c>
      <c r="F102" s="1" t="n">
        <v>0.5</v>
      </c>
    </row>
    <row collapsed="false" customFormat="false" customHeight="false" hidden="false" ht="14.75" outlineLevel="0" r="103">
      <c r="A103" s="1" t="s">
        <v>876</v>
      </c>
      <c r="B103" s="1" t="s">
        <v>802</v>
      </c>
      <c r="C103" s="1" t="s">
        <v>787</v>
      </c>
      <c r="D103" s="1" t="n">
        <v>103.3</v>
      </c>
      <c r="E103" s="1" t="n">
        <v>10.67</v>
      </c>
      <c r="F103" s="1" t="n">
        <v>0</v>
      </c>
    </row>
    <row collapsed="false" customFormat="false" customHeight="false" hidden="false" ht="14.75" outlineLevel="0" r="104">
      <c r="A104" s="1" t="s">
        <v>877</v>
      </c>
      <c r="B104" s="1" t="s">
        <v>849</v>
      </c>
      <c r="C104" s="1" t="s">
        <v>787</v>
      </c>
      <c r="D104" s="1" t="n">
        <v>307</v>
      </c>
      <c r="E104" s="1" t="n">
        <v>20.6</v>
      </c>
      <c r="F104" s="1" t="n">
        <v>2.6</v>
      </c>
    </row>
    <row collapsed="false" customFormat="false" customHeight="false" hidden="false" ht="14.75" outlineLevel="0" r="105">
      <c r="A105" s="1" t="s">
        <v>878</v>
      </c>
      <c r="B105" s="1" t="s">
        <v>849</v>
      </c>
      <c r="C105" s="1" t="s">
        <v>787</v>
      </c>
      <c r="D105" s="1" t="n">
        <v>139</v>
      </c>
      <c r="E105" s="1" t="n">
        <v>13.62</v>
      </c>
      <c r="F105" s="1" t="n">
        <v>2.2</v>
      </c>
    </row>
    <row collapsed="false" customFormat="false" customHeight="false" hidden="false" ht="14.75" outlineLevel="0" r="106">
      <c r="A106" s="1" t="s">
        <v>879</v>
      </c>
      <c r="B106" s="1" t="s">
        <v>803</v>
      </c>
      <c r="C106" s="1" t="s">
        <v>787</v>
      </c>
      <c r="D106" s="1" t="n">
        <v>225.5</v>
      </c>
      <c r="E106" s="1" t="n">
        <v>14.26</v>
      </c>
      <c r="F106" s="1" t="n">
        <f aca="false">24/11</f>
        <v>2.18181818181818</v>
      </c>
    </row>
    <row collapsed="false" customFormat="false" customHeight="false" hidden="false" ht="14.75" outlineLevel="0" r="107">
      <c r="A107" s="1" t="s">
        <v>880</v>
      </c>
      <c r="B107" s="1" t="s">
        <v>803</v>
      </c>
      <c r="C107" s="1" t="s">
        <v>787</v>
      </c>
      <c r="D107" s="1" t="n">
        <v>429.2</v>
      </c>
      <c r="E107" s="1" t="n">
        <v>21.35</v>
      </c>
      <c r="F107" s="1" t="n">
        <f aca="false">76/12</f>
        <v>6.33333333333333</v>
      </c>
    </row>
    <row collapsed="false" customFormat="false" customHeight="false" hidden="false" ht="14.75" outlineLevel="0" r="108">
      <c r="A108" s="1" t="s">
        <v>881</v>
      </c>
      <c r="B108" s="1" t="s">
        <v>805</v>
      </c>
      <c r="C108" s="1" t="s">
        <v>787</v>
      </c>
      <c r="D108" s="1" t="n">
        <v>126.7</v>
      </c>
      <c r="E108" s="1" t="n">
        <v>11.35</v>
      </c>
      <c r="F108" s="1" t="n">
        <f aca="false">1/9</f>
        <v>0.111111111111111</v>
      </c>
    </row>
    <row collapsed="false" customFormat="false" customHeight="false" hidden="false" ht="14.75" outlineLevel="0" r="109">
      <c r="A109" s="1" t="s">
        <v>882</v>
      </c>
      <c r="B109" s="1" t="s">
        <v>844</v>
      </c>
      <c r="C109" s="1" t="s">
        <v>787</v>
      </c>
      <c r="D109" s="1" t="n">
        <v>294.2</v>
      </c>
      <c r="E109" s="1" t="n">
        <v>15.74</v>
      </c>
      <c r="F109" s="1" t="n">
        <f aca="false">15/8</f>
        <v>1.875</v>
      </c>
    </row>
    <row collapsed="false" customFormat="false" customHeight="false" hidden="false" ht="14.75" outlineLevel="0" r="110">
      <c r="A110" s="1" t="s">
        <v>883</v>
      </c>
      <c r="B110" s="1" t="s">
        <v>797</v>
      </c>
      <c r="C110" s="1" t="s">
        <v>787</v>
      </c>
      <c r="D110" s="1" t="n">
        <v>175.5</v>
      </c>
      <c r="E110" s="1" t="n">
        <v>10.82</v>
      </c>
      <c r="F110" s="1" t="n">
        <v>1.2</v>
      </c>
    </row>
    <row collapsed="false" customFormat="false" customHeight="false" hidden="false" ht="14.75" outlineLevel="0" r="111">
      <c r="A111" s="1" t="s">
        <v>884</v>
      </c>
      <c r="B111" s="1" t="s">
        <v>797</v>
      </c>
      <c r="C111" s="1" t="s">
        <v>787</v>
      </c>
      <c r="D111" s="1" t="n">
        <v>92.2</v>
      </c>
      <c r="E111" s="1" t="n">
        <v>7.35</v>
      </c>
      <c r="F111" s="1" t="n">
        <v>0.3</v>
      </c>
    </row>
    <row collapsed="false" customFormat="false" customHeight="false" hidden="false" ht="14.75" outlineLevel="0" r="112">
      <c r="A112" s="1" t="s">
        <v>885</v>
      </c>
      <c r="B112" s="1" t="s">
        <v>844</v>
      </c>
      <c r="C112" s="1" t="s">
        <v>787</v>
      </c>
      <c r="D112" s="1" t="n">
        <v>275.6</v>
      </c>
      <c r="E112" s="1" t="n">
        <v>15.98</v>
      </c>
      <c r="F112" s="1" t="n">
        <f aca="false">28/8</f>
        <v>3.5</v>
      </c>
    </row>
    <row collapsed="false" customFormat="false" customHeight="false" hidden="false" ht="14.75" outlineLevel="0" r="113">
      <c r="A113" s="1" t="s">
        <v>211</v>
      </c>
      <c r="B113" s="1" t="s">
        <v>803</v>
      </c>
      <c r="C113" s="1" t="s">
        <v>787</v>
      </c>
      <c r="D113" s="1" t="n">
        <v>513.8</v>
      </c>
      <c r="E113" s="1" t="n">
        <v>22.47</v>
      </c>
      <c r="F113" s="1" t="n">
        <f aca="false">87/12</f>
        <v>7.25</v>
      </c>
    </row>
    <row collapsed="false" customFormat="false" customHeight="false" hidden="false" ht="14.75" outlineLevel="0" r="114">
      <c r="A114" s="1" t="s">
        <v>212</v>
      </c>
      <c r="B114" s="1" t="s">
        <v>803</v>
      </c>
      <c r="C114" s="1" t="s">
        <v>787</v>
      </c>
      <c r="D114" s="1" t="n">
        <v>398.8</v>
      </c>
      <c r="E114" s="1" t="n">
        <v>21.22</v>
      </c>
      <c r="F114" s="1" t="n">
        <f aca="false">72/12</f>
        <v>6</v>
      </c>
    </row>
    <row collapsed="false" customFormat="false" customHeight="false" hidden="false" ht="14.75" outlineLevel="0" r="115">
      <c r="A115" s="1" t="s">
        <v>213</v>
      </c>
      <c r="B115" s="1" t="s">
        <v>803</v>
      </c>
      <c r="C115" s="1" t="s">
        <v>787</v>
      </c>
      <c r="D115" s="1" t="n">
        <v>165.6</v>
      </c>
      <c r="E115" s="1" t="n">
        <v>10.46</v>
      </c>
      <c r="F115" s="1" t="n">
        <f aca="false">6/8</f>
        <v>0.75</v>
      </c>
    </row>
    <row collapsed="false" customFormat="false" customHeight="false" hidden="false" ht="14.75" outlineLevel="0" r="116">
      <c r="A116" s="1" t="s">
        <v>886</v>
      </c>
      <c r="B116" s="1" t="s">
        <v>805</v>
      </c>
      <c r="C116" s="1" t="s">
        <v>787</v>
      </c>
      <c r="D116" s="1" t="n">
        <v>94.2</v>
      </c>
      <c r="E116" s="1" t="n">
        <v>9.03</v>
      </c>
      <c r="F116" s="1" t="n">
        <v>0</v>
      </c>
    </row>
    <row collapsed="false" customFormat="false" customHeight="false" hidden="false" ht="14.75" outlineLevel="0" r="117">
      <c r="A117" s="1" t="s">
        <v>887</v>
      </c>
      <c r="B117" s="1" t="s">
        <v>805</v>
      </c>
      <c r="C117" s="1" t="s">
        <v>787</v>
      </c>
      <c r="D117" s="1" t="n">
        <v>56.7</v>
      </c>
      <c r="E117" s="1" t="n">
        <v>8.5</v>
      </c>
      <c r="F117" s="1" t="n">
        <v>0</v>
      </c>
    </row>
    <row collapsed="false" customFormat="false" customHeight="false" hidden="false" ht="14.75" outlineLevel="0" r="118">
      <c r="A118" s="1" t="s">
        <v>888</v>
      </c>
      <c r="B118" s="1" t="s">
        <v>790</v>
      </c>
      <c r="C118" s="1" t="s">
        <v>787</v>
      </c>
      <c r="D118" s="1" t="n">
        <v>242</v>
      </c>
      <c r="E118" s="1" t="n">
        <v>15.43</v>
      </c>
      <c r="F118" s="1" t="n">
        <v>2</v>
      </c>
    </row>
    <row collapsed="false" customFormat="false" customHeight="false" hidden="false" ht="14.75" outlineLevel="0" r="119">
      <c r="A119" s="1" t="s">
        <v>889</v>
      </c>
      <c r="B119" s="1" t="s">
        <v>839</v>
      </c>
      <c r="C119" s="1" t="s">
        <v>787</v>
      </c>
      <c r="D119" s="1" t="n">
        <v>187</v>
      </c>
      <c r="E119" s="1" t="n">
        <v>9.9</v>
      </c>
      <c r="F119" s="1" t="n">
        <v>0.9</v>
      </c>
    </row>
    <row collapsed="false" customFormat="false" customHeight="false" hidden="false" ht="14.75" outlineLevel="0" r="120">
      <c r="A120" s="1" t="s">
        <v>890</v>
      </c>
      <c r="B120" s="1" t="s">
        <v>844</v>
      </c>
      <c r="C120" s="1" t="s">
        <v>787</v>
      </c>
      <c r="D120" s="1" t="n">
        <v>301.2</v>
      </c>
      <c r="E120" s="1" t="n">
        <v>16.93</v>
      </c>
      <c r="F120" s="1" t="n">
        <f aca="false">23/8</f>
        <v>2.875</v>
      </c>
    </row>
    <row collapsed="false" customFormat="false" customHeight="false" hidden="false" ht="14.75" outlineLevel="0" r="121">
      <c r="A121" s="1" t="s">
        <v>891</v>
      </c>
      <c r="B121" s="1" t="s">
        <v>844</v>
      </c>
      <c r="C121" s="1" t="s">
        <v>787</v>
      </c>
      <c r="D121" s="1" t="n">
        <v>142.5</v>
      </c>
      <c r="E121" s="1" t="n">
        <v>11.25</v>
      </c>
      <c r="F121" s="1" t="n">
        <f aca="false">5/8</f>
        <v>0.625</v>
      </c>
    </row>
    <row collapsed="false" customFormat="false" customHeight="false" hidden="false" ht="14.75" outlineLevel="0" r="122">
      <c r="A122" s="1" t="s">
        <v>892</v>
      </c>
      <c r="B122" s="1" t="s">
        <v>849</v>
      </c>
      <c r="C122" s="1" t="s">
        <v>787</v>
      </c>
      <c r="D122" s="1" t="n">
        <v>183.5</v>
      </c>
      <c r="E122" s="1" t="n">
        <v>12.86</v>
      </c>
      <c r="F122" s="1" t="n">
        <v>1.9</v>
      </c>
    </row>
    <row collapsed="false" customFormat="false" customHeight="false" hidden="false" ht="14.75" outlineLevel="0" r="123">
      <c r="A123" s="1" t="s">
        <v>893</v>
      </c>
      <c r="B123" s="1" t="s">
        <v>849</v>
      </c>
      <c r="C123" s="1" t="s">
        <v>787</v>
      </c>
      <c r="D123" s="1" t="n">
        <v>60.5</v>
      </c>
      <c r="E123" s="1" t="n">
        <v>8.33</v>
      </c>
      <c r="F123" s="1" t="n">
        <v>0.5</v>
      </c>
    </row>
    <row collapsed="false" customFormat="false" customHeight="false" hidden="false" ht="14.75" outlineLevel="0" r="124">
      <c r="A124" s="1" t="s">
        <v>18</v>
      </c>
      <c r="B124" s="1" t="s">
        <v>802</v>
      </c>
      <c r="C124" s="1" t="s">
        <v>787</v>
      </c>
      <c r="D124" s="1" t="n">
        <v>365.7</v>
      </c>
      <c r="E124" s="1" t="n">
        <v>18.93</v>
      </c>
      <c r="F124" s="1" t="n">
        <f aca="false">32/7</f>
        <v>4.57142857142857</v>
      </c>
    </row>
    <row collapsed="false" customFormat="false" customHeight="false" hidden="false" ht="14.75" outlineLevel="0" r="125">
      <c r="A125" s="1" t="s">
        <v>470</v>
      </c>
      <c r="B125" s="1" t="s">
        <v>803</v>
      </c>
      <c r="C125" s="1" t="s">
        <v>787</v>
      </c>
      <c r="D125" s="1" t="n">
        <v>257.7</v>
      </c>
      <c r="E125" s="1" t="n">
        <v>13.31</v>
      </c>
      <c r="F125" s="1" t="n">
        <f aca="false">35/11</f>
        <v>3.18181818181818</v>
      </c>
    </row>
    <row collapsed="false" customFormat="false" customHeight="false" hidden="false" ht="14.75" outlineLevel="0" r="126">
      <c r="A126" s="1" t="s">
        <v>471</v>
      </c>
      <c r="B126" s="1" t="s">
        <v>803</v>
      </c>
      <c r="C126" s="1" t="s">
        <v>787</v>
      </c>
      <c r="D126" s="1" t="n">
        <v>98.8</v>
      </c>
      <c r="E126" s="1" t="n">
        <v>10</v>
      </c>
      <c r="F126" s="1" t="n">
        <f aca="false">6/8</f>
        <v>0.75</v>
      </c>
    </row>
    <row collapsed="false" customFormat="false" customHeight="false" hidden="false" ht="14.75" outlineLevel="0" r="127">
      <c r="A127" s="1" t="s">
        <v>894</v>
      </c>
      <c r="B127" s="1" t="s">
        <v>803</v>
      </c>
      <c r="C127" s="1" t="s">
        <v>787</v>
      </c>
      <c r="D127" s="1" t="n">
        <f aca="false">((106.2*8)+(55*2))/10</f>
        <v>95.96</v>
      </c>
      <c r="E127" s="1" t="n">
        <f aca="false">(60+410)/(5+45)</f>
        <v>9.4</v>
      </c>
      <c r="F127" s="1" t="n">
        <v>0.6</v>
      </c>
    </row>
    <row collapsed="false" customFormat="false" customHeight="false" hidden="false" ht="14.75" outlineLevel="0" r="128">
      <c r="A128" s="1" t="s">
        <v>895</v>
      </c>
      <c r="B128" s="1" t="s">
        <v>816</v>
      </c>
      <c r="C128" s="1" t="s">
        <v>787</v>
      </c>
      <c r="D128" s="1" t="n">
        <v>74.9</v>
      </c>
      <c r="E128" s="1" t="n">
        <v>5.87</v>
      </c>
      <c r="F128" s="1" t="n">
        <v>0.2</v>
      </c>
    </row>
    <row collapsed="false" customFormat="false" customHeight="false" hidden="false" ht="14.75" outlineLevel="0" r="129">
      <c r="A129" s="1" t="s">
        <v>896</v>
      </c>
      <c r="B129" s="1" t="s">
        <v>816</v>
      </c>
      <c r="C129" s="1" t="s">
        <v>787</v>
      </c>
      <c r="D129" s="1" t="n">
        <v>82.9</v>
      </c>
      <c r="E129" s="1" t="n">
        <v>6.54</v>
      </c>
      <c r="F129" s="1" t="n">
        <v>0.3</v>
      </c>
    </row>
    <row collapsed="false" customFormat="false" customHeight="false" hidden="false" ht="14.75" outlineLevel="0" r="130">
      <c r="A130" s="1" t="s">
        <v>897</v>
      </c>
      <c r="B130" s="1" t="s">
        <v>839</v>
      </c>
      <c r="C130" s="1" t="s">
        <v>787</v>
      </c>
      <c r="D130" s="1" t="n">
        <v>127.5</v>
      </c>
      <c r="E130" s="1" t="n">
        <v>7.5</v>
      </c>
      <c r="F130" s="1" t="n">
        <v>1.4</v>
      </c>
    </row>
    <row collapsed="false" customFormat="false" customHeight="false" hidden="false" ht="14.75" outlineLevel="0" r="131">
      <c r="A131" s="1" t="s">
        <v>898</v>
      </c>
      <c r="B131" s="1" t="s">
        <v>839</v>
      </c>
      <c r="C131" s="1" t="s">
        <v>787</v>
      </c>
      <c r="D131" s="1" t="n">
        <v>134.5</v>
      </c>
      <c r="E131" s="1" t="n">
        <v>10.5</v>
      </c>
      <c r="F131" s="1" t="n">
        <v>0.3</v>
      </c>
    </row>
    <row collapsed="false" customFormat="false" customHeight="false" hidden="false" ht="14.75" outlineLevel="0" r="132">
      <c r="A132" s="1" t="s">
        <v>348</v>
      </c>
      <c r="B132" s="1" t="s">
        <v>839</v>
      </c>
      <c r="C132" s="1" t="s">
        <v>787</v>
      </c>
      <c r="D132" s="1" t="n">
        <v>471.9</v>
      </c>
      <c r="E132" s="1" t="n">
        <v>20.7</v>
      </c>
      <c r="F132" s="1" t="n">
        <f aca="false">83/13</f>
        <v>6.38461538461539</v>
      </c>
    </row>
    <row collapsed="false" customFormat="false" customHeight="false" hidden="false" ht="14.75" outlineLevel="0" r="133">
      <c r="A133" s="1" t="s">
        <v>349</v>
      </c>
      <c r="B133" s="1" t="s">
        <v>839</v>
      </c>
      <c r="C133" s="1" t="s">
        <v>787</v>
      </c>
      <c r="D133" s="1" t="n">
        <v>416.2</v>
      </c>
      <c r="E133" s="1" t="n">
        <v>18.9</v>
      </c>
      <c r="F133" s="1" t="n">
        <f aca="false">68/13</f>
        <v>5.23076923076923</v>
      </c>
    </row>
    <row collapsed="false" customFormat="false" customHeight="false" hidden="false" ht="14.75" outlineLevel="0" r="134">
      <c r="A134" s="1" t="s">
        <v>350</v>
      </c>
      <c r="B134" s="1" t="s">
        <v>839</v>
      </c>
      <c r="C134" s="1" t="s">
        <v>787</v>
      </c>
      <c r="D134" s="1" t="n">
        <v>407.5</v>
      </c>
      <c r="E134" s="1" t="n">
        <v>19.2</v>
      </c>
      <c r="F134" s="1" t="n">
        <v>4.4</v>
      </c>
    </row>
    <row collapsed="false" customFormat="false" customHeight="false" hidden="false" ht="14.75" outlineLevel="0" r="135">
      <c r="A135" s="1" t="s">
        <v>573</v>
      </c>
      <c r="B135" s="1" t="s">
        <v>839</v>
      </c>
      <c r="C135" s="1" t="s">
        <v>787</v>
      </c>
      <c r="D135" s="1" t="n">
        <v>145.5</v>
      </c>
      <c r="E135" s="1" t="n">
        <v>9.6</v>
      </c>
      <c r="F135" s="1" t="n">
        <v>1.1</v>
      </c>
    </row>
    <row collapsed="false" customFormat="false" customHeight="false" hidden="false" ht="14.75" outlineLevel="0" r="136">
      <c r="A136" s="1" t="s">
        <v>899</v>
      </c>
      <c r="B136" s="1" t="s">
        <v>839</v>
      </c>
      <c r="C136" s="1" t="s">
        <v>787</v>
      </c>
      <c r="D136" s="1" t="n">
        <v>215.5</v>
      </c>
      <c r="E136" s="1" t="n">
        <v>12</v>
      </c>
      <c r="F136" s="1" t="n">
        <v>0.7</v>
      </c>
    </row>
    <row collapsed="false" customFormat="false" customHeight="false" hidden="false" ht="14.75" outlineLevel="0" r="137">
      <c r="A137" s="1" t="s">
        <v>650</v>
      </c>
      <c r="B137" s="1" t="s">
        <v>839</v>
      </c>
      <c r="C137" s="1" t="s">
        <v>787</v>
      </c>
      <c r="D137" s="1" t="n">
        <v>321.5</v>
      </c>
      <c r="E137" s="1" t="n">
        <v>16.8</v>
      </c>
      <c r="F137" s="1" t="n">
        <v>2.9</v>
      </c>
    </row>
    <row collapsed="false" customFormat="false" customHeight="false" hidden="false" ht="14.75" outlineLevel="0" r="138">
      <c r="A138" s="1" t="s">
        <v>900</v>
      </c>
      <c r="B138" s="1" t="s">
        <v>844</v>
      </c>
      <c r="C138" s="1" t="s">
        <v>787</v>
      </c>
      <c r="D138" s="1" t="n">
        <v>150.8</v>
      </c>
      <c r="E138" s="1" t="n">
        <v>11.43</v>
      </c>
      <c r="F138" s="1" t="n">
        <f aca="false">9/8</f>
        <v>1.125</v>
      </c>
    </row>
    <row collapsed="false" customFormat="false" customHeight="false" hidden="false" ht="14.75" outlineLevel="0" r="139">
      <c r="A139" s="1" t="s">
        <v>901</v>
      </c>
      <c r="B139" s="1" t="s">
        <v>844</v>
      </c>
      <c r="C139" s="1" t="s">
        <v>787</v>
      </c>
      <c r="D139" s="1" t="n">
        <v>21</v>
      </c>
      <c r="E139" s="1" t="n">
        <v>5.71</v>
      </c>
      <c r="F139" s="1" t="n">
        <v>0</v>
      </c>
    </row>
    <row collapsed="false" customFormat="false" customHeight="false" hidden="false" ht="14.75" outlineLevel="0" r="140">
      <c r="A140" s="1" t="s">
        <v>902</v>
      </c>
      <c r="B140" s="1" t="s">
        <v>803</v>
      </c>
      <c r="C140" s="1" t="s">
        <v>787</v>
      </c>
      <c r="D140" s="1" t="n">
        <v>212.8</v>
      </c>
      <c r="E140" s="1" t="n">
        <v>14.74</v>
      </c>
      <c r="F140" s="1" t="n">
        <v>1.9</v>
      </c>
    </row>
    <row collapsed="false" customFormat="false" customHeight="false" hidden="false" ht="14.75" outlineLevel="0" r="141">
      <c r="A141" s="1" t="s">
        <v>903</v>
      </c>
      <c r="B141" s="1" t="s">
        <v>803</v>
      </c>
      <c r="C141" s="1" t="s">
        <v>787</v>
      </c>
      <c r="D141" s="1" t="n">
        <v>140.9</v>
      </c>
      <c r="E141" s="1" t="n">
        <v>10.81</v>
      </c>
      <c r="F141" s="1" t="n">
        <v>1</v>
      </c>
    </row>
    <row collapsed="false" customFormat="false" customHeight="false" hidden="false" ht="14.75" outlineLevel="0" r="142">
      <c r="A142" s="1" t="s">
        <v>904</v>
      </c>
      <c r="B142" s="1" t="s">
        <v>813</v>
      </c>
      <c r="C142" s="1" t="s">
        <v>787</v>
      </c>
      <c r="D142" s="1" t="n">
        <v>203.9</v>
      </c>
      <c r="E142" s="1" t="n">
        <v>16.23</v>
      </c>
      <c r="F142" s="1" t="n">
        <f aca="false">21/9</f>
        <v>2.33333333333333</v>
      </c>
    </row>
    <row collapsed="false" customFormat="false" customHeight="false" hidden="false" ht="14.75" outlineLevel="0" r="143">
      <c r="A143" s="1" t="s">
        <v>905</v>
      </c>
      <c r="B143" s="1" t="s">
        <v>839</v>
      </c>
      <c r="C143" s="1" t="s">
        <v>787</v>
      </c>
      <c r="D143" s="1" t="n">
        <v>206.5</v>
      </c>
      <c r="E143" s="1" t="n">
        <v>13.8</v>
      </c>
      <c r="F143" s="1" t="n">
        <v>1.4</v>
      </c>
    </row>
    <row collapsed="false" customFormat="false" customHeight="false" hidden="false" ht="14.75" outlineLevel="0" r="144">
      <c r="A144" s="1" t="s">
        <v>218</v>
      </c>
      <c r="B144" s="1" t="s">
        <v>803</v>
      </c>
      <c r="C144" s="1" t="s">
        <v>787</v>
      </c>
      <c r="D144" s="1" t="n">
        <v>290.5</v>
      </c>
      <c r="E144" s="1" t="n">
        <v>17.57</v>
      </c>
      <c r="F144" s="1" t="n">
        <f aca="false">32/11</f>
        <v>2.90909090909091</v>
      </c>
    </row>
    <row collapsed="false" customFormat="false" customHeight="false" hidden="false" ht="14.75" outlineLevel="0" r="145">
      <c r="A145" s="1" t="s">
        <v>906</v>
      </c>
      <c r="B145" s="1" t="s">
        <v>797</v>
      </c>
      <c r="C145" s="1" t="s">
        <v>787</v>
      </c>
      <c r="D145" s="1" t="n">
        <v>142.5</v>
      </c>
      <c r="E145" s="1" t="n">
        <v>12.39</v>
      </c>
      <c r="F145" s="1" t="n">
        <v>1.6</v>
      </c>
    </row>
    <row collapsed="false" customFormat="false" customHeight="false" hidden="false" ht="14.75" outlineLevel="0" r="146">
      <c r="A146" s="1" t="s">
        <v>907</v>
      </c>
      <c r="B146" s="1" t="s">
        <v>797</v>
      </c>
      <c r="C146" s="1" t="s">
        <v>787</v>
      </c>
      <c r="D146" s="1" t="n">
        <v>104.4</v>
      </c>
      <c r="E146" s="1" t="n">
        <v>9.49</v>
      </c>
      <c r="F146" s="1" t="n">
        <v>0.8</v>
      </c>
    </row>
    <row collapsed="false" customFormat="false" customHeight="false" hidden="false" ht="14.75" outlineLevel="0" r="147">
      <c r="A147" s="1" t="s">
        <v>908</v>
      </c>
      <c r="B147" s="1" t="s">
        <v>797</v>
      </c>
      <c r="C147" s="1" t="s">
        <v>787</v>
      </c>
      <c r="D147" s="1" t="n">
        <v>280</v>
      </c>
      <c r="E147" s="1" t="n">
        <v>16.13</v>
      </c>
      <c r="F147" s="1" t="n">
        <f aca="false">34/11</f>
        <v>3.09090909090909</v>
      </c>
    </row>
    <row collapsed="false" customFormat="false" customHeight="false" hidden="false" ht="14.75" outlineLevel="0" r="148">
      <c r="A148" s="1" t="s">
        <v>909</v>
      </c>
      <c r="B148" s="1" t="s">
        <v>797</v>
      </c>
      <c r="C148" s="1" t="s">
        <v>787</v>
      </c>
      <c r="D148" s="1" t="n">
        <v>120.5</v>
      </c>
      <c r="E148" s="1" t="n">
        <v>12.05</v>
      </c>
      <c r="F148" s="1" t="n">
        <v>1.1</v>
      </c>
    </row>
    <row collapsed="false" customFormat="false" customHeight="false" hidden="false" ht="14.75" outlineLevel="0" r="149">
      <c r="A149" s="1" t="s">
        <v>910</v>
      </c>
      <c r="B149" s="1" t="s">
        <v>797</v>
      </c>
      <c r="C149" s="1" t="s">
        <v>787</v>
      </c>
      <c r="D149" s="1" t="n">
        <v>77.8</v>
      </c>
      <c r="E149" s="1" t="n">
        <v>8.5</v>
      </c>
      <c r="F149" s="1" t="n">
        <v>0.4</v>
      </c>
    </row>
    <row collapsed="false" customFormat="false" customHeight="false" hidden="false" ht="14.75" outlineLevel="0" r="150">
      <c r="A150" s="1" t="s">
        <v>911</v>
      </c>
      <c r="B150" s="1" t="s">
        <v>803</v>
      </c>
      <c r="C150" s="1" t="s">
        <v>787</v>
      </c>
      <c r="D150" s="1" t="n">
        <v>138.1</v>
      </c>
      <c r="E150" s="1" t="n">
        <v>10.96</v>
      </c>
      <c r="F150" s="1" t="n">
        <f aca="false">10/8</f>
        <v>1.25</v>
      </c>
    </row>
    <row collapsed="false" customFormat="false" customHeight="false" hidden="false" ht="14.75" outlineLevel="0" r="151">
      <c r="A151" s="1" t="s">
        <v>158</v>
      </c>
      <c r="B151" s="1" t="s">
        <v>818</v>
      </c>
      <c r="C151" s="1" t="s">
        <v>787</v>
      </c>
      <c r="D151" s="1" t="n">
        <v>370</v>
      </c>
      <c r="E151" s="1" t="n">
        <v>20.35</v>
      </c>
      <c r="F151" s="1" t="n">
        <f aca="false">56/12</f>
        <v>4.66666666666667</v>
      </c>
    </row>
    <row collapsed="false" customFormat="false" customHeight="false" hidden="false" ht="14.75" outlineLevel="0" r="152">
      <c r="A152" s="1" t="s">
        <v>159</v>
      </c>
      <c r="B152" s="1" t="s">
        <v>818</v>
      </c>
      <c r="C152" s="1" t="s">
        <v>787</v>
      </c>
      <c r="D152" s="1" t="n">
        <v>231</v>
      </c>
      <c r="E152" s="1" t="n">
        <v>15.96</v>
      </c>
      <c r="F152" s="1" t="n">
        <v>1.7</v>
      </c>
    </row>
    <row collapsed="false" customFormat="false" customHeight="false" hidden="false" ht="14.75" outlineLevel="0" r="153">
      <c r="A153" s="1" t="s">
        <v>912</v>
      </c>
      <c r="B153" s="1" t="s">
        <v>786</v>
      </c>
      <c r="C153" s="1" t="s">
        <v>787</v>
      </c>
      <c r="D153" s="1" t="n">
        <v>113.5</v>
      </c>
      <c r="E153" s="1" t="n">
        <v>8.23</v>
      </c>
      <c r="F153" s="1" t="n">
        <v>0.8</v>
      </c>
    </row>
    <row collapsed="false" customFormat="false" customHeight="false" hidden="false" ht="14.75" outlineLevel="0" r="154">
      <c r="A154" s="1" t="s">
        <v>913</v>
      </c>
      <c r="B154" s="1" t="s">
        <v>786</v>
      </c>
      <c r="C154" s="1" t="s">
        <v>787</v>
      </c>
      <c r="D154" s="1" t="n">
        <v>231.8</v>
      </c>
      <c r="E154" s="1" t="n">
        <v>12.79</v>
      </c>
      <c r="F154" s="1" t="n">
        <v>2</v>
      </c>
    </row>
    <row collapsed="false" customFormat="false" customHeight="false" hidden="false" ht="14.75" outlineLevel="0" r="155">
      <c r="A155" s="1" t="s">
        <v>914</v>
      </c>
      <c r="B155" s="1" t="s">
        <v>786</v>
      </c>
      <c r="C155" s="1" t="s">
        <v>787</v>
      </c>
      <c r="D155" s="1" t="n">
        <v>93.5</v>
      </c>
      <c r="E155" s="1" t="n">
        <v>6.84</v>
      </c>
      <c r="F155" s="1" t="n">
        <v>0.8</v>
      </c>
    </row>
    <row collapsed="false" customFormat="false" customHeight="false" hidden="false" ht="14.75" outlineLevel="0" r="156">
      <c r="A156" s="1" t="s">
        <v>915</v>
      </c>
      <c r="B156" s="1" t="s">
        <v>805</v>
      </c>
      <c r="C156" s="1" t="s">
        <v>787</v>
      </c>
      <c r="D156" s="1" t="n">
        <v>160.8</v>
      </c>
      <c r="E156" s="1" t="n">
        <v>12.22</v>
      </c>
      <c r="F156" s="1" t="n">
        <f aca="false">3/7</f>
        <v>0.428571428571429</v>
      </c>
    </row>
    <row collapsed="false" customFormat="false" customHeight="false" hidden="false" ht="14.75" outlineLevel="0" r="157">
      <c r="A157" s="1" t="s">
        <v>916</v>
      </c>
      <c r="B157" s="1" t="s">
        <v>805</v>
      </c>
      <c r="C157" s="1" t="s">
        <v>787</v>
      </c>
      <c r="D157" s="1" t="n">
        <v>221.7</v>
      </c>
      <c r="E157" s="1" t="n">
        <v>13.82</v>
      </c>
      <c r="F157" s="1" t="n">
        <f aca="false">7/9</f>
        <v>0.777777777777778</v>
      </c>
    </row>
    <row collapsed="false" customFormat="false" customHeight="false" hidden="false" ht="14.75" outlineLevel="0" r="158">
      <c r="A158" s="1" t="s">
        <v>917</v>
      </c>
      <c r="B158" s="1" t="s">
        <v>839</v>
      </c>
      <c r="C158" s="1" t="s">
        <v>787</v>
      </c>
      <c r="D158" s="1" t="n">
        <v>359</v>
      </c>
      <c r="E158" s="1" t="n">
        <v>17.1</v>
      </c>
      <c r="F158" s="1" t="n">
        <v>3.1</v>
      </c>
    </row>
    <row collapsed="false" customFormat="false" customHeight="false" hidden="false" ht="14.75" outlineLevel="0" r="159">
      <c r="A159" s="1" t="s">
        <v>918</v>
      </c>
      <c r="B159" s="1" t="s">
        <v>849</v>
      </c>
      <c r="C159" s="1" t="s">
        <v>787</v>
      </c>
      <c r="D159" s="1" t="n">
        <v>133.5</v>
      </c>
      <c r="E159" s="1" t="n">
        <v>10.71</v>
      </c>
      <c r="F159" s="1" t="n">
        <v>1.3</v>
      </c>
    </row>
    <row collapsed="false" customFormat="false" customHeight="false" hidden="false" ht="14.75" outlineLevel="0" r="160">
      <c r="A160" s="1" t="s">
        <v>919</v>
      </c>
      <c r="B160" s="1" t="s">
        <v>849</v>
      </c>
      <c r="C160" s="1" t="s">
        <v>787</v>
      </c>
      <c r="D160" s="1" t="n">
        <v>80</v>
      </c>
      <c r="E160" s="1" t="n">
        <v>10.38</v>
      </c>
      <c r="F160" s="1" t="n">
        <v>0.8</v>
      </c>
    </row>
    <row collapsed="false" customFormat="false" customHeight="false" hidden="false" ht="14.75" outlineLevel="0" r="161">
      <c r="A161" s="1" t="s">
        <v>920</v>
      </c>
      <c r="B161" s="1" t="s">
        <v>839</v>
      </c>
      <c r="C161" s="1" t="s">
        <v>787</v>
      </c>
      <c r="D161" s="1" t="n">
        <v>107</v>
      </c>
      <c r="E161" s="1" t="n">
        <v>8.7</v>
      </c>
      <c r="F161" s="1" t="n">
        <v>0.8</v>
      </c>
    </row>
    <row collapsed="false" customFormat="false" customHeight="false" hidden="false" ht="14.75" outlineLevel="0" r="162">
      <c r="A162" s="1" t="s">
        <v>921</v>
      </c>
      <c r="B162" s="1" t="s">
        <v>797</v>
      </c>
      <c r="C162" s="1" t="s">
        <v>787</v>
      </c>
      <c r="D162" s="1" t="n">
        <v>134.5</v>
      </c>
      <c r="E162" s="1" t="n">
        <v>11.18</v>
      </c>
      <c r="F162" s="1" t="n">
        <v>0.6</v>
      </c>
    </row>
    <row collapsed="false" customFormat="false" customHeight="false" hidden="false" ht="14.75" outlineLevel="0" r="163">
      <c r="A163" s="1" t="s">
        <v>922</v>
      </c>
      <c r="B163" s="1" t="s">
        <v>839</v>
      </c>
      <c r="C163" s="1" t="s">
        <v>787</v>
      </c>
      <c r="D163" s="1" t="n">
        <v>371.7</v>
      </c>
      <c r="E163" s="1" t="n">
        <v>18</v>
      </c>
      <c r="F163" s="1" t="n">
        <f aca="false">49/12</f>
        <v>4.08333333333333</v>
      </c>
    </row>
    <row collapsed="false" customFormat="false" customHeight="false" hidden="false" ht="14.75" outlineLevel="0" r="164">
      <c r="A164" s="1" t="s">
        <v>923</v>
      </c>
      <c r="B164" s="1" t="s">
        <v>839</v>
      </c>
      <c r="C164" s="1" t="s">
        <v>787</v>
      </c>
      <c r="D164" s="1" t="n">
        <v>196.5</v>
      </c>
      <c r="E164" s="1" t="n">
        <v>9.6</v>
      </c>
      <c r="F164" s="1" t="n">
        <v>2.1</v>
      </c>
    </row>
    <row collapsed="false" customFormat="false" customHeight="false" hidden="false" ht="14.75" outlineLevel="0" r="165">
      <c r="A165" s="1" t="s">
        <v>924</v>
      </c>
      <c r="B165" s="1" t="s">
        <v>786</v>
      </c>
      <c r="C165" s="1" t="s">
        <v>787</v>
      </c>
      <c r="D165" s="1" t="n">
        <v>92.5</v>
      </c>
      <c r="E165" s="1" t="n">
        <v>7.41</v>
      </c>
      <c r="F165" s="1" t="n">
        <v>0.6</v>
      </c>
    </row>
    <row collapsed="false" customFormat="false" customHeight="false" hidden="false" ht="14.75" outlineLevel="0" r="166">
      <c r="A166" s="1" t="s">
        <v>925</v>
      </c>
      <c r="B166" s="1" t="s">
        <v>926</v>
      </c>
      <c r="C166" s="1" t="s">
        <v>787</v>
      </c>
      <c r="D166" s="1" t="n">
        <v>43.2</v>
      </c>
      <c r="E166" s="1" t="n">
        <v>7.14</v>
      </c>
      <c r="F166" s="1" t="n">
        <f aca="false">1/7</f>
        <v>0.142857142857143</v>
      </c>
    </row>
    <row collapsed="false" customFormat="false" customHeight="false" hidden="false" ht="14.75" outlineLevel="0" r="167">
      <c r="A167" s="1" t="s">
        <v>927</v>
      </c>
      <c r="B167" s="1" t="s">
        <v>926</v>
      </c>
      <c r="C167" s="1" t="s">
        <v>787</v>
      </c>
      <c r="D167" s="1" t="n">
        <v>41</v>
      </c>
      <c r="E167" s="1" t="n">
        <v>3.64</v>
      </c>
      <c r="F167" s="1" t="n">
        <f aca="false">2/7</f>
        <v>0.285714285714286</v>
      </c>
    </row>
    <row collapsed="false" customFormat="false" customHeight="false" hidden="false" ht="14.75" outlineLevel="0" r="168">
      <c r="A168" s="1" t="s">
        <v>169</v>
      </c>
      <c r="B168" s="1" t="s">
        <v>839</v>
      </c>
      <c r="C168" s="1" t="s">
        <v>787</v>
      </c>
      <c r="D168" s="1" t="n">
        <v>275</v>
      </c>
      <c r="E168" s="1" t="n">
        <v>13.8</v>
      </c>
      <c r="F168" s="1" t="n">
        <v>1.9</v>
      </c>
    </row>
    <row collapsed="false" customFormat="false" customHeight="false" hidden="false" ht="14.75" outlineLevel="0" r="169">
      <c r="A169" s="1" t="s">
        <v>928</v>
      </c>
      <c r="B169" s="1" t="s">
        <v>816</v>
      </c>
      <c r="C169" s="1" t="s">
        <v>787</v>
      </c>
      <c r="D169" s="1" t="n">
        <v>261.1</v>
      </c>
      <c r="E169" s="1" t="n">
        <v>14.22</v>
      </c>
      <c r="F169" s="1" t="n">
        <v>1.7</v>
      </c>
    </row>
    <row collapsed="false" customFormat="false" customHeight="false" hidden="false" ht="14.75" outlineLevel="0" r="170">
      <c r="A170" s="1" t="s">
        <v>929</v>
      </c>
      <c r="B170" s="1" t="s">
        <v>803</v>
      </c>
      <c r="C170" s="1" t="s">
        <v>787</v>
      </c>
      <c r="D170" s="1" t="n">
        <v>216.9</v>
      </c>
      <c r="E170" s="1" t="n">
        <v>12.31</v>
      </c>
      <c r="F170" s="1" t="n">
        <f aca="false">11/8</f>
        <v>1.375</v>
      </c>
    </row>
    <row collapsed="false" customFormat="false" customHeight="false" hidden="false" ht="14.75" outlineLevel="0" r="171">
      <c r="A171" s="1" t="s">
        <v>930</v>
      </c>
      <c r="B171" s="1" t="s">
        <v>803</v>
      </c>
      <c r="C171" s="1" t="s">
        <v>787</v>
      </c>
      <c r="D171" s="1" t="n">
        <v>144.4</v>
      </c>
      <c r="E171" s="1" t="n">
        <v>9.33</v>
      </c>
      <c r="F171" s="1" t="n">
        <f aca="false">11/8</f>
        <v>1.375</v>
      </c>
    </row>
    <row collapsed="false" customFormat="false" customHeight="false" hidden="false" ht="14.75" outlineLevel="0" r="172">
      <c r="A172" s="1" t="s">
        <v>931</v>
      </c>
      <c r="B172" s="1" t="s">
        <v>803</v>
      </c>
      <c r="C172" s="1" t="s">
        <v>787</v>
      </c>
      <c r="D172" s="1" t="n">
        <v>65.6</v>
      </c>
      <c r="E172" s="1" t="n">
        <v>7.5</v>
      </c>
      <c r="F172" s="1" t="n">
        <f aca="false">2/8</f>
        <v>0.25</v>
      </c>
    </row>
    <row collapsed="false" customFormat="false" customHeight="false" hidden="false" ht="14.75" outlineLevel="0" r="173">
      <c r="A173" s="1" t="s">
        <v>932</v>
      </c>
      <c r="B173" s="1" t="s">
        <v>849</v>
      </c>
      <c r="C173" s="1" t="s">
        <v>787</v>
      </c>
      <c r="D173" s="1" t="n">
        <v>93</v>
      </c>
      <c r="E173" s="1" t="n">
        <v>9.79</v>
      </c>
      <c r="F173" s="1" t="n">
        <v>0.4</v>
      </c>
    </row>
    <row collapsed="false" customFormat="false" customHeight="false" hidden="false" ht="14.75" outlineLevel="0" r="174">
      <c r="A174" s="1" t="s">
        <v>933</v>
      </c>
      <c r="B174" s="1" t="s">
        <v>818</v>
      </c>
      <c r="C174" s="1" t="s">
        <v>787</v>
      </c>
      <c r="D174" s="1" t="n">
        <v>234.4</v>
      </c>
      <c r="E174" s="1" t="n">
        <v>15.43</v>
      </c>
      <c r="F174" s="1" t="n">
        <f aca="false">29/9</f>
        <v>3.22222222222222</v>
      </c>
    </row>
    <row collapsed="false" customFormat="false" customHeight="false" hidden="false" ht="14.75" outlineLevel="0" r="175">
      <c r="A175" s="1" t="s">
        <v>934</v>
      </c>
      <c r="B175" s="1" t="s">
        <v>818</v>
      </c>
      <c r="C175" s="1" t="s">
        <v>787</v>
      </c>
      <c r="D175" s="1" t="n">
        <v>140</v>
      </c>
      <c r="E175" s="1" t="n">
        <v>10.48</v>
      </c>
      <c r="F175" s="1" t="n">
        <f aca="false">7/9</f>
        <v>0.777777777777778</v>
      </c>
    </row>
    <row collapsed="false" customFormat="false" customHeight="false" hidden="false" ht="14.75" outlineLevel="0" r="176">
      <c r="A176" s="1" t="s">
        <v>935</v>
      </c>
      <c r="B176" s="1" t="s">
        <v>818</v>
      </c>
      <c r="C176" s="1" t="s">
        <v>787</v>
      </c>
      <c r="D176" s="1" t="n">
        <v>103.3</v>
      </c>
      <c r="E176" s="1" t="n">
        <v>9.39</v>
      </c>
      <c r="F176" s="1" t="n">
        <f aca="false">7/9</f>
        <v>0.777777777777778</v>
      </c>
    </row>
    <row collapsed="false" customFormat="false" customHeight="false" hidden="false" ht="14.75" outlineLevel="0" r="177">
      <c r="A177" s="1" t="s">
        <v>376</v>
      </c>
      <c r="B177" s="1" t="s">
        <v>818</v>
      </c>
      <c r="C177" s="1" t="s">
        <v>787</v>
      </c>
      <c r="D177" s="1" t="n">
        <v>350.5</v>
      </c>
      <c r="E177" s="1" t="n">
        <v>17.82</v>
      </c>
      <c r="F177" s="1" t="n">
        <f aca="false">49/11</f>
        <v>4.45454545454545</v>
      </c>
    </row>
    <row collapsed="false" customFormat="false" customHeight="false" hidden="false" ht="14.75" outlineLevel="0" r="178">
      <c r="A178" s="1" t="s">
        <v>377</v>
      </c>
      <c r="B178" s="1" t="s">
        <v>818</v>
      </c>
      <c r="C178" s="1" t="s">
        <v>787</v>
      </c>
      <c r="D178" s="1" t="n">
        <v>303.2</v>
      </c>
      <c r="E178" s="1" t="n">
        <v>18.32</v>
      </c>
      <c r="F178" s="1" t="n">
        <f aca="false">49/11</f>
        <v>4.45454545454545</v>
      </c>
    </row>
    <row collapsed="false" customFormat="false" customHeight="false" hidden="false" ht="14.75" outlineLevel="0" r="179">
      <c r="A179" s="1" t="s">
        <v>378</v>
      </c>
      <c r="B179" s="1" t="s">
        <v>818</v>
      </c>
      <c r="C179" s="1" t="s">
        <v>787</v>
      </c>
      <c r="D179" s="1" t="n">
        <v>225</v>
      </c>
      <c r="E179" s="1" t="n">
        <v>14.72</v>
      </c>
      <c r="F179" s="1" t="n">
        <v>1.3</v>
      </c>
    </row>
    <row collapsed="false" customFormat="false" customHeight="false" hidden="false" ht="14.75" outlineLevel="0" r="180">
      <c r="A180" s="1" t="s">
        <v>936</v>
      </c>
      <c r="B180" s="1" t="s">
        <v>818</v>
      </c>
      <c r="C180" s="1" t="s">
        <v>787</v>
      </c>
      <c r="D180" s="1" t="n">
        <v>148.5</v>
      </c>
      <c r="E180" s="1" t="n">
        <v>10.69</v>
      </c>
      <c r="F180" s="1" t="n">
        <v>0.8</v>
      </c>
    </row>
    <row collapsed="false" customFormat="false" customHeight="false" hidden="false" ht="14.75" outlineLevel="0" r="181">
      <c r="A181" s="1" t="s">
        <v>597</v>
      </c>
      <c r="B181" s="1" t="s">
        <v>790</v>
      </c>
      <c r="C181" s="1" t="s">
        <v>787</v>
      </c>
      <c r="D181" s="1" t="n">
        <v>359</v>
      </c>
      <c r="E181" s="1" t="n">
        <v>21.58</v>
      </c>
      <c r="F181" s="1" t="n">
        <v>4.4</v>
      </c>
    </row>
    <row collapsed="false" customFormat="false" customHeight="false" hidden="false" ht="14.75" outlineLevel="0" r="182">
      <c r="A182" s="1" t="s">
        <v>598</v>
      </c>
      <c r="B182" s="1" t="s">
        <v>790</v>
      </c>
      <c r="C182" s="1" t="s">
        <v>787</v>
      </c>
      <c r="D182" s="1" t="n">
        <v>79</v>
      </c>
      <c r="E182" s="1" t="n">
        <v>8.64</v>
      </c>
      <c r="F182" s="1" t="n">
        <v>1</v>
      </c>
    </row>
    <row collapsed="false" customFormat="false" customHeight="false" hidden="false" ht="14.75" outlineLevel="0" r="183">
      <c r="A183" s="1" t="s">
        <v>937</v>
      </c>
      <c r="B183" s="1" t="s">
        <v>790</v>
      </c>
      <c r="C183" s="1" t="s">
        <v>787</v>
      </c>
      <c r="D183" s="1" t="n">
        <v>94.5</v>
      </c>
      <c r="E183" s="1" t="n">
        <v>9.7</v>
      </c>
      <c r="F183" s="1" t="n">
        <v>0.9</v>
      </c>
    </row>
    <row collapsed="false" customFormat="false" customHeight="false" hidden="false" ht="14.75" outlineLevel="0" r="184">
      <c r="A184" s="1" t="s">
        <v>938</v>
      </c>
      <c r="B184" s="1" t="s">
        <v>839</v>
      </c>
      <c r="C184" s="1" t="s">
        <v>787</v>
      </c>
      <c r="D184" s="1" t="n">
        <v>161</v>
      </c>
      <c r="E184" s="1" t="n">
        <v>9</v>
      </c>
      <c r="F184" s="1" t="n">
        <v>0.9</v>
      </c>
    </row>
    <row collapsed="false" customFormat="false" customHeight="false" hidden="false" ht="14.75" outlineLevel="0" r="185">
      <c r="A185" s="1" t="s">
        <v>939</v>
      </c>
      <c r="B185" s="1" t="s">
        <v>797</v>
      </c>
      <c r="C185" s="1" t="s">
        <v>787</v>
      </c>
      <c r="D185" s="1" t="n">
        <v>80.8</v>
      </c>
      <c r="E185" s="1" t="n">
        <v>7.59</v>
      </c>
      <c r="F185" s="1" t="n">
        <v>0.3</v>
      </c>
    </row>
    <row collapsed="false" customFormat="false" customHeight="false" hidden="false" ht="14.75" outlineLevel="0" r="186">
      <c r="A186" s="1" t="s">
        <v>940</v>
      </c>
      <c r="B186" s="1" t="s">
        <v>797</v>
      </c>
      <c r="C186" s="1" t="s">
        <v>787</v>
      </c>
      <c r="D186" s="1" t="n">
        <v>8.3</v>
      </c>
      <c r="E186" s="1" t="n">
        <v>3.33</v>
      </c>
      <c r="F186" s="1" t="n">
        <v>0</v>
      </c>
    </row>
    <row collapsed="false" customFormat="false" customHeight="false" hidden="false" ht="14.75" outlineLevel="0" r="187">
      <c r="A187" s="1" t="s">
        <v>941</v>
      </c>
      <c r="B187" s="1" t="s">
        <v>818</v>
      </c>
      <c r="C187" s="1" t="s">
        <v>787</v>
      </c>
      <c r="D187" s="1" t="n">
        <v>100</v>
      </c>
      <c r="E187" s="1" t="n">
        <v>8.81</v>
      </c>
      <c r="F187" s="1" t="n">
        <f aca="false">7/8</f>
        <v>0.875</v>
      </c>
    </row>
    <row collapsed="false" customFormat="false" customHeight="false" hidden="false" ht="14.75" outlineLevel="0" r="188">
      <c r="A188" s="1" t="s">
        <v>223</v>
      </c>
      <c r="B188" s="1" t="s">
        <v>803</v>
      </c>
      <c r="C188" s="1" t="s">
        <v>787</v>
      </c>
      <c r="D188" s="1" t="n">
        <v>260.5</v>
      </c>
      <c r="E188" s="1" t="n">
        <v>15.59</v>
      </c>
      <c r="F188" s="1" t="n">
        <f aca="false">15/11</f>
        <v>1.36363636363636</v>
      </c>
    </row>
    <row collapsed="false" customFormat="false" customHeight="false" hidden="false" ht="14.75" outlineLevel="0" r="189">
      <c r="A189" s="1" t="s">
        <v>224</v>
      </c>
      <c r="B189" s="1" t="s">
        <v>803</v>
      </c>
      <c r="C189" s="1" t="s">
        <v>787</v>
      </c>
      <c r="D189" s="1" t="n">
        <v>78.1</v>
      </c>
      <c r="E189" s="1" t="n">
        <v>7.5</v>
      </c>
      <c r="F189" s="1" t="n">
        <f aca="false">6/8</f>
        <v>0.75</v>
      </c>
    </row>
    <row collapsed="false" customFormat="false" customHeight="false" hidden="false" ht="14.75" outlineLevel="0" r="190">
      <c r="A190" s="1" t="s">
        <v>225</v>
      </c>
      <c r="B190" s="1" t="s">
        <v>803</v>
      </c>
      <c r="C190" s="1" t="s">
        <v>787</v>
      </c>
      <c r="D190" s="1" t="n">
        <v>53.6</v>
      </c>
      <c r="E190" s="1" t="n">
        <v>7.27</v>
      </c>
      <c r="F190" s="1" t="n">
        <f aca="false">4/8</f>
        <v>0.5</v>
      </c>
    </row>
    <row collapsed="false" customFormat="false" customHeight="false" hidden="false" ht="14.75" outlineLevel="0" r="191">
      <c r="A191" s="1" t="s">
        <v>942</v>
      </c>
      <c r="B191" s="1" t="s">
        <v>803</v>
      </c>
      <c r="C191" s="1" t="s">
        <v>787</v>
      </c>
      <c r="D191" s="1" t="n">
        <v>61.2</v>
      </c>
      <c r="E191" s="1" t="n">
        <v>7.59</v>
      </c>
      <c r="F191" s="1" t="n">
        <f aca="false">1/8</f>
        <v>0.125</v>
      </c>
    </row>
    <row collapsed="false" customFormat="false" customHeight="false" hidden="false" ht="14.75" outlineLevel="0" r="192">
      <c r="A192" s="1" t="s">
        <v>943</v>
      </c>
      <c r="B192" s="1" t="s">
        <v>813</v>
      </c>
      <c r="C192" s="1" t="s">
        <v>787</v>
      </c>
      <c r="D192" s="1" t="n">
        <v>384.2</v>
      </c>
      <c r="E192" s="1" t="n">
        <v>20.85</v>
      </c>
      <c r="F192" s="1" t="n">
        <f aca="false">71/12</f>
        <v>5.91666666666667</v>
      </c>
    </row>
    <row collapsed="false" customFormat="false" customHeight="false" hidden="false" ht="14.75" outlineLevel="0" r="193">
      <c r="A193" s="1" t="s">
        <v>944</v>
      </c>
      <c r="B193" s="1" t="s">
        <v>813</v>
      </c>
      <c r="C193" s="1" t="s">
        <v>787</v>
      </c>
      <c r="D193" s="1" t="n">
        <v>310</v>
      </c>
      <c r="E193" s="1" t="n">
        <v>17.63</v>
      </c>
      <c r="F193" s="1" t="n">
        <f aca="false">24/9</f>
        <v>2.66666666666667</v>
      </c>
    </row>
    <row collapsed="false" customFormat="false" customHeight="false" hidden="false" ht="14.75" outlineLevel="0" r="194">
      <c r="A194" s="1" t="s">
        <v>391</v>
      </c>
      <c r="B194" s="1" t="s">
        <v>839</v>
      </c>
      <c r="C194" s="1" t="s">
        <v>787</v>
      </c>
      <c r="D194" s="1" t="n">
        <v>408.8</v>
      </c>
      <c r="E194" s="1" t="n">
        <v>20.1</v>
      </c>
      <c r="F194" s="1" t="n">
        <f aca="false">53/12</f>
        <v>4.41666666666667</v>
      </c>
    </row>
    <row collapsed="false" customFormat="false" customHeight="false" hidden="false" ht="14.75" outlineLevel="0" r="195">
      <c r="A195" s="1" t="s">
        <v>392</v>
      </c>
      <c r="B195" s="1" t="s">
        <v>839</v>
      </c>
      <c r="C195" s="1" t="s">
        <v>787</v>
      </c>
      <c r="D195" s="1" t="n">
        <v>282.5</v>
      </c>
      <c r="E195" s="1" t="n">
        <v>13.5</v>
      </c>
      <c r="F195" s="1" t="n">
        <v>2.5</v>
      </c>
    </row>
    <row collapsed="false" customFormat="false" customHeight="false" hidden="false" ht="14.75" outlineLevel="0" r="196">
      <c r="A196" s="1" t="s">
        <v>393</v>
      </c>
      <c r="B196" s="1" t="s">
        <v>839</v>
      </c>
      <c r="C196" s="1" t="s">
        <v>787</v>
      </c>
      <c r="D196" s="1" t="n">
        <v>160</v>
      </c>
      <c r="E196" s="1" t="n">
        <v>9.6</v>
      </c>
      <c r="F196" s="1" t="n">
        <v>0.8</v>
      </c>
    </row>
    <row collapsed="false" customFormat="false" customHeight="false" hidden="false" ht="14.75" outlineLevel="0" r="197">
      <c r="A197" s="1" t="s">
        <v>603</v>
      </c>
      <c r="B197" s="1" t="s">
        <v>839</v>
      </c>
      <c r="C197" s="1" t="s">
        <v>787</v>
      </c>
      <c r="D197" s="1" t="n">
        <v>145.5</v>
      </c>
      <c r="E197" s="1" t="n">
        <v>9.6</v>
      </c>
      <c r="F197" s="1" t="n">
        <v>0.5</v>
      </c>
    </row>
    <row collapsed="false" customFormat="false" customHeight="false" hidden="false" ht="14.75" outlineLevel="0" r="198">
      <c r="A198" s="1" t="s">
        <v>945</v>
      </c>
      <c r="B198" s="1" t="s">
        <v>816</v>
      </c>
      <c r="C198" s="1" t="s">
        <v>787</v>
      </c>
      <c r="D198" s="1" t="n">
        <v>74.5</v>
      </c>
      <c r="E198" s="1" t="n">
        <v>7.14</v>
      </c>
      <c r="F198" s="1" t="n">
        <v>0.2</v>
      </c>
    </row>
    <row collapsed="false" customFormat="false" customHeight="false" hidden="false" ht="14.75" outlineLevel="0" r="199">
      <c r="A199" s="1" t="s">
        <v>946</v>
      </c>
      <c r="B199" s="1" t="s">
        <v>839</v>
      </c>
      <c r="C199" s="1" t="s">
        <v>787</v>
      </c>
      <c r="D199" s="1" t="n">
        <v>140</v>
      </c>
      <c r="E199" s="1" t="n">
        <v>7.5</v>
      </c>
      <c r="F199" s="1" t="n">
        <v>1.1</v>
      </c>
    </row>
    <row collapsed="false" customFormat="false" customHeight="false" hidden="false" ht="14.75" outlineLevel="0" r="200">
      <c r="A200" s="1" t="s">
        <v>947</v>
      </c>
      <c r="B200" s="1" t="s">
        <v>790</v>
      </c>
      <c r="C200" s="1" t="s">
        <v>787</v>
      </c>
      <c r="D200" s="1" t="n">
        <v>375.5</v>
      </c>
      <c r="E200" s="1" t="n">
        <v>21.32</v>
      </c>
      <c r="F200" s="1" t="n">
        <v>4.2</v>
      </c>
    </row>
    <row collapsed="false" customFormat="false" customHeight="false" hidden="false" ht="14.75" outlineLevel="0" r="201">
      <c r="A201" s="1" t="s">
        <v>948</v>
      </c>
      <c r="B201" s="1" t="s">
        <v>790</v>
      </c>
      <c r="C201" s="1" t="s">
        <v>787</v>
      </c>
      <c r="D201" s="1" t="n">
        <v>260.5</v>
      </c>
      <c r="E201" s="1" t="n">
        <v>14.62</v>
      </c>
      <c r="F201" s="1" t="n">
        <v>2.3</v>
      </c>
    </row>
    <row collapsed="false" customFormat="false" customHeight="false" hidden="false" ht="14.75" outlineLevel="0" r="202">
      <c r="A202" s="1" t="s">
        <v>949</v>
      </c>
      <c r="B202" s="1" t="s">
        <v>790</v>
      </c>
      <c r="C202" s="1" t="s">
        <v>787</v>
      </c>
      <c r="D202" s="1" t="n">
        <v>99.5</v>
      </c>
      <c r="E202" s="1" t="n">
        <v>8.3</v>
      </c>
      <c r="F202" s="1" t="n">
        <v>1</v>
      </c>
    </row>
    <row collapsed="false" customFormat="false" customHeight="false" hidden="false" ht="14.75" outlineLevel="0" r="203">
      <c r="A203" s="1" t="s">
        <v>26</v>
      </c>
      <c r="B203" s="1" t="s">
        <v>802</v>
      </c>
      <c r="C203" s="1" t="s">
        <v>787</v>
      </c>
      <c r="D203" s="1" t="n">
        <v>494.4</v>
      </c>
      <c r="E203" s="1" t="n">
        <v>23.46</v>
      </c>
      <c r="F203" s="1" t="n">
        <f aca="false">72/9</f>
        <v>8</v>
      </c>
    </row>
    <row collapsed="false" customFormat="false" customHeight="false" hidden="false" ht="14.75" outlineLevel="0" r="204">
      <c r="A204" s="1" t="s">
        <v>27</v>
      </c>
      <c r="B204" s="1" t="s">
        <v>802</v>
      </c>
      <c r="C204" s="1" t="s">
        <v>787</v>
      </c>
      <c r="D204" s="1" t="n">
        <v>385</v>
      </c>
      <c r="E204" s="1" t="n">
        <v>19.95</v>
      </c>
      <c r="F204" s="1" t="n">
        <f aca="false">49/9</f>
        <v>5.44444444444444</v>
      </c>
    </row>
    <row collapsed="false" customFormat="false" customHeight="false" hidden="false" ht="14.75" outlineLevel="0" r="205">
      <c r="A205" s="1" t="s">
        <v>950</v>
      </c>
      <c r="B205" s="1" t="s">
        <v>818</v>
      </c>
      <c r="C205" s="1" t="s">
        <v>787</v>
      </c>
      <c r="D205" s="1" t="n">
        <v>144</v>
      </c>
      <c r="E205" s="1" t="n">
        <v>9.59</v>
      </c>
      <c r="F205" s="1" t="n">
        <v>1.1</v>
      </c>
    </row>
    <row collapsed="false" customFormat="false" customHeight="false" hidden="false" ht="14.75" outlineLevel="0" r="206">
      <c r="A206" s="1" t="s">
        <v>951</v>
      </c>
      <c r="B206" s="1" t="s">
        <v>816</v>
      </c>
      <c r="C206" s="1" t="s">
        <v>787</v>
      </c>
      <c r="D206" s="1" t="n">
        <v>70.6</v>
      </c>
      <c r="E206" s="1" t="n">
        <v>6.14</v>
      </c>
      <c r="F206" s="1" t="n">
        <v>0.3</v>
      </c>
    </row>
    <row collapsed="false" customFormat="false" customHeight="false" hidden="false" ht="14.75" outlineLevel="0" r="207">
      <c r="A207" s="1" t="s">
        <v>952</v>
      </c>
      <c r="B207" s="1" t="s">
        <v>802</v>
      </c>
      <c r="C207" s="1" t="s">
        <v>787</v>
      </c>
      <c r="D207" s="1" t="n">
        <v>285</v>
      </c>
      <c r="E207" s="1" t="n">
        <v>15.74</v>
      </c>
      <c r="F207" s="1" t="n">
        <f aca="false">23/7</f>
        <v>3.28571428571429</v>
      </c>
    </row>
    <row collapsed="false" customFormat="false" customHeight="false" hidden="false" ht="14.75" outlineLevel="0" r="208">
      <c r="A208" s="1" t="s">
        <v>953</v>
      </c>
      <c r="B208" s="1" t="s">
        <v>813</v>
      </c>
      <c r="C208" s="1" t="s">
        <v>787</v>
      </c>
      <c r="D208" s="1" t="n">
        <v>151.1</v>
      </c>
      <c r="E208" s="1" t="n">
        <v>11.25</v>
      </c>
      <c r="F208" s="1" t="n">
        <f aca="false">15/9</f>
        <v>1.66666666666667</v>
      </c>
    </row>
    <row collapsed="false" customFormat="false" customHeight="false" hidden="false" ht="14.75" outlineLevel="0" r="209">
      <c r="A209" s="1" t="s">
        <v>954</v>
      </c>
      <c r="B209" s="1" t="s">
        <v>797</v>
      </c>
      <c r="C209" s="1" t="s">
        <v>787</v>
      </c>
      <c r="D209" s="1" t="n">
        <v>230</v>
      </c>
      <c r="E209" s="1" t="n">
        <v>12.16</v>
      </c>
      <c r="F209" s="1" t="n">
        <v>2.2</v>
      </c>
    </row>
    <row collapsed="false" customFormat="false" customHeight="false" hidden="false" ht="14.75" outlineLevel="0" r="210">
      <c r="A210" s="1" t="s">
        <v>955</v>
      </c>
      <c r="B210" s="1" t="s">
        <v>797</v>
      </c>
      <c r="C210" s="1" t="s">
        <v>787</v>
      </c>
      <c r="D210" s="1" t="n">
        <v>80</v>
      </c>
      <c r="E210" s="1" t="n">
        <v>5.62</v>
      </c>
      <c r="F210" s="1" t="n">
        <v>0.5</v>
      </c>
    </row>
    <row collapsed="false" customFormat="false" customHeight="false" hidden="false" ht="14.75" outlineLevel="0" r="211">
      <c r="A211" s="1" t="s">
        <v>956</v>
      </c>
      <c r="B211" s="1" t="s">
        <v>797</v>
      </c>
      <c r="C211" s="1" t="s">
        <v>787</v>
      </c>
      <c r="D211" s="1" t="n">
        <v>118.9</v>
      </c>
      <c r="E211" s="1" t="n">
        <v>8.79</v>
      </c>
      <c r="F211" s="1" t="n">
        <v>0.7</v>
      </c>
    </row>
    <row collapsed="false" customFormat="false" customHeight="false" hidden="false" ht="14.75" outlineLevel="0" r="212">
      <c r="A212" s="1" t="s">
        <v>957</v>
      </c>
      <c r="B212" s="1" t="s">
        <v>797</v>
      </c>
      <c r="C212" s="1" t="s">
        <v>787</v>
      </c>
      <c r="D212" s="1" t="n">
        <v>66.5</v>
      </c>
      <c r="E212" s="1" t="n">
        <v>6.1</v>
      </c>
      <c r="F212" s="1" t="n">
        <v>0.6</v>
      </c>
    </row>
    <row collapsed="false" customFormat="false" customHeight="false" hidden="false" ht="14.75" outlineLevel="0" r="213">
      <c r="A213" s="1" t="s">
        <v>958</v>
      </c>
      <c r="B213" s="1" t="s">
        <v>813</v>
      </c>
      <c r="C213" s="1" t="s">
        <v>787</v>
      </c>
      <c r="D213" s="1" t="n">
        <v>441.7</v>
      </c>
      <c r="E213" s="1" t="n">
        <v>21.28</v>
      </c>
      <c r="F213" s="1" t="n">
        <f aca="false">66/9</f>
        <v>7.33333333333333</v>
      </c>
    </row>
    <row collapsed="false" customFormat="false" customHeight="false" hidden="false" ht="14.75" outlineLevel="0" r="214">
      <c r="A214" s="1" t="s">
        <v>959</v>
      </c>
      <c r="B214" s="1" t="s">
        <v>926</v>
      </c>
      <c r="C214" s="1" t="s">
        <v>787</v>
      </c>
      <c r="D214" s="1" t="n">
        <v>153.2</v>
      </c>
      <c r="E214" s="1" t="n">
        <v>10.59</v>
      </c>
      <c r="F214" s="1" t="n">
        <v>1</v>
      </c>
    </row>
    <row collapsed="false" customFormat="false" customHeight="false" hidden="false" ht="14.75" outlineLevel="0" r="215">
      <c r="A215" s="1" t="s">
        <v>960</v>
      </c>
      <c r="B215" s="1" t="s">
        <v>926</v>
      </c>
      <c r="C215" s="1" t="s">
        <v>787</v>
      </c>
      <c r="D215" s="1" t="n">
        <v>18.2</v>
      </c>
      <c r="E215" s="1" t="n">
        <v>5.45</v>
      </c>
      <c r="F215" s="1" t="n">
        <v>0</v>
      </c>
    </row>
    <row collapsed="false" customFormat="false" customHeight="false" hidden="false" ht="14.75" outlineLevel="0" r="216">
      <c r="A216" s="1" t="s">
        <v>30</v>
      </c>
      <c r="B216" s="1" t="s">
        <v>802</v>
      </c>
      <c r="C216" s="1" t="s">
        <v>787</v>
      </c>
      <c r="D216" s="1" t="n">
        <v>160</v>
      </c>
      <c r="E216" s="1" t="n">
        <v>11.6</v>
      </c>
      <c r="F216" s="1" t="n">
        <f aca="false">14/7</f>
        <v>2</v>
      </c>
    </row>
    <row collapsed="false" customFormat="false" customHeight="false" hidden="false" ht="14.75" outlineLevel="0" r="217">
      <c r="A217" s="1" t="s">
        <v>31</v>
      </c>
      <c r="B217" s="1" t="s">
        <v>802</v>
      </c>
      <c r="C217" s="1" t="s">
        <v>787</v>
      </c>
      <c r="D217" s="1" t="n">
        <v>310</v>
      </c>
      <c r="E217" s="1" t="n">
        <v>16.41</v>
      </c>
      <c r="F217" s="1" t="n">
        <f aca="false">29/7</f>
        <v>4.14285714285714</v>
      </c>
    </row>
    <row collapsed="false" customFormat="false" customHeight="false" hidden="false" ht="14.75" outlineLevel="0" r="218">
      <c r="A218" s="1" t="s">
        <v>961</v>
      </c>
      <c r="B218" s="1" t="s">
        <v>849</v>
      </c>
      <c r="C218" s="1" t="s">
        <v>787</v>
      </c>
      <c r="D218" s="1" t="n">
        <v>190.5</v>
      </c>
      <c r="E218" s="1" t="n">
        <v>14.49</v>
      </c>
      <c r="F218" s="1" t="n">
        <v>2.1</v>
      </c>
    </row>
    <row collapsed="false" customFormat="false" customHeight="false" hidden="false" ht="14.75" outlineLevel="0" r="219">
      <c r="A219" s="1" t="s">
        <v>962</v>
      </c>
      <c r="B219" s="1" t="s">
        <v>813</v>
      </c>
      <c r="C219" s="1" t="s">
        <v>787</v>
      </c>
      <c r="D219" s="1" t="n">
        <v>383.8</v>
      </c>
      <c r="E219" s="1" t="n">
        <v>21.8</v>
      </c>
      <c r="F219" s="1" t="n">
        <f aca="false">73/12</f>
        <v>6.08333333333333</v>
      </c>
    </row>
    <row collapsed="false" customFormat="false" customHeight="false" hidden="false" ht="14.75" outlineLevel="0" r="220">
      <c r="A220" s="1" t="s">
        <v>616</v>
      </c>
      <c r="B220" s="1" t="s">
        <v>802</v>
      </c>
      <c r="C220" s="1" t="s">
        <v>787</v>
      </c>
      <c r="D220" s="1" t="n">
        <v>308.6</v>
      </c>
      <c r="E220" s="1" t="n">
        <v>16.82</v>
      </c>
      <c r="F220" s="1" t="n">
        <f aca="false">26/7</f>
        <v>3.71428571428571</v>
      </c>
    </row>
    <row collapsed="false" customFormat="false" customHeight="false" hidden="false" ht="14.75" outlineLevel="0" r="221">
      <c r="A221" s="1" t="s">
        <v>963</v>
      </c>
      <c r="B221" s="1" t="s">
        <v>802</v>
      </c>
      <c r="C221" s="1" t="s">
        <v>787</v>
      </c>
      <c r="D221" s="1" t="n">
        <v>293.8</v>
      </c>
      <c r="E221" s="1" t="n">
        <v>14.01</v>
      </c>
      <c r="F221" s="1" t="n">
        <f aca="false">14/8</f>
        <v>1.75</v>
      </c>
    </row>
    <row collapsed="false" customFormat="false" customHeight="false" hidden="false" ht="14.75" outlineLevel="0" r="222">
      <c r="A222" s="1" t="s">
        <v>964</v>
      </c>
      <c r="B222" s="1" t="s">
        <v>839</v>
      </c>
      <c r="C222" s="1" t="s">
        <v>787</v>
      </c>
      <c r="D222" s="1" t="n">
        <v>175.5</v>
      </c>
      <c r="E222" s="1" t="n">
        <v>11.4</v>
      </c>
      <c r="F222" s="1" t="n">
        <v>0.5</v>
      </c>
    </row>
    <row collapsed="false" customFormat="false" customHeight="false" hidden="false" ht="14.75" outlineLevel="0" r="223">
      <c r="A223" s="1" t="s">
        <v>32</v>
      </c>
      <c r="B223" s="1" t="s">
        <v>818</v>
      </c>
      <c r="C223" s="1" t="s">
        <v>787</v>
      </c>
      <c r="D223" s="1" t="n">
        <v>167</v>
      </c>
      <c r="E223" s="1" t="n">
        <v>12.01</v>
      </c>
      <c r="F223" s="1" t="n">
        <v>1.1</v>
      </c>
    </row>
    <row collapsed="false" customFormat="false" customHeight="false" hidden="false" ht="14.75" outlineLevel="0" r="224">
      <c r="A224" s="1" t="s">
        <v>404</v>
      </c>
      <c r="B224" s="1" t="s">
        <v>818</v>
      </c>
      <c r="C224" s="1" t="s">
        <v>787</v>
      </c>
      <c r="D224" s="1" t="n">
        <v>94.4</v>
      </c>
      <c r="E224" s="1" t="n">
        <v>8.54</v>
      </c>
      <c r="F224" s="1" t="n">
        <f aca="false">3/9</f>
        <v>0.333333333333333</v>
      </c>
    </row>
    <row collapsed="false" customFormat="false" customHeight="false" hidden="false" ht="14.75" outlineLevel="0" r="225">
      <c r="A225" s="1" t="s">
        <v>965</v>
      </c>
      <c r="B225" s="1" t="s">
        <v>816</v>
      </c>
      <c r="C225" s="1" t="s">
        <v>787</v>
      </c>
      <c r="D225" s="1" t="n">
        <v>113</v>
      </c>
      <c r="E225" s="1" t="n">
        <v>8.47</v>
      </c>
      <c r="F225" s="1" t="n">
        <v>0.9</v>
      </c>
    </row>
    <row collapsed="false" customFormat="false" customHeight="false" hidden="false" ht="14.75" outlineLevel="0" r="226">
      <c r="A226" s="1" t="s">
        <v>966</v>
      </c>
      <c r="B226" s="1" t="s">
        <v>816</v>
      </c>
      <c r="C226" s="1" t="s">
        <v>787</v>
      </c>
      <c r="D226" s="1" t="n">
        <v>102.4</v>
      </c>
      <c r="E226" s="1" t="n">
        <v>6.92</v>
      </c>
      <c r="F226" s="1" t="n">
        <f aca="false">4/11</f>
        <v>0.363636363636364</v>
      </c>
    </row>
    <row collapsed="false" customFormat="false" customHeight="false" hidden="false" ht="14.75" outlineLevel="0" r="227">
      <c r="A227" s="1" t="s">
        <v>620</v>
      </c>
      <c r="B227" s="1" t="s">
        <v>790</v>
      </c>
      <c r="C227" s="1" t="s">
        <v>787</v>
      </c>
      <c r="D227" s="1" t="n">
        <v>346.5</v>
      </c>
      <c r="E227" s="1" t="n">
        <v>20.41</v>
      </c>
      <c r="F227" s="1" t="n">
        <v>4.9</v>
      </c>
    </row>
    <row collapsed="false" customFormat="false" customHeight="false" hidden="false" ht="14.75" outlineLevel="0" r="228">
      <c r="A228" s="1" t="s">
        <v>621</v>
      </c>
      <c r="B228" s="1" t="s">
        <v>790</v>
      </c>
      <c r="C228" s="1" t="s">
        <v>787</v>
      </c>
      <c r="D228" s="1" t="n">
        <v>143.5</v>
      </c>
      <c r="E228" s="1" t="n">
        <v>12.38</v>
      </c>
      <c r="F228" s="1" t="n">
        <v>1.3</v>
      </c>
    </row>
    <row collapsed="false" customFormat="false" customHeight="false" hidden="false" ht="14.75" outlineLevel="0" r="229">
      <c r="A229" s="1" t="s">
        <v>967</v>
      </c>
      <c r="B229" s="1" t="s">
        <v>810</v>
      </c>
      <c r="C229" s="1" t="s">
        <v>787</v>
      </c>
      <c r="D229" s="1" t="n">
        <v>329.4</v>
      </c>
      <c r="E229" s="1" t="n">
        <v>19.33</v>
      </c>
      <c r="F229" s="1" t="n">
        <v>3</v>
      </c>
    </row>
    <row collapsed="false" customFormat="false" customHeight="false" hidden="false" ht="14.75" outlineLevel="0" r="230">
      <c r="A230" s="1" t="s">
        <v>968</v>
      </c>
      <c r="B230" s="1" t="s">
        <v>810</v>
      </c>
      <c r="C230" s="1" t="s">
        <v>787</v>
      </c>
      <c r="D230" s="1" t="n">
        <v>119.4</v>
      </c>
      <c r="E230" s="1" t="n">
        <v>8.63</v>
      </c>
      <c r="F230" s="1" t="n">
        <f aca="false">7/8</f>
        <v>0.875</v>
      </c>
    </row>
    <row collapsed="false" customFormat="false" customHeight="false" hidden="false" ht="14.75" outlineLevel="0" r="231">
      <c r="A231" s="1" t="s">
        <v>969</v>
      </c>
      <c r="B231" s="1" t="s">
        <v>805</v>
      </c>
      <c r="C231" s="1" t="s">
        <v>787</v>
      </c>
      <c r="D231" s="1" t="n">
        <v>106.6</v>
      </c>
      <c r="E231" s="1" t="n">
        <v>7.3</v>
      </c>
      <c r="F231" s="1" t="n">
        <f aca="false">6/8</f>
        <v>0.75</v>
      </c>
    </row>
    <row collapsed="false" customFormat="false" customHeight="false" hidden="false" ht="14.75" outlineLevel="0" r="232">
      <c r="A232" s="1" t="s">
        <v>181</v>
      </c>
      <c r="B232" s="1" t="s">
        <v>839</v>
      </c>
      <c r="C232" s="1" t="s">
        <v>787</v>
      </c>
      <c r="D232" s="1" t="n">
        <v>107.5</v>
      </c>
      <c r="E232" s="1" t="n">
        <v>10.2</v>
      </c>
      <c r="F232" s="1" t="n">
        <v>0.9</v>
      </c>
    </row>
    <row collapsed="false" customFormat="false" customHeight="false" hidden="false" ht="14.75" outlineLevel="0" r="233">
      <c r="A233" s="1" t="s">
        <v>182</v>
      </c>
      <c r="B233" s="1" t="s">
        <v>839</v>
      </c>
      <c r="C233" s="1" t="s">
        <v>787</v>
      </c>
      <c r="D233" s="1" t="n">
        <v>24.5</v>
      </c>
      <c r="E233" s="1" t="n">
        <v>1.8</v>
      </c>
      <c r="F233" s="1" t="n">
        <v>0.3</v>
      </c>
    </row>
    <row collapsed="false" customFormat="false" customHeight="false" hidden="false" ht="14.75" outlineLevel="0" r="234">
      <c r="A234" s="1" t="s">
        <v>970</v>
      </c>
      <c r="B234" s="1" t="s">
        <v>926</v>
      </c>
      <c r="C234" s="1" t="s">
        <v>787</v>
      </c>
      <c r="D234" s="1" t="n">
        <v>296.6</v>
      </c>
      <c r="E234" s="1" t="n">
        <v>18.15</v>
      </c>
      <c r="F234" s="1" t="n">
        <f aca="false">34/8</f>
        <v>4.25</v>
      </c>
    </row>
    <row collapsed="false" customFormat="false" customHeight="false" hidden="false" ht="14.75" outlineLevel="0" r="235">
      <c r="A235" s="1" t="s">
        <v>971</v>
      </c>
      <c r="B235" s="1" t="s">
        <v>839</v>
      </c>
      <c r="C235" s="1" t="s">
        <v>787</v>
      </c>
      <c r="D235" s="1" t="n">
        <v>75.5</v>
      </c>
      <c r="E235" s="1" t="n">
        <v>6.9</v>
      </c>
      <c r="F235" s="1" t="n">
        <v>0.4</v>
      </c>
    </row>
    <row collapsed="false" customFormat="false" customHeight="false" hidden="false" ht="14.75" outlineLevel="0" r="236">
      <c r="A236" s="1" t="s">
        <v>972</v>
      </c>
      <c r="B236" s="1" t="s">
        <v>805</v>
      </c>
      <c r="C236" s="1" t="s">
        <v>787</v>
      </c>
      <c r="D236" s="1" t="n">
        <v>80.2</v>
      </c>
      <c r="E236" s="1" t="n">
        <v>7.59</v>
      </c>
      <c r="F236" s="1" t="n">
        <f aca="false">4/7</f>
        <v>0.571428571428571</v>
      </c>
    </row>
    <row collapsed="false" customFormat="false" customHeight="false" hidden="false" ht="14.75" outlineLevel="0" r="237">
      <c r="A237" s="1" t="s">
        <v>973</v>
      </c>
      <c r="B237" s="1" t="s">
        <v>813</v>
      </c>
      <c r="C237" s="1" t="s">
        <v>787</v>
      </c>
      <c r="D237" s="1" t="n">
        <v>333.9</v>
      </c>
      <c r="E237" s="1" t="n">
        <v>18.88</v>
      </c>
      <c r="F237" s="1" t="n">
        <f aca="false">54/9</f>
        <v>6</v>
      </c>
    </row>
    <row collapsed="false" customFormat="false" customHeight="false" hidden="false" ht="14.75" outlineLevel="0" r="238">
      <c r="A238" s="1" t="s">
        <v>974</v>
      </c>
      <c r="B238" s="1" t="s">
        <v>797</v>
      </c>
      <c r="C238" s="1" t="s">
        <v>787</v>
      </c>
      <c r="D238" s="1" t="n">
        <v>407.7</v>
      </c>
      <c r="E238" s="1" t="n">
        <v>20.14</v>
      </c>
      <c r="F238" s="1" t="n">
        <f aca="false">48/11</f>
        <v>4.36363636363636</v>
      </c>
    </row>
    <row collapsed="false" customFormat="false" customHeight="false" hidden="false" ht="14.75" outlineLevel="0" r="239">
      <c r="A239" s="1" t="s">
        <v>975</v>
      </c>
      <c r="B239" s="1" t="s">
        <v>797</v>
      </c>
      <c r="C239" s="1" t="s">
        <v>787</v>
      </c>
      <c r="D239" s="1" t="n">
        <v>227.5</v>
      </c>
      <c r="E239" s="1" t="n">
        <v>13.61</v>
      </c>
      <c r="F239" s="1" t="n">
        <v>2.7</v>
      </c>
    </row>
    <row collapsed="false" customFormat="false" customHeight="false" hidden="false" ht="14.75" outlineLevel="0" r="240">
      <c r="A240" s="1" t="s">
        <v>976</v>
      </c>
      <c r="B240" s="1" t="s">
        <v>797</v>
      </c>
      <c r="C240" s="1" t="s">
        <v>787</v>
      </c>
      <c r="D240" s="1" t="n">
        <v>130</v>
      </c>
      <c r="E240" s="1" t="n">
        <v>12.42</v>
      </c>
      <c r="F240" s="1" t="n">
        <v>1</v>
      </c>
    </row>
    <row collapsed="false" customFormat="false" customHeight="false" hidden="false" ht="14.75" outlineLevel="0" r="241">
      <c r="A241" s="1" t="s">
        <v>977</v>
      </c>
      <c r="B241" s="1" t="s">
        <v>803</v>
      </c>
      <c r="C241" s="1" t="s">
        <v>787</v>
      </c>
      <c r="D241" s="1" t="n">
        <v>61.9</v>
      </c>
      <c r="E241" s="1" t="n">
        <v>7.67</v>
      </c>
      <c r="F241" s="1" t="n">
        <f aca="false">7/8</f>
        <v>0.875</v>
      </c>
    </row>
    <row collapsed="false" customFormat="false" customHeight="false" hidden="false" ht="14.75" outlineLevel="0" r="242">
      <c r="A242" s="1" t="s">
        <v>978</v>
      </c>
      <c r="B242" s="1" t="s">
        <v>803</v>
      </c>
      <c r="C242" s="1" t="s">
        <v>787</v>
      </c>
      <c r="D242" s="1" t="n">
        <v>46.4</v>
      </c>
      <c r="E242" s="1" t="n">
        <v>8</v>
      </c>
      <c r="F242" s="1" t="n">
        <f aca="false">3/8</f>
        <v>0.375</v>
      </c>
    </row>
    <row collapsed="false" customFormat="false" customHeight="false" hidden="false" ht="14.75" outlineLevel="0" r="243">
      <c r="A243" s="1" t="s">
        <v>979</v>
      </c>
      <c r="B243" s="1" t="s">
        <v>816</v>
      </c>
      <c r="C243" s="1" t="s">
        <v>787</v>
      </c>
      <c r="D243" s="1" t="n">
        <v>116.4</v>
      </c>
      <c r="E243" s="1" t="n">
        <v>10</v>
      </c>
      <c r="F243" s="1" t="n">
        <f aca="false">9/11</f>
        <v>0.818181818181818</v>
      </c>
    </row>
    <row collapsed="false" customFormat="false" customHeight="false" hidden="false" ht="14.75" outlineLevel="0" r="244">
      <c r="A244" s="1" t="s">
        <v>980</v>
      </c>
      <c r="B244" s="1" t="s">
        <v>816</v>
      </c>
      <c r="C244" s="1" t="s">
        <v>787</v>
      </c>
      <c r="D244" s="1" t="n">
        <v>50</v>
      </c>
      <c r="E244" s="1" t="n">
        <v>6.45</v>
      </c>
      <c r="F244" s="1" t="n">
        <v>0.2</v>
      </c>
    </row>
    <row collapsed="false" customFormat="false" customHeight="false" hidden="false" ht="14.75" outlineLevel="0" r="245">
      <c r="A245" s="1" t="s">
        <v>981</v>
      </c>
      <c r="B245" s="1" t="s">
        <v>816</v>
      </c>
      <c r="C245" s="1" t="s">
        <v>787</v>
      </c>
      <c r="D245" s="1" t="n">
        <v>58.9</v>
      </c>
      <c r="E245" s="1" t="n">
        <v>4.63</v>
      </c>
      <c r="F245" s="1" t="n">
        <v>0.3</v>
      </c>
    </row>
    <row collapsed="false" customFormat="false" customHeight="false" hidden="false" ht="14.75" outlineLevel="0" r="246">
      <c r="A246" s="1" t="s">
        <v>982</v>
      </c>
      <c r="B246" s="1" t="s">
        <v>816</v>
      </c>
      <c r="C246" s="1" t="s">
        <v>787</v>
      </c>
      <c r="D246" s="1" t="n">
        <v>42.6</v>
      </c>
      <c r="E246" s="1" t="n">
        <v>3.87</v>
      </c>
      <c r="F246" s="1" t="n">
        <v>0.2</v>
      </c>
    </row>
    <row collapsed="false" customFormat="false" customHeight="false" hidden="false" ht="14.75" outlineLevel="0" r="247">
      <c r="A247" s="1" t="s">
        <v>983</v>
      </c>
      <c r="B247" s="1" t="s">
        <v>816</v>
      </c>
      <c r="C247" s="1" t="s">
        <v>787</v>
      </c>
      <c r="D247" s="1" t="n">
        <v>39</v>
      </c>
      <c r="E247" s="1" t="n">
        <v>4</v>
      </c>
      <c r="F247" s="1" t="n">
        <v>0.1</v>
      </c>
    </row>
    <row collapsed="false" customFormat="false" customHeight="false" hidden="false" ht="14.75" outlineLevel="0" r="248">
      <c r="A248" s="1" t="s">
        <v>984</v>
      </c>
      <c r="B248" s="1" t="s">
        <v>802</v>
      </c>
      <c r="C248" s="1" t="s">
        <v>787</v>
      </c>
      <c r="D248" s="1" t="n">
        <v>235</v>
      </c>
      <c r="E248" s="1" t="n">
        <v>12.43</v>
      </c>
      <c r="F248" s="1" t="n">
        <f aca="false">18/7</f>
        <v>2.57142857142857</v>
      </c>
    </row>
    <row collapsed="false" customFormat="false" customHeight="false" hidden="false" ht="14.75" outlineLevel="0" r="249">
      <c r="A249" s="1" t="s">
        <v>985</v>
      </c>
      <c r="B249" s="1" t="s">
        <v>790</v>
      </c>
      <c r="C249" s="1" t="s">
        <v>787</v>
      </c>
      <c r="D249" s="1" t="n">
        <v>193.5</v>
      </c>
      <c r="E249" s="1" t="n">
        <v>13.9</v>
      </c>
      <c r="F249" s="1" t="n">
        <v>1.5</v>
      </c>
    </row>
    <row collapsed="false" customFormat="false" customHeight="false" hidden="false" ht="14.75" outlineLevel="0" r="250">
      <c r="A250" s="1" t="s">
        <v>986</v>
      </c>
      <c r="B250" s="1" t="s">
        <v>813</v>
      </c>
      <c r="C250" s="1" t="s">
        <v>787</v>
      </c>
      <c r="D250" s="1" t="n">
        <v>272.8</v>
      </c>
      <c r="E250" s="1" t="n">
        <v>16.8</v>
      </c>
      <c r="F250" s="1" t="n">
        <f aca="false">33/9</f>
        <v>3.66666666666667</v>
      </c>
    </row>
    <row collapsed="false" customFormat="false" customHeight="false" hidden="false" ht="14.75" outlineLevel="0" r="251">
      <c r="A251" s="1" t="s">
        <v>987</v>
      </c>
      <c r="B251" s="1" t="s">
        <v>803</v>
      </c>
      <c r="C251" s="1" t="s">
        <v>787</v>
      </c>
      <c r="D251" s="1" t="n">
        <f aca="false">((393.8*8)+(285*4))/12</f>
        <v>357.533333333333</v>
      </c>
      <c r="E251" s="1" t="n">
        <f aca="false">(2060+790)/(104+36)</f>
        <v>20.3571428571429</v>
      </c>
      <c r="F251" s="1" t="n">
        <f aca="false">39/12</f>
        <v>3.25</v>
      </c>
    </row>
    <row collapsed="false" customFormat="false" customHeight="false" hidden="false" ht="14.75" outlineLevel="0" r="252">
      <c r="A252" s="1" t="s">
        <v>988</v>
      </c>
      <c r="B252" s="1" t="s">
        <v>803</v>
      </c>
      <c r="C252" s="1" t="s">
        <v>787</v>
      </c>
      <c r="D252" s="1" t="n">
        <v>335.9</v>
      </c>
      <c r="E252" s="1" t="n">
        <v>18.48</v>
      </c>
      <c r="F252" s="1" t="n">
        <f aca="false">40/11</f>
        <v>3.63636363636364</v>
      </c>
    </row>
    <row collapsed="false" customFormat="false" customHeight="false" hidden="false" ht="14.75" outlineLevel="0" r="253">
      <c r="A253" s="1" t="s">
        <v>989</v>
      </c>
      <c r="B253" s="1" t="s">
        <v>926</v>
      </c>
      <c r="C253" s="1" t="s">
        <v>787</v>
      </c>
      <c r="D253" s="1" t="n">
        <v>324.5</v>
      </c>
      <c r="E253" s="1" t="n">
        <v>16.95</v>
      </c>
      <c r="F253" s="1" t="n">
        <f aca="false">25/8</f>
        <v>3.125</v>
      </c>
    </row>
    <row collapsed="false" customFormat="false" customHeight="false" hidden="false" ht="14.75" outlineLevel="0" r="254">
      <c r="A254" s="1" t="s">
        <v>990</v>
      </c>
      <c r="B254" s="1" t="s">
        <v>926</v>
      </c>
      <c r="C254" s="1" t="s">
        <v>787</v>
      </c>
      <c r="D254" s="1" t="n">
        <v>155.9</v>
      </c>
      <c r="E254" s="1" t="n">
        <v>10.37</v>
      </c>
      <c r="F254" s="1" t="n">
        <f aca="false">9/7</f>
        <v>1.28571428571429</v>
      </c>
    </row>
    <row collapsed="false" customFormat="false" customHeight="false" hidden="false" ht="14.75" outlineLevel="0" r="255">
      <c r="A255" s="1" t="s">
        <v>991</v>
      </c>
      <c r="B255" s="1" t="s">
        <v>926</v>
      </c>
      <c r="C255" s="1" t="s">
        <v>787</v>
      </c>
      <c r="D255" s="1" t="n">
        <v>106.1</v>
      </c>
      <c r="E255" s="1" t="n">
        <v>8.6</v>
      </c>
      <c r="F255" s="1" t="n">
        <f aca="false">1/7</f>
        <v>0.142857142857143</v>
      </c>
    </row>
    <row collapsed="false" customFormat="false" customHeight="false" hidden="false" ht="14.75" outlineLevel="0" r="256">
      <c r="A256" s="1" t="s">
        <v>992</v>
      </c>
      <c r="B256" s="1" t="s">
        <v>816</v>
      </c>
      <c r="C256" s="1" t="s">
        <v>787</v>
      </c>
      <c r="D256" s="1" t="n">
        <v>98.5</v>
      </c>
      <c r="E256" s="1" t="n">
        <v>6.84</v>
      </c>
      <c r="F256" s="1" t="n">
        <v>1</v>
      </c>
    </row>
    <row collapsed="false" customFormat="false" customHeight="false" hidden="false" ht="14.75" outlineLevel="0" r="257">
      <c r="A257" s="1" t="s">
        <v>87</v>
      </c>
      <c r="B257" s="1" t="s">
        <v>1086</v>
      </c>
      <c r="C257" s="1" t="s">
        <v>1087</v>
      </c>
      <c r="D257" s="1" t="n">
        <v>207.9</v>
      </c>
      <c r="E257" s="1" t="n">
        <v>13.02</v>
      </c>
      <c r="F257" s="1" t="n">
        <f aca="false">6/7</f>
        <v>0.857142857142857</v>
      </c>
    </row>
    <row collapsed="false" customFormat="false" customHeight="false" hidden="false" ht="14.75" outlineLevel="0" r="258">
      <c r="A258" s="1" t="s">
        <v>993</v>
      </c>
      <c r="B258" s="1" t="s">
        <v>1086</v>
      </c>
      <c r="C258" s="1" t="s">
        <v>1087</v>
      </c>
      <c r="D258" s="1" t="n">
        <v>349.4</v>
      </c>
      <c r="E258" s="1" t="n">
        <v>13.15</v>
      </c>
      <c r="F258" s="1" t="n">
        <f aca="false">34/8</f>
        <v>4.25</v>
      </c>
    </row>
    <row collapsed="false" customFormat="false" customHeight="false" hidden="false" ht="14.75" outlineLevel="0" r="259">
      <c r="A259" s="1" t="s">
        <v>1088</v>
      </c>
      <c r="B259" s="1" t="s">
        <v>1089</v>
      </c>
      <c r="C259" s="1" t="s">
        <v>1087</v>
      </c>
      <c r="D259" s="1" t="n">
        <v>285.8</v>
      </c>
      <c r="E259" s="1" t="n">
        <v>17.76</v>
      </c>
      <c r="F259" s="1" t="n">
        <f aca="false">35/12</f>
        <v>2.91666666666667</v>
      </c>
    </row>
    <row collapsed="false" customFormat="false" customHeight="false" hidden="false" ht="14.75" outlineLevel="0" r="260">
      <c r="A260" s="1" t="s">
        <v>1090</v>
      </c>
      <c r="B260" s="1" t="s">
        <v>1089</v>
      </c>
      <c r="C260" s="1" t="s">
        <v>1087</v>
      </c>
      <c r="D260" s="1" t="n">
        <v>269</v>
      </c>
      <c r="E260" s="1" t="n">
        <v>14.59</v>
      </c>
      <c r="F260" s="1" t="n">
        <v>1.5</v>
      </c>
    </row>
    <row collapsed="false" customFormat="false" customHeight="false" hidden="false" ht="14.75" outlineLevel="0" r="261">
      <c r="A261" s="1" t="s">
        <v>1091</v>
      </c>
      <c r="B261" s="1" t="s">
        <v>1089</v>
      </c>
      <c r="C261" s="1" t="s">
        <v>1087</v>
      </c>
      <c r="D261" s="1" t="n">
        <v>162.8</v>
      </c>
      <c r="E261" s="1" t="n">
        <v>10.42</v>
      </c>
      <c r="F261" s="1" t="n">
        <f aca="false">13/9</f>
        <v>1.44444444444444</v>
      </c>
    </row>
    <row collapsed="false" customFormat="false" customHeight="false" hidden="false" ht="14.75" outlineLevel="0" r="262">
      <c r="A262" s="1" t="s">
        <v>1092</v>
      </c>
      <c r="B262" s="1" t="s">
        <v>1089</v>
      </c>
      <c r="C262" s="1" t="s">
        <v>1087</v>
      </c>
      <c r="D262" s="1" t="n">
        <v>100</v>
      </c>
      <c r="E262" s="1" t="n">
        <v>6.94</v>
      </c>
      <c r="F262" s="1" t="n">
        <v>0.5</v>
      </c>
    </row>
    <row collapsed="false" customFormat="false" customHeight="false" hidden="false" ht="14.75" outlineLevel="0" r="263">
      <c r="A263" s="1" t="s">
        <v>509</v>
      </c>
      <c r="B263" s="1" t="s">
        <v>1093</v>
      </c>
      <c r="C263" s="1" t="s">
        <v>1087</v>
      </c>
      <c r="D263" s="1" t="n">
        <v>193.3</v>
      </c>
      <c r="E263" s="1" t="n">
        <v>13.67</v>
      </c>
      <c r="F263" s="1" t="n">
        <f aca="false">19/9</f>
        <v>2.11111111111111</v>
      </c>
    </row>
    <row collapsed="false" customFormat="false" customHeight="false" hidden="false" ht="14.75" outlineLevel="0" r="264">
      <c r="A264" s="1" t="s">
        <v>1094</v>
      </c>
      <c r="B264" s="1" t="s">
        <v>1086</v>
      </c>
      <c r="C264" s="1" t="s">
        <v>1087</v>
      </c>
      <c r="D264" s="1" t="n">
        <v>135</v>
      </c>
      <c r="E264" s="1" t="n">
        <v>10</v>
      </c>
      <c r="F264" s="1" t="n">
        <f aca="false">6/7</f>
        <v>0.857142857142857</v>
      </c>
    </row>
    <row collapsed="false" customFormat="false" customHeight="false" hidden="false" ht="14.75" outlineLevel="0" r="265">
      <c r="A265" s="1" t="s">
        <v>1095</v>
      </c>
      <c r="B265" s="1" t="s">
        <v>1086</v>
      </c>
      <c r="C265" s="1" t="s">
        <v>1087</v>
      </c>
      <c r="D265" s="1" t="n">
        <v>140.7</v>
      </c>
      <c r="E265" s="1" t="n">
        <v>7.68</v>
      </c>
      <c r="F265" s="1" t="n">
        <f aca="false">5/7</f>
        <v>0.714285714285714</v>
      </c>
    </row>
    <row collapsed="false" customFormat="false" customHeight="false" hidden="false" ht="14.75" outlineLevel="0" r="266">
      <c r="A266" s="1" t="s">
        <v>1096</v>
      </c>
      <c r="B266" s="1" t="s">
        <v>1097</v>
      </c>
      <c r="C266" s="1" t="s">
        <v>1087</v>
      </c>
      <c r="D266" s="1" t="n">
        <v>326</v>
      </c>
      <c r="E266" s="1" t="n">
        <v>20.61</v>
      </c>
      <c r="F266" s="1" t="n">
        <f aca="false">39/11</f>
        <v>3.54545454545455</v>
      </c>
    </row>
    <row collapsed="false" customFormat="false" customHeight="false" hidden="false" ht="14.75" outlineLevel="0" r="267">
      <c r="A267" s="1" t="s">
        <v>1098</v>
      </c>
      <c r="B267" s="1" t="s">
        <v>1097</v>
      </c>
      <c r="C267" s="1" t="s">
        <v>1087</v>
      </c>
      <c r="D267" s="1" t="n">
        <v>73.3</v>
      </c>
      <c r="E267" s="1" t="n">
        <v>7.02</v>
      </c>
      <c r="F267" s="1" t="n">
        <f aca="false">3/9</f>
        <v>0.333333333333333</v>
      </c>
    </row>
    <row collapsed="false" customFormat="false" customHeight="false" hidden="false" ht="14.75" outlineLevel="0" r="268">
      <c r="A268" s="1" t="s">
        <v>1099</v>
      </c>
      <c r="B268" s="1" t="s">
        <v>1086</v>
      </c>
      <c r="C268" s="1" t="s">
        <v>1087</v>
      </c>
      <c r="D268" s="1" t="n">
        <v>232.1</v>
      </c>
      <c r="E268" s="1" t="n">
        <v>13.68</v>
      </c>
      <c r="F268" s="1" t="n">
        <f aca="false">19/7</f>
        <v>2.71428571428571</v>
      </c>
    </row>
    <row collapsed="false" customFormat="false" customHeight="false" hidden="false" ht="14.75" outlineLevel="0" r="269">
      <c r="A269" s="1" t="s">
        <v>286</v>
      </c>
      <c r="B269" s="1" t="s">
        <v>1100</v>
      </c>
      <c r="C269" s="1" t="s">
        <v>1087</v>
      </c>
      <c r="D269" s="1" t="n">
        <v>476.1</v>
      </c>
      <c r="E269" s="1" t="n">
        <v>23.12</v>
      </c>
      <c r="F269" s="1" t="n">
        <f aca="false">59/9</f>
        <v>6.55555555555556</v>
      </c>
    </row>
    <row collapsed="false" customFormat="false" customHeight="false" hidden="false" ht="14.75" outlineLevel="0" r="270">
      <c r="A270" s="1" t="s">
        <v>289</v>
      </c>
      <c r="B270" s="1" t="s">
        <v>1100</v>
      </c>
      <c r="C270" s="1" t="s">
        <v>1087</v>
      </c>
      <c r="D270" s="1" t="n">
        <v>190.6</v>
      </c>
      <c r="E270" s="1" t="n">
        <v>12.9</v>
      </c>
      <c r="F270" s="1" t="n">
        <f aca="false">17/9</f>
        <v>1.88888888888889</v>
      </c>
    </row>
    <row collapsed="false" customFormat="false" customHeight="false" hidden="false" ht="14.75" outlineLevel="0" r="271">
      <c r="A271" s="1" t="s">
        <v>290</v>
      </c>
      <c r="B271" s="1" t="s">
        <v>1101</v>
      </c>
      <c r="C271" s="1" t="s">
        <v>1087</v>
      </c>
      <c r="D271" s="1" t="n">
        <v>132.5</v>
      </c>
      <c r="E271" s="1" t="n">
        <v>5.67</v>
      </c>
      <c r="F271" s="1" t="n">
        <v>0.875</v>
      </c>
    </row>
    <row collapsed="false" customFormat="false" customHeight="false" hidden="false" ht="14.75" outlineLevel="0" r="272">
      <c r="A272" s="1" t="s">
        <v>435</v>
      </c>
      <c r="B272" s="1" t="s">
        <v>1102</v>
      </c>
      <c r="C272" s="1" t="s">
        <v>1087</v>
      </c>
      <c r="D272" s="1" t="n">
        <v>252</v>
      </c>
      <c r="E272" s="1" t="n">
        <v>16.08</v>
      </c>
      <c r="F272" s="1" t="n">
        <v>2.3</v>
      </c>
    </row>
    <row collapsed="false" customFormat="false" customHeight="false" hidden="false" ht="14.75" outlineLevel="0" r="273">
      <c r="A273" s="1" t="s">
        <v>1103</v>
      </c>
      <c r="B273" s="1" t="s">
        <v>1086</v>
      </c>
      <c r="C273" s="1" t="s">
        <v>1087</v>
      </c>
      <c r="D273" s="1" t="n">
        <v>39.3</v>
      </c>
      <c r="E273" s="1" t="n">
        <v>3.33</v>
      </c>
      <c r="F273" s="1" t="n">
        <v>0</v>
      </c>
    </row>
    <row collapsed="false" customFormat="false" customHeight="false" hidden="false" ht="14.75" outlineLevel="0" r="274">
      <c r="A274" s="1" t="s">
        <v>1104</v>
      </c>
      <c r="B274" s="1" t="s">
        <v>1102</v>
      </c>
      <c r="C274" s="1" t="s">
        <v>1087</v>
      </c>
      <c r="D274" s="1" t="n">
        <v>134</v>
      </c>
      <c r="E274" s="1" t="n">
        <v>11.08</v>
      </c>
      <c r="F274" s="1" t="n">
        <v>0.8</v>
      </c>
    </row>
    <row collapsed="false" customFormat="false" customHeight="false" hidden="false" ht="14.75" outlineLevel="0" r="275">
      <c r="A275" s="1" t="s">
        <v>1105</v>
      </c>
      <c r="B275" s="1" t="s">
        <v>1106</v>
      </c>
      <c r="C275" s="1" t="s">
        <v>1087</v>
      </c>
      <c r="D275" s="1" t="n">
        <v>111.2</v>
      </c>
      <c r="E275" s="1" t="n">
        <v>6.98</v>
      </c>
      <c r="F275" s="1" t="n">
        <v>0</v>
      </c>
    </row>
    <row collapsed="false" customFormat="false" customHeight="false" hidden="false" ht="14.75" outlineLevel="0" r="276">
      <c r="A276" s="1" t="s">
        <v>1107</v>
      </c>
      <c r="B276" s="1" t="s">
        <v>1106</v>
      </c>
      <c r="C276" s="1" t="s">
        <v>1087</v>
      </c>
      <c r="D276" s="1" t="n">
        <v>78.1</v>
      </c>
      <c r="E276" s="1" t="n">
        <v>3.66</v>
      </c>
      <c r="F276" s="1" t="n">
        <f aca="false">1/8</f>
        <v>0.125</v>
      </c>
    </row>
    <row collapsed="false" customFormat="false" customHeight="false" hidden="false" ht="14.75" outlineLevel="0" r="277">
      <c r="A277" s="1" t="s">
        <v>295</v>
      </c>
      <c r="B277" s="1" t="s">
        <v>1106</v>
      </c>
      <c r="C277" s="1" t="s">
        <v>1087</v>
      </c>
      <c r="D277" s="1" t="n">
        <v>466.7</v>
      </c>
      <c r="E277" s="1" t="n">
        <v>19.07</v>
      </c>
      <c r="F277" s="1" t="n">
        <f aca="false">48/9</f>
        <v>5.33333333333333</v>
      </c>
    </row>
    <row collapsed="false" customFormat="false" customHeight="false" hidden="false" ht="14.75" outlineLevel="0" r="278">
      <c r="A278" s="1" t="s">
        <v>296</v>
      </c>
      <c r="B278" s="1" t="s">
        <v>1106</v>
      </c>
      <c r="C278" s="1" t="s">
        <v>1087</v>
      </c>
      <c r="D278" s="1" t="n">
        <v>112.5</v>
      </c>
      <c r="E278" s="1" t="n">
        <v>5.2</v>
      </c>
      <c r="F278" s="1" t="n">
        <f aca="false">4/8</f>
        <v>0.5</v>
      </c>
    </row>
    <row collapsed="false" customFormat="false" customHeight="false" hidden="false" ht="14.75" outlineLevel="0" r="279">
      <c r="A279" s="1" t="s">
        <v>195</v>
      </c>
      <c r="B279" s="1" t="s">
        <v>1097</v>
      </c>
      <c r="C279" s="1" t="s">
        <v>1087</v>
      </c>
      <c r="D279" s="1" t="n">
        <v>275.7</v>
      </c>
      <c r="E279" s="1" t="n">
        <v>16.22</v>
      </c>
      <c r="F279" s="1" t="n">
        <f aca="false">18/7</f>
        <v>2.57142857142857</v>
      </c>
    </row>
    <row collapsed="false" customFormat="false" customHeight="false" hidden="false" ht="14.75" outlineLevel="0" r="280">
      <c r="A280" s="1" t="s">
        <v>197</v>
      </c>
      <c r="B280" s="1" t="s">
        <v>1097</v>
      </c>
      <c r="C280" s="1" t="s">
        <v>1087</v>
      </c>
      <c r="D280" s="1" t="n">
        <v>199.3</v>
      </c>
      <c r="E280" s="1" t="n">
        <v>12.95</v>
      </c>
      <c r="F280" s="1" t="n">
        <f aca="false">8/7</f>
        <v>1.14285714285714</v>
      </c>
    </row>
    <row collapsed="false" customFormat="false" customHeight="false" hidden="false" ht="14.75" outlineLevel="0" r="281">
      <c r="A281" s="1" t="s">
        <v>1108</v>
      </c>
      <c r="B281" s="1" t="s">
        <v>1106</v>
      </c>
      <c r="C281" s="1" t="s">
        <v>1087</v>
      </c>
      <c r="D281" s="1" t="n">
        <v>183.3</v>
      </c>
      <c r="E281" s="1" t="n">
        <v>9.04</v>
      </c>
      <c r="F281" s="1" t="n">
        <f aca="false">2/9</f>
        <v>0.222222222222222</v>
      </c>
    </row>
    <row collapsed="false" customFormat="false" customHeight="false" hidden="false" ht="14.75" outlineLevel="0" r="282">
      <c r="A282" s="1" t="s">
        <v>1109</v>
      </c>
      <c r="B282" s="1" t="s">
        <v>1110</v>
      </c>
      <c r="C282" s="1" t="s">
        <v>1087</v>
      </c>
      <c r="D282" s="1" t="n">
        <v>220.6</v>
      </c>
      <c r="E282" s="1" t="n">
        <v>11.82</v>
      </c>
      <c r="F282" s="1" t="n">
        <f aca="false">7/8</f>
        <v>0.875</v>
      </c>
    </row>
    <row collapsed="false" customFormat="false" customHeight="false" hidden="false" ht="14.75" outlineLevel="0" r="283">
      <c r="A283" s="1" t="s">
        <v>1111</v>
      </c>
      <c r="B283" s="1" t="s">
        <v>1112</v>
      </c>
      <c r="C283" s="1" t="s">
        <v>1087</v>
      </c>
      <c r="D283" s="1" t="n">
        <v>92.2</v>
      </c>
      <c r="E283" s="1" t="n">
        <v>5.15</v>
      </c>
      <c r="F283" s="1" t="s">
        <v>9</v>
      </c>
    </row>
    <row collapsed="false" customFormat="false" customHeight="false" hidden="false" ht="14.75" outlineLevel="0" r="284">
      <c r="A284" s="1" t="s">
        <v>678</v>
      </c>
      <c r="B284" s="1" t="s">
        <v>1110</v>
      </c>
      <c r="C284" s="1" t="s">
        <v>1087</v>
      </c>
      <c r="D284" s="1" t="n">
        <v>300.6</v>
      </c>
      <c r="E284" s="1" t="n">
        <v>12.1</v>
      </c>
      <c r="F284" s="1" t="n">
        <f aca="false">18/8</f>
        <v>2.25</v>
      </c>
    </row>
    <row collapsed="false" customFormat="false" customHeight="false" hidden="false" ht="14.75" outlineLevel="0" r="285">
      <c r="A285" s="1" t="s">
        <v>681</v>
      </c>
      <c r="B285" s="1" t="s">
        <v>1110</v>
      </c>
      <c r="C285" s="1" t="s">
        <v>1087</v>
      </c>
      <c r="D285" s="1" t="n">
        <v>143.8</v>
      </c>
      <c r="E285" s="1" t="n">
        <v>8.7</v>
      </c>
      <c r="F285" s="1" t="n">
        <v>1</v>
      </c>
    </row>
    <row collapsed="false" customFormat="false" customHeight="false" hidden="false" ht="14.75" outlineLevel="0" r="286">
      <c r="A286" s="1" t="s">
        <v>1113</v>
      </c>
      <c r="B286" s="1" t="s">
        <v>1110</v>
      </c>
      <c r="C286" s="1" t="s">
        <v>1087</v>
      </c>
      <c r="D286" s="1" t="n">
        <v>238.8</v>
      </c>
      <c r="E286" s="1" t="n">
        <v>11.22</v>
      </c>
      <c r="F286" s="1" t="n">
        <f aca="false">10/8</f>
        <v>1.25</v>
      </c>
    </row>
    <row collapsed="false" customFormat="false" customHeight="false" hidden="false" ht="14.75" outlineLevel="0" r="287">
      <c r="A287" s="1" t="s">
        <v>1114</v>
      </c>
      <c r="B287" s="1" t="s">
        <v>1110</v>
      </c>
      <c r="C287" s="1" t="s">
        <v>1087</v>
      </c>
      <c r="D287" s="1" t="n">
        <v>193.8</v>
      </c>
      <c r="E287" s="1" t="n">
        <v>9.76</v>
      </c>
      <c r="F287" s="1" t="n">
        <f aca="false">7/8</f>
        <v>0.875</v>
      </c>
    </row>
    <row collapsed="false" customFormat="false" customHeight="false" hidden="false" ht="14.75" outlineLevel="0" r="288">
      <c r="A288" s="1" t="s">
        <v>1003</v>
      </c>
      <c r="B288" s="1" t="s">
        <v>1110</v>
      </c>
      <c r="C288" s="1" t="s">
        <v>1087</v>
      </c>
      <c r="D288" s="1" t="n">
        <v>80</v>
      </c>
      <c r="E288" s="1" t="n">
        <v>5.97</v>
      </c>
      <c r="F288" s="1" t="n">
        <v>0</v>
      </c>
    </row>
    <row collapsed="false" customFormat="false" customHeight="false" hidden="false" ht="14.75" outlineLevel="0" r="289">
      <c r="A289" s="1" t="s">
        <v>1115</v>
      </c>
      <c r="B289" s="1" t="s">
        <v>1089</v>
      </c>
      <c r="C289" s="1" t="s">
        <v>1087</v>
      </c>
      <c r="D289" s="1" t="n">
        <v>68.1</v>
      </c>
      <c r="E289" s="1" t="n">
        <v>6.76</v>
      </c>
      <c r="F289" s="1" t="n">
        <f aca="false">2/8</f>
        <v>0.25</v>
      </c>
    </row>
    <row collapsed="false" customFormat="false" customHeight="false" hidden="false" ht="14.75" outlineLevel="0" r="290">
      <c r="A290" s="1" t="s">
        <v>1116</v>
      </c>
      <c r="B290" s="1" t="s">
        <v>1089</v>
      </c>
      <c r="C290" s="1" t="s">
        <v>1087</v>
      </c>
      <c r="D290" s="1" t="n">
        <v>28.9</v>
      </c>
      <c r="E290" s="1" t="n">
        <v>1.3</v>
      </c>
      <c r="F290" s="1" t="n">
        <f aca="false">1/9</f>
        <v>0.111111111111111</v>
      </c>
    </row>
    <row collapsed="false" customFormat="false" customHeight="false" hidden="false" ht="14.75" outlineLevel="0" r="291">
      <c r="A291" s="1" t="s">
        <v>1117</v>
      </c>
      <c r="B291" s="1" t="s">
        <v>1110</v>
      </c>
      <c r="C291" s="1" t="s">
        <v>1087</v>
      </c>
      <c r="D291" s="1" t="n">
        <v>257.2</v>
      </c>
      <c r="E291" s="1" t="n">
        <v>12.05</v>
      </c>
      <c r="F291" s="1" t="n">
        <v>2</v>
      </c>
    </row>
    <row collapsed="false" customFormat="false" customHeight="false" hidden="false" ht="14.75" outlineLevel="0" r="292">
      <c r="A292" s="1" t="s">
        <v>1118</v>
      </c>
      <c r="B292" s="1" t="s">
        <v>1110</v>
      </c>
      <c r="C292" s="1" t="s">
        <v>1087</v>
      </c>
      <c r="D292" s="1" t="n">
        <v>111.2</v>
      </c>
      <c r="E292" s="1" t="n">
        <v>6.2</v>
      </c>
      <c r="F292" s="1" t="n">
        <f aca="false">2/8</f>
        <v>0.25</v>
      </c>
    </row>
    <row collapsed="false" customFormat="false" customHeight="false" hidden="false" ht="14.75" outlineLevel="0" r="293">
      <c r="A293" s="1" t="s">
        <v>815</v>
      </c>
      <c r="B293" s="1" t="s">
        <v>1119</v>
      </c>
      <c r="C293" s="1" t="s">
        <v>1087</v>
      </c>
      <c r="D293" s="1" t="n">
        <v>65.5</v>
      </c>
      <c r="E293" s="1" t="n">
        <v>7.84</v>
      </c>
      <c r="F293" s="1" t="n">
        <v>0.3</v>
      </c>
    </row>
    <row collapsed="false" customFormat="false" customHeight="false" hidden="false" ht="14.75" outlineLevel="0" r="294">
      <c r="A294" s="1" t="s">
        <v>1120</v>
      </c>
      <c r="B294" s="1" t="s">
        <v>1121</v>
      </c>
      <c r="C294" s="1" t="s">
        <v>1087</v>
      </c>
      <c r="D294" s="1" t="n">
        <v>95</v>
      </c>
      <c r="E294" s="1" t="n">
        <v>5.65</v>
      </c>
      <c r="F294" s="1" t="s">
        <v>9</v>
      </c>
    </row>
    <row collapsed="false" customFormat="false" customHeight="false" hidden="false" ht="14.75" outlineLevel="0" r="295">
      <c r="A295" s="1" t="s">
        <v>1122</v>
      </c>
      <c r="B295" s="1" t="s">
        <v>1119</v>
      </c>
      <c r="C295" s="1" t="s">
        <v>1087</v>
      </c>
      <c r="D295" s="1" t="n">
        <v>321</v>
      </c>
      <c r="E295" s="1" t="n">
        <v>15.4</v>
      </c>
      <c r="F295" s="1" t="n">
        <v>2.7</v>
      </c>
    </row>
    <row collapsed="false" customFormat="false" customHeight="false" hidden="false" ht="14.75" outlineLevel="0" r="296">
      <c r="A296" s="1" t="s">
        <v>1123</v>
      </c>
      <c r="B296" s="1" t="s">
        <v>1119</v>
      </c>
      <c r="C296" s="1" t="s">
        <v>1087</v>
      </c>
      <c r="D296" s="1" t="n">
        <v>85.5</v>
      </c>
      <c r="E296" s="1" t="n">
        <v>5</v>
      </c>
      <c r="F296" s="1" t="n">
        <f aca="false">4/11</f>
        <v>0.363636363636364</v>
      </c>
    </row>
    <row collapsed="false" customFormat="false" customHeight="false" hidden="false" ht="14.75" outlineLevel="0" r="297">
      <c r="A297" s="1" t="s">
        <v>1124</v>
      </c>
      <c r="B297" s="1" t="s">
        <v>1119</v>
      </c>
      <c r="C297" s="1" t="s">
        <v>1087</v>
      </c>
      <c r="D297" s="1" t="n">
        <v>55</v>
      </c>
      <c r="E297" s="1" t="n">
        <v>3.33</v>
      </c>
      <c r="F297" s="1" t="n">
        <v>0</v>
      </c>
    </row>
    <row collapsed="false" customFormat="false" customHeight="false" hidden="false" ht="14.75" outlineLevel="0" r="298">
      <c r="A298" s="1" t="s">
        <v>1125</v>
      </c>
      <c r="B298" s="1" t="s">
        <v>1086</v>
      </c>
      <c r="C298" s="1" t="s">
        <v>1087</v>
      </c>
      <c r="D298" s="1" t="n">
        <v>201.4</v>
      </c>
      <c r="E298" s="1" t="n">
        <v>12.78</v>
      </c>
      <c r="F298" s="1" t="n">
        <v>2</v>
      </c>
    </row>
    <row collapsed="false" customFormat="false" customHeight="false" hidden="false" ht="14.75" outlineLevel="0" r="299">
      <c r="A299" s="1" t="s">
        <v>56</v>
      </c>
      <c r="B299" s="1" t="s">
        <v>1086</v>
      </c>
      <c r="C299" s="1" t="s">
        <v>1087</v>
      </c>
      <c r="D299" s="1" t="n">
        <v>424.5</v>
      </c>
      <c r="E299" s="1" t="n">
        <v>21.03</v>
      </c>
      <c r="F299" s="1" t="n">
        <f aca="false">54/11</f>
        <v>4.90909090909091</v>
      </c>
    </row>
    <row collapsed="false" customFormat="false" customHeight="false" hidden="false" ht="14.75" outlineLevel="0" r="300">
      <c r="A300" s="1" t="s">
        <v>57</v>
      </c>
      <c r="B300" s="1" t="s">
        <v>1086</v>
      </c>
      <c r="C300" s="1" t="s">
        <v>1087</v>
      </c>
      <c r="D300" s="1" t="n">
        <v>297.5</v>
      </c>
      <c r="E300" s="1" t="n">
        <v>16.4</v>
      </c>
      <c r="F300" s="1" t="n">
        <f aca="false">19/8</f>
        <v>2.375</v>
      </c>
    </row>
    <row collapsed="false" customFormat="false" customHeight="false" hidden="false" ht="14.75" outlineLevel="0" r="301">
      <c r="A301" s="1" t="s">
        <v>1126</v>
      </c>
      <c r="B301" s="1" t="s">
        <v>1106</v>
      </c>
      <c r="C301" s="1" t="s">
        <v>1087</v>
      </c>
      <c r="D301" s="1" t="n">
        <v>143.1</v>
      </c>
      <c r="E301" s="1" t="n">
        <v>8.08</v>
      </c>
      <c r="F301" s="1" t="n">
        <f aca="false">11/8</f>
        <v>1.375</v>
      </c>
    </row>
    <row collapsed="false" customFormat="false" customHeight="false" hidden="false" ht="14.75" outlineLevel="0" r="302">
      <c r="A302" s="1" t="s">
        <v>525</v>
      </c>
      <c r="B302" s="1" t="s">
        <v>1127</v>
      </c>
      <c r="C302" s="1" t="s">
        <v>1087</v>
      </c>
      <c r="D302" s="1" t="n">
        <v>386.5</v>
      </c>
      <c r="E302" s="1" t="n">
        <v>21.62</v>
      </c>
      <c r="F302" s="1" t="n">
        <v>4.5</v>
      </c>
    </row>
    <row collapsed="false" customFormat="false" customHeight="false" hidden="false" ht="14.75" outlineLevel="0" r="303">
      <c r="A303" s="1" t="s">
        <v>1128</v>
      </c>
      <c r="B303" s="1" t="s">
        <v>1100</v>
      </c>
      <c r="C303" s="1" t="s">
        <v>1087</v>
      </c>
      <c r="D303" s="1" t="n">
        <v>314.4</v>
      </c>
      <c r="E303" s="1" t="n">
        <v>17.22</v>
      </c>
      <c r="F303" s="1" t="n">
        <f aca="false">30/9</f>
        <v>3.33333333333333</v>
      </c>
    </row>
    <row collapsed="false" customFormat="false" customHeight="false" hidden="false" ht="14.75" outlineLevel="0" r="304">
      <c r="A304" s="1" t="s">
        <v>1129</v>
      </c>
      <c r="B304" s="1" t="s">
        <v>1101</v>
      </c>
      <c r="C304" s="1" t="s">
        <v>1087</v>
      </c>
      <c r="D304" s="1" t="n">
        <v>148.8</v>
      </c>
      <c r="E304" s="1" t="n">
        <v>9.61</v>
      </c>
      <c r="F304" s="1" t="n">
        <v>0.5</v>
      </c>
    </row>
    <row collapsed="false" customFormat="false" customHeight="false" hidden="false" ht="14.75" outlineLevel="0" r="305">
      <c r="A305" s="1" t="s">
        <v>1130</v>
      </c>
      <c r="B305" s="1" t="s">
        <v>1101</v>
      </c>
      <c r="C305" s="1" t="s">
        <v>1087</v>
      </c>
      <c r="D305" s="1" t="n">
        <v>150</v>
      </c>
      <c r="E305" s="1" t="n">
        <v>8.04</v>
      </c>
      <c r="F305" s="1" t="n">
        <v>1.5</v>
      </c>
    </row>
    <row collapsed="false" customFormat="false" customHeight="false" hidden="false" ht="14.75" outlineLevel="0" r="306">
      <c r="A306" s="1" t="s">
        <v>103</v>
      </c>
      <c r="B306" s="1" t="s">
        <v>1110</v>
      </c>
      <c r="C306" s="1" t="s">
        <v>1087</v>
      </c>
      <c r="D306" s="1" t="n">
        <v>432.8</v>
      </c>
      <c r="E306" s="1" t="n">
        <v>20.09</v>
      </c>
      <c r="F306" s="1" t="n">
        <f aca="false">41/9</f>
        <v>4.55555555555556</v>
      </c>
    </row>
    <row collapsed="false" customFormat="false" customHeight="false" hidden="false" ht="14.75" outlineLevel="0" r="307">
      <c r="A307" s="1" t="s">
        <v>104</v>
      </c>
      <c r="B307" s="1" t="s">
        <v>1110</v>
      </c>
      <c r="C307" s="1" t="s">
        <v>1087</v>
      </c>
      <c r="D307" s="1" t="n">
        <v>113.8</v>
      </c>
      <c r="E307" s="1" t="n">
        <v>7.33</v>
      </c>
      <c r="F307" s="1" t="n">
        <f aca="false">5/8</f>
        <v>0.625</v>
      </c>
    </row>
    <row collapsed="false" customFormat="false" customHeight="false" hidden="false" ht="14.75" outlineLevel="0" r="308">
      <c r="A308" s="1" t="s">
        <v>1131</v>
      </c>
      <c r="B308" s="1" t="s">
        <v>1110</v>
      </c>
      <c r="C308" s="1" t="s">
        <v>1087</v>
      </c>
      <c r="D308" s="1" t="n">
        <v>193.3</v>
      </c>
      <c r="E308" s="1" t="n">
        <v>8.68</v>
      </c>
      <c r="F308" s="1" t="n">
        <f aca="false">14/9</f>
        <v>1.55555555555556</v>
      </c>
    </row>
    <row collapsed="false" customFormat="false" customHeight="false" hidden="false" ht="14.75" outlineLevel="0" r="309">
      <c r="A309" s="1" t="s">
        <v>1132</v>
      </c>
      <c r="B309" s="1" t="s">
        <v>1110</v>
      </c>
      <c r="C309" s="1" t="s">
        <v>1087</v>
      </c>
      <c r="D309" s="1" t="n">
        <v>101.9</v>
      </c>
      <c r="E309" s="1" t="n">
        <v>5.73</v>
      </c>
      <c r="F309" s="1" t="n">
        <f aca="false">2/8</f>
        <v>0.25</v>
      </c>
    </row>
    <row collapsed="false" customFormat="false" customHeight="false" hidden="false" ht="14.75" outlineLevel="0" r="310">
      <c r="A310" s="1" t="s">
        <v>1133</v>
      </c>
      <c r="B310" s="1" t="s">
        <v>1134</v>
      </c>
      <c r="C310" s="1" t="s">
        <v>1087</v>
      </c>
      <c r="D310" s="1" t="n">
        <v>200</v>
      </c>
      <c r="E310" s="1" t="n">
        <v>12.84</v>
      </c>
      <c r="F310" s="1" t="n">
        <v>1.2</v>
      </c>
    </row>
    <row collapsed="false" customFormat="false" customHeight="false" hidden="false" ht="14.75" outlineLevel="0" r="311">
      <c r="A311" s="1" t="s">
        <v>1135</v>
      </c>
      <c r="B311" s="1" t="s">
        <v>1134</v>
      </c>
      <c r="C311" s="1" t="s">
        <v>1087</v>
      </c>
      <c r="D311" s="1" t="n">
        <v>93.5</v>
      </c>
      <c r="E311" s="1" t="n">
        <v>8.56</v>
      </c>
      <c r="F311" s="1" t="n">
        <v>0.8</v>
      </c>
    </row>
    <row collapsed="false" customFormat="false" customHeight="false" hidden="false" ht="14.75" outlineLevel="0" r="312">
      <c r="A312" s="1" t="s">
        <v>1136</v>
      </c>
      <c r="B312" s="1" t="s">
        <v>1089</v>
      </c>
      <c r="C312" s="1" t="s">
        <v>1087</v>
      </c>
      <c r="D312" s="1" t="n">
        <v>216.3</v>
      </c>
      <c r="E312" s="1" t="n">
        <v>13.91</v>
      </c>
      <c r="F312" s="1" t="n">
        <v>1.1</v>
      </c>
    </row>
    <row collapsed="false" customFormat="false" customHeight="false" hidden="false" ht="14.75" outlineLevel="0" r="313">
      <c r="A313" s="1" t="s">
        <v>1137</v>
      </c>
      <c r="B313" s="1" t="s">
        <v>1089</v>
      </c>
      <c r="C313" s="1" t="s">
        <v>1087</v>
      </c>
      <c r="D313" s="1" t="n">
        <v>23.8</v>
      </c>
      <c r="E313" s="1" t="n">
        <v>8.33</v>
      </c>
      <c r="F313" s="1" t="n">
        <v>0</v>
      </c>
    </row>
    <row collapsed="false" customFormat="false" customHeight="false" hidden="false" ht="14.75" outlineLevel="0" r="314">
      <c r="A314" s="1" t="s">
        <v>199</v>
      </c>
      <c r="B314" s="1" t="s">
        <v>1097</v>
      </c>
      <c r="C314" s="1" t="s">
        <v>1087</v>
      </c>
      <c r="D314" s="1" t="n">
        <v>338.2</v>
      </c>
      <c r="E314" s="1" t="n">
        <v>19.07</v>
      </c>
      <c r="F314" s="1" t="n">
        <f aca="false">27/11</f>
        <v>2.45454545454545</v>
      </c>
    </row>
    <row collapsed="false" customFormat="false" customHeight="false" hidden="false" ht="14.75" outlineLevel="0" r="315">
      <c r="A315" s="1" t="s">
        <v>200</v>
      </c>
      <c r="B315" s="1" t="s">
        <v>1097</v>
      </c>
      <c r="C315" s="1" t="s">
        <v>1087</v>
      </c>
      <c r="D315" s="1" t="n">
        <v>303.6</v>
      </c>
      <c r="E315" s="1" t="n">
        <v>18.79</v>
      </c>
      <c r="F315" s="1" t="n">
        <f aca="false">21/11</f>
        <v>1.90909090909091</v>
      </c>
    </row>
    <row collapsed="false" customFormat="false" customHeight="false" hidden="false" ht="14.75" outlineLevel="0" r="316">
      <c r="A316" s="1" t="s">
        <v>201</v>
      </c>
      <c r="B316" s="1" t="s">
        <v>1097</v>
      </c>
      <c r="C316" s="1" t="s">
        <v>1087</v>
      </c>
      <c r="D316" s="1" t="n">
        <v>161.5</v>
      </c>
      <c r="E316" s="1" t="n">
        <v>10.49</v>
      </c>
      <c r="F316" s="1" t="n">
        <v>0.9</v>
      </c>
    </row>
    <row collapsed="false" customFormat="false" customHeight="false" hidden="false" ht="14.75" outlineLevel="0" r="317">
      <c r="A317" s="1" t="s">
        <v>202</v>
      </c>
      <c r="B317" s="1" t="s">
        <v>1097</v>
      </c>
      <c r="C317" s="1" t="s">
        <v>1087</v>
      </c>
      <c r="D317" s="1" t="n">
        <v>140.5</v>
      </c>
      <c r="E317" s="1" t="n">
        <v>10.88</v>
      </c>
      <c r="F317" s="1" t="n">
        <f aca="false">6/9</f>
        <v>0.666666666666667</v>
      </c>
    </row>
    <row collapsed="false" customFormat="false" customHeight="false" hidden="false" ht="14.75" outlineLevel="0" r="318">
      <c r="A318" s="1" t="s">
        <v>1138</v>
      </c>
      <c r="B318" s="1" t="s">
        <v>1119</v>
      </c>
      <c r="C318" s="1" t="s">
        <v>1087</v>
      </c>
      <c r="D318" s="1" t="n">
        <v>141.5</v>
      </c>
      <c r="E318" s="1" t="n">
        <v>9.59</v>
      </c>
      <c r="F318" s="1" t="n">
        <v>0.2</v>
      </c>
    </row>
    <row collapsed="false" customFormat="false" customHeight="false" hidden="false" ht="14.75" outlineLevel="0" r="319">
      <c r="A319" s="1" t="s">
        <v>1139</v>
      </c>
      <c r="B319" s="1" t="s">
        <v>1119</v>
      </c>
      <c r="C319" s="1" t="s">
        <v>1087</v>
      </c>
      <c r="D319" s="1" t="n">
        <v>42</v>
      </c>
      <c r="E319" s="1" t="n">
        <v>3.44</v>
      </c>
      <c r="F319" s="1" t="n">
        <v>0.1</v>
      </c>
    </row>
    <row collapsed="false" customFormat="false" customHeight="false" hidden="false" ht="14.75" outlineLevel="0" r="320">
      <c r="A320" s="1" t="s">
        <v>308</v>
      </c>
      <c r="B320" s="1" t="s">
        <v>1097</v>
      </c>
      <c r="C320" s="1" t="s">
        <v>1087</v>
      </c>
      <c r="D320" s="1" t="n">
        <v>95.7</v>
      </c>
      <c r="E320" s="1" t="n">
        <v>8.46</v>
      </c>
      <c r="F320" s="1" t="n">
        <f aca="false">4/7</f>
        <v>0.571428571428571</v>
      </c>
    </row>
    <row collapsed="false" customFormat="false" customHeight="false" hidden="false" ht="14.75" outlineLevel="0" r="321">
      <c r="A321" s="1" t="s">
        <v>1140</v>
      </c>
      <c r="B321" s="1" t="s">
        <v>1097</v>
      </c>
      <c r="C321" s="1" t="s">
        <v>1087</v>
      </c>
      <c r="D321" s="1" t="n">
        <v>46.4</v>
      </c>
      <c r="E321" s="1" t="n">
        <v>4.57</v>
      </c>
      <c r="F321" s="1" t="n">
        <f aca="false">1/7</f>
        <v>0.142857142857143</v>
      </c>
    </row>
    <row collapsed="false" customFormat="false" customHeight="false" hidden="false" ht="14.75" outlineLevel="0" r="322">
      <c r="A322" s="1" t="s">
        <v>1141</v>
      </c>
      <c r="B322" s="1" t="s">
        <v>1086</v>
      </c>
      <c r="C322" s="1" t="s">
        <v>1087</v>
      </c>
      <c r="D322" s="1" t="n">
        <v>89.3</v>
      </c>
      <c r="E322" s="1" t="n">
        <v>7.57</v>
      </c>
      <c r="F322" s="1" t="n">
        <f aca="false">5/7</f>
        <v>0.714285714285714</v>
      </c>
    </row>
    <row collapsed="false" customFormat="false" customHeight="false" hidden="false" ht="14.75" outlineLevel="0" r="323">
      <c r="A323" s="1" t="s">
        <v>1142</v>
      </c>
      <c r="B323" s="1" t="s">
        <v>1101</v>
      </c>
      <c r="C323" s="1" t="s">
        <v>1087</v>
      </c>
      <c r="D323" s="1" t="n">
        <v>253.8</v>
      </c>
      <c r="E323" s="1" t="n">
        <v>14.92</v>
      </c>
      <c r="F323" s="1" t="n">
        <v>1.5</v>
      </c>
    </row>
    <row collapsed="false" customFormat="false" customHeight="false" hidden="false" ht="14.75" outlineLevel="0" r="324">
      <c r="A324" s="1" t="s">
        <v>1143</v>
      </c>
      <c r="B324" s="1" t="s">
        <v>1101</v>
      </c>
      <c r="C324" s="1" t="s">
        <v>1087</v>
      </c>
      <c r="D324" s="1" t="n">
        <v>97.5</v>
      </c>
      <c r="E324" s="1" t="n">
        <v>6.58</v>
      </c>
      <c r="F324" s="1" t="n">
        <v>0.75</v>
      </c>
    </row>
    <row collapsed="false" customFormat="false" customHeight="false" hidden="false" ht="14.75" outlineLevel="0" r="325">
      <c r="A325" s="1" t="s">
        <v>1144</v>
      </c>
      <c r="B325" s="1" t="s">
        <v>1093</v>
      </c>
      <c r="C325" s="1" t="s">
        <v>1087</v>
      </c>
      <c r="D325" s="1" t="n">
        <v>115</v>
      </c>
      <c r="E325" s="1" t="n">
        <v>8.11</v>
      </c>
      <c r="F325" s="1" t="n">
        <f aca="false">5/7</f>
        <v>0.714285714285714</v>
      </c>
    </row>
    <row collapsed="false" customFormat="false" customHeight="false" hidden="false" ht="14.75" outlineLevel="0" r="326">
      <c r="A326" s="1" t="s">
        <v>1145</v>
      </c>
      <c r="B326" s="1" t="s">
        <v>1093</v>
      </c>
      <c r="C326" s="1" t="s">
        <v>1087</v>
      </c>
      <c r="D326" s="1" t="n">
        <v>107.5</v>
      </c>
      <c r="E326" s="1" t="n">
        <v>7.84</v>
      </c>
      <c r="F326" s="1" t="n">
        <f aca="false">1/8</f>
        <v>0.125</v>
      </c>
    </row>
    <row collapsed="false" customFormat="false" customHeight="false" hidden="false" ht="14.75" outlineLevel="0" r="327">
      <c r="A327" s="1" t="s">
        <v>535</v>
      </c>
      <c r="B327" s="1" t="s">
        <v>1146</v>
      </c>
      <c r="C327" s="1" t="s">
        <v>1087</v>
      </c>
      <c r="D327" s="1" t="n">
        <v>528</v>
      </c>
      <c r="E327" s="1" t="n">
        <v>22.53</v>
      </c>
      <c r="F327" s="1" t="n">
        <v>7.3</v>
      </c>
    </row>
    <row collapsed="false" customFormat="false" customHeight="false" hidden="false" ht="14.75" outlineLevel="0" r="328">
      <c r="A328" s="1" t="s">
        <v>536</v>
      </c>
      <c r="B328" s="1" t="s">
        <v>1146</v>
      </c>
      <c r="C328" s="1" t="s">
        <v>1087</v>
      </c>
      <c r="D328" s="1" t="n">
        <v>273.9</v>
      </c>
      <c r="E328" s="1" t="n">
        <v>14.95</v>
      </c>
      <c r="F328" s="1" t="n">
        <f aca="false">23/9</f>
        <v>2.55555555555556</v>
      </c>
    </row>
    <row collapsed="false" customFormat="false" customHeight="false" hidden="false" ht="14.75" outlineLevel="0" r="329">
      <c r="A329" s="1" t="s">
        <v>1147</v>
      </c>
      <c r="B329" s="1" t="s">
        <v>1148</v>
      </c>
      <c r="C329" s="1" t="s">
        <v>1087</v>
      </c>
      <c r="D329" s="1" t="n">
        <v>184.4</v>
      </c>
      <c r="E329" s="1" t="n">
        <v>13.01</v>
      </c>
      <c r="F329" s="1" t="n">
        <f aca="false">10/9</f>
        <v>1.11111111111111</v>
      </c>
    </row>
    <row collapsed="false" customFormat="false" customHeight="false" hidden="false" ht="14.75" outlineLevel="0" r="330">
      <c r="A330" s="1" t="s">
        <v>1149</v>
      </c>
      <c r="B330" s="1" t="s">
        <v>1148</v>
      </c>
      <c r="C330" s="1" t="s">
        <v>1087</v>
      </c>
      <c r="D330" s="1" t="n">
        <v>155.6</v>
      </c>
      <c r="E330" s="1" t="n">
        <v>11.55</v>
      </c>
      <c r="F330" s="1" t="n">
        <f aca="false">10/8</f>
        <v>1.25</v>
      </c>
    </row>
    <row collapsed="false" customFormat="false" customHeight="false" hidden="false" ht="14.75" outlineLevel="0" r="331">
      <c r="A331" s="1" t="s">
        <v>1150</v>
      </c>
      <c r="B331" s="1" t="s">
        <v>1102</v>
      </c>
      <c r="C331" s="1" t="s">
        <v>1087</v>
      </c>
      <c r="D331" s="1" t="n">
        <v>267</v>
      </c>
      <c r="E331" s="1" t="n">
        <v>17.92</v>
      </c>
      <c r="F331" s="1" t="n">
        <v>1.8</v>
      </c>
    </row>
    <row collapsed="false" customFormat="false" customHeight="false" hidden="false" ht="14.75" outlineLevel="0" r="332">
      <c r="A332" s="1" t="s">
        <v>1151</v>
      </c>
      <c r="B332" s="1" t="s">
        <v>1086</v>
      </c>
      <c r="C332" s="1" t="s">
        <v>1087</v>
      </c>
      <c r="D332" s="1" t="n">
        <v>132.5</v>
      </c>
      <c r="E332" s="1" t="n">
        <v>9.76</v>
      </c>
      <c r="F332" s="1" t="n">
        <v>1</v>
      </c>
    </row>
    <row collapsed="false" customFormat="false" customHeight="false" hidden="false" ht="14.75" outlineLevel="0" r="333">
      <c r="A333" s="1" t="s">
        <v>321</v>
      </c>
      <c r="B333" s="1" t="s">
        <v>1101</v>
      </c>
      <c r="C333" s="1" t="s">
        <v>1087</v>
      </c>
      <c r="D333" s="1" t="n">
        <v>73.1</v>
      </c>
      <c r="E333" s="1" t="n">
        <v>6.43</v>
      </c>
      <c r="F333" s="1" t="n">
        <v>0.125</v>
      </c>
    </row>
    <row collapsed="false" customFormat="false" customHeight="false" hidden="false" ht="14.75" outlineLevel="0" r="334">
      <c r="A334" s="1" t="s">
        <v>322</v>
      </c>
      <c r="B334" s="1" t="s">
        <v>1101</v>
      </c>
      <c r="C334" s="1" t="s">
        <v>1087</v>
      </c>
      <c r="D334" s="1" t="n">
        <v>85.6</v>
      </c>
      <c r="E334" s="1" t="n">
        <v>6.84</v>
      </c>
      <c r="F334" s="1" t="n">
        <v>0.375</v>
      </c>
    </row>
    <row collapsed="false" customFormat="false" customHeight="false" hidden="false" ht="14.75" outlineLevel="0" r="335">
      <c r="A335" s="1" t="s">
        <v>1152</v>
      </c>
      <c r="B335" s="1" t="s">
        <v>1110</v>
      </c>
      <c r="C335" s="1" t="s">
        <v>1087</v>
      </c>
      <c r="D335" s="1" t="n">
        <v>196.7</v>
      </c>
      <c r="E335" s="1" t="n">
        <v>8.8</v>
      </c>
      <c r="F335" s="1" t="n">
        <f aca="false">14/9</f>
        <v>1.55555555555556</v>
      </c>
    </row>
    <row collapsed="false" customFormat="false" customHeight="false" hidden="false" ht="14.75" outlineLevel="0" r="336">
      <c r="A336" s="1" t="s">
        <v>447</v>
      </c>
      <c r="B336" s="1" t="s">
        <v>1110</v>
      </c>
      <c r="C336" s="1" t="s">
        <v>1087</v>
      </c>
      <c r="D336" s="1" t="n">
        <v>195</v>
      </c>
      <c r="E336" s="1" t="n">
        <v>9.7</v>
      </c>
      <c r="F336" s="1" t="n">
        <f aca="false">6/8</f>
        <v>0.75</v>
      </c>
    </row>
    <row collapsed="false" customFormat="false" customHeight="false" hidden="false" ht="14.75" outlineLevel="0" r="337">
      <c r="A337" s="1" t="s">
        <v>447</v>
      </c>
      <c r="B337" s="1" t="s">
        <v>1102</v>
      </c>
      <c r="C337" s="1" t="s">
        <v>1087</v>
      </c>
      <c r="D337" s="1" t="n">
        <v>289</v>
      </c>
      <c r="E337" s="1" t="n">
        <v>18.42</v>
      </c>
      <c r="F337" s="1" t="n">
        <v>2.4</v>
      </c>
    </row>
    <row collapsed="false" customFormat="false" customHeight="false" hidden="false" ht="14.75" outlineLevel="0" r="338">
      <c r="A338" s="1" t="s">
        <v>448</v>
      </c>
      <c r="B338" s="1" t="s">
        <v>1110</v>
      </c>
      <c r="C338" s="1" t="s">
        <v>1087</v>
      </c>
      <c r="D338" s="1" t="n">
        <v>60.6</v>
      </c>
      <c r="E338" s="1" t="n">
        <v>4.8</v>
      </c>
      <c r="F338" s="1" t="n">
        <f aca="false">1/8</f>
        <v>0.125</v>
      </c>
    </row>
    <row collapsed="false" customFormat="false" customHeight="false" hidden="false" ht="14.75" outlineLevel="0" r="339">
      <c r="A339" s="1" t="s">
        <v>448</v>
      </c>
      <c r="B339" s="1" t="s">
        <v>1102</v>
      </c>
      <c r="C339" s="1" t="s">
        <v>1087</v>
      </c>
      <c r="D339" s="1" t="n">
        <v>142.5</v>
      </c>
      <c r="E339" s="1" t="n">
        <v>9.86</v>
      </c>
      <c r="F339" s="1" t="n">
        <v>0.6</v>
      </c>
    </row>
    <row collapsed="false" customFormat="false" customHeight="false" hidden="false" ht="14.75" outlineLevel="0" r="340">
      <c r="A340" s="1" t="s">
        <v>1153</v>
      </c>
      <c r="B340" s="1" t="s">
        <v>1106</v>
      </c>
      <c r="C340" s="1" t="s">
        <v>1087</v>
      </c>
      <c r="D340" s="1" t="n">
        <v>179.4</v>
      </c>
      <c r="E340" s="1" t="n">
        <v>8.59</v>
      </c>
      <c r="F340" s="1" t="n">
        <f aca="false">11/9</f>
        <v>1.22222222222222</v>
      </c>
    </row>
    <row collapsed="false" customFormat="false" customHeight="false" hidden="false" ht="14.75" outlineLevel="0" r="341">
      <c r="A341" s="1" t="s">
        <v>852</v>
      </c>
      <c r="B341" s="1" t="s">
        <v>1146</v>
      </c>
      <c r="C341" s="1" t="s">
        <v>1087</v>
      </c>
      <c r="D341" s="1" t="n">
        <v>141.2</v>
      </c>
      <c r="E341" s="1" t="n">
        <v>12.55</v>
      </c>
      <c r="F341" s="1" t="n">
        <f aca="false">7/8</f>
        <v>0.875</v>
      </c>
    </row>
    <row collapsed="false" customFormat="false" customHeight="false" hidden="false" ht="14.75" outlineLevel="0" r="342">
      <c r="A342" s="1" t="s">
        <v>543</v>
      </c>
      <c r="B342" s="1" t="s">
        <v>1102</v>
      </c>
      <c r="C342" s="1" t="s">
        <v>1087</v>
      </c>
      <c r="D342" s="1" t="n">
        <v>469</v>
      </c>
      <c r="E342" s="1" t="n">
        <v>23.12</v>
      </c>
      <c r="F342" s="1" t="n">
        <v>5.1</v>
      </c>
    </row>
    <row collapsed="false" customFormat="false" customHeight="false" hidden="false" ht="14.75" outlineLevel="0" r="343">
      <c r="A343" s="1" t="s">
        <v>544</v>
      </c>
      <c r="B343" s="1" t="s">
        <v>1102</v>
      </c>
      <c r="C343" s="1" t="s">
        <v>1087</v>
      </c>
      <c r="D343" s="1" t="n">
        <v>289.5</v>
      </c>
      <c r="E343" s="1" t="n">
        <v>15.95</v>
      </c>
      <c r="F343" s="1" t="n">
        <v>1.9</v>
      </c>
    </row>
    <row collapsed="false" customFormat="false" customHeight="false" hidden="false" ht="14.75" outlineLevel="0" r="344">
      <c r="A344" s="1" t="s">
        <v>119</v>
      </c>
      <c r="B344" s="1" t="s">
        <v>1134</v>
      </c>
      <c r="C344" s="1" t="s">
        <v>1087</v>
      </c>
      <c r="D344" s="1" t="n">
        <v>405.5</v>
      </c>
      <c r="E344" s="1" t="n">
        <v>20.62</v>
      </c>
      <c r="F344" s="1" t="n">
        <v>3.9</v>
      </c>
    </row>
    <row collapsed="false" customFormat="false" customHeight="false" hidden="false" ht="14.75" outlineLevel="0" r="345">
      <c r="A345" s="1" t="s">
        <v>120</v>
      </c>
      <c r="B345" s="1" t="s">
        <v>1134</v>
      </c>
      <c r="C345" s="1" t="s">
        <v>1087</v>
      </c>
      <c r="D345" s="1" t="n">
        <v>118</v>
      </c>
      <c r="E345" s="1" t="n">
        <v>10.83</v>
      </c>
      <c r="F345" s="1" t="n">
        <v>1.1</v>
      </c>
    </row>
    <row collapsed="false" customFormat="false" customHeight="false" hidden="false" ht="14.75" outlineLevel="0" r="346">
      <c r="A346" s="1" t="s">
        <v>1154</v>
      </c>
      <c r="B346" s="1" t="s">
        <v>1127</v>
      </c>
      <c r="C346" s="1" t="s">
        <v>1087</v>
      </c>
      <c r="D346" s="1" t="n">
        <v>160</v>
      </c>
      <c r="E346" s="1" t="n">
        <v>13.91</v>
      </c>
      <c r="F346" s="1" t="n">
        <f aca="false">8/9</f>
        <v>0.888888888888889</v>
      </c>
    </row>
    <row collapsed="false" customFormat="false" customHeight="false" hidden="false" ht="14.75" outlineLevel="0" r="347">
      <c r="A347" s="1" t="s">
        <v>1155</v>
      </c>
      <c r="B347" s="1" t="s">
        <v>1093</v>
      </c>
      <c r="C347" s="1" t="s">
        <v>1087</v>
      </c>
      <c r="D347" s="1" t="n">
        <v>72.5</v>
      </c>
      <c r="E347" s="1" t="n">
        <v>4.38</v>
      </c>
      <c r="F347" s="1" t="n">
        <f aca="false">2/6</f>
        <v>0.333333333333333</v>
      </c>
    </row>
    <row collapsed="false" customFormat="false" customHeight="false" hidden="false" ht="14.75" outlineLevel="0" r="348">
      <c r="A348" s="1" t="s">
        <v>1156</v>
      </c>
      <c r="B348" s="1" t="s">
        <v>1093</v>
      </c>
      <c r="C348" s="1" t="s">
        <v>1087</v>
      </c>
      <c r="D348" s="1" t="n">
        <v>30.8</v>
      </c>
      <c r="E348" s="1" t="n">
        <v>3.12</v>
      </c>
      <c r="F348" s="1" t="n">
        <f aca="false">1/6</f>
        <v>0.166666666666667</v>
      </c>
    </row>
    <row collapsed="false" customFormat="false" customHeight="false" hidden="false" ht="14.75" outlineLevel="0" r="349">
      <c r="A349" s="1" t="s">
        <v>1020</v>
      </c>
      <c r="B349" s="1" t="s">
        <v>1146</v>
      </c>
      <c r="C349" s="1" t="s">
        <v>1087</v>
      </c>
      <c r="D349" s="1" t="n">
        <v>161.4</v>
      </c>
      <c r="E349" s="1" t="n">
        <v>9.73</v>
      </c>
      <c r="F349" s="1" t="n">
        <f aca="false">8/7</f>
        <v>1.14285714285714</v>
      </c>
    </row>
    <row collapsed="false" customFormat="false" customHeight="false" hidden="false" ht="14.75" outlineLevel="0" r="350">
      <c r="A350" s="1" t="s">
        <v>856</v>
      </c>
      <c r="B350" s="1" t="s">
        <v>1146</v>
      </c>
      <c r="C350" s="1" t="s">
        <v>1087</v>
      </c>
      <c r="D350" s="1" t="n">
        <v>231.2</v>
      </c>
      <c r="E350" s="1" t="n">
        <v>14.8</v>
      </c>
      <c r="F350" s="1" t="n">
        <f aca="false">16/8</f>
        <v>2</v>
      </c>
    </row>
    <row collapsed="false" customFormat="false" customHeight="false" hidden="false" ht="14.75" outlineLevel="0" r="351">
      <c r="A351" s="1" t="s">
        <v>858</v>
      </c>
      <c r="B351" s="1" t="s">
        <v>1146</v>
      </c>
      <c r="C351" s="1" t="s">
        <v>1087</v>
      </c>
      <c r="D351" s="1" t="n">
        <v>110.7</v>
      </c>
      <c r="E351" s="1" t="n">
        <v>10.75</v>
      </c>
      <c r="F351" s="1" t="n">
        <f aca="false">6/7</f>
        <v>0.857142857142857</v>
      </c>
    </row>
    <row collapsed="false" customFormat="false" customHeight="false" hidden="false" ht="14.75" outlineLevel="0" r="352">
      <c r="A352" s="1" t="s">
        <v>1157</v>
      </c>
      <c r="B352" s="1" t="s">
        <v>1127</v>
      </c>
      <c r="C352" s="1" t="s">
        <v>1087</v>
      </c>
      <c r="D352" s="1" t="n">
        <v>127.9</v>
      </c>
      <c r="E352" s="1" t="n">
        <v>10.22</v>
      </c>
      <c r="F352" s="1" t="n">
        <f aca="false">9/7</f>
        <v>1.28571428571429</v>
      </c>
    </row>
    <row collapsed="false" customFormat="false" customHeight="false" hidden="false" ht="14.75" outlineLevel="0" r="353">
      <c r="A353" s="1" t="s">
        <v>1158</v>
      </c>
      <c r="B353" s="1" t="s">
        <v>1127</v>
      </c>
      <c r="C353" s="1" t="s">
        <v>1087</v>
      </c>
      <c r="D353" s="1" t="n">
        <v>102.2</v>
      </c>
      <c r="E353" s="1" t="n">
        <v>9.33</v>
      </c>
      <c r="F353" s="1" t="n">
        <f aca="false">6/9</f>
        <v>0.666666666666667</v>
      </c>
    </row>
    <row collapsed="false" customFormat="false" customHeight="false" hidden="false" ht="14.75" outlineLevel="0" r="354">
      <c r="A354" s="1" t="s">
        <v>1159</v>
      </c>
      <c r="B354" s="1" t="s">
        <v>1093</v>
      </c>
      <c r="C354" s="1" t="s">
        <v>1087</v>
      </c>
      <c r="D354" s="1" t="n">
        <v>101.7</v>
      </c>
      <c r="E354" s="1" t="n">
        <v>6.05</v>
      </c>
      <c r="F354" s="1" t="n">
        <f aca="false">5/6</f>
        <v>0.833333333333333</v>
      </c>
    </row>
    <row collapsed="false" customFormat="false" customHeight="false" hidden="false" ht="14.75" outlineLevel="0" r="355">
      <c r="A355" s="1" t="s">
        <v>1160</v>
      </c>
      <c r="B355" s="1" t="s">
        <v>1146</v>
      </c>
      <c r="C355" s="1" t="s">
        <v>1087</v>
      </c>
      <c r="D355" s="1" t="n">
        <v>89.2</v>
      </c>
      <c r="E355" s="1" t="n">
        <v>7.19</v>
      </c>
      <c r="F355" s="1" t="n">
        <f aca="false">3/7</f>
        <v>0.428571428571429</v>
      </c>
    </row>
    <row collapsed="false" customFormat="false" customHeight="false" hidden="false" ht="14.75" outlineLevel="0" r="356">
      <c r="A356" s="1" t="s">
        <v>123</v>
      </c>
      <c r="B356" s="1" t="s">
        <v>1134</v>
      </c>
      <c r="C356" s="1" t="s">
        <v>1087</v>
      </c>
      <c r="D356" s="1" t="n">
        <v>459</v>
      </c>
      <c r="E356" s="1" t="n">
        <v>21.57</v>
      </c>
      <c r="F356" s="1" t="n">
        <v>4.9</v>
      </c>
    </row>
    <row collapsed="false" customFormat="false" customHeight="false" hidden="false" ht="14.75" outlineLevel="0" r="357">
      <c r="A357" s="1" t="s">
        <v>124</v>
      </c>
      <c r="B357" s="1" t="s">
        <v>1134</v>
      </c>
      <c r="C357" s="1" t="s">
        <v>1087</v>
      </c>
      <c r="D357" s="1" t="n">
        <v>182</v>
      </c>
      <c r="E357" s="1" t="n">
        <v>12.23</v>
      </c>
      <c r="F357" s="1" t="n">
        <v>1.3</v>
      </c>
    </row>
    <row collapsed="false" customFormat="false" customHeight="false" hidden="false" ht="14.75" outlineLevel="0" r="358">
      <c r="A358" s="1" t="s">
        <v>1161</v>
      </c>
      <c r="B358" s="1" t="s">
        <v>1134</v>
      </c>
      <c r="C358" s="1" t="s">
        <v>1087</v>
      </c>
      <c r="D358" s="1" t="n">
        <v>84</v>
      </c>
      <c r="E358" s="1" t="n">
        <v>7.98</v>
      </c>
      <c r="F358" s="1" t="n">
        <v>0.7</v>
      </c>
    </row>
    <row collapsed="false" customFormat="false" customHeight="false" hidden="false" ht="14.75" outlineLevel="0" r="359">
      <c r="A359" s="1" t="s">
        <v>1162</v>
      </c>
      <c r="B359" s="1" t="s">
        <v>1093</v>
      </c>
      <c r="C359" s="1" t="s">
        <v>1087</v>
      </c>
      <c r="D359" s="1" t="n">
        <v>112.5</v>
      </c>
      <c r="E359" s="1" t="n">
        <v>6.55</v>
      </c>
      <c r="F359" s="1" t="n">
        <f aca="false">2/6</f>
        <v>0.333333333333333</v>
      </c>
    </row>
    <row collapsed="false" customFormat="false" customHeight="false" hidden="false" ht="14.75" outlineLevel="0" r="360">
      <c r="A360" s="1" t="s">
        <v>1163</v>
      </c>
      <c r="B360" s="1" t="s">
        <v>1164</v>
      </c>
      <c r="C360" s="1" t="s">
        <v>1087</v>
      </c>
      <c r="D360" s="1" t="n">
        <v>254</v>
      </c>
      <c r="E360" s="1" t="n">
        <v>13.7</v>
      </c>
      <c r="F360" s="1" t="n">
        <f aca="false">6/5</f>
        <v>1.2</v>
      </c>
    </row>
    <row collapsed="false" customFormat="false" customHeight="false" hidden="false" ht="14.75" outlineLevel="0" r="361">
      <c r="A361" s="1" t="s">
        <v>1165</v>
      </c>
      <c r="B361" s="1" t="s">
        <v>1121</v>
      </c>
      <c r="C361" s="1" t="s">
        <v>1087</v>
      </c>
      <c r="D361" s="1" t="n">
        <v>418</v>
      </c>
      <c r="E361" s="1" t="n">
        <v>19.7</v>
      </c>
      <c r="F361" s="1" t="s">
        <v>9</v>
      </c>
    </row>
    <row collapsed="false" customFormat="false" customHeight="false" hidden="false" ht="14.75" outlineLevel="0" r="362">
      <c r="A362" s="1" t="s">
        <v>1166</v>
      </c>
      <c r="B362" s="1" t="s">
        <v>1121</v>
      </c>
      <c r="C362" s="1" t="s">
        <v>1087</v>
      </c>
      <c r="D362" s="1" t="n">
        <v>269.4</v>
      </c>
      <c r="E362" s="1" t="n">
        <v>12.78</v>
      </c>
      <c r="F362" s="1" t="s">
        <v>9</v>
      </c>
    </row>
    <row collapsed="false" customFormat="false" customHeight="false" hidden="false" ht="14.75" outlineLevel="0" r="363">
      <c r="A363" s="1" t="s">
        <v>1167</v>
      </c>
      <c r="B363" s="1" t="s">
        <v>1112</v>
      </c>
      <c r="C363" s="1" t="s">
        <v>1087</v>
      </c>
      <c r="D363" s="1" t="n">
        <v>118.1</v>
      </c>
      <c r="E363" s="1" t="n">
        <v>6.58</v>
      </c>
      <c r="F363" s="1" t="s">
        <v>9</v>
      </c>
    </row>
    <row collapsed="false" customFormat="false" customHeight="false" hidden="false" ht="14.75" outlineLevel="0" r="364">
      <c r="A364" s="1" t="s">
        <v>1168</v>
      </c>
      <c r="B364" s="1" t="s">
        <v>1101</v>
      </c>
      <c r="C364" s="1" t="s">
        <v>1087</v>
      </c>
      <c r="D364" s="1" t="n">
        <v>308.1</v>
      </c>
      <c r="E364" s="1" t="n">
        <v>14.47</v>
      </c>
      <c r="F364" s="1" t="n">
        <v>1.875</v>
      </c>
    </row>
    <row collapsed="false" customFormat="false" customHeight="false" hidden="false" ht="14.75" outlineLevel="0" r="365">
      <c r="A365" s="1" t="s">
        <v>1169</v>
      </c>
      <c r="B365" s="1" t="s">
        <v>1101</v>
      </c>
      <c r="C365" s="1" t="s">
        <v>1087</v>
      </c>
      <c r="D365" s="1" t="n">
        <v>91.2</v>
      </c>
      <c r="E365" s="1" t="n">
        <v>4.62</v>
      </c>
      <c r="F365" s="1" t="n">
        <v>0.375</v>
      </c>
    </row>
    <row collapsed="false" customFormat="false" customHeight="false" hidden="false" ht="14.75" outlineLevel="0" r="366">
      <c r="A366" s="1" t="s">
        <v>1170</v>
      </c>
      <c r="B366" s="1" t="s">
        <v>1101</v>
      </c>
      <c r="C366" s="1" t="s">
        <v>1087</v>
      </c>
      <c r="D366" s="1" t="n">
        <v>305.6</v>
      </c>
      <c r="E366" s="1" t="n">
        <v>15.07</v>
      </c>
      <c r="F366" s="1" t="n">
        <v>2.125</v>
      </c>
    </row>
    <row collapsed="false" customFormat="false" customHeight="false" hidden="false" ht="14.75" outlineLevel="0" r="367">
      <c r="A367" s="1" t="s">
        <v>1171</v>
      </c>
      <c r="B367" s="1" t="s">
        <v>1101</v>
      </c>
      <c r="C367" s="1" t="s">
        <v>1087</v>
      </c>
      <c r="D367" s="1" t="n">
        <v>134.4</v>
      </c>
      <c r="E367" s="1" t="n">
        <v>9.57</v>
      </c>
      <c r="F367" s="1" t="n">
        <v>0.75</v>
      </c>
    </row>
    <row collapsed="false" customFormat="false" customHeight="false" hidden="false" ht="14.75" outlineLevel="0" r="368">
      <c r="A368" s="1" t="s">
        <v>554</v>
      </c>
      <c r="B368" s="1" t="s">
        <v>1102</v>
      </c>
      <c r="C368" s="1" t="s">
        <v>1087</v>
      </c>
      <c r="D368" s="1" t="n">
        <v>249</v>
      </c>
      <c r="E368" s="1" t="n">
        <v>17.07</v>
      </c>
      <c r="F368" s="1" t="n">
        <v>2.1</v>
      </c>
    </row>
    <row collapsed="false" customFormat="false" customHeight="false" hidden="false" ht="14.75" outlineLevel="0" r="369">
      <c r="A369" s="1" t="s">
        <v>555</v>
      </c>
      <c r="B369" s="1" t="s">
        <v>1102</v>
      </c>
      <c r="C369" s="1" t="s">
        <v>1087</v>
      </c>
      <c r="D369" s="1" t="n">
        <v>137</v>
      </c>
      <c r="E369" s="1" t="n">
        <v>10.29</v>
      </c>
      <c r="F369" s="1" t="n">
        <v>0.5</v>
      </c>
    </row>
    <row collapsed="false" customFormat="false" customHeight="false" hidden="false" ht="14.75" outlineLevel="0" r="370">
      <c r="A370" s="1" t="s">
        <v>1172</v>
      </c>
      <c r="B370" s="1" t="s">
        <v>1102</v>
      </c>
      <c r="C370" s="1" t="s">
        <v>1087</v>
      </c>
      <c r="D370" s="1" t="n">
        <v>55.5</v>
      </c>
      <c r="E370" s="1" t="n">
        <v>7.14</v>
      </c>
      <c r="F370" s="1" t="n">
        <v>0.3</v>
      </c>
    </row>
    <row collapsed="false" customFormat="false" customHeight="false" hidden="false" ht="14.75" outlineLevel="0" r="371">
      <c r="A371" s="1" t="s">
        <v>1173</v>
      </c>
      <c r="B371" s="1" t="s">
        <v>1102</v>
      </c>
      <c r="C371" s="1" t="s">
        <v>1087</v>
      </c>
      <c r="D371" s="1" t="n">
        <v>180</v>
      </c>
      <c r="E371" s="1" t="n">
        <v>12.53</v>
      </c>
      <c r="F371" s="1" t="n">
        <v>1</v>
      </c>
    </row>
    <row collapsed="false" customFormat="false" customHeight="false" hidden="false" ht="14.75" outlineLevel="0" r="372">
      <c r="A372" s="1" t="s">
        <v>1174</v>
      </c>
      <c r="B372" s="1" t="s">
        <v>1102</v>
      </c>
      <c r="C372" s="1" t="s">
        <v>1087</v>
      </c>
      <c r="D372" s="1" t="n">
        <v>89</v>
      </c>
      <c r="E372" s="1" t="n">
        <v>7.09</v>
      </c>
      <c r="F372" s="1" t="n">
        <v>0.5</v>
      </c>
    </row>
    <row collapsed="false" customFormat="false" customHeight="false" hidden="false" ht="14.75" outlineLevel="0" r="373">
      <c r="A373" s="1" t="s">
        <v>1175</v>
      </c>
      <c r="B373" s="1" t="s">
        <v>1164</v>
      </c>
      <c r="C373" s="1" t="s">
        <v>1087</v>
      </c>
      <c r="D373" s="1" t="n">
        <v>119</v>
      </c>
      <c r="E373" s="1" t="n">
        <v>10.33</v>
      </c>
      <c r="F373" s="1" t="n">
        <v>0</v>
      </c>
    </row>
    <row collapsed="false" customFormat="false" customHeight="false" hidden="false" ht="14.75" outlineLevel="0" r="374">
      <c r="A374" s="1" t="s">
        <v>1176</v>
      </c>
      <c r="B374" s="1" t="s">
        <v>1127</v>
      </c>
      <c r="C374" s="1" t="s">
        <v>1087</v>
      </c>
      <c r="D374" s="1" t="n">
        <v>198.9</v>
      </c>
      <c r="E374" s="1" t="n">
        <v>14.51</v>
      </c>
      <c r="F374" s="1" t="n">
        <f aca="false">20/9</f>
        <v>2.22222222222222</v>
      </c>
    </row>
    <row collapsed="false" customFormat="false" customHeight="false" hidden="false" ht="14.75" outlineLevel="0" r="375">
      <c r="A375" s="1" t="s">
        <v>1177</v>
      </c>
      <c r="B375" s="1" t="s">
        <v>1127</v>
      </c>
      <c r="C375" s="1" t="s">
        <v>1087</v>
      </c>
      <c r="D375" s="1" t="n">
        <v>158.9</v>
      </c>
      <c r="E375" s="1" t="n">
        <v>10.68</v>
      </c>
      <c r="F375" s="1" t="n">
        <f aca="false">12/9</f>
        <v>1.33333333333333</v>
      </c>
    </row>
    <row collapsed="false" customFormat="false" customHeight="false" hidden="false" ht="14.75" outlineLevel="0" r="376">
      <c r="A376" s="1" t="s">
        <v>127</v>
      </c>
      <c r="B376" s="1" t="s">
        <v>1100</v>
      </c>
      <c r="C376" s="1" t="s">
        <v>1087</v>
      </c>
      <c r="D376" s="1" t="n">
        <v>269.4</v>
      </c>
      <c r="E376" s="1" t="n">
        <v>16.62</v>
      </c>
      <c r="F376" s="1" t="n">
        <f aca="false">21/9</f>
        <v>2.33333333333333</v>
      </c>
    </row>
    <row collapsed="false" customFormat="false" customHeight="false" hidden="false" ht="14.75" outlineLevel="0" r="377">
      <c r="A377" s="1" t="s">
        <v>129</v>
      </c>
      <c r="B377" s="1" t="s">
        <v>1101</v>
      </c>
      <c r="C377" s="1" t="s">
        <v>1087</v>
      </c>
      <c r="D377" s="1" t="n">
        <v>146.9</v>
      </c>
      <c r="E377" s="1" t="n">
        <v>8.7</v>
      </c>
      <c r="F377" s="1" t="n">
        <v>1</v>
      </c>
    </row>
    <row collapsed="false" customFormat="false" customHeight="false" hidden="false" ht="14.75" outlineLevel="0" r="378">
      <c r="A378" s="1" t="s">
        <v>1178</v>
      </c>
      <c r="B378" s="1" t="s">
        <v>1101</v>
      </c>
      <c r="C378" s="1" t="s">
        <v>1087</v>
      </c>
      <c r="D378" s="1" t="n">
        <v>151.2</v>
      </c>
      <c r="E378" s="1" t="n">
        <v>10.42</v>
      </c>
      <c r="F378" s="1" t="n">
        <v>0.625</v>
      </c>
    </row>
    <row collapsed="false" customFormat="false" customHeight="false" hidden="false" ht="14.75" outlineLevel="0" r="379">
      <c r="A379" s="1" t="s">
        <v>334</v>
      </c>
      <c r="B379" s="1" t="s">
        <v>1164</v>
      </c>
      <c r="C379" s="1" t="s">
        <v>1087</v>
      </c>
      <c r="D379" s="1" t="n">
        <v>208</v>
      </c>
      <c r="E379" s="1" t="n">
        <v>11.49</v>
      </c>
      <c r="F379" s="1" t="n">
        <v>1.8</v>
      </c>
    </row>
    <row collapsed="false" customFormat="false" customHeight="false" hidden="false" ht="14.75" outlineLevel="0" r="380">
      <c r="A380" s="1" t="s">
        <v>335</v>
      </c>
      <c r="B380" s="1" t="s">
        <v>1164</v>
      </c>
      <c r="C380" s="1" t="s">
        <v>1087</v>
      </c>
      <c r="D380" s="1" t="n">
        <v>18</v>
      </c>
      <c r="E380" s="1" t="n">
        <v>4.29</v>
      </c>
      <c r="F380" s="1" t="n">
        <v>0</v>
      </c>
    </row>
    <row collapsed="false" customFormat="false" customHeight="false" hidden="false" ht="14.75" outlineLevel="0" r="381">
      <c r="A381" s="1" t="s">
        <v>864</v>
      </c>
      <c r="B381" s="1" t="s">
        <v>1086</v>
      </c>
      <c r="C381" s="1" t="s">
        <v>1087</v>
      </c>
      <c r="D381" s="1" t="n">
        <v>239.4</v>
      </c>
      <c r="E381" s="1" t="n">
        <v>13.93</v>
      </c>
      <c r="F381" s="1" t="n">
        <f aca="false">21/9</f>
        <v>2.33333333333333</v>
      </c>
    </row>
    <row collapsed="false" customFormat="false" customHeight="false" hidden="false" ht="14.75" outlineLevel="0" r="382">
      <c r="A382" s="1" t="s">
        <v>1179</v>
      </c>
      <c r="B382" s="1" t="s">
        <v>1086</v>
      </c>
      <c r="C382" s="1" t="s">
        <v>1087</v>
      </c>
      <c r="D382" s="1" t="n">
        <v>77.1</v>
      </c>
      <c r="E382" s="1" t="n">
        <v>8.91</v>
      </c>
      <c r="F382" s="1" t="n">
        <f aca="false">1/7</f>
        <v>0.142857142857143</v>
      </c>
    </row>
    <row collapsed="false" customFormat="false" customHeight="false" hidden="false" ht="14.75" outlineLevel="0" r="383">
      <c r="A383" s="1" t="s">
        <v>1180</v>
      </c>
      <c r="B383" s="1" t="s">
        <v>1119</v>
      </c>
      <c r="C383" s="1" t="s">
        <v>1087</v>
      </c>
      <c r="D383" s="1" t="n">
        <v>218.6</v>
      </c>
      <c r="E383" s="1" t="n">
        <v>11.67</v>
      </c>
      <c r="F383" s="1" t="n">
        <f aca="false">16/11</f>
        <v>1.45454545454545</v>
      </c>
    </row>
    <row collapsed="false" customFormat="false" customHeight="false" hidden="false" ht="14.75" outlineLevel="0" r="384">
      <c r="A384" s="1" t="s">
        <v>1181</v>
      </c>
      <c r="B384" s="1" t="s">
        <v>1106</v>
      </c>
      <c r="C384" s="1" t="s">
        <v>1087</v>
      </c>
      <c r="D384" s="1" t="n">
        <v>106.9</v>
      </c>
      <c r="E384" s="1" t="n">
        <v>6.43</v>
      </c>
      <c r="F384" s="1" t="n">
        <f aca="false">5/8</f>
        <v>0.625</v>
      </c>
    </row>
    <row collapsed="false" customFormat="false" customHeight="false" hidden="false" ht="14.75" outlineLevel="0" r="385">
      <c r="A385" s="1" t="s">
        <v>1182</v>
      </c>
      <c r="B385" s="1" t="s">
        <v>1106</v>
      </c>
      <c r="C385" s="1" t="s">
        <v>1087</v>
      </c>
      <c r="D385" s="1" t="n">
        <v>206.9</v>
      </c>
      <c r="E385" s="1" t="n">
        <v>9.26</v>
      </c>
      <c r="F385" s="1" t="n">
        <f aca="false">4/8</f>
        <v>0.5</v>
      </c>
    </row>
    <row collapsed="false" customFormat="false" customHeight="false" hidden="false" ht="14.75" outlineLevel="0" r="386">
      <c r="A386" s="1" t="s">
        <v>1183</v>
      </c>
      <c r="B386" s="1" t="s">
        <v>1101</v>
      </c>
      <c r="C386" s="1" t="s">
        <v>1087</v>
      </c>
      <c r="D386" s="1" t="n">
        <v>224.4</v>
      </c>
      <c r="E386" s="1" t="n">
        <v>11.33</v>
      </c>
      <c r="F386" s="1" t="n">
        <v>1.875</v>
      </c>
    </row>
    <row collapsed="false" customFormat="false" customHeight="false" hidden="false" ht="14.75" outlineLevel="0" r="387">
      <c r="A387" s="1" t="s">
        <v>1184</v>
      </c>
      <c r="B387" s="1" t="s">
        <v>1101</v>
      </c>
      <c r="C387" s="1" t="s">
        <v>1087</v>
      </c>
      <c r="D387" s="1" t="n">
        <v>149.4</v>
      </c>
      <c r="E387" s="1" t="n">
        <v>8.3</v>
      </c>
      <c r="F387" s="1" t="n">
        <v>0.875</v>
      </c>
    </row>
    <row collapsed="false" customFormat="false" customHeight="false" hidden="false" ht="14.75" outlineLevel="0" r="388">
      <c r="A388" s="1" t="s">
        <v>867</v>
      </c>
      <c r="B388" s="1" t="s">
        <v>1093</v>
      </c>
      <c r="C388" s="1" t="s">
        <v>1087</v>
      </c>
      <c r="D388" s="1" t="n">
        <v>260.7</v>
      </c>
      <c r="E388" s="1" t="n">
        <v>13.35</v>
      </c>
      <c r="F388" s="1" t="n">
        <v>1</v>
      </c>
    </row>
    <row collapsed="false" customFormat="false" customHeight="false" hidden="false" ht="14.75" outlineLevel="0" r="389">
      <c r="A389" s="1" t="s">
        <v>689</v>
      </c>
      <c r="B389" s="1" t="s">
        <v>1101</v>
      </c>
      <c r="C389" s="1" t="s">
        <v>1087</v>
      </c>
      <c r="D389" s="1" t="n">
        <v>232.5</v>
      </c>
      <c r="E389" s="1" t="n">
        <v>10.95</v>
      </c>
      <c r="F389" s="1" t="n">
        <v>1.25</v>
      </c>
    </row>
    <row collapsed="false" customFormat="false" customHeight="false" hidden="false" ht="14.75" outlineLevel="0" r="390">
      <c r="A390" s="1" t="s">
        <v>690</v>
      </c>
      <c r="B390" s="1" t="s">
        <v>1101</v>
      </c>
      <c r="C390" s="1" t="s">
        <v>1087</v>
      </c>
      <c r="D390" s="1" t="n">
        <v>117.5</v>
      </c>
      <c r="E390" s="1" t="n">
        <v>7.07</v>
      </c>
      <c r="F390" s="1" t="n">
        <v>0.75</v>
      </c>
    </row>
    <row collapsed="false" customFormat="false" customHeight="false" hidden="false" ht="14.75" outlineLevel="0" r="391">
      <c r="A391" s="1" t="s">
        <v>1185</v>
      </c>
      <c r="B391" s="1" t="s">
        <v>1101</v>
      </c>
      <c r="C391" s="1" t="s">
        <v>1087</v>
      </c>
      <c r="D391" s="1" t="n">
        <v>215.6</v>
      </c>
      <c r="E391" s="1" t="n">
        <v>10.41</v>
      </c>
      <c r="F391" s="1" t="n">
        <v>1.125</v>
      </c>
    </row>
    <row collapsed="false" customFormat="false" customHeight="false" hidden="false" ht="14.75" outlineLevel="0" r="392">
      <c r="A392" s="1" t="s">
        <v>1186</v>
      </c>
      <c r="B392" s="1" t="s">
        <v>1101</v>
      </c>
      <c r="C392" s="1" t="s">
        <v>1087</v>
      </c>
      <c r="D392" s="1" t="n">
        <v>230</v>
      </c>
      <c r="E392" s="1" t="n">
        <v>12.13</v>
      </c>
      <c r="F392" s="1" t="n">
        <v>1.5</v>
      </c>
    </row>
    <row collapsed="false" customFormat="false" customHeight="false" hidden="false" ht="14.75" outlineLevel="0" r="393">
      <c r="A393" s="1" t="s">
        <v>691</v>
      </c>
      <c r="B393" s="1" t="s">
        <v>1187</v>
      </c>
      <c r="C393" s="1" t="s">
        <v>1087</v>
      </c>
      <c r="D393" s="1" t="n">
        <v>323.9</v>
      </c>
      <c r="E393" s="1" t="n">
        <v>18.53</v>
      </c>
      <c r="F393" s="1" t="n">
        <f aca="false">13/9</f>
        <v>1.44444444444444</v>
      </c>
    </row>
    <row collapsed="false" customFormat="false" customHeight="false" hidden="false" ht="14.75" outlineLevel="0" r="394">
      <c r="A394" s="1" t="s">
        <v>692</v>
      </c>
      <c r="B394" s="1" t="s">
        <v>1187</v>
      </c>
      <c r="C394" s="1" t="s">
        <v>1087</v>
      </c>
      <c r="D394" s="1" t="n">
        <v>210.6</v>
      </c>
      <c r="E394" s="1" t="n">
        <v>11.3</v>
      </c>
      <c r="F394" s="1" t="n">
        <f aca="false">8/9</f>
        <v>0.888888888888889</v>
      </c>
    </row>
    <row collapsed="false" customFormat="false" customHeight="false" hidden="false" ht="14.75" outlineLevel="0" r="395">
      <c r="A395" s="1" t="s">
        <v>206</v>
      </c>
      <c r="B395" s="1" t="s">
        <v>1097</v>
      </c>
      <c r="C395" s="1" t="s">
        <v>1087</v>
      </c>
      <c r="D395" s="1" t="n">
        <v>337.7</v>
      </c>
      <c r="E395" s="1" t="n">
        <v>19.48</v>
      </c>
      <c r="F395" s="1" t="n">
        <f aca="false">35/11</f>
        <v>3.18181818181818</v>
      </c>
    </row>
    <row collapsed="false" customFormat="false" customHeight="false" hidden="false" ht="14.75" outlineLevel="0" r="396">
      <c r="A396" s="1" t="s">
        <v>207</v>
      </c>
      <c r="B396" s="1" t="s">
        <v>1097</v>
      </c>
      <c r="C396" s="1" t="s">
        <v>1087</v>
      </c>
      <c r="D396" s="1" t="n">
        <v>120.6</v>
      </c>
      <c r="E396" s="1" t="n">
        <v>10.42</v>
      </c>
      <c r="F396" s="1" t="n">
        <f aca="false">4/9</f>
        <v>0.444444444444444</v>
      </c>
    </row>
    <row collapsed="false" customFormat="false" customHeight="false" hidden="false" ht="14.75" outlineLevel="0" r="397">
      <c r="A397" s="1" t="s">
        <v>1188</v>
      </c>
      <c r="B397" s="1" t="s">
        <v>1097</v>
      </c>
      <c r="C397" s="1" t="s">
        <v>1087</v>
      </c>
      <c r="D397" s="1" t="n">
        <v>89</v>
      </c>
      <c r="E397" s="1" t="n">
        <v>6.16</v>
      </c>
      <c r="F397" s="1" t="n">
        <f aca="false">4/10</f>
        <v>0.4</v>
      </c>
    </row>
    <row collapsed="false" customFormat="false" customHeight="false" hidden="false" ht="14.75" outlineLevel="0" r="398">
      <c r="A398" s="1" t="s">
        <v>1189</v>
      </c>
      <c r="B398" s="1" t="s">
        <v>1097</v>
      </c>
      <c r="C398" s="1" t="s">
        <v>1087</v>
      </c>
      <c r="D398" s="1" t="n">
        <v>63.5</v>
      </c>
      <c r="E398" s="1" t="n">
        <v>6.25</v>
      </c>
      <c r="F398" s="1" t="n">
        <f aca="false">3/10</f>
        <v>0.3</v>
      </c>
    </row>
    <row collapsed="false" customFormat="false" customHeight="false" hidden="false" ht="14.75" outlineLevel="0" r="399">
      <c r="A399" s="1" t="s">
        <v>1190</v>
      </c>
      <c r="B399" s="1" t="s">
        <v>1093</v>
      </c>
      <c r="C399" s="1" t="s">
        <v>1087</v>
      </c>
      <c r="D399" s="1" t="n">
        <v>84.2</v>
      </c>
      <c r="E399" s="1" t="n">
        <v>7.24</v>
      </c>
      <c r="F399" s="1" t="n">
        <v>0.5</v>
      </c>
    </row>
    <row collapsed="false" customFormat="false" customHeight="false" hidden="false" ht="14.75" outlineLevel="0" r="400">
      <c r="A400" s="1" t="s">
        <v>1191</v>
      </c>
      <c r="B400" s="1" t="s">
        <v>1093</v>
      </c>
      <c r="C400" s="1" t="s">
        <v>1087</v>
      </c>
      <c r="D400" s="1" t="n">
        <v>185.8</v>
      </c>
      <c r="E400" s="1" t="n">
        <v>10.65</v>
      </c>
      <c r="F400" s="1" t="n">
        <f aca="false">5/7</f>
        <v>0.714285714285714</v>
      </c>
    </row>
    <row collapsed="false" customFormat="false" customHeight="false" hidden="false" ht="14.75" outlineLevel="0" r="401">
      <c r="A401" s="1" t="s">
        <v>1192</v>
      </c>
      <c r="B401" s="1" t="s">
        <v>1093</v>
      </c>
      <c r="C401" s="1" t="s">
        <v>1087</v>
      </c>
      <c r="D401" s="1" t="n">
        <v>57.5</v>
      </c>
      <c r="E401" s="1" t="n">
        <v>4.4</v>
      </c>
      <c r="F401" s="1" t="n">
        <v>0</v>
      </c>
    </row>
    <row collapsed="false" customFormat="false" customHeight="false" hidden="false" ht="14.75" outlineLevel="0" r="402">
      <c r="A402" s="1" t="s">
        <v>1193</v>
      </c>
      <c r="B402" s="1" t="s">
        <v>1093</v>
      </c>
      <c r="C402" s="1" t="s">
        <v>1087</v>
      </c>
      <c r="D402" s="1" t="n">
        <v>33.3</v>
      </c>
      <c r="E402" s="1" t="n">
        <v>5.38</v>
      </c>
      <c r="F402" s="1" t="n">
        <f aca="false">1/6</f>
        <v>0.166666666666667</v>
      </c>
    </row>
    <row collapsed="false" customFormat="false" customHeight="false" hidden="false" ht="14.75" outlineLevel="0" r="403">
      <c r="A403" s="1" t="s">
        <v>562</v>
      </c>
      <c r="B403" s="1" t="s">
        <v>1093</v>
      </c>
      <c r="C403" s="1" t="s">
        <v>1087</v>
      </c>
      <c r="D403" s="1" t="n">
        <v>125.7</v>
      </c>
      <c r="E403" s="1" t="n">
        <v>8.16</v>
      </c>
      <c r="F403" s="1" t="n">
        <f aca="false">3/7</f>
        <v>0.428571428571429</v>
      </c>
    </row>
    <row collapsed="false" customFormat="false" customHeight="false" hidden="false" ht="14.75" outlineLevel="0" r="404">
      <c r="A404" s="1" t="s">
        <v>563</v>
      </c>
      <c r="B404" s="1" t="s">
        <v>1093</v>
      </c>
      <c r="C404" s="1" t="s">
        <v>1087</v>
      </c>
      <c r="D404" s="1" t="n">
        <v>125</v>
      </c>
      <c r="E404" s="1" t="n">
        <v>7.74</v>
      </c>
      <c r="F404" s="1" t="n">
        <f aca="false">4/6</f>
        <v>0.666666666666667</v>
      </c>
    </row>
    <row collapsed="false" customFormat="false" customHeight="false" hidden="false" ht="14.75" outlineLevel="0" r="405">
      <c r="A405" s="1" t="s">
        <v>1194</v>
      </c>
      <c r="B405" s="1" t="s">
        <v>1093</v>
      </c>
      <c r="C405" s="1" t="s">
        <v>1087</v>
      </c>
      <c r="D405" s="1" t="n">
        <v>100</v>
      </c>
      <c r="E405" s="1" t="n">
        <v>5.95</v>
      </c>
      <c r="F405" s="1" t="n">
        <f aca="false">4/6</f>
        <v>0.666666666666667</v>
      </c>
    </row>
    <row collapsed="false" customFormat="false" customHeight="false" hidden="false" ht="14.75" outlineLevel="0" r="406">
      <c r="A406" s="1" t="s">
        <v>339</v>
      </c>
      <c r="B406" s="1" t="s">
        <v>1164</v>
      </c>
      <c r="C406" s="1" t="s">
        <v>1087</v>
      </c>
      <c r="D406" s="1" t="n">
        <v>299</v>
      </c>
      <c r="E406" s="1" t="n">
        <v>18.56</v>
      </c>
      <c r="F406" s="1" t="n">
        <f aca="false">22/5</f>
        <v>4.4</v>
      </c>
    </row>
    <row collapsed="false" customFormat="false" customHeight="false" hidden="false" ht="14.75" outlineLevel="0" r="407">
      <c r="A407" s="1" t="s">
        <v>564</v>
      </c>
      <c r="B407" s="1" t="s">
        <v>1164</v>
      </c>
      <c r="C407" s="1" t="s">
        <v>1087</v>
      </c>
      <c r="D407" s="1" t="n">
        <v>269</v>
      </c>
      <c r="E407" s="1" t="n">
        <v>15.19</v>
      </c>
      <c r="F407" s="1" t="n">
        <f aca="false">9/5</f>
        <v>1.8</v>
      </c>
    </row>
    <row collapsed="false" customFormat="false" customHeight="false" hidden="false" ht="14.75" outlineLevel="0" r="408">
      <c r="A408" s="1" t="s">
        <v>881</v>
      </c>
      <c r="B408" s="1" t="s">
        <v>1146</v>
      </c>
      <c r="C408" s="1" t="s">
        <v>1087</v>
      </c>
      <c r="D408" s="1" t="n">
        <v>130.7</v>
      </c>
      <c r="E408" s="1" t="n">
        <v>9.78</v>
      </c>
      <c r="F408" s="1" t="n">
        <f aca="false">9/7</f>
        <v>1.28571428571429</v>
      </c>
    </row>
    <row collapsed="false" customFormat="false" customHeight="false" hidden="false" ht="14.75" outlineLevel="0" r="409">
      <c r="A409" s="1" t="s">
        <v>1195</v>
      </c>
      <c r="B409" s="1" t="s">
        <v>1101</v>
      </c>
      <c r="C409" s="1" t="s">
        <v>1087</v>
      </c>
      <c r="D409" s="1" t="n">
        <v>175</v>
      </c>
      <c r="E409" s="1" t="n">
        <v>9.54</v>
      </c>
      <c r="F409" s="1" t="n">
        <v>0.375</v>
      </c>
    </row>
    <row collapsed="false" customFormat="false" customHeight="false" hidden="false" ht="14.75" outlineLevel="0" r="410">
      <c r="A410" s="1" t="s">
        <v>1196</v>
      </c>
      <c r="B410" s="1" t="s">
        <v>1101</v>
      </c>
      <c r="C410" s="1" t="s">
        <v>1087</v>
      </c>
      <c r="D410" s="1" t="n">
        <v>90.6</v>
      </c>
      <c r="E410" s="1" t="n">
        <v>5.71</v>
      </c>
      <c r="F410" s="1" t="n">
        <v>0.125</v>
      </c>
    </row>
    <row collapsed="false" customFormat="false" customHeight="false" hidden="false" ht="14.75" outlineLevel="0" r="411">
      <c r="A411" s="1" t="s">
        <v>1197</v>
      </c>
      <c r="B411" s="1" t="s">
        <v>1134</v>
      </c>
      <c r="C411" s="1" t="s">
        <v>1087</v>
      </c>
      <c r="D411" s="1" t="n">
        <v>180.5</v>
      </c>
      <c r="E411" s="1" t="n">
        <v>12.68</v>
      </c>
      <c r="F411" s="1" t="n">
        <v>1.2</v>
      </c>
    </row>
    <row collapsed="false" customFormat="false" customHeight="false" hidden="false" ht="14.75" outlineLevel="0" r="412">
      <c r="A412" s="1" t="s">
        <v>1198</v>
      </c>
      <c r="B412" s="1" t="s">
        <v>1134</v>
      </c>
      <c r="C412" s="1" t="s">
        <v>1087</v>
      </c>
      <c r="D412" s="1" t="n">
        <v>76</v>
      </c>
      <c r="E412" s="1" t="n">
        <v>7.67</v>
      </c>
      <c r="F412" s="1" t="n">
        <v>0.3</v>
      </c>
    </row>
    <row collapsed="false" customFormat="false" customHeight="false" hidden="false" ht="14.75" outlineLevel="0" r="413">
      <c r="A413" s="1" t="s">
        <v>1199</v>
      </c>
      <c r="B413" s="1" t="s">
        <v>1086</v>
      </c>
      <c r="C413" s="1" t="s">
        <v>1087</v>
      </c>
      <c r="D413" s="1" t="n">
        <v>208.6</v>
      </c>
      <c r="E413" s="1" t="n">
        <v>13.12</v>
      </c>
      <c r="F413" s="1" t="n">
        <f aca="false">8/7</f>
        <v>1.14285714285714</v>
      </c>
    </row>
    <row collapsed="false" customFormat="false" customHeight="false" hidden="false" ht="14.75" outlineLevel="0" r="414">
      <c r="A414" s="1" t="s">
        <v>1200</v>
      </c>
      <c r="B414" s="1" t="s">
        <v>1101</v>
      </c>
      <c r="C414" s="1" t="s">
        <v>1087</v>
      </c>
      <c r="D414" s="1" t="n">
        <v>250</v>
      </c>
      <c r="E414" s="1" t="n">
        <v>12.05</v>
      </c>
      <c r="F414" s="1" t="n">
        <v>1.375</v>
      </c>
    </row>
    <row collapsed="false" customFormat="false" customHeight="false" hidden="false" ht="14.75" outlineLevel="0" r="415">
      <c r="A415" s="1" t="s">
        <v>1201</v>
      </c>
      <c r="B415" s="1" t="s">
        <v>1101</v>
      </c>
      <c r="C415" s="1" t="s">
        <v>1087</v>
      </c>
      <c r="D415" s="1" t="n">
        <v>112.5</v>
      </c>
      <c r="E415" s="1" t="n">
        <v>7.14</v>
      </c>
      <c r="F415" s="1" t="n">
        <v>0.25</v>
      </c>
    </row>
    <row collapsed="false" customFormat="false" customHeight="false" hidden="false" ht="14.75" outlineLevel="0" r="416">
      <c r="A416" s="1" t="s">
        <v>1202</v>
      </c>
      <c r="B416" s="1" t="s">
        <v>1093</v>
      </c>
      <c r="C416" s="1" t="s">
        <v>1087</v>
      </c>
      <c r="D416" s="1" t="n">
        <v>196.4</v>
      </c>
      <c r="E416" s="1" t="n">
        <v>12.38</v>
      </c>
      <c r="F416" s="1" t="n">
        <f aca="false">4/7</f>
        <v>0.571428571428571</v>
      </c>
    </row>
    <row collapsed="false" customFormat="false" customHeight="false" hidden="false" ht="14.75" outlineLevel="0" r="417">
      <c r="A417" s="1" t="s">
        <v>1203</v>
      </c>
      <c r="B417" s="1" t="s">
        <v>1093</v>
      </c>
      <c r="C417" s="1" t="s">
        <v>1087</v>
      </c>
      <c r="D417" s="1" t="n">
        <v>197.9</v>
      </c>
      <c r="E417" s="1" t="n">
        <v>12.87</v>
      </c>
      <c r="F417" s="1" t="n">
        <f aca="false">6/7</f>
        <v>0.857142857142857</v>
      </c>
    </row>
    <row collapsed="false" customFormat="false" customHeight="false" hidden="false" ht="14.75" outlineLevel="0" r="418">
      <c r="A418" s="1" t="s">
        <v>885</v>
      </c>
      <c r="B418" s="1" t="s">
        <v>1086</v>
      </c>
      <c r="C418" s="1" t="s">
        <v>1087</v>
      </c>
      <c r="D418" s="1" t="n">
        <v>229.2</v>
      </c>
      <c r="E418" s="1" t="n">
        <v>12.7</v>
      </c>
      <c r="F418" s="1" t="n">
        <v>1</v>
      </c>
    </row>
    <row collapsed="false" customFormat="false" customHeight="false" hidden="false" ht="14.75" outlineLevel="0" r="419">
      <c r="A419" s="1" t="s">
        <v>211</v>
      </c>
      <c r="B419" s="1" t="s">
        <v>1097</v>
      </c>
      <c r="C419" s="1" t="s">
        <v>1087</v>
      </c>
      <c r="D419" s="1" t="n">
        <v>523.8</v>
      </c>
      <c r="E419" s="1" t="n">
        <v>24.36</v>
      </c>
      <c r="F419" s="1" t="n">
        <f aca="false">99/12</f>
        <v>8.25</v>
      </c>
    </row>
    <row collapsed="false" customFormat="false" customHeight="false" hidden="false" ht="14.75" outlineLevel="0" r="420">
      <c r="A420" s="1" t="s">
        <v>212</v>
      </c>
      <c r="B420" s="1" t="s">
        <v>1097</v>
      </c>
      <c r="C420" s="1" t="s">
        <v>1087</v>
      </c>
      <c r="D420" s="1" t="n">
        <v>282.3</v>
      </c>
      <c r="E420" s="1" t="n">
        <v>16.27</v>
      </c>
      <c r="F420" s="1" t="n">
        <f aca="false">29/11</f>
        <v>2.63636363636364</v>
      </c>
    </row>
    <row collapsed="false" customFormat="false" customHeight="false" hidden="false" ht="14.75" outlineLevel="0" r="421">
      <c r="A421" s="1" t="s">
        <v>213</v>
      </c>
      <c r="B421" s="1" t="s">
        <v>1097</v>
      </c>
      <c r="C421" s="1" t="s">
        <v>1087</v>
      </c>
      <c r="D421" s="1" t="n">
        <v>125.7</v>
      </c>
      <c r="E421" s="1" t="n">
        <v>9.35</v>
      </c>
      <c r="F421" s="1" t="n">
        <f aca="false">3/7</f>
        <v>0.428571428571429</v>
      </c>
    </row>
    <row collapsed="false" customFormat="false" customHeight="false" hidden="false" ht="14.75" outlineLevel="0" r="422">
      <c r="A422" s="1" t="s">
        <v>214</v>
      </c>
      <c r="B422" s="1" t="s">
        <v>1097</v>
      </c>
      <c r="C422" s="1" t="s">
        <v>1087</v>
      </c>
      <c r="D422" s="1" t="n">
        <v>126.4</v>
      </c>
      <c r="E422" s="1" t="n">
        <v>9.57</v>
      </c>
      <c r="F422" s="1" t="n">
        <f aca="false">4/7</f>
        <v>0.571428571428571</v>
      </c>
    </row>
    <row collapsed="false" customFormat="false" customHeight="false" hidden="false" ht="14.75" outlineLevel="0" r="423">
      <c r="A423" s="1" t="s">
        <v>1204</v>
      </c>
      <c r="B423" s="1" t="s">
        <v>1101</v>
      </c>
      <c r="C423" s="1" t="s">
        <v>1087</v>
      </c>
      <c r="D423" s="1" t="n">
        <v>150</v>
      </c>
      <c r="E423" s="1" t="n">
        <v>7.86</v>
      </c>
      <c r="F423" s="1" t="n">
        <v>0.75</v>
      </c>
    </row>
    <row collapsed="false" customFormat="false" customHeight="false" hidden="false" ht="14.75" outlineLevel="0" r="424">
      <c r="A424" s="1" t="s">
        <v>343</v>
      </c>
      <c r="B424" s="1" t="s">
        <v>1100</v>
      </c>
      <c r="C424" s="1" t="s">
        <v>1087</v>
      </c>
      <c r="D424" s="1" t="n">
        <v>596.7</v>
      </c>
      <c r="E424" s="1" t="n">
        <v>24.85</v>
      </c>
      <c r="F424" s="1" t="n">
        <f aca="false">86/9</f>
        <v>9.55555555555556</v>
      </c>
    </row>
    <row collapsed="false" customFormat="false" customHeight="false" hidden="false" ht="14.75" outlineLevel="0" r="425">
      <c r="A425" s="1" t="s">
        <v>344</v>
      </c>
      <c r="B425" s="1" t="s">
        <v>1100</v>
      </c>
      <c r="C425" s="1" t="s">
        <v>1087</v>
      </c>
      <c r="D425" s="1" t="n">
        <v>415.6</v>
      </c>
      <c r="E425" s="1" t="n">
        <v>20.71</v>
      </c>
      <c r="F425" s="1" t="n">
        <f aca="false">50/9</f>
        <v>5.55555555555556</v>
      </c>
    </row>
    <row collapsed="false" customFormat="false" customHeight="false" hidden="false" ht="14.75" outlineLevel="0" r="426">
      <c r="A426" s="1" t="s">
        <v>466</v>
      </c>
      <c r="B426" s="1" t="s">
        <v>1101</v>
      </c>
      <c r="C426" s="1" t="s">
        <v>1087</v>
      </c>
      <c r="D426" s="1" t="n">
        <v>257.5</v>
      </c>
      <c r="E426" s="1" t="n">
        <v>13.78</v>
      </c>
      <c r="F426" s="1" t="n">
        <v>1.25</v>
      </c>
    </row>
    <row collapsed="false" customFormat="false" customHeight="false" hidden="false" ht="14.75" outlineLevel="0" r="427">
      <c r="A427" s="1" t="s">
        <v>1031</v>
      </c>
      <c r="B427" s="1" t="s">
        <v>1086</v>
      </c>
      <c r="C427" s="1" t="s">
        <v>1087</v>
      </c>
      <c r="D427" s="1" t="n">
        <v>178.6</v>
      </c>
      <c r="E427" s="1" t="n">
        <v>13.82</v>
      </c>
      <c r="F427" s="1" t="n">
        <f aca="false">10/7</f>
        <v>1.42857142857143</v>
      </c>
    </row>
    <row collapsed="false" customFormat="false" customHeight="false" hidden="false" ht="14.75" outlineLevel="0" r="428">
      <c r="A428" s="1" t="s">
        <v>566</v>
      </c>
      <c r="B428" s="1" t="s">
        <v>1127</v>
      </c>
      <c r="C428" s="1" t="s">
        <v>1087</v>
      </c>
      <c r="D428" s="1" t="n">
        <v>307</v>
      </c>
      <c r="E428" s="1" t="n">
        <v>17.16</v>
      </c>
      <c r="F428" s="1" t="n">
        <v>4</v>
      </c>
    </row>
    <row collapsed="false" customFormat="false" customHeight="false" hidden="false" ht="14.75" outlineLevel="0" r="429">
      <c r="A429" s="1" t="s">
        <v>567</v>
      </c>
      <c r="B429" s="1" t="s">
        <v>1127</v>
      </c>
      <c r="C429" s="1" t="s">
        <v>1087</v>
      </c>
      <c r="D429" s="1" t="n">
        <v>247.8</v>
      </c>
      <c r="E429" s="1" t="n">
        <v>18.83</v>
      </c>
      <c r="F429" s="1" t="n">
        <f aca="false">16/9</f>
        <v>1.77777777777778</v>
      </c>
    </row>
    <row collapsed="false" customFormat="false" customHeight="false" hidden="false" ht="14.75" outlineLevel="0" r="430">
      <c r="A430" s="1" t="s">
        <v>345</v>
      </c>
      <c r="B430" s="1" t="s">
        <v>1097</v>
      </c>
      <c r="C430" s="1" t="s">
        <v>1087</v>
      </c>
      <c r="D430" s="1" t="n">
        <v>239.5</v>
      </c>
      <c r="E430" s="1" t="n">
        <v>13.8</v>
      </c>
      <c r="F430" s="1" t="n">
        <f aca="false">24/10</f>
        <v>2.4</v>
      </c>
    </row>
    <row collapsed="false" customFormat="false" customHeight="false" hidden="false" ht="14.75" outlineLevel="0" r="431">
      <c r="A431" s="1" t="s">
        <v>1205</v>
      </c>
      <c r="B431" s="1" t="s">
        <v>1119</v>
      </c>
      <c r="C431" s="1" t="s">
        <v>1087</v>
      </c>
      <c r="D431" s="1" t="n">
        <v>134</v>
      </c>
      <c r="E431" s="1" t="n">
        <v>8.24</v>
      </c>
      <c r="F431" s="1" t="n">
        <v>0.8</v>
      </c>
    </row>
    <row collapsed="false" customFormat="false" customHeight="false" hidden="false" ht="14.75" outlineLevel="0" r="432">
      <c r="A432" s="1" t="s">
        <v>1206</v>
      </c>
      <c r="B432" s="1" t="s">
        <v>1119</v>
      </c>
      <c r="C432" s="1" t="s">
        <v>1087</v>
      </c>
      <c r="D432" s="1" t="n">
        <v>98</v>
      </c>
      <c r="E432" s="1" t="n">
        <v>5.71</v>
      </c>
      <c r="F432" s="1" t="n">
        <v>0.4</v>
      </c>
    </row>
    <row collapsed="false" customFormat="false" customHeight="false" hidden="false" ht="14.75" outlineLevel="0" r="433">
      <c r="A433" s="1" t="s">
        <v>1207</v>
      </c>
      <c r="B433" s="1" t="s">
        <v>1101</v>
      </c>
      <c r="C433" s="1" t="s">
        <v>1087</v>
      </c>
      <c r="D433" s="1" t="n">
        <v>165.6</v>
      </c>
      <c r="E433" s="1" t="n">
        <v>8.07</v>
      </c>
      <c r="F433" s="1" t="n">
        <v>1.125</v>
      </c>
    </row>
    <row collapsed="false" customFormat="false" customHeight="false" hidden="false" ht="14.75" outlineLevel="0" r="434">
      <c r="A434" s="1" t="s">
        <v>1208</v>
      </c>
      <c r="B434" s="1" t="s">
        <v>1086</v>
      </c>
      <c r="C434" s="1" t="s">
        <v>1087</v>
      </c>
      <c r="D434" s="1" t="n">
        <v>314</v>
      </c>
      <c r="E434" s="1" t="n">
        <v>17.77</v>
      </c>
      <c r="F434" s="1" t="n">
        <v>2</v>
      </c>
    </row>
    <row collapsed="false" customFormat="false" customHeight="false" hidden="false" ht="14.75" outlineLevel="0" r="435">
      <c r="A435" s="1" t="s">
        <v>1209</v>
      </c>
      <c r="B435" s="1" t="s">
        <v>1086</v>
      </c>
      <c r="C435" s="1" t="s">
        <v>1087</v>
      </c>
      <c r="D435" s="1" t="n">
        <v>195.8</v>
      </c>
      <c r="E435" s="1" t="n">
        <v>11.55</v>
      </c>
      <c r="F435" s="1" t="n">
        <f aca="false">5/6</f>
        <v>0.833333333333333</v>
      </c>
    </row>
    <row collapsed="false" customFormat="false" customHeight="false" hidden="false" ht="14.75" outlineLevel="0" r="436">
      <c r="A436" s="1" t="s">
        <v>1210</v>
      </c>
      <c r="B436" s="1" t="s">
        <v>1101</v>
      </c>
      <c r="C436" s="1" t="s">
        <v>1087</v>
      </c>
      <c r="D436" s="1" t="n">
        <v>279.4</v>
      </c>
      <c r="E436" s="1" t="n">
        <v>14.67</v>
      </c>
      <c r="F436" s="1" t="n">
        <v>1.5</v>
      </c>
    </row>
    <row collapsed="false" customFormat="false" customHeight="false" hidden="false" ht="14.75" outlineLevel="0" r="437">
      <c r="A437" s="1" t="s">
        <v>895</v>
      </c>
      <c r="B437" s="1" t="s">
        <v>1119</v>
      </c>
      <c r="C437" s="1" t="s">
        <v>1087</v>
      </c>
      <c r="D437" s="1" t="n">
        <v>67.5</v>
      </c>
      <c r="E437" s="1" t="n">
        <v>5.8</v>
      </c>
      <c r="F437" s="1" t="n">
        <v>0.1</v>
      </c>
    </row>
    <row collapsed="false" customFormat="false" customHeight="false" hidden="false" ht="14.75" outlineLevel="0" r="438">
      <c r="A438" s="1" t="s">
        <v>896</v>
      </c>
      <c r="B438" s="1" t="s">
        <v>1119</v>
      </c>
      <c r="C438" s="1" t="s">
        <v>1087</v>
      </c>
      <c r="D438" s="1" t="n">
        <v>49.5</v>
      </c>
      <c r="E438" s="1" t="n">
        <v>3.16</v>
      </c>
      <c r="F438" s="1" t="n">
        <v>0.1</v>
      </c>
    </row>
    <row collapsed="false" customFormat="false" customHeight="false" hidden="false" ht="14.75" outlineLevel="0" r="439">
      <c r="A439" s="1" t="s">
        <v>1211</v>
      </c>
      <c r="B439" s="1" t="s">
        <v>1119</v>
      </c>
      <c r="C439" s="1" t="s">
        <v>1087</v>
      </c>
      <c r="D439" s="1" t="n">
        <v>46.5</v>
      </c>
      <c r="E439" s="1" t="n">
        <v>2.7</v>
      </c>
      <c r="F439" s="1" t="n">
        <v>0</v>
      </c>
    </row>
    <row collapsed="false" customFormat="false" customHeight="false" hidden="false" ht="14.75" outlineLevel="0" r="440">
      <c r="A440" s="1" t="s">
        <v>897</v>
      </c>
      <c r="B440" s="1" t="s">
        <v>1164</v>
      </c>
      <c r="C440" s="1" t="s">
        <v>1087</v>
      </c>
      <c r="D440" s="1" t="n">
        <v>117</v>
      </c>
      <c r="E440" s="1" t="n">
        <v>10.32</v>
      </c>
      <c r="F440" s="1" t="n">
        <v>0.2</v>
      </c>
    </row>
    <row collapsed="false" customFormat="false" customHeight="false" hidden="false" ht="14.75" outlineLevel="0" r="441">
      <c r="A441" s="1" t="s">
        <v>898</v>
      </c>
      <c r="B441" s="1" t="s">
        <v>1164</v>
      </c>
      <c r="C441" s="1" t="s">
        <v>1087</v>
      </c>
      <c r="D441" s="1" t="n">
        <v>118</v>
      </c>
      <c r="E441" s="1" t="n">
        <v>8.24</v>
      </c>
      <c r="F441" s="1" t="n">
        <v>0</v>
      </c>
    </row>
    <row collapsed="false" customFormat="false" customHeight="false" hidden="false" ht="14.75" outlineLevel="0" r="442">
      <c r="A442" s="1" t="s">
        <v>1212</v>
      </c>
      <c r="B442" s="1" t="s">
        <v>1093</v>
      </c>
      <c r="C442" s="1" t="s">
        <v>1087</v>
      </c>
      <c r="D442" s="1" t="n">
        <v>256.5</v>
      </c>
      <c r="E442" s="1" t="n">
        <v>14.67</v>
      </c>
      <c r="F442" s="1" t="n">
        <v>2</v>
      </c>
    </row>
    <row collapsed="false" customFormat="false" customHeight="false" hidden="false" ht="14.75" outlineLevel="0" r="443">
      <c r="A443" s="1" t="s">
        <v>1213</v>
      </c>
      <c r="B443" s="1" t="s">
        <v>1093</v>
      </c>
      <c r="C443" s="1" t="s">
        <v>1087</v>
      </c>
      <c r="D443" s="1" t="n">
        <v>152.5</v>
      </c>
      <c r="E443" s="1" t="n">
        <v>9.58</v>
      </c>
      <c r="F443" s="1" t="n">
        <v>0.5</v>
      </c>
    </row>
    <row collapsed="false" customFormat="false" customHeight="false" hidden="false" ht="14.75" outlineLevel="0" r="444">
      <c r="A444" s="1" t="s">
        <v>1035</v>
      </c>
      <c r="B444" s="1" t="s">
        <v>1146</v>
      </c>
      <c r="C444" s="1" t="s">
        <v>1087</v>
      </c>
      <c r="D444" s="1" t="n">
        <v>110.8</v>
      </c>
      <c r="E444" s="1" t="n">
        <v>7.25</v>
      </c>
      <c r="F444" s="1" t="n">
        <f aca="false">3/7</f>
        <v>0.428571428571429</v>
      </c>
    </row>
    <row collapsed="false" customFormat="false" customHeight="false" hidden="false" ht="14.75" outlineLevel="0" r="445">
      <c r="A445" s="1" t="s">
        <v>1214</v>
      </c>
      <c r="B445" s="1" t="s">
        <v>1127</v>
      </c>
      <c r="C445" s="1" t="s">
        <v>1087</v>
      </c>
      <c r="D445" s="1" t="n">
        <v>170</v>
      </c>
      <c r="E445" s="1" t="n">
        <v>14.31</v>
      </c>
      <c r="F445" s="1" t="n">
        <f aca="false">12/8</f>
        <v>1.5</v>
      </c>
    </row>
    <row collapsed="false" customFormat="false" customHeight="false" hidden="false" ht="14.75" outlineLevel="0" r="446">
      <c r="A446" s="1" t="s">
        <v>1215</v>
      </c>
      <c r="B446" s="1" t="s">
        <v>1127</v>
      </c>
      <c r="C446" s="1" t="s">
        <v>1087</v>
      </c>
      <c r="D446" s="1" t="n">
        <v>366.5</v>
      </c>
      <c r="E446" s="1" t="n">
        <v>21.49</v>
      </c>
      <c r="F446" s="1" t="n">
        <v>2.9</v>
      </c>
    </row>
    <row collapsed="false" customFormat="false" customHeight="false" hidden="false" ht="14.75" outlineLevel="0" r="447">
      <c r="A447" s="1" t="s">
        <v>1216</v>
      </c>
      <c r="B447" s="1" t="s">
        <v>1127</v>
      </c>
      <c r="C447" s="1" t="s">
        <v>1087</v>
      </c>
      <c r="D447" s="1" t="n">
        <v>132.5</v>
      </c>
      <c r="E447" s="1" t="n">
        <v>10.47</v>
      </c>
      <c r="F447" s="1" t="n">
        <f aca="false">3/8</f>
        <v>0.375</v>
      </c>
    </row>
    <row collapsed="false" customFormat="false" customHeight="false" hidden="false" ht="14.75" outlineLevel="0" r="448">
      <c r="A448" s="1" t="s">
        <v>348</v>
      </c>
      <c r="B448" s="1" t="s">
        <v>1164</v>
      </c>
      <c r="C448" s="1" t="s">
        <v>1087</v>
      </c>
      <c r="D448" s="1" t="n">
        <v>590</v>
      </c>
      <c r="E448" s="1" t="n">
        <v>23.06</v>
      </c>
      <c r="F448" s="1" t="n">
        <f aca="false">36/5</f>
        <v>7.2</v>
      </c>
    </row>
    <row collapsed="false" customFormat="false" customHeight="false" hidden="false" ht="14.75" outlineLevel="0" r="449">
      <c r="A449" s="1" t="s">
        <v>349</v>
      </c>
      <c r="B449" s="1" t="s">
        <v>1164</v>
      </c>
      <c r="C449" s="1" t="s">
        <v>1087</v>
      </c>
      <c r="D449" s="1" t="n">
        <v>253</v>
      </c>
      <c r="E449" s="1" t="n">
        <v>14.52</v>
      </c>
      <c r="F449" s="1" t="n">
        <f aca="false">8/5</f>
        <v>1.6</v>
      </c>
    </row>
    <row collapsed="false" customFormat="false" customHeight="false" hidden="false" ht="14.75" outlineLevel="0" r="450">
      <c r="A450" s="1" t="s">
        <v>350</v>
      </c>
      <c r="B450" s="1" t="s">
        <v>1164</v>
      </c>
      <c r="C450" s="1" t="s">
        <v>1087</v>
      </c>
      <c r="D450" s="1" t="n">
        <v>159</v>
      </c>
      <c r="E450" s="1" t="n">
        <v>8.6</v>
      </c>
      <c r="F450" s="1" t="n">
        <f aca="false">8/5</f>
        <v>1.6</v>
      </c>
    </row>
    <row collapsed="false" customFormat="false" customHeight="false" hidden="false" ht="14.75" outlineLevel="0" r="451">
      <c r="A451" s="1" t="s">
        <v>1217</v>
      </c>
      <c r="B451" s="1" t="s">
        <v>1101</v>
      </c>
      <c r="C451" s="1" t="s">
        <v>1087</v>
      </c>
      <c r="D451" s="1" t="n">
        <v>367.5</v>
      </c>
      <c r="E451" s="1" t="n">
        <v>17.18</v>
      </c>
      <c r="F451" s="1" t="n">
        <f aca="false">27/8</f>
        <v>3.375</v>
      </c>
    </row>
    <row collapsed="false" customFormat="false" customHeight="false" hidden="false" ht="14.75" outlineLevel="0" r="452">
      <c r="A452" s="1" t="s">
        <v>1218</v>
      </c>
      <c r="B452" s="1" t="s">
        <v>1101</v>
      </c>
      <c r="C452" s="1" t="s">
        <v>1087</v>
      </c>
      <c r="D452" s="1" t="n">
        <v>175.6</v>
      </c>
      <c r="E452" s="1" t="n">
        <v>10.61</v>
      </c>
      <c r="F452" s="1" t="n">
        <v>0.25</v>
      </c>
    </row>
    <row collapsed="false" customFormat="false" customHeight="false" hidden="false" ht="14.75" outlineLevel="0" r="453">
      <c r="A453" s="1" t="s">
        <v>1219</v>
      </c>
      <c r="B453" s="1" t="s">
        <v>1086</v>
      </c>
      <c r="C453" s="1" t="s">
        <v>1087</v>
      </c>
      <c r="D453" s="1" t="n">
        <v>206.9</v>
      </c>
      <c r="E453" s="1" t="n">
        <v>14.37</v>
      </c>
      <c r="F453" s="1" t="n">
        <f aca="false">12/8</f>
        <v>1.5</v>
      </c>
    </row>
    <row collapsed="false" customFormat="false" customHeight="false" hidden="false" ht="14.75" outlineLevel="0" r="454">
      <c r="A454" s="1" t="s">
        <v>1220</v>
      </c>
      <c r="B454" s="1" t="s">
        <v>1086</v>
      </c>
      <c r="C454" s="1" t="s">
        <v>1087</v>
      </c>
      <c r="D454" s="1" t="n">
        <v>134.3</v>
      </c>
      <c r="E454" s="1" t="n">
        <v>10</v>
      </c>
      <c r="F454" s="1" t="n">
        <f aca="false">4/7</f>
        <v>0.571428571428571</v>
      </c>
    </row>
    <row collapsed="false" customFormat="false" customHeight="false" hidden="false" ht="14.75" outlineLevel="0" r="455">
      <c r="A455" s="1" t="s">
        <v>574</v>
      </c>
      <c r="B455" s="1" t="s">
        <v>1101</v>
      </c>
      <c r="C455" s="1" t="s">
        <v>1087</v>
      </c>
      <c r="D455" s="1" t="n">
        <v>362.5</v>
      </c>
      <c r="E455" s="1" t="n">
        <v>16.92</v>
      </c>
      <c r="F455" s="1" t="n">
        <v>2.5</v>
      </c>
    </row>
    <row collapsed="false" customFormat="false" customHeight="false" hidden="false" ht="14.75" outlineLevel="0" r="456">
      <c r="A456" s="1" t="s">
        <v>575</v>
      </c>
      <c r="B456" s="1" t="s">
        <v>1101</v>
      </c>
      <c r="C456" s="1" t="s">
        <v>1087</v>
      </c>
      <c r="D456" s="1" t="n">
        <v>234.4</v>
      </c>
      <c r="E456" s="1" t="n">
        <v>4.8</v>
      </c>
      <c r="F456" s="1" t="n">
        <v>1.875</v>
      </c>
    </row>
    <row collapsed="false" customFormat="false" customHeight="false" hidden="false" ht="14.75" outlineLevel="0" r="457">
      <c r="A457" s="1" t="s">
        <v>1221</v>
      </c>
      <c r="B457" s="1" t="s">
        <v>1101</v>
      </c>
      <c r="C457" s="1" t="s">
        <v>1087</v>
      </c>
      <c r="D457" s="1" t="n">
        <v>145.6</v>
      </c>
      <c r="E457" s="1" t="n">
        <v>7.92</v>
      </c>
      <c r="F457" s="1" t="n">
        <v>0.375</v>
      </c>
    </row>
    <row collapsed="false" customFormat="false" customHeight="false" hidden="false" ht="14.75" outlineLevel="0" r="458">
      <c r="A458" s="1" t="s">
        <v>352</v>
      </c>
      <c r="B458" s="1" t="s">
        <v>1100</v>
      </c>
      <c r="C458" s="1" t="s">
        <v>1087</v>
      </c>
      <c r="D458" s="1" t="n">
        <v>265.6</v>
      </c>
      <c r="E458" s="1" t="n">
        <v>14.62</v>
      </c>
      <c r="F458" s="1" t="n">
        <f aca="false">25/9</f>
        <v>2.77777777777778</v>
      </c>
    </row>
    <row collapsed="false" customFormat="false" customHeight="false" hidden="false" ht="14.75" outlineLevel="0" r="459">
      <c r="A459" s="1" t="s">
        <v>1222</v>
      </c>
      <c r="B459" s="1" t="s">
        <v>1121</v>
      </c>
      <c r="C459" s="1" t="s">
        <v>1087</v>
      </c>
      <c r="D459" s="1" t="n">
        <v>63.3</v>
      </c>
      <c r="E459" s="1" t="n">
        <v>4.71</v>
      </c>
      <c r="F459" s="1" t="s">
        <v>9</v>
      </c>
    </row>
    <row collapsed="false" customFormat="false" customHeight="false" hidden="false" ht="14.75" outlineLevel="0" r="460">
      <c r="A460" s="1" t="s">
        <v>1223</v>
      </c>
      <c r="B460" s="1" t="s">
        <v>1148</v>
      </c>
      <c r="C460" s="1" t="s">
        <v>1087</v>
      </c>
      <c r="D460" s="1" t="n">
        <v>302</v>
      </c>
      <c r="E460" s="1" t="n">
        <v>16.59</v>
      </c>
      <c r="F460" s="1" t="n">
        <v>2.5</v>
      </c>
    </row>
    <row collapsed="false" customFormat="false" customHeight="false" hidden="false" ht="14.75" outlineLevel="0" r="461">
      <c r="A461" s="1" t="s">
        <v>1224</v>
      </c>
      <c r="B461" s="1" t="s">
        <v>1148</v>
      </c>
      <c r="C461" s="1" t="s">
        <v>1087</v>
      </c>
      <c r="D461" s="1" t="n">
        <v>279.5</v>
      </c>
      <c r="E461" s="1" t="n">
        <v>16.42</v>
      </c>
      <c r="F461" s="1" t="n">
        <v>2.4</v>
      </c>
    </row>
    <row collapsed="false" customFormat="false" customHeight="false" hidden="false" ht="14.75" outlineLevel="0" r="462">
      <c r="A462" s="1" t="s">
        <v>1225</v>
      </c>
      <c r="B462" s="1" t="s">
        <v>1148</v>
      </c>
      <c r="C462" s="1" t="s">
        <v>1087</v>
      </c>
      <c r="D462" s="1" t="n">
        <v>103.6</v>
      </c>
      <c r="E462" s="1" t="n">
        <v>12.81</v>
      </c>
      <c r="F462" s="1" t="n">
        <f aca="false">6/7</f>
        <v>0.857142857142857</v>
      </c>
    </row>
    <row collapsed="false" customFormat="false" customHeight="false" hidden="false" ht="14.75" outlineLevel="0" r="463">
      <c r="A463" s="1" t="s">
        <v>1226</v>
      </c>
      <c r="B463" s="1" t="s">
        <v>1148</v>
      </c>
      <c r="C463" s="1" t="s">
        <v>1087</v>
      </c>
      <c r="D463" s="1" t="n">
        <v>94.3</v>
      </c>
      <c r="E463" s="1" t="n">
        <v>7.78</v>
      </c>
      <c r="F463" s="1" t="n">
        <v>1</v>
      </c>
    </row>
    <row collapsed="false" customFormat="false" customHeight="false" hidden="false" ht="14.75" outlineLevel="0" r="464">
      <c r="A464" s="1" t="s">
        <v>354</v>
      </c>
      <c r="B464" s="1" t="s">
        <v>1101</v>
      </c>
      <c r="C464" s="1" t="s">
        <v>1087</v>
      </c>
      <c r="D464" s="1" t="n">
        <v>226.2</v>
      </c>
      <c r="E464" s="1" t="n">
        <v>12.54</v>
      </c>
      <c r="F464" s="1" t="n">
        <v>1</v>
      </c>
    </row>
    <row collapsed="false" customFormat="false" customHeight="false" hidden="false" ht="14.75" outlineLevel="0" r="465">
      <c r="A465" s="1" t="s">
        <v>1227</v>
      </c>
      <c r="B465" s="1" t="s">
        <v>1127</v>
      </c>
      <c r="C465" s="1" t="s">
        <v>1087</v>
      </c>
      <c r="D465" s="1" t="n">
        <v>83.1</v>
      </c>
      <c r="E465" s="1" t="n">
        <v>8.42</v>
      </c>
      <c r="F465" s="1" t="n">
        <f aca="false">4/8</f>
        <v>0.5</v>
      </c>
    </row>
    <row collapsed="false" customFormat="false" customHeight="false" hidden="false" ht="14.75" outlineLevel="0" r="466">
      <c r="A466" s="1" t="s">
        <v>1228</v>
      </c>
      <c r="B466" s="1" t="s">
        <v>1097</v>
      </c>
      <c r="C466" s="1" t="s">
        <v>1087</v>
      </c>
      <c r="D466" s="1" t="n">
        <v>37</v>
      </c>
      <c r="E466" s="1" t="n">
        <v>3.33</v>
      </c>
      <c r="F466" s="1" t="n">
        <v>0</v>
      </c>
    </row>
    <row collapsed="false" customFormat="false" customHeight="false" hidden="false" ht="14.75" outlineLevel="0" r="467">
      <c r="A467" s="1" t="s">
        <v>1229</v>
      </c>
      <c r="B467" s="1" t="s">
        <v>1102</v>
      </c>
      <c r="C467" s="1" t="s">
        <v>1087</v>
      </c>
      <c r="D467" s="1" t="n">
        <v>130.5</v>
      </c>
      <c r="E467" s="1" t="n">
        <v>11.08</v>
      </c>
      <c r="F467" s="1" t="n">
        <v>1.3</v>
      </c>
    </row>
    <row collapsed="false" customFormat="false" customHeight="false" hidden="false" ht="14.75" outlineLevel="0" r="468">
      <c r="A468" s="1" t="s">
        <v>1230</v>
      </c>
      <c r="B468" s="1" t="s">
        <v>1102</v>
      </c>
      <c r="C468" s="1" t="s">
        <v>1087</v>
      </c>
      <c r="D468" s="1" t="n">
        <v>87</v>
      </c>
      <c r="E468" s="1" t="n">
        <v>7.8</v>
      </c>
      <c r="F468" s="1" t="n">
        <v>0.7</v>
      </c>
    </row>
    <row collapsed="false" customFormat="false" customHeight="false" hidden="false" ht="14.75" outlineLevel="0" r="469">
      <c r="A469" s="1" t="s">
        <v>19</v>
      </c>
      <c r="B469" s="1" t="s">
        <v>1100</v>
      </c>
      <c r="C469" s="1" t="s">
        <v>1087</v>
      </c>
      <c r="D469" s="1" t="n">
        <v>352</v>
      </c>
      <c r="E469" s="1" t="n">
        <v>20.11</v>
      </c>
      <c r="F469" s="1" t="n">
        <v>5.2</v>
      </c>
    </row>
    <row collapsed="false" customFormat="false" customHeight="false" hidden="false" ht="14.75" outlineLevel="0" r="470">
      <c r="A470" s="1" t="s">
        <v>20</v>
      </c>
      <c r="B470" s="1" t="s">
        <v>1100</v>
      </c>
      <c r="C470" s="1" t="s">
        <v>1087</v>
      </c>
      <c r="D470" s="1" t="n">
        <v>253.9</v>
      </c>
      <c r="E470" s="1" t="n">
        <v>15.2</v>
      </c>
      <c r="F470" s="1" t="n">
        <v>2</v>
      </c>
    </row>
    <row collapsed="false" customFormat="false" customHeight="false" hidden="false" ht="14.75" outlineLevel="0" r="471">
      <c r="A471" s="1" t="s">
        <v>149</v>
      </c>
      <c r="B471" s="1" t="s">
        <v>1101</v>
      </c>
      <c r="C471" s="1" t="s">
        <v>1087</v>
      </c>
      <c r="D471" s="1" t="n">
        <v>328.8</v>
      </c>
      <c r="E471" s="1" t="n">
        <v>16.17</v>
      </c>
      <c r="F471" s="1" t="n">
        <v>3.5</v>
      </c>
    </row>
    <row collapsed="false" customFormat="false" customHeight="false" hidden="false" ht="14.75" outlineLevel="0" r="472">
      <c r="A472" s="1" t="s">
        <v>694</v>
      </c>
      <c r="B472" s="1" t="s">
        <v>1187</v>
      </c>
      <c r="C472" s="1" t="s">
        <v>1087</v>
      </c>
      <c r="D472" s="1" t="n">
        <v>494.5</v>
      </c>
      <c r="E472" s="1" t="n">
        <v>21.18</v>
      </c>
      <c r="F472" s="1" t="n">
        <v>3.7</v>
      </c>
    </row>
    <row collapsed="false" customFormat="false" customHeight="false" hidden="false" ht="14.75" outlineLevel="0" r="473">
      <c r="A473" s="1" t="s">
        <v>695</v>
      </c>
      <c r="B473" s="1" t="s">
        <v>1187</v>
      </c>
      <c r="C473" s="1" t="s">
        <v>1087</v>
      </c>
      <c r="D473" s="1" t="n">
        <v>107.9</v>
      </c>
      <c r="E473" s="1" t="n">
        <v>8.87</v>
      </c>
      <c r="F473" s="1" t="n">
        <f aca="false">4/7</f>
        <v>0.571428571428571</v>
      </c>
    </row>
    <row collapsed="false" customFormat="false" customHeight="false" hidden="false" ht="14.75" outlineLevel="0" r="474">
      <c r="A474" s="1" t="s">
        <v>1231</v>
      </c>
      <c r="B474" s="1" t="s">
        <v>1110</v>
      </c>
      <c r="C474" s="1" t="s">
        <v>1087</v>
      </c>
      <c r="D474" s="1" t="n">
        <v>268.8</v>
      </c>
      <c r="E474" s="1" t="n">
        <v>13.21</v>
      </c>
      <c r="F474" s="1" t="n">
        <f aca="false">6/8</f>
        <v>0.75</v>
      </c>
    </row>
    <row collapsed="false" customFormat="false" customHeight="false" hidden="false" ht="14.75" outlineLevel="0" r="475">
      <c r="A475" s="1" t="s">
        <v>1232</v>
      </c>
      <c r="B475" s="1" t="s">
        <v>1110</v>
      </c>
      <c r="C475" s="1" t="s">
        <v>1087</v>
      </c>
      <c r="D475" s="1" t="n">
        <v>158.8</v>
      </c>
      <c r="E475" s="1" t="n">
        <v>8.07</v>
      </c>
      <c r="F475" s="1" t="n">
        <f aca="false">2/8</f>
        <v>0.25</v>
      </c>
    </row>
    <row collapsed="false" customFormat="false" customHeight="false" hidden="false" ht="14.75" outlineLevel="0" r="476">
      <c r="A476" s="1" t="s">
        <v>358</v>
      </c>
      <c r="B476" s="1" t="s">
        <v>1100</v>
      </c>
      <c r="C476" s="1" t="s">
        <v>1087</v>
      </c>
      <c r="D476" s="1" t="n">
        <v>276.7</v>
      </c>
      <c r="E476" s="1" t="n">
        <v>16.67</v>
      </c>
      <c r="F476" s="1" t="n">
        <f aca="false">28/9</f>
        <v>3.11111111111111</v>
      </c>
    </row>
    <row collapsed="false" customFormat="false" customHeight="false" hidden="false" ht="14.75" outlineLevel="0" r="477">
      <c r="A477" s="1" t="s">
        <v>359</v>
      </c>
      <c r="B477" s="1" t="s">
        <v>1101</v>
      </c>
      <c r="C477" s="1" t="s">
        <v>1087</v>
      </c>
      <c r="D477" s="1" t="n">
        <v>153.8</v>
      </c>
      <c r="E477" s="1" t="n">
        <v>10</v>
      </c>
      <c r="F477" s="1" t="n">
        <v>0.5</v>
      </c>
    </row>
    <row collapsed="false" customFormat="false" customHeight="false" hidden="false" ht="14.75" outlineLevel="0" r="478">
      <c r="A478" s="1" t="s">
        <v>1233</v>
      </c>
      <c r="B478" s="1" t="s">
        <v>1106</v>
      </c>
      <c r="C478" s="1" t="s">
        <v>1087</v>
      </c>
      <c r="D478" s="1" t="n">
        <v>265</v>
      </c>
      <c r="E478" s="1" t="n">
        <v>12.86</v>
      </c>
      <c r="F478" s="1" t="n">
        <f aca="false">11/9</f>
        <v>1.22222222222222</v>
      </c>
    </row>
    <row collapsed="false" customFormat="false" customHeight="false" hidden="false" ht="14.75" outlineLevel="0" r="479">
      <c r="A479" s="1" t="s">
        <v>1234</v>
      </c>
      <c r="B479" s="1" t="s">
        <v>1101</v>
      </c>
      <c r="C479" s="1" t="s">
        <v>1087</v>
      </c>
      <c r="D479" s="1" t="n">
        <v>175</v>
      </c>
      <c r="E479" s="1" t="n">
        <v>9.31</v>
      </c>
      <c r="F479" s="1" t="n">
        <v>1.125</v>
      </c>
    </row>
    <row collapsed="false" customFormat="false" customHeight="false" hidden="false" ht="14.75" outlineLevel="0" r="480">
      <c r="A480" s="1" t="s">
        <v>1235</v>
      </c>
      <c r="B480" s="1" t="s">
        <v>1089</v>
      </c>
      <c r="C480" s="1" t="s">
        <v>1087</v>
      </c>
      <c r="D480" s="1" t="n">
        <v>161.2</v>
      </c>
      <c r="E480" s="1" t="n">
        <v>10.4</v>
      </c>
      <c r="F480" s="1" t="n">
        <f aca="false">11/9</f>
        <v>1.22222222222222</v>
      </c>
    </row>
    <row collapsed="false" customFormat="false" customHeight="false" hidden="false" ht="14.75" outlineLevel="0" r="481">
      <c r="A481" s="1" t="s">
        <v>1236</v>
      </c>
      <c r="B481" s="1" t="s">
        <v>1089</v>
      </c>
      <c r="C481" s="1" t="s">
        <v>1087</v>
      </c>
      <c r="D481" s="1" t="n">
        <v>82.5</v>
      </c>
      <c r="E481" s="1" t="n">
        <v>6.34</v>
      </c>
      <c r="F481" s="1" t="n">
        <f aca="false">2/8</f>
        <v>0.25</v>
      </c>
    </row>
    <row collapsed="false" customFormat="false" customHeight="false" hidden="false" ht="14.75" outlineLevel="0" r="482">
      <c r="A482" s="1" t="s">
        <v>1237</v>
      </c>
      <c r="B482" s="1" t="s">
        <v>1093</v>
      </c>
      <c r="C482" s="1" t="s">
        <v>1087</v>
      </c>
      <c r="D482" s="1" t="n">
        <v>130.7</v>
      </c>
      <c r="E482" s="1" t="n">
        <v>9.68</v>
      </c>
      <c r="F482" s="1" t="n">
        <f aca="false">5/7</f>
        <v>0.714285714285714</v>
      </c>
    </row>
    <row collapsed="false" customFormat="false" customHeight="false" hidden="false" ht="14.75" outlineLevel="0" r="483">
      <c r="A483" s="1" t="s">
        <v>362</v>
      </c>
      <c r="B483" s="1" t="s">
        <v>1101</v>
      </c>
      <c r="C483" s="1" t="s">
        <v>1087</v>
      </c>
      <c r="D483" s="1" t="n">
        <v>134.4</v>
      </c>
      <c r="E483" s="1" t="n">
        <v>7.83</v>
      </c>
      <c r="F483" s="1" t="n">
        <v>0.5</v>
      </c>
    </row>
    <row collapsed="false" customFormat="false" customHeight="false" hidden="false" ht="14.75" outlineLevel="0" r="484">
      <c r="A484" s="1" t="s">
        <v>1238</v>
      </c>
      <c r="B484" s="1" t="s">
        <v>1112</v>
      </c>
      <c r="C484" s="1" t="s">
        <v>1087</v>
      </c>
      <c r="D484" s="1" t="n">
        <v>77.6</v>
      </c>
      <c r="E484" s="1" t="n">
        <v>7</v>
      </c>
      <c r="F484" s="1" t="s">
        <v>9</v>
      </c>
    </row>
    <row collapsed="false" customFormat="false" customHeight="false" hidden="false" ht="14.75" outlineLevel="0" r="485">
      <c r="A485" s="1" t="s">
        <v>1239</v>
      </c>
      <c r="B485" s="1" t="s">
        <v>1148</v>
      </c>
      <c r="C485" s="1" t="s">
        <v>1087</v>
      </c>
      <c r="D485" s="1" t="n">
        <v>162.8</v>
      </c>
      <c r="E485" s="1" t="n">
        <v>13.23</v>
      </c>
      <c r="F485" s="1" t="n">
        <f aca="false">12/9</f>
        <v>1.33333333333333</v>
      </c>
    </row>
    <row collapsed="false" customFormat="false" customHeight="false" hidden="false" ht="14.75" outlineLevel="0" r="486">
      <c r="A486" s="1" t="s">
        <v>1240</v>
      </c>
      <c r="B486" s="1" t="s">
        <v>1100</v>
      </c>
      <c r="C486" s="1" t="s">
        <v>1087</v>
      </c>
      <c r="D486" s="1" t="n">
        <v>188.9</v>
      </c>
      <c r="E486" s="1" t="n">
        <v>13.65</v>
      </c>
      <c r="F486" s="1" t="n">
        <f aca="false">13/9</f>
        <v>1.44444444444444</v>
      </c>
    </row>
    <row collapsed="false" customFormat="false" customHeight="false" hidden="false" ht="14.75" outlineLevel="0" r="487">
      <c r="A487" s="1" t="s">
        <v>1241</v>
      </c>
      <c r="B487" s="1" t="s">
        <v>1101</v>
      </c>
      <c r="C487" s="1" t="s">
        <v>1087</v>
      </c>
      <c r="D487" s="1" t="n">
        <v>80</v>
      </c>
      <c r="E487" s="1" t="n">
        <v>4.84</v>
      </c>
      <c r="F487" s="1" t="n">
        <v>0.625</v>
      </c>
    </row>
    <row collapsed="false" customFormat="false" customHeight="false" hidden="false" ht="14.75" outlineLevel="0" r="488">
      <c r="A488" s="1" t="s">
        <v>1242</v>
      </c>
      <c r="B488" s="1" t="s">
        <v>1093</v>
      </c>
      <c r="C488" s="1" t="s">
        <v>1087</v>
      </c>
      <c r="D488" s="1" t="n">
        <v>94.2</v>
      </c>
      <c r="E488" s="1" t="n">
        <v>9.31</v>
      </c>
      <c r="F488" s="1" t="n">
        <v>1</v>
      </c>
    </row>
    <row collapsed="false" customFormat="false" customHeight="false" hidden="false" ht="14.75" outlineLevel="0" r="489">
      <c r="A489" s="1" t="s">
        <v>1243</v>
      </c>
      <c r="B489" s="1" t="s">
        <v>1093</v>
      </c>
      <c r="C489" s="1" t="s">
        <v>1087</v>
      </c>
      <c r="D489" s="1" t="n">
        <v>66.7</v>
      </c>
      <c r="E489" s="1" t="n">
        <v>3.67</v>
      </c>
      <c r="F489" s="1" t="n">
        <f aca="false">1/6</f>
        <v>0.166666666666667</v>
      </c>
    </row>
    <row collapsed="false" customFormat="false" customHeight="false" hidden="false" ht="14.75" outlineLevel="0" r="490">
      <c r="A490" s="1" t="s">
        <v>1244</v>
      </c>
      <c r="B490" s="1" t="s">
        <v>1093</v>
      </c>
      <c r="C490" s="1" t="s">
        <v>1087</v>
      </c>
      <c r="D490" s="1" t="n">
        <v>103.3</v>
      </c>
      <c r="E490" s="1" t="n">
        <v>5.9</v>
      </c>
      <c r="F490" s="1" t="n">
        <v>0</v>
      </c>
    </row>
    <row collapsed="false" customFormat="false" customHeight="false" hidden="false" ht="14.75" outlineLevel="0" r="491">
      <c r="A491" s="1" t="s">
        <v>218</v>
      </c>
      <c r="B491" s="1" t="s">
        <v>1097</v>
      </c>
      <c r="C491" s="1" t="s">
        <v>1087</v>
      </c>
      <c r="D491" s="1" t="n">
        <v>235.9</v>
      </c>
      <c r="E491" s="1" t="n">
        <v>15.24</v>
      </c>
      <c r="F491" s="1" t="n">
        <f aca="false">29/11</f>
        <v>2.63636363636364</v>
      </c>
    </row>
    <row collapsed="false" customFormat="false" customHeight="false" hidden="false" ht="14.75" outlineLevel="0" r="492">
      <c r="A492" s="1" t="s">
        <v>219</v>
      </c>
      <c r="B492" s="1" t="s">
        <v>1097</v>
      </c>
      <c r="C492" s="1" t="s">
        <v>1087</v>
      </c>
      <c r="D492" s="1" t="n">
        <v>149</v>
      </c>
      <c r="E492" s="1" t="n">
        <v>9.81</v>
      </c>
      <c r="F492" s="1" t="n">
        <v>0.9</v>
      </c>
    </row>
    <row collapsed="false" customFormat="false" customHeight="false" hidden="false" ht="14.75" outlineLevel="0" r="493">
      <c r="A493" s="1" t="s">
        <v>1245</v>
      </c>
      <c r="B493" s="1" t="s">
        <v>1101</v>
      </c>
      <c r="C493" s="1" t="s">
        <v>1087</v>
      </c>
      <c r="D493" s="1" t="n">
        <v>156.2</v>
      </c>
      <c r="E493" s="1" t="n">
        <v>9.3</v>
      </c>
      <c r="F493" s="1" t="n">
        <v>0.75</v>
      </c>
    </row>
    <row collapsed="false" customFormat="false" customHeight="false" hidden="false" ht="14.75" outlineLevel="0" r="494">
      <c r="A494" s="1" t="s">
        <v>1246</v>
      </c>
      <c r="B494" s="1" t="s">
        <v>1101</v>
      </c>
      <c r="C494" s="1" t="s">
        <v>1087</v>
      </c>
      <c r="D494" s="1" t="n">
        <v>90.6</v>
      </c>
      <c r="E494" s="1" t="n">
        <v>5.13</v>
      </c>
      <c r="F494" s="1" t="n">
        <v>0.5</v>
      </c>
    </row>
    <row collapsed="false" customFormat="false" customHeight="false" hidden="false" ht="14.75" outlineLevel="0" r="495">
      <c r="A495" s="1" t="s">
        <v>1247</v>
      </c>
      <c r="B495" s="1" t="s">
        <v>1106</v>
      </c>
      <c r="C495" s="1" t="s">
        <v>1087</v>
      </c>
      <c r="D495" s="1" t="n">
        <v>198.1</v>
      </c>
      <c r="E495" s="1" t="n">
        <v>8.68</v>
      </c>
      <c r="F495" s="1" t="n">
        <f aca="false">11/8</f>
        <v>1.375</v>
      </c>
    </row>
    <row collapsed="false" customFormat="false" customHeight="false" hidden="false" ht="14.75" outlineLevel="0" r="496">
      <c r="A496" s="1" t="s">
        <v>155</v>
      </c>
      <c r="B496" s="1" t="s">
        <v>1110</v>
      </c>
      <c r="C496" s="1" t="s">
        <v>1087</v>
      </c>
      <c r="D496" s="1" t="n">
        <v>205</v>
      </c>
      <c r="E496" s="1" t="n">
        <v>11.19</v>
      </c>
      <c r="F496" s="1" t="n">
        <f aca="false">5/8</f>
        <v>0.625</v>
      </c>
    </row>
    <row collapsed="false" customFormat="false" customHeight="false" hidden="false" ht="14.75" outlineLevel="0" r="497">
      <c r="A497" s="1" t="s">
        <v>1248</v>
      </c>
      <c r="B497" s="1" t="s">
        <v>1106</v>
      </c>
      <c r="C497" s="1" t="s">
        <v>1087</v>
      </c>
      <c r="D497" s="1" t="n">
        <v>143.8</v>
      </c>
      <c r="E497" s="1" t="n">
        <v>8.67</v>
      </c>
      <c r="F497" s="1" t="n">
        <f aca="false">2/8</f>
        <v>0.25</v>
      </c>
    </row>
    <row collapsed="false" customFormat="false" customHeight="false" hidden="false" ht="14.75" outlineLevel="0" r="498">
      <c r="A498" s="1" t="s">
        <v>1249</v>
      </c>
      <c r="B498" s="1" t="s">
        <v>1086</v>
      </c>
      <c r="C498" s="1" t="s">
        <v>1087</v>
      </c>
      <c r="D498" s="1" t="n">
        <v>56.9</v>
      </c>
      <c r="E498" s="1" t="n">
        <v>4.52</v>
      </c>
      <c r="F498" s="1" t="n">
        <f aca="false">5/8</f>
        <v>0.625</v>
      </c>
    </row>
    <row collapsed="false" customFormat="false" customHeight="false" hidden="false" ht="14.75" outlineLevel="0" r="499">
      <c r="A499" s="1" t="s">
        <v>1250</v>
      </c>
      <c r="B499" s="1" t="s">
        <v>1086</v>
      </c>
      <c r="C499" s="1" t="s">
        <v>1087</v>
      </c>
      <c r="D499" s="1" t="n">
        <v>25.7</v>
      </c>
      <c r="E499" s="1" t="n">
        <v>2.67</v>
      </c>
      <c r="F499" s="1" t="n">
        <v>0</v>
      </c>
    </row>
    <row collapsed="false" customFormat="false" customHeight="false" hidden="false" ht="14.75" outlineLevel="0" r="500">
      <c r="A500" s="1" t="s">
        <v>1251</v>
      </c>
      <c r="B500" s="1" t="s">
        <v>1102</v>
      </c>
      <c r="C500" s="1" t="s">
        <v>1087</v>
      </c>
      <c r="D500" s="1" t="n">
        <v>32.5</v>
      </c>
      <c r="E500" s="1" t="n">
        <v>4.17</v>
      </c>
      <c r="F500" s="1" t="n">
        <v>0.1</v>
      </c>
    </row>
    <row collapsed="false" customFormat="false" customHeight="false" hidden="false" ht="14.75" outlineLevel="0" r="501">
      <c r="A501" s="1" t="s">
        <v>1252</v>
      </c>
      <c r="B501" s="1" t="s">
        <v>1097</v>
      </c>
      <c r="C501" s="1" t="s">
        <v>1087</v>
      </c>
      <c r="D501" s="1" t="n">
        <v>220</v>
      </c>
      <c r="E501" s="1" t="n">
        <v>12.43</v>
      </c>
      <c r="F501" s="1" t="n">
        <f aca="false">4/7</f>
        <v>0.571428571428571</v>
      </c>
    </row>
    <row collapsed="false" customFormat="false" customHeight="false" hidden="false" ht="14.75" outlineLevel="0" r="502">
      <c r="A502" s="1" t="s">
        <v>1253</v>
      </c>
      <c r="B502" s="1" t="s">
        <v>1097</v>
      </c>
      <c r="C502" s="1" t="s">
        <v>1087</v>
      </c>
      <c r="D502" s="1" t="n">
        <v>62.9</v>
      </c>
      <c r="E502" s="1" t="n">
        <v>5.33</v>
      </c>
      <c r="F502" s="1" t="n">
        <f aca="false">1/7</f>
        <v>0.142857142857143</v>
      </c>
    </row>
    <row collapsed="false" customFormat="false" customHeight="false" hidden="false" ht="14.75" outlineLevel="0" r="503">
      <c r="A503" s="1" t="s">
        <v>1254</v>
      </c>
      <c r="B503" s="1" t="s">
        <v>1097</v>
      </c>
      <c r="C503" s="1" t="s">
        <v>1087</v>
      </c>
      <c r="D503" s="1" t="n">
        <v>33.6</v>
      </c>
      <c r="E503" s="1" t="n">
        <v>4.5</v>
      </c>
      <c r="F503" s="1" t="n">
        <f aca="false">1/7</f>
        <v>0.142857142857143</v>
      </c>
    </row>
    <row collapsed="false" customFormat="false" customHeight="false" hidden="false" ht="14.75" outlineLevel="0" r="504">
      <c r="A504" s="1" t="s">
        <v>1255</v>
      </c>
      <c r="B504" s="1" t="s">
        <v>1097</v>
      </c>
      <c r="C504" s="1" t="s">
        <v>1087</v>
      </c>
      <c r="D504" s="1" t="n">
        <v>184.3</v>
      </c>
      <c r="E504" s="1" t="n">
        <v>9.7</v>
      </c>
      <c r="F504" s="1" t="n">
        <v>1</v>
      </c>
    </row>
    <row collapsed="false" customFormat="false" customHeight="false" hidden="false" ht="14.75" outlineLevel="0" r="505">
      <c r="A505" s="1" t="s">
        <v>584</v>
      </c>
      <c r="B505" s="1" t="s">
        <v>1101</v>
      </c>
      <c r="C505" s="1" t="s">
        <v>1087</v>
      </c>
      <c r="D505" s="1" t="n">
        <v>339.4</v>
      </c>
      <c r="E505" s="1" t="n">
        <v>15.44</v>
      </c>
      <c r="F505" s="1" t="n">
        <v>2.625</v>
      </c>
    </row>
    <row collapsed="false" customFormat="false" customHeight="false" hidden="false" ht="14.75" outlineLevel="0" r="506">
      <c r="A506" s="1" t="s">
        <v>585</v>
      </c>
      <c r="B506" s="1" t="s">
        <v>1101</v>
      </c>
      <c r="C506" s="1" t="s">
        <v>1087</v>
      </c>
      <c r="D506" s="1" t="n">
        <v>119.4</v>
      </c>
      <c r="E506" s="1" t="n">
        <v>7.05</v>
      </c>
      <c r="F506" s="1" t="n">
        <v>0.375</v>
      </c>
    </row>
    <row collapsed="false" customFormat="false" customHeight="false" hidden="false" ht="14.75" outlineLevel="0" r="507">
      <c r="A507" s="1" t="s">
        <v>158</v>
      </c>
      <c r="B507" s="1" t="s">
        <v>1134</v>
      </c>
      <c r="C507" s="1" t="s">
        <v>1087</v>
      </c>
      <c r="D507" s="1" t="n">
        <v>295</v>
      </c>
      <c r="E507" s="1" t="n">
        <v>16.18</v>
      </c>
      <c r="F507" s="1" t="n">
        <v>1.7</v>
      </c>
    </row>
    <row collapsed="false" customFormat="false" customHeight="false" hidden="false" ht="14.75" outlineLevel="0" r="508">
      <c r="A508" s="1" t="s">
        <v>159</v>
      </c>
      <c r="B508" s="1" t="s">
        <v>1134</v>
      </c>
      <c r="C508" s="1" t="s">
        <v>1087</v>
      </c>
      <c r="D508" s="1" t="n">
        <v>137.5</v>
      </c>
      <c r="E508" s="1" t="n">
        <v>11.41</v>
      </c>
      <c r="F508" s="1" t="n">
        <v>0.7</v>
      </c>
    </row>
    <row collapsed="false" customFormat="false" customHeight="false" hidden="false" ht="14.75" outlineLevel="0" r="509">
      <c r="A509" s="1" t="s">
        <v>163</v>
      </c>
      <c r="B509" s="1" t="s">
        <v>1100</v>
      </c>
      <c r="C509" s="1" t="s">
        <v>1087</v>
      </c>
      <c r="D509" s="1" t="n">
        <v>340</v>
      </c>
      <c r="E509" s="1" t="n">
        <v>20.36</v>
      </c>
      <c r="F509" s="1" t="n">
        <f aca="false">36/9</f>
        <v>4</v>
      </c>
    </row>
    <row collapsed="false" customFormat="false" customHeight="false" hidden="false" ht="14.75" outlineLevel="0" r="510">
      <c r="A510" s="1" t="s">
        <v>1256</v>
      </c>
      <c r="B510" s="1" t="s">
        <v>1089</v>
      </c>
      <c r="C510" s="1" t="s">
        <v>1087</v>
      </c>
      <c r="D510" s="1" t="n">
        <v>62.5</v>
      </c>
      <c r="E510" s="1" t="n">
        <v>5.3</v>
      </c>
      <c r="F510" s="1" t="n">
        <f aca="false">3/8</f>
        <v>0.375</v>
      </c>
    </row>
    <row collapsed="false" customFormat="false" customHeight="false" hidden="false" ht="14.75" outlineLevel="0" r="511">
      <c r="A511" s="1" t="s">
        <v>1257</v>
      </c>
      <c r="B511" s="1" t="s">
        <v>1089</v>
      </c>
      <c r="C511" s="1" t="s">
        <v>1087</v>
      </c>
      <c r="D511" s="1" t="n">
        <v>71.1</v>
      </c>
      <c r="E511" s="1" t="n">
        <v>6</v>
      </c>
      <c r="F511" s="1" t="n">
        <f aca="false">4/9</f>
        <v>0.444444444444444</v>
      </c>
    </row>
    <row collapsed="false" customFormat="false" customHeight="false" hidden="false" ht="14.75" outlineLevel="0" r="512">
      <c r="A512" s="1" t="s">
        <v>1258</v>
      </c>
      <c r="B512" s="1" t="s">
        <v>1127</v>
      </c>
      <c r="C512" s="1" t="s">
        <v>1087</v>
      </c>
      <c r="D512" s="1" t="n">
        <v>417</v>
      </c>
      <c r="E512" s="1" t="n">
        <v>21.01</v>
      </c>
      <c r="F512" s="1" t="n">
        <v>5.1</v>
      </c>
    </row>
    <row collapsed="false" customFormat="false" customHeight="false" hidden="false" ht="14.75" outlineLevel="0" r="513">
      <c r="A513" s="1" t="s">
        <v>1259</v>
      </c>
      <c r="B513" s="1" t="s">
        <v>1127</v>
      </c>
      <c r="C513" s="1" t="s">
        <v>1087</v>
      </c>
      <c r="D513" s="1" t="n">
        <v>235</v>
      </c>
      <c r="E513" s="1" t="n">
        <v>16.81</v>
      </c>
      <c r="F513" s="1" t="n">
        <f aca="false">14/9</f>
        <v>1.55555555555556</v>
      </c>
    </row>
    <row collapsed="false" customFormat="false" customHeight="false" hidden="false" ht="14.75" outlineLevel="0" r="514">
      <c r="A514" s="1" t="s">
        <v>478</v>
      </c>
      <c r="B514" s="1" t="s">
        <v>1086</v>
      </c>
      <c r="C514" s="1" t="s">
        <v>1087</v>
      </c>
      <c r="D514" s="1" t="n">
        <v>383.1</v>
      </c>
      <c r="E514" s="1" t="n">
        <v>18.49</v>
      </c>
      <c r="F514" s="1" t="n">
        <v>4</v>
      </c>
    </row>
    <row collapsed="false" customFormat="false" customHeight="false" hidden="false" ht="14.75" outlineLevel="0" r="515">
      <c r="A515" s="1" t="s">
        <v>1260</v>
      </c>
      <c r="B515" s="1" t="s">
        <v>1110</v>
      </c>
      <c r="C515" s="1" t="s">
        <v>1087</v>
      </c>
      <c r="D515" s="1" t="n">
        <v>178.8</v>
      </c>
      <c r="E515" s="1" t="n">
        <v>8.64</v>
      </c>
      <c r="F515" s="1" t="n">
        <f aca="false">6/8</f>
        <v>0.75</v>
      </c>
    </row>
    <row collapsed="false" customFormat="false" customHeight="false" hidden="false" ht="14.75" outlineLevel="0" r="516">
      <c r="A516" s="1" t="s">
        <v>915</v>
      </c>
      <c r="B516" s="1" t="s">
        <v>1146</v>
      </c>
      <c r="C516" s="1" t="s">
        <v>1087</v>
      </c>
      <c r="D516" s="1" t="n">
        <v>155</v>
      </c>
      <c r="E516" s="1" t="n">
        <v>7.3</v>
      </c>
      <c r="F516" s="1" t="n">
        <f aca="false">10/7</f>
        <v>1.42857142857143</v>
      </c>
    </row>
    <row collapsed="false" customFormat="false" customHeight="false" hidden="false" ht="14.75" outlineLevel="0" r="517">
      <c r="A517" s="1" t="s">
        <v>916</v>
      </c>
      <c r="B517" s="1" t="s">
        <v>1146</v>
      </c>
      <c r="C517" s="1" t="s">
        <v>1087</v>
      </c>
      <c r="D517" s="1" t="n">
        <v>196.9</v>
      </c>
      <c r="E517" s="1" t="n">
        <v>11.53</v>
      </c>
      <c r="F517" s="1" t="n">
        <f aca="false">12/8</f>
        <v>1.5</v>
      </c>
    </row>
    <row collapsed="false" customFormat="false" customHeight="false" hidden="false" ht="14.75" outlineLevel="0" r="518">
      <c r="A518" s="1" t="s">
        <v>264</v>
      </c>
      <c r="B518" s="1" t="s">
        <v>1102</v>
      </c>
      <c r="C518" s="1" t="s">
        <v>1087</v>
      </c>
      <c r="D518" s="1" t="n">
        <v>384.1</v>
      </c>
      <c r="E518" s="1" t="n">
        <v>19.5</v>
      </c>
      <c r="F518" s="1" t="n">
        <f aca="false">42/11</f>
        <v>3.81818181818182</v>
      </c>
    </row>
    <row collapsed="false" customFormat="false" customHeight="false" hidden="false" ht="14.75" outlineLevel="0" r="519">
      <c r="A519" s="1" t="s">
        <v>265</v>
      </c>
      <c r="B519" s="1" t="s">
        <v>1102</v>
      </c>
      <c r="C519" s="1" t="s">
        <v>1087</v>
      </c>
      <c r="D519" s="1" t="n">
        <v>59</v>
      </c>
      <c r="E519" s="1" t="n">
        <v>3.86</v>
      </c>
      <c r="F519" s="1" t="n">
        <v>0.3</v>
      </c>
    </row>
    <row collapsed="false" customFormat="false" customHeight="false" hidden="false" ht="14.75" outlineLevel="0" r="520">
      <c r="A520" s="1" t="s">
        <v>1261</v>
      </c>
      <c r="B520" s="1" t="s">
        <v>1102</v>
      </c>
      <c r="C520" s="1" t="s">
        <v>1087</v>
      </c>
      <c r="D520" s="1" t="n">
        <v>40.5</v>
      </c>
      <c r="E520" s="1" t="n">
        <v>3.67</v>
      </c>
      <c r="F520" s="1" t="n">
        <v>0.1</v>
      </c>
    </row>
    <row collapsed="false" customFormat="false" customHeight="false" hidden="false" ht="14.75" outlineLevel="0" r="521">
      <c r="A521" s="1" t="s">
        <v>1262</v>
      </c>
      <c r="B521" s="1" t="s">
        <v>1101</v>
      </c>
      <c r="C521" s="1" t="s">
        <v>1087</v>
      </c>
      <c r="D521" s="1" t="n">
        <v>231.2</v>
      </c>
      <c r="E521" s="1" t="n">
        <v>13.52</v>
      </c>
      <c r="F521" s="1" t="n">
        <v>1.75</v>
      </c>
    </row>
    <row collapsed="false" customFormat="false" customHeight="false" hidden="false" ht="14.75" outlineLevel="0" r="522">
      <c r="A522" s="1" t="s">
        <v>1263</v>
      </c>
      <c r="B522" s="1" t="s">
        <v>1164</v>
      </c>
      <c r="C522" s="1" t="s">
        <v>1087</v>
      </c>
      <c r="D522" s="1" t="n">
        <v>239</v>
      </c>
      <c r="E522" s="1" t="n">
        <v>13.08</v>
      </c>
      <c r="F522" s="1" t="n">
        <v>2</v>
      </c>
    </row>
    <row collapsed="false" customFormat="false" customHeight="false" hidden="false" ht="14.75" outlineLevel="0" r="523">
      <c r="A523" s="1" t="s">
        <v>1264</v>
      </c>
      <c r="B523" s="1" t="s">
        <v>1086</v>
      </c>
      <c r="C523" s="1" t="s">
        <v>1087</v>
      </c>
      <c r="D523" s="1" t="n">
        <v>156.4</v>
      </c>
      <c r="E523" s="1" t="n">
        <v>10.46</v>
      </c>
      <c r="F523" s="1" t="n">
        <v>1</v>
      </c>
    </row>
    <row collapsed="false" customFormat="false" customHeight="false" hidden="false" ht="14.75" outlineLevel="0" r="524">
      <c r="A524" s="1" t="s">
        <v>591</v>
      </c>
      <c r="B524" s="1" t="s">
        <v>1164</v>
      </c>
      <c r="C524" s="1" t="s">
        <v>1087</v>
      </c>
      <c r="D524" s="1" t="n">
        <v>235.8</v>
      </c>
      <c r="E524" s="1" t="n">
        <v>13.51</v>
      </c>
      <c r="F524" s="1" t="n">
        <v>1</v>
      </c>
    </row>
    <row collapsed="false" customFormat="false" customHeight="false" hidden="false" ht="14.75" outlineLevel="0" r="525">
      <c r="A525" s="1" t="s">
        <v>1265</v>
      </c>
      <c r="B525" s="1" t="s">
        <v>1097</v>
      </c>
      <c r="C525" s="1" t="s">
        <v>1087</v>
      </c>
      <c r="D525" s="1" t="n">
        <v>43</v>
      </c>
      <c r="E525" s="1" t="n">
        <v>6</v>
      </c>
      <c r="F525" s="1" t="n">
        <v>0</v>
      </c>
    </row>
    <row collapsed="false" customFormat="false" customHeight="false" hidden="false" ht="14.75" outlineLevel="0" r="526">
      <c r="A526" s="1" t="s">
        <v>266</v>
      </c>
      <c r="B526" s="1" t="s">
        <v>1102</v>
      </c>
      <c r="C526" s="1" t="s">
        <v>1087</v>
      </c>
      <c r="D526" s="1" t="n">
        <v>442.3</v>
      </c>
      <c r="E526" s="1" t="n">
        <v>21.34</v>
      </c>
      <c r="F526" s="1" t="n">
        <f aca="false">65/11</f>
        <v>5.90909090909091</v>
      </c>
    </row>
    <row collapsed="false" customFormat="false" customHeight="false" hidden="false" ht="14.75" outlineLevel="0" r="527">
      <c r="A527" s="1" t="s">
        <v>267</v>
      </c>
      <c r="B527" s="1" t="s">
        <v>1102</v>
      </c>
      <c r="C527" s="1" t="s">
        <v>1087</v>
      </c>
      <c r="D527" s="1" t="n">
        <v>160</v>
      </c>
      <c r="E527" s="1" t="n">
        <v>11.05</v>
      </c>
      <c r="F527" s="1" t="n">
        <v>1.1</v>
      </c>
    </row>
    <row collapsed="false" customFormat="false" customHeight="false" hidden="false" ht="14.75" outlineLevel="0" r="528">
      <c r="A528" s="1" t="s">
        <v>715</v>
      </c>
      <c r="B528" s="1" t="s">
        <v>1102</v>
      </c>
      <c r="C528" s="1" t="s">
        <v>1087</v>
      </c>
      <c r="D528" s="1" t="n">
        <v>137</v>
      </c>
      <c r="E528" s="1" t="n">
        <v>8.18</v>
      </c>
      <c r="F528" s="1" t="n">
        <v>0.4</v>
      </c>
    </row>
    <row collapsed="false" customFormat="false" customHeight="false" hidden="false" ht="14.75" outlineLevel="0" r="529">
      <c r="A529" s="1" t="s">
        <v>1266</v>
      </c>
      <c r="B529" s="1" t="s">
        <v>1100</v>
      </c>
      <c r="C529" s="1" t="s">
        <v>1087</v>
      </c>
      <c r="D529" s="1" t="n">
        <v>267.2</v>
      </c>
      <c r="E529" s="1" t="n">
        <v>15.64</v>
      </c>
      <c r="F529" s="1" t="n">
        <f aca="false">19/9</f>
        <v>2.11111111111111</v>
      </c>
    </row>
    <row collapsed="false" customFormat="false" customHeight="false" hidden="false" ht="14.75" outlineLevel="0" r="530">
      <c r="A530" s="1" t="s">
        <v>1267</v>
      </c>
      <c r="B530" s="1" t="s">
        <v>1101</v>
      </c>
      <c r="C530" s="1" t="s">
        <v>1087</v>
      </c>
      <c r="D530" s="1" t="n">
        <v>137.5</v>
      </c>
      <c r="E530" s="1" t="n">
        <v>7</v>
      </c>
      <c r="F530" s="1" t="n">
        <v>0.375</v>
      </c>
    </row>
    <row collapsed="false" customFormat="false" customHeight="false" hidden="false" ht="14.75" outlineLevel="0" r="531">
      <c r="A531" s="1" t="s">
        <v>1268</v>
      </c>
      <c r="B531" s="1" t="s">
        <v>1101</v>
      </c>
      <c r="C531" s="1" t="s">
        <v>1087</v>
      </c>
      <c r="D531" s="1" t="n">
        <v>146.9</v>
      </c>
      <c r="E531" s="1" t="n">
        <v>8.46</v>
      </c>
      <c r="F531" s="1" t="n">
        <v>1.375</v>
      </c>
    </row>
    <row collapsed="false" customFormat="false" customHeight="false" hidden="false" ht="14.75" outlineLevel="0" r="532">
      <c r="A532" s="1" t="s">
        <v>1269</v>
      </c>
      <c r="B532" s="1" t="s">
        <v>1101</v>
      </c>
      <c r="C532" s="1" t="s">
        <v>1087</v>
      </c>
      <c r="D532" s="1" t="n">
        <v>100.6</v>
      </c>
      <c r="E532" s="1" t="n">
        <v>6.58</v>
      </c>
      <c r="F532" s="1" t="n">
        <v>0.5</v>
      </c>
    </row>
    <row collapsed="false" customFormat="false" customHeight="false" hidden="false" ht="14.75" outlineLevel="0" r="533">
      <c r="A533" s="1" t="s">
        <v>1270</v>
      </c>
      <c r="B533" s="1" t="s">
        <v>1086</v>
      </c>
      <c r="C533" s="1" t="s">
        <v>1087</v>
      </c>
      <c r="D533" s="1" t="n">
        <v>97.1</v>
      </c>
      <c r="E533" s="1" t="n">
        <v>5.95</v>
      </c>
      <c r="F533" s="1" t="n">
        <v>1</v>
      </c>
    </row>
    <row collapsed="false" customFormat="false" customHeight="false" hidden="false" ht="14.75" outlineLevel="0" r="534">
      <c r="A534" s="1" t="s">
        <v>1271</v>
      </c>
      <c r="B534" s="1" t="s">
        <v>1121</v>
      </c>
      <c r="C534" s="1" t="s">
        <v>1087</v>
      </c>
      <c r="D534" s="1" t="n">
        <v>111.7</v>
      </c>
      <c r="E534" s="1" t="n">
        <v>8.15</v>
      </c>
      <c r="F534" s="1" t="s">
        <v>9</v>
      </c>
    </row>
    <row collapsed="false" customFormat="false" customHeight="false" hidden="false" ht="14.75" outlineLevel="0" r="535">
      <c r="A535" s="1" t="s">
        <v>1272</v>
      </c>
      <c r="B535" s="1" t="s">
        <v>1121</v>
      </c>
      <c r="C535" s="1" t="s">
        <v>1087</v>
      </c>
      <c r="D535" s="1" t="n">
        <v>55.6</v>
      </c>
      <c r="E535" s="1" t="n">
        <v>3.93</v>
      </c>
      <c r="F535" s="1" t="s">
        <v>9</v>
      </c>
    </row>
    <row collapsed="false" customFormat="false" customHeight="false" hidden="false" ht="14.75" outlineLevel="0" r="536">
      <c r="A536" s="1" t="s">
        <v>1273</v>
      </c>
      <c r="B536" s="1" t="s">
        <v>1121</v>
      </c>
      <c r="C536" s="1" t="s">
        <v>1087</v>
      </c>
      <c r="D536" s="1" t="n">
        <v>270</v>
      </c>
      <c r="E536" s="1" t="n">
        <v>14.22</v>
      </c>
      <c r="F536" s="1" t="s">
        <v>9</v>
      </c>
    </row>
    <row collapsed="false" customFormat="false" customHeight="false" hidden="false" ht="14.75" outlineLevel="0" r="537">
      <c r="A537" s="1" t="s">
        <v>1274</v>
      </c>
      <c r="B537" s="1" t="s">
        <v>1121</v>
      </c>
      <c r="C537" s="1" t="s">
        <v>1087</v>
      </c>
      <c r="D537" s="1" t="n">
        <v>118.9</v>
      </c>
      <c r="E537" s="1" t="n">
        <v>6.86</v>
      </c>
      <c r="F537" s="1" t="s">
        <v>9</v>
      </c>
    </row>
    <row collapsed="false" customFormat="false" customHeight="false" hidden="false" ht="14.75" outlineLevel="0" r="538">
      <c r="A538" s="1" t="s">
        <v>1275</v>
      </c>
      <c r="B538" s="1" t="s">
        <v>1164</v>
      </c>
      <c r="C538" s="1" t="s">
        <v>1087</v>
      </c>
      <c r="D538" s="1" t="n">
        <v>92</v>
      </c>
      <c r="E538" s="1" t="n">
        <v>8.46</v>
      </c>
      <c r="F538" s="1" t="n">
        <v>0.2</v>
      </c>
    </row>
    <row collapsed="false" customFormat="false" customHeight="false" hidden="false" ht="14.75" outlineLevel="0" r="539">
      <c r="A539" s="1" t="s">
        <v>1276</v>
      </c>
      <c r="B539" s="1" t="s">
        <v>1110</v>
      </c>
      <c r="C539" s="1" t="s">
        <v>1087</v>
      </c>
      <c r="D539" s="1" t="n">
        <v>180.6</v>
      </c>
      <c r="E539" s="1" t="n">
        <v>9.84</v>
      </c>
      <c r="F539" s="1" t="n">
        <f aca="false">5/8</f>
        <v>0.625</v>
      </c>
    </row>
    <row collapsed="false" customFormat="false" customHeight="false" hidden="false" ht="14.75" outlineLevel="0" r="540">
      <c r="A540" s="1" t="s">
        <v>1277</v>
      </c>
      <c r="B540" s="1" t="s">
        <v>1187</v>
      </c>
      <c r="C540" s="1" t="s">
        <v>1087</v>
      </c>
      <c r="D540" s="1" t="n">
        <v>84.3</v>
      </c>
      <c r="E540" s="1" t="n">
        <v>5.3</v>
      </c>
      <c r="F540" s="1" t="n">
        <v>1</v>
      </c>
    </row>
    <row collapsed="false" customFormat="false" customHeight="false" hidden="false" ht="14.75" outlineLevel="0" r="541">
      <c r="A541" s="1" t="s">
        <v>1278</v>
      </c>
      <c r="B541" s="1" t="s">
        <v>1146</v>
      </c>
      <c r="C541" s="1" t="s">
        <v>1087</v>
      </c>
      <c r="D541" s="1" t="n">
        <v>131.4</v>
      </c>
      <c r="E541" s="1" t="n">
        <v>7.79</v>
      </c>
      <c r="F541" s="1" t="n">
        <f aca="false">5/7</f>
        <v>0.714285714285714</v>
      </c>
    </row>
    <row collapsed="false" customFormat="false" customHeight="false" hidden="false" ht="14.75" outlineLevel="0" r="542">
      <c r="A542" s="1" t="s">
        <v>1279</v>
      </c>
      <c r="B542" s="1" t="s">
        <v>1146</v>
      </c>
      <c r="C542" s="1" t="s">
        <v>1087</v>
      </c>
      <c r="D542" s="1" t="n">
        <v>60.8</v>
      </c>
      <c r="E542" s="1" t="n">
        <v>5.62</v>
      </c>
      <c r="F542" s="1" t="n">
        <f aca="false">3/7</f>
        <v>0.428571428571429</v>
      </c>
    </row>
    <row collapsed="false" customFormat="false" customHeight="false" hidden="false" ht="14.75" outlineLevel="0" r="543">
      <c r="A543" s="1" t="s">
        <v>1280</v>
      </c>
      <c r="B543" s="1" t="s">
        <v>1110</v>
      </c>
      <c r="C543" s="1" t="s">
        <v>1087</v>
      </c>
      <c r="D543" s="1" t="n">
        <v>131.2</v>
      </c>
      <c r="E543" s="1" t="n">
        <v>5.66</v>
      </c>
      <c r="F543" s="1" t="n">
        <v>1</v>
      </c>
    </row>
    <row collapsed="false" customFormat="false" customHeight="false" hidden="false" ht="14.75" outlineLevel="0" r="544">
      <c r="A544" s="1" t="s">
        <v>1281</v>
      </c>
      <c r="B544" s="1" t="s">
        <v>1121</v>
      </c>
      <c r="C544" s="1" t="s">
        <v>1087</v>
      </c>
      <c r="D544" s="1" t="n">
        <v>95</v>
      </c>
      <c r="E544" s="1" t="n">
        <v>5.96</v>
      </c>
      <c r="F544" s="1" t="s">
        <v>9</v>
      </c>
    </row>
    <row collapsed="false" customFormat="false" customHeight="false" hidden="false" ht="14.75" outlineLevel="0" r="545">
      <c r="A545" s="1" t="s">
        <v>1282</v>
      </c>
      <c r="B545" s="1" t="s">
        <v>1106</v>
      </c>
      <c r="C545" s="1" t="s">
        <v>1087</v>
      </c>
      <c r="D545" s="1" t="n">
        <v>128.8</v>
      </c>
      <c r="E545" s="1" t="n">
        <v>7.4</v>
      </c>
      <c r="F545" s="1" t="n">
        <f aca="false">3/8</f>
        <v>0.375</v>
      </c>
    </row>
    <row collapsed="false" customFormat="false" customHeight="false" hidden="false" ht="14.75" outlineLevel="0" r="546">
      <c r="A546" s="1" t="s">
        <v>1283</v>
      </c>
      <c r="B546" s="1" t="s">
        <v>1187</v>
      </c>
      <c r="C546" s="1" t="s">
        <v>1087</v>
      </c>
      <c r="D546" s="1" t="n">
        <v>192.1</v>
      </c>
      <c r="E546" s="1" t="n">
        <v>13.02</v>
      </c>
      <c r="F546" s="1" t="n">
        <f aca="false">3/7</f>
        <v>0.428571428571429</v>
      </c>
    </row>
    <row collapsed="false" customFormat="false" customHeight="false" hidden="false" ht="14.75" outlineLevel="0" r="547">
      <c r="A547" s="1" t="s">
        <v>1284</v>
      </c>
      <c r="B547" s="1" t="s">
        <v>1127</v>
      </c>
      <c r="C547" s="1" t="s">
        <v>1087</v>
      </c>
      <c r="D547" s="1" t="n">
        <v>151.9</v>
      </c>
      <c r="E547" s="1" t="n">
        <v>10</v>
      </c>
      <c r="F547" s="1" t="n">
        <f aca="false">13/8</f>
        <v>1.625</v>
      </c>
    </row>
    <row collapsed="false" customFormat="false" customHeight="false" hidden="false" ht="14.75" outlineLevel="0" r="548">
      <c r="A548" s="1" t="s">
        <v>1285</v>
      </c>
      <c r="B548" s="1" t="s">
        <v>1097</v>
      </c>
      <c r="C548" s="1" t="s">
        <v>1087</v>
      </c>
      <c r="D548" s="1" t="n">
        <v>311.8</v>
      </c>
      <c r="E548" s="1" t="n">
        <v>18.66</v>
      </c>
      <c r="F548" s="1" t="n">
        <f aca="false">33/11</f>
        <v>3</v>
      </c>
    </row>
    <row collapsed="false" customFormat="false" customHeight="false" hidden="false" ht="14.75" outlineLevel="0" r="549">
      <c r="A549" s="1" t="s">
        <v>1286</v>
      </c>
      <c r="B549" s="1" t="s">
        <v>1097</v>
      </c>
      <c r="C549" s="1" t="s">
        <v>1087</v>
      </c>
      <c r="D549" s="1" t="n">
        <v>122.9</v>
      </c>
      <c r="E549" s="1" t="n">
        <v>9.56</v>
      </c>
      <c r="F549" s="1" t="n">
        <f aca="false">4/7</f>
        <v>0.571428571428571</v>
      </c>
    </row>
    <row collapsed="false" customFormat="false" customHeight="false" hidden="false" ht="14.75" outlineLevel="0" r="550">
      <c r="A550" s="1" t="s">
        <v>1287</v>
      </c>
      <c r="B550" s="1" t="s">
        <v>1110</v>
      </c>
      <c r="C550" s="1" t="s">
        <v>1087</v>
      </c>
      <c r="D550" s="1" t="n">
        <v>155</v>
      </c>
      <c r="E550" s="1" t="n">
        <v>8.55</v>
      </c>
      <c r="F550" s="1" t="n">
        <f aca="false">5/8</f>
        <v>0.625</v>
      </c>
    </row>
    <row collapsed="false" customFormat="false" customHeight="false" hidden="false" ht="14.75" outlineLevel="0" r="551">
      <c r="A551" s="1" t="s">
        <v>1288</v>
      </c>
      <c r="B551" s="1" t="s">
        <v>1127</v>
      </c>
      <c r="C551" s="1" t="s">
        <v>1087</v>
      </c>
      <c r="D551" s="1" t="n">
        <v>216.2</v>
      </c>
      <c r="E551" s="1" t="n">
        <v>15.94</v>
      </c>
      <c r="F551" s="1" t="n">
        <f aca="false">16/8</f>
        <v>2</v>
      </c>
    </row>
    <row collapsed="false" customFormat="false" customHeight="false" hidden="false" ht="14.75" outlineLevel="0" r="552">
      <c r="A552" s="1" t="s">
        <v>1289</v>
      </c>
      <c r="B552" s="1" t="s">
        <v>1127</v>
      </c>
      <c r="C552" s="1" t="s">
        <v>1087</v>
      </c>
      <c r="D552" s="1" t="n">
        <v>180</v>
      </c>
      <c r="E552" s="1" t="n">
        <v>11.38</v>
      </c>
      <c r="F552" s="1" t="n">
        <f aca="false">12/8</f>
        <v>1.5</v>
      </c>
    </row>
    <row collapsed="false" customFormat="false" customHeight="false" hidden="false" ht="14.75" outlineLevel="0" r="553">
      <c r="A553" s="1" t="s">
        <v>1290</v>
      </c>
      <c r="B553" s="1" t="s">
        <v>1127</v>
      </c>
      <c r="C553" s="1" t="s">
        <v>1087</v>
      </c>
      <c r="D553" s="1" t="n">
        <v>42.5</v>
      </c>
      <c r="E553" s="1" t="n">
        <v>5</v>
      </c>
      <c r="F553" s="1" t="n">
        <v>0</v>
      </c>
    </row>
    <row collapsed="false" customFormat="false" customHeight="false" hidden="false" ht="14.75" outlineLevel="0" r="554">
      <c r="A554" s="1" t="s">
        <v>1291</v>
      </c>
      <c r="B554" s="1" t="s">
        <v>1089</v>
      </c>
      <c r="C554" s="1" t="s">
        <v>1087</v>
      </c>
      <c r="D554" s="1" t="n">
        <v>239</v>
      </c>
      <c r="E554" s="1" t="n">
        <v>13.38</v>
      </c>
      <c r="F554" s="1" t="n">
        <v>1.5</v>
      </c>
    </row>
    <row collapsed="false" customFormat="false" customHeight="false" hidden="false" ht="14.75" outlineLevel="0" r="555">
      <c r="A555" s="1" t="s">
        <v>223</v>
      </c>
      <c r="B555" s="1" t="s">
        <v>1097</v>
      </c>
      <c r="C555" s="1" t="s">
        <v>1087</v>
      </c>
      <c r="D555" s="1" t="n">
        <v>119.4</v>
      </c>
      <c r="E555" s="1" t="n">
        <v>10.7</v>
      </c>
      <c r="F555" s="1" t="n">
        <f aca="false">6/10</f>
        <v>0.6</v>
      </c>
    </row>
    <row collapsed="false" customFormat="false" customHeight="false" hidden="false" ht="14.75" outlineLevel="0" r="556">
      <c r="A556" s="1" t="s">
        <v>224</v>
      </c>
      <c r="B556" s="1" t="s">
        <v>1097</v>
      </c>
      <c r="C556" s="1" t="s">
        <v>1087</v>
      </c>
      <c r="D556" s="1" t="n">
        <v>78.5</v>
      </c>
      <c r="E556" s="1" t="n">
        <v>6.08</v>
      </c>
      <c r="F556" s="1" t="n">
        <v>0.3</v>
      </c>
    </row>
    <row collapsed="false" customFormat="false" customHeight="false" hidden="false" ht="14.75" outlineLevel="0" r="557">
      <c r="A557" s="1" t="s">
        <v>225</v>
      </c>
      <c r="B557" s="1" t="s">
        <v>1097</v>
      </c>
      <c r="C557" s="1" t="s">
        <v>1087</v>
      </c>
      <c r="D557" s="1" t="n">
        <v>81.5</v>
      </c>
      <c r="E557" s="1" t="n">
        <v>6.27</v>
      </c>
      <c r="F557" s="1" t="n">
        <v>0.4</v>
      </c>
    </row>
    <row collapsed="false" customFormat="false" customHeight="false" hidden="false" ht="14.75" outlineLevel="0" r="558">
      <c r="A558" s="1" t="s">
        <v>942</v>
      </c>
      <c r="B558" s="1" t="s">
        <v>1097</v>
      </c>
      <c r="C558" s="1" t="s">
        <v>1087</v>
      </c>
      <c r="D558" s="1" t="n">
        <v>97.2</v>
      </c>
      <c r="E558" s="1" t="n">
        <v>9.24</v>
      </c>
      <c r="F558" s="1" t="n">
        <f aca="false">5/9</f>
        <v>0.555555555555556</v>
      </c>
    </row>
    <row collapsed="false" customFormat="false" customHeight="false" hidden="false" ht="14.75" outlineLevel="0" r="559">
      <c r="A559" s="1" t="s">
        <v>1292</v>
      </c>
      <c r="B559" s="1" t="s">
        <v>1110</v>
      </c>
      <c r="C559" s="1" t="s">
        <v>1087</v>
      </c>
      <c r="D559" s="1" t="n">
        <v>193.1</v>
      </c>
      <c r="E559" s="1" t="n">
        <v>10.62</v>
      </c>
      <c r="F559" s="1" t="n">
        <f aca="false">13/8</f>
        <v>1.625</v>
      </c>
    </row>
    <row collapsed="false" customFormat="false" customHeight="false" hidden="false" ht="14.75" outlineLevel="0" r="560">
      <c r="A560" s="1" t="s">
        <v>1293</v>
      </c>
      <c r="B560" s="1" t="s">
        <v>1106</v>
      </c>
      <c r="C560" s="1" t="s">
        <v>1087</v>
      </c>
      <c r="D560" s="1" t="n">
        <v>140</v>
      </c>
      <c r="E560" s="1" t="n">
        <v>7.14</v>
      </c>
      <c r="F560" s="1" t="n">
        <f aca="false">9/8</f>
        <v>1.125</v>
      </c>
    </row>
    <row collapsed="false" customFormat="false" customHeight="false" hidden="false" ht="14.75" outlineLevel="0" r="561">
      <c r="A561" s="1" t="s">
        <v>1294</v>
      </c>
      <c r="B561" s="1" t="s">
        <v>1106</v>
      </c>
      <c r="C561" s="1" t="s">
        <v>1087</v>
      </c>
      <c r="D561" s="1" t="n">
        <v>128.8</v>
      </c>
      <c r="E561" s="1" t="n">
        <v>7.35</v>
      </c>
      <c r="F561" s="1" t="n">
        <f aca="false">2/8</f>
        <v>0.25</v>
      </c>
    </row>
    <row collapsed="false" customFormat="false" customHeight="false" hidden="false" ht="14.75" outlineLevel="0" r="562">
      <c r="A562" s="1" t="s">
        <v>1295</v>
      </c>
      <c r="B562" s="1" t="s">
        <v>1106</v>
      </c>
      <c r="C562" s="1" t="s">
        <v>1087</v>
      </c>
      <c r="D562" s="1" t="n">
        <v>192.8</v>
      </c>
      <c r="E562" s="1" t="n">
        <v>10.15</v>
      </c>
      <c r="F562" s="1" t="n">
        <f aca="false">10/9</f>
        <v>1.11111111111111</v>
      </c>
    </row>
    <row collapsed="false" customFormat="false" customHeight="false" hidden="false" ht="14.75" outlineLevel="0" r="563">
      <c r="A563" s="1" t="s">
        <v>1296</v>
      </c>
      <c r="B563" s="1" t="s">
        <v>1106</v>
      </c>
      <c r="C563" s="1" t="s">
        <v>1087</v>
      </c>
      <c r="D563" s="1" t="n">
        <v>91.2</v>
      </c>
      <c r="E563" s="1" t="n">
        <v>8.75</v>
      </c>
      <c r="F563" s="1" t="n">
        <f aca="false">2/8</f>
        <v>0.25</v>
      </c>
    </row>
    <row collapsed="false" customFormat="false" customHeight="false" hidden="false" ht="14.75" outlineLevel="0" r="564">
      <c r="A564" s="1" t="s">
        <v>1297</v>
      </c>
      <c r="B564" s="1" t="s">
        <v>1106</v>
      </c>
      <c r="C564" s="1" t="s">
        <v>1087</v>
      </c>
      <c r="D564" s="1" t="n">
        <v>190.6</v>
      </c>
      <c r="E564" s="1" t="n">
        <v>8.9</v>
      </c>
      <c r="F564" s="1" t="n">
        <f aca="false">4/8</f>
        <v>0.5</v>
      </c>
    </row>
    <row collapsed="false" customFormat="false" customHeight="false" hidden="false" ht="14.75" outlineLevel="0" r="565">
      <c r="A565" s="1" t="s">
        <v>1298</v>
      </c>
      <c r="B565" s="1" t="s">
        <v>1101</v>
      </c>
      <c r="C565" s="1" t="s">
        <v>1087</v>
      </c>
      <c r="D565" s="1" t="n">
        <v>255</v>
      </c>
      <c r="E565" s="1" t="n">
        <v>12.99</v>
      </c>
      <c r="F565" s="1" t="n">
        <v>1.75</v>
      </c>
    </row>
    <row collapsed="false" customFormat="false" customHeight="false" hidden="false" ht="14.75" outlineLevel="0" r="566">
      <c r="A566" s="1" t="s">
        <v>1299</v>
      </c>
      <c r="B566" s="1" t="s">
        <v>1101</v>
      </c>
      <c r="C566" s="1" t="s">
        <v>1087</v>
      </c>
      <c r="D566" s="1" t="n">
        <v>186.2</v>
      </c>
      <c r="E566" s="1" t="n">
        <v>8.62</v>
      </c>
      <c r="F566" s="1" t="n">
        <v>1.125</v>
      </c>
    </row>
    <row collapsed="false" customFormat="false" customHeight="false" hidden="false" ht="14.75" outlineLevel="0" r="567">
      <c r="A567" s="1" t="s">
        <v>1300</v>
      </c>
      <c r="B567" s="1" t="s">
        <v>1101</v>
      </c>
      <c r="C567" s="1" t="s">
        <v>1087</v>
      </c>
      <c r="D567" s="1" t="n">
        <v>238.8</v>
      </c>
      <c r="E567" s="1" t="n">
        <v>12.39</v>
      </c>
      <c r="F567" s="1" t="n">
        <v>2.125</v>
      </c>
    </row>
    <row collapsed="false" customFormat="false" customHeight="false" hidden="false" ht="14.75" outlineLevel="0" r="568">
      <c r="A568" s="1" t="s">
        <v>1301</v>
      </c>
      <c r="B568" s="1" t="s">
        <v>1086</v>
      </c>
      <c r="C568" s="1" t="s">
        <v>1087</v>
      </c>
      <c r="D568" s="1" t="n">
        <v>91.4</v>
      </c>
      <c r="E568" s="1" t="n">
        <v>8.24</v>
      </c>
      <c r="F568" s="1" t="n">
        <v>0</v>
      </c>
    </row>
    <row collapsed="false" customFormat="false" customHeight="false" hidden="false" ht="14.75" outlineLevel="0" r="569">
      <c r="A569" s="1" t="s">
        <v>1302</v>
      </c>
      <c r="B569" s="1" t="s">
        <v>1086</v>
      </c>
      <c r="C569" s="1" t="s">
        <v>1087</v>
      </c>
      <c r="D569" s="1" t="n">
        <v>104.3</v>
      </c>
      <c r="E569" s="1" t="n">
        <v>10.71</v>
      </c>
      <c r="F569" s="1" t="n">
        <f aca="false">3/7</f>
        <v>0.428571428571429</v>
      </c>
    </row>
    <row collapsed="false" customFormat="false" customHeight="false" hidden="false" ht="14.75" outlineLevel="0" r="570">
      <c r="A570" s="1" t="s">
        <v>1303</v>
      </c>
      <c r="B570" s="1" t="s">
        <v>1127</v>
      </c>
      <c r="C570" s="1" t="s">
        <v>1087</v>
      </c>
      <c r="D570" s="1" t="n">
        <v>114.4</v>
      </c>
      <c r="E570" s="1" t="n">
        <v>8.27</v>
      </c>
      <c r="F570" s="1" t="n">
        <f aca="false">7/8</f>
        <v>0.875</v>
      </c>
    </row>
    <row collapsed="false" customFormat="false" customHeight="false" hidden="false" ht="14.75" outlineLevel="0" r="571">
      <c r="A571" s="1" t="s">
        <v>226</v>
      </c>
      <c r="B571" s="1" t="s">
        <v>1097</v>
      </c>
      <c r="C571" s="1" t="s">
        <v>1087</v>
      </c>
      <c r="D571" s="1" t="n">
        <v>310</v>
      </c>
      <c r="E571" s="1" t="n">
        <v>16.5</v>
      </c>
      <c r="F571" s="1" t="n">
        <f aca="false">23/7</f>
        <v>3.28571428571429</v>
      </c>
    </row>
    <row collapsed="false" customFormat="false" customHeight="false" hidden="false" ht="14.75" outlineLevel="0" r="572">
      <c r="A572" s="1" t="s">
        <v>27</v>
      </c>
      <c r="B572" s="1" t="s">
        <v>1093</v>
      </c>
      <c r="C572" s="1" t="s">
        <v>1087</v>
      </c>
      <c r="D572" s="1" t="n">
        <v>133.3</v>
      </c>
      <c r="E572" s="1" t="n">
        <v>9.29</v>
      </c>
      <c r="F572" s="1" t="n">
        <f aca="false">5/6</f>
        <v>0.833333333333333</v>
      </c>
    </row>
    <row collapsed="false" customFormat="false" customHeight="false" hidden="false" ht="14.75" outlineLevel="0" r="573">
      <c r="A573" s="1" t="s">
        <v>1304</v>
      </c>
      <c r="B573" s="1" t="s">
        <v>1093</v>
      </c>
      <c r="C573" s="1" t="s">
        <v>1087</v>
      </c>
      <c r="D573" s="1" t="n">
        <v>62.5</v>
      </c>
      <c r="E573" s="1" t="n">
        <v>6.4</v>
      </c>
      <c r="F573" s="1" t="n">
        <f aca="false">1/6</f>
        <v>0.166666666666667</v>
      </c>
    </row>
    <row collapsed="false" customFormat="false" customHeight="false" hidden="false" ht="14.75" outlineLevel="0" r="574">
      <c r="A574" s="1" t="s">
        <v>1305</v>
      </c>
      <c r="B574" s="1" t="s">
        <v>1102</v>
      </c>
      <c r="C574" s="1" t="s">
        <v>1087</v>
      </c>
      <c r="D574" s="1" t="n">
        <v>244.5</v>
      </c>
      <c r="E574" s="1" t="n">
        <v>16.11</v>
      </c>
      <c r="F574" s="1" t="n">
        <v>1.6</v>
      </c>
    </row>
    <row collapsed="false" customFormat="false" customHeight="false" hidden="false" ht="14.75" outlineLevel="0" r="575">
      <c r="A575" s="1" t="s">
        <v>1306</v>
      </c>
      <c r="B575" s="1" t="s">
        <v>1164</v>
      </c>
      <c r="C575" s="1" t="s">
        <v>1087</v>
      </c>
      <c r="D575" s="1" t="n">
        <v>117</v>
      </c>
      <c r="E575" s="1" t="n">
        <v>9.41</v>
      </c>
      <c r="F575" s="1" t="n">
        <f aca="false">2/5</f>
        <v>0.4</v>
      </c>
    </row>
    <row collapsed="false" customFormat="false" customHeight="false" hidden="false" ht="14.75" outlineLevel="0" r="576">
      <c r="A576" s="1" t="s">
        <v>1307</v>
      </c>
      <c r="B576" s="1" t="s">
        <v>1164</v>
      </c>
      <c r="C576" s="1" t="s">
        <v>1087</v>
      </c>
      <c r="D576" s="1" t="n">
        <v>143</v>
      </c>
      <c r="E576" s="1" t="n">
        <v>8.9</v>
      </c>
      <c r="F576" s="1" t="n">
        <f aca="false">6/5</f>
        <v>1.2</v>
      </c>
    </row>
    <row collapsed="false" customFormat="false" customHeight="false" hidden="false" ht="14.75" outlineLevel="0" r="577">
      <c r="A577" s="1" t="s">
        <v>1308</v>
      </c>
      <c r="B577" s="1" t="s">
        <v>1102</v>
      </c>
      <c r="C577" s="1" t="s">
        <v>1087</v>
      </c>
      <c r="D577" s="1" t="n">
        <v>339</v>
      </c>
      <c r="E577" s="1" t="n">
        <v>19.96</v>
      </c>
      <c r="F577" s="1" t="n">
        <v>3.3</v>
      </c>
    </row>
    <row collapsed="false" customFormat="false" customHeight="false" hidden="false" ht="14.75" outlineLevel="0" r="578">
      <c r="A578" s="1" t="s">
        <v>278</v>
      </c>
      <c r="B578" s="1" t="s">
        <v>1119</v>
      </c>
      <c r="C578" s="1" t="s">
        <v>1087</v>
      </c>
      <c r="D578" s="1" t="n">
        <v>293.6</v>
      </c>
      <c r="E578" s="1" t="n">
        <v>14.31</v>
      </c>
      <c r="F578" s="1" t="n">
        <f aca="false">30/11</f>
        <v>2.72727272727273</v>
      </c>
    </row>
    <row collapsed="false" customFormat="false" customHeight="false" hidden="false" ht="14.75" outlineLevel="0" r="579">
      <c r="A579" s="1" t="s">
        <v>611</v>
      </c>
      <c r="B579" s="1" t="s">
        <v>1119</v>
      </c>
      <c r="C579" s="1" t="s">
        <v>1087</v>
      </c>
      <c r="D579" s="1" t="n">
        <v>72</v>
      </c>
      <c r="E579" s="1" t="n">
        <v>5.31</v>
      </c>
      <c r="F579" s="1" t="n">
        <v>0.3</v>
      </c>
    </row>
    <row collapsed="false" customFormat="false" customHeight="false" hidden="false" ht="14.75" outlineLevel="0" r="580">
      <c r="A580" s="1" t="s">
        <v>951</v>
      </c>
      <c r="B580" s="1" t="s">
        <v>1119</v>
      </c>
      <c r="C580" s="1" t="s">
        <v>1087</v>
      </c>
      <c r="D580" s="1" t="n">
        <v>100</v>
      </c>
      <c r="E580" s="1" t="n">
        <v>7.3</v>
      </c>
      <c r="F580" s="1" t="n">
        <f aca="false">3/11</f>
        <v>0.272727272727273</v>
      </c>
    </row>
    <row collapsed="false" customFormat="false" customHeight="false" hidden="false" ht="14.75" outlineLevel="0" r="581">
      <c r="A581" s="1" t="s">
        <v>1309</v>
      </c>
      <c r="B581" s="1" t="s">
        <v>1127</v>
      </c>
      <c r="C581" s="1" t="s">
        <v>1087</v>
      </c>
      <c r="D581" s="1" t="n">
        <v>202.5</v>
      </c>
      <c r="E581" s="1" t="n">
        <v>13.66</v>
      </c>
      <c r="F581" s="1" t="n">
        <f aca="false">18/8</f>
        <v>2.25</v>
      </c>
    </row>
    <row collapsed="false" customFormat="false" customHeight="false" hidden="false" ht="14.75" outlineLevel="0" r="582">
      <c r="A582" s="1" t="s">
        <v>1310</v>
      </c>
      <c r="B582" s="1" t="s">
        <v>1086</v>
      </c>
      <c r="C582" s="1" t="s">
        <v>1087</v>
      </c>
      <c r="D582" s="1" t="n">
        <v>270.7</v>
      </c>
      <c r="E582" s="1" t="n">
        <v>14.93</v>
      </c>
      <c r="F582" s="1" t="n">
        <f aca="false">9/7</f>
        <v>1.28571428571429</v>
      </c>
    </row>
    <row collapsed="false" customFormat="false" customHeight="false" hidden="false" ht="14.75" outlineLevel="0" r="583">
      <c r="A583" s="1" t="s">
        <v>1311</v>
      </c>
      <c r="B583" s="1" t="s">
        <v>1086</v>
      </c>
      <c r="C583" s="1" t="s">
        <v>1087</v>
      </c>
      <c r="D583" s="1" t="n">
        <v>88.6</v>
      </c>
      <c r="E583" s="1" t="n">
        <v>11</v>
      </c>
      <c r="F583" s="1" t="n">
        <f aca="false">1/7</f>
        <v>0.142857142857143</v>
      </c>
    </row>
    <row collapsed="false" customFormat="false" customHeight="false" hidden="false" ht="14.75" outlineLevel="0" r="584">
      <c r="A584" s="1" t="s">
        <v>702</v>
      </c>
      <c r="B584" s="1" t="s">
        <v>1187</v>
      </c>
      <c r="C584" s="1" t="s">
        <v>1087</v>
      </c>
      <c r="D584" s="1" t="n">
        <v>348.5</v>
      </c>
      <c r="E584" s="1" t="n">
        <v>18.63</v>
      </c>
      <c r="F584" s="1" t="n">
        <v>1.8</v>
      </c>
    </row>
    <row collapsed="false" customFormat="false" customHeight="false" hidden="false" ht="14.75" outlineLevel="0" r="585">
      <c r="A585" s="1" t="s">
        <v>703</v>
      </c>
      <c r="B585" s="1" t="s">
        <v>1187</v>
      </c>
      <c r="C585" s="1" t="s">
        <v>1087</v>
      </c>
      <c r="D585" s="1" t="n">
        <v>166.4</v>
      </c>
      <c r="E585" s="1" t="n">
        <v>12.05</v>
      </c>
      <c r="F585" s="1" t="n">
        <f aca="false">10/7</f>
        <v>1.42857142857143</v>
      </c>
    </row>
    <row collapsed="false" customFormat="false" customHeight="false" hidden="false" ht="14.75" outlineLevel="0" r="586">
      <c r="A586" s="1" t="s">
        <v>279</v>
      </c>
      <c r="B586" s="1" t="s">
        <v>1102</v>
      </c>
      <c r="C586" s="1" t="s">
        <v>1087</v>
      </c>
      <c r="D586" s="1" t="n">
        <v>166.5</v>
      </c>
      <c r="E586" s="1" t="n">
        <v>13.38</v>
      </c>
      <c r="F586" s="1" t="n">
        <v>0.7</v>
      </c>
    </row>
    <row collapsed="false" customFormat="false" customHeight="false" hidden="false" ht="14.75" outlineLevel="0" r="587">
      <c r="A587" s="1" t="s">
        <v>280</v>
      </c>
      <c r="B587" s="1" t="s">
        <v>1102</v>
      </c>
      <c r="C587" s="1" t="s">
        <v>1087</v>
      </c>
      <c r="D587" s="1" t="n">
        <v>115</v>
      </c>
      <c r="E587" s="1" t="n">
        <v>9.17</v>
      </c>
      <c r="F587" s="1" t="n">
        <v>0.4</v>
      </c>
    </row>
    <row collapsed="false" customFormat="false" customHeight="false" hidden="false" ht="14.75" outlineLevel="0" r="588">
      <c r="A588" s="1" t="s">
        <v>281</v>
      </c>
      <c r="B588" s="1" t="s">
        <v>1102</v>
      </c>
      <c r="C588" s="1" t="s">
        <v>1087</v>
      </c>
      <c r="D588" s="1" t="n">
        <v>134</v>
      </c>
      <c r="E588" s="1" t="n">
        <v>10.45</v>
      </c>
      <c r="F588" s="1" t="n">
        <v>0.9</v>
      </c>
    </row>
    <row collapsed="false" customFormat="false" customHeight="false" hidden="false" ht="14.75" outlineLevel="0" r="589">
      <c r="A589" s="1" t="s">
        <v>1312</v>
      </c>
      <c r="B589" s="1" t="s">
        <v>1101</v>
      </c>
      <c r="C589" s="1" t="s">
        <v>1087</v>
      </c>
      <c r="D589" s="1" t="n">
        <v>217.5</v>
      </c>
      <c r="E589" s="1" t="n">
        <v>12.21</v>
      </c>
      <c r="F589" s="1" t="n">
        <v>1</v>
      </c>
    </row>
    <row collapsed="false" customFormat="false" customHeight="false" hidden="false" ht="14.75" outlineLevel="0" r="590">
      <c r="A590" s="1" t="s">
        <v>1313</v>
      </c>
      <c r="B590" s="1" t="s">
        <v>1089</v>
      </c>
      <c r="C590" s="1" t="s">
        <v>1087</v>
      </c>
      <c r="D590" s="1" t="n">
        <v>72.8</v>
      </c>
      <c r="E590" s="1" t="n">
        <v>6.22</v>
      </c>
      <c r="F590" s="1" t="n">
        <f aca="false">4/9</f>
        <v>0.444444444444444</v>
      </c>
    </row>
    <row collapsed="false" customFormat="false" customHeight="false" hidden="false" ht="14.75" outlineLevel="0" r="591">
      <c r="A591" s="1" t="s">
        <v>1314</v>
      </c>
      <c r="B591" s="1" t="s">
        <v>1100</v>
      </c>
      <c r="C591" s="1" t="s">
        <v>1087</v>
      </c>
      <c r="D591" s="1" t="n">
        <v>183.3</v>
      </c>
      <c r="E591" s="1" t="n">
        <v>12.32</v>
      </c>
      <c r="F591" s="1" t="n">
        <f aca="false">10/9</f>
        <v>1.11111111111111</v>
      </c>
    </row>
    <row collapsed="false" customFormat="false" customHeight="false" hidden="false" ht="14.75" outlineLevel="0" r="592">
      <c r="A592" s="1" t="s">
        <v>1315</v>
      </c>
      <c r="B592" s="1" t="s">
        <v>1101</v>
      </c>
      <c r="C592" s="1" t="s">
        <v>1087</v>
      </c>
      <c r="D592" s="1" t="n">
        <v>161.9</v>
      </c>
      <c r="E592" s="1" t="n">
        <v>7.37</v>
      </c>
      <c r="F592" s="1" t="n">
        <v>0.5</v>
      </c>
    </row>
    <row collapsed="false" customFormat="false" customHeight="false" hidden="false" ht="14.75" outlineLevel="0" r="593">
      <c r="A593" s="1" t="s">
        <v>30</v>
      </c>
      <c r="B593" s="1" t="s">
        <v>1093</v>
      </c>
      <c r="C593" s="1" t="s">
        <v>1087</v>
      </c>
      <c r="D593" s="1" t="n">
        <v>391.7</v>
      </c>
      <c r="E593" s="1" t="n">
        <v>18.64</v>
      </c>
      <c r="F593" s="1" t="n">
        <v>2.8</v>
      </c>
    </row>
    <row collapsed="false" customFormat="false" customHeight="false" hidden="false" ht="14.75" outlineLevel="0" r="594">
      <c r="A594" s="1" t="s">
        <v>31</v>
      </c>
      <c r="B594" s="1" t="s">
        <v>1093</v>
      </c>
      <c r="C594" s="1" t="s">
        <v>1087</v>
      </c>
      <c r="D594" s="1" t="n">
        <v>297.2</v>
      </c>
      <c r="E594" s="1" t="n">
        <v>14.36</v>
      </c>
      <c r="F594" s="1" t="n">
        <f aca="false">16/9</f>
        <v>1.77777777777778</v>
      </c>
    </row>
    <row collapsed="false" customFormat="false" customHeight="false" hidden="false" ht="14.75" outlineLevel="0" r="595">
      <c r="A595" s="1" t="s">
        <v>1316</v>
      </c>
      <c r="B595" s="1" t="s">
        <v>1093</v>
      </c>
      <c r="C595" s="1" t="s">
        <v>1087</v>
      </c>
      <c r="D595" s="1" t="n">
        <v>231.9</v>
      </c>
      <c r="E595" s="1" t="n">
        <v>12.53</v>
      </c>
      <c r="F595" s="1" t="n">
        <f aca="false">15/8</f>
        <v>1.875</v>
      </c>
    </row>
    <row collapsed="false" customFormat="false" customHeight="false" hidden="false" ht="14.75" outlineLevel="0" r="596">
      <c r="A596" s="1" t="s">
        <v>1317</v>
      </c>
      <c r="B596" s="1" t="s">
        <v>1097</v>
      </c>
      <c r="C596" s="1" t="s">
        <v>1087</v>
      </c>
      <c r="D596" s="1" t="n">
        <v>440.8</v>
      </c>
      <c r="E596" s="1" t="n">
        <v>21.69</v>
      </c>
      <c r="F596" s="1" t="n">
        <f aca="false">68/12</f>
        <v>5.66666666666667</v>
      </c>
    </row>
    <row collapsed="false" customFormat="false" customHeight="false" hidden="false" ht="14.75" outlineLevel="0" r="597">
      <c r="A597" s="1" t="s">
        <v>613</v>
      </c>
      <c r="B597" s="1" t="s">
        <v>1146</v>
      </c>
      <c r="C597" s="1" t="s">
        <v>1087</v>
      </c>
      <c r="D597" s="1" t="n">
        <v>441.5</v>
      </c>
      <c r="E597" s="1" t="n">
        <v>22.2</v>
      </c>
      <c r="F597" s="1" t="n">
        <v>4.7</v>
      </c>
    </row>
    <row collapsed="false" customFormat="false" customHeight="false" hidden="false" ht="14.75" outlineLevel="0" r="598">
      <c r="A598" s="1" t="s">
        <v>614</v>
      </c>
      <c r="B598" s="1" t="s">
        <v>1146</v>
      </c>
      <c r="C598" s="1" t="s">
        <v>1087</v>
      </c>
      <c r="D598" s="1" t="n">
        <v>241.1</v>
      </c>
      <c r="E598" s="1" t="n">
        <v>13.21</v>
      </c>
      <c r="F598" s="1" t="n">
        <f aca="false">23/9</f>
        <v>2.55555555555556</v>
      </c>
    </row>
    <row collapsed="false" customFormat="false" customHeight="false" hidden="false" ht="14.75" outlineLevel="0" r="599">
      <c r="A599" s="1" t="s">
        <v>615</v>
      </c>
      <c r="B599" s="1" t="s">
        <v>1146</v>
      </c>
      <c r="C599" s="1" t="s">
        <v>1087</v>
      </c>
      <c r="D599" s="1" t="n">
        <v>185.7</v>
      </c>
      <c r="E599" s="1" t="n">
        <v>9.53</v>
      </c>
      <c r="F599" s="1" t="n">
        <v>2</v>
      </c>
    </row>
    <row collapsed="false" customFormat="false" customHeight="false" hidden="false" ht="14.75" outlineLevel="0" r="600">
      <c r="A600" s="1" t="s">
        <v>1318</v>
      </c>
      <c r="B600" s="1" t="s">
        <v>1101</v>
      </c>
      <c r="C600" s="1" t="s">
        <v>1087</v>
      </c>
      <c r="D600" s="1" t="n">
        <v>195.6</v>
      </c>
      <c r="E600" s="1" t="n">
        <v>11.07</v>
      </c>
      <c r="F600" s="1" t="n">
        <v>0.375</v>
      </c>
    </row>
    <row collapsed="false" customFormat="false" customHeight="false" hidden="false" ht="14.75" outlineLevel="0" r="601">
      <c r="A601" s="1" t="s">
        <v>1319</v>
      </c>
      <c r="B601" s="1" t="s">
        <v>1101</v>
      </c>
      <c r="C601" s="1" t="s">
        <v>1087</v>
      </c>
      <c r="D601" s="1" t="n">
        <v>78.1</v>
      </c>
      <c r="E601" s="1" t="n">
        <v>5.67</v>
      </c>
      <c r="F601" s="1" t="n">
        <v>0.5</v>
      </c>
    </row>
    <row collapsed="false" customFormat="false" customHeight="false" hidden="false" ht="14.75" outlineLevel="0" r="602">
      <c r="A602" s="1" t="s">
        <v>397</v>
      </c>
      <c r="B602" s="1" t="s">
        <v>1101</v>
      </c>
      <c r="C602" s="1" t="s">
        <v>1087</v>
      </c>
      <c r="D602" s="1" t="n">
        <v>270.6</v>
      </c>
      <c r="E602" s="1" t="n">
        <v>12.96</v>
      </c>
      <c r="F602" s="1" t="n">
        <v>2.125</v>
      </c>
    </row>
    <row collapsed="false" customFormat="false" customHeight="false" hidden="false" ht="14.75" outlineLevel="0" r="603">
      <c r="A603" s="1" t="s">
        <v>398</v>
      </c>
      <c r="B603" s="1" t="s">
        <v>1101</v>
      </c>
      <c r="C603" s="1" t="s">
        <v>1087</v>
      </c>
      <c r="D603" s="1" t="n">
        <v>193.1</v>
      </c>
      <c r="E603" s="1" t="n">
        <v>11.02</v>
      </c>
      <c r="F603" s="1" t="n">
        <v>0.375</v>
      </c>
    </row>
    <row collapsed="false" customFormat="false" customHeight="false" hidden="false" ht="14.75" outlineLevel="0" r="604">
      <c r="A604" s="1" t="s">
        <v>1320</v>
      </c>
      <c r="B604" s="1" t="s">
        <v>1097</v>
      </c>
      <c r="C604" s="1" t="s">
        <v>1087</v>
      </c>
      <c r="D604" s="1" t="n">
        <v>220</v>
      </c>
      <c r="E604" s="1" t="n">
        <v>13.32</v>
      </c>
      <c r="F604" s="1" t="n">
        <v>1.8</v>
      </c>
    </row>
    <row collapsed="false" customFormat="false" customHeight="false" hidden="false" ht="14.75" outlineLevel="0" r="605">
      <c r="A605" s="1" t="s">
        <v>1321</v>
      </c>
      <c r="B605" s="1" t="s">
        <v>1106</v>
      </c>
      <c r="C605" s="1" t="s">
        <v>1087</v>
      </c>
      <c r="D605" s="1" t="n">
        <v>213.3</v>
      </c>
      <c r="E605" s="1" t="n">
        <v>10.51</v>
      </c>
      <c r="F605" s="1" t="n">
        <f aca="false">10/9</f>
        <v>1.11111111111111</v>
      </c>
    </row>
    <row collapsed="false" customFormat="false" customHeight="false" hidden="false" ht="14.75" outlineLevel="0" r="606">
      <c r="A606" s="1" t="s">
        <v>1322</v>
      </c>
      <c r="B606" s="1" t="s">
        <v>1106</v>
      </c>
      <c r="C606" s="1" t="s">
        <v>1087</v>
      </c>
      <c r="D606" s="1" t="n">
        <v>176.9</v>
      </c>
      <c r="E606" s="1" t="n">
        <v>9.14</v>
      </c>
      <c r="F606" s="1" t="n">
        <v>1.5</v>
      </c>
    </row>
    <row collapsed="false" customFormat="false" customHeight="false" hidden="false" ht="14.75" outlineLevel="0" r="607">
      <c r="A607" s="1" t="s">
        <v>178</v>
      </c>
      <c r="B607" s="1" t="s">
        <v>1100</v>
      </c>
      <c r="C607" s="1" t="s">
        <v>1087</v>
      </c>
      <c r="D607" s="1" t="n">
        <v>373</v>
      </c>
      <c r="E607" s="1" t="n">
        <v>20.3</v>
      </c>
      <c r="F607" s="1" t="n">
        <v>4.8</v>
      </c>
    </row>
    <row collapsed="false" customFormat="false" customHeight="false" hidden="false" ht="14.75" outlineLevel="0" r="608">
      <c r="A608" s="1" t="s">
        <v>179</v>
      </c>
      <c r="B608" s="1" t="s">
        <v>1101</v>
      </c>
      <c r="C608" s="1" t="s">
        <v>1087</v>
      </c>
      <c r="D608" s="1" t="n">
        <v>319.4</v>
      </c>
      <c r="E608" s="1" t="n">
        <v>17.12</v>
      </c>
      <c r="F608" s="1" t="n">
        <v>3.125</v>
      </c>
    </row>
    <row collapsed="false" customFormat="false" customHeight="false" hidden="false" ht="14.75" outlineLevel="0" r="609">
      <c r="A609" s="1" t="s">
        <v>1323</v>
      </c>
      <c r="B609" s="1" t="s">
        <v>1106</v>
      </c>
      <c r="C609" s="1" t="s">
        <v>1087</v>
      </c>
      <c r="D609" s="1" t="n">
        <v>200.6</v>
      </c>
      <c r="E609" s="1" t="n">
        <v>9.44</v>
      </c>
      <c r="F609" s="1" t="n">
        <f aca="false">14/9</f>
        <v>1.55555555555556</v>
      </c>
    </row>
    <row collapsed="false" customFormat="false" customHeight="false" hidden="false" ht="14.75" outlineLevel="0" r="610">
      <c r="A610" s="1" t="s">
        <v>1069</v>
      </c>
      <c r="B610" s="1" t="s">
        <v>1146</v>
      </c>
      <c r="C610" s="1" t="s">
        <v>1087</v>
      </c>
      <c r="D610" s="1" t="n">
        <v>93.6</v>
      </c>
      <c r="E610" s="1" t="n">
        <v>7.95</v>
      </c>
      <c r="F610" s="1" t="n">
        <v>1</v>
      </c>
    </row>
    <row collapsed="false" customFormat="false" customHeight="false" hidden="false" ht="14.75" outlineLevel="0" r="611">
      <c r="A611" s="1" t="s">
        <v>1324</v>
      </c>
      <c r="B611" s="1" t="s">
        <v>1093</v>
      </c>
      <c r="C611" s="1" t="s">
        <v>1087</v>
      </c>
      <c r="D611" s="1" t="n">
        <v>167.9</v>
      </c>
      <c r="E611" s="1" t="n">
        <v>10.7</v>
      </c>
      <c r="F611" s="1" t="n">
        <f aca="false">5/7</f>
        <v>0.714285714285714</v>
      </c>
    </row>
    <row collapsed="false" customFormat="false" customHeight="false" hidden="false" ht="14.75" outlineLevel="0" r="612">
      <c r="A612" s="1" t="s">
        <v>1325</v>
      </c>
      <c r="B612" s="1" t="s">
        <v>1110</v>
      </c>
      <c r="C612" s="1" t="s">
        <v>1087</v>
      </c>
      <c r="D612" s="1" t="n">
        <v>196.2</v>
      </c>
      <c r="E612" s="1" t="n">
        <v>10.17</v>
      </c>
      <c r="F612" s="1" t="n">
        <f aca="false">6/8</f>
        <v>0.75</v>
      </c>
    </row>
    <row collapsed="false" customFormat="false" customHeight="false" hidden="false" ht="14.75" outlineLevel="0" r="613">
      <c r="A613" s="1" t="s">
        <v>1326</v>
      </c>
      <c r="B613" s="1" t="s">
        <v>1102</v>
      </c>
      <c r="C613" s="1" t="s">
        <v>1087</v>
      </c>
      <c r="D613" s="1" t="n">
        <v>355.5</v>
      </c>
      <c r="E613" s="1" t="n">
        <v>21.23</v>
      </c>
      <c r="F613" s="1" t="n">
        <v>4.6</v>
      </c>
    </row>
    <row collapsed="false" customFormat="false" customHeight="false" hidden="false" ht="14.75" outlineLevel="0" r="614">
      <c r="A614" s="1" t="s">
        <v>1327</v>
      </c>
      <c r="B614" s="1" t="s">
        <v>1106</v>
      </c>
      <c r="C614" s="1" t="s">
        <v>1087</v>
      </c>
      <c r="D614" s="1" t="n">
        <v>259.4</v>
      </c>
      <c r="E614" s="1" t="n">
        <v>12.76</v>
      </c>
      <c r="F614" s="1" t="n">
        <f aca="false">12/9</f>
        <v>1.33333333333333</v>
      </c>
    </row>
    <row collapsed="false" customFormat="false" customHeight="false" hidden="false" ht="14.75" outlineLevel="0" r="615">
      <c r="A615" s="1" t="s">
        <v>1328</v>
      </c>
      <c r="B615" s="1" t="s">
        <v>1106</v>
      </c>
      <c r="C615" s="1" t="s">
        <v>1087</v>
      </c>
      <c r="D615" s="1" t="n">
        <v>159.4</v>
      </c>
      <c r="E615" s="1" t="n">
        <v>8.77</v>
      </c>
      <c r="F615" s="1" t="n">
        <f aca="false">4/8</f>
        <v>0.5</v>
      </c>
    </row>
    <row collapsed="false" customFormat="false" customHeight="false" hidden="false" ht="14.75" outlineLevel="0" r="616">
      <c r="A616" s="1" t="s">
        <v>1329</v>
      </c>
      <c r="B616" s="1" t="s">
        <v>1093</v>
      </c>
      <c r="C616" s="1" t="s">
        <v>1087</v>
      </c>
      <c r="D616" s="1" t="n">
        <v>235</v>
      </c>
      <c r="E616" s="1" t="n">
        <v>12.84</v>
      </c>
      <c r="F616" s="1" t="n">
        <f aca="false">16/8</f>
        <v>2</v>
      </c>
    </row>
    <row collapsed="false" customFormat="false" customHeight="false" hidden="false" ht="14.75" outlineLevel="0" r="617">
      <c r="A617" s="1" t="s">
        <v>1330</v>
      </c>
      <c r="B617" s="1" t="s">
        <v>1093</v>
      </c>
      <c r="C617" s="1" t="s">
        <v>1087</v>
      </c>
      <c r="D617" s="1" t="n">
        <v>283.1</v>
      </c>
      <c r="E617" s="1" t="n">
        <v>16.16</v>
      </c>
      <c r="F617" s="1" t="n">
        <f aca="false">13/8</f>
        <v>1.625</v>
      </c>
    </row>
    <row collapsed="false" customFormat="false" customHeight="false" hidden="false" ht="14.75" outlineLevel="0" r="618">
      <c r="A618" s="1" t="s">
        <v>1331</v>
      </c>
      <c r="B618" s="1" t="s">
        <v>1093</v>
      </c>
      <c r="C618" s="1" t="s">
        <v>1087</v>
      </c>
      <c r="D618" s="1" t="n">
        <v>75</v>
      </c>
      <c r="E618" s="1" t="n">
        <v>6.17</v>
      </c>
      <c r="F618" s="1" t="n">
        <v>0.5</v>
      </c>
    </row>
    <row collapsed="false" customFormat="false" customHeight="false" hidden="false" ht="14.75" outlineLevel="0" r="619">
      <c r="A619" s="1" t="s">
        <v>1332</v>
      </c>
      <c r="B619" s="1" t="s">
        <v>1101</v>
      </c>
      <c r="C619" s="1" t="s">
        <v>1087</v>
      </c>
      <c r="D619" s="1" t="n">
        <v>167.5</v>
      </c>
      <c r="E619" s="1" t="n">
        <v>8.28</v>
      </c>
      <c r="F619" s="1" t="n">
        <v>0.875</v>
      </c>
    </row>
    <row collapsed="false" customFormat="false" customHeight="false" hidden="false" ht="14.75" outlineLevel="0" r="620">
      <c r="A620" s="1" t="s">
        <v>282</v>
      </c>
      <c r="B620" s="1" t="s">
        <v>1102</v>
      </c>
      <c r="C620" s="1" t="s">
        <v>1087</v>
      </c>
      <c r="D620" s="1" t="n">
        <v>157</v>
      </c>
      <c r="E620" s="1" t="n">
        <v>11.62</v>
      </c>
      <c r="F620" s="1" t="n">
        <v>0.6</v>
      </c>
    </row>
    <row collapsed="false" customFormat="false" customHeight="false" hidden="false" ht="14.75" outlineLevel="0" r="621">
      <c r="A621" s="1" t="s">
        <v>620</v>
      </c>
      <c r="B621" s="1" t="s">
        <v>1127</v>
      </c>
      <c r="C621" s="1" t="s">
        <v>1087</v>
      </c>
      <c r="D621" s="1" t="n">
        <v>311.1</v>
      </c>
      <c r="E621" s="1" t="n">
        <v>17.45</v>
      </c>
      <c r="F621" s="1" t="n">
        <f aca="false">24/9</f>
        <v>2.66666666666667</v>
      </c>
    </row>
    <row collapsed="false" customFormat="false" customHeight="false" hidden="false" ht="14.75" outlineLevel="0" r="622">
      <c r="A622" s="1" t="s">
        <v>621</v>
      </c>
      <c r="B622" s="1" t="s">
        <v>1127</v>
      </c>
      <c r="C622" s="1" t="s">
        <v>1087</v>
      </c>
      <c r="D622" s="1" t="n">
        <v>189</v>
      </c>
      <c r="E622" s="1" t="n">
        <v>12.99</v>
      </c>
      <c r="F622" s="1" t="n">
        <v>1.4</v>
      </c>
    </row>
    <row collapsed="false" customFormat="false" customHeight="false" hidden="false" ht="14.75" outlineLevel="0" r="623">
      <c r="A623" s="1" t="s">
        <v>1333</v>
      </c>
      <c r="B623" s="1" t="s">
        <v>1086</v>
      </c>
      <c r="C623" s="1" t="s">
        <v>1087</v>
      </c>
      <c r="D623" s="1" t="n">
        <v>122.9</v>
      </c>
      <c r="E623" s="1" t="n">
        <v>8.3</v>
      </c>
      <c r="F623" s="1" t="n">
        <f aca="false">6/7</f>
        <v>0.857142857142857</v>
      </c>
    </row>
    <row collapsed="false" customFormat="false" customHeight="false" hidden="false" ht="14.75" outlineLevel="0" r="624">
      <c r="A624" s="1" t="s">
        <v>182</v>
      </c>
      <c r="B624" s="1" t="s">
        <v>1164</v>
      </c>
      <c r="C624" s="1" t="s">
        <v>1087</v>
      </c>
      <c r="D624" s="1" t="n">
        <v>34</v>
      </c>
      <c r="E624" s="1" t="n">
        <v>7</v>
      </c>
      <c r="F624" s="1" t="n">
        <v>0</v>
      </c>
    </row>
    <row collapsed="false" customFormat="false" customHeight="false" hidden="false" ht="14.75" outlineLevel="0" r="625">
      <c r="A625" s="1" t="s">
        <v>1334</v>
      </c>
      <c r="B625" s="1" t="s">
        <v>1127</v>
      </c>
      <c r="C625" s="1" t="s">
        <v>1087</v>
      </c>
      <c r="D625" s="1" t="n">
        <v>42.8</v>
      </c>
      <c r="E625" s="1" t="n">
        <v>3.67</v>
      </c>
      <c r="F625" s="1" t="n">
        <f aca="false">5/9</f>
        <v>0.555555555555556</v>
      </c>
    </row>
    <row collapsed="false" customFormat="false" customHeight="false" hidden="false" ht="14.75" outlineLevel="0" r="626">
      <c r="A626" s="1" t="s">
        <v>1335</v>
      </c>
      <c r="B626" s="1" t="s">
        <v>1127</v>
      </c>
      <c r="C626" s="1" t="s">
        <v>1087</v>
      </c>
      <c r="D626" s="1" t="n">
        <v>34.4</v>
      </c>
      <c r="E626" s="1" t="n">
        <v>6.5</v>
      </c>
      <c r="F626" s="1" t="n">
        <f aca="false">3/9</f>
        <v>0.333333333333333</v>
      </c>
    </row>
    <row collapsed="false" customFormat="false" customHeight="false" hidden="false" ht="14.75" outlineLevel="0" r="627">
      <c r="A627" s="1" t="s">
        <v>1336</v>
      </c>
      <c r="B627" s="1" t="s">
        <v>1146</v>
      </c>
      <c r="C627" s="1" t="s">
        <v>1087</v>
      </c>
      <c r="D627" s="1" t="n">
        <v>13.3</v>
      </c>
      <c r="E627" s="1" t="n">
        <v>0</v>
      </c>
      <c r="F627" s="1" t="n">
        <v>0</v>
      </c>
    </row>
    <row collapsed="false" customFormat="false" customHeight="false" hidden="false" ht="14.75" outlineLevel="0" r="628">
      <c r="A628" s="1" t="s">
        <v>1337</v>
      </c>
      <c r="B628" s="1" t="s">
        <v>1121</v>
      </c>
      <c r="C628" s="1" t="s">
        <v>1087</v>
      </c>
      <c r="D628" s="1" t="n">
        <v>511</v>
      </c>
      <c r="E628" s="1" t="n">
        <v>22</v>
      </c>
      <c r="F628" s="1" t="s">
        <v>9</v>
      </c>
    </row>
    <row collapsed="false" customFormat="false" customHeight="false" hidden="false" ht="14.75" outlineLevel="0" r="629">
      <c r="A629" s="1" t="s">
        <v>1338</v>
      </c>
      <c r="B629" s="1" t="s">
        <v>1089</v>
      </c>
      <c r="C629" s="1" t="s">
        <v>1087</v>
      </c>
      <c r="D629" s="1" t="n">
        <v>121.3</v>
      </c>
      <c r="E629" s="1" t="n">
        <v>7.46</v>
      </c>
      <c r="F629" s="1" t="n">
        <v>0.7</v>
      </c>
    </row>
    <row collapsed="false" customFormat="false" customHeight="false" hidden="false" ht="14.75" outlineLevel="0" r="630">
      <c r="A630" s="1" t="s">
        <v>1339</v>
      </c>
      <c r="B630" s="1" t="s">
        <v>1086</v>
      </c>
      <c r="C630" s="1" t="s">
        <v>1087</v>
      </c>
      <c r="D630" s="1" t="n">
        <v>154.3</v>
      </c>
      <c r="E630" s="1" t="n">
        <v>8.5</v>
      </c>
      <c r="F630" s="1" t="n">
        <f aca="false">6/7</f>
        <v>0.857142857142857</v>
      </c>
    </row>
    <row collapsed="false" customFormat="false" customHeight="false" hidden="false" ht="14.75" outlineLevel="0" r="631">
      <c r="A631" s="1" t="s">
        <v>1340</v>
      </c>
      <c r="B631" s="1" t="s">
        <v>1102</v>
      </c>
      <c r="C631" s="1" t="s">
        <v>1087</v>
      </c>
      <c r="D631" s="1" t="n">
        <v>248.5</v>
      </c>
      <c r="E631" s="1" t="n">
        <v>16.33</v>
      </c>
      <c r="F631" s="1" t="n">
        <v>2.1</v>
      </c>
    </row>
    <row collapsed="false" customFormat="false" customHeight="false" hidden="false" ht="14.75" outlineLevel="0" r="632">
      <c r="A632" s="1" t="s">
        <v>627</v>
      </c>
      <c r="B632" s="1" t="s">
        <v>1102</v>
      </c>
      <c r="C632" s="1" t="s">
        <v>1087</v>
      </c>
      <c r="D632" s="1" t="n">
        <v>416</v>
      </c>
      <c r="E632" s="1" t="n">
        <v>22.36</v>
      </c>
      <c r="F632" s="1" t="n">
        <v>4.7</v>
      </c>
    </row>
    <row collapsed="false" customFormat="false" customHeight="false" hidden="false" ht="14.75" outlineLevel="0" r="633">
      <c r="A633" s="1" t="s">
        <v>413</v>
      </c>
      <c r="B633" s="1" t="s">
        <v>1100</v>
      </c>
      <c r="C633" s="1" t="s">
        <v>1087</v>
      </c>
      <c r="D633" s="1" t="n">
        <v>288.3</v>
      </c>
      <c r="E633" s="1" t="n">
        <v>16.35</v>
      </c>
      <c r="F633" s="1" t="n">
        <f aca="false">22/9</f>
        <v>2.44444444444444</v>
      </c>
    </row>
    <row collapsed="false" customFormat="false" customHeight="false" hidden="false" ht="14.75" outlineLevel="0" r="634">
      <c r="A634" s="1" t="s">
        <v>414</v>
      </c>
      <c r="B634" s="1" t="s">
        <v>1101</v>
      </c>
      <c r="C634" s="1" t="s">
        <v>1087</v>
      </c>
      <c r="D634" s="1" t="n">
        <v>137.5</v>
      </c>
      <c r="E634" s="1" t="n">
        <v>5.96</v>
      </c>
      <c r="F634" s="1" t="n">
        <v>0.5</v>
      </c>
    </row>
    <row collapsed="false" customFormat="false" customHeight="false" hidden="false" ht="14.75" outlineLevel="0" r="635">
      <c r="A635" s="1" t="s">
        <v>1341</v>
      </c>
      <c r="B635" s="1" t="s">
        <v>1164</v>
      </c>
      <c r="C635" s="1" t="s">
        <v>1087</v>
      </c>
      <c r="D635" s="1" t="n">
        <v>162</v>
      </c>
      <c r="E635" s="1" t="n">
        <v>13.06</v>
      </c>
      <c r="F635" s="1" t="n">
        <f aca="false">3/5</f>
        <v>0.6</v>
      </c>
    </row>
    <row collapsed="false" customFormat="false" customHeight="false" hidden="false" ht="14.75" outlineLevel="0" r="636">
      <c r="A636" s="1" t="s">
        <v>1342</v>
      </c>
      <c r="B636" s="1" t="s">
        <v>1101</v>
      </c>
      <c r="C636" s="1" t="s">
        <v>1087</v>
      </c>
      <c r="D636" s="1" t="n">
        <v>146.9</v>
      </c>
      <c r="E636" s="1" t="n">
        <v>7.36</v>
      </c>
      <c r="F636" s="1" t="n">
        <v>0.5</v>
      </c>
    </row>
    <row collapsed="false" customFormat="false" customHeight="false" hidden="false" ht="14.75" outlineLevel="0" r="637">
      <c r="A637" s="1" t="s">
        <v>1343</v>
      </c>
      <c r="B637" s="1" t="s">
        <v>1089</v>
      </c>
      <c r="C637" s="1" t="s">
        <v>1087</v>
      </c>
      <c r="D637" s="1" t="n">
        <v>369.5</v>
      </c>
      <c r="E637" s="1" t="n">
        <v>18.99</v>
      </c>
      <c r="F637" s="1" t="n">
        <f aca="false">25/11</f>
        <v>2.27272727272727</v>
      </c>
    </row>
    <row collapsed="false" customFormat="false" customHeight="false" hidden="false" ht="14.75" outlineLevel="0" r="638">
      <c r="A638" s="1" t="s">
        <v>1344</v>
      </c>
      <c r="B638" s="1" t="s">
        <v>1089</v>
      </c>
      <c r="C638" s="1" t="s">
        <v>1087</v>
      </c>
      <c r="D638" s="1" t="n">
        <v>242.7</v>
      </c>
      <c r="E638" s="1" t="n">
        <v>14.1</v>
      </c>
      <c r="F638" s="1" t="n">
        <f aca="false">15/11</f>
        <v>1.36363636363636</v>
      </c>
    </row>
    <row collapsed="false" customFormat="false" customHeight="false" hidden="false" ht="14.75" outlineLevel="0" r="639">
      <c r="A639" s="1" t="s">
        <v>628</v>
      </c>
      <c r="B639" s="1" t="s">
        <v>1127</v>
      </c>
      <c r="C639" s="1" t="s">
        <v>1087</v>
      </c>
      <c r="D639" s="1" t="n">
        <v>202.5</v>
      </c>
      <c r="E639" s="1" t="n">
        <v>13.38</v>
      </c>
      <c r="F639" s="1" t="n">
        <f aca="false">18/8</f>
        <v>2.25</v>
      </c>
    </row>
    <row collapsed="false" customFormat="false" customHeight="false" hidden="false" ht="14.75" outlineLevel="0" r="640">
      <c r="A640" s="1" t="s">
        <v>629</v>
      </c>
      <c r="B640" s="1" t="s">
        <v>1127</v>
      </c>
      <c r="C640" s="1" t="s">
        <v>1087</v>
      </c>
      <c r="D640" s="1" t="n">
        <v>171.9</v>
      </c>
      <c r="E640" s="1" t="n">
        <v>11.92</v>
      </c>
      <c r="F640" s="1" t="n">
        <f aca="false">9/8</f>
        <v>1.125</v>
      </c>
    </row>
    <row collapsed="false" customFormat="false" customHeight="false" hidden="false" ht="14.75" outlineLevel="0" r="641">
      <c r="A641" s="1" t="s">
        <v>419</v>
      </c>
      <c r="B641" s="1" t="s">
        <v>1101</v>
      </c>
      <c r="C641" s="1" t="s">
        <v>1087</v>
      </c>
      <c r="D641" s="1" t="n">
        <v>214.4</v>
      </c>
      <c r="E641" s="1" t="n">
        <v>9.58</v>
      </c>
      <c r="F641" s="1" t="n">
        <v>1.375</v>
      </c>
    </row>
    <row collapsed="false" customFormat="false" customHeight="false" hidden="false" ht="14.75" outlineLevel="0" r="642">
      <c r="A642" s="1" t="s">
        <v>190</v>
      </c>
      <c r="B642" s="1" t="s">
        <v>1100</v>
      </c>
      <c r="C642" s="1" t="s">
        <v>1087</v>
      </c>
      <c r="D642" s="1" t="n">
        <v>298.3</v>
      </c>
      <c r="E642" s="1" t="n">
        <v>18.38</v>
      </c>
      <c r="F642" s="1" t="n">
        <f aca="false">30/9</f>
        <v>3.33333333333333</v>
      </c>
    </row>
    <row collapsed="false" customFormat="false" customHeight="false" hidden="false" ht="14.75" outlineLevel="0" r="643">
      <c r="A643" s="1" t="s">
        <v>191</v>
      </c>
      <c r="B643" s="1" t="s">
        <v>1101</v>
      </c>
      <c r="C643" s="1" t="s">
        <v>1087</v>
      </c>
      <c r="D643" s="1" t="n">
        <v>273.1</v>
      </c>
      <c r="E643" s="1" t="n">
        <v>14.19</v>
      </c>
      <c r="F643" s="1" t="n">
        <v>2.875</v>
      </c>
    </row>
    <row collapsed="false" customFormat="false" customHeight="false" hidden="false" ht="14.75" outlineLevel="0" r="644">
      <c r="A644" s="1" t="s">
        <v>420</v>
      </c>
      <c r="B644" s="1" t="s">
        <v>1101</v>
      </c>
      <c r="C644" s="1" t="s">
        <v>1087</v>
      </c>
      <c r="D644" s="1" t="n">
        <v>109.4</v>
      </c>
      <c r="E644" s="1" t="n">
        <v>8.08</v>
      </c>
      <c r="F644" s="1" t="n">
        <v>0.75</v>
      </c>
    </row>
    <row collapsed="false" customFormat="false" customHeight="false" hidden="false" ht="14.75" outlineLevel="0" r="645">
      <c r="A645" s="1" t="s">
        <v>1345</v>
      </c>
      <c r="B645" s="1" t="s">
        <v>1101</v>
      </c>
      <c r="C645" s="1" t="s">
        <v>1087</v>
      </c>
      <c r="D645" s="1" t="n">
        <v>125.6</v>
      </c>
      <c r="E645" s="1" t="n">
        <v>7.07</v>
      </c>
      <c r="F645" s="1" t="n">
        <v>0.5</v>
      </c>
    </row>
    <row collapsed="false" customFormat="false" customHeight="false" hidden="false" ht="14.75" outlineLevel="0" r="646">
      <c r="A646" s="1" t="s">
        <v>421</v>
      </c>
      <c r="B646" s="1" t="s">
        <v>1100</v>
      </c>
      <c r="C646" s="1" t="s">
        <v>1087</v>
      </c>
      <c r="D646" s="1" t="n">
        <v>340.6</v>
      </c>
      <c r="E646" s="1" t="n">
        <v>19.23</v>
      </c>
      <c r="F646" s="1" t="n">
        <f aca="false">21/9</f>
        <v>2.33333333333333</v>
      </c>
    </row>
    <row collapsed="false" customFormat="false" customHeight="false" hidden="false" ht="14.75" outlineLevel="0" r="647">
      <c r="A647" s="1" t="s">
        <v>422</v>
      </c>
      <c r="B647" s="1" t="s">
        <v>1101</v>
      </c>
      <c r="C647" s="1" t="s">
        <v>1087</v>
      </c>
      <c r="D647" s="1" t="n">
        <v>126.9</v>
      </c>
      <c r="E647" s="1" t="n">
        <v>7.56</v>
      </c>
      <c r="F647" s="1" t="n">
        <v>0.625</v>
      </c>
    </row>
    <row collapsed="false" customFormat="false" customHeight="false" hidden="false" ht="14.75" outlineLevel="0" r="648">
      <c r="A648" s="1" t="s">
        <v>1346</v>
      </c>
      <c r="B648" s="1" t="s">
        <v>1097</v>
      </c>
      <c r="C648" s="1" t="s">
        <v>1087</v>
      </c>
      <c r="D648" s="1" t="n">
        <v>315</v>
      </c>
      <c r="E648" s="1" t="n">
        <v>19.81</v>
      </c>
      <c r="F648" s="1" t="n">
        <f aca="false">39/11</f>
        <v>3.54545454545455</v>
      </c>
    </row>
    <row collapsed="false" customFormat="false" customHeight="false" hidden="false" ht="14.75" outlineLevel="0" r="649">
      <c r="A649" s="1" t="s">
        <v>1347</v>
      </c>
      <c r="B649" s="1" t="s">
        <v>1097</v>
      </c>
      <c r="C649" s="1" t="s">
        <v>1087</v>
      </c>
      <c r="D649" s="1" t="n">
        <v>198</v>
      </c>
      <c r="E649" s="1" t="n">
        <v>13</v>
      </c>
      <c r="F649" s="1" t="n">
        <v>1.5</v>
      </c>
    </row>
    <row collapsed="false" customFormat="false" customHeight="false" hidden="false" ht="14.75" outlineLevel="0" r="650">
      <c r="A650" s="1" t="s">
        <v>1348</v>
      </c>
      <c r="B650" s="1" t="s">
        <v>1097</v>
      </c>
      <c r="C650" s="1" t="s">
        <v>1087</v>
      </c>
      <c r="D650" s="1" t="n">
        <v>186</v>
      </c>
      <c r="E650" s="1" t="n">
        <v>11.67</v>
      </c>
      <c r="F650" s="1" t="n">
        <v>1.2</v>
      </c>
    </row>
    <row collapsed="false" customFormat="false" customHeight="false" hidden="false" ht="14.75" outlineLevel="0" r="651">
      <c r="A651" s="1" t="s">
        <v>1349</v>
      </c>
      <c r="B651" s="1" t="s">
        <v>1097</v>
      </c>
      <c r="C651" s="1" t="s">
        <v>1087</v>
      </c>
      <c r="D651" s="1" t="n">
        <v>41.4</v>
      </c>
      <c r="E651" s="1" t="n">
        <v>2.5</v>
      </c>
      <c r="F651" s="1" t="n">
        <f aca="false">2/7</f>
        <v>0.285714285714286</v>
      </c>
    </row>
    <row collapsed="false" customFormat="false" customHeight="false" hidden="false" ht="14.75" outlineLevel="0" r="652">
      <c r="A652" s="1" t="s">
        <v>1350</v>
      </c>
      <c r="B652" s="1" t="s">
        <v>1146</v>
      </c>
      <c r="C652" s="1" t="s">
        <v>1087</v>
      </c>
      <c r="D652" s="1" t="n">
        <v>129.3</v>
      </c>
      <c r="E652" s="1" t="n">
        <v>9.89</v>
      </c>
      <c r="F652" s="1" t="n">
        <f aca="false">12/7</f>
        <v>1.71428571428571</v>
      </c>
    </row>
    <row collapsed="false" customFormat="false" customHeight="false" hidden="false" ht="14.75" outlineLevel="0" r="653">
      <c r="A653" s="1" t="s">
        <v>1351</v>
      </c>
      <c r="B653" s="1" t="s">
        <v>1146</v>
      </c>
      <c r="C653" s="1" t="s">
        <v>1087</v>
      </c>
      <c r="D653" s="1" t="n">
        <v>103.3</v>
      </c>
      <c r="E653" s="1" t="n">
        <v>8.82</v>
      </c>
      <c r="F653" s="1" t="n">
        <f aca="false">3/7</f>
        <v>0.428571428571429</v>
      </c>
    </row>
    <row collapsed="false" customFormat="false" customHeight="false" hidden="false" ht="14.75" outlineLevel="0" r="654">
      <c r="A654" s="1" t="s">
        <v>1352</v>
      </c>
      <c r="B654" s="1" t="s">
        <v>1089</v>
      </c>
      <c r="C654" s="1" t="s">
        <v>1087</v>
      </c>
      <c r="D654" s="1" t="n">
        <v>119.1</v>
      </c>
      <c r="E654" s="1" t="n">
        <v>7.34</v>
      </c>
      <c r="F654" s="1" t="n">
        <v>1.1</v>
      </c>
    </row>
    <row collapsed="false" customFormat="false" customHeight="false" hidden="false" ht="14.75" outlineLevel="0" r="655">
      <c r="A655" s="1" t="s">
        <v>1353</v>
      </c>
      <c r="B655" s="1" t="s">
        <v>1089</v>
      </c>
      <c r="C655" s="1" t="s">
        <v>1087</v>
      </c>
      <c r="D655" s="1" t="n">
        <v>36.1</v>
      </c>
      <c r="E655" s="1" t="n">
        <v>3.96</v>
      </c>
      <c r="F655" s="1" t="n">
        <f aca="false">2/9</f>
        <v>0.222222222222222</v>
      </c>
    </row>
    <row collapsed="false" customFormat="false" customHeight="false" hidden="false" ht="14.75" outlineLevel="0" r="656">
      <c r="A656" s="1" t="s">
        <v>1354</v>
      </c>
      <c r="B656" s="1" t="s">
        <v>1106</v>
      </c>
      <c r="C656" s="1" t="s">
        <v>1087</v>
      </c>
      <c r="D656" s="1" t="n">
        <v>81.2</v>
      </c>
      <c r="E656" s="1" t="n">
        <v>2.33</v>
      </c>
      <c r="F656" s="1" t="n">
        <v>0.5</v>
      </c>
    </row>
    <row collapsed="false" customFormat="false" customHeight="false" hidden="false" ht="14.75" outlineLevel="0" r="657">
      <c r="A657" s="1" t="s">
        <v>1355</v>
      </c>
      <c r="B657" s="1" t="s">
        <v>1093</v>
      </c>
      <c r="C657" s="1" t="s">
        <v>1087</v>
      </c>
      <c r="D657" s="1" t="n">
        <v>39.2</v>
      </c>
      <c r="E657" s="1" t="n">
        <v>4.38</v>
      </c>
      <c r="F657" s="1" t="n">
        <f aca="false">1/6</f>
        <v>0.166666666666667</v>
      </c>
    </row>
    <row collapsed="false" customFormat="false" customHeight="false" hidden="false" ht="14.75" outlineLevel="0" r="658">
      <c r="A658" s="1" t="s">
        <v>1356</v>
      </c>
      <c r="B658" s="1" t="s">
        <v>1093</v>
      </c>
      <c r="C658" s="1" t="s">
        <v>1087</v>
      </c>
      <c r="D658" s="1" t="n">
        <v>20</v>
      </c>
      <c r="E658" s="1" t="n">
        <v>2</v>
      </c>
      <c r="F658" s="1" t="n">
        <v>0</v>
      </c>
    </row>
    <row collapsed="false" customFormat="false" customHeight="false" hidden="false" ht="14.75" outlineLevel="0" r="659">
      <c r="A659" s="1" t="s">
        <v>1357</v>
      </c>
      <c r="B659" s="1" t="s">
        <v>1146</v>
      </c>
      <c r="C659" s="1" t="s">
        <v>1087</v>
      </c>
      <c r="D659" s="1" t="n">
        <v>166.9</v>
      </c>
      <c r="E659" s="1" t="n">
        <v>12.83</v>
      </c>
      <c r="F659" s="1" t="n">
        <v>0.5</v>
      </c>
    </row>
    <row collapsed="false" customFormat="false" customHeight="false" hidden="false" ht="14.75" outlineLevel="0" r="660">
      <c r="A660" s="1" t="s">
        <v>1358</v>
      </c>
      <c r="B660" s="1" t="s">
        <v>1146</v>
      </c>
      <c r="C660" s="1" t="s">
        <v>1087</v>
      </c>
      <c r="D660" s="1" t="n">
        <v>119.2</v>
      </c>
      <c r="E660" s="1" t="n">
        <v>7.56</v>
      </c>
      <c r="F660" s="1" t="n">
        <f aca="false">3/7</f>
        <v>0.428571428571429</v>
      </c>
    </row>
    <row collapsed="false" customFormat="false" customHeight="false" hidden="false" ht="14.75" outlineLevel="0" r="661">
      <c r="A661" s="1" t="s">
        <v>1489</v>
      </c>
      <c r="B661" s="4" t="s">
        <v>1490</v>
      </c>
      <c r="C661" s="1" t="s">
        <v>1491</v>
      </c>
      <c r="D661" s="1" t="n">
        <v>281.9</v>
      </c>
      <c r="E661" s="1" t="n">
        <v>18.16</v>
      </c>
      <c r="F661" s="1" t="n">
        <f aca="false">26/8</f>
        <v>3.25</v>
      </c>
    </row>
    <row collapsed="false" customFormat="false" customHeight="false" hidden="false" ht="14.75" outlineLevel="0" r="662">
      <c r="A662" s="1" t="s">
        <v>1492</v>
      </c>
      <c r="B662" s="1" t="s">
        <v>1493</v>
      </c>
      <c r="C662" s="1" t="s">
        <v>1491</v>
      </c>
      <c r="D662" s="1" t="n">
        <v>163.3</v>
      </c>
      <c r="E662" s="1" t="n">
        <v>14.25</v>
      </c>
      <c r="F662" s="1" t="n">
        <v>1</v>
      </c>
    </row>
    <row collapsed="false" customFormat="false" customHeight="false" hidden="false" ht="14.75" outlineLevel="0" r="663">
      <c r="A663" s="1" t="s">
        <v>1367</v>
      </c>
      <c r="B663" s="4" t="s">
        <v>1490</v>
      </c>
      <c r="C663" s="1" t="s">
        <v>1491</v>
      </c>
      <c r="D663" s="1" t="n">
        <v>17.9</v>
      </c>
      <c r="E663" s="1" t="n">
        <v>0.83</v>
      </c>
      <c r="F663" s="1" t="n">
        <v>0</v>
      </c>
    </row>
    <row collapsed="false" customFormat="false" customHeight="false" hidden="false" ht="14.75" outlineLevel="0" r="664">
      <c r="A664" s="1" t="s">
        <v>796</v>
      </c>
      <c r="B664" s="1" t="s">
        <v>1494</v>
      </c>
      <c r="C664" s="1" t="s">
        <v>1491</v>
      </c>
      <c r="D664" s="1" t="n">
        <v>251.7</v>
      </c>
      <c r="E664" s="1" t="n">
        <v>17.86</v>
      </c>
      <c r="F664" s="1" t="n">
        <v>1.4</v>
      </c>
    </row>
    <row collapsed="false" customFormat="false" customHeight="false" hidden="false" ht="14.75" outlineLevel="0" r="665">
      <c r="A665" s="1" t="s">
        <v>1495</v>
      </c>
      <c r="B665" s="1" t="s">
        <v>1496</v>
      </c>
      <c r="C665" s="1" t="s">
        <v>1491</v>
      </c>
      <c r="D665" s="1" t="n">
        <v>118.3</v>
      </c>
      <c r="E665" s="1" t="n">
        <v>12.58</v>
      </c>
      <c r="F665" s="1" t="n">
        <v>1</v>
      </c>
    </row>
    <row collapsed="false" customFormat="false" customHeight="false" hidden="false" ht="14.75" outlineLevel="0" r="666">
      <c r="A666" s="1" t="s">
        <v>1497</v>
      </c>
      <c r="B666" s="1" t="s">
        <v>1496</v>
      </c>
      <c r="C666" s="1" t="s">
        <v>1491</v>
      </c>
      <c r="D666" s="1" t="n">
        <v>77.5</v>
      </c>
      <c r="E666" s="1" t="n">
        <v>8.08</v>
      </c>
      <c r="F666" s="1" t="n">
        <f aca="false">5/6</f>
        <v>0.833333333333333</v>
      </c>
    </row>
    <row collapsed="false" customFormat="false" customHeight="false" hidden="false" ht="14.75" outlineLevel="0" r="667">
      <c r="A667" s="1" t="s">
        <v>1498</v>
      </c>
      <c r="B667" s="1" t="s">
        <v>1499</v>
      </c>
      <c r="C667" s="4" t="s">
        <v>1491</v>
      </c>
      <c r="D667" s="1" t="n">
        <v>126</v>
      </c>
      <c r="E667" s="1" t="n">
        <v>10.24</v>
      </c>
      <c r="F667" s="1" t="n">
        <v>0.8</v>
      </c>
    </row>
    <row collapsed="false" customFormat="false" customHeight="false" hidden="false" ht="14.75" outlineLevel="0" r="668">
      <c r="A668" s="1" t="s">
        <v>1500</v>
      </c>
      <c r="B668" s="1" t="s">
        <v>1499</v>
      </c>
      <c r="C668" s="4" t="s">
        <v>1491</v>
      </c>
      <c r="D668" s="1" t="n">
        <v>128</v>
      </c>
      <c r="E668" s="1" t="n">
        <v>10.21</v>
      </c>
      <c r="F668" s="1" t="n">
        <v>0.6</v>
      </c>
    </row>
    <row collapsed="false" customFormat="false" customHeight="false" hidden="false" ht="14.75" outlineLevel="0" r="669">
      <c r="A669" s="1" t="s">
        <v>1501</v>
      </c>
      <c r="B669" s="1" t="s">
        <v>1499</v>
      </c>
      <c r="C669" s="4" t="s">
        <v>1491</v>
      </c>
      <c r="D669" s="1" t="n">
        <v>154</v>
      </c>
      <c r="E669" s="1" t="n">
        <v>7.66</v>
      </c>
      <c r="F669" s="1" t="n">
        <v>0.9</v>
      </c>
    </row>
    <row collapsed="false" customFormat="false" customHeight="false" hidden="false" ht="14.75" outlineLevel="0" r="670">
      <c r="A670" s="1" t="s">
        <v>511</v>
      </c>
      <c r="B670" s="1" t="s">
        <v>1496</v>
      </c>
      <c r="C670" s="1" t="s">
        <v>1491</v>
      </c>
      <c r="D670" s="1" t="n">
        <v>221.4</v>
      </c>
      <c r="E670" s="1" t="n">
        <v>15</v>
      </c>
      <c r="F670" s="1" t="n">
        <v>2</v>
      </c>
    </row>
    <row collapsed="false" customFormat="false" customHeight="false" hidden="false" ht="14.75" outlineLevel="0" r="671">
      <c r="A671" s="1" t="s">
        <v>512</v>
      </c>
      <c r="B671" s="1" t="s">
        <v>1496</v>
      </c>
      <c r="C671" s="1" t="s">
        <v>1491</v>
      </c>
      <c r="D671" s="1" t="n">
        <v>78.3</v>
      </c>
      <c r="E671" s="1" t="n">
        <v>8.21</v>
      </c>
      <c r="F671" s="1" t="n">
        <f aca="false">4/6</f>
        <v>0.666666666666667</v>
      </c>
    </row>
    <row collapsed="false" customFormat="false" customHeight="false" hidden="false" ht="14.75" outlineLevel="0" r="672">
      <c r="A672" s="1" t="s">
        <v>1502</v>
      </c>
      <c r="B672" s="1" t="s">
        <v>1496</v>
      </c>
      <c r="C672" s="1" t="s">
        <v>1491</v>
      </c>
      <c r="D672" s="1" t="n">
        <v>84.2</v>
      </c>
      <c r="E672" s="1" t="n">
        <v>10.38</v>
      </c>
      <c r="F672" s="1" t="n">
        <v>0.5</v>
      </c>
    </row>
    <row collapsed="false" customFormat="false" customHeight="false" hidden="false" ht="14.75" outlineLevel="0" r="673">
      <c r="A673" s="1" t="s">
        <v>1503</v>
      </c>
      <c r="B673" s="1" t="s">
        <v>1504</v>
      </c>
      <c r="C673" s="1" t="s">
        <v>1491</v>
      </c>
      <c r="D673" s="1" t="n">
        <v>275</v>
      </c>
      <c r="E673" s="1" t="n">
        <v>14.23</v>
      </c>
      <c r="F673" s="1" t="n">
        <f aca="false">10/7</f>
        <v>1.42857142857143</v>
      </c>
    </row>
    <row collapsed="false" customFormat="false" customHeight="false" hidden="false" ht="14.75" outlineLevel="0" r="674">
      <c r="A674" s="1" t="s">
        <v>1505</v>
      </c>
      <c r="B674" s="1" t="s">
        <v>1504</v>
      </c>
      <c r="C674" s="1" t="s">
        <v>1491</v>
      </c>
      <c r="D674" s="1" t="n">
        <v>130.7</v>
      </c>
      <c r="E674" s="1" t="n">
        <v>10.1</v>
      </c>
      <c r="F674" s="1" t="n">
        <f aca="false">3/7</f>
        <v>0.428571428571429</v>
      </c>
    </row>
    <row collapsed="false" customFormat="false" customHeight="false" hidden="false" ht="14.75" outlineLevel="0" r="675">
      <c r="A675" s="1" t="s">
        <v>1506</v>
      </c>
      <c r="B675" s="1" t="s">
        <v>1499</v>
      </c>
      <c r="C675" s="4" t="s">
        <v>1491</v>
      </c>
      <c r="D675" s="1" t="n">
        <v>293.4</v>
      </c>
      <c r="E675" s="1" t="n">
        <v>18.22</v>
      </c>
      <c r="F675" s="1" t="n">
        <f aca="false">31/11</f>
        <v>2.81818181818182</v>
      </c>
    </row>
    <row collapsed="false" customFormat="false" customHeight="false" hidden="false" ht="14.75" outlineLevel="0" r="676">
      <c r="A676" s="1" t="s">
        <v>1507</v>
      </c>
      <c r="B676" s="1" t="s">
        <v>1496</v>
      </c>
      <c r="C676" s="1" t="s">
        <v>1491</v>
      </c>
      <c r="D676" s="1" t="n">
        <v>13.3</v>
      </c>
      <c r="E676" s="1" t="n">
        <v>1.43</v>
      </c>
      <c r="F676" s="1" t="n">
        <v>0</v>
      </c>
    </row>
    <row collapsed="false" customFormat="false" customHeight="false" hidden="false" ht="14.75" outlineLevel="0" r="677">
      <c r="A677" s="1" t="s">
        <v>513</v>
      </c>
      <c r="B677" s="1" t="s">
        <v>1496</v>
      </c>
      <c r="C677" s="1" t="s">
        <v>1491</v>
      </c>
      <c r="D677" s="1" t="n">
        <v>372.5</v>
      </c>
      <c r="E677" s="1" t="n">
        <v>20.79</v>
      </c>
      <c r="F677" s="1" t="n">
        <f aca="false">28/8</f>
        <v>3.5</v>
      </c>
    </row>
    <row collapsed="false" customFormat="false" customHeight="false" hidden="false" ht="14.75" outlineLevel="0" r="678">
      <c r="A678" s="1" t="s">
        <v>514</v>
      </c>
      <c r="B678" s="1" t="s">
        <v>1496</v>
      </c>
      <c r="C678" s="1" t="s">
        <v>1491</v>
      </c>
      <c r="D678" s="1" t="n">
        <v>245</v>
      </c>
      <c r="E678" s="1" t="n">
        <v>17.92</v>
      </c>
      <c r="F678" s="1" t="n">
        <f aca="false">15/7</f>
        <v>2.14285714285714</v>
      </c>
    </row>
    <row collapsed="false" customFormat="false" customHeight="false" hidden="false" ht="14.75" outlineLevel="0" r="679">
      <c r="A679" s="1" t="s">
        <v>1508</v>
      </c>
      <c r="B679" s="1" t="s">
        <v>1496</v>
      </c>
      <c r="C679" s="1" t="s">
        <v>1491</v>
      </c>
      <c r="D679" s="1" t="n">
        <v>64.2</v>
      </c>
      <c r="E679" s="1" t="n">
        <v>10</v>
      </c>
      <c r="F679" s="1" t="n">
        <f aca="false">1/6</f>
        <v>0.166666666666667</v>
      </c>
    </row>
    <row collapsed="false" customFormat="false" customHeight="false" hidden="false" ht="14.75" outlineLevel="0" r="680">
      <c r="A680" s="1" t="s">
        <v>1509</v>
      </c>
      <c r="B680" s="1" t="s">
        <v>1496</v>
      </c>
      <c r="C680" s="1" t="s">
        <v>1491</v>
      </c>
      <c r="D680" s="1" t="n">
        <v>86.7</v>
      </c>
      <c r="E680" s="1" t="n">
        <v>9.66</v>
      </c>
      <c r="F680" s="1" t="n">
        <f aca="false">2/6</f>
        <v>0.333333333333333</v>
      </c>
    </row>
    <row collapsed="false" customFormat="false" customHeight="false" hidden="false" ht="14.75" outlineLevel="0" r="681">
      <c r="A681" s="1" t="s">
        <v>1510</v>
      </c>
      <c r="B681" s="4" t="s">
        <v>1490</v>
      </c>
      <c r="C681" s="1" t="s">
        <v>1491</v>
      </c>
      <c r="D681" s="1" t="n">
        <v>114.3</v>
      </c>
      <c r="E681" s="1" t="n">
        <v>10.25</v>
      </c>
      <c r="F681" s="1" t="n">
        <f aca="false">1/7</f>
        <v>0.142857142857143</v>
      </c>
    </row>
    <row collapsed="false" customFormat="false" customHeight="false" hidden="false" ht="14.75" outlineLevel="0" r="682">
      <c r="A682" s="1" t="s">
        <v>1511</v>
      </c>
      <c r="B682" s="4" t="s">
        <v>1490</v>
      </c>
      <c r="C682" s="1" t="s">
        <v>1491</v>
      </c>
      <c r="D682" s="1" t="n">
        <v>73.1</v>
      </c>
      <c r="E682" s="1" t="n">
        <v>4.87</v>
      </c>
      <c r="F682" s="1" t="n">
        <f aca="false">5/8</f>
        <v>0.625</v>
      </c>
    </row>
    <row collapsed="false" customFormat="false" customHeight="false" hidden="false" ht="14.75" outlineLevel="0" r="683">
      <c r="A683" s="1" t="s">
        <v>439</v>
      </c>
      <c r="B683" s="1" t="s">
        <v>1493</v>
      </c>
      <c r="C683" s="1" t="s">
        <v>1491</v>
      </c>
      <c r="D683" s="1" t="n">
        <v>142.1</v>
      </c>
      <c r="E683" s="1" t="n">
        <v>9.8</v>
      </c>
      <c r="F683" s="1" t="n">
        <f aca="false">6/8</f>
        <v>0.75</v>
      </c>
    </row>
    <row collapsed="false" customFormat="false" customHeight="false" hidden="false" ht="14.75" outlineLevel="0" r="684">
      <c r="A684" s="1" t="s">
        <v>441</v>
      </c>
      <c r="B684" s="1" t="s">
        <v>1493</v>
      </c>
      <c r="C684" s="1" t="s">
        <v>1491</v>
      </c>
      <c r="D684" s="1" t="n">
        <v>125.7</v>
      </c>
      <c r="E684" s="1" t="n">
        <v>10.83</v>
      </c>
      <c r="F684" s="1" t="n">
        <f aca="false">6/7</f>
        <v>0.857142857142857</v>
      </c>
    </row>
    <row collapsed="false" customFormat="false" customHeight="false" hidden="false" ht="14.75" outlineLevel="0" r="685">
      <c r="A685" s="1" t="s">
        <v>1125</v>
      </c>
      <c r="B685" s="4" t="s">
        <v>1490</v>
      </c>
      <c r="C685" s="1" t="s">
        <v>1491</v>
      </c>
      <c r="D685" s="1" t="n">
        <v>221.4</v>
      </c>
      <c r="E685" s="1" t="n">
        <v>15</v>
      </c>
      <c r="F685" s="1" t="n">
        <v>2</v>
      </c>
    </row>
    <row collapsed="false" customFormat="false" customHeight="false" hidden="false" ht="14.75" outlineLevel="0" r="686">
      <c r="A686" s="1" t="s">
        <v>821</v>
      </c>
      <c r="B686" s="1" t="s">
        <v>1512</v>
      </c>
      <c r="C686" s="1" t="s">
        <v>1491</v>
      </c>
      <c r="D686" s="1" t="n">
        <v>305</v>
      </c>
      <c r="E686" s="1" t="n">
        <v>18.13</v>
      </c>
      <c r="F686" s="1" t="n">
        <v>2.2</v>
      </c>
    </row>
    <row collapsed="false" customFormat="false" customHeight="false" hidden="false" ht="14.75" outlineLevel="0" r="687">
      <c r="A687" s="1" t="s">
        <v>1513</v>
      </c>
      <c r="B687" s="1" t="s">
        <v>1512</v>
      </c>
      <c r="C687" s="1" t="s">
        <v>1491</v>
      </c>
      <c r="D687" s="1" t="n">
        <v>111</v>
      </c>
      <c r="E687" s="1" t="n">
        <v>9.62</v>
      </c>
      <c r="F687" s="1" t="n">
        <v>0.7</v>
      </c>
    </row>
    <row collapsed="false" customFormat="false" customHeight="false" hidden="false" ht="14.75" outlineLevel="0" r="688">
      <c r="A688" s="1" t="s">
        <v>101</v>
      </c>
      <c r="B688" s="1" t="s">
        <v>1512</v>
      </c>
      <c r="C688" s="1" t="s">
        <v>1491</v>
      </c>
      <c r="D688" s="1" t="n">
        <v>391</v>
      </c>
      <c r="E688" s="1" t="n">
        <v>18.5</v>
      </c>
      <c r="F688" s="1" t="n">
        <v>4.5</v>
      </c>
    </row>
    <row collapsed="false" customFormat="false" customHeight="false" hidden="false" ht="14.75" outlineLevel="0" r="689">
      <c r="A689" s="1" t="s">
        <v>1514</v>
      </c>
      <c r="B689" s="1" t="s">
        <v>1512</v>
      </c>
      <c r="C689" s="1" t="s">
        <v>1491</v>
      </c>
      <c r="D689" s="1" t="n">
        <v>126.5</v>
      </c>
      <c r="E689" s="1" t="n">
        <v>10.65</v>
      </c>
      <c r="F689" s="1" t="n">
        <f aca="false">3/5</f>
        <v>0.6</v>
      </c>
    </row>
    <row collapsed="false" customFormat="false" customHeight="false" hidden="false" ht="14.75" outlineLevel="0" r="690">
      <c r="A690" s="1" t="s">
        <v>824</v>
      </c>
      <c r="B690" s="1" t="s">
        <v>1494</v>
      </c>
      <c r="C690" s="1" t="s">
        <v>1491</v>
      </c>
      <c r="D690" s="1" t="n">
        <v>291</v>
      </c>
      <c r="E690" s="1" t="n">
        <v>17.75</v>
      </c>
      <c r="F690" s="1" t="n">
        <v>2.7</v>
      </c>
    </row>
    <row collapsed="false" customFormat="false" customHeight="false" hidden="false" ht="14.75" outlineLevel="0" r="691">
      <c r="A691" s="1" t="s">
        <v>1008</v>
      </c>
      <c r="B691" s="1" t="s">
        <v>1494</v>
      </c>
      <c r="C691" s="1" t="s">
        <v>1491</v>
      </c>
      <c r="D691" s="1" t="n">
        <v>194</v>
      </c>
      <c r="E691" s="1" t="n">
        <v>14.25</v>
      </c>
      <c r="F691" s="1" t="n">
        <v>1</v>
      </c>
    </row>
    <row collapsed="false" customFormat="false" customHeight="false" hidden="false" ht="14.75" outlineLevel="0" r="692">
      <c r="A692" s="1" t="s">
        <v>1009</v>
      </c>
      <c r="B692" s="1" t="s">
        <v>1494</v>
      </c>
      <c r="C692" s="1" t="s">
        <v>1491</v>
      </c>
      <c r="D692" s="1" t="n">
        <v>103.9</v>
      </c>
      <c r="E692" s="1" t="n">
        <v>10.85</v>
      </c>
      <c r="F692" s="1" t="n">
        <v>0.8</v>
      </c>
    </row>
    <row collapsed="false" customFormat="false" customHeight="false" hidden="false" ht="14.75" outlineLevel="0" r="693">
      <c r="A693" s="1" t="s">
        <v>1011</v>
      </c>
      <c r="B693" s="1" t="s">
        <v>1499</v>
      </c>
      <c r="C693" s="4" t="s">
        <v>1491</v>
      </c>
      <c r="D693" s="1" t="n">
        <v>164</v>
      </c>
      <c r="E693" s="1" t="n">
        <v>12.08</v>
      </c>
      <c r="F693" s="1" t="n">
        <v>1.5</v>
      </c>
    </row>
    <row collapsed="false" customFormat="false" customHeight="false" hidden="false" ht="14.75" outlineLevel="0" r="694">
      <c r="A694" s="1" t="s">
        <v>1012</v>
      </c>
      <c r="B694" s="1" t="s">
        <v>1499</v>
      </c>
      <c r="C694" s="4" t="s">
        <v>1491</v>
      </c>
      <c r="D694" s="1" t="n">
        <v>156.7</v>
      </c>
      <c r="E694" s="1" t="n">
        <v>10.86</v>
      </c>
      <c r="F694" s="1" t="n">
        <v>0.9</v>
      </c>
    </row>
    <row collapsed="false" customFormat="false" customHeight="false" hidden="false" ht="14.75" outlineLevel="0" r="695">
      <c r="A695" s="1" t="s">
        <v>1515</v>
      </c>
      <c r="B695" s="1" t="s">
        <v>1499</v>
      </c>
      <c r="C695" s="4" t="s">
        <v>1491</v>
      </c>
      <c r="D695" s="1" t="n">
        <v>104.7</v>
      </c>
      <c r="E695" s="1" t="n">
        <v>6.04</v>
      </c>
      <c r="F695" s="1" t="n">
        <v>0.6</v>
      </c>
    </row>
    <row collapsed="false" customFormat="false" customHeight="false" hidden="false" ht="14.75" outlineLevel="0" r="696">
      <c r="A696" s="1" t="s">
        <v>827</v>
      </c>
      <c r="B696" s="1" t="s">
        <v>1494</v>
      </c>
      <c r="C696" s="1" t="s">
        <v>1491</v>
      </c>
      <c r="D696" s="1" t="n">
        <v>308.2</v>
      </c>
      <c r="E696" s="1" t="n">
        <v>18.99</v>
      </c>
      <c r="F696" s="1" t="n">
        <f aca="false">30/11</f>
        <v>2.72727272727273</v>
      </c>
    </row>
    <row collapsed="false" customFormat="false" customHeight="false" hidden="false" ht="14.75" outlineLevel="0" r="697">
      <c r="A697" s="1" t="s">
        <v>828</v>
      </c>
      <c r="B697" s="1" t="s">
        <v>1494</v>
      </c>
      <c r="C697" s="1" t="s">
        <v>1491</v>
      </c>
      <c r="D697" s="1" t="n">
        <v>173.5</v>
      </c>
      <c r="E697" s="1" t="n">
        <v>11.57</v>
      </c>
      <c r="F697" s="1" t="n">
        <v>0.9</v>
      </c>
    </row>
    <row collapsed="false" customFormat="false" customHeight="false" hidden="false" ht="14.75" outlineLevel="0" r="698">
      <c r="A698" s="1" t="s">
        <v>829</v>
      </c>
      <c r="B698" s="1" t="s">
        <v>1494</v>
      </c>
      <c r="C698" s="1" t="s">
        <v>1491</v>
      </c>
      <c r="D698" s="1" t="n">
        <v>80</v>
      </c>
      <c r="E698" s="1" t="n">
        <v>8</v>
      </c>
      <c r="F698" s="1" t="n">
        <v>0.3</v>
      </c>
    </row>
    <row collapsed="false" customFormat="false" customHeight="false" hidden="false" ht="14.75" outlineLevel="0" r="699">
      <c r="A699" s="1" t="s">
        <v>830</v>
      </c>
      <c r="B699" s="1" t="s">
        <v>1494</v>
      </c>
      <c r="C699" s="1" t="s">
        <v>1491</v>
      </c>
      <c r="D699" s="1" t="n">
        <v>105.6</v>
      </c>
      <c r="E699" s="1" t="n">
        <v>9.06</v>
      </c>
      <c r="F699" s="1" t="n">
        <v>0.9</v>
      </c>
    </row>
    <row collapsed="false" customFormat="false" customHeight="false" hidden="false" ht="14.75" outlineLevel="0" r="700">
      <c r="A700" s="1" t="s">
        <v>831</v>
      </c>
      <c r="B700" s="1" t="s">
        <v>1494</v>
      </c>
      <c r="C700" s="1" t="s">
        <v>1491</v>
      </c>
      <c r="D700" s="1" t="n">
        <v>114.5</v>
      </c>
      <c r="E700" s="1" t="n">
        <v>8.59</v>
      </c>
      <c r="F700" s="1" t="n">
        <v>1.2</v>
      </c>
    </row>
    <row collapsed="false" customFormat="false" customHeight="false" hidden="false" ht="14.75" outlineLevel="0" r="701">
      <c r="A701" s="1" t="s">
        <v>832</v>
      </c>
      <c r="B701" s="1" t="s">
        <v>1494</v>
      </c>
      <c r="C701" s="1" t="s">
        <v>1491</v>
      </c>
      <c r="D701" s="1" t="n">
        <v>79.4</v>
      </c>
      <c r="E701" s="1" t="n">
        <v>7.44</v>
      </c>
      <c r="F701" s="1" t="n">
        <v>0.3</v>
      </c>
    </row>
    <row collapsed="false" customFormat="false" customHeight="false" hidden="false" ht="14.75" outlineLevel="0" r="702">
      <c r="A702" s="1" t="s">
        <v>1144</v>
      </c>
      <c r="B702" s="1" t="s">
        <v>1496</v>
      </c>
      <c r="C702" s="1" t="s">
        <v>1491</v>
      </c>
      <c r="D702" s="1" t="n">
        <v>172.1</v>
      </c>
      <c r="E702" s="1" t="n">
        <v>13.37</v>
      </c>
      <c r="F702" s="1" t="n">
        <f aca="false">8/7</f>
        <v>1.14285714285714</v>
      </c>
    </row>
    <row collapsed="false" customFormat="false" customHeight="false" hidden="false" ht="14.75" outlineLevel="0" r="703">
      <c r="A703" s="1" t="s">
        <v>1145</v>
      </c>
      <c r="B703" s="1" t="s">
        <v>1496</v>
      </c>
      <c r="C703" s="1" t="s">
        <v>1491</v>
      </c>
      <c r="D703" s="1" t="n">
        <v>132.5</v>
      </c>
      <c r="E703" s="1" t="n">
        <v>11.32</v>
      </c>
      <c r="F703" s="1" t="n">
        <f aca="false">5/6</f>
        <v>0.833333333333333</v>
      </c>
    </row>
    <row collapsed="false" customFormat="false" customHeight="false" hidden="false" ht="14.75" outlineLevel="0" r="704">
      <c r="A704" s="1" t="s">
        <v>535</v>
      </c>
      <c r="B704" s="1" t="s">
        <v>1496</v>
      </c>
      <c r="C704" s="1" t="s">
        <v>1491</v>
      </c>
      <c r="D704" s="1" t="n">
        <v>517.2</v>
      </c>
      <c r="E704" s="1" t="n">
        <v>23.92</v>
      </c>
      <c r="F704" s="1" t="n">
        <v>5.9</v>
      </c>
    </row>
    <row collapsed="false" customFormat="false" customHeight="false" hidden="false" ht="14.75" outlineLevel="0" r="705">
      <c r="A705" s="1" t="s">
        <v>536</v>
      </c>
      <c r="B705" s="1" t="s">
        <v>1496</v>
      </c>
      <c r="C705" s="1" t="s">
        <v>1491</v>
      </c>
      <c r="D705" s="1" t="n">
        <v>204.2</v>
      </c>
      <c r="E705" s="1" t="n">
        <v>15.96</v>
      </c>
      <c r="F705" s="1" t="n">
        <f aca="false">16/6</f>
        <v>2.66666666666667</v>
      </c>
    </row>
    <row collapsed="false" customFormat="false" customHeight="false" hidden="false" ht="14.75" outlineLevel="0" r="706">
      <c r="A706" s="1" t="s">
        <v>1516</v>
      </c>
      <c r="B706" s="1" t="s">
        <v>1517</v>
      </c>
      <c r="C706" s="1" t="s">
        <v>1491</v>
      </c>
      <c r="D706" s="1" t="n">
        <v>299</v>
      </c>
      <c r="E706" s="1" t="n">
        <v>17.7830188679245</v>
      </c>
      <c r="F706" s="1" t="n">
        <v>2.33333333333333</v>
      </c>
    </row>
    <row collapsed="false" customFormat="false" customHeight="false" hidden="false" ht="14.75" outlineLevel="0" r="707">
      <c r="A707" s="1" t="s">
        <v>1518</v>
      </c>
      <c r="B707" s="4" t="s">
        <v>1490</v>
      </c>
      <c r="C707" s="1" t="s">
        <v>1491</v>
      </c>
      <c r="D707" s="1" t="n">
        <v>101.4</v>
      </c>
      <c r="E707" s="1" t="n">
        <v>9.72</v>
      </c>
      <c r="F707" s="1" t="n">
        <v>1</v>
      </c>
    </row>
    <row collapsed="false" customFormat="false" customHeight="false" hidden="false" ht="14.75" outlineLevel="0" r="708">
      <c r="A708" s="1" t="s">
        <v>1519</v>
      </c>
      <c r="B708" s="4" t="s">
        <v>1490</v>
      </c>
      <c r="C708" s="1" t="s">
        <v>1491</v>
      </c>
      <c r="D708" s="1" t="n">
        <v>52.5</v>
      </c>
      <c r="E708" s="1" t="n">
        <v>4.33</v>
      </c>
      <c r="F708" s="1" t="n">
        <v>0</v>
      </c>
    </row>
    <row collapsed="false" customFormat="false" customHeight="false" hidden="false" ht="14.75" outlineLevel="0" r="709">
      <c r="A709" s="1" t="s">
        <v>846</v>
      </c>
      <c r="B709" s="1" t="s">
        <v>1494</v>
      </c>
      <c r="C709" s="1" t="s">
        <v>1491</v>
      </c>
      <c r="D709" s="1" t="n">
        <v>142.2</v>
      </c>
      <c r="E709" s="1" t="n">
        <v>12.13</v>
      </c>
      <c r="F709" s="1" t="n">
        <v>1.1</v>
      </c>
    </row>
    <row collapsed="false" customFormat="false" customHeight="false" hidden="false" ht="14.75" outlineLevel="0" r="710">
      <c r="A710" s="1" t="s">
        <v>847</v>
      </c>
      <c r="B710" s="1" t="s">
        <v>1494</v>
      </c>
      <c r="C710" s="1" t="s">
        <v>1491</v>
      </c>
      <c r="D710" s="1" t="n">
        <v>128.5</v>
      </c>
      <c r="E710" s="1" t="n">
        <v>10.46</v>
      </c>
      <c r="F710" s="1" t="n">
        <v>1</v>
      </c>
    </row>
    <row collapsed="false" customFormat="false" customHeight="false" hidden="false" ht="14.75" outlineLevel="0" r="711">
      <c r="A711" s="1" t="s">
        <v>253</v>
      </c>
      <c r="B711" s="1" t="s">
        <v>1499</v>
      </c>
      <c r="C711" s="4" t="s">
        <v>1491</v>
      </c>
      <c r="D711" s="1" t="n">
        <v>218</v>
      </c>
      <c r="E711" s="1" t="n">
        <v>17.31</v>
      </c>
      <c r="F711" s="1" t="n">
        <v>1.7</v>
      </c>
    </row>
    <row collapsed="false" customFormat="false" customHeight="false" hidden="false" ht="14.75" outlineLevel="0" r="712">
      <c r="A712" s="1" t="s">
        <v>254</v>
      </c>
      <c r="B712" s="1" t="s">
        <v>1499</v>
      </c>
      <c r="C712" s="4" t="s">
        <v>1491</v>
      </c>
      <c r="D712" s="1" t="n">
        <v>156.7</v>
      </c>
      <c r="E712" s="1" t="n">
        <v>10.32</v>
      </c>
      <c r="F712" s="1" t="n">
        <v>0.2</v>
      </c>
    </row>
    <row collapsed="false" customFormat="false" customHeight="false" hidden="false" ht="14.75" outlineLevel="0" r="713">
      <c r="A713" s="1" t="s">
        <v>1520</v>
      </c>
      <c r="B713" s="1" t="s">
        <v>1499</v>
      </c>
      <c r="C713" s="4" t="s">
        <v>1491</v>
      </c>
      <c r="D713" s="1" t="n">
        <v>158.7</v>
      </c>
      <c r="E713" s="1" t="n">
        <v>9.03</v>
      </c>
      <c r="F713" s="1" t="n">
        <v>0.3</v>
      </c>
    </row>
    <row collapsed="false" customFormat="false" customHeight="false" hidden="false" ht="14.75" outlineLevel="0" r="714">
      <c r="A714" s="1" t="s">
        <v>1521</v>
      </c>
      <c r="B714" s="1" t="s">
        <v>1517</v>
      </c>
      <c r="C714" s="1" t="s">
        <v>1491</v>
      </c>
      <c r="D714" s="1" t="n">
        <v>167.02</v>
      </c>
      <c r="E714" s="1" t="n">
        <v>15.5384615384615</v>
      </c>
      <c r="F714" s="1" t="n">
        <v>1.5</v>
      </c>
    </row>
    <row collapsed="false" customFormat="false" customHeight="false" hidden="false" ht="14.75" outlineLevel="0" r="715">
      <c r="A715" s="1" t="s">
        <v>1522</v>
      </c>
      <c r="B715" s="1" t="s">
        <v>1493</v>
      </c>
      <c r="C715" s="1" t="s">
        <v>1491</v>
      </c>
      <c r="D715" s="1" t="n">
        <v>387.9</v>
      </c>
      <c r="E715" s="1" t="n">
        <v>20.89</v>
      </c>
      <c r="F715" s="1" t="n">
        <f aca="false">53/13</f>
        <v>4.07692307692308</v>
      </c>
    </row>
    <row collapsed="false" customFormat="false" customHeight="false" hidden="false" ht="14.75" outlineLevel="0" r="716">
      <c r="A716" s="1" t="s">
        <v>324</v>
      </c>
      <c r="B716" s="1" t="s">
        <v>1493</v>
      </c>
      <c r="C716" s="1" t="s">
        <v>1491</v>
      </c>
      <c r="D716" s="1" t="n">
        <v>111.4</v>
      </c>
      <c r="E716" s="1" t="n">
        <v>9.15</v>
      </c>
      <c r="F716" s="1" t="n">
        <f aca="false">3/7</f>
        <v>0.428571428571429</v>
      </c>
    </row>
    <row collapsed="false" customFormat="false" customHeight="false" hidden="false" ht="14.75" outlineLevel="0" r="717">
      <c r="A717" s="1" t="s">
        <v>1523</v>
      </c>
      <c r="B717" s="1" t="s">
        <v>1517</v>
      </c>
      <c r="C717" s="1" t="s">
        <v>1491</v>
      </c>
      <c r="D717" s="1" t="n">
        <v>93.8666666666667</v>
      </c>
      <c r="E717" s="1" t="n">
        <v>7.2</v>
      </c>
      <c r="F717" s="1" t="n">
        <v>1.16666666666667</v>
      </c>
    </row>
    <row collapsed="false" customFormat="false" customHeight="false" hidden="false" ht="14.75" outlineLevel="0" r="718">
      <c r="A718" s="1" t="s">
        <v>1524</v>
      </c>
      <c r="B718" s="1" t="s">
        <v>1517</v>
      </c>
      <c r="C718" s="1" t="s">
        <v>1491</v>
      </c>
      <c r="D718" s="1" t="n">
        <v>22.2333333333333</v>
      </c>
      <c r="E718" s="1" t="n">
        <v>3.125</v>
      </c>
      <c r="F718" s="1" t="n">
        <v>0</v>
      </c>
    </row>
    <row collapsed="false" customFormat="false" customHeight="false" hidden="false" ht="14.75" outlineLevel="0" r="719">
      <c r="A719" s="1" t="s">
        <v>1525</v>
      </c>
      <c r="B719" s="1" t="s">
        <v>1504</v>
      </c>
      <c r="C719" s="1" t="s">
        <v>1491</v>
      </c>
      <c r="D719" s="1" t="n">
        <v>275.7</v>
      </c>
      <c r="E719" s="1" t="n">
        <v>14.94</v>
      </c>
      <c r="F719" s="1" t="n">
        <v>2</v>
      </c>
    </row>
    <row collapsed="false" customFormat="false" customHeight="false" hidden="false" ht="14.75" outlineLevel="0" r="720">
      <c r="A720" s="1" t="s">
        <v>1526</v>
      </c>
      <c r="B720" s="1" t="s">
        <v>1504</v>
      </c>
      <c r="C720" s="1" t="s">
        <v>1491</v>
      </c>
      <c r="D720" s="1" t="n">
        <v>309.3</v>
      </c>
      <c r="E720" s="1" t="n">
        <v>16.16</v>
      </c>
      <c r="F720" s="1" t="n">
        <v>3</v>
      </c>
    </row>
    <row collapsed="false" customFormat="false" customHeight="false" hidden="false" ht="14.75" outlineLevel="0" r="721">
      <c r="A721" s="1" t="s">
        <v>1527</v>
      </c>
      <c r="B721" s="1" t="s">
        <v>1504</v>
      </c>
      <c r="C721" s="1" t="s">
        <v>1491</v>
      </c>
      <c r="D721" s="1" t="n">
        <v>135</v>
      </c>
      <c r="E721" s="1" t="n">
        <v>9.79</v>
      </c>
      <c r="F721" s="1" t="n">
        <f aca="false">8/7</f>
        <v>1.14285714285714</v>
      </c>
    </row>
    <row collapsed="false" customFormat="false" customHeight="false" hidden="false" ht="14.75" outlineLevel="0" r="722">
      <c r="A722" s="1" t="s">
        <v>1014</v>
      </c>
      <c r="B722" s="1" t="s">
        <v>1493</v>
      </c>
      <c r="C722" s="1" t="s">
        <v>1491</v>
      </c>
      <c r="D722" s="1" t="n">
        <v>579.1</v>
      </c>
      <c r="E722" s="1" t="n">
        <v>21.55</v>
      </c>
      <c r="F722" s="1" t="n">
        <f aca="false">94/11</f>
        <v>8.54545454545455</v>
      </c>
    </row>
    <row collapsed="false" customFormat="false" customHeight="false" hidden="false" ht="14.75" outlineLevel="0" r="723">
      <c r="A723" s="1" t="s">
        <v>1015</v>
      </c>
      <c r="B723" s="1" t="s">
        <v>1493</v>
      </c>
      <c r="C723" s="1" t="s">
        <v>1491</v>
      </c>
      <c r="D723" s="1" t="n">
        <v>348.2</v>
      </c>
      <c r="E723" s="1" t="n">
        <v>19.44</v>
      </c>
      <c r="F723" s="1" t="n">
        <f aca="false">45/12</f>
        <v>3.75</v>
      </c>
    </row>
    <row collapsed="false" customFormat="false" customHeight="false" hidden="false" ht="14.75" outlineLevel="0" r="724">
      <c r="A724" s="1" t="s">
        <v>1528</v>
      </c>
      <c r="B724" s="1" t="s">
        <v>1493</v>
      </c>
      <c r="C724" s="1" t="s">
        <v>1491</v>
      </c>
      <c r="D724" s="1" t="n">
        <v>485</v>
      </c>
      <c r="E724" s="1" t="n">
        <v>21.47</v>
      </c>
      <c r="F724" s="1" t="n">
        <f aca="false">67/12</f>
        <v>5.58333333333333</v>
      </c>
    </row>
    <row collapsed="false" customFormat="false" customHeight="false" hidden="false" ht="14.75" outlineLevel="0" r="725">
      <c r="A725" s="1" t="s">
        <v>1529</v>
      </c>
      <c r="B725" s="1" t="s">
        <v>1493</v>
      </c>
      <c r="C725" s="1" t="s">
        <v>1491</v>
      </c>
      <c r="D725" s="1" t="n">
        <v>138.8</v>
      </c>
      <c r="E725" s="1" t="n">
        <v>10.75</v>
      </c>
      <c r="F725" s="1" t="n">
        <f aca="false">6/8</f>
        <v>0.75</v>
      </c>
    </row>
    <row collapsed="false" customFormat="false" customHeight="false" hidden="false" ht="14.75" outlineLevel="0" r="726">
      <c r="A726" s="1" t="s">
        <v>1530</v>
      </c>
      <c r="B726" s="1" t="s">
        <v>1517</v>
      </c>
      <c r="C726" s="1" t="s">
        <v>1491</v>
      </c>
      <c r="D726" s="1" t="n">
        <v>152.766666666667</v>
      </c>
      <c r="E726" s="1" t="n">
        <v>12.1875</v>
      </c>
      <c r="F726" s="1" t="n">
        <v>0.5</v>
      </c>
    </row>
    <row collapsed="false" customFormat="false" customHeight="false" hidden="false" ht="14.75" outlineLevel="0" r="727">
      <c r="A727" s="1" t="s">
        <v>1531</v>
      </c>
      <c r="B727" s="1" t="s">
        <v>1512</v>
      </c>
      <c r="C727" s="1" t="s">
        <v>1491</v>
      </c>
      <c r="D727" s="1" t="n">
        <v>415</v>
      </c>
      <c r="E727" s="1" t="n">
        <v>22.24</v>
      </c>
      <c r="F727" s="1" t="n">
        <v>4.4</v>
      </c>
    </row>
    <row collapsed="false" customFormat="false" customHeight="false" hidden="false" ht="14.75" outlineLevel="0" r="728">
      <c r="A728" s="1" t="s">
        <v>1532</v>
      </c>
      <c r="B728" s="1" t="s">
        <v>1512</v>
      </c>
      <c r="C728" s="1" t="s">
        <v>1491</v>
      </c>
      <c r="D728" s="1" t="n">
        <v>402</v>
      </c>
      <c r="E728" s="1" t="n">
        <v>20.23</v>
      </c>
      <c r="F728" s="1" t="n">
        <v>4.4</v>
      </c>
    </row>
    <row collapsed="false" customFormat="false" customHeight="false" hidden="false" ht="14.75" outlineLevel="0" r="729">
      <c r="A729" s="1" t="s">
        <v>1533</v>
      </c>
      <c r="B729" s="1" t="s">
        <v>1512</v>
      </c>
      <c r="C729" s="1" t="s">
        <v>1491</v>
      </c>
      <c r="D729" s="1" t="n">
        <v>191.5</v>
      </c>
      <c r="E729" s="1" t="n">
        <v>12.21</v>
      </c>
      <c r="F729" s="1" t="n">
        <v>1.3</v>
      </c>
    </row>
    <row collapsed="false" customFormat="false" customHeight="false" hidden="false" ht="14.75" outlineLevel="0" r="730">
      <c r="A730" s="1" t="s">
        <v>853</v>
      </c>
      <c r="B730" s="1" t="s">
        <v>1494</v>
      </c>
      <c r="C730" s="1" t="s">
        <v>1491</v>
      </c>
      <c r="D730" s="1" t="n">
        <v>204</v>
      </c>
      <c r="E730" s="1" t="n">
        <v>15.37</v>
      </c>
      <c r="F730" s="1" t="n">
        <v>2.4</v>
      </c>
    </row>
    <row collapsed="false" customFormat="false" customHeight="false" hidden="false" ht="14.75" outlineLevel="0" r="731">
      <c r="A731" s="1" t="s">
        <v>1534</v>
      </c>
      <c r="B731" s="1" t="s">
        <v>1535</v>
      </c>
      <c r="C731" s="1" t="s">
        <v>1491</v>
      </c>
      <c r="D731" s="1" t="n">
        <v>124</v>
      </c>
      <c r="E731" s="1" t="n">
        <v>11.29</v>
      </c>
      <c r="F731" s="1" t="n">
        <f aca="false">8/6</f>
        <v>1.33333333333333</v>
      </c>
    </row>
    <row collapsed="false" customFormat="false" customHeight="false" hidden="false" ht="14.75" outlineLevel="0" r="732">
      <c r="A732" s="1" t="s">
        <v>1536</v>
      </c>
      <c r="B732" s="1" t="s">
        <v>1535</v>
      </c>
      <c r="C732" s="1" t="s">
        <v>1491</v>
      </c>
      <c r="D732" s="1" t="n">
        <v>82</v>
      </c>
      <c r="E732" s="1" t="n">
        <v>6.67</v>
      </c>
      <c r="F732" s="1" t="n">
        <f aca="false">3/6</f>
        <v>0.5</v>
      </c>
    </row>
    <row collapsed="false" customFormat="false" customHeight="false" hidden="false" ht="14.75" outlineLevel="0" r="733">
      <c r="A733" s="1" t="s">
        <v>1537</v>
      </c>
      <c r="B733" s="1" t="s">
        <v>1535</v>
      </c>
      <c r="C733" s="1" t="s">
        <v>1491</v>
      </c>
      <c r="D733" s="1" t="n">
        <v>33</v>
      </c>
      <c r="E733" s="1" t="n">
        <v>4.17</v>
      </c>
      <c r="F733" s="1" t="n">
        <f aca="false">1/6</f>
        <v>0.166666666666667</v>
      </c>
    </row>
    <row collapsed="false" customFormat="false" customHeight="false" hidden="false" ht="14.75" outlineLevel="0" r="734">
      <c r="A734" s="1" t="s">
        <v>1538</v>
      </c>
      <c r="B734" s="1" t="s">
        <v>1535</v>
      </c>
      <c r="C734" s="1" t="s">
        <v>1491</v>
      </c>
      <c r="D734" s="1" t="n">
        <v>63</v>
      </c>
      <c r="E734" s="1" t="n">
        <v>6</v>
      </c>
      <c r="F734" s="1" t="n">
        <f aca="false">1/6</f>
        <v>0.166666666666667</v>
      </c>
    </row>
    <row collapsed="false" customFormat="false" customHeight="false" hidden="false" ht="14.75" outlineLevel="0" r="735">
      <c r="A735" s="1" t="s">
        <v>122</v>
      </c>
      <c r="B735" s="1" t="s">
        <v>1512</v>
      </c>
      <c r="C735" s="1" t="s">
        <v>1491</v>
      </c>
      <c r="D735" s="1" t="n">
        <v>67.5</v>
      </c>
      <c r="E735" s="1" t="n">
        <v>6.9</v>
      </c>
      <c r="F735" s="1" t="n">
        <v>0.5</v>
      </c>
    </row>
    <row collapsed="false" customFormat="false" customHeight="false" hidden="false" ht="14.75" outlineLevel="0" r="736">
      <c r="A736" s="1" t="s">
        <v>1162</v>
      </c>
      <c r="B736" s="1" t="s">
        <v>1496</v>
      </c>
      <c r="C736" s="1" t="s">
        <v>1491</v>
      </c>
      <c r="D736" s="1" t="n">
        <v>61.7</v>
      </c>
      <c r="E736" s="1" t="n">
        <v>6.82</v>
      </c>
      <c r="F736" s="1" t="n">
        <f aca="false">1/6</f>
        <v>0.166666666666667</v>
      </c>
    </row>
    <row collapsed="false" customFormat="false" customHeight="false" hidden="false" ht="14.75" outlineLevel="0" r="737">
      <c r="A737" s="1" t="s">
        <v>1539</v>
      </c>
      <c r="B737" s="1" t="s">
        <v>1499</v>
      </c>
      <c r="C737" s="4" t="s">
        <v>1491</v>
      </c>
      <c r="D737" s="1" t="n">
        <v>53.8</v>
      </c>
      <c r="E737" s="1" t="n">
        <v>5.91</v>
      </c>
      <c r="F737" s="1" t="n">
        <f aca="false">2/8</f>
        <v>0.25</v>
      </c>
    </row>
    <row collapsed="false" customFormat="false" customHeight="false" hidden="false" ht="14.75" outlineLevel="0" r="738">
      <c r="A738" s="1" t="s">
        <v>1540</v>
      </c>
      <c r="B738" s="1" t="s">
        <v>1493</v>
      </c>
      <c r="C738" s="1" t="s">
        <v>1491</v>
      </c>
      <c r="D738" s="1" t="n">
        <v>91.7</v>
      </c>
      <c r="E738" s="1" t="n">
        <v>9.29</v>
      </c>
      <c r="F738" s="1" t="n">
        <f aca="false">3/7</f>
        <v>0.428571428571429</v>
      </c>
    </row>
    <row collapsed="false" customFormat="false" customHeight="false" hidden="false" ht="14.75" outlineLevel="0" r="739">
      <c r="A739" s="1" t="s">
        <v>864</v>
      </c>
      <c r="B739" s="4" t="s">
        <v>1490</v>
      </c>
      <c r="C739" s="1" t="s">
        <v>1491</v>
      </c>
      <c r="D739" s="1" t="n">
        <v>276.9</v>
      </c>
      <c r="E739" s="1" t="n">
        <v>16.14</v>
      </c>
      <c r="F739" s="1" t="n">
        <f aca="false">17/8</f>
        <v>2.125</v>
      </c>
    </row>
    <row collapsed="false" customFormat="false" customHeight="false" hidden="false" ht="14.75" outlineLevel="0" r="740">
      <c r="A740" s="1" t="s">
        <v>1179</v>
      </c>
      <c r="B740" s="4" t="s">
        <v>1490</v>
      </c>
      <c r="C740" s="1" t="s">
        <v>1491</v>
      </c>
      <c r="D740" s="1" t="n">
        <v>90</v>
      </c>
      <c r="E740" s="1" t="n">
        <v>7.82</v>
      </c>
      <c r="F740" s="1" t="n">
        <f aca="false">4/7</f>
        <v>0.571428571428571</v>
      </c>
    </row>
    <row collapsed="false" customFormat="false" customHeight="false" hidden="false" ht="14.75" outlineLevel="0" r="741">
      <c r="A741" s="1" t="s">
        <v>1541</v>
      </c>
      <c r="B741" s="4" t="s">
        <v>1490</v>
      </c>
      <c r="C741" s="1" t="s">
        <v>1491</v>
      </c>
      <c r="D741" s="1" t="n">
        <v>160.6</v>
      </c>
      <c r="E741" s="1" t="n">
        <v>10.48</v>
      </c>
      <c r="F741" s="1" t="n">
        <f aca="false">9/8</f>
        <v>1.125</v>
      </c>
    </row>
    <row collapsed="false" customFormat="false" customHeight="false" hidden="false" ht="14.75" outlineLevel="0" r="742">
      <c r="A742" s="1" t="s">
        <v>1542</v>
      </c>
      <c r="B742" s="4" t="s">
        <v>1490</v>
      </c>
      <c r="C742" s="1" t="s">
        <v>1491</v>
      </c>
      <c r="D742" s="1" t="n">
        <v>73.1</v>
      </c>
      <c r="E742" s="1" t="n">
        <v>5.83</v>
      </c>
      <c r="F742" s="1" t="n">
        <f aca="false">6/8</f>
        <v>0.75</v>
      </c>
    </row>
    <row collapsed="false" customFormat="false" customHeight="false" hidden="false" ht="14.75" outlineLevel="0" r="743">
      <c r="A743" s="1" t="s">
        <v>867</v>
      </c>
      <c r="B743" s="1" t="s">
        <v>1496</v>
      </c>
      <c r="C743" s="1" t="s">
        <v>1491</v>
      </c>
      <c r="D743" s="1" t="n">
        <v>210</v>
      </c>
      <c r="E743" s="1" t="n">
        <v>14.67</v>
      </c>
      <c r="F743" s="1" t="n">
        <v>1</v>
      </c>
    </row>
    <row collapsed="false" customFormat="false" customHeight="false" hidden="false" ht="14.75" outlineLevel="0" r="744">
      <c r="A744" s="1" t="s">
        <v>1543</v>
      </c>
      <c r="B744" s="1" t="s">
        <v>1517</v>
      </c>
      <c r="C744" s="1" t="s">
        <v>1491</v>
      </c>
      <c r="D744" s="1" t="n">
        <v>482.52</v>
      </c>
      <c r="E744" s="1" t="n">
        <v>22.6595744680851</v>
      </c>
      <c r="F744" s="1" t="n">
        <v>7.83333333333333</v>
      </c>
    </row>
    <row collapsed="false" customFormat="false" customHeight="false" hidden="false" ht="14.75" outlineLevel="0" r="745">
      <c r="A745" s="1" t="s">
        <v>1544</v>
      </c>
      <c r="B745" s="1" t="s">
        <v>1517</v>
      </c>
      <c r="C745" s="1" t="s">
        <v>1491</v>
      </c>
      <c r="D745" s="1" t="n">
        <v>113.5</v>
      </c>
      <c r="E745" s="1" t="n">
        <v>10.1694915254237</v>
      </c>
      <c r="F745" s="1" t="n">
        <v>0.5</v>
      </c>
    </row>
    <row collapsed="false" customFormat="false" customHeight="false" hidden="false" ht="14.75" outlineLevel="0" r="746">
      <c r="A746" s="1" t="s">
        <v>133</v>
      </c>
      <c r="B746" s="1" t="s">
        <v>1512</v>
      </c>
      <c r="C746" s="1" t="s">
        <v>1491</v>
      </c>
      <c r="D746" s="1" t="n">
        <v>321.5</v>
      </c>
      <c r="E746" s="1" t="n">
        <v>18.45</v>
      </c>
      <c r="F746" s="1" t="n">
        <v>2.8</v>
      </c>
    </row>
    <row collapsed="false" customFormat="false" customHeight="false" hidden="false" ht="14.75" outlineLevel="0" r="747">
      <c r="A747" s="1" t="s">
        <v>1545</v>
      </c>
      <c r="B747" s="1" t="s">
        <v>1493</v>
      </c>
      <c r="C747" s="1" t="s">
        <v>1491</v>
      </c>
      <c r="D747" s="1" t="n">
        <v>106.7</v>
      </c>
      <c r="E747" s="1" t="n">
        <v>8</v>
      </c>
      <c r="F747" s="1" t="n">
        <f aca="false">6/7</f>
        <v>0.857142857142857</v>
      </c>
    </row>
    <row collapsed="false" customFormat="false" customHeight="false" hidden="false" ht="14.75" outlineLevel="0" r="748">
      <c r="A748" s="1" t="s">
        <v>1546</v>
      </c>
      <c r="B748" s="1" t="s">
        <v>1493</v>
      </c>
      <c r="C748" s="1" t="s">
        <v>1491</v>
      </c>
      <c r="D748" s="1" t="n">
        <v>198.9</v>
      </c>
      <c r="E748" s="1" t="n">
        <v>12.82</v>
      </c>
      <c r="F748" s="1" t="n">
        <v>1</v>
      </c>
    </row>
    <row collapsed="false" customFormat="false" customHeight="false" hidden="false" ht="14.75" outlineLevel="0" r="749">
      <c r="A749" s="1" t="s">
        <v>135</v>
      </c>
      <c r="B749" s="1" t="s">
        <v>1512</v>
      </c>
      <c r="C749" s="1" t="s">
        <v>1491</v>
      </c>
      <c r="D749" s="1" t="n">
        <v>205</v>
      </c>
      <c r="E749" s="1" t="n">
        <v>17.24</v>
      </c>
      <c r="F749" s="1" t="n">
        <v>1.2</v>
      </c>
    </row>
    <row collapsed="false" customFormat="false" customHeight="false" hidden="false" ht="14.75" outlineLevel="0" r="750">
      <c r="A750" s="1" t="s">
        <v>1547</v>
      </c>
      <c r="B750" s="1" t="s">
        <v>1499</v>
      </c>
      <c r="C750" s="4" t="s">
        <v>1491</v>
      </c>
      <c r="D750" s="1" t="n">
        <v>260.7</v>
      </c>
      <c r="E750" s="1" t="n">
        <v>14.94</v>
      </c>
      <c r="F750" s="1" t="n">
        <v>1.7</v>
      </c>
    </row>
    <row collapsed="false" customFormat="false" customHeight="false" hidden="false" ht="14.75" outlineLevel="0" r="751">
      <c r="A751" s="1" t="s">
        <v>1548</v>
      </c>
      <c r="B751" s="1" t="s">
        <v>1499</v>
      </c>
      <c r="C751" s="4" t="s">
        <v>1491</v>
      </c>
      <c r="D751" s="1" t="n">
        <v>145.3</v>
      </c>
      <c r="E751" s="1" t="n">
        <v>11.83</v>
      </c>
      <c r="F751" s="1" t="n">
        <v>0.2</v>
      </c>
    </row>
    <row collapsed="false" customFormat="false" customHeight="false" hidden="false" ht="14.75" outlineLevel="0" r="752">
      <c r="A752" s="1" t="s">
        <v>1549</v>
      </c>
      <c r="B752" s="1" t="s">
        <v>1499</v>
      </c>
      <c r="C752" s="4" t="s">
        <v>1491</v>
      </c>
      <c r="D752" s="1" t="n">
        <v>391.3</v>
      </c>
      <c r="E752" s="1" t="n">
        <v>23.35</v>
      </c>
      <c r="F752" s="1" t="n">
        <f aca="false">59/12</f>
        <v>4.91666666666667</v>
      </c>
    </row>
    <row collapsed="false" customFormat="false" customHeight="false" hidden="false" ht="14.75" outlineLevel="0" r="753">
      <c r="A753" s="1" t="s">
        <v>1550</v>
      </c>
      <c r="B753" s="1" t="s">
        <v>1499</v>
      </c>
      <c r="C753" s="4" t="s">
        <v>1491</v>
      </c>
      <c r="D753" s="1" t="n">
        <v>154.5</v>
      </c>
      <c r="E753" s="1" t="n">
        <v>14.06</v>
      </c>
      <c r="F753" s="1" t="n">
        <v>1.1</v>
      </c>
    </row>
    <row collapsed="false" customFormat="false" customHeight="false" hidden="false" ht="14.75" outlineLevel="0" r="754">
      <c r="A754" s="1" t="s">
        <v>1551</v>
      </c>
      <c r="B754" s="1" t="s">
        <v>1499</v>
      </c>
      <c r="C754" s="4" t="s">
        <v>1491</v>
      </c>
      <c r="D754" s="1" t="n">
        <v>212</v>
      </c>
      <c r="E754" s="1" t="n">
        <v>10.77</v>
      </c>
      <c r="F754" s="1" t="n">
        <v>0.8</v>
      </c>
    </row>
    <row collapsed="false" customFormat="false" customHeight="false" hidden="false" ht="14.75" outlineLevel="0" r="755">
      <c r="A755" s="1" t="s">
        <v>1552</v>
      </c>
      <c r="B755" s="1" t="s">
        <v>1512</v>
      </c>
      <c r="C755" s="1" t="s">
        <v>1491</v>
      </c>
      <c r="D755" s="1" t="n">
        <v>51.5</v>
      </c>
      <c r="E755" s="1" t="n">
        <v>7.67</v>
      </c>
      <c r="F755" s="1" t="n">
        <v>0.5</v>
      </c>
    </row>
    <row collapsed="false" customFormat="false" customHeight="false" hidden="false" ht="14.75" outlineLevel="0" r="756">
      <c r="A756" s="1" t="s">
        <v>1553</v>
      </c>
      <c r="B756" s="1" t="s">
        <v>1512</v>
      </c>
      <c r="C756" s="1" t="s">
        <v>1491</v>
      </c>
      <c r="D756" s="1" t="n">
        <v>76.5</v>
      </c>
      <c r="E756" s="1" t="n">
        <v>6.12</v>
      </c>
      <c r="F756" s="1" t="n">
        <v>0.3</v>
      </c>
    </row>
    <row collapsed="false" customFormat="false" customHeight="false" hidden="false" ht="14.75" outlineLevel="0" r="757">
      <c r="A757" s="1" t="s">
        <v>1554</v>
      </c>
      <c r="B757" s="1" t="s">
        <v>1493</v>
      </c>
      <c r="C757" s="1" t="s">
        <v>1491</v>
      </c>
      <c r="D757" s="1" t="n">
        <v>207.5</v>
      </c>
      <c r="E757" s="1" t="n">
        <v>17.02</v>
      </c>
      <c r="F757" s="1" t="n">
        <f aca="false">12/9</f>
        <v>1.33333333333333</v>
      </c>
    </row>
    <row collapsed="false" customFormat="false" customHeight="false" hidden="false" ht="14.75" outlineLevel="0" r="758">
      <c r="A758" s="1" t="s">
        <v>1024</v>
      </c>
      <c r="B758" s="4" t="s">
        <v>1490</v>
      </c>
      <c r="C758" s="1" t="s">
        <v>1491</v>
      </c>
      <c r="D758" s="1" t="n">
        <v>304.3</v>
      </c>
      <c r="E758" s="1" t="n">
        <v>18.38</v>
      </c>
      <c r="F758" s="1" t="n">
        <f aca="false">18/7</f>
        <v>2.57142857142857</v>
      </c>
    </row>
    <row collapsed="false" customFormat="false" customHeight="false" hidden="false" ht="14.75" outlineLevel="0" r="759">
      <c r="A759" s="1" t="s">
        <v>1025</v>
      </c>
      <c r="B759" s="4" t="s">
        <v>1490</v>
      </c>
      <c r="C759" s="1" t="s">
        <v>1491</v>
      </c>
      <c r="D759" s="1" t="n">
        <v>301.9</v>
      </c>
      <c r="E759" s="1" t="n">
        <v>17.08</v>
      </c>
      <c r="F759" s="1" t="n">
        <f aca="false">18/8</f>
        <v>2.25</v>
      </c>
    </row>
    <row collapsed="false" customFormat="false" customHeight="false" hidden="false" ht="14.75" outlineLevel="0" r="760">
      <c r="A760" s="1" t="s">
        <v>1555</v>
      </c>
      <c r="B760" s="1" t="s">
        <v>1496</v>
      </c>
      <c r="C760" s="1" t="s">
        <v>1491</v>
      </c>
      <c r="D760" s="1" t="n">
        <v>78</v>
      </c>
      <c r="E760" s="1" t="n">
        <v>6.52</v>
      </c>
      <c r="F760" s="1" t="n">
        <f aca="false">4/6</f>
        <v>0.666666666666667</v>
      </c>
    </row>
    <row collapsed="false" customFormat="false" customHeight="false" hidden="false" ht="14.75" outlineLevel="0" r="761">
      <c r="A761" s="1" t="s">
        <v>883</v>
      </c>
      <c r="B761" s="1" t="s">
        <v>1494</v>
      </c>
      <c r="C761" s="1" t="s">
        <v>1491</v>
      </c>
      <c r="D761" s="1" t="n">
        <v>153.5</v>
      </c>
      <c r="E761" s="1" t="n">
        <v>11.07</v>
      </c>
      <c r="F761" s="1" t="n">
        <v>0.9</v>
      </c>
    </row>
    <row collapsed="false" customFormat="false" customHeight="false" hidden="false" ht="14.75" outlineLevel="0" r="762">
      <c r="A762" s="1" t="s">
        <v>884</v>
      </c>
      <c r="B762" s="1" t="s">
        <v>1494</v>
      </c>
      <c r="C762" s="1" t="s">
        <v>1491</v>
      </c>
      <c r="D762" s="1" t="n">
        <v>138</v>
      </c>
      <c r="E762" s="1" t="n">
        <v>10.74</v>
      </c>
      <c r="F762" s="1" t="n">
        <v>0.7</v>
      </c>
    </row>
    <row collapsed="false" customFormat="false" customHeight="false" hidden="false" ht="14.75" outlineLevel="0" r="763">
      <c r="A763" s="1" t="s">
        <v>1556</v>
      </c>
      <c r="B763" s="1" t="s">
        <v>1494</v>
      </c>
      <c r="C763" s="1" t="s">
        <v>1491</v>
      </c>
      <c r="D763" s="1" t="n">
        <v>92.5</v>
      </c>
      <c r="E763" s="1" t="n">
        <v>10.21</v>
      </c>
      <c r="F763" s="1" t="n">
        <v>0.6</v>
      </c>
    </row>
    <row collapsed="false" customFormat="false" customHeight="false" hidden="false" ht="14.75" outlineLevel="0" r="764">
      <c r="A764" s="1" t="s">
        <v>464</v>
      </c>
      <c r="B764" s="1" t="s">
        <v>1493</v>
      </c>
      <c r="C764" s="1" t="s">
        <v>1491</v>
      </c>
      <c r="D764" s="1" t="n">
        <v>146.4</v>
      </c>
      <c r="E764" s="1" t="n">
        <v>10</v>
      </c>
      <c r="F764" s="1" t="n">
        <f aca="false">5/7</f>
        <v>0.714285714285714</v>
      </c>
    </row>
    <row collapsed="false" customFormat="false" customHeight="false" hidden="false" ht="14.75" outlineLevel="0" r="765">
      <c r="A765" s="1" t="s">
        <v>465</v>
      </c>
      <c r="B765" s="1" t="s">
        <v>1493</v>
      </c>
      <c r="C765" s="1" t="s">
        <v>1491</v>
      </c>
      <c r="D765" s="1" t="n">
        <v>30.7</v>
      </c>
      <c r="E765" s="1" t="n">
        <v>6.15</v>
      </c>
      <c r="F765" s="1" t="n">
        <f aca="false">3/7</f>
        <v>0.428571428571429</v>
      </c>
    </row>
    <row collapsed="false" customFormat="false" customHeight="false" hidden="false" ht="14.75" outlineLevel="0" r="766">
      <c r="A766" s="1" t="s">
        <v>1031</v>
      </c>
      <c r="B766" s="4" t="s">
        <v>1490</v>
      </c>
      <c r="C766" s="1" t="s">
        <v>1491</v>
      </c>
      <c r="D766" s="1" t="n">
        <v>225.6</v>
      </c>
      <c r="E766" s="1" t="n">
        <v>15.14</v>
      </c>
      <c r="F766" s="1" t="n">
        <f aca="false">7/8</f>
        <v>0.875</v>
      </c>
    </row>
    <row collapsed="false" customFormat="false" customHeight="false" hidden="false" ht="14.75" outlineLevel="0" r="767">
      <c r="A767" s="1" t="s">
        <v>1557</v>
      </c>
      <c r="B767" s="1" t="s">
        <v>1504</v>
      </c>
      <c r="C767" s="1" t="s">
        <v>1491</v>
      </c>
      <c r="D767" s="1" t="n">
        <v>98.6</v>
      </c>
      <c r="E767" s="1" t="n">
        <v>9.17</v>
      </c>
      <c r="F767" s="1" t="n">
        <f aca="false">5/7</f>
        <v>0.714285714285714</v>
      </c>
    </row>
    <row collapsed="false" customFormat="false" customHeight="false" hidden="false" ht="14.75" outlineLevel="0" r="768">
      <c r="A768" s="1" t="s">
        <v>1558</v>
      </c>
      <c r="B768" s="1" t="s">
        <v>1504</v>
      </c>
      <c r="C768" s="1" t="s">
        <v>1491</v>
      </c>
      <c r="D768" s="1" t="n">
        <v>56.4</v>
      </c>
      <c r="E768" s="1" t="n">
        <v>9.58</v>
      </c>
      <c r="F768" s="1" t="n">
        <f aca="false">1/7</f>
        <v>0.142857142857143</v>
      </c>
    </row>
    <row collapsed="false" customFormat="false" customHeight="false" hidden="false" ht="14.75" outlineLevel="0" r="769">
      <c r="A769" s="1" t="s">
        <v>467</v>
      </c>
      <c r="B769" s="1" t="s">
        <v>1493</v>
      </c>
      <c r="C769" s="1" t="s">
        <v>1491</v>
      </c>
      <c r="D769" s="1" t="n">
        <v>72.5</v>
      </c>
      <c r="E769" s="1" t="n">
        <v>6.73</v>
      </c>
      <c r="F769" s="1" t="n">
        <f aca="false">3/7</f>
        <v>0.428571428571429</v>
      </c>
    </row>
    <row collapsed="false" customFormat="false" customHeight="false" hidden="false" ht="14.75" outlineLevel="0" r="770">
      <c r="A770" s="1" t="s">
        <v>1559</v>
      </c>
      <c r="B770" s="1" t="s">
        <v>1512</v>
      </c>
      <c r="C770" s="1" t="s">
        <v>1491</v>
      </c>
      <c r="D770" s="1" t="n">
        <v>150</v>
      </c>
      <c r="E770" s="1" t="n">
        <v>11.47</v>
      </c>
      <c r="F770" s="1" t="n">
        <v>1.1</v>
      </c>
    </row>
    <row collapsed="false" customFormat="false" customHeight="false" hidden="false" ht="14.75" outlineLevel="0" r="771">
      <c r="A771" s="1" t="s">
        <v>1560</v>
      </c>
      <c r="B771" s="1" t="s">
        <v>1493</v>
      </c>
      <c r="C771" s="1" t="s">
        <v>1491</v>
      </c>
      <c r="D771" s="1" t="n">
        <v>206.7</v>
      </c>
      <c r="E771" s="1" t="n">
        <v>9.78</v>
      </c>
      <c r="F771" s="1" t="n">
        <f aca="false">17/9</f>
        <v>1.88888888888889</v>
      </c>
    </row>
    <row collapsed="false" customFormat="false" customHeight="false" hidden="false" ht="14.75" outlineLevel="0" r="772">
      <c r="A772" s="1" t="s">
        <v>570</v>
      </c>
      <c r="B772" s="1" t="s">
        <v>1496</v>
      </c>
      <c r="C772" s="1" t="s">
        <v>1491</v>
      </c>
      <c r="D772" s="1" t="n">
        <v>297.1</v>
      </c>
      <c r="E772" s="1" t="n">
        <v>18.63</v>
      </c>
      <c r="F772" s="1" t="n">
        <f aca="false">9/7</f>
        <v>1.28571428571429</v>
      </c>
    </row>
    <row collapsed="false" customFormat="false" customHeight="false" hidden="false" ht="14.75" outlineLevel="0" r="773">
      <c r="A773" s="1" t="s">
        <v>571</v>
      </c>
      <c r="B773" s="1" t="s">
        <v>1496</v>
      </c>
      <c r="C773" s="1" t="s">
        <v>1491</v>
      </c>
      <c r="D773" s="1" t="n">
        <v>127.5</v>
      </c>
      <c r="E773" s="1" t="n">
        <v>13.53</v>
      </c>
      <c r="F773" s="1" t="n">
        <f aca="false">5/6</f>
        <v>0.833333333333333</v>
      </c>
    </row>
    <row collapsed="false" customFormat="false" customHeight="false" hidden="false" ht="14.75" outlineLevel="0" r="774">
      <c r="A774" s="1" t="s">
        <v>1561</v>
      </c>
      <c r="B774" s="1" t="s">
        <v>1535</v>
      </c>
      <c r="C774" s="1" t="s">
        <v>1491</v>
      </c>
      <c r="D774" s="1" t="n">
        <v>345.5</v>
      </c>
      <c r="E774" s="1" t="n">
        <v>16.02</v>
      </c>
      <c r="F774" s="1" t="n">
        <v>4.6</v>
      </c>
    </row>
    <row collapsed="false" customFormat="false" customHeight="false" hidden="false" ht="14.75" outlineLevel="0" r="775">
      <c r="A775" s="1" t="s">
        <v>1562</v>
      </c>
      <c r="B775" s="1" t="s">
        <v>1535</v>
      </c>
      <c r="C775" s="1" t="s">
        <v>1491</v>
      </c>
      <c r="D775" s="1" t="n">
        <v>225</v>
      </c>
      <c r="E775" s="1" t="n">
        <v>15.2</v>
      </c>
      <c r="F775" s="1" t="n">
        <f aca="false">11/9</f>
        <v>1.22222222222222</v>
      </c>
    </row>
    <row collapsed="false" customFormat="false" customHeight="false" hidden="false" ht="14.75" outlineLevel="0" r="776">
      <c r="A776" s="1" t="s">
        <v>1563</v>
      </c>
      <c r="B776" s="1" t="s">
        <v>1535</v>
      </c>
      <c r="C776" s="1" t="s">
        <v>1491</v>
      </c>
      <c r="D776" s="1" t="n">
        <v>254.4</v>
      </c>
      <c r="E776" s="1" t="n">
        <v>17.67</v>
      </c>
      <c r="F776" s="1" t="n">
        <f aca="false">17/9</f>
        <v>1.88888888888889</v>
      </c>
    </row>
    <row collapsed="false" customFormat="false" customHeight="false" hidden="false" ht="14.75" outlineLevel="0" r="777">
      <c r="A777" s="6" t="s">
        <v>1564</v>
      </c>
      <c r="B777" s="1" t="s">
        <v>1496</v>
      </c>
      <c r="C777" s="1" t="s">
        <v>1491</v>
      </c>
      <c r="D777" s="1" t="n">
        <v>424.4</v>
      </c>
      <c r="E777" s="1" t="n">
        <v>20.85</v>
      </c>
      <c r="F777" s="1" t="n">
        <f aca="false">41/8</f>
        <v>5.125</v>
      </c>
    </row>
    <row collapsed="false" customFormat="false" customHeight="false" hidden="false" ht="14.75" outlineLevel="0" r="778">
      <c r="A778" s="6" t="s">
        <v>1565</v>
      </c>
      <c r="B778" s="1" t="s">
        <v>1496</v>
      </c>
      <c r="C778" s="1" t="s">
        <v>1491</v>
      </c>
      <c r="D778" s="1" t="n">
        <v>419.4</v>
      </c>
      <c r="E778" s="1" t="n">
        <v>20.05</v>
      </c>
      <c r="F778" s="1" t="n">
        <f aca="false">46/8</f>
        <v>5.75</v>
      </c>
    </row>
    <row collapsed="false" customFormat="false" customHeight="false" hidden="false" ht="14.75" outlineLevel="0" r="779">
      <c r="A779" s="6" t="s">
        <v>1566</v>
      </c>
      <c r="B779" s="1" t="s">
        <v>1496</v>
      </c>
      <c r="C779" s="1" t="s">
        <v>1491</v>
      </c>
      <c r="D779" s="1" t="n">
        <v>354.4</v>
      </c>
      <c r="E779" s="1" t="n">
        <v>18.37</v>
      </c>
      <c r="F779" s="1" t="n">
        <f aca="false">27/8</f>
        <v>3.375</v>
      </c>
    </row>
    <row collapsed="false" customFormat="false" customHeight="false" hidden="false" ht="14.75" outlineLevel="0" r="780">
      <c r="A780" s="6" t="s">
        <v>1567</v>
      </c>
      <c r="B780" s="1" t="s">
        <v>1496</v>
      </c>
      <c r="C780" s="1" t="s">
        <v>1491</v>
      </c>
      <c r="D780" s="1" t="n">
        <v>393.3</v>
      </c>
      <c r="E780" s="1" t="n">
        <v>19.91</v>
      </c>
      <c r="F780" s="1" t="n">
        <f aca="false">48/9</f>
        <v>5.33333333333333</v>
      </c>
    </row>
    <row collapsed="false" customFormat="false" customHeight="false" hidden="false" ht="14.75" outlineLevel="0" r="781">
      <c r="A781" s="1" t="s">
        <v>1568</v>
      </c>
      <c r="B781" s="4" t="s">
        <v>1490</v>
      </c>
      <c r="C781" s="1" t="s">
        <v>1491</v>
      </c>
      <c r="D781" s="1" t="n">
        <v>145.6</v>
      </c>
      <c r="E781" s="1" t="n">
        <v>9.19</v>
      </c>
      <c r="F781" s="1" t="n">
        <f aca="false">6/8</f>
        <v>0.75</v>
      </c>
    </row>
    <row collapsed="false" customFormat="false" customHeight="false" hidden="false" ht="14.75" outlineLevel="0" r="782">
      <c r="A782" s="1" t="s">
        <v>1569</v>
      </c>
      <c r="B782" s="4" t="s">
        <v>1490</v>
      </c>
      <c r="C782" s="1" t="s">
        <v>1491</v>
      </c>
      <c r="D782" s="1" t="n">
        <v>76.9</v>
      </c>
      <c r="E782" s="1" t="n">
        <v>6.32</v>
      </c>
      <c r="F782" s="1" t="n">
        <f aca="false">3/8</f>
        <v>0.375</v>
      </c>
    </row>
    <row collapsed="false" customFormat="false" customHeight="false" hidden="false" ht="14.75" outlineLevel="0" r="783">
      <c r="A783" s="1" t="s">
        <v>1570</v>
      </c>
      <c r="B783" s="4" t="s">
        <v>1490</v>
      </c>
      <c r="C783" s="1" t="s">
        <v>1491</v>
      </c>
      <c r="D783" s="1" t="n">
        <v>29.4</v>
      </c>
      <c r="E783" s="1" t="n">
        <v>2.11</v>
      </c>
      <c r="F783" s="1" t="n">
        <f aca="false">1/8</f>
        <v>0.125</v>
      </c>
    </row>
    <row collapsed="false" customFormat="false" customHeight="false" hidden="false" ht="14.75" outlineLevel="0" r="784">
      <c r="A784" s="1" t="s">
        <v>1422</v>
      </c>
      <c r="B784" s="4" t="s">
        <v>1490</v>
      </c>
      <c r="C784" s="1" t="s">
        <v>1491</v>
      </c>
      <c r="D784" s="1" t="n">
        <v>173.6</v>
      </c>
      <c r="E784" s="1" t="n">
        <v>13.56</v>
      </c>
      <c r="F784" s="1" t="n">
        <f aca="false">10/7</f>
        <v>1.42857142857143</v>
      </c>
    </row>
    <row collapsed="false" customFormat="false" customHeight="false" hidden="false" ht="14.75" outlineLevel="0" r="785">
      <c r="A785" s="1" t="s">
        <v>151</v>
      </c>
      <c r="B785" s="1" t="s">
        <v>1517</v>
      </c>
      <c r="C785" s="1" t="s">
        <v>1491</v>
      </c>
      <c r="D785" s="1" t="n">
        <v>329</v>
      </c>
      <c r="E785" s="1" t="n">
        <v>19</v>
      </c>
      <c r="F785" s="1" t="n">
        <v>4</v>
      </c>
    </row>
    <row collapsed="false" customFormat="false" customHeight="false" hidden="false" ht="14.75" outlineLevel="0" r="786">
      <c r="A786" s="1" t="s">
        <v>152</v>
      </c>
      <c r="B786" s="1" t="s">
        <v>1517</v>
      </c>
      <c r="C786" s="1" t="s">
        <v>1491</v>
      </c>
      <c r="D786" s="1" t="n">
        <v>258.52</v>
      </c>
      <c r="E786" s="1" t="n">
        <v>18.6931818181818</v>
      </c>
      <c r="F786" s="1" t="n">
        <v>1.83333333333333</v>
      </c>
    </row>
    <row collapsed="false" customFormat="false" customHeight="false" hidden="false" ht="14.75" outlineLevel="0" r="787">
      <c r="A787" s="1" t="s">
        <v>654</v>
      </c>
      <c r="B787" s="1" t="s">
        <v>1517</v>
      </c>
      <c r="C787" s="1" t="s">
        <v>1491</v>
      </c>
      <c r="D787" s="1" t="n">
        <v>220.02</v>
      </c>
      <c r="E787" s="1" t="n">
        <v>14.8823529411765</v>
      </c>
      <c r="F787" s="1" t="n">
        <v>1.66666666666667</v>
      </c>
    </row>
    <row collapsed="false" customFormat="false" customHeight="false" hidden="false" ht="14.75" outlineLevel="0" r="788">
      <c r="A788" s="1" t="s">
        <v>1571</v>
      </c>
      <c r="B788" s="1" t="s">
        <v>1517</v>
      </c>
      <c r="C788" s="1" t="s">
        <v>1491</v>
      </c>
      <c r="D788" s="1" t="n">
        <v>120.54</v>
      </c>
      <c r="E788" s="1" t="n">
        <v>10.1666666666667</v>
      </c>
      <c r="F788" s="1" t="n">
        <v>0.333333333333333</v>
      </c>
    </row>
    <row collapsed="false" customFormat="false" customHeight="false" hidden="false" ht="14.75" outlineLevel="0" r="789">
      <c r="A789" s="1" t="s">
        <v>1572</v>
      </c>
      <c r="B789" s="1" t="s">
        <v>1512</v>
      </c>
      <c r="C789" s="1" t="s">
        <v>1491</v>
      </c>
      <c r="D789" s="1" t="n">
        <v>87.5</v>
      </c>
      <c r="E789" s="1" t="n">
        <v>11.54</v>
      </c>
      <c r="F789" s="1" t="n">
        <v>0.5</v>
      </c>
    </row>
    <row collapsed="false" customFormat="false" customHeight="false" hidden="false" ht="14.75" outlineLevel="0" r="790">
      <c r="A790" s="1" t="s">
        <v>1573</v>
      </c>
      <c r="B790" s="4" t="s">
        <v>1490</v>
      </c>
      <c r="C790" s="1" t="s">
        <v>1491</v>
      </c>
      <c r="D790" s="1" t="n">
        <v>221.2</v>
      </c>
      <c r="E790" s="1" t="n">
        <v>16.77</v>
      </c>
      <c r="F790" s="1" t="n">
        <f aca="false">18/8</f>
        <v>2.25</v>
      </c>
    </row>
    <row collapsed="false" customFormat="false" customHeight="false" hidden="false" ht="14.75" outlineLevel="0" r="791">
      <c r="A791" s="1" t="s">
        <v>1574</v>
      </c>
      <c r="B791" s="1" t="s">
        <v>1494</v>
      </c>
      <c r="C791" s="1" t="s">
        <v>1491</v>
      </c>
      <c r="D791" s="1" t="n">
        <v>166</v>
      </c>
      <c r="E791" s="1" t="n">
        <v>15.37</v>
      </c>
      <c r="F791" s="1" t="n">
        <v>0.4</v>
      </c>
    </row>
    <row collapsed="false" customFormat="false" customHeight="false" hidden="false" ht="14.75" outlineLevel="0" r="792">
      <c r="A792" s="1" t="s">
        <v>1046</v>
      </c>
      <c r="B792" s="1" t="s">
        <v>1494</v>
      </c>
      <c r="C792" s="1" t="s">
        <v>1491</v>
      </c>
      <c r="D792" s="1" t="n">
        <v>271.5</v>
      </c>
      <c r="E792" s="1" t="n">
        <v>16.47</v>
      </c>
      <c r="F792" s="1" t="n">
        <v>2.4</v>
      </c>
    </row>
    <row collapsed="false" customFormat="false" customHeight="false" hidden="false" ht="14.75" outlineLevel="0" r="793">
      <c r="A793" s="1" t="s">
        <v>1047</v>
      </c>
      <c r="B793" s="1" t="s">
        <v>1494</v>
      </c>
      <c r="C793" s="1" t="s">
        <v>1491</v>
      </c>
      <c r="D793" s="1" t="n">
        <v>255</v>
      </c>
      <c r="E793" s="1" t="n">
        <v>15.3</v>
      </c>
      <c r="F793" s="1" t="n">
        <v>2.5</v>
      </c>
    </row>
    <row collapsed="false" customFormat="false" customHeight="false" hidden="false" ht="14.75" outlineLevel="0" r="794">
      <c r="A794" s="1" t="s">
        <v>1048</v>
      </c>
      <c r="B794" s="1" t="s">
        <v>1494</v>
      </c>
      <c r="C794" s="1" t="s">
        <v>1491</v>
      </c>
      <c r="D794" s="1" t="n">
        <v>116</v>
      </c>
      <c r="E794" s="1" t="n">
        <v>8.44</v>
      </c>
      <c r="F794" s="1" t="n">
        <v>0.5</v>
      </c>
    </row>
    <row collapsed="false" customFormat="false" customHeight="false" hidden="false" ht="14.75" outlineLevel="0" r="795">
      <c r="A795" s="1" t="s">
        <v>1575</v>
      </c>
      <c r="B795" s="1" t="s">
        <v>1493</v>
      </c>
      <c r="C795" s="1" t="s">
        <v>1491</v>
      </c>
      <c r="D795" s="1" t="n">
        <v>121.2</v>
      </c>
      <c r="E795" s="1" t="n">
        <v>9.23</v>
      </c>
      <c r="F795" s="1" t="n">
        <v>0.5</v>
      </c>
    </row>
    <row collapsed="false" customFormat="false" customHeight="false" hidden="false" ht="14.75" outlineLevel="0" r="796">
      <c r="A796" s="1" t="s">
        <v>158</v>
      </c>
      <c r="B796" s="1" t="s">
        <v>1512</v>
      </c>
      <c r="C796" s="1" t="s">
        <v>1491</v>
      </c>
      <c r="D796" s="1" t="n">
        <v>293.5</v>
      </c>
      <c r="E796" s="1" t="n">
        <v>19.5</v>
      </c>
      <c r="F796" s="1" t="n">
        <v>1.9</v>
      </c>
    </row>
    <row collapsed="false" customFormat="false" customHeight="false" hidden="false" ht="14.75" outlineLevel="0" r="797">
      <c r="A797" s="1" t="s">
        <v>159</v>
      </c>
      <c r="B797" s="1" t="s">
        <v>1512</v>
      </c>
      <c r="C797" s="1" t="s">
        <v>1491</v>
      </c>
      <c r="D797" s="1" t="n">
        <v>367.5</v>
      </c>
      <c r="E797" s="1" t="n">
        <v>18.64</v>
      </c>
      <c r="F797" s="1" t="n">
        <v>3.1</v>
      </c>
    </row>
    <row collapsed="false" customFormat="false" customHeight="false" hidden="false" ht="14.75" outlineLevel="0" r="798">
      <c r="A798" s="1" t="s">
        <v>1576</v>
      </c>
      <c r="B798" s="1" t="s">
        <v>1512</v>
      </c>
      <c r="C798" s="1" t="s">
        <v>1491</v>
      </c>
      <c r="D798" s="1" t="n">
        <v>155.5</v>
      </c>
      <c r="E798" s="1" t="n">
        <v>14.7</v>
      </c>
      <c r="F798" s="1" t="n">
        <v>1</v>
      </c>
    </row>
    <row collapsed="false" customFormat="false" customHeight="false" hidden="false" ht="14.75" outlineLevel="0" r="799">
      <c r="A799" s="1" t="s">
        <v>161</v>
      </c>
      <c r="B799" s="1" t="s">
        <v>1517</v>
      </c>
      <c r="C799" s="1" t="s">
        <v>1491</v>
      </c>
      <c r="D799" s="1" t="n">
        <v>258.48</v>
      </c>
      <c r="E799" s="1" t="n">
        <v>16.0714285714286</v>
      </c>
      <c r="F799" s="1" t="n">
        <v>3</v>
      </c>
    </row>
    <row collapsed="false" customFormat="false" customHeight="false" hidden="false" ht="14.75" outlineLevel="0" r="800">
      <c r="A800" s="1" t="s">
        <v>162</v>
      </c>
      <c r="B800" s="1" t="s">
        <v>1517</v>
      </c>
      <c r="C800" s="1" t="s">
        <v>1491</v>
      </c>
      <c r="D800" s="1" t="n">
        <v>111.1</v>
      </c>
      <c r="E800" s="1" t="n">
        <v>9.61538461538462</v>
      </c>
      <c r="F800" s="1" t="n">
        <v>0.166666666666667</v>
      </c>
    </row>
    <row collapsed="false" customFormat="false" customHeight="false" hidden="false" ht="14.75" outlineLevel="0" r="801">
      <c r="A801" s="1" t="s">
        <v>363</v>
      </c>
      <c r="B801" s="1" t="s">
        <v>1517</v>
      </c>
      <c r="C801" s="1" t="s">
        <v>1491</v>
      </c>
      <c r="D801" s="1" t="n">
        <v>66.1</v>
      </c>
      <c r="E801" s="1" t="n">
        <v>6.80555555555556</v>
      </c>
      <c r="F801" s="1" t="n">
        <v>0.666666666666667</v>
      </c>
    </row>
    <row collapsed="false" customFormat="false" customHeight="false" hidden="false" ht="14.75" outlineLevel="0" r="802">
      <c r="A802" s="1" t="s">
        <v>1577</v>
      </c>
      <c r="B802" s="1" t="s">
        <v>1499</v>
      </c>
      <c r="C802" s="4" t="s">
        <v>1491</v>
      </c>
      <c r="D802" s="1" t="n">
        <v>40</v>
      </c>
      <c r="E802" s="1" t="n">
        <v>5.68</v>
      </c>
      <c r="F802" s="1" t="n">
        <v>0.3</v>
      </c>
    </row>
    <row collapsed="false" customFormat="false" customHeight="false" hidden="false" ht="14.75" outlineLevel="0" r="803">
      <c r="A803" s="1" t="s">
        <v>1578</v>
      </c>
      <c r="B803" s="1" t="s">
        <v>1499</v>
      </c>
      <c r="C803" s="4" t="s">
        <v>1491</v>
      </c>
      <c r="D803" s="1" t="n">
        <v>216.5</v>
      </c>
      <c r="E803" s="1" t="n">
        <v>14.29</v>
      </c>
      <c r="F803" s="1" t="n">
        <v>1.2</v>
      </c>
    </row>
    <row collapsed="false" customFormat="false" customHeight="false" hidden="false" ht="14.75" outlineLevel="0" r="804">
      <c r="A804" s="1" t="s">
        <v>1579</v>
      </c>
      <c r="B804" s="1" t="s">
        <v>1499</v>
      </c>
      <c r="C804" s="4" t="s">
        <v>1491</v>
      </c>
      <c r="D804" s="1" t="n">
        <v>117.3</v>
      </c>
      <c r="E804" s="1" t="n">
        <v>9.35</v>
      </c>
      <c r="F804" s="1" t="n">
        <v>0.2</v>
      </c>
    </row>
    <row collapsed="false" customFormat="false" customHeight="false" hidden="false" ht="14.75" outlineLevel="0" r="805">
      <c r="A805" s="1" t="s">
        <v>364</v>
      </c>
      <c r="B805" s="1" t="s">
        <v>1499</v>
      </c>
      <c r="C805" s="4" t="s">
        <v>1491</v>
      </c>
      <c r="D805" s="1" t="n">
        <v>337.7</v>
      </c>
      <c r="E805" s="1" t="n">
        <v>20.64</v>
      </c>
      <c r="F805" s="1" t="n">
        <f aca="false">37/12</f>
        <v>3.08333333333333</v>
      </c>
    </row>
    <row collapsed="false" customFormat="false" customHeight="false" hidden="false" ht="14.75" outlineLevel="0" r="806">
      <c r="A806" s="1" t="s">
        <v>1580</v>
      </c>
      <c r="B806" s="1" t="s">
        <v>1493</v>
      </c>
      <c r="C806" s="1" t="s">
        <v>1491</v>
      </c>
      <c r="D806" s="1" t="n">
        <v>285.7</v>
      </c>
      <c r="E806" s="1" t="n">
        <v>17.7</v>
      </c>
      <c r="F806" s="1" t="n">
        <v>1.8</v>
      </c>
    </row>
    <row collapsed="false" customFormat="false" customHeight="false" hidden="false" ht="14.75" outlineLevel="0" r="807">
      <c r="A807" s="1" t="s">
        <v>1581</v>
      </c>
      <c r="B807" s="1" t="s">
        <v>1493</v>
      </c>
      <c r="C807" s="1" t="s">
        <v>1491</v>
      </c>
      <c r="D807" s="1" t="n">
        <v>148.3</v>
      </c>
      <c r="E807" s="1" t="n">
        <v>12.07</v>
      </c>
      <c r="F807" s="1" t="n">
        <f aca="false">5/7</f>
        <v>0.714285714285714</v>
      </c>
    </row>
    <row collapsed="false" customFormat="false" customHeight="false" hidden="false" ht="14.75" outlineLevel="0" r="808">
      <c r="A808" s="1" t="s">
        <v>266</v>
      </c>
      <c r="B808" s="1" t="s">
        <v>1499</v>
      </c>
      <c r="C808" s="4" t="s">
        <v>1491</v>
      </c>
      <c r="D808" s="1" t="n">
        <v>423.6</v>
      </c>
      <c r="E808" s="1" t="n">
        <v>21.91</v>
      </c>
      <c r="F808" s="1" t="n">
        <f aca="false">57/11</f>
        <v>5.18181818181818</v>
      </c>
    </row>
    <row collapsed="false" customFormat="false" customHeight="false" hidden="false" ht="14.75" outlineLevel="0" r="809">
      <c r="A809" s="1" t="s">
        <v>267</v>
      </c>
      <c r="B809" s="1" t="s">
        <v>1499</v>
      </c>
      <c r="C809" s="4" t="s">
        <v>1491</v>
      </c>
      <c r="D809" s="1" t="n">
        <v>195</v>
      </c>
      <c r="E809" s="1" t="n">
        <v>14.44</v>
      </c>
      <c r="F809" s="1" t="n">
        <v>1.9</v>
      </c>
    </row>
    <row collapsed="false" customFormat="false" customHeight="false" hidden="false" ht="14.75" outlineLevel="0" r="810">
      <c r="A810" s="1" t="s">
        <v>715</v>
      </c>
      <c r="B810" s="1" t="s">
        <v>1499</v>
      </c>
      <c r="C810" s="4" t="s">
        <v>1491</v>
      </c>
      <c r="D810" s="1" t="n">
        <v>127.1</v>
      </c>
      <c r="E810" s="1" t="n">
        <v>10.7</v>
      </c>
      <c r="F810" s="1" t="n">
        <v>0.5</v>
      </c>
    </row>
    <row collapsed="false" customFormat="false" customHeight="false" hidden="false" ht="14.75" outlineLevel="0" r="811">
      <c r="A811" s="1" t="s">
        <v>1582</v>
      </c>
      <c r="B811" s="1" t="s">
        <v>1499</v>
      </c>
      <c r="C811" s="4" t="s">
        <v>1491</v>
      </c>
      <c r="D811" s="1" t="n">
        <v>131.3</v>
      </c>
      <c r="E811" s="1" t="n">
        <v>8.8</v>
      </c>
      <c r="F811" s="1" t="n">
        <v>0.2</v>
      </c>
    </row>
    <row collapsed="false" customFormat="false" customHeight="false" hidden="false" ht="14.75" outlineLevel="0" r="812">
      <c r="A812" s="1" t="s">
        <v>1583</v>
      </c>
      <c r="B812" s="1" t="s">
        <v>1499</v>
      </c>
      <c r="C812" s="4" t="s">
        <v>1491</v>
      </c>
      <c r="D812" s="1" t="n">
        <v>110</v>
      </c>
      <c r="E812" s="1" t="n">
        <v>8</v>
      </c>
      <c r="F812" s="1" t="n">
        <v>0.4</v>
      </c>
    </row>
    <row collapsed="false" customFormat="false" customHeight="false" hidden="false" ht="14.75" outlineLevel="0" r="813">
      <c r="A813" s="1" t="s">
        <v>1584</v>
      </c>
      <c r="B813" s="1" t="s">
        <v>1499</v>
      </c>
      <c r="C813" s="4" t="s">
        <v>1491</v>
      </c>
      <c r="D813" s="1" t="n">
        <v>54.6</v>
      </c>
      <c r="E813" s="1" t="n">
        <v>4.58</v>
      </c>
      <c r="F813" s="1" t="n">
        <f aca="false">2/8</f>
        <v>0.25</v>
      </c>
    </row>
    <row collapsed="false" customFormat="false" customHeight="false" hidden="false" ht="14.75" outlineLevel="0" r="814">
      <c r="A814" s="1" t="s">
        <v>1585</v>
      </c>
      <c r="B814" s="1" t="s">
        <v>1535</v>
      </c>
      <c r="C814" s="1" t="s">
        <v>1491</v>
      </c>
      <c r="D814" s="1" t="n">
        <v>148.3</v>
      </c>
      <c r="E814" s="1" t="n">
        <v>13.39</v>
      </c>
      <c r="F814" s="1" t="n">
        <f aca="false">13/9</f>
        <v>1.44444444444444</v>
      </c>
    </row>
    <row collapsed="false" customFormat="false" customHeight="false" hidden="false" ht="14.75" outlineLevel="0" r="815">
      <c r="A815" s="1" t="s">
        <v>1586</v>
      </c>
      <c r="B815" s="1" t="s">
        <v>1535</v>
      </c>
      <c r="C815" s="1" t="s">
        <v>1491</v>
      </c>
      <c r="D815" s="1" t="n">
        <v>95</v>
      </c>
      <c r="E815" s="1" t="n">
        <v>8.52</v>
      </c>
      <c r="F815" s="1" t="n">
        <f aca="false">5/6</f>
        <v>0.833333333333333</v>
      </c>
    </row>
    <row collapsed="false" customFormat="false" customHeight="false" hidden="false" ht="14.75" outlineLevel="0" r="816">
      <c r="A816" s="1" t="s">
        <v>1587</v>
      </c>
      <c r="B816" s="1" t="s">
        <v>1535</v>
      </c>
      <c r="C816" s="1" t="s">
        <v>1491</v>
      </c>
      <c r="D816" s="1" t="n">
        <v>20</v>
      </c>
      <c r="E816" s="1" t="n">
        <v>6.67</v>
      </c>
      <c r="F816" s="1" t="n">
        <f aca="false">1/6</f>
        <v>0.166666666666667</v>
      </c>
    </row>
    <row collapsed="false" customFormat="false" customHeight="false" hidden="false" ht="14.75" outlineLevel="0" r="817">
      <c r="A817" s="1" t="s">
        <v>269</v>
      </c>
      <c r="B817" s="1" t="s">
        <v>1499</v>
      </c>
      <c r="C817" s="4" t="s">
        <v>1491</v>
      </c>
      <c r="D817" s="1" t="n">
        <v>142.5</v>
      </c>
      <c r="E817" s="1" t="n">
        <v>10.34</v>
      </c>
      <c r="F817" s="1" t="n">
        <v>0.7</v>
      </c>
    </row>
    <row collapsed="false" customFormat="false" customHeight="false" hidden="false" ht="14.75" outlineLevel="0" r="818">
      <c r="A818" s="1" t="s">
        <v>1588</v>
      </c>
      <c r="B818" s="1" t="s">
        <v>1499</v>
      </c>
      <c r="C818" s="4" t="s">
        <v>1491</v>
      </c>
      <c r="D818" s="1" t="n">
        <v>79.3</v>
      </c>
      <c r="E818" s="1" t="n">
        <v>7.7</v>
      </c>
      <c r="F818" s="1" t="n">
        <v>0.4</v>
      </c>
    </row>
    <row collapsed="false" customFormat="false" customHeight="false" hidden="false" ht="14.75" outlineLevel="0" r="819">
      <c r="A819" s="1" t="s">
        <v>1055</v>
      </c>
      <c r="B819" s="1" t="s">
        <v>1493</v>
      </c>
      <c r="C819" s="1" t="s">
        <v>1491</v>
      </c>
      <c r="D819" s="1" t="n">
        <v>90</v>
      </c>
      <c r="E819" s="1" t="n">
        <v>8</v>
      </c>
      <c r="F819" s="1" t="n">
        <f aca="false">3/7</f>
        <v>0.428571428571429</v>
      </c>
    </row>
    <row collapsed="false" customFormat="false" customHeight="false" hidden="false" ht="14.75" outlineLevel="0" r="820">
      <c r="A820" s="1" t="s">
        <v>1055</v>
      </c>
      <c r="B820" s="1" t="s">
        <v>1499</v>
      </c>
      <c r="C820" s="4" t="s">
        <v>1491</v>
      </c>
      <c r="D820" s="1" t="n">
        <v>160.7</v>
      </c>
      <c r="E820" s="1" t="n">
        <v>12.91</v>
      </c>
      <c r="F820" s="1" t="n">
        <v>1.2</v>
      </c>
    </row>
    <row collapsed="false" customFormat="false" customHeight="false" hidden="false" ht="14.75" outlineLevel="0" r="821">
      <c r="A821" s="1" t="s">
        <v>1056</v>
      </c>
      <c r="B821" s="1" t="s">
        <v>1493</v>
      </c>
      <c r="C821" s="1" t="s">
        <v>1491</v>
      </c>
      <c r="D821" s="1" t="n">
        <v>113.6</v>
      </c>
      <c r="E821" s="1" t="n">
        <v>9.02</v>
      </c>
      <c r="F821" s="1" t="n">
        <f aca="false">4/7</f>
        <v>0.571428571428571</v>
      </c>
    </row>
    <row collapsed="false" customFormat="false" customHeight="false" hidden="false" ht="14.75" outlineLevel="0" r="822">
      <c r="A822" s="1" t="s">
        <v>1589</v>
      </c>
      <c r="B822" s="1" t="s">
        <v>1499</v>
      </c>
      <c r="C822" s="4" t="s">
        <v>1491</v>
      </c>
      <c r="D822" s="1" t="n">
        <v>246</v>
      </c>
      <c r="E822" s="1" t="n">
        <v>11.55</v>
      </c>
      <c r="F822" s="1" t="n">
        <v>1.8</v>
      </c>
    </row>
    <row collapsed="false" customFormat="false" customHeight="false" hidden="false" ht="14.75" outlineLevel="0" r="823">
      <c r="A823" s="1" t="s">
        <v>1590</v>
      </c>
      <c r="B823" s="1" t="s">
        <v>1499</v>
      </c>
      <c r="C823" s="4" t="s">
        <v>1491</v>
      </c>
      <c r="D823" s="1" t="n">
        <v>138</v>
      </c>
      <c r="E823" s="1" t="n">
        <v>9.26</v>
      </c>
      <c r="F823" s="1" t="n">
        <v>0.3</v>
      </c>
    </row>
    <row collapsed="false" customFormat="false" customHeight="false" hidden="false" ht="14.75" outlineLevel="0" r="824">
      <c r="A824" s="1" t="s">
        <v>1591</v>
      </c>
      <c r="B824" s="1" t="s">
        <v>1535</v>
      </c>
      <c r="C824" s="1" t="s">
        <v>1491</v>
      </c>
      <c r="D824" s="1" t="n">
        <v>145</v>
      </c>
      <c r="E824" s="1" t="n">
        <v>13.21</v>
      </c>
      <c r="F824" s="1" t="n">
        <f aca="false">5/6</f>
        <v>0.833333333333333</v>
      </c>
    </row>
    <row collapsed="false" customFormat="false" customHeight="false" hidden="false" ht="14.75" outlineLevel="0" r="825">
      <c r="A825" s="1" t="s">
        <v>1592</v>
      </c>
      <c r="B825" s="1" t="s">
        <v>1535</v>
      </c>
      <c r="C825" s="1" t="s">
        <v>1491</v>
      </c>
      <c r="D825" s="1" t="n">
        <v>91.7</v>
      </c>
      <c r="E825" s="1" t="n">
        <v>9.48</v>
      </c>
      <c r="F825" s="1" t="n">
        <v>1</v>
      </c>
    </row>
    <row collapsed="false" customFormat="false" customHeight="false" hidden="false" ht="14.75" outlineLevel="0" r="826">
      <c r="A826" s="1" t="s">
        <v>1593</v>
      </c>
      <c r="B826" s="1" t="s">
        <v>1535</v>
      </c>
      <c r="C826" s="1" t="s">
        <v>1491</v>
      </c>
      <c r="D826" s="1" t="n">
        <v>237.2</v>
      </c>
      <c r="E826" s="1" t="n">
        <v>15.73</v>
      </c>
      <c r="F826" s="1" t="n">
        <v>1</v>
      </c>
    </row>
    <row collapsed="false" customFormat="false" customHeight="false" hidden="false" ht="14.75" outlineLevel="0" r="827">
      <c r="A827" s="1" t="s">
        <v>376</v>
      </c>
      <c r="B827" s="1" t="s">
        <v>1512</v>
      </c>
      <c r="C827" s="1" t="s">
        <v>1491</v>
      </c>
      <c r="D827" s="1" t="n">
        <v>354</v>
      </c>
      <c r="E827" s="1" t="n">
        <v>19</v>
      </c>
      <c r="F827" s="1" t="n">
        <v>3.6</v>
      </c>
    </row>
    <row collapsed="false" customFormat="false" customHeight="false" hidden="false" ht="14.75" outlineLevel="0" r="828">
      <c r="A828" s="1" t="s">
        <v>377</v>
      </c>
      <c r="B828" s="1" t="s">
        <v>1512</v>
      </c>
      <c r="C828" s="1" t="s">
        <v>1491</v>
      </c>
      <c r="D828" s="1" t="n">
        <v>321</v>
      </c>
      <c r="E828" s="1" t="n">
        <v>19.07</v>
      </c>
      <c r="F828" s="1" t="n">
        <v>3</v>
      </c>
    </row>
    <row collapsed="false" customFormat="false" customHeight="false" hidden="false" ht="14.75" outlineLevel="0" r="829">
      <c r="A829" s="1" t="s">
        <v>378</v>
      </c>
      <c r="B829" s="1" t="s">
        <v>1512</v>
      </c>
      <c r="C829" s="1" t="s">
        <v>1491</v>
      </c>
      <c r="D829" s="1" t="n">
        <v>271</v>
      </c>
      <c r="E829" s="1" t="n">
        <v>16.1</v>
      </c>
      <c r="F829" s="1" t="n">
        <v>1.8</v>
      </c>
    </row>
    <row collapsed="false" customFormat="false" customHeight="false" hidden="false" ht="14.75" outlineLevel="0" r="830">
      <c r="A830" s="1" t="s">
        <v>936</v>
      </c>
      <c r="B830" s="1" t="s">
        <v>1512</v>
      </c>
      <c r="C830" s="1" t="s">
        <v>1491</v>
      </c>
      <c r="D830" s="1" t="n">
        <v>160.5</v>
      </c>
      <c r="E830" s="1" t="n">
        <v>13.33</v>
      </c>
      <c r="F830" s="1" t="n">
        <v>1</v>
      </c>
    </row>
    <row collapsed="false" customFormat="false" customHeight="false" hidden="false" ht="14.75" outlineLevel="0" r="831">
      <c r="A831" s="1" t="s">
        <v>1594</v>
      </c>
      <c r="B831" s="1" t="s">
        <v>1512</v>
      </c>
      <c r="C831" s="1" t="s">
        <v>1491</v>
      </c>
      <c r="D831" s="1" t="n">
        <v>144</v>
      </c>
      <c r="E831" s="1" t="n">
        <v>10.86</v>
      </c>
      <c r="F831" s="1" t="n">
        <v>1.4</v>
      </c>
    </row>
    <row collapsed="false" customFormat="false" customHeight="false" hidden="false" ht="14.75" outlineLevel="0" r="832">
      <c r="A832" s="1" t="s">
        <v>1595</v>
      </c>
      <c r="B832" s="1" t="s">
        <v>1512</v>
      </c>
      <c r="C832" s="1" t="s">
        <v>1491</v>
      </c>
      <c r="D832" s="1" t="n">
        <v>72.5</v>
      </c>
      <c r="E832" s="1" t="n">
        <v>5.96</v>
      </c>
      <c r="F832" s="1" t="n">
        <v>0.5</v>
      </c>
    </row>
    <row collapsed="false" customFormat="false" customHeight="false" hidden="false" ht="14.75" outlineLevel="0" r="833">
      <c r="A833" s="1" t="s">
        <v>1596</v>
      </c>
      <c r="B833" s="4" t="s">
        <v>1490</v>
      </c>
      <c r="C833" s="1" t="s">
        <v>1491</v>
      </c>
      <c r="D833" s="1" t="n">
        <v>134.3</v>
      </c>
      <c r="E833" s="1" t="n">
        <v>11.11</v>
      </c>
      <c r="F833" s="1" t="n">
        <v>1</v>
      </c>
    </row>
    <row collapsed="false" customFormat="false" customHeight="false" hidden="false" ht="14.75" outlineLevel="0" r="834">
      <c r="A834" s="1" t="s">
        <v>1597</v>
      </c>
      <c r="B834" s="4" t="s">
        <v>1490</v>
      </c>
      <c r="C834" s="1" t="s">
        <v>1491</v>
      </c>
      <c r="D834" s="1" t="n">
        <v>166.2</v>
      </c>
      <c r="E834" s="1" t="n">
        <v>10.78</v>
      </c>
      <c r="F834" s="1" t="n">
        <f aca="false">12/8</f>
        <v>1.5</v>
      </c>
    </row>
    <row collapsed="false" customFormat="false" customHeight="false" hidden="false" ht="14.75" outlineLevel="0" r="835">
      <c r="A835" s="1" t="s">
        <v>487</v>
      </c>
      <c r="B835" s="1" t="s">
        <v>1493</v>
      </c>
      <c r="C835" s="1" t="s">
        <v>1491</v>
      </c>
      <c r="D835" s="1" t="n">
        <v>142.1</v>
      </c>
      <c r="E835" s="1" t="n">
        <v>13.07</v>
      </c>
      <c r="F835" s="1" t="n">
        <f aca="false">5/7</f>
        <v>0.714285714285714</v>
      </c>
    </row>
    <row collapsed="false" customFormat="false" customHeight="false" hidden="false" ht="14.75" outlineLevel="0" r="836">
      <c r="A836" s="1" t="s">
        <v>488</v>
      </c>
      <c r="B836" s="1" t="s">
        <v>1493</v>
      </c>
      <c r="C836" s="1" t="s">
        <v>1491</v>
      </c>
      <c r="D836" s="1" t="n">
        <v>25</v>
      </c>
      <c r="E836" s="1" t="n">
        <v>5</v>
      </c>
      <c r="F836" s="1" t="n">
        <v>0</v>
      </c>
    </row>
    <row collapsed="false" customFormat="false" customHeight="false" hidden="false" ht="14.75" outlineLevel="0" r="837">
      <c r="A837" s="1" t="s">
        <v>384</v>
      </c>
      <c r="B837" s="1" t="s">
        <v>1517</v>
      </c>
      <c r="C837" s="1" t="s">
        <v>1491</v>
      </c>
      <c r="D837" s="1" t="n">
        <v>375.52</v>
      </c>
      <c r="E837" s="1" t="n">
        <v>22.6106194690265</v>
      </c>
      <c r="F837" s="1" t="n">
        <v>4.5</v>
      </c>
    </row>
    <row collapsed="false" customFormat="false" customHeight="false" hidden="false" ht="14.75" outlineLevel="0" r="838">
      <c r="A838" s="1" t="s">
        <v>385</v>
      </c>
      <c r="B838" s="1" t="s">
        <v>1517</v>
      </c>
      <c r="C838" s="1" t="s">
        <v>1491</v>
      </c>
      <c r="D838" s="1" t="n">
        <v>305.5</v>
      </c>
      <c r="E838" s="1" t="n">
        <v>17.5</v>
      </c>
      <c r="F838" s="1" t="n">
        <v>4.83333333333333</v>
      </c>
    </row>
    <row collapsed="false" customFormat="false" customHeight="false" hidden="false" ht="14.75" outlineLevel="0" r="839">
      <c r="A839" s="1" t="s">
        <v>1598</v>
      </c>
      <c r="B839" s="1" t="s">
        <v>1512</v>
      </c>
      <c r="C839" s="1" t="s">
        <v>1491</v>
      </c>
      <c r="D839" s="1" t="n">
        <v>108.5</v>
      </c>
      <c r="E839" s="1" t="n">
        <v>10.58</v>
      </c>
      <c r="F839" s="1" t="n">
        <v>0.7</v>
      </c>
    </row>
    <row collapsed="false" customFormat="false" customHeight="false" hidden="false" ht="14.75" outlineLevel="0" r="840">
      <c r="A840" s="1" t="s">
        <v>1599</v>
      </c>
      <c r="B840" s="1" t="s">
        <v>1504</v>
      </c>
      <c r="C840" s="1" t="s">
        <v>1491</v>
      </c>
      <c r="D840" s="1" t="n">
        <v>186.4</v>
      </c>
      <c r="E840" s="1" t="n">
        <v>12.33</v>
      </c>
      <c r="F840" s="1" t="n">
        <f aca="false">4/7</f>
        <v>0.571428571428571</v>
      </c>
    </row>
    <row collapsed="false" customFormat="false" customHeight="false" hidden="false" ht="14.75" outlineLevel="0" r="841">
      <c r="A841" s="1" t="s">
        <v>1600</v>
      </c>
      <c r="B841" s="1" t="s">
        <v>1496</v>
      </c>
      <c r="C841" s="1" t="s">
        <v>1491</v>
      </c>
      <c r="D841" s="1" t="n">
        <v>116.7</v>
      </c>
      <c r="E841" s="1" t="n">
        <v>8.89</v>
      </c>
      <c r="F841" s="1" t="n">
        <f aca="false">9/6</f>
        <v>1.5</v>
      </c>
    </row>
    <row collapsed="false" customFormat="false" customHeight="false" hidden="false" ht="14.75" outlineLevel="0" r="842">
      <c r="A842" s="1" t="s">
        <v>1601</v>
      </c>
      <c r="B842" s="1" t="s">
        <v>1496</v>
      </c>
      <c r="C842" s="1" t="s">
        <v>1491</v>
      </c>
      <c r="D842" s="1" t="n">
        <v>432.5</v>
      </c>
      <c r="E842" s="1" t="n">
        <v>20.92</v>
      </c>
      <c r="F842" s="1" t="n">
        <v>6.8</v>
      </c>
    </row>
    <row collapsed="false" customFormat="false" customHeight="false" hidden="false" ht="14.75" outlineLevel="0" r="843">
      <c r="A843" s="1" t="s">
        <v>275</v>
      </c>
      <c r="B843" s="1" t="s">
        <v>1499</v>
      </c>
      <c r="C843" s="4" t="s">
        <v>1491</v>
      </c>
      <c r="D843" s="1" t="n">
        <v>317.5</v>
      </c>
      <c r="E843" s="1" t="n">
        <v>19.81</v>
      </c>
      <c r="F843" s="1" t="n">
        <v>4.2</v>
      </c>
    </row>
    <row collapsed="false" customFormat="false" customHeight="false" hidden="false" ht="14.75" outlineLevel="0" r="844">
      <c r="A844" s="1" t="s">
        <v>276</v>
      </c>
      <c r="B844" s="1" t="s">
        <v>1499</v>
      </c>
      <c r="C844" s="4" t="s">
        <v>1491</v>
      </c>
      <c r="D844" s="1" t="n">
        <v>112.9</v>
      </c>
      <c r="E844" s="1" t="n">
        <v>8.6</v>
      </c>
      <c r="F844" s="1" t="n">
        <v>0.3</v>
      </c>
    </row>
    <row collapsed="false" customFormat="false" customHeight="false" hidden="false" ht="14.75" outlineLevel="0" r="845">
      <c r="A845" s="1" t="s">
        <v>1602</v>
      </c>
      <c r="B845" s="1" t="s">
        <v>1499</v>
      </c>
      <c r="C845" s="4" t="s">
        <v>1491</v>
      </c>
      <c r="D845" s="1" t="n">
        <v>102.7</v>
      </c>
      <c r="E845" s="1" t="n">
        <v>10.66</v>
      </c>
      <c r="F845" s="1" t="n">
        <v>0.3</v>
      </c>
    </row>
    <row collapsed="false" customFormat="false" customHeight="false" hidden="false" ht="14.75" outlineLevel="0" r="846">
      <c r="A846" s="1" t="s">
        <v>1603</v>
      </c>
      <c r="B846" s="1" t="s">
        <v>1499</v>
      </c>
      <c r="C846" s="4" t="s">
        <v>1491</v>
      </c>
      <c r="D846" s="1" t="n">
        <v>64.7</v>
      </c>
      <c r="E846" s="1" t="n">
        <v>5.31</v>
      </c>
      <c r="F846" s="1" t="n">
        <v>0.1</v>
      </c>
    </row>
    <row collapsed="false" customFormat="false" customHeight="false" hidden="false" ht="14.75" outlineLevel="0" r="847">
      <c r="A847" s="1" t="s">
        <v>1604</v>
      </c>
      <c r="B847" s="1" t="s">
        <v>1493</v>
      </c>
      <c r="C847" s="1" t="s">
        <v>1491</v>
      </c>
      <c r="D847" s="1" t="n">
        <v>46.4</v>
      </c>
      <c r="E847" s="1" t="n">
        <v>4.35</v>
      </c>
      <c r="F847" s="1" t="n">
        <f aca="false">1/7</f>
        <v>0.142857142857143</v>
      </c>
    </row>
    <row collapsed="false" customFormat="false" customHeight="false" hidden="false" ht="14.75" outlineLevel="0" r="848">
      <c r="A848" s="1" t="s">
        <v>28</v>
      </c>
      <c r="B848" s="1" t="s">
        <v>1517</v>
      </c>
      <c r="C848" s="1" t="s">
        <v>1491</v>
      </c>
      <c r="D848" s="1" t="n">
        <v>462.5</v>
      </c>
      <c r="E848" s="1" t="n">
        <v>22.007299270073</v>
      </c>
      <c r="F848" s="1" t="n">
        <v>7.66666666666667</v>
      </c>
    </row>
    <row collapsed="false" customFormat="false" customHeight="false" hidden="false" ht="14.75" outlineLevel="0" r="849">
      <c r="A849" s="1" t="s">
        <v>1605</v>
      </c>
      <c r="B849" s="1" t="s">
        <v>1496</v>
      </c>
      <c r="C849" s="1" t="s">
        <v>1491</v>
      </c>
      <c r="D849" s="1" t="n">
        <v>268.6</v>
      </c>
      <c r="E849" s="1" t="n">
        <v>16.91</v>
      </c>
      <c r="F849" s="1" t="n">
        <f aca="false">18/7</f>
        <v>2.57142857142857</v>
      </c>
    </row>
    <row collapsed="false" customFormat="false" customHeight="false" hidden="false" ht="14.75" outlineLevel="0" r="850">
      <c r="A850" s="1" t="s">
        <v>1606</v>
      </c>
      <c r="B850" s="1" t="s">
        <v>1496</v>
      </c>
      <c r="C850" s="1" t="s">
        <v>1491</v>
      </c>
      <c r="D850" s="1" t="n">
        <v>186.7</v>
      </c>
      <c r="E850" s="1" t="n">
        <v>11.96</v>
      </c>
      <c r="F850" s="1" t="n">
        <f aca="false">8/6</f>
        <v>1.33333333333333</v>
      </c>
    </row>
    <row collapsed="false" customFormat="false" customHeight="false" hidden="false" ht="14.75" outlineLevel="0" r="851">
      <c r="A851" s="1" t="s">
        <v>1607</v>
      </c>
      <c r="B851" s="1" t="s">
        <v>1496</v>
      </c>
      <c r="C851" s="1" t="s">
        <v>1491</v>
      </c>
      <c r="D851" s="1" t="n">
        <v>505</v>
      </c>
      <c r="E851" s="1" t="n">
        <v>24.26</v>
      </c>
      <c r="F851" s="1" t="n">
        <f aca="false">26/7</f>
        <v>3.71428571428571</v>
      </c>
    </row>
    <row collapsed="false" customFormat="false" customHeight="false" hidden="false" ht="14.75" outlineLevel="0" r="852">
      <c r="A852" s="1" t="s">
        <v>616</v>
      </c>
      <c r="B852" s="1" t="s">
        <v>1496</v>
      </c>
      <c r="C852" s="1" t="s">
        <v>1491</v>
      </c>
      <c r="D852" s="1" t="n">
        <v>338.6</v>
      </c>
      <c r="E852" s="1" t="n">
        <v>18.11</v>
      </c>
      <c r="F852" s="1" t="n">
        <f aca="false">15/7</f>
        <v>2.14285714285714</v>
      </c>
    </row>
    <row collapsed="false" customFormat="false" customHeight="false" hidden="false" ht="14.75" outlineLevel="0" r="853">
      <c r="A853" s="1" t="s">
        <v>1608</v>
      </c>
      <c r="B853" s="1" t="s">
        <v>1494</v>
      </c>
      <c r="C853" s="1" t="s">
        <v>1491</v>
      </c>
      <c r="D853" s="1" t="n">
        <v>312.5</v>
      </c>
      <c r="E853" s="1" t="n">
        <v>16.1</v>
      </c>
      <c r="F853" s="1" t="n">
        <v>2</v>
      </c>
    </row>
    <row collapsed="false" customFormat="false" customHeight="false" hidden="false" ht="14.75" outlineLevel="0" r="854">
      <c r="A854" s="1" t="s">
        <v>32</v>
      </c>
      <c r="B854" s="1" t="s">
        <v>1517</v>
      </c>
      <c r="C854" s="1" t="s">
        <v>1491</v>
      </c>
      <c r="D854" s="1" t="n">
        <v>432.98</v>
      </c>
      <c r="E854" s="1" t="n">
        <v>22.6</v>
      </c>
      <c r="F854" s="1" t="n">
        <v>7.33333333333333</v>
      </c>
    </row>
    <row collapsed="false" customFormat="false" customHeight="false" hidden="false" ht="14.75" outlineLevel="0" r="855">
      <c r="A855" s="1" t="s">
        <v>404</v>
      </c>
      <c r="B855" s="1" t="s">
        <v>1517</v>
      </c>
      <c r="C855" s="1" t="s">
        <v>1491</v>
      </c>
      <c r="D855" s="1" t="n">
        <v>252.52</v>
      </c>
      <c r="E855" s="1" t="n">
        <v>15.9183673469388</v>
      </c>
      <c r="F855" s="1" t="n">
        <v>2.16666666666667</v>
      </c>
    </row>
    <row collapsed="false" customFormat="false" customHeight="false" hidden="false" ht="14.75" outlineLevel="0" r="856">
      <c r="A856" s="1" t="s">
        <v>1609</v>
      </c>
      <c r="B856" s="1" t="s">
        <v>1517</v>
      </c>
      <c r="C856" s="1" t="s">
        <v>1491</v>
      </c>
      <c r="D856" s="1" t="n">
        <v>117.98</v>
      </c>
      <c r="E856" s="1" t="n">
        <v>10.7627118644068</v>
      </c>
      <c r="F856" s="1" t="n">
        <v>0.666666666666667</v>
      </c>
    </row>
    <row collapsed="false" customFormat="false" customHeight="false" hidden="false" ht="14.75" outlineLevel="0" r="857">
      <c r="A857" s="1" t="s">
        <v>1610</v>
      </c>
      <c r="B857" s="1" t="s">
        <v>1493</v>
      </c>
      <c r="C857" s="1" t="s">
        <v>1491</v>
      </c>
      <c r="D857" s="1" t="n">
        <v>290</v>
      </c>
      <c r="E857" s="1" t="n">
        <v>16.93</v>
      </c>
      <c r="F857" s="1" t="n">
        <v>1.7</v>
      </c>
    </row>
    <row collapsed="false" customFormat="false" customHeight="false" hidden="false" ht="14.75" outlineLevel="0" r="858">
      <c r="A858" s="1" t="s">
        <v>1611</v>
      </c>
      <c r="B858" s="1" t="s">
        <v>1493</v>
      </c>
      <c r="C858" s="1" t="s">
        <v>1491</v>
      </c>
      <c r="D858" s="1" t="n">
        <v>155</v>
      </c>
      <c r="E858" s="1" t="n">
        <v>10.98</v>
      </c>
      <c r="F858" s="1" t="n">
        <v>1</v>
      </c>
    </row>
    <row collapsed="false" customFormat="false" customHeight="false" hidden="false" ht="14.75" outlineLevel="0" r="859">
      <c r="A859" s="1" t="s">
        <v>499</v>
      </c>
      <c r="B859" s="1" t="s">
        <v>1493</v>
      </c>
      <c r="C859" s="1" t="s">
        <v>1491</v>
      </c>
      <c r="D859" s="1" t="n">
        <v>261.7</v>
      </c>
      <c r="E859" s="1" t="n">
        <v>16.39</v>
      </c>
      <c r="F859" s="1" t="n">
        <f aca="false">8/9</f>
        <v>0.888888888888889</v>
      </c>
    </row>
    <row collapsed="false" customFormat="false" customHeight="false" hidden="false" ht="14.75" outlineLevel="0" r="860">
      <c r="A860" s="1" t="s">
        <v>1612</v>
      </c>
      <c r="B860" s="1" t="s">
        <v>1499</v>
      </c>
      <c r="C860" s="4" t="s">
        <v>1491</v>
      </c>
      <c r="D860" s="1" t="n">
        <v>164.7</v>
      </c>
      <c r="E860" s="1" t="n">
        <v>12.24</v>
      </c>
      <c r="F860" s="1" t="n">
        <v>1.2</v>
      </c>
    </row>
    <row collapsed="false" customFormat="false" customHeight="false" hidden="false" ht="14.75" outlineLevel="0" r="861">
      <c r="A861" s="1" t="s">
        <v>1613</v>
      </c>
      <c r="B861" s="1" t="s">
        <v>1493</v>
      </c>
      <c r="C861" s="1" t="s">
        <v>1491</v>
      </c>
      <c r="D861" s="1" t="n">
        <v>348.2</v>
      </c>
      <c r="E861" s="1" t="n">
        <v>20</v>
      </c>
      <c r="F861" s="1" t="n">
        <f aca="false">35/12</f>
        <v>2.91666666666667</v>
      </c>
    </row>
    <row collapsed="false" customFormat="false" customHeight="false" hidden="false" ht="14.75" outlineLevel="0" r="862">
      <c r="A862" s="1" t="s">
        <v>1614</v>
      </c>
      <c r="B862" s="1" t="s">
        <v>1493</v>
      </c>
      <c r="C862" s="1" t="s">
        <v>1491</v>
      </c>
      <c r="D862" s="1" t="n">
        <v>171.1</v>
      </c>
      <c r="E862" s="1" t="n">
        <v>11.86</v>
      </c>
      <c r="F862" s="1" t="n">
        <v>1</v>
      </c>
    </row>
    <row collapsed="false" customFormat="false" customHeight="false" hidden="false" ht="14.75" outlineLevel="0" r="863">
      <c r="A863" s="1" t="s">
        <v>672</v>
      </c>
      <c r="B863" s="1" t="s">
        <v>1517</v>
      </c>
      <c r="C863" s="1" t="s">
        <v>1491</v>
      </c>
      <c r="D863" s="1" t="n">
        <v>83.8666666666667</v>
      </c>
      <c r="E863" s="1" t="n">
        <v>9.88372093023256</v>
      </c>
      <c r="F863" s="1" t="n">
        <v>0.166666666666667</v>
      </c>
    </row>
    <row collapsed="false" customFormat="false" customHeight="false" hidden="false" ht="14.75" outlineLevel="0" r="864">
      <c r="A864" s="1" t="s">
        <v>1615</v>
      </c>
      <c r="B864" s="1" t="s">
        <v>1496</v>
      </c>
      <c r="C864" s="1" t="s">
        <v>1491</v>
      </c>
      <c r="D864" s="1" t="n">
        <v>180</v>
      </c>
      <c r="E864" s="1" t="n">
        <v>11.18</v>
      </c>
      <c r="F864" s="1" t="n">
        <f aca="false">5/6</f>
        <v>0.833333333333333</v>
      </c>
    </row>
    <row collapsed="false" customFormat="false" customHeight="false" hidden="false" ht="14.75" outlineLevel="0" r="865">
      <c r="A865" s="1" t="s">
        <v>1616</v>
      </c>
      <c r="B865" s="1" t="s">
        <v>1496</v>
      </c>
      <c r="C865" s="1" t="s">
        <v>1491</v>
      </c>
      <c r="D865" s="1" t="n">
        <v>124.2</v>
      </c>
      <c r="E865" s="1" t="n">
        <v>9</v>
      </c>
      <c r="F865" s="1" t="n">
        <f aca="false">1/6</f>
        <v>0.166666666666667</v>
      </c>
    </row>
    <row collapsed="false" customFormat="false" customHeight="false" hidden="false" ht="14.75" outlineLevel="0" r="866">
      <c r="A866" s="1" t="s">
        <v>1617</v>
      </c>
      <c r="B866" s="1" t="s">
        <v>1499</v>
      </c>
      <c r="C866" s="4" t="s">
        <v>1491</v>
      </c>
      <c r="D866" s="1" t="n">
        <v>55.4</v>
      </c>
      <c r="E866" s="1" t="n">
        <v>6.52</v>
      </c>
      <c r="F866" s="1" t="n">
        <f aca="false">1/8</f>
        <v>0.125</v>
      </c>
    </row>
    <row collapsed="false" customFormat="false" customHeight="false" hidden="false" ht="14.75" outlineLevel="0" r="867">
      <c r="A867" s="1" t="s">
        <v>974</v>
      </c>
      <c r="B867" s="1" t="s">
        <v>1494</v>
      </c>
      <c r="C867" s="1" t="s">
        <v>1491</v>
      </c>
      <c r="D867" s="1" t="n">
        <v>418.6</v>
      </c>
      <c r="E867" s="1" t="n">
        <v>21.1</v>
      </c>
      <c r="F867" s="1" t="n">
        <f aca="false">35/11</f>
        <v>3.18181818181818</v>
      </c>
    </row>
    <row collapsed="false" customFormat="false" customHeight="false" hidden="false" ht="14.75" outlineLevel="0" r="868">
      <c r="A868" s="1" t="s">
        <v>975</v>
      </c>
      <c r="B868" s="1" t="s">
        <v>1494</v>
      </c>
      <c r="C868" s="1" t="s">
        <v>1491</v>
      </c>
      <c r="D868" s="1" t="n">
        <v>224.5</v>
      </c>
      <c r="E868" s="1" t="n">
        <v>14.84</v>
      </c>
      <c r="F868" s="1" t="n">
        <v>1.7</v>
      </c>
    </row>
    <row collapsed="false" customFormat="false" customHeight="false" hidden="false" ht="14.75" outlineLevel="0" r="869">
      <c r="A869" s="1" t="s">
        <v>976</v>
      </c>
      <c r="B869" s="1" t="s">
        <v>1494</v>
      </c>
      <c r="C869" s="1" t="s">
        <v>1491</v>
      </c>
      <c r="D869" s="1" t="n">
        <v>62.2</v>
      </c>
      <c r="E869" s="1" t="n">
        <v>8.71</v>
      </c>
      <c r="F869" s="1" t="n">
        <v>0.4</v>
      </c>
    </row>
    <row collapsed="false" customFormat="false" customHeight="false" hidden="false" ht="14.75" outlineLevel="0" r="870">
      <c r="A870" s="1" t="s">
        <v>1618</v>
      </c>
      <c r="B870" s="1" t="s">
        <v>1535</v>
      </c>
      <c r="C870" s="1" t="s">
        <v>1491</v>
      </c>
      <c r="D870" s="1" t="n">
        <v>280</v>
      </c>
      <c r="E870" s="1" t="n">
        <v>16.52</v>
      </c>
      <c r="F870" s="1" t="n">
        <v>1.8</v>
      </c>
    </row>
    <row collapsed="false" customFormat="false" customHeight="false" hidden="false" ht="14.75" outlineLevel="0" r="871">
      <c r="A871" s="1" t="s">
        <v>1619</v>
      </c>
      <c r="B871" s="1" t="s">
        <v>1496</v>
      </c>
      <c r="C871" s="1" t="s">
        <v>1491</v>
      </c>
      <c r="D871" s="1" t="n">
        <v>229.3</v>
      </c>
      <c r="E871" s="1" t="n">
        <v>15.74</v>
      </c>
      <c r="F871" s="1" t="n">
        <f aca="false">11/7</f>
        <v>1.57142857142857</v>
      </c>
    </row>
    <row collapsed="false" customFormat="false" customHeight="false" hidden="false" ht="14.75" outlineLevel="0" r="872">
      <c r="A872" s="1" t="s">
        <v>984</v>
      </c>
      <c r="B872" s="1" t="s">
        <v>1496</v>
      </c>
      <c r="C872" s="1" t="s">
        <v>1491</v>
      </c>
      <c r="D872" s="1" t="n">
        <v>185.8</v>
      </c>
      <c r="E872" s="1" t="n">
        <v>12.2</v>
      </c>
      <c r="F872" s="1" t="n">
        <v>2</v>
      </c>
    </row>
    <row collapsed="false" customFormat="false" customHeight="false" hidden="false" ht="14.75" outlineLevel="0" r="873">
      <c r="A873" s="1" t="s">
        <v>1620</v>
      </c>
      <c r="B873" s="1" t="s">
        <v>1499</v>
      </c>
      <c r="C873" s="4" t="s">
        <v>1491</v>
      </c>
      <c r="D873" s="1" t="n">
        <v>82.3</v>
      </c>
      <c r="E873" s="1" t="n">
        <v>9.31</v>
      </c>
      <c r="F873" s="1" t="n">
        <v>0.1</v>
      </c>
    </row>
    <row collapsed="false" customFormat="false" customHeight="false" hidden="false" ht="14.75" outlineLevel="0" r="874">
      <c r="A874" s="1" t="s">
        <v>1621</v>
      </c>
      <c r="B874" s="1" t="s">
        <v>1499</v>
      </c>
      <c r="C874" s="4" t="s">
        <v>1491</v>
      </c>
      <c r="D874" s="1" t="n">
        <v>35.3</v>
      </c>
      <c r="E874" s="1" t="n">
        <v>4.5</v>
      </c>
      <c r="F874" s="1" t="n">
        <v>0.2</v>
      </c>
    </row>
    <row collapsed="false" customFormat="false" customHeight="false" hidden="false" ht="14.75" outlineLevel="0" r="875">
      <c r="A875" s="1" t="s">
        <v>1622</v>
      </c>
      <c r="B875" s="1" t="s">
        <v>1499</v>
      </c>
      <c r="C875" s="4" t="s">
        <v>1491</v>
      </c>
      <c r="D875" s="1" t="n">
        <v>67.7</v>
      </c>
      <c r="E875" s="1" t="n">
        <v>6.3</v>
      </c>
      <c r="F875" s="1" t="n">
        <v>0</v>
      </c>
    </row>
    <row collapsed="false" customFormat="false" customHeight="false" hidden="false" ht="14.75" outlineLevel="0" r="876">
      <c r="A876" s="1" t="s">
        <v>1623</v>
      </c>
      <c r="B876" s="1" t="s">
        <v>1496</v>
      </c>
      <c r="C876" s="1" t="s">
        <v>1491</v>
      </c>
      <c r="D876" s="1" t="n">
        <v>53.3</v>
      </c>
      <c r="E876" s="1" t="n">
        <v>7.78</v>
      </c>
      <c r="F876" s="1" t="n">
        <v>0</v>
      </c>
    </row>
    <row collapsed="false" customFormat="false" customHeight="false" hidden="false" ht="14.75" outlineLevel="0" r="877">
      <c r="A877" s="1" t="s">
        <v>1624</v>
      </c>
      <c r="B877" s="1" t="s">
        <v>1496</v>
      </c>
      <c r="C877" s="1" t="s">
        <v>1491</v>
      </c>
      <c r="D877" s="1" t="n">
        <v>30</v>
      </c>
      <c r="E877" s="1" t="n">
        <v>3.57</v>
      </c>
      <c r="F877" s="1" t="n">
        <v>0</v>
      </c>
    </row>
    <row collapsed="false" customFormat="false" customHeight="false" hidden="false" ht="14.75" outlineLevel="0" r="878">
      <c r="A878" s="1" t="s">
        <v>1785</v>
      </c>
      <c r="B878" s="1" t="s">
        <v>1786</v>
      </c>
      <c r="C878" s="1" t="s">
        <v>1787</v>
      </c>
      <c r="D878" s="1" t="n">
        <v>36.9</v>
      </c>
      <c r="E878" s="1" t="n">
        <v>5</v>
      </c>
      <c r="F878" s="1" t="n">
        <f aca="false">1/8</f>
        <v>0.125</v>
      </c>
    </row>
    <row collapsed="false" customFormat="false" customHeight="false" hidden="false" ht="14.75" outlineLevel="0" r="879">
      <c r="A879" s="1" t="s">
        <v>1788</v>
      </c>
      <c r="B879" s="1" t="s">
        <v>1786</v>
      </c>
      <c r="C879" s="1" t="s">
        <v>1787</v>
      </c>
      <c r="D879" s="1" t="n">
        <v>96.9</v>
      </c>
      <c r="E879" s="1" t="n">
        <v>8.45</v>
      </c>
      <c r="F879" s="1" t="n">
        <f aca="false">7/8</f>
        <v>0.875</v>
      </c>
    </row>
    <row collapsed="false" customFormat="false" customHeight="false" hidden="false" ht="14.75" outlineLevel="0" r="880">
      <c r="A880" s="1" t="s">
        <v>1789</v>
      </c>
      <c r="B880" s="1" t="s">
        <v>1790</v>
      </c>
      <c r="C880" s="4" t="s">
        <v>1787</v>
      </c>
      <c r="D880" s="1" t="n">
        <v>307.2</v>
      </c>
      <c r="E880" s="1" t="n">
        <v>15.41</v>
      </c>
      <c r="F880" s="1" t="n">
        <v>3.1</v>
      </c>
    </row>
    <row collapsed="false" customFormat="false" customHeight="false" hidden="false" ht="14.75" outlineLevel="0" r="881">
      <c r="A881" s="1" t="s">
        <v>1791</v>
      </c>
      <c r="B881" s="1" t="s">
        <v>1792</v>
      </c>
      <c r="C881" s="1" t="s">
        <v>1787</v>
      </c>
      <c r="D881" s="1" t="n">
        <v>74.4</v>
      </c>
      <c r="E881" s="1" t="n">
        <v>7.25</v>
      </c>
      <c r="F881" s="1" t="n">
        <f aca="false">2/9</f>
        <v>0.222222222222222</v>
      </c>
    </row>
    <row collapsed="false" customFormat="false" customHeight="false" hidden="false" ht="14.75" outlineLevel="0" r="882">
      <c r="A882" s="1" t="s">
        <v>1793</v>
      </c>
      <c r="B882" s="1" t="s">
        <v>1790</v>
      </c>
      <c r="C882" s="4" t="s">
        <v>1787</v>
      </c>
      <c r="D882" s="1" t="n">
        <v>82.1</v>
      </c>
      <c r="E882" s="1" t="n">
        <v>8.44</v>
      </c>
      <c r="F882" s="1" t="n">
        <f aca="false">1/4</f>
        <v>0.25</v>
      </c>
    </row>
    <row collapsed="false" customFormat="false" customHeight="false" hidden="false" ht="14.75" outlineLevel="0" r="883">
      <c r="A883" s="1" t="s">
        <v>1794</v>
      </c>
      <c r="B883" s="1" t="s">
        <v>1792</v>
      </c>
      <c r="C883" s="1" t="s">
        <v>1787</v>
      </c>
      <c r="D883" s="1" t="n">
        <v>50</v>
      </c>
      <c r="E883" s="1" t="n">
        <v>5.67</v>
      </c>
      <c r="F883" s="1" t="n">
        <f aca="false">1/9</f>
        <v>0.111111111111111</v>
      </c>
    </row>
    <row collapsed="false" customFormat="false" customHeight="false" hidden="false" ht="14.75" outlineLevel="0" r="884">
      <c r="A884" s="1" t="s">
        <v>1795</v>
      </c>
      <c r="B884" s="1" t="s">
        <v>1792</v>
      </c>
      <c r="C884" s="1" t="s">
        <v>1787</v>
      </c>
      <c r="D884" s="1" t="n">
        <v>48.9</v>
      </c>
      <c r="E884" s="1" t="n">
        <v>3.64</v>
      </c>
      <c r="F884" s="1" t="n">
        <v>0</v>
      </c>
    </row>
    <row collapsed="false" customFormat="false" customHeight="false" hidden="false" ht="14.75" outlineLevel="0" r="885">
      <c r="A885" s="1" t="s">
        <v>678</v>
      </c>
      <c r="B885" s="1" t="s">
        <v>1796</v>
      </c>
      <c r="C885" s="1" t="s">
        <v>1787</v>
      </c>
      <c r="D885" s="1" t="n">
        <v>289.4</v>
      </c>
      <c r="E885" s="1" t="n">
        <v>15</v>
      </c>
      <c r="F885" s="1" t="n">
        <f aca="false">17/8</f>
        <v>2.125</v>
      </c>
    </row>
    <row collapsed="false" customFormat="false" customHeight="false" hidden="false" ht="14.75" outlineLevel="0" r="886">
      <c r="A886" s="1" t="s">
        <v>681</v>
      </c>
      <c r="B886" s="1" t="s">
        <v>1796</v>
      </c>
      <c r="C886" s="1" t="s">
        <v>1787</v>
      </c>
      <c r="D886" s="1" t="n">
        <v>141.2</v>
      </c>
      <c r="E886" s="1" t="n">
        <v>8.72</v>
      </c>
      <c r="F886" s="1" t="n">
        <f aca="false">4/8</f>
        <v>0.5</v>
      </c>
    </row>
    <row collapsed="false" customFormat="false" customHeight="false" hidden="false" ht="14.75" outlineLevel="0" r="887">
      <c r="A887" s="1" t="s">
        <v>439</v>
      </c>
      <c r="B887" s="1" t="s">
        <v>1797</v>
      </c>
      <c r="C887" s="1" t="s">
        <v>1787</v>
      </c>
      <c r="D887" s="1" t="n">
        <v>195</v>
      </c>
      <c r="E887" s="1" t="n">
        <v>12.65</v>
      </c>
      <c r="F887" s="1" t="n">
        <v>1</v>
      </c>
    </row>
    <row collapsed="false" customFormat="false" customHeight="false" hidden="false" ht="14.75" outlineLevel="0" r="888">
      <c r="A888" s="1" t="s">
        <v>441</v>
      </c>
      <c r="B888" s="1" t="s">
        <v>1797</v>
      </c>
      <c r="C888" s="1" t="s">
        <v>1787</v>
      </c>
      <c r="D888" s="1" t="n">
        <v>120</v>
      </c>
      <c r="E888" s="1" t="n">
        <v>11.82</v>
      </c>
      <c r="F888" s="1" t="n">
        <v>0.1</v>
      </c>
    </row>
    <row collapsed="false" customFormat="false" customHeight="false" hidden="false" ht="14.75" outlineLevel="0" r="889">
      <c r="A889" s="1" t="s">
        <v>442</v>
      </c>
      <c r="B889" s="1" t="s">
        <v>1797</v>
      </c>
      <c r="C889" s="1" t="s">
        <v>1787</v>
      </c>
      <c r="D889" s="1" t="n">
        <v>118.5</v>
      </c>
      <c r="E889" s="1" t="n">
        <v>9.33</v>
      </c>
      <c r="F889" s="1" t="n">
        <v>0.6</v>
      </c>
    </row>
    <row collapsed="false" customFormat="false" customHeight="false" hidden="false" ht="14.75" outlineLevel="0" r="890">
      <c r="A890" s="1" t="s">
        <v>443</v>
      </c>
      <c r="B890" s="1" t="s">
        <v>1797</v>
      </c>
      <c r="C890" s="1" t="s">
        <v>1787</v>
      </c>
      <c r="D890" s="1" t="n">
        <v>84.5</v>
      </c>
      <c r="E890" s="1" t="n">
        <v>7.3</v>
      </c>
      <c r="F890" s="1" t="n">
        <v>0.4</v>
      </c>
    </row>
    <row collapsed="false" customFormat="false" customHeight="false" hidden="false" ht="14.75" outlineLevel="0" r="891">
      <c r="A891" s="1" t="s">
        <v>1798</v>
      </c>
      <c r="B891" s="1" t="s">
        <v>1790</v>
      </c>
      <c r="C891" s="4" t="s">
        <v>1787</v>
      </c>
      <c r="D891" s="1" t="n">
        <v>112.5</v>
      </c>
      <c r="E891" s="1" t="n">
        <v>11.11</v>
      </c>
      <c r="F891" s="1" t="n">
        <f aca="false">3/5</f>
        <v>0.6</v>
      </c>
    </row>
    <row collapsed="false" customFormat="false" customHeight="false" hidden="false" ht="14.75" outlineLevel="0" r="892">
      <c r="A892" s="1" t="s">
        <v>1799</v>
      </c>
      <c r="B892" s="1" t="s">
        <v>1790</v>
      </c>
      <c r="C892" s="4" t="s">
        <v>1787</v>
      </c>
      <c r="D892" s="1" t="n">
        <v>161.8</v>
      </c>
      <c r="E892" s="1" t="n">
        <v>11.18</v>
      </c>
      <c r="F892" s="1" t="n">
        <f aca="false">4/8</f>
        <v>0.5</v>
      </c>
    </row>
    <row collapsed="false" customFormat="false" customHeight="false" hidden="false" ht="14.75" outlineLevel="0" r="893">
      <c r="A893" s="1" t="s">
        <v>721</v>
      </c>
      <c r="B893" s="1" t="s">
        <v>1792</v>
      </c>
      <c r="C893" s="1" t="s">
        <v>1787</v>
      </c>
      <c r="D893" s="1" t="n">
        <v>191.1</v>
      </c>
      <c r="E893" s="1" t="n">
        <v>15.29</v>
      </c>
      <c r="F893" s="1" t="n">
        <f aca="false">14/9</f>
        <v>1.55555555555556</v>
      </c>
    </row>
    <row collapsed="false" customFormat="false" customHeight="false" hidden="false" ht="14.75" outlineLevel="0" r="894">
      <c r="A894" s="1" t="s">
        <v>1800</v>
      </c>
      <c r="B894" s="1" t="s">
        <v>1786</v>
      </c>
      <c r="C894" s="1" t="s">
        <v>1787</v>
      </c>
      <c r="D894" s="1" t="n">
        <v>80.6</v>
      </c>
      <c r="E894" s="1" t="n">
        <v>11.61</v>
      </c>
      <c r="F894" s="1" t="n">
        <f aca="false">2/8</f>
        <v>0.25</v>
      </c>
    </row>
    <row collapsed="false" customFormat="false" customHeight="false" hidden="false" ht="14.75" outlineLevel="0" r="895">
      <c r="A895" s="1" t="s">
        <v>1801</v>
      </c>
      <c r="B895" s="1" t="s">
        <v>1786</v>
      </c>
      <c r="C895" s="1" t="s">
        <v>1787</v>
      </c>
      <c r="D895" s="1" t="n">
        <v>121.9</v>
      </c>
      <c r="E895" s="1" t="n">
        <v>10.1</v>
      </c>
      <c r="F895" s="1" t="n">
        <f aca="false">2/8</f>
        <v>0.25</v>
      </c>
    </row>
    <row collapsed="false" customFormat="false" customHeight="false" hidden="false" ht="14.75" outlineLevel="0" r="896">
      <c r="A896" s="1" t="s">
        <v>1802</v>
      </c>
      <c r="B896" s="1" t="s">
        <v>1797</v>
      </c>
      <c r="C896" s="1" t="s">
        <v>1787</v>
      </c>
      <c r="D896" s="1" t="n">
        <v>116</v>
      </c>
      <c r="E896" s="1" t="n">
        <v>10.17</v>
      </c>
      <c r="F896" s="1" t="n">
        <v>0.4</v>
      </c>
    </row>
    <row collapsed="false" customFormat="false" customHeight="false" hidden="false" ht="14.75" outlineLevel="0" r="897">
      <c r="A897" s="1" t="s">
        <v>1803</v>
      </c>
      <c r="B897" s="1" t="s">
        <v>1786</v>
      </c>
      <c r="C897" s="1" t="s">
        <v>1787</v>
      </c>
      <c r="D897" s="1" t="n">
        <v>211.1</v>
      </c>
      <c r="E897" s="1" t="n">
        <v>18.18</v>
      </c>
      <c r="F897" s="1" t="n">
        <f aca="false">15/9</f>
        <v>1.66666666666667</v>
      </c>
    </row>
    <row collapsed="false" customFormat="false" customHeight="false" hidden="false" ht="14.75" outlineLevel="0" r="898">
      <c r="A898" s="1" t="s">
        <v>1804</v>
      </c>
      <c r="B898" s="1" t="s">
        <v>1797</v>
      </c>
      <c r="C898" s="1" t="s">
        <v>1787</v>
      </c>
      <c r="D898" s="1" t="n">
        <v>181.4</v>
      </c>
      <c r="E898" s="1" t="n">
        <v>10.49</v>
      </c>
      <c r="F898" s="1" t="n">
        <v>0.6</v>
      </c>
    </row>
    <row collapsed="false" customFormat="false" customHeight="false" hidden="false" ht="14.75" outlineLevel="0" r="899">
      <c r="A899" s="1" t="s">
        <v>1805</v>
      </c>
      <c r="B899" s="1" t="s">
        <v>1786</v>
      </c>
      <c r="C899" s="1" t="s">
        <v>1787</v>
      </c>
      <c r="D899" s="1" t="n">
        <v>182.5</v>
      </c>
      <c r="E899" s="1" t="n">
        <v>13.69</v>
      </c>
      <c r="F899" s="1" t="n">
        <v>2</v>
      </c>
    </row>
    <row collapsed="false" customFormat="false" customHeight="false" hidden="false" ht="14.75" outlineLevel="0" r="900">
      <c r="A900" s="1" t="s">
        <v>103</v>
      </c>
      <c r="B900" s="1" t="s">
        <v>1796</v>
      </c>
      <c r="C900" s="1" t="s">
        <v>1787</v>
      </c>
      <c r="D900" s="1" t="n">
        <v>461.1</v>
      </c>
      <c r="E900" s="1" t="n">
        <v>21.42</v>
      </c>
      <c r="F900" s="1" t="n">
        <f aca="false">50/9</f>
        <v>5.55555555555556</v>
      </c>
    </row>
    <row collapsed="false" customFormat="false" customHeight="false" hidden="false" ht="14.75" outlineLevel="0" r="901">
      <c r="A901" s="1" t="s">
        <v>104</v>
      </c>
      <c r="B901" s="1" t="s">
        <v>1796</v>
      </c>
      <c r="C901" s="1" t="s">
        <v>1787</v>
      </c>
      <c r="D901" s="1" t="n">
        <v>246.9</v>
      </c>
      <c r="E901" s="1" t="n">
        <v>15</v>
      </c>
      <c r="F901" s="1" t="n">
        <f aca="false">3/8</f>
        <v>0.375</v>
      </c>
    </row>
    <row collapsed="false" customFormat="false" customHeight="false" hidden="false" ht="14.75" outlineLevel="0" r="902">
      <c r="A902" s="1" t="s">
        <v>822</v>
      </c>
      <c r="B902" s="1" t="s">
        <v>1796</v>
      </c>
      <c r="C902" s="1" t="s">
        <v>1787</v>
      </c>
      <c r="D902" s="1" t="n">
        <v>140</v>
      </c>
      <c r="E902" s="1" t="n">
        <v>8.89</v>
      </c>
      <c r="F902" s="1" t="n">
        <f aca="false">14/8</f>
        <v>1.75</v>
      </c>
    </row>
    <row collapsed="false" customFormat="false" customHeight="false" hidden="false" ht="14.75" outlineLevel="0" r="903">
      <c r="A903" s="1" t="s">
        <v>1806</v>
      </c>
      <c r="B903" s="1" t="s">
        <v>1796</v>
      </c>
      <c r="C903" s="1" t="s">
        <v>1787</v>
      </c>
      <c r="D903" s="1" t="n">
        <v>226.9</v>
      </c>
      <c r="E903" s="1" t="n">
        <v>12.58</v>
      </c>
      <c r="F903" s="1" t="n">
        <f aca="false">20/8</f>
        <v>2.5</v>
      </c>
    </row>
    <row collapsed="false" customFormat="false" customHeight="false" hidden="false" ht="14.75" outlineLevel="0" r="904">
      <c r="A904" s="1" t="s">
        <v>727</v>
      </c>
      <c r="B904" s="1" t="s">
        <v>1792</v>
      </c>
      <c r="C904" s="1" t="s">
        <v>1787</v>
      </c>
      <c r="D904" s="1" t="n">
        <v>247.2</v>
      </c>
      <c r="E904" s="1" t="n">
        <v>15.11</v>
      </c>
      <c r="F904" s="1" t="n">
        <f aca="false">19/9</f>
        <v>2.11111111111111</v>
      </c>
    </row>
    <row collapsed="false" customFormat="false" customHeight="false" hidden="false" ht="14.75" outlineLevel="0" r="905">
      <c r="A905" s="1" t="s">
        <v>728</v>
      </c>
      <c r="B905" s="1" t="s">
        <v>1792</v>
      </c>
      <c r="C905" s="1" t="s">
        <v>1787</v>
      </c>
      <c r="D905" s="1" t="n">
        <v>101.1</v>
      </c>
      <c r="E905" s="1" t="n">
        <v>8.37</v>
      </c>
      <c r="F905" s="1" t="n">
        <f aca="false">3/9</f>
        <v>0.333333333333333</v>
      </c>
    </row>
    <row collapsed="false" customFormat="false" customHeight="false" hidden="false" ht="14.75" outlineLevel="0" r="906">
      <c r="A906" s="1" t="s">
        <v>1807</v>
      </c>
      <c r="B906" s="1" t="s">
        <v>1792</v>
      </c>
      <c r="C906" s="1" t="s">
        <v>1787</v>
      </c>
      <c r="D906" s="1" t="n">
        <v>75.6</v>
      </c>
      <c r="E906" s="1" t="n">
        <v>10.42</v>
      </c>
      <c r="F906" s="1" t="n">
        <f aca="false">6/9</f>
        <v>0.666666666666667</v>
      </c>
    </row>
    <row collapsed="false" customFormat="false" customHeight="false" hidden="false" ht="14.75" outlineLevel="0" r="907">
      <c r="A907" s="1" t="s">
        <v>1810</v>
      </c>
      <c r="B907" s="1" t="s">
        <v>1790</v>
      </c>
      <c r="C907" s="4" t="s">
        <v>1787</v>
      </c>
      <c r="D907" s="1" t="n">
        <v>144</v>
      </c>
      <c r="E907" s="1" t="n">
        <v>10.33</v>
      </c>
      <c r="F907" s="1" t="n">
        <f aca="false">1/6</f>
        <v>0.166666666666667</v>
      </c>
    </row>
    <row collapsed="false" customFormat="false" customHeight="false" hidden="false" ht="14.75" outlineLevel="0" r="908">
      <c r="A908" s="1" t="s">
        <v>1811</v>
      </c>
      <c r="B908" s="1" t="s">
        <v>1790</v>
      </c>
      <c r="C908" s="4" t="s">
        <v>1787</v>
      </c>
      <c r="D908" s="1" t="n">
        <v>99.1</v>
      </c>
      <c r="E908" s="1" t="n">
        <v>10.37</v>
      </c>
      <c r="F908" s="1" t="n">
        <f aca="false">1/7</f>
        <v>0.142857142857143</v>
      </c>
    </row>
    <row collapsed="false" customFormat="false" customHeight="false" hidden="false" ht="14.75" outlineLevel="0" r="909">
      <c r="A909" s="1" t="s">
        <v>1812</v>
      </c>
      <c r="B909" s="1" t="s">
        <v>1786</v>
      </c>
      <c r="C909" s="1" t="s">
        <v>1787</v>
      </c>
      <c r="D909" s="1" t="n">
        <v>165.6</v>
      </c>
      <c r="E909" s="1" t="n">
        <v>13.48</v>
      </c>
      <c r="F909" s="1" t="n">
        <f aca="false">6/8</f>
        <v>0.75</v>
      </c>
    </row>
    <row collapsed="false" customFormat="false" customHeight="false" hidden="false" ht="14.75" outlineLevel="0" r="910">
      <c r="A910" s="1" t="s">
        <v>1813</v>
      </c>
      <c r="B910" s="1" t="s">
        <v>1797</v>
      </c>
      <c r="C910" s="1" t="s">
        <v>1787</v>
      </c>
      <c r="D910" s="1" t="n">
        <v>145.5</v>
      </c>
      <c r="E910" s="1" t="n">
        <v>11.27</v>
      </c>
      <c r="F910" s="1" t="n">
        <v>0.5</v>
      </c>
    </row>
    <row collapsed="false" customFormat="false" customHeight="false" hidden="false" ht="14.75" outlineLevel="0" r="911">
      <c r="A911" s="1" t="s">
        <v>1014</v>
      </c>
      <c r="B911" s="1" t="s">
        <v>1797</v>
      </c>
      <c r="C911" s="1" t="s">
        <v>1787</v>
      </c>
      <c r="D911" s="1" t="n">
        <v>405.5</v>
      </c>
      <c r="E911" s="1" t="n">
        <v>20.45</v>
      </c>
      <c r="F911" s="1" t="n">
        <f aca="false">41/11</f>
        <v>3.72727272727273</v>
      </c>
    </row>
    <row collapsed="false" customFormat="false" customHeight="false" hidden="false" ht="14.75" outlineLevel="0" r="912">
      <c r="A912" s="1" t="s">
        <v>1015</v>
      </c>
      <c r="B912" s="1" t="s">
        <v>1797</v>
      </c>
      <c r="C912" s="1" t="s">
        <v>1787</v>
      </c>
      <c r="D912" s="1" t="n">
        <v>254.5</v>
      </c>
      <c r="E912" s="1" t="n">
        <v>14.77</v>
      </c>
      <c r="F912" s="1" t="n">
        <f aca="false">25/11</f>
        <v>2.27272727272727</v>
      </c>
    </row>
    <row collapsed="false" customFormat="false" customHeight="false" hidden="false" ht="14.75" outlineLevel="0" r="913">
      <c r="A913" s="1" t="s">
        <v>1528</v>
      </c>
      <c r="B913" s="1" t="s">
        <v>1797</v>
      </c>
      <c r="C913" s="1" t="s">
        <v>1787</v>
      </c>
      <c r="D913" s="1" t="n">
        <v>481.4</v>
      </c>
      <c r="E913" s="1" t="n">
        <v>22.39</v>
      </c>
      <c r="F913" s="1" t="n">
        <f aca="false">64/11</f>
        <v>5.81818181818182</v>
      </c>
    </row>
    <row collapsed="false" customFormat="false" customHeight="false" hidden="false" ht="14.75" outlineLevel="0" r="914">
      <c r="A914" s="1" t="s">
        <v>1814</v>
      </c>
      <c r="B914" s="1" t="s">
        <v>1797</v>
      </c>
      <c r="C914" s="1" t="s">
        <v>1787</v>
      </c>
      <c r="D914" s="1" t="n">
        <v>197</v>
      </c>
      <c r="E914" s="1" t="n">
        <v>12.81</v>
      </c>
      <c r="F914" s="1" t="n">
        <v>0.5</v>
      </c>
    </row>
    <row collapsed="false" customFormat="false" customHeight="false" hidden="false" ht="14.75" outlineLevel="0" r="915">
      <c r="A915" s="1" t="s">
        <v>1815</v>
      </c>
      <c r="B915" s="1" t="s">
        <v>1797</v>
      </c>
      <c r="C915" s="1" t="s">
        <v>1787</v>
      </c>
      <c r="D915" s="1" t="n">
        <v>139.5</v>
      </c>
      <c r="E915" s="1" t="n">
        <v>11.52</v>
      </c>
      <c r="F915" s="1" t="n">
        <v>0.5</v>
      </c>
    </row>
    <row collapsed="false" customFormat="false" customHeight="false" hidden="false" ht="14.75" outlineLevel="0" r="916">
      <c r="A916" s="1" t="s">
        <v>1816</v>
      </c>
      <c r="B916" s="1" t="s">
        <v>1797</v>
      </c>
      <c r="C916" s="1" t="s">
        <v>1787</v>
      </c>
      <c r="D916" s="1" t="n">
        <v>65.5</v>
      </c>
      <c r="E916" s="1" t="n">
        <v>7.5</v>
      </c>
      <c r="F916" s="1" t="n">
        <v>0.6</v>
      </c>
    </row>
    <row collapsed="false" customFormat="false" customHeight="false" hidden="false" ht="14.75" outlineLevel="0" r="917">
      <c r="A917" s="1" t="s">
        <v>1016</v>
      </c>
      <c r="B917" s="1" t="s">
        <v>1797</v>
      </c>
      <c r="C917" s="1" t="s">
        <v>1787</v>
      </c>
      <c r="D917" s="1" t="n">
        <v>131.9</v>
      </c>
      <c r="E917" s="1" t="n">
        <v>8.64</v>
      </c>
      <c r="F917" s="1" t="n">
        <v>1.1</v>
      </c>
    </row>
    <row collapsed="false" customFormat="false" customHeight="false" hidden="false" ht="14.75" outlineLevel="0" r="918">
      <c r="A918" s="1" t="s">
        <v>1017</v>
      </c>
      <c r="B918" s="1" t="s">
        <v>1797</v>
      </c>
      <c r="C918" s="1" t="s">
        <v>1787</v>
      </c>
      <c r="D918" s="1" t="n">
        <v>84.5</v>
      </c>
      <c r="E918" s="1" t="n">
        <v>10.71</v>
      </c>
      <c r="F918" s="1" t="n">
        <v>0.3</v>
      </c>
    </row>
    <row collapsed="false" customFormat="false" customHeight="false" hidden="false" ht="14.75" outlineLevel="0" r="919">
      <c r="A919" s="1" t="s">
        <v>1817</v>
      </c>
      <c r="B919" s="1" t="s">
        <v>1797</v>
      </c>
      <c r="C919" s="1" t="s">
        <v>1787</v>
      </c>
      <c r="D919" s="1" t="n">
        <v>143.1</v>
      </c>
      <c r="E919" s="1" t="n">
        <v>9.66</v>
      </c>
      <c r="F919" s="1" t="n">
        <v>1</v>
      </c>
    </row>
    <row collapsed="false" customFormat="false" customHeight="false" hidden="false" ht="14.75" outlineLevel="0" r="920">
      <c r="A920" s="1" t="s">
        <v>738</v>
      </c>
      <c r="B920" s="1" t="s">
        <v>1792</v>
      </c>
      <c r="C920" s="1" t="s">
        <v>1787</v>
      </c>
      <c r="D920" s="1" t="n">
        <v>204.4</v>
      </c>
      <c r="E920" s="1" t="n">
        <v>16.27</v>
      </c>
      <c r="F920" s="1" t="n">
        <f aca="false">17/9</f>
        <v>1.88888888888889</v>
      </c>
    </row>
    <row collapsed="false" customFormat="false" customHeight="false" hidden="false" ht="14.75" outlineLevel="0" r="921">
      <c r="A921" s="1" t="s">
        <v>1818</v>
      </c>
      <c r="B921" s="1" t="s">
        <v>1792</v>
      </c>
      <c r="C921" s="1" t="s">
        <v>1787</v>
      </c>
      <c r="D921" s="1" t="n">
        <v>176.1</v>
      </c>
      <c r="E921" s="1" t="n">
        <v>13.75</v>
      </c>
      <c r="F921" s="1" t="n">
        <f aca="false">12/9</f>
        <v>1.33333333333333</v>
      </c>
    </row>
    <row collapsed="false" customFormat="false" customHeight="false" hidden="false" ht="14.75" outlineLevel="0" r="922">
      <c r="A922" s="1" t="s">
        <v>1819</v>
      </c>
      <c r="B922" s="1" t="s">
        <v>1792</v>
      </c>
      <c r="C922" s="1" t="s">
        <v>1787</v>
      </c>
      <c r="D922" s="1" t="n">
        <v>62.8</v>
      </c>
      <c r="E922" s="1" t="n">
        <v>6.84</v>
      </c>
      <c r="F922" s="1" t="n">
        <f aca="false">3/9</f>
        <v>0.333333333333333</v>
      </c>
    </row>
    <row collapsed="false" customFormat="false" customHeight="false" hidden="false" ht="14.75" outlineLevel="0" r="923">
      <c r="A923" s="1" t="s">
        <v>742</v>
      </c>
      <c r="B923" s="1" t="s">
        <v>1792</v>
      </c>
      <c r="C923" s="1" t="s">
        <v>1787</v>
      </c>
      <c r="D923" s="1" t="n">
        <v>110</v>
      </c>
      <c r="E923" s="1" t="n">
        <v>12.56</v>
      </c>
      <c r="F923" s="1" t="n">
        <f aca="false">5/9</f>
        <v>0.555555555555556</v>
      </c>
    </row>
    <row collapsed="false" customFormat="false" customHeight="false" hidden="false" ht="14.75" outlineLevel="0" r="924">
      <c r="A924" s="1" t="s">
        <v>743</v>
      </c>
      <c r="B924" s="1" t="s">
        <v>1792</v>
      </c>
      <c r="C924" s="1" t="s">
        <v>1787</v>
      </c>
      <c r="D924" s="1" t="n">
        <v>64.4</v>
      </c>
      <c r="E924" s="1" t="n">
        <v>6.22</v>
      </c>
      <c r="F924" s="1" t="n">
        <v>0</v>
      </c>
    </row>
    <row collapsed="false" customFormat="false" customHeight="false" hidden="false" ht="14.75" outlineLevel="0" r="925">
      <c r="A925" s="1" t="s">
        <v>744</v>
      </c>
      <c r="B925" s="1" t="s">
        <v>1792</v>
      </c>
      <c r="C925" s="1" t="s">
        <v>1787</v>
      </c>
      <c r="D925" s="1" t="n">
        <v>53.9</v>
      </c>
      <c r="E925" s="1" t="n">
        <v>5.3</v>
      </c>
      <c r="F925" s="1" t="n">
        <v>0</v>
      </c>
    </row>
    <row collapsed="false" customFormat="false" customHeight="false" hidden="false" ht="14.75" outlineLevel="0" r="926">
      <c r="A926" s="1" t="s">
        <v>1820</v>
      </c>
      <c r="B926" s="1" t="s">
        <v>1797</v>
      </c>
      <c r="C926" s="1" t="s">
        <v>1787</v>
      </c>
      <c r="D926" s="1" t="n">
        <v>167</v>
      </c>
      <c r="E926" s="1" t="n">
        <v>11.28</v>
      </c>
      <c r="F926" s="1" t="n">
        <v>0.4</v>
      </c>
    </row>
    <row collapsed="false" customFormat="false" customHeight="false" hidden="false" ht="14.75" outlineLevel="0" r="927">
      <c r="A927" s="1" t="s">
        <v>1021</v>
      </c>
      <c r="B927" s="1" t="s">
        <v>1790</v>
      </c>
      <c r="C927" s="4" t="s">
        <v>1787</v>
      </c>
      <c r="D927" s="1" t="n">
        <v>72.3</v>
      </c>
      <c r="E927" s="1" t="n">
        <v>9.41</v>
      </c>
      <c r="F927" s="1" t="n">
        <f aca="false">5/7</f>
        <v>0.714285714285714</v>
      </c>
    </row>
    <row collapsed="false" customFormat="false" customHeight="false" hidden="false" ht="14.75" outlineLevel="0" r="928">
      <c r="A928" s="1" t="s">
        <v>1824</v>
      </c>
      <c r="B928" s="1" t="s">
        <v>1786</v>
      </c>
      <c r="C928" s="1" t="s">
        <v>1787</v>
      </c>
      <c r="D928" s="1" t="n">
        <v>358.1</v>
      </c>
      <c r="E928" s="1" t="n">
        <v>18.88</v>
      </c>
      <c r="F928" s="1" t="n">
        <f aca="false">40/8</f>
        <v>5</v>
      </c>
    </row>
    <row collapsed="false" customFormat="false" customHeight="false" hidden="false" ht="14.75" outlineLevel="0" r="929">
      <c r="A929" s="1" t="s">
        <v>691</v>
      </c>
      <c r="B929" s="1" t="s">
        <v>1796</v>
      </c>
      <c r="C929" s="1" t="s">
        <v>1787</v>
      </c>
      <c r="D929" s="1" t="n">
        <v>355</v>
      </c>
      <c r="E929" s="1" t="n">
        <v>17.58</v>
      </c>
      <c r="F929" s="1" t="n">
        <f aca="false">18/8</f>
        <v>2.25</v>
      </c>
    </row>
    <row collapsed="false" customFormat="false" customHeight="false" hidden="false" ht="14.75" outlineLevel="0" r="930">
      <c r="A930" s="1" t="s">
        <v>692</v>
      </c>
      <c r="B930" s="1" t="s">
        <v>1796</v>
      </c>
      <c r="C930" s="1" t="s">
        <v>1787</v>
      </c>
      <c r="D930" s="1" t="n">
        <v>218.8</v>
      </c>
      <c r="E930" s="1" t="n">
        <v>13.08</v>
      </c>
      <c r="F930" s="1" t="n">
        <f aca="false">6/8</f>
        <v>0.75</v>
      </c>
    </row>
    <row collapsed="false" customFormat="false" customHeight="false" hidden="false" ht="14.75" outlineLevel="0" r="931">
      <c r="A931" s="1" t="s">
        <v>1546</v>
      </c>
      <c r="B931" s="1" t="s">
        <v>1797</v>
      </c>
      <c r="C931" s="1" t="s">
        <v>1787</v>
      </c>
      <c r="D931" s="1" t="n">
        <v>207.9</v>
      </c>
      <c r="E931" s="1" t="n">
        <v>14.94</v>
      </c>
      <c r="F931" s="1" t="n">
        <v>0.9</v>
      </c>
    </row>
    <row collapsed="false" customFormat="false" customHeight="false" hidden="false" ht="14.75" outlineLevel="0" r="932">
      <c r="A932" s="1" t="s">
        <v>1825</v>
      </c>
      <c r="B932" s="1" t="s">
        <v>1797</v>
      </c>
      <c r="C932" s="1" t="s">
        <v>1787</v>
      </c>
      <c r="D932" s="1" t="n">
        <v>165</v>
      </c>
      <c r="E932" s="1" t="n">
        <v>10.62</v>
      </c>
      <c r="F932" s="1" t="n">
        <v>0.8</v>
      </c>
    </row>
    <row collapsed="false" customFormat="false" customHeight="false" hidden="false" ht="14.75" outlineLevel="0" r="933">
      <c r="A933" s="1" t="s">
        <v>747</v>
      </c>
      <c r="B933" s="1" t="s">
        <v>1792</v>
      </c>
      <c r="C933" s="1" t="s">
        <v>1787</v>
      </c>
      <c r="D933" s="1" t="n">
        <v>411.1</v>
      </c>
      <c r="E933" s="1" t="n">
        <v>22.46</v>
      </c>
      <c r="F933" s="1" t="n">
        <f aca="false">28/9</f>
        <v>3.11111111111111</v>
      </c>
    </row>
    <row collapsed="false" customFormat="false" customHeight="false" hidden="false" ht="14.75" outlineLevel="0" r="934">
      <c r="A934" s="1" t="s">
        <v>748</v>
      </c>
      <c r="B934" s="1" t="s">
        <v>1792</v>
      </c>
      <c r="C934" s="1" t="s">
        <v>1787</v>
      </c>
      <c r="D934" s="1" t="n">
        <v>137.8</v>
      </c>
      <c r="E934" s="1" t="n">
        <v>13.12</v>
      </c>
      <c r="F934" s="1" t="n">
        <f aca="false">10/9</f>
        <v>1.11111111111111</v>
      </c>
    </row>
    <row collapsed="false" customFormat="false" customHeight="false" hidden="false" ht="14.75" outlineLevel="0" r="935">
      <c r="A935" s="1" t="s">
        <v>1826</v>
      </c>
      <c r="B935" s="1" t="s">
        <v>1797</v>
      </c>
      <c r="C935" s="1" t="s">
        <v>1787</v>
      </c>
      <c r="D935" s="1" t="n">
        <v>268</v>
      </c>
      <c r="E935" s="1" t="n">
        <v>16.83</v>
      </c>
      <c r="F935" s="1" t="n">
        <v>1.3</v>
      </c>
    </row>
    <row collapsed="false" customFormat="false" customHeight="false" hidden="false" ht="14.75" outlineLevel="0" r="936">
      <c r="A936" s="1" t="s">
        <v>1827</v>
      </c>
      <c r="B936" s="1" t="s">
        <v>1786</v>
      </c>
      <c r="C936" s="1" t="s">
        <v>1787</v>
      </c>
      <c r="D936" s="1" t="n">
        <v>161.9</v>
      </c>
      <c r="E936" s="1" t="n">
        <v>13.6</v>
      </c>
      <c r="F936" s="1" t="n">
        <f aca="false">10/8</f>
        <v>1.25</v>
      </c>
    </row>
    <row collapsed="false" customFormat="false" customHeight="false" hidden="false" ht="14.75" outlineLevel="0" r="937">
      <c r="A937" s="1" t="s">
        <v>1828</v>
      </c>
      <c r="B937" s="1" t="s">
        <v>1786</v>
      </c>
      <c r="C937" s="1" t="s">
        <v>1787</v>
      </c>
      <c r="D937" s="1" t="n">
        <v>251.9</v>
      </c>
      <c r="E937" s="1" t="n">
        <v>15.38</v>
      </c>
      <c r="F937" s="1" t="n">
        <f aca="false">20/8</f>
        <v>2.5</v>
      </c>
    </row>
    <row collapsed="false" customFormat="false" customHeight="false" hidden="false" ht="14.75" outlineLevel="0" r="938">
      <c r="A938" s="1" t="s">
        <v>1829</v>
      </c>
      <c r="B938" s="1" t="s">
        <v>1797</v>
      </c>
      <c r="C938" s="1" t="s">
        <v>1787</v>
      </c>
      <c r="D938" s="1" t="n">
        <v>143.5</v>
      </c>
      <c r="E938" s="1" t="n">
        <v>10.79</v>
      </c>
      <c r="F938" s="1" t="n">
        <v>0.3</v>
      </c>
    </row>
    <row collapsed="false" customFormat="false" customHeight="false" hidden="false" ht="14.75" outlineLevel="0" r="939">
      <c r="A939" s="1" t="s">
        <v>1830</v>
      </c>
      <c r="B939" s="1" t="s">
        <v>1797</v>
      </c>
      <c r="C939" s="1" t="s">
        <v>1787</v>
      </c>
      <c r="D939" s="1" t="n">
        <v>35</v>
      </c>
      <c r="E939" s="1" t="n">
        <v>5</v>
      </c>
      <c r="F939" s="1" t="n">
        <v>0.2</v>
      </c>
    </row>
    <row collapsed="false" customFormat="false" customHeight="false" hidden="false" ht="14.75" outlineLevel="0" r="940">
      <c r="A940" s="1" t="s">
        <v>1833</v>
      </c>
      <c r="B940" s="1" t="s">
        <v>1797</v>
      </c>
      <c r="C940" s="1" t="s">
        <v>1787</v>
      </c>
      <c r="D940" s="1" t="n">
        <v>70.5</v>
      </c>
      <c r="E940" s="1" t="n">
        <v>7.05</v>
      </c>
      <c r="F940" s="1" t="n">
        <v>0.2</v>
      </c>
    </row>
    <row collapsed="false" customFormat="false" customHeight="false" hidden="false" ht="14.75" outlineLevel="0" r="941">
      <c r="A941" s="1" t="s">
        <v>1834</v>
      </c>
      <c r="B941" s="1" t="s">
        <v>1797</v>
      </c>
      <c r="C941" s="1" t="s">
        <v>1787</v>
      </c>
      <c r="D941" s="1" t="n">
        <v>133.5</v>
      </c>
      <c r="E941" s="1" t="n">
        <v>11.52</v>
      </c>
      <c r="F941" s="1" t="n">
        <v>0.6</v>
      </c>
    </row>
    <row collapsed="false" customFormat="false" customHeight="false" hidden="false" ht="14.75" outlineLevel="0" r="942">
      <c r="A942" s="1" t="s">
        <v>467</v>
      </c>
      <c r="B942" s="1" t="s">
        <v>1797</v>
      </c>
      <c r="C942" s="1" t="s">
        <v>1787</v>
      </c>
      <c r="D942" s="1" t="n">
        <v>135.5</v>
      </c>
      <c r="E942" s="1" t="n">
        <v>8.13</v>
      </c>
      <c r="F942" s="1" t="n">
        <v>0.7</v>
      </c>
    </row>
    <row collapsed="false" customFormat="false" customHeight="false" hidden="false" ht="14.75" outlineLevel="0" r="943">
      <c r="A943" s="1" t="s">
        <v>1835</v>
      </c>
      <c r="B943" s="1" t="s">
        <v>1796</v>
      </c>
      <c r="C943" s="1" t="s">
        <v>1787</v>
      </c>
      <c r="D943" s="1" t="n">
        <v>241.9</v>
      </c>
      <c r="E943" s="1" t="n">
        <v>14.2</v>
      </c>
      <c r="F943" s="1" t="n">
        <f aca="false">21/8</f>
        <v>2.625</v>
      </c>
    </row>
    <row collapsed="false" customFormat="false" customHeight="false" hidden="false" ht="14.75" outlineLevel="0" r="944">
      <c r="A944" s="1" t="s">
        <v>892</v>
      </c>
      <c r="B944" s="1" t="s">
        <v>1797</v>
      </c>
      <c r="C944" s="1" t="s">
        <v>1787</v>
      </c>
      <c r="D944" s="1" t="n">
        <v>196.7</v>
      </c>
      <c r="E944" s="1" t="n">
        <v>12.12</v>
      </c>
      <c r="F944" s="1" t="n">
        <f aca="false">10/9</f>
        <v>1.11111111111111</v>
      </c>
    </row>
    <row collapsed="false" customFormat="false" customHeight="false" hidden="false" ht="14.75" outlineLevel="0" r="945">
      <c r="A945" s="1" t="s">
        <v>893</v>
      </c>
      <c r="B945" s="1" t="s">
        <v>1797</v>
      </c>
      <c r="C945" s="1" t="s">
        <v>1787</v>
      </c>
      <c r="D945" s="1" t="n">
        <v>126</v>
      </c>
      <c r="E945" s="1" t="n">
        <v>9.38</v>
      </c>
      <c r="F945" s="1" t="n">
        <v>0.8</v>
      </c>
    </row>
    <row collapsed="false" customFormat="false" customHeight="false" hidden="false" ht="14.75" outlineLevel="0" r="946">
      <c r="A946" s="1" t="s">
        <v>1836</v>
      </c>
      <c r="B946" s="1" t="s">
        <v>1797</v>
      </c>
      <c r="C946" s="1" t="s">
        <v>1787</v>
      </c>
      <c r="D946" s="1" t="n">
        <v>193.3</v>
      </c>
      <c r="E946" s="1" t="n">
        <v>13.47</v>
      </c>
      <c r="F946" s="1" t="n">
        <f aca="false">13/9</f>
        <v>1.44444444444444</v>
      </c>
    </row>
    <row collapsed="false" customFormat="false" customHeight="false" hidden="false" ht="14.75" outlineLevel="0" r="947">
      <c r="A947" s="1" t="s">
        <v>1837</v>
      </c>
      <c r="B947" s="1" t="s">
        <v>1797</v>
      </c>
      <c r="C947" s="1" t="s">
        <v>1787</v>
      </c>
      <c r="D947" s="1" t="n">
        <v>120.5</v>
      </c>
      <c r="E947" s="1" t="n">
        <v>7.32</v>
      </c>
      <c r="F947" s="1" t="n">
        <v>0.9</v>
      </c>
    </row>
    <row collapsed="false" customFormat="false" customHeight="false" hidden="false" ht="14.75" outlineLevel="0" r="948">
      <c r="A948" s="1" t="s">
        <v>1041</v>
      </c>
      <c r="B948" s="1" t="s">
        <v>1790</v>
      </c>
      <c r="C948" s="4" t="s">
        <v>1787</v>
      </c>
      <c r="D948" s="1" t="n">
        <v>286.6</v>
      </c>
      <c r="E948" s="1" t="n">
        <v>15.35</v>
      </c>
      <c r="F948" s="1" t="n">
        <f aca="false">18/8</f>
        <v>2.25</v>
      </c>
    </row>
    <row collapsed="false" customFormat="false" customHeight="false" hidden="false" ht="14.75" outlineLevel="0" r="949">
      <c r="A949" s="1" t="s">
        <v>1042</v>
      </c>
      <c r="B949" s="1" t="s">
        <v>1790</v>
      </c>
      <c r="C949" s="4" t="s">
        <v>1787</v>
      </c>
      <c r="D949" s="1" t="n">
        <v>121.5</v>
      </c>
      <c r="E949" s="1" t="n">
        <v>11.67</v>
      </c>
      <c r="F949" s="1" t="n">
        <f aca="false">3/7</f>
        <v>0.428571428571429</v>
      </c>
    </row>
    <row collapsed="false" customFormat="false" customHeight="false" hidden="false" ht="14.75" outlineLevel="0" r="950">
      <c r="A950" s="1" t="s">
        <v>147</v>
      </c>
      <c r="B950" s="1" t="s">
        <v>1790</v>
      </c>
      <c r="C950" s="4" t="s">
        <v>1787</v>
      </c>
      <c r="D950" s="1" t="n">
        <v>190.2</v>
      </c>
      <c r="E950" s="1" t="n">
        <v>12.8</v>
      </c>
      <c r="F950" s="1" t="n">
        <f aca="false">10/8</f>
        <v>1.25</v>
      </c>
    </row>
    <row collapsed="false" customFormat="false" customHeight="false" hidden="false" ht="14.75" outlineLevel="0" r="951">
      <c r="A951" s="1" t="s">
        <v>148</v>
      </c>
      <c r="B951" s="1" t="s">
        <v>1790</v>
      </c>
      <c r="C951" s="4" t="s">
        <v>1787</v>
      </c>
      <c r="D951" s="1" t="n">
        <v>81.2</v>
      </c>
      <c r="E951" s="1" t="n">
        <v>7.14</v>
      </c>
      <c r="F951" s="1" t="n">
        <v>0</v>
      </c>
    </row>
    <row collapsed="false" customFormat="false" customHeight="false" hidden="false" ht="14.75" outlineLevel="0" r="952">
      <c r="A952" s="1" t="s">
        <v>353</v>
      </c>
      <c r="B952" s="1" t="s">
        <v>1796</v>
      </c>
      <c r="C952" s="1" t="s">
        <v>1787</v>
      </c>
      <c r="D952" s="1" t="n">
        <v>105</v>
      </c>
      <c r="E952" s="1" t="n">
        <v>7.44</v>
      </c>
      <c r="F952" s="1" t="n">
        <f aca="false">4/8</f>
        <v>0.5</v>
      </c>
    </row>
    <row collapsed="false" customFormat="false" customHeight="false" hidden="false" ht="14.75" outlineLevel="0" r="953">
      <c r="A953" s="1" t="s">
        <v>353</v>
      </c>
      <c r="B953" s="1" t="s">
        <v>1790</v>
      </c>
      <c r="C953" s="4" t="s">
        <v>1787</v>
      </c>
      <c r="D953" s="1" t="n">
        <v>222.8</v>
      </c>
      <c r="E953" s="1" t="n">
        <v>13.29</v>
      </c>
      <c r="F953" s="1" t="n">
        <f aca="false">15/9</f>
        <v>1.66666666666667</v>
      </c>
    </row>
    <row collapsed="false" customFormat="false" customHeight="false" hidden="false" ht="14.75" outlineLevel="0" r="954">
      <c r="A954" s="1" t="s">
        <v>1838</v>
      </c>
      <c r="B954" s="1" t="s">
        <v>1796</v>
      </c>
      <c r="C954" s="1" t="s">
        <v>1787</v>
      </c>
      <c r="D954" s="1" t="n">
        <v>307.5</v>
      </c>
      <c r="E954" s="1" t="n">
        <v>15.06</v>
      </c>
      <c r="F954" s="1" t="n">
        <f aca="false">12/8</f>
        <v>1.5</v>
      </c>
    </row>
    <row collapsed="false" customFormat="false" customHeight="false" hidden="false" ht="14.75" outlineLevel="0" r="955">
      <c r="A955" s="1" t="s">
        <v>1839</v>
      </c>
      <c r="B955" s="1" t="s">
        <v>1796</v>
      </c>
      <c r="C955" s="1" t="s">
        <v>1787</v>
      </c>
      <c r="D955" s="1" t="n">
        <v>78.8</v>
      </c>
      <c r="E955" s="1" t="n">
        <v>8.08</v>
      </c>
      <c r="F955" s="1" t="n">
        <f aca="false">2/8</f>
        <v>0.25</v>
      </c>
    </row>
    <row collapsed="false" customFormat="false" customHeight="false" hidden="false" ht="14.75" outlineLevel="0" r="956">
      <c r="A956" s="1" t="s">
        <v>1709</v>
      </c>
      <c r="B956" s="1" t="s">
        <v>1796</v>
      </c>
      <c r="C956" s="1" t="s">
        <v>1787</v>
      </c>
      <c r="D956" s="1" t="n">
        <v>187.5</v>
      </c>
      <c r="E956" s="1" t="n">
        <v>10.65</v>
      </c>
      <c r="F956" s="1" t="n">
        <f aca="false">10/8</f>
        <v>1.25</v>
      </c>
    </row>
    <row collapsed="false" customFormat="false" customHeight="false" hidden="false" ht="14.75" outlineLevel="0" r="957">
      <c r="A957" s="1" t="s">
        <v>1840</v>
      </c>
      <c r="B957" s="1" t="s">
        <v>1797</v>
      </c>
      <c r="C957" s="1" t="s">
        <v>1787</v>
      </c>
      <c r="D957" s="1" t="n">
        <v>128.5</v>
      </c>
      <c r="E957" s="1" t="n">
        <v>10.54</v>
      </c>
      <c r="F957" s="1" t="n">
        <v>0.6</v>
      </c>
    </row>
    <row collapsed="false" customFormat="false" customHeight="false" hidden="false" ht="14.75" outlineLevel="0" r="958">
      <c r="A958" s="1" t="s">
        <v>1841</v>
      </c>
      <c r="B958" s="1" t="s">
        <v>1797</v>
      </c>
      <c r="C958" s="1" t="s">
        <v>1787</v>
      </c>
      <c r="D958" s="1" t="n">
        <v>118</v>
      </c>
      <c r="E958" s="1" t="n">
        <v>9.67</v>
      </c>
      <c r="F958" s="1" t="n">
        <v>0.7</v>
      </c>
    </row>
    <row collapsed="false" customFormat="false" customHeight="false" hidden="false" ht="14.75" outlineLevel="0" r="959">
      <c r="A959" s="1" t="s">
        <v>694</v>
      </c>
      <c r="B959" s="1" t="s">
        <v>1796</v>
      </c>
      <c r="C959" s="1" t="s">
        <v>1787</v>
      </c>
      <c r="D959" s="1" t="n">
        <v>506.1</v>
      </c>
      <c r="E959" s="1" t="n">
        <v>21.61</v>
      </c>
      <c r="F959" s="1" t="n">
        <f aca="false">51/9</f>
        <v>5.66666666666667</v>
      </c>
    </row>
    <row collapsed="false" customFormat="false" customHeight="false" hidden="false" ht="14.75" outlineLevel="0" r="960">
      <c r="A960" s="1" t="s">
        <v>695</v>
      </c>
      <c r="B960" s="1" t="s">
        <v>1796</v>
      </c>
      <c r="C960" s="1" t="s">
        <v>1787</v>
      </c>
      <c r="D960" s="1" t="n">
        <v>243.8</v>
      </c>
      <c r="E960" s="1" t="n">
        <v>12.43</v>
      </c>
      <c r="F960" s="1" t="n">
        <f aca="false">18/8</f>
        <v>2.25</v>
      </c>
    </row>
    <row collapsed="false" customFormat="false" customHeight="false" hidden="false" ht="14.75" outlineLevel="0" r="961">
      <c r="A961" s="1" t="s">
        <v>1844</v>
      </c>
      <c r="B961" s="1" t="s">
        <v>1786</v>
      </c>
      <c r="C961" s="1" t="s">
        <v>1787</v>
      </c>
      <c r="D961" s="1" t="n">
        <v>248.8</v>
      </c>
      <c r="E961" s="1" t="n">
        <v>17.03</v>
      </c>
      <c r="F961" s="1" t="n">
        <f aca="false">32/8</f>
        <v>4</v>
      </c>
    </row>
    <row collapsed="false" customFormat="false" customHeight="false" hidden="false" ht="14.75" outlineLevel="0" r="962">
      <c r="A962" s="1" t="s">
        <v>754</v>
      </c>
      <c r="B962" s="1" t="s">
        <v>1792</v>
      </c>
      <c r="C962" s="1" t="s">
        <v>1787</v>
      </c>
      <c r="D962" s="1" t="n">
        <v>76.7</v>
      </c>
      <c r="E962" s="1" t="n">
        <v>8.08</v>
      </c>
      <c r="F962" s="1" t="n">
        <f aca="false">5/9</f>
        <v>0.555555555555556</v>
      </c>
    </row>
    <row collapsed="false" customFormat="false" customHeight="false" hidden="false" ht="14.75" outlineLevel="0" r="963">
      <c r="A963" s="1" t="s">
        <v>755</v>
      </c>
      <c r="B963" s="1" t="s">
        <v>1792</v>
      </c>
      <c r="C963" s="1" t="s">
        <v>1787</v>
      </c>
      <c r="D963" s="1" t="n">
        <v>55.6</v>
      </c>
      <c r="E963" s="1" t="n">
        <v>8.93</v>
      </c>
      <c r="F963" s="1" t="n">
        <f aca="false">2/9</f>
        <v>0.222222222222222</v>
      </c>
    </row>
    <row collapsed="false" customFormat="false" customHeight="false" hidden="false" ht="14.75" outlineLevel="0" r="964">
      <c r="A964" s="1" t="s">
        <v>1845</v>
      </c>
      <c r="B964" s="1" t="s">
        <v>1786</v>
      </c>
      <c r="C964" s="1" t="s">
        <v>1787</v>
      </c>
      <c r="D964" s="1" t="n">
        <v>208.8</v>
      </c>
      <c r="E964" s="1" t="n">
        <v>13.99</v>
      </c>
      <c r="F964" s="1" t="n">
        <f aca="false">15/8</f>
        <v>1.875</v>
      </c>
    </row>
    <row collapsed="false" customFormat="false" customHeight="false" hidden="false" ht="14.75" outlineLevel="0" r="965">
      <c r="A965" s="1" t="s">
        <v>1846</v>
      </c>
      <c r="B965" s="1" t="s">
        <v>1786</v>
      </c>
      <c r="C965" s="1" t="s">
        <v>1787</v>
      </c>
      <c r="D965" s="1" t="n">
        <v>76.2</v>
      </c>
      <c r="E965" s="1" t="n">
        <v>7.88</v>
      </c>
      <c r="F965" s="1" t="n">
        <f aca="false">4/8</f>
        <v>0.5</v>
      </c>
    </row>
    <row collapsed="false" customFormat="false" customHeight="false" hidden="false" ht="14.75" outlineLevel="0" r="966">
      <c r="A966" s="1" t="s">
        <v>1847</v>
      </c>
      <c r="B966" s="1" t="s">
        <v>1797</v>
      </c>
      <c r="C966" s="1" t="s">
        <v>1787</v>
      </c>
      <c r="D966" s="1" t="n">
        <v>326</v>
      </c>
      <c r="E966" s="1" t="n">
        <v>19.19</v>
      </c>
      <c r="F966" s="1" t="n">
        <v>2.2</v>
      </c>
    </row>
    <row collapsed="false" customFormat="false" customHeight="false" hidden="false" ht="14.75" outlineLevel="0" r="967">
      <c r="A967" s="1" t="s">
        <v>1580</v>
      </c>
      <c r="B967" s="1" t="s">
        <v>1797</v>
      </c>
      <c r="C967" s="1" t="s">
        <v>1787</v>
      </c>
      <c r="D967" s="1" t="n">
        <v>239.5</v>
      </c>
      <c r="E967" s="1" t="n">
        <v>16.94</v>
      </c>
      <c r="F967" s="1" t="n">
        <v>1.7</v>
      </c>
    </row>
    <row collapsed="false" customFormat="false" customHeight="false" hidden="false" ht="14.75" outlineLevel="0" r="968">
      <c r="A968" s="1" t="s">
        <v>1581</v>
      </c>
      <c r="B968" s="1" t="s">
        <v>1797</v>
      </c>
      <c r="C968" s="1" t="s">
        <v>1787</v>
      </c>
      <c r="D968" s="1" t="n">
        <v>253.8</v>
      </c>
      <c r="E968" s="1" t="n">
        <v>17.04</v>
      </c>
      <c r="F968" s="1" t="n">
        <f aca="false">19/11</f>
        <v>1.72727272727273</v>
      </c>
    </row>
    <row collapsed="false" customFormat="false" customHeight="false" hidden="false" ht="14.75" outlineLevel="0" r="969">
      <c r="A969" s="1" t="s">
        <v>365</v>
      </c>
      <c r="B969" s="1" t="s">
        <v>1790</v>
      </c>
      <c r="C969" s="4" t="s">
        <v>1787</v>
      </c>
      <c r="D969" s="1" t="n">
        <v>192.6</v>
      </c>
      <c r="E969" s="1" t="n">
        <v>14.65</v>
      </c>
      <c r="F969" s="1" t="n">
        <f aca="false">11/7</f>
        <v>1.57142857142857</v>
      </c>
    </row>
    <row collapsed="false" customFormat="false" customHeight="false" hidden="false" ht="14.75" outlineLevel="0" r="970">
      <c r="A970" s="1" t="s">
        <v>372</v>
      </c>
      <c r="B970" s="1" t="s">
        <v>1790</v>
      </c>
      <c r="C970" s="4" t="s">
        <v>1787</v>
      </c>
      <c r="D970" s="1" t="n">
        <v>392.2</v>
      </c>
      <c r="E970" s="1" t="n">
        <v>19.72</v>
      </c>
      <c r="F970" s="1" t="n">
        <v>1.2</v>
      </c>
    </row>
    <row collapsed="false" customFormat="false" customHeight="false" hidden="false" ht="14.75" outlineLevel="0" r="971">
      <c r="A971" s="1" t="s">
        <v>373</v>
      </c>
      <c r="B971" s="1" t="s">
        <v>1790</v>
      </c>
      <c r="C971" s="4" t="s">
        <v>1787</v>
      </c>
      <c r="D971" s="1" t="n">
        <v>258.5</v>
      </c>
      <c r="E971" s="1" t="n">
        <v>14.86</v>
      </c>
      <c r="F971" s="1" t="n">
        <f aca="false">14/8</f>
        <v>1.75</v>
      </c>
    </row>
    <row collapsed="false" customFormat="false" customHeight="false" hidden="false" ht="14.75" outlineLevel="0" r="972">
      <c r="A972" s="1" t="s">
        <v>1849</v>
      </c>
      <c r="B972" s="1" t="s">
        <v>1796</v>
      </c>
      <c r="C972" s="1" t="s">
        <v>1787</v>
      </c>
      <c r="D972" s="1" t="n">
        <v>341.7</v>
      </c>
      <c r="E972" s="1" t="n">
        <v>17.4</v>
      </c>
      <c r="F972" s="1" t="n">
        <f aca="false">23/9</f>
        <v>2.55555555555556</v>
      </c>
    </row>
    <row collapsed="false" customFormat="false" customHeight="false" hidden="false" ht="14.75" outlineLevel="0" r="973">
      <c r="A973" s="1" t="s">
        <v>1850</v>
      </c>
      <c r="B973" s="1" t="s">
        <v>1796</v>
      </c>
      <c r="C973" s="1" t="s">
        <v>1787</v>
      </c>
      <c r="D973" s="1" t="n">
        <v>138.8</v>
      </c>
      <c r="E973" s="1" t="n">
        <v>10</v>
      </c>
      <c r="F973" s="1" t="n">
        <f aca="false">4/8</f>
        <v>0.5</v>
      </c>
    </row>
    <row collapsed="false" customFormat="false" customHeight="false" hidden="false" ht="14.75" outlineLevel="0" r="974">
      <c r="A974" s="1" t="s">
        <v>699</v>
      </c>
      <c r="B974" s="1" t="s">
        <v>1796</v>
      </c>
      <c r="C974" s="1" t="s">
        <v>1787</v>
      </c>
      <c r="D974" s="1" t="n">
        <v>248.1</v>
      </c>
      <c r="E974" s="1" t="n">
        <v>13.8</v>
      </c>
      <c r="F974" s="1" t="n">
        <f aca="false">13/8</f>
        <v>1.625</v>
      </c>
    </row>
    <row collapsed="false" customFormat="false" customHeight="false" hidden="false" ht="14.75" outlineLevel="0" r="975">
      <c r="A975" s="1" t="s">
        <v>700</v>
      </c>
      <c r="B975" s="1" t="s">
        <v>1796</v>
      </c>
      <c r="C975" s="1" t="s">
        <v>1787</v>
      </c>
      <c r="D975" s="1" t="n">
        <v>62.5</v>
      </c>
      <c r="E975" s="1" t="n">
        <v>5.71</v>
      </c>
      <c r="F975" s="1" t="n">
        <v>0</v>
      </c>
    </row>
    <row collapsed="false" customFormat="false" customHeight="false" hidden="false" ht="14.75" outlineLevel="0" r="976">
      <c r="A976" s="1" t="s">
        <v>1851</v>
      </c>
      <c r="B976" s="1" t="s">
        <v>1797</v>
      </c>
      <c r="C976" s="1" t="s">
        <v>1787</v>
      </c>
      <c r="D976" s="1" t="n">
        <v>119</v>
      </c>
      <c r="E976" s="1" t="n">
        <v>8.26</v>
      </c>
      <c r="F976" s="1" t="n">
        <v>0</v>
      </c>
    </row>
    <row collapsed="false" customFormat="false" customHeight="false" hidden="false" ht="14.75" outlineLevel="0" r="977">
      <c r="A977" s="1" t="s">
        <v>1852</v>
      </c>
      <c r="B977" s="1" t="s">
        <v>1796</v>
      </c>
      <c r="C977" s="1" t="s">
        <v>1787</v>
      </c>
      <c r="D977" s="1" t="n">
        <v>206.9</v>
      </c>
      <c r="E977" s="1" t="n">
        <v>13.7</v>
      </c>
      <c r="F977" s="1" t="n">
        <f aca="false">5/8</f>
        <v>0.625</v>
      </c>
    </row>
    <row collapsed="false" customFormat="false" customHeight="false" hidden="false" ht="14.75" outlineLevel="0" r="978">
      <c r="A978" s="1" t="s">
        <v>384</v>
      </c>
      <c r="B978" s="1" t="s">
        <v>1786</v>
      </c>
      <c r="C978" s="1" t="s">
        <v>1787</v>
      </c>
      <c r="D978" s="1" t="n">
        <v>453.9</v>
      </c>
      <c r="E978" s="1" t="n">
        <v>24.04</v>
      </c>
      <c r="F978" s="1" t="n">
        <f aca="false">59/9</f>
        <v>6.55555555555556</v>
      </c>
    </row>
    <row collapsed="false" customFormat="false" customHeight="false" hidden="false" ht="14.75" outlineLevel="0" r="979">
      <c r="A979" s="1" t="s">
        <v>385</v>
      </c>
      <c r="B979" s="1" t="s">
        <v>1786</v>
      </c>
      <c r="C979" s="1" t="s">
        <v>1787</v>
      </c>
      <c r="D979" s="1" t="n">
        <v>366.1</v>
      </c>
      <c r="E979" s="1" t="n">
        <v>21.72</v>
      </c>
      <c r="F979" s="1" t="n">
        <f aca="false">30/9</f>
        <v>3.33333333333333</v>
      </c>
    </row>
    <row collapsed="false" customFormat="false" customHeight="false" hidden="false" ht="14.75" outlineLevel="0" r="980">
      <c r="A980" s="1" t="s">
        <v>386</v>
      </c>
      <c r="B980" s="1" t="s">
        <v>1790</v>
      </c>
      <c r="C980" s="4" t="s">
        <v>1787</v>
      </c>
      <c r="D980" s="1" t="n">
        <v>252</v>
      </c>
      <c r="E980" s="1" t="n">
        <v>15.42</v>
      </c>
      <c r="F980" s="1" t="n">
        <f aca="false">26/9</f>
        <v>2.88888888888889</v>
      </c>
    </row>
    <row collapsed="false" customFormat="false" customHeight="false" hidden="false" ht="14.75" outlineLevel="0" r="981">
      <c r="A981" s="1" t="s">
        <v>1853</v>
      </c>
      <c r="B981" s="1" t="s">
        <v>1790</v>
      </c>
      <c r="C981" s="4" t="s">
        <v>1787</v>
      </c>
      <c r="D981" s="1" t="n">
        <v>127.6</v>
      </c>
      <c r="E981" s="1" t="n">
        <v>11.33</v>
      </c>
      <c r="F981" s="1" t="n">
        <v>1</v>
      </c>
    </row>
    <row collapsed="false" customFormat="false" customHeight="false" hidden="false" ht="14.75" outlineLevel="0" r="982">
      <c r="A982" s="1" t="s">
        <v>389</v>
      </c>
      <c r="B982" s="1" t="s">
        <v>1786</v>
      </c>
      <c r="C982" s="1" t="s">
        <v>1787</v>
      </c>
      <c r="D982" s="1" t="n">
        <v>348.9</v>
      </c>
      <c r="E982" s="1" t="n">
        <v>18.58</v>
      </c>
      <c r="F982" s="1" t="n">
        <f aca="false">35/9</f>
        <v>3.88888888888889</v>
      </c>
    </row>
    <row collapsed="false" customFormat="false" customHeight="false" hidden="false" ht="14.75" outlineLevel="0" r="983">
      <c r="A983" s="1" t="s">
        <v>1854</v>
      </c>
      <c r="B983" s="1" t="s">
        <v>1796</v>
      </c>
      <c r="C983" s="1" t="s">
        <v>1787</v>
      </c>
      <c r="D983" s="1" t="n">
        <v>218.1</v>
      </c>
      <c r="E983" s="1" t="n">
        <v>14.04</v>
      </c>
      <c r="F983" s="1" t="n">
        <f aca="false">7/8</f>
        <v>0.875</v>
      </c>
    </row>
    <row collapsed="false" customFormat="false" customHeight="false" hidden="false" ht="14.75" outlineLevel="0" r="984">
      <c r="A984" s="1" t="s">
        <v>1855</v>
      </c>
      <c r="B984" s="1" t="s">
        <v>1797</v>
      </c>
      <c r="C984" s="1" t="s">
        <v>1787</v>
      </c>
      <c r="D984" s="1" t="n">
        <v>120.5</v>
      </c>
      <c r="E984" s="1" t="n">
        <v>10</v>
      </c>
      <c r="F984" s="1" t="n">
        <v>0.3</v>
      </c>
    </row>
    <row collapsed="false" customFormat="false" customHeight="false" hidden="false" ht="14.75" outlineLevel="0" r="985">
      <c r="A985" s="1" t="s">
        <v>1856</v>
      </c>
      <c r="B985" s="1" t="s">
        <v>1796</v>
      </c>
      <c r="C985" s="1" t="s">
        <v>1787</v>
      </c>
      <c r="D985" s="1" t="n">
        <v>209.4</v>
      </c>
      <c r="E985" s="1" t="n">
        <v>12.31</v>
      </c>
      <c r="F985" s="1" t="n">
        <f aca="false">9/8</f>
        <v>1.125</v>
      </c>
    </row>
    <row collapsed="false" customFormat="false" customHeight="false" hidden="false" ht="14.75" outlineLevel="0" r="986">
      <c r="A986" s="1" t="s">
        <v>1857</v>
      </c>
      <c r="B986" s="1" t="s">
        <v>1786</v>
      </c>
      <c r="C986" s="1" t="s">
        <v>1787</v>
      </c>
      <c r="D986" s="1" t="n">
        <v>464.4</v>
      </c>
      <c r="E986" s="1" t="n">
        <v>20.73</v>
      </c>
      <c r="F986" s="1" t="n">
        <f aca="false">57/9</f>
        <v>6.33333333333333</v>
      </c>
    </row>
    <row collapsed="false" customFormat="false" customHeight="false" hidden="false" ht="14.75" outlineLevel="0" r="987">
      <c r="A987" s="1" t="s">
        <v>1858</v>
      </c>
      <c r="B987" s="1" t="s">
        <v>1786</v>
      </c>
      <c r="C987" s="1" t="s">
        <v>1787</v>
      </c>
      <c r="D987" s="1" t="n">
        <v>183.8</v>
      </c>
      <c r="E987" s="1" t="n">
        <v>16.32</v>
      </c>
      <c r="F987" s="1" t="n">
        <f aca="false">11/8</f>
        <v>1.375</v>
      </c>
    </row>
    <row collapsed="false" customFormat="false" customHeight="false" hidden="false" ht="14.75" outlineLevel="0" r="988">
      <c r="A988" s="1" t="s">
        <v>1859</v>
      </c>
      <c r="B988" s="1" t="s">
        <v>1797</v>
      </c>
      <c r="C988" s="1" t="s">
        <v>1787</v>
      </c>
      <c r="D988" s="1" t="n">
        <v>146</v>
      </c>
      <c r="E988" s="1" t="n">
        <v>10.27</v>
      </c>
      <c r="F988" s="1" t="n">
        <v>0.7</v>
      </c>
    </row>
    <row collapsed="false" customFormat="false" customHeight="false" hidden="false" ht="14.75" outlineLevel="0" r="989">
      <c r="A989" s="1" t="s">
        <v>1063</v>
      </c>
      <c r="B989" s="1" t="s">
        <v>1797</v>
      </c>
      <c r="C989" s="1" t="s">
        <v>1787</v>
      </c>
      <c r="D989" s="1" t="n">
        <v>56</v>
      </c>
      <c r="E989" s="1" t="n">
        <v>4.5</v>
      </c>
      <c r="F989" s="1" t="n">
        <v>0</v>
      </c>
    </row>
    <row collapsed="false" customFormat="false" customHeight="false" hidden="false" ht="14.75" outlineLevel="0" r="990">
      <c r="A990" s="1" t="s">
        <v>1751</v>
      </c>
      <c r="B990" s="1" t="s">
        <v>1786</v>
      </c>
      <c r="C990" s="1" t="s">
        <v>1787</v>
      </c>
      <c r="D990" s="1" t="n">
        <v>261.2</v>
      </c>
      <c r="E990" s="1" t="n">
        <v>18.52</v>
      </c>
      <c r="F990" s="1" t="n">
        <f aca="false">17/8</f>
        <v>2.125</v>
      </c>
    </row>
    <row collapsed="false" customFormat="false" customHeight="false" hidden="false" ht="14.75" outlineLevel="0" r="991">
      <c r="A991" s="1" t="s">
        <v>1860</v>
      </c>
      <c r="B991" s="1" t="s">
        <v>1797</v>
      </c>
      <c r="C991" s="1" t="s">
        <v>1787</v>
      </c>
      <c r="D991" s="1" t="n">
        <v>261.4</v>
      </c>
      <c r="E991" s="1" t="n">
        <v>16.24</v>
      </c>
      <c r="F991" s="1" t="n">
        <v>2.3</v>
      </c>
    </row>
    <row collapsed="false" customFormat="false" customHeight="false" hidden="false" ht="14.75" outlineLevel="0" r="992">
      <c r="A992" s="1" t="s">
        <v>770</v>
      </c>
      <c r="B992" s="1" t="s">
        <v>1792</v>
      </c>
      <c r="C992" s="1" t="s">
        <v>1787</v>
      </c>
      <c r="D992" s="1" t="n">
        <v>350</v>
      </c>
      <c r="E992" s="1" t="n">
        <v>22.06</v>
      </c>
      <c r="F992" s="1" t="n">
        <f aca="false">34/9</f>
        <v>3.77777777777778</v>
      </c>
    </row>
    <row collapsed="false" customFormat="false" customHeight="false" hidden="false" ht="14.75" outlineLevel="0" r="993">
      <c r="A993" s="1" t="s">
        <v>771</v>
      </c>
      <c r="B993" s="1" t="s">
        <v>1792</v>
      </c>
      <c r="C993" s="1" t="s">
        <v>1787</v>
      </c>
      <c r="D993" s="1" t="n">
        <v>181.7</v>
      </c>
      <c r="E993" s="1" t="n">
        <v>15</v>
      </c>
      <c r="F993" s="1" t="n">
        <f aca="false">10/9</f>
        <v>1.11111111111111</v>
      </c>
    </row>
    <row collapsed="false" customFormat="false" customHeight="false" hidden="false" ht="14.75" outlineLevel="0" r="994">
      <c r="A994" s="1" t="s">
        <v>772</v>
      </c>
      <c r="B994" s="1" t="s">
        <v>1792</v>
      </c>
      <c r="C994" s="1" t="s">
        <v>1787</v>
      </c>
      <c r="D994" s="1" t="n">
        <v>121.1</v>
      </c>
      <c r="E994" s="1" t="n">
        <v>10.55</v>
      </c>
      <c r="F994" s="1" t="n">
        <f aca="false">8/9</f>
        <v>0.888888888888889</v>
      </c>
    </row>
    <row collapsed="false" customFormat="false" customHeight="false" hidden="false" ht="14.75" outlineLevel="0" r="995">
      <c r="A995" s="1" t="s">
        <v>773</v>
      </c>
      <c r="B995" s="1" t="s">
        <v>1792</v>
      </c>
      <c r="C995" s="1" t="s">
        <v>1787</v>
      </c>
      <c r="D995" s="1" t="n">
        <v>67.2</v>
      </c>
      <c r="E995" s="1" t="n">
        <v>9.55</v>
      </c>
      <c r="F995" s="1" t="n">
        <f aca="false">1/9</f>
        <v>0.111111111111111</v>
      </c>
    </row>
    <row collapsed="false" customFormat="false" customHeight="false" hidden="false" ht="14.75" outlineLevel="0" r="996">
      <c r="A996" s="1" t="s">
        <v>774</v>
      </c>
      <c r="B996" s="1" t="s">
        <v>1792</v>
      </c>
      <c r="C996" s="1" t="s">
        <v>1787</v>
      </c>
      <c r="D996" s="1" t="n">
        <v>75</v>
      </c>
      <c r="E996" s="1" t="n">
        <v>8.78</v>
      </c>
      <c r="F996" s="1" t="n">
        <f aca="false">2/9</f>
        <v>0.222222222222222</v>
      </c>
    </row>
    <row collapsed="false" customFormat="false" customHeight="false" hidden="false" ht="14.75" outlineLevel="0" r="997">
      <c r="A997" s="1" t="s">
        <v>779</v>
      </c>
      <c r="B997" s="1" t="s">
        <v>1792</v>
      </c>
      <c r="C997" s="1" t="s">
        <v>1787</v>
      </c>
      <c r="D997" s="1" t="n">
        <v>121.1</v>
      </c>
      <c r="E997" s="1" t="n">
        <v>10.59</v>
      </c>
      <c r="F997" s="1" t="n">
        <f aca="false">10/9</f>
        <v>1.11111111111111</v>
      </c>
    </row>
    <row collapsed="false" customFormat="false" customHeight="false" hidden="false" ht="14.75" outlineLevel="0" r="998">
      <c r="A998" s="1" t="s">
        <v>1861</v>
      </c>
      <c r="B998" s="1" t="s">
        <v>1797</v>
      </c>
      <c r="C998" s="1" t="s">
        <v>1787</v>
      </c>
      <c r="D998" s="1" t="n">
        <v>59</v>
      </c>
      <c r="E998" s="1" t="n">
        <v>5.79</v>
      </c>
      <c r="F998" s="1" t="n">
        <v>0.2</v>
      </c>
    </row>
    <row collapsed="false" customFormat="false" customHeight="false" hidden="false" ht="14.75" outlineLevel="0" r="999">
      <c r="A999" s="1" t="s">
        <v>702</v>
      </c>
      <c r="B999" s="1" t="s">
        <v>1796</v>
      </c>
      <c r="C999" s="1" t="s">
        <v>1787</v>
      </c>
      <c r="D999" s="1" t="n">
        <v>437.2</v>
      </c>
      <c r="E999" s="1" t="n">
        <v>20.35</v>
      </c>
      <c r="F999" s="1" t="n">
        <f aca="false">31/9</f>
        <v>3.44444444444444</v>
      </c>
    </row>
    <row collapsed="false" customFormat="false" customHeight="false" hidden="false" ht="14.75" outlineLevel="0" r="1000">
      <c r="A1000" s="1" t="s">
        <v>703</v>
      </c>
      <c r="B1000" s="1" t="s">
        <v>1796</v>
      </c>
      <c r="C1000" s="1" t="s">
        <v>1787</v>
      </c>
      <c r="D1000" s="1" t="n">
        <v>198.8</v>
      </c>
      <c r="E1000" s="1" t="n">
        <v>13.09</v>
      </c>
      <c r="F1000" s="1" t="n">
        <v>1</v>
      </c>
    </row>
    <row collapsed="false" customFormat="false" customHeight="false" hidden="false" ht="14.75" outlineLevel="0" r="1001">
      <c r="A1001" s="1" t="s">
        <v>400</v>
      </c>
      <c r="B1001" s="1" t="s">
        <v>1786</v>
      </c>
      <c r="C1001" s="1" t="s">
        <v>1787</v>
      </c>
      <c r="D1001" s="1" t="n">
        <v>355</v>
      </c>
      <c r="E1001" s="1" t="n">
        <v>20.39</v>
      </c>
      <c r="F1001" s="1" t="n">
        <f aca="false">30/9</f>
        <v>3.33333333333333</v>
      </c>
    </row>
    <row collapsed="false" customFormat="false" customHeight="false" hidden="false" ht="14.75" outlineLevel="0" r="1002">
      <c r="A1002" s="1" t="s">
        <v>1863</v>
      </c>
      <c r="B1002" s="1" t="s">
        <v>1796</v>
      </c>
      <c r="C1002" s="1" t="s">
        <v>1787</v>
      </c>
      <c r="D1002" s="1" t="n">
        <v>100.6</v>
      </c>
      <c r="E1002" s="1" t="n">
        <v>7.11</v>
      </c>
      <c r="F1002" s="1" t="n">
        <f aca="false">5/8</f>
        <v>0.625</v>
      </c>
    </row>
    <row collapsed="false" customFormat="false" customHeight="false" hidden="false" ht="14.75" outlineLevel="0" r="1003">
      <c r="A1003" s="1" t="s">
        <v>1864</v>
      </c>
      <c r="B1003" s="1" t="s">
        <v>1797</v>
      </c>
      <c r="C1003" s="1" t="s">
        <v>1787</v>
      </c>
      <c r="D1003" s="1" t="n">
        <v>160.5</v>
      </c>
      <c r="E1003" s="1" t="n">
        <v>12.93</v>
      </c>
      <c r="F1003" s="1" t="n">
        <v>0.3</v>
      </c>
    </row>
    <row collapsed="false" customFormat="false" customHeight="false" hidden="false" ht="14.75" outlineLevel="0" r="1004">
      <c r="A1004" s="1" t="s">
        <v>1865</v>
      </c>
      <c r="B1004" s="1" t="s">
        <v>1797</v>
      </c>
      <c r="C1004" s="1" t="s">
        <v>1787</v>
      </c>
      <c r="D1004" s="1" t="n">
        <v>88</v>
      </c>
      <c r="E1004" s="1" t="n">
        <v>4.83</v>
      </c>
      <c r="F1004" s="1" t="n">
        <v>0.3</v>
      </c>
    </row>
    <row collapsed="false" customFormat="false" customHeight="false" hidden="false" ht="14.75" outlineLevel="0" r="1005">
      <c r="A1005" s="1" t="s">
        <v>1867</v>
      </c>
      <c r="B1005" s="1" t="s">
        <v>1797</v>
      </c>
      <c r="C1005" s="1" t="s">
        <v>1787</v>
      </c>
      <c r="D1005" s="1" t="n">
        <v>291.5</v>
      </c>
      <c r="E1005" s="1" t="n">
        <v>17.5</v>
      </c>
      <c r="F1005" s="1" t="n">
        <v>3.3</v>
      </c>
    </row>
    <row collapsed="false" customFormat="false" customHeight="false" hidden="false" ht="14.75" outlineLevel="0" r="1006">
      <c r="A1006" s="1" t="s">
        <v>1868</v>
      </c>
      <c r="B1006" s="1" t="s">
        <v>1797</v>
      </c>
      <c r="C1006" s="1" t="s">
        <v>1787</v>
      </c>
      <c r="D1006" s="1" t="n">
        <v>276.4</v>
      </c>
      <c r="E1006" s="1" t="n">
        <v>16.85</v>
      </c>
      <c r="F1006" s="1" t="n">
        <f aca="false">33/11</f>
        <v>3</v>
      </c>
    </row>
    <row collapsed="false" customFormat="false" customHeight="false" hidden="false" ht="14.75" outlineLevel="0" r="1007">
      <c r="A1007" s="1" t="s">
        <v>1869</v>
      </c>
      <c r="B1007" s="1" t="s">
        <v>1797</v>
      </c>
      <c r="C1007" s="1" t="s">
        <v>1787</v>
      </c>
      <c r="D1007" s="1" t="n">
        <v>154.5</v>
      </c>
      <c r="E1007" s="1" t="n">
        <v>12.14</v>
      </c>
      <c r="F1007" s="1" t="n">
        <v>1</v>
      </c>
    </row>
    <row collapsed="false" customFormat="false" customHeight="false" hidden="false" ht="14.75" outlineLevel="0" r="1008">
      <c r="A1008" s="1" t="s">
        <v>1870</v>
      </c>
      <c r="B1008" s="1" t="s">
        <v>1797</v>
      </c>
      <c r="C1008" s="1" t="s">
        <v>1787</v>
      </c>
      <c r="D1008" s="1" t="n">
        <v>328</v>
      </c>
      <c r="E1008" s="1" t="n">
        <v>18.76</v>
      </c>
      <c r="F1008" s="1" t="n">
        <v>2.7</v>
      </c>
    </row>
    <row collapsed="false" customFormat="false" customHeight="false" hidden="false" ht="14.75" outlineLevel="0" r="1009">
      <c r="A1009" s="1" t="s">
        <v>1871</v>
      </c>
      <c r="B1009" s="1" t="s">
        <v>1797</v>
      </c>
      <c r="C1009" s="1" t="s">
        <v>1787</v>
      </c>
      <c r="D1009" s="1" t="n">
        <v>169.3</v>
      </c>
      <c r="E1009" s="1" t="n">
        <v>12.88</v>
      </c>
      <c r="F1009" s="1" t="n">
        <v>0.3</v>
      </c>
    </row>
    <row collapsed="false" customFormat="false" customHeight="false" hidden="false" ht="14.75" outlineLevel="0" r="1010">
      <c r="A1010" s="1" t="s">
        <v>1872</v>
      </c>
      <c r="B1010" s="1" t="s">
        <v>1790</v>
      </c>
      <c r="C1010" s="4" t="s">
        <v>1787</v>
      </c>
      <c r="D1010" s="1" t="n">
        <v>142.3</v>
      </c>
      <c r="E1010" s="1" t="n">
        <v>12.26</v>
      </c>
      <c r="F1010" s="1" t="n">
        <f aca="false">5/7</f>
        <v>0.714285714285714</v>
      </c>
    </row>
    <row collapsed="false" customFormat="false" customHeight="false" hidden="false" ht="14.75" outlineLevel="0" r="1011">
      <c r="A1011" s="1" t="s">
        <v>1873</v>
      </c>
      <c r="B1011" s="1" t="s">
        <v>1796</v>
      </c>
      <c r="C1011" s="1" t="s">
        <v>1787</v>
      </c>
      <c r="D1011" s="1" t="n">
        <v>255</v>
      </c>
      <c r="E1011" s="1" t="n">
        <v>13.33</v>
      </c>
      <c r="F1011" s="1" t="n">
        <f aca="false">4/8</f>
        <v>0.5</v>
      </c>
    </row>
    <row collapsed="false" customFormat="false" customHeight="false" hidden="false" ht="14.75" outlineLevel="0" r="1012">
      <c r="A1012" s="1" t="s">
        <v>1874</v>
      </c>
      <c r="B1012" s="1" t="s">
        <v>1796</v>
      </c>
      <c r="C1012" s="1" t="s">
        <v>1787</v>
      </c>
      <c r="D1012" s="1" t="n">
        <v>103.1</v>
      </c>
      <c r="E1012" s="1" t="n">
        <v>8</v>
      </c>
      <c r="F1012" s="1" t="n">
        <f aca="false">1/8</f>
        <v>0.125</v>
      </c>
    </row>
    <row collapsed="false" customFormat="false" customHeight="false" hidden="false" ht="14.75" outlineLevel="0" r="1013">
      <c r="A1013" s="1" t="s">
        <v>1875</v>
      </c>
      <c r="B1013" s="1" t="s">
        <v>1797</v>
      </c>
      <c r="C1013" s="1" t="s">
        <v>1787</v>
      </c>
      <c r="D1013" s="1" t="n">
        <v>180.6</v>
      </c>
      <c r="E1013" s="1" t="n">
        <v>11.52</v>
      </c>
      <c r="F1013" s="1" t="n">
        <f aca="false">9/8</f>
        <v>1.125</v>
      </c>
    </row>
    <row collapsed="false" customFormat="false" customHeight="false" hidden="false" ht="14.75" outlineLevel="0" r="1014">
      <c r="A1014" s="1" t="s">
        <v>1782</v>
      </c>
      <c r="B1014" s="1" t="s">
        <v>1796</v>
      </c>
      <c r="C1014" s="1" t="s">
        <v>1787</v>
      </c>
      <c r="D1014" s="1" t="n">
        <v>155.6</v>
      </c>
      <c r="E1014" s="1" t="n">
        <v>9.81</v>
      </c>
      <c r="F1014" s="1" t="n">
        <f aca="false">3/8</f>
        <v>0.375</v>
      </c>
    </row>
    <row collapsed="false" customFormat="false" customHeight="false" hidden="false" ht="14.75" outlineLevel="0" r="1015">
      <c r="A1015" s="1" t="s">
        <v>677</v>
      </c>
      <c r="B1015" s="1" t="s">
        <v>1792</v>
      </c>
      <c r="C1015" s="1" t="s">
        <v>1787</v>
      </c>
      <c r="D1015" s="1" t="n">
        <v>156.1</v>
      </c>
      <c r="E1015" s="1" t="n">
        <v>13.44</v>
      </c>
      <c r="F1015" s="1" t="n">
        <f aca="false">5/9</f>
        <v>0.555555555555556</v>
      </c>
    </row>
    <row collapsed="false" customFormat="false" customHeight="false" hidden="false" ht="14.75" outlineLevel="0" r="1016">
      <c r="A1016" s="1" t="s">
        <v>266</v>
      </c>
      <c r="B1016" s="1" t="s">
        <v>1808</v>
      </c>
      <c r="C1016" s="1" t="s">
        <v>1787</v>
      </c>
      <c r="D1016" s="1" t="n">
        <v>458.2</v>
      </c>
      <c r="E1016" s="1" t="n">
        <v>21.87</v>
      </c>
      <c r="F1016" s="1" t="n">
        <v>4.6</v>
      </c>
    </row>
    <row collapsed="false" customFormat="false" customHeight="false" hidden="false" ht="14.75" outlineLevel="0" r="1017">
      <c r="A1017" s="1" t="s">
        <v>1082</v>
      </c>
      <c r="B1017" s="1" t="s">
        <v>1808</v>
      </c>
      <c r="C1017" s="1" t="s">
        <v>1787</v>
      </c>
      <c r="D1017" s="1" t="n">
        <v>438</v>
      </c>
      <c r="E1017" s="1" t="n">
        <v>22.25</v>
      </c>
      <c r="F1017" s="1" t="n">
        <v>4.7</v>
      </c>
    </row>
    <row collapsed="false" customFormat="false" customHeight="false" hidden="false" ht="14.75" outlineLevel="0" r="1018">
      <c r="A1018" s="1" t="s">
        <v>253</v>
      </c>
      <c r="B1018" s="1" t="s">
        <v>1808</v>
      </c>
      <c r="C1018" s="1" t="s">
        <v>1787</v>
      </c>
      <c r="D1018" s="1" t="n">
        <v>290.5</v>
      </c>
      <c r="E1018" s="1" t="n">
        <v>19.39</v>
      </c>
      <c r="F1018" s="1" t="n">
        <v>2.4</v>
      </c>
    </row>
    <row collapsed="false" customFormat="false" customHeight="false" hidden="false" ht="14.75" outlineLevel="0" r="1019">
      <c r="A1019" s="1" t="s">
        <v>1549</v>
      </c>
      <c r="B1019" s="1" t="s">
        <v>1808</v>
      </c>
      <c r="C1019" s="1" t="s">
        <v>1787</v>
      </c>
      <c r="D1019" s="1" t="n">
        <v>430.8</v>
      </c>
      <c r="E1019" s="1" t="n">
        <v>21.72</v>
      </c>
      <c r="F1019" s="1" t="n">
        <v>5.8</v>
      </c>
    </row>
    <row collapsed="false" customFormat="false" customHeight="false" hidden="false" ht="14.75" outlineLevel="0" r="1020">
      <c r="A1020" s="1" t="s">
        <v>364</v>
      </c>
      <c r="B1020" s="1" t="s">
        <v>1808</v>
      </c>
      <c r="C1020" s="1" t="s">
        <v>1787</v>
      </c>
      <c r="D1020" s="1" t="n">
        <v>411.5</v>
      </c>
      <c r="E1020" s="1" t="n">
        <v>21.25</v>
      </c>
      <c r="F1020" s="1" t="n">
        <v>3.7</v>
      </c>
    </row>
    <row collapsed="false" customFormat="false" customHeight="false" hidden="false" ht="14.75" outlineLevel="0" r="1021">
      <c r="A1021" s="1" t="s">
        <v>883</v>
      </c>
      <c r="B1021" s="1" t="s">
        <v>1808</v>
      </c>
      <c r="C1021" s="1" t="s">
        <v>1787</v>
      </c>
      <c r="D1021" s="1" t="n">
        <v>140.5</v>
      </c>
      <c r="E1021" s="1" t="n">
        <v>12.95</v>
      </c>
      <c r="F1021" s="1" t="n">
        <v>0.7</v>
      </c>
    </row>
    <row collapsed="false" customFormat="false" customHeight="false" hidden="false" ht="14.75" outlineLevel="0" r="1022">
      <c r="A1022" s="1" t="s">
        <v>1862</v>
      </c>
      <c r="B1022" s="1" t="s">
        <v>1808</v>
      </c>
      <c r="C1022" s="1" t="s">
        <v>1787</v>
      </c>
      <c r="D1022" s="1" t="n">
        <v>268.5</v>
      </c>
      <c r="E1022" s="1" t="n">
        <v>16.37</v>
      </c>
      <c r="F1022" s="1" t="n">
        <v>2.2</v>
      </c>
    </row>
    <row collapsed="false" customFormat="false" customHeight="false" hidden="false" ht="14.75" outlineLevel="0" r="1023">
      <c r="A1023" s="1" t="s">
        <v>267</v>
      </c>
      <c r="B1023" s="1" t="s">
        <v>1808</v>
      </c>
      <c r="C1023" s="1" t="s">
        <v>1787</v>
      </c>
      <c r="D1023" s="1" t="n">
        <v>212</v>
      </c>
      <c r="E1023" s="1" t="n">
        <v>15.9</v>
      </c>
      <c r="F1023" s="1" t="n">
        <v>1.4</v>
      </c>
    </row>
    <row collapsed="false" customFormat="false" customHeight="false" hidden="false" ht="14.75" outlineLevel="0" r="1024">
      <c r="A1024" s="1" t="s">
        <v>278</v>
      </c>
      <c r="B1024" s="1" t="s">
        <v>1808</v>
      </c>
      <c r="C1024" s="1" t="s">
        <v>1787</v>
      </c>
      <c r="D1024" s="1" t="n">
        <v>306.5</v>
      </c>
      <c r="E1024" s="1" t="n">
        <v>17.5</v>
      </c>
      <c r="F1024" s="1" t="n">
        <v>3.6</v>
      </c>
    </row>
    <row collapsed="false" customFormat="false" customHeight="false" hidden="false" ht="14.75" outlineLevel="0" r="1025">
      <c r="A1025" s="1" t="s">
        <v>1821</v>
      </c>
      <c r="B1025" s="1" t="s">
        <v>1808</v>
      </c>
      <c r="C1025" s="1" t="s">
        <v>1787</v>
      </c>
      <c r="D1025" s="1" t="n">
        <v>194</v>
      </c>
      <c r="E1025" s="1" t="n">
        <v>13.81</v>
      </c>
      <c r="F1025" s="1" t="n">
        <v>1.6</v>
      </c>
    </row>
    <row collapsed="false" customFormat="false" customHeight="false" hidden="false" ht="14.75" outlineLevel="0" r="1026">
      <c r="A1026" s="1" t="s">
        <v>1550</v>
      </c>
      <c r="B1026" s="1" t="s">
        <v>1808</v>
      </c>
      <c r="C1026" s="1" t="s">
        <v>1787</v>
      </c>
      <c r="D1026" s="1" t="n">
        <v>211.5</v>
      </c>
      <c r="E1026" s="1" t="n">
        <v>16.67</v>
      </c>
      <c r="F1026" s="1" t="n">
        <v>1.7</v>
      </c>
    </row>
    <row collapsed="false" customFormat="false" customHeight="false" hidden="false" ht="14.75" outlineLevel="0" r="1027">
      <c r="A1027" s="1" t="s">
        <v>884</v>
      </c>
      <c r="B1027" s="1" t="s">
        <v>1808</v>
      </c>
      <c r="C1027" s="1" t="s">
        <v>1787</v>
      </c>
      <c r="D1027" s="1" t="n">
        <v>149</v>
      </c>
      <c r="E1027" s="1" t="n">
        <v>12.28</v>
      </c>
      <c r="F1027" s="1" t="n">
        <v>2.1</v>
      </c>
    </row>
    <row collapsed="false" customFormat="false" customHeight="false" hidden="false" ht="14.75" outlineLevel="0" r="1028">
      <c r="A1028" s="1" t="s">
        <v>254</v>
      </c>
      <c r="B1028" s="1" t="s">
        <v>1808</v>
      </c>
      <c r="C1028" s="1" t="s">
        <v>1787</v>
      </c>
      <c r="D1028" s="1" t="n">
        <v>198.5</v>
      </c>
      <c r="E1028" s="1" t="n">
        <v>12.91</v>
      </c>
      <c r="F1028" s="1" t="n">
        <v>1.8</v>
      </c>
    </row>
    <row collapsed="false" customFormat="false" customHeight="false" hidden="false" ht="14.75" outlineLevel="0" r="1029">
      <c r="A1029" s="1" t="s">
        <v>282</v>
      </c>
      <c r="B1029" s="1" t="s">
        <v>1808</v>
      </c>
      <c r="C1029" s="1" t="s">
        <v>1787</v>
      </c>
      <c r="D1029" s="1" t="n">
        <v>180.5</v>
      </c>
      <c r="E1029" s="1" t="n">
        <v>13.25</v>
      </c>
      <c r="F1029" s="1" t="n">
        <v>1</v>
      </c>
    </row>
    <row collapsed="false" customFormat="false" customHeight="false" hidden="false" ht="14.75" outlineLevel="0" r="1030">
      <c r="A1030" s="1" t="s">
        <v>1011</v>
      </c>
      <c r="B1030" s="1" t="s">
        <v>1808</v>
      </c>
      <c r="C1030" s="1" t="s">
        <v>1787</v>
      </c>
      <c r="D1030" s="1" t="n">
        <v>215.5</v>
      </c>
      <c r="E1030" s="1" t="n">
        <v>14.06</v>
      </c>
      <c r="F1030" s="1" t="n">
        <v>2</v>
      </c>
    </row>
    <row collapsed="false" customFormat="false" customHeight="false" hidden="false" ht="14.75" outlineLevel="0" r="1031">
      <c r="A1031" s="1" t="s">
        <v>1012</v>
      </c>
      <c r="B1031" s="1" t="s">
        <v>1808</v>
      </c>
      <c r="C1031" s="1" t="s">
        <v>1787</v>
      </c>
      <c r="D1031" s="1" t="n">
        <v>128</v>
      </c>
      <c r="E1031" s="1" t="n">
        <v>11.83</v>
      </c>
      <c r="F1031" s="1" t="n">
        <v>0.6</v>
      </c>
    </row>
    <row collapsed="false" customFormat="false" customHeight="false" hidden="false" ht="14.75" outlineLevel="0" r="1032">
      <c r="A1032" s="1" t="s">
        <v>1842</v>
      </c>
      <c r="B1032" s="1" t="s">
        <v>1808</v>
      </c>
      <c r="C1032" s="1" t="s">
        <v>1787</v>
      </c>
      <c r="D1032" s="1" t="n">
        <v>114.5</v>
      </c>
      <c r="E1032" s="1" t="n">
        <v>10</v>
      </c>
      <c r="F1032" s="1" t="n">
        <v>0.7</v>
      </c>
    </row>
    <row collapsed="false" customFormat="false" customHeight="false" hidden="false" ht="14.75" outlineLevel="0" r="1033">
      <c r="A1033" s="1" t="s">
        <v>1083</v>
      </c>
      <c r="B1033" s="1" t="s">
        <v>1808</v>
      </c>
      <c r="C1033" s="1" t="s">
        <v>1787</v>
      </c>
      <c r="D1033" s="1" t="n">
        <v>85</v>
      </c>
      <c r="E1033" s="1" t="n">
        <v>9.78</v>
      </c>
      <c r="F1033" s="1" t="n">
        <v>0</v>
      </c>
    </row>
    <row collapsed="false" customFormat="false" customHeight="false" hidden="false" ht="14.75" outlineLevel="0" r="1034">
      <c r="A1034" s="1" t="s">
        <v>715</v>
      </c>
      <c r="B1034" s="1" t="s">
        <v>1808</v>
      </c>
      <c r="C1034" s="1" t="s">
        <v>1787</v>
      </c>
      <c r="D1034" s="1" t="n">
        <v>132</v>
      </c>
      <c r="E1034" s="1" t="n">
        <v>8.68</v>
      </c>
      <c r="F1034" s="1" t="n">
        <v>0.5</v>
      </c>
    </row>
    <row collapsed="false" customFormat="false" customHeight="false" hidden="false" ht="14.75" outlineLevel="0" r="1035">
      <c r="A1035" s="1" t="s">
        <v>611</v>
      </c>
      <c r="B1035" s="1" t="s">
        <v>1808</v>
      </c>
      <c r="C1035" s="1" t="s">
        <v>1787</v>
      </c>
      <c r="D1035" s="1" t="n">
        <v>114</v>
      </c>
      <c r="E1035" s="1" t="n">
        <v>9.17</v>
      </c>
      <c r="F1035" s="1" t="n">
        <v>0.6</v>
      </c>
    </row>
    <row collapsed="false" customFormat="false" customHeight="false" hidden="false" ht="14.75" outlineLevel="0" r="1036">
      <c r="A1036" s="1" t="s">
        <v>1184</v>
      </c>
      <c r="B1036" s="1" t="s">
        <v>1808</v>
      </c>
      <c r="C1036" s="1" t="s">
        <v>1787</v>
      </c>
      <c r="D1036" s="1" t="n">
        <v>59</v>
      </c>
      <c r="E1036" s="1" t="n">
        <v>5.79</v>
      </c>
      <c r="F1036" s="1" t="n">
        <v>0.1</v>
      </c>
    </row>
    <row collapsed="false" customFormat="false" customHeight="false" hidden="false" ht="14.75" outlineLevel="0" r="1037">
      <c r="A1037" s="1" t="s">
        <v>1183</v>
      </c>
      <c r="B1037" s="1" t="s">
        <v>1808</v>
      </c>
      <c r="C1037" s="1" t="s">
        <v>1787</v>
      </c>
      <c r="D1037" s="1" t="n">
        <v>39.4</v>
      </c>
      <c r="E1037" s="1" t="n">
        <v>5.2</v>
      </c>
      <c r="F1037" s="1" t="n">
        <f aca="false">1/9</f>
        <v>0.111111111111111</v>
      </c>
    </row>
    <row collapsed="false" customFormat="false" customHeight="false" hidden="false" ht="14.75" outlineLevel="0" r="1038">
      <c r="A1038" s="1" t="s">
        <v>1823</v>
      </c>
      <c r="B1038" s="1" t="s">
        <v>1808</v>
      </c>
      <c r="C1038" s="1" t="s">
        <v>1787</v>
      </c>
      <c r="D1038" s="1" t="n">
        <v>51.7</v>
      </c>
      <c r="E1038" s="1" t="n">
        <v>4.84</v>
      </c>
      <c r="F1038" s="1" t="n">
        <f aca="false">2/9</f>
        <v>0.222222222222222</v>
      </c>
    </row>
    <row collapsed="false" customFormat="false" customHeight="false" hidden="false" ht="14.75" outlineLevel="0" r="1039">
      <c r="A1039" s="1" t="s">
        <v>1843</v>
      </c>
      <c r="B1039" s="1" t="s">
        <v>1808</v>
      </c>
      <c r="C1039" s="1" t="s">
        <v>1787</v>
      </c>
      <c r="D1039" s="1" t="n">
        <v>64</v>
      </c>
      <c r="E1039" s="1" t="n">
        <v>5.68</v>
      </c>
      <c r="F1039" s="1" t="n">
        <v>0.2</v>
      </c>
    </row>
    <row collapsed="false" customFormat="false" customHeight="false" hidden="false" ht="14.75" outlineLevel="0" r="1040">
      <c r="A1040" s="1" t="s">
        <v>1831</v>
      </c>
      <c r="B1040" s="1" t="s">
        <v>1809</v>
      </c>
      <c r="C1040" s="1" t="s">
        <v>1787</v>
      </c>
      <c r="D1040" s="1" t="n">
        <v>195</v>
      </c>
      <c r="E1040" s="1" t="n">
        <v>11.46</v>
      </c>
      <c r="F1040" s="1" t="n">
        <f aca="false">12/9</f>
        <v>1.33333333333333</v>
      </c>
    </row>
    <row collapsed="false" customFormat="false" customHeight="false" hidden="false" ht="14.75" outlineLevel="0" r="1041">
      <c r="A1041" s="1" t="s">
        <v>1520</v>
      </c>
      <c r="B1041" s="1" t="s">
        <v>1809</v>
      </c>
      <c r="C1041" s="1" t="s">
        <v>1787</v>
      </c>
      <c r="D1041" s="1" t="n">
        <v>145</v>
      </c>
      <c r="E1041" s="1" t="n">
        <v>9.85</v>
      </c>
      <c r="F1041" s="1" t="n">
        <f aca="false">4/9</f>
        <v>0.444444444444444</v>
      </c>
    </row>
    <row collapsed="false" customFormat="false" customHeight="false" hidden="false" ht="14.75" outlineLevel="0" r="1042">
      <c r="A1042" s="1" t="s">
        <v>1832</v>
      </c>
      <c r="B1042" s="1" t="s">
        <v>1809</v>
      </c>
      <c r="C1042" s="1" t="s">
        <v>1787</v>
      </c>
      <c r="D1042" s="1" t="n">
        <v>133.9</v>
      </c>
      <c r="E1042" s="1" t="n">
        <v>10.93</v>
      </c>
      <c r="F1042" s="1" t="n">
        <f aca="false">7/9</f>
        <v>0.777777777777778</v>
      </c>
    </row>
    <row collapsed="false" customFormat="false" customHeight="false" hidden="false" ht="14.75" outlineLevel="0" r="1043">
      <c r="A1043" s="1" t="s">
        <v>1822</v>
      </c>
      <c r="B1043" s="1" t="s">
        <v>1809</v>
      </c>
      <c r="C1043" s="1" t="s">
        <v>1787</v>
      </c>
      <c r="D1043" s="1" t="n">
        <v>140.6</v>
      </c>
      <c r="E1043" s="1" t="n">
        <v>8.97</v>
      </c>
      <c r="F1043" s="1" t="n">
        <f aca="false">6/9</f>
        <v>0.666666666666667</v>
      </c>
    </row>
    <row collapsed="false" customFormat="false" customHeight="false" hidden="false" ht="14.75" outlineLevel="0" r="1044">
      <c r="A1044" s="1" t="s">
        <v>1848</v>
      </c>
      <c r="B1044" s="1" t="s">
        <v>1809</v>
      </c>
      <c r="C1044" s="1" t="s">
        <v>1787</v>
      </c>
      <c r="D1044" s="1" t="n">
        <v>132.8</v>
      </c>
      <c r="E1044" s="1" t="n">
        <v>10.17</v>
      </c>
      <c r="F1044" s="1" t="n">
        <f aca="false">3/9</f>
        <v>0.333333333333333</v>
      </c>
    </row>
    <row collapsed="false" customFormat="false" customHeight="false" hidden="false" ht="14.75" outlineLevel="0" r="1045">
      <c r="A1045" s="1" t="s">
        <v>1515</v>
      </c>
      <c r="B1045" s="1" t="s">
        <v>1809</v>
      </c>
      <c r="C1045" s="1" t="s">
        <v>1787</v>
      </c>
      <c r="D1045" s="1" t="n">
        <v>93.3</v>
      </c>
      <c r="E1045" s="1" t="n">
        <v>6.67</v>
      </c>
      <c r="F1045" s="1" t="n">
        <f aca="false">5/9</f>
        <v>0.555555555555556</v>
      </c>
    </row>
    <row collapsed="false" customFormat="false" customHeight="false" hidden="false" ht="14.75" outlineLevel="0" r="1046">
      <c r="A1046" s="1" t="s">
        <v>1866</v>
      </c>
      <c r="B1046" s="1" t="s">
        <v>1809</v>
      </c>
      <c r="C1046" s="1" t="s">
        <v>1787</v>
      </c>
      <c r="D1046" s="1" t="n">
        <v>96.7</v>
      </c>
      <c r="E1046" s="1" t="n">
        <v>7.96</v>
      </c>
      <c r="F1046" s="1" t="n">
        <f aca="false">3/9</f>
        <v>0.333333333333333</v>
      </c>
    </row>
    <row collapsed="false" customFormat="false" customHeight="false" hidden="false" ht="14.75" outlineLevel="0" r="1047">
      <c r="A1047" s="1" t="s">
        <v>1582</v>
      </c>
      <c r="B1047" s="1" t="s">
        <v>1809</v>
      </c>
      <c r="C1047" s="1" t="s">
        <v>1787</v>
      </c>
      <c r="D1047" s="1" t="n">
        <v>32.8</v>
      </c>
      <c r="E1047" s="1" t="n">
        <v>2.08</v>
      </c>
      <c r="F1047" s="1" t="n">
        <f aca="false">2/9</f>
        <v>0.222222222222222</v>
      </c>
    </row>
    <row collapsed="false" customFormat="false" customHeight="false" hidden="false" ht="14.75" outlineLevel="0" r="1048">
      <c r="A1048" s="1" t="s">
        <v>1996</v>
      </c>
      <c r="B1048" s="1" t="s">
        <v>1997</v>
      </c>
      <c r="C1048" s="1" t="s">
        <v>1787</v>
      </c>
      <c r="D1048" s="1" t="n">
        <v>548.5</v>
      </c>
      <c r="E1048" s="1" t="n">
        <v>23.16</v>
      </c>
      <c r="F1048" s="1" t="n">
        <v>6.8</v>
      </c>
    </row>
    <row collapsed="false" customFormat="false" customHeight="false" hidden="false" ht="14.75" outlineLevel="0" r="1049">
      <c r="A1049" s="1" t="s">
        <v>1998</v>
      </c>
      <c r="B1049" s="1" t="s">
        <v>1997</v>
      </c>
      <c r="C1049" s="1" t="s">
        <v>1787</v>
      </c>
      <c r="D1049" s="1" t="n">
        <v>391</v>
      </c>
      <c r="E1049" s="1" t="n">
        <v>19.47</v>
      </c>
      <c r="F1049" s="1" t="n">
        <v>3.3</v>
      </c>
    </row>
    <row collapsed="false" customFormat="false" customHeight="false" hidden="false" ht="14.75" outlineLevel="0" r="1050">
      <c r="A1050" s="1" t="s">
        <v>1999</v>
      </c>
      <c r="B1050" s="1" t="s">
        <v>1997</v>
      </c>
      <c r="C1050" s="1" t="s">
        <v>1787</v>
      </c>
      <c r="D1050" s="1" t="n">
        <v>219.5</v>
      </c>
      <c r="E1050" s="1" t="n">
        <v>14.61</v>
      </c>
      <c r="F1050" s="1" t="n">
        <v>1.6</v>
      </c>
    </row>
    <row collapsed="false" customFormat="false" customHeight="false" hidden="false" ht="14.75" outlineLevel="0" r="1051">
      <c r="A1051" s="1" t="s">
        <v>2000</v>
      </c>
      <c r="B1051" s="1" t="s">
        <v>1997</v>
      </c>
      <c r="C1051" s="1" t="s">
        <v>1787</v>
      </c>
      <c r="D1051" s="1" t="n">
        <v>231</v>
      </c>
      <c r="E1051" s="1" t="n">
        <v>14.06</v>
      </c>
      <c r="F1051" s="1" t="n">
        <v>1.8</v>
      </c>
    </row>
    <row collapsed="false" customFormat="false" customHeight="false" hidden="false" ht="14.75" outlineLevel="0" r="1052">
      <c r="A1052" s="1" t="s">
        <v>2001</v>
      </c>
      <c r="B1052" s="1" t="s">
        <v>1997</v>
      </c>
      <c r="C1052" s="1" t="s">
        <v>1787</v>
      </c>
      <c r="D1052" s="1" t="n">
        <v>173.5</v>
      </c>
      <c r="E1052" s="1" t="n">
        <v>13.07</v>
      </c>
      <c r="F1052" s="1" t="n">
        <v>1.9</v>
      </c>
    </row>
    <row collapsed="false" customFormat="false" customHeight="false" hidden="false" ht="14.75" outlineLevel="0" r="1053">
      <c r="A1053" s="1" t="s">
        <v>2002</v>
      </c>
      <c r="B1053" s="1" t="s">
        <v>1997</v>
      </c>
      <c r="C1053" s="1" t="s">
        <v>1787</v>
      </c>
      <c r="D1053" s="1" t="n">
        <v>296</v>
      </c>
      <c r="E1053" s="1" t="n">
        <v>14.66</v>
      </c>
      <c r="F1053" s="1" t="n">
        <v>3</v>
      </c>
    </row>
    <row collapsed="false" customFormat="false" customHeight="false" hidden="false" ht="14.75" outlineLevel="0" r="1054">
      <c r="A1054" s="1" t="s">
        <v>2003</v>
      </c>
      <c r="B1054" s="1" t="s">
        <v>1997</v>
      </c>
      <c r="C1054" s="1" t="s">
        <v>1787</v>
      </c>
      <c r="D1054" s="1" t="n">
        <v>251.5</v>
      </c>
      <c r="E1054" s="1" t="n">
        <v>13.71</v>
      </c>
      <c r="F1054" s="1" t="n">
        <v>2.3</v>
      </c>
    </row>
    <row collapsed="false" customFormat="false" customHeight="false" hidden="false" ht="14.75" outlineLevel="0" r="1055">
      <c r="A1055" s="1" t="s">
        <v>2004</v>
      </c>
      <c r="B1055" s="1" t="s">
        <v>1997</v>
      </c>
      <c r="C1055" s="1" t="s">
        <v>1787</v>
      </c>
      <c r="D1055" s="1" t="n">
        <v>228</v>
      </c>
      <c r="E1055" s="1" t="n">
        <v>13.75</v>
      </c>
      <c r="F1055" s="1" t="n">
        <v>2</v>
      </c>
    </row>
    <row collapsed="false" customFormat="false" customHeight="false" hidden="false" ht="14.75" outlineLevel="0" r="1056">
      <c r="A1056" s="1" t="s">
        <v>2005</v>
      </c>
      <c r="B1056" s="1" t="s">
        <v>1997</v>
      </c>
      <c r="C1056" s="1" t="s">
        <v>1787</v>
      </c>
      <c r="D1056" s="1" t="n">
        <v>165</v>
      </c>
      <c r="E1056" s="1" t="n">
        <v>11.71</v>
      </c>
      <c r="F1056" s="1" t="n">
        <v>1.1</v>
      </c>
    </row>
    <row collapsed="false" customFormat="false" customHeight="false" hidden="false" ht="14.75" outlineLevel="0" r="1057">
      <c r="A1057" s="1" t="s">
        <v>2006</v>
      </c>
      <c r="B1057" s="1" t="s">
        <v>1997</v>
      </c>
      <c r="C1057" s="1" t="s">
        <v>1787</v>
      </c>
      <c r="D1057" s="1" t="n">
        <v>145.5</v>
      </c>
      <c r="E1057" s="1" t="n">
        <v>12.12</v>
      </c>
      <c r="F1057" s="1" t="n">
        <v>0.7</v>
      </c>
    </row>
    <row collapsed="false" customFormat="false" customHeight="false" hidden="false" ht="14.75" outlineLevel="0" r="1058">
      <c r="A1058" s="1" t="s">
        <v>2007</v>
      </c>
      <c r="B1058" s="1" t="s">
        <v>1997</v>
      </c>
      <c r="C1058" s="1" t="s">
        <v>1787</v>
      </c>
      <c r="D1058" s="1" t="n">
        <v>142</v>
      </c>
      <c r="E1058" s="1" t="n">
        <v>11.43</v>
      </c>
      <c r="F1058" s="1" t="n">
        <v>1</v>
      </c>
    </row>
    <row collapsed="false" customFormat="false" customHeight="false" hidden="false" ht="14.75" outlineLevel="0" r="1059">
      <c r="A1059" s="1" t="s">
        <v>666</v>
      </c>
      <c r="B1059" s="1" t="s">
        <v>1997</v>
      </c>
      <c r="C1059" s="1" t="s">
        <v>1787</v>
      </c>
      <c r="D1059" s="1" t="n">
        <v>148.5</v>
      </c>
      <c r="E1059" s="1" t="n">
        <v>10</v>
      </c>
      <c r="F1059" s="1" t="n">
        <v>0.7</v>
      </c>
    </row>
    <row collapsed="false" customFormat="false" customHeight="false" hidden="false" ht="14.75" outlineLevel="0" r="1060">
      <c r="A1060" s="1" t="s">
        <v>2008</v>
      </c>
      <c r="B1060" s="1" t="s">
        <v>1997</v>
      </c>
      <c r="C1060" s="1" t="s">
        <v>1787</v>
      </c>
      <c r="D1060" s="1" t="n">
        <v>132.5</v>
      </c>
      <c r="E1060" s="1" t="n">
        <v>11.41</v>
      </c>
      <c r="F1060" s="1" t="n">
        <v>1.2</v>
      </c>
    </row>
    <row collapsed="false" customFormat="false" customHeight="false" hidden="false" ht="14.75" outlineLevel="0" r="1061">
      <c r="A1061" s="1" t="s">
        <v>820</v>
      </c>
      <c r="B1061" s="1" t="s">
        <v>1997</v>
      </c>
      <c r="C1061" s="1" t="s">
        <v>1787</v>
      </c>
      <c r="D1061" s="1" t="n">
        <v>159.5</v>
      </c>
      <c r="E1061" s="1" t="n">
        <v>13.88</v>
      </c>
      <c r="F1061" s="1" t="n">
        <v>1.4</v>
      </c>
    </row>
    <row collapsed="false" customFormat="false" customHeight="false" hidden="false" ht="14.75" outlineLevel="0" r="1062">
      <c r="A1062" s="1" t="s">
        <v>2009</v>
      </c>
      <c r="B1062" s="1" t="s">
        <v>1997</v>
      </c>
      <c r="C1062" s="1" t="s">
        <v>1787</v>
      </c>
      <c r="D1062" s="1" t="n">
        <v>126.5</v>
      </c>
      <c r="E1062" s="1" t="n">
        <v>11.53</v>
      </c>
      <c r="F1062" s="1" t="n">
        <v>0.1</v>
      </c>
    </row>
    <row collapsed="false" customFormat="false" customHeight="false" hidden="false" ht="14.75" outlineLevel="0" r="1063">
      <c r="A1063" s="1" t="s">
        <v>2010</v>
      </c>
      <c r="B1063" s="1" t="s">
        <v>1997</v>
      </c>
      <c r="C1063" s="1" t="s">
        <v>1787</v>
      </c>
      <c r="D1063" s="1" t="n">
        <v>95</v>
      </c>
      <c r="E1063" s="1" t="n">
        <v>10.43</v>
      </c>
      <c r="F1063" s="1" t="n">
        <v>0.6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blackAndWhite="false" cellComments="none" copies="1" draft="false" firstPageNumber="0" fitToHeight="1" fitToWidth="1" horizontalDpi="300" orientation="portrait" pageOrder="downThenOver" paperSize="1" scale="100" useFirstPageNumber="false" usePrinterDefaults="false" verticalDpi="300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E9"/>
  <sheetViews>
    <sheetView colorId="64" defaultGridColor="true" rightToLeft="false" showFormulas="false" showGridLines="true" showOutlineSymbols="true" showRowColHeaders="true" showZeros="true" tabSelected="false" topLeftCell="J1" view="normal" windowProtection="false" workbookViewId="0" zoomScale="85" zoomScaleNormal="85" zoomScalePageLayoutView="100">
      <selection activeCell="K7" activeCellId="0" pane="topLeft" sqref="K7"/>
    </sheetView>
  </sheetViews>
  <cols>
    <col collapsed="false" hidden="false" max="1" min="1" style="1" width="21.4627450980392"/>
    <col collapsed="false" hidden="false" max="2" min="2" style="1" width="15.5372549019608"/>
    <col collapsed="false" hidden="false" max="10" min="3" style="1" width="14.1647058823529"/>
    <col collapsed="false" hidden="false" max="11" min="11" style="0" width="8.5921568627451"/>
    <col collapsed="false" hidden="false" max="15" min="12" style="1" width="10.8705882352941"/>
    <col collapsed="false" hidden="false" max="16" min="16" style="0" width="8.5921568627451"/>
    <col collapsed="false" hidden="false" max="20" min="17" style="1" width="10.8705882352941"/>
    <col collapsed="false" hidden="false" max="26" min="21" style="1" width="14.1647058823529"/>
    <col collapsed="false" hidden="false" max="1025" min="27" style="0" width="8.5921568627451"/>
  </cols>
  <sheetData>
    <row collapsed="false" customFormat="false" customHeight="false" hidden="false" ht="14.75" outlineLevel="0" r="1">
      <c r="A1" s="2" t="s">
        <v>2</v>
      </c>
      <c r="B1" s="2" t="s">
        <v>2593</v>
      </c>
      <c r="C1" s="2" t="s">
        <v>8</v>
      </c>
      <c r="D1" s="2" t="s">
        <v>37</v>
      </c>
      <c r="E1" s="2" t="s">
        <v>52</v>
      </c>
      <c r="F1" s="2" t="s">
        <v>89</v>
      </c>
      <c r="G1" s="2" t="s">
        <v>194</v>
      </c>
      <c r="H1" s="2" t="s">
        <v>237</v>
      </c>
      <c r="I1" s="2" t="s">
        <v>288</v>
      </c>
      <c r="J1" s="2" t="s">
        <v>429</v>
      </c>
      <c r="K1" s="2" t="s">
        <v>506</v>
      </c>
      <c r="L1" s="2" t="s">
        <v>636</v>
      </c>
      <c r="M1" s="2" t="s">
        <v>2594</v>
      </c>
      <c r="N1" s="2" t="s">
        <v>710</v>
      </c>
      <c r="O1" s="2" t="s">
        <v>720</v>
      </c>
      <c r="P1" s="2" t="s">
        <v>787</v>
      </c>
      <c r="Q1" s="2" t="s">
        <v>995</v>
      </c>
      <c r="R1" s="2" t="s">
        <v>1087</v>
      </c>
      <c r="S1" s="2" t="s">
        <v>1361</v>
      </c>
      <c r="T1" s="2" t="s">
        <v>1491</v>
      </c>
      <c r="U1" s="2" t="s">
        <v>1627</v>
      </c>
      <c r="V1" s="2" t="s">
        <v>1787</v>
      </c>
      <c r="W1" s="2" t="s">
        <v>2055</v>
      </c>
      <c r="X1" s="2" t="s">
        <v>2040</v>
      </c>
      <c r="Y1" s="2" t="s">
        <v>1877</v>
      </c>
      <c r="Z1" s="2" t="s">
        <v>1900</v>
      </c>
      <c r="AA1" s="2" t="s">
        <v>1932</v>
      </c>
      <c r="AB1" s="2" t="s">
        <v>1955</v>
      </c>
      <c r="AC1" s="2" t="s">
        <v>1960</v>
      </c>
      <c r="AD1" s="2" t="s">
        <v>2595</v>
      </c>
      <c r="AE1" s="2" t="s">
        <v>1985</v>
      </c>
    </row>
    <row collapsed="false" customFormat="false" customHeight="false" hidden="false" ht="14.75" outlineLevel="0" r="2">
      <c r="A2" s="1" t="s">
        <v>2596</v>
      </c>
      <c r="B2" s="1" t="n">
        <f aca="false">COUNT('All IS Sets'!$E$2:$E$1047)</f>
        <v>1046</v>
      </c>
      <c r="C2" s="1" t="n">
        <f aca="false">COUNT('ACF Fall'!$E$2:$E$807)</f>
        <v>21</v>
      </c>
      <c r="D2" s="1" t="n">
        <f aca="false">COUNT('ACF Regs'!$E$2:$E$807)</f>
        <v>14</v>
      </c>
      <c r="E2" s="1" t="n">
        <f aca="false">COUNT(ATTACK!$E$2:$E$807)</f>
        <v>34</v>
      </c>
      <c r="F2" s="1" t="n">
        <f aca="false">COUNT(BDAT!$E$2:$E$807)</f>
        <v>112</v>
      </c>
      <c r="G2" s="1" t="n">
        <f aca="false">COUNT(DAFT!$E$2:$E$807)</f>
        <v>42</v>
      </c>
      <c r="H2" s="1" t="n">
        <f aca="false">COUNT(FKT!$E$2:$E$807)</f>
        <v>48</v>
      </c>
      <c r="I2" s="1" t="n">
        <f aca="false">COUNT(GSAC!$E$2:$E$807)</f>
        <v>162</v>
      </c>
      <c r="J2" s="1" t="n">
        <f aca="false">COUNT(HFT!$E$2:$E$807)</f>
        <v>115</v>
      </c>
      <c r="K2" s="1" t="n">
        <f aca="false">COUNT(HT22!$E$2:$E$807)</f>
        <v>187</v>
      </c>
      <c r="L2" s="1" t="n">
        <f aca="false">COUNT(HT23!$E$2:$E$807)</f>
        <v>77</v>
      </c>
      <c r="M2" s="1" t="n">
        <f aca="false">COUNT(IMSANITY2!$E$2:$E$807)</f>
        <v>44</v>
      </c>
      <c r="N2" s="1" t="n">
        <f aca="false">COUNT(IS103A!$E$2:$E$807)</f>
        <v>14</v>
      </c>
      <c r="O2" s="1" t="n">
        <f aca="false">COUNT(IS106A!$E$2:$E$807)</f>
        <v>64</v>
      </c>
      <c r="P2" s="1" t="n">
        <f aca="false">COUNT(IS107!$E$2:$E$807)</f>
        <v>255</v>
      </c>
      <c r="Q2" s="1" t="n">
        <f aca="false">COUNT(IS108A!$E$2:$E$807)</f>
        <v>117</v>
      </c>
      <c r="R2" s="1" t="n">
        <f aca="false">COUNT(IS109!$E$2:$E$807)</f>
        <v>415</v>
      </c>
      <c r="S2" s="1" t="n">
        <f aca="false">COUNT(IS110A!$E$2:$E$807)</f>
        <v>152</v>
      </c>
      <c r="T2" s="1" t="n">
        <f aca="false">COUNT(IS111!$E$2:$E$783)</f>
        <v>273</v>
      </c>
      <c r="U2" s="1" t="n">
        <f aca="false">COUNT(IS112A!$E$2:$E$783)</f>
        <v>272</v>
      </c>
      <c r="V2" s="1" t="n">
        <f aca="false">COUNT(IS113!$E$2:$E$783)</f>
        <v>230</v>
      </c>
      <c r="W2" s="1" t="n">
        <f aca="false">COUNT(IS114A!$E$2:$E$783)</f>
        <v>96</v>
      </c>
      <c r="X2" s="1" t="n">
        <f aca="false">COUNT(IS115!$E$2:$E$783)</f>
        <v>90</v>
      </c>
      <c r="Y2" s="1" t="n">
        <f aca="false">COUNT(LIST!$E$2:$E$783)</f>
        <v>51</v>
      </c>
      <c r="Z2" s="1" t="n">
        <f aca="false">COUNT('MN Novice'!$E$2:$E$807)</f>
        <v>30</v>
      </c>
      <c r="AA2" s="1" t="n">
        <f aca="false">COUNT(OLEFIN!$E$2:$E$807)</f>
        <v>73</v>
      </c>
      <c r="AB2" s="1" t="n">
        <f aca="false">COUNT(RAVE!$E$2:$E$807)</f>
        <v>36</v>
      </c>
      <c r="AC2" s="1" t="n">
        <f aca="false">COUNT(RMTP!$E$2:$E$807)</f>
        <v>24</v>
      </c>
      <c r="AD2" s="1" t="n">
        <f aca="false">COUNT(SCTD1!$E$2:$E$807)</f>
        <v>17</v>
      </c>
      <c r="AE2" s="1" t="n">
        <f aca="false">COUNT(WUHSAC!$E$2:$E$807)</f>
        <v>34</v>
      </c>
    </row>
    <row collapsed="false" customFormat="false" customHeight="false" hidden="false" ht="14.75" outlineLevel="0" r="3">
      <c r="A3" s="1" t="s">
        <v>2597</v>
      </c>
      <c r="B3" s="1" t="n">
        <f aca="false">AVERAGE('All IS Sets'!$E$2:$E$1047)</f>
        <v>11.8996354003333</v>
      </c>
      <c r="C3" s="1" t="n">
        <f aca="false">AVERAGE('ACF Fall'!$E$2:$E$807)</f>
        <v>16.9384607984608</v>
      </c>
      <c r="D3" s="1" t="n">
        <f aca="false">AVERAGE('ACF Regs'!$E$2:$E$807)</f>
        <v>14.6935714285714</v>
      </c>
      <c r="E3" s="1" t="n">
        <f aca="false">AVERAGE(ATTACK!$E$2:$E$807)</f>
        <v>14.2482352941176</v>
      </c>
      <c r="F3" s="1" t="n">
        <f aca="false">AVERAGE(BDAT!$E$2:$E$807)</f>
        <v>11.6875</v>
      </c>
      <c r="G3" s="1" t="n">
        <f aca="false">AVERAGE(DAFT!$E$2:$E$807)</f>
        <v>12.6261904761905</v>
      </c>
      <c r="H3" s="1" t="n">
        <f aca="false">AVERAGE(FKT!$E$2:$E$807)</f>
        <v>14.7808333333333</v>
      </c>
      <c r="I3" s="1" t="n">
        <f aca="false">AVERAGE(GSAC!$E$2:$E$807)</f>
        <v>15.6656096521742</v>
      </c>
      <c r="J3" s="1" t="n">
        <f aca="false">AVERAGE(HFT!$E$2:$E$807)</f>
        <v>12.9667804164618</v>
      </c>
      <c r="K3" s="1" t="n">
        <f aca="false">AVERAGE(HT22!$E$2:$E$807)</f>
        <v>14.560801634478</v>
      </c>
      <c r="L3" s="1" t="n">
        <f aca="false">AVERAGE(HT23!$E$2:$E$807)</f>
        <v>12.9851948051948</v>
      </c>
      <c r="M3" s="1" t="n">
        <f aca="false">AVERAGE(IMSANITY2!$E$2:$E$807)</f>
        <v>13.7097727272727</v>
      </c>
      <c r="N3" s="1" t="n">
        <f aca="false">AVERAGE(IS103A!$E$2:$E$807)</f>
        <v>16.2607142857143</v>
      </c>
      <c r="O3" s="1" t="n">
        <f aca="false">AVERAGE(IS106A!$E$2:$E$807)</f>
        <v>13.23578125</v>
      </c>
      <c r="P3" s="1" t="n">
        <f aca="false">AVERAGE(IS107!$E$2:$E$807)</f>
        <v>12.3553266403907</v>
      </c>
      <c r="Q3" s="1" t="n">
        <f aca="false">AVERAGE(IS108A!$E$2:$E$807)</f>
        <v>15.2902564102564</v>
      </c>
      <c r="R3" s="1" t="n">
        <f aca="false">AVERAGE(IS109!$E$2:$E$807)</f>
        <v>11.0179759036145</v>
      </c>
      <c r="S3" s="1" t="n">
        <f aca="false">AVERAGE(IS110A!$E$2:$E$807)</f>
        <v>14.1046710526316</v>
      </c>
      <c r="T3" s="1" t="n">
        <f aca="false">AVERAGE(IS111!$E$2:$E$783)</f>
        <v>12.8389389576885</v>
      </c>
      <c r="U3" s="1" t="n">
        <f aca="false">AVERAGE(IS112A!$E$2:$E$783)</f>
        <v>15.5417279411765</v>
      </c>
      <c r="V3" s="1" t="n">
        <f aca="false">AVERAGE(IS113!$E$2:$E$783)</f>
        <v>12.8199565217391</v>
      </c>
      <c r="W3" s="1" t="n">
        <f aca="false">AVERAGE(IS114A!$E$2:$E$783)</f>
        <v>13.3641666666667</v>
      </c>
      <c r="X3" s="1" t="n">
        <f aca="false">AVERAGE(IS115!$E$2:$E$783)</f>
        <v>14.1884444444444</v>
      </c>
      <c r="Y3" s="1" t="n">
        <f aca="false">AVERAGE(LIST!$E$2:$E$783)</f>
        <v>18.9062745098039</v>
      </c>
      <c r="Z3" s="1" t="n">
        <f aca="false">AVERAGE('MN Novice'!$E$2:$E$807)</f>
        <v>13.82</v>
      </c>
      <c r="AA3" s="1" t="n">
        <f aca="false">AVERAGE(OLEFIN!$E$2:$E$807)</f>
        <v>14.9223469713217</v>
      </c>
      <c r="AB3" s="1" t="n">
        <f aca="false">AVERAGE(RAVE!$E$2:$E$807)</f>
        <v>16.2058333333333</v>
      </c>
      <c r="AC3" s="1" t="n">
        <f aca="false">AVERAGE(RMTP!$E$2:$E$807)</f>
        <v>15.8241666666667</v>
      </c>
      <c r="AD3" s="1" t="n">
        <f aca="false">AVERAGE(SCTD1!$E$2:$E$807)</f>
        <v>14.1476470588235</v>
      </c>
      <c r="AE3" s="1" t="n">
        <f aca="false">AVERAGE(WUHSAC!$E$2:$E$807)</f>
        <v>13.8341176470588</v>
      </c>
    </row>
    <row collapsed="false" customFormat="false" customHeight="false" hidden="false" ht="14.75" outlineLevel="0" r="4">
      <c r="A4" s="1" t="s">
        <v>2598</v>
      </c>
      <c r="B4" s="1" t="n">
        <f aca="false">MEDIAN('All IS Sets'!$E$2:$E$1047)</f>
        <v>11.1</v>
      </c>
      <c r="C4" s="1" t="n">
        <f aca="false">MEDIAN('ACF Fall'!$E$2:$E$807)</f>
        <v>16.85</v>
      </c>
      <c r="D4" s="1" t="n">
        <f aca="false">MEDIAN('ACF Regs'!$E$2:$E$807)</f>
        <v>15.07</v>
      </c>
      <c r="E4" s="1" t="n">
        <f aca="false">MEDIAN(ATTACK!$E$2:$E$807)</f>
        <v>13.7</v>
      </c>
      <c r="F4" s="1" t="n">
        <f aca="false">MEDIAN(BDAT!$E$2:$E$807)</f>
        <v>10</v>
      </c>
      <c r="G4" s="1" t="n">
        <f aca="false">MEDIAN(DAFT!$E$2:$E$807)</f>
        <v>11.905</v>
      </c>
      <c r="H4" s="1" t="n">
        <f aca="false">MEDIAN(FKT!$E$2:$E$807)</f>
        <v>14.675</v>
      </c>
      <c r="I4" s="1" t="n">
        <f aca="false">MEDIAN(GSAC!$E$2:$E$807)</f>
        <v>14.94</v>
      </c>
      <c r="J4" s="1" t="n">
        <f aca="false">MEDIAN(HFT!$E$2:$E$807)</f>
        <v>11.32</v>
      </c>
      <c r="K4" s="1" t="n">
        <f aca="false">MEDIAN(HT22!$E$2:$E$807)</f>
        <v>13.79</v>
      </c>
      <c r="L4" s="1" t="n">
        <f aca="false">MEDIAN(HT23!$E$2:$E$807)</f>
        <v>12.95</v>
      </c>
      <c r="M4" s="1" t="n">
        <f aca="false">MEDIAN(IMSANITY2!$E$2:$E$807)</f>
        <v>12.83</v>
      </c>
      <c r="N4" s="1" t="n">
        <f aca="false">MEDIAN(IS103A!$E$2:$E$807)</f>
        <v>16.41</v>
      </c>
      <c r="O4" s="1" t="n">
        <f aca="false">MEDIAN(IS106A!$E$2:$E$807)</f>
        <v>12.205</v>
      </c>
      <c r="P4" s="1" t="n">
        <f aca="false">MEDIAN(IS107!$E$2:$E$807)</f>
        <v>11.52</v>
      </c>
      <c r="Q4" s="1" t="n">
        <f aca="false">MEDIAN(IS108A!$E$2:$E$807)</f>
        <v>15.21</v>
      </c>
      <c r="R4" s="1" t="n">
        <f aca="false">MEDIAN(IS109!$E$2:$E$807)</f>
        <v>10.32</v>
      </c>
      <c r="S4" s="1" t="n">
        <f aca="false">MEDIAN(IS110A!$E$2:$E$807)</f>
        <v>13.485</v>
      </c>
      <c r="T4" s="1" t="n">
        <f aca="false">MEDIAN(IS111!$E$2:$E$783)</f>
        <v>12.1875</v>
      </c>
      <c r="U4" s="1" t="n">
        <f aca="false">MEDIAN(IS112A!$E$2:$E$783)</f>
        <v>15.855</v>
      </c>
      <c r="V4" s="1" t="n">
        <f aca="false">MEDIAN(IS113!$E$2:$E$783)</f>
        <v>12.495</v>
      </c>
      <c r="W4" s="1" t="n">
        <f aca="false">MEDIAN(IS114A!$E$2:$E$783)</f>
        <v>13.43</v>
      </c>
      <c r="X4" s="1" t="n">
        <f aca="false">MEDIAN(IS115!$E$2:$E$783)</f>
        <v>13.49</v>
      </c>
      <c r="Y4" s="1" t="n">
        <f aca="false">MEDIAN(LIST!$E$2:$E$783)</f>
        <v>19.43</v>
      </c>
      <c r="Z4" s="1" t="n">
        <f aca="false">MEDIAN('MN Novice'!$E$2:$E$807)</f>
        <v>14.295</v>
      </c>
      <c r="AA4" s="1" t="n">
        <f aca="false">MEDIAN(OLEFIN!$E$2:$E$807)</f>
        <v>13.72</v>
      </c>
      <c r="AB4" s="1" t="n">
        <f aca="false">MEDIAN(RAVE!$E$2:$E$807)</f>
        <v>16.11</v>
      </c>
      <c r="AC4" s="1" t="n">
        <f aca="false">MEDIAN(RMTP!$E$2:$E$807)</f>
        <v>15.325</v>
      </c>
      <c r="AD4" s="1" t="n">
        <f aca="false">MEDIAN(SCTD1!$E$2:$E$807)</f>
        <v>14.72</v>
      </c>
      <c r="AE4" s="1" t="n">
        <f aca="false">MEDIAN(WUHSAC!$E$2:$E$807)</f>
        <v>13.335</v>
      </c>
    </row>
    <row collapsed="false" customFormat="false" customHeight="false" hidden="false" ht="14.75" outlineLevel="0" r="5">
      <c r="A5" s="1" t="s">
        <v>2599</v>
      </c>
      <c r="B5" s="1" t="n">
        <f aca="false">QUARTILE('All IS Sets'!$E$2:$E$1047,3)</f>
        <v>15.23</v>
      </c>
      <c r="C5" s="1" t="n">
        <f aca="false">QUARTILE('ACF Fall'!$E$2:$E$807,3)</f>
        <v>22.95</v>
      </c>
      <c r="D5" s="1" t="n">
        <f aca="false">QUARTILE('ACF Regs'!$E$2:$E$807,3)</f>
        <v>15.9425</v>
      </c>
      <c r="E5" s="1" t="n">
        <f aca="false">QUARTILE(ATTACK!$E$2:$E$807,3)</f>
        <v>17.75</v>
      </c>
      <c r="F5" s="1" t="n">
        <f aca="false">QUARTILE(BDAT!$E$2:$E$807,3)</f>
        <v>16.315</v>
      </c>
      <c r="G5" s="1" t="n">
        <f aca="false">QUARTILE(DAFT!$E$2:$E$807,3)</f>
        <v>16.395</v>
      </c>
      <c r="H5" s="1" t="n">
        <f aca="false">QUARTILE(FKT!$E$2:$E$807,3)</f>
        <v>18.1775</v>
      </c>
      <c r="I5" s="1" t="n">
        <f aca="false">QUARTILE(GSAC!$E$2:$E$807,3)</f>
        <v>20.095</v>
      </c>
      <c r="J5" s="1" t="n">
        <f aca="false">QUARTILE(HFT!$E$2:$E$807,3)</f>
        <v>17.9489830508475</v>
      </c>
      <c r="K5" s="1" t="n">
        <f aca="false">QUARTILE(HT22!$E$2:$E$807,3)</f>
        <v>19.0136434108527</v>
      </c>
      <c r="L5" s="1" t="n">
        <f aca="false">QUARTILE(HT23!$E$2:$E$807,3)</f>
        <v>15.47</v>
      </c>
      <c r="M5" s="1" t="n">
        <f aca="false">QUARTILE(IMSANITY2!$E$2:$E$807,3)</f>
        <v>17.1125</v>
      </c>
      <c r="N5" s="1" t="n">
        <f aca="false">QUARTILE(IS103A!$E$2:$E$807,3)</f>
        <v>18.075</v>
      </c>
      <c r="O5" s="1" t="n">
        <f aca="false">QUARTILE(IS106A!$E$2:$E$807,3)</f>
        <v>16.3725</v>
      </c>
      <c r="P5" s="1" t="n">
        <f aca="false">QUARTILE(IS107!$E$2:$E$807,3)</f>
        <v>16.03</v>
      </c>
      <c r="Q5" s="1" t="n">
        <f aca="false">QUARTILE(IS108A!$E$2:$E$807,3)</f>
        <v>18.86</v>
      </c>
      <c r="R5" s="1" t="n">
        <f aca="false">QUARTILE(IS109!$E$2:$E$807,3)</f>
        <v>13.865</v>
      </c>
      <c r="S5" s="1" t="n">
        <f aca="false">QUARTILE(IS110A!$E$2:$E$807,3)</f>
        <v>16.9725</v>
      </c>
      <c r="T5" s="1" t="n">
        <f aca="false">QUARTILE(IS111!$E$2:$E$783,3)</f>
        <v>16.36</v>
      </c>
      <c r="U5" s="1" t="n">
        <f aca="false">QUARTILE(IS112A!$E$2:$E$783,3)</f>
        <v>18.6175</v>
      </c>
      <c r="V5" s="1" t="n">
        <f aca="false">QUARTILE(IS113!$E$2:$E$783,3)</f>
        <v>15.5175</v>
      </c>
      <c r="W5" s="1" t="n">
        <f aca="false">QUARTILE(IS114A!$E$2:$E$783,3)</f>
        <v>16.155</v>
      </c>
      <c r="X5" s="1" t="n">
        <f aca="false">QUARTILE(IS115!$E$2:$E$783,3)</f>
        <v>17.09</v>
      </c>
      <c r="Y5" s="1" t="n">
        <f aca="false">QUARTILE(LIST!$E$2:$E$783,3)</f>
        <v>24.6</v>
      </c>
      <c r="Z5" s="1" t="n">
        <f aca="false">QUARTILE('MN Novice'!$E$2:$E$807,3)</f>
        <v>15.9325</v>
      </c>
      <c r="AA5" s="1" t="n">
        <f aca="false">QUARTILE(OLEFIN!$E$2:$E$807,3)</f>
        <v>18.64</v>
      </c>
      <c r="AB5" s="1" t="n">
        <f aca="false">QUARTILE(RAVE!$E$2:$E$807,3)</f>
        <v>20.07</v>
      </c>
      <c r="AC5" s="1" t="n">
        <f aca="false">QUARTILE(RMTP!$E$2:$E$807,3)</f>
        <v>20.42</v>
      </c>
      <c r="AD5" s="1" t="n">
        <f aca="false">QUARTILE(SCTD1!$E$2:$E$807,3)</f>
        <v>16.63</v>
      </c>
      <c r="AE5" s="1" t="n">
        <f aca="false">QUARTILE(WUHSAC!$E$2:$E$807,3)</f>
        <v>15.85</v>
      </c>
    </row>
    <row collapsed="false" customFormat="false" customHeight="false" hidden="false" ht="14.75" outlineLevel="0" r="6">
      <c r="A6" s="1" t="s">
        <v>2600</v>
      </c>
      <c r="B6" s="1" t="n">
        <f aca="false">QUARTILE('All IS Sets'!$E$2:$E$1047,1)</f>
        <v>8.2725</v>
      </c>
      <c r="C6" s="1" t="n">
        <f aca="false">QUARTILE('ACF Fall'!$E$2:$E$807,1)</f>
        <v>13.51</v>
      </c>
      <c r="D6" s="1" t="n">
        <f aca="false">QUARTILE('ACF Regs'!$E$2:$E$807,1)</f>
        <v>12.575</v>
      </c>
      <c r="E6" s="1" t="n">
        <f aca="false">QUARTILE(ATTACK!$E$2:$E$807,1)</f>
        <v>10.3325</v>
      </c>
      <c r="F6" s="1" t="n">
        <f aca="false">QUARTILE(BDAT!$E$2:$E$807,1)</f>
        <v>7.2325</v>
      </c>
      <c r="G6" s="1" t="n">
        <f aca="false">QUARTILE(DAFT!$E$2:$E$807,1)</f>
        <v>8.8275</v>
      </c>
      <c r="H6" s="1" t="n">
        <f aca="false">QUARTILE(FKT!$E$2:$E$807,1)</f>
        <v>10.3275</v>
      </c>
      <c r="I6" s="1" t="n">
        <f aca="false">QUARTILE(GSAC!$E$2:$E$807,1)</f>
        <v>10.63</v>
      </c>
      <c r="J6" s="1" t="n">
        <f aca="false">QUARTILE(HFT!$E$2:$E$807,1)</f>
        <v>7.87037037037037</v>
      </c>
      <c r="K6" s="1" t="n">
        <f aca="false">QUARTILE(HT22!$E$2:$E$807,1)</f>
        <v>10.725</v>
      </c>
      <c r="L6" s="1" t="n">
        <f aca="false">QUARTILE(HT23!$E$2:$E$807,1)</f>
        <v>9.43</v>
      </c>
      <c r="M6" s="1" t="n">
        <f aca="false">QUARTILE(IMSANITY2!$E$2:$E$807,1)</f>
        <v>9.7625</v>
      </c>
      <c r="N6" s="1" t="n">
        <f aca="false">QUARTILE(IS103A!$E$2:$E$807,1)</f>
        <v>12.7225</v>
      </c>
      <c r="O6" s="1" t="n">
        <f aca="false">QUARTILE(IS106A!$E$2:$E$807,1)</f>
        <v>10.155</v>
      </c>
      <c r="P6" s="1" t="n">
        <f aca="false">QUARTILE(IS107!$E$2:$E$807,1)</f>
        <v>8.635</v>
      </c>
      <c r="Q6" s="1" t="n">
        <f aca="false">QUARTILE(IS108A!$E$2:$E$807,1)</f>
        <v>12.31</v>
      </c>
      <c r="R6" s="1" t="n">
        <f aca="false">QUARTILE(IS109!$E$2:$E$807,1)</f>
        <v>7.365</v>
      </c>
      <c r="S6" s="1" t="n">
        <f aca="false">QUARTILE(IS110A!$E$2:$E$807,1)</f>
        <v>11.395</v>
      </c>
      <c r="T6" s="1" t="n">
        <f aca="false">QUARTILE(IS111!$E$2:$E$783,1)</f>
        <v>9.29</v>
      </c>
      <c r="U6" s="1" t="n">
        <f aca="false">QUARTILE(IS112A!$E$2:$E$783,1)</f>
        <v>12.6725</v>
      </c>
      <c r="V6" s="1" t="n">
        <f aca="false">QUARTILE(IS113!$E$2:$E$783,1)</f>
        <v>9.5775</v>
      </c>
      <c r="W6" s="1" t="n">
        <f aca="false">QUARTILE(IS114A!$E$2:$E$783,1)</f>
        <v>10</v>
      </c>
      <c r="X6" s="1" t="n">
        <f aca="false">QUARTILE(IS115!$E$2:$E$783,1)</f>
        <v>10.8425</v>
      </c>
      <c r="Y6" s="1" t="n">
        <f aca="false">QUARTILE(LIST!$E$2:$E$783,1)</f>
        <v>14.29</v>
      </c>
      <c r="Z6" s="1" t="n">
        <f aca="false">QUARTILE('MN Novice'!$E$2:$E$807,1)</f>
        <v>11.3925</v>
      </c>
      <c r="AA6" s="1" t="n">
        <f aca="false">QUARTILE(OLEFIN!$E$2:$E$807,1)</f>
        <v>10.47</v>
      </c>
      <c r="AB6" s="1" t="n">
        <f aca="false">QUARTILE(RAVE!$E$2:$E$807,1)</f>
        <v>12.5825</v>
      </c>
      <c r="AC6" s="1" t="n">
        <f aca="false">QUARTILE(RMTP!$E$2:$E$807,1)</f>
        <v>10.205</v>
      </c>
      <c r="AD6" s="1" t="n">
        <f aca="false">QUARTILE(SCTD1!$E$2:$E$807,1)</f>
        <v>11.67</v>
      </c>
      <c r="AE6" s="1" t="n">
        <f aca="false">QUARTILE(WUHSAC!$E$2:$E$807,1)</f>
        <v>11.7425</v>
      </c>
    </row>
    <row collapsed="false" customFormat="false" customHeight="false" hidden="false" ht="14.75" outlineLevel="0" r="7">
      <c r="A7" s="1" t="s">
        <v>2601</v>
      </c>
      <c r="B7" s="1" t="n">
        <f aca="false">STDEVP('All IS Sets'!$E$2:$E$1047)</f>
        <v>4.92669467173699</v>
      </c>
      <c r="C7" s="1" t="n">
        <f aca="false">STDEVP('ACF Fall'!$E$2:$E$807)</f>
        <v>5.32073502595284</v>
      </c>
      <c r="D7" s="1" t="n">
        <f aca="false">STDEVP('ACF Regs'!$E$2:$E$807)</f>
        <v>2.57155485801005</v>
      </c>
      <c r="E7" s="1" t="n">
        <f aca="false">STDEVP(ATTACK!$E$2:$E$807)</f>
        <v>4.92063151768876</v>
      </c>
      <c r="F7" s="1" t="n">
        <f aca="false">STDEVP(BDAT!$E$2:$E$807)</f>
        <v>5.69934026570495</v>
      </c>
      <c r="G7" s="1" t="n">
        <f aca="false">STDEVP(DAFT!$E$2:$E$807)</f>
        <v>5.24628165483079</v>
      </c>
      <c r="H7" s="1" t="n">
        <f aca="false">STDEVP(FKT!$E$2:$E$807)</f>
        <v>6.29562772662284</v>
      </c>
      <c r="I7" s="1" t="n">
        <f aca="false">STDEVP(GSAC!$E$2:$E$807)</f>
        <v>5.99066161661554</v>
      </c>
      <c r="J7" s="1" t="n">
        <f aca="false">STDEVP(HFT!$E$2:$E$807)</f>
        <v>6.72002554905593</v>
      </c>
      <c r="K7" s="1" t="n">
        <f aca="false">STDEVP(HT22!$E$2:$E$807)</f>
        <v>5.41299029424263</v>
      </c>
      <c r="L7" s="1" t="n">
        <f aca="false">STDEVP(HT23!$E$2:$E$807)</f>
        <v>4.99857242227741</v>
      </c>
      <c r="M7" s="1" t="n">
        <f aca="false">STDEVP(IMSANITY2!$E$2:$E$807)</f>
        <v>5.2652210040106</v>
      </c>
      <c r="N7" s="1" t="n">
        <f aca="false">STDEVP(IS103A!$E$2:$E$807)</f>
        <v>4.67629502962352</v>
      </c>
      <c r="O7" s="1" t="n">
        <f aca="false">STDEVP(IS106A!$E$2:$E$807)</f>
        <v>4.52461559302538</v>
      </c>
      <c r="P7" s="1" t="n">
        <f aca="false">STDEVP(IS107!$E$2:$E$807)</f>
        <v>4.88864008478097</v>
      </c>
      <c r="Q7" s="1" t="n">
        <f aca="false">STDEVP(IS108A!$E$2:$E$807)</f>
        <v>4.40089588034509</v>
      </c>
      <c r="R7" s="1" t="n">
        <f aca="false">STDEVP(IS109!$E$2:$E$807)</f>
        <v>4.85738114272335</v>
      </c>
      <c r="S7" s="1" t="n">
        <f aca="false">STDEVP(IS110A!$E$2:$E$807)</f>
        <v>4.11035757148667</v>
      </c>
      <c r="T7" s="1" t="n">
        <f aca="false">STDEVP(IS111!$E$2:$E$783)</f>
        <v>4.90261111909195</v>
      </c>
      <c r="U7" s="1" t="n">
        <f aca="false">STDEVP(IS112A!$E$2:$E$783)</f>
        <v>4.35169916436792</v>
      </c>
      <c r="V7" s="1" t="n">
        <f aca="false">STDEVP(IS113!$E$2:$E$783)</f>
        <v>4.71826621600204</v>
      </c>
      <c r="W7" s="1" t="n">
        <f aca="false">STDEVP(IS114A!$E$2:$E$783)</f>
        <v>4.22253470152177</v>
      </c>
      <c r="X7" s="1" t="n">
        <f aca="false">STDEVP(IS115!$E$2:$E$783)</f>
        <v>4.65093489075312</v>
      </c>
      <c r="Y7" s="1" t="n">
        <f aca="false">STDEVP(LIST!$E$2:$E$783)</f>
        <v>5.5416271273663</v>
      </c>
      <c r="Z7" s="1" t="n">
        <f aca="false">STDEVP('MN Novice'!$E$2:$E$807)</f>
        <v>3.21796105217781</v>
      </c>
      <c r="AA7" s="1" t="n">
        <f aca="false">STDEVP(OLEFIN!$E$2:$E$807)</f>
        <v>6.09079921403508</v>
      </c>
      <c r="AB7" s="1" t="n">
        <f aca="false">STDEVP(RAVE!$E$2:$E$807)</f>
        <v>4.72434085643466</v>
      </c>
      <c r="AC7" s="1" t="n">
        <f aca="false">STDEVP(RMTP!$E$2:$E$807)</f>
        <v>6.15754951033463</v>
      </c>
      <c r="AD7" s="1" t="n">
        <f aca="false">STDEVP(SCTD1!$E$2:$E$807)</f>
        <v>3.27732410469231</v>
      </c>
      <c r="AE7" s="1" t="n">
        <f aca="false">STDEVP(WUHSAC!$E$2:$E$807)</f>
        <v>4.31211979919735</v>
      </c>
    </row>
    <row collapsed="false" customFormat="false" customHeight="false" hidden="false" ht="14.75" outlineLevel="0" r="8">
      <c r="A8" s="1" t="s">
        <v>2602</v>
      </c>
      <c r="B8" s="1" t="n">
        <f aca="false">MAX('All IS Sets'!$E$2:$E$1047)</f>
        <v>24.85</v>
      </c>
      <c r="C8" s="1" t="n">
        <f aca="false">MAX('ACF Fall'!$E$2:$E$807)</f>
        <v>24.08</v>
      </c>
      <c r="D8" s="1" t="n">
        <f aca="false">MAX('ACF Regs'!$E$2:$E$807)</f>
        <v>19.56</v>
      </c>
      <c r="E8" s="1" t="n">
        <f aca="false">MAX(ATTACK!$E$2:$E$807)</f>
        <v>24.91</v>
      </c>
      <c r="F8" s="1" t="n">
        <f aca="false">MAX(BDAT!$E$2:$E$807)</f>
        <v>25.29</v>
      </c>
      <c r="G8" s="1" t="n">
        <f aca="false">MAX(DAFT!$E$2:$E$807)</f>
        <v>23.28</v>
      </c>
      <c r="H8" s="1" t="n">
        <f aca="false">MAX(FKT!$E$2:$E$807)</f>
        <v>26.91</v>
      </c>
      <c r="I8" s="1" t="n">
        <f aca="false">MAX(GSAC!$E$2:$E$807)</f>
        <v>27.45</v>
      </c>
      <c r="J8" s="1" t="n">
        <f aca="false">MAX(HFT!$E$2:$E$807)</f>
        <v>26.77</v>
      </c>
      <c r="K8" s="1" t="n">
        <f aca="false">MAX(HT22!$E$2:$E$807)</f>
        <v>26.1458333333333</v>
      </c>
      <c r="L8" s="1" t="n">
        <f aca="false">MAX(HT23!$E$2:$E$807)</f>
        <v>25.35</v>
      </c>
      <c r="M8" s="1" t="n">
        <f aca="false">MAX(IMSANITY2!$E$2:$E$807)</f>
        <v>25.97</v>
      </c>
      <c r="N8" s="1" t="n">
        <f aca="false">MAX(IS103A!$E$2:$E$807)</f>
        <v>25.58</v>
      </c>
      <c r="O8" s="1" t="n">
        <f aca="false">MAX(IS106A!$E$2:$E$807)</f>
        <v>24.53</v>
      </c>
      <c r="P8" s="1" t="n">
        <f aca="false">MAX(IS107!$E$2:$E$807)</f>
        <v>24.14</v>
      </c>
      <c r="Q8" s="1" t="n">
        <f aca="false">MAX(IS108A!$E$2:$E$807)</f>
        <v>25.09</v>
      </c>
      <c r="R8" s="1" t="n">
        <f aca="false">MAX(IS109!$E$2:$E$807)</f>
        <v>24.85</v>
      </c>
      <c r="S8" s="1" t="n">
        <f aca="false">MAX(IS110A!$E$2:$E$807)</f>
        <v>22.92</v>
      </c>
      <c r="T8" s="1" t="n">
        <f aca="false">MAX(IS111!$E$2:$E$783)</f>
        <v>24.26</v>
      </c>
      <c r="U8" s="1" t="n">
        <f aca="false">MAX(IS112A!$E$2:$E$783)</f>
        <v>25.38</v>
      </c>
      <c r="V8" s="1" t="n">
        <f aca="false">MAX(IS113!$E$2:$E$783)</f>
        <v>24.86</v>
      </c>
      <c r="W8" s="1" t="n">
        <f aca="false">MAX(IS114A!$E$2:$E$783)</f>
        <v>22.19</v>
      </c>
      <c r="X8" s="1" t="n">
        <f aca="false">MAX(IS115!$E$2:$E$783)</f>
        <v>24.78</v>
      </c>
      <c r="Y8" s="1" t="n">
        <f aca="false">MAX(LIST!$E$2:$E$783)</f>
        <v>27.5</v>
      </c>
      <c r="Z8" s="1" t="n">
        <f aca="false">MAX('MN Novice'!$E$2:$E$807)</f>
        <v>20.27</v>
      </c>
      <c r="AA8" s="1" t="n">
        <f aca="false">MAX(OLEFIN!$E$2:$E$807)</f>
        <v>26.76</v>
      </c>
      <c r="AB8" s="1" t="n">
        <f aca="false">MAX(RAVE!$E$2:$E$807)</f>
        <v>25.07</v>
      </c>
      <c r="AC8" s="1" t="n">
        <f aca="false">MAX(RMTP!$E$2:$E$807)</f>
        <v>25.61</v>
      </c>
      <c r="AD8" s="1" t="n">
        <f aca="false">MAX(SCTD1!$E$2:$E$807)</f>
        <v>19.43</v>
      </c>
      <c r="AE8" s="1" t="n">
        <f aca="false">MAX(WUHSAC!$E$2:$E$807)</f>
        <v>24.15</v>
      </c>
    </row>
    <row collapsed="false" customFormat="false" customHeight="false" hidden="false" ht="14.75" outlineLevel="0" r="9">
      <c r="A9" s="1" t="s">
        <v>2603</v>
      </c>
      <c r="B9" s="1" t="n">
        <f aca="false">MIN('All IS Sets'!$E$2:$E$1047)</f>
        <v>0</v>
      </c>
      <c r="C9" s="1" t="n">
        <f aca="false">MIN('ACF Fall'!$E$2:$E$807)</f>
        <v>5.21</v>
      </c>
      <c r="D9" s="1" t="n">
        <f aca="false">MIN('ACF Regs'!$E$2:$E$807)</f>
        <v>10.4</v>
      </c>
      <c r="E9" s="1" t="n">
        <f aca="false">MIN(ATTACK!$E$2:$E$807)</f>
        <v>4.44</v>
      </c>
      <c r="F9" s="1" t="n">
        <f aca="false">MIN(BDAT!$E$2:$E$807)</f>
        <v>0.56</v>
      </c>
      <c r="G9" s="1" t="n">
        <f aca="false">MIN(DAFT!$E$2:$E$807)</f>
        <v>0.83</v>
      </c>
      <c r="H9" s="1" t="n">
        <f aca="false">MIN(FKT!$E$2:$E$807)</f>
        <v>2.5</v>
      </c>
      <c r="I9" s="1" t="n">
        <f aca="false">MIN(GSAC!$E$2:$E$807)</f>
        <v>4.44</v>
      </c>
      <c r="J9" s="1" t="n">
        <f aca="false">MIN(HFT!$E$2:$E$807)</f>
        <v>1.58</v>
      </c>
      <c r="K9" s="1" t="n">
        <f aca="false">MIN(HT22!$E$2:$E$807)</f>
        <v>3.33</v>
      </c>
      <c r="L9" s="1" t="n">
        <f aca="false">MIN(HT23!$E$2:$E$807)</f>
        <v>2.86</v>
      </c>
      <c r="M9" s="1" t="n">
        <f aca="false">MIN(IMSANITY2!$E$2:$E$807)</f>
        <v>4.17</v>
      </c>
      <c r="N9" s="1" t="n">
        <f aca="false">MIN(IS103A!$E$2:$E$807)</f>
        <v>8.18</v>
      </c>
      <c r="O9" s="1" t="n">
        <f aca="false">MIN(IS106A!$E$2:$E$807)</f>
        <v>5</v>
      </c>
      <c r="P9" s="1" t="n">
        <f aca="false">MIN(IS107!$E$2:$E$807)</f>
        <v>1.8</v>
      </c>
      <c r="Q9" s="1" t="n">
        <f aca="false">MIN(IS108A!$E$2:$E$807)</f>
        <v>5</v>
      </c>
      <c r="R9" s="1" t="n">
        <f aca="false">MIN(IS109!$E$2:$E$807)</f>
        <v>0</v>
      </c>
      <c r="S9" s="1" t="n">
        <f aca="false">MIN(IS110A!$E$2:$E$807)</f>
        <v>5.68</v>
      </c>
      <c r="T9" s="1" t="n">
        <f aca="false">MIN(IS111!$E$2:$E$783)</f>
        <v>0.83</v>
      </c>
      <c r="U9" s="1" t="n">
        <f aca="false">MIN(IS112A!$E$2:$E$783)</f>
        <v>0</v>
      </c>
      <c r="V9" s="1" t="n">
        <f aca="false">MIN(IS113!$E$2:$E$783)</f>
        <v>2.08</v>
      </c>
      <c r="W9" s="1" t="n">
        <f aca="false">MIN(IS114A!$E$2:$E$783)</f>
        <v>3.33</v>
      </c>
      <c r="X9" s="1" t="n">
        <f aca="false">MIN(IS115!$E$2:$E$783)</f>
        <v>4.84</v>
      </c>
      <c r="Y9" s="1" t="n">
        <f aca="false">MIN(LIST!$E$2:$E$783)</f>
        <v>4.87</v>
      </c>
      <c r="Z9" s="1" t="n">
        <f aca="false">MIN('MN Novice'!$E$2:$E$807)</f>
        <v>6.32</v>
      </c>
      <c r="AA9" s="1" t="n">
        <f aca="false">MIN(OLEFIN!$E$2:$E$807)</f>
        <v>4.35</v>
      </c>
      <c r="AB9" s="1" t="n">
        <f aca="false">MIN(RAVE!$E$2:$E$807)</f>
        <v>4.55</v>
      </c>
      <c r="AC9" s="1" t="n">
        <f aca="false">MIN(RMTP!$E$2:$E$807)</f>
        <v>6.94</v>
      </c>
      <c r="AD9" s="1" t="n">
        <f aca="false">MIN(SCTD1!$E$2:$E$807)</f>
        <v>6.77</v>
      </c>
      <c r="AE9" s="1" t="n">
        <f aca="false">MIN(WUHSAC!$E$2:$E$807)</f>
        <v>5.26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blackAndWhite="false" cellComments="none" copies="1" draft="false" firstPageNumber="0" fitToHeight="1" fitToWidth="1" horizontalDpi="300" orientation="portrait" pageOrder="downThenOver" paperSize="1" scale="100" useFirstPageNumber="false" usePrinterDefaults="false" verticalDpi="300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22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85" zoomScaleNormal="85" zoomScalePageLayoutView="100">
      <selection activeCell="A12" activeCellId="0" pane="topLeft" sqref="A12"/>
    </sheetView>
  </sheetViews>
  <cols>
    <col collapsed="false" hidden="false" max="1" min="1" style="1" width="34.6470588235294"/>
    <col collapsed="false" hidden="false" max="2" min="2" style="1" width="21.9490196078431"/>
    <col collapsed="false" hidden="false" max="3" min="3" style="1" width="9.43137254901961"/>
    <col collapsed="false" hidden="false" max="5" min="4" style="1" width="14.1647058823529"/>
    <col collapsed="false" hidden="false" max="6" min="6" style="1" width="6.52156862745098"/>
    <col collapsed="false" hidden="false" max="1025" min="7" style="0" width="8.5921568627451"/>
  </cols>
  <sheetData>
    <row collapsed="false" customFormat="false" customHeight="false" hidden="false" ht="14.75" outlineLevel="0"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collapsed="false" customFormat="false" customHeight="false" hidden="false" ht="14.75" outlineLevel="0" r="2">
      <c r="A2" s="1" t="s">
        <v>6</v>
      </c>
      <c r="B2" s="1" t="s">
        <v>7</v>
      </c>
      <c r="C2" s="1" t="s">
        <v>8</v>
      </c>
      <c r="D2" s="1" t="n">
        <v>299.5</v>
      </c>
      <c r="E2" s="1" t="n">
        <v>18.06</v>
      </c>
      <c r="F2" s="1" t="s">
        <v>9</v>
      </c>
    </row>
    <row collapsed="false" customFormat="false" customHeight="false" hidden="false" ht="14.75" outlineLevel="0" r="3">
      <c r="A3" s="1" t="s">
        <v>10</v>
      </c>
      <c r="B3" s="1" t="s">
        <v>7</v>
      </c>
      <c r="C3" s="1" t="s">
        <v>8</v>
      </c>
      <c r="D3" s="1" t="n">
        <v>62.5</v>
      </c>
      <c r="E3" s="1" t="n">
        <v>8.06</v>
      </c>
      <c r="F3" s="1" t="s">
        <v>9</v>
      </c>
    </row>
    <row collapsed="false" customFormat="false" customHeight="false" hidden="false" ht="14.75" outlineLevel="0" r="4">
      <c r="A4" s="1" t="s">
        <v>11</v>
      </c>
      <c r="B4" s="1" t="s">
        <v>12</v>
      </c>
      <c r="C4" s="1" t="s">
        <v>8</v>
      </c>
      <c r="D4" s="1" t="n">
        <v>330.3</v>
      </c>
      <c r="E4" s="1" t="n">
        <v>23.57</v>
      </c>
      <c r="F4" s="1" t="s">
        <v>9</v>
      </c>
    </row>
    <row collapsed="false" customFormat="false" customHeight="false" hidden="false" ht="14.75" outlineLevel="0" r="5">
      <c r="A5" s="1" t="s">
        <v>13</v>
      </c>
      <c r="B5" s="1" t="s">
        <v>12</v>
      </c>
      <c r="C5" s="1" t="s">
        <v>8</v>
      </c>
      <c r="D5" s="1" t="n">
        <v>282.3</v>
      </c>
      <c r="E5" s="1" t="n">
        <v>19.68</v>
      </c>
      <c r="F5" s="1" t="s">
        <v>9</v>
      </c>
    </row>
    <row collapsed="false" customFormat="false" customHeight="false" hidden="false" ht="14.75" outlineLevel="0" r="6">
      <c r="A6" s="1" t="s">
        <v>14</v>
      </c>
      <c r="B6" s="1" t="s">
        <v>15</v>
      </c>
      <c r="C6" s="1" t="s">
        <v>8</v>
      </c>
      <c r="D6" s="1" t="n">
        <f aca="false">((172.5*4)+(267.9*7))/11</f>
        <v>233.209090909091</v>
      </c>
      <c r="E6" s="1" t="n">
        <f aca="false">(1210+450)/(27+72)</f>
        <v>16.7676767676768</v>
      </c>
      <c r="F6" s="1" t="s">
        <v>9</v>
      </c>
    </row>
    <row collapsed="false" customFormat="false" customHeight="false" hidden="false" ht="14.75" outlineLevel="0" r="7">
      <c r="A7" s="1" t="s">
        <v>16</v>
      </c>
      <c r="B7" s="1" t="s">
        <v>17</v>
      </c>
      <c r="C7" s="1" t="s">
        <v>8</v>
      </c>
      <c r="D7" s="1" t="n">
        <v>399.6</v>
      </c>
      <c r="E7" s="1" t="n">
        <v>23.31</v>
      </c>
      <c r="F7" s="1" t="s">
        <v>9</v>
      </c>
    </row>
    <row collapsed="false" customFormat="false" customHeight="false" hidden="false" ht="14.75" outlineLevel="0" r="8">
      <c r="A8" s="1" t="s">
        <v>18</v>
      </c>
      <c r="B8" s="1" t="s">
        <v>7</v>
      </c>
      <c r="C8" s="1" t="s">
        <v>8</v>
      </c>
      <c r="D8" s="1" t="n">
        <v>271</v>
      </c>
      <c r="E8" s="1" t="n">
        <v>17.7</v>
      </c>
      <c r="F8" s="1" t="s">
        <v>9</v>
      </c>
    </row>
    <row collapsed="false" customFormat="false" customHeight="false" hidden="false" ht="14.75" outlineLevel="0" r="9">
      <c r="A9" s="1" t="s">
        <v>19</v>
      </c>
      <c r="B9" s="1" t="s">
        <v>17</v>
      </c>
      <c r="C9" s="1" t="s">
        <v>8</v>
      </c>
      <c r="D9" s="1" t="n">
        <v>368.3</v>
      </c>
      <c r="E9" s="1" t="n">
        <v>23.58</v>
      </c>
      <c r="F9" s="1" t="s">
        <v>9</v>
      </c>
    </row>
    <row collapsed="false" customFormat="false" customHeight="false" hidden="false" ht="14.75" outlineLevel="0" r="10">
      <c r="A10" s="1" t="s">
        <v>20</v>
      </c>
      <c r="B10" s="1" t="s">
        <v>17</v>
      </c>
      <c r="C10" s="1" t="s">
        <v>8</v>
      </c>
      <c r="D10" s="1" t="n">
        <v>185</v>
      </c>
      <c r="E10" s="1" t="n">
        <v>14.43</v>
      </c>
      <c r="F10" s="1" t="s">
        <v>9</v>
      </c>
    </row>
    <row collapsed="false" customFormat="false" customHeight="false" hidden="false" ht="14.75" outlineLevel="0" r="11">
      <c r="A11" s="1" t="s">
        <v>21</v>
      </c>
      <c r="B11" s="1" t="s">
        <v>17</v>
      </c>
      <c r="C11" s="1" t="s">
        <v>8</v>
      </c>
      <c r="D11" s="1" t="n">
        <v>285</v>
      </c>
      <c r="E11" s="1" t="n">
        <v>18.92</v>
      </c>
      <c r="F11" s="1" t="s">
        <v>9</v>
      </c>
    </row>
    <row collapsed="false" customFormat="false" customHeight="false" hidden="false" ht="14.75" outlineLevel="0" r="12">
      <c r="A12" s="1" t="s">
        <v>22</v>
      </c>
      <c r="B12" s="1" t="s">
        <v>23</v>
      </c>
      <c r="C12" s="1" t="s">
        <v>8</v>
      </c>
      <c r="D12" s="1" t="n">
        <v>233</v>
      </c>
      <c r="E12" s="1" t="n">
        <v>16.85</v>
      </c>
      <c r="F12" s="1" t="s">
        <v>9</v>
      </c>
    </row>
    <row collapsed="false" customFormat="false" customHeight="false" hidden="false" ht="14.75" outlineLevel="0" r="13">
      <c r="A13" s="1" t="s">
        <v>24</v>
      </c>
      <c r="B13" s="1" t="s">
        <v>23</v>
      </c>
      <c r="C13" s="1" t="s">
        <v>8</v>
      </c>
      <c r="D13" s="1" t="n">
        <v>73</v>
      </c>
      <c r="E13" s="1" t="n">
        <v>10.49</v>
      </c>
      <c r="F13" s="1" t="s">
        <v>9</v>
      </c>
    </row>
    <row collapsed="false" customFormat="false" customHeight="false" hidden="false" ht="14.75" outlineLevel="0" r="14">
      <c r="A14" s="1" t="s">
        <v>25</v>
      </c>
      <c r="B14" s="1" t="s">
        <v>23</v>
      </c>
      <c r="C14" s="1" t="s">
        <v>8</v>
      </c>
      <c r="D14" s="1" t="n">
        <v>224.5</v>
      </c>
      <c r="E14" s="1" t="n">
        <v>16.78</v>
      </c>
      <c r="F14" s="1" t="s">
        <v>9</v>
      </c>
    </row>
    <row collapsed="false" customFormat="false" customHeight="false" hidden="false" ht="14.75" outlineLevel="0" r="15">
      <c r="A15" s="1" t="s">
        <v>26</v>
      </c>
      <c r="B15" s="1" t="s">
        <v>7</v>
      </c>
      <c r="C15" s="1" t="s">
        <v>8</v>
      </c>
      <c r="D15" s="1" t="n">
        <v>425.8</v>
      </c>
      <c r="E15" s="1" t="n">
        <v>24.08</v>
      </c>
      <c r="F15" s="1" t="s">
        <v>9</v>
      </c>
    </row>
    <row collapsed="false" customFormat="false" customHeight="false" hidden="false" ht="14.75" outlineLevel="0" r="16">
      <c r="A16" s="1" t="s">
        <v>27</v>
      </c>
      <c r="B16" s="1" t="s">
        <v>7</v>
      </c>
      <c r="C16" s="1" t="s">
        <v>8</v>
      </c>
      <c r="D16" s="1" t="n">
        <v>37.2</v>
      </c>
      <c r="E16" s="1" t="n">
        <v>5.21</v>
      </c>
      <c r="F16" s="1" t="s">
        <v>9</v>
      </c>
    </row>
    <row collapsed="false" customFormat="false" customHeight="false" hidden="false" ht="14.75" outlineLevel="0" r="17">
      <c r="A17" s="1" t="s">
        <v>28</v>
      </c>
      <c r="B17" s="1" t="s">
        <v>12</v>
      </c>
      <c r="C17" s="1" t="s">
        <v>8</v>
      </c>
      <c r="D17" s="1" t="n">
        <v>348.3</v>
      </c>
      <c r="E17" s="1" t="n">
        <v>23</v>
      </c>
      <c r="F17" s="1" t="s">
        <v>9</v>
      </c>
    </row>
    <row collapsed="false" customFormat="false" customHeight="false" hidden="false" ht="14.75" outlineLevel="0" r="18">
      <c r="A18" s="1" t="s">
        <v>29</v>
      </c>
      <c r="B18" s="1" t="s">
        <v>7</v>
      </c>
      <c r="C18" s="1" t="s">
        <v>8</v>
      </c>
      <c r="D18" s="1" t="n">
        <v>169.4</v>
      </c>
      <c r="E18" s="1" t="n">
        <v>13.51</v>
      </c>
      <c r="F18" s="1" t="s">
        <v>9</v>
      </c>
    </row>
    <row collapsed="false" customFormat="false" customHeight="false" hidden="false" ht="14.75" outlineLevel="0" r="19">
      <c r="A19" s="1" t="s">
        <v>30</v>
      </c>
      <c r="B19" s="1" t="s">
        <v>7</v>
      </c>
      <c r="C19" s="1" t="s">
        <v>8</v>
      </c>
      <c r="D19" s="1" t="n">
        <v>220.5</v>
      </c>
      <c r="E19" s="1" t="n">
        <v>14.18</v>
      </c>
      <c r="F19" s="1" t="s">
        <v>9</v>
      </c>
    </row>
    <row collapsed="false" customFormat="false" customHeight="false" hidden="false" ht="14.75" outlineLevel="0" r="20">
      <c r="A20" s="1" t="s">
        <v>31</v>
      </c>
      <c r="B20" s="1" t="s">
        <v>7</v>
      </c>
      <c r="C20" s="1" t="s">
        <v>8</v>
      </c>
      <c r="D20" s="1" t="n">
        <v>120.6</v>
      </c>
      <c r="E20" s="1" t="n">
        <v>11.35</v>
      </c>
      <c r="F20" s="1" t="s">
        <v>9</v>
      </c>
    </row>
    <row collapsed="false" customFormat="false" customHeight="false" hidden="false" ht="14.75" outlineLevel="0" r="21">
      <c r="A21" s="1" t="s">
        <v>32</v>
      </c>
      <c r="B21" s="1" t="s">
        <v>12</v>
      </c>
      <c r="C21" s="1" t="s">
        <v>8</v>
      </c>
      <c r="D21" s="1" t="n">
        <v>382.9</v>
      </c>
      <c r="E21" s="1" t="n">
        <v>22.95</v>
      </c>
      <c r="F21" s="1" t="s">
        <v>9</v>
      </c>
    </row>
    <row collapsed="false" customFormat="false" customHeight="false" hidden="false" ht="14.75" outlineLevel="0" r="22">
      <c r="A22" s="1" t="s">
        <v>33</v>
      </c>
      <c r="B22" s="1" t="s">
        <v>34</v>
      </c>
      <c r="C22" s="1" t="s">
        <v>8</v>
      </c>
      <c r="D22" s="1" t="n">
        <v>144</v>
      </c>
      <c r="E22" s="1" t="n">
        <v>13.23</v>
      </c>
      <c r="F22" s="1" t="s">
        <v>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blackAndWhite="false" cellComments="none" copies="1" draft="false" firstPageNumber="0" fitToHeight="1" fitToWidth="1" horizontalDpi="300" orientation="portrait" pageOrder="downThenOver" paperSize="1" scale="100" useFirstPageNumber="false" usePrinterDefaults="false" verticalDpi="300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15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85" zoomScaleNormal="85" zoomScalePageLayoutView="100">
      <selection activeCell="A2" activeCellId="0" pane="topLeft" sqref="A2"/>
    </sheetView>
  </sheetViews>
  <cols>
    <col collapsed="false" hidden="false" max="1025" min="1" style="0" width="8.5921568627451"/>
  </cols>
  <sheetData>
    <row collapsed="false" customFormat="false" customHeight="false" hidden="false" ht="14.75" outlineLevel="0"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collapsed="false" customFormat="false" customHeight="false" hidden="false" ht="14.75" outlineLevel="0" r="2">
      <c r="A2" s="1" t="s">
        <v>35</v>
      </c>
      <c r="B2" s="1" t="s">
        <v>36</v>
      </c>
      <c r="C2" s="1" t="s">
        <v>37</v>
      </c>
      <c r="D2" s="1" t="n">
        <v>361.8</v>
      </c>
      <c r="E2" s="1" t="n">
        <v>19.56</v>
      </c>
      <c r="F2" s="1" t="s">
        <v>9</v>
      </c>
    </row>
    <row collapsed="false" customFormat="false" customHeight="false" hidden="false" ht="14.75" outlineLevel="0" r="3">
      <c r="A3" s="1" t="s">
        <v>38</v>
      </c>
      <c r="B3" s="1" t="s">
        <v>36</v>
      </c>
      <c r="C3" s="1" t="s">
        <v>37</v>
      </c>
      <c r="D3" s="1" t="n">
        <v>267.9</v>
      </c>
      <c r="E3" s="1" t="n">
        <v>15.83</v>
      </c>
      <c r="F3" s="1" t="s">
        <v>9</v>
      </c>
    </row>
    <row collapsed="false" customFormat="false" customHeight="false" hidden="false" ht="14.75" outlineLevel="0" r="4">
      <c r="A4" s="1" t="s">
        <v>39</v>
      </c>
      <c r="B4" s="1" t="s">
        <v>36</v>
      </c>
      <c r="C4" s="1" t="s">
        <v>37</v>
      </c>
      <c r="D4" s="1" t="n">
        <v>147.1</v>
      </c>
      <c r="E4" s="1" t="n">
        <v>11.76</v>
      </c>
      <c r="F4" s="1" t="s">
        <v>9</v>
      </c>
    </row>
    <row collapsed="false" customFormat="false" customHeight="false" hidden="false" ht="14.75" outlineLevel="0" r="5">
      <c r="A5" s="1" t="s">
        <v>40</v>
      </c>
      <c r="B5" s="1" t="s">
        <v>36</v>
      </c>
      <c r="C5" s="1" t="s">
        <v>37</v>
      </c>
      <c r="D5" s="1" t="n">
        <v>218.9</v>
      </c>
      <c r="E5" s="1" t="n">
        <v>14.62</v>
      </c>
      <c r="F5" s="1" t="s">
        <v>9</v>
      </c>
    </row>
    <row collapsed="false" customFormat="false" customHeight="false" hidden="false" ht="14.75" outlineLevel="0" r="6">
      <c r="A6" s="1" t="s">
        <v>11</v>
      </c>
      <c r="B6" s="1" t="s">
        <v>36</v>
      </c>
      <c r="C6" s="1" t="s">
        <v>37</v>
      </c>
      <c r="D6" s="1" t="n">
        <v>201.5</v>
      </c>
      <c r="E6" s="1" t="n">
        <v>15.22</v>
      </c>
      <c r="F6" s="1" t="s">
        <v>9</v>
      </c>
    </row>
    <row collapsed="false" customFormat="false" customHeight="false" hidden="false" ht="14.75" outlineLevel="0" r="7">
      <c r="A7" s="1" t="s">
        <v>41</v>
      </c>
      <c r="B7" s="1" t="s">
        <v>36</v>
      </c>
      <c r="C7" s="1" t="s">
        <v>37</v>
      </c>
      <c r="D7" s="1" t="n">
        <v>185</v>
      </c>
      <c r="E7" s="1" t="n">
        <v>14.92</v>
      </c>
      <c r="F7" s="1" t="s">
        <v>9</v>
      </c>
    </row>
    <row collapsed="false" customFormat="false" customHeight="false" hidden="false" ht="14.75" outlineLevel="0" r="8">
      <c r="A8" s="1" t="s">
        <v>42</v>
      </c>
      <c r="B8" s="1" t="s">
        <v>36</v>
      </c>
      <c r="C8" s="1" t="s">
        <v>37</v>
      </c>
      <c r="D8" s="1" t="n">
        <v>310.7</v>
      </c>
      <c r="E8" s="1" t="n">
        <v>17.65</v>
      </c>
      <c r="F8" s="1" t="s">
        <v>9</v>
      </c>
    </row>
    <row collapsed="false" customFormat="false" customHeight="false" hidden="false" ht="14.75" outlineLevel="0" r="9">
      <c r="A9" s="1" t="s">
        <v>43</v>
      </c>
      <c r="B9" s="1" t="s">
        <v>36</v>
      </c>
      <c r="C9" s="1" t="s">
        <v>37</v>
      </c>
      <c r="D9" s="1" t="n">
        <v>112.5</v>
      </c>
      <c r="E9" s="1" t="n">
        <v>12.44</v>
      </c>
      <c r="F9" s="1" t="s">
        <v>9</v>
      </c>
    </row>
    <row collapsed="false" customFormat="false" customHeight="false" hidden="false" ht="14.75" outlineLevel="0" r="10">
      <c r="A10" s="1" t="s">
        <v>44</v>
      </c>
      <c r="B10" s="1" t="s">
        <v>36</v>
      </c>
      <c r="C10" s="1" t="s">
        <v>37</v>
      </c>
      <c r="D10" s="1" t="n">
        <v>212.9</v>
      </c>
      <c r="E10" s="1" t="n">
        <v>15.98</v>
      </c>
      <c r="F10" s="1" t="s">
        <v>9</v>
      </c>
    </row>
    <row collapsed="false" customFormat="false" customHeight="false" hidden="false" ht="14.75" outlineLevel="0" r="11">
      <c r="A11" s="1" t="s">
        <v>45</v>
      </c>
      <c r="B11" s="1" t="s">
        <v>36</v>
      </c>
      <c r="C11" s="1" t="s">
        <v>37</v>
      </c>
      <c r="D11" s="1" t="n">
        <v>160.7</v>
      </c>
      <c r="E11" s="1" t="n">
        <v>12.98</v>
      </c>
      <c r="F11" s="1" t="s">
        <v>9</v>
      </c>
    </row>
    <row collapsed="false" customFormat="false" customHeight="false" hidden="false" ht="14.75" outlineLevel="0" r="12">
      <c r="A12" s="1" t="s">
        <v>46</v>
      </c>
      <c r="B12" s="1" t="s">
        <v>36</v>
      </c>
      <c r="C12" s="1" t="s">
        <v>37</v>
      </c>
      <c r="D12" s="1" t="n">
        <v>222.9</v>
      </c>
      <c r="E12" s="1" t="n">
        <v>15.42</v>
      </c>
      <c r="F12" s="1" t="s">
        <v>9</v>
      </c>
    </row>
    <row collapsed="false" customFormat="false" customHeight="false" hidden="false" ht="14.75" outlineLevel="0" r="13">
      <c r="A13" s="1" t="s">
        <v>47</v>
      </c>
      <c r="B13" s="1" t="s">
        <v>36</v>
      </c>
      <c r="C13" s="1" t="s">
        <v>37</v>
      </c>
      <c r="D13" s="1" t="n">
        <v>292.1</v>
      </c>
      <c r="E13" s="1" t="n">
        <v>17.72</v>
      </c>
      <c r="F13" s="1" t="s">
        <v>9</v>
      </c>
    </row>
    <row collapsed="false" customFormat="false" customHeight="false" hidden="false" ht="14.75" outlineLevel="0" r="14">
      <c r="A14" s="1" t="s">
        <v>48</v>
      </c>
      <c r="B14" s="1" t="s">
        <v>36</v>
      </c>
      <c r="C14" s="1" t="s">
        <v>37</v>
      </c>
      <c r="D14" s="1" t="n">
        <v>125.7</v>
      </c>
      <c r="E14" s="1" t="n">
        <v>11.21</v>
      </c>
      <c r="F14" s="1" t="s">
        <v>9</v>
      </c>
    </row>
    <row collapsed="false" customFormat="false" customHeight="false" hidden="false" ht="14.75" outlineLevel="0" r="15">
      <c r="A15" s="1" t="s">
        <v>49</v>
      </c>
      <c r="B15" s="1" t="s">
        <v>36</v>
      </c>
      <c r="C15" s="1" t="s">
        <v>37</v>
      </c>
      <c r="D15" s="1" t="n">
        <v>58.8</v>
      </c>
      <c r="E15" s="1" t="n">
        <v>10.4</v>
      </c>
      <c r="F15" s="1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blackAndWhite="false" cellComments="none" copies="1" draft="false" firstPageNumber="0" fitToHeight="1" fitToWidth="1" horizontalDpi="300" orientation="portrait" pageOrder="downThenOver" paperSize="1" scale="100" useFirstPageNumber="fals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35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85" zoomScaleNormal="85" zoomScalePageLayoutView="100">
      <selection activeCell="C23" activeCellId="0" pane="topLeft" sqref="C23"/>
    </sheetView>
  </sheetViews>
  <cols>
    <col collapsed="false" hidden="false" max="1025" min="1" style="0" width="8.5921568627451"/>
  </cols>
  <sheetData>
    <row collapsed="false" customFormat="false" customHeight="false" hidden="false" ht="14.75" outlineLevel="0"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collapsed="false" customFormat="false" customHeight="false" hidden="false" ht="14.75" outlineLevel="0" r="2">
      <c r="A2" s="1" t="s">
        <v>50</v>
      </c>
      <c r="B2" s="1" t="s">
        <v>51</v>
      </c>
      <c r="C2" s="1" t="s">
        <v>52</v>
      </c>
      <c r="D2" s="1" t="n">
        <v>278.3</v>
      </c>
      <c r="E2" s="1" t="n">
        <v>17.82</v>
      </c>
      <c r="F2" s="1" t="n">
        <v>1.88888888888889</v>
      </c>
    </row>
    <row collapsed="false" customFormat="false" customHeight="false" hidden="false" ht="14.75" outlineLevel="0" r="3">
      <c r="A3" s="1" t="s">
        <v>53</v>
      </c>
      <c r="B3" s="1" t="s">
        <v>54</v>
      </c>
      <c r="C3" s="1" t="s">
        <v>52</v>
      </c>
      <c r="D3" s="1" t="n">
        <v>187.1</v>
      </c>
      <c r="E3" s="1" t="n">
        <v>12.81</v>
      </c>
      <c r="F3" s="1" t="n">
        <f aca="false">2/7</f>
        <v>0.285714285714286</v>
      </c>
    </row>
    <row collapsed="false" customFormat="false" customHeight="false" hidden="false" ht="14.75" outlineLevel="0" r="4">
      <c r="A4" s="1" t="s">
        <v>55</v>
      </c>
      <c r="B4" s="1" t="s">
        <v>51</v>
      </c>
      <c r="C4" s="1" t="s">
        <v>52</v>
      </c>
      <c r="D4" s="1" t="n">
        <v>287.2</v>
      </c>
      <c r="E4" s="1" t="n">
        <v>19.88</v>
      </c>
      <c r="F4" s="1" t="n">
        <v>2.33333333333333</v>
      </c>
    </row>
    <row collapsed="false" customFormat="false" customHeight="false" hidden="false" ht="14.75" outlineLevel="0" r="5">
      <c r="A5" s="1" t="s">
        <v>56</v>
      </c>
      <c r="B5" s="1" t="s">
        <v>51</v>
      </c>
      <c r="C5" s="1" t="s">
        <v>52</v>
      </c>
      <c r="D5" s="1" t="n">
        <v>367.2</v>
      </c>
      <c r="E5" s="1" t="n">
        <v>22.32</v>
      </c>
      <c r="F5" s="1" t="n">
        <v>2.33333333333333</v>
      </c>
    </row>
    <row collapsed="false" customFormat="false" customHeight="false" hidden="false" ht="14.75" outlineLevel="0" r="6">
      <c r="A6" s="1" t="s">
        <v>57</v>
      </c>
      <c r="B6" s="1" t="s">
        <v>54</v>
      </c>
      <c r="C6" s="1" t="s">
        <v>52</v>
      </c>
      <c r="D6" s="1" t="n">
        <v>277.1</v>
      </c>
      <c r="E6" s="1" t="n">
        <v>15.47</v>
      </c>
      <c r="F6" s="1" t="n">
        <f aca="false">6/7</f>
        <v>0.857142857142857</v>
      </c>
    </row>
    <row collapsed="false" customFormat="false" customHeight="false" hidden="false" ht="14.75" outlineLevel="0" r="7">
      <c r="A7" s="1" t="s">
        <v>58</v>
      </c>
      <c r="B7" s="1" t="s">
        <v>51</v>
      </c>
      <c r="C7" s="1" t="s">
        <v>52</v>
      </c>
      <c r="D7" s="1" t="n">
        <v>307.2</v>
      </c>
      <c r="E7" s="1" t="n">
        <v>20.34</v>
      </c>
      <c r="F7" s="1" t="n">
        <v>2.11111111111111</v>
      </c>
    </row>
    <row collapsed="false" customFormat="false" customHeight="false" hidden="false" ht="14.75" outlineLevel="0" r="8">
      <c r="A8" s="1" t="s">
        <v>59</v>
      </c>
      <c r="B8" s="1" t="s">
        <v>51</v>
      </c>
      <c r="C8" s="1" t="s">
        <v>52</v>
      </c>
      <c r="D8" s="1" t="n">
        <v>266.1</v>
      </c>
      <c r="E8" s="1" t="n">
        <v>20.53</v>
      </c>
      <c r="F8" s="1" t="n">
        <v>2.33333333333333</v>
      </c>
    </row>
    <row collapsed="false" customFormat="false" customHeight="false" hidden="false" ht="14.75" outlineLevel="0" r="9">
      <c r="A9" s="1" t="s">
        <v>60</v>
      </c>
      <c r="B9" s="1" t="s">
        <v>54</v>
      </c>
      <c r="C9" s="1" t="s">
        <v>52</v>
      </c>
      <c r="D9" s="1" t="n">
        <v>172.1</v>
      </c>
      <c r="E9" s="1" t="n">
        <v>13.6</v>
      </c>
      <c r="F9" s="1" t="n">
        <f aca="false">5/7</f>
        <v>0.714285714285714</v>
      </c>
    </row>
    <row collapsed="false" customFormat="false" customHeight="false" hidden="false" ht="14.75" outlineLevel="0" r="10">
      <c r="A10" s="1" t="s">
        <v>61</v>
      </c>
      <c r="B10" s="1" t="s">
        <v>54</v>
      </c>
      <c r="C10" s="1" t="s">
        <v>52</v>
      </c>
      <c r="D10" s="1" t="n">
        <v>248.6</v>
      </c>
      <c r="E10" s="1" t="n">
        <v>13.8</v>
      </c>
      <c r="F10" s="1" t="n">
        <f aca="false">10/7</f>
        <v>1.42857142857143</v>
      </c>
    </row>
    <row collapsed="false" customFormat="false" customHeight="false" hidden="false" ht="14.75" outlineLevel="0" r="11">
      <c r="A11" s="1" t="s">
        <v>62</v>
      </c>
      <c r="B11" s="1" t="s">
        <v>51</v>
      </c>
      <c r="C11" s="1" t="s">
        <v>52</v>
      </c>
      <c r="D11" s="1" t="n">
        <v>478.9</v>
      </c>
      <c r="E11" s="1" t="n">
        <v>24.91</v>
      </c>
      <c r="F11" s="1" t="n">
        <v>7.33333333333333</v>
      </c>
    </row>
    <row collapsed="false" customFormat="false" customHeight="false" hidden="false" ht="14.75" outlineLevel="0" r="12">
      <c r="A12" s="1" t="s">
        <v>63</v>
      </c>
      <c r="B12" s="1" t="s">
        <v>51</v>
      </c>
      <c r="C12" s="1" t="s">
        <v>52</v>
      </c>
      <c r="D12" s="1" t="n">
        <v>307.2</v>
      </c>
      <c r="E12" s="1" t="n">
        <v>18.19</v>
      </c>
      <c r="F12" s="1" t="n">
        <v>2.55555555555556</v>
      </c>
    </row>
    <row collapsed="false" customFormat="false" customHeight="false" hidden="false" ht="14.75" outlineLevel="0" r="13">
      <c r="A13" s="1" t="s">
        <v>64</v>
      </c>
      <c r="B13" s="1" t="s">
        <v>51</v>
      </c>
      <c r="C13" s="1" t="s">
        <v>52</v>
      </c>
      <c r="D13" s="1" t="n">
        <v>193.3</v>
      </c>
      <c r="E13" s="1" t="n">
        <v>16.43</v>
      </c>
      <c r="F13" s="1" t="n">
        <v>1.66666666666667</v>
      </c>
    </row>
    <row collapsed="false" customFormat="false" customHeight="false" hidden="false" ht="14.75" outlineLevel="0" r="14">
      <c r="A14" s="1" t="s">
        <v>65</v>
      </c>
      <c r="B14" s="1" t="s">
        <v>54</v>
      </c>
      <c r="C14" s="1" t="s">
        <v>52</v>
      </c>
      <c r="D14" s="1" t="n">
        <v>90.8</v>
      </c>
      <c r="E14" s="1" t="n">
        <v>7.67</v>
      </c>
      <c r="F14" s="1" t="n">
        <f aca="false">3/6</f>
        <v>0.5</v>
      </c>
    </row>
    <row collapsed="false" customFormat="false" customHeight="false" hidden="false" ht="14.75" outlineLevel="0" r="15">
      <c r="A15" s="1" t="s">
        <v>66</v>
      </c>
      <c r="B15" s="1" t="s">
        <v>54</v>
      </c>
      <c r="C15" s="1" t="s">
        <v>52</v>
      </c>
      <c r="D15" s="1" t="n">
        <v>353.3</v>
      </c>
      <c r="E15" s="1" t="n">
        <v>17.28</v>
      </c>
      <c r="F15" s="1" t="n">
        <f aca="false">14/9</f>
        <v>1.55555555555556</v>
      </c>
    </row>
    <row collapsed="false" customFormat="false" customHeight="false" hidden="false" ht="14.75" outlineLevel="0" r="16">
      <c r="A16" s="1" t="s">
        <v>67</v>
      </c>
      <c r="B16" s="1" t="s">
        <v>54</v>
      </c>
      <c r="C16" s="1" t="s">
        <v>52</v>
      </c>
      <c r="D16" s="1" t="n">
        <v>130</v>
      </c>
      <c r="E16" s="1" t="n">
        <v>10</v>
      </c>
      <c r="F16" s="1" t="n">
        <v>0</v>
      </c>
    </row>
    <row collapsed="false" customFormat="false" customHeight="false" hidden="false" ht="14.75" outlineLevel="0" r="17">
      <c r="A17" s="1" t="s">
        <v>68</v>
      </c>
      <c r="B17" s="1" t="s">
        <v>54</v>
      </c>
      <c r="C17" s="1" t="s">
        <v>52</v>
      </c>
      <c r="D17" s="1" t="n">
        <v>326.1</v>
      </c>
      <c r="E17" s="1" t="n">
        <v>16.45</v>
      </c>
      <c r="F17" s="1" t="n">
        <f aca="false">21/9</f>
        <v>2.33333333333333</v>
      </c>
    </row>
    <row collapsed="false" customFormat="false" customHeight="false" hidden="false" ht="14.75" outlineLevel="0" r="18">
      <c r="A18" s="1" t="s">
        <v>69</v>
      </c>
      <c r="B18" s="1" t="s">
        <v>54</v>
      </c>
      <c r="C18" s="1" t="s">
        <v>52</v>
      </c>
      <c r="D18" s="1" t="n">
        <v>295.6</v>
      </c>
      <c r="E18" s="1" t="n">
        <v>15.19</v>
      </c>
      <c r="F18" s="1" t="n">
        <f aca="false">13/9</f>
        <v>1.44444444444444</v>
      </c>
    </row>
    <row collapsed="false" customFormat="false" customHeight="false" hidden="false" ht="14.75" outlineLevel="0" r="19">
      <c r="A19" s="1" t="s">
        <v>70</v>
      </c>
      <c r="B19" s="1" t="s">
        <v>54</v>
      </c>
      <c r="C19" s="1" t="s">
        <v>52</v>
      </c>
      <c r="D19" s="1" t="n">
        <v>133</v>
      </c>
      <c r="E19" s="1" t="n">
        <v>11.29</v>
      </c>
      <c r="F19" s="1" t="n">
        <f aca="false">1/5</f>
        <v>0.2</v>
      </c>
    </row>
    <row collapsed="false" customFormat="false" customHeight="false" hidden="false" ht="14.75" outlineLevel="0" r="20">
      <c r="A20" s="1" t="s">
        <v>71</v>
      </c>
      <c r="B20" s="1" t="s">
        <v>54</v>
      </c>
      <c r="C20" s="1" t="s">
        <v>52</v>
      </c>
      <c r="D20" s="1" t="n">
        <v>132.9</v>
      </c>
      <c r="E20" s="1" t="n">
        <v>10.68</v>
      </c>
      <c r="F20" s="1" t="n">
        <f aca="false">4/7</f>
        <v>0.571428571428571</v>
      </c>
    </row>
    <row collapsed="false" customFormat="false" customHeight="false" hidden="false" ht="14.75" outlineLevel="0" r="21">
      <c r="A21" s="1" t="s">
        <v>72</v>
      </c>
      <c r="B21" s="1" t="s">
        <v>51</v>
      </c>
      <c r="C21" s="1" t="s">
        <v>52</v>
      </c>
      <c r="D21" s="1" t="n">
        <v>270</v>
      </c>
      <c r="E21" s="1" t="n">
        <v>20.66</v>
      </c>
      <c r="F21" s="1" t="n">
        <v>2.22222222222222</v>
      </c>
    </row>
    <row collapsed="false" customFormat="false" customHeight="false" hidden="false" ht="14.75" outlineLevel="0" r="22">
      <c r="A22" s="1" t="s">
        <v>73</v>
      </c>
      <c r="B22" s="1" t="s">
        <v>54</v>
      </c>
      <c r="C22" s="1" t="s">
        <v>52</v>
      </c>
      <c r="D22" s="1" t="n">
        <v>265.7</v>
      </c>
      <c r="E22" s="1" t="n">
        <v>13.51</v>
      </c>
      <c r="F22" s="1" t="n">
        <f aca="false">10/7</f>
        <v>1.42857142857143</v>
      </c>
    </row>
    <row collapsed="false" customFormat="false" customHeight="false" hidden="false" ht="14.75" outlineLevel="0" r="23">
      <c r="A23" s="1" t="s">
        <v>74</v>
      </c>
      <c r="B23" s="1" t="s">
        <v>54</v>
      </c>
      <c r="C23" s="1" t="s">
        <v>52</v>
      </c>
      <c r="D23" s="1" t="n">
        <v>98.3</v>
      </c>
      <c r="E23" s="1" t="n">
        <v>8.12</v>
      </c>
      <c r="F23" s="1" t="n">
        <f aca="false">2/6</f>
        <v>0.333333333333333</v>
      </c>
    </row>
    <row collapsed="false" customFormat="false" customHeight="false" hidden="false" ht="14.75" outlineLevel="0" r="24">
      <c r="A24" s="1" t="s">
        <v>75</v>
      </c>
      <c r="B24" s="1" t="s">
        <v>54</v>
      </c>
      <c r="C24" s="1" t="s">
        <v>52</v>
      </c>
      <c r="D24" s="1" t="n">
        <v>110</v>
      </c>
      <c r="E24" s="1" t="n">
        <v>8.46</v>
      </c>
      <c r="F24" s="1" t="n">
        <f aca="false">10/7</f>
        <v>1.42857142857143</v>
      </c>
    </row>
    <row collapsed="false" customFormat="false" customHeight="false" hidden="false" ht="14.75" outlineLevel="0" r="25">
      <c r="A25" s="1" t="s">
        <v>76</v>
      </c>
      <c r="B25" s="1" t="s">
        <v>51</v>
      </c>
      <c r="C25" s="1" t="s">
        <v>52</v>
      </c>
      <c r="D25" s="1" t="n">
        <v>334.4</v>
      </c>
      <c r="E25" s="1" t="n">
        <v>20.53</v>
      </c>
      <c r="F25" s="1" t="n">
        <v>3.11111111111111</v>
      </c>
    </row>
    <row collapsed="false" customFormat="false" customHeight="false" hidden="false" ht="14.75" outlineLevel="0" r="26">
      <c r="A26" s="1" t="s">
        <v>77</v>
      </c>
      <c r="B26" s="1" t="s">
        <v>54</v>
      </c>
      <c r="C26" s="1" t="s">
        <v>52</v>
      </c>
      <c r="D26" s="1" t="n">
        <v>200.8</v>
      </c>
      <c r="E26" s="1" t="n">
        <v>13.6</v>
      </c>
      <c r="F26" s="1" t="n">
        <f aca="false">5/6</f>
        <v>0.833333333333333</v>
      </c>
    </row>
    <row collapsed="false" customFormat="false" customHeight="false" hidden="false" ht="14.75" outlineLevel="0" r="27">
      <c r="A27" s="1" t="s">
        <v>78</v>
      </c>
      <c r="B27" s="1" t="s">
        <v>54</v>
      </c>
      <c r="C27" s="1" t="s">
        <v>52</v>
      </c>
      <c r="D27" s="1" t="n">
        <v>135</v>
      </c>
      <c r="E27" s="1" t="n">
        <v>10.64</v>
      </c>
      <c r="F27" s="1" t="n">
        <f aca="false">1/6</f>
        <v>0.166666666666667</v>
      </c>
    </row>
    <row collapsed="false" customFormat="false" customHeight="false" hidden="false" ht="14.75" outlineLevel="0" r="28">
      <c r="A28" s="1" t="s">
        <v>79</v>
      </c>
      <c r="B28" s="1" t="s">
        <v>54</v>
      </c>
      <c r="C28" s="1" t="s">
        <v>52</v>
      </c>
      <c r="D28" s="1" t="n">
        <v>107</v>
      </c>
      <c r="E28" s="1" t="n">
        <v>8.57</v>
      </c>
      <c r="F28" s="1" t="n">
        <f aca="false">3/5</f>
        <v>0.6</v>
      </c>
    </row>
    <row collapsed="false" customFormat="false" customHeight="false" hidden="false" ht="14.75" outlineLevel="0" r="29">
      <c r="A29" s="1" t="s">
        <v>80</v>
      </c>
      <c r="B29" s="1" t="s">
        <v>54</v>
      </c>
      <c r="C29" s="1" t="s">
        <v>52</v>
      </c>
      <c r="D29" s="1" t="n">
        <v>255</v>
      </c>
      <c r="E29" s="1" t="n">
        <v>14.83</v>
      </c>
      <c r="F29" s="1" t="n">
        <f aca="false">12/9</f>
        <v>1.33333333333333</v>
      </c>
    </row>
    <row collapsed="false" customFormat="false" customHeight="false" hidden="false" ht="14.75" outlineLevel="0" r="30">
      <c r="A30" s="1" t="s">
        <v>81</v>
      </c>
      <c r="B30" s="1" t="s">
        <v>54</v>
      </c>
      <c r="C30" s="1" t="s">
        <v>52</v>
      </c>
      <c r="D30" s="1" t="n">
        <v>144.2</v>
      </c>
      <c r="E30" s="1" t="n">
        <v>9.2</v>
      </c>
      <c r="F30" s="1" t="n">
        <f aca="false">4/6</f>
        <v>0.666666666666667</v>
      </c>
    </row>
    <row collapsed="false" customFormat="false" customHeight="false" hidden="false" ht="14.75" outlineLevel="0" r="31">
      <c r="A31" s="1" t="s">
        <v>82</v>
      </c>
      <c r="B31" s="1" t="s">
        <v>54</v>
      </c>
      <c r="C31" s="1" t="s">
        <v>52</v>
      </c>
      <c r="D31" s="1" t="n">
        <v>40.8</v>
      </c>
      <c r="E31" s="1" t="n">
        <v>7.14</v>
      </c>
      <c r="F31" s="1" t="n">
        <f aca="false">1/6</f>
        <v>0.166666666666667</v>
      </c>
    </row>
    <row collapsed="false" customFormat="false" customHeight="false" hidden="false" ht="14.75" outlineLevel="0" r="32">
      <c r="A32" s="1" t="s">
        <v>83</v>
      </c>
      <c r="B32" s="1" t="s">
        <v>54</v>
      </c>
      <c r="C32" s="1" t="s">
        <v>52</v>
      </c>
      <c r="D32" s="1" t="n">
        <v>23.3</v>
      </c>
      <c r="E32" s="1" t="n">
        <v>4.44</v>
      </c>
      <c r="F32" s="1" t="n">
        <f aca="false">2/6</f>
        <v>0.333333333333333</v>
      </c>
    </row>
    <row collapsed="false" customFormat="false" customHeight="false" hidden="false" ht="14.75" outlineLevel="0" r="33">
      <c r="A33" s="1" t="s">
        <v>84</v>
      </c>
      <c r="B33" s="1" t="s">
        <v>54</v>
      </c>
      <c r="C33" s="1" t="s">
        <v>52</v>
      </c>
      <c r="D33" s="1" t="n">
        <v>280.7</v>
      </c>
      <c r="E33" s="1" t="n">
        <v>17.54</v>
      </c>
      <c r="F33" s="1" t="n">
        <f aca="false">13/7</f>
        <v>1.85714285714286</v>
      </c>
    </row>
    <row collapsed="false" customFormat="false" customHeight="false" hidden="false" ht="14.75" outlineLevel="0" r="34">
      <c r="A34" s="1" t="s">
        <v>85</v>
      </c>
      <c r="B34" s="1" t="s">
        <v>54</v>
      </c>
      <c r="C34" s="1" t="s">
        <v>52</v>
      </c>
      <c r="D34" s="1" t="n">
        <v>170</v>
      </c>
      <c r="E34" s="1" t="n">
        <v>12.31</v>
      </c>
      <c r="F34" s="1" t="n">
        <f aca="false">6/7</f>
        <v>0.857142857142857</v>
      </c>
    </row>
    <row collapsed="false" customFormat="false" customHeight="false" hidden="false" ht="14.75" outlineLevel="0" r="35">
      <c r="A35" s="1" t="s">
        <v>86</v>
      </c>
      <c r="B35" s="1" t="s">
        <v>54</v>
      </c>
      <c r="C35" s="1" t="s">
        <v>52</v>
      </c>
      <c r="D35" s="1" t="n">
        <v>126.4</v>
      </c>
      <c r="E35" s="1" t="n">
        <v>10.23</v>
      </c>
      <c r="F35" s="1" t="n">
        <f aca="false">3/7</f>
        <v>0.428571428571429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blackAndWhite="false" cellComments="none" copies="1" draft="false" firstPageNumber="0" fitToHeight="1" fitToWidth="1" horizontalDpi="300" orientation="portrait" pageOrder="downThenOver" paperSize="1" scale="100" useFirstPageNumber="fals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113"/>
  <sheetViews>
    <sheetView colorId="64" defaultGridColor="true" rightToLeft="false" showFormulas="false" showGridLines="true" showOutlineSymbols="true" showRowColHeaders="true" showZeros="true" tabSelected="false" topLeftCell="A101" view="normal" windowProtection="false" workbookViewId="0" zoomScale="85" zoomScaleNormal="85" zoomScalePageLayoutView="100">
      <selection activeCell="A114" activeCellId="0" pane="topLeft" sqref="A114"/>
    </sheetView>
  </sheetViews>
  <cols>
    <col collapsed="false" hidden="false" max="1" min="1" style="1" width="28.6078431372549"/>
    <col collapsed="false" hidden="false" max="2" min="2" style="1" width="26.9960784313725"/>
    <col collapsed="false" hidden="false" max="3" min="3" style="1" width="6.83921568627451"/>
    <col collapsed="false" hidden="false" max="5" min="4" style="1" width="7.15294117647059"/>
    <col collapsed="false" hidden="false" max="6" min="6" style="1" width="14.1647058823529"/>
    <col collapsed="false" hidden="false" max="1025" min="7" style="0" width="8.5921568627451"/>
  </cols>
  <sheetData>
    <row collapsed="false" customFormat="false" customHeight="false" hidden="false" ht="14.75" outlineLevel="0"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collapsed="false" customFormat="false" customHeight="false" hidden="false" ht="14.75" outlineLevel="0" r="2">
      <c r="A2" s="1" t="s">
        <v>87</v>
      </c>
      <c r="B2" s="1" t="s">
        <v>88</v>
      </c>
      <c r="C2" s="1" t="s">
        <v>89</v>
      </c>
      <c r="D2" s="1" t="n">
        <v>153</v>
      </c>
      <c r="E2" s="1" t="n">
        <v>11.11</v>
      </c>
      <c r="F2" s="1" t="s">
        <v>9</v>
      </c>
    </row>
    <row collapsed="false" customFormat="false" customHeight="false" hidden="false" ht="14.75" outlineLevel="0" r="3">
      <c r="A3" s="1" t="s">
        <v>50</v>
      </c>
      <c r="B3" s="1" t="s">
        <v>88</v>
      </c>
      <c r="C3" s="1" t="s">
        <v>89</v>
      </c>
      <c r="D3" s="1" t="n">
        <v>277.5</v>
      </c>
      <c r="E3" s="1" t="n">
        <v>16.23</v>
      </c>
      <c r="F3" s="1" t="s">
        <v>9</v>
      </c>
    </row>
    <row collapsed="false" customFormat="false" customHeight="false" hidden="false" ht="14.75" outlineLevel="0" r="4">
      <c r="A4" s="1" t="s">
        <v>55</v>
      </c>
      <c r="B4" s="1" t="s">
        <v>88</v>
      </c>
      <c r="C4" s="1" t="s">
        <v>89</v>
      </c>
      <c r="D4" s="1" t="n">
        <v>394.4</v>
      </c>
      <c r="E4" s="1" t="n">
        <v>20.26</v>
      </c>
      <c r="F4" s="1" t="s">
        <v>9</v>
      </c>
    </row>
    <row collapsed="false" customFormat="false" customHeight="false" hidden="false" ht="14.75" outlineLevel="0" r="5">
      <c r="A5" s="1" t="s">
        <v>90</v>
      </c>
      <c r="B5" s="1" t="s">
        <v>91</v>
      </c>
      <c r="C5" s="1" t="s">
        <v>89</v>
      </c>
      <c r="D5" s="1" t="n">
        <v>261.9</v>
      </c>
      <c r="E5" s="1" t="n">
        <v>12.58</v>
      </c>
      <c r="F5" s="1" t="n">
        <f aca="false">13/8</f>
        <v>1.625</v>
      </c>
    </row>
    <row collapsed="false" customFormat="false" customHeight="false" hidden="false" ht="14.75" outlineLevel="0" r="6">
      <c r="A6" s="1" t="s">
        <v>92</v>
      </c>
      <c r="B6" s="1" t="s">
        <v>91</v>
      </c>
      <c r="C6" s="1" t="s">
        <v>89</v>
      </c>
      <c r="D6" s="1" t="n">
        <v>145.6</v>
      </c>
      <c r="E6" s="1" t="n">
        <v>9.34</v>
      </c>
      <c r="F6" s="1" t="n">
        <v>1</v>
      </c>
    </row>
    <row collapsed="false" customFormat="false" customHeight="false" hidden="false" ht="14.75" outlineLevel="0" r="7">
      <c r="A7" s="1" t="s">
        <v>93</v>
      </c>
      <c r="B7" s="1" t="s">
        <v>91</v>
      </c>
      <c r="C7" s="1" t="s">
        <v>89</v>
      </c>
      <c r="D7" s="1" t="n">
        <v>103.1</v>
      </c>
      <c r="E7" s="1" t="n">
        <v>7.87</v>
      </c>
      <c r="F7" s="1" t="n">
        <v>0.5</v>
      </c>
    </row>
    <row collapsed="false" customFormat="false" customHeight="false" hidden="false" ht="14.75" outlineLevel="0" r="8">
      <c r="A8" s="1" t="s">
        <v>94</v>
      </c>
      <c r="B8" s="1" t="s">
        <v>91</v>
      </c>
      <c r="C8" s="1" t="s">
        <v>89</v>
      </c>
      <c r="D8" s="1" t="n">
        <v>391.9</v>
      </c>
      <c r="E8" s="1" t="n">
        <v>17.81</v>
      </c>
      <c r="F8" s="1" t="n">
        <v>3</v>
      </c>
    </row>
    <row collapsed="false" customFormat="false" customHeight="false" hidden="false" ht="14.75" outlineLevel="0" r="9">
      <c r="A9" s="1" t="s">
        <v>95</v>
      </c>
      <c r="B9" s="1" t="s">
        <v>91</v>
      </c>
      <c r="C9" s="1" t="s">
        <v>89</v>
      </c>
      <c r="D9" s="1" t="n">
        <v>56.2</v>
      </c>
      <c r="E9" s="1" t="n">
        <v>5.81</v>
      </c>
      <c r="F9" s="1" t="n">
        <f aca="false">2/8</f>
        <v>0.25</v>
      </c>
    </row>
    <row collapsed="false" customFormat="false" customHeight="false" hidden="false" ht="14.75" outlineLevel="0" r="10">
      <c r="A10" s="1" t="s">
        <v>96</v>
      </c>
      <c r="B10" s="1" t="s">
        <v>97</v>
      </c>
      <c r="C10" s="1" t="s">
        <v>89</v>
      </c>
      <c r="D10" s="1" t="n">
        <v>261.1</v>
      </c>
      <c r="E10" s="1" t="n">
        <v>13.78</v>
      </c>
      <c r="F10" s="1" t="n">
        <f aca="false">19/9</f>
        <v>2.11111111111111</v>
      </c>
    </row>
    <row collapsed="false" customFormat="false" customHeight="false" hidden="false" ht="14.75" outlineLevel="0" r="11">
      <c r="A11" s="1" t="s">
        <v>98</v>
      </c>
      <c r="B11" s="1" t="s">
        <v>91</v>
      </c>
      <c r="C11" s="1" t="s">
        <v>89</v>
      </c>
      <c r="D11" s="1" t="n">
        <v>78.8</v>
      </c>
      <c r="E11" s="1" t="n">
        <v>7.24</v>
      </c>
      <c r="F11" s="1" t="n">
        <f aca="false">2/8</f>
        <v>0.25</v>
      </c>
    </row>
    <row collapsed="false" customFormat="false" customHeight="false" hidden="false" ht="14.75" outlineLevel="0" r="12">
      <c r="A12" s="1" t="s">
        <v>99</v>
      </c>
      <c r="B12" s="1" t="s">
        <v>91</v>
      </c>
      <c r="C12" s="1" t="s">
        <v>89</v>
      </c>
      <c r="D12" s="1" t="n">
        <v>15.6</v>
      </c>
      <c r="E12" s="1" t="n">
        <v>4.44</v>
      </c>
      <c r="F12" s="1" t="n">
        <v>0</v>
      </c>
    </row>
    <row collapsed="false" customFormat="false" customHeight="false" hidden="false" ht="14.75" outlineLevel="0" r="13">
      <c r="A13" s="1" t="s">
        <v>56</v>
      </c>
      <c r="B13" s="1" t="s">
        <v>88</v>
      </c>
      <c r="C13" s="1" t="s">
        <v>89</v>
      </c>
      <c r="D13" s="1" t="n">
        <v>458.8</v>
      </c>
      <c r="E13" s="1" t="n">
        <v>21.37</v>
      </c>
      <c r="F13" s="1" t="s">
        <v>9</v>
      </c>
    </row>
    <row collapsed="false" customFormat="false" customHeight="false" hidden="false" ht="14.75" outlineLevel="0" r="14">
      <c r="A14" s="1" t="s">
        <v>57</v>
      </c>
      <c r="B14" s="1" t="s">
        <v>88</v>
      </c>
      <c r="C14" s="1" t="s">
        <v>89</v>
      </c>
      <c r="D14" s="1" t="n">
        <v>159.2</v>
      </c>
      <c r="E14" s="1" t="n">
        <v>10.65</v>
      </c>
      <c r="F14" s="1" t="s">
        <v>9</v>
      </c>
    </row>
    <row collapsed="false" customFormat="false" customHeight="false" hidden="false" ht="14.75" outlineLevel="0" r="15">
      <c r="A15" s="1" t="s">
        <v>100</v>
      </c>
      <c r="B15" s="1" t="s">
        <v>88</v>
      </c>
      <c r="C15" s="1" t="s">
        <v>89</v>
      </c>
      <c r="D15" s="1" t="n">
        <v>77</v>
      </c>
      <c r="E15" s="1" t="n">
        <v>6.82</v>
      </c>
      <c r="F15" s="1" t="s">
        <v>9</v>
      </c>
    </row>
    <row collapsed="false" customFormat="false" customHeight="false" hidden="false" ht="14.75" outlineLevel="0" r="16">
      <c r="A16" s="1" t="s">
        <v>101</v>
      </c>
      <c r="B16" s="1" t="s">
        <v>97</v>
      </c>
      <c r="C16" s="1" t="s">
        <v>89</v>
      </c>
      <c r="D16" s="1" t="n">
        <v>331.7</v>
      </c>
      <c r="E16" s="1" t="n">
        <v>17.26</v>
      </c>
      <c r="F16" s="1" t="n">
        <f aca="false">37/9</f>
        <v>4.11111111111111</v>
      </c>
    </row>
    <row collapsed="false" customFormat="false" customHeight="false" hidden="false" ht="14.75" outlineLevel="0" r="17">
      <c r="A17" s="1" t="s">
        <v>102</v>
      </c>
      <c r="B17" s="1" t="s">
        <v>97</v>
      </c>
      <c r="C17" s="1" t="s">
        <v>89</v>
      </c>
      <c r="D17" s="1" t="n">
        <v>120</v>
      </c>
      <c r="E17" s="1" t="n">
        <v>10.66</v>
      </c>
      <c r="F17" s="1" t="n">
        <f aca="false">4/9</f>
        <v>0.444444444444444</v>
      </c>
    </row>
    <row collapsed="false" customFormat="false" customHeight="false" hidden="false" ht="14.75" outlineLevel="0" r="18">
      <c r="A18" s="1" t="s">
        <v>103</v>
      </c>
      <c r="B18" s="1" t="s">
        <v>88</v>
      </c>
      <c r="C18" s="1" t="s">
        <v>89</v>
      </c>
      <c r="D18" s="1" t="n">
        <v>655.6</v>
      </c>
      <c r="E18" s="1" t="n">
        <v>25.29</v>
      </c>
      <c r="F18" s="1" t="s">
        <v>9</v>
      </c>
    </row>
    <row collapsed="false" customFormat="false" customHeight="false" hidden="false" ht="14.75" outlineLevel="0" r="19">
      <c r="A19" s="1" t="s">
        <v>104</v>
      </c>
      <c r="B19" s="1" t="s">
        <v>88</v>
      </c>
      <c r="C19" s="1" t="s">
        <v>89</v>
      </c>
      <c r="D19" s="1" t="n">
        <v>122.5</v>
      </c>
      <c r="E19" s="1" t="n">
        <v>9.17</v>
      </c>
      <c r="F19" s="1" t="s">
        <v>9</v>
      </c>
    </row>
    <row collapsed="false" customFormat="false" customHeight="false" hidden="false" ht="14.75" outlineLevel="0" r="20">
      <c r="A20" s="1" t="s">
        <v>105</v>
      </c>
      <c r="B20" s="1" t="s">
        <v>97</v>
      </c>
      <c r="C20" s="1" t="s">
        <v>89</v>
      </c>
      <c r="D20" s="1" t="n">
        <v>145</v>
      </c>
      <c r="E20" s="1" t="n">
        <v>8.7</v>
      </c>
      <c r="F20" s="1" t="n">
        <f aca="false">8/9</f>
        <v>0.888888888888889</v>
      </c>
    </row>
    <row collapsed="false" customFormat="false" customHeight="false" hidden="false" ht="14.75" outlineLevel="0" r="21">
      <c r="A21" s="1" t="s">
        <v>106</v>
      </c>
      <c r="B21" s="1" t="s">
        <v>88</v>
      </c>
      <c r="C21" s="1" t="s">
        <v>89</v>
      </c>
      <c r="D21" s="1" t="n">
        <v>362.9</v>
      </c>
      <c r="E21" s="1" t="n">
        <v>18.31</v>
      </c>
      <c r="F21" s="1" t="s">
        <v>9</v>
      </c>
    </row>
    <row collapsed="false" customFormat="false" customHeight="false" hidden="false" ht="14.75" outlineLevel="0" r="22">
      <c r="A22" s="1" t="s">
        <v>106</v>
      </c>
      <c r="B22" s="1" t="s">
        <v>97</v>
      </c>
      <c r="C22" s="1" t="s">
        <v>89</v>
      </c>
      <c r="D22" s="1" t="n">
        <v>361.7</v>
      </c>
      <c r="E22" s="1" t="n">
        <v>20.76</v>
      </c>
      <c r="F22" s="1" t="n">
        <f aca="false">31/9</f>
        <v>3.44444444444444</v>
      </c>
    </row>
    <row collapsed="false" customFormat="false" customHeight="false" hidden="false" ht="14.75" outlineLevel="0" r="23">
      <c r="A23" s="1" t="s">
        <v>107</v>
      </c>
      <c r="B23" s="1" t="s">
        <v>97</v>
      </c>
      <c r="C23" s="1" t="s">
        <v>89</v>
      </c>
      <c r="D23" s="1" t="n">
        <v>415</v>
      </c>
      <c r="E23" s="1" t="n">
        <v>21.39</v>
      </c>
      <c r="F23" s="1" t="n">
        <f aca="false">43/9</f>
        <v>4.77777777777778</v>
      </c>
    </row>
    <row collapsed="false" customFormat="false" customHeight="false" hidden="false" ht="14.75" outlineLevel="0" r="24">
      <c r="A24" s="1" t="s">
        <v>108</v>
      </c>
      <c r="B24" s="1" t="s">
        <v>109</v>
      </c>
      <c r="C24" s="1" t="s">
        <v>89</v>
      </c>
      <c r="D24" s="1" t="n">
        <v>436</v>
      </c>
      <c r="E24" s="1" t="n">
        <v>17.79</v>
      </c>
      <c r="F24" s="1" t="n">
        <v>3.7</v>
      </c>
    </row>
    <row collapsed="false" customFormat="false" customHeight="false" hidden="false" ht="14.75" outlineLevel="0" r="25">
      <c r="A25" s="1" t="s">
        <v>110</v>
      </c>
      <c r="B25" s="1" t="s">
        <v>109</v>
      </c>
      <c r="C25" s="1" t="s">
        <v>89</v>
      </c>
      <c r="D25" s="1" t="n">
        <v>123.1</v>
      </c>
      <c r="E25" s="1" t="n">
        <v>7.12</v>
      </c>
      <c r="F25" s="1" t="n">
        <f aca="false">3/8</f>
        <v>0.375</v>
      </c>
    </row>
    <row collapsed="false" customFormat="false" customHeight="false" hidden="false" ht="14.75" outlineLevel="0" r="26">
      <c r="A26" s="1" t="s">
        <v>111</v>
      </c>
      <c r="B26" s="1" t="s">
        <v>97</v>
      </c>
      <c r="C26" s="1" t="s">
        <v>89</v>
      </c>
      <c r="D26" s="1" t="n">
        <v>93.3</v>
      </c>
      <c r="E26" s="1" t="n">
        <v>8.22</v>
      </c>
      <c r="F26" s="1" t="n">
        <f aca="false">12/9</f>
        <v>1.33333333333333</v>
      </c>
    </row>
    <row collapsed="false" customFormat="false" customHeight="false" hidden="false" ht="14.75" outlineLevel="0" r="27">
      <c r="A27" s="1" t="s">
        <v>112</v>
      </c>
      <c r="B27" s="1" t="s">
        <v>97</v>
      </c>
      <c r="C27" s="1" t="s">
        <v>89</v>
      </c>
      <c r="D27" s="1" t="n">
        <v>68.3</v>
      </c>
      <c r="E27" s="1" t="n">
        <v>6.89</v>
      </c>
      <c r="F27" s="1" t="n">
        <f aca="false">5/9</f>
        <v>0.555555555555556</v>
      </c>
    </row>
    <row collapsed="false" customFormat="false" customHeight="false" hidden="false" ht="14.75" outlineLevel="0" r="28">
      <c r="A28" s="1" t="s">
        <v>113</v>
      </c>
      <c r="B28" s="1" t="s">
        <v>109</v>
      </c>
      <c r="C28" s="1" t="s">
        <v>89</v>
      </c>
      <c r="D28" s="1" t="n">
        <v>106.7</v>
      </c>
      <c r="E28" s="1" t="n">
        <v>8.06</v>
      </c>
      <c r="F28" s="1" t="n">
        <v>0</v>
      </c>
    </row>
    <row collapsed="false" customFormat="false" customHeight="false" hidden="false" ht="14.75" outlineLevel="0" r="29">
      <c r="A29" s="1" t="s">
        <v>114</v>
      </c>
      <c r="B29" s="1" t="s">
        <v>109</v>
      </c>
      <c r="C29" s="1" t="s">
        <v>89</v>
      </c>
      <c r="D29" s="1" t="n">
        <v>25</v>
      </c>
      <c r="E29" s="1" t="n">
        <v>6</v>
      </c>
      <c r="F29" s="1" t="n">
        <f aca="false">1/6</f>
        <v>0.166666666666667</v>
      </c>
    </row>
    <row collapsed="false" customFormat="false" customHeight="false" hidden="false" ht="14.75" outlineLevel="0" r="30">
      <c r="A30" s="1" t="s">
        <v>115</v>
      </c>
      <c r="B30" s="1" t="s">
        <v>109</v>
      </c>
      <c r="C30" s="1" t="s">
        <v>89</v>
      </c>
      <c r="D30" s="1" t="n">
        <v>10</v>
      </c>
      <c r="E30" s="1" t="n">
        <v>1.67</v>
      </c>
      <c r="F30" s="1" t="n">
        <v>0</v>
      </c>
    </row>
    <row collapsed="false" customFormat="false" customHeight="false" hidden="false" ht="14.75" outlineLevel="0" r="31">
      <c r="A31" s="1" t="s">
        <v>62</v>
      </c>
      <c r="B31" s="1" t="s">
        <v>97</v>
      </c>
      <c r="C31" s="1" t="s">
        <v>89</v>
      </c>
      <c r="D31" s="1" t="n">
        <v>552.2</v>
      </c>
      <c r="E31" s="1" t="n">
        <v>24.37</v>
      </c>
      <c r="F31" s="1" t="n">
        <f aca="false">98/9</f>
        <v>10.8888888888889</v>
      </c>
    </row>
    <row collapsed="false" customFormat="false" customHeight="false" hidden="false" ht="14.75" outlineLevel="0" r="32">
      <c r="A32" s="1" t="s">
        <v>63</v>
      </c>
      <c r="B32" s="1" t="s">
        <v>97</v>
      </c>
      <c r="C32" s="1" t="s">
        <v>89</v>
      </c>
      <c r="D32" s="1" t="n">
        <v>357.8</v>
      </c>
      <c r="E32" s="1" t="n">
        <v>20.78</v>
      </c>
      <c r="F32" s="1" t="n">
        <f aca="false">45/9</f>
        <v>5</v>
      </c>
    </row>
    <row collapsed="false" customFormat="false" customHeight="false" hidden="false" ht="14.75" outlineLevel="0" r="33">
      <c r="A33" s="1" t="s">
        <v>116</v>
      </c>
      <c r="B33" s="1" t="s">
        <v>88</v>
      </c>
      <c r="C33" s="1" t="s">
        <v>89</v>
      </c>
      <c r="D33" s="1" t="n">
        <v>196.4</v>
      </c>
      <c r="E33" s="1" t="n">
        <v>11.97</v>
      </c>
      <c r="F33" s="1" t="s">
        <v>9</v>
      </c>
    </row>
    <row collapsed="false" customFormat="false" customHeight="false" hidden="false" ht="14.75" outlineLevel="0" r="34">
      <c r="A34" s="1" t="s">
        <v>117</v>
      </c>
      <c r="B34" s="1" t="s">
        <v>118</v>
      </c>
      <c r="C34" s="1" t="s">
        <v>89</v>
      </c>
      <c r="D34" s="1" t="n">
        <v>112</v>
      </c>
      <c r="E34" s="1" t="n">
        <v>10</v>
      </c>
      <c r="F34" s="1" t="n">
        <f aca="false">2/6</f>
        <v>0.333333333333333</v>
      </c>
    </row>
    <row collapsed="false" customFormat="false" customHeight="false" hidden="false" ht="14.75" outlineLevel="0" r="35">
      <c r="A35" s="1" t="s">
        <v>119</v>
      </c>
      <c r="B35" s="1" t="s">
        <v>118</v>
      </c>
      <c r="C35" s="1" t="s">
        <v>89</v>
      </c>
      <c r="D35" s="1" t="n">
        <v>384</v>
      </c>
      <c r="E35" s="1" t="n">
        <v>20.7</v>
      </c>
      <c r="F35" s="1" t="n">
        <f aca="false">27/6</f>
        <v>4.5</v>
      </c>
    </row>
    <row collapsed="false" customFormat="false" customHeight="false" hidden="false" ht="14.75" outlineLevel="0" r="36">
      <c r="A36" s="1" t="s">
        <v>120</v>
      </c>
      <c r="B36" s="1" t="s">
        <v>118</v>
      </c>
      <c r="C36" s="1" t="s">
        <v>89</v>
      </c>
      <c r="D36" s="1" t="n">
        <v>99</v>
      </c>
      <c r="E36" s="1" t="n">
        <v>9</v>
      </c>
      <c r="F36" s="1" t="n">
        <v>0</v>
      </c>
    </row>
    <row collapsed="false" customFormat="false" customHeight="false" hidden="false" ht="14.75" outlineLevel="0" r="37">
      <c r="A37" s="1" t="s">
        <v>121</v>
      </c>
      <c r="B37" s="1" t="s">
        <v>88</v>
      </c>
      <c r="C37" s="1" t="s">
        <v>89</v>
      </c>
      <c r="D37" s="1" t="n">
        <v>339.3</v>
      </c>
      <c r="E37" s="1" t="n">
        <v>16.57</v>
      </c>
      <c r="F37" s="1" t="s">
        <v>9</v>
      </c>
    </row>
    <row collapsed="false" customFormat="false" customHeight="false" hidden="false" ht="14.75" outlineLevel="0" r="38">
      <c r="A38" s="1" t="s">
        <v>122</v>
      </c>
      <c r="B38" s="1" t="s">
        <v>118</v>
      </c>
      <c r="C38" s="1" t="s">
        <v>89</v>
      </c>
      <c r="D38" s="1" t="n">
        <v>49</v>
      </c>
      <c r="E38" s="1" t="n">
        <v>6.5</v>
      </c>
      <c r="F38" s="1" t="n">
        <v>0</v>
      </c>
    </row>
    <row collapsed="false" customFormat="false" customHeight="false" hidden="false" ht="14.75" outlineLevel="0" r="39">
      <c r="A39" s="1" t="s">
        <v>123</v>
      </c>
      <c r="B39" s="1" t="s">
        <v>118</v>
      </c>
      <c r="C39" s="1" t="s">
        <v>89</v>
      </c>
      <c r="D39" s="1" t="n">
        <v>384</v>
      </c>
      <c r="E39" s="1" t="n">
        <v>20.1</v>
      </c>
      <c r="F39" s="1" t="n">
        <v>4</v>
      </c>
    </row>
    <row collapsed="false" customFormat="false" customHeight="false" hidden="false" ht="14.75" outlineLevel="0" r="40">
      <c r="A40" s="1" t="s">
        <v>124</v>
      </c>
      <c r="B40" s="1" t="s">
        <v>118</v>
      </c>
      <c r="C40" s="1" t="s">
        <v>89</v>
      </c>
      <c r="D40" s="1" t="n">
        <v>81</v>
      </c>
      <c r="E40" s="1" t="n">
        <v>5.4</v>
      </c>
      <c r="F40" s="1" t="n">
        <v>0.5</v>
      </c>
    </row>
    <row collapsed="false" customFormat="false" customHeight="false" hidden="false" ht="14.75" outlineLevel="0" r="41">
      <c r="A41" s="1" t="s">
        <v>125</v>
      </c>
      <c r="B41" s="1" t="s">
        <v>109</v>
      </c>
      <c r="C41" s="1" t="s">
        <v>89</v>
      </c>
      <c r="D41" s="1" t="n">
        <v>126.7</v>
      </c>
      <c r="E41" s="1" t="n">
        <v>8.12</v>
      </c>
      <c r="F41" s="1" t="n">
        <f aca="false">3/9</f>
        <v>0.333333333333333</v>
      </c>
    </row>
    <row collapsed="false" customFormat="false" customHeight="false" hidden="false" ht="14.75" outlineLevel="0" r="42">
      <c r="A42" s="1" t="s">
        <v>126</v>
      </c>
      <c r="B42" s="1" t="s">
        <v>97</v>
      </c>
      <c r="C42" s="1" t="s">
        <v>89</v>
      </c>
      <c r="D42" s="1" t="n">
        <v>88.9</v>
      </c>
      <c r="E42" s="1" t="n">
        <v>9.07</v>
      </c>
      <c r="F42" s="1" t="n">
        <f aca="false">2/9</f>
        <v>0.222222222222222</v>
      </c>
    </row>
    <row collapsed="false" customFormat="false" customHeight="false" hidden="false" ht="14.75" outlineLevel="0" r="43">
      <c r="A43" s="1" t="s">
        <v>127</v>
      </c>
      <c r="B43" s="1" t="s">
        <v>128</v>
      </c>
      <c r="C43" s="1" t="s">
        <v>89</v>
      </c>
      <c r="D43" s="1" t="n">
        <v>206</v>
      </c>
      <c r="E43" s="1" t="n">
        <v>13.26</v>
      </c>
      <c r="F43" s="1" t="n">
        <v>1.1</v>
      </c>
    </row>
    <row collapsed="false" customFormat="false" customHeight="false" hidden="false" ht="14.75" outlineLevel="0" r="44">
      <c r="A44" s="1" t="s">
        <v>129</v>
      </c>
      <c r="B44" s="1" t="s">
        <v>128</v>
      </c>
      <c r="C44" s="1" t="s">
        <v>89</v>
      </c>
      <c r="D44" s="1" t="n">
        <v>43</v>
      </c>
      <c r="E44" s="1" t="n">
        <v>8.08</v>
      </c>
      <c r="F44" s="1" t="n">
        <v>0.2</v>
      </c>
    </row>
    <row collapsed="false" customFormat="false" customHeight="false" hidden="false" ht="14.75" outlineLevel="0" r="45">
      <c r="A45" s="1" t="s">
        <v>130</v>
      </c>
      <c r="B45" s="1" t="s">
        <v>109</v>
      </c>
      <c r="C45" s="1" t="s">
        <v>89</v>
      </c>
      <c r="D45" s="1" t="n">
        <v>147.5</v>
      </c>
      <c r="E45" s="1" t="n">
        <v>9.47</v>
      </c>
      <c r="F45" s="1" t="n">
        <v>0.6</v>
      </c>
    </row>
    <row collapsed="false" customFormat="false" customHeight="false" hidden="false" ht="14.75" outlineLevel="0" r="46">
      <c r="A46" s="1" t="s">
        <v>131</v>
      </c>
      <c r="B46" s="1" t="s">
        <v>88</v>
      </c>
      <c r="C46" s="1" t="s">
        <v>89</v>
      </c>
      <c r="D46" s="1" t="n">
        <v>90</v>
      </c>
      <c r="E46" s="1" t="n">
        <v>7.94</v>
      </c>
      <c r="F46" s="1" t="s">
        <v>9</v>
      </c>
    </row>
    <row collapsed="false" customFormat="false" customHeight="false" hidden="false" ht="14.75" outlineLevel="0" r="47">
      <c r="A47" s="1" t="s">
        <v>132</v>
      </c>
      <c r="B47" s="1" t="s">
        <v>88</v>
      </c>
      <c r="C47" s="1" t="s">
        <v>89</v>
      </c>
      <c r="D47" s="1" t="n">
        <v>52</v>
      </c>
      <c r="E47" s="1" t="n">
        <v>8.57</v>
      </c>
      <c r="F47" s="1" t="s">
        <v>9</v>
      </c>
    </row>
    <row collapsed="false" customFormat="false" customHeight="false" hidden="false" ht="14.75" outlineLevel="0" r="48">
      <c r="A48" s="1" t="s">
        <v>133</v>
      </c>
      <c r="B48" s="1" t="s">
        <v>118</v>
      </c>
      <c r="C48" s="1" t="s">
        <v>89</v>
      </c>
      <c r="D48" s="1" t="n">
        <v>318</v>
      </c>
      <c r="E48" s="1" t="n">
        <v>17.8</v>
      </c>
      <c r="F48" s="1" t="n">
        <f aca="false">15/6</f>
        <v>2.5</v>
      </c>
    </row>
    <row collapsed="false" customFormat="false" customHeight="false" hidden="false" ht="14.75" outlineLevel="0" r="49">
      <c r="A49" s="1" t="s">
        <v>134</v>
      </c>
      <c r="B49" s="1" t="s">
        <v>118</v>
      </c>
      <c r="C49" s="1" t="s">
        <v>89</v>
      </c>
      <c r="D49" s="1" t="n">
        <v>473</v>
      </c>
      <c r="E49" s="1" t="n">
        <v>20.9</v>
      </c>
      <c r="F49" s="1" t="n">
        <f aca="false">28/6</f>
        <v>4.66666666666667</v>
      </c>
    </row>
    <row collapsed="false" customFormat="false" customHeight="false" hidden="false" ht="14.75" outlineLevel="0" r="50">
      <c r="A50" s="1" t="s">
        <v>135</v>
      </c>
      <c r="B50" s="1" t="s">
        <v>118</v>
      </c>
      <c r="C50" s="1" t="s">
        <v>89</v>
      </c>
      <c r="D50" s="1" t="n">
        <v>140</v>
      </c>
      <c r="E50" s="1" t="n">
        <v>10.2</v>
      </c>
      <c r="F50" s="1" t="n">
        <f aca="false">4/6</f>
        <v>0.666666666666667</v>
      </c>
    </row>
    <row collapsed="false" customFormat="false" customHeight="false" hidden="false" ht="14.75" outlineLevel="0" r="51">
      <c r="A51" s="1" t="s">
        <v>136</v>
      </c>
      <c r="B51" s="1" t="s">
        <v>118</v>
      </c>
      <c r="C51" s="1" t="s">
        <v>89</v>
      </c>
      <c r="D51" s="1" t="n">
        <v>116</v>
      </c>
      <c r="E51" s="1" t="n">
        <v>7.4</v>
      </c>
      <c r="F51" s="1" t="n">
        <f aca="false">4/6</f>
        <v>0.666666666666667</v>
      </c>
    </row>
    <row collapsed="false" customFormat="false" customHeight="false" hidden="false" ht="14.75" outlineLevel="0" r="52">
      <c r="A52" s="1" t="s">
        <v>137</v>
      </c>
      <c r="B52" s="1" t="s">
        <v>109</v>
      </c>
      <c r="C52" s="1" t="s">
        <v>89</v>
      </c>
      <c r="D52" s="1" t="n">
        <v>162</v>
      </c>
      <c r="E52" s="1" t="n">
        <v>11.54</v>
      </c>
      <c r="F52" s="1" t="n">
        <v>0.4</v>
      </c>
    </row>
    <row collapsed="false" customFormat="false" customHeight="false" hidden="false" ht="14.75" outlineLevel="0" r="53">
      <c r="A53" s="1" t="s">
        <v>138</v>
      </c>
      <c r="B53" s="1" t="s">
        <v>109</v>
      </c>
      <c r="C53" s="1" t="s">
        <v>89</v>
      </c>
      <c r="D53" s="1" t="n">
        <v>53.3</v>
      </c>
      <c r="E53" s="1" t="n">
        <v>5</v>
      </c>
      <c r="F53" s="1" t="n">
        <f aca="false">2/6</f>
        <v>0.333333333333333</v>
      </c>
    </row>
    <row collapsed="false" customFormat="false" customHeight="false" hidden="false" ht="14.75" outlineLevel="0" r="54">
      <c r="A54" s="1" t="s">
        <v>139</v>
      </c>
      <c r="B54" s="1" t="s">
        <v>97</v>
      </c>
      <c r="C54" s="1" t="s">
        <v>89</v>
      </c>
      <c r="D54" s="1" t="n">
        <v>565</v>
      </c>
      <c r="E54" s="1" t="n">
        <v>23.79</v>
      </c>
      <c r="F54" s="1" t="n">
        <f aca="false">87/9</f>
        <v>9.66666666666667</v>
      </c>
    </row>
    <row collapsed="false" customFormat="false" customHeight="false" hidden="false" ht="14.75" outlineLevel="0" r="55">
      <c r="A55" s="1" t="s">
        <v>140</v>
      </c>
      <c r="B55" s="1" t="s">
        <v>97</v>
      </c>
      <c r="C55" s="1" t="s">
        <v>89</v>
      </c>
      <c r="D55" s="1" t="n">
        <v>220</v>
      </c>
      <c r="E55" s="1" t="n">
        <v>13.24</v>
      </c>
      <c r="F55" s="1" t="n">
        <f aca="false">15/9</f>
        <v>1.66666666666667</v>
      </c>
    </row>
    <row collapsed="false" customFormat="false" customHeight="false" hidden="false" ht="14.75" outlineLevel="0" r="56">
      <c r="A56" s="1" t="s">
        <v>141</v>
      </c>
      <c r="B56" s="1" t="s">
        <v>109</v>
      </c>
      <c r="C56" s="1" t="s">
        <v>89</v>
      </c>
      <c r="D56" s="1" t="n">
        <v>9.2</v>
      </c>
      <c r="E56" s="1" t="n">
        <v>2</v>
      </c>
      <c r="F56" s="1" t="n">
        <v>0</v>
      </c>
    </row>
    <row collapsed="false" customFormat="false" customHeight="false" hidden="false" ht="14.75" outlineLevel="0" r="57">
      <c r="A57" s="1" t="s">
        <v>142</v>
      </c>
      <c r="B57" s="1" t="s">
        <v>97</v>
      </c>
      <c r="C57" s="1" t="s">
        <v>89</v>
      </c>
      <c r="D57" s="1" t="n">
        <v>48.3</v>
      </c>
      <c r="E57" s="1" t="n">
        <v>5.31</v>
      </c>
      <c r="F57" s="1" t="n">
        <v>0</v>
      </c>
    </row>
    <row collapsed="false" customFormat="false" customHeight="false" hidden="false" ht="14.75" outlineLevel="0" r="58">
      <c r="A58" s="1" t="s">
        <v>143</v>
      </c>
      <c r="B58" s="1" t="s">
        <v>109</v>
      </c>
      <c r="C58" s="1" t="s">
        <v>89</v>
      </c>
      <c r="D58" s="1" t="n">
        <v>56.7</v>
      </c>
      <c r="E58" s="1" t="n">
        <v>4.58</v>
      </c>
      <c r="F58" s="1" t="n">
        <v>0</v>
      </c>
    </row>
    <row collapsed="false" customFormat="false" customHeight="false" hidden="false" ht="14.75" outlineLevel="0" r="59">
      <c r="A59" s="1" t="s">
        <v>144</v>
      </c>
      <c r="B59" s="1" t="s">
        <v>118</v>
      </c>
      <c r="C59" s="1" t="s">
        <v>89</v>
      </c>
      <c r="D59" s="1" t="n">
        <v>38</v>
      </c>
      <c r="E59" s="1" t="n">
        <v>8.2</v>
      </c>
      <c r="F59" s="1" t="n">
        <v>0</v>
      </c>
    </row>
    <row collapsed="false" customFormat="false" customHeight="false" hidden="false" ht="14.75" outlineLevel="0" r="60">
      <c r="A60" s="1" t="s">
        <v>145</v>
      </c>
      <c r="B60" s="1" t="s">
        <v>109</v>
      </c>
      <c r="C60" s="1" t="s">
        <v>89</v>
      </c>
      <c r="D60" s="1" t="n">
        <v>111.9</v>
      </c>
      <c r="E60" s="1" t="n">
        <v>9.36</v>
      </c>
      <c r="F60" s="1" t="n">
        <f aca="false">3/8</f>
        <v>0.375</v>
      </c>
    </row>
    <row collapsed="false" customFormat="false" customHeight="false" hidden="false" ht="14.75" outlineLevel="0" r="61">
      <c r="A61" s="1" t="s">
        <v>146</v>
      </c>
      <c r="B61" s="1" t="s">
        <v>128</v>
      </c>
      <c r="C61" s="1" t="s">
        <v>89</v>
      </c>
      <c r="D61" s="1" t="n">
        <v>433</v>
      </c>
      <c r="E61" s="1" t="n">
        <v>20.56</v>
      </c>
      <c r="F61" s="1" t="n">
        <v>6.4</v>
      </c>
    </row>
    <row collapsed="false" customFormat="false" customHeight="false" hidden="false" ht="14.75" outlineLevel="0" r="62">
      <c r="A62" s="1" t="s">
        <v>147</v>
      </c>
      <c r="B62" s="1" t="s">
        <v>91</v>
      </c>
      <c r="C62" s="1" t="s">
        <v>89</v>
      </c>
      <c r="D62" s="1" t="n">
        <v>170</v>
      </c>
      <c r="E62" s="1" t="n">
        <v>9.86</v>
      </c>
      <c r="F62" s="1" t="n">
        <f aca="false">9/8</f>
        <v>1.125</v>
      </c>
    </row>
    <row collapsed="false" customFormat="false" customHeight="false" hidden="false" ht="14.75" outlineLevel="0" r="63">
      <c r="A63" s="1" t="s">
        <v>148</v>
      </c>
      <c r="B63" s="1" t="s">
        <v>91</v>
      </c>
      <c r="C63" s="1" t="s">
        <v>89</v>
      </c>
      <c r="D63" s="1" t="n">
        <v>98.1</v>
      </c>
      <c r="E63" s="1" t="n">
        <v>6.88</v>
      </c>
      <c r="F63" s="1" t="n">
        <f aca="false">1/8</f>
        <v>0.125</v>
      </c>
    </row>
    <row collapsed="false" customFormat="false" customHeight="false" hidden="false" ht="14.75" outlineLevel="0" r="64">
      <c r="A64" s="1" t="s">
        <v>19</v>
      </c>
      <c r="B64" s="1" t="s">
        <v>128</v>
      </c>
      <c r="C64" s="1" t="s">
        <v>89</v>
      </c>
      <c r="D64" s="1" t="n">
        <v>485</v>
      </c>
      <c r="E64" s="1" t="n">
        <v>23.53</v>
      </c>
      <c r="F64" s="1" t="n">
        <v>6.7</v>
      </c>
    </row>
    <row collapsed="false" customFormat="false" customHeight="false" hidden="false" ht="14.75" outlineLevel="0" r="65">
      <c r="A65" s="1" t="s">
        <v>20</v>
      </c>
      <c r="B65" s="1" t="s">
        <v>128</v>
      </c>
      <c r="C65" s="1" t="s">
        <v>89</v>
      </c>
      <c r="D65" s="1" t="n">
        <v>255</v>
      </c>
      <c r="E65" s="1" t="n">
        <v>15.95</v>
      </c>
      <c r="F65" s="1" t="n">
        <v>1.9</v>
      </c>
    </row>
    <row collapsed="false" customFormat="false" customHeight="false" hidden="false" ht="14.75" outlineLevel="0" r="66">
      <c r="A66" s="1" t="s">
        <v>149</v>
      </c>
      <c r="B66" s="1" t="s">
        <v>128</v>
      </c>
      <c r="C66" s="1" t="s">
        <v>89</v>
      </c>
      <c r="D66" s="1" t="n">
        <v>177</v>
      </c>
      <c r="E66" s="1" t="n">
        <v>12.82</v>
      </c>
      <c r="F66" s="1" t="n">
        <v>1.3</v>
      </c>
    </row>
    <row collapsed="false" customFormat="false" customHeight="false" hidden="false" ht="14.75" outlineLevel="0" r="67">
      <c r="A67" s="1" t="s">
        <v>150</v>
      </c>
      <c r="B67" s="1" t="s">
        <v>128</v>
      </c>
      <c r="C67" s="1" t="s">
        <v>89</v>
      </c>
      <c r="D67" s="1" t="n">
        <v>432</v>
      </c>
      <c r="E67" s="1" t="n">
        <v>23.04</v>
      </c>
      <c r="F67" s="1" t="n">
        <v>6.3</v>
      </c>
    </row>
    <row collapsed="false" customFormat="false" customHeight="false" hidden="false" ht="14.75" outlineLevel="0" r="68">
      <c r="A68" s="1" t="s">
        <v>151</v>
      </c>
      <c r="B68" s="1" t="s">
        <v>97</v>
      </c>
      <c r="C68" s="1" t="s">
        <v>89</v>
      </c>
      <c r="D68" s="1" t="n">
        <v>388.9</v>
      </c>
      <c r="E68" s="1" t="n">
        <v>18.25</v>
      </c>
      <c r="F68" s="1" t="n">
        <f aca="false">39/9</f>
        <v>4.33333333333333</v>
      </c>
    </row>
    <row collapsed="false" customFormat="false" customHeight="false" hidden="false" ht="14.75" outlineLevel="0" r="69">
      <c r="A69" s="1" t="s">
        <v>152</v>
      </c>
      <c r="B69" s="1" t="s">
        <v>97</v>
      </c>
      <c r="C69" s="1" t="s">
        <v>89</v>
      </c>
      <c r="D69" s="1" t="n">
        <v>167.2</v>
      </c>
      <c r="E69" s="1" t="n">
        <v>13.03</v>
      </c>
      <c r="F69" s="1" t="n">
        <f aca="false">7/9</f>
        <v>0.777777777777778</v>
      </c>
    </row>
    <row collapsed="false" customFormat="false" customHeight="false" hidden="false" ht="14.75" outlineLevel="0" r="70">
      <c r="A70" s="1" t="s">
        <v>153</v>
      </c>
      <c r="B70" s="1" t="s">
        <v>91</v>
      </c>
      <c r="C70" s="1" t="s">
        <v>89</v>
      </c>
      <c r="D70" s="1" t="n">
        <v>71.2</v>
      </c>
      <c r="E70" s="1" t="n">
        <v>7.21</v>
      </c>
      <c r="F70" s="1" t="n">
        <f aca="false">2/8</f>
        <v>0.25</v>
      </c>
    </row>
    <row collapsed="false" customFormat="false" customHeight="false" hidden="false" ht="14.75" outlineLevel="0" r="71">
      <c r="A71" s="1" t="s">
        <v>72</v>
      </c>
      <c r="B71" s="1" t="s">
        <v>88</v>
      </c>
      <c r="C71" s="1" t="s">
        <v>89</v>
      </c>
      <c r="D71" s="1" t="n">
        <v>337.9</v>
      </c>
      <c r="E71" s="1" t="n">
        <v>18.62</v>
      </c>
      <c r="F71" s="1" t="s">
        <v>9</v>
      </c>
    </row>
    <row collapsed="false" customFormat="false" customHeight="false" hidden="false" ht="14.75" outlineLevel="0" r="72">
      <c r="A72" s="1" t="s">
        <v>73</v>
      </c>
      <c r="B72" s="1" t="s">
        <v>88</v>
      </c>
      <c r="C72" s="1" t="s">
        <v>89</v>
      </c>
      <c r="D72" s="1" t="n">
        <v>215.8</v>
      </c>
      <c r="E72" s="1" t="n">
        <v>13.52</v>
      </c>
      <c r="F72" s="1" t="s">
        <v>9</v>
      </c>
    </row>
    <row collapsed="false" customFormat="false" customHeight="false" hidden="false" ht="14.75" outlineLevel="0" r="73">
      <c r="A73" s="1" t="s">
        <v>74</v>
      </c>
      <c r="B73" s="1" t="s">
        <v>88</v>
      </c>
      <c r="C73" s="1" t="s">
        <v>89</v>
      </c>
      <c r="D73" s="1" t="n">
        <v>87.5</v>
      </c>
      <c r="E73" s="1" t="n">
        <v>8.21</v>
      </c>
      <c r="F73" s="1" t="s">
        <v>9</v>
      </c>
    </row>
    <row collapsed="false" customFormat="false" customHeight="false" hidden="false" ht="14.75" outlineLevel="0" r="74">
      <c r="A74" s="1" t="s">
        <v>154</v>
      </c>
      <c r="B74" s="1" t="s">
        <v>91</v>
      </c>
      <c r="C74" s="1" t="s">
        <v>89</v>
      </c>
      <c r="D74" s="1" t="n">
        <v>45.6</v>
      </c>
      <c r="E74" s="1" t="n">
        <v>6.67</v>
      </c>
      <c r="F74" s="1" t="n">
        <f aca="false">2/8</f>
        <v>0.25</v>
      </c>
    </row>
    <row collapsed="false" customFormat="false" customHeight="false" hidden="false" ht="14.75" outlineLevel="0" r="75">
      <c r="A75" s="1" t="s">
        <v>155</v>
      </c>
      <c r="B75" s="1" t="s">
        <v>97</v>
      </c>
      <c r="C75" s="1" t="s">
        <v>89</v>
      </c>
      <c r="D75" s="1" t="n">
        <v>65</v>
      </c>
      <c r="E75" s="1" t="n">
        <v>7.94</v>
      </c>
      <c r="F75" s="1" t="n">
        <f aca="false">1/9</f>
        <v>0.111111111111111</v>
      </c>
    </row>
    <row collapsed="false" customFormat="false" customHeight="false" hidden="false" ht="14.75" outlineLevel="0" r="76">
      <c r="A76" s="1" t="s">
        <v>156</v>
      </c>
      <c r="B76" s="1" t="s">
        <v>88</v>
      </c>
      <c r="C76" s="1" t="s">
        <v>89</v>
      </c>
      <c r="D76" s="1" t="n">
        <v>82.5</v>
      </c>
      <c r="E76" s="1" t="n">
        <v>6.9</v>
      </c>
      <c r="F76" s="1" t="s">
        <v>9</v>
      </c>
    </row>
    <row collapsed="false" customFormat="false" customHeight="false" hidden="false" ht="14.75" outlineLevel="0" r="77">
      <c r="A77" s="1" t="s">
        <v>157</v>
      </c>
      <c r="B77" s="1" t="s">
        <v>88</v>
      </c>
      <c r="C77" s="1" t="s">
        <v>89</v>
      </c>
      <c r="D77" s="1" t="n">
        <v>104.2</v>
      </c>
      <c r="E77" s="1" t="n">
        <v>9.06</v>
      </c>
      <c r="F77" s="1" t="s">
        <v>9</v>
      </c>
    </row>
    <row collapsed="false" customFormat="false" customHeight="false" hidden="false" ht="14.75" outlineLevel="0" r="78">
      <c r="A78" s="1" t="s">
        <v>158</v>
      </c>
      <c r="B78" s="1" t="s">
        <v>118</v>
      </c>
      <c r="C78" s="1" t="s">
        <v>89</v>
      </c>
      <c r="D78" s="1" t="n">
        <v>319</v>
      </c>
      <c r="E78" s="1" t="n">
        <v>18.1</v>
      </c>
      <c r="F78" s="1" t="n">
        <f aca="false">16/6</f>
        <v>2.66666666666667</v>
      </c>
    </row>
    <row collapsed="false" customFormat="false" customHeight="false" hidden="false" ht="14.75" outlineLevel="0" r="79">
      <c r="A79" s="1" t="s">
        <v>159</v>
      </c>
      <c r="B79" s="1" t="s">
        <v>118</v>
      </c>
      <c r="C79" s="1" t="s">
        <v>89</v>
      </c>
      <c r="D79" s="1" t="n">
        <v>131</v>
      </c>
      <c r="E79" s="1" t="n">
        <v>12.9</v>
      </c>
      <c r="F79" s="1" t="n">
        <f aca="false">4/6</f>
        <v>0.666666666666667</v>
      </c>
    </row>
    <row collapsed="false" customFormat="false" customHeight="false" hidden="false" ht="14.75" outlineLevel="0" r="80">
      <c r="A80" s="1" t="s">
        <v>160</v>
      </c>
      <c r="B80" s="1" t="s">
        <v>109</v>
      </c>
      <c r="C80" s="1" t="s">
        <v>89</v>
      </c>
      <c r="D80" s="1" t="n">
        <v>94.5</v>
      </c>
      <c r="E80" s="1" t="n">
        <v>7.37</v>
      </c>
      <c r="F80" s="1" t="n">
        <v>0.3</v>
      </c>
    </row>
    <row collapsed="false" customFormat="false" customHeight="false" hidden="false" ht="14.75" outlineLevel="0" r="81">
      <c r="A81" s="1" t="s">
        <v>161</v>
      </c>
      <c r="B81" s="1" t="s">
        <v>97</v>
      </c>
      <c r="C81" s="1" t="s">
        <v>89</v>
      </c>
      <c r="D81" s="1" t="n">
        <v>151.7</v>
      </c>
      <c r="E81" s="1" t="n">
        <v>11.77</v>
      </c>
      <c r="F81" s="1" t="n">
        <f aca="false">8/9</f>
        <v>0.888888888888889</v>
      </c>
    </row>
    <row collapsed="false" customFormat="false" customHeight="false" hidden="false" ht="14.75" outlineLevel="0" r="82">
      <c r="A82" s="1" t="s">
        <v>162</v>
      </c>
      <c r="B82" s="1" t="s">
        <v>97</v>
      </c>
      <c r="C82" s="1" t="s">
        <v>89</v>
      </c>
      <c r="D82" s="1" t="n">
        <v>66.7</v>
      </c>
      <c r="E82" s="1" t="n">
        <v>10</v>
      </c>
      <c r="F82" s="1" t="n">
        <f aca="false">2/9</f>
        <v>0.222222222222222</v>
      </c>
    </row>
    <row collapsed="false" customFormat="false" customHeight="false" hidden="false" ht="14.75" outlineLevel="0" r="83">
      <c r="A83" s="1" t="s">
        <v>163</v>
      </c>
      <c r="B83" s="1" t="s">
        <v>128</v>
      </c>
      <c r="C83" s="1" t="s">
        <v>89</v>
      </c>
      <c r="D83" s="1" t="n">
        <v>381.5</v>
      </c>
      <c r="E83" s="1" t="n">
        <v>19.92</v>
      </c>
      <c r="F83" s="1" t="n">
        <v>5.5</v>
      </c>
    </row>
    <row collapsed="false" customFormat="false" customHeight="false" hidden="false" ht="14.75" outlineLevel="0" r="84">
      <c r="A84" s="1" t="s">
        <v>164</v>
      </c>
      <c r="B84" s="1" t="s">
        <v>128</v>
      </c>
      <c r="C84" s="1" t="s">
        <v>89</v>
      </c>
      <c r="D84" s="1" t="n">
        <v>105</v>
      </c>
      <c r="E84" s="1" t="n">
        <v>8.62</v>
      </c>
      <c r="F84" s="1" t="n">
        <v>1.1</v>
      </c>
    </row>
    <row collapsed="false" customFormat="false" customHeight="false" hidden="false" ht="14.75" outlineLevel="0" r="85">
      <c r="A85" s="1" t="s">
        <v>165</v>
      </c>
      <c r="B85" s="1" t="s">
        <v>128</v>
      </c>
      <c r="C85" s="1" t="s">
        <v>89</v>
      </c>
      <c r="D85" s="1" t="n">
        <v>28.5</v>
      </c>
      <c r="E85" s="1" t="n">
        <v>6.67</v>
      </c>
      <c r="F85" s="1" t="n">
        <v>0</v>
      </c>
    </row>
    <row collapsed="false" customFormat="false" customHeight="false" hidden="false" ht="14.75" outlineLevel="0" r="86">
      <c r="A86" s="1" t="s">
        <v>166</v>
      </c>
      <c r="B86" s="1" t="s">
        <v>88</v>
      </c>
      <c r="C86" s="1" t="s">
        <v>89</v>
      </c>
      <c r="D86" s="1" t="n">
        <v>238.6</v>
      </c>
      <c r="E86" s="1" t="n">
        <v>14.33</v>
      </c>
      <c r="F86" s="1" t="s">
        <v>9</v>
      </c>
    </row>
    <row collapsed="false" customFormat="false" customHeight="false" hidden="false" ht="14.75" outlineLevel="0" r="87">
      <c r="A87" s="1" t="s">
        <v>167</v>
      </c>
      <c r="B87" s="1" t="s">
        <v>88</v>
      </c>
      <c r="C87" s="1" t="s">
        <v>89</v>
      </c>
      <c r="D87" s="1" t="n">
        <v>113.3</v>
      </c>
      <c r="E87" s="1" t="n">
        <v>7.92</v>
      </c>
      <c r="F87" s="1" t="s">
        <v>9</v>
      </c>
    </row>
    <row collapsed="false" customFormat="false" customHeight="false" hidden="false" ht="14.75" outlineLevel="0" r="88">
      <c r="A88" s="1" t="s">
        <v>168</v>
      </c>
      <c r="B88" s="1" t="s">
        <v>88</v>
      </c>
      <c r="C88" s="1" t="s">
        <v>89</v>
      </c>
      <c r="D88" s="1" t="n">
        <v>23.3</v>
      </c>
      <c r="E88" s="1" t="n">
        <v>5.56</v>
      </c>
      <c r="F88" s="1" t="s">
        <v>9</v>
      </c>
    </row>
    <row collapsed="false" customFormat="false" customHeight="false" hidden="false" ht="14.75" outlineLevel="0" r="89">
      <c r="A89" s="1" t="s">
        <v>169</v>
      </c>
      <c r="B89" s="1" t="s">
        <v>109</v>
      </c>
      <c r="C89" s="1" t="s">
        <v>89</v>
      </c>
      <c r="D89" s="1" t="n">
        <v>214.5</v>
      </c>
      <c r="E89" s="1" t="n">
        <v>13.12</v>
      </c>
      <c r="F89" s="1" t="n">
        <v>0.3</v>
      </c>
    </row>
    <row collapsed="false" customFormat="false" customHeight="false" hidden="false" ht="14.75" outlineLevel="0" r="90">
      <c r="A90" s="1" t="s">
        <v>170</v>
      </c>
      <c r="B90" s="1" t="s">
        <v>118</v>
      </c>
      <c r="C90" s="1" t="s">
        <v>89</v>
      </c>
      <c r="D90" s="1" t="n">
        <v>94</v>
      </c>
      <c r="E90" s="1" t="n">
        <v>8.7</v>
      </c>
      <c r="F90" s="1" t="n">
        <v>0</v>
      </c>
    </row>
    <row collapsed="false" customFormat="false" customHeight="false" hidden="false" ht="14.75" outlineLevel="0" r="91">
      <c r="A91" s="1" t="s">
        <v>171</v>
      </c>
      <c r="B91" s="1" t="s">
        <v>97</v>
      </c>
      <c r="C91" s="1" t="s">
        <v>89</v>
      </c>
      <c r="D91" s="1" t="n">
        <v>226.1</v>
      </c>
      <c r="E91" s="1" t="n">
        <v>14.46</v>
      </c>
      <c r="F91" s="1" t="n">
        <f aca="false">13/9</f>
        <v>1.44444444444444</v>
      </c>
    </row>
    <row collapsed="false" customFormat="false" customHeight="false" hidden="false" ht="14.75" outlineLevel="0" r="92">
      <c r="A92" s="1" t="s">
        <v>172</v>
      </c>
      <c r="B92" s="1" t="s">
        <v>128</v>
      </c>
      <c r="C92" s="1" t="s">
        <v>89</v>
      </c>
      <c r="D92" s="1" t="n">
        <v>332</v>
      </c>
      <c r="E92" s="1" t="n">
        <v>17.67</v>
      </c>
      <c r="F92" s="1" t="n">
        <v>3.3</v>
      </c>
    </row>
    <row collapsed="false" customFormat="false" customHeight="false" hidden="false" ht="14.75" outlineLevel="0" r="93">
      <c r="A93" s="1" t="s">
        <v>173</v>
      </c>
      <c r="B93" s="1" t="s">
        <v>109</v>
      </c>
      <c r="C93" s="1" t="s">
        <v>89</v>
      </c>
      <c r="D93" s="1" t="n">
        <v>102.5</v>
      </c>
      <c r="E93" s="1" t="n">
        <v>6.8</v>
      </c>
      <c r="F93" s="1" t="n">
        <f aca="false">1/8</f>
        <v>0.125</v>
      </c>
    </row>
    <row collapsed="false" customFormat="false" customHeight="false" hidden="false" ht="14.75" outlineLevel="0" r="94">
      <c r="A94" s="1" t="s">
        <v>174</v>
      </c>
      <c r="B94" s="1" t="s">
        <v>109</v>
      </c>
      <c r="C94" s="1" t="s">
        <v>89</v>
      </c>
      <c r="D94" s="1" t="n">
        <v>376.5</v>
      </c>
      <c r="E94" s="1" t="n">
        <v>17.48</v>
      </c>
      <c r="F94" s="1" t="n">
        <v>2.4</v>
      </c>
    </row>
    <row collapsed="false" customFormat="false" customHeight="false" hidden="false" ht="14.75" outlineLevel="0" r="95">
      <c r="A95" s="1" t="s">
        <v>175</v>
      </c>
      <c r="B95" s="1" t="s">
        <v>109</v>
      </c>
      <c r="C95" s="1" t="s">
        <v>89</v>
      </c>
      <c r="D95" s="1" t="n">
        <v>67.2</v>
      </c>
      <c r="E95" s="1" t="n">
        <v>6.12</v>
      </c>
      <c r="F95" s="1" t="n">
        <f aca="false">3/9</f>
        <v>0.333333333333333</v>
      </c>
    </row>
    <row collapsed="false" customFormat="false" customHeight="false" hidden="false" ht="14.75" outlineLevel="0" r="96">
      <c r="A96" s="1" t="s">
        <v>176</v>
      </c>
      <c r="B96" s="1" t="s">
        <v>118</v>
      </c>
      <c r="C96" s="1" t="s">
        <v>89</v>
      </c>
      <c r="D96" s="1" t="n">
        <v>67</v>
      </c>
      <c r="E96" s="1" t="n">
        <v>8.2</v>
      </c>
      <c r="F96" s="1" t="n">
        <f aca="false">2/6</f>
        <v>0.333333333333333</v>
      </c>
    </row>
    <row collapsed="false" customFormat="false" customHeight="false" hidden="false" ht="14.75" outlineLevel="0" r="97">
      <c r="A97" s="1" t="s">
        <v>177</v>
      </c>
      <c r="B97" s="1" t="s">
        <v>128</v>
      </c>
      <c r="C97" s="1" t="s">
        <v>89</v>
      </c>
      <c r="D97" s="1" t="n">
        <v>159</v>
      </c>
      <c r="E97" s="1" t="n">
        <v>12.39</v>
      </c>
      <c r="F97" s="1" t="n">
        <v>1.3</v>
      </c>
    </row>
    <row collapsed="false" customFormat="false" customHeight="false" hidden="false" ht="14.75" outlineLevel="0" r="98">
      <c r="A98" s="1" t="s">
        <v>178</v>
      </c>
      <c r="B98" s="1" t="s">
        <v>128</v>
      </c>
      <c r="C98" s="1" t="s">
        <v>89</v>
      </c>
      <c r="D98" s="1" t="n">
        <v>324.5</v>
      </c>
      <c r="E98" s="1" t="n">
        <v>19.53</v>
      </c>
      <c r="F98" s="1" t="n">
        <v>4.8</v>
      </c>
    </row>
    <row collapsed="false" customFormat="false" customHeight="false" hidden="false" ht="14.75" outlineLevel="0" r="99">
      <c r="A99" s="1" t="s">
        <v>179</v>
      </c>
      <c r="B99" s="1" t="s">
        <v>128</v>
      </c>
      <c r="C99" s="1" t="s">
        <v>89</v>
      </c>
      <c r="D99" s="1" t="n">
        <v>243</v>
      </c>
      <c r="E99" s="1" t="n">
        <v>14.75</v>
      </c>
      <c r="F99" s="1" t="n">
        <v>1.9</v>
      </c>
    </row>
    <row collapsed="false" customFormat="false" customHeight="false" hidden="false" ht="14.75" outlineLevel="0" r="100">
      <c r="A100" s="1" t="s">
        <v>180</v>
      </c>
      <c r="B100" s="1" t="s">
        <v>88</v>
      </c>
      <c r="C100" s="1" t="s">
        <v>89</v>
      </c>
      <c r="D100" s="1" t="n">
        <v>28.3</v>
      </c>
      <c r="E100" s="1" t="n">
        <v>5</v>
      </c>
      <c r="F100" s="1" t="s">
        <v>9</v>
      </c>
    </row>
    <row collapsed="false" customFormat="false" customHeight="false" hidden="false" ht="14.75" outlineLevel="0" r="101">
      <c r="A101" s="1" t="s">
        <v>181</v>
      </c>
      <c r="B101" s="1" t="s">
        <v>109</v>
      </c>
      <c r="C101" s="1" t="s">
        <v>89</v>
      </c>
      <c r="D101" s="1" t="n">
        <v>105</v>
      </c>
      <c r="E101" s="1" t="n">
        <v>6.5</v>
      </c>
      <c r="F101" s="1" t="n">
        <f aca="false">2/9</f>
        <v>0.222222222222222</v>
      </c>
    </row>
    <row collapsed="false" customFormat="false" customHeight="false" hidden="false" ht="14.75" outlineLevel="0" r="102">
      <c r="A102" s="1" t="s">
        <v>182</v>
      </c>
      <c r="B102" s="1" t="s">
        <v>109</v>
      </c>
      <c r="C102" s="1" t="s">
        <v>89</v>
      </c>
      <c r="D102" s="1" t="n">
        <v>18.9</v>
      </c>
      <c r="E102" s="1" t="n">
        <v>0.56</v>
      </c>
      <c r="F102" s="1" t="n">
        <f aca="false">1/9</f>
        <v>0.111111111111111</v>
      </c>
    </row>
    <row collapsed="false" customFormat="false" customHeight="false" hidden="false" ht="14.75" outlineLevel="0" r="103">
      <c r="A103" s="1" t="s">
        <v>183</v>
      </c>
      <c r="B103" s="1" t="s">
        <v>109</v>
      </c>
      <c r="C103" s="1" t="s">
        <v>89</v>
      </c>
      <c r="D103" s="1" t="n">
        <v>70.8</v>
      </c>
      <c r="E103" s="1" t="n">
        <v>4.83</v>
      </c>
      <c r="F103" s="1" t="n">
        <f aca="false">1/6</f>
        <v>0.166666666666667</v>
      </c>
    </row>
    <row collapsed="false" customFormat="false" customHeight="false" hidden="false" ht="14.75" outlineLevel="0" r="104">
      <c r="A104" s="1" t="s">
        <v>184</v>
      </c>
      <c r="B104" s="1" t="s">
        <v>109</v>
      </c>
      <c r="C104" s="1" t="s">
        <v>89</v>
      </c>
      <c r="D104" s="1" t="n">
        <v>50</v>
      </c>
      <c r="E104" s="1" t="n">
        <v>5.24</v>
      </c>
      <c r="F104" s="1" t="n">
        <f aca="false">1/6</f>
        <v>0.166666666666667</v>
      </c>
    </row>
    <row collapsed="false" customFormat="false" customHeight="false" hidden="false" ht="14.75" outlineLevel="0" r="105">
      <c r="A105" s="1" t="s">
        <v>185</v>
      </c>
      <c r="B105" s="1" t="s">
        <v>88</v>
      </c>
      <c r="C105" s="1" t="s">
        <v>89</v>
      </c>
      <c r="D105" s="1" t="n">
        <v>151.7</v>
      </c>
      <c r="E105" s="1" t="n">
        <v>10.7</v>
      </c>
      <c r="F105" s="1" t="s">
        <v>9</v>
      </c>
    </row>
    <row collapsed="false" customFormat="false" customHeight="false" hidden="false" ht="14.75" outlineLevel="0" r="106">
      <c r="A106" s="1" t="s">
        <v>186</v>
      </c>
      <c r="B106" s="1" t="s">
        <v>88</v>
      </c>
      <c r="C106" s="1" t="s">
        <v>89</v>
      </c>
      <c r="D106" s="1" t="n">
        <v>55</v>
      </c>
      <c r="E106" s="1" t="n">
        <v>6</v>
      </c>
      <c r="F106" s="1" t="s">
        <v>9</v>
      </c>
    </row>
    <row collapsed="false" customFormat="false" customHeight="false" hidden="false" ht="14.75" outlineLevel="0" r="107">
      <c r="A107" s="1" t="s">
        <v>187</v>
      </c>
      <c r="B107" s="1" t="s">
        <v>88</v>
      </c>
      <c r="C107" s="1" t="s">
        <v>89</v>
      </c>
      <c r="D107" s="1" t="n">
        <v>80</v>
      </c>
      <c r="E107" s="1" t="n">
        <v>5.48</v>
      </c>
      <c r="F107" s="1" t="s">
        <v>9</v>
      </c>
    </row>
    <row collapsed="false" customFormat="false" customHeight="false" hidden="false" ht="14.75" outlineLevel="0" r="108">
      <c r="A108" s="1" t="s">
        <v>188</v>
      </c>
      <c r="B108" s="1" t="s">
        <v>91</v>
      </c>
      <c r="C108" s="1" t="s">
        <v>89</v>
      </c>
      <c r="D108" s="1" t="n">
        <v>138.8</v>
      </c>
      <c r="E108" s="1" t="n">
        <v>11.7</v>
      </c>
      <c r="F108" s="1" t="n">
        <v>0.5</v>
      </c>
    </row>
    <row collapsed="false" customFormat="false" customHeight="false" hidden="false" ht="14.75" outlineLevel="0" r="109">
      <c r="A109" s="1" t="s">
        <v>189</v>
      </c>
      <c r="B109" s="1" t="s">
        <v>88</v>
      </c>
      <c r="C109" s="1" t="s">
        <v>89</v>
      </c>
      <c r="D109" s="1" t="n">
        <v>300</v>
      </c>
      <c r="E109" s="1" t="n">
        <v>15</v>
      </c>
      <c r="F109" s="1" t="s">
        <v>9</v>
      </c>
    </row>
    <row collapsed="false" customFormat="false" customHeight="false" hidden="false" ht="14.75" outlineLevel="0" r="110">
      <c r="A110" s="1" t="s">
        <v>190</v>
      </c>
      <c r="B110" s="1" t="s">
        <v>128</v>
      </c>
      <c r="C110" s="1" t="s">
        <v>89</v>
      </c>
      <c r="D110" s="1" t="n">
        <v>266.5</v>
      </c>
      <c r="E110" s="1" t="n">
        <v>17.29</v>
      </c>
      <c r="F110" s="1" t="n">
        <v>2.6</v>
      </c>
    </row>
    <row collapsed="false" customFormat="false" customHeight="false" hidden="false" ht="14.75" outlineLevel="0" r="111">
      <c r="A111" s="1" t="s">
        <v>191</v>
      </c>
      <c r="B111" s="1" t="s">
        <v>128</v>
      </c>
      <c r="C111" s="1" t="s">
        <v>89</v>
      </c>
      <c r="D111" s="1" t="n">
        <v>133.5</v>
      </c>
      <c r="E111" s="1" t="n">
        <v>12.66</v>
      </c>
      <c r="F111" s="1" t="n">
        <v>0.9</v>
      </c>
    </row>
    <row collapsed="false" customFormat="false" customHeight="false" hidden="false" ht="14.75" outlineLevel="0" r="112">
      <c r="A112" s="1" t="s">
        <v>86</v>
      </c>
      <c r="B112" s="1" t="s">
        <v>88</v>
      </c>
      <c r="C112" s="1" t="s">
        <v>89</v>
      </c>
      <c r="D112" s="1" t="n">
        <v>74.2</v>
      </c>
      <c r="E112" s="1" t="n">
        <v>7.6</v>
      </c>
      <c r="F112" s="1" t="s">
        <v>9</v>
      </c>
    </row>
    <row collapsed="false" customFormat="false" customHeight="false" hidden="false" ht="14.75" outlineLevel="0" r="113">
      <c r="A113" s="1" t="s">
        <v>192</v>
      </c>
      <c r="B113" s="1" t="s">
        <v>88</v>
      </c>
      <c r="C113" s="1" t="s">
        <v>89</v>
      </c>
      <c r="D113" s="1" t="n">
        <v>214</v>
      </c>
      <c r="E113" s="1" t="n">
        <v>14.19</v>
      </c>
      <c r="F113" s="1" t="s">
        <v>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blackAndWhite="false" cellComments="none" copies="1" draft="false" firstPageNumber="0" fitToHeight="1" fitToWidth="1" horizontalDpi="300" orientation="portrait" pageOrder="downThenOver" paperSize="1" scale="100" useFirstPageNumber="false" usePrinterDefaults="false" verticalDpi="300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43"/>
  <sheetViews>
    <sheetView colorId="64" defaultGridColor="true" rightToLeft="false" showFormulas="false" showGridLines="true" showOutlineSymbols="true" showRowColHeaders="true" showZeros="true" tabSelected="false" topLeftCell="A25" view="normal" windowProtection="false" workbookViewId="0" zoomScale="85" zoomScaleNormal="85" zoomScalePageLayoutView="100">
      <selection activeCell="A26" activeCellId="0" pane="topLeft" sqref="A26"/>
    </sheetView>
  </sheetViews>
  <cols>
    <col collapsed="false" hidden="false" max="1" min="1" style="1" width="19.9882352941176"/>
    <col collapsed="false" hidden="false" max="2" min="2" style="1" width="26.6705882352941"/>
    <col collapsed="false" hidden="false" max="1025" min="3" style="0" width="8.5921568627451"/>
  </cols>
  <sheetData>
    <row collapsed="false" customFormat="false" customHeight="false" hidden="false" ht="14.75" outlineLevel="0"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collapsed="false" customFormat="false" customHeight="false" hidden="false" ht="14.75" outlineLevel="0" r="2">
      <c r="A2" s="1" t="s">
        <v>193</v>
      </c>
      <c r="B2" s="1" t="s">
        <v>194</v>
      </c>
      <c r="C2" s="1" t="s">
        <v>194</v>
      </c>
      <c r="D2" s="1" t="n">
        <v>56.7</v>
      </c>
      <c r="E2" s="1" t="n">
        <v>8</v>
      </c>
      <c r="F2" s="1" t="n">
        <f aca="false">1/6</f>
        <v>0.166666666666667</v>
      </c>
    </row>
    <row collapsed="false" customFormat="false" customHeight="false" hidden="false" ht="14.75" outlineLevel="0" r="3">
      <c r="A3" s="1" t="s">
        <v>195</v>
      </c>
      <c r="B3" s="1" t="s">
        <v>196</v>
      </c>
      <c r="C3" s="1" t="s">
        <v>194</v>
      </c>
      <c r="D3" s="1" t="n">
        <v>197</v>
      </c>
      <c r="E3" s="1" t="n">
        <v>13.78</v>
      </c>
      <c r="F3" s="1" t="n">
        <v>1.8</v>
      </c>
    </row>
    <row collapsed="false" customFormat="false" customHeight="false" hidden="false" ht="14.75" outlineLevel="0" r="4">
      <c r="A4" s="1" t="s">
        <v>197</v>
      </c>
      <c r="B4" s="1" t="s">
        <v>196</v>
      </c>
      <c r="C4" s="1" t="s">
        <v>194</v>
      </c>
      <c r="D4" s="1" t="n">
        <v>144</v>
      </c>
      <c r="E4" s="1" t="n">
        <v>10.56</v>
      </c>
      <c r="F4" s="1" t="n">
        <v>1.5</v>
      </c>
    </row>
    <row collapsed="false" customFormat="false" customHeight="false" hidden="false" ht="14.75" outlineLevel="0" r="5">
      <c r="A5" s="1" t="s">
        <v>198</v>
      </c>
      <c r="B5" s="1" t="s">
        <v>196</v>
      </c>
      <c r="C5" s="1" t="s">
        <v>194</v>
      </c>
      <c r="D5" s="1" t="n">
        <v>81.5</v>
      </c>
      <c r="E5" s="1" t="n">
        <v>8.54</v>
      </c>
      <c r="F5" s="1" t="n">
        <v>0.5</v>
      </c>
    </row>
    <row collapsed="false" customFormat="false" customHeight="false" hidden="false" ht="14.75" outlineLevel="0" r="6">
      <c r="A6" s="1" t="s">
        <v>199</v>
      </c>
      <c r="B6" s="1" t="s">
        <v>196</v>
      </c>
      <c r="C6" s="1" t="s">
        <v>194</v>
      </c>
      <c r="D6" s="1" t="n">
        <v>246</v>
      </c>
      <c r="E6" s="1" t="n">
        <v>17.39</v>
      </c>
      <c r="F6" s="1" t="n">
        <v>1.5</v>
      </c>
    </row>
    <row collapsed="false" customFormat="false" customHeight="false" hidden="false" ht="14.75" outlineLevel="0" r="7">
      <c r="A7" s="1" t="s">
        <v>200</v>
      </c>
      <c r="B7" s="1" t="s">
        <v>196</v>
      </c>
      <c r="C7" s="1" t="s">
        <v>194</v>
      </c>
      <c r="D7" s="1" t="n">
        <v>145.5</v>
      </c>
      <c r="E7" s="1" t="n">
        <v>11.52</v>
      </c>
      <c r="F7" s="1" t="n">
        <v>1.3</v>
      </c>
    </row>
    <row collapsed="false" customFormat="false" customHeight="false" hidden="false" ht="14.75" outlineLevel="0" r="8">
      <c r="A8" s="1" t="s">
        <v>201</v>
      </c>
      <c r="B8" s="1" t="s">
        <v>196</v>
      </c>
      <c r="C8" s="1" t="s">
        <v>194</v>
      </c>
      <c r="D8" s="1" t="n">
        <v>77</v>
      </c>
      <c r="E8" s="1" t="n">
        <v>6.2</v>
      </c>
      <c r="F8" s="1" t="n">
        <v>0.5</v>
      </c>
    </row>
    <row collapsed="false" customFormat="false" customHeight="false" hidden="false" ht="14.75" outlineLevel="0" r="9">
      <c r="A9" s="1" t="s">
        <v>202</v>
      </c>
      <c r="B9" s="1" t="s">
        <v>196</v>
      </c>
      <c r="C9" s="1" t="s">
        <v>194</v>
      </c>
      <c r="D9" s="1" t="n">
        <v>44</v>
      </c>
      <c r="E9" s="1" t="n">
        <v>5.81</v>
      </c>
      <c r="F9" s="1" t="n">
        <v>0.3</v>
      </c>
    </row>
    <row collapsed="false" customFormat="false" customHeight="false" hidden="false" ht="14.75" outlineLevel="0" r="10">
      <c r="A10" s="1" t="s">
        <v>203</v>
      </c>
      <c r="B10" s="1" t="s">
        <v>194</v>
      </c>
      <c r="C10" s="1" t="s">
        <v>194</v>
      </c>
      <c r="D10" s="1" t="n">
        <v>267.1</v>
      </c>
      <c r="E10" s="1" t="n">
        <v>14.54</v>
      </c>
      <c r="F10" s="1" t="n">
        <f aca="false">14/7</f>
        <v>2</v>
      </c>
    </row>
    <row collapsed="false" customFormat="false" customHeight="false" hidden="false" ht="14.75" outlineLevel="0" r="11">
      <c r="A11" s="1" t="s">
        <v>204</v>
      </c>
      <c r="B11" s="1" t="s">
        <v>194</v>
      </c>
      <c r="C11" s="1" t="s">
        <v>194</v>
      </c>
      <c r="D11" s="1" t="n">
        <v>567.5</v>
      </c>
      <c r="E11" s="1" t="n">
        <v>22.45</v>
      </c>
      <c r="F11" s="1" t="n">
        <f aca="false">54/6</f>
        <v>9</v>
      </c>
    </row>
    <row collapsed="false" customFormat="false" customHeight="false" hidden="false" ht="14.75" outlineLevel="0" r="12">
      <c r="A12" s="1" t="s">
        <v>205</v>
      </c>
      <c r="B12" s="1" t="s">
        <v>194</v>
      </c>
      <c r="C12" s="1" t="s">
        <v>194</v>
      </c>
      <c r="D12" s="1" t="n">
        <v>332.9</v>
      </c>
      <c r="E12" s="1" t="n">
        <v>16.94</v>
      </c>
      <c r="F12" s="1" t="n">
        <f aca="false">17/7</f>
        <v>2.42857142857143</v>
      </c>
    </row>
    <row collapsed="false" customFormat="false" customHeight="false" hidden="false" ht="14.75" outlineLevel="0" r="13">
      <c r="A13" s="1" t="s">
        <v>41</v>
      </c>
      <c r="B13" s="1" t="s">
        <v>196</v>
      </c>
      <c r="C13" s="1" t="s">
        <v>194</v>
      </c>
      <c r="D13" s="1" t="n">
        <v>430.5</v>
      </c>
      <c r="E13" s="1" t="n">
        <v>21.34</v>
      </c>
      <c r="F13" s="1" t="n">
        <v>6.4</v>
      </c>
    </row>
    <row collapsed="false" customFormat="false" customHeight="false" hidden="false" ht="14.75" outlineLevel="0" r="14">
      <c r="A14" s="1" t="s">
        <v>206</v>
      </c>
      <c r="B14" s="1" t="s">
        <v>196</v>
      </c>
      <c r="C14" s="1" t="s">
        <v>194</v>
      </c>
      <c r="D14" s="1" t="n">
        <v>177</v>
      </c>
      <c r="E14" s="1" t="n">
        <v>13.99</v>
      </c>
      <c r="F14" s="1" t="n">
        <v>1.7</v>
      </c>
    </row>
    <row collapsed="false" customFormat="false" customHeight="false" hidden="false" ht="14.75" outlineLevel="0" r="15">
      <c r="A15" s="1" t="s">
        <v>207</v>
      </c>
      <c r="B15" s="1" t="s">
        <v>196</v>
      </c>
      <c r="C15" s="1" t="s">
        <v>194</v>
      </c>
      <c r="D15" s="1" t="n">
        <v>48</v>
      </c>
      <c r="E15" s="1" t="n">
        <v>8</v>
      </c>
      <c r="F15" s="1" t="n">
        <v>0.2</v>
      </c>
    </row>
    <row collapsed="false" customFormat="false" customHeight="false" hidden="false" ht="14.75" outlineLevel="0" r="16">
      <c r="A16" s="1" t="s">
        <v>131</v>
      </c>
      <c r="B16" s="1" t="s">
        <v>194</v>
      </c>
      <c r="C16" s="1" t="s">
        <v>194</v>
      </c>
      <c r="D16" s="1" t="n">
        <v>329</v>
      </c>
      <c r="E16" s="1" t="n">
        <v>17.75</v>
      </c>
      <c r="F16" s="1" t="n">
        <f aca="false">10/5</f>
        <v>2</v>
      </c>
    </row>
    <row collapsed="false" customFormat="false" customHeight="false" hidden="false" ht="14.75" outlineLevel="0" r="17">
      <c r="A17" s="1" t="s">
        <v>208</v>
      </c>
      <c r="B17" s="1" t="s">
        <v>196</v>
      </c>
      <c r="C17" s="1" t="s">
        <v>194</v>
      </c>
      <c r="D17" s="1" t="n">
        <v>337</v>
      </c>
      <c r="E17" s="1" t="n">
        <v>20.51</v>
      </c>
      <c r="F17" s="1" t="n">
        <v>4.6</v>
      </c>
    </row>
    <row collapsed="false" customFormat="false" customHeight="false" hidden="false" ht="14.75" outlineLevel="0" r="18">
      <c r="A18" s="1" t="s">
        <v>209</v>
      </c>
      <c r="B18" s="1" t="s">
        <v>196</v>
      </c>
      <c r="C18" s="1" t="s">
        <v>194</v>
      </c>
      <c r="D18" s="1" t="n">
        <v>173</v>
      </c>
      <c r="E18" s="1" t="n">
        <v>11.84</v>
      </c>
      <c r="F18" s="1" t="n">
        <v>1.9</v>
      </c>
    </row>
    <row collapsed="false" customFormat="false" customHeight="false" hidden="false" ht="14.75" outlineLevel="0" r="19">
      <c r="A19" s="1" t="s">
        <v>210</v>
      </c>
      <c r="B19" s="1" t="s">
        <v>196</v>
      </c>
      <c r="C19" s="1" t="s">
        <v>194</v>
      </c>
      <c r="D19" s="1" t="n">
        <v>111.5</v>
      </c>
      <c r="E19" s="1" t="n">
        <v>11.07</v>
      </c>
      <c r="F19" s="1" t="n">
        <v>1.6</v>
      </c>
    </row>
    <row collapsed="false" customFormat="false" customHeight="false" hidden="false" ht="14.75" outlineLevel="0" r="20">
      <c r="A20" s="1" t="s">
        <v>211</v>
      </c>
      <c r="B20" s="1" t="s">
        <v>196</v>
      </c>
      <c r="C20" s="1" t="s">
        <v>194</v>
      </c>
      <c r="D20" s="1" t="n">
        <v>476.5</v>
      </c>
      <c r="E20" s="1" t="n">
        <v>22.39</v>
      </c>
      <c r="F20" s="1" t="n">
        <v>7.8</v>
      </c>
    </row>
    <row collapsed="false" customFormat="false" customHeight="false" hidden="false" ht="14.75" outlineLevel="0" r="21">
      <c r="A21" s="1" t="s">
        <v>212</v>
      </c>
      <c r="B21" s="1" t="s">
        <v>196</v>
      </c>
      <c r="C21" s="1" t="s">
        <v>194</v>
      </c>
      <c r="D21" s="1" t="n">
        <v>461</v>
      </c>
      <c r="E21" s="1" t="n">
        <v>23.28</v>
      </c>
      <c r="F21" s="1" t="n">
        <v>7.2</v>
      </c>
    </row>
    <row collapsed="false" customFormat="false" customHeight="false" hidden="false" ht="14.75" outlineLevel="0" r="22">
      <c r="A22" s="1" t="s">
        <v>213</v>
      </c>
      <c r="B22" s="1" t="s">
        <v>196</v>
      </c>
      <c r="C22" s="1" t="s">
        <v>194</v>
      </c>
      <c r="D22" s="1" t="n">
        <v>349</v>
      </c>
      <c r="E22" s="1" t="n">
        <v>20.23</v>
      </c>
      <c r="F22" s="1" t="n">
        <v>6</v>
      </c>
    </row>
    <row collapsed="false" customFormat="false" customHeight="false" hidden="false" ht="14.75" outlineLevel="0" r="23">
      <c r="A23" s="1" t="s">
        <v>214</v>
      </c>
      <c r="B23" s="1" t="s">
        <v>196</v>
      </c>
      <c r="C23" s="1" t="s">
        <v>194</v>
      </c>
      <c r="D23" s="1" t="n">
        <v>99.5</v>
      </c>
      <c r="E23" s="1" t="n">
        <v>9.81</v>
      </c>
      <c r="F23" s="1" t="n">
        <v>0.4</v>
      </c>
    </row>
    <row collapsed="false" customFormat="false" customHeight="false" hidden="false" ht="14.75" outlineLevel="0" r="24">
      <c r="A24" s="1" t="s">
        <v>215</v>
      </c>
      <c r="B24" s="1" t="s">
        <v>196</v>
      </c>
      <c r="C24" s="1" t="s">
        <v>194</v>
      </c>
      <c r="D24" s="1" t="n">
        <v>139</v>
      </c>
      <c r="E24" s="1" t="n">
        <v>11.97</v>
      </c>
      <c r="F24" s="1" t="n">
        <v>1.6</v>
      </c>
    </row>
    <row collapsed="false" customFormat="false" customHeight="false" hidden="false" ht="14.75" outlineLevel="0" r="25">
      <c r="A25" s="1" t="s">
        <v>216</v>
      </c>
      <c r="B25" s="1" t="s">
        <v>194</v>
      </c>
      <c r="C25" s="1" t="s">
        <v>194</v>
      </c>
      <c r="D25" s="1" t="n">
        <v>274.2</v>
      </c>
      <c r="E25" s="1" t="n">
        <v>17.8</v>
      </c>
      <c r="F25" s="1" t="n">
        <f aca="false">13/6</f>
        <v>2.16666666666667</v>
      </c>
    </row>
    <row collapsed="false" customFormat="false" customHeight="false" hidden="false" ht="14.75" outlineLevel="0" r="26">
      <c r="A26" s="1" t="s">
        <v>217</v>
      </c>
      <c r="B26" s="1" t="s">
        <v>194</v>
      </c>
      <c r="C26" s="1" t="s">
        <v>194</v>
      </c>
      <c r="D26" s="1" t="n">
        <v>85</v>
      </c>
      <c r="E26" s="1" t="n">
        <v>10.93</v>
      </c>
      <c r="F26" s="1" t="n">
        <f aca="false">2/6</f>
        <v>0.333333333333333</v>
      </c>
    </row>
    <row collapsed="false" customFormat="false" customHeight="false" hidden="false" ht="14.75" outlineLevel="0" r="27">
      <c r="A27" s="1" t="s">
        <v>218</v>
      </c>
      <c r="B27" s="1" t="s">
        <v>196</v>
      </c>
      <c r="C27" s="1" t="s">
        <v>194</v>
      </c>
      <c r="D27" s="1" t="n">
        <v>216.5</v>
      </c>
      <c r="E27" s="1" t="n">
        <v>13.26</v>
      </c>
      <c r="F27" s="1" t="n">
        <v>2.6</v>
      </c>
    </row>
    <row collapsed="false" customFormat="false" customHeight="false" hidden="false" ht="14.75" outlineLevel="0" r="28">
      <c r="A28" s="1" t="s">
        <v>219</v>
      </c>
      <c r="B28" s="1" t="s">
        <v>196</v>
      </c>
      <c r="C28" s="1" t="s">
        <v>194</v>
      </c>
      <c r="D28" s="1" t="n">
        <v>162</v>
      </c>
      <c r="E28" s="1" t="n">
        <v>10.88</v>
      </c>
      <c r="F28" s="1" t="n">
        <v>1.1</v>
      </c>
    </row>
    <row collapsed="false" customFormat="false" customHeight="false" hidden="false" ht="14.75" outlineLevel="0" r="29">
      <c r="A29" s="1" t="s">
        <v>220</v>
      </c>
      <c r="B29" s="1" t="s">
        <v>196</v>
      </c>
      <c r="C29" s="1" t="s">
        <v>194</v>
      </c>
      <c r="D29" s="1" t="n">
        <v>93</v>
      </c>
      <c r="E29" s="1" t="n">
        <v>9.79</v>
      </c>
      <c r="F29" s="1" t="n">
        <v>1.3</v>
      </c>
    </row>
    <row collapsed="false" customFormat="false" customHeight="false" hidden="false" ht="14.75" outlineLevel="0" r="30">
      <c r="A30" s="1" t="s">
        <v>221</v>
      </c>
      <c r="B30" s="1" t="s">
        <v>194</v>
      </c>
      <c r="C30" s="1" t="s">
        <v>194</v>
      </c>
      <c r="D30" s="1" t="n">
        <v>194</v>
      </c>
      <c r="E30" s="1" t="n">
        <v>14.76</v>
      </c>
      <c r="F30" s="1" t="n">
        <f aca="false">7/5</f>
        <v>1.4</v>
      </c>
    </row>
    <row collapsed="false" customFormat="false" customHeight="false" hidden="false" ht="14.75" outlineLevel="0" r="31">
      <c r="A31" s="1" t="s">
        <v>222</v>
      </c>
      <c r="B31" s="1" t="s">
        <v>194</v>
      </c>
      <c r="C31" s="1" t="s">
        <v>194</v>
      </c>
      <c r="D31" s="1" t="n">
        <v>68.3</v>
      </c>
      <c r="E31" s="1" t="n">
        <v>10.45</v>
      </c>
      <c r="F31" s="1" t="n">
        <f aca="false">1/6</f>
        <v>0.166666666666667</v>
      </c>
    </row>
    <row collapsed="false" customFormat="false" customHeight="false" hidden="false" ht="14.75" outlineLevel="0" r="32">
      <c r="A32" s="1" t="s">
        <v>223</v>
      </c>
      <c r="B32" s="1" t="s">
        <v>196</v>
      </c>
      <c r="C32" s="1" t="s">
        <v>194</v>
      </c>
      <c r="D32" s="1" t="n">
        <v>155.5</v>
      </c>
      <c r="E32" s="1" t="n">
        <v>12.43</v>
      </c>
      <c r="F32" s="1" t="n">
        <v>1</v>
      </c>
    </row>
    <row collapsed="false" customFormat="false" customHeight="false" hidden="false" ht="14.75" outlineLevel="0" r="33">
      <c r="A33" s="1" t="s">
        <v>224</v>
      </c>
      <c r="B33" s="1" t="s">
        <v>196</v>
      </c>
      <c r="C33" s="1" t="s">
        <v>194</v>
      </c>
      <c r="D33" s="1" t="n">
        <v>81</v>
      </c>
      <c r="E33" s="1" t="n">
        <v>7.5</v>
      </c>
      <c r="F33" s="1" t="n">
        <v>0.2</v>
      </c>
    </row>
    <row collapsed="false" customFormat="false" customHeight="false" hidden="false" ht="14.75" outlineLevel="0" r="34">
      <c r="A34" s="1" t="s">
        <v>225</v>
      </c>
      <c r="B34" s="1" t="s">
        <v>196</v>
      </c>
      <c r="C34" s="1" t="s">
        <v>194</v>
      </c>
      <c r="D34" s="1" t="n">
        <v>54</v>
      </c>
      <c r="E34" s="1" t="n">
        <v>5.28</v>
      </c>
      <c r="F34" s="1" t="n">
        <v>0.1</v>
      </c>
    </row>
    <row collapsed="false" customFormat="false" customHeight="false" hidden="false" ht="14.75" outlineLevel="0" r="35">
      <c r="A35" s="1" t="s">
        <v>226</v>
      </c>
      <c r="B35" s="1" t="s">
        <v>196</v>
      </c>
      <c r="C35" s="1" t="s">
        <v>194</v>
      </c>
      <c r="D35" s="1" t="n">
        <v>120</v>
      </c>
      <c r="E35" s="1" t="n">
        <v>8.75</v>
      </c>
      <c r="F35" s="1" t="n">
        <v>0.5</v>
      </c>
    </row>
    <row collapsed="false" customFormat="false" customHeight="false" hidden="false" ht="14.75" outlineLevel="0" r="36">
      <c r="A36" s="1" t="s">
        <v>227</v>
      </c>
      <c r="B36" s="1" t="s">
        <v>196</v>
      </c>
      <c r="C36" s="1" t="s">
        <v>194</v>
      </c>
      <c r="D36" s="1" t="n">
        <v>189</v>
      </c>
      <c r="E36" s="1" t="n">
        <v>12.26</v>
      </c>
      <c r="F36" s="1" t="n">
        <v>1.7</v>
      </c>
    </row>
    <row collapsed="false" customFormat="false" customHeight="false" hidden="false" ht="14.75" outlineLevel="0" r="37">
      <c r="A37" s="1" t="s">
        <v>228</v>
      </c>
      <c r="B37" s="1" t="s">
        <v>196</v>
      </c>
      <c r="C37" s="1" t="s">
        <v>194</v>
      </c>
      <c r="D37" s="1" t="n">
        <v>173</v>
      </c>
      <c r="E37" s="1" t="n">
        <v>13.15</v>
      </c>
      <c r="F37" s="1" t="n">
        <v>1.9</v>
      </c>
    </row>
    <row collapsed="false" customFormat="false" customHeight="false" hidden="false" ht="14.75" outlineLevel="0" r="38">
      <c r="A38" s="1" t="s">
        <v>229</v>
      </c>
      <c r="B38" s="1" t="s">
        <v>196</v>
      </c>
      <c r="C38" s="1" t="s">
        <v>194</v>
      </c>
      <c r="D38" s="1" t="n">
        <v>274.5</v>
      </c>
      <c r="E38" s="1" t="n">
        <v>18.79</v>
      </c>
      <c r="F38" s="1" t="n">
        <v>4</v>
      </c>
    </row>
    <row collapsed="false" customFormat="false" customHeight="false" hidden="false" ht="14.75" outlineLevel="0" r="39">
      <c r="A39" s="1" t="s">
        <v>230</v>
      </c>
      <c r="B39" s="1" t="s">
        <v>194</v>
      </c>
      <c r="C39" s="1" t="s">
        <v>194</v>
      </c>
      <c r="D39" s="1" t="n">
        <v>162.9</v>
      </c>
      <c r="E39" s="1" t="n">
        <v>13.65</v>
      </c>
      <c r="F39" s="1" t="n">
        <f aca="false">9/7</f>
        <v>1.28571428571429</v>
      </c>
    </row>
    <row collapsed="false" customFormat="false" customHeight="false" hidden="false" ht="14.75" outlineLevel="0" r="40">
      <c r="A40" s="1" t="s">
        <v>231</v>
      </c>
      <c r="B40" s="1" t="s">
        <v>194</v>
      </c>
      <c r="C40" s="1" t="s">
        <v>194</v>
      </c>
      <c r="D40" s="1" t="n">
        <v>97.5</v>
      </c>
      <c r="E40" s="1" t="n">
        <v>9.06</v>
      </c>
      <c r="F40" s="1" t="n">
        <f aca="false">3/6</f>
        <v>0.5</v>
      </c>
    </row>
    <row collapsed="false" customFormat="false" customHeight="false" hidden="false" ht="14.75" outlineLevel="0" r="41">
      <c r="A41" s="1" t="s">
        <v>232</v>
      </c>
      <c r="B41" s="1" t="s">
        <v>194</v>
      </c>
      <c r="C41" s="1" t="s">
        <v>194</v>
      </c>
      <c r="D41" s="1" t="n">
        <v>44.3</v>
      </c>
      <c r="E41" s="1" t="n">
        <v>5.45</v>
      </c>
      <c r="F41" s="1" t="n">
        <f aca="false">5/7</f>
        <v>0.714285714285714</v>
      </c>
    </row>
    <row collapsed="false" customFormat="false" customHeight="false" hidden="false" ht="14.75" outlineLevel="0" r="42">
      <c r="A42" s="1" t="s">
        <v>233</v>
      </c>
      <c r="B42" s="1" t="s">
        <v>194</v>
      </c>
      <c r="C42" s="1" t="s">
        <v>194</v>
      </c>
      <c r="D42" s="1" t="n">
        <v>20.8</v>
      </c>
      <c r="E42" s="1" t="n">
        <v>0.83</v>
      </c>
      <c r="F42" s="1" t="n">
        <v>0</v>
      </c>
    </row>
    <row collapsed="false" customFormat="false" customHeight="false" hidden="false" ht="14.75" outlineLevel="0" r="43">
      <c r="A43" s="1" t="s">
        <v>234</v>
      </c>
      <c r="B43" s="1" t="s">
        <v>194</v>
      </c>
      <c r="C43" s="1" t="s">
        <v>194</v>
      </c>
      <c r="D43" s="1" t="n">
        <v>52.5</v>
      </c>
      <c r="E43" s="1" t="n">
        <v>7.37</v>
      </c>
      <c r="F43" s="1" t="n">
        <f aca="false">1/6</f>
        <v>0.166666666666667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blackAndWhite="false" cellComments="none" copies="1" draft="false" firstPageNumber="0" fitToHeight="1" fitToWidth="1" horizontalDpi="300" orientation="portrait" pageOrder="downThenOver" paperSize="1" scale="100" useFirstPageNumber="false" usePrinterDefaults="false" verticalDpi="300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49"/>
  <sheetViews>
    <sheetView colorId="64" defaultGridColor="true" rightToLeft="false" showFormulas="false" showGridLines="true" showOutlineSymbols="true" showRowColHeaders="true" showZeros="true" tabSelected="false" topLeftCell="A37" view="normal" windowProtection="false" workbookViewId="0" zoomScale="85" zoomScaleNormal="85" zoomScalePageLayoutView="100">
      <selection activeCell="B47" activeCellId="0" pane="topLeft" sqref="B47"/>
    </sheetView>
  </sheetViews>
  <cols>
    <col collapsed="false" hidden="false" max="1" min="1" style="1" width="24.7254901960784"/>
    <col collapsed="false" hidden="false" max="2" min="2" style="1" width="19.843137254902"/>
    <col collapsed="false" hidden="false" max="3" min="3" style="1" width="4.85490196078431"/>
    <col collapsed="false" hidden="false" max="5" min="4" style="1" width="7.15294117647059"/>
    <col collapsed="false" hidden="false" max="6" min="6" style="1" width="6.52156862745098"/>
    <col collapsed="false" hidden="false" max="1025" min="7" style="0" width="8.5921568627451"/>
  </cols>
  <sheetData>
    <row collapsed="false" customFormat="false" customHeight="false" hidden="false" ht="14.75" outlineLevel="0"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collapsed="false" customFormat="false" customHeight="false" hidden="false" ht="14.75" outlineLevel="0" r="2">
      <c r="A2" s="1" t="s">
        <v>235</v>
      </c>
      <c r="B2" s="1" t="s">
        <v>236</v>
      </c>
      <c r="C2" s="1" t="s">
        <v>237</v>
      </c>
      <c r="D2" s="1" t="n">
        <v>504</v>
      </c>
      <c r="E2" s="1" t="n">
        <v>25.91</v>
      </c>
      <c r="F2" s="1" t="s">
        <v>9</v>
      </c>
    </row>
    <row collapsed="false" customFormat="false" customHeight="false" hidden="false" ht="14.75" outlineLevel="0" r="3">
      <c r="A3" s="1" t="s">
        <v>238</v>
      </c>
      <c r="B3" s="1" t="s">
        <v>239</v>
      </c>
      <c r="C3" s="1" t="s">
        <v>237</v>
      </c>
      <c r="D3" s="1" t="n">
        <v>405.7</v>
      </c>
      <c r="E3" s="1" t="n">
        <v>21.91</v>
      </c>
      <c r="F3" s="1" t="s">
        <v>9</v>
      </c>
    </row>
    <row collapsed="false" customFormat="false" customHeight="false" hidden="false" ht="14.75" outlineLevel="0" r="4">
      <c r="A4" s="1" t="s">
        <v>240</v>
      </c>
      <c r="B4" s="1" t="s">
        <v>236</v>
      </c>
      <c r="C4" s="1" t="s">
        <v>237</v>
      </c>
      <c r="D4" s="1" t="n">
        <v>91.4</v>
      </c>
      <c r="E4" s="1" t="n">
        <v>7.76</v>
      </c>
      <c r="F4" s="1" t="s">
        <v>9</v>
      </c>
    </row>
    <row collapsed="false" customFormat="false" customHeight="false" hidden="false" ht="14.75" outlineLevel="0" r="5">
      <c r="A5" s="1" t="s">
        <v>241</v>
      </c>
      <c r="B5" s="1" t="s">
        <v>236</v>
      </c>
      <c r="C5" s="1" t="s">
        <v>237</v>
      </c>
      <c r="D5" s="1" t="n">
        <v>62.9</v>
      </c>
      <c r="E5" s="1" t="n">
        <v>6.48</v>
      </c>
      <c r="F5" s="1" t="s">
        <v>9</v>
      </c>
    </row>
    <row collapsed="false" customFormat="false" customHeight="false" hidden="false" ht="14.75" outlineLevel="0" r="6">
      <c r="A6" s="1" t="s">
        <v>242</v>
      </c>
      <c r="B6" s="1" t="s">
        <v>239</v>
      </c>
      <c r="C6" s="1" t="s">
        <v>237</v>
      </c>
      <c r="D6" s="1" t="n">
        <v>214.3</v>
      </c>
      <c r="E6" s="1" t="n">
        <v>17.78</v>
      </c>
      <c r="F6" s="1" t="s">
        <v>9</v>
      </c>
    </row>
    <row collapsed="false" customFormat="false" customHeight="false" hidden="false" ht="14.75" outlineLevel="0" r="7">
      <c r="A7" s="1" t="s">
        <v>243</v>
      </c>
      <c r="B7" s="1" t="s">
        <v>239</v>
      </c>
      <c r="C7" s="1" t="s">
        <v>237</v>
      </c>
      <c r="D7" s="1" t="n">
        <v>142.9</v>
      </c>
      <c r="E7" s="1" t="n">
        <v>10.83</v>
      </c>
      <c r="F7" s="1" t="s">
        <v>9</v>
      </c>
    </row>
    <row collapsed="false" customFormat="false" customHeight="false" hidden="false" ht="14.75" outlineLevel="0" r="8">
      <c r="A8" s="1" t="s">
        <v>244</v>
      </c>
      <c r="B8" s="1" t="s">
        <v>236</v>
      </c>
      <c r="C8" s="1" t="s">
        <v>237</v>
      </c>
      <c r="D8" s="1" t="n">
        <v>201.4</v>
      </c>
      <c r="E8" s="1" t="n">
        <v>13.93</v>
      </c>
      <c r="F8" s="1" t="s">
        <v>9</v>
      </c>
    </row>
    <row collapsed="false" customFormat="false" customHeight="false" hidden="false" ht="14.75" outlineLevel="0" r="9">
      <c r="A9" s="1" t="s">
        <v>245</v>
      </c>
      <c r="B9" s="1" t="s">
        <v>236</v>
      </c>
      <c r="C9" s="1" t="s">
        <v>237</v>
      </c>
      <c r="D9" s="1" t="n">
        <v>65.7</v>
      </c>
      <c r="E9" s="1" t="n">
        <v>6.96</v>
      </c>
      <c r="F9" s="1" t="s">
        <v>9</v>
      </c>
    </row>
    <row collapsed="false" customFormat="false" customHeight="false" hidden="false" ht="14.75" outlineLevel="0" r="10">
      <c r="A10" s="1" t="s">
        <v>246</v>
      </c>
      <c r="B10" s="1" t="s">
        <v>236</v>
      </c>
      <c r="C10" s="1" t="s">
        <v>237</v>
      </c>
      <c r="D10" s="1" t="n">
        <v>254.4</v>
      </c>
      <c r="E10" s="1" t="n">
        <v>17.43</v>
      </c>
      <c r="F10" s="1" t="s">
        <v>9</v>
      </c>
    </row>
    <row collapsed="false" customFormat="false" customHeight="false" hidden="false" ht="14.75" outlineLevel="0" r="11">
      <c r="A11" s="1" t="s">
        <v>247</v>
      </c>
      <c r="B11" s="1" t="s">
        <v>236</v>
      </c>
      <c r="C11" s="1" t="s">
        <v>237</v>
      </c>
      <c r="D11" s="1" t="n">
        <v>108.6</v>
      </c>
      <c r="E11" s="1" t="n">
        <v>7.33</v>
      </c>
      <c r="F11" s="1" t="s">
        <v>9</v>
      </c>
    </row>
    <row collapsed="false" customFormat="false" customHeight="false" hidden="false" ht="14.75" outlineLevel="0" r="12">
      <c r="A12" s="1" t="s">
        <v>248</v>
      </c>
      <c r="B12" s="1" t="s">
        <v>236</v>
      </c>
      <c r="C12" s="1" t="s">
        <v>237</v>
      </c>
      <c r="D12" s="1" t="n">
        <v>197.1</v>
      </c>
      <c r="E12" s="1" t="n">
        <v>16.23</v>
      </c>
      <c r="F12" s="1" t="s">
        <v>9</v>
      </c>
    </row>
    <row collapsed="false" customFormat="false" customHeight="false" hidden="false" ht="14.75" outlineLevel="0" r="13">
      <c r="A13" s="1" t="s">
        <v>249</v>
      </c>
      <c r="B13" s="1" t="s">
        <v>236</v>
      </c>
      <c r="C13" s="1" t="s">
        <v>237</v>
      </c>
      <c r="D13" s="1" t="n">
        <v>203.8</v>
      </c>
      <c r="E13" s="1" t="n">
        <v>14.41</v>
      </c>
      <c r="F13" s="1" t="s">
        <v>9</v>
      </c>
    </row>
    <row collapsed="false" customFormat="false" customHeight="false" hidden="false" ht="14.75" outlineLevel="0" r="14">
      <c r="A14" s="1" t="s">
        <v>250</v>
      </c>
      <c r="B14" s="1" t="s">
        <v>236</v>
      </c>
      <c r="C14" s="1" t="s">
        <v>237</v>
      </c>
      <c r="D14" s="1" t="n">
        <v>181.4</v>
      </c>
      <c r="E14" s="1" t="n">
        <v>17.13</v>
      </c>
      <c r="F14" s="1" t="s">
        <v>9</v>
      </c>
    </row>
    <row collapsed="false" customFormat="false" customHeight="false" hidden="false" ht="14.75" outlineLevel="0" r="15">
      <c r="A15" s="1" t="s">
        <v>251</v>
      </c>
      <c r="B15" s="1" t="s">
        <v>239</v>
      </c>
      <c r="C15" s="1" t="s">
        <v>237</v>
      </c>
      <c r="D15" s="1" t="n">
        <v>305.7</v>
      </c>
      <c r="E15" s="1" t="n">
        <v>20.57</v>
      </c>
      <c r="F15" s="1" t="s">
        <v>9</v>
      </c>
    </row>
    <row collapsed="false" customFormat="false" customHeight="false" hidden="false" ht="14.75" outlineLevel="0" r="16">
      <c r="A16" s="1" t="s">
        <v>252</v>
      </c>
      <c r="B16" s="1" t="s">
        <v>239</v>
      </c>
      <c r="C16" s="1" t="s">
        <v>237</v>
      </c>
      <c r="D16" s="1" t="n">
        <v>150</v>
      </c>
      <c r="E16" s="1" t="n">
        <v>14.42</v>
      </c>
      <c r="F16" s="1" t="s">
        <v>9</v>
      </c>
    </row>
    <row collapsed="false" customFormat="false" customHeight="false" hidden="false" ht="14.75" outlineLevel="0" r="17">
      <c r="A17" s="1" t="s">
        <v>253</v>
      </c>
      <c r="B17" s="1" t="s">
        <v>239</v>
      </c>
      <c r="C17" s="1" t="s">
        <v>237</v>
      </c>
      <c r="D17" s="1" t="n">
        <v>415.7</v>
      </c>
      <c r="E17" s="1" t="n">
        <v>24.24</v>
      </c>
      <c r="F17" s="1" t="s">
        <v>9</v>
      </c>
    </row>
    <row collapsed="false" customFormat="false" customHeight="false" hidden="false" ht="14.75" outlineLevel="0" r="18">
      <c r="A18" s="1" t="s">
        <v>254</v>
      </c>
      <c r="B18" s="1" t="s">
        <v>239</v>
      </c>
      <c r="C18" s="1" t="s">
        <v>237</v>
      </c>
      <c r="D18" s="1" t="n">
        <v>210</v>
      </c>
      <c r="E18" s="1" t="n">
        <v>16.25</v>
      </c>
      <c r="F18" s="1" t="s">
        <v>9</v>
      </c>
    </row>
    <row collapsed="false" customFormat="false" customHeight="false" hidden="false" ht="14.75" outlineLevel="0" r="19">
      <c r="A19" s="1" t="s">
        <v>255</v>
      </c>
      <c r="B19" s="1" t="s">
        <v>239</v>
      </c>
      <c r="C19" s="1" t="s">
        <v>237</v>
      </c>
      <c r="D19" s="1" t="n">
        <v>548.6</v>
      </c>
      <c r="E19" s="1" t="n">
        <v>26.23</v>
      </c>
      <c r="F19" s="1" t="s">
        <v>9</v>
      </c>
    </row>
    <row collapsed="false" customFormat="false" customHeight="false" hidden="false" ht="14.75" outlineLevel="0" r="20">
      <c r="A20" s="1" t="s">
        <v>256</v>
      </c>
      <c r="B20" s="1" t="s">
        <v>239</v>
      </c>
      <c r="C20" s="1" t="s">
        <v>237</v>
      </c>
      <c r="D20" s="1" t="n">
        <v>230</v>
      </c>
      <c r="E20" s="1" t="n">
        <v>15.16</v>
      </c>
      <c r="F20" s="1" t="s">
        <v>9</v>
      </c>
    </row>
    <row collapsed="false" customFormat="false" customHeight="false" hidden="false" ht="14.75" outlineLevel="0" r="21">
      <c r="A21" s="1" t="s">
        <v>257</v>
      </c>
      <c r="B21" s="1" t="s">
        <v>236</v>
      </c>
      <c r="C21" s="1" t="s">
        <v>237</v>
      </c>
      <c r="D21" s="1" t="n">
        <v>197.5</v>
      </c>
      <c r="E21" s="1" t="n">
        <v>14.33</v>
      </c>
      <c r="F21" s="1" t="s">
        <v>9</v>
      </c>
    </row>
    <row collapsed="false" customFormat="false" customHeight="false" hidden="false" ht="14.75" outlineLevel="0" r="22">
      <c r="A22" s="1" t="s">
        <v>258</v>
      </c>
      <c r="B22" s="1" t="s">
        <v>236</v>
      </c>
      <c r="C22" s="1" t="s">
        <v>237</v>
      </c>
      <c r="D22" s="1" t="n">
        <v>75</v>
      </c>
      <c r="E22" s="1" t="n">
        <v>7.5</v>
      </c>
      <c r="F22" s="1" t="s">
        <v>9</v>
      </c>
    </row>
    <row collapsed="false" customFormat="false" customHeight="false" hidden="false" ht="14.75" outlineLevel="0" r="23">
      <c r="A23" s="1" t="s">
        <v>259</v>
      </c>
      <c r="B23" s="1" t="s">
        <v>236</v>
      </c>
      <c r="C23" s="1" t="s">
        <v>237</v>
      </c>
      <c r="D23" s="1" t="n">
        <v>118.6</v>
      </c>
      <c r="E23" s="1" t="n">
        <v>11.54</v>
      </c>
      <c r="F23" s="1" t="s">
        <v>9</v>
      </c>
    </row>
    <row collapsed="false" customFormat="false" customHeight="false" hidden="false" ht="14.75" outlineLevel="0" r="24">
      <c r="A24" s="1" t="s">
        <v>260</v>
      </c>
      <c r="B24" s="1" t="s">
        <v>236</v>
      </c>
      <c r="C24" s="1" t="s">
        <v>237</v>
      </c>
      <c r="D24" s="1" t="n">
        <v>34.3</v>
      </c>
      <c r="E24" s="1" t="n">
        <v>2.5</v>
      </c>
      <c r="F24" s="1" t="s">
        <v>9</v>
      </c>
    </row>
    <row collapsed="false" customFormat="false" customHeight="false" hidden="false" ht="14.75" outlineLevel="0" r="25">
      <c r="A25" s="1" t="s">
        <v>261</v>
      </c>
      <c r="B25" s="1" t="s">
        <v>236</v>
      </c>
      <c r="C25" s="1" t="s">
        <v>237</v>
      </c>
      <c r="D25" s="1" t="n">
        <v>199.3</v>
      </c>
      <c r="E25" s="1" t="n">
        <v>15</v>
      </c>
      <c r="F25" s="1" t="s">
        <v>9</v>
      </c>
    </row>
    <row collapsed="false" customFormat="false" customHeight="false" hidden="false" ht="14.75" outlineLevel="0" r="26">
      <c r="A26" s="1" t="s">
        <v>262</v>
      </c>
      <c r="B26" s="1" t="s">
        <v>236</v>
      </c>
      <c r="C26" s="1" t="s">
        <v>237</v>
      </c>
      <c r="D26" s="1" t="n">
        <v>31.4</v>
      </c>
      <c r="E26" s="1" t="n">
        <v>6.25</v>
      </c>
      <c r="F26" s="1" t="s">
        <v>9</v>
      </c>
    </row>
    <row collapsed="false" customFormat="false" customHeight="false" hidden="false" ht="14.75" outlineLevel="0" r="27">
      <c r="A27" s="1" t="s">
        <v>263</v>
      </c>
      <c r="B27" s="1" t="s">
        <v>239</v>
      </c>
      <c r="C27" s="1" t="s">
        <v>237</v>
      </c>
      <c r="D27" s="1" t="n">
        <v>214.3</v>
      </c>
      <c r="E27" s="1" t="n">
        <v>17.27</v>
      </c>
      <c r="F27" s="1" t="s">
        <v>9</v>
      </c>
    </row>
    <row collapsed="false" customFormat="false" customHeight="false" hidden="false" ht="14.75" outlineLevel="0" r="28">
      <c r="A28" s="1" t="s">
        <v>264</v>
      </c>
      <c r="B28" s="1" t="s">
        <v>236</v>
      </c>
      <c r="C28" s="1" t="s">
        <v>237</v>
      </c>
      <c r="D28" s="1" t="n">
        <v>568.5</v>
      </c>
      <c r="E28" s="1" t="n">
        <v>25.56</v>
      </c>
      <c r="F28" s="1" t="s">
        <v>9</v>
      </c>
    </row>
    <row collapsed="false" customFormat="false" customHeight="false" hidden="false" ht="14.75" outlineLevel="0" r="29">
      <c r="A29" s="1" t="s">
        <v>265</v>
      </c>
      <c r="B29" s="1" t="s">
        <v>236</v>
      </c>
      <c r="C29" s="1" t="s">
        <v>237</v>
      </c>
      <c r="D29" s="1" t="n">
        <v>45</v>
      </c>
      <c r="E29" s="1" t="n">
        <v>6.5</v>
      </c>
      <c r="F29" s="1" t="s">
        <v>9</v>
      </c>
    </row>
    <row collapsed="false" customFormat="false" customHeight="false" hidden="false" ht="14.75" outlineLevel="0" r="30">
      <c r="A30" s="1" t="s">
        <v>266</v>
      </c>
      <c r="B30" s="1" t="s">
        <v>239</v>
      </c>
      <c r="C30" s="1" t="s">
        <v>237</v>
      </c>
      <c r="D30" s="1" t="n">
        <v>580</v>
      </c>
      <c r="E30" s="1" t="n">
        <v>26.91</v>
      </c>
      <c r="F30" s="1" t="s">
        <v>9</v>
      </c>
    </row>
    <row collapsed="false" customFormat="false" customHeight="false" hidden="false" ht="14.75" outlineLevel="0" r="31">
      <c r="A31" s="1" t="s">
        <v>267</v>
      </c>
      <c r="B31" s="1" t="s">
        <v>239</v>
      </c>
      <c r="C31" s="1" t="s">
        <v>237</v>
      </c>
      <c r="D31" s="1" t="n">
        <v>218.6</v>
      </c>
      <c r="E31" s="1" t="n">
        <v>15.93</v>
      </c>
      <c r="F31" s="1" t="s">
        <v>9</v>
      </c>
    </row>
    <row collapsed="false" customFormat="false" customHeight="false" hidden="false" ht="14.75" outlineLevel="0" r="32">
      <c r="A32" s="1" t="s">
        <v>268</v>
      </c>
      <c r="B32" s="1" t="s">
        <v>239</v>
      </c>
      <c r="C32" s="1" t="s">
        <v>237</v>
      </c>
      <c r="D32" s="1" t="n">
        <v>135.7</v>
      </c>
      <c r="E32" s="1" t="n">
        <v>13.17</v>
      </c>
      <c r="F32" s="1" t="s">
        <v>9</v>
      </c>
    </row>
    <row collapsed="false" customFormat="false" customHeight="false" hidden="false" ht="14.75" outlineLevel="0" r="33">
      <c r="A33" s="1" t="s">
        <v>269</v>
      </c>
      <c r="B33" s="1" t="s">
        <v>239</v>
      </c>
      <c r="C33" s="1" t="s">
        <v>237</v>
      </c>
      <c r="D33" s="1" t="n">
        <v>137.1</v>
      </c>
      <c r="E33" s="1" t="n">
        <v>11.82</v>
      </c>
      <c r="F33" s="1" t="s">
        <v>9</v>
      </c>
    </row>
    <row collapsed="false" customFormat="false" customHeight="false" hidden="false" ht="14.75" outlineLevel="0" r="34">
      <c r="A34" s="1" t="s">
        <v>270</v>
      </c>
      <c r="B34" s="1" t="s">
        <v>239</v>
      </c>
      <c r="C34" s="1" t="s">
        <v>237</v>
      </c>
      <c r="D34" s="1" t="n">
        <v>120</v>
      </c>
      <c r="E34" s="1" t="n">
        <v>12.11</v>
      </c>
      <c r="F34" s="1" t="s">
        <v>9</v>
      </c>
    </row>
    <row collapsed="false" customFormat="false" customHeight="false" hidden="false" ht="14.75" outlineLevel="0" r="35">
      <c r="A35" s="1" t="s">
        <v>271</v>
      </c>
      <c r="B35" s="1" t="s">
        <v>239</v>
      </c>
      <c r="C35" s="1" t="s">
        <v>237</v>
      </c>
      <c r="D35" s="1" t="n">
        <v>51.4</v>
      </c>
      <c r="E35" s="1" t="n">
        <v>6.36</v>
      </c>
      <c r="F35" s="1" t="s">
        <v>9</v>
      </c>
    </row>
    <row collapsed="false" customFormat="false" customHeight="false" hidden="false" ht="14.75" outlineLevel="0" r="36">
      <c r="A36" s="1" t="s">
        <v>272</v>
      </c>
      <c r="B36" s="1" t="s">
        <v>239</v>
      </c>
      <c r="C36" s="1" t="s">
        <v>237</v>
      </c>
      <c r="D36" s="1" t="n">
        <v>48.6</v>
      </c>
      <c r="E36" s="1" t="n">
        <v>7</v>
      </c>
      <c r="F36" s="1" t="s">
        <v>9</v>
      </c>
    </row>
    <row collapsed="false" customFormat="false" customHeight="false" hidden="false" ht="14.75" outlineLevel="0" r="37">
      <c r="A37" s="1" t="s">
        <v>273</v>
      </c>
      <c r="B37" s="1" t="s">
        <v>236</v>
      </c>
      <c r="C37" s="1" t="s">
        <v>237</v>
      </c>
      <c r="D37" s="1" t="n">
        <v>306.7</v>
      </c>
      <c r="E37" s="1" t="n">
        <v>17.92</v>
      </c>
      <c r="F37" s="1" t="s">
        <v>9</v>
      </c>
    </row>
    <row collapsed="false" customFormat="false" customHeight="false" hidden="false" ht="14.75" outlineLevel="0" r="38">
      <c r="A38" s="1" t="s">
        <v>274</v>
      </c>
      <c r="B38" s="1" t="s">
        <v>236</v>
      </c>
      <c r="C38" s="1" t="s">
        <v>237</v>
      </c>
      <c r="D38" s="1" t="n">
        <v>115</v>
      </c>
      <c r="E38" s="1" t="n">
        <v>10.75</v>
      </c>
      <c r="F38" s="1" t="s">
        <v>9</v>
      </c>
    </row>
    <row collapsed="false" customFormat="false" customHeight="false" hidden="false" ht="14.75" outlineLevel="0" r="39">
      <c r="A39" s="1" t="s">
        <v>275</v>
      </c>
      <c r="B39" s="1" t="s">
        <v>239</v>
      </c>
      <c r="C39" s="1" t="s">
        <v>237</v>
      </c>
      <c r="D39" s="1" t="n">
        <v>474.3</v>
      </c>
      <c r="E39" s="1" t="n">
        <v>24.95</v>
      </c>
      <c r="F39" s="1" t="s">
        <v>9</v>
      </c>
    </row>
    <row collapsed="false" customFormat="false" customHeight="false" hidden="false" ht="14.75" outlineLevel="0" r="40">
      <c r="A40" s="1" t="s">
        <v>276</v>
      </c>
      <c r="B40" s="1" t="s">
        <v>239</v>
      </c>
      <c r="C40" s="1" t="s">
        <v>237</v>
      </c>
      <c r="D40" s="1" t="n">
        <v>377.1</v>
      </c>
      <c r="E40" s="1" t="n">
        <v>21.43</v>
      </c>
      <c r="F40" s="1" t="s">
        <v>9</v>
      </c>
    </row>
    <row collapsed="false" customFormat="false" customHeight="false" hidden="false" ht="14.75" outlineLevel="0" r="41">
      <c r="A41" s="1" t="s">
        <v>277</v>
      </c>
      <c r="B41" s="1" t="s">
        <v>239</v>
      </c>
      <c r="C41" s="1" t="s">
        <v>237</v>
      </c>
      <c r="D41" s="1" t="n">
        <v>107.1</v>
      </c>
      <c r="E41" s="1" t="n">
        <v>10.83</v>
      </c>
      <c r="F41" s="1" t="s">
        <v>9</v>
      </c>
    </row>
    <row collapsed="false" customFormat="false" customHeight="false" hidden="false" ht="14.75" outlineLevel="0" r="42">
      <c r="A42" s="1" t="s">
        <v>278</v>
      </c>
      <c r="B42" s="1" t="s">
        <v>239</v>
      </c>
      <c r="C42" s="1" t="s">
        <v>237</v>
      </c>
      <c r="D42" s="1" t="n">
        <v>314.3</v>
      </c>
      <c r="E42" s="1" t="n">
        <v>18.95</v>
      </c>
      <c r="F42" s="1" t="s">
        <v>9</v>
      </c>
    </row>
    <row collapsed="false" customFormat="false" customHeight="false" hidden="false" ht="14.75" outlineLevel="0" r="43">
      <c r="A43" s="1" t="s">
        <v>279</v>
      </c>
      <c r="B43" s="1" t="s">
        <v>236</v>
      </c>
      <c r="C43" s="1" t="s">
        <v>237</v>
      </c>
      <c r="D43" s="1" t="n">
        <v>365.6</v>
      </c>
      <c r="E43" s="1" t="n">
        <v>19.57</v>
      </c>
      <c r="F43" s="1" t="s">
        <v>9</v>
      </c>
    </row>
    <row collapsed="false" customFormat="false" customHeight="false" hidden="false" ht="14.75" outlineLevel="0" r="44">
      <c r="A44" s="1" t="s">
        <v>280</v>
      </c>
      <c r="B44" s="1" t="s">
        <v>236</v>
      </c>
      <c r="C44" s="1" t="s">
        <v>237</v>
      </c>
      <c r="D44" s="1" t="n">
        <v>259.3</v>
      </c>
      <c r="E44" s="1" t="n">
        <v>14.93</v>
      </c>
      <c r="F44" s="1" t="s">
        <v>9</v>
      </c>
    </row>
    <row collapsed="false" customFormat="false" customHeight="false" hidden="false" ht="14.75" outlineLevel="0" r="45">
      <c r="A45" s="1" t="s">
        <v>281</v>
      </c>
      <c r="B45" s="1" t="s">
        <v>236</v>
      </c>
      <c r="C45" s="1" t="s">
        <v>237</v>
      </c>
      <c r="D45" s="1" t="n">
        <v>138.6</v>
      </c>
      <c r="E45" s="1" t="n">
        <v>11.3</v>
      </c>
      <c r="F45" s="1" t="s">
        <v>9</v>
      </c>
    </row>
    <row collapsed="false" customFormat="false" customHeight="false" hidden="false" ht="14.75" outlineLevel="0" r="46">
      <c r="A46" s="1" t="s">
        <v>282</v>
      </c>
      <c r="B46" s="1" t="s">
        <v>236</v>
      </c>
      <c r="C46" s="1" t="s">
        <v>237</v>
      </c>
      <c r="D46" s="1" t="n">
        <v>280</v>
      </c>
      <c r="E46" s="1" t="n">
        <v>15.62</v>
      </c>
      <c r="F46" s="1" t="s">
        <v>9</v>
      </c>
    </row>
    <row collapsed="false" customFormat="false" customHeight="false" hidden="false" ht="14.75" outlineLevel="0" r="47">
      <c r="A47" s="1" t="s">
        <v>283</v>
      </c>
      <c r="B47" s="1" t="s">
        <v>239</v>
      </c>
      <c r="C47" s="1" t="s">
        <v>237</v>
      </c>
      <c r="D47" s="1" t="n">
        <v>480</v>
      </c>
      <c r="E47" s="1" t="n">
        <v>25</v>
      </c>
      <c r="F47" s="1" t="s">
        <v>9</v>
      </c>
    </row>
    <row collapsed="false" customFormat="false" customHeight="false" hidden="false" ht="14.75" outlineLevel="0" r="48">
      <c r="A48" s="1" t="s">
        <v>284</v>
      </c>
      <c r="B48" s="1" t="s">
        <v>239</v>
      </c>
      <c r="C48" s="1" t="s">
        <v>237</v>
      </c>
      <c r="D48" s="1" t="n">
        <v>87.1</v>
      </c>
      <c r="E48" s="1" t="n">
        <v>9.06</v>
      </c>
      <c r="F48" s="1" t="s">
        <v>9</v>
      </c>
    </row>
    <row collapsed="false" customFormat="false" customHeight="false" hidden="false" ht="14.75" outlineLevel="0" r="49">
      <c r="A49" s="1" t="s">
        <v>285</v>
      </c>
      <c r="B49" s="1" t="s">
        <v>239</v>
      </c>
      <c r="C49" s="1" t="s">
        <v>237</v>
      </c>
      <c r="D49" s="1" t="n">
        <v>34.3</v>
      </c>
      <c r="E49" s="1" t="n">
        <v>8.46</v>
      </c>
      <c r="F49" s="1" t="s">
        <v>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blackAndWhite="false" cellComments="none" copies="1" draft="false" firstPageNumber="0" fitToHeight="1" fitToWidth="1" horizontalDpi="300" orientation="portrait" pageOrder="downThenOver" paperSize="1" scale="100" useFirstPageNumber="false" usePrinterDefaults="false" verticalDpi="300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163"/>
  <sheetViews>
    <sheetView colorId="64" defaultGridColor="true" rightToLeft="false" showFormulas="false" showGridLines="true" showOutlineSymbols="true" showRowColHeaders="true" showZeros="true" tabSelected="false" topLeftCell="A151" view="normal" windowProtection="false" workbookViewId="0" zoomScale="85" zoomScaleNormal="85" zoomScalePageLayoutView="100">
      <selection activeCell="A163" activeCellId="0" pane="topLeft" sqref="A163"/>
    </sheetView>
  </sheetViews>
  <cols>
    <col collapsed="false" hidden="false" max="1" min="1" style="1" width="25.3882352941176"/>
    <col collapsed="false" hidden="false" max="2" min="2" style="1" width="16.2705882352941"/>
    <col collapsed="false" hidden="false" max="3" min="3" style="1" width="8.62745098039216"/>
    <col collapsed="false" hidden="false" max="6" min="4" style="1" width="14.1647058823529"/>
    <col collapsed="false" hidden="false" max="1025" min="7" style="1" width="10.8705882352941"/>
  </cols>
  <sheetData>
    <row collapsed="false" customFormat="false" customHeight="false" hidden="false" ht="14.75" outlineLevel="0"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collapsed="false" customFormat="false" customHeight="false" hidden="false" ht="14.75" outlineLevel="0" r="2">
      <c r="A2" s="1" t="s">
        <v>286</v>
      </c>
      <c r="B2" s="1" t="s">
        <v>287</v>
      </c>
      <c r="C2" s="1" t="s">
        <v>288</v>
      </c>
      <c r="D2" s="1" t="n">
        <v>496</v>
      </c>
      <c r="E2" s="1" t="n">
        <v>26.27</v>
      </c>
      <c r="F2" s="1" t="n">
        <v>8.9</v>
      </c>
    </row>
    <row collapsed="false" customFormat="false" customHeight="false" hidden="false" ht="14.75" outlineLevel="0" r="3">
      <c r="A3" s="1" t="s">
        <v>289</v>
      </c>
      <c r="B3" s="1" t="s">
        <v>287</v>
      </c>
      <c r="C3" s="1" t="s">
        <v>288</v>
      </c>
      <c r="D3" s="1" t="n">
        <v>252</v>
      </c>
      <c r="E3" s="1" t="n">
        <v>20.25</v>
      </c>
      <c r="F3" s="1" t="n">
        <v>3.6</v>
      </c>
    </row>
    <row collapsed="false" customFormat="false" customHeight="false" hidden="false" ht="14.75" outlineLevel="0" r="4">
      <c r="A4" s="1" t="s">
        <v>290</v>
      </c>
      <c r="B4" s="1" t="s">
        <v>291</v>
      </c>
      <c r="C4" s="1" t="s">
        <v>288</v>
      </c>
      <c r="D4" s="1" t="n">
        <v>156.5</v>
      </c>
      <c r="E4" s="1" t="n">
        <v>11.76</v>
      </c>
      <c r="F4" s="1" t="n">
        <v>1.1</v>
      </c>
    </row>
    <row collapsed="false" customFormat="false" customHeight="false" hidden="false" ht="14.75" outlineLevel="0" r="5">
      <c r="A5" s="1" t="s">
        <v>292</v>
      </c>
      <c r="B5" s="1" t="s">
        <v>291</v>
      </c>
      <c r="C5" s="1" t="s">
        <v>288</v>
      </c>
      <c r="D5" s="1" t="n">
        <v>322.7</v>
      </c>
      <c r="E5" s="1" t="n">
        <v>17.64</v>
      </c>
      <c r="F5" s="1" t="n">
        <f aca="false">24/11</f>
        <v>2.18181818181818</v>
      </c>
    </row>
    <row collapsed="false" customFormat="false" customHeight="false" hidden="false" ht="14.75" outlineLevel="0" r="6">
      <c r="A6" s="1" t="s">
        <v>293</v>
      </c>
      <c r="B6" s="1" t="s">
        <v>294</v>
      </c>
      <c r="C6" s="1" t="s">
        <v>288</v>
      </c>
      <c r="D6" s="1" t="n">
        <v>484</v>
      </c>
      <c r="E6" s="1" t="n">
        <v>24.92</v>
      </c>
      <c r="F6" s="1" t="n">
        <f aca="false">17/5</f>
        <v>3.4</v>
      </c>
    </row>
    <row collapsed="false" customFormat="false" customHeight="false" hidden="false" ht="14.75" outlineLevel="0" r="7">
      <c r="A7" s="1" t="s">
        <v>295</v>
      </c>
      <c r="B7" s="1" t="s">
        <v>287</v>
      </c>
      <c r="C7" s="1" t="s">
        <v>288</v>
      </c>
      <c r="D7" s="1" t="n">
        <v>332</v>
      </c>
      <c r="E7" s="1" t="n">
        <v>25.38</v>
      </c>
      <c r="F7" s="1" t="n">
        <v>5</v>
      </c>
    </row>
    <row collapsed="false" customFormat="false" customHeight="false" hidden="false" ht="14.75" outlineLevel="0" r="8">
      <c r="A8" s="1" t="s">
        <v>296</v>
      </c>
      <c r="B8" s="1" t="s">
        <v>291</v>
      </c>
      <c r="C8" s="1" t="s">
        <v>288</v>
      </c>
      <c r="D8" s="1" t="n">
        <v>126.7</v>
      </c>
      <c r="E8" s="1" t="n">
        <v>8.52</v>
      </c>
      <c r="F8" s="1" t="n">
        <v>1</v>
      </c>
    </row>
    <row collapsed="false" customFormat="false" customHeight="false" hidden="false" ht="14.75" outlineLevel="0" r="9">
      <c r="A9" s="1" t="s">
        <v>297</v>
      </c>
      <c r="B9" s="1" t="s">
        <v>291</v>
      </c>
      <c r="C9" s="1" t="s">
        <v>288</v>
      </c>
      <c r="D9" s="1" t="n">
        <v>47.5</v>
      </c>
      <c r="E9" s="1" t="n">
        <v>5.29</v>
      </c>
      <c r="F9" s="1" t="n">
        <v>0.2</v>
      </c>
    </row>
    <row collapsed="false" customFormat="false" customHeight="false" hidden="false" ht="14.75" outlineLevel="0" r="10">
      <c r="A10" s="6" t="s">
        <v>298</v>
      </c>
      <c r="B10" s="6" t="s">
        <v>299</v>
      </c>
      <c r="C10" s="6" t="s">
        <v>288</v>
      </c>
      <c r="D10" s="6" t="n">
        <v>140.6</v>
      </c>
      <c r="E10" s="6" t="n">
        <v>9.32</v>
      </c>
      <c r="F10" s="6" t="s">
        <v>9</v>
      </c>
    </row>
    <row collapsed="false" customFormat="false" customHeight="false" hidden="false" ht="14.75" outlineLevel="0" r="11">
      <c r="A11" s="1" t="s">
        <v>300</v>
      </c>
      <c r="B11" s="1" t="s">
        <v>287</v>
      </c>
      <c r="C11" s="1" t="s">
        <v>288</v>
      </c>
      <c r="D11" s="1" t="n">
        <v>345</v>
      </c>
      <c r="E11" s="1" t="n">
        <v>22.95</v>
      </c>
      <c r="F11" s="1" t="n">
        <v>4.9</v>
      </c>
    </row>
    <row collapsed="false" customFormat="false" customHeight="false" hidden="false" ht="14.75" outlineLevel="0" r="12">
      <c r="A12" s="1" t="s">
        <v>301</v>
      </c>
      <c r="B12" s="1" t="s">
        <v>291</v>
      </c>
      <c r="C12" s="1" t="s">
        <v>288</v>
      </c>
      <c r="D12" s="1" t="n">
        <v>102</v>
      </c>
      <c r="E12" s="1" t="n">
        <v>9.06</v>
      </c>
      <c r="F12" s="1" t="n">
        <v>0.2</v>
      </c>
    </row>
    <row collapsed="false" customFormat="false" customHeight="false" hidden="false" ht="14.75" outlineLevel="0" r="13">
      <c r="A13" s="1" t="s">
        <v>302</v>
      </c>
      <c r="B13" s="1" t="s">
        <v>288</v>
      </c>
      <c r="C13" s="1" t="s">
        <v>288</v>
      </c>
      <c r="D13" s="1" t="n">
        <v>258.04</v>
      </c>
      <c r="E13" s="1" t="n">
        <v>19.7727272727273</v>
      </c>
      <c r="F13" s="1" t="s">
        <v>9</v>
      </c>
    </row>
    <row collapsed="false" customFormat="false" customHeight="false" hidden="false" ht="14.75" outlineLevel="0" r="14">
      <c r="A14" s="1" t="s">
        <v>303</v>
      </c>
      <c r="B14" s="1" t="s">
        <v>287</v>
      </c>
      <c r="C14" s="1" t="s">
        <v>288</v>
      </c>
      <c r="D14" s="1" t="n">
        <v>350.5</v>
      </c>
      <c r="E14" s="1" t="n">
        <v>24.79</v>
      </c>
      <c r="F14" s="1" t="n">
        <v>6.2</v>
      </c>
    </row>
    <row collapsed="false" customFormat="false" customHeight="false" hidden="false" ht="14.75" outlineLevel="0" r="15">
      <c r="A15" s="1" t="s">
        <v>304</v>
      </c>
      <c r="B15" s="1" t="s">
        <v>288</v>
      </c>
      <c r="C15" s="1" t="s">
        <v>288</v>
      </c>
      <c r="D15" s="1" t="n">
        <v>397.5</v>
      </c>
      <c r="E15" s="1" t="n">
        <v>21.640625</v>
      </c>
      <c r="F15" s="1" t="s">
        <v>9</v>
      </c>
    </row>
    <row collapsed="false" customFormat="false" customHeight="false" hidden="false" ht="14.75" outlineLevel="0" r="16">
      <c r="A16" s="1" t="s">
        <v>38</v>
      </c>
      <c r="B16" s="1" t="s">
        <v>287</v>
      </c>
      <c r="C16" s="1" t="s">
        <v>288</v>
      </c>
      <c r="D16" s="1" t="n">
        <v>277</v>
      </c>
      <c r="E16" s="1" t="n">
        <v>20.11</v>
      </c>
      <c r="F16" s="1" t="n">
        <v>4.4</v>
      </c>
    </row>
    <row collapsed="false" customFormat="false" customHeight="false" hidden="false" ht="14.75" outlineLevel="0" r="17">
      <c r="A17" s="6" t="s">
        <v>305</v>
      </c>
      <c r="B17" s="6" t="s">
        <v>299</v>
      </c>
      <c r="C17" s="6" t="s">
        <v>288</v>
      </c>
      <c r="D17" s="6" t="n">
        <v>83.8</v>
      </c>
      <c r="E17" s="6" t="n">
        <v>10.69</v>
      </c>
      <c r="F17" s="6" t="s">
        <v>9</v>
      </c>
    </row>
    <row collapsed="false" customFormat="false" customHeight="false" hidden="false" ht="14.75" outlineLevel="0" r="18">
      <c r="A18" s="6" t="s">
        <v>306</v>
      </c>
      <c r="B18" s="6" t="s">
        <v>299</v>
      </c>
      <c r="C18" s="6" t="s">
        <v>288</v>
      </c>
      <c r="D18" s="6" t="n">
        <v>92.5</v>
      </c>
      <c r="E18" s="6" t="n">
        <v>8.18</v>
      </c>
      <c r="F18" s="6" t="s">
        <v>9</v>
      </c>
    </row>
    <row collapsed="false" customFormat="false" customHeight="false" hidden="false" ht="14.75" outlineLevel="0" r="19">
      <c r="A19" s="6" t="s">
        <v>307</v>
      </c>
      <c r="B19" s="6" t="s">
        <v>299</v>
      </c>
      <c r="C19" s="6" t="s">
        <v>288</v>
      </c>
      <c r="D19" s="6" t="n">
        <v>130.6</v>
      </c>
      <c r="E19" s="6" t="n">
        <v>10.38</v>
      </c>
      <c r="F19" s="6" t="s">
        <v>9</v>
      </c>
    </row>
    <row collapsed="false" customFormat="false" customHeight="false" hidden="false" ht="14.75" outlineLevel="0" r="20">
      <c r="A20" s="1" t="s">
        <v>308</v>
      </c>
      <c r="B20" s="1" t="s">
        <v>309</v>
      </c>
      <c r="C20" s="4" t="s">
        <v>288</v>
      </c>
      <c r="D20" s="1" t="n">
        <v>73</v>
      </c>
      <c r="E20" s="1" t="n">
        <v>7.5</v>
      </c>
      <c r="F20" s="1" t="s">
        <v>9</v>
      </c>
    </row>
    <row collapsed="false" customFormat="false" customHeight="false" hidden="false" ht="14.75" outlineLevel="0" r="21">
      <c r="A21" s="6" t="s">
        <v>310</v>
      </c>
      <c r="B21" s="6" t="s">
        <v>299</v>
      </c>
      <c r="C21" s="6" t="s">
        <v>288</v>
      </c>
      <c r="D21" s="6" t="n">
        <v>257.9</v>
      </c>
      <c r="E21" s="6" t="n">
        <v>16.79</v>
      </c>
      <c r="F21" s="6" t="s">
        <v>9</v>
      </c>
    </row>
    <row collapsed="false" customFormat="false" customHeight="false" hidden="false" ht="14.75" outlineLevel="0" r="22">
      <c r="A22" s="6" t="s">
        <v>311</v>
      </c>
      <c r="B22" s="6" t="s">
        <v>299</v>
      </c>
      <c r="C22" s="6" t="s">
        <v>288</v>
      </c>
      <c r="D22" s="6" t="n">
        <v>168.8</v>
      </c>
      <c r="E22" s="6" t="n">
        <v>13.1</v>
      </c>
      <c r="F22" s="6" t="s">
        <v>9</v>
      </c>
    </row>
    <row collapsed="false" customFormat="false" customHeight="false" hidden="false" ht="14.75" outlineLevel="0" r="23">
      <c r="A23" s="1" t="s">
        <v>312</v>
      </c>
      <c r="B23" s="1" t="s">
        <v>313</v>
      </c>
      <c r="C23" s="1" t="s">
        <v>288</v>
      </c>
      <c r="D23" s="1" t="n">
        <v>168.5</v>
      </c>
      <c r="E23" s="1" t="n">
        <v>14.17</v>
      </c>
      <c r="F23" s="1" t="s">
        <v>9</v>
      </c>
    </row>
    <row collapsed="false" customFormat="false" customHeight="false" hidden="false" ht="14.75" outlineLevel="0" r="24">
      <c r="A24" s="1" t="s">
        <v>314</v>
      </c>
      <c r="B24" s="1" t="s">
        <v>313</v>
      </c>
      <c r="C24" s="1" t="s">
        <v>288</v>
      </c>
      <c r="D24" s="1" t="n">
        <v>118</v>
      </c>
      <c r="E24" s="1" t="n">
        <v>7.95</v>
      </c>
      <c r="F24" s="1" t="s">
        <v>9</v>
      </c>
    </row>
    <row collapsed="false" customFormat="false" customHeight="false" hidden="false" ht="14.75" outlineLevel="0" r="25">
      <c r="A25" s="1" t="s">
        <v>315</v>
      </c>
      <c r="B25" s="1" t="s">
        <v>291</v>
      </c>
      <c r="C25" s="1" t="s">
        <v>288</v>
      </c>
      <c r="D25" s="1" t="n">
        <v>131.1</v>
      </c>
      <c r="E25" s="1" t="n">
        <v>12.26</v>
      </c>
      <c r="F25" s="1" t="n">
        <v>0.8</v>
      </c>
    </row>
    <row collapsed="false" customFormat="false" customHeight="false" hidden="false" ht="14.75" outlineLevel="0" r="26">
      <c r="A26" s="1" t="s">
        <v>108</v>
      </c>
      <c r="B26" s="1" t="s">
        <v>313</v>
      </c>
      <c r="C26" s="1" t="s">
        <v>288</v>
      </c>
      <c r="D26" s="1" t="n">
        <v>426.5</v>
      </c>
      <c r="E26" s="1" t="n">
        <v>21.82</v>
      </c>
      <c r="F26" s="1" t="s">
        <v>9</v>
      </c>
    </row>
    <row collapsed="false" customFormat="false" customHeight="false" hidden="false" ht="14.75" outlineLevel="0" r="27">
      <c r="A27" s="1" t="s">
        <v>110</v>
      </c>
      <c r="B27" s="1" t="s">
        <v>313</v>
      </c>
      <c r="C27" s="1" t="s">
        <v>288</v>
      </c>
      <c r="D27" s="1" t="n">
        <v>168.9</v>
      </c>
      <c r="E27" s="1" t="n">
        <v>10.13</v>
      </c>
      <c r="F27" s="1" t="s">
        <v>9</v>
      </c>
    </row>
    <row collapsed="false" customFormat="false" customHeight="false" hidden="false" ht="14.75" outlineLevel="0" r="28">
      <c r="A28" s="1" t="s">
        <v>316</v>
      </c>
      <c r="B28" s="1" t="s">
        <v>313</v>
      </c>
      <c r="C28" s="1" t="s">
        <v>288</v>
      </c>
      <c r="D28" s="1" t="n">
        <v>199</v>
      </c>
      <c r="E28" s="1" t="n">
        <v>12.95</v>
      </c>
      <c r="F28" s="1" t="s">
        <v>9</v>
      </c>
    </row>
    <row collapsed="false" customFormat="false" customHeight="false" hidden="false" ht="14.75" outlineLevel="0" r="29">
      <c r="A29" s="1" t="s">
        <v>317</v>
      </c>
      <c r="B29" s="1" t="s">
        <v>288</v>
      </c>
      <c r="C29" s="1" t="s">
        <v>288</v>
      </c>
      <c r="D29" s="1" t="n">
        <v>191.04</v>
      </c>
      <c r="E29" s="1" t="n">
        <v>15.8333333333333</v>
      </c>
      <c r="F29" s="1" t="s">
        <v>9</v>
      </c>
    </row>
    <row collapsed="false" customFormat="false" customHeight="false" hidden="false" ht="14.75" outlineLevel="0" r="30">
      <c r="A30" s="1" t="s">
        <v>318</v>
      </c>
      <c r="B30" s="1" t="s">
        <v>294</v>
      </c>
      <c r="C30" s="1" t="s">
        <v>288</v>
      </c>
      <c r="D30" s="1" t="n">
        <v>308</v>
      </c>
      <c r="E30" s="1" t="n">
        <v>19.11</v>
      </c>
      <c r="F30" s="1" t="n">
        <f aca="false">9/5</f>
        <v>1.8</v>
      </c>
    </row>
    <row collapsed="false" customFormat="false" customHeight="false" hidden="false" ht="14.75" outlineLevel="0" r="31">
      <c r="A31" s="1" t="s">
        <v>319</v>
      </c>
      <c r="B31" s="1" t="s">
        <v>294</v>
      </c>
      <c r="C31" s="1" t="s">
        <v>288</v>
      </c>
      <c r="D31" s="1" t="n">
        <v>412</v>
      </c>
      <c r="E31" s="1" t="n">
        <v>18.5</v>
      </c>
      <c r="F31" s="1" t="n">
        <f aca="false">12/5</f>
        <v>2.4</v>
      </c>
    </row>
    <row collapsed="false" customFormat="false" customHeight="false" hidden="false" ht="14.75" outlineLevel="0" r="32">
      <c r="A32" s="1" t="s">
        <v>320</v>
      </c>
      <c r="B32" s="1" t="s">
        <v>294</v>
      </c>
      <c r="C32" s="1" t="s">
        <v>288</v>
      </c>
      <c r="D32" s="1" t="n">
        <v>172</v>
      </c>
      <c r="E32" s="1" t="n">
        <v>13.67</v>
      </c>
      <c r="F32" s="1" t="n">
        <f aca="false">4/5</f>
        <v>0.8</v>
      </c>
    </row>
    <row collapsed="false" customFormat="false" customHeight="false" hidden="false" ht="14.75" outlineLevel="0" r="33">
      <c r="A33" s="1" t="s">
        <v>111</v>
      </c>
      <c r="B33" s="1" t="s">
        <v>288</v>
      </c>
      <c r="C33" s="1" t="s">
        <v>288</v>
      </c>
      <c r="D33" s="1" t="n">
        <v>162</v>
      </c>
      <c r="E33" s="1" t="n">
        <v>12.8378378378378</v>
      </c>
      <c r="F33" s="1" t="s">
        <v>9</v>
      </c>
    </row>
    <row collapsed="false" customFormat="false" customHeight="false" hidden="false" ht="14.75" outlineLevel="0" r="34">
      <c r="A34" s="1" t="s">
        <v>112</v>
      </c>
      <c r="B34" s="1" t="s">
        <v>288</v>
      </c>
      <c r="C34" s="1" t="s">
        <v>288</v>
      </c>
      <c r="D34" s="1" t="n">
        <v>116.98</v>
      </c>
      <c r="E34" s="1" t="n">
        <v>10.4166666666667</v>
      </c>
      <c r="F34" s="1" t="s">
        <v>9</v>
      </c>
    </row>
    <row collapsed="false" customFormat="false" customHeight="false" hidden="false" ht="14.75" outlineLevel="0" r="35">
      <c r="A35" s="1" t="s">
        <v>321</v>
      </c>
      <c r="B35" s="1" t="s">
        <v>291</v>
      </c>
      <c r="C35" s="1" t="s">
        <v>288</v>
      </c>
      <c r="D35" s="1" t="n">
        <v>93.1</v>
      </c>
      <c r="E35" s="1" t="n">
        <v>10.39</v>
      </c>
      <c r="F35" s="1" t="n">
        <v>0.3</v>
      </c>
    </row>
    <row collapsed="false" customFormat="false" customHeight="false" hidden="false" ht="14.75" outlineLevel="0" r="36">
      <c r="A36" s="1" t="s">
        <v>322</v>
      </c>
      <c r="B36" s="1" t="s">
        <v>291</v>
      </c>
      <c r="C36" s="1" t="s">
        <v>288</v>
      </c>
      <c r="D36" s="1" t="n">
        <v>60.6</v>
      </c>
      <c r="E36" s="1" t="n">
        <v>5.59</v>
      </c>
      <c r="F36" s="1" t="n">
        <v>0.3</v>
      </c>
    </row>
    <row collapsed="false" customFormat="false" customHeight="false" hidden="false" ht="14.75" outlineLevel="0" r="37">
      <c r="A37" s="1" t="s">
        <v>323</v>
      </c>
      <c r="B37" s="1" t="s">
        <v>287</v>
      </c>
      <c r="C37" s="1" t="s">
        <v>288</v>
      </c>
      <c r="D37" s="1" t="n">
        <v>346.5</v>
      </c>
      <c r="E37" s="1" t="n">
        <v>22.92</v>
      </c>
      <c r="F37" s="1" t="n">
        <v>5.2</v>
      </c>
    </row>
    <row collapsed="false" customFormat="false" customHeight="false" hidden="false" ht="14.75" outlineLevel="0" r="38">
      <c r="A38" s="1" t="s">
        <v>324</v>
      </c>
      <c r="B38" s="1" t="s">
        <v>291</v>
      </c>
      <c r="C38" s="1" t="s">
        <v>288</v>
      </c>
      <c r="D38" s="1" t="n">
        <v>115</v>
      </c>
      <c r="E38" s="1" t="n">
        <v>9.02</v>
      </c>
      <c r="F38" s="1" t="n">
        <v>0.5</v>
      </c>
    </row>
    <row collapsed="false" customFormat="false" customHeight="false" hidden="false" ht="14.75" outlineLevel="0" r="39">
      <c r="A39" s="6" t="s">
        <v>325</v>
      </c>
      <c r="B39" s="6" t="s">
        <v>299</v>
      </c>
      <c r="C39" s="6" t="s">
        <v>288</v>
      </c>
      <c r="D39" s="6" t="n">
        <v>240.6</v>
      </c>
      <c r="E39" s="6" t="n">
        <v>14.34</v>
      </c>
      <c r="F39" s="6" t="s">
        <v>9</v>
      </c>
    </row>
    <row collapsed="false" customFormat="false" customHeight="false" hidden="false" ht="14.75" outlineLevel="0" r="40">
      <c r="A40" s="1" t="s">
        <v>326</v>
      </c>
      <c r="B40" s="1" t="s">
        <v>287</v>
      </c>
      <c r="C40" s="1" t="s">
        <v>288</v>
      </c>
      <c r="D40" s="1" t="n">
        <v>513</v>
      </c>
      <c r="E40" s="1" t="n">
        <v>25.49</v>
      </c>
      <c r="F40" s="1" t="n">
        <v>9.7</v>
      </c>
    </row>
    <row collapsed="false" customFormat="false" customHeight="false" hidden="false" ht="14.75" outlineLevel="0" r="41">
      <c r="A41" s="1" t="s">
        <v>11</v>
      </c>
      <c r="B41" s="1" t="s">
        <v>287</v>
      </c>
      <c r="C41" s="1" t="s">
        <v>288</v>
      </c>
      <c r="D41" s="1" t="n">
        <v>420</v>
      </c>
      <c r="E41" s="1" t="n">
        <v>25.34</v>
      </c>
      <c r="F41" s="1" t="n">
        <f aca="false">102/12</f>
        <v>8.5</v>
      </c>
    </row>
    <row collapsed="false" customFormat="false" customHeight="false" hidden="false" ht="14.75" outlineLevel="0" r="42">
      <c r="A42" s="6" t="s">
        <v>327</v>
      </c>
      <c r="B42" s="6" t="s">
        <v>299</v>
      </c>
      <c r="C42" s="6" t="s">
        <v>288</v>
      </c>
      <c r="D42" s="6" t="n">
        <v>195.6</v>
      </c>
      <c r="E42" s="6" t="n">
        <v>14.39</v>
      </c>
      <c r="F42" s="6" t="s">
        <v>9</v>
      </c>
    </row>
    <row collapsed="false" customFormat="false" customHeight="false" hidden="false" ht="14.75" outlineLevel="0" r="43">
      <c r="A43" s="6" t="s">
        <v>328</v>
      </c>
      <c r="B43" s="6" t="s">
        <v>299</v>
      </c>
      <c r="C43" s="6" t="s">
        <v>288</v>
      </c>
      <c r="D43" s="6" t="n">
        <v>89.4</v>
      </c>
      <c r="E43" s="6" t="n">
        <v>7.8</v>
      </c>
      <c r="F43" s="6" t="s">
        <v>9</v>
      </c>
    </row>
    <row collapsed="false" customFormat="false" customHeight="false" hidden="false" ht="14.75" outlineLevel="0" r="44">
      <c r="A44" s="6" t="s">
        <v>329</v>
      </c>
      <c r="B44" s="6" t="s">
        <v>299</v>
      </c>
      <c r="C44" s="6" t="s">
        <v>288</v>
      </c>
      <c r="D44" s="6" t="n">
        <v>137.1</v>
      </c>
      <c r="E44" s="6" t="n">
        <v>13.57</v>
      </c>
      <c r="F44" s="6" t="s">
        <v>9</v>
      </c>
    </row>
    <row collapsed="false" customFormat="false" customHeight="false" hidden="false" ht="14.75" outlineLevel="0" r="45">
      <c r="A45" s="1" t="s">
        <v>330</v>
      </c>
      <c r="B45" s="1" t="s">
        <v>288</v>
      </c>
      <c r="C45" s="1" t="s">
        <v>288</v>
      </c>
      <c r="D45" s="1" t="n">
        <v>363.02</v>
      </c>
      <c r="E45" s="1" t="n">
        <v>22.787610619469</v>
      </c>
      <c r="F45" s="1" t="s">
        <v>9</v>
      </c>
    </row>
    <row collapsed="false" customFormat="false" customHeight="false" hidden="false" ht="14.75" outlineLevel="0" r="46">
      <c r="A46" s="1" t="s">
        <v>331</v>
      </c>
      <c r="B46" s="1" t="s">
        <v>313</v>
      </c>
      <c r="C46" s="1" t="s">
        <v>288</v>
      </c>
      <c r="D46" s="1" t="n">
        <v>105.6</v>
      </c>
      <c r="E46" s="1" t="n">
        <v>9.23</v>
      </c>
      <c r="F46" s="1" t="s">
        <v>9</v>
      </c>
    </row>
    <row collapsed="false" customFormat="false" customHeight="false" hidden="false" ht="14.75" outlineLevel="0" r="47">
      <c r="A47" s="1" t="s">
        <v>332</v>
      </c>
      <c r="B47" s="1" t="s">
        <v>291</v>
      </c>
      <c r="C47" s="1" t="s">
        <v>288</v>
      </c>
      <c r="D47" s="1" t="n">
        <v>395.5</v>
      </c>
      <c r="E47" s="1" t="n">
        <v>19.02</v>
      </c>
      <c r="F47" s="1" t="n">
        <v>4.7</v>
      </c>
    </row>
    <row collapsed="false" customFormat="false" customHeight="false" hidden="false" ht="14.75" outlineLevel="0" r="48">
      <c r="A48" s="1" t="s">
        <v>333</v>
      </c>
      <c r="B48" s="1" t="s">
        <v>291</v>
      </c>
      <c r="C48" s="1" t="s">
        <v>288</v>
      </c>
      <c r="D48" s="1" t="n">
        <v>230.5</v>
      </c>
      <c r="E48" s="1" t="n">
        <v>14.53</v>
      </c>
      <c r="F48" s="1" t="n">
        <v>2.3</v>
      </c>
    </row>
    <row collapsed="false" customFormat="false" customHeight="false" hidden="false" ht="14.75" outlineLevel="0" r="49">
      <c r="A49" s="1" t="s">
        <v>334</v>
      </c>
      <c r="B49" s="1" t="s">
        <v>313</v>
      </c>
      <c r="C49" s="1" t="s">
        <v>288</v>
      </c>
      <c r="D49" s="1" t="n">
        <v>183</v>
      </c>
      <c r="E49" s="1" t="n">
        <v>12.84</v>
      </c>
      <c r="F49" s="1" t="s">
        <v>9</v>
      </c>
    </row>
    <row collapsed="false" customFormat="false" customHeight="false" hidden="false" ht="14.75" outlineLevel="0" r="50">
      <c r="A50" s="1" t="s">
        <v>335</v>
      </c>
      <c r="B50" s="1" t="s">
        <v>313</v>
      </c>
      <c r="C50" s="1" t="s">
        <v>288</v>
      </c>
      <c r="D50" s="1" t="n">
        <v>24</v>
      </c>
      <c r="E50" s="1" t="n">
        <v>4.44</v>
      </c>
      <c r="F50" s="1" t="s">
        <v>9</v>
      </c>
    </row>
    <row collapsed="false" customFormat="false" customHeight="false" hidden="false" ht="14.75" outlineLevel="0" r="51">
      <c r="A51" s="1" t="s">
        <v>41</v>
      </c>
      <c r="B51" s="1" t="s">
        <v>288</v>
      </c>
      <c r="C51" s="1" t="s">
        <v>288</v>
      </c>
      <c r="D51" s="1" t="n">
        <v>444.48</v>
      </c>
      <c r="E51" s="1" t="n">
        <v>25.511811023622</v>
      </c>
      <c r="F51" s="1" t="s">
        <v>9</v>
      </c>
    </row>
    <row collapsed="false" customFormat="false" customHeight="false" hidden="false" ht="14.75" outlineLevel="0" r="52">
      <c r="A52" s="1" t="s">
        <v>336</v>
      </c>
      <c r="B52" s="1" t="s">
        <v>288</v>
      </c>
      <c r="C52" s="1" t="s">
        <v>288</v>
      </c>
      <c r="D52" s="1" t="n">
        <v>370.48</v>
      </c>
      <c r="E52" s="1" t="n">
        <v>23.75</v>
      </c>
      <c r="F52" s="1" t="s">
        <v>9</v>
      </c>
    </row>
    <row collapsed="false" customFormat="false" customHeight="false" hidden="false" ht="14.75" outlineLevel="0" r="53">
      <c r="A53" s="1" t="s">
        <v>337</v>
      </c>
      <c r="B53" s="1" t="s">
        <v>294</v>
      </c>
      <c r="C53" s="1" t="s">
        <v>288</v>
      </c>
      <c r="D53" s="1" t="n">
        <v>590</v>
      </c>
      <c r="E53" s="1" t="n">
        <v>22.7</v>
      </c>
      <c r="F53" s="1" t="n">
        <f aca="false">44/5</f>
        <v>8.8</v>
      </c>
    </row>
    <row collapsed="false" customFormat="false" customHeight="false" hidden="false" ht="14.75" outlineLevel="0" r="54">
      <c r="A54" s="1" t="s">
        <v>338</v>
      </c>
      <c r="B54" s="1" t="s">
        <v>294</v>
      </c>
      <c r="C54" s="1" t="s">
        <v>288</v>
      </c>
      <c r="D54" s="1" t="n">
        <v>162</v>
      </c>
      <c r="E54" s="1" t="n">
        <v>14.8</v>
      </c>
      <c r="F54" s="1" t="n">
        <f aca="false">2/5</f>
        <v>0.4</v>
      </c>
    </row>
    <row collapsed="false" customFormat="false" customHeight="false" hidden="false" ht="14.75" outlineLevel="0" r="55">
      <c r="A55" s="1" t="s">
        <v>339</v>
      </c>
      <c r="B55" s="1" t="s">
        <v>313</v>
      </c>
      <c r="C55" s="1" t="s">
        <v>288</v>
      </c>
      <c r="D55" s="1" t="n">
        <v>324</v>
      </c>
      <c r="E55" s="1" t="n">
        <v>19.78</v>
      </c>
      <c r="F55" s="1" t="s">
        <v>9</v>
      </c>
    </row>
    <row collapsed="false" customFormat="false" customHeight="false" hidden="false" ht="14.75" outlineLevel="0" r="56">
      <c r="A56" s="1" t="s">
        <v>340</v>
      </c>
      <c r="B56" s="1" t="s">
        <v>313</v>
      </c>
      <c r="C56" s="1" t="s">
        <v>288</v>
      </c>
      <c r="D56" s="1" t="n">
        <v>217.5</v>
      </c>
      <c r="E56" s="1" t="n">
        <v>14.83</v>
      </c>
      <c r="F56" s="1" t="s">
        <v>9</v>
      </c>
    </row>
    <row collapsed="false" customFormat="false" customHeight="false" hidden="false" ht="14.75" outlineLevel="0" r="57">
      <c r="A57" s="1" t="s">
        <v>341</v>
      </c>
      <c r="B57" s="1" t="s">
        <v>313</v>
      </c>
      <c r="C57" s="1" t="s">
        <v>288</v>
      </c>
      <c r="D57" s="1" t="n">
        <v>53</v>
      </c>
      <c r="E57" s="1" t="n">
        <v>4.62</v>
      </c>
      <c r="F57" s="1" t="s">
        <v>9</v>
      </c>
    </row>
    <row collapsed="false" customFormat="false" customHeight="false" hidden="false" ht="14.75" outlineLevel="0" r="58">
      <c r="A58" s="1" t="s">
        <v>208</v>
      </c>
      <c r="B58" s="1" t="s">
        <v>309</v>
      </c>
      <c r="C58" s="4" t="s">
        <v>288</v>
      </c>
      <c r="D58" s="1" t="n">
        <v>440.5</v>
      </c>
      <c r="E58" s="1" t="n">
        <v>25.35</v>
      </c>
      <c r="F58" s="1" t="s">
        <v>9</v>
      </c>
    </row>
    <row collapsed="false" customFormat="false" customHeight="false" hidden="false" ht="14.75" outlineLevel="0" r="59">
      <c r="A59" s="1" t="s">
        <v>209</v>
      </c>
      <c r="B59" s="1" t="s">
        <v>309</v>
      </c>
      <c r="C59" s="4" t="s">
        <v>288</v>
      </c>
      <c r="D59" s="1" t="n">
        <v>274.5</v>
      </c>
      <c r="E59" s="1" t="n">
        <v>18.59</v>
      </c>
      <c r="F59" s="1" t="s">
        <v>9</v>
      </c>
    </row>
    <row collapsed="false" customFormat="false" customHeight="false" hidden="false" ht="14.75" outlineLevel="0" r="60">
      <c r="A60" s="1" t="s">
        <v>210</v>
      </c>
      <c r="B60" s="1" t="s">
        <v>309</v>
      </c>
      <c r="C60" s="4" t="s">
        <v>288</v>
      </c>
      <c r="D60" s="1" t="n">
        <v>236.5</v>
      </c>
      <c r="E60" s="1" t="n">
        <v>17.42</v>
      </c>
      <c r="F60" s="1" t="s">
        <v>9</v>
      </c>
    </row>
    <row collapsed="false" customFormat="false" customHeight="false" hidden="false" ht="14.75" outlineLevel="0" r="61">
      <c r="A61" s="1" t="s">
        <v>342</v>
      </c>
      <c r="B61" s="1" t="s">
        <v>288</v>
      </c>
      <c r="C61" s="1" t="s">
        <v>288</v>
      </c>
      <c r="D61" s="1" t="n">
        <v>230</v>
      </c>
      <c r="E61" s="1" t="n">
        <v>16.1666666666667</v>
      </c>
      <c r="F61" s="1" t="s">
        <v>9</v>
      </c>
    </row>
    <row collapsed="false" customFormat="false" customHeight="false" hidden="false" ht="14.75" outlineLevel="0" r="62">
      <c r="A62" s="1" t="s">
        <v>211</v>
      </c>
      <c r="B62" s="1" t="s">
        <v>309</v>
      </c>
      <c r="C62" s="4" t="s">
        <v>288</v>
      </c>
      <c r="D62" s="1" t="n">
        <v>546</v>
      </c>
      <c r="E62" s="1" t="n">
        <v>26.75</v>
      </c>
      <c r="F62" s="1" t="s">
        <v>9</v>
      </c>
    </row>
    <row collapsed="false" customFormat="false" customHeight="false" hidden="false" ht="14.75" outlineLevel="0" r="63">
      <c r="A63" s="1" t="s">
        <v>212</v>
      </c>
      <c r="B63" s="1" t="s">
        <v>309</v>
      </c>
      <c r="C63" s="4" t="s">
        <v>288</v>
      </c>
      <c r="D63" s="1" t="n">
        <v>440</v>
      </c>
      <c r="E63" s="1" t="n">
        <v>24.85</v>
      </c>
      <c r="F63" s="1" t="s">
        <v>9</v>
      </c>
    </row>
    <row collapsed="false" customFormat="false" customHeight="false" hidden="false" ht="14.75" outlineLevel="0" r="64">
      <c r="A64" s="1" t="s">
        <v>213</v>
      </c>
      <c r="B64" s="1" t="s">
        <v>309</v>
      </c>
      <c r="C64" s="4" t="s">
        <v>288</v>
      </c>
      <c r="D64" s="1" t="n">
        <v>325.5</v>
      </c>
      <c r="E64" s="1" t="n">
        <v>20.93</v>
      </c>
      <c r="F64" s="1" t="s">
        <v>9</v>
      </c>
    </row>
    <row collapsed="false" customFormat="false" customHeight="false" hidden="false" ht="14.75" outlineLevel="0" r="65">
      <c r="A65" s="1" t="s">
        <v>214</v>
      </c>
      <c r="B65" s="1" t="s">
        <v>309</v>
      </c>
      <c r="C65" s="4" t="s">
        <v>288</v>
      </c>
      <c r="D65" s="1" t="n">
        <v>196</v>
      </c>
      <c r="E65" s="1" t="n">
        <v>16.89</v>
      </c>
      <c r="F65" s="1" t="s">
        <v>9</v>
      </c>
    </row>
    <row collapsed="false" customFormat="false" customHeight="false" hidden="false" ht="14.75" outlineLevel="0" r="66">
      <c r="A66" s="1" t="s">
        <v>343</v>
      </c>
      <c r="B66" s="1" t="s">
        <v>287</v>
      </c>
      <c r="C66" s="1" t="s">
        <v>288</v>
      </c>
      <c r="D66" s="1" t="n">
        <v>547</v>
      </c>
      <c r="E66" s="1" t="n">
        <v>27.26</v>
      </c>
      <c r="F66" s="1" t="n">
        <v>10.3</v>
      </c>
    </row>
    <row collapsed="false" customFormat="false" customHeight="false" hidden="false" ht="14.75" outlineLevel="0" r="67">
      <c r="A67" s="1" t="s">
        <v>344</v>
      </c>
      <c r="B67" s="1" t="s">
        <v>287</v>
      </c>
      <c r="C67" s="1" t="s">
        <v>288</v>
      </c>
      <c r="D67" s="1" t="n">
        <v>341.5</v>
      </c>
      <c r="E67" s="1" t="n">
        <v>23.8</v>
      </c>
      <c r="F67" s="1" t="n">
        <v>4.7</v>
      </c>
    </row>
    <row collapsed="false" customFormat="false" customHeight="false" hidden="false" ht="14.75" outlineLevel="0" r="68">
      <c r="A68" s="1" t="s">
        <v>345</v>
      </c>
      <c r="B68" s="1" t="s">
        <v>309</v>
      </c>
      <c r="C68" s="4" t="s">
        <v>288</v>
      </c>
      <c r="D68" s="1" t="n">
        <v>252.5</v>
      </c>
      <c r="E68" s="1" t="n">
        <v>19.22</v>
      </c>
      <c r="F68" s="1" t="s">
        <v>9</v>
      </c>
    </row>
    <row collapsed="false" customFormat="false" customHeight="false" hidden="false" ht="14.75" outlineLevel="0" r="69">
      <c r="A69" s="1" t="s">
        <v>346</v>
      </c>
      <c r="B69" s="1" t="s">
        <v>309</v>
      </c>
      <c r="C69" s="4" t="s">
        <v>288</v>
      </c>
      <c r="D69" s="1" t="n">
        <v>110</v>
      </c>
      <c r="E69" s="1" t="n">
        <v>12.59</v>
      </c>
      <c r="F69" s="1" t="s">
        <v>9</v>
      </c>
    </row>
    <row collapsed="false" customFormat="false" customHeight="false" hidden="false" ht="14.75" outlineLevel="0" r="70">
      <c r="A70" s="1" t="s">
        <v>347</v>
      </c>
      <c r="B70" s="1" t="s">
        <v>309</v>
      </c>
      <c r="C70" s="4" t="s">
        <v>288</v>
      </c>
      <c r="D70" s="1" t="n">
        <v>46.5</v>
      </c>
      <c r="E70" s="1" t="n">
        <v>6.9</v>
      </c>
      <c r="F70" s="1" t="s">
        <v>9</v>
      </c>
    </row>
    <row collapsed="false" customFormat="false" customHeight="false" hidden="false" ht="14.75" outlineLevel="0" r="71">
      <c r="A71" s="1" t="s">
        <v>348</v>
      </c>
      <c r="B71" s="1" t="s">
        <v>313</v>
      </c>
      <c r="C71" s="1" t="s">
        <v>288</v>
      </c>
      <c r="D71" s="1" t="n">
        <v>621.4</v>
      </c>
      <c r="E71" s="1" t="n">
        <v>27.45</v>
      </c>
      <c r="F71" s="1" t="s">
        <v>9</v>
      </c>
    </row>
    <row collapsed="false" customFormat="false" customHeight="false" hidden="false" ht="14.75" outlineLevel="0" r="72">
      <c r="A72" s="1" t="s">
        <v>349</v>
      </c>
      <c r="B72" s="1" t="s">
        <v>313</v>
      </c>
      <c r="C72" s="1" t="s">
        <v>288</v>
      </c>
      <c r="D72" s="1" t="n">
        <v>265.5</v>
      </c>
      <c r="E72" s="1" t="n">
        <v>15.81</v>
      </c>
      <c r="F72" s="1" t="s">
        <v>9</v>
      </c>
    </row>
    <row collapsed="false" customFormat="false" customHeight="false" hidden="false" ht="14.75" outlineLevel="0" r="73">
      <c r="A73" s="1" t="s">
        <v>350</v>
      </c>
      <c r="B73" s="1" t="s">
        <v>313</v>
      </c>
      <c r="C73" s="1" t="s">
        <v>288</v>
      </c>
      <c r="D73" s="1" t="n">
        <v>149.5</v>
      </c>
      <c r="E73" s="1" t="n">
        <v>12.19</v>
      </c>
      <c r="F73" s="1" t="s">
        <v>9</v>
      </c>
    </row>
    <row collapsed="false" customFormat="false" customHeight="false" hidden="false" ht="14.75" outlineLevel="0" r="74">
      <c r="A74" s="1" t="s">
        <v>351</v>
      </c>
      <c r="B74" s="1" t="s">
        <v>287</v>
      </c>
      <c r="C74" s="1" t="s">
        <v>288</v>
      </c>
      <c r="D74" s="1" t="n">
        <v>389.5</v>
      </c>
      <c r="E74" s="1" t="n">
        <v>23.27</v>
      </c>
      <c r="F74" s="1" t="n">
        <v>6.4</v>
      </c>
    </row>
    <row collapsed="false" customFormat="false" customHeight="false" hidden="false" ht="14.75" outlineLevel="0" r="75">
      <c r="A75" s="1" t="s">
        <v>352</v>
      </c>
      <c r="B75" s="1" t="s">
        <v>287</v>
      </c>
      <c r="C75" s="1" t="s">
        <v>288</v>
      </c>
      <c r="D75" s="1" t="n">
        <v>187.5</v>
      </c>
      <c r="E75" s="1" t="n">
        <v>16.5</v>
      </c>
      <c r="F75" s="1" t="n">
        <v>1.9</v>
      </c>
    </row>
    <row collapsed="false" customFormat="false" customHeight="false" hidden="false" ht="14.75" outlineLevel="0" r="76">
      <c r="A76" s="6" t="s">
        <v>353</v>
      </c>
      <c r="B76" s="6" t="s">
        <v>299</v>
      </c>
      <c r="C76" s="6" t="s">
        <v>288</v>
      </c>
      <c r="D76" s="6" t="n">
        <v>75</v>
      </c>
      <c r="E76" s="6" t="n">
        <v>9.33</v>
      </c>
      <c r="F76" s="6" t="s">
        <v>9</v>
      </c>
    </row>
    <row collapsed="false" customFormat="false" customHeight="false" hidden="false" ht="14.75" outlineLevel="0" r="77">
      <c r="A77" s="1" t="s">
        <v>354</v>
      </c>
      <c r="B77" s="1" t="s">
        <v>291</v>
      </c>
      <c r="C77" s="1" t="s">
        <v>288</v>
      </c>
      <c r="D77" s="1" t="n">
        <v>187</v>
      </c>
      <c r="E77" s="1" t="n">
        <v>12.47</v>
      </c>
      <c r="F77" s="1" t="n">
        <v>1.2</v>
      </c>
    </row>
    <row collapsed="false" customFormat="false" customHeight="false" hidden="false" ht="14.75" outlineLevel="0" r="78">
      <c r="A78" s="1" t="s">
        <v>355</v>
      </c>
      <c r="B78" s="1" t="s">
        <v>287</v>
      </c>
      <c r="C78" s="1" t="s">
        <v>288</v>
      </c>
      <c r="D78" s="1" t="n">
        <v>408.2</v>
      </c>
      <c r="E78" s="1" t="n">
        <v>24.83</v>
      </c>
      <c r="F78" s="1" t="n">
        <f aca="false">81/11</f>
        <v>7.36363636363636</v>
      </c>
    </row>
    <row collapsed="false" customFormat="false" customHeight="false" hidden="false" ht="14.75" outlineLevel="0" r="79">
      <c r="A79" s="1" t="s">
        <v>356</v>
      </c>
      <c r="B79" s="1" t="s">
        <v>287</v>
      </c>
      <c r="C79" s="1" t="s">
        <v>288</v>
      </c>
      <c r="D79" s="1" t="n">
        <v>276.5</v>
      </c>
      <c r="E79" s="1" t="n">
        <v>19.62</v>
      </c>
      <c r="F79" s="1" t="n">
        <v>3.1</v>
      </c>
    </row>
    <row collapsed="false" customFormat="false" customHeight="false" hidden="false" ht="14.75" outlineLevel="0" r="80">
      <c r="A80" s="1" t="s">
        <v>149</v>
      </c>
      <c r="B80" s="1" t="s">
        <v>291</v>
      </c>
      <c r="C80" s="1" t="s">
        <v>288</v>
      </c>
      <c r="D80" s="1" t="n">
        <v>246</v>
      </c>
      <c r="E80" s="1" t="n">
        <v>14.69</v>
      </c>
      <c r="F80" s="1" t="n">
        <v>2.2</v>
      </c>
    </row>
    <row collapsed="false" customFormat="false" customHeight="false" hidden="false" ht="14.75" outlineLevel="0" r="81">
      <c r="A81" s="6" t="s">
        <v>357</v>
      </c>
      <c r="B81" s="6" t="s">
        <v>299</v>
      </c>
      <c r="C81" s="6" t="s">
        <v>288</v>
      </c>
      <c r="D81" s="6" t="n">
        <v>383.6</v>
      </c>
      <c r="E81" s="6" t="n">
        <v>20.56</v>
      </c>
      <c r="F81" s="6" t="s">
        <v>9</v>
      </c>
    </row>
    <row collapsed="false" customFormat="false" customHeight="false" hidden="false" ht="14.75" outlineLevel="0" r="82">
      <c r="A82" s="1" t="s">
        <v>358</v>
      </c>
      <c r="B82" s="1" t="s">
        <v>291</v>
      </c>
      <c r="C82" s="1" t="s">
        <v>288</v>
      </c>
      <c r="D82" s="1" t="n">
        <v>223.5</v>
      </c>
      <c r="E82" s="1" t="n">
        <v>15.22</v>
      </c>
      <c r="F82" s="1" t="n">
        <v>1.3</v>
      </c>
    </row>
    <row collapsed="false" customFormat="false" customHeight="false" hidden="false" ht="14.75" outlineLevel="0" r="83">
      <c r="A83" s="1" t="s">
        <v>359</v>
      </c>
      <c r="B83" s="1" t="s">
        <v>291</v>
      </c>
      <c r="C83" s="1" t="s">
        <v>288</v>
      </c>
      <c r="D83" s="1" t="n">
        <v>70.5</v>
      </c>
      <c r="E83" s="1" t="n">
        <v>7.75</v>
      </c>
      <c r="F83" s="1" t="n">
        <v>0.2</v>
      </c>
    </row>
    <row collapsed="false" customFormat="false" customHeight="false" hidden="false" ht="14.75" outlineLevel="0" r="84">
      <c r="A84" s="1" t="s">
        <v>360</v>
      </c>
      <c r="B84" s="1" t="s">
        <v>291</v>
      </c>
      <c r="C84" s="1" t="s">
        <v>288</v>
      </c>
      <c r="D84" s="1" t="n">
        <v>288.5</v>
      </c>
      <c r="E84" s="1" t="n">
        <v>15.82</v>
      </c>
      <c r="F84" s="1" t="n">
        <v>2.1</v>
      </c>
    </row>
    <row collapsed="false" customFormat="false" customHeight="false" hidden="false" ht="14.75" outlineLevel="0" r="85">
      <c r="A85" s="1" t="s">
        <v>361</v>
      </c>
      <c r="B85" s="1" t="s">
        <v>291</v>
      </c>
      <c r="C85" s="1" t="s">
        <v>288</v>
      </c>
      <c r="D85" s="1" t="n">
        <v>57</v>
      </c>
      <c r="E85" s="1" t="n">
        <v>5.79</v>
      </c>
      <c r="F85" s="1" t="n">
        <v>0.4</v>
      </c>
    </row>
    <row collapsed="false" customFormat="false" customHeight="false" hidden="false" ht="14.75" outlineLevel="0" r="86">
      <c r="A86" s="1" t="s">
        <v>362</v>
      </c>
      <c r="B86" s="1" t="s">
        <v>291</v>
      </c>
      <c r="C86" s="1" t="s">
        <v>288</v>
      </c>
      <c r="D86" s="1" t="n">
        <v>97.1</v>
      </c>
      <c r="E86" s="1" t="n">
        <v>7.69</v>
      </c>
      <c r="F86" s="1" t="n">
        <v>0.6</v>
      </c>
    </row>
    <row collapsed="false" customFormat="false" customHeight="false" hidden="false" ht="14.75" outlineLevel="0" r="87">
      <c r="A87" s="1" t="s">
        <v>218</v>
      </c>
      <c r="B87" s="1" t="s">
        <v>309</v>
      </c>
      <c r="C87" s="4" t="s">
        <v>288</v>
      </c>
      <c r="D87" s="1" t="n">
        <v>273.5</v>
      </c>
      <c r="E87" s="1" t="n">
        <v>18.38</v>
      </c>
      <c r="F87" s="1" t="s">
        <v>9</v>
      </c>
    </row>
    <row collapsed="false" customFormat="false" customHeight="false" hidden="false" ht="14.75" outlineLevel="0" r="88">
      <c r="A88" s="1" t="s">
        <v>219</v>
      </c>
      <c r="B88" s="1" t="s">
        <v>309</v>
      </c>
      <c r="C88" s="4" t="s">
        <v>288</v>
      </c>
      <c r="D88" s="1" t="n">
        <v>213</v>
      </c>
      <c r="E88" s="1" t="n">
        <v>15.34</v>
      </c>
      <c r="F88" s="1" t="s">
        <v>9</v>
      </c>
    </row>
    <row collapsed="false" customFormat="false" customHeight="false" hidden="false" ht="14.75" outlineLevel="0" r="89">
      <c r="A89" s="1" t="s">
        <v>220</v>
      </c>
      <c r="B89" s="1" t="s">
        <v>309</v>
      </c>
      <c r="C89" s="4" t="s">
        <v>288</v>
      </c>
      <c r="D89" s="1" t="n">
        <v>126</v>
      </c>
      <c r="E89" s="1" t="n">
        <v>12.46</v>
      </c>
      <c r="F89" s="1" t="s">
        <v>9</v>
      </c>
    </row>
    <row collapsed="false" customFormat="false" customHeight="false" hidden="false" ht="14.75" outlineLevel="0" r="90">
      <c r="A90" s="1" t="s">
        <v>161</v>
      </c>
      <c r="B90" s="1" t="s">
        <v>288</v>
      </c>
      <c r="C90" s="1" t="s">
        <v>288</v>
      </c>
      <c r="D90" s="1" t="n">
        <v>248.96</v>
      </c>
      <c r="E90" s="1" t="n">
        <v>17.2631578947368</v>
      </c>
      <c r="F90" s="1" t="s">
        <v>9</v>
      </c>
    </row>
    <row collapsed="false" customFormat="false" customHeight="false" hidden="false" ht="14.75" outlineLevel="0" r="91">
      <c r="A91" s="1" t="s">
        <v>162</v>
      </c>
      <c r="B91" s="1" t="s">
        <v>288</v>
      </c>
      <c r="C91" s="1" t="s">
        <v>288</v>
      </c>
      <c r="D91" s="1" t="n">
        <v>98.52</v>
      </c>
      <c r="E91" s="1" t="n">
        <v>10.4</v>
      </c>
      <c r="F91" s="1" t="s">
        <v>9</v>
      </c>
    </row>
    <row collapsed="false" customFormat="false" customHeight="false" hidden="false" ht="14.75" outlineLevel="0" r="92">
      <c r="A92" s="1" t="s">
        <v>363</v>
      </c>
      <c r="B92" s="1" t="s">
        <v>288</v>
      </c>
      <c r="C92" s="1" t="s">
        <v>288</v>
      </c>
      <c r="D92" s="1" t="n">
        <v>50.5</v>
      </c>
      <c r="E92" s="1" t="n">
        <v>5</v>
      </c>
      <c r="F92" s="1" t="s">
        <v>9</v>
      </c>
    </row>
    <row collapsed="false" customFormat="false" customHeight="false" hidden="false" ht="14.75" outlineLevel="0" r="93">
      <c r="A93" s="1" t="s">
        <v>163</v>
      </c>
      <c r="B93" s="1" t="s">
        <v>287</v>
      </c>
      <c r="C93" s="1" t="s">
        <v>288</v>
      </c>
      <c r="D93" s="1" t="n">
        <v>384.5</v>
      </c>
      <c r="E93" s="1" t="n">
        <v>24.58</v>
      </c>
      <c r="F93" s="1" t="n">
        <v>4.1</v>
      </c>
    </row>
    <row collapsed="false" customFormat="false" customHeight="false" hidden="false" ht="14.75" outlineLevel="0" r="94">
      <c r="A94" s="1" t="s">
        <v>364</v>
      </c>
      <c r="B94" s="1" t="s">
        <v>287</v>
      </c>
      <c r="C94" s="1" t="s">
        <v>288</v>
      </c>
      <c r="D94" s="1" t="n">
        <v>331.5</v>
      </c>
      <c r="E94" s="1" t="n">
        <v>23.11</v>
      </c>
      <c r="F94" s="1" t="n">
        <v>4.9</v>
      </c>
    </row>
    <row collapsed="false" customFormat="false" customHeight="false" hidden="false" ht="14.75" outlineLevel="0" r="95">
      <c r="A95" s="6" t="s">
        <v>365</v>
      </c>
      <c r="B95" s="6" t="s">
        <v>299</v>
      </c>
      <c r="C95" s="6" t="s">
        <v>288</v>
      </c>
      <c r="D95" s="6" t="n">
        <v>198.8</v>
      </c>
      <c r="E95" s="6" t="n">
        <v>13.38</v>
      </c>
      <c r="F95" s="6" t="s">
        <v>9</v>
      </c>
    </row>
    <row collapsed="false" customFormat="false" customHeight="false" hidden="false" ht="14.75" outlineLevel="0" r="96">
      <c r="A96" s="1" t="s">
        <v>366</v>
      </c>
      <c r="B96" s="1" t="s">
        <v>291</v>
      </c>
      <c r="C96" s="1" t="s">
        <v>288</v>
      </c>
      <c r="D96" s="1" t="n">
        <v>338.5</v>
      </c>
      <c r="E96" s="1" t="n">
        <v>16.97</v>
      </c>
      <c r="F96" s="1" t="n">
        <v>3</v>
      </c>
    </row>
    <row collapsed="false" customFormat="false" customHeight="false" hidden="false" ht="14.75" outlineLevel="0" r="97">
      <c r="A97" s="1" t="s">
        <v>367</v>
      </c>
      <c r="B97" s="1" t="s">
        <v>313</v>
      </c>
      <c r="C97" s="1" t="s">
        <v>288</v>
      </c>
      <c r="D97" s="1" t="n">
        <v>79.5</v>
      </c>
      <c r="E97" s="1" t="n">
        <v>6.53</v>
      </c>
      <c r="F97" s="1" t="s">
        <v>9</v>
      </c>
    </row>
    <row collapsed="false" customFormat="false" customHeight="false" hidden="false" ht="14.75" outlineLevel="0" r="98">
      <c r="A98" s="1" t="s">
        <v>368</v>
      </c>
      <c r="B98" s="1" t="s">
        <v>313</v>
      </c>
      <c r="C98" s="1" t="s">
        <v>288</v>
      </c>
      <c r="D98" s="1" t="n">
        <v>295</v>
      </c>
      <c r="E98" s="1" t="n">
        <v>16.03</v>
      </c>
      <c r="F98" s="1" t="s">
        <v>9</v>
      </c>
    </row>
    <row collapsed="false" customFormat="false" customHeight="false" hidden="false" ht="14.75" outlineLevel="0" r="99">
      <c r="A99" s="1" t="s">
        <v>369</v>
      </c>
      <c r="B99" s="1" t="s">
        <v>313</v>
      </c>
      <c r="C99" s="1" t="s">
        <v>288</v>
      </c>
      <c r="D99" s="1" t="n">
        <v>103</v>
      </c>
      <c r="E99" s="1" t="n">
        <v>9.82</v>
      </c>
      <c r="F99" s="1" t="s">
        <v>9</v>
      </c>
    </row>
    <row collapsed="false" customFormat="false" customHeight="false" hidden="false" ht="14.75" outlineLevel="0" r="100">
      <c r="A100" s="1" t="s">
        <v>370</v>
      </c>
      <c r="B100" s="1" t="s">
        <v>294</v>
      </c>
      <c r="C100" s="1" t="s">
        <v>288</v>
      </c>
      <c r="D100" s="1" t="n">
        <v>536</v>
      </c>
      <c r="E100" s="1" t="n">
        <v>25.16</v>
      </c>
      <c r="F100" s="1" t="n">
        <f aca="false">27/5</f>
        <v>5.4</v>
      </c>
    </row>
    <row collapsed="false" customFormat="false" customHeight="false" hidden="false" ht="14.75" outlineLevel="0" r="101">
      <c r="A101" s="1" t="s">
        <v>371</v>
      </c>
      <c r="B101" s="1" t="s">
        <v>294</v>
      </c>
      <c r="C101" s="1" t="s">
        <v>288</v>
      </c>
      <c r="D101" s="1" t="n">
        <v>232</v>
      </c>
      <c r="E101" s="1" t="n">
        <v>14.75</v>
      </c>
      <c r="F101" s="1" t="n">
        <v>2</v>
      </c>
    </row>
    <row collapsed="false" customFormat="false" customHeight="false" hidden="false" ht="14.75" outlineLevel="0" r="102">
      <c r="A102" s="6" t="s">
        <v>372</v>
      </c>
      <c r="B102" s="6" t="s">
        <v>299</v>
      </c>
      <c r="C102" s="6" t="s">
        <v>288</v>
      </c>
      <c r="D102" s="6" t="n">
        <v>407.5</v>
      </c>
      <c r="E102" s="6" t="n">
        <v>20.05</v>
      </c>
      <c r="F102" s="6" t="s">
        <v>9</v>
      </c>
    </row>
    <row collapsed="false" customFormat="false" customHeight="false" hidden="false" ht="14.75" outlineLevel="0" r="103">
      <c r="A103" s="6" t="s">
        <v>373</v>
      </c>
      <c r="B103" s="6" t="s">
        <v>299</v>
      </c>
      <c r="C103" s="6" t="s">
        <v>288</v>
      </c>
      <c r="D103" s="6" t="n">
        <v>249.3</v>
      </c>
      <c r="E103" s="6" t="n">
        <v>15.93</v>
      </c>
      <c r="F103" s="6" t="s">
        <v>9</v>
      </c>
    </row>
    <row collapsed="false" customFormat="false" customHeight="false" hidden="false" ht="14.75" outlineLevel="0" r="104">
      <c r="A104" s="6" t="s">
        <v>374</v>
      </c>
      <c r="B104" s="6" t="s">
        <v>299</v>
      </c>
      <c r="C104" s="6" t="s">
        <v>288</v>
      </c>
      <c r="D104" s="6" t="n">
        <v>241.2</v>
      </c>
      <c r="E104" s="6" t="n">
        <v>14.15</v>
      </c>
      <c r="F104" s="6" t="s">
        <v>9</v>
      </c>
    </row>
    <row collapsed="false" customFormat="false" customHeight="false" hidden="false" ht="14.75" outlineLevel="0" r="105">
      <c r="A105" s="1" t="s">
        <v>375</v>
      </c>
      <c r="B105" s="1" t="s">
        <v>291</v>
      </c>
      <c r="C105" s="1" t="s">
        <v>288</v>
      </c>
      <c r="D105" s="1" t="n">
        <v>170.5</v>
      </c>
      <c r="E105" s="1" t="n">
        <v>12.27</v>
      </c>
      <c r="F105" s="1" t="n">
        <v>1.3</v>
      </c>
    </row>
    <row collapsed="false" customFormat="false" customHeight="false" hidden="false" ht="14.75" outlineLevel="0" r="106">
      <c r="A106" s="1" t="s">
        <v>376</v>
      </c>
      <c r="B106" s="1" t="s">
        <v>288</v>
      </c>
      <c r="C106" s="1" t="s">
        <v>288</v>
      </c>
      <c r="D106" s="1" t="n">
        <v>369.5</v>
      </c>
      <c r="E106" s="1" t="n">
        <v>21.875</v>
      </c>
      <c r="F106" s="1" t="s">
        <v>9</v>
      </c>
    </row>
    <row collapsed="false" customFormat="false" customHeight="false" hidden="false" ht="14.75" outlineLevel="0" r="107">
      <c r="A107" s="1" t="s">
        <v>377</v>
      </c>
      <c r="B107" s="1" t="s">
        <v>288</v>
      </c>
      <c r="C107" s="1" t="s">
        <v>288</v>
      </c>
      <c r="D107" s="1" t="n">
        <v>307.98</v>
      </c>
      <c r="E107" s="1" t="n">
        <v>19.0654205607477</v>
      </c>
      <c r="F107" s="1" t="s">
        <v>9</v>
      </c>
    </row>
    <row collapsed="false" customFormat="false" customHeight="false" hidden="false" ht="14.75" outlineLevel="0" r="108">
      <c r="A108" s="1" t="s">
        <v>378</v>
      </c>
      <c r="B108" s="1" t="s">
        <v>288</v>
      </c>
      <c r="C108" s="1" t="s">
        <v>288</v>
      </c>
      <c r="D108" s="1" t="n">
        <v>203.02</v>
      </c>
      <c r="E108" s="1" t="n">
        <v>14.1860465116279</v>
      </c>
      <c r="F108" s="1" t="s">
        <v>9</v>
      </c>
    </row>
    <row collapsed="false" customFormat="false" customHeight="false" hidden="false" ht="14.75" outlineLevel="0" r="109">
      <c r="A109" s="6" t="s">
        <v>379</v>
      </c>
      <c r="B109" s="6" t="s">
        <v>299</v>
      </c>
      <c r="C109" s="6" t="s">
        <v>288</v>
      </c>
      <c r="D109" s="6" t="n">
        <v>374.3</v>
      </c>
      <c r="E109" s="6" t="n">
        <v>18.51</v>
      </c>
      <c r="F109" s="6" t="s">
        <v>9</v>
      </c>
    </row>
    <row collapsed="false" customFormat="false" customHeight="false" hidden="false" ht="14.75" outlineLevel="0" r="110">
      <c r="A110" s="6" t="s">
        <v>380</v>
      </c>
      <c r="B110" s="6" t="s">
        <v>299</v>
      </c>
      <c r="C110" s="6" t="s">
        <v>288</v>
      </c>
      <c r="D110" s="6" t="n">
        <v>164.4</v>
      </c>
      <c r="E110" s="6" t="n">
        <v>12.13</v>
      </c>
      <c r="F110" s="6" t="s">
        <v>9</v>
      </c>
    </row>
    <row collapsed="false" customFormat="false" customHeight="false" hidden="false" ht="14.75" outlineLevel="0" r="111">
      <c r="A111" s="6" t="s">
        <v>381</v>
      </c>
      <c r="B111" s="6" t="s">
        <v>299</v>
      </c>
      <c r="C111" s="6" t="s">
        <v>288</v>
      </c>
      <c r="D111" s="6" t="n">
        <v>103.8</v>
      </c>
      <c r="E111" s="6" t="n">
        <v>9.17</v>
      </c>
      <c r="F111" s="6" t="s">
        <v>9</v>
      </c>
    </row>
    <row collapsed="false" customFormat="false" customHeight="false" hidden="false" ht="14.75" outlineLevel="0" r="112">
      <c r="A112" s="6" t="s">
        <v>382</v>
      </c>
      <c r="B112" s="6" t="s">
        <v>299</v>
      </c>
      <c r="C112" s="6" t="s">
        <v>288</v>
      </c>
      <c r="D112" s="6" t="n">
        <v>160</v>
      </c>
      <c r="E112" s="6" t="n">
        <v>13.67</v>
      </c>
      <c r="F112" s="6" t="s">
        <v>9</v>
      </c>
    </row>
    <row collapsed="false" customFormat="false" customHeight="false" hidden="false" ht="14.75" outlineLevel="0" r="113">
      <c r="A113" s="6" t="s">
        <v>383</v>
      </c>
      <c r="B113" s="6" t="s">
        <v>299</v>
      </c>
      <c r="C113" s="6" t="s">
        <v>288</v>
      </c>
      <c r="D113" s="6" t="n">
        <v>116.9</v>
      </c>
      <c r="E113" s="6" t="n">
        <v>9.6</v>
      </c>
      <c r="F113" s="6" t="s">
        <v>9</v>
      </c>
    </row>
    <row collapsed="false" customFormat="false" customHeight="false" hidden="false" ht="14.75" outlineLevel="0" r="114">
      <c r="A114" s="1" t="s">
        <v>384</v>
      </c>
      <c r="B114" s="1" t="s">
        <v>288</v>
      </c>
      <c r="C114" s="1" t="s">
        <v>288</v>
      </c>
      <c r="D114" s="1" t="n">
        <v>383.48</v>
      </c>
      <c r="E114" s="1" t="n">
        <v>23</v>
      </c>
      <c r="F114" s="1" t="s">
        <v>9</v>
      </c>
    </row>
    <row collapsed="false" customFormat="false" customHeight="false" hidden="false" ht="14.75" outlineLevel="0" r="115">
      <c r="A115" s="1" t="s">
        <v>385</v>
      </c>
      <c r="B115" s="1" t="s">
        <v>288</v>
      </c>
      <c r="C115" s="1" t="s">
        <v>288</v>
      </c>
      <c r="D115" s="1" t="n">
        <v>321.54</v>
      </c>
      <c r="E115" s="1" t="n">
        <v>20.6880733944954</v>
      </c>
      <c r="F115" s="1" t="s">
        <v>9</v>
      </c>
    </row>
    <row collapsed="false" customFormat="false" customHeight="false" hidden="false" ht="14.75" outlineLevel="0" r="116">
      <c r="A116" s="6" t="s">
        <v>386</v>
      </c>
      <c r="B116" s="6" t="s">
        <v>299</v>
      </c>
      <c r="C116" s="6" t="s">
        <v>288</v>
      </c>
      <c r="D116" s="6" t="n">
        <v>244.4</v>
      </c>
      <c r="E116" s="6" t="n">
        <v>14.51</v>
      </c>
      <c r="F116" s="6" t="s">
        <v>9</v>
      </c>
    </row>
    <row collapsed="false" customFormat="false" customHeight="false" hidden="false" ht="14.75" outlineLevel="0" r="117">
      <c r="A117" s="6" t="s">
        <v>387</v>
      </c>
      <c r="B117" s="6" t="s">
        <v>299</v>
      </c>
      <c r="C117" s="6" t="s">
        <v>288</v>
      </c>
      <c r="D117" s="6" t="n">
        <v>166.9</v>
      </c>
      <c r="E117" s="6" t="n">
        <v>10.61</v>
      </c>
      <c r="F117" s="6" t="s">
        <v>9</v>
      </c>
    </row>
    <row collapsed="false" customFormat="false" customHeight="false" hidden="false" ht="14.75" outlineLevel="0" r="118">
      <c r="A118" s="1" t="s">
        <v>388</v>
      </c>
      <c r="B118" s="1" t="s">
        <v>309</v>
      </c>
      <c r="C118" s="4" t="s">
        <v>288</v>
      </c>
      <c r="D118" s="1" t="n">
        <v>212.5</v>
      </c>
      <c r="E118" s="1" t="n">
        <v>14.84</v>
      </c>
      <c r="F118" s="1" t="s">
        <v>9</v>
      </c>
    </row>
    <row collapsed="false" customFormat="false" customHeight="false" hidden="false" ht="14.75" outlineLevel="0" r="119">
      <c r="A119" s="1" t="s">
        <v>389</v>
      </c>
      <c r="B119" s="1" t="s">
        <v>288</v>
      </c>
      <c r="C119" s="1" t="s">
        <v>288</v>
      </c>
      <c r="D119" s="1" t="n">
        <v>223.98</v>
      </c>
      <c r="E119" s="1" t="n">
        <v>17.8571428571429</v>
      </c>
      <c r="F119" s="1" t="s">
        <v>9</v>
      </c>
    </row>
    <row collapsed="false" customFormat="false" customHeight="false" hidden="false" ht="14.75" outlineLevel="0" r="120">
      <c r="A120" s="1" t="s">
        <v>390</v>
      </c>
      <c r="B120" s="1" t="s">
        <v>288</v>
      </c>
      <c r="C120" s="1" t="s">
        <v>288</v>
      </c>
      <c r="D120" s="1" t="n">
        <v>76.54</v>
      </c>
      <c r="E120" s="1" t="n">
        <v>10</v>
      </c>
      <c r="F120" s="1" t="s">
        <v>9</v>
      </c>
    </row>
    <row collapsed="false" customFormat="false" customHeight="false" hidden="false" ht="14.75" outlineLevel="0" r="121">
      <c r="A121" s="1" t="s">
        <v>391</v>
      </c>
      <c r="B121" s="1" t="s">
        <v>313</v>
      </c>
      <c r="C121" s="1" t="s">
        <v>288</v>
      </c>
      <c r="D121" s="1" t="n">
        <v>353.2</v>
      </c>
      <c r="E121" s="1" t="n">
        <v>21.42</v>
      </c>
      <c r="F121" s="1" t="s">
        <v>9</v>
      </c>
    </row>
    <row collapsed="false" customFormat="false" customHeight="false" hidden="false" ht="14.75" outlineLevel="0" r="122">
      <c r="A122" s="1" t="s">
        <v>392</v>
      </c>
      <c r="B122" s="1" t="s">
        <v>313</v>
      </c>
      <c r="C122" s="1" t="s">
        <v>288</v>
      </c>
      <c r="D122" s="1" t="n">
        <v>246</v>
      </c>
      <c r="E122" s="1" t="n">
        <v>17.02</v>
      </c>
      <c r="F122" s="1" t="s">
        <v>9</v>
      </c>
    </row>
    <row collapsed="false" customFormat="false" customHeight="false" hidden="false" ht="14.75" outlineLevel="0" r="123">
      <c r="A123" s="1" t="s">
        <v>393</v>
      </c>
      <c r="B123" s="1" t="s">
        <v>313</v>
      </c>
      <c r="C123" s="1" t="s">
        <v>288</v>
      </c>
      <c r="D123" s="1" t="n">
        <v>187.5</v>
      </c>
      <c r="E123" s="1" t="n">
        <v>13.37</v>
      </c>
      <c r="F123" s="1" t="s">
        <v>9</v>
      </c>
    </row>
    <row collapsed="false" customFormat="false" customHeight="false" hidden="false" ht="14.75" outlineLevel="0" r="124">
      <c r="A124" s="1" t="s">
        <v>394</v>
      </c>
      <c r="B124" s="1" t="s">
        <v>309</v>
      </c>
      <c r="C124" s="4" t="s">
        <v>288</v>
      </c>
      <c r="D124" s="1" t="n">
        <v>273</v>
      </c>
      <c r="E124" s="1" t="n">
        <v>18.4</v>
      </c>
      <c r="F124" s="1" t="s">
        <v>9</v>
      </c>
    </row>
    <row collapsed="false" customFormat="false" customHeight="false" hidden="false" ht="14.75" outlineLevel="0" r="125">
      <c r="A125" s="1" t="s">
        <v>47</v>
      </c>
      <c r="B125" s="1" t="s">
        <v>287</v>
      </c>
      <c r="C125" s="1" t="s">
        <v>288</v>
      </c>
      <c r="D125" s="1" t="n">
        <v>417.7</v>
      </c>
      <c r="E125" s="1" t="n">
        <v>25.76</v>
      </c>
      <c r="F125" s="1" t="n">
        <f aca="false">81/11</f>
        <v>7.36363636363636</v>
      </c>
    </row>
    <row collapsed="false" customFormat="false" customHeight="false" hidden="false" ht="14.75" outlineLevel="0" r="126">
      <c r="A126" s="1" t="s">
        <v>395</v>
      </c>
      <c r="B126" s="1" t="s">
        <v>313</v>
      </c>
      <c r="C126" s="1" t="s">
        <v>288</v>
      </c>
      <c r="D126" s="1" t="n">
        <v>78</v>
      </c>
      <c r="E126" s="1" t="n">
        <v>7.72</v>
      </c>
      <c r="F126" s="1" t="s">
        <v>9</v>
      </c>
    </row>
    <row collapsed="false" customFormat="false" customHeight="false" hidden="false" ht="14.75" outlineLevel="0" r="127">
      <c r="A127" s="1" t="s">
        <v>396</v>
      </c>
      <c r="B127" s="1" t="s">
        <v>287</v>
      </c>
      <c r="C127" s="1" t="s">
        <v>288</v>
      </c>
      <c r="D127" s="1" t="n">
        <v>241.5</v>
      </c>
      <c r="E127" s="1" t="n">
        <v>17.33</v>
      </c>
      <c r="F127" s="1" t="n">
        <v>2.7</v>
      </c>
    </row>
    <row collapsed="false" customFormat="false" customHeight="false" hidden="false" ht="14.75" outlineLevel="0" r="128">
      <c r="A128" s="1" t="s">
        <v>28</v>
      </c>
      <c r="B128" s="1" t="s">
        <v>288</v>
      </c>
      <c r="C128" s="1" t="s">
        <v>288</v>
      </c>
      <c r="D128" s="1" t="n">
        <v>490</v>
      </c>
      <c r="E128" s="1" t="n">
        <v>25.6028368794326</v>
      </c>
      <c r="F128" s="1" t="s">
        <v>9</v>
      </c>
    </row>
    <row collapsed="false" customFormat="false" customHeight="false" hidden="false" ht="14.75" outlineLevel="0" r="129">
      <c r="A129" s="1" t="s">
        <v>397</v>
      </c>
      <c r="B129" s="1" t="s">
        <v>291</v>
      </c>
      <c r="C129" s="1" t="s">
        <v>288</v>
      </c>
      <c r="D129" s="1" t="n">
        <v>275.5</v>
      </c>
      <c r="E129" s="1" t="n">
        <v>14.88</v>
      </c>
      <c r="F129" s="1" t="n">
        <f aca="false">28/11</f>
        <v>2.54545454545455</v>
      </c>
    </row>
    <row collapsed="false" customFormat="false" customHeight="false" hidden="false" ht="14.75" outlineLevel="0" r="130">
      <c r="A130" s="1" t="s">
        <v>398</v>
      </c>
      <c r="B130" s="1" t="s">
        <v>291</v>
      </c>
      <c r="C130" s="1" t="s">
        <v>288</v>
      </c>
      <c r="D130" s="1" t="n">
        <v>190.5</v>
      </c>
      <c r="E130" s="1" t="n">
        <v>12.01</v>
      </c>
      <c r="F130" s="1" t="n">
        <v>1.1</v>
      </c>
    </row>
    <row collapsed="false" customFormat="false" customHeight="false" hidden="false" ht="14.75" outlineLevel="0" r="131">
      <c r="A131" s="1" t="s">
        <v>399</v>
      </c>
      <c r="B131" s="1" t="s">
        <v>291</v>
      </c>
      <c r="C131" s="1" t="s">
        <v>288</v>
      </c>
      <c r="D131" s="1" t="n">
        <v>160.6</v>
      </c>
      <c r="E131" s="1" t="n">
        <v>9.73</v>
      </c>
      <c r="F131" s="1" t="n">
        <v>0.6</v>
      </c>
    </row>
    <row collapsed="false" customFormat="false" customHeight="false" hidden="false" ht="14.75" outlineLevel="0" r="132">
      <c r="A132" s="1" t="s">
        <v>400</v>
      </c>
      <c r="B132" s="1" t="s">
        <v>288</v>
      </c>
      <c r="C132" s="1" t="s">
        <v>288</v>
      </c>
      <c r="D132" s="1" t="n">
        <v>261.52</v>
      </c>
      <c r="E132" s="1" t="n">
        <v>19.7802197802198</v>
      </c>
      <c r="F132" s="1" t="s">
        <v>9</v>
      </c>
    </row>
    <row collapsed="false" customFormat="false" customHeight="false" hidden="false" ht="14.75" outlineLevel="0" r="133">
      <c r="A133" s="1" t="s">
        <v>401</v>
      </c>
      <c r="B133" s="1" t="s">
        <v>288</v>
      </c>
      <c r="C133" s="1" t="s">
        <v>288</v>
      </c>
      <c r="D133" s="1" t="n">
        <v>266.02</v>
      </c>
      <c r="E133" s="1" t="n">
        <v>17.1287128712871</v>
      </c>
      <c r="F133" s="1" t="s">
        <v>9</v>
      </c>
    </row>
    <row collapsed="false" customFormat="false" customHeight="false" hidden="false" ht="14.75" outlineLevel="0" r="134">
      <c r="A134" s="1" t="s">
        <v>178</v>
      </c>
      <c r="B134" s="1" t="s">
        <v>287</v>
      </c>
      <c r="C134" s="1" t="s">
        <v>288</v>
      </c>
      <c r="D134" s="1" t="n">
        <v>304</v>
      </c>
      <c r="E134" s="1" t="n">
        <v>22.22</v>
      </c>
      <c r="F134" s="1" t="n">
        <v>5.3</v>
      </c>
    </row>
    <row collapsed="false" customFormat="false" customHeight="false" hidden="false" ht="14.75" outlineLevel="0" r="135">
      <c r="A135" s="1" t="s">
        <v>179</v>
      </c>
      <c r="B135" s="1" t="s">
        <v>287</v>
      </c>
      <c r="C135" s="1" t="s">
        <v>288</v>
      </c>
      <c r="D135" s="1" t="n">
        <v>272</v>
      </c>
      <c r="E135" s="1" t="n">
        <v>19.89</v>
      </c>
      <c r="F135" s="1" t="n">
        <v>3.1</v>
      </c>
    </row>
    <row collapsed="false" customFormat="false" customHeight="false" hidden="false" ht="14.75" outlineLevel="0" r="136">
      <c r="A136" s="1" t="s">
        <v>402</v>
      </c>
      <c r="B136" s="1" t="s">
        <v>291</v>
      </c>
      <c r="C136" s="1" t="s">
        <v>288</v>
      </c>
      <c r="D136" s="1" t="n">
        <v>232</v>
      </c>
      <c r="E136" s="1" t="n">
        <v>14.53</v>
      </c>
      <c r="F136" s="1" t="n">
        <v>1.4</v>
      </c>
    </row>
    <row collapsed="false" customFormat="false" customHeight="false" hidden="false" ht="14.75" outlineLevel="0" r="137">
      <c r="A137" s="6" t="s">
        <v>403</v>
      </c>
      <c r="B137" s="6" t="s">
        <v>299</v>
      </c>
      <c r="C137" s="6" t="s">
        <v>288</v>
      </c>
      <c r="D137" s="6" t="n">
        <v>157.5</v>
      </c>
      <c r="E137" s="6" t="n">
        <v>11.69</v>
      </c>
      <c r="F137" s="6" t="s">
        <v>9</v>
      </c>
    </row>
    <row collapsed="false" customFormat="false" customHeight="false" hidden="false" ht="14.75" outlineLevel="0" r="138">
      <c r="A138" s="1" t="s">
        <v>32</v>
      </c>
      <c r="B138" s="1" t="s">
        <v>288</v>
      </c>
      <c r="C138" s="1" t="s">
        <v>288</v>
      </c>
      <c r="D138" s="1" t="n">
        <v>517.98</v>
      </c>
      <c r="E138" s="1" t="n">
        <v>26.7361111111111</v>
      </c>
      <c r="F138" s="1" t="s">
        <v>9</v>
      </c>
    </row>
    <row collapsed="false" customFormat="false" customHeight="false" hidden="false" ht="14.75" outlineLevel="0" r="139">
      <c r="A139" s="1" t="s">
        <v>404</v>
      </c>
      <c r="B139" s="1" t="s">
        <v>288</v>
      </c>
      <c r="C139" s="1" t="s">
        <v>288</v>
      </c>
      <c r="D139" s="1" t="n">
        <v>267.48</v>
      </c>
      <c r="E139" s="1" t="n">
        <v>18.5567010309278</v>
      </c>
      <c r="F139" s="1" t="s">
        <v>9</v>
      </c>
    </row>
    <row collapsed="false" customFormat="false" customHeight="false" hidden="false" ht="14.75" outlineLevel="0" r="140">
      <c r="A140" s="1" t="s">
        <v>405</v>
      </c>
      <c r="B140" s="1" t="s">
        <v>288</v>
      </c>
      <c r="C140" s="1" t="s">
        <v>288</v>
      </c>
      <c r="D140" s="1" t="n">
        <v>143.02</v>
      </c>
      <c r="E140" s="1" t="n">
        <v>13.4920634920635</v>
      </c>
      <c r="F140" s="1" t="s">
        <v>9</v>
      </c>
    </row>
    <row collapsed="false" customFormat="false" customHeight="false" hidden="false" ht="14.75" outlineLevel="0" r="141">
      <c r="A141" s="1" t="s">
        <v>406</v>
      </c>
      <c r="B141" s="1" t="s">
        <v>294</v>
      </c>
      <c r="C141" s="1" t="s">
        <v>288</v>
      </c>
      <c r="D141" s="1" t="n">
        <v>236</v>
      </c>
      <c r="E141" s="1" t="n">
        <v>16</v>
      </c>
      <c r="F141" s="1" t="n">
        <v>2</v>
      </c>
    </row>
    <row collapsed="false" customFormat="false" customHeight="false" hidden="false" ht="14.75" outlineLevel="0" r="142">
      <c r="A142" s="1" t="s">
        <v>407</v>
      </c>
      <c r="B142" s="1" t="s">
        <v>294</v>
      </c>
      <c r="C142" s="1" t="s">
        <v>288</v>
      </c>
      <c r="D142" s="1" t="n">
        <v>86</v>
      </c>
      <c r="E142" s="1" t="n">
        <v>13.75</v>
      </c>
      <c r="F142" s="1" t="n">
        <f aca="false">2/5</f>
        <v>0.4</v>
      </c>
    </row>
    <row collapsed="false" customFormat="false" customHeight="false" hidden="false" ht="14.75" outlineLevel="0" r="143">
      <c r="A143" s="1" t="s">
        <v>408</v>
      </c>
      <c r="B143" s="1" t="s">
        <v>288</v>
      </c>
      <c r="C143" s="1" t="s">
        <v>288</v>
      </c>
      <c r="D143" s="1" t="n">
        <v>39.48</v>
      </c>
      <c r="E143" s="1" t="n">
        <v>5.55555555555556</v>
      </c>
      <c r="F143" s="1" t="s">
        <v>9</v>
      </c>
    </row>
    <row collapsed="false" customFormat="false" customHeight="false" hidden="false" ht="14.75" outlineLevel="0" r="144">
      <c r="A144" s="1" t="s">
        <v>409</v>
      </c>
      <c r="B144" s="1" t="s">
        <v>313</v>
      </c>
      <c r="C144" s="1" t="s">
        <v>288</v>
      </c>
      <c r="D144" s="1" t="n">
        <v>95.5</v>
      </c>
      <c r="E144" s="1" t="n">
        <v>7.29</v>
      </c>
      <c r="F144" s="1" t="s">
        <v>9</v>
      </c>
    </row>
    <row collapsed="false" customFormat="false" customHeight="false" hidden="false" ht="14.75" outlineLevel="0" r="145">
      <c r="A145" s="1" t="s">
        <v>410</v>
      </c>
      <c r="B145" s="1" t="s">
        <v>291</v>
      </c>
      <c r="C145" s="1" t="s">
        <v>288</v>
      </c>
      <c r="D145" s="1" t="n">
        <v>87.5</v>
      </c>
      <c r="E145" s="1" t="n">
        <v>8.08</v>
      </c>
      <c r="F145" s="1" t="n">
        <v>0.4</v>
      </c>
    </row>
    <row collapsed="false" customFormat="false" customHeight="false" hidden="false" ht="14.75" outlineLevel="0" r="146">
      <c r="A146" s="1" t="s">
        <v>411</v>
      </c>
      <c r="B146" s="1" t="s">
        <v>294</v>
      </c>
      <c r="C146" s="1" t="s">
        <v>288</v>
      </c>
      <c r="D146" s="1" t="n">
        <v>552</v>
      </c>
      <c r="E146" s="1" t="n">
        <v>23</v>
      </c>
      <c r="F146" s="1" t="n">
        <f aca="false">23/5</f>
        <v>4.6</v>
      </c>
    </row>
    <row collapsed="false" customFormat="false" customHeight="false" hidden="false" ht="14.75" outlineLevel="0" r="147">
      <c r="A147" s="1" t="s">
        <v>412</v>
      </c>
      <c r="B147" s="1" t="s">
        <v>294</v>
      </c>
      <c r="C147" s="1" t="s">
        <v>288</v>
      </c>
      <c r="D147" s="1" t="n">
        <v>92</v>
      </c>
      <c r="E147" s="1" t="n">
        <v>7.73</v>
      </c>
      <c r="F147" s="1" t="n">
        <f aca="false">1/5</f>
        <v>0.2</v>
      </c>
    </row>
    <row collapsed="false" customFormat="false" customHeight="false" hidden="false" ht="14.75" outlineLevel="0" r="148">
      <c r="A148" s="1" t="s">
        <v>413</v>
      </c>
      <c r="B148" s="1" t="s">
        <v>287</v>
      </c>
      <c r="C148" s="1" t="s">
        <v>288</v>
      </c>
      <c r="D148" s="1" t="n">
        <v>229</v>
      </c>
      <c r="E148" s="1" t="n">
        <v>17.53</v>
      </c>
      <c r="F148" s="1" t="n">
        <v>2.7</v>
      </c>
    </row>
    <row collapsed="false" customFormat="false" customHeight="false" hidden="false" ht="14.75" outlineLevel="0" r="149">
      <c r="A149" s="1" t="s">
        <v>414</v>
      </c>
      <c r="B149" s="1" t="s">
        <v>291</v>
      </c>
      <c r="C149" s="1" t="s">
        <v>288</v>
      </c>
      <c r="D149" s="1" t="n">
        <v>171</v>
      </c>
      <c r="E149" s="1" t="n">
        <v>11.25</v>
      </c>
      <c r="F149" s="1" t="n">
        <v>1.3</v>
      </c>
    </row>
    <row collapsed="false" customFormat="false" customHeight="false" hidden="false" ht="14.75" outlineLevel="0" r="150">
      <c r="A150" s="1" t="s">
        <v>415</v>
      </c>
      <c r="B150" s="1" t="s">
        <v>313</v>
      </c>
      <c r="C150" s="1" t="s">
        <v>288</v>
      </c>
      <c r="D150" s="1" t="n">
        <v>107</v>
      </c>
      <c r="E150" s="1" t="n">
        <v>9.47</v>
      </c>
      <c r="F150" s="1" t="s">
        <v>9</v>
      </c>
    </row>
    <row collapsed="false" customFormat="false" customHeight="false" hidden="false" ht="14.75" outlineLevel="0" r="151">
      <c r="A151" s="1" t="s">
        <v>416</v>
      </c>
      <c r="B151" s="1" t="s">
        <v>313</v>
      </c>
      <c r="C151" s="1" t="s">
        <v>288</v>
      </c>
      <c r="D151" s="1" t="n">
        <v>66.5</v>
      </c>
      <c r="E151" s="1" t="n">
        <v>6.67</v>
      </c>
      <c r="F151" s="1" t="s">
        <v>9</v>
      </c>
    </row>
    <row collapsed="false" customFormat="false" customHeight="false" hidden="false" ht="14.75" outlineLevel="0" r="152">
      <c r="A152" s="6" t="s">
        <v>417</v>
      </c>
      <c r="B152" s="6" t="s">
        <v>299</v>
      </c>
      <c r="C152" s="6" t="s">
        <v>288</v>
      </c>
      <c r="D152" s="6" t="n">
        <v>157.5</v>
      </c>
      <c r="E152" s="6" t="n">
        <v>13.16</v>
      </c>
      <c r="F152" s="6" t="s">
        <v>9</v>
      </c>
    </row>
    <row collapsed="false" customFormat="false" customHeight="false" hidden="false" ht="14.75" outlineLevel="0" r="153">
      <c r="A153" s="6" t="s">
        <v>418</v>
      </c>
      <c r="B153" s="6" t="s">
        <v>299</v>
      </c>
      <c r="C153" s="6" t="s">
        <v>288</v>
      </c>
      <c r="D153" s="6" t="n">
        <v>32.9</v>
      </c>
      <c r="E153" s="6" t="n">
        <v>6</v>
      </c>
      <c r="F153" s="6" t="s">
        <v>9</v>
      </c>
    </row>
    <row collapsed="false" customFormat="false" customHeight="false" hidden="false" ht="14.75" outlineLevel="0" r="154">
      <c r="A154" s="1" t="s">
        <v>419</v>
      </c>
      <c r="B154" s="1" t="s">
        <v>291</v>
      </c>
      <c r="C154" s="1" t="s">
        <v>288</v>
      </c>
      <c r="D154" s="1" t="n">
        <v>178.5</v>
      </c>
      <c r="E154" s="1" t="n">
        <v>11.33</v>
      </c>
      <c r="F154" s="1" t="n">
        <v>1.5</v>
      </c>
    </row>
    <row collapsed="false" customFormat="false" customHeight="false" hidden="false" ht="14.75" outlineLevel="0" r="155">
      <c r="A155" s="1" t="s">
        <v>190</v>
      </c>
      <c r="B155" s="1" t="s">
        <v>287</v>
      </c>
      <c r="C155" s="1" t="s">
        <v>288</v>
      </c>
      <c r="D155" s="1" t="n">
        <v>218.5</v>
      </c>
      <c r="E155" s="1" t="n">
        <v>20.43</v>
      </c>
      <c r="F155" s="1" t="n">
        <v>2.4</v>
      </c>
    </row>
    <row collapsed="false" customFormat="false" customHeight="false" hidden="false" ht="14.75" outlineLevel="0" r="156">
      <c r="A156" s="1" t="s">
        <v>191</v>
      </c>
      <c r="B156" s="1" t="s">
        <v>291</v>
      </c>
      <c r="C156" s="1" t="s">
        <v>288</v>
      </c>
      <c r="D156" s="1" t="n">
        <v>239</v>
      </c>
      <c r="E156" s="1" t="n">
        <v>15</v>
      </c>
      <c r="F156" s="1" t="n">
        <v>2.1</v>
      </c>
    </row>
    <row collapsed="false" customFormat="false" customHeight="false" hidden="false" ht="14.75" outlineLevel="0" r="157">
      <c r="A157" s="1" t="s">
        <v>420</v>
      </c>
      <c r="B157" s="1" t="s">
        <v>291</v>
      </c>
      <c r="C157" s="1" t="s">
        <v>288</v>
      </c>
      <c r="D157" s="1" t="n">
        <v>133.9</v>
      </c>
      <c r="E157" s="1" t="n">
        <v>9.35</v>
      </c>
      <c r="F157" s="1" t="n">
        <v>0.8</v>
      </c>
    </row>
    <row collapsed="false" customFormat="false" customHeight="false" hidden="false" ht="14.75" outlineLevel="0" r="158">
      <c r="A158" s="1" t="s">
        <v>421</v>
      </c>
      <c r="B158" s="1" t="s">
        <v>287</v>
      </c>
      <c r="C158" s="1" t="s">
        <v>288</v>
      </c>
      <c r="D158" s="1" t="n">
        <v>224</v>
      </c>
      <c r="E158" s="1" t="n">
        <v>18.48</v>
      </c>
      <c r="F158" s="1" t="n">
        <v>1.8</v>
      </c>
    </row>
    <row collapsed="false" customFormat="false" customHeight="false" hidden="false" ht="14.75" outlineLevel="0" r="159">
      <c r="A159" s="1" t="s">
        <v>422</v>
      </c>
      <c r="B159" s="1" t="s">
        <v>291</v>
      </c>
      <c r="C159" s="1" t="s">
        <v>288</v>
      </c>
      <c r="D159" s="1" t="n">
        <v>134</v>
      </c>
      <c r="E159" s="1" t="n">
        <v>8.65</v>
      </c>
      <c r="F159" s="1" t="n">
        <v>0.7</v>
      </c>
    </row>
    <row collapsed="false" customFormat="false" customHeight="false" hidden="false" ht="14.75" outlineLevel="0" r="160">
      <c r="A160" s="1" t="s">
        <v>423</v>
      </c>
      <c r="B160" s="1" t="s">
        <v>288</v>
      </c>
      <c r="C160" s="1" t="s">
        <v>288</v>
      </c>
      <c r="D160" s="1" t="n">
        <v>337.5</v>
      </c>
      <c r="E160" s="1" t="n">
        <v>23.1603773584906</v>
      </c>
      <c r="F160" s="1" t="s">
        <v>9</v>
      </c>
    </row>
    <row collapsed="false" customFormat="false" customHeight="false" hidden="false" ht="14.75" outlineLevel="0" r="161">
      <c r="A161" s="1" t="s">
        <v>424</v>
      </c>
      <c r="B161" s="1" t="s">
        <v>288</v>
      </c>
      <c r="C161" s="1" t="s">
        <v>288</v>
      </c>
      <c r="D161" s="1" t="n">
        <v>220.02</v>
      </c>
      <c r="E161" s="1" t="n">
        <v>15.9340659340659</v>
      </c>
      <c r="F161" s="1" t="s">
        <v>9</v>
      </c>
    </row>
    <row collapsed="false" customFormat="false" customHeight="false" hidden="false" ht="14.75" outlineLevel="0" r="162">
      <c r="A162" s="1" t="s">
        <v>425</v>
      </c>
      <c r="B162" s="1" t="s">
        <v>309</v>
      </c>
      <c r="C162" s="4" t="s">
        <v>288</v>
      </c>
      <c r="D162" s="1" t="n">
        <v>332.5</v>
      </c>
      <c r="E162" s="1" t="n">
        <v>23.33</v>
      </c>
      <c r="F162" s="1" t="s">
        <v>9</v>
      </c>
    </row>
    <row collapsed="false" customFormat="false" customHeight="false" hidden="false" ht="14.75" outlineLevel="0" r="163">
      <c r="A163" s="1" t="s">
        <v>426</v>
      </c>
      <c r="B163" s="1" t="s">
        <v>309</v>
      </c>
      <c r="C163" s="4" t="s">
        <v>288</v>
      </c>
      <c r="D163" s="1" t="n">
        <v>87</v>
      </c>
      <c r="E163" s="1" t="n">
        <v>10.77</v>
      </c>
      <c r="F163" s="1" t="s">
        <v>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blackAndWhite="false" cellComments="none" copies="1" draft="false" firstPageNumber="0" fitToHeight="1" fitToWidth="1" horizontalDpi="300" orientation="portrait" pageOrder="downThenOver" paperSize="1" scale="100" useFirstPageNumber="false" usePrinterDefaults="false" verticalDpi="300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116"/>
  <sheetViews>
    <sheetView colorId="64" defaultGridColor="true" rightToLeft="false" showFormulas="false" showGridLines="true" showOutlineSymbols="true" showRowColHeaders="true" showZeros="true" tabSelected="false" topLeftCell="A104" view="normal" windowProtection="false" workbookViewId="0" zoomScale="85" zoomScaleNormal="85" zoomScalePageLayoutView="100">
      <selection activeCell="A117" activeCellId="0" pane="topLeft" sqref="A117"/>
    </sheetView>
  </sheetViews>
  <cols>
    <col collapsed="false" hidden="false" max="1" min="1" style="1" width="26.8274509803922"/>
    <col collapsed="false" hidden="false" max="2" min="2" style="1" width="45.0392156862745"/>
    <col collapsed="false" hidden="false" max="1025" min="3" style="0" width="8.5921568627451"/>
  </cols>
  <sheetData>
    <row collapsed="false" customFormat="false" customHeight="false" hidden="false" ht="14.75" outlineLevel="0"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collapsed="false" customFormat="false" customHeight="false" hidden="false" ht="14.75" outlineLevel="0" r="2">
      <c r="A2" s="1" t="s">
        <v>427</v>
      </c>
      <c r="B2" s="1" t="s">
        <v>428</v>
      </c>
      <c r="C2" s="1" t="s">
        <v>429</v>
      </c>
      <c r="D2" s="1" t="n">
        <v>107</v>
      </c>
      <c r="E2" s="1" t="n">
        <v>9.81</v>
      </c>
      <c r="F2" s="1" t="s">
        <v>9</v>
      </c>
    </row>
    <row collapsed="false" customFormat="false" customHeight="false" hidden="false" ht="14.75" outlineLevel="0" r="3">
      <c r="A3" s="1" t="s">
        <v>430</v>
      </c>
      <c r="B3" s="1" t="s">
        <v>428</v>
      </c>
      <c r="C3" s="1" t="s">
        <v>429</v>
      </c>
      <c r="D3" s="1" t="n">
        <v>22</v>
      </c>
      <c r="E3" s="1" t="n">
        <v>1.58</v>
      </c>
      <c r="F3" s="1" t="s">
        <v>9</v>
      </c>
    </row>
    <row collapsed="false" customFormat="false" customHeight="false" hidden="false" ht="14.75" outlineLevel="0" r="4">
      <c r="A4" s="1" t="s">
        <v>431</v>
      </c>
      <c r="B4" s="1" t="s">
        <v>428</v>
      </c>
      <c r="C4" s="1" t="s">
        <v>429</v>
      </c>
      <c r="D4" s="1" t="n">
        <v>27</v>
      </c>
      <c r="E4" s="1" t="n">
        <v>3.5</v>
      </c>
      <c r="F4" s="1" t="s">
        <v>9</v>
      </c>
    </row>
    <row collapsed="false" customFormat="false" customHeight="false" hidden="false" ht="14.75" outlineLevel="0" r="5">
      <c r="A5" s="1" t="s">
        <v>50</v>
      </c>
      <c r="B5" s="1" t="s">
        <v>432</v>
      </c>
      <c r="C5" s="1" t="s">
        <v>429</v>
      </c>
      <c r="D5" s="1" t="n">
        <v>285</v>
      </c>
      <c r="E5" s="1" t="n">
        <v>17.14</v>
      </c>
      <c r="F5" s="1" t="s">
        <v>9</v>
      </c>
    </row>
    <row collapsed="false" customFormat="false" customHeight="false" hidden="false" ht="14.75" outlineLevel="0" r="6">
      <c r="A6" s="1" t="s">
        <v>55</v>
      </c>
      <c r="B6" s="1" t="s">
        <v>432</v>
      </c>
      <c r="C6" s="1" t="s">
        <v>429</v>
      </c>
      <c r="D6" s="1" t="n">
        <v>339</v>
      </c>
      <c r="E6" s="1" t="n">
        <v>20.27</v>
      </c>
      <c r="F6" s="1" t="s">
        <v>9</v>
      </c>
    </row>
    <row collapsed="false" customFormat="false" customHeight="false" hidden="false" ht="14.75" outlineLevel="0" r="7">
      <c r="A7" s="1" t="s">
        <v>286</v>
      </c>
      <c r="B7" s="1" t="s">
        <v>433</v>
      </c>
      <c r="C7" s="1" t="s">
        <v>429</v>
      </c>
      <c r="D7" s="1" t="n">
        <v>516.4</v>
      </c>
      <c r="E7" s="1" t="n">
        <v>25.35</v>
      </c>
      <c r="F7" s="1" t="s">
        <v>9</v>
      </c>
    </row>
    <row collapsed="false" customFormat="false" customHeight="false" hidden="false" ht="14.75" outlineLevel="0" r="8">
      <c r="A8" s="1" t="s">
        <v>289</v>
      </c>
      <c r="B8" s="1" t="s">
        <v>433</v>
      </c>
      <c r="C8" s="1" t="s">
        <v>429</v>
      </c>
      <c r="D8" s="1" t="n">
        <v>281.7</v>
      </c>
      <c r="E8" s="1" t="n">
        <v>17.72</v>
      </c>
      <c r="F8" s="1" t="s">
        <v>9</v>
      </c>
    </row>
    <row collapsed="false" customFormat="false" customHeight="false" hidden="false" ht="14.75" outlineLevel="0" r="9">
      <c r="A9" s="1" t="s">
        <v>434</v>
      </c>
      <c r="B9" s="1" t="s">
        <v>432</v>
      </c>
      <c r="C9" s="1" t="s">
        <v>429</v>
      </c>
      <c r="D9" s="1" t="n">
        <v>256</v>
      </c>
      <c r="E9" s="1" t="n">
        <v>16.12</v>
      </c>
      <c r="F9" s="1" t="s">
        <v>9</v>
      </c>
    </row>
    <row collapsed="false" customFormat="false" customHeight="false" hidden="false" ht="14.75" outlineLevel="0" r="10">
      <c r="A10" s="1" t="s">
        <v>435</v>
      </c>
      <c r="B10" s="1" t="s">
        <v>428</v>
      </c>
      <c r="C10" s="1" t="s">
        <v>429</v>
      </c>
      <c r="D10" s="1" t="n">
        <v>182.7</v>
      </c>
      <c r="E10" s="1" t="n">
        <v>13.93</v>
      </c>
      <c r="F10" s="1" t="s">
        <v>9</v>
      </c>
    </row>
    <row collapsed="false" customFormat="false" customHeight="false" hidden="false" ht="14.75" outlineLevel="0" r="11">
      <c r="A11" s="1" t="s">
        <v>436</v>
      </c>
      <c r="B11" s="1" t="s">
        <v>428</v>
      </c>
      <c r="C11" s="1" t="s">
        <v>429</v>
      </c>
      <c r="D11" s="1" t="n">
        <v>113</v>
      </c>
      <c r="E11" s="1" t="n">
        <v>11.32</v>
      </c>
      <c r="F11" s="1" t="s">
        <v>9</v>
      </c>
    </row>
    <row collapsed="false" customFormat="false" customHeight="false" hidden="false" ht="14.75" outlineLevel="0" r="12">
      <c r="A12" s="1" t="s">
        <v>437</v>
      </c>
      <c r="B12" s="1" t="s">
        <v>433</v>
      </c>
      <c r="C12" s="1" t="s">
        <v>429</v>
      </c>
      <c r="D12" s="1" t="n">
        <v>318.3</v>
      </c>
      <c r="E12" s="1" t="n">
        <v>20.23</v>
      </c>
      <c r="F12" s="1" t="s">
        <v>9</v>
      </c>
    </row>
    <row collapsed="false" customFormat="false" customHeight="false" hidden="false" ht="14.75" outlineLevel="0" r="13">
      <c r="A13" s="1" t="s">
        <v>438</v>
      </c>
      <c r="B13" s="1" t="s">
        <v>433</v>
      </c>
      <c r="C13" s="1" t="s">
        <v>429</v>
      </c>
      <c r="D13" s="1" t="n">
        <v>88.3</v>
      </c>
      <c r="E13" s="1" t="n">
        <v>8.61</v>
      </c>
      <c r="F13" s="1" t="s">
        <v>9</v>
      </c>
    </row>
    <row collapsed="false" customFormat="false" customHeight="false" hidden="false" ht="14.75" outlineLevel="0" r="14">
      <c r="A14" s="1" t="s">
        <v>439</v>
      </c>
      <c r="B14" s="1" t="s">
        <v>440</v>
      </c>
      <c r="C14" s="1" t="s">
        <v>429</v>
      </c>
      <c r="D14" s="1" t="n">
        <v>78.5</v>
      </c>
      <c r="E14" s="1" t="n">
        <v>6.2</v>
      </c>
      <c r="F14" s="1" t="s">
        <v>9</v>
      </c>
    </row>
    <row collapsed="false" customFormat="false" customHeight="false" hidden="false" ht="14.75" outlineLevel="0" r="15">
      <c r="A15" s="1" t="s">
        <v>441</v>
      </c>
      <c r="B15" s="1" t="s">
        <v>440</v>
      </c>
      <c r="C15" s="1" t="s">
        <v>429</v>
      </c>
      <c r="D15" s="1" t="n">
        <v>91</v>
      </c>
      <c r="E15" s="1" t="n">
        <v>8.43137254901961</v>
      </c>
      <c r="F15" s="1" t="s">
        <v>9</v>
      </c>
    </row>
    <row collapsed="false" customFormat="false" customHeight="false" hidden="false" ht="14.75" outlineLevel="0" r="16">
      <c r="A16" s="1" t="s">
        <v>442</v>
      </c>
      <c r="B16" s="1" t="s">
        <v>440</v>
      </c>
      <c r="C16" s="1" t="s">
        <v>429</v>
      </c>
      <c r="D16" s="1" t="n">
        <v>97</v>
      </c>
      <c r="E16" s="1" t="n">
        <v>7.96296296296296</v>
      </c>
      <c r="F16" s="1" t="s">
        <v>9</v>
      </c>
    </row>
    <row collapsed="false" customFormat="false" customHeight="false" hidden="false" ht="14.75" outlineLevel="0" r="17">
      <c r="A17" s="1" t="s">
        <v>443</v>
      </c>
      <c r="B17" s="1" t="s">
        <v>440</v>
      </c>
      <c r="C17" s="1" t="s">
        <v>429</v>
      </c>
      <c r="D17" s="1" t="n">
        <v>57</v>
      </c>
      <c r="E17" s="1" t="n">
        <v>5.94594594594595</v>
      </c>
      <c r="F17" s="1" t="s">
        <v>9</v>
      </c>
    </row>
    <row collapsed="false" customFormat="false" customHeight="false" hidden="false" ht="14.75" outlineLevel="0" r="18">
      <c r="A18" s="1" t="s">
        <v>444</v>
      </c>
      <c r="B18" s="1" t="s">
        <v>440</v>
      </c>
      <c r="C18" s="1" t="s">
        <v>429</v>
      </c>
      <c r="D18" s="1" t="n">
        <v>40.5</v>
      </c>
      <c r="E18" s="1" t="n">
        <v>4</v>
      </c>
      <c r="F18" s="1" t="s">
        <v>9</v>
      </c>
    </row>
    <row collapsed="false" customFormat="false" customHeight="false" hidden="false" ht="14.75" outlineLevel="0" r="19">
      <c r="A19" s="1" t="s">
        <v>445</v>
      </c>
      <c r="B19" s="1" t="s">
        <v>446</v>
      </c>
      <c r="C19" s="1" t="s">
        <v>429</v>
      </c>
      <c r="D19" s="1" t="n">
        <v>58.3111111111111</v>
      </c>
      <c r="E19" s="1" t="n">
        <v>6.14285714285714</v>
      </c>
      <c r="F19" s="1" t="s">
        <v>9</v>
      </c>
    </row>
    <row collapsed="false" customFormat="false" customHeight="false" hidden="false" ht="14.75" outlineLevel="0" r="20">
      <c r="A20" s="1" t="s">
        <v>56</v>
      </c>
      <c r="B20" s="1" t="s">
        <v>432</v>
      </c>
      <c r="C20" s="1" t="s">
        <v>429</v>
      </c>
      <c r="D20" s="1" t="n">
        <v>396</v>
      </c>
      <c r="E20" s="1" t="n">
        <v>21.68</v>
      </c>
      <c r="F20" s="1" t="s">
        <v>9</v>
      </c>
    </row>
    <row collapsed="false" customFormat="false" customHeight="false" hidden="false" ht="14.75" outlineLevel="0" r="21">
      <c r="A21" s="1" t="s">
        <v>57</v>
      </c>
      <c r="B21" s="1" t="s">
        <v>432</v>
      </c>
      <c r="C21" s="1" t="s">
        <v>429</v>
      </c>
      <c r="D21" s="1" t="n">
        <v>188</v>
      </c>
      <c r="E21" s="1" t="n">
        <v>12.65</v>
      </c>
      <c r="F21" s="1" t="s">
        <v>9</v>
      </c>
    </row>
    <row collapsed="false" customFormat="false" customHeight="false" hidden="false" ht="14.75" outlineLevel="0" r="22">
      <c r="A22" s="1" t="s">
        <v>303</v>
      </c>
      <c r="B22" s="1" t="s">
        <v>433</v>
      </c>
      <c r="C22" s="1" t="s">
        <v>429</v>
      </c>
      <c r="D22" s="1" t="n">
        <v>459.4</v>
      </c>
      <c r="E22" s="1" t="n">
        <v>23.95</v>
      </c>
      <c r="F22" s="1" t="s">
        <v>9</v>
      </c>
    </row>
    <row collapsed="false" customFormat="false" customHeight="false" hidden="false" ht="14.75" outlineLevel="0" r="23">
      <c r="A23" s="1" t="s">
        <v>38</v>
      </c>
      <c r="B23" s="1" t="s">
        <v>432</v>
      </c>
      <c r="C23" s="1" t="s">
        <v>429</v>
      </c>
      <c r="D23" s="1" t="n">
        <v>603</v>
      </c>
      <c r="E23" s="1" t="n">
        <v>26.77</v>
      </c>
      <c r="F23" s="1" t="s">
        <v>9</v>
      </c>
    </row>
    <row collapsed="false" customFormat="false" customHeight="false" hidden="false" ht="14.75" outlineLevel="0" r="24">
      <c r="A24" s="1" t="s">
        <v>58</v>
      </c>
      <c r="B24" s="1" t="s">
        <v>432</v>
      </c>
      <c r="C24" s="1" t="s">
        <v>429</v>
      </c>
      <c r="D24" s="1" t="n">
        <v>258</v>
      </c>
      <c r="E24" s="1" t="n">
        <v>20.35</v>
      </c>
      <c r="F24" s="1" t="s">
        <v>9</v>
      </c>
    </row>
    <row collapsed="false" customFormat="false" customHeight="false" hidden="false" ht="14.75" outlineLevel="0" r="25">
      <c r="A25" s="1" t="s">
        <v>59</v>
      </c>
      <c r="B25" s="1" t="s">
        <v>432</v>
      </c>
      <c r="C25" s="1" t="s">
        <v>429</v>
      </c>
      <c r="D25" s="1" t="n">
        <v>174</v>
      </c>
      <c r="E25" s="1" t="n">
        <v>14.86</v>
      </c>
      <c r="F25" s="1" t="s">
        <v>9</v>
      </c>
    </row>
    <row collapsed="false" customFormat="false" customHeight="false" hidden="false" ht="14.75" outlineLevel="0" r="26">
      <c r="A26" s="1" t="s">
        <v>447</v>
      </c>
      <c r="B26" s="1" t="s">
        <v>428</v>
      </c>
      <c r="C26" s="1" t="s">
        <v>429</v>
      </c>
      <c r="D26" s="1" t="n">
        <v>318.2</v>
      </c>
      <c r="E26" s="1" t="n">
        <v>18.69</v>
      </c>
      <c r="F26" s="1" t="s">
        <v>9</v>
      </c>
    </row>
    <row collapsed="false" customFormat="false" customHeight="false" hidden="false" ht="14.75" outlineLevel="0" r="27">
      <c r="A27" s="1" t="s">
        <v>448</v>
      </c>
      <c r="B27" s="1" t="s">
        <v>428</v>
      </c>
      <c r="C27" s="1" t="s">
        <v>429</v>
      </c>
      <c r="D27" s="1" t="n">
        <v>67</v>
      </c>
      <c r="E27" s="1" t="n">
        <v>5.58</v>
      </c>
      <c r="F27" s="1" t="s">
        <v>9</v>
      </c>
    </row>
    <row collapsed="false" customFormat="false" customHeight="false" hidden="false" ht="14.75" outlineLevel="0" r="28">
      <c r="A28" s="1" t="s">
        <v>449</v>
      </c>
      <c r="B28" s="1" t="s">
        <v>440</v>
      </c>
      <c r="C28" s="1" t="s">
        <v>429</v>
      </c>
      <c r="D28" s="1" t="n">
        <v>519</v>
      </c>
      <c r="E28" s="1" t="n">
        <v>22.5465838509317</v>
      </c>
      <c r="F28" s="1" t="s">
        <v>9</v>
      </c>
    </row>
    <row collapsed="false" customFormat="false" customHeight="false" hidden="false" ht="14.75" outlineLevel="0" r="29">
      <c r="A29" s="1" t="s">
        <v>450</v>
      </c>
      <c r="B29" s="1" t="s">
        <v>440</v>
      </c>
      <c r="C29" s="1" t="s">
        <v>429</v>
      </c>
      <c r="D29" s="1" t="n">
        <v>105.5</v>
      </c>
      <c r="E29" s="1" t="n">
        <v>8.47457627118644</v>
      </c>
      <c r="F29" s="1" t="s">
        <v>9</v>
      </c>
    </row>
    <row collapsed="false" customFormat="false" customHeight="false" hidden="false" ht="14.75" outlineLevel="0" r="30">
      <c r="A30" s="1" t="s">
        <v>451</v>
      </c>
      <c r="B30" s="1" t="s">
        <v>440</v>
      </c>
      <c r="C30" s="1" t="s">
        <v>429</v>
      </c>
      <c r="D30" s="1" t="n">
        <v>75.5</v>
      </c>
      <c r="E30" s="1" t="n">
        <v>5.47169811320755</v>
      </c>
      <c r="F30" s="1" t="s">
        <v>9</v>
      </c>
    </row>
    <row collapsed="false" customFormat="false" customHeight="false" hidden="false" ht="14.75" outlineLevel="0" r="31">
      <c r="A31" s="1" t="s">
        <v>452</v>
      </c>
      <c r="B31" s="1" t="s">
        <v>440</v>
      </c>
      <c r="C31" s="1" t="s">
        <v>429</v>
      </c>
      <c r="D31" s="1" t="n">
        <v>47</v>
      </c>
      <c r="E31" s="1" t="n">
        <v>4.54545454545455</v>
      </c>
      <c r="F31" s="1" t="s">
        <v>9</v>
      </c>
    </row>
    <row collapsed="false" customFormat="false" customHeight="false" hidden="false" ht="14.75" outlineLevel="0" r="32">
      <c r="A32" s="1" t="s">
        <v>326</v>
      </c>
      <c r="B32" s="1" t="s">
        <v>446</v>
      </c>
      <c r="C32" s="1" t="s">
        <v>429</v>
      </c>
      <c r="D32" s="1" t="n">
        <v>445</v>
      </c>
      <c r="E32" s="1" t="n">
        <v>24.6783625730994</v>
      </c>
      <c r="F32" s="1" t="s">
        <v>9</v>
      </c>
    </row>
    <row collapsed="false" customFormat="false" customHeight="false" hidden="false" ht="14.75" outlineLevel="0" r="33">
      <c r="A33" s="1" t="s">
        <v>11</v>
      </c>
      <c r="B33" s="1" t="s">
        <v>446</v>
      </c>
      <c r="C33" s="1" t="s">
        <v>429</v>
      </c>
      <c r="D33" s="1" t="n">
        <v>423.461538461538</v>
      </c>
      <c r="E33" s="1" t="n">
        <v>24.3636363636364</v>
      </c>
      <c r="F33" s="1" t="s">
        <v>9</v>
      </c>
    </row>
    <row collapsed="false" customFormat="false" customHeight="false" hidden="false" ht="14.75" outlineLevel="0" r="34">
      <c r="A34" s="1" t="s">
        <v>453</v>
      </c>
      <c r="B34" s="1" t="s">
        <v>446</v>
      </c>
      <c r="C34" s="1" t="s">
        <v>429</v>
      </c>
      <c r="D34" s="1" t="n">
        <v>74.4222222222222</v>
      </c>
      <c r="E34" s="1" t="n">
        <v>9.48717948717949</v>
      </c>
      <c r="F34" s="1" t="s">
        <v>9</v>
      </c>
    </row>
    <row collapsed="false" customFormat="false" customHeight="false" hidden="false" ht="14.75" outlineLevel="0" r="35">
      <c r="A35" s="1" t="s">
        <v>454</v>
      </c>
      <c r="B35" s="1" t="s">
        <v>432</v>
      </c>
      <c r="C35" s="1" t="s">
        <v>429</v>
      </c>
      <c r="D35" s="1" t="n">
        <v>107.8</v>
      </c>
      <c r="E35" s="1" t="n">
        <v>9.02</v>
      </c>
      <c r="F35" s="1" t="s">
        <v>9</v>
      </c>
    </row>
    <row collapsed="false" customFormat="false" customHeight="false" hidden="false" ht="14.75" outlineLevel="0" r="36">
      <c r="A36" s="1" t="s">
        <v>455</v>
      </c>
      <c r="B36" s="1" t="s">
        <v>432</v>
      </c>
      <c r="C36" s="1" t="s">
        <v>429</v>
      </c>
      <c r="D36" s="1" t="n">
        <v>65.6</v>
      </c>
      <c r="E36" s="1" t="n">
        <v>6.86</v>
      </c>
      <c r="F36" s="1" t="s">
        <v>9</v>
      </c>
    </row>
    <row collapsed="false" customFormat="false" customHeight="false" hidden="false" ht="14.75" outlineLevel="0" r="37">
      <c r="A37" s="1" t="s">
        <v>456</v>
      </c>
      <c r="B37" s="1" t="s">
        <v>428</v>
      </c>
      <c r="C37" s="1" t="s">
        <v>429</v>
      </c>
      <c r="D37" s="1" t="n">
        <v>126</v>
      </c>
      <c r="E37" s="1" t="n">
        <v>9.09</v>
      </c>
      <c r="F37" s="1" t="s">
        <v>9</v>
      </c>
    </row>
    <row collapsed="false" customFormat="false" customHeight="false" hidden="false" ht="14.75" outlineLevel="0" r="38">
      <c r="A38" s="1" t="s">
        <v>131</v>
      </c>
      <c r="B38" s="1" t="s">
        <v>428</v>
      </c>
      <c r="C38" s="1" t="s">
        <v>429</v>
      </c>
      <c r="D38" s="1" t="n">
        <v>337.3</v>
      </c>
      <c r="E38" s="1" t="n">
        <v>17.28</v>
      </c>
      <c r="F38" s="1" t="s">
        <v>9</v>
      </c>
    </row>
    <row collapsed="false" customFormat="false" customHeight="false" hidden="false" ht="14.75" outlineLevel="0" r="39">
      <c r="A39" s="1" t="s">
        <v>132</v>
      </c>
      <c r="B39" s="1" t="s">
        <v>428</v>
      </c>
      <c r="C39" s="1" t="s">
        <v>429</v>
      </c>
      <c r="D39" s="1" t="n">
        <v>53</v>
      </c>
      <c r="E39" s="1" t="n">
        <v>6.06</v>
      </c>
      <c r="F39" s="1" t="s">
        <v>9</v>
      </c>
    </row>
    <row collapsed="false" customFormat="false" customHeight="false" hidden="false" ht="14.75" outlineLevel="0" r="40">
      <c r="A40" s="1" t="s">
        <v>457</v>
      </c>
      <c r="B40" s="1" t="s">
        <v>440</v>
      </c>
      <c r="C40" s="1" t="s">
        <v>429</v>
      </c>
      <c r="D40" s="1" t="n">
        <v>150.5</v>
      </c>
      <c r="E40" s="1" t="n">
        <v>10.5263157894737</v>
      </c>
      <c r="F40" s="1" t="s">
        <v>9</v>
      </c>
    </row>
    <row collapsed="false" customFormat="false" customHeight="false" hidden="false" ht="14.75" outlineLevel="0" r="41">
      <c r="A41" s="1" t="s">
        <v>458</v>
      </c>
      <c r="B41" s="1" t="s">
        <v>440</v>
      </c>
      <c r="C41" s="1" t="s">
        <v>429</v>
      </c>
      <c r="D41" s="1" t="n">
        <v>82</v>
      </c>
      <c r="E41" s="1" t="n">
        <v>6.60377358490566</v>
      </c>
      <c r="F41" s="1" t="s">
        <v>9</v>
      </c>
    </row>
    <row collapsed="false" customFormat="false" customHeight="false" hidden="false" ht="14.75" outlineLevel="0" r="42">
      <c r="A42" s="1" t="s">
        <v>459</v>
      </c>
      <c r="B42" s="1" t="s">
        <v>446</v>
      </c>
      <c r="C42" s="1" t="s">
        <v>429</v>
      </c>
      <c r="D42" s="1" t="n">
        <v>181</v>
      </c>
      <c r="E42" s="1" t="n">
        <v>11.551724137931</v>
      </c>
      <c r="F42" s="1" t="s">
        <v>9</v>
      </c>
    </row>
    <row collapsed="false" customFormat="false" customHeight="false" hidden="false" ht="14.75" outlineLevel="0" r="43">
      <c r="A43" s="1" t="s">
        <v>460</v>
      </c>
      <c r="B43" s="1" t="s">
        <v>446</v>
      </c>
      <c r="C43" s="1" t="s">
        <v>429</v>
      </c>
      <c r="D43" s="1" t="n">
        <v>101.688888888889</v>
      </c>
      <c r="E43" s="1" t="n">
        <v>9.59183673469388</v>
      </c>
      <c r="F43" s="1" t="s">
        <v>9</v>
      </c>
    </row>
    <row collapsed="false" customFormat="false" customHeight="false" hidden="false" ht="14.75" outlineLevel="0" r="44">
      <c r="A44" s="1" t="s">
        <v>14</v>
      </c>
      <c r="B44" s="1" t="s">
        <v>446</v>
      </c>
      <c r="C44" s="1" t="s">
        <v>429</v>
      </c>
      <c r="D44" s="1" t="n">
        <v>323.5</v>
      </c>
      <c r="E44" s="1" t="n">
        <v>18.1779661016949</v>
      </c>
      <c r="F44" s="1" t="s">
        <v>9</v>
      </c>
    </row>
    <row collapsed="false" customFormat="false" customHeight="false" hidden="false" ht="14.75" outlineLevel="0" r="45">
      <c r="A45" s="1" t="s">
        <v>461</v>
      </c>
      <c r="B45" s="1" t="s">
        <v>428</v>
      </c>
      <c r="C45" s="1" t="s">
        <v>429</v>
      </c>
      <c r="D45" s="1" t="n">
        <v>32</v>
      </c>
      <c r="E45" s="1" t="n">
        <v>5.24</v>
      </c>
      <c r="F45" s="1" t="s">
        <v>9</v>
      </c>
    </row>
    <row collapsed="false" customFormat="false" customHeight="false" hidden="false" ht="14.75" outlineLevel="0" r="46">
      <c r="A46" s="1" t="s">
        <v>462</v>
      </c>
      <c r="B46" s="1" t="s">
        <v>440</v>
      </c>
      <c r="C46" s="1" t="s">
        <v>429</v>
      </c>
      <c r="D46" s="1" t="n">
        <v>248</v>
      </c>
      <c r="E46" s="1" t="n">
        <v>12.9464285714286</v>
      </c>
      <c r="F46" s="1" t="s">
        <v>9</v>
      </c>
    </row>
    <row collapsed="false" customFormat="false" customHeight="false" hidden="false" ht="14.75" outlineLevel="0" r="47">
      <c r="A47" s="1" t="s">
        <v>463</v>
      </c>
      <c r="B47" s="1" t="s">
        <v>446</v>
      </c>
      <c r="C47" s="1" t="s">
        <v>429</v>
      </c>
      <c r="D47" s="1" t="n">
        <v>81.1111111111111</v>
      </c>
      <c r="E47" s="1" t="n">
        <v>9.125</v>
      </c>
      <c r="F47" s="1" t="s">
        <v>9</v>
      </c>
    </row>
    <row collapsed="false" customFormat="false" customHeight="false" hidden="false" ht="14.75" outlineLevel="0" r="48">
      <c r="A48" s="1" t="s">
        <v>211</v>
      </c>
      <c r="B48" s="1" t="s">
        <v>446</v>
      </c>
      <c r="C48" s="1" t="s">
        <v>429</v>
      </c>
      <c r="D48" s="1" t="n">
        <v>473.369230769231</v>
      </c>
      <c r="E48" s="1" t="n">
        <v>25.859872611465</v>
      </c>
      <c r="F48" s="1" t="s">
        <v>9</v>
      </c>
    </row>
    <row collapsed="false" customFormat="false" customHeight="false" hidden="false" ht="14.75" outlineLevel="0" r="49">
      <c r="A49" s="1" t="s">
        <v>212</v>
      </c>
      <c r="B49" s="1" t="s">
        <v>446</v>
      </c>
      <c r="C49" s="1" t="s">
        <v>429</v>
      </c>
      <c r="D49" s="1" t="n">
        <v>349.215384615385</v>
      </c>
      <c r="E49" s="1" t="n">
        <v>22.1917808219178</v>
      </c>
      <c r="F49" s="1" t="s">
        <v>9</v>
      </c>
    </row>
    <row collapsed="false" customFormat="false" customHeight="false" hidden="false" ht="14.75" outlineLevel="0" r="50">
      <c r="A50" s="1" t="s">
        <v>464</v>
      </c>
      <c r="B50" s="1" t="s">
        <v>440</v>
      </c>
      <c r="C50" s="1" t="s">
        <v>429</v>
      </c>
      <c r="D50" s="1" t="n">
        <v>116</v>
      </c>
      <c r="E50" s="1" t="n">
        <v>9.03225806451613</v>
      </c>
      <c r="F50" s="1" t="s">
        <v>9</v>
      </c>
    </row>
    <row collapsed="false" customFormat="false" customHeight="false" hidden="false" ht="14.75" outlineLevel="0" r="51">
      <c r="A51" s="1" t="s">
        <v>465</v>
      </c>
      <c r="B51" s="1" t="s">
        <v>440</v>
      </c>
      <c r="C51" s="1" t="s">
        <v>429</v>
      </c>
      <c r="D51" s="1" t="n">
        <v>63</v>
      </c>
      <c r="E51" s="1" t="n">
        <v>4.1304347826087</v>
      </c>
      <c r="F51" s="1" t="s">
        <v>9</v>
      </c>
    </row>
    <row collapsed="false" customFormat="false" customHeight="false" hidden="false" ht="14.75" outlineLevel="0" r="52">
      <c r="A52" s="1" t="s">
        <v>343</v>
      </c>
      <c r="B52" s="1" t="s">
        <v>433</v>
      </c>
      <c r="C52" s="1" t="s">
        <v>429</v>
      </c>
      <c r="D52" s="1" t="n">
        <v>475.9</v>
      </c>
      <c r="E52" s="1" t="n">
        <v>25.42</v>
      </c>
      <c r="F52" s="1" t="s">
        <v>9</v>
      </c>
    </row>
    <row collapsed="false" customFormat="false" customHeight="false" hidden="false" ht="14.75" outlineLevel="0" r="53">
      <c r="A53" s="1" t="s">
        <v>344</v>
      </c>
      <c r="B53" s="1" t="s">
        <v>433</v>
      </c>
      <c r="C53" s="1" t="s">
        <v>429</v>
      </c>
      <c r="D53" s="1" t="n">
        <v>339.4</v>
      </c>
      <c r="E53" s="1" t="n">
        <v>20.55</v>
      </c>
      <c r="F53" s="1" t="s">
        <v>9</v>
      </c>
    </row>
    <row collapsed="false" customFormat="false" customHeight="false" hidden="false" ht="14.75" outlineLevel="0" r="54">
      <c r="A54" s="1" t="s">
        <v>466</v>
      </c>
      <c r="B54" s="1" t="s">
        <v>433</v>
      </c>
      <c r="C54" s="1" t="s">
        <v>429</v>
      </c>
      <c r="D54" s="1" t="n">
        <v>136.1</v>
      </c>
      <c r="E54" s="1" t="n">
        <v>11.3</v>
      </c>
      <c r="F54" s="1" t="s">
        <v>9</v>
      </c>
    </row>
    <row collapsed="false" customFormat="false" customHeight="false" hidden="false" ht="14.75" outlineLevel="0" r="55">
      <c r="A55" s="1" t="s">
        <v>467</v>
      </c>
      <c r="B55" s="1" t="s">
        <v>440</v>
      </c>
      <c r="C55" s="1" t="s">
        <v>429</v>
      </c>
      <c r="D55" s="1" t="n">
        <v>55</v>
      </c>
      <c r="E55" s="1" t="n">
        <v>4.5</v>
      </c>
      <c r="F55" s="1" t="s">
        <v>9</v>
      </c>
    </row>
    <row collapsed="false" customFormat="false" customHeight="false" hidden="false" ht="14.75" outlineLevel="0" r="56">
      <c r="A56" s="1" t="s">
        <v>468</v>
      </c>
      <c r="B56" s="1" t="s">
        <v>432</v>
      </c>
      <c r="C56" s="1" t="s">
        <v>429</v>
      </c>
      <c r="D56" s="1" t="n">
        <v>24.4</v>
      </c>
      <c r="E56" s="1" t="n">
        <v>3.75</v>
      </c>
      <c r="F56" s="1" t="s">
        <v>9</v>
      </c>
    </row>
    <row collapsed="false" customFormat="false" customHeight="false" hidden="false" ht="14.75" outlineLevel="0" r="57">
      <c r="A57" s="1" t="s">
        <v>469</v>
      </c>
      <c r="B57" s="1" t="s">
        <v>433</v>
      </c>
      <c r="C57" s="1" t="s">
        <v>429</v>
      </c>
      <c r="D57" s="1" t="n">
        <v>177.8</v>
      </c>
      <c r="E57" s="1" t="n">
        <v>13.28</v>
      </c>
      <c r="F57" s="1" t="s">
        <v>9</v>
      </c>
    </row>
    <row collapsed="false" customFormat="false" customHeight="false" hidden="false" ht="14.75" outlineLevel="0" r="58">
      <c r="A58" s="1" t="s">
        <v>470</v>
      </c>
      <c r="B58" s="1" t="s">
        <v>446</v>
      </c>
      <c r="C58" s="1" t="s">
        <v>429</v>
      </c>
      <c r="D58" s="1" t="n">
        <v>165</v>
      </c>
      <c r="E58" s="1" t="n">
        <v>14.8795180722892</v>
      </c>
      <c r="F58" s="1" t="s">
        <v>9</v>
      </c>
    </row>
    <row collapsed="false" customFormat="false" customHeight="false" hidden="false" ht="14.75" outlineLevel="0" r="59">
      <c r="A59" s="1" t="s">
        <v>471</v>
      </c>
      <c r="B59" s="1" t="s">
        <v>446</v>
      </c>
      <c r="C59" s="1" t="s">
        <v>429</v>
      </c>
      <c r="D59" s="1" t="n">
        <v>36.1333333333333</v>
      </c>
      <c r="E59" s="1" t="n">
        <v>5.41666666666667</v>
      </c>
      <c r="F59" s="1" t="s">
        <v>9</v>
      </c>
    </row>
    <row collapsed="false" customFormat="false" customHeight="false" hidden="false" ht="14.75" outlineLevel="0" r="60">
      <c r="A60" s="1" t="s">
        <v>44</v>
      </c>
      <c r="B60" s="1" t="s">
        <v>446</v>
      </c>
      <c r="C60" s="1" t="s">
        <v>429</v>
      </c>
      <c r="D60" s="1" t="n">
        <v>426.666666666667</v>
      </c>
      <c r="E60" s="1" t="n">
        <v>24.1176470588235</v>
      </c>
      <c r="F60" s="1" t="s">
        <v>9</v>
      </c>
    </row>
    <row collapsed="false" customFormat="false" customHeight="false" hidden="false" ht="14.75" outlineLevel="0" r="61">
      <c r="A61" s="1" t="s">
        <v>45</v>
      </c>
      <c r="B61" s="1" t="s">
        <v>446</v>
      </c>
      <c r="C61" s="1" t="s">
        <v>429</v>
      </c>
      <c r="D61" s="1" t="n">
        <v>350.133333333333</v>
      </c>
      <c r="E61" s="1" t="n">
        <v>21.0752688172043</v>
      </c>
      <c r="F61" s="1" t="s">
        <v>9</v>
      </c>
    </row>
    <row collapsed="false" customFormat="false" customHeight="false" hidden="false" ht="14.75" outlineLevel="0" r="62">
      <c r="A62" s="1" t="s">
        <v>472</v>
      </c>
      <c r="B62" s="1" t="s">
        <v>446</v>
      </c>
      <c r="C62" s="1" t="s">
        <v>429</v>
      </c>
      <c r="D62" s="1" t="n">
        <v>271.088888888889</v>
      </c>
      <c r="E62" s="1" t="n">
        <v>16.0416666666667</v>
      </c>
      <c r="F62" s="1" t="s">
        <v>9</v>
      </c>
    </row>
    <row collapsed="false" customFormat="false" customHeight="false" hidden="false" ht="14.75" outlineLevel="0" r="63">
      <c r="A63" s="1" t="s">
        <v>473</v>
      </c>
      <c r="B63" s="1" t="s">
        <v>428</v>
      </c>
      <c r="C63" s="1" t="s">
        <v>429</v>
      </c>
      <c r="D63" s="1" t="n">
        <v>505</v>
      </c>
      <c r="E63" s="1" t="n">
        <v>23.67</v>
      </c>
      <c r="F63" s="1" t="s">
        <v>9</v>
      </c>
    </row>
    <row collapsed="false" customFormat="false" customHeight="false" hidden="false" ht="14.75" outlineLevel="0" r="64">
      <c r="A64" s="1" t="s">
        <v>474</v>
      </c>
      <c r="B64" s="1" t="s">
        <v>428</v>
      </c>
      <c r="C64" s="1" t="s">
        <v>429</v>
      </c>
      <c r="D64" s="1" t="n">
        <v>133.6</v>
      </c>
      <c r="E64" s="1" t="n">
        <v>10.42</v>
      </c>
      <c r="F64" s="1" t="s">
        <v>9</v>
      </c>
    </row>
    <row collapsed="false" customFormat="false" customHeight="false" hidden="false" ht="14.75" outlineLevel="0" r="65">
      <c r="A65" s="1" t="s">
        <v>46</v>
      </c>
      <c r="B65" s="1" t="s">
        <v>433</v>
      </c>
      <c r="C65" s="1" t="s">
        <v>429</v>
      </c>
      <c r="D65" s="1" t="n">
        <v>408.3</v>
      </c>
      <c r="E65" s="1" t="n">
        <v>21.43</v>
      </c>
      <c r="F65" s="1" t="s">
        <v>9</v>
      </c>
    </row>
    <row collapsed="false" customFormat="false" customHeight="false" hidden="false" ht="14.75" outlineLevel="0" r="66">
      <c r="A66" s="1" t="s">
        <v>475</v>
      </c>
      <c r="B66" s="1" t="s">
        <v>440</v>
      </c>
      <c r="C66" s="1" t="s">
        <v>429</v>
      </c>
      <c r="D66" s="1" t="n">
        <v>70</v>
      </c>
      <c r="E66" s="1" t="n">
        <v>4.89795918367347</v>
      </c>
      <c r="F66" s="1" t="s">
        <v>9</v>
      </c>
    </row>
    <row collapsed="false" customFormat="false" customHeight="false" hidden="false" ht="14.75" outlineLevel="0" r="67">
      <c r="A67" s="1" t="s">
        <v>476</v>
      </c>
      <c r="B67" s="1" t="s">
        <v>440</v>
      </c>
      <c r="C67" s="1" t="s">
        <v>429</v>
      </c>
      <c r="D67" s="1" t="n">
        <v>21</v>
      </c>
      <c r="E67" s="1" t="n">
        <v>6.15384615384615</v>
      </c>
      <c r="F67" s="1" t="s">
        <v>9</v>
      </c>
    </row>
    <row collapsed="false" customFormat="false" customHeight="false" hidden="false" ht="14.75" outlineLevel="0" r="68">
      <c r="A68" s="1" t="s">
        <v>21</v>
      </c>
      <c r="B68" s="1" t="s">
        <v>433</v>
      </c>
      <c r="C68" s="1" t="s">
        <v>429</v>
      </c>
      <c r="D68" s="1" t="n">
        <v>393.3</v>
      </c>
      <c r="E68" s="1" t="n">
        <v>22.35</v>
      </c>
      <c r="F68" s="1" t="s">
        <v>9</v>
      </c>
    </row>
    <row collapsed="false" customFormat="false" customHeight="false" hidden="false" ht="14.75" outlineLevel="0" r="69">
      <c r="A69" s="1" t="s">
        <v>477</v>
      </c>
      <c r="B69" s="1" t="s">
        <v>446</v>
      </c>
      <c r="C69" s="1" t="s">
        <v>429</v>
      </c>
      <c r="D69" s="1" t="n">
        <v>202.5</v>
      </c>
      <c r="E69" s="1" t="n">
        <v>13.8461538461538</v>
      </c>
      <c r="F69" s="1" t="s">
        <v>9</v>
      </c>
    </row>
    <row collapsed="false" customFormat="false" customHeight="false" hidden="false" ht="14.75" outlineLevel="0" r="70">
      <c r="A70" s="1" t="s">
        <v>216</v>
      </c>
      <c r="B70" s="1" t="s">
        <v>428</v>
      </c>
      <c r="C70" s="1" t="s">
        <v>429</v>
      </c>
      <c r="D70" s="1" t="n">
        <v>447.3</v>
      </c>
      <c r="E70" s="1" t="n">
        <v>23.7</v>
      </c>
      <c r="F70" s="1" t="s">
        <v>9</v>
      </c>
    </row>
    <row collapsed="false" customFormat="false" customHeight="false" hidden="false" ht="14.75" outlineLevel="0" r="71">
      <c r="A71" s="1" t="s">
        <v>217</v>
      </c>
      <c r="B71" s="1" t="s">
        <v>428</v>
      </c>
      <c r="C71" s="1" t="s">
        <v>429</v>
      </c>
      <c r="D71" s="1" t="n">
        <v>246</v>
      </c>
      <c r="E71" s="1" t="n">
        <v>17.64</v>
      </c>
      <c r="F71" s="1" t="s">
        <v>9</v>
      </c>
    </row>
    <row collapsed="false" customFormat="false" customHeight="false" hidden="false" ht="14.75" outlineLevel="0" r="72">
      <c r="A72" s="1" t="s">
        <v>72</v>
      </c>
      <c r="B72" s="1" t="s">
        <v>432</v>
      </c>
      <c r="C72" s="1" t="s">
        <v>429</v>
      </c>
      <c r="D72" s="1" t="n">
        <v>276</v>
      </c>
      <c r="E72" s="1" t="n">
        <v>16.29</v>
      </c>
      <c r="F72" s="1" t="s">
        <v>9</v>
      </c>
    </row>
    <row collapsed="false" customFormat="false" customHeight="false" hidden="false" ht="14.75" outlineLevel="0" r="73">
      <c r="A73" s="1" t="s">
        <v>73</v>
      </c>
      <c r="B73" s="1" t="s">
        <v>432</v>
      </c>
      <c r="C73" s="1" t="s">
        <v>429</v>
      </c>
      <c r="D73" s="1" t="n">
        <v>131</v>
      </c>
      <c r="E73" s="1" t="n">
        <v>10.15</v>
      </c>
      <c r="F73" s="1" t="s">
        <v>9</v>
      </c>
    </row>
    <row collapsed="false" customFormat="false" customHeight="false" hidden="false" ht="14.75" outlineLevel="0" r="74">
      <c r="A74" s="1" t="s">
        <v>163</v>
      </c>
      <c r="B74" s="1" t="s">
        <v>433</v>
      </c>
      <c r="C74" s="1" t="s">
        <v>429</v>
      </c>
      <c r="D74" s="1" t="n">
        <v>362.2</v>
      </c>
      <c r="E74" s="1" t="n">
        <v>20.71</v>
      </c>
      <c r="F74" s="1" t="s">
        <v>9</v>
      </c>
    </row>
    <row collapsed="false" customFormat="false" customHeight="false" hidden="false" ht="14.75" outlineLevel="0" r="75">
      <c r="A75" s="1" t="s">
        <v>478</v>
      </c>
      <c r="B75" s="1" t="s">
        <v>432</v>
      </c>
      <c r="C75" s="1" t="s">
        <v>429</v>
      </c>
      <c r="D75" s="1" t="n">
        <v>401</v>
      </c>
      <c r="E75" s="1" t="n">
        <v>21.33</v>
      </c>
      <c r="F75" s="1" t="s">
        <v>9</v>
      </c>
    </row>
    <row collapsed="false" customFormat="false" customHeight="false" hidden="false" ht="14.75" outlineLevel="0" r="76">
      <c r="A76" s="1" t="s">
        <v>364</v>
      </c>
      <c r="B76" s="1" t="s">
        <v>428</v>
      </c>
      <c r="C76" s="1" t="s">
        <v>429</v>
      </c>
      <c r="D76" s="1" t="n">
        <v>378.2</v>
      </c>
      <c r="E76" s="1" t="n">
        <v>20.81</v>
      </c>
      <c r="F76" s="1" t="s">
        <v>9</v>
      </c>
    </row>
    <row collapsed="false" customFormat="false" customHeight="false" hidden="false" ht="14.75" outlineLevel="0" r="77">
      <c r="A77" s="1" t="s">
        <v>479</v>
      </c>
      <c r="B77" s="1" t="s">
        <v>446</v>
      </c>
      <c r="C77" s="1" t="s">
        <v>429</v>
      </c>
      <c r="D77" s="1" t="n">
        <v>58.75</v>
      </c>
      <c r="E77" s="1" t="n">
        <v>5.38461538461539</v>
      </c>
      <c r="F77" s="1" t="s">
        <v>9</v>
      </c>
    </row>
    <row collapsed="false" customFormat="false" customHeight="false" hidden="false" ht="14.75" outlineLevel="0" r="78">
      <c r="A78" s="1" t="s">
        <v>480</v>
      </c>
      <c r="B78" s="1" t="s">
        <v>428</v>
      </c>
      <c r="C78" s="1" t="s">
        <v>429</v>
      </c>
      <c r="D78" s="1" t="n">
        <v>249.1</v>
      </c>
      <c r="E78" s="1" t="n">
        <v>16.35</v>
      </c>
      <c r="F78" s="1" t="s">
        <v>9</v>
      </c>
    </row>
    <row collapsed="false" customFormat="false" customHeight="false" hidden="false" ht="14.75" outlineLevel="0" r="79">
      <c r="A79" s="1" t="s">
        <v>481</v>
      </c>
      <c r="B79" s="1" t="s">
        <v>428</v>
      </c>
      <c r="C79" s="1" t="s">
        <v>429</v>
      </c>
      <c r="D79" s="1" t="n">
        <v>138</v>
      </c>
      <c r="E79" s="1" t="n">
        <v>10.91</v>
      </c>
      <c r="F79" s="1" t="s">
        <v>9</v>
      </c>
    </row>
    <row collapsed="false" customFormat="false" customHeight="false" hidden="false" ht="14.75" outlineLevel="0" r="80">
      <c r="A80" s="1" t="s">
        <v>482</v>
      </c>
      <c r="B80" s="1" t="s">
        <v>428</v>
      </c>
      <c r="C80" s="1" t="s">
        <v>429</v>
      </c>
      <c r="D80" s="1" t="n">
        <v>107</v>
      </c>
      <c r="E80" s="1" t="n">
        <v>8.45</v>
      </c>
      <c r="F80" s="1" t="s">
        <v>9</v>
      </c>
    </row>
    <row collapsed="false" customFormat="false" customHeight="false" hidden="false" ht="14.75" outlineLevel="0" r="81">
      <c r="A81" s="1" t="s">
        <v>483</v>
      </c>
      <c r="B81" s="1" t="s">
        <v>432</v>
      </c>
      <c r="C81" s="1" t="s">
        <v>429</v>
      </c>
      <c r="D81" s="1" t="n">
        <v>166.7</v>
      </c>
      <c r="E81" s="1" t="n">
        <v>14.83</v>
      </c>
      <c r="F81" s="1" t="s">
        <v>9</v>
      </c>
    </row>
    <row collapsed="false" customFormat="false" customHeight="false" hidden="false" ht="14.75" outlineLevel="0" r="82">
      <c r="A82" s="1" t="s">
        <v>484</v>
      </c>
      <c r="B82" s="1" t="s">
        <v>428</v>
      </c>
      <c r="C82" s="1" t="s">
        <v>429</v>
      </c>
      <c r="D82" s="1" t="n">
        <v>52</v>
      </c>
      <c r="E82" s="1" t="n">
        <v>4.44</v>
      </c>
      <c r="F82" s="1" t="s">
        <v>9</v>
      </c>
    </row>
    <row collapsed="false" customFormat="false" customHeight="false" hidden="false" ht="14.75" outlineLevel="0" r="83">
      <c r="A83" s="1" t="s">
        <v>485</v>
      </c>
      <c r="B83" s="1" t="s">
        <v>432</v>
      </c>
      <c r="C83" s="1" t="s">
        <v>429</v>
      </c>
      <c r="D83" s="1" t="n">
        <v>149</v>
      </c>
      <c r="E83" s="1" t="n">
        <v>11.91</v>
      </c>
      <c r="F83" s="1" t="s">
        <v>9</v>
      </c>
    </row>
    <row collapsed="false" customFormat="false" customHeight="false" hidden="false" ht="14.75" outlineLevel="0" r="84">
      <c r="A84" s="1" t="s">
        <v>486</v>
      </c>
      <c r="B84" s="1" t="s">
        <v>432</v>
      </c>
      <c r="C84" s="1" t="s">
        <v>429</v>
      </c>
      <c r="D84" s="1" t="n">
        <v>72.2</v>
      </c>
      <c r="E84" s="1" t="n">
        <v>9.12</v>
      </c>
      <c r="F84" s="1" t="s">
        <v>9</v>
      </c>
    </row>
    <row collapsed="false" customFormat="false" customHeight="false" hidden="false" ht="14.75" outlineLevel="0" r="85">
      <c r="A85" s="1" t="s">
        <v>487</v>
      </c>
      <c r="B85" s="1" t="s">
        <v>440</v>
      </c>
      <c r="C85" s="1" t="s">
        <v>429</v>
      </c>
      <c r="D85" s="1" t="n">
        <v>129.5</v>
      </c>
      <c r="E85" s="1" t="n">
        <v>10.3030303030303</v>
      </c>
      <c r="F85" s="1" t="s">
        <v>9</v>
      </c>
    </row>
    <row collapsed="false" customFormat="false" customHeight="false" hidden="false" ht="14.75" outlineLevel="0" r="86">
      <c r="A86" s="1" t="s">
        <v>488</v>
      </c>
      <c r="B86" s="1" t="s">
        <v>440</v>
      </c>
      <c r="C86" s="1" t="s">
        <v>429</v>
      </c>
      <c r="D86" s="1" t="n">
        <v>51.5</v>
      </c>
      <c r="E86" s="1" t="n">
        <v>5.27777777777778</v>
      </c>
      <c r="F86" s="1" t="s">
        <v>9</v>
      </c>
    </row>
    <row collapsed="false" customFormat="false" customHeight="false" hidden="false" ht="14.75" outlineLevel="0" r="87">
      <c r="A87" s="1" t="s">
        <v>223</v>
      </c>
      <c r="B87" s="1" t="s">
        <v>446</v>
      </c>
      <c r="C87" s="1" t="s">
        <v>429</v>
      </c>
      <c r="D87" s="1" t="n">
        <v>116.111111111111</v>
      </c>
      <c r="E87" s="1" t="n">
        <v>11.3461538461538</v>
      </c>
      <c r="F87" s="1" t="s">
        <v>9</v>
      </c>
    </row>
    <row collapsed="false" customFormat="false" customHeight="false" hidden="false" ht="14.75" outlineLevel="0" r="88">
      <c r="A88" s="1" t="s">
        <v>224</v>
      </c>
      <c r="B88" s="1" t="s">
        <v>446</v>
      </c>
      <c r="C88" s="1" t="s">
        <v>429</v>
      </c>
      <c r="D88" s="1" t="n">
        <v>46.5333333333333</v>
      </c>
      <c r="E88" s="1" t="n">
        <v>5.83333333333333</v>
      </c>
      <c r="F88" s="1" t="s">
        <v>9</v>
      </c>
    </row>
    <row collapsed="false" customFormat="false" customHeight="false" hidden="false" ht="14.75" outlineLevel="0" r="89">
      <c r="A89" s="1" t="s">
        <v>225</v>
      </c>
      <c r="B89" s="1" t="s">
        <v>446</v>
      </c>
      <c r="C89" s="1" t="s">
        <v>429</v>
      </c>
      <c r="D89" s="1" t="n">
        <v>45.0222222222222</v>
      </c>
      <c r="E89" s="1" t="n">
        <v>6.29032258064516</v>
      </c>
      <c r="F89" s="1" t="s">
        <v>9</v>
      </c>
    </row>
    <row collapsed="false" customFormat="false" customHeight="false" hidden="false" ht="14.75" outlineLevel="0" r="90">
      <c r="A90" s="1" t="s">
        <v>489</v>
      </c>
      <c r="B90" s="1" t="s">
        <v>440</v>
      </c>
      <c r="C90" s="1" t="s">
        <v>429</v>
      </c>
      <c r="D90" s="1" t="n">
        <v>99</v>
      </c>
      <c r="E90" s="1" t="n">
        <v>8.42105263157895</v>
      </c>
      <c r="F90" s="1" t="s">
        <v>9</v>
      </c>
    </row>
    <row collapsed="false" customFormat="false" customHeight="false" hidden="false" ht="14.75" outlineLevel="0" r="91">
      <c r="A91" s="1" t="s">
        <v>490</v>
      </c>
      <c r="B91" s="1" t="s">
        <v>440</v>
      </c>
      <c r="C91" s="1" t="s">
        <v>429</v>
      </c>
      <c r="D91" s="1" t="n">
        <v>28</v>
      </c>
      <c r="E91" s="1" t="n">
        <v>2.5</v>
      </c>
      <c r="F91" s="1" t="s">
        <v>9</v>
      </c>
    </row>
    <row collapsed="false" customFormat="false" customHeight="false" hidden="false" ht="14.75" outlineLevel="0" r="92">
      <c r="A92" s="1" t="s">
        <v>26</v>
      </c>
      <c r="B92" s="1" t="s">
        <v>446</v>
      </c>
      <c r="C92" s="1" t="s">
        <v>429</v>
      </c>
      <c r="D92" s="1" t="n">
        <v>444.2</v>
      </c>
      <c r="E92" s="1" t="n">
        <v>25.4934210526316</v>
      </c>
      <c r="F92" s="1" t="s">
        <v>9</v>
      </c>
    </row>
    <row collapsed="false" customFormat="false" customHeight="false" hidden="false" ht="14.75" outlineLevel="0" r="93">
      <c r="A93" s="1" t="s">
        <v>491</v>
      </c>
      <c r="B93" s="1" t="s">
        <v>446</v>
      </c>
      <c r="C93" s="1" t="s">
        <v>429</v>
      </c>
      <c r="D93" s="1" t="n">
        <v>215.5</v>
      </c>
      <c r="E93" s="1" t="n">
        <v>14.8888888888889</v>
      </c>
      <c r="F93" s="1" t="s">
        <v>9</v>
      </c>
    </row>
    <row collapsed="false" customFormat="false" customHeight="false" hidden="false" ht="14.75" outlineLevel="0" r="94">
      <c r="A94" s="1" t="s">
        <v>492</v>
      </c>
      <c r="B94" s="1" t="s">
        <v>446</v>
      </c>
      <c r="C94" s="1" t="s">
        <v>429</v>
      </c>
      <c r="D94" s="1" t="n">
        <v>329.2</v>
      </c>
      <c r="E94" s="1" t="n">
        <v>20.037037037037</v>
      </c>
      <c r="F94" s="1" t="s">
        <v>9</v>
      </c>
    </row>
    <row collapsed="false" customFormat="false" customHeight="false" hidden="false" ht="14.75" outlineLevel="0" r="95">
      <c r="A95" s="1" t="s">
        <v>493</v>
      </c>
      <c r="B95" s="1" t="s">
        <v>446</v>
      </c>
      <c r="C95" s="1" t="s">
        <v>429</v>
      </c>
      <c r="D95" s="1" t="n">
        <v>97.2444444444445</v>
      </c>
      <c r="E95" s="1" t="n">
        <v>10.2127659574468</v>
      </c>
      <c r="F95" s="1" t="s">
        <v>9</v>
      </c>
    </row>
    <row collapsed="false" customFormat="false" customHeight="false" hidden="false" ht="14.75" outlineLevel="0" r="96">
      <c r="A96" s="1" t="s">
        <v>400</v>
      </c>
      <c r="B96" s="1" t="s">
        <v>446</v>
      </c>
      <c r="C96" s="1" t="s">
        <v>429</v>
      </c>
      <c r="D96" s="1" t="n">
        <v>205.015384615385</v>
      </c>
      <c r="E96" s="1" t="n">
        <v>17.0588235294118</v>
      </c>
      <c r="F96" s="1" t="s">
        <v>9</v>
      </c>
    </row>
    <row collapsed="false" customFormat="false" customHeight="false" hidden="false" ht="14.75" outlineLevel="0" r="97">
      <c r="A97" s="1" t="s">
        <v>401</v>
      </c>
      <c r="B97" s="1" t="s">
        <v>446</v>
      </c>
      <c r="C97" s="1" t="s">
        <v>429</v>
      </c>
      <c r="D97" s="1" t="n">
        <v>171.892307692308</v>
      </c>
      <c r="E97" s="1" t="n">
        <v>15.1086956521739</v>
      </c>
      <c r="F97" s="1" t="s">
        <v>9</v>
      </c>
    </row>
    <row collapsed="false" customFormat="false" customHeight="false" hidden="false" ht="14.75" outlineLevel="0" r="98">
      <c r="A98" s="1" t="s">
        <v>494</v>
      </c>
      <c r="B98" s="1" t="s">
        <v>446</v>
      </c>
      <c r="C98" s="1" t="s">
        <v>429</v>
      </c>
      <c r="D98" s="1" t="n">
        <v>96</v>
      </c>
      <c r="E98" s="1" t="n">
        <v>10.5882352941176</v>
      </c>
      <c r="F98" s="1" t="s">
        <v>9</v>
      </c>
    </row>
    <row collapsed="false" customFormat="false" customHeight="false" hidden="false" ht="14.75" outlineLevel="0" r="99">
      <c r="A99" s="1" t="s">
        <v>495</v>
      </c>
      <c r="B99" s="1" t="s">
        <v>446</v>
      </c>
      <c r="C99" s="1" t="s">
        <v>429</v>
      </c>
      <c r="D99" s="1" t="n">
        <v>76</v>
      </c>
      <c r="E99" s="1" t="n">
        <v>8.75</v>
      </c>
      <c r="F99" s="1" t="s">
        <v>9</v>
      </c>
    </row>
    <row collapsed="false" customFormat="false" customHeight="false" hidden="false" ht="14.75" outlineLevel="0" r="100">
      <c r="A100" s="1" t="s">
        <v>496</v>
      </c>
      <c r="B100" s="1" t="s">
        <v>446</v>
      </c>
      <c r="C100" s="1" t="s">
        <v>429</v>
      </c>
      <c r="D100" s="1" t="n">
        <v>44.4666666666667</v>
      </c>
      <c r="E100" s="1" t="n">
        <v>8.26086956521739</v>
      </c>
      <c r="F100" s="1" t="s">
        <v>9</v>
      </c>
    </row>
    <row collapsed="false" customFormat="false" customHeight="false" hidden="false" ht="14.75" outlineLevel="0" r="101">
      <c r="A101" s="1" t="s">
        <v>497</v>
      </c>
      <c r="B101" s="1" t="s">
        <v>446</v>
      </c>
      <c r="C101" s="1" t="s">
        <v>429</v>
      </c>
      <c r="D101" s="1" t="n">
        <v>120.022222222222</v>
      </c>
      <c r="E101" s="1" t="n">
        <v>9.47368421052632</v>
      </c>
      <c r="F101" s="1" t="s">
        <v>9</v>
      </c>
    </row>
    <row collapsed="false" customFormat="false" customHeight="false" hidden="false" ht="14.75" outlineLevel="0" r="102">
      <c r="A102" s="1" t="s">
        <v>498</v>
      </c>
      <c r="B102" s="1" t="s">
        <v>446</v>
      </c>
      <c r="C102" s="1" t="s">
        <v>429</v>
      </c>
      <c r="D102" s="1" t="n">
        <v>52.2</v>
      </c>
      <c r="E102" s="1" t="n">
        <v>7.77777777777778</v>
      </c>
      <c r="F102" s="1" t="s">
        <v>9</v>
      </c>
    </row>
    <row collapsed="false" customFormat="false" customHeight="false" hidden="false" ht="14.75" outlineLevel="0" r="103">
      <c r="A103" s="1" t="s">
        <v>178</v>
      </c>
      <c r="B103" s="1" t="s">
        <v>433</v>
      </c>
      <c r="C103" s="1" t="s">
        <v>429</v>
      </c>
      <c r="D103" s="1" t="n">
        <v>267.2</v>
      </c>
      <c r="E103" s="1" t="n">
        <v>16.78</v>
      </c>
      <c r="F103" s="1" t="s">
        <v>9</v>
      </c>
    </row>
    <row collapsed="false" customFormat="false" customHeight="false" hidden="false" ht="14.75" outlineLevel="0" r="104">
      <c r="A104" s="1" t="s">
        <v>179</v>
      </c>
      <c r="B104" s="1" t="s">
        <v>433</v>
      </c>
      <c r="C104" s="1" t="s">
        <v>429</v>
      </c>
      <c r="D104" s="1" t="n">
        <v>169.4</v>
      </c>
      <c r="E104" s="1" t="n">
        <v>13.27</v>
      </c>
      <c r="F104" s="1" t="s">
        <v>9</v>
      </c>
    </row>
    <row collapsed="false" customFormat="false" customHeight="false" hidden="false" ht="14.75" outlineLevel="0" r="105">
      <c r="A105" s="1" t="s">
        <v>32</v>
      </c>
      <c r="B105" s="1" t="s">
        <v>446</v>
      </c>
      <c r="C105" s="1" t="s">
        <v>429</v>
      </c>
      <c r="D105" s="1" t="n">
        <v>448.733333333333</v>
      </c>
      <c r="E105" s="1" t="n">
        <v>25.5128205128205</v>
      </c>
      <c r="F105" s="1" t="s">
        <v>9</v>
      </c>
    </row>
    <row collapsed="false" customFormat="false" customHeight="false" hidden="false" ht="14.75" outlineLevel="0" r="106">
      <c r="A106" s="1" t="s">
        <v>499</v>
      </c>
      <c r="B106" s="1" t="s">
        <v>440</v>
      </c>
      <c r="C106" s="1" t="s">
        <v>429</v>
      </c>
      <c r="D106" s="1" t="n">
        <v>199</v>
      </c>
      <c r="E106" s="1" t="n">
        <v>12.5531914893617</v>
      </c>
      <c r="F106" s="1" t="s">
        <v>9</v>
      </c>
    </row>
    <row collapsed="false" customFormat="false" customHeight="false" hidden="false" ht="14.75" outlineLevel="0" r="107">
      <c r="A107" s="1" t="s">
        <v>500</v>
      </c>
      <c r="B107" s="1" t="s">
        <v>446</v>
      </c>
      <c r="C107" s="1" t="s">
        <v>429</v>
      </c>
      <c r="D107" s="1" t="n">
        <v>362.066666666667</v>
      </c>
      <c r="E107" s="1" t="n">
        <v>21.8705035971223</v>
      </c>
      <c r="F107" s="1" t="s">
        <v>9</v>
      </c>
    </row>
    <row collapsed="false" customFormat="false" customHeight="false" hidden="false" ht="14.75" outlineLevel="0" r="108">
      <c r="A108" s="1" t="s">
        <v>190</v>
      </c>
      <c r="B108" s="1" t="s">
        <v>433</v>
      </c>
      <c r="C108" s="1" t="s">
        <v>429</v>
      </c>
      <c r="D108" s="1" t="n">
        <v>178.3</v>
      </c>
      <c r="E108" s="1" t="n">
        <v>14.29</v>
      </c>
      <c r="F108" s="1" t="s">
        <v>9</v>
      </c>
    </row>
    <row collapsed="false" customFormat="false" customHeight="false" hidden="false" ht="14.75" outlineLevel="0" r="109">
      <c r="A109" s="1" t="s">
        <v>191</v>
      </c>
      <c r="B109" s="1" t="s">
        <v>433</v>
      </c>
      <c r="C109" s="1" t="s">
        <v>429</v>
      </c>
      <c r="D109" s="1" t="n">
        <v>112.2</v>
      </c>
      <c r="E109" s="1" t="n">
        <v>9.02</v>
      </c>
      <c r="F109" s="1" t="s">
        <v>9</v>
      </c>
    </row>
    <row collapsed="false" customFormat="false" customHeight="false" hidden="false" ht="14.75" outlineLevel="0" r="110">
      <c r="A110" s="1" t="s">
        <v>230</v>
      </c>
      <c r="B110" s="1" t="s">
        <v>428</v>
      </c>
      <c r="C110" s="1" t="s">
        <v>429</v>
      </c>
      <c r="D110" s="1" t="n">
        <v>169</v>
      </c>
      <c r="E110" s="1" t="n">
        <v>10.36</v>
      </c>
      <c r="F110" s="1" t="s">
        <v>9</v>
      </c>
    </row>
    <row collapsed="false" customFormat="false" customHeight="false" hidden="false" ht="14.75" outlineLevel="0" r="111">
      <c r="A111" s="1" t="s">
        <v>231</v>
      </c>
      <c r="B111" s="1" t="s">
        <v>428</v>
      </c>
      <c r="C111" s="1" t="s">
        <v>429</v>
      </c>
      <c r="D111" s="1" t="n">
        <v>90</v>
      </c>
      <c r="E111" s="1" t="n">
        <v>9.15</v>
      </c>
      <c r="F111" s="1" t="s">
        <v>9</v>
      </c>
    </row>
    <row collapsed="false" customFormat="false" customHeight="false" hidden="false" ht="14.75" outlineLevel="0" r="112">
      <c r="A112" s="1" t="s">
        <v>232</v>
      </c>
      <c r="B112" s="1" t="s">
        <v>428</v>
      </c>
      <c r="C112" s="1" t="s">
        <v>429</v>
      </c>
      <c r="D112" s="1" t="n">
        <v>55</v>
      </c>
      <c r="E112" s="1" t="n">
        <v>4.47</v>
      </c>
      <c r="F112" s="1" t="s">
        <v>9</v>
      </c>
    </row>
    <row collapsed="false" customFormat="false" customHeight="false" hidden="false" ht="14.75" outlineLevel="0" r="113">
      <c r="A113" s="1" t="s">
        <v>233</v>
      </c>
      <c r="B113" s="1" t="s">
        <v>428</v>
      </c>
      <c r="C113" s="1" t="s">
        <v>429</v>
      </c>
      <c r="D113" s="1" t="n">
        <v>43</v>
      </c>
      <c r="E113" s="1" t="n">
        <v>3.87</v>
      </c>
      <c r="F113" s="1" t="s">
        <v>9</v>
      </c>
    </row>
    <row collapsed="false" customFormat="false" customHeight="false" hidden="false" ht="14.75" outlineLevel="0" r="114">
      <c r="A114" s="1" t="s">
        <v>501</v>
      </c>
      <c r="B114" s="1" t="s">
        <v>432</v>
      </c>
      <c r="C114" s="1" t="s">
        <v>429</v>
      </c>
      <c r="D114" s="1" t="n">
        <v>118</v>
      </c>
      <c r="E114" s="1" t="n">
        <v>12.69</v>
      </c>
      <c r="F114" s="1" t="s">
        <v>9</v>
      </c>
    </row>
    <row collapsed="false" customFormat="false" customHeight="false" hidden="false" ht="14.75" outlineLevel="0" r="115">
      <c r="A115" s="1" t="s">
        <v>502</v>
      </c>
      <c r="B115" s="1" t="s">
        <v>433</v>
      </c>
      <c r="C115" s="1" t="s">
        <v>429</v>
      </c>
      <c r="D115" s="1" t="n">
        <v>248.3</v>
      </c>
      <c r="E115" s="1" t="n">
        <v>16.28</v>
      </c>
      <c r="F115" s="1" t="s">
        <v>9</v>
      </c>
    </row>
    <row collapsed="false" customFormat="false" customHeight="false" hidden="false" ht="14.75" outlineLevel="0" r="116">
      <c r="A116" s="1" t="s">
        <v>503</v>
      </c>
      <c r="B116" s="1" t="s">
        <v>433</v>
      </c>
      <c r="C116" s="1" t="s">
        <v>429</v>
      </c>
      <c r="D116" s="1" t="n">
        <v>37.2</v>
      </c>
      <c r="E116" s="1" t="n">
        <v>6.67</v>
      </c>
      <c r="F116" s="1" t="s">
        <v>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blackAndWhite="false" cellComments="none" copies="1" draft="false" firstPageNumber="0" fitToHeight="1" fitToWidth="1" horizontalDpi="300" orientation="portrait" pageOrder="downThenOver" paperSize="1" scale="100" useFirstPageNumber="false" usePrinterDefaults="false" verticalDpi="300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188"/>
  <sheetViews>
    <sheetView colorId="64" defaultGridColor="true" rightToLeft="false" showFormulas="false" showGridLines="true" showOutlineSymbols="true" showRowColHeaders="true" showZeros="true" tabSelected="false" topLeftCell="A176" view="normal" windowProtection="false" workbookViewId="0" zoomScale="85" zoomScaleNormal="85" zoomScalePageLayoutView="100">
      <selection activeCell="A189" activeCellId="0" pane="topLeft" sqref="A189"/>
    </sheetView>
  </sheetViews>
  <cols>
    <col collapsed="false" hidden="false" max="1" min="1" style="1" width="29.4039215686274"/>
    <col collapsed="false" hidden="false" max="2" min="2" style="1" width="27.8039215686274"/>
    <col collapsed="false" hidden="false" max="3" min="3" style="1" width="6.16862745098039"/>
    <col collapsed="false" hidden="false" max="6" min="4" style="1" width="14.1647058823529"/>
    <col collapsed="false" hidden="false" max="1025" min="7" style="0" width="8.5921568627451"/>
  </cols>
  <sheetData>
    <row collapsed="false" customFormat="false" customHeight="false" hidden="false" ht="14.75" outlineLevel="0"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collapsed="false" customFormat="false" customHeight="false" hidden="false" ht="14.75" outlineLevel="0" r="2">
      <c r="A2" s="1" t="s">
        <v>504</v>
      </c>
      <c r="B2" s="1" t="s">
        <v>505</v>
      </c>
      <c r="C2" s="1" t="s">
        <v>506</v>
      </c>
      <c r="D2" s="1" t="n">
        <v>243.366666666667</v>
      </c>
      <c r="E2" s="1" t="n">
        <v>14.1333333333333</v>
      </c>
      <c r="F2" s="1" t="n">
        <v>2.22222222222222</v>
      </c>
    </row>
    <row collapsed="false" customFormat="false" customHeight="false" hidden="false" ht="14.75" outlineLevel="0" r="3">
      <c r="A3" s="1" t="s">
        <v>507</v>
      </c>
      <c r="B3" s="1" t="s">
        <v>508</v>
      </c>
      <c r="C3" s="1" t="s">
        <v>506</v>
      </c>
      <c r="D3" s="1" t="n">
        <v>36</v>
      </c>
      <c r="E3" s="1" t="n">
        <v>6.36</v>
      </c>
      <c r="F3" s="1" t="n">
        <f aca="false">2/5</f>
        <v>0.4</v>
      </c>
    </row>
    <row collapsed="false" customFormat="false" customHeight="false" hidden="false" ht="14.75" outlineLevel="0" r="4">
      <c r="A4" s="1" t="s">
        <v>509</v>
      </c>
      <c r="B4" s="1" t="s">
        <v>510</v>
      </c>
      <c r="C4" s="1" t="s">
        <v>506</v>
      </c>
      <c r="D4" s="1" t="n">
        <v>237.2</v>
      </c>
      <c r="E4" s="1" t="n">
        <v>17.27</v>
      </c>
      <c r="F4" s="1" t="n">
        <f aca="false">31/9</f>
        <v>3.44444444444444</v>
      </c>
    </row>
    <row collapsed="false" customFormat="false" customHeight="false" hidden="false" ht="14.75" outlineLevel="0" r="5">
      <c r="A5" s="1" t="s">
        <v>511</v>
      </c>
      <c r="B5" s="1" t="s">
        <v>510</v>
      </c>
      <c r="C5" s="1" t="s">
        <v>506</v>
      </c>
      <c r="D5" s="1" t="n">
        <v>148.1</v>
      </c>
      <c r="E5" s="1" t="n">
        <v>10.55</v>
      </c>
      <c r="F5" s="1" t="n">
        <f aca="false">20/8</f>
        <v>2.5</v>
      </c>
    </row>
    <row collapsed="false" customFormat="false" customHeight="false" hidden="false" ht="14.75" outlineLevel="0" r="6">
      <c r="A6" s="1" t="s">
        <v>512</v>
      </c>
      <c r="B6" s="1" t="s">
        <v>510</v>
      </c>
      <c r="C6" s="1" t="s">
        <v>506</v>
      </c>
      <c r="D6" s="1" t="n">
        <v>82.1</v>
      </c>
      <c r="E6" s="1" t="n">
        <v>8.87</v>
      </c>
      <c r="F6" s="1" t="n">
        <f aca="false">5/7</f>
        <v>0.714285714285714</v>
      </c>
    </row>
    <row collapsed="false" customFormat="false" customHeight="false" hidden="false" ht="14.75" outlineLevel="0" r="7">
      <c r="A7" s="1" t="s">
        <v>513</v>
      </c>
      <c r="B7" s="1" t="s">
        <v>510</v>
      </c>
      <c r="C7" s="1" t="s">
        <v>506</v>
      </c>
      <c r="D7" s="1" t="n">
        <v>307.5</v>
      </c>
      <c r="E7" s="1" t="n">
        <v>20.26</v>
      </c>
      <c r="F7" s="1" t="n">
        <v>5.5</v>
      </c>
    </row>
    <row collapsed="false" customFormat="false" customHeight="false" hidden="false" ht="14.75" outlineLevel="0" r="8">
      <c r="A8" s="1" t="s">
        <v>514</v>
      </c>
      <c r="B8" s="1" t="s">
        <v>510</v>
      </c>
      <c r="C8" s="1" t="s">
        <v>506</v>
      </c>
      <c r="D8" s="1" t="n">
        <v>132.5</v>
      </c>
      <c r="E8" s="1" t="n">
        <v>10.78</v>
      </c>
      <c r="F8" s="1" t="n">
        <f aca="false">14/8</f>
        <v>1.75</v>
      </c>
    </row>
    <row collapsed="false" customFormat="false" customHeight="false" hidden="false" ht="14.75" outlineLevel="0" r="9">
      <c r="A9" s="1" t="s">
        <v>515</v>
      </c>
      <c r="B9" s="1" t="s">
        <v>510</v>
      </c>
      <c r="C9" s="1" t="s">
        <v>506</v>
      </c>
      <c r="D9" s="1" t="n">
        <v>257.2</v>
      </c>
      <c r="E9" s="1" t="n">
        <v>14.84</v>
      </c>
      <c r="F9" s="1" t="n">
        <f aca="false">26/9</f>
        <v>2.88888888888889</v>
      </c>
    </row>
    <row collapsed="false" customFormat="false" customHeight="false" hidden="false" ht="14.75" outlineLevel="0" r="10">
      <c r="A10" s="1" t="s">
        <v>437</v>
      </c>
      <c r="B10" s="1" t="s">
        <v>516</v>
      </c>
      <c r="C10" s="1" t="s">
        <v>506</v>
      </c>
      <c r="D10" s="1" t="n">
        <v>406.8</v>
      </c>
      <c r="E10" s="1" t="n">
        <v>22.37</v>
      </c>
      <c r="F10" s="1" t="n">
        <f aca="false">73/11</f>
        <v>6.63636363636364</v>
      </c>
    </row>
    <row collapsed="false" customFormat="false" customHeight="false" hidden="false" ht="14.75" outlineLevel="0" r="11">
      <c r="A11" s="1" t="s">
        <v>517</v>
      </c>
      <c r="B11" s="1" t="s">
        <v>518</v>
      </c>
      <c r="C11" s="1" t="s">
        <v>506</v>
      </c>
      <c r="D11" s="1" t="n">
        <v>128</v>
      </c>
      <c r="E11" s="1" t="n">
        <v>10.81</v>
      </c>
      <c r="F11" s="1" t="n">
        <v>0.6</v>
      </c>
    </row>
    <row collapsed="false" customFormat="false" customHeight="false" hidden="false" ht="14.75" outlineLevel="0" r="12">
      <c r="A12" s="1" t="s">
        <v>519</v>
      </c>
      <c r="B12" s="1" t="s">
        <v>505</v>
      </c>
      <c r="C12" s="1" t="s">
        <v>506</v>
      </c>
      <c r="D12" s="1" t="n">
        <v>212.8</v>
      </c>
      <c r="E12" s="1" t="n">
        <v>12.9411764705882</v>
      </c>
      <c r="F12" s="1" t="n">
        <v>2.33333333333333</v>
      </c>
    </row>
    <row collapsed="false" customFormat="false" customHeight="false" hidden="false" ht="14.75" outlineLevel="0" r="13">
      <c r="A13" s="1" t="s">
        <v>520</v>
      </c>
      <c r="B13" s="1" t="s">
        <v>521</v>
      </c>
      <c r="C13" s="1" t="s">
        <v>506</v>
      </c>
      <c r="D13" s="1" t="n">
        <v>244.4</v>
      </c>
      <c r="E13" s="1" t="n">
        <v>19.79</v>
      </c>
      <c r="F13" s="1" t="n">
        <f aca="false">36/9</f>
        <v>4</v>
      </c>
    </row>
    <row collapsed="false" customFormat="false" customHeight="false" hidden="false" ht="14.75" outlineLevel="0" r="14">
      <c r="A14" s="1" t="s">
        <v>522</v>
      </c>
      <c r="B14" s="1" t="s">
        <v>521</v>
      </c>
      <c r="C14" s="1" t="s">
        <v>506</v>
      </c>
      <c r="D14" s="1" t="n">
        <v>117.8</v>
      </c>
      <c r="E14" s="1" t="n">
        <v>12.67</v>
      </c>
      <c r="F14" s="1" t="n">
        <f aca="false">15/9</f>
        <v>1.66666666666667</v>
      </c>
    </row>
    <row collapsed="false" customFormat="false" customHeight="false" hidden="false" ht="14.75" outlineLevel="0" r="15">
      <c r="A15" s="1" t="s">
        <v>523</v>
      </c>
      <c r="B15" s="1" t="s">
        <v>508</v>
      </c>
      <c r="C15" s="1" t="s">
        <v>506</v>
      </c>
      <c r="D15" s="1" t="n">
        <v>469</v>
      </c>
      <c r="E15" s="1" t="n">
        <v>19.51</v>
      </c>
      <c r="F15" s="1" t="n">
        <f aca="false">53/5</f>
        <v>10.6</v>
      </c>
    </row>
    <row collapsed="false" customFormat="false" customHeight="false" hidden="false" ht="14.75" outlineLevel="0" r="16">
      <c r="A16" s="1" t="s">
        <v>524</v>
      </c>
      <c r="B16" s="1" t="s">
        <v>508</v>
      </c>
      <c r="C16" s="1" t="s">
        <v>506</v>
      </c>
      <c r="D16" s="1" t="n">
        <v>158</v>
      </c>
      <c r="E16" s="1" t="n">
        <v>14.84</v>
      </c>
      <c r="F16" s="1" t="n">
        <v>2</v>
      </c>
    </row>
    <row collapsed="false" customFormat="false" customHeight="false" hidden="false" ht="14.75" outlineLevel="0" r="17">
      <c r="A17" s="1" t="s">
        <v>300</v>
      </c>
      <c r="B17" s="1" t="s">
        <v>516</v>
      </c>
      <c r="C17" s="1" t="s">
        <v>506</v>
      </c>
      <c r="D17" s="1" t="n">
        <v>469.1</v>
      </c>
      <c r="E17" s="1" t="n">
        <v>20.99</v>
      </c>
      <c r="F17" s="1" t="n">
        <f aca="false">84/11</f>
        <v>7.63636363636364</v>
      </c>
    </row>
    <row collapsed="false" customFormat="false" customHeight="false" hidden="false" ht="14.75" outlineLevel="0" r="18">
      <c r="A18" s="1" t="s">
        <v>301</v>
      </c>
      <c r="B18" s="1" t="s">
        <v>516</v>
      </c>
      <c r="C18" s="1" t="s">
        <v>506</v>
      </c>
      <c r="D18" s="1" t="n">
        <v>50.9</v>
      </c>
      <c r="E18" s="1" t="n">
        <v>4.52</v>
      </c>
      <c r="F18" s="1" t="n">
        <f aca="false">2/11</f>
        <v>0.181818181818182</v>
      </c>
    </row>
    <row collapsed="false" customFormat="false" customHeight="false" hidden="false" ht="14.75" outlineLevel="0" r="19">
      <c r="A19" s="1" t="s">
        <v>302</v>
      </c>
      <c r="B19" s="1" t="s">
        <v>508</v>
      </c>
      <c r="C19" s="1" t="s">
        <v>506</v>
      </c>
      <c r="D19" s="1" t="n">
        <v>256</v>
      </c>
      <c r="E19" s="1" t="n">
        <v>16.3</v>
      </c>
      <c r="F19" s="1" t="n">
        <f aca="false">19/5</f>
        <v>3.8</v>
      </c>
    </row>
    <row collapsed="false" customFormat="false" customHeight="false" hidden="false" ht="14.75" outlineLevel="0" r="20">
      <c r="A20" s="1" t="s">
        <v>525</v>
      </c>
      <c r="B20" s="1" t="s">
        <v>521</v>
      </c>
      <c r="C20" s="1" t="s">
        <v>506</v>
      </c>
      <c r="D20" s="1" t="n">
        <v>351</v>
      </c>
      <c r="E20" s="1" t="n">
        <v>21.76</v>
      </c>
      <c r="F20" s="1" t="n">
        <v>5.3</v>
      </c>
    </row>
    <row collapsed="false" customFormat="false" customHeight="false" hidden="false" ht="14.75" outlineLevel="0" r="21">
      <c r="A21" s="1" t="s">
        <v>303</v>
      </c>
      <c r="B21" s="1" t="s">
        <v>516</v>
      </c>
      <c r="C21" s="1" t="s">
        <v>506</v>
      </c>
      <c r="D21" s="1" t="n">
        <v>490</v>
      </c>
      <c r="E21" s="1" t="n">
        <v>24.73</v>
      </c>
      <c r="F21" s="1" t="n">
        <f aca="false">98/11</f>
        <v>8.90909090909091</v>
      </c>
    </row>
    <row collapsed="false" customFormat="false" customHeight="false" hidden="false" ht="14.75" outlineLevel="0" r="22">
      <c r="A22" s="1" t="s">
        <v>526</v>
      </c>
      <c r="B22" s="1" t="s">
        <v>521</v>
      </c>
      <c r="C22" s="1" t="s">
        <v>506</v>
      </c>
      <c r="D22" s="1" t="n">
        <v>218.3</v>
      </c>
      <c r="E22" s="1" t="n">
        <v>17.04</v>
      </c>
      <c r="F22" s="1" t="n">
        <f aca="false">20/9</f>
        <v>2.22222222222222</v>
      </c>
    </row>
    <row collapsed="false" customFormat="false" customHeight="false" hidden="false" ht="14.75" outlineLevel="0" r="23">
      <c r="A23" s="1" t="s">
        <v>527</v>
      </c>
      <c r="B23" s="1" t="s">
        <v>521</v>
      </c>
      <c r="C23" s="1" t="s">
        <v>506</v>
      </c>
      <c r="D23" s="1" t="n">
        <v>135</v>
      </c>
      <c r="E23" s="1" t="n">
        <v>13.22</v>
      </c>
      <c r="F23" s="1" t="n">
        <v>1.4</v>
      </c>
    </row>
    <row collapsed="false" customFormat="false" customHeight="false" hidden="false" ht="14.75" outlineLevel="0" r="24">
      <c r="A24" s="1" t="s">
        <v>103</v>
      </c>
      <c r="B24" s="1" t="s">
        <v>508</v>
      </c>
      <c r="C24" s="1" t="s">
        <v>506</v>
      </c>
      <c r="D24" s="1" t="n">
        <v>265</v>
      </c>
      <c r="E24" s="1" t="n">
        <v>15.6</v>
      </c>
      <c r="F24" s="1" t="n">
        <f aca="false">22/5</f>
        <v>4.4</v>
      </c>
    </row>
    <row collapsed="false" customFormat="false" customHeight="false" hidden="false" ht="14.75" outlineLevel="0" r="25">
      <c r="A25" s="1" t="s">
        <v>104</v>
      </c>
      <c r="B25" s="1" t="s">
        <v>508</v>
      </c>
      <c r="C25" s="1" t="s">
        <v>506</v>
      </c>
      <c r="D25" s="1" t="n">
        <v>183</v>
      </c>
      <c r="E25" s="1" t="n">
        <v>12.38</v>
      </c>
      <c r="F25" s="1" t="n">
        <f aca="false">16/5</f>
        <v>3.2</v>
      </c>
    </row>
    <row collapsed="false" customFormat="false" customHeight="false" hidden="false" ht="14.75" outlineLevel="0" r="26">
      <c r="A26" s="1" t="s">
        <v>528</v>
      </c>
      <c r="B26" s="1" t="s">
        <v>529</v>
      </c>
      <c r="C26" s="1" t="s">
        <v>506</v>
      </c>
      <c r="D26" s="1" t="n">
        <v>158</v>
      </c>
      <c r="E26" s="1" t="n">
        <v>9.38461538461539</v>
      </c>
      <c r="F26" s="1" t="n">
        <v>0.6</v>
      </c>
    </row>
    <row collapsed="false" customFormat="false" customHeight="false" hidden="false" ht="14.75" outlineLevel="0" r="27">
      <c r="A27" s="1" t="s">
        <v>530</v>
      </c>
      <c r="B27" s="1" t="s">
        <v>508</v>
      </c>
      <c r="C27" s="1" t="s">
        <v>506</v>
      </c>
      <c r="D27" s="1" t="n">
        <v>165</v>
      </c>
      <c r="E27" s="1" t="n">
        <v>11.58</v>
      </c>
      <c r="F27" s="1" t="n">
        <f aca="false">8/5</f>
        <v>1.6</v>
      </c>
    </row>
    <row collapsed="false" customFormat="false" customHeight="false" hidden="false" ht="14.75" outlineLevel="0" r="28">
      <c r="A28" s="1" t="s">
        <v>531</v>
      </c>
      <c r="B28" s="1" t="s">
        <v>508</v>
      </c>
      <c r="C28" s="1" t="s">
        <v>506</v>
      </c>
      <c r="D28" s="1" t="n">
        <v>38</v>
      </c>
      <c r="E28" s="1" t="n">
        <v>9.09</v>
      </c>
      <c r="F28" s="1" t="n">
        <f aca="false">1/5</f>
        <v>0.2</v>
      </c>
    </row>
    <row collapsed="false" customFormat="false" customHeight="false" hidden="false" ht="14.75" outlineLevel="0" r="29">
      <c r="A29" s="1" t="s">
        <v>532</v>
      </c>
      <c r="B29" s="1" t="s">
        <v>533</v>
      </c>
      <c r="C29" s="1" t="s">
        <v>506</v>
      </c>
      <c r="D29" s="1" t="n">
        <v>168.3</v>
      </c>
      <c r="E29" s="1" t="n">
        <v>14.63</v>
      </c>
      <c r="F29" s="1" t="n">
        <f aca="false">14/6</f>
        <v>2.33333333333333</v>
      </c>
    </row>
    <row collapsed="false" customFormat="false" customHeight="false" hidden="false" ht="14.75" outlineLevel="0" r="30">
      <c r="A30" s="1" t="s">
        <v>534</v>
      </c>
      <c r="B30" s="1" t="s">
        <v>516</v>
      </c>
      <c r="C30" s="1" t="s">
        <v>506</v>
      </c>
      <c r="D30" s="1" t="n">
        <v>65.5</v>
      </c>
      <c r="E30" s="1" t="n">
        <v>4.52</v>
      </c>
      <c r="F30" s="1" t="n">
        <f aca="false">10/11</f>
        <v>0.909090909090909</v>
      </c>
    </row>
    <row collapsed="false" customFormat="false" customHeight="false" hidden="false" ht="14.75" outlineLevel="0" r="31">
      <c r="A31" s="1" t="s">
        <v>10</v>
      </c>
      <c r="B31" s="1" t="s">
        <v>510</v>
      </c>
      <c r="C31" s="1" t="s">
        <v>506</v>
      </c>
      <c r="D31" s="1" t="n">
        <v>60</v>
      </c>
      <c r="E31" s="1" t="n">
        <v>12.37</v>
      </c>
      <c r="F31" s="1" t="n">
        <f aca="false">3/7</f>
        <v>0.428571428571429</v>
      </c>
    </row>
    <row collapsed="false" customFormat="false" customHeight="false" hidden="false" ht="14.75" outlineLevel="0" r="32">
      <c r="A32" s="1" t="s">
        <v>312</v>
      </c>
      <c r="B32" s="1" t="s">
        <v>529</v>
      </c>
      <c r="C32" s="1" t="s">
        <v>506</v>
      </c>
      <c r="D32" s="1" t="n">
        <v>258</v>
      </c>
      <c r="E32" s="1" t="n">
        <v>14.1772151898734</v>
      </c>
      <c r="F32" s="1" t="n">
        <v>3.1</v>
      </c>
    </row>
    <row collapsed="false" customFormat="false" customHeight="false" hidden="false" ht="14.75" outlineLevel="0" r="33">
      <c r="A33" s="1" t="s">
        <v>314</v>
      </c>
      <c r="B33" s="1" t="s">
        <v>529</v>
      </c>
      <c r="C33" s="1" t="s">
        <v>506</v>
      </c>
      <c r="D33" s="1" t="n">
        <v>169</v>
      </c>
      <c r="E33" s="1" t="n">
        <v>9.84375</v>
      </c>
      <c r="F33" s="1" t="n">
        <v>1.4</v>
      </c>
    </row>
    <row collapsed="false" customFormat="false" customHeight="false" hidden="false" ht="14.75" outlineLevel="0" r="34">
      <c r="A34" s="1" t="s">
        <v>535</v>
      </c>
      <c r="B34" s="1" t="s">
        <v>510</v>
      </c>
      <c r="C34" s="1" t="s">
        <v>506</v>
      </c>
      <c r="D34" s="1" t="n">
        <v>454.6</v>
      </c>
      <c r="E34" s="1" t="n">
        <v>23.64</v>
      </c>
      <c r="F34" s="1" t="n">
        <f aca="false">86/12</f>
        <v>7.16666666666667</v>
      </c>
    </row>
    <row collapsed="false" customFormat="false" customHeight="false" hidden="false" ht="14.75" outlineLevel="0" r="35">
      <c r="A35" s="1" t="s">
        <v>536</v>
      </c>
      <c r="B35" s="1" t="s">
        <v>510</v>
      </c>
      <c r="C35" s="1" t="s">
        <v>506</v>
      </c>
      <c r="D35" s="1" t="n">
        <v>274.4</v>
      </c>
      <c r="E35" s="1" t="n">
        <v>17.47</v>
      </c>
      <c r="F35" s="1" t="n">
        <f aca="false">34/9</f>
        <v>3.77777777777778</v>
      </c>
    </row>
    <row collapsed="false" customFormat="false" customHeight="false" hidden="false" ht="14.75" outlineLevel="0" r="36">
      <c r="A36" s="1" t="s">
        <v>537</v>
      </c>
      <c r="B36" s="1" t="s">
        <v>518</v>
      </c>
      <c r="C36" s="1" t="s">
        <v>506</v>
      </c>
      <c r="D36" s="1" t="n">
        <v>224</v>
      </c>
      <c r="E36" s="1" t="n">
        <v>14.6</v>
      </c>
      <c r="F36" s="1" t="n">
        <v>3.3</v>
      </c>
    </row>
    <row collapsed="false" customFormat="false" customHeight="false" hidden="false" ht="14.75" outlineLevel="0" r="37">
      <c r="A37" s="1" t="s">
        <v>538</v>
      </c>
      <c r="B37" s="1" t="s">
        <v>518</v>
      </c>
      <c r="C37" s="1" t="s">
        <v>506</v>
      </c>
      <c r="D37" s="1" t="n">
        <v>224</v>
      </c>
      <c r="E37" s="1" t="n">
        <v>15.06</v>
      </c>
      <c r="F37" s="1" t="n">
        <v>2.7</v>
      </c>
    </row>
    <row collapsed="false" customFormat="false" customHeight="false" hidden="false" ht="14.75" outlineLevel="0" r="38">
      <c r="A38" s="1" t="s">
        <v>539</v>
      </c>
      <c r="B38" s="1" t="s">
        <v>529</v>
      </c>
      <c r="C38" s="1" t="s">
        <v>506</v>
      </c>
      <c r="D38" s="1" t="n">
        <v>239</v>
      </c>
      <c r="E38" s="1" t="n">
        <v>12</v>
      </c>
      <c r="F38" s="1" t="n">
        <v>1.5</v>
      </c>
    </row>
    <row collapsed="false" customFormat="false" customHeight="false" hidden="false" ht="14.75" outlineLevel="0" r="39">
      <c r="A39" s="1" t="s">
        <v>540</v>
      </c>
      <c r="B39" s="1" t="s">
        <v>505</v>
      </c>
      <c r="C39" s="1" t="s">
        <v>506</v>
      </c>
      <c r="D39" s="1" t="n">
        <v>274.527272727273</v>
      </c>
      <c r="E39" s="1" t="n">
        <v>18.7209302325581</v>
      </c>
      <c r="F39" s="1" t="n">
        <v>2.72727272727273</v>
      </c>
    </row>
    <row collapsed="false" customFormat="false" customHeight="false" hidden="false" ht="14.75" outlineLevel="0" r="40">
      <c r="A40" s="1" t="s">
        <v>204</v>
      </c>
      <c r="B40" s="1" t="s">
        <v>518</v>
      </c>
      <c r="C40" s="1" t="s">
        <v>506</v>
      </c>
      <c r="D40" s="1" t="n">
        <v>585.5</v>
      </c>
      <c r="E40" s="1" t="n">
        <v>24.88</v>
      </c>
      <c r="F40" s="1" t="n">
        <f aca="false">117/11</f>
        <v>10.6363636363636</v>
      </c>
    </row>
    <row collapsed="false" customFormat="false" customHeight="false" hidden="false" ht="14.75" outlineLevel="0" r="41">
      <c r="A41" s="1" t="s">
        <v>205</v>
      </c>
      <c r="B41" s="1" t="s">
        <v>518</v>
      </c>
      <c r="C41" s="1" t="s">
        <v>506</v>
      </c>
      <c r="D41" s="1" t="n">
        <v>463.6</v>
      </c>
      <c r="E41" s="1" t="n">
        <v>21.03</v>
      </c>
      <c r="F41" s="1" t="n">
        <f aca="false">78/11</f>
        <v>7.09090909090909</v>
      </c>
    </row>
    <row collapsed="false" customFormat="false" customHeight="false" hidden="false" ht="14.75" outlineLevel="0" r="42">
      <c r="A42" s="1" t="s">
        <v>541</v>
      </c>
      <c r="B42" s="1" t="s">
        <v>510</v>
      </c>
      <c r="C42" s="1" t="s">
        <v>506</v>
      </c>
      <c r="D42" s="1" t="n">
        <v>85.7</v>
      </c>
      <c r="E42" s="1" t="n">
        <v>8.18</v>
      </c>
      <c r="F42" s="1" t="n">
        <f aca="false">6/7</f>
        <v>0.857142857142857</v>
      </c>
    </row>
    <row collapsed="false" customFormat="false" customHeight="false" hidden="false" ht="14.75" outlineLevel="0" r="43">
      <c r="A43" s="1" t="s">
        <v>542</v>
      </c>
      <c r="B43" s="1" t="s">
        <v>510</v>
      </c>
      <c r="C43" s="1" t="s">
        <v>506</v>
      </c>
      <c r="D43" s="1" t="n">
        <v>76.4</v>
      </c>
      <c r="E43" s="1" t="n">
        <v>10</v>
      </c>
      <c r="F43" s="1" t="n">
        <f aca="false">2/7</f>
        <v>0.285714285714286</v>
      </c>
    </row>
    <row collapsed="false" customFormat="false" customHeight="false" hidden="false" ht="14.75" outlineLevel="0" r="44">
      <c r="A44" s="1" t="s">
        <v>543</v>
      </c>
      <c r="B44" s="1" t="s">
        <v>505</v>
      </c>
      <c r="C44" s="1" t="s">
        <v>506</v>
      </c>
      <c r="D44" s="1" t="n">
        <v>576.818181818182</v>
      </c>
      <c r="E44" s="1" t="n">
        <v>24.4585987261147</v>
      </c>
      <c r="F44" s="1" t="n">
        <v>9.54545454545455</v>
      </c>
    </row>
    <row collapsed="false" customFormat="false" customHeight="false" hidden="false" ht="14.75" outlineLevel="0" r="45">
      <c r="A45" s="1" t="s">
        <v>544</v>
      </c>
      <c r="B45" s="1" t="s">
        <v>505</v>
      </c>
      <c r="C45" s="1" t="s">
        <v>506</v>
      </c>
      <c r="D45" s="1" t="n">
        <v>424.563636363636</v>
      </c>
      <c r="E45" s="1" t="n">
        <v>21.0077519379845</v>
      </c>
      <c r="F45" s="1" t="n">
        <v>6.36363636363636</v>
      </c>
    </row>
    <row collapsed="false" customFormat="false" customHeight="false" hidden="false" ht="14.75" outlineLevel="0" r="46">
      <c r="A46" s="1" t="s">
        <v>545</v>
      </c>
      <c r="B46" s="1" t="s">
        <v>505</v>
      </c>
      <c r="C46" s="1" t="s">
        <v>506</v>
      </c>
      <c r="D46" s="1" t="n">
        <v>167.233333333333</v>
      </c>
      <c r="E46" s="1" t="n">
        <v>11.6981132075472</v>
      </c>
      <c r="F46" s="1" t="n">
        <v>1.44444444444444</v>
      </c>
    </row>
    <row collapsed="false" customFormat="false" customHeight="false" hidden="false" ht="14.75" outlineLevel="0" r="47">
      <c r="A47" s="1" t="s">
        <v>119</v>
      </c>
      <c r="B47" s="1" t="s">
        <v>533</v>
      </c>
      <c r="C47" s="1" t="s">
        <v>506</v>
      </c>
      <c r="D47" s="1" t="n">
        <v>397.2</v>
      </c>
      <c r="E47" s="1" t="n">
        <v>20.9</v>
      </c>
      <c r="F47" s="1" t="n">
        <f aca="false">45/9</f>
        <v>5</v>
      </c>
    </row>
    <row collapsed="false" customFormat="false" customHeight="false" hidden="false" ht="14.75" outlineLevel="0" r="48">
      <c r="A48" s="1" t="s">
        <v>120</v>
      </c>
      <c r="B48" s="1" t="s">
        <v>533</v>
      </c>
      <c r="C48" s="1" t="s">
        <v>506</v>
      </c>
      <c r="D48" s="1" t="n">
        <v>74</v>
      </c>
      <c r="E48" s="1" t="n">
        <v>12.94</v>
      </c>
      <c r="F48" s="1" t="n">
        <v>1</v>
      </c>
    </row>
    <row collapsed="false" customFormat="false" customHeight="false" hidden="false" ht="14.75" outlineLevel="0" r="49">
      <c r="A49" s="1" t="s">
        <v>546</v>
      </c>
      <c r="B49" s="1" t="s">
        <v>521</v>
      </c>
      <c r="C49" s="1" t="s">
        <v>506</v>
      </c>
      <c r="D49" s="1" t="n">
        <v>185.6</v>
      </c>
      <c r="E49" s="1" t="n">
        <v>13.71</v>
      </c>
      <c r="F49" s="1" t="n">
        <f aca="false">13/9</f>
        <v>1.44444444444444</v>
      </c>
    </row>
    <row collapsed="false" customFormat="false" customHeight="false" hidden="false" ht="14.75" outlineLevel="0" r="50">
      <c r="A50" s="1" t="s">
        <v>547</v>
      </c>
      <c r="B50" s="1" t="s">
        <v>521</v>
      </c>
      <c r="C50" s="1" t="s">
        <v>506</v>
      </c>
      <c r="D50" s="1" t="n">
        <v>132.8</v>
      </c>
      <c r="E50" s="1" t="n">
        <v>11.91</v>
      </c>
      <c r="F50" s="1" t="n">
        <f aca="false">10/9</f>
        <v>1.11111111111111</v>
      </c>
    </row>
    <row collapsed="false" customFormat="false" customHeight="false" hidden="false" ht="14.75" outlineLevel="0" r="51">
      <c r="A51" s="1" t="s">
        <v>548</v>
      </c>
      <c r="B51" s="1" t="s">
        <v>533</v>
      </c>
      <c r="C51" s="1" t="s">
        <v>506</v>
      </c>
      <c r="D51" s="1" t="n">
        <v>448.3</v>
      </c>
      <c r="E51" s="1" t="n">
        <v>21.49</v>
      </c>
      <c r="F51" s="1" t="n">
        <f aca="false">64/9</f>
        <v>7.11111111111111</v>
      </c>
    </row>
    <row collapsed="false" customFormat="false" customHeight="false" hidden="false" ht="14.75" outlineLevel="0" r="52">
      <c r="A52" s="1" t="s">
        <v>549</v>
      </c>
      <c r="B52" s="1" t="s">
        <v>533</v>
      </c>
      <c r="C52" s="1" t="s">
        <v>506</v>
      </c>
      <c r="D52" s="1" t="n">
        <v>189.2</v>
      </c>
      <c r="E52" s="1" t="n">
        <v>14.47</v>
      </c>
      <c r="F52" s="1" t="n">
        <f aca="false">9/6</f>
        <v>1.5</v>
      </c>
    </row>
    <row collapsed="false" customFormat="false" customHeight="false" hidden="false" ht="14.75" outlineLevel="0" r="53">
      <c r="A53" s="1" t="s">
        <v>550</v>
      </c>
      <c r="B53" s="1" t="s">
        <v>533</v>
      </c>
      <c r="C53" s="1" t="s">
        <v>506</v>
      </c>
      <c r="D53" s="1" t="n">
        <v>107</v>
      </c>
      <c r="E53" s="1" t="n">
        <v>10.37</v>
      </c>
      <c r="F53" s="1" t="n">
        <f aca="false">4/5</f>
        <v>0.8</v>
      </c>
    </row>
    <row collapsed="false" customFormat="false" customHeight="false" hidden="false" ht="14.75" outlineLevel="0" r="54">
      <c r="A54" s="1" t="s">
        <v>551</v>
      </c>
      <c r="B54" s="1" t="s">
        <v>529</v>
      </c>
      <c r="C54" s="1" t="s">
        <v>506</v>
      </c>
      <c r="D54" s="1" t="n">
        <v>165</v>
      </c>
      <c r="E54" s="1" t="n">
        <v>9.53846153846154</v>
      </c>
      <c r="F54" s="1" t="n">
        <v>1.7</v>
      </c>
    </row>
    <row collapsed="false" customFormat="false" customHeight="false" hidden="false" ht="14.75" outlineLevel="0" r="55">
      <c r="A55" s="1" t="s">
        <v>552</v>
      </c>
      <c r="B55" s="1" t="s">
        <v>529</v>
      </c>
      <c r="C55" s="1" t="s">
        <v>506</v>
      </c>
      <c r="D55" s="1" t="n">
        <v>144</v>
      </c>
      <c r="E55" s="1" t="n">
        <v>6.13333333333333</v>
      </c>
      <c r="F55" s="1" t="n">
        <v>0.7</v>
      </c>
    </row>
    <row collapsed="false" customFormat="false" customHeight="false" hidden="false" ht="14.75" outlineLevel="0" r="56">
      <c r="A56" s="1" t="s">
        <v>553</v>
      </c>
      <c r="B56" s="1" t="s">
        <v>510</v>
      </c>
      <c r="C56" s="1" t="s">
        <v>506</v>
      </c>
      <c r="D56" s="1" t="n">
        <v>170.6</v>
      </c>
      <c r="E56" s="1" t="n">
        <v>11.27</v>
      </c>
      <c r="F56" s="1" t="n">
        <f aca="false">15/8</f>
        <v>1.875</v>
      </c>
    </row>
    <row collapsed="false" customFormat="false" customHeight="false" hidden="false" ht="14.75" outlineLevel="0" r="57">
      <c r="A57" s="1" t="s">
        <v>123</v>
      </c>
      <c r="B57" s="1" t="s">
        <v>533</v>
      </c>
      <c r="C57" s="1" t="s">
        <v>506</v>
      </c>
      <c r="D57" s="1" t="n">
        <v>427.5</v>
      </c>
      <c r="E57" s="1" t="n">
        <v>22.4</v>
      </c>
      <c r="F57" s="1" t="n">
        <f aca="false">51/8</f>
        <v>6.375</v>
      </c>
    </row>
    <row collapsed="false" customFormat="false" customHeight="false" hidden="false" ht="14.75" outlineLevel="0" r="58">
      <c r="A58" s="1" t="s">
        <v>124</v>
      </c>
      <c r="B58" s="1" t="s">
        <v>533</v>
      </c>
      <c r="C58" s="1" t="s">
        <v>506</v>
      </c>
      <c r="D58" s="1" t="n">
        <v>93.3</v>
      </c>
      <c r="E58" s="1" t="n">
        <v>7.67</v>
      </c>
      <c r="F58" s="1" t="n">
        <f aca="false">10/6</f>
        <v>1.66666666666667</v>
      </c>
    </row>
    <row collapsed="false" customFormat="false" customHeight="false" hidden="false" ht="14.75" outlineLevel="0" r="59">
      <c r="A59" s="1" t="s">
        <v>332</v>
      </c>
      <c r="B59" s="1" t="s">
        <v>516</v>
      </c>
      <c r="C59" s="1" t="s">
        <v>506</v>
      </c>
      <c r="D59" s="1" t="n">
        <v>235.5</v>
      </c>
      <c r="E59" s="1" t="n">
        <v>17.09</v>
      </c>
      <c r="F59" s="1" t="n">
        <f aca="false">36/11</f>
        <v>3.27272727272727</v>
      </c>
    </row>
    <row collapsed="false" customFormat="false" customHeight="false" hidden="false" ht="14.75" outlineLevel="0" r="60">
      <c r="A60" s="1" t="s">
        <v>554</v>
      </c>
      <c r="B60" s="1" t="s">
        <v>518</v>
      </c>
      <c r="C60" s="1" t="s">
        <v>506</v>
      </c>
      <c r="D60" s="1" t="n">
        <v>274.5</v>
      </c>
      <c r="E60" s="1" t="n">
        <v>16.9</v>
      </c>
      <c r="F60" s="1" t="n">
        <v>3.3</v>
      </c>
    </row>
    <row collapsed="false" customFormat="false" customHeight="false" hidden="false" ht="14.75" outlineLevel="0" r="61">
      <c r="A61" s="1" t="s">
        <v>555</v>
      </c>
      <c r="B61" s="1" t="s">
        <v>518</v>
      </c>
      <c r="C61" s="1" t="s">
        <v>506</v>
      </c>
      <c r="D61" s="1" t="n">
        <v>177</v>
      </c>
      <c r="E61" s="1" t="n">
        <v>12.15</v>
      </c>
      <c r="F61" s="1" t="n">
        <v>0.9</v>
      </c>
    </row>
    <row collapsed="false" customFormat="false" customHeight="false" hidden="false" ht="14.75" outlineLevel="0" r="62">
      <c r="A62" s="1" t="s">
        <v>556</v>
      </c>
      <c r="B62" s="1" t="s">
        <v>505</v>
      </c>
      <c r="C62" s="1" t="s">
        <v>506</v>
      </c>
      <c r="D62" s="1" t="n">
        <v>206.633333333333</v>
      </c>
      <c r="E62" s="1" t="n">
        <v>11.4084507042254</v>
      </c>
      <c r="F62" s="1" t="n">
        <v>1.11111111111111</v>
      </c>
    </row>
    <row collapsed="false" customFormat="false" customHeight="false" hidden="false" ht="14.75" outlineLevel="0" r="63">
      <c r="A63" s="1" t="s">
        <v>557</v>
      </c>
      <c r="B63" s="1" t="s">
        <v>518</v>
      </c>
      <c r="C63" s="1" t="s">
        <v>506</v>
      </c>
      <c r="D63" s="1" t="n">
        <v>130.5</v>
      </c>
      <c r="E63" s="1" t="n">
        <v>10.48</v>
      </c>
      <c r="F63" s="1" t="n">
        <v>0.7</v>
      </c>
    </row>
    <row collapsed="false" customFormat="false" customHeight="false" hidden="false" ht="14.75" outlineLevel="0" r="64">
      <c r="A64" s="1" t="s">
        <v>558</v>
      </c>
      <c r="B64" s="1" t="s">
        <v>518</v>
      </c>
      <c r="C64" s="1" t="s">
        <v>506</v>
      </c>
      <c r="D64" s="1" t="n">
        <v>32</v>
      </c>
      <c r="E64" s="1" t="n">
        <v>3.33</v>
      </c>
      <c r="F64" s="1" t="n">
        <v>0.5</v>
      </c>
    </row>
    <row collapsed="false" customFormat="false" customHeight="false" hidden="false" ht="14.75" outlineLevel="0" r="65">
      <c r="A65" s="1" t="s">
        <v>559</v>
      </c>
      <c r="B65" s="1" t="s">
        <v>521</v>
      </c>
      <c r="C65" s="1" t="s">
        <v>506</v>
      </c>
      <c r="D65" s="1" t="n">
        <v>179.5</v>
      </c>
      <c r="E65" s="1" t="n">
        <v>13.8</v>
      </c>
      <c r="F65" s="1" t="n">
        <v>1.7</v>
      </c>
    </row>
    <row collapsed="false" customFormat="false" customHeight="false" hidden="false" ht="14.75" outlineLevel="0" r="66">
      <c r="A66" s="1" t="s">
        <v>130</v>
      </c>
      <c r="B66" s="1" t="s">
        <v>529</v>
      </c>
      <c r="C66" s="1" t="s">
        <v>506</v>
      </c>
      <c r="D66" s="1" t="n">
        <v>198.3</v>
      </c>
      <c r="E66" s="1" t="n">
        <v>10.2272727272727</v>
      </c>
      <c r="F66" s="1" t="n">
        <f aca="false">20/12</f>
        <v>1.66666666666667</v>
      </c>
    </row>
    <row collapsed="false" customFormat="false" customHeight="false" hidden="false" ht="14.75" outlineLevel="0" r="67">
      <c r="A67" s="1" t="s">
        <v>560</v>
      </c>
      <c r="B67" s="1" t="s">
        <v>529</v>
      </c>
      <c r="C67" s="1" t="s">
        <v>506</v>
      </c>
      <c r="D67" s="1" t="n">
        <v>83</v>
      </c>
      <c r="E67" s="1" t="n">
        <v>6.25</v>
      </c>
      <c r="F67" s="1" t="n">
        <v>0.8</v>
      </c>
    </row>
    <row collapsed="false" customFormat="false" customHeight="false" hidden="false" ht="14.75" outlineLevel="0" r="68">
      <c r="A68" s="1" t="s">
        <v>561</v>
      </c>
      <c r="B68" s="1" t="s">
        <v>508</v>
      </c>
      <c r="C68" s="1" t="s">
        <v>506</v>
      </c>
      <c r="D68" s="1" t="n">
        <v>305</v>
      </c>
      <c r="E68" s="1" t="n">
        <v>20.71</v>
      </c>
      <c r="F68" s="1" t="n">
        <v>4</v>
      </c>
    </row>
    <row collapsed="false" customFormat="false" customHeight="false" hidden="false" ht="14.75" outlineLevel="0" r="69">
      <c r="A69" s="1" t="s">
        <v>137</v>
      </c>
      <c r="B69" s="1" t="s">
        <v>529</v>
      </c>
      <c r="C69" s="1" t="s">
        <v>506</v>
      </c>
      <c r="D69" s="1" t="n">
        <v>165</v>
      </c>
      <c r="E69" s="1" t="n">
        <v>8.2258064516129</v>
      </c>
      <c r="F69" s="1" t="n">
        <v>1.5</v>
      </c>
    </row>
    <row collapsed="false" customFormat="false" customHeight="false" hidden="false" ht="14.75" outlineLevel="0" r="70">
      <c r="A70" s="1" t="s">
        <v>562</v>
      </c>
      <c r="B70" s="1" t="s">
        <v>510</v>
      </c>
      <c r="C70" s="1" t="s">
        <v>506</v>
      </c>
      <c r="D70" s="1" t="n">
        <v>95</v>
      </c>
      <c r="E70" s="1" t="n">
        <v>8.33</v>
      </c>
      <c r="F70" s="1" t="n">
        <v>1</v>
      </c>
    </row>
    <row collapsed="false" customFormat="false" customHeight="false" hidden="false" ht="14.75" outlineLevel="0" r="71">
      <c r="A71" s="1" t="s">
        <v>563</v>
      </c>
      <c r="B71" s="1" t="s">
        <v>510</v>
      </c>
      <c r="C71" s="1" t="s">
        <v>506</v>
      </c>
      <c r="D71" s="1" t="n">
        <v>200.6</v>
      </c>
      <c r="E71" s="1" t="n">
        <v>13.21</v>
      </c>
      <c r="F71" s="1" t="n">
        <f aca="false">19/8</f>
        <v>2.375</v>
      </c>
    </row>
    <row collapsed="false" customFormat="false" customHeight="false" hidden="false" ht="14.75" outlineLevel="0" r="72">
      <c r="A72" s="1" t="s">
        <v>339</v>
      </c>
      <c r="B72" s="1" t="s">
        <v>529</v>
      </c>
      <c r="C72" s="1" t="s">
        <v>506</v>
      </c>
      <c r="D72" s="1" t="n">
        <v>230</v>
      </c>
      <c r="E72" s="1" t="n">
        <v>12.2666666666667</v>
      </c>
      <c r="F72" s="1" t="n">
        <v>3.3</v>
      </c>
    </row>
    <row collapsed="false" customFormat="false" customHeight="false" hidden="false" ht="14.75" outlineLevel="0" r="73">
      <c r="A73" s="1" t="s">
        <v>564</v>
      </c>
      <c r="B73" s="1" t="s">
        <v>529</v>
      </c>
      <c r="C73" s="1" t="s">
        <v>506</v>
      </c>
      <c r="D73" s="1" t="n">
        <v>169</v>
      </c>
      <c r="E73" s="1" t="n">
        <v>10.3076923076923</v>
      </c>
      <c r="F73" s="1" t="n">
        <v>1.4</v>
      </c>
    </row>
    <row collapsed="false" customFormat="false" customHeight="false" hidden="false" ht="14.75" outlineLevel="0" r="74">
      <c r="A74" s="1" t="s">
        <v>565</v>
      </c>
      <c r="B74" s="1" t="s">
        <v>529</v>
      </c>
      <c r="C74" s="1" t="s">
        <v>506</v>
      </c>
      <c r="D74" s="1" t="n">
        <v>215</v>
      </c>
      <c r="E74" s="1" t="n">
        <v>12.914798206278</v>
      </c>
      <c r="F74" s="1" t="n">
        <v>1.2</v>
      </c>
    </row>
    <row collapsed="false" customFormat="false" customHeight="false" hidden="false" ht="14.75" outlineLevel="0" r="75">
      <c r="A75" s="1" t="s">
        <v>142</v>
      </c>
      <c r="B75" s="1" t="s">
        <v>508</v>
      </c>
      <c r="C75" s="1" t="s">
        <v>506</v>
      </c>
      <c r="D75" s="1" t="n">
        <v>149</v>
      </c>
      <c r="E75" s="1" t="n">
        <v>10.86</v>
      </c>
      <c r="F75" s="1" t="n">
        <f aca="false">11/5</f>
        <v>2.2</v>
      </c>
    </row>
    <row collapsed="false" customFormat="false" customHeight="false" hidden="false" ht="14.75" outlineLevel="0" r="76">
      <c r="A76" s="1" t="s">
        <v>343</v>
      </c>
      <c r="B76" s="1" t="s">
        <v>516</v>
      </c>
      <c r="C76" s="1" t="s">
        <v>506</v>
      </c>
      <c r="D76" s="1" t="n">
        <v>566.8</v>
      </c>
      <c r="E76" s="1" t="n">
        <v>26.13</v>
      </c>
      <c r="F76" s="1" t="n">
        <f aca="false">113/11</f>
        <v>10.2727272727273</v>
      </c>
    </row>
    <row collapsed="false" customFormat="false" customHeight="false" hidden="false" ht="14.75" outlineLevel="0" r="77">
      <c r="A77" s="1" t="s">
        <v>344</v>
      </c>
      <c r="B77" s="1" t="s">
        <v>516</v>
      </c>
      <c r="C77" s="1" t="s">
        <v>506</v>
      </c>
      <c r="D77" s="1" t="n">
        <v>510.9</v>
      </c>
      <c r="E77" s="1" t="n">
        <v>23.7</v>
      </c>
      <c r="F77" s="1" t="n">
        <f aca="false">80/11</f>
        <v>7.27272727272727</v>
      </c>
    </row>
    <row collapsed="false" customFormat="false" customHeight="false" hidden="false" ht="14.75" outlineLevel="0" r="78">
      <c r="A78" s="1" t="s">
        <v>566</v>
      </c>
      <c r="B78" s="1" t="s">
        <v>521</v>
      </c>
      <c r="C78" s="1" t="s">
        <v>506</v>
      </c>
      <c r="D78" s="1" t="n">
        <v>272.8</v>
      </c>
      <c r="E78" s="1" t="n">
        <v>18.12</v>
      </c>
      <c r="F78" s="1" t="n">
        <f aca="false">35/9</f>
        <v>3.88888888888889</v>
      </c>
    </row>
    <row collapsed="false" customFormat="false" customHeight="false" hidden="false" ht="14.75" outlineLevel="0" r="79">
      <c r="A79" s="1" t="s">
        <v>567</v>
      </c>
      <c r="B79" s="1" t="s">
        <v>521</v>
      </c>
      <c r="C79" s="1" t="s">
        <v>506</v>
      </c>
      <c r="D79" s="1" t="n">
        <v>214</v>
      </c>
      <c r="E79" s="1" t="n">
        <v>15.42</v>
      </c>
      <c r="F79" s="1" t="n">
        <v>2.8</v>
      </c>
    </row>
    <row collapsed="false" customFormat="false" customHeight="false" hidden="false" ht="14.75" outlineLevel="0" r="80">
      <c r="A80" s="1" t="s">
        <v>568</v>
      </c>
      <c r="B80" s="1" t="s">
        <v>521</v>
      </c>
      <c r="C80" s="1" t="s">
        <v>506</v>
      </c>
      <c r="D80" s="1" t="n">
        <v>138.9</v>
      </c>
      <c r="E80" s="1" t="n">
        <v>12.82</v>
      </c>
      <c r="F80" s="1" t="n">
        <f aca="false">7/9</f>
        <v>0.777777777777778</v>
      </c>
    </row>
    <row collapsed="false" customFormat="false" customHeight="false" hidden="false" ht="14.75" outlineLevel="0" r="81">
      <c r="A81" s="1" t="s">
        <v>43</v>
      </c>
      <c r="B81" s="1" t="s">
        <v>510</v>
      </c>
      <c r="C81" s="1" t="s">
        <v>506</v>
      </c>
      <c r="D81" s="1" t="n">
        <v>422.5</v>
      </c>
      <c r="E81" s="1" t="n">
        <v>23.45</v>
      </c>
      <c r="F81" s="1" t="n">
        <v>5.6</v>
      </c>
    </row>
    <row collapsed="false" customFormat="false" customHeight="false" hidden="false" ht="14.75" outlineLevel="0" r="82">
      <c r="A82" s="1" t="s">
        <v>569</v>
      </c>
      <c r="B82" s="1" t="s">
        <v>516</v>
      </c>
      <c r="C82" s="1" t="s">
        <v>506</v>
      </c>
      <c r="D82" s="1" t="n">
        <v>254.5</v>
      </c>
      <c r="E82" s="1" t="n">
        <v>12.69</v>
      </c>
      <c r="F82" s="1" t="n">
        <f aca="false">26/11</f>
        <v>2.36363636363636</v>
      </c>
    </row>
    <row collapsed="false" customFormat="false" customHeight="false" hidden="false" ht="14.75" outlineLevel="0" r="83">
      <c r="A83" s="1" t="s">
        <v>570</v>
      </c>
      <c r="B83" s="1" t="s">
        <v>510</v>
      </c>
      <c r="C83" s="1" t="s">
        <v>506</v>
      </c>
      <c r="D83" s="1" t="n">
        <v>243.2</v>
      </c>
      <c r="E83" s="1" t="n">
        <v>16.53</v>
      </c>
      <c r="F83" s="1" t="n">
        <f aca="false">36/11</f>
        <v>3.27272727272727</v>
      </c>
    </row>
    <row collapsed="false" customFormat="false" customHeight="false" hidden="false" ht="14.75" outlineLevel="0" r="84">
      <c r="A84" s="1" t="s">
        <v>571</v>
      </c>
      <c r="B84" s="1" t="s">
        <v>510</v>
      </c>
      <c r="C84" s="1" t="s">
        <v>506</v>
      </c>
      <c r="D84" s="1" t="n">
        <v>118.6</v>
      </c>
      <c r="E84" s="1" t="n">
        <v>12.43</v>
      </c>
      <c r="F84" s="1" t="n">
        <v>1</v>
      </c>
    </row>
    <row collapsed="false" customFormat="false" customHeight="false" hidden="false" ht="14.75" outlineLevel="0" r="85">
      <c r="A85" s="1" t="s">
        <v>572</v>
      </c>
      <c r="B85" s="1" t="s">
        <v>521</v>
      </c>
      <c r="C85" s="1" t="s">
        <v>506</v>
      </c>
      <c r="D85" s="1" t="n">
        <v>418.3</v>
      </c>
      <c r="E85" s="1" t="n">
        <v>21.64</v>
      </c>
      <c r="F85" s="1" t="n">
        <f aca="false">52/9</f>
        <v>5.77777777777778</v>
      </c>
    </row>
    <row collapsed="false" customFormat="false" customHeight="false" hidden="false" ht="14.75" outlineLevel="0" r="86">
      <c r="A86" s="1" t="s">
        <v>348</v>
      </c>
      <c r="B86" s="1" t="s">
        <v>529</v>
      </c>
      <c r="C86" s="1" t="s">
        <v>506</v>
      </c>
      <c r="D86" s="1" t="n">
        <v>696.9</v>
      </c>
      <c r="E86" s="1" t="n">
        <v>26.1458333333333</v>
      </c>
      <c r="F86" s="1" t="n">
        <f aca="false">152/13</f>
        <v>11.6923076923077</v>
      </c>
    </row>
    <row collapsed="false" customFormat="false" customHeight="false" hidden="false" ht="14.75" outlineLevel="0" r="87">
      <c r="A87" s="1" t="s">
        <v>349</v>
      </c>
      <c r="B87" s="1" t="s">
        <v>529</v>
      </c>
      <c r="C87" s="1" t="s">
        <v>506</v>
      </c>
      <c r="D87" s="1" t="n">
        <v>360</v>
      </c>
      <c r="E87" s="1" t="n">
        <v>17.34375</v>
      </c>
      <c r="F87" s="1" t="n">
        <f aca="false">51/12</f>
        <v>4.25</v>
      </c>
    </row>
    <row collapsed="false" customFormat="false" customHeight="false" hidden="false" ht="14.75" outlineLevel="0" r="88">
      <c r="A88" s="1" t="s">
        <v>350</v>
      </c>
      <c r="B88" s="1" t="s">
        <v>529</v>
      </c>
      <c r="C88" s="1" t="s">
        <v>506</v>
      </c>
      <c r="D88" s="1" t="n">
        <v>182</v>
      </c>
      <c r="E88" s="1" t="n">
        <v>10</v>
      </c>
      <c r="F88" s="1" t="n">
        <v>0.7</v>
      </c>
    </row>
    <row collapsed="false" customFormat="false" customHeight="false" hidden="false" ht="14.75" outlineLevel="0" r="89">
      <c r="A89" s="1" t="s">
        <v>573</v>
      </c>
      <c r="B89" s="1" t="s">
        <v>529</v>
      </c>
      <c r="C89" s="1" t="s">
        <v>506</v>
      </c>
      <c r="D89" s="1" t="n">
        <v>98</v>
      </c>
      <c r="E89" s="1" t="n">
        <v>5.83333333333333</v>
      </c>
      <c r="F89" s="1" t="n">
        <v>0.5</v>
      </c>
    </row>
    <row collapsed="false" customFormat="false" customHeight="false" hidden="false" ht="14.75" outlineLevel="0" r="90">
      <c r="A90" s="1" t="s">
        <v>45</v>
      </c>
      <c r="B90" s="1" t="s">
        <v>510</v>
      </c>
      <c r="C90" s="1" t="s">
        <v>506</v>
      </c>
      <c r="D90" s="1" t="n">
        <v>378.1</v>
      </c>
      <c r="E90" s="1" t="n">
        <v>22.34</v>
      </c>
      <c r="F90" s="1" t="n">
        <f aca="false">73/13</f>
        <v>5.61538461538462</v>
      </c>
    </row>
    <row collapsed="false" customFormat="false" customHeight="false" hidden="false" ht="14.75" outlineLevel="0" r="91">
      <c r="A91" s="1" t="s">
        <v>472</v>
      </c>
      <c r="B91" s="1" t="s">
        <v>510</v>
      </c>
      <c r="C91" s="1" t="s">
        <v>506</v>
      </c>
      <c r="D91" s="1" t="n">
        <v>398</v>
      </c>
      <c r="E91" s="1" t="n">
        <v>21.64</v>
      </c>
      <c r="F91" s="1" t="n">
        <v>6.2</v>
      </c>
    </row>
    <row collapsed="false" customFormat="false" customHeight="false" hidden="false" ht="14.75" outlineLevel="0" r="92">
      <c r="A92" s="1" t="s">
        <v>574</v>
      </c>
      <c r="B92" s="1" t="s">
        <v>516</v>
      </c>
      <c r="C92" s="1" t="s">
        <v>506</v>
      </c>
      <c r="D92" s="1" t="n">
        <v>425.5</v>
      </c>
      <c r="E92" s="1" t="n">
        <v>22.72</v>
      </c>
      <c r="F92" s="1" t="n">
        <f aca="false">76/11</f>
        <v>6.90909090909091</v>
      </c>
    </row>
    <row collapsed="false" customFormat="false" customHeight="false" hidden="false" ht="14.75" outlineLevel="0" r="93">
      <c r="A93" s="1" t="s">
        <v>575</v>
      </c>
      <c r="B93" s="1" t="s">
        <v>516</v>
      </c>
      <c r="C93" s="1" t="s">
        <v>506</v>
      </c>
      <c r="D93" s="1" t="n">
        <v>190.5</v>
      </c>
      <c r="E93" s="1" t="n">
        <v>14.71</v>
      </c>
      <c r="F93" s="1" t="n">
        <f aca="false">19/11</f>
        <v>1.72727272727273</v>
      </c>
    </row>
    <row collapsed="false" customFormat="false" customHeight="false" hidden="false" ht="14.75" outlineLevel="0" r="94">
      <c r="A94" s="1" t="s">
        <v>19</v>
      </c>
      <c r="B94" s="1" t="s">
        <v>516</v>
      </c>
      <c r="C94" s="1" t="s">
        <v>506</v>
      </c>
      <c r="D94" s="1" t="n">
        <v>530</v>
      </c>
      <c r="E94" s="1" t="n">
        <v>24.86</v>
      </c>
      <c r="F94" s="1" t="n">
        <f aca="false">92/11</f>
        <v>8.36363636363636</v>
      </c>
    </row>
    <row collapsed="false" customFormat="false" customHeight="false" hidden="false" ht="14.75" outlineLevel="0" r="95">
      <c r="A95" s="1" t="s">
        <v>20</v>
      </c>
      <c r="B95" s="1" t="s">
        <v>516</v>
      </c>
      <c r="C95" s="1" t="s">
        <v>506</v>
      </c>
      <c r="D95" s="1" t="n">
        <v>278.2</v>
      </c>
      <c r="E95" s="1" t="n">
        <v>17.58</v>
      </c>
      <c r="F95" s="1" t="n">
        <f aca="false">38/11</f>
        <v>3.45454545454545</v>
      </c>
    </row>
    <row collapsed="false" customFormat="false" customHeight="false" hidden="false" ht="14.75" outlineLevel="0" r="96">
      <c r="A96" s="1" t="s">
        <v>577</v>
      </c>
      <c r="B96" s="1" t="s">
        <v>505</v>
      </c>
      <c r="C96" s="1" t="s">
        <v>506</v>
      </c>
      <c r="D96" s="1" t="n">
        <v>163.333333333333</v>
      </c>
      <c r="E96" s="1" t="n">
        <v>11.2068965517241</v>
      </c>
      <c r="F96" s="1" t="n">
        <v>1.77777777777778</v>
      </c>
    </row>
    <row collapsed="false" customFormat="false" customHeight="false" hidden="false" ht="14.75" outlineLevel="0" r="97">
      <c r="A97" s="1" t="s">
        <v>578</v>
      </c>
      <c r="B97" s="1" t="s">
        <v>508</v>
      </c>
      <c r="C97" s="1" t="s">
        <v>506</v>
      </c>
      <c r="D97" s="1" t="n">
        <v>65</v>
      </c>
      <c r="E97" s="1" t="n">
        <v>9.41</v>
      </c>
      <c r="F97" s="1" t="n">
        <f aca="false">3/5</f>
        <v>0.6</v>
      </c>
    </row>
    <row collapsed="false" customFormat="false" customHeight="false" hidden="false" ht="14.75" outlineLevel="0" r="98">
      <c r="A98" s="1" t="s">
        <v>580</v>
      </c>
      <c r="B98" s="1" t="s">
        <v>518</v>
      </c>
      <c r="C98" s="1" t="s">
        <v>506</v>
      </c>
      <c r="D98" s="1" t="n">
        <v>160</v>
      </c>
      <c r="E98" s="1" t="n">
        <v>10.63</v>
      </c>
      <c r="F98" s="1" t="n">
        <v>1.1</v>
      </c>
    </row>
    <row collapsed="false" customFormat="false" customHeight="false" hidden="false" ht="14.75" outlineLevel="0" r="99">
      <c r="A99" s="1" t="s">
        <v>581</v>
      </c>
      <c r="B99" s="1" t="s">
        <v>518</v>
      </c>
      <c r="C99" s="1" t="s">
        <v>506</v>
      </c>
      <c r="D99" s="1" t="n">
        <v>45.5</v>
      </c>
      <c r="E99" s="1" t="n">
        <v>4.57</v>
      </c>
      <c r="F99" s="1" t="n">
        <v>0.2</v>
      </c>
    </row>
    <row collapsed="false" customFormat="false" customHeight="false" hidden="false" ht="14.75" outlineLevel="0" r="100">
      <c r="A100" s="1" t="s">
        <v>582</v>
      </c>
      <c r="B100" s="1" t="s">
        <v>529</v>
      </c>
      <c r="C100" s="1" t="s">
        <v>506</v>
      </c>
      <c r="D100" s="1" t="n">
        <v>127</v>
      </c>
      <c r="E100" s="1" t="n">
        <v>9.81132075471698</v>
      </c>
      <c r="F100" s="1" t="n">
        <v>0.9</v>
      </c>
    </row>
    <row collapsed="false" customFormat="false" customHeight="false" hidden="false" ht="14.75" outlineLevel="0" r="101">
      <c r="A101" s="1" t="s">
        <v>583</v>
      </c>
      <c r="B101" s="1" t="s">
        <v>518</v>
      </c>
      <c r="C101" s="1" t="s">
        <v>506</v>
      </c>
      <c r="D101" s="1" t="n">
        <v>74.5</v>
      </c>
      <c r="E101" s="1" t="n">
        <v>6.44</v>
      </c>
      <c r="F101" s="1" t="n">
        <v>0.6</v>
      </c>
    </row>
    <row collapsed="false" customFormat="false" customHeight="false" hidden="false" ht="14.75" outlineLevel="0" r="102">
      <c r="A102" s="1" t="s">
        <v>584</v>
      </c>
      <c r="B102" s="1" t="s">
        <v>516</v>
      </c>
      <c r="C102" s="1" t="s">
        <v>506</v>
      </c>
      <c r="D102" s="1" t="n">
        <v>213.2</v>
      </c>
      <c r="E102" s="1" t="n">
        <v>13.25</v>
      </c>
      <c r="F102" s="1" t="n">
        <f aca="false">19/11</f>
        <v>1.72727272727273</v>
      </c>
    </row>
    <row collapsed="false" customFormat="false" customHeight="false" hidden="false" ht="14.75" outlineLevel="0" r="103">
      <c r="A103" s="1" t="s">
        <v>585</v>
      </c>
      <c r="B103" s="1" t="s">
        <v>516</v>
      </c>
      <c r="C103" s="1" t="s">
        <v>506</v>
      </c>
      <c r="D103" s="1" t="n">
        <v>149.1</v>
      </c>
      <c r="E103" s="1" t="n">
        <v>11.08</v>
      </c>
      <c r="F103" s="1" t="n">
        <f aca="false">14/11</f>
        <v>1.27272727272727</v>
      </c>
    </row>
    <row collapsed="false" customFormat="false" customHeight="false" hidden="false" ht="14.75" outlineLevel="0" r="104">
      <c r="A104" s="1" t="s">
        <v>158</v>
      </c>
      <c r="B104" s="1" t="s">
        <v>533</v>
      </c>
      <c r="C104" s="1" t="s">
        <v>506</v>
      </c>
      <c r="D104" s="1" t="n">
        <v>385.6</v>
      </c>
      <c r="E104" s="1" t="n">
        <v>19.9</v>
      </c>
      <c r="F104" s="1" t="n">
        <f aca="false">39/8</f>
        <v>4.875</v>
      </c>
    </row>
    <row collapsed="false" customFormat="false" customHeight="false" hidden="false" ht="14.75" outlineLevel="0" r="105">
      <c r="A105" s="1" t="s">
        <v>159</v>
      </c>
      <c r="B105" s="1" t="s">
        <v>533</v>
      </c>
      <c r="C105" s="1" t="s">
        <v>506</v>
      </c>
      <c r="D105" s="1" t="n">
        <v>191.7</v>
      </c>
      <c r="E105" s="1" t="n">
        <v>14.04</v>
      </c>
      <c r="F105" s="1" t="n">
        <f aca="false">17/6</f>
        <v>2.83333333333333</v>
      </c>
    </row>
    <row collapsed="false" customFormat="false" customHeight="false" hidden="false" ht="14.75" outlineLevel="0" r="106">
      <c r="A106" s="1" t="s">
        <v>586</v>
      </c>
      <c r="B106" s="1" t="s">
        <v>518</v>
      </c>
      <c r="C106" s="1" t="s">
        <v>506</v>
      </c>
      <c r="D106" s="1" t="n">
        <v>155.5</v>
      </c>
      <c r="E106" s="1" t="n">
        <v>13.23</v>
      </c>
      <c r="F106" s="1" t="n">
        <v>1.9</v>
      </c>
    </row>
    <row collapsed="false" customFormat="false" customHeight="false" hidden="false" ht="14.75" outlineLevel="0" r="107">
      <c r="A107" s="1" t="s">
        <v>163</v>
      </c>
      <c r="B107" s="1" t="s">
        <v>516</v>
      </c>
      <c r="C107" s="1" t="s">
        <v>506</v>
      </c>
      <c r="D107" s="1" t="n">
        <v>380.9</v>
      </c>
      <c r="E107" s="1" t="n">
        <v>21.91</v>
      </c>
      <c r="F107" s="1" t="n">
        <f aca="false">70/11</f>
        <v>6.36363636363636</v>
      </c>
    </row>
    <row collapsed="false" customFormat="false" customHeight="false" hidden="false" ht="14.75" outlineLevel="0" r="108">
      <c r="A108" s="1" t="s">
        <v>587</v>
      </c>
      <c r="B108" s="1" t="s">
        <v>518</v>
      </c>
      <c r="C108" s="1" t="s">
        <v>506</v>
      </c>
      <c r="D108" s="1" t="n">
        <v>89.5</v>
      </c>
      <c r="E108" s="1" t="n">
        <v>7.04</v>
      </c>
      <c r="F108" s="1" t="n">
        <v>0.6</v>
      </c>
    </row>
    <row collapsed="false" customFormat="false" customHeight="false" hidden="false" ht="14.75" outlineLevel="0" r="109">
      <c r="A109" s="1" t="s">
        <v>588</v>
      </c>
      <c r="B109" s="1" t="s">
        <v>529</v>
      </c>
      <c r="C109" s="1" t="s">
        <v>506</v>
      </c>
      <c r="D109" s="1" t="n">
        <v>395</v>
      </c>
      <c r="E109" s="1" t="n">
        <v>19.1472868217054</v>
      </c>
      <c r="F109" s="1" t="n">
        <f aca="false">47/12</f>
        <v>3.91666666666667</v>
      </c>
    </row>
    <row collapsed="false" customFormat="false" customHeight="false" hidden="false" ht="14.75" outlineLevel="0" r="110">
      <c r="A110" s="1" t="s">
        <v>589</v>
      </c>
      <c r="B110" s="1" t="s">
        <v>529</v>
      </c>
      <c r="C110" s="1" t="s">
        <v>506</v>
      </c>
      <c r="D110" s="1" t="n">
        <v>202</v>
      </c>
      <c r="E110" s="1" t="n">
        <v>11.9480519480519</v>
      </c>
      <c r="F110" s="1" t="n">
        <v>1.5</v>
      </c>
    </row>
    <row collapsed="false" customFormat="false" customHeight="false" hidden="false" ht="14.75" outlineLevel="0" r="111">
      <c r="A111" s="1" t="s">
        <v>590</v>
      </c>
      <c r="B111" s="1" t="s">
        <v>529</v>
      </c>
      <c r="C111" s="1" t="s">
        <v>506</v>
      </c>
      <c r="D111" s="1" t="n">
        <v>177</v>
      </c>
      <c r="E111" s="1" t="n">
        <v>10.8955223880597</v>
      </c>
      <c r="F111" s="1" t="n">
        <v>0.7</v>
      </c>
    </row>
    <row collapsed="false" customFormat="false" customHeight="false" hidden="false" ht="14.75" outlineLevel="0" r="112">
      <c r="A112" s="1" t="s">
        <v>22</v>
      </c>
      <c r="B112" s="1" t="s">
        <v>521</v>
      </c>
      <c r="C112" s="1" t="s">
        <v>506</v>
      </c>
      <c r="D112" s="1" t="n">
        <v>356</v>
      </c>
      <c r="E112" s="1" t="n">
        <v>22.19</v>
      </c>
      <c r="F112" s="1" t="n">
        <v>5.2</v>
      </c>
    </row>
    <row collapsed="false" customFormat="false" customHeight="false" hidden="false" ht="14.75" outlineLevel="0" r="113">
      <c r="A113" s="1" t="s">
        <v>24</v>
      </c>
      <c r="B113" s="1" t="s">
        <v>521</v>
      </c>
      <c r="C113" s="1" t="s">
        <v>506</v>
      </c>
      <c r="D113" s="1" t="n">
        <v>233.9</v>
      </c>
      <c r="E113" s="1" t="n">
        <v>15.74</v>
      </c>
      <c r="F113" s="1" t="n">
        <f aca="false">14/9</f>
        <v>1.55555555555556</v>
      </c>
    </row>
    <row collapsed="false" customFormat="false" customHeight="false" hidden="false" ht="14.75" outlineLevel="0" r="114">
      <c r="A114" s="1" t="s">
        <v>364</v>
      </c>
      <c r="B114" s="1" t="s">
        <v>505</v>
      </c>
      <c r="C114" s="1" t="s">
        <v>506</v>
      </c>
      <c r="D114" s="1" t="n">
        <v>431.363636363636</v>
      </c>
      <c r="E114" s="1" t="n">
        <v>21.40625</v>
      </c>
      <c r="F114" s="1" t="n">
        <v>6.27272727272727</v>
      </c>
    </row>
    <row collapsed="false" customFormat="false" customHeight="false" hidden="false" ht="14.75" outlineLevel="0" r="115">
      <c r="A115" s="1" t="s">
        <v>591</v>
      </c>
      <c r="B115" s="1" t="s">
        <v>529</v>
      </c>
      <c r="C115" s="1" t="s">
        <v>506</v>
      </c>
      <c r="D115" s="1" t="n">
        <v>320.9</v>
      </c>
      <c r="E115" s="1" t="n">
        <v>16.0550458715596</v>
      </c>
      <c r="F115" s="1" t="n">
        <f aca="false">41/11</f>
        <v>3.72727272727273</v>
      </c>
    </row>
    <row collapsed="false" customFormat="false" customHeight="false" hidden="false" ht="14.75" outlineLevel="0" r="116">
      <c r="A116" s="1" t="s">
        <v>592</v>
      </c>
      <c r="B116" s="1" t="s">
        <v>505</v>
      </c>
      <c r="C116" s="1" t="s">
        <v>506</v>
      </c>
      <c r="D116" s="1" t="n">
        <v>331.8</v>
      </c>
      <c r="E116" s="1" t="n">
        <v>19.3457943925234</v>
      </c>
      <c r="F116" s="1" t="n">
        <v>3.45454545454545</v>
      </c>
    </row>
    <row collapsed="false" customFormat="false" customHeight="false" hidden="false" ht="14.75" outlineLevel="0" r="117">
      <c r="A117" s="1" t="s">
        <v>593</v>
      </c>
      <c r="B117" s="1" t="s">
        <v>521</v>
      </c>
      <c r="C117" s="1" t="s">
        <v>506</v>
      </c>
      <c r="D117" s="1" t="n">
        <v>175.5</v>
      </c>
      <c r="E117" s="1" t="n">
        <v>15.52</v>
      </c>
      <c r="F117" s="1" t="n">
        <v>2</v>
      </c>
    </row>
    <row collapsed="false" customFormat="false" customHeight="false" hidden="false" ht="14.75" outlineLevel="0" r="118">
      <c r="A118" s="1" t="s">
        <v>594</v>
      </c>
      <c r="B118" s="1" t="s">
        <v>529</v>
      </c>
      <c r="C118" s="1" t="s">
        <v>506</v>
      </c>
      <c r="D118" s="1" t="n">
        <v>370</v>
      </c>
      <c r="E118" s="1" t="n">
        <v>15.2542372881356</v>
      </c>
      <c r="F118" s="1" t="n">
        <v>4.9</v>
      </c>
    </row>
    <row collapsed="false" customFormat="false" customHeight="false" hidden="false" ht="14.75" outlineLevel="0" r="119">
      <c r="A119" s="1" t="s">
        <v>595</v>
      </c>
      <c r="B119" s="1" t="s">
        <v>505</v>
      </c>
      <c r="C119" s="1" t="s">
        <v>506</v>
      </c>
      <c r="D119" s="1" t="n">
        <v>282.454545454545</v>
      </c>
      <c r="E119" s="1" t="n">
        <v>19.625</v>
      </c>
      <c r="F119" s="1" t="n">
        <v>3</v>
      </c>
    </row>
    <row collapsed="false" customFormat="false" customHeight="false" hidden="false" ht="14.75" outlineLevel="0" r="120">
      <c r="A120" s="1" t="s">
        <v>596</v>
      </c>
      <c r="B120" s="1" t="s">
        <v>508</v>
      </c>
      <c r="C120" s="1" t="s">
        <v>506</v>
      </c>
      <c r="D120" s="1" t="n">
        <v>201</v>
      </c>
      <c r="E120" s="1" t="n">
        <v>14.88</v>
      </c>
      <c r="F120" s="1" t="n">
        <v>3</v>
      </c>
    </row>
    <row collapsed="false" customFormat="false" customHeight="false" hidden="false" ht="14.75" outlineLevel="0" r="121">
      <c r="A121" s="1" t="s">
        <v>376</v>
      </c>
      <c r="B121" s="1" t="s">
        <v>533</v>
      </c>
      <c r="C121" s="1" t="s">
        <v>506</v>
      </c>
      <c r="D121" s="1" t="n">
        <v>410.8</v>
      </c>
      <c r="E121" s="1" t="n">
        <v>21.17</v>
      </c>
      <c r="F121" s="1" t="n">
        <f aca="false">28/6</f>
        <v>4.66666666666667</v>
      </c>
    </row>
    <row collapsed="false" customFormat="false" customHeight="false" hidden="false" ht="14.75" outlineLevel="0" r="122">
      <c r="A122" s="1" t="s">
        <v>377</v>
      </c>
      <c r="B122" s="1" t="s">
        <v>533</v>
      </c>
      <c r="C122" s="1" t="s">
        <v>506</v>
      </c>
      <c r="D122" s="1" t="n">
        <v>270.8</v>
      </c>
      <c r="E122" s="1" t="n">
        <v>16.9</v>
      </c>
      <c r="F122" s="1" t="n">
        <f aca="false">22/6</f>
        <v>3.66666666666667</v>
      </c>
    </row>
    <row collapsed="false" customFormat="false" customHeight="false" hidden="false" ht="14.75" outlineLevel="0" r="123">
      <c r="A123" s="1" t="s">
        <v>378</v>
      </c>
      <c r="B123" s="1" t="s">
        <v>533</v>
      </c>
      <c r="C123" s="1" t="s">
        <v>506</v>
      </c>
      <c r="D123" s="1" t="n">
        <v>80.8</v>
      </c>
      <c r="E123" s="1" t="n">
        <v>8.21</v>
      </c>
      <c r="F123" s="1" t="n">
        <f aca="false">5/6</f>
        <v>0.833333333333333</v>
      </c>
    </row>
    <row collapsed="false" customFormat="false" customHeight="false" hidden="false" ht="14.75" outlineLevel="0" r="124">
      <c r="A124" s="1" t="s">
        <v>597</v>
      </c>
      <c r="B124" s="1" t="s">
        <v>521</v>
      </c>
      <c r="C124" s="1" t="s">
        <v>506</v>
      </c>
      <c r="D124" s="1" t="n">
        <v>350.5</v>
      </c>
      <c r="E124" s="1" t="n">
        <v>21.25</v>
      </c>
      <c r="F124" s="1" t="n">
        <v>5.2</v>
      </c>
    </row>
    <row collapsed="false" customFormat="false" customHeight="false" hidden="false" ht="14.75" outlineLevel="0" r="125">
      <c r="A125" s="1" t="s">
        <v>598</v>
      </c>
      <c r="B125" s="1" t="s">
        <v>521</v>
      </c>
      <c r="C125" s="1" t="s">
        <v>506</v>
      </c>
      <c r="D125" s="1" t="n">
        <v>102.2</v>
      </c>
      <c r="E125" s="1" t="n">
        <v>11.56</v>
      </c>
      <c r="F125" s="1" t="n">
        <f aca="false">13/9</f>
        <v>1.44444444444444</v>
      </c>
    </row>
    <row collapsed="false" customFormat="false" customHeight="false" hidden="false" ht="14.75" outlineLevel="0" r="126">
      <c r="A126" s="1" t="s">
        <v>599</v>
      </c>
      <c r="B126" s="1" t="s">
        <v>510</v>
      </c>
      <c r="C126" s="1" t="s">
        <v>506</v>
      </c>
      <c r="D126" s="1" t="n">
        <v>151.9</v>
      </c>
      <c r="E126" s="1" t="n">
        <v>11.34</v>
      </c>
      <c r="F126" s="1" t="n">
        <f aca="false">12/8</f>
        <v>1.5</v>
      </c>
    </row>
    <row collapsed="false" customFormat="false" customHeight="false" hidden="false" ht="14.75" outlineLevel="0" r="127">
      <c r="A127" s="1" t="s">
        <v>600</v>
      </c>
      <c r="B127" s="1" t="s">
        <v>510</v>
      </c>
      <c r="C127" s="1" t="s">
        <v>506</v>
      </c>
      <c r="D127" s="1" t="n">
        <v>52.9</v>
      </c>
      <c r="E127" s="1" t="n">
        <v>7.71</v>
      </c>
      <c r="F127" s="1" t="n">
        <f aca="false">2/7</f>
        <v>0.285714285714286</v>
      </c>
    </row>
    <row collapsed="false" customFormat="false" customHeight="false" hidden="false" ht="14.75" outlineLevel="0" r="128">
      <c r="A128" s="1" t="s">
        <v>384</v>
      </c>
      <c r="B128" s="1" t="s">
        <v>508</v>
      </c>
      <c r="C128" s="1" t="s">
        <v>506</v>
      </c>
      <c r="D128" s="1" t="n">
        <v>514</v>
      </c>
      <c r="E128" s="1" t="n">
        <v>22.6</v>
      </c>
      <c r="F128" s="1" t="n">
        <f aca="false">47/5</f>
        <v>9.4</v>
      </c>
    </row>
    <row collapsed="false" customFormat="false" customHeight="false" hidden="false" ht="14.75" outlineLevel="0" r="129">
      <c r="A129" s="1" t="s">
        <v>385</v>
      </c>
      <c r="B129" s="1" t="s">
        <v>508</v>
      </c>
      <c r="C129" s="1" t="s">
        <v>506</v>
      </c>
      <c r="D129" s="1" t="n">
        <v>377</v>
      </c>
      <c r="E129" s="1" t="n">
        <v>21.23</v>
      </c>
      <c r="F129" s="1" t="n">
        <v>6</v>
      </c>
    </row>
    <row collapsed="false" customFormat="false" customHeight="false" hidden="false" ht="14.75" outlineLevel="0" r="130">
      <c r="A130" s="1" t="s">
        <v>601</v>
      </c>
      <c r="B130" s="1" t="s">
        <v>529</v>
      </c>
      <c r="C130" s="1" t="s">
        <v>506</v>
      </c>
      <c r="D130" s="1" t="n">
        <v>302.5</v>
      </c>
      <c r="E130" s="1" t="n">
        <v>15.0434782608696</v>
      </c>
      <c r="F130" s="1" t="n">
        <f aca="false">30/12</f>
        <v>2.5</v>
      </c>
    </row>
    <row collapsed="false" customFormat="false" customHeight="false" hidden="false" ht="14.75" outlineLevel="0" r="131">
      <c r="A131" s="1" t="s">
        <v>602</v>
      </c>
      <c r="B131" s="1" t="s">
        <v>529</v>
      </c>
      <c r="C131" s="1" t="s">
        <v>506</v>
      </c>
      <c r="D131" s="1" t="n">
        <v>162</v>
      </c>
      <c r="E131" s="1" t="n">
        <v>9.57746478873239</v>
      </c>
      <c r="F131" s="1" t="n">
        <v>0.7</v>
      </c>
    </row>
    <row collapsed="false" customFormat="false" customHeight="false" hidden="false" ht="14.75" outlineLevel="0" r="132">
      <c r="A132" s="1" t="s">
        <v>170</v>
      </c>
      <c r="B132" s="1" t="s">
        <v>533</v>
      </c>
      <c r="C132" s="1" t="s">
        <v>506</v>
      </c>
      <c r="D132" s="1" t="n">
        <v>110</v>
      </c>
      <c r="E132" s="1" t="n">
        <v>10.77</v>
      </c>
      <c r="F132" s="1" t="n">
        <f aca="false">1</f>
        <v>1</v>
      </c>
    </row>
    <row collapsed="false" customFormat="false" customHeight="false" hidden="false" ht="14.75" outlineLevel="0" r="133">
      <c r="A133" s="1" t="s">
        <v>391</v>
      </c>
      <c r="B133" s="1" t="s">
        <v>529</v>
      </c>
      <c r="C133" s="1" t="s">
        <v>506</v>
      </c>
      <c r="D133" s="1" t="n">
        <v>488.5</v>
      </c>
      <c r="E133" s="1" t="n">
        <v>20.2366863905325</v>
      </c>
      <c r="F133" s="1" t="n">
        <f aca="false">84/13</f>
        <v>6.46153846153846</v>
      </c>
    </row>
    <row collapsed="false" customFormat="false" customHeight="false" hidden="false" ht="14.75" outlineLevel="0" r="134">
      <c r="A134" s="1" t="s">
        <v>392</v>
      </c>
      <c r="B134" s="1" t="s">
        <v>529</v>
      </c>
      <c r="C134" s="1" t="s">
        <v>506</v>
      </c>
      <c r="D134" s="1" t="n">
        <v>326</v>
      </c>
      <c r="E134" s="1" t="n">
        <v>16.3265306122449</v>
      </c>
      <c r="F134" s="1" t="n">
        <v>4.3</v>
      </c>
    </row>
    <row collapsed="false" customFormat="false" customHeight="false" hidden="false" ht="14.75" outlineLevel="0" r="135">
      <c r="A135" s="1" t="s">
        <v>393</v>
      </c>
      <c r="B135" s="1" t="s">
        <v>529</v>
      </c>
      <c r="C135" s="1" t="s">
        <v>506</v>
      </c>
      <c r="D135" s="1" t="n">
        <v>222</v>
      </c>
      <c r="E135" s="1" t="n">
        <v>12.1875</v>
      </c>
      <c r="F135" s="1" t="n">
        <v>1.8</v>
      </c>
    </row>
    <row collapsed="false" customFormat="false" customHeight="false" hidden="false" ht="14.75" outlineLevel="0" r="136">
      <c r="A136" s="1" t="s">
        <v>603</v>
      </c>
      <c r="B136" s="1" t="s">
        <v>529</v>
      </c>
      <c r="C136" s="1" t="s">
        <v>506</v>
      </c>
      <c r="D136" s="1" t="n">
        <v>171</v>
      </c>
      <c r="E136" s="1" t="n">
        <v>11.7525773195876</v>
      </c>
      <c r="F136" s="1" t="n">
        <v>1.4</v>
      </c>
    </row>
    <row collapsed="false" customFormat="false" customHeight="false" hidden="false" ht="14.75" outlineLevel="0" r="137">
      <c r="A137" s="1" t="s">
        <v>604</v>
      </c>
      <c r="B137" s="1" t="s">
        <v>516</v>
      </c>
      <c r="C137" s="1" t="s">
        <v>506</v>
      </c>
      <c r="D137" s="1" t="n">
        <v>531.4</v>
      </c>
      <c r="E137" s="1" t="n">
        <v>25.66</v>
      </c>
      <c r="F137" s="1" t="n">
        <f aca="false">109/11</f>
        <v>9.90909090909091</v>
      </c>
    </row>
    <row collapsed="false" customFormat="false" customHeight="false" hidden="false" ht="14.75" outlineLevel="0" r="138">
      <c r="A138" s="1" t="s">
        <v>605</v>
      </c>
      <c r="B138" s="1" t="s">
        <v>529</v>
      </c>
      <c r="C138" s="1" t="s">
        <v>506</v>
      </c>
      <c r="D138" s="1" t="n">
        <v>151</v>
      </c>
      <c r="E138" s="1" t="n">
        <v>9.18032786885246</v>
      </c>
      <c r="F138" s="1" t="n">
        <v>1.5</v>
      </c>
    </row>
    <row collapsed="false" customFormat="false" customHeight="false" hidden="false" ht="14.75" outlineLevel="0" r="139">
      <c r="A139" s="1" t="s">
        <v>606</v>
      </c>
      <c r="B139" s="1" t="s">
        <v>529</v>
      </c>
      <c r="C139" s="1" t="s">
        <v>506</v>
      </c>
      <c r="D139" s="1" t="n">
        <v>65</v>
      </c>
      <c r="E139" s="1" t="n">
        <v>6</v>
      </c>
      <c r="F139" s="1" t="n">
        <v>0.4</v>
      </c>
    </row>
    <row collapsed="false" customFormat="false" customHeight="false" hidden="false" ht="14.75" outlineLevel="0" r="140">
      <c r="A140" s="1" t="s">
        <v>607</v>
      </c>
      <c r="B140" s="1" t="s">
        <v>529</v>
      </c>
      <c r="C140" s="1" t="s">
        <v>506</v>
      </c>
      <c r="D140" s="1" t="n">
        <v>372.3</v>
      </c>
      <c r="E140" s="1" t="n">
        <v>18.4732824427481</v>
      </c>
      <c r="F140" s="1" t="n">
        <f aca="false">57/13</f>
        <v>4.38461538461539</v>
      </c>
    </row>
    <row collapsed="false" customFormat="false" customHeight="false" hidden="false" ht="14.75" outlineLevel="0" r="141">
      <c r="A141" s="1" t="s">
        <v>608</v>
      </c>
      <c r="B141" s="1" t="s">
        <v>529</v>
      </c>
      <c r="C141" s="1" t="s">
        <v>506</v>
      </c>
      <c r="D141" s="1" t="n">
        <v>168</v>
      </c>
      <c r="E141" s="1" t="n">
        <v>9.85294117647059</v>
      </c>
      <c r="F141" s="1" t="n">
        <v>0.9</v>
      </c>
    </row>
    <row collapsed="false" customFormat="false" customHeight="false" hidden="false" ht="14.75" outlineLevel="0" r="142">
      <c r="A142" s="1" t="s">
        <v>609</v>
      </c>
      <c r="B142" s="1" t="s">
        <v>529</v>
      </c>
      <c r="C142" s="1" t="s">
        <v>506</v>
      </c>
      <c r="D142" s="1" t="n">
        <v>49</v>
      </c>
      <c r="E142" s="1" t="n">
        <v>4.64285714285714</v>
      </c>
      <c r="F142" s="1" t="n">
        <v>0.3</v>
      </c>
    </row>
    <row collapsed="false" customFormat="false" customHeight="false" hidden="false" ht="14.75" outlineLevel="0" r="143">
      <c r="A143" s="1" t="s">
        <v>26</v>
      </c>
      <c r="B143" s="1" t="s">
        <v>510</v>
      </c>
      <c r="C143" s="1" t="s">
        <v>506</v>
      </c>
      <c r="D143" s="1" t="n">
        <v>549.5</v>
      </c>
      <c r="E143" s="1" t="n">
        <v>25.58</v>
      </c>
      <c r="F143" s="1" t="n">
        <f aca="false">113/11</f>
        <v>10.2727272727273</v>
      </c>
    </row>
    <row collapsed="false" customFormat="false" customHeight="false" hidden="false" ht="14.75" outlineLevel="0" r="144">
      <c r="A144" s="1" t="s">
        <v>27</v>
      </c>
      <c r="B144" s="1" t="s">
        <v>510</v>
      </c>
      <c r="C144" s="1" t="s">
        <v>506</v>
      </c>
      <c r="D144" s="1" t="n">
        <v>130.6</v>
      </c>
      <c r="E144" s="1" t="n">
        <v>10.78</v>
      </c>
      <c r="F144" s="1" t="n">
        <f aca="false">7/8</f>
        <v>0.875</v>
      </c>
    </row>
    <row collapsed="false" customFormat="false" customHeight="false" hidden="false" ht="14.75" outlineLevel="0" r="145">
      <c r="A145" s="1" t="s">
        <v>610</v>
      </c>
      <c r="B145" s="1" t="s">
        <v>505</v>
      </c>
      <c r="C145" s="1" t="s">
        <v>506</v>
      </c>
      <c r="D145" s="1" t="n">
        <v>233.3</v>
      </c>
      <c r="E145" s="1" t="n">
        <v>15</v>
      </c>
      <c r="F145" s="1" t="n">
        <v>1.77777777777778</v>
      </c>
    </row>
    <row collapsed="false" customFormat="false" customHeight="false" hidden="false" ht="14.75" outlineLevel="0" r="146">
      <c r="A146" s="1" t="s">
        <v>275</v>
      </c>
      <c r="B146" s="1" t="s">
        <v>518</v>
      </c>
      <c r="C146" s="1" t="s">
        <v>506</v>
      </c>
      <c r="D146" s="1" t="n">
        <v>394</v>
      </c>
      <c r="E146" s="1" t="n">
        <v>20.16</v>
      </c>
      <c r="F146" s="1" t="n">
        <v>4.6</v>
      </c>
    </row>
    <row collapsed="false" customFormat="false" customHeight="false" hidden="false" ht="14.75" outlineLevel="0" r="147">
      <c r="A147" s="1" t="s">
        <v>276</v>
      </c>
      <c r="B147" s="1" t="s">
        <v>518</v>
      </c>
      <c r="C147" s="1" t="s">
        <v>506</v>
      </c>
      <c r="D147" s="1" t="n">
        <v>200</v>
      </c>
      <c r="E147" s="1" t="n">
        <v>12.39</v>
      </c>
      <c r="F147" s="1" t="n">
        <v>1</v>
      </c>
    </row>
    <row collapsed="false" customFormat="false" customHeight="false" hidden="false" ht="14.75" outlineLevel="0" r="148">
      <c r="A148" s="1" t="s">
        <v>278</v>
      </c>
      <c r="B148" s="1" t="s">
        <v>518</v>
      </c>
      <c r="C148" s="1" t="s">
        <v>506</v>
      </c>
      <c r="D148" s="1" t="n">
        <v>303</v>
      </c>
      <c r="E148" s="1" t="n">
        <v>19.39</v>
      </c>
      <c r="F148" s="1" t="n">
        <v>3.3</v>
      </c>
    </row>
    <row collapsed="false" customFormat="false" customHeight="false" hidden="false" ht="14.75" outlineLevel="0" r="149">
      <c r="A149" s="1" t="s">
        <v>611</v>
      </c>
      <c r="B149" s="1" t="s">
        <v>518</v>
      </c>
      <c r="C149" s="1" t="s">
        <v>506</v>
      </c>
      <c r="D149" s="1" t="n">
        <v>56</v>
      </c>
      <c r="E149" s="1" t="n">
        <v>5.71</v>
      </c>
      <c r="F149" s="1" t="n">
        <v>0.3</v>
      </c>
    </row>
    <row collapsed="false" customFormat="false" customHeight="false" hidden="false" ht="14.75" outlineLevel="0" r="150">
      <c r="A150" s="1" t="s">
        <v>279</v>
      </c>
      <c r="B150" s="1" t="s">
        <v>518</v>
      </c>
      <c r="C150" s="1" t="s">
        <v>506</v>
      </c>
      <c r="D150" s="1" t="n">
        <v>308.5</v>
      </c>
      <c r="E150" s="1" t="n">
        <v>17.12</v>
      </c>
      <c r="F150" s="1" t="n">
        <v>3.9</v>
      </c>
    </row>
    <row collapsed="false" customFormat="false" customHeight="false" hidden="false" ht="14.75" outlineLevel="0" r="151">
      <c r="A151" s="1" t="s">
        <v>280</v>
      </c>
      <c r="B151" s="1" t="s">
        <v>518</v>
      </c>
      <c r="C151" s="1" t="s">
        <v>506</v>
      </c>
      <c r="D151" s="1" t="n">
        <v>128</v>
      </c>
      <c r="E151" s="1" t="n">
        <v>10</v>
      </c>
      <c r="F151" s="1" t="n">
        <v>0.2</v>
      </c>
    </row>
    <row collapsed="false" customFormat="false" customHeight="false" hidden="false" ht="14.75" outlineLevel="0" r="152">
      <c r="A152" s="1" t="s">
        <v>281</v>
      </c>
      <c r="B152" s="1" t="s">
        <v>518</v>
      </c>
      <c r="C152" s="1" t="s">
        <v>506</v>
      </c>
      <c r="D152" s="1" t="n">
        <v>144</v>
      </c>
      <c r="E152" s="1" t="n">
        <v>10.86</v>
      </c>
      <c r="F152" s="1" t="n">
        <v>0.9</v>
      </c>
    </row>
    <row collapsed="false" customFormat="false" customHeight="false" hidden="false" ht="14.75" outlineLevel="0" r="153">
      <c r="A153" s="1" t="s">
        <v>612</v>
      </c>
      <c r="B153" s="1" t="s">
        <v>518</v>
      </c>
      <c r="C153" s="1" t="s">
        <v>506</v>
      </c>
      <c r="D153" s="1" t="n">
        <v>89.5</v>
      </c>
      <c r="E153" s="1" t="n">
        <v>10.68</v>
      </c>
      <c r="F153" s="1" t="n">
        <v>0.7</v>
      </c>
    </row>
    <row collapsed="false" customFormat="false" customHeight="false" hidden="false" ht="14.75" outlineLevel="0" r="154">
      <c r="A154" s="1" t="s">
        <v>29</v>
      </c>
      <c r="B154" s="1" t="s">
        <v>510</v>
      </c>
      <c r="C154" s="1" t="s">
        <v>506</v>
      </c>
      <c r="D154" s="1" t="n">
        <v>364.5</v>
      </c>
      <c r="E154" s="1" t="n">
        <v>20.35</v>
      </c>
      <c r="F154" s="1" t="n">
        <v>4.9</v>
      </c>
    </row>
    <row collapsed="false" customFormat="false" customHeight="false" hidden="false" ht="14.75" outlineLevel="0" r="155">
      <c r="A155" s="1" t="s">
        <v>30</v>
      </c>
      <c r="B155" s="1" t="s">
        <v>510</v>
      </c>
      <c r="C155" s="1" t="s">
        <v>506</v>
      </c>
      <c r="D155" s="1" t="n">
        <v>238.3</v>
      </c>
      <c r="E155" s="1" t="n">
        <v>13.79</v>
      </c>
      <c r="F155" s="1" t="n">
        <f aca="false">26/9</f>
        <v>2.88888888888889</v>
      </c>
    </row>
    <row collapsed="false" customFormat="false" customHeight="false" hidden="false" ht="14.75" outlineLevel="0" r="156">
      <c r="A156" s="1" t="s">
        <v>613</v>
      </c>
      <c r="B156" s="1" t="s">
        <v>510</v>
      </c>
      <c r="C156" s="1" t="s">
        <v>506</v>
      </c>
      <c r="D156" s="1" t="n">
        <v>371.9</v>
      </c>
      <c r="E156" s="1" t="n">
        <v>22.08</v>
      </c>
      <c r="F156" s="1" t="n">
        <f aca="false">68/13</f>
        <v>5.23076923076923</v>
      </c>
    </row>
    <row collapsed="false" customFormat="false" customHeight="false" hidden="false" ht="14.75" outlineLevel="0" r="157">
      <c r="A157" s="1" t="s">
        <v>614</v>
      </c>
      <c r="B157" s="1" t="s">
        <v>510</v>
      </c>
      <c r="C157" s="1" t="s">
        <v>506</v>
      </c>
      <c r="D157" s="1" t="n">
        <v>248.1</v>
      </c>
      <c r="E157" s="1" t="n">
        <v>15.47</v>
      </c>
      <c r="F157" s="1" t="n">
        <f aca="false">27/8</f>
        <v>3.375</v>
      </c>
    </row>
    <row collapsed="false" customFormat="false" customHeight="false" hidden="false" ht="14.75" outlineLevel="0" r="158">
      <c r="A158" s="1" t="s">
        <v>615</v>
      </c>
      <c r="B158" s="1" t="s">
        <v>510</v>
      </c>
      <c r="C158" s="1" t="s">
        <v>506</v>
      </c>
      <c r="D158" s="1" t="n">
        <v>168.8</v>
      </c>
      <c r="E158" s="1" t="n">
        <v>10.95</v>
      </c>
      <c r="F158" s="1" t="n">
        <f aca="false">13/8</f>
        <v>1.625</v>
      </c>
    </row>
    <row collapsed="false" customFormat="false" customHeight="false" hidden="false" ht="14.75" outlineLevel="0" r="159">
      <c r="A159" s="1" t="s">
        <v>616</v>
      </c>
      <c r="B159" s="1" t="s">
        <v>510</v>
      </c>
      <c r="C159" s="1" t="s">
        <v>506</v>
      </c>
      <c r="D159" s="1" t="n">
        <v>301.5</v>
      </c>
      <c r="E159" s="1" t="n">
        <v>18.47</v>
      </c>
      <c r="F159" s="1" t="n">
        <v>3.6</v>
      </c>
    </row>
    <row collapsed="false" customFormat="false" customHeight="false" hidden="false" ht="14.75" outlineLevel="0" r="160">
      <c r="A160" s="1" t="s">
        <v>617</v>
      </c>
      <c r="B160" s="1" t="s">
        <v>518</v>
      </c>
      <c r="C160" s="1" t="s">
        <v>506</v>
      </c>
      <c r="D160" s="1" t="n">
        <v>157</v>
      </c>
      <c r="E160" s="1" t="n">
        <v>11.86</v>
      </c>
      <c r="F160" s="1" t="n">
        <v>1.6</v>
      </c>
    </row>
    <row collapsed="false" customFormat="false" customHeight="false" hidden="false" ht="14.75" outlineLevel="0" r="161">
      <c r="A161" s="1" t="s">
        <v>177</v>
      </c>
      <c r="B161" s="1" t="s">
        <v>516</v>
      </c>
      <c r="C161" s="1" t="s">
        <v>506</v>
      </c>
      <c r="D161" s="1" t="n">
        <v>209.5</v>
      </c>
      <c r="E161" s="1" t="n">
        <v>13.25</v>
      </c>
      <c r="F161" s="1" t="n">
        <v>3</v>
      </c>
    </row>
    <row collapsed="false" customFormat="false" customHeight="false" hidden="false" ht="14.75" outlineLevel="0" r="162">
      <c r="A162" s="1" t="s">
        <v>618</v>
      </c>
      <c r="B162" s="1" t="s">
        <v>510</v>
      </c>
      <c r="C162" s="1" t="s">
        <v>506</v>
      </c>
      <c r="D162" s="1" t="n">
        <v>208.3</v>
      </c>
      <c r="E162" s="1" t="n">
        <v>15.35</v>
      </c>
      <c r="F162" s="1" t="n">
        <f aca="false">29/9</f>
        <v>3.22222222222222</v>
      </c>
    </row>
    <row collapsed="false" customFormat="false" customHeight="false" hidden="false" ht="14.75" outlineLevel="0" r="163">
      <c r="A163" s="1" t="s">
        <v>619</v>
      </c>
      <c r="B163" s="1" t="s">
        <v>510</v>
      </c>
      <c r="C163" s="1" t="s">
        <v>506</v>
      </c>
      <c r="D163" s="1" t="n">
        <v>128.3</v>
      </c>
      <c r="E163" s="1" t="n">
        <v>10.09</v>
      </c>
      <c r="F163" s="1" t="n">
        <f aca="false">14/9</f>
        <v>1.55555555555556</v>
      </c>
    </row>
    <row collapsed="false" customFormat="false" customHeight="false" hidden="false" ht="14.75" outlineLevel="0" r="164">
      <c r="A164" s="1" t="s">
        <v>32</v>
      </c>
      <c r="B164" s="1" t="s">
        <v>533</v>
      </c>
      <c r="C164" s="1" t="s">
        <v>506</v>
      </c>
      <c r="D164" s="1" t="n">
        <v>130</v>
      </c>
      <c r="E164" s="1" t="n">
        <v>12.16</v>
      </c>
      <c r="F164" s="1" t="n">
        <f aca="false">5/6</f>
        <v>0.833333333333333</v>
      </c>
    </row>
    <row collapsed="false" customFormat="false" customHeight="false" hidden="false" ht="14.75" outlineLevel="0" r="165">
      <c r="A165" s="1" t="s">
        <v>404</v>
      </c>
      <c r="B165" s="1" t="s">
        <v>533</v>
      </c>
      <c r="C165" s="1" t="s">
        <v>506</v>
      </c>
      <c r="D165" s="1" t="n">
        <v>50</v>
      </c>
      <c r="E165" s="1" t="n">
        <v>7.33</v>
      </c>
      <c r="F165" s="1" t="n">
        <v>1</v>
      </c>
    </row>
    <row collapsed="false" customFormat="false" customHeight="false" hidden="false" ht="14.75" outlineLevel="0" r="166">
      <c r="A166" s="1" t="s">
        <v>620</v>
      </c>
      <c r="B166" s="1" t="s">
        <v>521</v>
      </c>
      <c r="C166" s="1" t="s">
        <v>506</v>
      </c>
      <c r="D166" s="1" t="n">
        <v>332</v>
      </c>
      <c r="E166" s="1" t="n">
        <v>20.48</v>
      </c>
      <c r="F166" s="1" t="n">
        <v>6</v>
      </c>
    </row>
    <row collapsed="false" customFormat="false" customHeight="false" hidden="false" ht="14.75" outlineLevel="0" r="167">
      <c r="A167" s="1" t="s">
        <v>621</v>
      </c>
      <c r="B167" s="1" t="s">
        <v>521</v>
      </c>
      <c r="C167" s="1" t="s">
        <v>506</v>
      </c>
      <c r="D167" s="1" t="n">
        <v>235.6</v>
      </c>
      <c r="E167" s="1" t="n">
        <v>14.64</v>
      </c>
      <c r="F167" s="1" t="n">
        <f aca="false">30/9</f>
        <v>3.33333333333333</v>
      </c>
    </row>
    <row collapsed="false" customFormat="false" customHeight="false" hidden="false" ht="14.75" outlineLevel="0" r="168">
      <c r="A168" s="1" t="s">
        <v>409</v>
      </c>
      <c r="B168" s="1" t="s">
        <v>529</v>
      </c>
      <c r="C168" s="1" t="s">
        <v>506</v>
      </c>
      <c r="D168" s="1" t="n">
        <v>147</v>
      </c>
      <c r="E168" s="1" t="n">
        <v>9.32203389830509</v>
      </c>
      <c r="F168" s="1" t="n">
        <v>1.3</v>
      </c>
    </row>
    <row collapsed="false" customFormat="false" customHeight="false" hidden="false" ht="14.75" outlineLevel="0" r="169">
      <c r="A169" s="1" t="s">
        <v>622</v>
      </c>
      <c r="B169" s="1" t="s">
        <v>521</v>
      </c>
      <c r="C169" s="1" t="s">
        <v>506</v>
      </c>
      <c r="D169" s="1" t="n">
        <v>105.5</v>
      </c>
      <c r="E169" s="1" t="n">
        <v>9.17</v>
      </c>
      <c r="F169" s="1" t="n">
        <v>0.9</v>
      </c>
    </row>
    <row collapsed="false" customFormat="false" customHeight="false" hidden="false" ht="14.75" outlineLevel="0" r="170">
      <c r="A170" s="1" t="s">
        <v>623</v>
      </c>
      <c r="B170" s="1" t="s">
        <v>521</v>
      </c>
      <c r="C170" s="1" t="s">
        <v>506</v>
      </c>
      <c r="D170" s="1" t="n">
        <v>300.6</v>
      </c>
      <c r="E170" s="1" t="n">
        <v>19.17</v>
      </c>
      <c r="F170" s="1" t="n">
        <f aca="false">45/9</f>
        <v>5</v>
      </c>
    </row>
    <row collapsed="false" customFormat="false" customHeight="false" hidden="false" ht="14.75" outlineLevel="0" r="171">
      <c r="A171" s="1" t="s">
        <v>624</v>
      </c>
      <c r="B171" s="1" t="s">
        <v>529</v>
      </c>
      <c r="C171" s="1" t="s">
        <v>506</v>
      </c>
      <c r="D171" s="1" t="n">
        <v>57</v>
      </c>
      <c r="E171" s="1" t="n">
        <v>4.85714285714286</v>
      </c>
      <c r="F171" s="1" t="n">
        <v>0.2</v>
      </c>
    </row>
    <row collapsed="false" customFormat="false" customHeight="false" hidden="false" ht="14.75" outlineLevel="0" r="172">
      <c r="A172" s="1" t="s">
        <v>625</v>
      </c>
      <c r="B172" s="1" t="s">
        <v>510</v>
      </c>
      <c r="C172" s="1" t="s">
        <v>506</v>
      </c>
      <c r="D172" s="1" t="n">
        <v>170.7</v>
      </c>
      <c r="E172" s="1" t="n">
        <v>11.16</v>
      </c>
      <c r="F172" s="1" t="n">
        <v>1</v>
      </c>
    </row>
    <row collapsed="false" customFormat="false" customHeight="false" hidden="false" ht="14.75" outlineLevel="0" r="173">
      <c r="A173" s="1" t="s">
        <v>626</v>
      </c>
      <c r="B173" s="1" t="s">
        <v>508</v>
      </c>
      <c r="C173" s="1" t="s">
        <v>506</v>
      </c>
      <c r="D173" s="1" t="n">
        <v>588</v>
      </c>
      <c r="E173" s="1" t="n">
        <v>25</v>
      </c>
      <c r="F173" s="1" t="n">
        <f aca="false">53/5</f>
        <v>10.6</v>
      </c>
    </row>
    <row collapsed="false" customFormat="false" customHeight="false" hidden="false" ht="14.75" outlineLevel="0" r="174">
      <c r="A174" s="1" t="s">
        <v>627</v>
      </c>
      <c r="B174" s="1" t="s">
        <v>518</v>
      </c>
      <c r="C174" s="1" t="s">
        <v>506</v>
      </c>
      <c r="D174" s="1" t="n">
        <v>468.5</v>
      </c>
      <c r="E174" s="1" t="n">
        <v>21.88</v>
      </c>
      <c r="F174" s="1" t="n">
        <v>7.2</v>
      </c>
    </row>
    <row collapsed="false" customFormat="false" customHeight="false" hidden="false" ht="14.75" outlineLevel="0" r="175">
      <c r="A175" s="1" t="s">
        <v>413</v>
      </c>
      <c r="B175" s="1" t="s">
        <v>516</v>
      </c>
      <c r="C175" s="1" t="s">
        <v>506</v>
      </c>
      <c r="D175" s="1" t="n">
        <v>280.5</v>
      </c>
      <c r="E175" s="1" t="n">
        <v>17.07</v>
      </c>
      <c r="F175" s="1" t="n">
        <v>3</v>
      </c>
    </row>
    <row collapsed="false" customFormat="false" customHeight="false" hidden="false" ht="14.75" outlineLevel="0" r="176">
      <c r="A176" s="1" t="s">
        <v>414</v>
      </c>
      <c r="B176" s="1" t="s">
        <v>516</v>
      </c>
      <c r="C176" s="1" t="s">
        <v>506</v>
      </c>
      <c r="D176" s="1" t="n">
        <v>121.8</v>
      </c>
      <c r="E176" s="1" t="n">
        <v>10</v>
      </c>
      <c r="F176" s="1" t="n">
        <f aca="false">10/11</f>
        <v>0.909090909090909</v>
      </c>
    </row>
    <row collapsed="false" customFormat="false" customHeight="false" hidden="false" ht="14.75" outlineLevel="0" r="177">
      <c r="A177" s="1" t="s">
        <v>628</v>
      </c>
      <c r="B177" s="1" t="s">
        <v>521</v>
      </c>
      <c r="C177" s="1" t="s">
        <v>506</v>
      </c>
      <c r="D177" s="1" t="n">
        <v>260</v>
      </c>
      <c r="E177" s="1" t="n">
        <v>16.38</v>
      </c>
      <c r="F177" s="1" t="n">
        <f aca="false">29/9</f>
        <v>3.22222222222222</v>
      </c>
    </row>
    <row collapsed="false" customFormat="false" customHeight="false" hidden="false" ht="14.75" outlineLevel="0" r="178">
      <c r="A178" s="1" t="s">
        <v>629</v>
      </c>
      <c r="B178" s="1" t="s">
        <v>521</v>
      </c>
      <c r="C178" s="1" t="s">
        <v>506</v>
      </c>
      <c r="D178" s="1" t="n">
        <v>180.6</v>
      </c>
      <c r="E178" s="1" t="n">
        <v>13.9</v>
      </c>
      <c r="F178" s="1" t="n">
        <f aca="false">21/9</f>
        <v>2.33333333333333</v>
      </c>
    </row>
    <row collapsed="false" customFormat="false" customHeight="false" hidden="false" ht="14.75" outlineLevel="0" r="179">
      <c r="A179" s="1" t="s">
        <v>190</v>
      </c>
      <c r="B179" s="1" t="s">
        <v>516</v>
      </c>
      <c r="C179" s="1" t="s">
        <v>506</v>
      </c>
      <c r="D179" s="1" t="n">
        <v>265.9</v>
      </c>
      <c r="E179" s="1" t="n">
        <v>18.07</v>
      </c>
      <c r="F179" s="1" t="n">
        <f aca="false">35/11</f>
        <v>3.18181818181818</v>
      </c>
    </row>
    <row collapsed="false" customFormat="false" customHeight="false" hidden="false" ht="14.75" outlineLevel="0" r="180">
      <c r="A180" s="1" t="s">
        <v>191</v>
      </c>
      <c r="B180" s="1" t="s">
        <v>516</v>
      </c>
      <c r="C180" s="1" t="s">
        <v>506</v>
      </c>
      <c r="D180" s="1" t="n">
        <v>228.6</v>
      </c>
      <c r="E180" s="1" t="n">
        <v>13.23</v>
      </c>
      <c r="F180" s="1" t="n">
        <f aca="false">25/11</f>
        <v>2.27272727272727</v>
      </c>
    </row>
    <row collapsed="false" customFormat="false" customHeight="false" hidden="false" ht="14.75" outlineLevel="0" r="181">
      <c r="A181" s="1" t="s">
        <v>630</v>
      </c>
      <c r="B181" s="1" t="s">
        <v>516</v>
      </c>
      <c r="C181" s="1" t="s">
        <v>506</v>
      </c>
      <c r="D181" s="1" t="n">
        <v>290</v>
      </c>
      <c r="E181" s="1" t="n">
        <v>18.12</v>
      </c>
      <c r="F181" s="1" t="n">
        <f aca="false">38/11</f>
        <v>3.45454545454545</v>
      </c>
    </row>
    <row collapsed="false" customFormat="false" customHeight="false" hidden="false" ht="14.75" outlineLevel="0" r="182">
      <c r="A182" s="1" t="s">
        <v>631</v>
      </c>
      <c r="B182" s="1" t="s">
        <v>516</v>
      </c>
      <c r="C182" s="1" t="s">
        <v>506</v>
      </c>
      <c r="D182" s="1" t="n">
        <v>95</v>
      </c>
      <c r="E182" s="1" t="n">
        <v>6.74</v>
      </c>
      <c r="F182" s="1" t="n">
        <f aca="false">7/11</f>
        <v>0.636363636363636</v>
      </c>
    </row>
    <row collapsed="false" customFormat="false" customHeight="false" hidden="false" ht="14.75" outlineLevel="0" r="183">
      <c r="A183" s="1" t="s">
        <v>424</v>
      </c>
      <c r="B183" s="1" t="s">
        <v>508</v>
      </c>
      <c r="C183" s="1" t="s">
        <v>506</v>
      </c>
      <c r="D183" s="1" t="n">
        <v>227</v>
      </c>
      <c r="E183" s="1" t="n">
        <v>18.88</v>
      </c>
      <c r="F183" s="1" t="n">
        <f aca="false">14/5</f>
        <v>2.8</v>
      </c>
    </row>
    <row collapsed="false" customFormat="false" customHeight="false" hidden="false" ht="14.75" outlineLevel="0" r="184">
      <c r="A184" s="1" t="s">
        <v>632</v>
      </c>
      <c r="B184" s="1" t="s">
        <v>508</v>
      </c>
      <c r="C184" s="1" t="s">
        <v>506</v>
      </c>
      <c r="D184" s="1" t="n">
        <v>158</v>
      </c>
      <c r="E184" s="1" t="n">
        <v>13.28</v>
      </c>
      <c r="F184" s="1" t="n">
        <v>3</v>
      </c>
    </row>
    <row collapsed="false" customFormat="false" customHeight="false" hidden="false" ht="14.75" outlineLevel="0" r="185">
      <c r="A185" s="1" t="s">
        <v>633</v>
      </c>
      <c r="B185" s="1" t="s">
        <v>529</v>
      </c>
      <c r="C185" s="1" t="s">
        <v>506</v>
      </c>
      <c r="D185" s="1" t="n">
        <v>77</v>
      </c>
      <c r="E185" s="1" t="n">
        <v>4.5</v>
      </c>
      <c r="F185" s="1" t="n">
        <v>0.4</v>
      </c>
    </row>
    <row collapsed="false" customFormat="false" customHeight="false" hidden="false" ht="14.75" outlineLevel="0" r="186">
      <c r="A186" s="1" t="s">
        <v>634</v>
      </c>
      <c r="B186" s="1" t="s">
        <v>508</v>
      </c>
      <c r="C186" s="1" t="s">
        <v>506</v>
      </c>
      <c r="D186" s="1" t="n">
        <v>322</v>
      </c>
      <c r="E186" s="1" t="n">
        <v>18.64</v>
      </c>
      <c r="F186" s="1" t="n">
        <f aca="false">23/5</f>
        <v>4.6</v>
      </c>
    </row>
    <row collapsed="false" customFormat="false" customHeight="false" hidden="false" ht="14.75" outlineLevel="0" r="187">
      <c r="A187" s="1" t="s">
        <v>230</v>
      </c>
      <c r="B187" s="1" t="s">
        <v>505</v>
      </c>
      <c r="C187" s="1" t="s">
        <v>506</v>
      </c>
      <c r="D187" s="1" t="n">
        <v>198.866666666667</v>
      </c>
      <c r="E187" s="1" t="n">
        <v>13.2786885245902</v>
      </c>
      <c r="F187" s="1" t="n">
        <v>1.55555555555556</v>
      </c>
    </row>
    <row collapsed="false" customFormat="false" customHeight="false" hidden="false" ht="14.75" outlineLevel="0" r="188">
      <c r="A188" s="1" t="s">
        <v>231</v>
      </c>
      <c r="B188" s="1" t="s">
        <v>505</v>
      </c>
      <c r="C188" s="1" t="s">
        <v>506</v>
      </c>
      <c r="D188" s="1" t="n">
        <v>134.1</v>
      </c>
      <c r="E188" s="1" t="n">
        <v>11.8421052631579</v>
      </c>
      <c r="F188" s="1" t="n">
        <v>0.666666666666667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blackAndWhite="false" cellComments="none" copies="1" draft="false" firstPageNumber="0" fitToHeight="1" fitToWidth="1" horizontalDpi="300" orientation="portrait" pageOrder="downThenOver" paperSize="1" scale="100" useFirstPageNumber="false" usePrinterDefaults="false" verticalDpi="300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78"/>
  <sheetViews>
    <sheetView colorId="64" defaultGridColor="true" rightToLeft="false" showFormulas="false" showGridLines="true" showOutlineSymbols="true" showRowColHeaders="true" showZeros="true" tabSelected="false" topLeftCell="A37" view="normal" windowProtection="false" workbookViewId="0" zoomScale="85" zoomScaleNormal="85" zoomScalePageLayoutView="100">
      <selection activeCell="A55" activeCellId="0" pane="topLeft" sqref="A55"/>
    </sheetView>
  </sheetViews>
  <cols>
    <col collapsed="false" hidden="false" max="1025" min="1" style="0" width="8.5921568627451"/>
  </cols>
  <sheetData>
    <row collapsed="false" customFormat="false" customHeight="false" hidden="false" ht="14.75" outlineLevel="0"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collapsed="false" customFormat="false" customHeight="false" hidden="false" ht="14.75" outlineLevel="0" r="2">
      <c r="A2" s="1" t="s">
        <v>50</v>
      </c>
      <c r="B2" s="1" t="s">
        <v>635</v>
      </c>
      <c r="C2" s="1" t="s">
        <v>636</v>
      </c>
      <c r="D2" s="1" t="n">
        <v>511</v>
      </c>
      <c r="E2" s="1" t="n">
        <v>22.46</v>
      </c>
      <c r="F2" s="1" t="n">
        <v>7</v>
      </c>
    </row>
    <row collapsed="false" customFormat="false" customHeight="false" hidden="false" ht="14.75" outlineLevel="0" r="3">
      <c r="A3" s="1" t="s">
        <v>637</v>
      </c>
      <c r="B3" s="1" t="s">
        <v>635</v>
      </c>
      <c r="C3" s="1" t="s">
        <v>636</v>
      </c>
      <c r="D3" s="1" t="n">
        <v>81</v>
      </c>
      <c r="E3" s="1" t="n">
        <v>8.24</v>
      </c>
      <c r="F3" s="1" t="n">
        <f aca="false">3/5</f>
        <v>0.6</v>
      </c>
    </row>
    <row collapsed="false" customFormat="false" customHeight="false" hidden="false" ht="14.75" outlineLevel="0" r="4">
      <c r="A4" s="1" t="s">
        <v>638</v>
      </c>
      <c r="B4" s="1" t="s">
        <v>635</v>
      </c>
      <c r="C4" s="1" t="s">
        <v>636</v>
      </c>
      <c r="D4" s="1" t="n">
        <v>617</v>
      </c>
      <c r="E4" s="1" t="n">
        <v>23.64</v>
      </c>
      <c r="F4" s="1" t="n">
        <f aca="false">45/5</f>
        <v>9</v>
      </c>
    </row>
    <row collapsed="false" customFormat="false" customHeight="false" hidden="false" ht="14.75" outlineLevel="0" r="5">
      <c r="A5" s="1" t="s">
        <v>304</v>
      </c>
      <c r="B5" s="1" t="s">
        <v>639</v>
      </c>
      <c r="C5" s="1" t="s">
        <v>636</v>
      </c>
      <c r="D5" s="1" t="n">
        <v>200.5</v>
      </c>
      <c r="E5" s="1" t="n">
        <v>12.12</v>
      </c>
      <c r="F5" s="1" t="n">
        <v>1.90909090909091</v>
      </c>
    </row>
    <row collapsed="false" customFormat="false" customHeight="false" hidden="false" ht="14.75" outlineLevel="0" r="6">
      <c r="A6" s="1" t="s">
        <v>38</v>
      </c>
      <c r="B6" s="1" t="s">
        <v>635</v>
      </c>
      <c r="C6" s="1" t="s">
        <v>636</v>
      </c>
      <c r="D6" s="1" t="n">
        <v>177</v>
      </c>
      <c r="E6" s="1" t="n">
        <v>14</v>
      </c>
      <c r="F6" s="1" t="n">
        <f aca="false">7/5</f>
        <v>1.4</v>
      </c>
    </row>
    <row collapsed="false" customFormat="false" customHeight="false" hidden="false" ht="14.75" outlineLevel="0" r="7">
      <c r="A7" s="1" t="s">
        <v>640</v>
      </c>
      <c r="B7" s="1" t="s">
        <v>635</v>
      </c>
      <c r="C7" s="1" t="s">
        <v>636</v>
      </c>
      <c r="D7" s="1" t="n">
        <v>138</v>
      </c>
      <c r="E7" s="1" t="n">
        <v>13.18</v>
      </c>
      <c r="F7" s="1" t="n">
        <f aca="false">8/5</f>
        <v>1.6</v>
      </c>
    </row>
    <row collapsed="false" customFormat="false" customHeight="false" hidden="false" ht="14.75" outlineLevel="0" r="8">
      <c r="A8" s="1" t="s">
        <v>107</v>
      </c>
      <c r="B8" s="1" t="s">
        <v>639</v>
      </c>
      <c r="C8" s="1" t="s">
        <v>636</v>
      </c>
      <c r="D8" s="1" t="n">
        <v>482.5</v>
      </c>
      <c r="E8" s="1" t="n">
        <v>23.13</v>
      </c>
      <c r="F8" s="1" t="n">
        <v>7.66666666666667</v>
      </c>
    </row>
    <row collapsed="false" customFormat="false" customHeight="false" hidden="false" ht="14.75" outlineLevel="0" r="9">
      <c r="A9" s="1" t="s">
        <v>61</v>
      </c>
      <c r="B9" s="1" t="s">
        <v>635</v>
      </c>
      <c r="C9" s="1" t="s">
        <v>636</v>
      </c>
      <c r="D9" s="1" t="n">
        <v>261</v>
      </c>
      <c r="E9" s="1" t="n">
        <v>14.77</v>
      </c>
      <c r="F9" s="1" t="n">
        <f aca="false">19/5</f>
        <v>3.8</v>
      </c>
    </row>
    <row collapsed="false" customFormat="false" customHeight="false" hidden="false" ht="14.75" outlineLevel="0" r="10">
      <c r="A10" s="1" t="s">
        <v>641</v>
      </c>
      <c r="B10" s="1" t="s">
        <v>635</v>
      </c>
      <c r="C10" s="1" t="s">
        <v>636</v>
      </c>
      <c r="D10" s="1" t="n">
        <v>293</v>
      </c>
      <c r="E10" s="1" t="n">
        <v>16.46</v>
      </c>
      <c r="F10" s="1" t="n">
        <f aca="false">15/5</f>
        <v>3</v>
      </c>
    </row>
    <row collapsed="false" customFormat="false" customHeight="false" hidden="false" ht="14.75" outlineLevel="0" r="11">
      <c r="A11" s="1" t="s">
        <v>642</v>
      </c>
      <c r="B11" s="1" t="s">
        <v>635</v>
      </c>
      <c r="C11" s="1" t="s">
        <v>636</v>
      </c>
      <c r="D11" s="1" t="n">
        <v>184</v>
      </c>
      <c r="E11" s="1" t="n">
        <v>13.33</v>
      </c>
      <c r="F11" s="1" t="n">
        <f aca="false">12/5</f>
        <v>2.4</v>
      </c>
    </row>
    <row collapsed="false" customFormat="false" customHeight="false" hidden="false" ht="14.75" outlineLevel="0" r="12">
      <c r="A12" s="1" t="s">
        <v>643</v>
      </c>
      <c r="B12" s="1" t="s">
        <v>635</v>
      </c>
      <c r="C12" s="1" t="s">
        <v>636</v>
      </c>
      <c r="D12" s="1" t="n">
        <v>402</v>
      </c>
      <c r="E12" s="1" t="n">
        <v>17.87</v>
      </c>
      <c r="F12" s="1" t="n">
        <f aca="false">24/5</f>
        <v>4.8</v>
      </c>
    </row>
    <row collapsed="false" customFormat="false" customHeight="false" hidden="false" ht="14.75" outlineLevel="0" r="13">
      <c r="A13" s="1" t="s">
        <v>644</v>
      </c>
      <c r="B13" s="1" t="s">
        <v>639</v>
      </c>
      <c r="C13" s="1" t="s">
        <v>636</v>
      </c>
      <c r="D13" s="1" t="n">
        <v>186.4</v>
      </c>
      <c r="E13" s="1" t="n">
        <v>14.35</v>
      </c>
      <c r="F13" s="1" t="n">
        <v>1.63636363636364</v>
      </c>
    </row>
    <row collapsed="false" customFormat="false" customHeight="false" hidden="false" ht="14.75" outlineLevel="0" r="14">
      <c r="A14" s="1" t="s">
        <v>645</v>
      </c>
      <c r="B14" s="1" t="s">
        <v>639</v>
      </c>
      <c r="C14" s="1" t="s">
        <v>636</v>
      </c>
      <c r="D14" s="1" t="n">
        <v>57.7</v>
      </c>
      <c r="E14" s="1" t="n">
        <v>9.43</v>
      </c>
      <c r="F14" s="1" t="n">
        <v>0.272727272727273</v>
      </c>
    </row>
    <row collapsed="false" customFormat="false" customHeight="false" hidden="false" ht="14.75" outlineLevel="0" r="15">
      <c r="A15" s="1" t="s">
        <v>67</v>
      </c>
      <c r="B15" s="1" t="s">
        <v>635</v>
      </c>
      <c r="C15" s="1" t="s">
        <v>636</v>
      </c>
      <c r="D15" s="1" t="n">
        <v>206</v>
      </c>
      <c r="E15" s="1" t="n">
        <v>12.68</v>
      </c>
      <c r="F15" s="1" t="n">
        <f aca="false">10/5</f>
        <v>2</v>
      </c>
    </row>
    <row collapsed="false" customFormat="false" customHeight="false" hidden="false" ht="14.75" outlineLevel="0" r="16">
      <c r="A16" s="1" t="s">
        <v>646</v>
      </c>
      <c r="B16" s="1" t="s">
        <v>639</v>
      </c>
      <c r="C16" s="1" t="s">
        <v>636</v>
      </c>
      <c r="D16" s="1" t="n">
        <v>140</v>
      </c>
      <c r="E16" s="1" t="n">
        <v>10</v>
      </c>
      <c r="F16" s="1" t="n">
        <v>1.27272727272727</v>
      </c>
    </row>
    <row collapsed="false" customFormat="false" customHeight="false" hidden="false" ht="14.75" outlineLevel="0" r="17">
      <c r="A17" s="1" t="s">
        <v>142</v>
      </c>
      <c r="B17" s="1" t="s">
        <v>639</v>
      </c>
      <c r="C17" s="1" t="s">
        <v>636</v>
      </c>
      <c r="D17" s="1" t="n">
        <v>122.7</v>
      </c>
      <c r="E17" s="1" t="n">
        <v>8.92</v>
      </c>
      <c r="F17" s="1" t="n">
        <v>0.727272727272727</v>
      </c>
    </row>
    <row collapsed="false" customFormat="false" customHeight="false" hidden="false" ht="14.75" outlineLevel="0" r="18">
      <c r="A18" s="1" t="s">
        <v>647</v>
      </c>
      <c r="B18" s="1" t="s">
        <v>648</v>
      </c>
      <c r="C18" s="1" t="s">
        <v>636</v>
      </c>
      <c r="D18" s="1" t="n">
        <v>72.8</v>
      </c>
      <c r="E18" s="1" t="n">
        <v>7</v>
      </c>
      <c r="F18" s="1" t="n">
        <f aca="false">4/9</f>
        <v>0.444444444444444</v>
      </c>
    </row>
    <row collapsed="false" customFormat="false" customHeight="false" hidden="false" ht="14.75" outlineLevel="0" r="19">
      <c r="A19" s="1" t="s">
        <v>649</v>
      </c>
      <c r="B19" s="1" t="s">
        <v>648</v>
      </c>
      <c r="C19" s="1" t="s">
        <v>636</v>
      </c>
      <c r="D19" s="1" t="n">
        <v>236.1</v>
      </c>
      <c r="E19" s="1" t="n">
        <v>15.24</v>
      </c>
      <c r="F19" s="1" t="n">
        <v>2</v>
      </c>
    </row>
    <row collapsed="false" customFormat="false" customHeight="false" hidden="false" ht="14.75" outlineLevel="0" r="20">
      <c r="A20" s="1" t="s">
        <v>650</v>
      </c>
      <c r="B20" s="1" t="s">
        <v>648</v>
      </c>
      <c r="C20" s="1" t="s">
        <v>636</v>
      </c>
      <c r="D20" s="1" t="n">
        <v>386.8</v>
      </c>
      <c r="E20" s="1" t="n">
        <v>17.17</v>
      </c>
      <c r="F20" s="1" t="n">
        <f aca="false">40/11</f>
        <v>3.63636363636364</v>
      </c>
    </row>
    <row collapsed="false" customFormat="false" customHeight="false" hidden="false" ht="14.75" outlineLevel="0" r="21">
      <c r="A21" s="1" t="s">
        <v>651</v>
      </c>
      <c r="B21" s="1" t="s">
        <v>648</v>
      </c>
      <c r="C21" s="1" t="s">
        <v>636</v>
      </c>
      <c r="D21" s="1" t="n">
        <v>166.2</v>
      </c>
      <c r="E21" s="1" t="n">
        <v>12.71</v>
      </c>
      <c r="F21" s="1" t="n">
        <f aca="false">14/8</f>
        <v>1.75</v>
      </c>
    </row>
    <row collapsed="false" customFormat="false" customHeight="false" hidden="false" ht="14.75" outlineLevel="0" r="22">
      <c r="A22" s="1" t="s">
        <v>652</v>
      </c>
      <c r="B22" s="1" t="s">
        <v>648</v>
      </c>
      <c r="C22" s="1" t="s">
        <v>636</v>
      </c>
      <c r="D22" s="1" t="n">
        <v>68.8</v>
      </c>
      <c r="E22" s="1" t="n">
        <v>6.76</v>
      </c>
      <c r="F22" s="1" t="n">
        <f aca="false">3/8</f>
        <v>0.375</v>
      </c>
    </row>
    <row collapsed="false" customFormat="false" customHeight="false" hidden="false" ht="14.75" outlineLevel="0" r="23">
      <c r="A23" s="1" t="s">
        <v>653</v>
      </c>
      <c r="B23" s="1" t="s">
        <v>648</v>
      </c>
      <c r="C23" s="1" t="s">
        <v>636</v>
      </c>
      <c r="D23" s="1" t="n">
        <v>25</v>
      </c>
      <c r="E23" s="1" t="n">
        <v>4.12</v>
      </c>
      <c r="F23" s="1" t="n">
        <f aca="false">3/9</f>
        <v>0.333333333333333</v>
      </c>
    </row>
    <row collapsed="false" customFormat="false" customHeight="false" hidden="false" ht="14.75" outlineLevel="0" r="24">
      <c r="A24" s="1" t="s">
        <v>151</v>
      </c>
      <c r="B24" s="1" t="s">
        <v>639</v>
      </c>
      <c r="C24" s="1" t="s">
        <v>636</v>
      </c>
      <c r="D24" s="1" t="n">
        <v>407.7</v>
      </c>
      <c r="E24" s="1" t="n">
        <v>21.8</v>
      </c>
      <c r="F24" s="1" t="n">
        <v>6.63636363636364</v>
      </c>
    </row>
    <row collapsed="false" customFormat="false" customHeight="false" hidden="false" ht="14.75" outlineLevel="0" r="25">
      <c r="A25" s="1" t="s">
        <v>152</v>
      </c>
      <c r="B25" s="1" t="s">
        <v>639</v>
      </c>
      <c r="C25" s="1" t="s">
        <v>636</v>
      </c>
      <c r="D25" s="1" t="n">
        <v>379.1</v>
      </c>
      <c r="E25" s="1" t="n">
        <v>19.47</v>
      </c>
      <c r="F25" s="1" t="n">
        <v>6</v>
      </c>
    </row>
    <row collapsed="false" customFormat="false" customHeight="false" hidden="false" ht="14.75" outlineLevel="0" r="26">
      <c r="A26" s="1" t="s">
        <v>654</v>
      </c>
      <c r="B26" s="1" t="s">
        <v>639</v>
      </c>
      <c r="C26" s="1" t="s">
        <v>636</v>
      </c>
      <c r="D26" s="1" t="n">
        <v>229.5</v>
      </c>
      <c r="E26" s="1" t="n">
        <v>16</v>
      </c>
      <c r="F26" s="1" t="n">
        <v>1.45454545454545</v>
      </c>
    </row>
    <row collapsed="false" customFormat="false" customHeight="false" hidden="false" ht="14.75" outlineLevel="0" r="27">
      <c r="A27" s="1" t="s">
        <v>655</v>
      </c>
      <c r="B27" s="1" t="s">
        <v>635</v>
      </c>
      <c r="C27" s="1" t="s">
        <v>636</v>
      </c>
      <c r="D27" s="1" t="n">
        <v>133</v>
      </c>
      <c r="E27" s="1" t="n">
        <v>13.64</v>
      </c>
      <c r="F27" s="1" t="n">
        <f aca="false">7/5</f>
        <v>1.4</v>
      </c>
    </row>
    <row collapsed="false" customFormat="false" customHeight="false" hidden="false" ht="14.75" outlineLevel="0" r="28">
      <c r="A28" s="1" t="s">
        <v>656</v>
      </c>
      <c r="B28" s="1" t="s">
        <v>639</v>
      </c>
      <c r="C28" s="1" t="s">
        <v>636</v>
      </c>
      <c r="D28" s="1" t="n">
        <v>177.3</v>
      </c>
      <c r="E28" s="1" t="n">
        <v>13.95</v>
      </c>
      <c r="F28" s="1" t="n">
        <v>2.27272727272727</v>
      </c>
    </row>
    <row collapsed="false" customFormat="false" customHeight="false" hidden="false" ht="14.75" outlineLevel="0" r="29">
      <c r="A29" s="1" t="s">
        <v>657</v>
      </c>
      <c r="B29" s="1" t="s">
        <v>639</v>
      </c>
      <c r="C29" s="1" t="s">
        <v>636</v>
      </c>
      <c r="D29" s="1" t="n">
        <v>87.7</v>
      </c>
      <c r="E29" s="1" t="n">
        <v>8.8</v>
      </c>
      <c r="F29" s="1" t="n">
        <v>0.818181818181818</v>
      </c>
    </row>
    <row collapsed="false" customFormat="false" customHeight="false" hidden="false" ht="14.75" outlineLevel="0" r="30">
      <c r="A30" s="1" t="s">
        <v>658</v>
      </c>
      <c r="B30" s="1" t="s">
        <v>639</v>
      </c>
      <c r="C30" s="1" t="s">
        <v>636</v>
      </c>
      <c r="D30" s="1" t="n">
        <v>71.4</v>
      </c>
      <c r="E30" s="1" t="n">
        <v>7.07</v>
      </c>
      <c r="F30" s="1" t="n">
        <v>0.727272727272727</v>
      </c>
    </row>
    <row collapsed="false" customFormat="false" customHeight="false" hidden="false" ht="14.75" outlineLevel="0" r="31">
      <c r="A31" s="1" t="s">
        <v>478</v>
      </c>
      <c r="B31" s="1" t="s">
        <v>635</v>
      </c>
      <c r="C31" s="1" t="s">
        <v>636</v>
      </c>
      <c r="D31" s="1" t="n">
        <v>560</v>
      </c>
      <c r="E31" s="1" t="n">
        <v>23.75</v>
      </c>
      <c r="F31" s="1" t="n">
        <f aca="false">36/5</f>
        <v>7.2</v>
      </c>
    </row>
    <row collapsed="false" customFormat="false" customHeight="false" hidden="false" ht="14.75" outlineLevel="0" r="32">
      <c r="A32" s="1" t="s">
        <v>659</v>
      </c>
      <c r="B32" s="1" t="s">
        <v>635</v>
      </c>
      <c r="C32" s="1" t="s">
        <v>636</v>
      </c>
      <c r="D32" s="1" t="n">
        <v>309</v>
      </c>
      <c r="E32" s="1" t="n">
        <v>15.47</v>
      </c>
      <c r="F32" s="1" t="n">
        <f aca="false">21/5</f>
        <v>4.2</v>
      </c>
    </row>
    <row collapsed="false" customFormat="false" customHeight="false" hidden="false" ht="14.75" outlineLevel="0" r="33">
      <c r="A33" s="1" t="s">
        <v>660</v>
      </c>
      <c r="B33" s="1" t="s">
        <v>648</v>
      </c>
      <c r="C33" s="1" t="s">
        <v>636</v>
      </c>
      <c r="D33" s="1" t="n">
        <v>163.3</v>
      </c>
      <c r="E33" s="1" t="n">
        <v>10.41</v>
      </c>
      <c r="F33" s="1" t="n">
        <f aca="false">8/9</f>
        <v>0.888888888888889</v>
      </c>
    </row>
    <row collapsed="false" customFormat="false" customHeight="false" hidden="false" ht="14.75" outlineLevel="0" r="34">
      <c r="A34" s="1" t="s">
        <v>661</v>
      </c>
      <c r="B34" s="1" t="s">
        <v>648</v>
      </c>
      <c r="C34" s="1" t="s">
        <v>636</v>
      </c>
      <c r="D34" s="1" t="n">
        <v>77.5</v>
      </c>
      <c r="E34" s="1" t="n">
        <v>7.84</v>
      </c>
      <c r="F34" s="1" t="n">
        <v>0</v>
      </c>
    </row>
    <row collapsed="false" customFormat="false" customHeight="false" hidden="false" ht="14.75" outlineLevel="0" r="35">
      <c r="A35" s="1" t="s">
        <v>662</v>
      </c>
      <c r="B35" s="1" t="s">
        <v>648</v>
      </c>
      <c r="C35" s="1" t="s">
        <v>636</v>
      </c>
      <c r="D35" s="1" t="n">
        <v>211.9</v>
      </c>
      <c r="E35" s="1" t="n">
        <v>12.43</v>
      </c>
      <c r="F35" s="1" t="n">
        <f aca="false">19/9</f>
        <v>2.11111111111111</v>
      </c>
    </row>
    <row collapsed="false" customFormat="false" customHeight="false" hidden="false" ht="14.75" outlineLevel="0" r="36">
      <c r="A36" s="1" t="s">
        <v>663</v>
      </c>
      <c r="B36" s="1" t="s">
        <v>648</v>
      </c>
      <c r="C36" s="1" t="s">
        <v>636</v>
      </c>
      <c r="D36" s="1" t="n">
        <v>132.5</v>
      </c>
      <c r="E36" s="1" t="n">
        <v>11</v>
      </c>
      <c r="F36" s="1" t="n">
        <f aca="false">7/8</f>
        <v>0.875</v>
      </c>
    </row>
    <row collapsed="false" customFormat="false" customHeight="false" hidden="false" ht="14.75" outlineLevel="0" r="37">
      <c r="A37" s="1" t="s">
        <v>664</v>
      </c>
      <c r="B37" s="1" t="s">
        <v>648</v>
      </c>
      <c r="C37" s="1" t="s">
        <v>636</v>
      </c>
      <c r="D37" s="1" t="n">
        <v>195.6</v>
      </c>
      <c r="E37" s="1" t="n">
        <v>12.69</v>
      </c>
      <c r="F37" s="1" t="n">
        <v>2</v>
      </c>
    </row>
    <row collapsed="false" customFormat="false" customHeight="false" hidden="false" ht="14.75" outlineLevel="0" r="38">
      <c r="A38" s="1" t="s">
        <v>665</v>
      </c>
      <c r="B38" s="1" t="s">
        <v>635</v>
      </c>
      <c r="C38" s="1" t="s">
        <v>636</v>
      </c>
      <c r="D38" s="1" t="n">
        <v>152</v>
      </c>
      <c r="E38" s="1" t="n">
        <v>8.86</v>
      </c>
      <c r="F38" s="1" t="n">
        <f aca="false">8/5</f>
        <v>1.6</v>
      </c>
    </row>
    <row collapsed="false" customFormat="false" customHeight="false" hidden="false" ht="14.75" outlineLevel="0" r="39">
      <c r="A39" s="1" t="s">
        <v>666</v>
      </c>
      <c r="B39" s="1" t="s">
        <v>639</v>
      </c>
      <c r="C39" s="1" t="s">
        <v>636</v>
      </c>
      <c r="D39" s="1" t="n">
        <v>151.4</v>
      </c>
      <c r="E39" s="1" t="n">
        <v>13.96</v>
      </c>
      <c r="F39" s="1" t="n">
        <v>1.54545454545455</v>
      </c>
    </row>
    <row collapsed="false" customFormat="false" customHeight="false" hidden="false" ht="14.75" outlineLevel="0" r="40">
      <c r="A40" s="1" t="s">
        <v>667</v>
      </c>
      <c r="B40" s="1" t="s">
        <v>639</v>
      </c>
      <c r="C40" s="1" t="s">
        <v>636</v>
      </c>
      <c r="D40" s="1" t="n">
        <v>426.4</v>
      </c>
      <c r="E40" s="1" t="n">
        <v>22.98</v>
      </c>
      <c r="F40" s="1" t="n">
        <v>6.54545454545455</v>
      </c>
    </row>
    <row collapsed="false" customFormat="false" customHeight="false" hidden="false" ht="14.75" outlineLevel="0" r="41">
      <c r="A41" s="1" t="s">
        <v>668</v>
      </c>
      <c r="B41" s="1" t="s">
        <v>635</v>
      </c>
      <c r="C41" s="1" t="s">
        <v>636</v>
      </c>
      <c r="D41" s="1" t="n">
        <v>294</v>
      </c>
      <c r="E41" s="1" t="n">
        <v>16.82</v>
      </c>
      <c r="F41" s="1" t="n">
        <f aca="false">6/5</f>
        <v>1.2</v>
      </c>
    </row>
    <row collapsed="false" customFormat="false" customHeight="false" hidden="false" ht="14.75" outlineLevel="0" r="42">
      <c r="A42" s="1" t="s">
        <v>174</v>
      </c>
      <c r="B42" s="1" t="s">
        <v>648</v>
      </c>
      <c r="C42" s="1" t="s">
        <v>636</v>
      </c>
      <c r="D42" s="1" t="n">
        <v>454.5</v>
      </c>
      <c r="E42" s="1" t="n">
        <v>20.34</v>
      </c>
      <c r="F42" s="1" t="n">
        <v>6</v>
      </c>
    </row>
    <row collapsed="false" customFormat="false" customHeight="false" hidden="false" ht="14.75" outlineLevel="0" r="43">
      <c r="A43" s="1" t="s">
        <v>28</v>
      </c>
      <c r="B43" s="1" t="s">
        <v>639</v>
      </c>
      <c r="C43" s="1" t="s">
        <v>636</v>
      </c>
      <c r="D43" s="1" t="n">
        <v>580.4</v>
      </c>
      <c r="E43" s="1" t="n">
        <v>25.35</v>
      </c>
      <c r="F43" s="1" t="n">
        <v>9.75</v>
      </c>
    </row>
    <row collapsed="false" customFormat="false" customHeight="false" hidden="false" ht="14.75" outlineLevel="0" r="44">
      <c r="A44" s="1" t="s">
        <v>669</v>
      </c>
      <c r="B44" s="1" t="s">
        <v>648</v>
      </c>
      <c r="C44" s="1" t="s">
        <v>636</v>
      </c>
      <c r="D44" s="1" t="n">
        <v>145.6</v>
      </c>
      <c r="E44" s="1" t="n">
        <v>10.7</v>
      </c>
      <c r="F44" s="1" t="n">
        <f aca="false">9/8</f>
        <v>1.125</v>
      </c>
    </row>
    <row collapsed="false" customFormat="false" customHeight="false" hidden="false" ht="14.75" outlineLevel="0" r="45">
      <c r="A45" s="1" t="s">
        <v>670</v>
      </c>
      <c r="B45" s="1" t="s">
        <v>648</v>
      </c>
      <c r="C45" s="1" t="s">
        <v>636</v>
      </c>
      <c r="D45" s="1" t="n">
        <v>95</v>
      </c>
      <c r="E45" s="1" t="n">
        <v>8.68</v>
      </c>
      <c r="F45" s="1" t="n">
        <f aca="false">2/9</f>
        <v>0.222222222222222</v>
      </c>
    </row>
    <row collapsed="false" customFormat="false" customHeight="false" hidden="false" ht="14.75" outlineLevel="0" r="46">
      <c r="A46" s="1" t="s">
        <v>671</v>
      </c>
      <c r="B46" s="1" t="s">
        <v>648</v>
      </c>
      <c r="C46" s="1" t="s">
        <v>636</v>
      </c>
      <c r="D46" s="1" t="n">
        <v>206</v>
      </c>
      <c r="E46" s="1" t="n">
        <v>13.49</v>
      </c>
      <c r="F46" s="1" t="n">
        <f aca="false">25/11</f>
        <v>2.27272727272727</v>
      </c>
    </row>
    <row collapsed="false" customFormat="false" customHeight="false" hidden="false" ht="14.75" outlineLevel="0" r="47">
      <c r="A47" s="1" t="s">
        <v>83</v>
      </c>
      <c r="B47" s="1" t="s">
        <v>635</v>
      </c>
      <c r="C47" s="1" t="s">
        <v>636</v>
      </c>
      <c r="D47" s="1" t="n">
        <v>23</v>
      </c>
      <c r="E47" s="1" t="n">
        <v>2.86</v>
      </c>
      <c r="F47" s="1" t="n">
        <f aca="false">1/5</f>
        <v>0.2</v>
      </c>
    </row>
    <row collapsed="false" customFormat="false" customHeight="false" hidden="false" ht="14.75" outlineLevel="0" r="48">
      <c r="A48" s="1" t="s">
        <v>499</v>
      </c>
      <c r="B48" s="1" t="s">
        <v>648</v>
      </c>
      <c r="C48" s="1" t="s">
        <v>636</v>
      </c>
      <c r="D48" s="1" t="n">
        <v>214</v>
      </c>
      <c r="E48" s="1" t="n">
        <v>14</v>
      </c>
      <c r="F48" s="1" t="n">
        <v>2.1</v>
      </c>
    </row>
    <row collapsed="false" customFormat="false" customHeight="false" hidden="false" ht="14.75" outlineLevel="0" r="49">
      <c r="A49" s="1" t="s">
        <v>672</v>
      </c>
      <c r="B49" s="1" t="s">
        <v>639</v>
      </c>
      <c r="C49" s="1" t="s">
        <v>636</v>
      </c>
      <c r="D49" s="1" t="n">
        <v>129.5</v>
      </c>
      <c r="E49" s="1" t="n">
        <v>11.32</v>
      </c>
      <c r="F49" s="1" t="n">
        <v>1.81818181818182</v>
      </c>
    </row>
    <row collapsed="false" customFormat="false" customHeight="false" hidden="false" ht="14.75" outlineLevel="0" r="50">
      <c r="A50" s="1" t="s">
        <v>673</v>
      </c>
      <c r="B50" s="1" t="s">
        <v>635</v>
      </c>
      <c r="C50" s="1" t="s">
        <v>636</v>
      </c>
      <c r="D50" s="1" t="n">
        <v>261</v>
      </c>
      <c r="E50" s="1" t="n">
        <v>15.26</v>
      </c>
      <c r="F50" s="1" t="n">
        <f aca="false">9/5</f>
        <v>1.8</v>
      </c>
    </row>
    <row collapsed="false" customFormat="false" customHeight="false" hidden="false" ht="14.75" outlineLevel="0" r="51">
      <c r="A51" s="1" t="s">
        <v>674</v>
      </c>
      <c r="B51" s="1" t="s">
        <v>648</v>
      </c>
      <c r="C51" s="1" t="s">
        <v>636</v>
      </c>
      <c r="D51" s="1" t="n">
        <v>195</v>
      </c>
      <c r="E51" s="1" t="n">
        <v>12.56</v>
      </c>
      <c r="F51" s="1" t="n">
        <f aca="false">11/9</f>
        <v>1.22222222222222</v>
      </c>
    </row>
    <row collapsed="false" customFormat="false" customHeight="false" hidden="false" ht="14.75" outlineLevel="0" r="52">
      <c r="A52" s="1" t="s">
        <v>675</v>
      </c>
      <c r="B52" s="1" t="s">
        <v>648</v>
      </c>
      <c r="C52" s="1" t="s">
        <v>636</v>
      </c>
      <c r="D52" s="1" t="n">
        <v>56.9</v>
      </c>
      <c r="E52" s="1" t="n">
        <v>5.67</v>
      </c>
      <c r="F52" s="1" t="n">
        <f aca="false">2/8</f>
        <v>0.25</v>
      </c>
    </row>
    <row collapsed="false" customFormat="false" customHeight="false" hidden="false" ht="14.75" outlineLevel="0" r="53">
      <c r="A53" s="1" t="s">
        <v>676</v>
      </c>
      <c r="B53" s="1" t="s">
        <v>648</v>
      </c>
      <c r="C53" s="1" t="s">
        <v>636</v>
      </c>
      <c r="D53" s="1" t="n">
        <v>65</v>
      </c>
      <c r="E53" s="1" t="n">
        <v>6</v>
      </c>
      <c r="F53" s="1" t="n">
        <f aca="false">3/9</f>
        <v>0.333333333333333</v>
      </c>
    </row>
    <row collapsed="false" customFormat="false" customHeight="false" hidden="false" ht="14.75" outlineLevel="0" r="54">
      <c r="A54" s="1" t="s">
        <v>677</v>
      </c>
      <c r="B54" s="1" t="s">
        <v>635</v>
      </c>
      <c r="C54" s="1" t="s">
        <v>636</v>
      </c>
      <c r="D54" s="1" t="n">
        <v>291</v>
      </c>
      <c r="E54" s="1" t="n">
        <v>15.92</v>
      </c>
      <c r="F54" s="1" t="n">
        <f aca="false">13/5</f>
        <v>2.6</v>
      </c>
    </row>
    <row collapsed="false" customFormat="false" customHeight="false" hidden="false" ht="14.75" outlineLevel="0" r="55">
      <c r="A55" s="1" t="s">
        <v>340</v>
      </c>
      <c r="B55" s="1" t="s">
        <v>2032</v>
      </c>
      <c r="C55" s="1" t="s">
        <v>636</v>
      </c>
      <c r="D55" s="1" t="n">
        <v>295</v>
      </c>
      <c r="E55" s="1" t="n">
        <v>15.42</v>
      </c>
      <c r="F55" s="1" t="n">
        <f aca="false">37/12</f>
        <v>3.08333333333333</v>
      </c>
    </row>
    <row collapsed="false" customFormat="false" customHeight="false" hidden="false" ht="14.75" outlineLevel="0" r="56">
      <c r="A56" s="1" t="s">
        <v>2033</v>
      </c>
      <c r="B56" s="1" t="s">
        <v>2032</v>
      </c>
      <c r="C56" s="1" t="s">
        <v>636</v>
      </c>
      <c r="D56" s="1" t="n">
        <v>394.6</v>
      </c>
      <c r="E56" s="1" t="n">
        <v>20.34</v>
      </c>
      <c r="F56" s="1" t="n">
        <f aca="false">67/12</f>
        <v>5.58333333333333</v>
      </c>
    </row>
    <row collapsed="false" customFormat="false" customHeight="false" hidden="false" ht="14.75" outlineLevel="0" r="57">
      <c r="A57" s="1" t="s">
        <v>391</v>
      </c>
      <c r="B57" s="1" t="s">
        <v>2032</v>
      </c>
      <c r="C57" s="1" t="s">
        <v>636</v>
      </c>
      <c r="D57" s="1" t="n">
        <v>344.2</v>
      </c>
      <c r="E57" s="1" t="n">
        <v>18.21</v>
      </c>
      <c r="F57" s="1" t="n">
        <f aca="false">53/12</f>
        <v>4.41666666666667</v>
      </c>
    </row>
    <row collapsed="false" customFormat="false" customHeight="false" hidden="false" ht="14.75" outlineLevel="0" r="58">
      <c r="A58" s="1" t="s">
        <v>392</v>
      </c>
      <c r="B58" s="1" t="s">
        <v>2032</v>
      </c>
      <c r="C58" s="1" t="s">
        <v>636</v>
      </c>
      <c r="D58" s="1" t="n">
        <v>281.7</v>
      </c>
      <c r="E58" s="1" t="n">
        <v>16.07</v>
      </c>
      <c r="F58" s="1" t="n">
        <f aca="false">40/12</f>
        <v>3.33333333333333</v>
      </c>
    </row>
    <row collapsed="false" customFormat="false" customHeight="false" hidden="false" ht="14.75" outlineLevel="0" r="59">
      <c r="A59" s="1" t="s">
        <v>1406</v>
      </c>
      <c r="B59" s="1" t="s">
        <v>2032</v>
      </c>
      <c r="C59" s="1" t="s">
        <v>636</v>
      </c>
      <c r="D59" s="1" t="n">
        <v>253.6</v>
      </c>
      <c r="E59" s="1" t="n">
        <v>14.4</v>
      </c>
      <c r="F59" s="1" t="n">
        <f aca="false">26/11</f>
        <v>2.36363636363636</v>
      </c>
    </row>
    <row collapsed="false" customFormat="false" customHeight="false" hidden="false" ht="14.75" outlineLevel="0" r="60">
      <c r="A60" s="1" t="s">
        <v>601</v>
      </c>
      <c r="B60" s="1" t="s">
        <v>2032</v>
      </c>
      <c r="C60" s="1" t="s">
        <v>636</v>
      </c>
      <c r="D60" s="1" t="n">
        <v>230</v>
      </c>
      <c r="E60" s="1" t="n">
        <v>15.15</v>
      </c>
      <c r="F60" s="1" t="n">
        <f aca="false">18/11</f>
        <v>1.63636363636364</v>
      </c>
    </row>
    <row collapsed="false" customFormat="false" customHeight="false" hidden="false" ht="14.75" outlineLevel="0" r="61">
      <c r="A61" s="1" t="s">
        <v>2034</v>
      </c>
      <c r="B61" s="1" t="s">
        <v>2032</v>
      </c>
      <c r="C61" s="1" t="s">
        <v>636</v>
      </c>
      <c r="D61" s="1" t="n">
        <v>228.6</v>
      </c>
      <c r="E61" s="1" t="n">
        <v>15</v>
      </c>
      <c r="F61" s="1" t="n">
        <f aca="false">23/11</f>
        <v>2.09090909090909</v>
      </c>
    </row>
    <row collapsed="false" customFormat="false" customHeight="false" hidden="false" ht="14.75" outlineLevel="0" r="62">
      <c r="A62" s="1" t="s">
        <v>334</v>
      </c>
      <c r="B62" s="1" t="s">
        <v>2032</v>
      </c>
      <c r="C62" s="1" t="s">
        <v>636</v>
      </c>
      <c r="D62" s="1" t="n">
        <v>193.6</v>
      </c>
      <c r="E62" s="1" t="n">
        <v>12.95</v>
      </c>
      <c r="F62" s="1" t="n">
        <v>2</v>
      </c>
    </row>
    <row collapsed="false" customFormat="false" customHeight="false" hidden="false" ht="14.75" outlineLevel="0" r="63">
      <c r="A63" s="1" t="s">
        <v>2035</v>
      </c>
      <c r="B63" s="1" t="s">
        <v>2032</v>
      </c>
      <c r="C63" s="1" t="s">
        <v>636</v>
      </c>
      <c r="D63" s="1" t="n">
        <v>313.8</v>
      </c>
      <c r="E63" s="1" t="n">
        <v>15.92</v>
      </c>
      <c r="F63" s="1" t="n">
        <f aca="false">25/8</f>
        <v>3.125</v>
      </c>
    </row>
    <row collapsed="false" customFormat="false" customHeight="false" hidden="false" ht="14.75" outlineLevel="0" r="64">
      <c r="A64" s="1" t="s">
        <v>341</v>
      </c>
      <c r="B64" s="1" t="s">
        <v>2032</v>
      </c>
      <c r="C64" s="1" t="s">
        <v>636</v>
      </c>
      <c r="D64" s="1" t="n">
        <v>193.1</v>
      </c>
      <c r="E64" s="1" t="n">
        <v>12.97</v>
      </c>
      <c r="F64" s="1" t="n">
        <f aca="false">15/8</f>
        <v>1.875</v>
      </c>
    </row>
    <row collapsed="false" customFormat="false" customHeight="false" hidden="false" ht="14.75" outlineLevel="0" r="65">
      <c r="A65" s="1" t="s">
        <v>889</v>
      </c>
      <c r="B65" s="1" t="s">
        <v>2032</v>
      </c>
      <c r="C65" s="1" t="s">
        <v>636</v>
      </c>
      <c r="D65" s="1" t="n">
        <v>178.8</v>
      </c>
      <c r="E65" s="1" t="n">
        <v>10.94</v>
      </c>
      <c r="F65" s="1" t="n">
        <f aca="false">18/8</f>
        <v>2.25</v>
      </c>
    </row>
    <row collapsed="false" customFormat="false" customHeight="false" hidden="false" ht="14.75" outlineLevel="0" r="66">
      <c r="A66" s="1" t="s">
        <v>2036</v>
      </c>
      <c r="B66" s="1" t="s">
        <v>2032</v>
      </c>
      <c r="C66" s="1" t="s">
        <v>636</v>
      </c>
      <c r="D66" s="1" t="n">
        <v>162.5</v>
      </c>
      <c r="E66" s="1" t="n">
        <v>10.66</v>
      </c>
      <c r="F66" s="1" t="n">
        <v>1</v>
      </c>
    </row>
    <row collapsed="false" customFormat="false" customHeight="false" hidden="false" ht="14.75" outlineLevel="0" r="67">
      <c r="A67" s="1" t="s">
        <v>1407</v>
      </c>
      <c r="B67" s="1" t="s">
        <v>2032</v>
      </c>
      <c r="C67" s="1" t="s">
        <v>636</v>
      </c>
      <c r="D67" s="1" t="n">
        <v>214.4</v>
      </c>
      <c r="E67" s="1" t="n">
        <v>13.47</v>
      </c>
      <c r="F67" s="1" t="n">
        <f aca="false">5/8</f>
        <v>0.625</v>
      </c>
    </row>
    <row collapsed="false" customFormat="false" customHeight="false" hidden="false" ht="14.75" outlineLevel="0" r="68">
      <c r="A68" s="1" t="s">
        <v>606</v>
      </c>
      <c r="B68" s="1" t="s">
        <v>2032</v>
      </c>
      <c r="C68" s="1" t="s">
        <v>636</v>
      </c>
      <c r="D68" s="1" t="n">
        <v>153.8</v>
      </c>
      <c r="E68" s="1" t="n">
        <v>10</v>
      </c>
      <c r="F68" s="1" t="n">
        <f aca="false">14/8</f>
        <v>1.75</v>
      </c>
    </row>
    <row collapsed="false" customFormat="false" customHeight="false" hidden="false" ht="14.75" outlineLevel="0" r="69">
      <c r="A69" s="1" t="s">
        <v>605</v>
      </c>
      <c r="B69" s="1" t="s">
        <v>2032</v>
      </c>
      <c r="C69" s="1" t="s">
        <v>636</v>
      </c>
      <c r="D69" s="1" t="n">
        <v>140</v>
      </c>
      <c r="E69" s="1" t="n">
        <v>11.5</v>
      </c>
      <c r="F69" s="1" t="n">
        <f aca="false">9/8</f>
        <v>1.125</v>
      </c>
    </row>
    <row collapsed="false" customFormat="false" customHeight="false" hidden="false" ht="14.75" outlineLevel="0" r="70">
      <c r="A70" s="1" t="s">
        <v>2037</v>
      </c>
      <c r="B70" s="1" t="s">
        <v>2032</v>
      </c>
      <c r="C70" s="1" t="s">
        <v>636</v>
      </c>
      <c r="D70" s="1" t="n">
        <v>85.6</v>
      </c>
      <c r="E70" s="1" t="n">
        <v>7.84</v>
      </c>
      <c r="F70" s="1" t="n">
        <f aca="false">5/8</f>
        <v>0.625</v>
      </c>
    </row>
    <row collapsed="false" customFormat="false" customHeight="false" hidden="false" ht="14.75" outlineLevel="0" r="71">
      <c r="A71" s="1" t="s">
        <v>393</v>
      </c>
      <c r="B71" s="1" t="s">
        <v>2032</v>
      </c>
      <c r="C71" s="1" t="s">
        <v>636</v>
      </c>
      <c r="D71" s="1" t="n">
        <v>164.4</v>
      </c>
      <c r="E71" s="1" t="n">
        <v>9.69</v>
      </c>
      <c r="F71" s="1" t="n">
        <f aca="false">11/8</f>
        <v>1.375</v>
      </c>
    </row>
    <row collapsed="false" customFormat="false" customHeight="false" hidden="false" ht="14.75" outlineLevel="0" r="72">
      <c r="A72" s="1" t="s">
        <v>1945</v>
      </c>
      <c r="B72" s="1" t="s">
        <v>2032</v>
      </c>
      <c r="C72" s="1" t="s">
        <v>636</v>
      </c>
      <c r="D72" s="1" t="n">
        <v>120</v>
      </c>
      <c r="E72" s="1" t="n">
        <v>8.84</v>
      </c>
      <c r="F72" s="1" t="n">
        <f aca="false">6/7</f>
        <v>0.857142857142857</v>
      </c>
    </row>
    <row collapsed="false" customFormat="false" customHeight="false" hidden="false" ht="14.75" outlineLevel="0" r="73">
      <c r="A73" s="1" t="s">
        <v>602</v>
      </c>
      <c r="B73" s="1" t="s">
        <v>2032</v>
      </c>
      <c r="C73" s="1" t="s">
        <v>636</v>
      </c>
      <c r="D73" s="1" t="n">
        <v>108.6</v>
      </c>
      <c r="E73" s="1" t="n">
        <v>10</v>
      </c>
      <c r="F73" s="1" t="n">
        <f aca="false">8/7</f>
        <v>1.14285714285714</v>
      </c>
    </row>
    <row collapsed="false" customFormat="false" customHeight="false" hidden="false" ht="14.75" outlineLevel="0" r="74">
      <c r="A74" s="1" t="s">
        <v>173</v>
      </c>
      <c r="B74" s="1" t="s">
        <v>2032</v>
      </c>
      <c r="C74" s="1" t="s">
        <v>636</v>
      </c>
      <c r="D74" s="1" t="n">
        <v>108.1</v>
      </c>
      <c r="E74" s="1" t="n">
        <v>9.52</v>
      </c>
      <c r="F74" s="1" t="n">
        <f aca="false">9/8</f>
        <v>1.125</v>
      </c>
    </row>
    <row collapsed="false" customFormat="false" customHeight="false" hidden="false" ht="14.75" outlineLevel="0" r="75">
      <c r="A75" s="1" t="s">
        <v>1944</v>
      </c>
      <c r="B75" s="1" t="s">
        <v>2032</v>
      </c>
      <c r="C75" s="1" t="s">
        <v>636</v>
      </c>
      <c r="D75" s="1" t="n">
        <v>74.4</v>
      </c>
      <c r="E75" s="1" t="n">
        <v>6.57</v>
      </c>
      <c r="F75" s="1" t="n">
        <f aca="false">3/8</f>
        <v>0.375</v>
      </c>
    </row>
    <row collapsed="false" customFormat="false" customHeight="false" hidden="false" ht="14.75" outlineLevel="0" r="76">
      <c r="A76" s="1" t="s">
        <v>395</v>
      </c>
      <c r="B76" s="1" t="s">
        <v>2032</v>
      </c>
      <c r="C76" s="1" t="s">
        <v>636</v>
      </c>
      <c r="D76" s="1" t="n">
        <v>103.1</v>
      </c>
      <c r="E76" s="1" t="n">
        <v>7.73</v>
      </c>
      <c r="F76" s="1" t="n">
        <f aca="false">9/8</f>
        <v>1.125</v>
      </c>
    </row>
    <row collapsed="false" customFormat="false" customHeight="false" hidden="false" ht="14.75" outlineLevel="0" r="77">
      <c r="A77" s="1" t="s">
        <v>335</v>
      </c>
      <c r="B77" s="1" t="s">
        <v>2032</v>
      </c>
      <c r="C77" s="1" t="s">
        <v>636</v>
      </c>
      <c r="D77" s="1" t="n">
        <v>50</v>
      </c>
      <c r="E77" s="1" t="n">
        <v>4.29</v>
      </c>
      <c r="F77" s="1" t="n">
        <v>0</v>
      </c>
    </row>
    <row collapsed="false" customFormat="false" customHeight="false" hidden="false" ht="14.75" outlineLevel="0" r="78">
      <c r="A78" s="1" t="s">
        <v>2038</v>
      </c>
      <c r="B78" s="1" t="s">
        <v>2032</v>
      </c>
      <c r="C78" s="1" t="s">
        <v>636</v>
      </c>
      <c r="D78" s="1" t="n">
        <v>41.2</v>
      </c>
      <c r="E78" s="1" t="n">
        <v>5.71</v>
      </c>
      <c r="F78" s="1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blackAndWhite="false" cellComments="none" copies="1" draft="false" firstPageNumber="0" fitToHeight="1" fitToWidth="1" horizontalDpi="300" orientation="portrait" pageOrder="downThenOver" paperSize="1" scale="100" useFirstPageNumber="fals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45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85" zoomScaleNormal="85" zoomScalePageLayoutView="100">
      <selection activeCell="A3" activeCellId="0" pane="topLeft" sqref="A3"/>
    </sheetView>
  </sheetViews>
  <cols>
    <col collapsed="false" hidden="false" max="1025" min="1" style="0" width="8.5921568627451"/>
  </cols>
  <sheetData>
    <row collapsed="false" customFormat="false" customHeight="false" hidden="false" ht="14.75" outlineLevel="0"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collapsed="false" customFormat="false" customHeight="false" hidden="false" ht="14.75" outlineLevel="0" r="2">
      <c r="A2" s="1" t="s">
        <v>678</v>
      </c>
      <c r="B2" s="1" t="s">
        <v>679</v>
      </c>
      <c r="C2" s="1" t="s">
        <v>680</v>
      </c>
      <c r="D2" s="1" t="n">
        <v>207.8</v>
      </c>
      <c r="E2" s="1" t="n">
        <v>16.34</v>
      </c>
      <c r="F2" s="1" t="s">
        <v>9</v>
      </c>
    </row>
    <row collapsed="false" customFormat="false" customHeight="false" hidden="false" ht="14.75" outlineLevel="0" r="3">
      <c r="A3" s="1" t="s">
        <v>681</v>
      </c>
      <c r="B3" s="1" t="s">
        <v>679</v>
      </c>
      <c r="C3" s="1" t="s">
        <v>680</v>
      </c>
      <c r="D3" s="1" t="n">
        <v>128.9</v>
      </c>
      <c r="E3" s="1" t="n">
        <v>9.66</v>
      </c>
      <c r="F3" s="1" t="s">
        <v>9</v>
      </c>
    </row>
    <row collapsed="false" customFormat="false" customHeight="false" hidden="false" ht="14.75" outlineLevel="0" r="4">
      <c r="A4" s="1" t="s">
        <v>303</v>
      </c>
      <c r="B4" s="1" t="s">
        <v>679</v>
      </c>
      <c r="C4" s="1" t="s">
        <v>680</v>
      </c>
      <c r="D4" s="1" t="n">
        <v>470.9</v>
      </c>
      <c r="E4" s="1" t="n">
        <v>23.64</v>
      </c>
      <c r="F4" s="1" t="s">
        <v>9</v>
      </c>
    </row>
    <row collapsed="false" customFormat="false" customHeight="false" hidden="false" ht="14.75" outlineLevel="0" r="5">
      <c r="A5" s="1" t="s">
        <v>682</v>
      </c>
      <c r="B5" s="1" t="s">
        <v>679</v>
      </c>
      <c r="C5" s="1" t="s">
        <v>680</v>
      </c>
      <c r="D5" s="1" t="n">
        <v>297.8</v>
      </c>
      <c r="E5" s="1" t="n">
        <v>20.45</v>
      </c>
      <c r="F5" s="1" t="s">
        <v>9</v>
      </c>
    </row>
    <row collapsed="false" customFormat="false" customHeight="false" hidden="false" ht="14.75" outlineLevel="0" r="6">
      <c r="A6" s="1" t="s">
        <v>683</v>
      </c>
      <c r="B6" s="1" t="s">
        <v>679</v>
      </c>
      <c r="C6" s="1" t="s">
        <v>680</v>
      </c>
      <c r="D6" s="1" t="n">
        <v>95.7</v>
      </c>
      <c r="E6" s="1" t="n">
        <v>7.18</v>
      </c>
      <c r="F6" s="1" t="s">
        <v>9</v>
      </c>
    </row>
    <row collapsed="false" customFormat="false" customHeight="false" hidden="false" ht="14.75" outlineLevel="0" r="7">
      <c r="A7" s="1" t="s">
        <v>321</v>
      </c>
      <c r="B7" s="1" t="s">
        <v>684</v>
      </c>
      <c r="C7" s="1" t="s">
        <v>680</v>
      </c>
      <c r="D7" s="1" t="n">
        <v>35</v>
      </c>
      <c r="E7" s="1" t="n">
        <v>6.32</v>
      </c>
      <c r="F7" s="1" t="s">
        <v>9</v>
      </c>
    </row>
    <row collapsed="false" customFormat="false" customHeight="false" hidden="false" ht="14.75" outlineLevel="0" r="8">
      <c r="A8" s="1" t="s">
        <v>322</v>
      </c>
      <c r="B8" s="1" t="s">
        <v>684</v>
      </c>
      <c r="C8" s="1" t="s">
        <v>680</v>
      </c>
      <c r="D8" s="1" t="n">
        <v>51.9</v>
      </c>
      <c r="E8" s="1" t="n">
        <v>6.25</v>
      </c>
      <c r="F8" s="1" t="s">
        <v>9</v>
      </c>
    </row>
    <row collapsed="false" customFormat="false" customHeight="false" hidden="false" ht="14.75" outlineLevel="0" r="9">
      <c r="A9" s="1" t="s">
        <v>447</v>
      </c>
      <c r="B9" s="1" t="s">
        <v>679</v>
      </c>
      <c r="C9" s="1" t="s">
        <v>680</v>
      </c>
      <c r="D9" s="1" t="n">
        <v>101.1</v>
      </c>
      <c r="E9" s="1" t="n">
        <v>9.78</v>
      </c>
      <c r="F9" s="1" t="s">
        <v>9</v>
      </c>
    </row>
    <row collapsed="false" customFormat="false" customHeight="false" hidden="false" ht="14.75" outlineLevel="0" r="10">
      <c r="A10" s="1" t="s">
        <v>448</v>
      </c>
      <c r="B10" s="1" t="s">
        <v>679</v>
      </c>
      <c r="C10" s="1" t="s">
        <v>680</v>
      </c>
      <c r="D10" s="1" t="n">
        <v>57.1</v>
      </c>
      <c r="E10" s="1" t="n">
        <v>10</v>
      </c>
      <c r="F10" s="1" t="s">
        <v>9</v>
      </c>
    </row>
    <row collapsed="false" customFormat="false" customHeight="false" hidden="false" ht="14.75" outlineLevel="0" r="11">
      <c r="A11" s="1" t="s">
        <v>687</v>
      </c>
      <c r="B11" s="1" t="s">
        <v>679</v>
      </c>
      <c r="C11" s="1" t="s">
        <v>680</v>
      </c>
      <c r="D11" s="1" t="n">
        <v>175.6</v>
      </c>
      <c r="E11" s="1" t="n">
        <v>13.24</v>
      </c>
      <c r="F11" s="1" t="s">
        <v>9</v>
      </c>
    </row>
    <row collapsed="false" customFormat="false" customHeight="false" hidden="false" ht="14.75" outlineLevel="0" r="12">
      <c r="A12" s="1" t="s">
        <v>332</v>
      </c>
      <c r="B12" s="1" t="s">
        <v>684</v>
      </c>
      <c r="C12" s="1" t="s">
        <v>680</v>
      </c>
      <c r="D12" s="1" t="n">
        <v>217.7</v>
      </c>
      <c r="E12" s="1" t="n">
        <v>17.11</v>
      </c>
      <c r="F12" s="1" t="s">
        <v>9</v>
      </c>
    </row>
    <row collapsed="false" customFormat="false" customHeight="false" hidden="false" ht="14.75" outlineLevel="0" r="13">
      <c r="A13" s="1" t="s">
        <v>688</v>
      </c>
      <c r="B13" s="1" t="s">
        <v>679</v>
      </c>
      <c r="C13" s="1" t="s">
        <v>680</v>
      </c>
      <c r="D13" s="1" t="n">
        <v>107.1</v>
      </c>
      <c r="E13" s="1" t="n">
        <v>9.23</v>
      </c>
      <c r="F13" s="1" t="s">
        <v>9</v>
      </c>
    </row>
    <row collapsed="false" customFormat="false" customHeight="false" hidden="false" ht="14.75" outlineLevel="0" r="14">
      <c r="A14" s="1" t="s">
        <v>689</v>
      </c>
      <c r="B14" s="1" t="s">
        <v>684</v>
      </c>
      <c r="C14" s="1" t="s">
        <v>680</v>
      </c>
      <c r="D14" s="1" t="n">
        <v>140</v>
      </c>
      <c r="E14" s="1" t="n">
        <v>12.33</v>
      </c>
      <c r="F14" s="1" t="s">
        <v>9</v>
      </c>
    </row>
    <row collapsed="false" customFormat="false" customHeight="false" hidden="false" ht="14.75" outlineLevel="0" r="15">
      <c r="A15" s="1" t="s">
        <v>690</v>
      </c>
      <c r="B15" s="1" t="s">
        <v>684</v>
      </c>
      <c r="C15" s="1" t="s">
        <v>680</v>
      </c>
      <c r="D15" s="1" t="n">
        <v>51.1</v>
      </c>
      <c r="E15" s="1" t="n">
        <v>6.43</v>
      </c>
      <c r="F15" s="1" t="s">
        <v>9</v>
      </c>
    </row>
    <row collapsed="false" customFormat="false" customHeight="false" hidden="false" ht="14.75" outlineLevel="0" r="16">
      <c r="A16" s="1" t="s">
        <v>691</v>
      </c>
      <c r="B16" s="1" t="s">
        <v>679</v>
      </c>
      <c r="C16" s="1" t="s">
        <v>680</v>
      </c>
      <c r="D16" s="1" t="n">
        <v>184.4</v>
      </c>
      <c r="E16" s="1" t="n">
        <v>15.94</v>
      </c>
      <c r="F16" s="1" t="s">
        <v>9</v>
      </c>
    </row>
    <row collapsed="false" customFormat="false" customHeight="false" hidden="false" ht="14.75" outlineLevel="0" r="17">
      <c r="A17" s="1" t="s">
        <v>692</v>
      </c>
      <c r="B17" s="1" t="s">
        <v>679</v>
      </c>
      <c r="C17" s="1" t="s">
        <v>680</v>
      </c>
      <c r="D17" s="1" t="n">
        <v>124.4</v>
      </c>
      <c r="E17" s="1" t="n">
        <v>9.14</v>
      </c>
      <c r="F17" s="1" t="s">
        <v>9</v>
      </c>
    </row>
    <row collapsed="false" customFormat="false" customHeight="false" hidden="false" ht="14.75" outlineLevel="0" r="18">
      <c r="A18" s="1" t="s">
        <v>693</v>
      </c>
      <c r="B18" s="1" t="s">
        <v>679</v>
      </c>
      <c r="C18" s="1" t="s">
        <v>680</v>
      </c>
      <c r="D18" s="1" t="n">
        <v>124.3</v>
      </c>
      <c r="E18" s="1" t="n">
        <v>12.31</v>
      </c>
      <c r="F18" s="1" t="s">
        <v>9</v>
      </c>
    </row>
    <row collapsed="false" customFormat="false" customHeight="false" hidden="false" ht="14.75" outlineLevel="0" r="19">
      <c r="A19" s="1" t="s">
        <v>19</v>
      </c>
      <c r="B19" s="1" t="s">
        <v>684</v>
      </c>
      <c r="C19" s="1" t="s">
        <v>680</v>
      </c>
      <c r="D19" s="1" t="n">
        <v>468.6</v>
      </c>
      <c r="E19" s="1" t="n">
        <v>25.97</v>
      </c>
      <c r="F19" s="1" t="s">
        <v>9</v>
      </c>
    </row>
    <row collapsed="false" customFormat="false" customHeight="false" hidden="false" ht="14.75" outlineLevel="0" r="20">
      <c r="A20" s="1" t="s">
        <v>20</v>
      </c>
      <c r="B20" s="1" t="s">
        <v>684</v>
      </c>
      <c r="C20" s="1" t="s">
        <v>680</v>
      </c>
      <c r="D20" s="1" t="n">
        <v>312.3</v>
      </c>
      <c r="E20" s="1" t="n">
        <v>18.72</v>
      </c>
      <c r="F20" s="1" t="s">
        <v>9</v>
      </c>
    </row>
    <row collapsed="false" customFormat="false" customHeight="false" hidden="false" ht="14.75" outlineLevel="0" r="21">
      <c r="A21" s="1" t="s">
        <v>149</v>
      </c>
      <c r="B21" s="1" t="s">
        <v>684</v>
      </c>
      <c r="C21" s="1" t="s">
        <v>680</v>
      </c>
      <c r="D21" s="1" t="n">
        <v>151.8</v>
      </c>
      <c r="E21" s="1" t="n">
        <v>11.01</v>
      </c>
      <c r="F21" s="1" t="s">
        <v>9</v>
      </c>
    </row>
    <row collapsed="false" customFormat="false" customHeight="false" hidden="false" ht="14.75" outlineLevel="0" r="22">
      <c r="A22" s="1" t="s">
        <v>694</v>
      </c>
      <c r="B22" s="1" t="s">
        <v>679</v>
      </c>
      <c r="C22" s="1" t="s">
        <v>680</v>
      </c>
      <c r="D22" s="1" t="n">
        <v>505.5</v>
      </c>
      <c r="E22" s="1" t="n">
        <v>25.19</v>
      </c>
      <c r="F22" s="1" t="s">
        <v>9</v>
      </c>
    </row>
    <row collapsed="false" customFormat="false" customHeight="false" hidden="false" ht="14.75" outlineLevel="0" r="23">
      <c r="A23" s="1" t="s">
        <v>695</v>
      </c>
      <c r="B23" s="1" t="s">
        <v>679</v>
      </c>
      <c r="C23" s="1" t="s">
        <v>680</v>
      </c>
      <c r="D23" s="1" t="n">
        <v>172.2</v>
      </c>
      <c r="E23" s="1" t="n">
        <v>11.83</v>
      </c>
      <c r="F23" s="1" t="s">
        <v>9</v>
      </c>
    </row>
    <row collapsed="false" customFormat="false" customHeight="false" hidden="false" ht="14.75" outlineLevel="0" r="24">
      <c r="A24" s="1" t="s">
        <v>696</v>
      </c>
      <c r="B24" s="1" t="s">
        <v>684</v>
      </c>
      <c r="C24" s="1" t="s">
        <v>680</v>
      </c>
      <c r="D24" s="1" t="n">
        <v>228.6</v>
      </c>
      <c r="E24" s="1" t="n">
        <v>14.86</v>
      </c>
      <c r="F24" s="1" t="s">
        <v>9</v>
      </c>
    </row>
    <row collapsed="false" customFormat="false" customHeight="false" hidden="false" ht="14.75" outlineLevel="0" r="25">
      <c r="A25" s="1" t="s">
        <v>163</v>
      </c>
      <c r="B25" s="1" t="s">
        <v>684</v>
      </c>
      <c r="C25" s="1" t="s">
        <v>680</v>
      </c>
      <c r="D25" s="1" t="n">
        <v>412.3</v>
      </c>
      <c r="E25" s="1" t="n">
        <v>22.64</v>
      </c>
      <c r="F25" s="1" t="s">
        <v>9</v>
      </c>
    </row>
    <row collapsed="false" customFormat="false" customHeight="false" hidden="false" ht="14.75" outlineLevel="0" r="26">
      <c r="A26" s="1" t="s">
        <v>697</v>
      </c>
      <c r="B26" s="1" t="s">
        <v>679</v>
      </c>
      <c r="C26" s="1" t="s">
        <v>680</v>
      </c>
      <c r="D26" s="1" t="n">
        <v>122.9</v>
      </c>
      <c r="E26" s="1" t="n">
        <v>9.77</v>
      </c>
      <c r="F26" s="1" t="s">
        <v>9</v>
      </c>
    </row>
    <row collapsed="false" customFormat="false" customHeight="false" hidden="false" ht="14.75" outlineLevel="0" r="27">
      <c r="A27" s="1" t="s">
        <v>698</v>
      </c>
      <c r="B27" s="1" t="s">
        <v>679</v>
      </c>
      <c r="C27" s="1" t="s">
        <v>680</v>
      </c>
      <c r="D27" s="1" t="n">
        <v>88.6</v>
      </c>
      <c r="E27" s="1" t="n">
        <v>10</v>
      </c>
      <c r="F27" s="1" t="s">
        <v>9</v>
      </c>
    </row>
    <row collapsed="false" customFormat="false" customHeight="false" hidden="false" ht="14.75" outlineLevel="0" r="28">
      <c r="A28" s="1" t="s">
        <v>699</v>
      </c>
      <c r="B28" s="1" t="s">
        <v>679</v>
      </c>
      <c r="C28" s="1" t="s">
        <v>680</v>
      </c>
      <c r="D28" s="1" t="n">
        <v>164.4</v>
      </c>
      <c r="E28" s="1" t="n">
        <v>12.42</v>
      </c>
      <c r="F28" s="1" t="s">
        <v>9</v>
      </c>
    </row>
    <row collapsed="false" customFormat="false" customHeight="false" hidden="false" ht="14.75" outlineLevel="0" r="29">
      <c r="A29" s="1" t="s">
        <v>700</v>
      </c>
      <c r="B29" s="1" t="s">
        <v>679</v>
      </c>
      <c r="C29" s="1" t="s">
        <v>680</v>
      </c>
      <c r="D29" s="1" t="n">
        <v>41.4</v>
      </c>
      <c r="E29" s="1" t="n">
        <v>6.11</v>
      </c>
      <c r="F29" s="1" t="s">
        <v>9</v>
      </c>
    </row>
    <row collapsed="false" customFormat="false" customHeight="false" hidden="false" ht="14.75" outlineLevel="0" r="30">
      <c r="A30" s="1" t="s">
        <v>701</v>
      </c>
      <c r="B30" s="1" t="s">
        <v>684</v>
      </c>
      <c r="C30" s="1" t="s">
        <v>680</v>
      </c>
      <c r="D30" s="1" t="n">
        <v>37.5</v>
      </c>
      <c r="E30" s="1" t="n">
        <v>4.17</v>
      </c>
      <c r="F30" s="1" t="s">
        <v>9</v>
      </c>
    </row>
    <row collapsed="false" customFormat="false" customHeight="false" hidden="false" ht="14.75" outlineLevel="0" r="31">
      <c r="A31" s="1" t="s">
        <v>702</v>
      </c>
      <c r="B31" s="1" t="s">
        <v>679</v>
      </c>
      <c r="C31" s="1" t="s">
        <v>680</v>
      </c>
      <c r="D31" s="1" t="n">
        <v>312.2</v>
      </c>
      <c r="E31" s="1" t="n">
        <v>18.38</v>
      </c>
      <c r="F31" s="1" t="s">
        <v>9</v>
      </c>
    </row>
    <row collapsed="false" customFormat="false" customHeight="false" hidden="false" ht="14.75" outlineLevel="0" r="32">
      <c r="A32" s="1" t="s">
        <v>703</v>
      </c>
      <c r="B32" s="1" t="s">
        <v>679</v>
      </c>
      <c r="C32" s="1" t="s">
        <v>680</v>
      </c>
      <c r="D32" s="1" t="n">
        <v>128.6</v>
      </c>
      <c r="E32" s="1" t="n">
        <v>9.57</v>
      </c>
      <c r="F32" s="1" t="s">
        <v>9</v>
      </c>
    </row>
    <row collapsed="false" customFormat="false" customHeight="false" hidden="false" ht="14.75" outlineLevel="0" r="33">
      <c r="A33" s="1" t="s">
        <v>397</v>
      </c>
      <c r="B33" s="1" t="s">
        <v>684</v>
      </c>
      <c r="C33" s="1" t="s">
        <v>680</v>
      </c>
      <c r="D33" s="1" t="n">
        <v>205.9</v>
      </c>
      <c r="E33" s="1" t="n">
        <v>14.48</v>
      </c>
      <c r="F33" s="1" t="s">
        <v>9</v>
      </c>
    </row>
    <row collapsed="false" customFormat="false" customHeight="false" hidden="false" ht="14.75" outlineLevel="0" r="34">
      <c r="A34" s="1" t="s">
        <v>398</v>
      </c>
      <c r="B34" s="1" t="s">
        <v>684</v>
      </c>
      <c r="C34" s="1" t="s">
        <v>680</v>
      </c>
      <c r="D34" s="1" t="n">
        <v>203.2</v>
      </c>
      <c r="E34" s="1" t="n">
        <v>12.35</v>
      </c>
      <c r="F34" s="1" t="s">
        <v>9</v>
      </c>
    </row>
    <row collapsed="false" customFormat="false" customHeight="false" hidden="false" ht="14.75" outlineLevel="0" r="35">
      <c r="A35" s="1" t="s">
        <v>178</v>
      </c>
      <c r="B35" s="1" t="s">
        <v>684</v>
      </c>
      <c r="C35" s="1" t="s">
        <v>680</v>
      </c>
      <c r="D35" s="1" t="n">
        <v>297.3</v>
      </c>
      <c r="E35" s="1" t="n">
        <v>19.31</v>
      </c>
      <c r="F35" s="1" t="s">
        <v>9</v>
      </c>
    </row>
    <row collapsed="false" customFormat="false" customHeight="false" hidden="false" ht="14.75" outlineLevel="0" r="36">
      <c r="A36" s="1" t="s">
        <v>179</v>
      </c>
      <c r="B36" s="1" t="s">
        <v>684</v>
      </c>
      <c r="C36" s="1" t="s">
        <v>680</v>
      </c>
      <c r="D36" s="1" t="n">
        <v>250.5</v>
      </c>
      <c r="E36" s="1" t="n">
        <v>16.51</v>
      </c>
      <c r="F36" s="1" t="s">
        <v>9</v>
      </c>
    </row>
    <row collapsed="false" customFormat="false" customHeight="false" hidden="false" ht="14.75" outlineLevel="0" r="37">
      <c r="A37" s="1" t="s">
        <v>704</v>
      </c>
      <c r="B37" s="1" t="s">
        <v>684</v>
      </c>
      <c r="C37" s="1" t="s">
        <v>680</v>
      </c>
      <c r="D37" s="1" t="n">
        <v>165</v>
      </c>
      <c r="E37" s="1" t="n">
        <v>13.81</v>
      </c>
      <c r="F37" s="1" t="s">
        <v>9</v>
      </c>
    </row>
    <row collapsed="false" customFormat="false" customHeight="false" hidden="false" ht="14.75" outlineLevel="0" r="38">
      <c r="A38" s="1" t="s">
        <v>705</v>
      </c>
      <c r="B38" s="1" t="s">
        <v>684</v>
      </c>
      <c r="C38" s="1" t="s">
        <v>680</v>
      </c>
      <c r="D38" s="1" t="n">
        <v>75</v>
      </c>
      <c r="E38" s="1" t="n">
        <v>9.74</v>
      </c>
      <c r="F38" s="1" t="s">
        <v>9</v>
      </c>
    </row>
    <row collapsed="false" customFormat="false" customHeight="false" hidden="false" ht="14.75" outlineLevel="0" r="39">
      <c r="A39" s="1" t="s">
        <v>413</v>
      </c>
      <c r="B39" s="1" t="s">
        <v>684</v>
      </c>
      <c r="C39" s="1" t="s">
        <v>680</v>
      </c>
      <c r="D39" s="1" t="n">
        <v>259.5</v>
      </c>
      <c r="E39" s="1" t="n">
        <v>17.12</v>
      </c>
      <c r="F39" s="1" t="s">
        <v>9</v>
      </c>
    </row>
    <row collapsed="false" customFormat="false" customHeight="false" hidden="false" ht="14.75" outlineLevel="0" r="40">
      <c r="A40" s="1" t="s">
        <v>414</v>
      </c>
      <c r="B40" s="1" t="s">
        <v>684</v>
      </c>
      <c r="C40" s="1" t="s">
        <v>680</v>
      </c>
      <c r="D40" s="1" t="n">
        <v>158.6</v>
      </c>
      <c r="E40" s="1" t="n">
        <v>14.38</v>
      </c>
      <c r="F40" s="1" t="s">
        <v>9</v>
      </c>
    </row>
    <row collapsed="false" customFormat="false" customHeight="false" hidden="false" ht="14.75" outlineLevel="0" r="41">
      <c r="A41" s="1" t="s">
        <v>190</v>
      </c>
      <c r="B41" s="1" t="s">
        <v>684</v>
      </c>
      <c r="C41" s="1" t="s">
        <v>680</v>
      </c>
      <c r="D41" s="1" t="n">
        <v>247.7</v>
      </c>
      <c r="E41" s="1" t="n">
        <v>17.92</v>
      </c>
      <c r="F41" s="1" t="s">
        <v>9</v>
      </c>
    </row>
    <row collapsed="false" customFormat="false" customHeight="false" hidden="false" ht="14.75" outlineLevel="0" r="42">
      <c r="A42" s="1" t="s">
        <v>191</v>
      </c>
      <c r="B42" s="1" t="s">
        <v>684</v>
      </c>
      <c r="C42" s="1" t="s">
        <v>680</v>
      </c>
      <c r="D42" s="1" t="n">
        <v>221.8</v>
      </c>
      <c r="E42" s="1" t="n">
        <v>15.72</v>
      </c>
      <c r="F42" s="1" t="s">
        <v>9</v>
      </c>
    </row>
    <row collapsed="false" customFormat="false" customHeight="false" hidden="false" ht="14.75" outlineLevel="0" r="43">
      <c r="A43" s="1" t="s">
        <v>706</v>
      </c>
      <c r="B43" s="1" t="s">
        <v>684</v>
      </c>
      <c r="C43" s="1" t="s">
        <v>680</v>
      </c>
      <c r="D43" s="1" t="n">
        <v>216.4</v>
      </c>
      <c r="E43" s="1" t="n">
        <v>15.89</v>
      </c>
      <c r="F43" s="1" t="s">
        <v>9</v>
      </c>
    </row>
    <row collapsed="false" customFormat="false" customHeight="false" hidden="false" ht="14.75" outlineLevel="0" r="44">
      <c r="A44" s="1" t="s">
        <v>707</v>
      </c>
      <c r="B44" s="1" t="s">
        <v>684</v>
      </c>
      <c r="C44" s="1" t="s">
        <v>680</v>
      </c>
      <c r="D44" s="1" t="n">
        <v>276.4</v>
      </c>
      <c r="E44" s="1" t="n">
        <v>19.4</v>
      </c>
      <c r="F44" s="1" t="s">
        <v>9</v>
      </c>
    </row>
    <row collapsed="false" customFormat="false" customHeight="false" hidden="false" ht="14.75" outlineLevel="0" r="45">
      <c r="A45" s="1" t="s">
        <v>708</v>
      </c>
      <c r="B45" s="1" t="s">
        <v>684</v>
      </c>
      <c r="C45" s="1" t="s">
        <v>680</v>
      </c>
      <c r="D45" s="1" t="n">
        <v>73.5</v>
      </c>
      <c r="E45" s="1" t="n">
        <v>10.61</v>
      </c>
      <c r="F45" s="1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blackAndWhite="false" cellComments="none" copies="1" draft="false" firstPageNumber="0" fitToHeight="1" fitToWidth="1" horizontalDpi="300" orientation="portrait" pageOrder="downThenOver" paperSize="1" scale="100" useFirstPageNumber="fals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15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85" zoomScaleNormal="85" zoomScalePageLayoutView="100">
      <selection activeCell="A15" activeCellId="0" pane="topLeft" sqref="A15"/>
    </sheetView>
  </sheetViews>
  <cols>
    <col collapsed="false" hidden="false" max="1" min="1" style="1" width="20.6470588235294"/>
    <col collapsed="false" hidden="false" max="2" min="2" style="1" width="36.5921568627451"/>
    <col collapsed="false" hidden="false" max="3" min="3" style="1" width="8.12941176470588"/>
    <col collapsed="false" hidden="false" max="5" min="4" style="1" width="7.15294117647059"/>
    <col collapsed="false" hidden="false" max="6" min="6" style="1" width="14.1647058823529"/>
    <col collapsed="false" hidden="false" max="1025" min="7" style="0" width="8.5921568627451"/>
  </cols>
  <sheetData>
    <row collapsed="false" customFormat="true" customHeight="false" hidden="false" ht="14.75" outlineLevel="0" r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collapsed="false" customFormat="false" customHeight="false" hidden="false" ht="14.75" outlineLevel="0" r="2">
      <c r="A2" s="1" t="s">
        <v>253</v>
      </c>
      <c r="B2" s="1" t="s">
        <v>709</v>
      </c>
      <c r="C2" s="1" t="s">
        <v>710</v>
      </c>
      <c r="D2" s="1" t="n">
        <v>382.5</v>
      </c>
      <c r="E2" s="1" t="n">
        <v>21.32</v>
      </c>
      <c r="F2" s="1" t="n">
        <f aca="false">21/6</f>
        <v>3.5</v>
      </c>
    </row>
    <row collapsed="false" customFormat="false" customHeight="false" hidden="false" ht="14.75" outlineLevel="0" r="3">
      <c r="A3" s="1" t="s">
        <v>254</v>
      </c>
      <c r="B3" s="1" t="s">
        <v>709</v>
      </c>
      <c r="C3" s="1" t="s">
        <v>710</v>
      </c>
      <c r="D3" s="1" t="n">
        <v>237.5</v>
      </c>
      <c r="E3" s="1" t="n">
        <v>16.98</v>
      </c>
      <c r="F3" s="1" t="n">
        <f aca="false">7/6</f>
        <v>1.16666666666667</v>
      </c>
    </row>
    <row collapsed="false" customFormat="false" customHeight="false" hidden="false" ht="14.75" outlineLevel="0" r="4">
      <c r="A4" s="1" t="s">
        <v>711</v>
      </c>
      <c r="B4" s="1" t="s">
        <v>709</v>
      </c>
      <c r="C4" s="1" t="s">
        <v>710</v>
      </c>
      <c r="D4" s="1" t="n">
        <v>99.2</v>
      </c>
      <c r="E4" s="1" t="n">
        <v>12.59</v>
      </c>
      <c r="F4" s="1" t="n">
        <v>0</v>
      </c>
    </row>
    <row collapsed="false" customFormat="false" customHeight="false" hidden="false" ht="14.75" outlineLevel="0" r="5">
      <c r="A5" s="1" t="s">
        <v>712</v>
      </c>
      <c r="B5" s="1" t="s">
        <v>709</v>
      </c>
      <c r="C5" s="1" t="s">
        <v>710</v>
      </c>
      <c r="D5" s="1" t="n">
        <v>145.8</v>
      </c>
      <c r="E5" s="1" t="n">
        <v>16.36</v>
      </c>
      <c r="F5" s="1" t="n">
        <v>1</v>
      </c>
    </row>
    <row collapsed="false" customFormat="false" customHeight="false" hidden="false" ht="14.75" outlineLevel="0" r="6">
      <c r="A6" s="1" t="s">
        <v>713</v>
      </c>
      <c r="B6" s="1" t="s">
        <v>709</v>
      </c>
      <c r="C6" s="1" t="s">
        <v>710</v>
      </c>
      <c r="D6" s="1" t="n">
        <v>33.3</v>
      </c>
      <c r="E6" s="1" t="n">
        <v>8.18</v>
      </c>
      <c r="F6" s="1" t="n">
        <f aca="false">1/6</f>
        <v>0.166666666666667</v>
      </c>
    </row>
    <row collapsed="false" customFormat="false" customHeight="false" hidden="false" ht="14.75" outlineLevel="0" r="7">
      <c r="A7" s="1" t="s">
        <v>714</v>
      </c>
      <c r="B7" s="1" t="s">
        <v>709</v>
      </c>
      <c r="C7" s="1" t="s">
        <v>710</v>
      </c>
      <c r="D7" s="1" t="n">
        <v>145</v>
      </c>
      <c r="E7" s="1" t="n">
        <v>14.86</v>
      </c>
      <c r="F7" s="1" t="n">
        <f aca="false">2/6</f>
        <v>0.333333333333333</v>
      </c>
    </row>
    <row collapsed="false" customFormat="false" customHeight="false" hidden="false" ht="14.75" outlineLevel="0" r="8">
      <c r="A8" s="1" t="s">
        <v>267</v>
      </c>
      <c r="B8" s="1" t="s">
        <v>709</v>
      </c>
      <c r="C8" s="1" t="s">
        <v>710</v>
      </c>
      <c r="D8" s="1" t="n">
        <v>278.3</v>
      </c>
      <c r="E8" s="1" t="n">
        <v>17.1</v>
      </c>
      <c r="F8" s="1" t="n">
        <f aca="false">7/6</f>
        <v>1.16666666666667</v>
      </c>
    </row>
    <row collapsed="false" customFormat="false" customHeight="false" hidden="false" ht="14.75" outlineLevel="0" r="9">
      <c r="A9" s="1" t="s">
        <v>715</v>
      </c>
      <c r="B9" s="1" t="s">
        <v>709</v>
      </c>
      <c r="C9" s="1" t="s">
        <v>710</v>
      </c>
      <c r="D9" s="1" t="n">
        <v>179.2</v>
      </c>
      <c r="E9" s="1" t="n">
        <v>16.46</v>
      </c>
      <c r="F9" s="1" t="n">
        <v>1</v>
      </c>
    </row>
    <row collapsed="false" customFormat="false" customHeight="false" hidden="false" ht="14.75" outlineLevel="0" r="10">
      <c r="A10" s="1" t="s">
        <v>275</v>
      </c>
      <c r="B10" s="1" t="s">
        <v>709</v>
      </c>
      <c r="C10" s="1" t="s">
        <v>710</v>
      </c>
      <c r="D10" s="1" t="n">
        <v>535.8</v>
      </c>
      <c r="E10" s="1" t="n">
        <v>23.55</v>
      </c>
      <c r="F10" s="1" t="n">
        <f aca="false">32/6</f>
        <v>5.33333333333333</v>
      </c>
    </row>
    <row collapsed="false" customFormat="false" customHeight="false" hidden="false" ht="14.75" outlineLevel="0" r="11">
      <c r="A11" s="1" t="s">
        <v>276</v>
      </c>
      <c r="B11" s="1" t="s">
        <v>709</v>
      </c>
      <c r="C11" s="1" t="s">
        <v>710</v>
      </c>
      <c r="D11" s="1" t="n">
        <v>235.8</v>
      </c>
      <c r="E11" s="1" t="n">
        <v>18.4</v>
      </c>
      <c r="F11" s="1" t="n">
        <f aca="false">12/6</f>
        <v>2</v>
      </c>
    </row>
    <row collapsed="false" customFormat="false" customHeight="false" hidden="false" ht="14.75" outlineLevel="0" r="12">
      <c r="A12" s="1" t="s">
        <v>277</v>
      </c>
      <c r="B12" s="1" t="s">
        <v>709</v>
      </c>
      <c r="C12" s="1" t="s">
        <v>710</v>
      </c>
      <c r="D12" s="1" t="n">
        <v>120.8</v>
      </c>
      <c r="E12" s="1" t="n">
        <v>13.12</v>
      </c>
      <c r="F12" s="1" t="n">
        <f aca="false">8/6</f>
        <v>1.33333333333333</v>
      </c>
    </row>
    <row collapsed="false" customFormat="false" customHeight="false" hidden="false" ht="14.75" outlineLevel="0" r="13">
      <c r="A13" s="1" t="s">
        <v>716</v>
      </c>
      <c r="B13" s="1" t="s">
        <v>709</v>
      </c>
      <c r="C13" s="1" t="s">
        <v>710</v>
      </c>
      <c r="D13" s="1" t="n">
        <v>54.2</v>
      </c>
      <c r="E13" s="1" t="n">
        <v>11.25</v>
      </c>
      <c r="F13" s="1" t="n">
        <f aca="false">1/6</f>
        <v>0.166666666666667</v>
      </c>
    </row>
    <row collapsed="false" customFormat="false" customHeight="false" hidden="false" ht="14.75" outlineLevel="0" r="14">
      <c r="A14" s="1" t="s">
        <v>627</v>
      </c>
      <c r="B14" s="1" t="s">
        <v>709</v>
      </c>
      <c r="C14" s="1" t="s">
        <v>710</v>
      </c>
      <c r="D14" s="1" t="n">
        <v>535.8</v>
      </c>
      <c r="E14" s="1" t="n">
        <v>25.58</v>
      </c>
      <c r="F14" s="1" t="n">
        <f aca="false">40/6</f>
        <v>6.66666666666667</v>
      </c>
    </row>
    <row collapsed="false" customFormat="false" customHeight="false" hidden="false" ht="14.75" outlineLevel="0" r="15">
      <c r="A15" s="1" t="s">
        <v>717</v>
      </c>
      <c r="B15" s="1" t="s">
        <v>709</v>
      </c>
      <c r="C15" s="1" t="s">
        <v>710</v>
      </c>
      <c r="D15" s="1" t="n">
        <v>76.7</v>
      </c>
      <c r="E15" s="1" t="n">
        <v>11.9</v>
      </c>
      <c r="F15" s="1" t="n">
        <f aca="false">2/6</f>
        <v>0.333333333333333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blackAndWhite="false" cellComments="none" copies="1" draft="false" firstPageNumber="0" fitToHeight="1" fitToWidth="1" horizontalDpi="300" orientation="portrait" pageOrder="downThenOver" paperSize="1" scale="100" useFirstPageNumber="false" usePrinterDefaults="false" verticalDpi="300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65"/>
  <sheetViews>
    <sheetView colorId="64" defaultGridColor="true" rightToLeft="false" showFormulas="false" showGridLines="true" showOutlineSymbols="true" showRowColHeaders="true" showZeros="true" tabSelected="false" topLeftCell="A52" view="normal" windowProtection="false" workbookViewId="0" zoomScale="85" zoomScaleNormal="85" zoomScalePageLayoutView="100">
      <selection activeCell="A65" activeCellId="0" pane="topLeft" sqref="A65"/>
    </sheetView>
  </sheetViews>
  <cols>
    <col collapsed="false" hidden="false" max="1" min="1" style="1" width="37.4"/>
    <col collapsed="false" hidden="false" max="2" min="2" style="1" width="40.5019607843137"/>
    <col collapsed="false" hidden="false" max="3" min="3" style="1" width="8.12941176470588"/>
    <col collapsed="false" hidden="false" max="5" min="4" style="1" width="7.15294117647059"/>
    <col collapsed="false" hidden="false" max="6" min="6" style="1" width="14.1647058823529"/>
    <col collapsed="false" hidden="false" max="1025" min="7" style="0" width="8.5921568627451"/>
  </cols>
  <sheetData>
    <row collapsed="false" customFormat="false" customHeight="false" hidden="false" ht="14.75" outlineLevel="0"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collapsed="false" customFormat="false" customHeight="false" hidden="false" ht="14.75" outlineLevel="0" r="2">
      <c r="A2" s="1" t="s">
        <v>718</v>
      </c>
      <c r="B2" s="1" t="s">
        <v>719</v>
      </c>
      <c r="C2" s="1" t="s">
        <v>720</v>
      </c>
      <c r="D2" s="1" t="n">
        <v>65.8</v>
      </c>
      <c r="E2" s="1" t="n">
        <v>13.33</v>
      </c>
      <c r="F2" s="1" t="n">
        <v>0</v>
      </c>
    </row>
    <row collapsed="false" customFormat="false" customHeight="false" hidden="false" ht="14.75" outlineLevel="0" r="3">
      <c r="A3" s="1" t="s">
        <v>721</v>
      </c>
      <c r="B3" s="1" t="s">
        <v>722</v>
      </c>
      <c r="C3" s="1" t="s">
        <v>720</v>
      </c>
      <c r="D3" s="1" t="n">
        <v>205.6</v>
      </c>
      <c r="E3" s="1" t="n">
        <v>17.97</v>
      </c>
      <c r="F3" s="1" t="n">
        <v>1</v>
      </c>
    </row>
    <row collapsed="false" customFormat="false" customHeight="false" hidden="false" ht="14.75" outlineLevel="0" r="4">
      <c r="A4" s="1" t="s">
        <v>723</v>
      </c>
      <c r="B4" s="1" t="s">
        <v>722</v>
      </c>
      <c r="C4" s="1" t="s">
        <v>720</v>
      </c>
      <c r="D4" s="1" t="n">
        <v>118.8</v>
      </c>
      <c r="E4" s="1" t="n">
        <v>11.33</v>
      </c>
      <c r="F4" s="1" t="n">
        <f aca="false">3/8</f>
        <v>0.375</v>
      </c>
    </row>
    <row collapsed="false" customFormat="false" customHeight="false" hidden="false" ht="14.75" outlineLevel="0" r="5">
      <c r="A5" s="1" t="s">
        <v>724</v>
      </c>
      <c r="B5" s="1" t="s">
        <v>719</v>
      </c>
      <c r="C5" s="1" t="s">
        <v>720</v>
      </c>
      <c r="D5" s="1" t="n">
        <v>358.6</v>
      </c>
      <c r="E5" s="1" t="n">
        <v>20.86</v>
      </c>
      <c r="F5" s="1" t="n">
        <f aca="false">9/7</f>
        <v>1.28571428571429</v>
      </c>
    </row>
    <row collapsed="false" customFormat="false" customHeight="false" hidden="false" ht="14.75" outlineLevel="0" r="6">
      <c r="A6" s="1" t="s">
        <v>725</v>
      </c>
      <c r="B6" s="1" t="s">
        <v>719</v>
      </c>
      <c r="C6" s="1" t="s">
        <v>720</v>
      </c>
      <c r="D6" s="1" t="n">
        <v>132.9</v>
      </c>
      <c r="E6" s="1" t="n">
        <v>13.75</v>
      </c>
      <c r="F6" s="1" t="n">
        <f aca="false">2/7</f>
        <v>0.285714285714286</v>
      </c>
    </row>
    <row collapsed="false" customFormat="false" customHeight="false" hidden="false" ht="14.75" outlineLevel="0" r="7">
      <c r="A7" s="1" t="s">
        <v>726</v>
      </c>
      <c r="B7" s="1" t="s">
        <v>719</v>
      </c>
      <c r="C7" s="1" t="s">
        <v>720</v>
      </c>
      <c r="D7" s="1" t="n">
        <v>58.3</v>
      </c>
      <c r="E7" s="1" t="n">
        <v>11.11</v>
      </c>
      <c r="F7" s="1" t="n">
        <v>0</v>
      </c>
    </row>
    <row collapsed="false" customFormat="false" customHeight="false" hidden="false" ht="14.75" outlineLevel="0" r="8">
      <c r="A8" s="1" t="s">
        <v>727</v>
      </c>
      <c r="B8" s="1" t="s">
        <v>722</v>
      </c>
      <c r="C8" s="1" t="s">
        <v>720</v>
      </c>
      <c r="D8" s="1" t="n">
        <v>211.2</v>
      </c>
      <c r="E8" s="1" t="n">
        <v>19.15</v>
      </c>
      <c r="F8" s="1" t="n">
        <f aca="false">13/8</f>
        <v>1.625</v>
      </c>
    </row>
    <row collapsed="false" customFormat="false" customHeight="false" hidden="false" ht="14.75" outlineLevel="0" r="9">
      <c r="A9" s="1" t="s">
        <v>728</v>
      </c>
      <c r="B9" s="1" t="s">
        <v>722</v>
      </c>
      <c r="C9" s="1" t="s">
        <v>720</v>
      </c>
      <c r="D9" s="1" t="n">
        <v>114.4</v>
      </c>
      <c r="E9" s="1" t="n">
        <v>11.9</v>
      </c>
      <c r="F9" s="1" t="n">
        <f aca="false">3/8</f>
        <v>0.375</v>
      </c>
    </row>
    <row collapsed="false" customFormat="false" customHeight="false" hidden="false" ht="14.75" outlineLevel="0" r="10">
      <c r="A10" s="1" t="s">
        <v>729</v>
      </c>
      <c r="B10" s="1" t="s">
        <v>722</v>
      </c>
      <c r="C10" s="1" t="s">
        <v>720</v>
      </c>
      <c r="D10" s="1" t="n">
        <v>85.6</v>
      </c>
      <c r="E10" s="1" t="n">
        <v>10.29</v>
      </c>
      <c r="F10" s="1" t="n">
        <f aca="false">1/8</f>
        <v>0.125</v>
      </c>
    </row>
    <row collapsed="false" customFormat="false" customHeight="false" hidden="false" ht="14.75" outlineLevel="0" r="11">
      <c r="A11" s="1" t="s">
        <v>730</v>
      </c>
      <c r="B11" s="1" t="s">
        <v>722</v>
      </c>
      <c r="C11" s="1" t="s">
        <v>720</v>
      </c>
      <c r="D11" s="1" t="n">
        <v>46.2</v>
      </c>
      <c r="E11" s="1" t="n">
        <v>5.77</v>
      </c>
      <c r="F11" s="1" t="n">
        <v>0</v>
      </c>
    </row>
    <row collapsed="false" customFormat="false" customHeight="false" hidden="false" ht="14.75" outlineLevel="0" r="12">
      <c r="A12" s="1" t="s">
        <v>731</v>
      </c>
      <c r="B12" s="1" t="s">
        <v>722</v>
      </c>
      <c r="C12" s="1" t="s">
        <v>720</v>
      </c>
      <c r="D12" s="1" t="n">
        <v>138.1</v>
      </c>
      <c r="E12" s="1" t="n">
        <v>13.06</v>
      </c>
      <c r="F12" s="1" t="n">
        <f aca="false">1/8</f>
        <v>0.125</v>
      </c>
    </row>
    <row collapsed="false" customFormat="false" customHeight="false" hidden="false" ht="14.75" outlineLevel="0" r="13">
      <c r="A13" s="1" t="s">
        <v>732</v>
      </c>
      <c r="B13" s="1" t="s">
        <v>722</v>
      </c>
      <c r="C13" s="1" t="s">
        <v>720</v>
      </c>
      <c r="D13" s="1" t="n">
        <v>61.9</v>
      </c>
      <c r="E13" s="1" t="n">
        <v>8.04</v>
      </c>
      <c r="F13" s="1" t="n">
        <f aca="false">2/8</f>
        <v>0.25</v>
      </c>
    </row>
    <row collapsed="false" customFormat="false" customHeight="false" hidden="false" ht="14.75" outlineLevel="0" r="14">
      <c r="A14" s="1" t="s">
        <v>733</v>
      </c>
      <c r="B14" s="1" t="s">
        <v>722</v>
      </c>
      <c r="C14" s="1" t="s">
        <v>720</v>
      </c>
      <c r="D14" s="1" t="n">
        <v>33.1</v>
      </c>
      <c r="E14" s="1" t="n">
        <v>9.64</v>
      </c>
      <c r="F14" s="1" t="n">
        <v>0</v>
      </c>
    </row>
    <row collapsed="false" customFormat="false" customHeight="false" hidden="false" ht="14.75" outlineLevel="0" r="15">
      <c r="A15" s="1" t="s">
        <v>734</v>
      </c>
      <c r="B15" s="1" t="s">
        <v>719</v>
      </c>
      <c r="C15" s="1" t="s">
        <v>720</v>
      </c>
      <c r="D15" s="1" t="n">
        <v>252.9</v>
      </c>
      <c r="E15" s="1" t="n">
        <v>18.55</v>
      </c>
      <c r="F15" s="1" t="n">
        <f aca="false">6/7</f>
        <v>0.857142857142857</v>
      </c>
    </row>
    <row collapsed="false" customFormat="false" customHeight="false" hidden="false" ht="14.75" outlineLevel="0" r="16">
      <c r="A16" s="1" t="s">
        <v>735</v>
      </c>
      <c r="B16" s="1" t="s">
        <v>719</v>
      </c>
      <c r="C16" s="1" t="s">
        <v>720</v>
      </c>
      <c r="D16" s="1" t="n">
        <v>146.7</v>
      </c>
      <c r="E16" s="1" t="n">
        <v>19.03</v>
      </c>
      <c r="F16" s="1" t="n">
        <f aca="false">3/6</f>
        <v>0.5</v>
      </c>
    </row>
    <row collapsed="false" customFormat="false" customHeight="false" hidden="false" ht="14.75" outlineLevel="0" r="17">
      <c r="A17" s="1" t="s">
        <v>736</v>
      </c>
      <c r="B17" s="1" t="s">
        <v>719</v>
      </c>
      <c r="C17" s="1" t="s">
        <v>720</v>
      </c>
      <c r="D17" s="1" t="n">
        <v>206.7</v>
      </c>
      <c r="E17" s="1" t="n">
        <v>18.44</v>
      </c>
      <c r="F17" s="1" t="n">
        <v>0.5</v>
      </c>
    </row>
    <row collapsed="false" customFormat="false" customHeight="false" hidden="false" ht="14.75" outlineLevel="0" r="18">
      <c r="A18" s="1" t="s">
        <v>737</v>
      </c>
      <c r="B18" s="1" t="s">
        <v>722</v>
      </c>
      <c r="C18" s="1" t="s">
        <v>720</v>
      </c>
      <c r="D18" s="1" t="n">
        <v>121.9</v>
      </c>
      <c r="E18" s="1" t="n">
        <v>12.16</v>
      </c>
      <c r="F18" s="1" t="n">
        <f aca="false">2/8</f>
        <v>0.25</v>
      </c>
    </row>
    <row collapsed="false" customFormat="false" customHeight="false" hidden="false" ht="14.75" outlineLevel="0" r="19">
      <c r="A19" s="1" t="s">
        <v>738</v>
      </c>
      <c r="B19" s="1" t="s">
        <v>722</v>
      </c>
      <c r="C19" s="1" t="s">
        <v>720</v>
      </c>
      <c r="D19" s="1" t="n">
        <v>206.2</v>
      </c>
      <c r="E19" s="1" t="n">
        <v>18.28</v>
      </c>
      <c r="F19" s="1" t="n">
        <f aca="false">9/8</f>
        <v>1.125</v>
      </c>
    </row>
    <row collapsed="false" customFormat="false" customHeight="false" hidden="false" ht="14.75" outlineLevel="0" r="20">
      <c r="A20" s="1" t="s">
        <v>739</v>
      </c>
      <c r="B20" s="1" t="s">
        <v>722</v>
      </c>
      <c r="C20" s="1" t="s">
        <v>720</v>
      </c>
      <c r="D20" s="1" t="n">
        <v>80.6</v>
      </c>
      <c r="E20" s="1" t="n">
        <v>11.45</v>
      </c>
      <c r="F20" s="1" t="n">
        <f aca="false">3/8</f>
        <v>0.375</v>
      </c>
    </row>
    <row collapsed="false" customFormat="false" customHeight="false" hidden="false" ht="14.75" outlineLevel="0" r="21">
      <c r="A21" s="1" t="s">
        <v>740</v>
      </c>
      <c r="B21" s="1" t="s">
        <v>722</v>
      </c>
      <c r="C21" s="1" t="s">
        <v>720</v>
      </c>
      <c r="D21" s="1" t="n">
        <v>128.1</v>
      </c>
      <c r="E21" s="1" t="n">
        <v>13.22</v>
      </c>
      <c r="F21" s="1" t="n">
        <v>0.5</v>
      </c>
    </row>
    <row collapsed="false" customFormat="false" customHeight="false" hidden="false" ht="14.75" outlineLevel="0" r="22">
      <c r="A22" s="1" t="s">
        <v>741</v>
      </c>
      <c r="B22" s="1" t="s">
        <v>722</v>
      </c>
      <c r="C22" s="1" t="s">
        <v>720</v>
      </c>
      <c r="D22" s="1" t="n">
        <v>115</v>
      </c>
      <c r="E22" s="1" t="n">
        <v>12.44</v>
      </c>
      <c r="F22" s="1" t="n">
        <f aca="false">2/8</f>
        <v>0.25</v>
      </c>
    </row>
    <row collapsed="false" customFormat="false" customHeight="false" hidden="false" ht="14.75" outlineLevel="0" r="23">
      <c r="A23" s="1" t="s">
        <v>742</v>
      </c>
      <c r="B23" s="1" t="s">
        <v>722</v>
      </c>
      <c r="C23" s="1" t="s">
        <v>720</v>
      </c>
      <c r="D23" s="1" t="n">
        <v>96.2</v>
      </c>
      <c r="E23" s="1" t="n">
        <v>10.95</v>
      </c>
      <c r="F23" s="1" t="n">
        <f aca="false">2/8</f>
        <v>0.25</v>
      </c>
    </row>
    <row collapsed="false" customFormat="false" customHeight="false" hidden="false" ht="14.75" outlineLevel="0" r="24">
      <c r="A24" s="1" t="s">
        <v>743</v>
      </c>
      <c r="B24" s="1" t="s">
        <v>722</v>
      </c>
      <c r="C24" s="1" t="s">
        <v>720</v>
      </c>
      <c r="D24" s="1" t="n">
        <v>38.1</v>
      </c>
      <c r="E24" s="1" t="n">
        <v>5</v>
      </c>
      <c r="F24" s="1" t="n">
        <f aca="false">1/8</f>
        <v>0.125</v>
      </c>
    </row>
    <row collapsed="false" customFormat="false" customHeight="false" hidden="false" ht="14.75" outlineLevel="0" r="25">
      <c r="A25" s="1" t="s">
        <v>744</v>
      </c>
      <c r="B25" s="1" t="s">
        <v>722</v>
      </c>
      <c r="C25" s="1" t="s">
        <v>720</v>
      </c>
      <c r="D25" s="1" t="n">
        <v>75</v>
      </c>
      <c r="E25" s="1" t="n">
        <v>7.94</v>
      </c>
      <c r="F25" s="1" t="n">
        <f aca="false">1/8</f>
        <v>0.125</v>
      </c>
    </row>
    <row collapsed="false" customFormat="false" customHeight="false" hidden="false" ht="14.75" outlineLevel="0" r="26">
      <c r="A26" s="1" t="s">
        <v>745</v>
      </c>
      <c r="B26" s="1" t="s">
        <v>722</v>
      </c>
      <c r="C26" s="1" t="s">
        <v>720</v>
      </c>
      <c r="D26" s="1" t="n">
        <v>139</v>
      </c>
      <c r="E26" s="1" t="n">
        <v>14.64</v>
      </c>
      <c r="F26" s="1" t="n">
        <f aca="false">6/5</f>
        <v>1.2</v>
      </c>
    </row>
    <row collapsed="false" customFormat="false" customHeight="false" hidden="false" ht="14.75" outlineLevel="0" r="27">
      <c r="A27" s="1" t="s">
        <v>746</v>
      </c>
      <c r="B27" s="1" t="s">
        <v>719</v>
      </c>
      <c r="C27" s="1" t="s">
        <v>720</v>
      </c>
      <c r="D27" s="1" t="n">
        <v>122.9</v>
      </c>
      <c r="E27" s="1" t="n">
        <v>17.1</v>
      </c>
      <c r="F27" s="1" t="n">
        <v>1</v>
      </c>
    </row>
    <row collapsed="false" customFormat="false" customHeight="false" hidden="false" ht="14.75" outlineLevel="0" r="28">
      <c r="A28" s="1" t="s">
        <v>747</v>
      </c>
      <c r="B28" s="1" t="s">
        <v>722</v>
      </c>
      <c r="C28" s="1" t="s">
        <v>720</v>
      </c>
      <c r="D28" s="1" t="n">
        <v>435</v>
      </c>
      <c r="E28" s="1" t="n">
        <v>24.53</v>
      </c>
      <c r="F28" s="1" t="n">
        <f aca="false">44/8</f>
        <v>5.5</v>
      </c>
    </row>
    <row collapsed="false" customFormat="false" customHeight="false" hidden="false" ht="14.75" outlineLevel="0" r="29">
      <c r="A29" s="1" t="s">
        <v>748</v>
      </c>
      <c r="B29" s="1" t="s">
        <v>722</v>
      </c>
      <c r="C29" s="1" t="s">
        <v>720</v>
      </c>
      <c r="D29" s="1" t="n">
        <v>106.4</v>
      </c>
      <c r="E29" s="1" t="n">
        <v>10.14</v>
      </c>
      <c r="F29" s="1" t="n">
        <f aca="false">6/7</f>
        <v>0.857142857142857</v>
      </c>
    </row>
    <row collapsed="false" customFormat="false" customHeight="false" hidden="false" ht="14.75" outlineLevel="0" r="30">
      <c r="A30" s="1" t="s">
        <v>749</v>
      </c>
      <c r="B30" s="1" t="s">
        <v>719</v>
      </c>
      <c r="C30" s="1" t="s">
        <v>720</v>
      </c>
      <c r="D30" s="1" t="n">
        <v>373.6</v>
      </c>
      <c r="E30" s="1" t="n">
        <v>20.77</v>
      </c>
      <c r="F30" s="1" t="n">
        <v>2</v>
      </c>
    </row>
    <row collapsed="false" customFormat="false" customHeight="false" hidden="false" ht="14.75" outlineLevel="0" r="31">
      <c r="A31" s="1" t="s">
        <v>750</v>
      </c>
      <c r="B31" s="1" t="s">
        <v>719</v>
      </c>
      <c r="C31" s="1" t="s">
        <v>720</v>
      </c>
      <c r="D31" s="1" t="n">
        <v>200.7</v>
      </c>
      <c r="E31" s="1" t="n">
        <v>16.11</v>
      </c>
      <c r="F31" s="1" t="n">
        <f aca="false">5/7</f>
        <v>0.714285714285714</v>
      </c>
    </row>
    <row collapsed="false" customFormat="false" customHeight="false" hidden="false" ht="14.75" outlineLevel="0" r="32">
      <c r="A32" s="1" t="s">
        <v>751</v>
      </c>
      <c r="B32" s="1" t="s">
        <v>719</v>
      </c>
      <c r="C32" s="1" t="s">
        <v>720</v>
      </c>
      <c r="D32" s="1" t="n">
        <v>226.4</v>
      </c>
      <c r="E32" s="1" t="n">
        <v>17.88</v>
      </c>
      <c r="F32" s="1" t="n">
        <f aca="false">4/7</f>
        <v>0.571428571428571</v>
      </c>
    </row>
    <row collapsed="false" customFormat="false" customHeight="false" hidden="false" ht="14.75" outlineLevel="0" r="33">
      <c r="A33" s="1" t="s">
        <v>752</v>
      </c>
      <c r="B33" s="1" t="s">
        <v>722</v>
      </c>
      <c r="C33" s="1" t="s">
        <v>720</v>
      </c>
      <c r="D33" s="1" t="n">
        <v>326.2</v>
      </c>
      <c r="E33" s="1" t="n">
        <v>21.62</v>
      </c>
      <c r="F33" s="1" t="n">
        <f aca="false">28/8</f>
        <v>3.5</v>
      </c>
    </row>
    <row collapsed="false" customFormat="false" customHeight="false" hidden="false" ht="14.75" outlineLevel="0" r="34">
      <c r="A34" s="1" t="s">
        <v>753</v>
      </c>
      <c r="B34" s="1" t="s">
        <v>722</v>
      </c>
      <c r="C34" s="1" t="s">
        <v>720</v>
      </c>
      <c r="D34" s="1" t="n">
        <v>97.5</v>
      </c>
      <c r="E34" s="1" t="n">
        <v>11.76</v>
      </c>
      <c r="F34" s="1" t="n">
        <f aca="false">5/8</f>
        <v>0.625</v>
      </c>
    </row>
    <row collapsed="false" customFormat="false" customHeight="false" hidden="false" ht="14.75" outlineLevel="0" r="35">
      <c r="A35" s="1" t="s">
        <v>754</v>
      </c>
      <c r="B35" s="1" t="s">
        <v>722</v>
      </c>
      <c r="C35" s="1" t="s">
        <v>720</v>
      </c>
      <c r="D35" s="1" t="n">
        <v>90.6</v>
      </c>
      <c r="E35" s="1" t="n">
        <v>13.44</v>
      </c>
      <c r="F35" s="1" t="n">
        <f aca="false">2/8</f>
        <v>0.25</v>
      </c>
    </row>
    <row collapsed="false" customFormat="false" customHeight="false" hidden="false" ht="14.75" outlineLevel="0" r="36">
      <c r="A36" s="1" t="s">
        <v>755</v>
      </c>
      <c r="B36" s="1" t="s">
        <v>722</v>
      </c>
      <c r="C36" s="1" t="s">
        <v>720</v>
      </c>
      <c r="D36" s="1" t="n">
        <v>61.9</v>
      </c>
      <c r="E36" s="1" t="n">
        <v>8.52</v>
      </c>
      <c r="F36" s="1" t="n">
        <f aca="false">1/8</f>
        <v>0.125</v>
      </c>
    </row>
    <row collapsed="false" customFormat="false" customHeight="false" hidden="false" ht="14.75" outlineLevel="0" r="37">
      <c r="A37" s="1" t="s">
        <v>756</v>
      </c>
      <c r="B37" s="1" t="s">
        <v>722</v>
      </c>
      <c r="C37" s="1" t="s">
        <v>720</v>
      </c>
      <c r="D37" s="1" t="n">
        <v>77.5</v>
      </c>
      <c r="E37" s="1" t="n">
        <v>10.16</v>
      </c>
      <c r="F37" s="1" t="n">
        <f aca="false">2/8</f>
        <v>0.25</v>
      </c>
    </row>
    <row collapsed="false" customFormat="false" customHeight="false" hidden="false" ht="14.75" outlineLevel="0" r="38">
      <c r="A38" s="1" t="s">
        <v>757</v>
      </c>
      <c r="B38" s="1" t="s">
        <v>722</v>
      </c>
      <c r="C38" s="1" t="s">
        <v>720</v>
      </c>
      <c r="D38" s="1" t="n">
        <v>243.1</v>
      </c>
      <c r="E38" s="1" t="n">
        <v>19.54</v>
      </c>
      <c r="F38" s="1" t="n">
        <v>1</v>
      </c>
    </row>
    <row collapsed="false" customFormat="false" customHeight="false" hidden="false" ht="14.75" outlineLevel="0" r="39">
      <c r="A39" s="1" t="s">
        <v>758</v>
      </c>
      <c r="B39" s="1" t="s">
        <v>722</v>
      </c>
      <c r="C39" s="1" t="s">
        <v>720</v>
      </c>
      <c r="D39" s="1" t="n">
        <v>103.8</v>
      </c>
      <c r="E39" s="1" t="n">
        <v>8.67</v>
      </c>
      <c r="F39" s="1" t="n">
        <v>0</v>
      </c>
    </row>
    <row collapsed="false" customFormat="false" customHeight="false" hidden="false" ht="14.75" outlineLevel="0" r="40">
      <c r="A40" s="1" t="s">
        <v>759</v>
      </c>
      <c r="B40" s="1" t="s">
        <v>722</v>
      </c>
      <c r="C40" s="1" t="s">
        <v>720</v>
      </c>
      <c r="D40" s="1" t="n">
        <v>91.9</v>
      </c>
      <c r="E40" s="1" t="n">
        <v>8.59</v>
      </c>
      <c r="F40" s="1" t="n">
        <f aca="false">2/8</f>
        <v>0.25</v>
      </c>
    </row>
    <row collapsed="false" customFormat="false" customHeight="false" hidden="false" ht="14.75" outlineLevel="0" r="41">
      <c r="A41" s="1" t="s">
        <v>760</v>
      </c>
      <c r="B41" s="1" t="s">
        <v>722</v>
      </c>
      <c r="C41" s="1" t="s">
        <v>720</v>
      </c>
      <c r="D41" s="1" t="n">
        <v>67.5</v>
      </c>
      <c r="E41" s="1" t="n">
        <v>9.29</v>
      </c>
      <c r="F41" s="1" t="n">
        <f aca="false">1/8</f>
        <v>0.125</v>
      </c>
    </row>
    <row collapsed="false" customFormat="false" customHeight="false" hidden="false" ht="14.75" outlineLevel="0" r="42">
      <c r="A42" s="1" t="s">
        <v>761</v>
      </c>
      <c r="B42" s="1" t="s">
        <v>722</v>
      </c>
      <c r="C42" s="1" t="s">
        <v>720</v>
      </c>
      <c r="D42" s="1" t="n">
        <v>178.8</v>
      </c>
      <c r="E42" s="1" t="n">
        <v>17.74</v>
      </c>
      <c r="F42" s="1" t="n">
        <f aca="false">6/8</f>
        <v>0.75</v>
      </c>
    </row>
    <row collapsed="false" customFormat="false" customHeight="false" hidden="false" ht="14.75" outlineLevel="0" r="43">
      <c r="A43" s="1" t="s">
        <v>762</v>
      </c>
      <c r="B43" s="1" t="s">
        <v>722</v>
      </c>
      <c r="C43" s="1" t="s">
        <v>720</v>
      </c>
      <c r="D43" s="1" t="n">
        <v>105</v>
      </c>
      <c r="E43" s="1" t="n">
        <v>15.45</v>
      </c>
      <c r="F43" s="1" t="n">
        <f aca="false">9/8</f>
        <v>1.125</v>
      </c>
    </row>
    <row collapsed="false" customFormat="false" customHeight="false" hidden="false" ht="14.75" outlineLevel="0" r="44">
      <c r="A44" s="1" t="s">
        <v>763</v>
      </c>
      <c r="B44" s="1" t="s">
        <v>722</v>
      </c>
      <c r="C44" s="1" t="s">
        <v>720</v>
      </c>
      <c r="D44" s="1" t="n">
        <v>86.2</v>
      </c>
      <c r="E44" s="1" t="n">
        <v>9.32</v>
      </c>
      <c r="F44" s="1" t="n">
        <v>0</v>
      </c>
    </row>
    <row collapsed="false" customFormat="false" customHeight="false" hidden="false" ht="14.75" outlineLevel="0" r="45">
      <c r="A45" s="1" t="s">
        <v>764</v>
      </c>
      <c r="B45" s="1" t="s">
        <v>719</v>
      </c>
      <c r="C45" s="1" t="s">
        <v>720</v>
      </c>
      <c r="D45" s="1" t="n">
        <v>346.4</v>
      </c>
      <c r="E45" s="1" t="n">
        <v>21.64</v>
      </c>
      <c r="F45" s="1" t="n">
        <f aca="false">16/7</f>
        <v>2.28571428571429</v>
      </c>
    </row>
    <row collapsed="false" customFormat="false" customHeight="false" hidden="false" ht="14.75" outlineLevel="0" r="46">
      <c r="A46" s="1" t="s">
        <v>765</v>
      </c>
      <c r="B46" s="1" t="s">
        <v>722</v>
      </c>
      <c r="C46" s="1" t="s">
        <v>720</v>
      </c>
      <c r="D46" s="1" t="n">
        <v>204.4</v>
      </c>
      <c r="E46" s="1" t="n">
        <v>16.13</v>
      </c>
      <c r="F46" s="1" t="n">
        <v>2</v>
      </c>
    </row>
    <row collapsed="false" customFormat="false" customHeight="false" hidden="false" ht="14.75" outlineLevel="0" r="47">
      <c r="A47" s="1" t="s">
        <v>766</v>
      </c>
      <c r="B47" s="1" t="s">
        <v>722</v>
      </c>
      <c r="C47" s="1" t="s">
        <v>720</v>
      </c>
      <c r="D47" s="1" t="n">
        <v>85</v>
      </c>
      <c r="E47" s="1" t="n">
        <v>10.59</v>
      </c>
      <c r="F47" s="1" t="n">
        <f aca="false">1/8</f>
        <v>0.125</v>
      </c>
    </row>
    <row collapsed="false" customFormat="false" customHeight="false" hidden="false" ht="14.75" outlineLevel="0" r="48">
      <c r="A48" s="1" t="s">
        <v>767</v>
      </c>
      <c r="B48" s="1" t="s">
        <v>722</v>
      </c>
      <c r="C48" s="1" t="s">
        <v>720</v>
      </c>
      <c r="D48" s="1" t="n">
        <v>110.6</v>
      </c>
      <c r="E48" s="1" t="n">
        <v>13.51</v>
      </c>
      <c r="F48" s="1" t="n">
        <f aca="false">5/8</f>
        <v>0.625</v>
      </c>
    </row>
    <row collapsed="false" customFormat="false" customHeight="false" hidden="false" ht="14.75" outlineLevel="0" r="49">
      <c r="A49" s="1" t="s">
        <v>768</v>
      </c>
      <c r="B49" s="1" t="s">
        <v>722</v>
      </c>
      <c r="C49" s="1" t="s">
        <v>720</v>
      </c>
      <c r="D49" s="1" t="n">
        <v>65.8</v>
      </c>
      <c r="E49" s="1" t="n">
        <v>9.05</v>
      </c>
      <c r="F49" s="1" t="n">
        <f aca="false">2/6</f>
        <v>0.333333333333333</v>
      </c>
    </row>
    <row collapsed="false" customFormat="false" customHeight="false" hidden="false" ht="14.75" outlineLevel="0" r="50">
      <c r="A50" s="1" t="s">
        <v>769</v>
      </c>
      <c r="B50" s="1" t="s">
        <v>722</v>
      </c>
      <c r="C50" s="1" t="s">
        <v>720</v>
      </c>
      <c r="D50" s="1" t="n">
        <v>86.2</v>
      </c>
      <c r="E50" s="1" t="n">
        <v>12.19</v>
      </c>
      <c r="F50" s="1" t="n">
        <v>0.5</v>
      </c>
    </row>
    <row collapsed="false" customFormat="false" customHeight="false" hidden="false" ht="14.75" outlineLevel="0" r="51">
      <c r="A51" s="1" t="s">
        <v>770</v>
      </c>
      <c r="B51" s="1" t="s">
        <v>722</v>
      </c>
      <c r="C51" s="1" t="s">
        <v>720</v>
      </c>
      <c r="D51" s="1" t="n">
        <v>396.9</v>
      </c>
      <c r="E51" s="1" t="n">
        <v>21.86</v>
      </c>
      <c r="F51" s="1" t="n">
        <f aca="false">32/8</f>
        <v>4</v>
      </c>
    </row>
    <row collapsed="false" customFormat="false" customHeight="false" hidden="false" ht="14.75" outlineLevel="0" r="52">
      <c r="A52" s="1" t="s">
        <v>771</v>
      </c>
      <c r="B52" s="1" t="s">
        <v>722</v>
      </c>
      <c r="C52" s="1" t="s">
        <v>720</v>
      </c>
      <c r="D52" s="1" t="n">
        <v>235</v>
      </c>
      <c r="E52" s="1" t="n">
        <v>15.41</v>
      </c>
      <c r="F52" s="1" t="n">
        <f aca="false">12/8</f>
        <v>1.5</v>
      </c>
    </row>
    <row collapsed="false" customFormat="false" customHeight="false" hidden="false" ht="14.75" outlineLevel="0" r="53">
      <c r="A53" s="1" t="s">
        <v>772</v>
      </c>
      <c r="B53" s="1" t="s">
        <v>722</v>
      </c>
      <c r="C53" s="1" t="s">
        <v>720</v>
      </c>
      <c r="D53" s="1" t="n">
        <v>90</v>
      </c>
      <c r="E53" s="1" t="n">
        <v>10.27</v>
      </c>
      <c r="F53" s="1" t="n">
        <f aca="false">3/8</f>
        <v>0.375</v>
      </c>
    </row>
    <row collapsed="false" customFormat="false" customHeight="false" hidden="false" ht="14.75" outlineLevel="0" r="54">
      <c r="A54" s="1" t="s">
        <v>773</v>
      </c>
      <c r="B54" s="1" t="s">
        <v>722</v>
      </c>
      <c r="C54" s="1" t="s">
        <v>720</v>
      </c>
      <c r="D54" s="1" t="n">
        <v>93.1</v>
      </c>
      <c r="E54" s="1" t="n">
        <v>8.9</v>
      </c>
      <c r="F54" s="1" t="n">
        <f aca="false">5/8</f>
        <v>0.625</v>
      </c>
    </row>
    <row collapsed="false" customFormat="false" customHeight="false" hidden="false" ht="14.75" outlineLevel="0" r="55">
      <c r="A55" s="1" t="s">
        <v>774</v>
      </c>
      <c r="B55" s="1" t="s">
        <v>722</v>
      </c>
      <c r="C55" s="1" t="s">
        <v>720</v>
      </c>
      <c r="D55" s="1" t="n">
        <v>137.5</v>
      </c>
      <c r="E55" s="1" t="n">
        <v>14.89</v>
      </c>
      <c r="F55" s="1" t="n">
        <f aca="false">5/8</f>
        <v>0.625</v>
      </c>
    </row>
    <row collapsed="false" customFormat="false" customHeight="false" hidden="false" ht="14.75" outlineLevel="0" r="56">
      <c r="A56" s="1" t="s">
        <v>775</v>
      </c>
      <c r="B56" s="1" t="s">
        <v>722</v>
      </c>
      <c r="C56" s="1" t="s">
        <v>720</v>
      </c>
      <c r="D56" s="1" t="n">
        <v>133.1</v>
      </c>
      <c r="E56" s="1" t="n">
        <v>13.59</v>
      </c>
      <c r="F56" s="1" t="n">
        <v>1</v>
      </c>
    </row>
    <row collapsed="false" customFormat="false" customHeight="false" hidden="false" ht="14.75" outlineLevel="0" r="57">
      <c r="A57" s="1" t="s">
        <v>776</v>
      </c>
      <c r="B57" s="1" t="s">
        <v>722</v>
      </c>
      <c r="C57" s="1" t="s">
        <v>720</v>
      </c>
      <c r="D57" s="1" t="n">
        <v>66.9</v>
      </c>
      <c r="E57" s="1" t="n">
        <v>7.19</v>
      </c>
      <c r="F57" s="1" t="n">
        <f aca="false">1/8</f>
        <v>0.125</v>
      </c>
    </row>
    <row collapsed="false" customFormat="false" customHeight="false" hidden="false" ht="14.75" outlineLevel="0" r="58">
      <c r="A58" s="1" t="s">
        <v>777</v>
      </c>
      <c r="B58" s="1" t="s">
        <v>722</v>
      </c>
      <c r="C58" s="1" t="s">
        <v>720</v>
      </c>
      <c r="D58" s="1" t="n">
        <v>156.9</v>
      </c>
      <c r="E58" s="1" t="n">
        <v>11.64</v>
      </c>
      <c r="F58" s="1" t="n">
        <v>0.5</v>
      </c>
    </row>
    <row collapsed="false" customFormat="false" customHeight="false" hidden="false" ht="14.75" outlineLevel="0" r="59">
      <c r="A59" s="1" t="s">
        <v>778</v>
      </c>
      <c r="B59" s="1" t="s">
        <v>722</v>
      </c>
      <c r="C59" s="1" t="s">
        <v>720</v>
      </c>
      <c r="D59" s="1" t="n">
        <v>116.9</v>
      </c>
      <c r="E59" s="1" t="n">
        <v>10.43</v>
      </c>
      <c r="F59" s="1" t="n">
        <v>0</v>
      </c>
    </row>
    <row collapsed="false" customFormat="false" customHeight="false" hidden="false" ht="14.75" outlineLevel="0" r="60">
      <c r="A60" s="1" t="s">
        <v>779</v>
      </c>
      <c r="B60" s="1" t="s">
        <v>722</v>
      </c>
      <c r="C60" s="1" t="s">
        <v>720</v>
      </c>
      <c r="D60" s="1" t="n">
        <v>146.2</v>
      </c>
      <c r="E60" s="1" t="n">
        <v>14.89</v>
      </c>
      <c r="F60" s="1" t="n">
        <f aca="false">3/8</f>
        <v>0.375</v>
      </c>
    </row>
    <row collapsed="false" customFormat="false" customHeight="false" hidden="false" ht="14.75" outlineLevel="0" r="61">
      <c r="A61" s="1" t="s">
        <v>780</v>
      </c>
      <c r="B61" s="1" t="s">
        <v>722</v>
      </c>
      <c r="C61" s="1" t="s">
        <v>720</v>
      </c>
      <c r="D61" s="1" t="n">
        <v>105</v>
      </c>
      <c r="E61" s="1" t="n">
        <v>10.75</v>
      </c>
      <c r="F61" s="1" t="n">
        <f aca="false">5/8</f>
        <v>0.625</v>
      </c>
    </row>
    <row collapsed="false" customFormat="false" customHeight="false" hidden="false" ht="14.75" outlineLevel="0" r="62">
      <c r="A62" s="1" t="s">
        <v>781</v>
      </c>
      <c r="B62" s="1" t="s">
        <v>722</v>
      </c>
      <c r="C62" s="1" t="s">
        <v>720</v>
      </c>
      <c r="D62" s="1" t="n">
        <v>99.4</v>
      </c>
      <c r="E62" s="1" t="n">
        <v>12.22</v>
      </c>
      <c r="F62" s="1" t="n">
        <f aca="false">3/8</f>
        <v>0.375</v>
      </c>
    </row>
    <row collapsed="false" customFormat="false" customHeight="false" hidden="false" ht="14.75" outlineLevel="0" r="63">
      <c r="A63" s="1" t="s">
        <v>782</v>
      </c>
      <c r="B63" s="1" t="s">
        <v>722</v>
      </c>
      <c r="C63" s="1" t="s">
        <v>720</v>
      </c>
      <c r="D63" s="1" t="n">
        <v>35</v>
      </c>
      <c r="E63" s="1" t="n">
        <v>6.47</v>
      </c>
      <c r="F63" s="1" t="n">
        <f aca="false">1/8</f>
        <v>0.125</v>
      </c>
    </row>
    <row collapsed="false" customFormat="false" customHeight="false" hidden="false" ht="14.75" outlineLevel="0" r="64">
      <c r="A64" s="1" t="s">
        <v>783</v>
      </c>
      <c r="B64" s="1" t="s">
        <v>722</v>
      </c>
      <c r="C64" s="1" t="s">
        <v>720</v>
      </c>
      <c r="D64" s="1" t="n">
        <v>25.6</v>
      </c>
      <c r="E64" s="1" t="n">
        <v>6</v>
      </c>
      <c r="F64" s="1" t="n">
        <v>0</v>
      </c>
    </row>
    <row collapsed="false" customFormat="false" customHeight="false" hidden="false" ht="14.75" outlineLevel="0" r="65">
      <c r="A65" s="1" t="s">
        <v>784</v>
      </c>
      <c r="B65" s="1" t="s">
        <v>722</v>
      </c>
      <c r="C65" s="1" t="s">
        <v>720</v>
      </c>
      <c r="D65" s="1" t="n">
        <v>95</v>
      </c>
      <c r="E65" s="1" t="n">
        <v>10.54</v>
      </c>
      <c r="F65" s="1" t="n">
        <v>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blackAndWhite="false" cellComments="none" copies="1" draft="false" firstPageNumber="0" fitToHeight="1" fitToWidth="1" horizontalDpi="300" orientation="portrait" pageOrder="downThenOver" paperSize="1" scale="100" useFirstPageNumber="false" usePrinterDefaults="false" verticalDpi="300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256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85" zoomScaleNormal="85" zoomScalePageLayoutView="100">
      <selection activeCell="A1" activeCellId="0" pane="topLeft" sqref="A1"/>
    </sheetView>
  </sheetViews>
  <cols>
    <col collapsed="false" hidden="false" max="1" min="1" style="1" width="24.2470588235294"/>
    <col collapsed="false" hidden="false" max="2" min="2" style="1" width="32.3607843137255"/>
    <col collapsed="false" hidden="false" max="1025" min="3" style="0" width="8.5921568627451"/>
  </cols>
  <sheetData>
    <row collapsed="false" customFormat="false" customHeight="false" hidden="false" ht="14.75" outlineLevel="0"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collapsed="false" customFormat="false" customHeight="false" hidden="false" ht="14.75" outlineLevel="0" r="2">
      <c r="A2" s="1" t="s">
        <v>785</v>
      </c>
      <c r="B2" s="1" t="s">
        <v>786</v>
      </c>
      <c r="C2" s="1" t="s">
        <v>787</v>
      </c>
      <c r="D2" s="1" t="n">
        <v>145.5</v>
      </c>
      <c r="E2" s="1" t="n">
        <v>10</v>
      </c>
      <c r="F2" s="1" t="n">
        <f aca="false">8/11</f>
        <v>0.727272727272727</v>
      </c>
    </row>
    <row collapsed="false" customFormat="false" customHeight="false" hidden="false" ht="14.75" outlineLevel="0" r="3">
      <c r="A3" s="1" t="s">
        <v>788</v>
      </c>
      <c r="B3" s="1" t="s">
        <v>786</v>
      </c>
      <c r="C3" s="1" t="s">
        <v>787</v>
      </c>
      <c r="D3" s="1" t="n">
        <v>117</v>
      </c>
      <c r="E3" s="1" t="n">
        <v>8.44</v>
      </c>
      <c r="F3" s="1" t="n">
        <v>1</v>
      </c>
    </row>
    <row collapsed="false" customFormat="false" customHeight="false" hidden="false" ht="14.75" outlineLevel="0" r="4">
      <c r="A4" s="1" t="s">
        <v>789</v>
      </c>
      <c r="B4" s="1" t="s">
        <v>790</v>
      </c>
      <c r="C4" s="1" t="s">
        <v>787</v>
      </c>
      <c r="D4" s="1" t="n">
        <v>403.5</v>
      </c>
      <c r="E4" s="1" t="n">
        <v>20.95</v>
      </c>
      <c r="F4" s="1" t="n">
        <v>4.6</v>
      </c>
    </row>
    <row collapsed="false" customFormat="false" customHeight="false" hidden="false" ht="14.75" outlineLevel="0" r="5">
      <c r="A5" s="1" t="s">
        <v>791</v>
      </c>
      <c r="B5" s="1" t="s">
        <v>790</v>
      </c>
      <c r="C5" s="1" t="s">
        <v>787</v>
      </c>
      <c r="D5" s="1" t="n">
        <v>385</v>
      </c>
      <c r="E5" s="1" t="n">
        <v>19.37</v>
      </c>
      <c r="F5" s="1" t="n">
        <v>5.2</v>
      </c>
    </row>
    <row collapsed="false" customFormat="false" customHeight="false" hidden="false" ht="14.75" outlineLevel="0" r="6">
      <c r="A6" s="1" t="s">
        <v>792</v>
      </c>
      <c r="B6" s="1" t="s">
        <v>790</v>
      </c>
      <c r="C6" s="1" t="s">
        <v>787</v>
      </c>
      <c r="D6" s="1" t="n">
        <v>177.5</v>
      </c>
      <c r="E6" s="1" t="n">
        <v>13.75</v>
      </c>
      <c r="F6" s="1" t="n">
        <v>1.6</v>
      </c>
    </row>
    <row collapsed="false" customFormat="false" customHeight="false" hidden="false" ht="14.75" outlineLevel="0" r="7">
      <c r="A7" s="1" t="s">
        <v>793</v>
      </c>
      <c r="B7" s="1" t="s">
        <v>790</v>
      </c>
      <c r="C7" s="1" t="s">
        <v>787</v>
      </c>
      <c r="D7" s="1" t="n">
        <v>223.5</v>
      </c>
      <c r="E7" s="1" t="n">
        <v>15.41</v>
      </c>
      <c r="F7" s="1" t="n">
        <v>3.3</v>
      </c>
    </row>
    <row collapsed="false" customFormat="false" customHeight="false" hidden="false" ht="14.75" outlineLevel="0" r="8">
      <c r="A8" s="1" t="s">
        <v>794</v>
      </c>
      <c r="B8" s="1" t="s">
        <v>790</v>
      </c>
      <c r="C8" s="1" t="s">
        <v>787</v>
      </c>
      <c r="D8" s="1" t="n">
        <v>127.5</v>
      </c>
      <c r="E8" s="1" t="n">
        <v>11.1</v>
      </c>
      <c r="F8" s="1" t="n">
        <v>1.3</v>
      </c>
    </row>
    <row collapsed="false" customFormat="false" customHeight="false" hidden="false" ht="14.75" outlineLevel="0" r="9">
      <c r="A9" s="1" t="s">
        <v>795</v>
      </c>
      <c r="B9" s="1" t="s">
        <v>790</v>
      </c>
      <c r="C9" s="1" t="s">
        <v>787</v>
      </c>
      <c r="D9" s="1" t="n">
        <v>175.5</v>
      </c>
      <c r="E9" s="1" t="n">
        <v>14.71</v>
      </c>
      <c r="F9" s="1" t="n">
        <v>2.3</v>
      </c>
    </row>
    <row collapsed="false" customFormat="false" customHeight="false" hidden="false" ht="14.75" outlineLevel="0" r="10">
      <c r="A10" s="1" t="s">
        <v>796</v>
      </c>
      <c r="B10" s="1" t="s">
        <v>797</v>
      </c>
      <c r="C10" s="1" t="s">
        <v>787</v>
      </c>
      <c r="D10" s="1" t="n">
        <v>277</v>
      </c>
      <c r="E10" s="1" t="n">
        <v>15.05</v>
      </c>
      <c r="F10" s="1" t="n">
        <v>3</v>
      </c>
    </row>
    <row collapsed="false" customFormat="false" customHeight="false" hidden="false" ht="14.75" outlineLevel="0" r="11">
      <c r="A11" s="1" t="s">
        <v>798</v>
      </c>
      <c r="B11" s="1" t="s">
        <v>797</v>
      </c>
      <c r="C11" s="1" t="s">
        <v>787</v>
      </c>
      <c r="D11" s="1" t="n">
        <v>149.5</v>
      </c>
      <c r="E11" s="1" t="n">
        <v>10.58</v>
      </c>
      <c r="F11" s="1" t="n">
        <v>1.2</v>
      </c>
    </row>
    <row collapsed="false" customFormat="false" customHeight="false" hidden="false" ht="14.75" outlineLevel="0" r="12">
      <c r="A12" s="1" t="s">
        <v>799</v>
      </c>
      <c r="B12" s="1" t="s">
        <v>797</v>
      </c>
      <c r="C12" s="1" t="s">
        <v>787</v>
      </c>
      <c r="D12" s="1" t="n">
        <v>123.5</v>
      </c>
      <c r="E12" s="1" t="n">
        <v>9.53</v>
      </c>
      <c r="F12" s="1" t="n">
        <v>0.6</v>
      </c>
    </row>
    <row collapsed="false" customFormat="false" customHeight="false" hidden="false" ht="14.75" outlineLevel="0" r="13">
      <c r="A13" s="1" t="s">
        <v>800</v>
      </c>
      <c r="B13" s="1" t="s">
        <v>797</v>
      </c>
      <c r="C13" s="1" t="s">
        <v>787</v>
      </c>
      <c r="D13" s="1" t="n">
        <v>98.9</v>
      </c>
      <c r="E13" s="1" t="n">
        <v>6.67</v>
      </c>
      <c r="F13" s="1" t="n">
        <v>0.7</v>
      </c>
    </row>
    <row collapsed="false" customFormat="false" customHeight="false" hidden="false" ht="14.75" outlineLevel="0" r="14">
      <c r="A14" s="1" t="s">
        <v>801</v>
      </c>
      <c r="B14" s="1" t="s">
        <v>797</v>
      </c>
      <c r="C14" s="1" t="s">
        <v>787</v>
      </c>
      <c r="D14" s="1" t="n">
        <v>33.9</v>
      </c>
      <c r="E14" s="1" t="n">
        <v>5</v>
      </c>
      <c r="F14" s="1" t="n">
        <v>0.2</v>
      </c>
    </row>
    <row collapsed="false" customFormat="false" customHeight="false" hidden="false" ht="14.75" outlineLevel="0" r="15">
      <c r="A15" s="1" t="s">
        <v>513</v>
      </c>
      <c r="B15" s="1" t="s">
        <v>802</v>
      </c>
      <c r="C15" s="1" t="s">
        <v>787</v>
      </c>
      <c r="D15" s="1" t="n">
        <v>325</v>
      </c>
      <c r="E15" s="1" t="n">
        <v>19.48</v>
      </c>
      <c r="F15" s="1" t="n">
        <f aca="false">32/8</f>
        <v>4</v>
      </c>
    </row>
    <row collapsed="false" customFormat="false" customHeight="false" hidden="false" ht="14.75" outlineLevel="0" r="16">
      <c r="A16" s="1" t="s">
        <v>514</v>
      </c>
      <c r="B16" s="1" t="s">
        <v>802</v>
      </c>
      <c r="C16" s="1" t="s">
        <v>787</v>
      </c>
      <c r="D16" s="1" t="n">
        <v>308.8</v>
      </c>
      <c r="E16" s="1" t="n">
        <v>16.32</v>
      </c>
      <c r="F16" s="1" t="n">
        <f aca="false">26/8</f>
        <v>3.25</v>
      </c>
    </row>
    <row collapsed="false" customFormat="false" customHeight="false" hidden="false" ht="14.75" outlineLevel="0" r="17">
      <c r="A17" s="1" t="s">
        <v>195</v>
      </c>
      <c r="B17" s="1" t="s">
        <v>803</v>
      </c>
      <c r="C17" s="1" t="s">
        <v>787</v>
      </c>
      <c r="D17" s="1" t="n">
        <v>315</v>
      </c>
      <c r="E17" s="1" t="n">
        <v>16.11</v>
      </c>
      <c r="F17" s="1" t="n">
        <v>2</v>
      </c>
    </row>
    <row collapsed="false" customFormat="false" customHeight="false" hidden="false" ht="14.75" outlineLevel="0" r="18">
      <c r="A18" s="1" t="s">
        <v>197</v>
      </c>
      <c r="B18" s="1" t="s">
        <v>803</v>
      </c>
      <c r="C18" s="1" t="s">
        <v>787</v>
      </c>
      <c r="D18" s="1" t="n">
        <v>160</v>
      </c>
      <c r="E18" s="1" t="n">
        <v>13.57</v>
      </c>
      <c r="F18" s="1" t="n">
        <f aca="false">6/8</f>
        <v>0.75</v>
      </c>
    </row>
    <row collapsed="false" customFormat="false" customHeight="false" hidden="false" ht="14.75" outlineLevel="0" r="19">
      <c r="A19" s="1" t="s">
        <v>804</v>
      </c>
      <c r="B19" s="1" t="s">
        <v>805</v>
      </c>
      <c r="C19" s="1" t="s">
        <v>787</v>
      </c>
      <c r="D19" s="1" t="n">
        <v>76.7</v>
      </c>
      <c r="E19" s="1" t="n">
        <v>10</v>
      </c>
      <c r="F19" s="1" t="n">
        <v>0</v>
      </c>
    </row>
    <row collapsed="false" customFormat="false" customHeight="false" hidden="false" ht="14.75" outlineLevel="0" r="20">
      <c r="A20" s="1" t="s">
        <v>806</v>
      </c>
      <c r="B20" s="1" t="s">
        <v>803</v>
      </c>
      <c r="C20" s="1" t="s">
        <v>787</v>
      </c>
      <c r="D20" s="1" t="n">
        <v>131.2</v>
      </c>
      <c r="E20" s="1" t="n">
        <v>12.83</v>
      </c>
      <c r="F20" s="1" t="n">
        <f aca="false">6/8</f>
        <v>0.75</v>
      </c>
    </row>
    <row collapsed="false" customFormat="false" customHeight="false" hidden="false" ht="14.75" outlineLevel="0" r="21">
      <c r="A21" s="1" t="s">
        <v>807</v>
      </c>
      <c r="B21" s="1" t="s">
        <v>803</v>
      </c>
      <c r="C21" s="1" t="s">
        <v>787</v>
      </c>
      <c r="D21" s="1" t="n">
        <v>36.2</v>
      </c>
      <c r="E21" s="1" t="n">
        <v>8.82</v>
      </c>
      <c r="F21" s="1" t="n">
        <v>0</v>
      </c>
    </row>
    <row collapsed="false" customFormat="false" customHeight="false" hidden="false" ht="14.75" outlineLevel="0" r="22">
      <c r="A22" s="1" t="s">
        <v>808</v>
      </c>
      <c r="B22" s="1" t="s">
        <v>803</v>
      </c>
      <c r="C22" s="1" t="s">
        <v>787</v>
      </c>
      <c r="D22" s="1" t="n">
        <v>21.9</v>
      </c>
      <c r="E22" s="1" t="n">
        <v>3.33</v>
      </c>
      <c r="F22" s="1" t="n">
        <v>0.5</v>
      </c>
    </row>
    <row collapsed="false" customFormat="false" customHeight="false" hidden="false" ht="14.75" outlineLevel="0" r="23">
      <c r="A23" s="1" t="s">
        <v>809</v>
      </c>
      <c r="B23" s="1" t="s">
        <v>810</v>
      </c>
      <c r="C23" s="1" t="s">
        <v>787</v>
      </c>
      <c r="D23" s="1" t="n">
        <v>170.6</v>
      </c>
      <c r="E23" s="1" t="n">
        <v>13.73</v>
      </c>
      <c r="F23" s="1" t="n">
        <f aca="false">11/8</f>
        <v>1.375</v>
      </c>
    </row>
    <row collapsed="false" customFormat="false" customHeight="false" hidden="false" ht="14.75" outlineLevel="0" r="24">
      <c r="A24" s="1" t="s">
        <v>811</v>
      </c>
      <c r="B24" s="1" t="s">
        <v>810</v>
      </c>
      <c r="C24" s="1" t="s">
        <v>787</v>
      </c>
      <c r="D24" s="1" t="n">
        <v>27.5</v>
      </c>
      <c r="E24" s="1" t="n">
        <v>3.53</v>
      </c>
      <c r="F24" s="1" t="n">
        <f aca="false">2/8</f>
        <v>0.25</v>
      </c>
    </row>
    <row collapsed="false" customFormat="false" customHeight="false" hidden="false" ht="14.75" outlineLevel="0" r="25">
      <c r="A25" s="1" t="s">
        <v>812</v>
      </c>
      <c r="B25" s="1" t="s">
        <v>813</v>
      </c>
      <c r="C25" s="1" t="s">
        <v>787</v>
      </c>
      <c r="D25" s="1" t="n">
        <v>408.8</v>
      </c>
      <c r="E25" s="1" t="n">
        <v>22</v>
      </c>
      <c r="F25" s="1" t="n">
        <f aca="false">79/12</f>
        <v>6.58333333333333</v>
      </c>
    </row>
    <row collapsed="false" customFormat="false" customHeight="false" hidden="false" ht="14.75" outlineLevel="0" r="26">
      <c r="A26" s="1" t="s">
        <v>523</v>
      </c>
      <c r="B26" s="1" t="s">
        <v>803</v>
      </c>
      <c r="C26" s="1" t="s">
        <v>787</v>
      </c>
      <c r="D26" s="1" t="n">
        <v>131.2</v>
      </c>
      <c r="E26" s="1" t="n">
        <v>8.07</v>
      </c>
      <c r="F26" s="1" t="n">
        <f aca="false">11/8</f>
        <v>1.375</v>
      </c>
    </row>
    <row collapsed="false" customFormat="false" customHeight="false" hidden="false" ht="14.75" outlineLevel="0" r="27">
      <c r="A27" s="1" t="s">
        <v>524</v>
      </c>
      <c r="B27" s="1" t="s">
        <v>803</v>
      </c>
      <c r="C27" s="1" t="s">
        <v>787</v>
      </c>
      <c r="D27" s="1" t="n">
        <v>75.6</v>
      </c>
      <c r="E27" s="1" t="n">
        <v>7.84</v>
      </c>
      <c r="F27" s="1" t="n">
        <v>0.5</v>
      </c>
    </row>
    <row collapsed="false" customFormat="false" customHeight="false" hidden="false" ht="14.75" outlineLevel="0" r="28">
      <c r="A28" s="1" t="s">
        <v>814</v>
      </c>
      <c r="B28" s="1" t="s">
        <v>803</v>
      </c>
      <c r="C28" s="1" t="s">
        <v>787</v>
      </c>
      <c r="D28" s="1" t="n">
        <v>56.2</v>
      </c>
      <c r="E28" s="1" t="n">
        <v>5.76</v>
      </c>
      <c r="F28" s="1" t="n">
        <f aca="false">2/8</f>
        <v>0.25</v>
      </c>
    </row>
    <row collapsed="false" customFormat="false" customHeight="false" hidden="false" ht="14.75" outlineLevel="0" r="29">
      <c r="A29" s="1" t="s">
        <v>815</v>
      </c>
      <c r="B29" s="1" t="s">
        <v>816</v>
      </c>
      <c r="C29" s="1" t="s">
        <v>787</v>
      </c>
      <c r="D29" s="1" t="n">
        <v>104.7</v>
      </c>
      <c r="E29" s="1" t="n">
        <v>8.39</v>
      </c>
      <c r="F29" s="1" t="n">
        <f aca="false">6/11</f>
        <v>0.545454545454545</v>
      </c>
    </row>
    <row collapsed="false" customFormat="false" customHeight="false" hidden="false" ht="14.75" outlineLevel="0" r="30">
      <c r="A30" s="1" t="s">
        <v>817</v>
      </c>
      <c r="B30" s="1" t="s">
        <v>818</v>
      </c>
      <c r="C30" s="1" t="s">
        <v>787</v>
      </c>
      <c r="D30" s="1" t="n">
        <v>37</v>
      </c>
      <c r="E30" s="1" t="n">
        <v>8</v>
      </c>
      <c r="F30" s="1" t="n">
        <f aca="false">4/5</f>
        <v>0.8</v>
      </c>
    </row>
    <row collapsed="false" customFormat="false" customHeight="false" hidden="false" ht="14.75" outlineLevel="0" r="31">
      <c r="A31" s="1" t="s">
        <v>302</v>
      </c>
      <c r="B31" s="1" t="s">
        <v>813</v>
      </c>
      <c r="C31" s="1" t="s">
        <v>787</v>
      </c>
      <c r="D31" s="1" t="n">
        <v>116</v>
      </c>
      <c r="E31" s="1" t="n">
        <v>10.89</v>
      </c>
      <c r="F31" s="1" t="n">
        <f aca="false">8/10</f>
        <v>0.8</v>
      </c>
    </row>
    <row collapsed="false" customFormat="false" customHeight="false" hidden="false" ht="14.75" outlineLevel="0" r="32">
      <c r="A32" s="1" t="s">
        <v>819</v>
      </c>
      <c r="B32" s="1" t="s">
        <v>816</v>
      </c>
      <c r="C32" s="1" t="s">
        <v>787</v>
      </c>
      <c r="D32" s="1" t="n">
        <v>326.1</v>
      </c>
      <c r="E32" s="1" t="n">
        <v>15.79</v>
      </c>
      <c r="F32" s="1" t="n">
        <f aca="false">31/11</f>
        <v>2.81818181818182</v>
      </c>
    </row>
    <row collapsed="false" customFormat="false" customHeight="false" hidden="false" ht="14.75" outlineLevel="0" r="33">
      <c r="A33" s="1" t="s">
        <v>820</v>
      </c>
      <c r="B33" s="1" t="s">
        <v>818</v>
      </c>
      <c r="C33" s="1" t="s">
        <v>787</v>
      </c>
      <c r="D33" s="1" t="n">
        <v>126.2</v>
      </c>
      <c r="E33" s="1" t="n">
        <v>9.61</v>
      </c>
      <c r="F33" s="1" t="n">
        <v>1</v>
      </c>
    </row>
    <row collapsed="false" customFormat="false" customHeight="false" hidden="false" ht="14.75" outlineLevel="0" r="34">
      <c r="A34" s="1" t="s">
        <v>821</v>
      </c>
      <c r="B34" s="1" t="s">
        <v>818</v>
      </c>
      <c r="C34" s="1" t="s">
        <v>787</v>
      </c>
      <c r="D34" s="1" t="n">
        <v>178.5</v>
      </c>
      <c r="E34" s="1" t="n">
        <v>11.98</v>
      </c>
      <c r="F34" s="1" t="n">
        <v>1.6</v>
      </c>
    </row>
    <row collapsed="false" customFormat="false" customHeight="false" hidden="false" ht="14.75" outlineLevel="0" r="35">
      <c r="A35" s="1" t="s">
        <v>103</v>
      </c>
      <c r="B35" s="1" t="s">
        <v>813</v>
      </c>
      <c r="C35" s="1" t="s">
        <v>787</v>
      </c>
      <c r="D35" s="1" t="n">
        <v>186.1</v>
      </c>
      <c r="E35" s="1" t="n">
        <v>13.77</v>
      </c>
      <c r="F35" s="1" t="n">
        <f aca="false">20/9</f>
        <v>2.22222222222222</v>
      </c>
    </row>
    <row collapsed="false" customFormat="false" customHeight="false" hidden="false" ht="14.75" outlineLevel="0" r="36">
      <c r="A36" s="1" t="s">
        <v>104</v>
      </c>
      <c r="B36" s="1" t="s">
        <v>813</v>
      </c>
      <c r="C36" s="1" t="s">
        <v>787</v>
      </c>
      <c r="D36" s="1" t="n">
        <v>146.1</v>
      </c>
      <c r="E36" s="1" t="n">
        <v>12.13</v>
      </c>
      <c r="F36" s="1" t="n">
        <f aca="false">10/9</f>
        <v>1.11111111111111</v>
      </c>
    </row>
    <row collapsed="false" customFormat="false" customHeight="false" hidden="false" ht="14.75" outlineLevel="0" r="37">
      <c r="A37" s="1" t="s">
        <v>822</v>
      </c>
      <c r="B37" s="1" t="s">
        <v>813</v>
      </c>
      <c r="C37" s="1" t="s">
        <v>787</v>
      </c>
      <c r="D37" s="1" t="n">
        <v>90</v>
      </c>
      <c r="E37" s="1" t="n">
        <v>8</v>
      </c>
      <c r="F37" s="1" t="n">
        <f aca="false">9/9</f>
        <v>1</v>
      </c>
    </row>
    <row collapsed="false" customFormat="false" customHeight="false" hidden="false" ht="14.75" outlineLevel="0" r="38">
      <c r="A38" s="1" t="s">
        <v>823</v>
      </c>
      <c r="B38" s="1" t="s">
        <v>813</v>
      </c>
      <c r="C38" s="1" t="s">
        <v>787</v>
      </c>
      <c r="D38" s="1" t="n">
        <v>65.6</v>
      </c>
      <c r="E38" s="1" t="n">
        <v>8.28</v>
      </c>
      <c r="F38" s="1" t="n">
        <f aca="false">4/9</f>
        <v>0.444444444444444</v>
      </c>
    </row>
    <row collapsed="false" customFormat="false" customHeight="false" hidden="false" ht="14.75" outlineLevel="0" r="39">
      <c r="A39" s="1" t="s">
        <v>824</v>
      </c>
      <c r="B39" s="1" t="s">
        <v>797</v>
      </c>
      <c r="C39" s="1" t="s">
        <v>787</v>
      </c>
      <c r="D39" s="1" t="n">
        <v>438.2</v>
      </c>
      <c r="E39" s="1" t="n">
        <v>21.05</v>
      </c>
      <c r="F39" s="1" t="n">
        <f aca="false">64/11</f>
        <v>5.81818181818182</v>
      </c>
    </row>
    <row collapsed="false" customFormat="false" customHeight="false" hidden="false" ht="14.75" outlineLevel="0" r="40">
      <c r="A40" s="1" t="s">
        <v>825</v>
      </c>
      <c r="B40" s="1" t="s">
        <v>797</v>
      </c>
      <c r="C40" s="1" t="s">
        <v>787</v>
      </c>
      <c r="D40" s="1" t="n">
        <v>150</v>
      </c>
      <c r="E40" s="1" t="n">
        <v>13.65</v>
      </c>
      <c r="F40" s="1" t="n">
        <v>0.7</v>
      </c>
    </row>
    <row collapsed="false" customFormat="false" customHeight="false" hidden="false" ht="14.75" outlineLevel="0" r="41">
      <c r="A41" s="1" t="s">
        <v>826</v>
      </c>
      <c r="B41" s="1" t="s">
        <v>797</v>
      </c>
      <c r="C41" s="1" t="s">
        <v>787</v>
      </c>
      <c r="D41" s="1" t="n">
        <v>114.5</v>
      </c>
      <c r="E41" s="1" t="n">
        <v>9.18</v>
      </c>
      <c r="F41" s="1" t="n">
        <v>0.6</v>
      </c>
    </row>
    <row collapsed="false" customFormat="false" customHeight="false" hidden="false" ht="14.75" outlineLevel="0" r="42">
      <c r="A42" s="1" t="s">
        <v>532</v>
      </c>
      <c r="B42" s="1" t="s">
        <v>818</v>
      </c>
      <c r="C42" s="1" t="s">
        <v>787</v>
      </c>
      <c r="D42" s="1" t="n">
        <v>154</v>
      </c>
      <c r="E42" s="1" t="n">
        <v>11.1</v>
      </c>
      <c r="F42" s="1" t="n">
        <v>1.2</v>
      </c>
    </row>
    <row collapsed="false" customFormat="false" customHeight="false" hidden="false" ht="14.75" outlineLevel="0" r="43">
      <c r="A43" s="1" t="s">
        <v>200</v>
      </c>
      <c r="B43" s="1" t="s">
        <v>803</v>
      </c>
      <c r="C43" s="1" t="s">
        <v>787</v>
      </c>
      <c r="D43" s="1" t="n">
        <f aca="false">((186.7*3)+(319.4*8))/11</f>
        <v>283.209090909091</v>
      </c>
      <c r="E43" s="1" t="n">
        <f aca="false">(340+1580)/(22+91)</f>
        <v>16.9911504424779</v>
      </c>
      <c r="F43" s="1" t="n">
        <v>3</v>
      </c>
    </row>
    <row collapsed="false" customFormat="false" customHeight="false" hidden="false" ht="14.75" outlineLevel="0" r="44">
      <c r="A44" s="1" t="s">
        <v>827</v>
      </c>
      <c r="B44" s="1" t="s">
        <v>797</v>
      </c>
      <c r="C44" s="1" t="s">
        <v>787</v>
      </c>
      <c r="D44" s="1" t="n">
        <v>332.3</v>
      </c>
      <c r="E44" s="1" t="n">
        <v>19.27</v>
      </c>
      <c r="F44" s="1" t="n">
        <f aca="false">40/11</f>
        <v>3.63636363636364</v>
      </c>
    </row>
    <row collapsed="false" customFormat="false" customHeight="false" hidden="false" ht="14.75" outlineLevel="0" r="45">
      <c r="A45" s="1" t="s">
        <v>828</v>
      </c>
      <c r="B45" s="1" t="s">
        <v>797</v>
      </c>
      <c r="C45" s="1" t="s">
        <v>787</v>
      </c>
      <c r="D45" s="1" t="n">
        <v>179</v>
      </c>
      <c r="E45" s="1" t="n">
        <v>12.72</v>
      </c>
      <c r="F45" s="1" t="n">
        <v>2.4</v>
      </c>
    </row>
    <row collapsed="false" customFormat="false" customHeight="false" hidden="false" ht="14.75" outlineLevel="0" r="46">
      <c r="A46" s="1" t="s">
        <v>829</v>
      </c>
      <c r="B46" s="1" t="s">
        <v>797</v>
      </c>
      <c r="C46" s="1" t="s">
        <v>787</v>
      </c>
      <c r="D46" s="1" t="n">
        <v>159.5</v>
      </c>
      <c r="E46" s="1" t="n">
        <v>10.53</v>
      </c>
      <c r="F46" s="1" t="n">
        <v>1.1</v>
      </c>
    </row>
    <row collapsed="false" customFormat="false" customHeight="false" hidden="false" ht="14.75" outlineLevel="0" r="47">
      <c r="A47" s="1" t="s">
        <v>830</v>
      </c>
      <c r="B47" s="1" t="s">
        <v>797</v>
      </c>
      <c r="C47" s="1" t="s">
        <v>787</v>
      </c>
      <c r="D47" s="1" t="n">
        <v>97.2</v>
      </c>
      <c r="E47" s="1" t="n">
        <v>7.69</v>
      </c>
      <c r="F47" s="1" t="n">
        <v>0.4</v>
      </c>
    </row>
    <row collapsed="false" customFormat="false" customHeight="false" hidden="false" ht="14.75" outlineLevel="0" r="48">
      <c r="A48" s="1" t="s">
        <v>831</v>
      </c>
      <c r="B48" s="1" t="s">
        <v>797</v>
      </c>
      <c r="C48" s="1" t="s">
        <v>787</v>
      </c>
      <c r="D48" s="1" t="n">
        <v>129</v>
      </c>
      <c r="E48" s="1" t="n">
        <v>10.29</v>
      </c>
      <c r="F48" s="1" t="n">
        <v>0.9</v>
      </c>
    </row>
    <row collapsed="false" customFormat="false" customHeight="false" hidden="false" ht="14.75" outlineLevel="0" r="49">
      <c r="A49" s="1" t="s">
        <v>832</v>
      </c>
      <c r="B49" s="1" t="s">
        <v>797</v>
      </c>
      <c r="C49" s="1" t="s">
        <v>787</v>
      </c>
      <c r="D49" s="1" t="n">
        <v>86.5</v>
      </c>
      <c r="E49" s="1" t="n">
        <v>7.4</v>
      </c>
      <c r="F49" s="1" t="n">
        <v>1.1</v>
      </c>
    </row>
    <row collapsed="false" customFormat="false" customHeight="false" hidden="false" ht="14.75" outlineLevel="0" r="50">
      <c r="A50" s="1" t="s">
        <v>535</v>
      </c>
      <c r="B50" s="1" t="s">
        <v>802</v>
      </c>
      <c r="C50" s="1" t="s">
        <v>787</v>
      </c>
      <c r="D50" s="1" t="n">
        <v>395.5</v>
      </c>
      <c r="E50" s="1" t="n">
        <v>21.07</v>
      </c>
      <c r="F50" s="1" t="n">
        <v>5.5</v>
      </c>
    </row>
    <row collapsed="false" customFormat="false" customHeight="false" hidden="false" ht="14.75" outlineLevel="0" r="51">
      <c r="A51" s="1" t="s">
        <v>536</v>
      </c>
      <c r="B51" s="1" t="s">
        <v>802</v>
      </c>
      <c r="C51" s="1" t="s">
        <v>787</v>
      </c>
      <c r="D51" s="1" t="n">
        <v>479.5</v>
      </c>
      <c r="E51" s="1" t="n">
        <v>22.45</v>
      </c>
      <c r="F51" s="1" t="n">
        <v>6.2</v>
      </c>
    </row>
    <row collapsed="false" customFormat="false" customHeight="false" hidden="false" ht="14.75" outlineLevel="0" r="52">
      <c r="A52" s="1" t="s">
        <v>833</v>
      </c>
      <c r="B52" s="1" t="s">
        <v>805</v>
      </c>
      <c r="C52" s="1" t="s">
        <v>787</v>
      </c>
      <c r="D52" s="1" t="n">
        <v>211.7</v>
      </c>
      <c r="E52" s="1" t="n">
        <v>12.5</v>
      </c>
      <c r="F52" s="1" t="n">
        <v>1</v>
      </c>
    </row>
    <row collapsed="false" customFormat="false" customHeight="false" hidden="false" ht="14.75" outlineLevel="0" r="53">
      <c r="A53" s="1" t="s">
        <v>834</v>
      </c>
      <c r="B53" s="1" t="s">
        <v>805</v>
      </c>
      <c r="C53" s="1" t="s">
        <v>787</v>
      </c>
      <c r="D53" s="1" t="n">
        <v>57.5</v>
      </c>
      <c r="E53" s="1" t="n">
        <v>9.5</v>
      </c>
      <c r="F53" s="1" t="n">
        <v>0</v>
      </c>
    </row>
    <row collapsed="false" customFormat="false" customHeight="false" hidden="false" ht="14.75" outlineLevel="0" r="54">
      <c r="A54" s="1" t="s">
        <v>835</v>
      </c>
      <c r="B54" s="1" t="s">
        <v>786</v>
      </c>
      <c r="C54" s="1" t="s">
        <v>787</v>
      </c>
      <c r="D54" s="1" t="n">
        <v>136.5</v>
      </c>
      <c r="E54" s="1" t="n">
        <v>9.58</v>
      </c>
      <c r="F54" s="1" t="n">
        <v>0.7</v>
      </c>
    </row>
    <row collapsed="false" customFormat="false" customHeight="false" hidden="false" ht="14.75" outlineLevel="0" r="55">
      <c r="A55" s="1" t="s">
        <v>836</v>
      </c>
      <c r="B55" s="1" t="s">
        <v>786</v>
      </c>
      <c r="C55" s="1" t="s">
        <v>787</v>
      </c>
      <c r="D55" s="1" t="n">
        <v>52.5</v>
      </c>
      <c r="E55" s="1" t="n">
        <v>6</v>
      </c>
      <c r="F55" s="1" t="n">
        <v>0.1</v>
      </c>
    </row>
    <row collapsed="false" customFormat="false" customHeight="false" hidden="false" ht="14.75" outlineLevel="0" r="56">
      <c r="A56" s="1" t="s">
        <v>837</v>
      </c>
      <c r="B56" s="1" t="s">
        <v>805</v>
      </c>
      <c r="C56" s="1" t="s">
        <v>787</v>
      </c>
      <c r="D56" s="1" t="n">
        <v>150.8</v>
      </c>
      <c r="E56" s="1" t="n">
        <v>11.19</v>
      </c>
      <c r="F56" s="1" t="n">
        <f aca="false">10/7</f>
        <v>1.42857142857143</v>
      </c>
    </row>
    <row collapsed="false" customFormat="false" customHeight="false" hidden="false" ht="14.75" outlineLevel="0" r="57">
      <c r="A57" s="1" t="s">
        <v>838</v>
      </c>
      <c r="B57" s="1" t="s">
        <v>805</v>
      </c>
      <c r="C57" s="1" t="s">
        <v>787</v>
      </c>
      <c r="D57" s="1" t="n">
        <v>28.3</v>
      </c>
      <c r="E57" s="1" t="n">
        <v>5.91</v>
      </c>
      <c r="F57" s="1" t="n">
        <f aca="false">2/7</f>
        <v>0.285714285714286</v>
      </c>
    </row>
    <row collapsed="false" customFormat="false" customHeight="false" hidden="false" ht="14.75" outlineLevel="0" r="58">
      <c r="A58" s="1" t="s">
        <v>108</v>
      </c>
      <c r="B58" s="1" t="s">
        <v>839</v>
      </c>
      <c r="C58" s="1" t="s">
        <v>787</v>
      </c>
      <c r="D58" s="1" t="n">
        <v>327</v>
      </c>
      <c r="E58" s="1" t="n">
        <v>17.1</v>
      </c>
      <c r="F58" s="1" t="n">
        <v>2.8</v>
      </c>
    </row>
    <row collapsed="false" customFormat="false" customHeight="false" hidden="false" ht="14.75" outlineLevel="0" r="59">
      <c r="A59" s="1" t="s">
        <v>110</v>
      </c>
      <c r="B59" s="1" t="s">
        <v>839</v>
      </c>
      <c r="C59" s="1" t="s">
        <v>787</v>
      </c>
      <c r="D59" s="1" t="n">
        <v>284.5</v>
      </c>
      <c r="E59" s="1" t="n">
        <v>14.4</v>
      </c>
      <c r="F59" s="1" t="n">
        <v>1.7</v>
      </c>
    </row>
    <row collapsed="false" customFormat="false" customHeight="false" hidden="false" ht="14.75" outlineLevel="0" r="60">
      <c r="A60" s="1" t="s">
        <v>840</v>
      </c>
      <c r="B60" s="1" t="s">
        <v>802</v>
      </c>
      <c r="C60" s="1" t="s">
        <v>787</v>
      </c>
      <c r="D60" s="1" t="n">
        <v>190</v>
      </c>
      <c r="E60" s="1" t="n">
        <v>12.41</v>
      </c>
      <c r="F60" s="1" t="n">
        <f aca="false">17/7</f>
        <v>2.42857142857143</v>
      </c>
    </row>
    <row collapsed="false" customFormat="false" customHeight="false" hidden="false" ht="14.75" outlineLevel="0" r="61">
      <c r="A61" s="1" t="s">
        <v>841</v>
      </c>
      <c r="B61" s="1" t="s">
        <v>802</v>
      </c>
      <c r="C61" s="1" t="s">
        <v>787</v>
      </c>
      <c r="D61" s="1" t="n">
        <v>75.7</v>
      </c>
      <c r="E61" s="1" t="n">
        <v>10.19</v>
      </c>
      <c r="F61" s="1" t="n">
        <f aca="false">3/7</f>
        <v>0.428571428571429</v>
      </c>
    </row>
    <row collapsed="false" customFormat="false" customHeight="false" hidden="false" ht="14.75" outlineLevel="0" r="62">
      <c r="A62" s="1" t="s">
        <v>842</v>
      </c>
      <c r="B62" s="1" t="s">
        <v>803</v>
      </c>
      <c r="C62" s="1" t="s">
        <v>787</v>
      </c>
      <c r="D62" s="1" t="n">
        <v>90.6</v>
      </c>
      <c r="E62" s="1" t="n">
        <v>7.38</v>
      </c>
      <c r="F62" s="1" t="n">
        <f aca="false">6/8</f>
        <v>0.75</v>
      </c>
    </row>
    <row collapsed="false" customFormat="false" customHeight="false" hidden="false" ht="14.75" outlineLevel="0" r="63">
      <c r="A63" s="1" t="s">
        <v>843</v>
      </c>
      <c r="B63" s="1" t="s">
        <v>844</v>
      </c>
      <c r="C63" s="1" t="s">
        <v>787</v>
      </c>
      <c r="D63" s="1" t="n">
        <v>65.8</v>
      </c>
      <c r="E63" s="1" t="n">
        <v>10.24</v>
      </c>
      <c r="F63" s="1" t="n">
        <f aca="false">3/8</f>
        <v>0.375</v>
      </c>
    </row>
    <row collapsed="false" customFormat="false" customHeight="false" hidden="false" ht="14.75" outlineLevel="0" r="64">
      <c r="A64" s="1" t="s">
        <v>845</v>
      </c>
      <c r="B64" s="1" t="s">
        <v>839</v>
      </c>
      <c r="C64" s="1" t="s">
        <v>787</v>
      </c>
      <c r="D64" s="1" t="n">
        <v>141.5</v>
      </c>
      <c r="E64" s="1" t="n">
        <v>9.3</v>
      </c>
      <c r="F64" s="1" t="n">
        <v>1.3</v>
      </c>
    </row>
    <row collapsed="false" customFormat="false" customHeight="false" hidden="false" ht="14.75" outlineLevel="0" r="65">
      <c r="A65" s="1" t="s">
        <v>846</v>
      </c>
      <c r="B65" s="1" t="s">
        <v>797</v>
      </c>
      <c r="C65" s="1" t="s">
        <v>787</v>
      </c>
      <c r="D65" s="1" t="n">
        <v>174.5</v>
      </c>
      <c r="E65" s="1" t="n">
        <v>12.5</v>
      </c>
      <c r="F65" s="1" t="n">
        <v>1</v>
      </c>
    </row>
    <row collapsed="false" customFormat="false" customHeight="false" hidden="false" ht="14.75" outlineLevel="0" r="66">
      <c r="A66" s="1" t="s">
        <v>847</v>
      </c>
      <c r="B66" s="1" t="s">
        <v>797</v>
      </c>
      <c r="C66" s="1" t="s">
        <v>787</v>
      </c>
      <c r="D66" s="1" t="n">
        <v>102.5</v>
      </c>
      <c r="E66" s="1" t="n">
        <v>7.46</v>
      </c>
      <c r="F66" s="1" t="n">
        <v>1.6</v>
      </c>
    </row>
    <row collapsed="false" customFormat="false" customHeight="false" hidden="false" ht="14.75" outlineLevel="0" r="67">
      <c r="A67" s="1" t="s">
        <v>848</v>
      </c>
      <c r="B67" s="1" t="s">
        <v>849</v>
      </c>
      <c r="C67" s="1" t="s">
        <v>787</v>
      </c>
      <c r="D67" s="1" t="n">
        <v>405.8</v>
      </c>
      <c r="E67" s="1" t="n">
        <v>22.33</v>
      </c>
      <c r="F67" s="1" t="n">
        <f aca="false">68/12</f>
        <v>5.66666666666667</v>
      </c>
    </row>
    <row collapsed="false" customFormat="false" customHeight="false" hidden="false" ht="14.75" outlineLevel="0" r="68">
      <c r="A68" s="1" t="s">
        <v>850</v>
      </c>
      <c r="B68" s="1" t="s">
        <v>844</v>
      </c>
      <c r="C68" s="1" t="s">
        <v>787</v>
      </c>
      <c r="D68" s="1" t="n">
        <v>49</v>
      </c>
      <c r="E68" s="1" t="n">
        <v>8.57</v>
      </c>
      <c r="F68" s="1" t="n">
        <v>0</v>
      </c>
    </row>
    <row collapsed="false" customFormat="false" customHeight="false" hidden="false" ht="14.75" outlineLevel="0" r="69">
      <c r="A69" s="1" t="s">
        <v>851</v>
      </c>
      <c r="B69" s="1" t="s">
        <v>844</v>
      </c>
      <c r="C69" s="1" t="s">
        <v>787</v>
      </c>
      <c r="D69" s="1" t="n">
        <v>171</v>
      </c>
      <c r="E69" s="1" t="n">
        <v>13.16</v>
      </c>
      <c r="F69" s="1" t="n">
        <f aca="false">2/8</f>
        <v>0.25</v>
      </c>
    </row>
    <row collapsed="false" customFormat="false" customHeight="false" hidden="false" ht="14.75" outlineLevel="0" r="70">
      <c r="A70" s="1" t="s">
        <v>204</v>
      </c>
      <c r="B70" s="1" t="s">
        <v>849</v>
      </c>
      <c r="C70" s="1" t="s">
        <v>787</v>
      </c>
      <c r="D70" s="1" t="n">
        <v>462.5</v>
      </c>
      <c r="E70" s="1" t="n">
        <v>24.14</v>
      </c>
      <c r="F70" s="1" t="n">
        <f aca="false">89/12</f>
        <v>7.41666666666667</v>
      </c>
    </row>
    <row collapsed="false" customFormat="false" customHeight="false" hidden="false" ht="14.75" outlineLevel="0" r="71">
      <c r="A71" s="1" t="s">
        <v>205</v>
      </c>
      <c r="B71" s="1" t="s">
        <v>849</v>
      </c>
      <c r="C71" s="1" t="s">
        <v>787</v>
      </c>
      <c r="D71" s="1" t="n">
        <v>339.5</v>
      </c>
      <c r="E71" s="1" t="n">
        <v>19.05</v>
      </c>
      <c r="F71" s="1" t="n">
        <v>4.6</v>
      </c>
    </row>
    <row collapsed="false" customFormat="false" customHeight="false" hidden="false" ht="14.75" outlineLevel="0" r="72">
      <c r="A72" s="1" t="s">
        <v>113</v>
      </c>
      <c r="B72" s="1" t="s">
        <v>839</v>
      </c>
      <c r="C72" s="1" t="s">
        <v>787</v>
      </c>
      <c r="D72" s="1" t="n">
        <v>132</v>
      </c>
      <c r="E72" s="1" t="n">
        <v>11.1</v>
      </c>
      <c r="F72" s="1" t="n">
        <v>0.4</v>
      </c>
    </row>
    <row collapsed="false" customFormat="false" customHeight="false" hidden="false" ht="14.75" outlineLevel="0" r="73">
      <c r="A73" s="1" t="s">
        <v>114</v>
      </c>
      <c r="B73" s="1" t="s">
        <v>839</v>
      </c>
      <c r="C73" s="1" t="s">
        <v>787</v>
      </c>
      <c r="D73" s="1" t="n">
        <v>39.5</v>
      </c>
      <c r="E73" s="1" t="n">
        <v>2.1</v>
      </c>
      <c r="F73" s="1" t="n">
        <v>0.2</v>
      </c>
    </row>
    <row collapsed="false" customFormat="false" customHeight="false" hidden="false" ht="14.75" outlineLevel="0" r="74">
      <c r="A74" s="1" t="s">
        <v>852</v>
      </c>
      <c r="B74" s="1" t="s">
        <v>805</v>
      </c>
      <c r="C74" s="1" t="s">
        <v>787</v>
      </c>
      <c r="D74" s="1" t="n">
        <v>215</v>
      </c>
      <c r="E74" s="1" t="n">
        <v>13.28</v>
      </c>
      <c r="F74" s="1" t="n">
        <f aca="false">4/9</f>
        <v>0.444444444444444</v>
      </c>
    </row>
    <row collapsed="false" customFormat="false" customHeight="false" hidden="false" ht="14.75" outlineLevel="0" r="75">
      <c r="A75" s="1" t="s">
        <v>119</v>
      </c>
      <c r="B75" s="1" t="s">
        <v>818</v>
      </c>
      <c r="C75" s="1" t="s">
        <v>787</v>
      </c>
      <c r="D75" s="1" t="n">
        <v>378.6</v>
      </c>
      <c r="E75" s="1" t="n">
        <v>20.15</v>
      </c>
      <c r="F75" s="1" t="n">
        <f aca="false">47/11</f>
        <v>4.27272727272727</v>
      </c>
    </row>
    <row collapsed="false" customFormat="false" customHeight="false" hidden="false" ht="14.75" outlineLevel="0" r="76">
      <c r="A76" s="1" t="s">
        <v>853</v>
      </c>
      <c r="B76" s="1" t="s">
        <v>797</v>
      </c>
      <c r="C76" s="1" t="s">
        <v>787</v>
      </c>
      <c r="D76" s="1" t="n">
        <v>250</v>
      </c>
      <c r="E76" s="1" t="n">
        <v>16.74</v>
      </c>
      <c r="F76" s="1" t="n">
        <v>2</v>
      </c>
    </row>
    <row collapsed="false" customFormat="false" customHeight="false" hidden="false" ht="14.75" outlineLevel="0" r="77">
      <c r="A77" s="1" t="s">
        <v>854</v>
      </c>
      <c r="B77" s="1" t="s">
        <v>797</v>
      </c>
      <c r="C77" s="1" t="s">
        <v>787</v>
      </c>
      <c r="D77" s="1" t="n">
        <v>146</v>
      </c>
      <c r="E77" s="1" t="n">
        <v>10.87</v>
      </c>
      <c r="F77" s="1" t="n">
        <v>0.8</v>
      </c>
    </row>
    <row collapsed="false" customFormat="false" customHeight="false" hidden="false" ht="14.75" outlineLevel="0" r="78">
      <c r="A78" s="1" t="s">
        <v>855</v>
      </c>
      <c r="B78" s="1" t="s">
        <v>797</v>
      </c>
      <c r="C78" s="1" t="s">
        <v>787</v>
      </c>
      <c r="D78" s="1" t="n">
        <v>144.5</v>
      </c>
      <c r="E78" s="1" t="n">
        <v>11.52</v>
      </c>
      <c r="F78" s="1" t="n">
        <v>1</v>
      </c>
    </row>
    <row collapsed="false" customFormat="false" customHeight="false" hidden="false" ht="14.75" outlineLevel="0" r="79">
      <c r="A79" s="1" t="s">
        <v>856</v>
      </c>
      <c r="B79" s="1" t="s">
        <v>805</v>
      </c>
      <c r="C79" s="1" t="s">
        <v>787</v>
      </c>
      <c r="D79" s="1" t="n">
        <v>286.7</v>
      </c>
      <c r="E79" s="1" t="n">
        <v>16.21</v>
      </c>
      <c r="F79" s="1" t="n">
        <v>1.2</v>
      </c>
    </row>
    <row collapsed="false" customFormat="false" customHeight="false" hidden="false" ht="14.75" outlineLevel="0" r="80">
      <c r="A80" s="1" t="s">
        <v>857</v>
      </c>
      <c r="B80" s="1" t="s">
        <v>805</v>
      </c>
      <c r="C80" s="1" t="s">
        <v>787</v>
      </c>
      <c r="D80" s="1" t="n">
        <v>185.8</v>
      </c>
      <c r="E80" s="1" t="n">
        <v>10.37</v>
      </c>
      <c r="F80" s="1" t="n">
        <v>0.9</v>
      </c>
    </row>
    <row collapsed="false" customFormat="false" customHeight="false" hidden="false" ht="14.75" outlineLevel="0" r="81">
      <c r="A81" s="1" t="s">
        <v>858</v>
      </c>
      <c r="B81" s="1" t="s">
        <v>805</v>
      </c>
      <c r="C81" s="1" t="s">
        <v>787</v>
      </c>
      <c r="D81" s="1" t="n">
        <v>172.5</v>
      </c>
      <c r="E81" s="1" t="n">
        <v>11.6</v>
      </c>
      <c r="F81" s="1" t="n">
        <f aca="false">13/8</f>
        <v>1.625</v>
      </c>
    </row>
    <row collapsed="false" customFormat="false" customHeight="false" hidden="false" ht="14.75" outlineLevel="0" r="82">
      <c r="A82" s="1" t="s">
        <v>859</v>
      </c>
      <c r="B82" s="1" t="s">
        <v>813</v>
      </c>
      <c r="C82" s="1" t="s">
        <v>787</v>
      </c>
      <c r="D82" s="1" t="n">
        <v>28.9</v>
      </c>
      <c r="E82" s="1" t="n">
        <v>1.82</v>
      </c>
      <c r="F82" s="1" t="n">
        <f aca="false">4/9</f>
        <v>0.444444444444444</v>
      </c>
    </row>
    <row collapsed="false" customFormat="false" customHeight="false" hidden="false" ht="14.75" outlineLevel="0" r="83">
      <c r="A83" s="1" t="s">
        <v>123</v>
      </c>
      <c r="B83" s="1" t="s">
        <v>818</v>
      </c>
      <c r="C83" s="1" t="s">
        <v>787</v>
      </c>
      <c r="D83" s="1" t="n">
        <v>365</v>
      </c>
      <c r="E83" s="1" t="n">
        <v>20.31</v>
      </c>
      <c r="F83" s="1" t="n">
        <f aca="false">48/11</f>
        <v>4.36363636363636</v>
      </c>
    </row>
    <row collapsed="false" customFormat="false" customHeight="false" hidden="false" ht="14.75" outlineLevel="0" r="84">
      <c r="A84" s="1" t="s">
        <v>124</v>
      </c>
      <c r="B84" s="1" t="s">
        <v>818</v>
      </c>
      <c r="C84" s="1" t="s">
        <v>787</v>
      </c>
      <c r="D84" s="1" t="n">
        <v>101.5</v>
      </c>
      <c r="E84" s="1" t="n">
        <v>10.66</v>
      </c>
      <c r="F84" s="1" t="n">
        <v>0.5</v>
      </c>
    </row>
    <row collapsed="false" customFormat="false" customHeight="false" hidden="false" ht="14.75" outlineLevel="0" r="85">
      <c r="A85" s="1" t="s">
        <v>860</v>
      </c>
      <c r="B85" s="1" t="s">
        <v>844</v>
      </c>
      <c r="C85" s="1" t="s">
        <v>787</v>
      </c>
      <c r="D85" s="1" t="n">
        <v>378.1</v>
      </c>
      <c r="E85" s="1" t="n">
        <v>19.4</v>
      </c>
      <c r="F85" s="1" t="n">
        <f aca="false">26/8</f>
        <v>3.25</v>
      </c>
    </row>
    <row collapsed="false" customFormat="false" customHeight="false" hidden="false" ht="14.75" outlineLevel="0" r="86">
      <c r="A86" s="1" t="s">
        <v>861</v>
      </c>
      <c r="B86" s="1" t="s">
        <v>844</v>
      </c>
      <c r="C86" s="1" t="s">
        <v>787</v>
      </c>
      <c r="D86" s="1" t="n">
        <v>126</v>
      </c>
      <c r="E86" s="1" t="n">
        <v>12.07</v>
      </c>
      <c r="F86" s="1" t="n">
        <f aca="false">7/8</f>
        <v>0.875</v>
      </c>
    </row>
    <row collapsed="false" customFormat="false" customHeight="false" hidden="false" ht="14.75" outlineLevel="0" r="87">
      <c r="A87" s="1" t="s">
        <v>862</v>
      </c>
      <c r="B87" s="1" t="s">
        <v>818</v>
      </c>
      <c r="C87" s="1" t="s">
        <v>787</v>
      </c>
      <c r="D87" s="1" t="n">
        <v>182.2</v>
      </c>
      <c r="E87" s="1" t="n">
        <v>12</v>
      </c>
      <c r="F87" s="1" t="n">
        <f aca="false">15/9</f>
        <v>1.66666666666667</v>
      </c>
    </row>
    <row collapsed="false" customFormat="false" customHeight="false" hidden="false" ht="14.75" outlineLevel="0" r="88">
      <c r="A88" s="1" t="s">
        <v>863</v>
      </c>
      <c r="B88" s="1" t="s">
        <v>810</v>
      </c>
      <c r="C88" s="1" t="s">
        <v>787</v>
      </c>
      <c r="D88" s="1" t="n">
        <v>314.4</v>
      </c>
      <c r="E88" s="1" t="n">
        <v>17.53</v>
      </c>
      <c r="F88" s="1" t="n">
        <v>3</v>
      </c>
    </row>
    <row collapsed="false" customFormat="false" customHeight="false" hidden="false" ht="14.75" outlineLevel="0" r="89">
      <c r="A89" s="1" t="s">
        <v>864</v>
      </c>
      <c r="B89" s="1" t="s">
        <v>844</v>
      </c>
      <c r="C89" s="1" t="s">
        <v>787</v>
      </c>
      <c r="D89" s="1" t="n">
        <v>218.1</v>
      </c>
      <c r="E89" s="1" t="n">
        <v>16.15</v>
      </c>
      <c r="F89" s="1" t="n">
        <f aca="false">14/8</f>
        <v>1.75</v>
      </c>
    </row>
    <row collapsed="false" customFormat="false" customHeight="false" hidden="false" ht="14.75" outlineLevel="0" r="90">
      <c r="A90" s="1" t="s">
        <v>865</v>
      </c>
      <c r="B90" s="1" t="s">
        <v>813</v>
      </c>
      <c r="C90" s="1" t="s">
        <v>787</v>
      </c>
      <c r="D90" s="1" t="n">
        <v>407.9</v>
      </c>
      <c r="E90" s="1" t="n">
        <v>21.76</v>
      </c>
      <c r="F90" s="1" t="n">
        <f aca="false">80/12</f>
        <v>6.66666666666667</v>
      </c>
    </row>
    <row collapsed="false" customFormat="false" customHeight="false" hidden="false" ht="14.75" outlineLevel="0" r="91">
      <c r="A91" s="1" t="s">
        <v>866</v>
      </c>
      <c r="B91" s="1" t="s">
        <v>813</v>
      </c>
      <c r="C91" s="1" t="s">
        <v>787</v>
      </c>
      <c r="D91" s="1" t="n">
        <v>96.7</v>
      </c>
      <c r="E91" s="1" t="n">
        <v>10.23</v>
      </c>
      <c r="F91" s="1" t="n">
        <f aca="false">7/9</f>
        <v>0.777777777777778</v>
      </c>
    </row>
    <row collapsed="false" customFormat="false" customHeight="false" hidden="false" ht="14.75" outlineLevel="0" r="92">
      <c r="A92" s="1" t="s">
        <v>867</v>
      </c>
      <c r="B92" s="1" t="s">
        <v>802</v>
      </c>
      <c r="C92" s="1" t="s">
        <v>787</v>
      </c>
      <c r="D92" s="1" t="n">
        <v>183.1</v>
      </c>
      <c r="E92" s="1" t="n">
        <v>12.31</v>
      </c>
      <c r="F92" s="1" t="n">
        <f aca="false">11/8</f>
        <v>1.375</v>
      </c>
    </row>
    <row collapsed="false" customFormat="false" customHeight="false" hidden="false" ht="14.75" outlineLevel="0" r="93">
      <c r="A93" s="1" t="s">
        <v>561</v>
      </c>
      <c r="B93" s="1" t="s">
        <v>813</v>
      </c>
      <c r="C93" s="1" t="s">
        <v>787</v>
      </c>
      <c r="D93" s="1" t="n">
        <v>266</v>
      </c>
      <c r="E93" s="1" t="n">
        <v>16.08</v>
      </c>
      <c r="F93" s="1" t="n">
        <f aca="false">31/10</f>
        <v>3.1</v>
      </c>
    </row>
    <row collapsed="false" customFormat="false" customHeight="false" hidden="false" ht="14.75" outlineLevel="0" r="94">
      <c r="A94" s="1" t="s">
        <v>868</v>
      </c>
      <c r="B94" s="1" t="s">
        <v>803</v>
      </c>
      <c r="C94" s="1" t="s">
        <v>787</v>
      </c>
      <c r="D94" s="1" t="n">
        <v>384.1</v>
      </c>
      <c r="E94" s="1" t="n">
        <v>18.88</v>
      </c>
      <c r="F94" s="1" t="n">
        <f aca="false">42/11</f>
        <v>3.81818181818182</v>
      </c>
    </row>
    <row collapsed="false" customFormat="false" customHeight="false" hidden="false" ht="14.75" outlineLevel="0" r="95">
      <c r="A95" s="1" t="s">
        <v>869</v>
      </c>
      <c r="B95" s="1" t="s">
        <v>803</v>
      </c>
      <c r="C95" s="1" t="s">
        <v>787</v>
      </c>
      <c r="D95" s="1" t="n">
        <v>217.3</v>
      </c>
      <c r="E95" s="1" t="n">
        <v>15</v>
      </c>
      <c r="F95" s="1" t="n">
        <f aca="false">23/11</f>
        <v>2.09090909090909</v>
      </c>
    </row>
    <row collapsed="false" customFormat="false" customHeight="false" hidden="false" ht="14.75" outlineLevel="0" r="96">
      <c r="A96" s="1" t="s">
        <v>870</v>
      </c>
      <c r="B96" s="1" t="s">
        <v>803</v>
      </c>
      <c r="C96" s="1" t="s">
        <v>787</v>
      </c>
      <c r="D96" s="1" t="n">
        <v>49.4</v>
      </c>
      <c r="E96" s="1" t="n">
        <v>4.29</v>
      </c>
      <c r="F96" s="1" t="n">
        <f aca="false">1/8</f>
        <v>0.125</v>
      </c>
    </row>
    <row collapsed="false" customFormat="false" customHeight="false" hidden="false" ht="14.75" outlineLevel="0" r="97">
      <c r="A97" s="1" t="s">
        <v>871</v>
      </c>
      <c r="B97" s="1" t="s">
        <v>818</v>
      </c>
      <c r="C97" s="1" t="s">
        <v>787</v>
      </c>
      <c r="D97" s="1" t="n">
        <v>280</v>
      </c>
      <c r="E97" s="1" t="n">
        <v>17.65</v>
      </c>
      <c r="F97" s="1" t="n">
        <f aca="false">25/12</f>
        <v>2.08333333333333</v>
      </c>
    </row>
    <row collapsed="false" customFormat="false" customHeight="false" hidden="false" ht="14.75" outlineLevel="0" r="98">
      <c r="A98" s="1" t="s">
        <v>872</v>
      </c>
      <c r="B98" s="1" t="s">
        <v>818</v>
      </c>
      <c r="C98" s="1" t="s">
        <v>787</v>
      </c>
      <c r="D98" s="1" t="n">
        <v>131</v>
      </c>
      <c r="E98" s="1" t="n">
        <v>12.59</v>
      </c>
      <c r="F98" s="1" t="n">
        <f aca="false">4/5</f>
        <v>0.8</v>
      </c>
    </row>
    <row collapsed="false" customFormat="false" customHeight="false" hidden="false" ht="14.75" outlineLevel="0" r="99">
      <c r="A99" s="1" t="s">
        <v>873</v>
      </c>
      <c r="B99" s="1" t="s">
        <v>818</v>
      </c>
      <c r="C99" s="1" t="s">
        <v>787</v>
      </c>
      <c r="D99" s="1" t="n">
        <v>82</v>
      </c>
      <c r="E99" s="1" t="n">
        <v>11.58</v>
      </c>
      <c r="F99" s="1" t="n">
        <f aca="false">4/5</f>
        <v>0.8</v>
      </c>
    </row>
    <row collapsed="false" customFormat="false" customHeight="false" hidden="false" ht="14.75" outlineLevel="0" r="100">
      <c r="A100" s="1" t="s">
        <v>137</v>
      </c>
      <c r="B100" s="1" t="s">
        <v>839</v>
      </c>
      <c r="C100" s="1" t="s">
        <v>787</v>
      </c>
      <c r="D100" s="1" t="n">
        <v>166</v>
      </c>
      <c r="E100" s="1" t="n">
        <v>9.9</v>
      </c>
      <c r="F100" s="1" t="n">
        <v>1.2</v>
      </c>
    </row>
    <row collapsed="false" customFormat="false" customHeight="false" hidden="false" ht="14.75" outlineLevel="0" r="101">
      <c r="A101" s="1" t="s">
        <v>874</v>
      </c>
      <c r="B101" s="1" t="s">
        <v>839</v>
      </c>
      <c r="C101" s="1" t="s">
        <v>787</v>
      </c>
      <c r="D101" s="1" t="n">
        <v>208.5</v>
      </c>
      <c r="E101" s="1" t="n">
        <v>12</v>
      </c>
      <c r="F101" s="1" t="n">
        <v>1.6</v>
      </c>
    </row>
    <row collapsed="false" customFormat="false" customHeight="false" hidden="false" ht="14.75" outlineLevel="0" r="102">
      <c r="A102" s="1" t="s">
        <v>875</v>
      </c>
      <c r="B102" s="1" t="s">
        <v>802</v>
      </c>
      <c r="C102" s="1" t="s">
        <v>787</v>
      </c>
      <c r="D102" s="1" t="n">
        <v>109.2</v>
      </c>
      <c r="E102" s="1" t="n">
        <v>11.88</v>
      </c>
      <c r="F102" s="1" t="n">
        <v>0.5</v>
      </c>
    </row>
    <row collapsed="false" customFormat="false" customHeight="false" hidden="false" ht="14.75" outlineLevel="0" r="103">
      <c r="A103" s="1" t="s">
        <v>876</v>
      </c>
      <c r="B103" s="1" t="s">
        <v>802</v>
      </c>
      <c r="C103" s="1" t="s">
        <v>787</v>
      </c>
      <c r="D103" s="1" t="n">
        <v>103.3</v>
      </c>
      <c r="E103" s="1" t="n">
        <v>10.67</v>
      </c>
      <c r="F103" s="1" t="n">
        <v>0</v>
      </c>
    </row>
    <row collapsed="false" customFormat="false" customHeight="false" hidden="false" ht="14.75" outlineLevel="0" r="104">
      <c r="A104" s="1" t="s">
        <v>877</v>
      </c>
      <c r="B104" s="1" t="s">
        <v>849</v>
      </c>
      <c r="C104" s="1" t="s">
        <v>787</v>
      </c>
      <c r="D104" s="1" t="n">
        <v>307</v>
      </c>
      <c r="E104" s="1" t="n">
        <v>20.6</v>
      </c>
      <c r="F104" s="1" t="n">
        <v>2.6</v>
      </c>
    </row>
    <row collapsed="false" customFormat="false" customHeight="false" hidden="false" ht="14.75" outlineLevel="0" r="105">
      <c r="A105" s="1" t="s">
        <v>878</v>
      </c>
      <c r="B105" s="1" t="s">
        <v>849</v>
      </c>
      <c r="C105" s="1" t="s">
        <v>787</v>
      </c>
      <c r="D105" s="1" t="n">
        <v>139</v>
      </c>
      <c r="E105" s="1" t="n">
        <v>13.62</v>
      </c>
      <c r="F105" s="1" t="n">
        <v>2.2</v>
      </c>
    </row>
    <row collapsed="false" customFormat="false" customHeight="false" hidden="false" ht="14.75" outlineLevel="0" r="106">
      <c r="A106" s="1" t="s">
        <v>879</v>
      </c>
      <c r="B106" s="1" t="s">
        <v>803</v>
      </c>
      <c r="C106" s="1" t="s">
        <v>787</v>
      </c>
      <c r="D106" s="1" t="n">
        <v>225.5</v>
      </c>
      <c r="E106" s="1" t="n">
        <v>14.26</v>
      </c>
      <c r="F106" s="1" t="n">
        <f aca="false">24/11</f>
        <v>2.18181818181818</v>
      </c>
    </row>
    <row collapsed="false" customFormat="false" customHeight="false" hidden="false" ht="14.75" outlineLevel="0" r="107">
      <c r="A107" s="1" t="s">
        <v>880</v>
      </c>
      <c r="B107" s="1" t="s">
        <v>803</v>
      </c>
      <c r="C107" s="1" t="s">
        <v>787</v>
      </c>
      <c r="D107" s="1" t="n">
        <v>429.2</v>
      </c>
      <c r="E107" s="1" t="n">
        <v>21.35</v>
      </c>
      <c r="F107" s="1" t="n">
        <f aca="false">76/12</f>
        <v>6.33333333333333</v>
      </c>
    </row>
    <row collapsed="false" customFormat="false" customHeight="false" hidden="false" ht="14.75" outlineLevel="0" r="108">
      <c r="A108" s="1" t="s">
        <v>881</v>
      </c>
      <c r="B108" s="1" t="s">
        <v>805</v>
      </c>
      <c r="C108" s="1" t="s">
        <v>787</v>
      </c>
      <c r="D108" s="1" t="n">
        <v>126.7</v>
      </c>
      <c r="E108" s="1" t="n">
        <v>11.35</v>
      </c>
      <c r="F108" s="1" t="n">
        <f aca="false">1/9</f>
        <v>0.111111111111111</v>
      </c>
    </row>
    <row collapsed="false" customFormat="false" customHeight="false" hidden="false" ht="14.75" outlineLevel="0" r="109">
      <c r="A109" s="1" t="s">
        <v>882</v>
      </c>
      <c r="B109" s="1" t="s">
        <v>844</v>
      </c>
      <c r="C109" s="1" t="s">
        <v>787</v>
      </c>
      <c r="D109" s="1" t="n">
        <v>294.2</v>
      </c>
      <c r="E109" s="1" t="n">
        <v>15.74</v>
      </c>
      <c r="F109" s="1" t="n">
        <f aca="false">15/8</f>
        <v>1.875</v>
      </c>
    </row>
    <row collapsed="false" customFormat="false" customHeight="false" hidden="false" ht="14.75" outlineLevel="0" r="110">
      <c r="A110" s="1" t="s">
        <v>883</v>
      </c>
      <c r="B110" s="1" t="s">
        <v>797</v>
      </c>
      <c r="C110" s="1" t="s">
        <v>787</v>
      </c>
      <c r="D110" s="1" t="n">
        <v>175.5</v>
      </c>
      <c r="E110" s="1" t="n">
        <v>10.82</v>
      </c>
      <c r="F110" s="1" t="n">
        <v>1.2</v>
      </c>
    </row>
    <row collapsed="false" customFormat="false" customHeight="false" hidden="false" ht="14.75" outlineLevel="0" r="111">
      <c r="A111" s="1" t="s">
        <v>884</v>
      </c>
      <c r="B111" s="1" t="s">
        <v>797</v>
      </c>
      <c r="C111" s="1" t="s">
        <v>787</v>
      </c>
      <c r="D111" s="1" t="n">
        <v>92.2</v>
      </c>
      <c r="E111" s="1" t="n">
        <v>7.35</v>
      </c>
      <c r="F111" s="1" t="n">
        <v>0.3</v>
      </c>
    </row>
    <row collapsed="false" customFormat="false" customHeight="false" hidden="false" ht="14.75" outlineLevel="0" r="112">
      <c r="A112" s="1" t="s">
        <v>885</v>
      </c>
      <c r="B112" s="1" t="s">
        <v>844</v>
      </c>
      <c r="C112" s="1" t="s">
        <v>787</v>
      </c>
      <c r="D112" s="1" t="n">
        <v>275.6</v>
      </c>
      <c r="E112" s="1" t="n">
        <v>15.98</v>
      </c>
      <c r="F112" s="1" t="n">
        <f aca="false">28/8</f>
        <v>3.5</v>
      </c>
    </row>
    <row collapsed="false" customFormat="false" customHeight="false" hidden="false" ht="14.75" outlineLevel="0" r="113">
      <c r="A113" s="1" t="s">
        <v>211</v>
      </c>
      <c r="B113" s="1" t="s">
        <v>803</v>
      </c>
      <c r="C113" s="1" t="s">
        <v>787</v>
      </c>
      <c r="D113" s="1" t="n">
        <v>513.8</v>
      </c>
      <c r="E113" s="1" t="n">
        <v>22.47</v>
      </c>
      <c r="F113" s="1" t="n">
        <f aca="false">87/12</f>
        <v>7.25</v>
      </c>
    </row>
    <row collapsed="false" customFormat="false" customHeight="false" hidden="false" ht="14.75" outlineLevel="0" r="114">
      <c r="A114" s="1" t="s">
        <v>212</v>
      </c>
      <c r="B114" s="1" t="s">
        <v>803</v>
      </c>
      <c r="C114" s="1" t="s">
        <v>787</v>
      </c>
      <c r="D114" s="1" t="n">
        <v>398.8</v>
      </c>
      <c r="E114" s="1" t="n">
        <v>21.22</v>
      </c>
      <c r="F114" s="1" t="n">
        <f aca="false">72/12</f>
        <v>6</v>
      </c>
    </row>
    <row collapsed="false" customFormat="false" customHeight="false" hidden="false" ht="14.75" outlineLevel="0" r="115">
      <c r="A115" s="1" t="s">
        <v>213</v>
      </c>
      <c r="B115" s="1" t="s">
        <v>803</v>
      </c>
      <c r="C115" s="1" t="s">
        <v>787</v>
      </c>
      <c r="D115" s="1" t="n">
        <v>165.6</v>
      </c>
      <c r="E115" s="1" t="n">
        <v>10.46</v>
      </c>
      <c r="F115" s="1" t="n">
        <f aca="false">6/8</f>
        <v>0.75</v>
      </c>
    </row>
    <row collapsed="false" customFormat="false" customHeight="false" hidden="false" ht="14.75" outlineLevel="0" r="116">
      <c r="A116" s="1" t="s">
        <v>886</v>
      </c>
      <c r="B116" s="1" t="s">
        <v>805</v>
      </c>
      <c r="C116" s="1" t="s">
        <v>787</v>
      </c>
      <c r="D116" s="1" t="n">
        <v>94.2</v>
      </c>
      <c r="E116" s="1" t="n">
        <v>9.03</v>
      </c>
      <c r="F116" s="1" t="n">
        <v>0</v>
      </c>
    </row>
    <row collapsed="false" customFormat="false" customHeight="false" hidden="false" ht="14.75" outlineLevel="0" r="117">
      <c r="A117" s="1" t="s">
        <v>887</v>
      </c>
      <c r="B117" s="1" t="s">
        <v>805</v>
      </c>
      <c r="C117" s="1" t="s">
        <v>787</v>
      </c>
      <c r="D117" s="1" t="n">
        <v>56.7</v>
      </c>
      <c r="E117" s="1" t="n">
        <v>8.5</v>
      </c>
      <c r="F117" s="1" t="n">
        <v>0</v>
      </c>
    </row>
    <row collapsed="false" customFormat="false" customHeight="false" hidden="false" ht="14.75" outlineLevel="0" r="118">
      <c r="A118" s="1" t="s">
        <v>888</v>
      </c>
      <c r="B118" s="1" t="s">
        <v>790</v>
      </c>
      <c r="C118" s="1" t="s">
        <v>787</v>
      </c>
      <c r="D118" s="1" t="n">
        <v>242</v>
      </c>
      <c r="E118" s="1" t="n">
        <v>15.43</v>
      </c>
      <c r="F118" s="1" t="n">
        <v>2</v>
      </c>
    </row>
    <row collapsed="false" customFormat="false" customHeight="false" hidden="false" ht="14.75" outlineLevel="0" r="119">
      <c r="A119" s="1" t="s">
        <v>889</v>
      </c>
      <c r="B119" s="1" t="s">
        <v>839</v>
      </c>
      <c r="C119" s="1" t="s">
        <v>787</v>
      </c>
      <c r="D119" s="1" t="n">
        <v>187</v>
      </c>
      <c r="E119" s="1" t="n">
        <v>9.9</v>
      </c>
      <c r="F119" s="1" t="n">
        <v>0.9</v>
      </c>
    </row>
    <row collapsed="false" customFormat="false" customHeight="false" hidden="false" ht="14.75" outlineLevel="0" r="120">
      <c r="A120" s="1" t="s">
        <v>890</v>
      </c>
      <c r="B120" s="1" t="s">
        <v>844</v>
      </c>
      <c r="C120" s="1" t="s">
        <v>787</v>
      </c>
      <c r="D120" s="1" t="n">
        <v>301.2</v>
      </c>
      <c r="E120" s="1" t="n">
        <v>16.93</v>
      </c>
      <c r="F120" s="1" t="n">
        <f aca="false">23/8</f>
        <v>2.875</v>
      </c>
    </row>
    <row collapsed="false" customFormat="false" customHeight="false" hidden="false" ht="14.75" outlineLevel="0" r="121">
      <c r="A121" s="1" t="s">
        <v>891</v>
      </c>
      <c r="B121" s="1" t="s">
        <v>844</v>
      </c>
      <c r="C121" s="1" t="s">
        <v>787</v>
      </c>
      <c r="D121" s="1" t="n">
        <v>142.5</v>
      </c>
      <c r="E121" s="1" t="n">
        <v>11.25</v>
      </c>
      <c r="F121" s="1" t="n">
        <f aca="false">5/8</f>
        <v>0.625</v>
      </c>
    </row>
    <row collapsed="false" customFormat="false" customHeight="false" hidden="false" ht="14.75" outlineLevel="0" r="122">
      <c r="A122" s="1" t="s">
        <v>892</v>
      </c>
      <c r="B122" s="1" t="s">
        <v>849</v>
      </c>
      <c r="C122" s="1" t="s">
        <v>787</v>
      </c>
      <c r="D122" s="1" t="n">
        <v>183.5</v>
      </c>
      <c r="E122" s="1" t="n">
        <v>12.86</v>
      </c>
      <c r="F122" s="1" t="n">
        <v>1.9</v>
      </c>
    </row>
    <row collapsed="false" customFormat="false" customHeight="false" hidden="false" ht="14.75" outlineLevel="0" r="123">
      <c r="A123" s="1" t="s">
        <v>893</v>
      </c>
      <c r="B123" s="1" t="s">
        <v>849</v>
      </c>
      <c r="C123" s="1" t="s">
        <v>787</v>
      </c>
      <c r="D123" s="1" t="n">
        <v>60.5</v>
      </c>
      <c r="E123" s="1" t="n">
        <v>8.33</v>
      </c>
      <c r="F123" s="1" t="n">
        <v>0.5</v>
      </c>
    </row>
    <row collapsed="false" customFormat="false" customHeight="false" hidden="false" ht="14.75" outlineLevel="0" r="124">
      <c r="A124" s="1" t="s">
        <v>18</v>
      </c>
      <c r="B124" s="1" t="s">
        <v>802</v>
      </c>
      <c r="C124" s="1" t="s">
        <v>787</v>
      </c>
      <c r="D124" s="1" t="n">
        <v>365.7</v>
      </c>
      <c r="E124" s="1" t="n">
        <v>18.93</v>
      </c>
      <c r="F124" s="1" t="n">
        <f aca="false">32/7</f>
        <v>4.57142857142857</v>
      </c>
    </row>
    <row collapsed="false" customFormat="false" customHeight="false" hidden="false" ht="14.75" outlineLevel="0" r="125">
      <c r="A125" s="1" t="s">
        <v>470</v>
      </c>
      <c r="B125" s="1" t="s">
        <v>803</v>
      </c>
      <c r="C125" s="1" t="s">
        <v>787</v>
      </c>
      <c r="D125" s="1" t="n">
        <v>257.7</v>
      </c>
      <c r="E125" s="1" t="n">
        <v>13.31</v>
      </c>
      <c r="F125" s="1" t="n">
        <f aca="false">35/11</f>
        <v>3.18181818181818</v>
      </c>
    </row>
    <row collapsed="false" customFormat="false" customHeight="false" hidden="false" ht="14.75" outlineLevel="0" r="126">
      <c r="A126" s="1" t="s">
        <v>471</v>
      </c>
      <c r="B126" s="1" t="s">
        <v>803</v>
      </c>
      <c r="C126" s="1" t="s">
        <v>787</v>
      </c>
      <c r="D126" s="1" t="n">
        <v>98.8</v>
      </c>
      <c r="E126" s="1" t="n">
        <v>10</v>
      </c>
      <c r="F126" s="1" t="n">
        <f aca="false">6/8</f>
        <v>0.75</v>
      </c>
    </row>
    <row collapsed="false" customFormat="false" customHeight="false" hidden="false" ht="14.75" outlineLevel="0" r="127">
      <c r="A127" s="1" t="s">
        <v>894</v>
      </c>
      <c r="B127" s="1" t="s">
        <v>803</v>
      </c>
      <c r="C127" s="1" t="s">
        <v>787</v>
      </c>
      <c r="D127" s="1" t="n">
        <f aca="false">((106.2*8)+(55*2))/10</f>
        <v>95.96</v>
      </c>
      <c r="E127" s="1" t="n">
        <f aca="false">(60+410)/(5+45)</f>
        <v>9.4</v>
      </c>
      <c r="F127" s="1" t="n">
        <v>0.6</v>
      </c>
    </row>
    <row collapsed="false" customFormat="false" customHeight="false" hidden="false" ht="14.75" outlineLevel="0" r="128">
      <c r="A128" s="1" t="s">
        <v>895</v>
      </c>
      <c r="B128" s="1" t="s">
        <v>816</v>
      </c>
      <c r="C128" s="1" t="s">
        <v>787</v>
      </c>
      <c r="D128" s="1" t="n">
        <v>74.9</v>
      </c>
      <c r="E128" s="1" t="n">
        <v>5.87</v>
      </c>
      <c r="F128" s="1" t="n">
        <v>0.2</v>
      </c>
    </row>
    <row collapsed="false" customFormat="false" customHeight="false" hidden="false" ht="14.75" outlineLevel="0" r="129">
      <c r="A129" s="1" t="s">
        <v>896</v>
      </c>
      <c r="B129" s="1" t="s">
        <v>816</v>
      </c>
      <c r="C129" s="1" t="s">
        <v>787</v>
      </c>
      <c r="D129" s="1" t="n">
        <v>82.9</v>
      </c>
      <c r="E129" s="1" t="n">
        <v>6.54</v>
      </c>
      <c r="F129" s="1" t="n">
        <v>0.3</v>
      </c>
    </row>
    <row collapsed="false" customFormat="false" customHeight="false" hidden="false" ht="14.75" outlineLevel="0" r="130">
      <c r="A130" s="1" t="s">
        <v>897</v>
      </c>
      <c r="B130" s="1" t="s">
        <v>839</v>
      </c>
      <c r="C130" s="1" t="s">
        <v>787</v>
      </c>
      <c r="D130" s="1" t="n">
        <v>127.5</v>
      </c>
      <c r="E130" s="1" t="n">
        <v>7.5</v>
      </c>
      <c r="F130" s="1" t="n">
        <v>1.4</v>
      </c>
    </row>
    <row collapsed="false" customFormat="false" customHeight="false" hidden="false" ht="14.75" outlineLevel="0" r="131">
      <c r="A131" s="1" t="s">
        <v>898</v>
      </c>
      <c r="B131" s="1" t="s">
        <v>839</v>
      </c>
      <c r="C131" s="1" t="s">
        <v>787</v>
      </c>
      <c r="D131" s="1" t="n">
        <v>134.5</v>
      </c>
      <c r="E131" s="1" t="n">
        <v>10.5</v>
      </c>
      <c r="F131" s="1" t="n">
        <v>0.3</v>
      </c>
    </row>
    <row collapsed="false" customFormat="false" customHeight="false" hidden="false" ht="14.75" outlineLevel="0" r="132">
      <c r="A132" s="1" t="s">
        <v>348</v>
      </c>
      <c r="B132" s="1" t="s">
        <v>839</v>
      </c>
      <c r="C132" s="1" t="s">
        <v>787</v>
      </c>
      <c r="D132" s="1" t="n">
        <v>471.9</v>
      </c>
      <c r="E132" s="1" t="n">
        <v>20.7</v>
      </c>
      <c r="F132" s="1" t="n">
        <f aca="false">83/13</f>
        <v>6.38461538461539</v>
      </c>
    </row>
    <row collapsed="false" customFormat="false" customHeight="false" hidden="false" ht="14.75" outlineLevel="0" r="133">
      <c r="A133" s="1" t="s">
        <v>349</v>
      </c>
      <c r="B133" s="1" t="s">
        <v>839</v>
      </c>
      <c r="C133" s="1" t="s">
        <v>787</v>
      </c>
      <c r="D133" s="1" t="n">
        <v>416.2</v>
      </c>
      <c r="E133" s="1" t="n">
        <v>18.9</v>
      </c>
      <c r="F133" s="1" t="n">
        <f aca="false">68/13</f>
        <v>5.23076923076923</v>
      </c>
    </row>
    <row collapsed="false" customFormat="false" customHeight="false" hidden="false" ht="14.75" outlineLevel="0" r="134">
      <c r="A134" s="1" t="s">
        <v>350</v>
      </c>
      <c r="B134" s="1" t="s">
        <v>839</v>
      </c>
      <c r="C134" s="1" t="s">
        <v>787</v>
      </c>
      <c r="D134" s="1" t="n">
        <v>407.5</v>
      </c>
      <c r="E134" s="1" t="n">
        <v>19.2</v>
      </c>
      <c r="F134" s="1" t="n">
        <v>4.4</v>
      </c>
    </row>
    <row collapsed="false" customFormat="false" customHeight="false" hidden="false" ht="14.75" outlineLevel="0" r="135">
      <c r="A135" s="1" t="s">
        <v>573</v>
      </c>
      <c r="B135" s="1" t="s">
        <v>839</v>
      </c>
      <c r="C135" s="1" t="s">
        <v>787</v>
      </c>
      <c r="D135" s="1" t="n">
        <v>145.5</v>
      </c>
      <c r="E135" s="1" t="n">
        <v>9.6</v>
      </c>
      <c r="F135" s="1" t="n">
        <v>1.1</v>
      </c>
    </row>
    <row collapsed="false" customFormat="false" customHeight="false" hidden="false" ht="14.75" outlineLevel="0" r="136">
      <c r="A136" s="1" t="s">
        <v>899</v>
      </c>
      <c r="B136" s="1" t="s">
        <v>839</v>
      </c>
      <c r="C136" s="1" t="s">
        <v>787</v>
      </c>
      <c r="D136" s="1" t="n">
        <v>215.5</v>
      </c>
      <c r="E136" s="1" t="n">
        <v>12</v>
      </c>
      <c r="F136" s="1" t="n">
        <v>0.7</v>
      </c>
    </row>
    <row collapsed="false" customFormat="false" customHeight="false" hidden="false" ht="14.75" outlineLevel="0" r="137">
      <c r="A137" s="1" t="s">
        <v>650</v>
      </c>
      <c r="B137" s="1" t="s">
        <v>839</v>
      </c>
      <c r="C137" s="1" t="s">
        <v>787</v>
      </c>
      <c r="D137" s="1" t="n">
        <v>321.5</v>
      </c>
      <c r="E137" s="1" t="n">
        <v>16.8</v>
      </c>
      <c r="F137" s="1" t="n">
        <v>2.9</v>
      </c>
    </row>
    <row collapsed="false" customFormat="false" customHeight="false" hidden="false" ht="14.75" outlineLevel="0" r="138">
      <c r="A138" s="1" t="s">
        <v>900</v>
      </c>
      <c r="B138" s="1" t="s">
        <v>844</v>
      </c>
      <c r="C138" s="1" t="s">
        <v>787</v>
      </c>
      <c r="D138" s="1" t="n">
        <v>150.8</v>
      </c>
      <c r="E138" s="1" t="n">
        <v>11.43</v>
      </c>
      <c r="F138" s="1" t="n">
        <f aca="false">9/8</f>
        <v>1.125</v>
      </c>
    </row>
    <row collapsed="false" customFormat="false" customHeight="false" hidden="false" ht="14.75" outlineLevel="0" r="139">
      <c r="A139" s="1" t="s">
        <v>901</v>
      </c>
      <c r="B139" s="1" t="s">
        <v>844</v>
      </c>
      <c r="C139" s="1" t="s">
        <v>787</v>
      </c>
      <c r="D139" s="1" t="n">
        <v>21</v>
      </c>
      <c r="E139" s="1" t="n">
        <v>5.71</v>
      </c>
      <c r="F139" s="1" t="n">
        <v>0</v>
      </c>
    </row>
    <row collapsed="false" customFormat="false" customHeight="false" hidden="false" ht="14.75" outlineLevel="0" r="140">
      <c r="A140" s="1" t="s">
        <v>902</v>
      </c>
      <c r="B140" s="1" t="s">
        <v>803</v>
      </c>
      <c r="C140" s="1" t="s">
        <v>787</v>
      </c>
      <c r="D140" s="1" t="n">
        <v>212.8</v>
      </c>
      <c r="E140" s="1" t="n">
        <v>14.74</v>
      </c>
      <c r="F140" s="1" t="n">
        <v>1.9</v>
      </c>
    </row>
    <row collapsed="false" customFormat="false" customHeight="false" hidden="false" ht="14.75" outlineLevel="0" r="141">
      <c r="A141" s="1" t="s">
        <v>903</v>
      </c>
      <c r="B141" s="1" t="s">
        <v>803</v>
      </c>
      <c r="C141" s="1" t="s">
        <v>787</v>
      </c>
      <c r="D141" s="1" t="n">
        <v>140.9</v>
      </c>
      <c r="E141" s="1" t="n">
        <v>10.81</v>
      </c>
      <c r="F141" s="1" t="n">
        <v>1</v>
      </c>
    </row>
    <row collapsed="false" customFormat="false" customHeight="false" hidden="false" ht="14.75" outlineLevel="0" r="142">
      <c r="A142" s="1" t="s">
        <v>904</v>
      </c>
      <c r="B142" s="1" t="s">
        <v>813</v>
      </c>
      <c r="C142" s="1" t="s">
        <v>787</v>
      </c>
      <c r="D142" s="1" t="n">
        <v>203.9</v>
      </c>
      <c r="E142" s="1" t="n">
        <v>16.23</v>
      </c>
      <c r="F142" s="1" t="n">
        <f aca="false">21/9</f>
        <v>2.33333333333333</v>
      </c>
    </row>
    <row collapsed="false" customFormat="false" customHeight="false" hidden="false" ht="14.75" outlineLevel="0" r="143">
      <c r="A143" s="1" t="s">
        <v>905</v>
      </c>
      <c r="B143" s="1" t="s">
        <v>839</v>
      </c>
      <c r="C143" s="1" t="s">
        <v>787</v>
      </c>
      <c r="D143" s="1" t="n">
        <v>206.5</v>
      </c>
      <c r="E143" s="1" t="n">
        <v>13.8</v>
      </c>
      <c r="F143" s="1" t="n">
        <v>1.4</v>
      </c>
    </row>
    <row collapsed="false" customFormat="false" customHeight="false" hidden="false" ht="14.75" outlineLevel="0" r="144">
      <c r="A144" s="1" t="s">
        <v>218</v>
      </c>
      <c r="B144" s="1" t="s">
        <v>803</v>
      </c>
      <c r="C144" s="1" t="s">
        <v>787</v>
      </c>
      <c r="D144" s="1" t="n">
        <v>290.5</v>
      </c>
      <c r="E144" s="1" t="n">
        <v>17.57</v>
      </c>
      <c r="F144" s="1" t="n">
        <f aca="false">32/11</f>
        <v>2.90909090909091</v>
      </c>
    </row>
    <row collapsed="false" customFormat="false" customHeight="false" hidden="false" ht="14.75" outlineLevel="0" r="145">
      <c r="A145" s="1" t="s">
        <v>906</v>
      </c>
      <c r="B145" s="1" t="s">
        <v>797</v>
      </c>
      <c r="C145" s="1" t="s">
        <v>787</v>
      </c>
      <c r="D145" s="1" t="n">
        <v>142.5</v>
      </c>
      <c r="E145" s="1" t="n">
        <v>12.39</v>
      </c>
      <c r="F145" s="1" t="n">
        <v>1.6</v>
      </c>
    </row>
    <row collapsed="false" customFormat="false" customHeight="false" hidden="false" ht="14.75" outlineLevel="0" r="146">
      <c r="A146" s="1" t="s">
        <v>907</v>
      </c>
      <c r="B146" s="1" t="s">
        <v>797</v>
      </c>
      <c r="C146" s="1" t="s">
        <v>787</v>
      </c>
      <c r="D146" s="1" t="n">
        <v>104.4</v>
      </c>
      <c r="E146" s="1" t="n">
        <v>9.49</v>
      </c>
      <c r="F146" s="1" t="n">
        <v>0.8</v>
      </c>
    </row>
    <row collapsed="false" customFormat="false" customHeight="false" hidden="false" ht="14.75" outlineLevel="0" r="147">
      <c r="A147" s="1" t="s">
        <v>908</v>
      </c>
      <c r="B147" s="1" t="s">
        <v>797</v>
      </c>
      <c r="C147" s="1" t="s">
        <v>787</v>
      </c>
      <c r="D147" s="1" t="n">
        <v>280</v>
      </c>
      <c r="E147" s="1" t="n">
        <v>16.13</v>
      </c>
      <c r="F147" s="1" t="n">
        <f aca="false">34/11</f>
        <v>3.09090909090909</v>
      </c>
    </row>
    <row collapsed="false" customFormat="false" customHeight="false" hidden="false" ht="14.75" outlineLevel="0" r="148">
      <c r="A148" s="1" t="s">
        <v>909</v>
      </c>
      <c r="B148" s="1" t="s">
        <v>797</v>
      </c>
      <c r="C148" s="1" t="s">
        <v>787</v>
      </c>
      <c r="D148" s="1" t="n">
        <v>120.5</v>
      </c>
      <c r="E148" s="1" t="n">
        <v>12.05</v>
      </c>
      <c r="F148" s="1" t="n">
        <v>1.1</v>
      </c>
    </row>
    <row collapsed="false" customFormat="false" customHeight="false" hidden="false" ht="14.75" outlineLevel="0" r="149">
      <c r="A149" s="1" t="s">
        <v>910</v>
      </c>
      <c r="B149" s="1" t="s">
        <v>797</v>
      </c>
      <c r="C149" s="1" t="s">
        <v>787</v>
      </c>
      <c r="D149" s="1" t="n">
        <v>77.8</v>
      </c>
      <c r="E149" s="1" t="n">
        <v>8.5</v>
      </c>
      <c r="F149" s="1" t="n">
        <v>0.4</v>
      </c>
    </row>
    <row collapsed="false" customFormat="false" customHeight="false" hidden="false" ht="14.75" outlineLevel="0" r="150">
      <c r="A150" s="1" t="s">
        <v>911</v>
      </c>
      <c r="B150" s="1" t="s">
        <v>803</v>
      </c>
      <c r="C150" s="1" t="s">
        <v>787</v>
      </c>
      <c r="D150" s="1" t="n">
        <v>138.1</v>
      </c>
      <c r="E150" s="1" t="n">
        <v>10.96</v>
      </c>
      <c r="F150" s="1" t="n">
        <f aca="false">10/8</f>
        <v>1.25</v>
      </c>
    </row>
    <row collapsed="false" customFormat="false" customHeight="false" hidden="false" ht="14.75" outlineLevel="0" r="151">
      <c r="A151" s="1" t="s">
        <v>158</v>
      </c>
      <c r="B151" s="1" t="s">
        <v>818</v>
      </c>
      <c r="C151" s="1" t="s">
        <v>787</v>
      </c>
      <c r="D151" s="1" t="n">
        <v>370</v>
      </c>
      <c r="E151" s="1" t="n">
        <v>20.35</v>
      </c>
      <c r="F151" s="1" t="n">
        <f aca="false">56/12</f>
        <v>4.66666666666667</v>
      </c>
    </row>
    <row collapsed="false" customFormat="false" customHeight="false" hidden="false" ht="14.75" outlineLevel="0" r="152">
      <c r="A152" s="1" t="s">
        <v>159</v>
      </c>
      <c r="B152" s="1" t="s">
        <v>818</v>
      </c>
      <c r="C152" s="1" t="s">
        <v>787</v>
      </c>
      <c r="D152" s="1" t="n">
        <v>231</v>
      </c>
      <c r="E152" s="1" t="n">
        <v>15.96</v>
      </c>
      <c r="F152" s="1" t="n">
        <v>1.7</v>
      </c>
    </row>
    <row collapsed="false" customFormat="false" customHeight="false" hidden="false" ht="14.75" outlineLevel="0" r="153">
      <c r="A153" s="1" t="s">
        <v>912</v>
      </c>
      <c r="B153" s="1" t="s">
        <v>786</v>
      </c>
      <c r="C153" s="1" t="s">
        <v>787</v>
      </c>
      <c r="D153" s="1" t="n">
        <v>113.5</v>
      </c>
      <c r="E153" s="1" t="n">
        <v>8.23</v>
      </c>
      <c r="F153" s="1" t="n">
        <v>0.8</v>
      </c>
    </row>
    <row collapsed="false" customFormat="false" customHeight="false" hidden="false" ht="14.75" outlineLevel="0" r="154">
      <c r="A154" s="1" t="s">
        <v>913</v>
      </c>
      <c r="B154" s="1" t="s">
        <v>786</v>
      </c>
      <c r="C154" s="1" t="s">
        <v>787</v>
      </c>
      <c r="D154" s="1" t="n">
        <v>231.8</v>
      </c>
      <c r="E154" s="1" t="n">
        <v>12.79</v>
      </c>
      <c r="F154" s="1" t="n">
        <v>2</v>
      </c>
    </row>
    <row collapsed="false" customFormat="false" customHeight="false" hidden="false" ht="14.75" outlineLevel="0" r="155">
      <c r="A155" s="1" t="s">
        <v>914</v>
      </c>
      <c r="B155" s="1" t="s">
        <v>786</v>
      </c>
      <c r="C155" s="1" t="s">
        <v>787</v>
      </c>
      <c r="D155" s="1" t="n">
        <v>93.5</v>
      </c>
      <c r="E155" s="1" t="n">
        <v>6.84</v>
      </c>
      <c r="F155" s="1" t="n">
        <v>0.8</v>
      </c>
    </row>
    <row collapsed="false" customFormat="false" customHeight="false" hidden="false" ht="14.75" outlineLevel="0" r="156">
      <c r="A156" s="1" t="s">
        <v>915</v>
      </c>
      <c r="B156" s="1" t="s">
        <v>805</v>
      </c>
      <c r="C156" s="1" t="s">
        <v>787</v>
      </c>
      <c r="D156" s="1" t="n">
        <v>160.8</v>
      </c>
      <c r="E156" s="1" t="n">
        <v>12.22</v>
      </c>
      <c r="F156" s="1" t="n">
        <f aca="false">3/7</f>
        <v>0.428571428571429</v>
      </c>
    </row>
    <row collapsed="false" customFormat="false" customHeight="false" hidden="false" ht="14.75" outlineLevel="0" r="157">
      <c r="A157" s="1" t="s">
        <v>916</v>
      </c>
      <c r="B157" s="1" t="s">
        <v>805</v>
      </c>
      <c r="C157" s="1" t="s">
        <v>787</v>
      </c>
      <c r="D157" s="1" t="n">
        <v>221.7</v>
      </c>
      <c r="E157" s="1" t="n">
        <v>13.82</v>
      </c>
      <c r="F157" s="1" t="n">
        <f aca="false">7/9</f>
        <v>0.777777777777778</v>
      </c>
    </row>
    <row collapsed="false" customFormat="false" customHeight="false" hidden="false" ht="14.75" outlineLevel="0" r="158">
      <c r="A158" s="1" t="s">
        <v>917</v>
      </c>
      <c r="B158" s="1" t="s">
        <v>839</v>
      </c>
      <c r="C158" s="1" t="s">
        <v>787</v>
      </c>
      <c r="D158" s="1" t="n">
        <v>359</v>
      </c>
      <c r="E158" s="1" t="n">
        <v>17.1</v>
      </c>
      <c r="F158" s="1" t="n">
        <v>3.1</v>
      </c>
    </row>
    <row collapsed="false" customFormat="false" customHeight="false" hidden="false" ht="14.75" outlineLevel="0" r="159">
      <c r="A159" s="1" t="s">
        <v>918</v>
      </c>
      <c r="B159" s="1" t="s">
        <v>849</v>
      </c>
      <c r="C159" s="1" t="s">
        <v>787</v>
      </c>
      <c r="D159" s="1" t="n">
        <v>133.5</v>
      </c>
      <c r="E159" s="1" t="n">
        <v>10.71</v>
      </c>
      <c r="F159" s="1" t="n">
        <v>1.3</v>
      </c>
    </row>
    <row collapsed="false" customFormat="false" customHeight="false" hidden="false" ht="14.75" outlineLevel="0" r="160">
      <c r="A160" s="1" t="s">
        <v>919</v>
      </c>
      <c r="B160" s="1" t="s">
        <v>849</v>
      </c>
      <c r="C160" s="1" t="s">
        <v>787</v>
      </c>
      <c r="D160" s="1" t="n">
        <v>80</v>
      </c>
      <c r="E160" s="1" t="n">
        <v>10.38</v>
      </c>
      <c r="F160" s="1" t="n">
        <v>0.8</v>
      </c>
    </row>
    <row collapsed="false" customFormat="false" customHeight="false" hidden="false" ht="14.75" outlineLevel="0" r="161">
      <c r="A161" s="1" t="s">
        <v>920</v>
      </c>
      <c r="B161" s="1" t="s">
        <v>839</v>
      </c>
      <c r="C161" s="1" t="s">
        <v>787</v>
      </c>
      <c r="D161" s="1" t="n">
        <v>107</v>
      </c>
      <c r="E161" s="1" t="n">
        <v>8.7</v>
      </c>
      <c r="F161" s="1" t="n">
        <v>0.8</v>
      </c>
    </row>
    <row collapsed="false" customFormat="false" customHeight="false" hidden="false" ht="14.75" outlineLevel="0" r="162">
      <c r="A162" s="1" t="s">
        <v>921</v>
      </c>
      <c r="B162" s="1" t="s">
        <v>797</v>
      </c>
      <c r="C162" s="1" t="s">
        <v>787</v>
      </c>
      <c r="D162" s="1" t="n">
        <v>134.5</v>
      </c>
      <c r="E162" s="1" t="n">
        <v>11.18</v>
      </c>
      <c r="F162" s="1" t="n">
        <v>0.6</v>
      </c>
    </row>
    <row collapsed="false" customFormat="false" customHeight="false" hidden="false" ht="14.75" outlineLevel="0" r="163">
      <c r="A163" s="1" t="s">
        <v>922</v>
      </c>
      <c r="B163" s="1" t="s">
        <v>839</v>
      </c>
      <c r="C163" s="1" t="s">
        <v>787</v>
      </c>
      <c r="D163" s="1" t="n">
        <v>371.7</v>
      </c>
      <c r="E163" s="1" t="n">
        <v>18</v>
      </c>
      <c r="F163" s="1" t="n">
        <f aca="false">49/12</f>
        <v>4.08333333333333</v>
      </c>
    </row>
    <row collapsed="false" customFormat="false" customHeight="false" hidden="false" ht="14.75" outlineLevel="0" r="164">
      <c r="A164" s="1" t="s">
        <v>923</v>
      </c>
      <c r="B164" s="1" t="s">
        <v>839</v>
      </c>
      <c r="C164" s="1" t="s">
        <v>787</v>
      </c>
      <c r="D164" s="1" t="n">
        <v>196.5</v>
      </c>
      <c r="E164" s="1" t="n">
        <v>9.6</v>
      </c>
      <c r="F164" s="1" t="n">
        <v>2.1</v>
      </c>
    </row>
    <row collapsed="false" customFormat="false" customHeight="false" hidden="false" ht="14.75" outlineLevel="0" r="165">
      <c r="A165" s="1" t="s">
        <v>924</v>
      </c>
      <c r="B165" s="1" t="s">
        <v>786</v>
      </c>
      <c r="C165" s="1" t="s">
        <v>787</v>
      </c>
      <c r="D165" s="1" t="n">
        <v>92.5</v>
      </c>
      <c r="E165" s="1" t="n">
        <v>7.41</v>
      </c>
      <c r="F165" s="1" t="n">
        <v>0.6</v>
      </c>
    </row>
    <row collapsed="false" customFormat="false" customHeight="false" hidden="false" ht="14.75" outlineLevel="0" r="166">
      <c r="A166" s="1" t="s">
        <v>925</v>
      </c>
      <c r="B166" s="1" t="s">
        <v>926</v>
      </c>
      <c r="C166" s="1" t="s">
        <v>787</v>
      </c>
      <c r="D166" s="1" t="n">
        <v>43.2</v>
      </c>
      <c r="E166" s="1" t="n">
        <v>7.14</v>
      </c>
      <c r="F166" s="1" t="n">
        <f aca="false">1/7</f>
        <v>0.142857142857143</v>
      </c>
    </row>
    <row collapsed="false" customFormat="false" customHeight="false" hidden="false" ht="14.75" outlineLevel="0" r="167">
      <c r="A167" s="1" t="s">
        <v>927</v>
      </c>
      <c r="B167" s="1" t="s">
        <v>926</v>
      </c>
      <c r="C167" s="1" t="s">
        <v>787</v>
      </c>
      <c r="D167" s="1" t="n">
        <v>41</v>
      </c>
      <c r="E167" s="1" t="n">
        <v>3.64</v>
      </c>
      <c r="F167" s="1" t="n">
        <f aca="false">2/7</f>
        <v>0.285714285714286</v>
      </c>
    </row>
    <row collapsed="false" customFormat="false" customHeight="false" hidden="false" ht="14.75" outlineLevel="0" r="168">
      <c r="A168" s="1" t="s">
        <v>169</v>
      </c>
      <c r="B168" s="1" t="s">
        <v>839</v>
      </c>
      <c r="C168" s="1" t="s">
        <v>787</v>
      </c>
      <c r="D168" s="1" t="n">
        <v>275</v>
      </c>
      <c r="E168" s="1" t="n">
        <v>13.8</v>
      </c>
      <c r="F168" s="1" t="n">
        <v>1.9</v>
      </c>
    </row>
    <row collapsed="false" customFormat="false" customHeight="false" hidden="false" ht="14.75" outlineLevel="0" r="169">
      <c r="A169" s="1" t="s">
        <v>928</v>
      </c>
      <c r="B169" s="1" t="s">
        <v>816</v>
      </c>
      <c r="C169" s="1" t="s">
        <v>787</v>
      </c>
      <c r="D169" s="1" t="n">
        <v>261.1</v>
      </c>
      <c r="E169" s="1" t="n">
        <v>14.22</v>
      </c>
      <c r="F169" s="1" t="n">
        <v>1.7</v>
      </c>
    </row>
    <row collapsed="false" customFormat="false" customHeight="false" hidden="false" ht="14.75" outlineLevel="0" r="170">
      <c r="A170" s="1" t="s">
        <v>929</v>
      </c>
      <c r="B170" s="1" t="s">
        <v>803</v>
      </c>
      <c r="C170" s="1" t="s">
        <v>787</v>
      </c>
      <c r="D170" s="1" t="n">
        <v>216.9</v>
      </c>
      <c r="E170" s="1" t="n">
        <v>12.31</v>
      </c>
      <c r="F170" s="1" t="n">
        <f aca="false">11/8</f>
        <v>1.375</v>
      </c>
    </row>
    <row collapsed="false" customFormat="false" customHeight="false" hidden="false" ht="14.75" outlineLevel="0" r="171">
      <c r="A171" s="1" t="s">
        <v>930</v>
      </c>
      <c r="B171" s="1" t="s">
        <v>803</v>
      </c>
      <c r="C171" s="1" t="s">
        <v>787</v>
      </c>
      <c r="D171" s="1" t="n">
        <v>144.4</v>
      </c>
      <c r="E171" s="1" t="n">
        <v>9.33</v>
      </c>
      <c r="F171" s="1" t="n">
        <f aca="false">11/8</f>
        <v>1.375</v>
      </c>
    </row>
    <row collapsed="false" customFormat="false" customHeight="false" hidden="false" ht="14.75" outlineLevel="0" r="172">
      <c r="A172" s="1" t="s">
        <v>931</v>
      </c>
      <c r="B172" s="1" t="s">
        <v>803</v>
      </c>
      <c r="C172" s="1" t="s">
        <v>787</v>
      </c>
      <c r="D172" s="1" t="n">
        <v>65.6</v>
      </c>
      <c r="E172" s="1" t="n">
        <v>7.5</v>
      </c>
      <c r="F172" s="1" t="n">
        <f aca="false">2/8</f>
        <v>0.25</v>
      </c>
    </row>
    <row collapsed="false" customFormat="false" customHeight="false" hidden="false" ht="14.75" outlineLevel="0" r="173">
      <c r="A173" s="1" t="s">
        <v>932</v>
      </c>
      <c r="B173" s="1" t="s">
        <v>849</v>
      </c>
      <c r="C173" s="1" t="s">
        <v>787</v>
      </c>
      <c r="D173" s="1" t="n">
        <v>93</v>
      </c>
      <c r="E173" s="1" t="n">
        <v>9.79</v>
      </c>
      <c r="F173" s="1" t="n">
        <v>0.4</v>
      </c>
    </row>
    <row collapsed="false" customFormat="false" customHeight="false" hidden="false" ht="14.75" outlineLevel="0" r="174">
      <c r="A174" s="1" t="s">
        <v>933</v>
      </c>
      <c r="B174" s="1" t="s">
        <v>818</v>
      </c>
      <c r="C174" s="1" t="s">
        <v>787</v>
      </c>
      <c r="D174" s="1" t="n">
        <v>234.4</v>
      </c>
      <c r="E174" s="1" t="n">
        <v>15.43</v>
      </c>
      <c r="F174" s="1" t="n">
        <f aca="false">29/9</f>
        <v>3.22222222222222</v>
      </c>
    </row>
    <row collapsed="false" customFormat="false" customHeight="false" hidden="false" ht="14.75" outlineLevel="0" r="175">
      <c r="A175" s="1" t="s">
        <v>934</v>
      </c>
      <c r="B175" s="1" t="s">
        <v>818</v>
      </c>
      <c r="C175" s="1" t="s">
        <v>787</v>
      </c>
      <c r="D175" s="1" t="n">
        <v>140</v>
      </c>
      <c r="E175" s="1" t="n">
        <v>10.48</v>
      </c>
      <c r="F175" s="1" t="n">
        <f aca="false">7/9</f>
        <v>0.777777777777778</v>
      </c>
    </row>
    <row collapsed="false" customFormat="false" customHeight="false" hidden="false" ht="14.75" outlineLevel="0" r="176">
      <c r="A176" s="1" t="s">
        <v>935</v>
      </c>
      <c r="B176" s="1" t="s">
        <v>818</v>
      </c>
      <c r="C176" s="1" t="s">
        <v>787</v>
      </c>
      <c r="D176" s="1" t="n">
        <v>103.3</v>
      </c>
      <c r="E176" s="1" t="n">
        <v>9.39</v>
      </c>
      <c r="F176" s="1" t="n">
        <f aca="false">7/9</f>
        <v>0.777777777777778</v>
      </c>
    </row>
    <row collapsed="false" customFormat="false" customHeight="false" hidden="false" ht="14.75" outlineLevel="0" r="177">
      <c r="A177" s="1" t="s">
        <v>376</v>
      </c>
      <c r="B177" s="1" t="s">
        <v>818</v>
      </c>
      <c r="C177" s="1" t="s">
        <v>787</v>
      </c>
      <c r="D177" s="1" t="n">
        <v>350.5</v>
      </c>
      <c r="E177" s="1" t="n">
        <v>17.82</v>
      </c>
      <c r="F177" s="1" t="n">
        <f aca="false">49/11</f>
        <v>4.45454545454545</v>
      </c>
    </row>
    <row collapsed="false" customFormat="false" customHeight="false" hidden="false" ht="14.75" outlineLevel="0" r="178">
      <c r="A178" s="1" t="s">
        <v>377</v>
      </c>
      <c r="B178" s="1" t="s">
        <v>818</v>
      </c>
      <c r="C178" s="1" t="s">
        <v>787</v>
      </c>
      <c r="D178" s="1" t="n">
        <v>303.2</v>
      </c>
      <c r="E178" s="1" t="n">
        <v>18.32</v>
      </c>
      <c r="F178" s="1" t="n">
        <f aca="false">49/11</f>
        <v>4.45454545454545</v>
      </c>
    </row>
    <row collapsed="false" customFormat="false" customHeight="false" hidden="false" ht="14.75" outlineLevel="0" r="179">
      <c r="A179" s="1" t="s">
        <v>378</v>
      </c>
      <c r="B179" s="1" t="s">
        <v>818</v>
      </c>
      <c r="C179" s="1" t="s">
        <v>787</v>
      </c>
      <c r="D179" s="1" t="n">
        <v>225</v>
      </c>
      <c r="E179" s="1" t="n">
        <v>14.72</v>
      </c>
      <c r="F179" s="1" t="n">
        <v>1.3</v>
      </c>
    </row>
    <row collapsed="false" customFormat="false" customHeight="false" hidden="false" ht="14.75" outlineLevel="0" r="180">
      <c r="A180" s="1" t="s">
        <v>936</v>
      </c>
      <c r="B180" s="1" t="s">
        <v>818</v>
      </c>
      <c r="C180" s="1" t="s">
        <v>787</v>
      </c>
      <c r="D180" s="1" t="n">
        <v>148.5</v>
      </c>
      <c r="E180" s="1" t="n">
        <v>10.69</v>
      </c>
      <c r="F180" s="1" t="n">
        <v>0.8</v>
      </c>
    </row>
    <row collapsed="false" customFormat="false" customHeight="false" hidden="false" ht="14.75" outlineLevel="0" r="181">
      <c r="A181" s="1" t="s">
        <v>597</v>
      </c>
      <c r="B181" s="1" t="s">
        <v>790</v>
      </c>
      <c r="C181" s="1" t="s">
        <v>787</v>
      </c>
      <c r="D181" s="1" t="n">
        <v>359</v>
      </c>
      <c r="E181" s="1" t="n">
        <v>21.58</v>
      </c>
      <c r="F181" s="1" t="n">
        <v>4.4</v>
      </c>
    </row>
    <row collapsed="false" customFormat="false" customHeight="false" hidden="false" ht="14.75" outlineLevel="0" r="182">
      <c r="A182" s="1" t="s">
        <v>598</v>
      </c>
      <c r="B182" s="1" t="s">
        <v>790</v>
      </c>
      <c r="C182" s="1" t="s">
        <v>787</v>
      </c>
      <c r="D182" s="1" t="n">
        <v>79</v>
      </c>
      <c r="E182" s="1" t="n">
        <v>8.64</v>
      </c>
      <c r="F182" s="1" t="n">
        <v>1</v>
      </c>
    </row>
    <row collapsed="false" customFormat="false" customHeight="false" hidden="false" ht="14.75" outlineLevel="0" r="183">
      <c r="A183" s="1" t="s">
        <v>937</v>
      </c>
      <c r="B183" s="1" t="s">
        <v>790</v>
      </c>
      <c r="C183" s="1" t="s">
        <v>787</v>
      </c>
      <c r="D183" s="1" t="n">
        <v>94.5</v>
      </c>
      <c r="E183" s="1" t="n">
        <v>9.7</v>
      </c>
      <c r="F183" s="1" t="n">
        <v>0.9</v>
      </c>
    </row>
    <row collapsed="false" customFormat="false" customHeight="false" hidden="false" ht="14.75" outlineLevel="0" r="184">
      <c r="A184" s="1" t="s">
        <v>938</v>
      </c>
      <c r="B184" s="1" t="s">
        <v>839</v>
      </c>
      <c r="C184" s="1" t="s">
        <v>787</v>
      </c>
      <c r="D184" s="1" t="n">
        <v>161</v>
      </c>
      <c r="E184" s="1" t="n">
        <v>9</v>
      </c>
      <c r="F184" s="1" t="n">
        <v>0.9</v>
      </c>
    </row>
    <row collapsed="false" customFormat="false" customHeight="false" hidden="false" ht="14.75" outlineLevel="0" r="185">
      <c r="A185" s="1" t="s">
        <v>939</v>
      </c>
      <c r="B185" s="1" t="s">
        <v>797</v>
      </c>
      <c r="C185" s="1" t="s">
        <v>787</v>
      </c>
      <c r="D185" s="1" t="n">
        <v>80.8</v>
      </c>
      <c r="E185" s="1" t="n">
        <v>7.59</v>
      </c>
      <c r="F185" s="1" t="n">
        <v>0.3</v>
      </c>
    </row>
    <row collapsed="false" customFormat="false" customHeight="false" hidden="false" ht="14.75" outlineLevel="0" r="186">
      <c r="A186" s="1" t="s">
        <v>940</v>
      </c>
      <c r="B186" s="1" t="s">
        <v>797</v>
      </c>
      <c r="C186" s="1" t="s">
        <v>787</v>
      </c>
      <c r="D186" s="1" t="n">
        <v>8.3</v>
      </c>
      <c r="E186" s="1" t="n">
        <v>3.33</v>
      </c>
      <c r="F186" s="1" t="n">
        <v>0</v>
      </c>
    </row>
    <row collapsed="false" customFormat="false" customHeight="false" hidden="false" ht="14.75" outlineLevel="0" r="187">
      <c r="A187" s="1" t="s">
        <v>941</v>
      </c>
      <c r="B187" s="1" t="s">
        <v>818</v>
      </c>
      <c r="C187" s="1" t="s">
        <v>787</v>
      </c>
      <c r="D187" s="1" t="n">
        <v>100</v>
      </c>
      <c r="E187" s="1" t="n">
        <v>8.81</v>
      </c>
      <c r="F187" s="1" t="n">
        <f aca="false">7/8</f>
        <v>0.875</v>
      </c>
    </row>
    <row collapsed="false" customFormat="false" customHeight="false" hidden="false" ht="14.75" outlineLevel="0" r="188">
      <c r="A188" s="1" t="s">
        <v>223</v>
      </c>
      <c r="B188" s="1" t="s">
        <v>803</v>
      </c>
      <c r="C188" s="1" t="s">
        <v>787</v>
      </c>
      <c r="D188" s="1" t="n">
        <v>260.5</v>
      </c>
      <c r="E188" s="1" t="n">
        <v>15.59</v>
      </c>
      <c r="F188" s="1" t="n">
        <f aca="false">15/11</f>
        <v>1.36363636363636</v>
      </c>
    </row>
    <row collapsed="false" customFormat="false" customHeight="false" hidden="false" ht="14.75" outlineLevel="0" r="189">
      <c r="A189" s="1" t="s">
        <v>224</v>
      </c>
      <c r="B189" s="1" t="s">
        <v>803</v>
      </c>
      <c r="C189" s="1" t="s">
        <v>787</v>
      </c>
      <c r="D189" s="1" t="n">
        <v>78.1</v>
      </c>
      <c r="E189" s="1" t="n">
        <v>7.5</v>
      </c>
      <c r="F189" s="1" t="n">
        <f aca="false">6/8</f>
        <v>0.75</v>
      </c>
    </row>
    <row collapsed="false" customFormat="false" customHeight="false" hidden="false" ht="14.75" outlineLevel="0" r="190">
      <c r="A190" s="1" t="s">
        <v>225</v>
      </c>
      <c r="B190" s="1" t="s">
        <v>803</v>
      </c>
      <c r="C190" s="1" t="s">
        <v>787</v>
      </c>
      <c r="D190" s="1" t="n">
        <v>53.6</v>
      </c>
      <c r="E190" s="1" t="n">
        <v>7.27</v>
      </c>
      <c r="F190" s="1" t="n">
        <f aca="false">4/8</f>
        <v>0.5</v>
      </c>
    </row>
    <row collapsed="false" customFormat="false" customHeight="false" hidden="false" ht="14.75" outlineLevel="0" r="191">
      <c r="A191" s="1" t="s">
        <v>942</v>
      </c>
      <c r="B191" s="1" t="s">
        <v>803</v>
      </c>
      <c r="C191" s="1" t="s">
        <v>787</v>
      </c>
      <c r="D191" s="1" t="n">
        <v>61.2</v>
      </c>
      <c r="E191" s="1" t="n">
        <v>7.59</v>
      </c>
      <c r="F191" s="1" t="n">
        <f aca="false">1/8</f>
        <v>0.125</v>
      </c>
    </row>
    <row collapsed="false" customFormat="false" customHeight="false" hidden="false" ht="14.75" outlineLevel="0" r="192">
      <c r="A192" s="1" t="s">
        <v>943</v>
      </c>
      <c r="B192" s="1" t="s">
        <v>813</v>
      </c>
      <c r="C192" s="1" t="s">
        <v>787</v>
      </c>
      <c r="D192" s="1" t="n">
        <v>384.2</v>
      </c>
      <c r="E192" s="1" t="n">
        <v>20.85</v>
      </c>
      <c r="F192" s="1" t="n">
        <f aca="false">71/12</f>
        <v>5.91666666666667</v>
      </c>
    </row>
    <row collapsed="false" customFormat="false" customHeight="false" hidden="false" ht="14.75" outlineLevel="0" r="193">
      <c r="A193" s="1" t="s">
        <v>944</v>
      </c>
      <c r="B193" s="1" t="s">
        <v>813</v>
      </c>
      <c r="C193" s="1" t="s">
        <v>787</v>
      </c>
      <c r="D193" s="1" t="n">
        <v>310</v>
      </c>
      <c r="E193" s="1" t="n">
        <v>17.63</v>
      </c>
      <c r="F193" s="1" t="n">
        <f aca="false">24/9</f>
        <v>2.66666666666667</v>
      </c>
    </row>
    <row collapsed="false" customFormat="false" customHeight="false" hidden="false" ht="14.75" outlineLevel="0" r="194">
      <c r="A194" s="1" t="s">
        <v>391</v>
      </c>
      <c r="B194" s="1" t="s">
        <v>839</v>
      </c>
      <c r="C194" s="1" t="s">
        <v>787</v>
      </c>
      <c r="D194" s="1" t="n">
        <v>408.8</v>
      </c>
      <c r="E194" s="1" t="n">
        <v>20.1</v>
      </c>
      <c r="F194" s="1" t="n">
        <f aca="false">53/12</f>
        <v>4.41666666666667</v>
      </c>
    </row>
    <row collapsed="false" customFormat="false" customHeight="false" hidden="false" ht="14.75" outlineLevel="0" r="195">
      <c r="A195" s="1" t="s">
        <v>392</v>
      </c>
      <c r="B195" s="1" t="s">
        <v>839</v>
      </c>
      <c r="C195" s="1" t="s">
        <v>787</v>
      </c>
      <c r="D195" s="1" t="n">
        <v>282.5</v>
      </c>
      <c r="E195" s="1" t="n">
        <v>13.5</v>
      </c>
      <c r="F195" s="1" t="n">
        <v>2.5</v>
      </c>
    </row>
    <row collapsed="false" customFormat="false" customHeight="false" hidden="false" ht="14.75" outlineLevel="0" r="196">
      <c r="A196" s="1" t="s">
        <v>393</v>
      </c>
      <c r="B196" s="1" t="s">
        <v>839</v>
      </c>
      <c r="C196" s="1" t="s">
        <v>787</v>
      </c>
      <c r="D196" s="1" t="n">
        <v>160</v>
      </c>
      <c r="E196" s="1" t="n">
        <v>9.6</v>
      </c>
      <c r="F196" s="1" t="n">
        <v>0.8</v>
      </c>
    </row>
    <row collapsed="false" customFormat="false" customHeight="false" hidden="false" ht="14.75" outlineLevel="0" r="197">
      <c r="A197" s="1" t="s">
        <v>603</v>
      </c>
      <c r="B197" s="1" t="s">
        <v>839</v>
      </c>
      <c r="C197" s="1" t="s">
        <v>787</v>
      </c>
      <c r="D197" s="1" t="n">
        <v>145.5</v>
      </c>
      <c r="E197" s="1" t="n">
        <v>9.6</v>
      </c>
      <c r="F197" s="1" t="n">
        <v>0.5</v>
      </c>
    </row>
    <row collapsed="false" customFormat="false" customHeight="false" hidden="false" ht="14.75" outlineLevel="0" r="198">
      <c r="A198" s="1" t="s">
        <v>945</v>
      </c>
      <c r="B198" s="1" t="s">
        <v>816</v>
      </c>
      <c r="C198" s="1" t="s">
        <v>787</v>
      </c>
      <c r="D198" s="1" t="n">
        <v>74.5</v>
      </c>
      <c r="E198" s="1" t="n">
        <v>7.14</v>
      </c>
      <c r="F198" s="1" t="n">
        <v>0.2</v>
      </c>
    </row>
    <row collapsed="false" customFormat="false" customHeight="false" hidden="false" ht="14.75" outlineLevel="0" r="199">
      <c r="A199" s="1" t="s">
        <v>946</v>
      </c>
      <c r="B199" s="1" t="s">
        <v>839</v>
      </c>
      <c r="C199" s="1" t="s">
        <v>787</v>
      </c>
      <c r="D199" s="1" t="n">
        <v>140</v>
      </c>
      <c r="E199" s="1" t="n">
        <v>7.5</v>
      </c>
      <c r="F199" s="1" t="n">
        <v>1.1</v>
      </c>
    </row>
    <row collapsed="false" customFormat="false" customHeight="false" hidden="false" ht="14.75" outlineLevel="0" r="200">
      <c r="A200" s="1" t="s">
        <v>947</v>
      </c>
      <c r="B200" s="1" t="s">
        <v>790</v>
      </c>
      <c r="C200" s="1" t="s">
        <v>787</v>
      </c>
      <c r="D200" s="1" t="n">
        <v>375.5</v>
      </c>
      <c r="E200" s="1" t="n">
        <v>21.32</v>
      </c>
      <c r="F200" s="1" t="n">
        <v>4.2</v>
      </c>
    </row>
    <row collapsed="false" customFormat="false" customHeight="false" hidden="false" ht="14.75" outlineLevel="0" r="201">
      <c r="A201" s="1" t="s">
        <v>948</v>
      </c>
      <c r="B201" s="1" t="s">
        <v>790</v>
      </c>
      <c r="C201" s="1" t="s">
        <v>787</v>
      </c>
      <c r="D201" s="1" t="n">
        <v>260.5</v>
      </c>
      <c r="E201" s="1" t="n">
        <v>14.62</v>
      </c>
      <c r="F201" s="1" t="n">
        <v>2.3</v>
      </c>
    </row>
    <row collapsed="false" customFormat="false" customHeight="false" hidden="false" ht="14.75" outlineLevel="0" r="202">
      <c r="A202" s="1" t="s">
        <v>949</v>
      </c>
      <c r="B202" s="1" t="s">
        <v>790</v>
      </c>
      <c r="C202" s="1" t="s">
        <v>787</v>
      </c>
      <c r="D202" s="1" t="n">
        <v>99.5</v>
      </c>
      <c r="E202" s="1" t="n">
        <v>8.3</v>
      </c>
      <c r="F202" s="1" t="n">
        <v>1</v>
      </c>
    </row>
    <row collapsed="false" customFormat="false" customHeight="false" hidden="false" ht="14.75" outlineLevel="0" r="203">
      <c r="A203" s="1" t="s">
        <v>26</v>
      </c>
      <c r="B203" s="1" t="s">
        <v>802</v>
      </c>
      <c r="C203" s="1" t="s">
        <v>787</v>
      </c>
      <c r="D203" s="1" t="n">
        <v>494.4</v>
      </c>
      <c r="E203" s="1" t="n">
        <v>23.46</v>
      </c>
      <c r="F203" s="1" t="n">
        <f aca="false">72/9</f>
        <v>8</v>
      </c>
    </row>
    <row collapsed="false" customFormat="false" customHeight="false" hidden="false" ht="14.75" outlineLevel="0" r="204">
      <c r="A204" s="1" t="s">
        <v>27</v>
      </c>
      <c r="B204" s="1" t="s">
        <v>802</v>
      </c>
      <c r="C204" s="1" t="s">
        <v>787</v>
      </c>
      <c r="D204" s="1" t="n">
        <v>385</v>
      </c>
      <c r="E204" s="1" t="n">
        <v>19.95</v>
      </c>
      <c r="F204" s="1" t="n">
        <f aca="false">49/9</f>
        <v>5.44444444444444</v>
      </c>
    </row>
    <row collapsed="false" customFormat="false" customHeight="false" hidden="false" ht="14.75" outlineLevel="0" r="205">
      <c r="A205" s="1" t="s">
        <v>950</v>
      </c>
      <c r="B205" s="1" t="s">
        <v>818</v>
      </c>
      <c r="C205" s="1" t="s">
        <v>787</v>
      </c>
      <c r="D205" s="1" t="n">
        <v>144</v>
      </c>
      <c r="E205" s="1" t="n">
        <v>9.59</v>
      </c>
      <c r="F205" s="1" t="n">
        <v>1.1</v>
      </c>
    </row>
    <row collapsed="false" customFormat="false" customHeight="false" hidden="false" ht="14.75" outlineLevel="0" r="206">
      <c r="A206" s="1" t="s">
        <v>951</v>
      </c>
      <c r="B206" s="1" t="s">
        <v>816</v>
      </c>
      <c r="C206" s="1" t="s">
        <v>787</v>
      </c>
      <c r="D206" s="1" t="n">
        <v>70.6</v>
      </c>
      <c r="E206" s="1" t="n">
        <v>6.14</v>
      </c>
      <c r="F206" s="1" t="n">
        <v>0.3</v>
      </c>
    </row>
    <row collapsed="false" customFormat="false" customHeight="false" hidden="false" ht="14.75" outlineLevel="0" r="207">
      <c r="A207" s="1" t="s">
        <v>952</v>
      </c>
      <c r="B207" s="1" t="s">
        <v>802</v>
      </c>
      <c r="C207" s="1" t="s">
        <v>787</v>
      </c>
      <c r="D207" s="1" t="n">
        <v>285</v>
      </c>
      <c r="E207" s="1" t="n">
        <v>15.74</v>
      </c>
      <c r="F207" s="1" t="n">
        <f aca="false">23/7</f>
        <v>3.28571428571429</v>
      </c>
    </row>
    <row collapsed="false" customFormat="false" customHeight="false" hidden="false" ht="14.75" outlineLevel="0" r="208">
      <c r="A208" s="1" t="s">
        <v>953</v>
      </c>
      <c r="B208" s="1" t="s">
        <v>813</v>
      </c>
      <c r="C208" s="1" t="s">
        <v>787</v>
      </c>
      <c r="D208" s="1" t="n">
        <v>151.1</v>
      </c>
      <c r="E208" s="1" t="n">
        <v>11.25</v>
      </c>
      <c r="F208" s="1" t="n">
        <f aca="false">15/9</f>
        <v>1.66666666666667</v>
      </c>
    </row>
    <row collapsed="false" customFormat="false" customHeight="false" hidden="false" ht="14.75" outlineLevel="0" r="209">
      <c r="A209" s="1" t="s">
        <v>954</v>
      </c>
      <c r="B209" s="1" t="s">
        <v>797</v>
      </c>
      <c r="C209" s="1" t="s">
        <v>787</v>
      </c>
      <c r="D209" s="1" t="n">
        <v>230</v>
      </c>
      <c r="E209" s="1" t="n">
        <v>12.16</v>
      </c>
      <c r="F209" s="1" t="n">
        <v>2.2</v>
      </c>
    </row>
    <row collapsed="false" customFormat="false" customHeight="false" hidden="false" ht="14.75" outlineLevel="0" r="210">
      <c r="A210" s="1" t="s">
        <v>955</v>
      </c>
      <c r="B210" s="1" t="s">
        <v>797</v>
      </c>
      <c r="C210" s="1" t="s">
        <v>787</v>
      </c>
      <c r="D210" s="1" t="n">
        <v>80</v>
      </c>
      <c r="E210" s="1" t="n">
        <v>5.62</v>
      </c>
      <c r="F210" s="1" t="n">
        <v>0.5</v>
      </c>
    </row>
    <row collapsed="false" customFormat="false" customHeight="false" hidden="false" ht="14.75" outlineLevel="0" r="211">
      <c r="A211" s="1" t="s">
        <v>956</v>
      </c>
      <c r="B211" s="1" t="s">
        <v>797</v>
      </c>
      <c r="C211" s="1" t="s">
        <v>787</v>
      </c>
      <c r="D211" s="1" t="n">
        <v>118.9</v>
      </c>
      <c r="E211" s="1" t="n">
        <v>8.79</v>
      </c>
      <c r="F211" s="1" t="n">
        <v>0.7</v>
      </c>
    </row>
    <row collapsed="false" customFormat="false" customHeight="false" hidden="false" ht="14.75" outlineLevel="0" r="212">
      <c r="A212" s="1" t="s">
        <v>957</v>
      </c>
      <c r="B212" s="1" t="s">
        <v>797</v>
      </c>
      <c r="C212" s="1" t="s">
        <v>787</v>
      </c>
      <c r="D212" s="1" t="n">
        <v>66.5</v>
      </c>
      <c r="E212" s="1" t="n">
        <v>6.1</v>
      </c>
      <c r="F212" s="1" t="n">
        <v>0.6</v>
      </c>
    </row>
    <row collapsed="false" customFormat="false" customHeight="false" hidden="false" ht="14.75" outlineLevel="0" r="213">
      <c r="A213" s="1" t="s">
        <v>958</v>
      </c>
      <c r="B213" s="1" t="s">
        <v>813</v>
      </c>
      <c r="C213" s="1" t="s">
        <v>787</v>
      </c>
      <c r="D213" s="1" t="n">
        <v>441.7</v>
      </c>
      <c r="E213" s="1" t="n">
        <v>21.28</v>
      </c>
      <c r="F213" s="1" t="n">
        <f aca="false">66/9</f>
        <v>7.33333333333333</v>
      </c>
    </row>
    <row collapsed="false" customFormat="false" customHeight="false" hidden="false" ht="14.75" outlineLevel="0" r="214">
      <c r="A214" s="1" t="s">
        <v>959</v>
      </c>
      <c r="B214" s="1" t="s">
        <v>926</v>
      </c>
      <c r="C214" s="1" t="s">
        <v>787</v>
      </c>
      <c r="D214" s="1" t="n">
        <v>153.2</v>
      </c>
      <c r="E214" s="1" t="n">
        <v>10.59</v>
      </c>
      <c r="F214" s="1" t="n">
        <v>1</v>
      </c>
    </row>
    <row collapsed="false" customFormat="false" customHeight="false" hidden="false" ht="14.75" outlineLevel="0" r="215">
      <c r="A215" s="1" t="s">
        <v>960</v>
      </c>
      <c r="B215" s="1" t="s">
        <v>926</v>
      </c>
      <c r="C215" s="1" t="s">
        <v>787</v>
      </c>
      <c r="D215" s="1" t="n">
        <v>18.2</v>
      </c>
      <c r="E215" s="1" t="n">
        <v>5.45</v>
      </c>
      <c r="F215" s="1" t="n">
        <v>0</v>
      </c>
    </row>
    <row collapsed="false" customFormat="false" customHeight="false" hidden="false" ht="14.75" outlineLevel="0" r="216">
      <c r="A216" s="1" t="s">
        <v>30</v>
      </c>
      <c r="B216" s="1" t="s">
        <v>802</v>
      </c>
      <c r="C216" s="1" t="s">
        <v>787</v>
      </c>
      <c r="D216" s="1" t="n">
        <v>160</v>
      </c>
      <c r="E216" s="1" t="n">
        <v>11.6</v>
      </c>
      <c r="F216" s="1" t="n">
        <f aca="false">14/7</f>
        <v>2</v>
      </c>
    </row>
    <row collapsed="false" customFormat="false" customHeight="false" hidden="false" ht="14.75" outlineLevel="0" r="217">
      <c r="A217" s="1" t="s">
        <v>31</v>
      </c>
      <c r="B217" s="1" t="s">
        <v>802</v>
      </c>
      <c r="C217" s="1" t="s">
        <v>787</v>
      </c>
      <c r="D217" s="1" t="n">
        <v>310</v>
      </c>
      <c r="E217" s="1" t="n">
        <v>16.41</v>
      </c>
      <c r="F217" s="1" t="n">
        <f aca="false">29/7</f>
        <v>4.14285714285714</v>
      </c>
    </row>
    <row collapsed="false" customFormat="false" customHeight="false" hidden="false" ht="14.75" outlineLevel="0" r="218">
      <c r="A218" s="1" t="s">
        <v>961</v>
      </c>
      <c r="B218" s="1" t="s">
        <v>849</v>
      </c>
      <c r="C218" s="1" t="s">
        <v>787</v>
      </c>
      <c r="D218" s="1" t="n">
        <v>190.5</v>
      </c>
      <c r="E218" s="1" t="n">
        <v>14.49</v>
      </c>
      <c r="F218" s="1" t="n">
        <v>2.1</v>
      </c>
    </row>
    <row collapsed="false" customFormat="false" customHeight="false" hidden="false" ht="14.75" outlineLevel="0" r="219">
      <c r="A219" s="1" t="s">
        <v>962</v>
      </c>
      <c r="B219" s="1" t="s">
        <v>813</v>
      </c>
      <c r="C219" s="1" t="s">
        <v>787</v>
      </c>
      <c r="D219" s="1" t="n">
        <v>383.8</v>
      </c>
      <c r="E219" s="1" t="n">
        <v>21.8</v>
      </c>
      <c r="F219" s="1" t="n">
        <f aca="false">73/12</f>
        <v>6.08333333333333</v>
      </c>
    </row>
    <row collapsed="false" customFormat="false" customHeight="false" hidden="false" ht="14.75" outlineLevel="0" r="220">
      <c r="A220" s="1" t="s">
        <v>616</v>
      </c>
      <c r="B220" s="1" t="s">
        <v>802</v>
      </c>
      <c r="C220" s="1" t="s">
        <v>787</v>
      </c>
      <c r="D220" s="1" t="n">
        <v>308.6</v>
      </c>
      <c r="E220" s="1" t="n">
        <v>16.82</v>
      </c>
      <c r="F220" s="1" t="n">
        <f aca="false">26/7</f>
        <v>3.71428571428571</v>
      </c>
    </row>
    <row collapsed="false" customFormat="false" customHeight="false" hidden="false" ht="14.75" outlineLevel="0" r="221">
      <c r="A221" s="1" t="s">
        <v>963</v>
      </c>
      <c r="B221" s="1" t="s">
        <v>802</v>
      </c>
      <c r="C221" s="1" t="s">
        <v>787</v>
      </c>
      <c r="D221" s="1" t="n">
        <v>293.8</v>
      </c>
      <c r="E221" s="1" t="n">
        <v>14.01</v>
      </c>
      <c r="F221" s="1" t="n">
        <f aca="false">14/8</f>
        <v>1.75</v>
      </c>
    </row>
    <row collapsed="false" customFormat="false" customHeight="false" hidden="false" ht="14.75" outlineLevel="0" r="222">
      <c r="A222" s="1" t="s">
        <v>964</v>
      </c>
      <c r="B222" s="1" t="s">
        <v>839</v>
      </c>
      <c r="C222" s="1" t="s">
        <v>787</v>
      </c>
      <c r="D222" s="1" t="n">
        <v>175.5</v>
      </c>
      <c r="E222" s="1" t="n">
        <v>11.4</v>
      </c>
      <c r="F222" s="1" t="n">
        <v>0.5</v>
      </c>
    </row>
    <row collapsed="false" customFormat="false" customHeight="false" hidden="false" ht="14.75" outlineLevel="0" r="223">
      <c r="A223" s="1" t="s">
        <v>32</v>
      </c>
      <c r="B223" s="1" t="s">
        <v>818</v>
      </c>
      <c r="C223" s="1" t="s">
        <v>787</v>
      </c>
      <c r="D223" s="1" t="n">
        <v>167</v>
      </c>
      <c r="E223" s="1" t="n">
        <v>12.01</v>
      </c>
      <c r="F223" s="1" t="n">
        <v>1.1</v>
      </c>
    </row>
    <row collapsed="false" customFormat="false" customHeight="false" hidden="false" ht="14.75" outlineLevel="0" r="224">
      <c r="A224" s="1" t="s">
        <v>404</v>
      </c>
      <c r="B224" s="1" t="s">
        <v>818</v>
      </c>
      <c r="C224" s="1" t="s">
        <v>787</v>
      </c>
      <c r="D224" s="1" t="n">
        <v>94.4</v>
      </c>
      <c r="E224" s="1" t="n">
        <v>8.54</v>
      </c>
      <c r="F224" s="1" t="n">
        <f aca="false">3/9</f>
        <v>0.333333333333333</v>
      </c>
    </row>
    <row collapsed="false" customFormat="false" customHeight="false" hidden="false" ht="14.75" outlineLevel="0" r="225">
      <c r="A225" s="1" t="s">
        <v>965</v>
      </c>
      <c r="B225" s="1" t="s">
        <v>816</v>
      </c>
      <c r="C225" s="1" t="s">
        <v>787</v>
      </c>
      <c r="D225" s="1" t="n">
        <v>113</v>
      </c>
      <c r="E225" s="1" t="n">
        <v>8.47</v>
      </c>
      <c r="F225" s="1" t="n">
        <v>0.9</v>
      </c>
    </row>
    <row collapsed="false" customFormat="false" customHeight="false" hidden="false" ht="14.75" outlineLevel="0" r="226">
      <c r="A226" s="1" t="s">
        <v>966</v>
      </c>
      <c r="B226" s="1" t="s">
        <v>816</v>
      </c>
      <c r="C226" s="1" t="s">
        <v>787</v>
      </c>
      <c r="D226" s="1" t="n">
        <v>102.4</v>
      </c>
      <c r="E226" s="1" t="n">
        <v>6.92</v>
      </c>
      <c r="F226" s="1" t="n">
        <f aca="false">4/11</f>
        <v>0.363636363636364</v>
      </c>
    </row>
    <row collapsed="false" customFormat="false" customHeight="false" hidden="false" ht="14.75" outlineLevel="0" r="227">
      <c r="A227" s="1" t="s">
        <v>620</v>
      </c>
      <c r="B227" s="1" t="s">
        <v>790</v>
      </c>
      <c r="C227" s="1" t="s">
        <v>787</v>
      </c>
      <c r="D227" s="1" t="n">
        <v>346.5</v>
      </c>
      <c r="E227" s="1" t="n">
        <v>20.41</v>
      </c>
      <c r="F227" s="1" t="n">
        <v>4.9</v>
      </c>
    </row>
    <row collapsed="false" customFormat="false" customHeight="false" hidden="false" ht="14.75" outlineLevel="0" r="228">
      <c r="A228" s="1" t="s">
        <v>621</v>
      </c>
      <c r="B228" s="1" t="s">
        <v>790</v>
      </c>
      <c r="C228" s="1" t="s">
        <v>787</v>
      </c>
      <c r="D228" s="1" t="n">
        <v>143.5</v>
      </c>
      <c r="E228" s="1" t="n">
        <v>12.38</v>
      </c>
      <c r="F228" s="1" t="n">
        <v>1.3</v>
      </c>
    </row>
    <row collapsed="false" customFormat="false" customHeight="false" hidden="false" ht="14.75" outlineLevel="0" r="229">
      <c r="A229" s="1" t="s">
        <v>967</v>
      </c>
      <c r="B229" s="1" t="s">
        <v>810</v>
      </c>
      <c r="C229" s="1" t="s">
        <v>787</v>
      </c>
      <c r="D229" s="1" t="n">
        <v>329.4</v>
      </c>
      <c r="E229" s="1" t="n">
        <v>19.33</v>
      </c>
      <c r="F229" s="1" t="n">
        <v>3</v>
      </c>
    </row>
    <row collapsed="false" customFormat="false" customHeight="false" hidden="false" ht="14.75" outlineLevel="0" r="230">
      <c r="A230" s="1" t="s">
        <v>968</v>
      </c>
      <c r="B230" s="1" t="s">
        <v>810</v>
      </c>
      <c r="C230" s="1" t="s">
        <v>787</v>
      </c>
      <c r="D230" s="1" t="n">
        <v>119.4</v>
      </c>
      <c r="E230" s="1" t="n">
        <v>8.63</v>
      </c>
      <c r="F230" s="1" t="n">
        <f aca="false">7/8</f>
        <v>0.875</v>
      </c>
    </row>
    <row collapsed="false" customFormat="false" customHeight="false" hidden="false" ht="14.75" outlineLevel="0" r="231">
      <c r="A231" s="1" t="s">
        <v>969</v>
      </c>
      <c r="B231" s="1" t="s">
        <v>805</v>
      </c>
      <c r="C231" s="1" t="s">
        <v>787</v>
      </c>
      <c r="D231" s="1" t="n">
        <v>106.6</v>
      </c>
      <c r="E231" s="1" t="n">
        <v>7.3</v>
      </c>
      <c r="F231" s="1" t="n">
        <f aca="false">6/8</f>
        <v>0.75</v>
      </c>
    </row>
    <row collapsed="false" customFormat="false" customHeight="false" hidden="false" ht="14.75" outlineLevel="0" r="232">
      <c r="A232" s="1" t="s">
        <v>181</v>
      </c>
      <c r="B232" s="1" t="s">
        <v>839</v>
      </c>
      <c r="C232" s="1" t="s">
        <v>787</v>
      </c>
      <c r="D232" s="1" t="n">
        <v>107.5</v>
      </c>
      <c r="E232" s="1" t="n">
        <v>10.2</v>
      </c>
      <c r="F232" s="1" t="n">
        <v>0.9</v>
      </c>
    </row>
    <row collapsed="false" customFormat="false" customHeight="false" hidden="false" ht="14.75" outlineLevel="0" r="233">
      <c r="A233" s="1" t="s">
        <v>182</v>
      </c>
      <c r="B233" s="1" t="s">
        <v>839</v>
      </c>
      <c r="C233" s="1" t="s">
        <v>787</v>
      </c>
      <c r="D233" s="1" t="n">
        <v>24.5</v>
      </c>
      <c r="E233" s="1" t="n">
        <v>1.8</v>
      </c>
      <c r="F233" s="1" t="n">
        <v>0.3</v>
      </c>
    </row>
    <row collapsed="false" customFormat="false" customHeight="false" hidden="false" ht="14.75" outlineLevel="0" r="234">
      <c r="A234" s="1" t="s">
        <v>970</v>
      </c>
      <c r="B234" s="1" t="s">
        <v>926</v>
      </c>
      <c r="C234" s="1" t="s">
        <v>787</v>
      </c>
      <c r="D234" s="1" t="n">
        <v>296.6</v>
      </c>
      <c r="E234" s="1" t="n">
        <v>18.15</v>
      </c>
      <c r="F234" s="1" t="n">
        <f aca="false">34/8</f>
        <v>4.25</v>
      </c>
    </row>
    <row collapsed="false" customFormat="false" customHeight="false" hidden="false" ht="14.75" outlineLevel="0" r="235">
      <c r="A235" s="1" t="s">
        <v>971</v>
      </c>
      <c r="B235" s="1" t="s">
        <v>839</v>
      </c>
      <c r="C235" s="1" t="s">
        <v>787</v>
      </c>
      <c r="D235" s="1" t="n">
        <v>75.5</v>
      </c>
      <c r="E235" s="1" t="n">
        <v>6.9</v>
      </c>
      <c r="F235" s="1" t="n">
        <v>0.4</v>
      </c>
    </row>
    <row collapsed="false" customFormat="false" customHeight="false" hidden="false" ht="14.75" outlineLevel="0" r="236">
      <c r="A236" s="1" t="s">
        <v>972</v>
      </c>
      <c r="B236" s="1" t="s">
        <v>805</v>
      </c>
      <c r="C236" s="1" t="s">
        <v>787</v>
      </c>
      <c r="D236" s="1" t="n">
        <v>80.2</v>
      </c>
      <c r="E236" s="1" t="n">
        <v>7.59</v>
      </c>
      <c r="F236" s="1" t="n">
        <f aca="false">4/7</f>
        <v>0.571428571428571</v>
      </c>
    </row>
    <row collapsed="false" customFormat="false" customHeight="false" hidden="false" ht="14.75" outlineLevel="0" r="237">
      <c r="A237" s="1" t="s">
        <v>973</v>
      </c>
      <c r="B237" s="1" t="s">
        <v>813</v>
      </c>
      <c r="C237" s="1" t="s">
        <v>787</v>
      </c>
      <c r="D237" s="1" t="n">
        <v>333.9</v>
      </c>
      <c r="E237" s="1" t="n">
        <v>18.88</v>
      </c>
      <c r="F237" s="1" t="n">
        <f aca="false">54/9</f>
        <v>6</v>
      </c>
    </row>
    <row collapsed="false" customFormat="false" customHeight="false" hidden="false" ht="14.75" outlineLevel="0" r="238">
      <c r="A238" s="1" t="s">
        <v>974</v>
      </c>
      <c r="B238" s="1" t="s">
        <v>797</v>
      </c>
      <c r="C238" s="1" t="s">
        <v>787</v>
      </c>
      <c r="D238" s="1" t="n">
        <v>407.7</v>
      </c>
      <c r="E238" s="1" t="n">
        <v>20.14</v>
      </c>
      <c r="F238" s="1" t="n">
        <f aca="false">48/11</f>
        <v>4.36363636363636</v>
      </c>
    </row>
    <row collapsed="false" customFormat="false" customHeight="false" hidden="false" ht="14.75" outlineLevel="0" r="239">
      <c r="A239" s="1" t="s">
        <v>975</v>
      </c>
      <c r="B239" s="1" t="s">
        <v>797</v>
      </c>
      <c r="C239" s="1" t="s">
        <v>787</v>
      </c>
      <c r="D239" s="1" t="n">
        <v>227.5</v>
      </c>
      <c r="E239" s="1" t="n">
        <v>13.61</v>
      </c>
      <c r="F239" s="1" t="n">
        <v>2.7</v>
      </c>
    </row>
    <row collapsed="false" customFormat="false" customHeight="false" hidden="false" ht="14.75" outlineLevel="0" r="240">
      <c r="A240" s="1" t="s">
        <v>976</v>
      </c>
      <c r="B240" s="1" t="s">
        <v>797</v>
      </c>
      <c r="C240" s="1" t="s">
        <v>787</v>
      </c>
      <c r="D240" s="1" t="n">
        <v>130</v>
      </c>
      <c r="E240" s="1" t="n">
        <v>12.42</v>
      </c>
      <c r="F240" s="1" t="n">
        <v>1</v>
      </c>
    </row>
    <row collapsed="false" customFormat="false" customHeight="false" hidden="false" ht="14.75" outlineLevel="0" r="241">
      <c r="A241" s="1" t="s">
        <v>977</v>
      </c>
      <c r="B241" s="1" t="s">
        <v>803</v>
      </c>
      <c r="C241" s="1" t="s">
        <v>787</v>
      </c>
      <c r="D241" s="1" t="n">
        <v>61.9</v>
      </c>
      <c r="E241" s="1" t="n">
        <v>7.67</v>
      </c>
      <c r="F241" s="1" t="n">
        <f aca="false">7/8</f>
        <v>0.875</v>
      </c>
    </row>
    <row collapsed="false" customFormat="false" customHeight="false" hidden="false" ht="14.75" outlineLevel="0" r="242">
      <c r="A242" s="1" t="s">
        <v>978</v>
      </c>
      <c r="B242" s="1" t="s">
        <v>803</v>
      </c>
      <c r="C242" s="1" t="s">
        <v>787</v>
      </c>
      <c r="D242" s="1" t="n">
        <v>46.4</v>
      </c>
      <c r="E242" s="1" t="n">
        <v>8</v>
      </c>
      <c r="F242" s="1" t="n">
        <f aca="false">3/8</f>
        <v>0.375</v>
      </c>
    </row>
    <row collapsed="false" customFormat="false" customHeight="false" hidden="false" ht="14.75" outlineLevel="0" r="243">
      <c r="A243" s="1" t="s">
        <v>979</v>
      </c>
      <c r="B243" s="1" t="s">
        <v>816</v>
      </c>
      <c r="C243" s="1" t="s">
        <v>787</v>
      </c>
      <c r="D243" s="1" t="n">
        <v>116.4</v>
      </c>
      <c r="E243" s="1" t="n">
        <v>10</v>
      </c>
      <c r="F243" s="1" t="n">
        <f aca="false">9/11</f>
        <v>0.818181818181818</v>
      </c>
    </row>
    <row collapsed="false" customFormat="false" customHeight="false" hidden="false" ht="14.75" outlineLevel="0" r="244">
      <c r="A244" s="1" t="s">
        <v>980</v>
      </c>
      <c r="B244" s="1" t="s">
        <v>816</v>
      </c>
      <c r="C244" s="1" t="s">
        <v>787</v>
      </c>
      <c r="D244" s="1" t="n">
        <v>50</v>
      </c>
      <c r="E244" s="1" t="n">
        <v>6.45</v>
      </c>
      <c r="F244" s="1" t="n">
        <v>0.2</v>
      </c>
    </row>
    <row collapsed="false" customFormat="false" customHeight="false" hidden="false" ht="14.75" outlineLevel="0" r="245">
      <c r="A245" s="1" t="s">
        <v>981</v>
      </c>
      <c r="B245" s="1" t="s">
        <v>816</v>
      </c>
      <c r="C245" s="1" t="s">
        <v>787</v>
      </c>
      <c r="D245" s="1" t="n">
        <v>58.9</v>
      </c>
      <c r="E245" s="1" t="n">
        <v>4.63</v>
      </c>
      <c r="F245" s="1" t="n">
        <v>0.3</v>
      </c>
    </row>
    <row collapsed="false" customFormat="false" customHeight="false" hidden="false" ht="14.75" outlineLevel="0" r="246">
      <c r="A246" s="1" t="s">
        <v>982</v>
      </c>
      <c r="B246" s="1" t="s">
        <v>816</v>
      </c>
      <c r="C246" s="1" t="s">
        <v>787</v>
      </c>
      <c r="D246" s="1" t="n">
        <v>42.6</v>
      </c>
      <c r="E246" s="1" t="n">
        <v>3.87</v>
      </c>
      <c r="F246" s="1" t="n">
        <v>0.2</v>
      </c>
    </row>
    <row collapsed="false" customFormat="false" customHeight="false" hidden="false" ht="14.75" outlineLevel="0" r="247">
      <c r="A247" s="1" t="s">
        <v>983</v>
      </c>
      <c r="B247" s="1" t="s">
        <v>816</v>
      </c>
      <c r="C247" s="1" t="s">
        <v>787</v>
      </c>
      <c r="D247" s="1" t="n">
        <v>39</v>
      </c>
      <c r="E247" s="1" t="n">
        <v>4</v>
      </c>
      <c r="F247" s="1" t="n">
        <v>0.1</v>
      </c>
    </row>
    <row collapsed="false" customFormat="false" customHeight="false" hidden="false" ht="14.75" outlineLevel="0" r="248">
      <c r="A248" s="1" t="s">
        <v>984</v>
      </c>
      <c r="B248" s="1" t="s">
        <v>802</v>
      </c>
      <c r="C248" s="1" t="s">
        <v>787</v>
      </c>
      <c r="D248" s="1" t="n">
        <v>235</v>
      </c>
      <c r="E248" s="1" t="n">
        <v>12.43</v>
      </c>
      <c r="F248" s="1" t="n">
        <f aca="false">18/7</f>
        <v>2.57142857142857</v>
      </c>
    </row>
    <row collapsed="false" customFormat="false" customHeight="false" hidden="false" ht="14.75" outlineLevel="0" r="249">
      <c r="A249" s="1" t="s">
        <v>985</v>
      </c>
      <c r="B249" s="1" t="s">
        <v>790</v>
      </c>
      <c r="C249" s="1" t="s">
        <v>787</v>
      </c>
      <c r="D249" s="1" t="n">
        <v>193.5</v>
      </c>
      <c r="E249" s="1" t="n">
        <v>13.9</v>
      </c>
      <c r="F249" s="1" t="n">
        <v>1.5</v>
      </c>
    </row>
    <row collapsed="false" customFormat="false" customHeight="false" hidden="false" ht="14.75" outlineLevel="0" r="250">
      <c r="A250" s="1" t="s">
        <v>986</v>
      </c>
      <c r="B250" s="1" t="s">
        <v>813</v>
      </c>
      <c r="C250" s="1" t="s">
        <v>787</v>
      </c>
      <c r="D250" s="1" t="n">
        <v>272.8</v>
      </c>
      <c r="E250" s="1" t="n">
        <v>16.8</v>
      </c>
      <c r="F250" s="1" t="n">
        <f aca="false">33/9</f>
        <v>3.66666666666667</v>
      </c>
    </row>
    <row collapsed="false" customFormat="false" customHeight="false" hidden="false" ht="14.75" outlineLevel="0" r="251">
      <c r="A251" s="1" t="s">
        <v>987</v>
      </c>
      <c r="B251" s="1" t="s">
        <v>803</v>
      </c>
      <c r="C251" s="1" t="s">
        <v>787</v>
      </c>
      <c r="D251" s="1" t="n">
        <f aca="false">((393.8*8)+(285*4))/12</f>
        <v>357.533333333333</v>
      </c>
      <c r="E251" s="1" t="n">
        <f aca="false">(2060+790)/(104+36)</f>
        <v>20.3571428571429</v>
      </c>
      <c r="F251" s="1" t="n">
        <f aca="false">39/12</f>
        <v>3.25</v>
      </c>
    </row>
    <row collapsed="false" customFormat="false" customHeight="false" hidden="false" ht="14.75" outlineLevel="0" r="252">
      <c r="A252" s="1" t="s">
        <v>988</v>
      </c>
      <c r="B252" s="1" t="s">
        <v>803</v>
      </c>
      <c r="C252" s="1" t="s">
        <v>787</v>
      </c>
      <c r="D252" s="1" t="n">
        <v>335.9</v>
      </c>
      <c r="E252" s="1" t="n">
        <v>18.48</v>
      </c>
      <c r="F252" s="1" t="n">
        <f aca="false">40/11</f>
        <v>3.63636363636364</v>
      </c>
    </row>
    <row collapsed="false" customFormat="false" customHeight="false" hidden="false" ht="14.75" outlineLevel="0" r="253">
      <c r="A253" s="1" t="s">
        <v>989</v>
      </c>
      <c r="B253" s="1" t="s">
        <v>926</v>
      </c>
      <c r="C253" s="1" t="s">
        <v>787</v>
      </c>
      <c r="D253" s="1" t="n">
        <v>324.5</v>
      </c>
      <c r="E253" s="1" t="n">
        <v>16.95</v>
      </c>
      <c r="F253" s="1" t="n">
        <f aca="false">25/8</f>
        <v>3.125</v>
      </c>
    </row>
    <row collapsed="false" customFormat="false" customHeight="false" hidden="false" ht="14.75" outlineLevel="0" r="254">
      <c r="A254" s="1" t="s">
        <v>990</v>
      </c>
      <c r="B254" s="1" t="s">
        <v>926</v>
      </c>
      <c r="C254" s="1" t="s">
        <v>787</v>
      </c>
      <c r="D254" s="1" t="n">
        <v>155.9</v>
      </c>
      <c r="E254" s="1" t="n">
        <v>10.37</v>
      </c>
      <c r="F254" s="1" t="n">
        <f aca="false">9/7</f>
        <v>1.28571428571429</v>
      </c>
    </row>
    <row collapsed="false" customFormat="false" customHeight="false" hidden="false" ht="14.75" outlineLevel="0" r="255">
      <c r="A255" s="1" t="s">
        <v>991</v>
      </c>
      <c r="B255" s="1" t="s">
        <v>926</v>
      </c>
      <c r="C255" s="1" t="s">
        <v>787</v>
      </c>
      <c r="D255" s="1" t="n">
        <v>106.1</v>
      </c>
      <c r="E255" s="1" t="n">
        <v>8.6</v>
      </c>
      <c r="F255" s="1" t="n">
        <f aca="false">1/7</f>
        <v>0.142857142857143</v>
      </c>
    </row>
    <row collapsed="false" customFormat="false" customHeight="false" hidden="false" ht="14.75" outlineLevel="0" r="256">
      <c r="A256" s="1" t="s">
        <v>992</v>
      </c>
      <c r="B256" s="1" t="s">
        <v>816</v>
      </c>
      <c r="C256" s="1" t="s">
        <v>787</v>
      </c>
      <c r="D256" s="1" t="n">
        <v>98.5</v>
      </c>
      <c r="E256" s="1" t="n">
        <v>6.84</v>
      </c>
      <c r="F256" s="1" t="n"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blackAndWhite="false" cellComments="none" copies="1" draft="false" firstPageNumber="0" fitToHeight="1" fitToWidth="1" horizontalDpi="300" orientation="portrait" pageOrder="downThenOver" paperSize="1" scale="100" useFirstPageNumber="false" usePrinterDefaults="false" verticalDpi="300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1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85" zoomScaleNormal="85" zoomScalePageLayoutView="100">
      <selection activeCell="A1" activeCellId="0" pane="topLeft" sqref="A1"/>
    </sheetView>
  </sheetViews>
  <cols>
    <col collapsed="false" hidden="false" max="1" min="1" style="1" width="31.5450980392157"/>
    <col collapsed="false" hidden="false" max="2" min="2" style="1" width="32.0156862745098"/>
    <col collapsed="false" hidden="false" max="3" min="3" style="1" width="8.12941176470588"/>
    <col collapsed="false" hidden="false" max="5" min="4" style="1" width="7.15294117647059"/>
    <col collapsed="false" hidden="false" max="6" min="6" style="1" width="14.1647058823529"/>
    <col collapsed="false" hidden="false" max="1025" min="7" style="0" width="8.5921568627451"/>
  </cols>
  <sheetData>
    <row collapsed="false" customFormat="true" customHeight="false" hidden="false" ht="14.75" outlineLevel="0" r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collapsed="false" customFormat="false" customHeight="false" hidden="false" ht="14.75" outlineLevel="0" r="2">
      <c r="A2" s="1" t="s">
        <v>993</v>
      </c>
      <c r="B2" s="1" t="s">
        <v>994</v>
      </c>
      <c r="C2" s="1" t="s">
        <v>995</v>
      </c>
      <c r="D2" s="1" t="n">
        <v>264.5</v>
      </c>
      <c r="E2" s="1" t="n">
        <v>18.02</v>
      </c>
      <c r="F2" s="1" t="n">
        <v>3</v>
      </c>
    </row>
    <row collapsed="false" customFormat="false" customHeight="false" hidden="false" ht="14.75" outlineLevel="0" r="3">
      <c r="A3" s="1" t="s">
        <v>996</v>
      </c>
      <c r="B3" s="1" t="s">
        <v>997</v>
      </c>
      <c r="C3" s="1" t="s">
        <v>995</v>
      </c>
      <c r="D3" s="1" t="n">
        <v>170.3</v>
      </c>
      <c r="E3" s="1" t="n">
        <v>12.59</v>
      </c>
      <c r="F3" s="1" t="n">
        <f aca="false">6/8</f>
        <v>0.75</v>
      </c>
    </row>
    <row collapsed="false" customFormat="false" customHeight="false" hidden="false" ht="14.75" outlineLevel="0" r="4">
      <c r="A4" s="1" t="s">
        <v>998</v>
      </c>
      <c r="B4" s="1" t="s">
        <v>999</v>
      </c>
      <c r="C4" s="1" t="s">
        <v>995</v>
      </c>
      <c r="D4" s="1" t="n">
        <v>471.4</v>
      </c>
      <c r="E4" s="1" t="n">
        <v>24.81</v>
      </c>
      <c r="F4" s="1" t="n">
        <f aca="false">52/7</f>
        <v>7.42857142857143</v>
      </c>
    </row>
    <row collapsed="false" customFormat="false" customHeight="false" hidden="false" ht="14.75" outlineLevel="0" r="5">
      <c r="A5" s="1" t="s">
        <v>1000</v>
      </c>
      <c r="B5" s="1" t="s">
        <v>1001</v>
      </c>
      <c r="C5" s="1" t="s">
        <v>995</v>
      </c>
      <c r="D5" s="1" t="n">
        <v>240</v>
      </c>
      <c r="E5" s="1" t="n">
        <v>15.31</v>
      </c>
      <c r="F5" s="1" t="n">
        <v>2.1</v>
      </c>
    </row>
    <row collapsed="false" customFormat="false" customHeight="false" hidden="false" ht="14.75" outlineLevel="0" r="6">
      <c r="A6" s="1" t="s">
        <v>1002</v>
      </c>
      <c r="B6" s="1" t="s">
        <v>997</v>
      </c>
      <c r="C6" s="1" t="s">
        <v>995</v>
      </c>
      <c r="D6" s="1" t="n">
        <v>74.6</v>
      </c>
      <c r="E6" s="1" t="n">
        <v>7.14</v>
      </c>
      <c r="F6" s="1" t="n">
        <f aca="false">2/7</f>
        <v>0.285714285714286</v>
      </c>
    </row>
    <row collapsed="false" customFormat="false" customHeight="false" hidden="false" ht="14.75" outlineLevel="0" r="7">
      <c r="A7" s="1" t="s">
        <v>1003</v>
      </c>
      <c r="B7" s="1" t="s">
        <v>1004</v>
      </c>
      <c r="C7" s="1" t="s">
        <v>995</v>
      </c>
      <c r="D7" s="1" t="n">
        <v>180</v>
      </c>
      <c r="E7" s="1" t="n">
        <v>15.71</v>
      </c>
      <c r="F7" s="1" t="s">
        <v>9</v>
      </c>
    </row>
    <row collapsed="false" customFormat="false" customHeight="false" hidden="false" ht="14.75" outlineLevel="0" r="8">
      <c r="A8" s="1" t="s">
        <v>298</v>
      </c>
      <c r="B8" s="1" t="s">
        <v>1005</v>
      </c>
      <c r="C8" s="1" t="s">
        <v>995</v>
      </c>
      <c r="D8" s="1" t="n">
        <v>150</v>
      </c>
      <c r="E8" s="1" t="n">
        <v>12.56</v>
      </c>
      <c r="F8" s="1" t="n">
        <f aca="false">8/6</f>
        <v>1.33333333333333</v>
      </c>
    </row>
    <row collapsed="false" customFormat="false" customHeight="false" hidden="false" ht="14.75" outlineLevel="0" r="9">
      <c r="A9" s="1" t="s">
        <v>1006</v>
      </c>
      <c r="B9" s="1" t="s">
        <v>1007</v>
      </c>
      <c r="C9" s="1" t="s">
        <v>995</v>
      </c>
      <c r="D9" s="1" t="n">
        <v>75.8</v>
      </c>
      <c r="E9" s="1" t="n">
        <v>10.22</v>
      </c>
      <c r="F9" s="1" t="n">
        <f aca="false">1/7</f>
        <v>0.142857142857143</v>
      </c>
    </row>
    <row collapsed="false" customFormat="false" customHeight="false" hidden="false" ht="14.75" outlineLevel="0" r="10">
      <c r="A10" s="1" t="s">
        <v>1008</v>
      </c>
      <c r="B10" s="1" t="s">
        <v>997</v>
      </c>
      <c r="C10" s="1" t="s">
        <v>995</v>
      </c>
      <c r="D10" s="1" t="n">
        <v>174.6</v>
      </c>
      <c r="E10" s="1" t="n">
        <v>13.8</v>
      </c>
      <c r="F10" s="1" t="n">
        <f aca="false">3/7</f>
        <v>0.428571428571429</v>
      </c>
    </row>
    <row collapsed="false" customFormat="false" customHeight="false" hidden="false" ht="14.75" outlineLevel="0" r="11">
      <c r="A11" s="1" t="s">
        <v>1009</v>
      </c>
      <c r="B11" s="1" t="s">
        <v>997</v>
      </c>
      <c r="C11" s="1" t="s">
        <v>995</v>
      </c>
      <c r="D11" s="1" t="n">
        <v>184.7</v>
      </c>
      <c r="E11" s="1" t="n">
        <v>15.31</v>
      </c>
      <c r="F11" s="1" t="n">
        <f aca="false">12/8</f>
        <v>1.5</v>
      </c>
    </row>
    <row collapsed="false" customFormat="false" customHeight="false" hidden="false" ht="14.75" outlineLevel="0" r="12">
      <c r="A12" s="1" t="s">
        <v>1010</v>
      </c>
      <c r="B12" s="1" t="s">
        <v>1004</v>
      </c>
      <c r="C12" s="1" t="s">
        <v>995</v>
      </c>
      <c r="D12" s="1" t="n">
        <v>138.6</v>
      </c>
      <c r="E12" s="1" t="n">
        <v>18.53</v>
      </c>
      <c r="F12" s="1" t="s">
        <v>9</v>
      </c>
    </row>
    <row collapsed="false" customFormat="false" customHeight="false" hidden="false" ht="14.75" outlineLevel="0" r="13">
      <c r="A13" s="1" t="s">
        <v>1011</v>
      </c>
      <c r="B13" s="1" t="s">
        <v>999</v>
      </c>
      <c r="C13" s="1" t="s">
        <v>995</v>
      </c>
      <c r="D13" s="1" t="n">
        <v>220.1</v>
      </c>
      <c r="E13" s="1" t="n">
        <v>15.4</v>
      </c>
      <c r="F13" s="1" t="n">
        <f aca="false">20/6</f>
        <v>3.33333333333333</v>
      </c>
    </row>
    <row collapsed="false" customFormat="false" customHeight="false" hidden="false" ht="14.75" outlineLevel="0" r="14">
      <c r="A14" s="1" t="s">
        <v>1012</v>
      </c>
      <c r="B14" s="1" t="s">
        <v>999</v>
      </c>
      <c r="C14" s="1" t="s">
        <v>995</v>
      </c>
      <c r="D14" s="1" t="n">
        <v>154.2</v>
      </c>
      <c r="E14" s="1" t="n">
        <v>14.13</v>
      </c>
      <c r="F14" s="1" t="n">
        <f aca="false">8/6</f>
        <v>1.33333333333333</v>
      </c>
    </row>
    <row collapsed="false" customFormat="false" customHeight="false" hidden="false" ht="14.75" outlineLevel="0" r="15">
      <c r="A15" s="1" t="s">
        <v>827</v>
      </c>
      <c r="B15" s="1" t="s">
        <v>997</v>
      </c>
      <c r="C15" s="1" t="s">
        <v>995</v>
      </c>
      <c r="D15" s="1" t="n">
        <v>373.8</v>
      </c>
      <c r="E15" s="1" t="n">
        <v>21.22</v>
      </c>
      <c r="F15" s="1" t="n">
        <f aca="false">53/11</f>
        <v>4.81818181818182</v>
      </c>
    </row>
    <row collapsed="false" customFormat="false" customHeight="false" hidden="false" ht="14.75" outlineLevel="0" r="16">
      <c r="A16" s="1" t="s">
        <v>828</v>
      </c>
      <c r="B16" s="1" t="s">
        <v>997</v>
      </c>
      <c r="C16" s="1" t="s">
        <v>995</v>
      </c>
      <c r="D16" s="1" t="n">
        <v>242.1</v>
      </c>
      <c r="E16" s="1" t="n">
        <v>18.19</v>
      </c>
      <c r="F16" s="1" t="n">
        <f aca="false">19/8</f>
        <v>2.375</v>
      </c>
    </row>
    <row collapsed="false" customFormat="false" customHeight="false" hidden="false" ht="14.75" outlineLevel="0" r="17">
      <c r="A17" s="1" t="s">
        <v>829</v>
      </c>
      <c r="B17" s="1" t="s">
        <v>997</v>
      </c>
      <c r="C17" s="1" t="s">
        <v>995</v>
      </c>
      <c r="D17" s="1" t="n">
        <v>148.4</v>
      </c>
      <c r="E17" s="1" t="n">
        <v>13.02</v>
      </c>
      <c r="F17" s="1" t="n">
        <f aca="false">12/8</f>
        <v>1.5</v>
      </c>
    </row>
    <row collapsed="false" customFormat="false" customHeight="false" hidden="false" ht="14.75" outlineLevel="0" r="18">
      <c r="A18" s="1" t="s">
        <v>830</v>
      </c>
      <c r="B18" s="1" t="s">
        <v>997</v>
      </c>
      <c r="C18" s="1" t="s">
        <v>995</v>
      </c>
      <c r="D18" s="1" t="n">
        <v>160.5</v>
      </c>
      <c r="E18" s="1" t="n">
        <v>15.32</v>
      </c>
      <c r="F18" s="1" t="n">
        <f aca="false">3/8</f>
        <v>0.375</v>
      </c>
    </row>
    <row collapsed="false" customFormat="false" customHeight="false" hidden="false" ht="14.75" outlineLevel="0" r="19">
      <c r="A19" s="1" t="s">
        <v>831</v>
      </c>
      <c r="B19" s="1" t="s">
        <v>997</v>
      </c>
      <c r="C19" s="1" t="s">
        <v>995</v>
      </c>
      <c r="D19" s="1" t="n">
        <v>123</v>
      </c>
      <c r="E19" s="1" t="n">
        <v>13.49</v>
      </c>
      <c r="F19" s="1" t="n">
        <f aca="false">12/7</f>
        <v>1.71428571428571</v>
      </c>
    </row>
    <row collapsed="false" customFormat="false" customHeight="false" hidden="false" ht="14.75" outlineLevel="0" r="20">
      <c r="A20" s="1" t="s">
        <v>843</v>
      </c>
      <c r="B20" s="1" t="s">
        <v>994</v>
      </c>
      <c r="C20" s="1" t="s">
        <v>995</v>
      </c>
      <c r="D20" s="1" t="n">
        <v>118.5</v>
      </c>
      <c r="E20" s="1" t="n">
        <v>10.69</v>
      </c>
      <c r="F20" s="1" t="n">
        <v>0.4</v>
      </c>
    </row>
    <row collapsed="false" customFormat="false" customHeight="false" hidden="false" ht="14.75" outlineLevel="0" r="21">
      <c r="A21" s="1" t="s">
        <v>1013</v>
      </c>
      <c r="B21" s="1" t="s">
        <v>1004</v>
      </c>
      <c r="C21" s="1" t="s">
        <v>995</v>
      </c>
      <c r="D21" s="1" t="n">
        <v>257.1</v>
      </c>
      <c r="E21" s="1" t="n">
        <v>19.51</v>
      </c>
      <c r="F21" s="1" t="s">
        <v>9</v>
      </c>
    </row>
    <row collapsed="false" customFormat="false" customHeight="false" hidden="false" ht="14.75" outlineLevel="0" r="22">
      <c r="A22" s="6" t="s">
        <v>1014</v>
      </c>
      <c r="B22" s="1" t="s">
        <v>999</v>
      </c>
      <c r="C22" s="1" t="s">
        <v>995</v>
      </c>
      <c r="D22" s="1" t="n">
        <v>415.5</v>
      </c>
      <c r="E22" s="1" t="n">
        <v>22.65</v>
      </c>
      <c r="F22" s="1" t="n">
        <f aca="false">42/7</f>
        <v>6</v>
      </c>
    </row>
    <row collapsed="false" customFormat="false" customHeight="false" hidden="false" ht="14.75" outlineLevel="0" r="23">
      <c r="A23" s="6" t="s">
        <v>1015</v>
      </c>
      <c r="B23" s="1" t="s">
        <v>999</v>
      </c>
      <c r="C23" s="1" t="s">
        <v>995</v>
      </c>
      <c r="D23" s="1" t="n">
        <v>301.4</v>
      </c>
      <c r="E23" s="1" t="n">
        <v>18.11</v>
      </c>
      <c r="F23" s="1" t="n">
        <f aca="false">25/6</f>
        <v>4.16666666666667</v>
      </c>
    </row>
    <row collapsed="false" customFormat="false" customHeight="false" hidden="false" ht="14.75" outlineLevel="0" r="24">
      <c r="A24" s="1" t="s">
        <v>1016</v>
      </c>
      <c r="B24" s="1" t="s">
        <v>999</v>
      </c>
      <c r="C24" s="1" t="s">
        <v>995</v>
      </c>
      <c r="D24" s="1" t="n">
        <v>121.7</v>
      </c>
      <c r="E24" s="1" t="n">
        <v>14.83</v>
      </c>
      <c r="F24" s="1" t="n">
        <f aca="false">4/5</f>
        <v>0.8</v>
      </c>
    </row>
    <row collapsed="false" customFormat="false" customHeight="false" hidden="false" ht="14.75" outlineLevel="0" r="25">
      <c r="A25" s="1" t="s">
        <v>1017</v>
      </c>
      <c r="B25" s="1" t="s">
        <v>999</v>
      </c>
      <c r="C25" s="1" t="s">
        <v>995</v>
      </c>
      <c r="D25" s="1" t="n">
        <v>96.5</v>
      </c>
      <c r="E25" s="1" t="n">
        <v>11.56</v>
      </c>
      <c r="F25" s="1" t="n">
        <v>1</v>
      </c>
    </row>
    <row collapsed="false" customFormat="false" customHeight="false" hidden="false" ht="14.75" outlineLevel="0" r="26">
      <c r="A26" s="1" t="s">
        <v>64</v>
      </c>
      <c r="B26" s="1" t="s">
        <v>1004</v>
      </c>
      <c r="C26" s="1" t="s">
        <v>995</v>
      </c>
      <c r="D26" s="1" t="n">
        <v>487.1</v>
      </c>
      <c r="E26" s="1" t="n">
        <v>23.11</v>
      </c>
      <c r="F26" s="1" t="s">
        <v>9</v>
      </c>
    </row>
    <row collapsed="false" customFormat="false" customHeight="false" hidden="false" ht="14.75" outlineLevel="0" r="27">
      <c r="A27" s="1" t="s">
        <v>64</v>
      </c>
      <c r="B27" s="1" t="s">
        <v>1004</v>
      </c>
      <c r="C27" s="1" t="s">
        <v>995</v>
      </c>
      <c r="D27" s="1" t="n">
        <v>244.3</v>
      </c>
      <c r="E27" s="1" t="n">
        <v>15.15</v>
      </c>
      <c r="F27" s="1" t="s">
        <v>9</v>
      </c>
    </row>
    <row collapsed="false" customFormat="false" customHeight="false" hidden="false" ht="14.75" outlineLevel="0" r="28">
      <c r="A28" s="1" t="s">
        <v>1018</v>
      </c>
      <c r="B28" s="1" t="s">
        <v>1004</v>
      </c>
      <c r="C28" s="1" t="s">
        <v>995</v>
      </c>
      <c r="D28" s="1" t="n">
        <v>298.6</v>
      </c>
      <c r="E28" s="1" t="n">
        <v>20.74</v>
      </c>
      <c r="F28" s="1" t="s">
        <v>9</v>
      </c>
    </row>
    <row collapsed="false" customFormat="false" customHeight="false" hidden="false" ht="14.75" outlineLevel="0" r="29">
      <c r="A29" s="1" t="s">
        <v>1018</v>
      </c>
      <c r="B29" s="1" t="s">
        <v>1004</v>
      </c>
      <c r="C29" s="1" t="s">
        <v>995</v>
      </c>
      <c r="D29" s="1" t="n">
        <v>168.6</v>
      </c>
      <c r="E29" s="1" t="n">
        <v>16.82</v>
      </c>
      <c r="F29" s="1" t="s">
        <v>9</v>
      </c>
    </row>
    <row collapsed="false" customFormat="false" customHeight="false" hidden="false" ht="14.75" outlineLevel="0" r="30">
      <c r="A30" s="1" t="s">
        <v>852</v>
      </c>
      <c r="B30" s="1" t="s">
        <v>1007</v>
      </c>
      <c r="C30" s="1" t="s">
        <v>995</v>
      </c>
      <c r="D30" s="1" t="n">
        <v>259.2</v>
      </c>
      <c r="E30" s="1" t="n">
        <v>13.85</v>
      </c>
      <c r="F30" s="1" t="n">
        <f aca="false">15/8</f>
        <v>1.875</v>
      </c>
    </row>
    <row collapsed="false" customFormat="false" customHeight="false" hidden="false" ht="14.75" outlineLevel="0" r="31">
      <c r="A31" s="1" t="s">
        <v>327</v>
      </c>
      <c r="B31" s="1" t="s">
        <v>1005</v>
      </c>
      <c r="C31" s="1" t="s">
        <v>995</v>
      </c>
      <c r="D31" s="1" t="n">
        <v>309.4</v>
      </c>
      <c r="E31" s="1" t="n">
        <v>20.05</v>
      </c>
      <c r="F31" s="1" t="n">
        <f aca="false">24/9</f>
        <v>2.66666666666667</v>
      </c>
    </row>
    <row collapsed="false" customFormat="false" customHeight="false" hidden="false" ht="14.75" outlineLevel="0" r="32">
      <c r="A32" s="1" t="s">
        <v>328</v>
      </c>
      <c r="B32" s="1" t="s">
        <v>1005</v>
      </c>
      <c r="C32" s="1" t="s">
        <v>995</v>
      </c>
      <c r="D32" s="1" t="n">
        <v>217.1</v>
      </c>
      <c r="E32" s="1" t="n">
        <v>16.67</v>
      </c>
      <c r="F32" s="1" t="n">
        <f aca="false">8/7</f>
        <v>1.14285714285714</v>
      </c>
    </row>
    <row collapsed="false" customFormat="false" customHeight="false" hidden="false" ht="14.75" outlineLevel="0" r="33">
      <c r="A33" s="1" t="s">
        <v>1019</v>
      </c>
      <c r="B33" s="1" t="s">
        <v>1005</v>
      </c>
      <c r="C33" s="1" t="s">
        <v>995</v>
      </c>
      <c r="D33" s="1" t="n">
        <v>150.8</v>
      </c>
      <c r="E33" s="1" t="n">
        <v>11.83</v>
      </c>
      <c r="F33" s="1" t="n">
        <f aca="false">7/6</f>
        <v>1.16666666666667</v>
      </c>
    </row>
    <row collapsed="false" customFormat="false" customHeight="false" hidden="false" ht="14.75" outlineLevel="0" r="34">
      <c r="A34" s="1" t="s">
        <v>853</v>
      </c>
      <c r="B34" s="1" t="s">
        <v>997</v>
      </c>
      <c r="C34" s="1" t="s">
        <v>995</v>
      </c>
      <c r="D34" s="1" t="n">
        <v>331</v>
      </c>
      <c r="E34" s="1" t="n">
        <v>20.05</v>
      </c>
      <c r="F34" s="1" t="n">
        <f aca="false">22/9</f>
        <v>2.44444444444444</v>
      </c>
    </row>
    <row collapsed="false" customFormat="false" customHeight="false" hidden="false" ht="14.75" outlineLevel="0" r="35">
      <c r="A35" s="1" t="s">
        <v>854</v>
      </c>
      <c r="B35" s="1" t="s">
        <v>997</v>
      </c>
      <c r="C35" s="1" t="s">
        <v>995</v>
      </c>
      <c r="D35" s="1" t="n">
        <v>177.7</v>
      </c>
      <c r="E35" s="1" t="n">
        <v>15.1</v>
      </c>
      <c r="F35" s="1" t="n">
        <f aca="false">2/7</f>
        <v>0.285714285714286</v>
      </c>
    </row>
    <row collapsed="false" customFormat="false" customHeight="false" hidden="false" ht="14.75" outlineLevel="0" r="36">
      <c r="A36" s="1" t="s">
        <v>1020</v>
      </c>
      <c r="B36" s="1" t="s">
        <v>1007</v>
      </c>
      <c r="C36" s="1" t="s">
        <v>995</v>
      </c>
      <c r="D36" s="1" t="n">
        <v>360.8</v>
      </c>
      <c r="E36" s="1" t="n">
        <v>18.92</v>
      </c>
      <c r="F36" s="1" t="n">
        <f aca="false">16/9</f>
        <v>1.77777777777778</v>
      </c>
    </row>
    <row collapsed="false" customFormat="false" customHeight="false" hidden="false" ht="14.75" outlineLevel="0" r="37">
      <c r="A37" s="1" t="s">
        <v>858</v>
      </c>
      <c r="B37" s="1" t="s">
        <v>1007</v>
      </c>
      <c r="C37" s="1" t="s">
        <v>995</v>
      </c>
      <c r="D37" s="1" t="n">
        <v>253.3</v>
      </c>
      <c r="E37" s="1" t="n">
        <v>15.86</v>
      </c>
      <c r="F37" s="1" t="n">
        <f aca="false">13/7</f>
        <v>1.85714285714286</v>
      </c>
    </row>
    <row collapsed="false" customFormat="false" customHeight="false" hidden="false" ht="14.75" outlineLevel="0" r="38">
      <c r="A38" s="1" t="s">
        <v>1021</v>
      </c>
      <c r="B38" s="1" t="s">
        <v>1005</v>
      </c>
      <c r="C38" s="1" t="s">
        <v>995</v>
      </c>
      <c r="D38" s="1" t="n">
        <v>97.5</v>
      </c>
      <c r="E38" s="1" t="n">
        <v>12.31</v>
      </c>
      <c r="F38" s="1" t="n">
        <f aca="false">4/6</f>
        <v>0.666666666666667</v>
      </c>
    </row>
    <row collapsed="false" customFormat="false" customHeight="false" hidden="false" ht="14.75" outlineLevel="0" r="39">
      <c r="A39" s="1" t="s">
        <v>1022</v>
      </c>
      <c r="B39" s="1" t="s">
        <v>1004</v>
      </c>
      <c r="C39" s="1" t="s">
        <v>995</v>
      </c>
      <c r="D39" s="1" t="n">
        <v>170</v>
      </c>
      <c r="E39" s="1" t="n">
        <v>19.02</v>
      </c>
      <c r="F39" s="1" t="s">
        <v>9</v>
      </c>
    </row>
    <row collapsed="false" customFormat="false" customHeight="false" hidden="false" ht="14.75" outlineLevel="0" r="40">
      <c r="A40" s="1" t="s">
        <v>1023</v>
      </c>
      <c r="B40" s="1" t="s">
        <v>1004</v>
      </c>
      <c r="C40" s="1" t="s">
        <v>995</v>
      </c>
      <c r="D40" s="1" t="n">
        <v>304.3</v>
      </c>
      <c r="E40" s="1" t="n">
        <v>21.79</v>
      </c>
      <c r="F40" s="1" t="s">
        <v>9</v>
      </c>
    </row>
    <row collapsed="false" customFormat="false" customHeight="false" hidden="false" ht="14.75" outlineLevel="0" r="41">
      <c r="A41" s="1" t="s">
        <v>881</v>
      </c>
      <c r="B41" s="1" t="s">
        <v>1007</v>
      </c>
      <c r="C41" s="1" t="s">
        <v>995</v>
      </c>
      <c r="D41" s="1" t="n">
        <v>163.3</v>
      </c>
      <c r="E41" s="1" t="n">
        <v>12.56</v>
      </c>
      <c r="F41" s="1" t="n">
        <f aca="false">7/8</f>
        <v>0.875</v>
      </c>
    </row>
    <row collapsed="false" customFormat="false" customHeight="false" hidden="false" ht="14.75" outlineLevel="0" r="42">
      <c r="A42" s="1" t="s">
        <v>1024</v>
      </c>
      <c r="B42" s="1" t="s">
        <v>994</v>
      </c>
      <c r="C42" s="1" t="s">
        <v>995</v>
      </c>
      <c r="D42" s="1" t="n">
        <v>370.5</v>
      </c>
      <c r="E42" s="1" t="n">
        <v>21.39</v>
      </c>
      <c r="F42" s="1" t="n">
        <v>3.3</v>
      </c>
    </row>
    <row collapsed="false" customFormat="false" customHeight="false" hidden="false" ht="14.75" outlineLevel="0" r="43">
      <c r="A43" s="1" t="s">
        <v>1025</v>
      </c>
      <c r="B43" s="1" t="s">
        <v>994</v>
      </c>
      <c r="C43" s="1" t="s">
        <v>995</v>
      </c>
      <c r="D43" s="1" t="n">
        <v>356.5</v>
      </c>
      <c r="E43" s="1" t="n">
        <v>21.31</v>
      </c>
      <c r="F43" s="1" t="n">
        <v>3.4</v>
      </c>
    </row>
    <row collapsed="false" customFormat="false" customHeight="false" hidden="false" ht="14.75" outlineLevel="0" r="44">
      <c r="A44" s="1" t="s">
        <v>1026</v>
      </c>
      <c r="B44" s="1" t="s">
        <v>994</v>
      </c>
      <c r="C44" s="1" t="s">
        <v>995</v>
      </c>
      <c r="D44" s="1" t="n">
        <v>177</v>
      </c>
      <c r="E44" s="1" t="n">
        <v>15.21</v>
      </c>
      <c r="F44" s="1" t="n">
        <v>2.2</v>
      </c>
    </row>
    <row collapsed="false" customFormat="false" customHeight="false" hidden="false" ht="14.75" outlineLevel="0" r="45">
      <c r="A45" s="1" t="s">
        <v>1027</v>
      </c>
      <c r="B45" s="1" t="s">
        <v>994</v>
      </c>
      <c r="C45" s="1" t="s">
        <v>995</v>
      </c>
      <c r="D45" s="1" t="n">
        <v>106</v>
      </c>
      <c r="E45" s="1" t="n">
        <v>11.49</v>
      </c>
      <c r="F45" s="1" t="n">
        <v>0.7</v>
      </c>
    </row>
    <row collapsed="false" customFormat="false" customHeight="false" hidden="false" ht="14.75" outlineLevel="0" r="46">
      <c r="A46" s="1" t="s">
        <v>1028</v>
      </c>
      <c r="B46" s="1" t="s">
        <v>994</v>
      </c>
      <c r="C46" s="1" t="s">
        <v>995</v>
      </c>
      <c r="D46" s="1" t="n">
        <v>131</v>
      </c>
      <c r="E46" s="1" t="n">
        <v>11.11</v>
      </c>
      <c r="F46" s="1" t="n">
        <v>1</v>
      </c>
    </row>
    <row collapsed="false" customFormat="false" customHeight="false" hidden="false" ht="14.75" outlineLevel="0" r="47">
      <c r="A47" s="1" t="s">
        <v>1029</v>
      </c>
      <c r="B47" s="1" t="s">
        <v>994</v>
      </c>
      <c r="C47" s="1" t="s">
        <v>995</v>
      </c>
      <c r="D47" s="1" t="n">
        <v>101.5</v>
      </c>
      <c r="E47" s="1" t="n">
        <v>10.2</v>
      </c>
      <c r="F47" s="1" t="n">
        <v>0.6</v>
      </c>
    </row>
    <row collapsed="false" customFormat="false" customHeight="false" hidden="false" ht="14.75" outlineLevel="0" r="48">
      <c r="A48" s="1" t="s">
        <v>1030</v>
      </c>
      <c r="B48" s="1" t="s">
        <v>997</v>
      </c>
      <c r="C48" s="1" t="s">
        <v>995</v>
      </c>
      <c r="D48" s="1" t="n">
        <v>260</v>
      </c>
      <c r="E48" s="1" t="n">
        <v>19.73</v>
      </c>
      <c r="F48" s="1" t="n">
        <f aca="false">21/9</f>
        <v>2.33333333333333</v>
      </c>
    </row>
    <row collapsed="false" customFormat="false" customHeight="false" hidden="false" ht="14.75" outlineLevel="0" r="49">
      <c r="A49" s="1" t="s">
        <v>883</v>
      </c>
      <c r="B49" s="1" t="s">
        <v>997</v>
      </c>
      <c r="C49" s="1" t="s">
        <v>995</v>
      </c>
      <c r="D49" s="1" t="n">
        <v>146.9</v>
      </c>
      <c r="E49" s="1" t="n">
        <v>14</v>
      </c>
      <c r="F49" s="1" t="n">
        <f aca="false">4/7</f>
        <v>0.571428571428571</v>
      </c>
    </row>
    <row collapsed="false" customFormat="false" customHeight="false" hidden="false" ht="14.75" outlineLevel="0" r="50">
      <c r="A50" s="1" t="s">
        <v>884</v>
      </c>
      <c r="B50" s="1" t="s">
        <v>997</v>
      </c>
      <c r="C50" s="1" t="s">
        <v>995</v>
      </c>
      <c r="D50" s="1" t="n">
        <v>163.6</v>
      </c>
      <c r="E50" s="1" t="n">
        <v>14.12</v>
      </c>
      <c r="F50" s="1" t="n">
        <f aca="false">10/7</f>
        <v>1.42857142857143</v>
      </c>
    </row>
    <row collapsed="false" customFormat="false" customHeight="false" hidden="false" ht="14.75" outlineLevel="0" r="51">
      <c r="A51" s="1" t="s">
        <v>1031</v>
      </c>
      <c r="B51" s="1" t="s">
        <v>994</v>
      </c>
      <c r="C51" s="1" t="s">
        <v>995</v>
      </c>
      <c r="D51" s="1" t="n">
        <v>326.1</v>
      </c>
      <c r="E51" s="1" t="n">
        <v>19.49</v>
      </c>
      <c r="F51" s="1" t="n">
        <v>3</v>
      </c>
    </row>
    <row collapsed="false" customFormat="false" customHeight="false" hidden="false" ht="14.75" outlineLevel="0" r="52">
      <c r="A52" s="1" t="s">
        <v>1032</v>
      </c>
      <c r="B52" s="1" t="s">
        <v>1004</v>
      </c>
      <c r="C52" s="1" t="s">
        <v>995</v>
      </c>
      <c r="D52" s="1" t="n">
        <v>320</v>
      </c>
      <c r="E52" s="1" t="n">
        <v>19.47</v>
      </c>
      <c r="F52" s="1" t="s">
        <v>9</v>
      </c>
    </row>
    <row collapsed="false" customFormat="false" customHeight="false" hidden="false" ht="14.75" outlineLevel="0" r="53">
      <c r="A53" s="1" t="s">
        <v>1033</v>
      </c>
      <c r="B53" s="1" t="s">
        <v>997</v>
      </c>
      <c r="C53" s="1" t="s">
        <v>995</v>
      </c>
      <c r="D53" s="1" t="n">
        <v>152.4</v>
      </c>
      <c r="E53" s="1" t="n">
        <v>12.98</v>
      </c>
      <c r="F53" s="1" t="n">
        <f aca="false">9/7</f>
        <v>1.28571428571429</v>
      </c>
    </row>
    <row collapsed="false" customFormat="false" customHeight="false" hidden="false" ht="14.75" outlineLevel="0" r="54">
      <c r="A54" s="1" t="s">
        <v>1034</v>
      </c>
      <c r="B54" s="1" t="s">
        <v>1007</v>
      </c>
      <c r="C54" s="1" t="s">
        <v>995</v>
      </c>
      <c r="D54" s="1" t="n">
        <v>171.7</v>
      </c>
      <c r="E54" s="1" t="n">
        <v>12.89</v>
      </c>
      <c r="F54" s="1" t="n">
        <f aca="false">4/9</f>
        <v>0.444444444444444</v>
      </c>
    </row>
    <row collapsed="false" customFormat="false" customHeight="false" hidden="false" ht="14.75" outlineLevel="0" r="55">
      <c r="A55" s="1" t="s">
        <v>1035</v>
      </c>
      <c r="B55" s="1" t="s">
        <v>1007</v>
      </c>
      <c r="C55" s="1" t="s">
        <v>995</v>
      </c>
      <c r="D55" s="1" t="n">
        <v>194.2</v>
      </c>
      <c r="E55" s="1" t="n">
        <v>13.1</v>
      </c>
      <c r="F55" s="1" t="n">
        <f aca="false">7/8</f>
        <v>0.875</v>
      </c>
    </row>
    <row collapsed="false" customFormat="false" customHeight="false" hidden="false" ht="14.75" outlineLevel="0" r="56">
      <c r="A56" s="1" t="s">
        <v>1036</v>
      </c>
      <c r="B56" s="1" t="s">
        <v>1001</v>
      </c>
      <c r="C56" s="1" t="s">
        <v>995</v>
      </c>
      <c r="D56" s="1" t="n">
        <v>306.7</v>
      </c>
      <c r="E56" s="1" t="n">
        <v>16.49</v>
      </c>
      <c r="F56" s="1" t="n">
        <f aca="false">17/9</f>
        <v>1.88888888888889</v>
      </c>
    </row>
    <row collapsed="false" customFormat="false" customHeight="false" hidden="false" ht="14.75" outlineLevel="0" r="57">
      <c r="A57" s="1" t="s">
        <v>1037</v>
      </c>
      <c r="B57" s="1" t="s">
        <v>1001</v>
      </c>
      <c r="C57" s="1" t="s">
        <v>995</v>
      </c>
      <c r="D57" s="1" t="n">
        <v>214.5</v>
      </c>
      <c r="E57" s="1" t="n">
        <v>13.67</v>
      </c>
      <c r="F57" s="1" t="n">
        <v>1.5</v>
      </c>
    </row>
    <row collapsed="false" customFormat="false" customHeight="false" hidden="false" ht="14.75" outlineLevel="0" r="58">
      <c r="A58" s="1" t="s">
        <v>1038</v>
      </c>
      <c r="B58" s="1" t="s">
        <v>1001</v>
      </c>
      <c r="C58" s="1" t="s">
        <v>995</v>
      </c>
      <c r="D58" s="1" t="n">
        <v>48.8</v>
      </c>
      <c r="E58" s="1" t="n">
        <v>5</v>
      </c>
      <c r="F58" s="1" t="n">
        <f aca="false">1/8</f>
        <v>0.125</v>
      </c>
    </row>
    <row collapsed="false" customFormat="false" customHeight="false" hidden="false" ht="14.75" outlineLevel="0" r="59">
      <c r="A59" s="1" t="s">
        <v>1039</v>
      </c>
      <c r="B59" s="1" t="s">
        <v>1001</v>
      </c>
      <c r="C59" s="1" t="s">
        <v>995</v>
      </c>
      <c r="D59" s="1" t="n">
        <v>70</v>
      </c>
      <c r="E59" s="1" t="n">
        <v>7.5</v>
      </c>
      <c r="F59" s="1" t="n">
        <f aca="false">2/9</f>
        <v>0.222222222222222</v>
      </c>
    </row>
    <row collapsed="false" customFormat="false" customHeight="false" hidden="false" ht="14.75" outlineLevel="0" r="60">
      <c r="A60" s="1" t="s">
        <v>1040</v>
      </c>
      <c r="B60" s="1" t="s">
        <v>994</v>
      </c>
      <c r="C60" s="1" t="s">
        <v>995</v>
      </c>
      <c r="D60" s="1" t="n">
        <v>253.5</v>
      </c>
      <c r="E60" s="1" t="n">
        <v>18.86</v>
      </c>
      <c r="F60" s="1" t="n">
        <v>2.1</v>
      </c>
    </row>
    <row collapsed="false" customFormat="false" customHeight="false" hidden="false" ht="14.75" outlineLevel="0" r="61">
      <c r="A61" s="1" t="s">
        <v>1041</v>
      </c>
      <c r="B61" s="1" t="s">
        <v>1005</v>
      </c>
      <c r="C61" s="1" t="s">
        <v>995</v>
      </c>
      <c r="D61" s="1" t="n">
        <v>267.9</v>
      </c>
      <c r="E61" s="1" t="n">
        <v>17.25</v>
      </c>
      <c r="F61" s="1" t="n">
        <f aca="false">14/7</f>
        <v>2</v>
      </c>
    </row>
    <row collapsed="false" customFormat="false" customHeight="false" hidden="false" ht="14.75" outlineLevel="0" r="62">
      <c r="A62" s="1" t="s">
        <v>1042</v>
      </c>
      <c r="B62" s="1" t="s">
        <v>1005</v>
      </c>
      <c r="C62" s="1" t="s">
        <v>995</v>
      </c>
      <c r="D62" s="1" t="n">
        <v>348.3</v>
      </c>
      <c r="E62" s="1" t="n">
        <v>19.52</v>
      </c>
      <c r="F62" s="1" t="n">
        <f aca="false">34/9</f>
        <v>3.77777777777778</v>
      </c>
    </row>
    <row collapsed="false" customFormat="false" customHeight="false" hidden="false" ht="14.75" outlineLevel="0" r="63">
      <c r="A63" s="1" t="s">
        <v>1043</v>
      </c>
      <c r="B63" s="1" t="s">
        <v>1005</v>
      </c>
      <c r="C63" s="1" t="s">
        <v>995</v>
      </c>
      <c r="D63" s="1" t="n">
        <v>140</v>
      </c>
      <c r="E63" s="1" t="n">
        <v>11.15</v>
      </c>
      <c r="F63" s="1" t="n">
        <f aca="false">4/6</f>
        <v>0.666666666666667</v>
      </c>
    </row>
    <row collapsed="false" customFormat="false" customHeight="false" hidden="false" ht="14.75" outlineLevel="0" r="64">
      <c r="A64" s="1" t="s">
        <v>147</v>
      </c>
      <c r="B64" s="1" t="s">
        <v>1005</v>
      </c>
      <c r="C64" s="1" t="s">
        <v>995</v>
      </c>
      <c r="D64" s="1" t="n">
        <v>188.6</v>
      </c>
      <c r="E64" s="1" t="n">
        <v>15</v>
      </c>
      <c r="F64" s="1" t="n">
        <f aca="false">9/7</f>
        <v>1.28571428571429</v>
      </c>
    </row>
    <row collapsed="false" customFormat="false" customHeight="false" hidden="false" ht="14.75" outlineLevel="0" r="65">
      <c r="A65" s="1" t="s">
        <v>148</v>
      </c>
      <c r="B65" s="1" t="s">
        <v>1005</v>
      </c>
      <c r="C65" s="1" t="s">
        <v>995</v>
      </c>
      <c r="D65" s="1" t="n">
        <v>158.3</v>
      </c>
      <c r="E65" s="1" t="n">
        <v>16.57</v>
      </c>
      <c r="F65" s="1" t="n">
        <f aca="false">7/6</f>
        <v>1.16666666666667</v>
      </c>
    </row>
    <row collapsed="false" customFormat="false" customHeight="false" hidden="false" ht="14.75" outlineLevel="0" r="66">
      <c r="A66" s="1" t="s">
        <v>1044</v>
      </c>
      <c r="B66" s="1" t="s">
        <v>1005</v>
      </c>
      <c r="C66" s="1" t="s">
        <v>995</v>
      </c>
      <c r="D66" s="1" t="n">
        <v>401.7</v>
      </c>
      <c r="E66" s="1" t="n">
        <v>19.66</v>
      </c>
      <c r="F66" s="1" t="n">
        <f aca="false">46/9</f>
        <v>5.11111111111111</v>
      </c>
    </row>
    <row collapsed="false" customFormat="false" customHeight="false" hidden="false" ht="14.75" outlineLevel="0" r="67">
      <c r="A67" s="1" t="s">
        <v>1045</v>
      </c>
      <c r="B67" s="1" t="s">
        <v>1005</v>
      </c>
      <c r="C67" s="1" t="s">
        <v>995</v>
      </c>
      <c r="D67" s="1" t="n">
        <v>195</v>
      </c>
      <c r="E67" s="1" t="n">
        <v>12.92</v>
      </c>
      <c r="F67" s="1" t="n">
        <f aca="false">12/9</f>
        <v>1.33333333333333</v>
      </c>
    </row>
    <row collapsed="false" customFormat="false" customHeight="false" hidden="false" ht="14.75" outlineLevel="0" r="68">
      <c r="A68" s="1" t="s">
        <v>908</v>
      </c>
      <c r="B68" s="1" t="s">
        <v>997</v>
      </c>
      <c r="C68" s="1" t="s">
        <v>995</v>
      </c>
      <c r="D68" s="1" t="n">
        <v>246.7</v>
      </c>
      <c r="E68" s="1" t="n">
        <v>16.43</v>
      </c>
      <c r="F68" s="1" t="n">
        <f aca="false">24/9</f>
        <v>2.66666666666667</v>
      </c>
    </row>
    <row collapsed="false" customFormat="false" customHeight="false" hidden="false" ht="14.75" outlineLevel="0" r="69">
      <c r="A69" s="1" t="s">
        <v>909</v>
      </c>
      <c r="B69" s="1" t="s">
        <v>997</v>
      </c>
      <c r="C69" s="1" t="s">
        <v>995</v>
      </c>
      <c r="D69" s="1" t="n">
        <v>126.5</v>
      </c>
      <c r="E69" s="1" t="n">
        <v>10.47</v>
      </c>
      <c r="F69" s="1" t="n">
        <v>1</v>
      </c>
    </row>
    <row collapsed="false" customFormat="false" customHeight="false" hidden="false" ht="14.75" outlineLevel="0" r="70">
      <c r="A70" s="1" t="s">
        <v>910</v>
      </c>
      <c r="B70" s="1" t="s">
        <v>997</v>
      </c>
      <c r="C70" s="1" t="s">
        <v>995</v>
      </c>
      <c r="D70" s="1" t="n">
        <v>135.1</v>
      </c>
      <c r="E70" s="1" t="n">
        <v>11.43</v>
      </c>
      <c r="F70" s="1" t="n">
        <f aca="false">2/7</f>
        <v>0.285714285714286</v>
      </c>
    </row>
    <row collapsed="false" customFormat="false" customHeight="false" hidden="false" ht="14.75" outlineLevel="0" r="71">
      <c r="A71" s="1" t="s">
        <v>1046</v>
      </c>
      <c r="B71" s="1" t="s">
        <v>997</v>
      </c>
      <c r="C71" s="1" t="s">
        <v>995</v>
      </c>
      <c r="D71" s="1" t="n">
        <v>325.3</v>
      </c>
      <c r="E71" s="1" t="n">
        <v>20.23</v>
      </c>
      <c r="F71" s="1" t="n">
        <f aca="false">47/11</f>
        <v>4.27272727272727</v>
      </c>
    </row>
    <row collapsed="false" customFormat="false" customHeight="false" hidden="false" ht="14.75" outlineLevel="0" r="72">
      <c r="A72" s="1" t="s">
        <v>1047</v>
      </c>
      <c r="B72" s="1" t="s">
        <v>997</v>
      </c>
      <c r="C72" s="1" t="s">
        <v>995</v>
      </c>
      <c r="D72" s="1" t="n">
        <v>301.8</v>
      </c>
      <c r="E72" s="1" t="n">
        <v>17</v>
      </c>
      <c r="F72" s="1" t="n">
        <f aca="false">28/8</f>
        <v>3.5</v>
      </c>
    </row>
    <row collapsed="false" customFormat="false" customHeight="false" hidden="false" ht="14.75" outlineLevel="0" r="73">
      <c r="A73" s="1" t="s">
        <v>1048</v>
      </c>
      <c r="B73" s="1" t="s">
        <v>997</v>
      </c>
      <c r="C73" s="1" t="s">
        <v>995</v>
      </c>
      <c r="D73" s="1" t="n">
        <v>76.2</v>
      </c>
      <c r="E73" s="1" t="n">
        <v>10</v>
      </c>
      <c r="F73" s="1" t="n">
        <f aca="false">3/7</f>
        <v>0.428571428571429</v>
      </c>
    </row>
    <row collapsed="false" customFormat="false" customHeight="false" hidden="false" ht="14.75" outlineLevel="0" r="74">
      <c r="A74" s="1" t="s">
        <v>365</v>
      </c>
      <c r="B74" s="1" t="s">
        <v>1005</v>
      </c>
      <c r="C74" s="1" t="s">
        <v>995</v>
      </c>
      <c r="D74" s="1" t="n">
        <v>255.7</v>
      </c>
      <c r="E74" s="1" t="n">
        <v>17.15</v>
      </c>
      <c r="F74" s="1" t="n">
        <f aca="false">25/7</f>
        <v>3.57142857142857</v>
      </c>
    </row>
    <row collapsed="false" customFormat="false" customHeight="false" hidden="false" ht="14.75" outlineLevel="0" r="75">
      <c r="A75" s="1" t="s">
        <v>1049</v>
      </c>
      <c r="B75" s="1" t="s">
        <v>1004</v>
      </c>
      <c r="C75" s="1" t="s">
        <v>995</v>
      </c>
      <c r="D75" s="1" t="n">
        <v>230</v>
      </c>
      <c r="E75" s="1" t="n">
        <v>14.77</v>
      </c>
      <c r="F75" s="1" t="s">
        <v>9</v>
      </c>
    </row>
    <row collapsed="false" customFormat="false" customHeight="false" hidden="false" ht="14.75" outlineLevel="0" r="76">
      <c r="A76" s="1" t="s">
        <v>266</v>
      </c>
      <c r="B76" s="1" t="s">
        <v>999</v>
      </c>
      <c r="C76" s="1" t="s">
        <v>995</v>
      </c>
      <c r="D76" s="1" t="n">
        <v>451</v>
      </c>
      <c r="E76" s="1" t="n">
        <v>25.09</v>
      </c>
      <c r="F76" s="1" t="n">
        <f aca="false">72/8</f>
        <v>9</v>
      </c>
    </row>
    <row collapsed="false" customFormat="false" customHeight="false" hidden="false" ht="14.75" outlineLevel="0" r="77">
      <c r="A77" s="1" t="s">
        <v>267</v>
      </c>
      <c r="B77" s="1" t="s">
        <v>999</v>
      </c>
      <c r="C77" s="1" t="s">
        <v>995</v>
      </c>
      <c r="D77" s="1" t="n">
        <v>259.7</v>
      </c>
      <c r="E77" s="1" t="n">
        <v>18.52</v>
      </c>
      <c r="F77" s="1" t="n">
        <f aca="false">23/6</f>
        <v>3.83333333333333</v>
      </c>
    </row>
    <row collapsed="false" customFormat="false" customHeight="false" hidden="false" ht="14.75" outlineLevel="0" r="78">
      <c r="A78" s="1" t="s">
        <v>1050</v>
      </c>
      <c r="B78" s="1" t="s">
        <v>1001</v>
      </c>
      <c r="C78" s="1" t="s">
        <v>995</v>
      </c>
      <c r="D78" s="1" t="n">
        <v>123.3</v>
      </c>
      <c r="E78" s="1" t="n">
        <v>11.35</v>
      </c>
      <c r="F78" s="1" t="n">
        <f aca="false">4/9</f>
        <v>0.444444444444444</v>
      </c>
    </row>
    <row collapsed="false" customFormat="false" customHeight="false" hidden="false" ht="14.75" outlineLevel="0" r="79">
      <c r="A79" s="1" t="s">
        <v>1051</v>
      </c>
      <c r="B79" s="1" t="s">
        <v>1001</v>
      </c>
      <c r="C79" s="1" t="s">
        <v>995</v>
      </c>
      <c r="D79" s="1" t="n">
        <v>123.5</v>
      </c>
      <c r="E79" s="1" t="n">
        <v>10.85</v>
      </c>
      <c r="F79" s="1" t="n">
        <v>0.5</v>
      </c>
    </row>
    <row collapsed="false" customFormat="false" customHeight="false" hidden="false" ht="14.75" outlineLevel="0" r="80">
      <c r="A80" s="1" t="s">
        <v>1052</v>
      </c>
      <c r="B80" s="1" t="s">
        <v>1001</v>
      </c>
      <c r="C80" s="1" t="s">
        <v>995</v>
      </c>
      <c r="D80" s="1" t="n">
        <v>230.5</v>
      </c>
      <c r="E80" s="1" t="n">
        <v>14.95</v>
      </c>
      <c r="F80" s="1" t="n">
        <v>1.6</v>
      </c>
    </row>
    <row collapsed="false" customFormat="false" customHeight="false" hidden="false" ht="14.75" outlineLevel="0" r="81">
      <c r="A81" s="1" t="s">
        <v>1053</v>
      </c>
      <c r="B81" s="1" t="s">
        <v>1001</v>
      </c>
      <c r="C81" s="1" t="s">
        <v>995</v>
      </c>
      <c r="D81" s="1" t="n">
        <v>131.1</v>
      </c>
      <c r="E81" s="1" t="n">
        <v>10.91</v>
      </c>
      <c r="F81" s="1" t="n">
        <f aca="false">8/9</f>
        <v>0.888888888888889</v>
      </c>
    </row>
    <row collapsed="false" customFormat="false" customHeight="false" hidden="false" ht="14.75" outlineLevel="0" r="82">
      <c r="A82" s="1" t="s">
        <v>1054</v>
      </c>
      <c r="B82" s="1" t="s">
        <v>1001</v>
      </c>
      <c r="C82" s="1" t="s">
        <v>995</v>
      </c>
      <c r="D82" s="1" t="n">
        <v>61.1</v>
      </c>
      <c r="E82" s="1" t="n">
        <v>5.88</v>
      </c>
      <c r="F82" s="1" t="n">
        <f aca="false">2/9</f>
        <v>0.222222222222222</v>
      </c>
    </row>
    <row collapsed="false" customFormat="false" customHeight="false" hidden="false" ht="14.75" outlineLevel="0" r="83">
      <c r="A83" s="1" t="s">
        <v>1055</v>
      </c>
      <c r="B83" s="1" t="s">
        <v>999</v>
      </c>
      <c r="C83" s="1" t="s">
        <v>995</v>
      </c>
      <c r="D83" s="1" t="n">
        <v>220.8</v>
      </c>
      <c r="E83" s="1" t="n">
        <v>16.75</v>
      </c>
      <c r="F83" s="1" t="n">
        <f aca="false">19/6</f>
        <v>3.16666666666667</v>
      </c>
    </row>
    <row collapsed="false" customFormat="false" customHeight="false" hidden="false" ht="14.75" outlineLevel="0" r="84">
      <c r="A84" s="1" t="s">
        <v>1056</v>
      </c>
      <c r="B84" s="1" t="s">
        <v>999</v>
      </c>
      <c r="C84" s="1" t="s">
        <v>995</v>
      </c>
      <c r="D84" s="1" t="n">
        <v>70.1</v>
      </c>
      <c r="E84" s="1" t="n">
        <v>6.83</v>
      </c>
      <c r="F84" s="1" t="n">
        <f aca="false">5/6</f>
        <v>0.833333333333333</v>
      </c>
    </row>
    <row collapsed="false" customFormat="false" customHeight="false" hidden="false" ht="14.75" outlineLevel="0" r="85">
      <c r="A85" s="1" t="s">
        <v>1057</v>
      </c>
      <c r="B85" s="1" t="s">
        <v>1007</v>
      </c>
      <c r="C85" s="1" t="s">
        <v>995</v>
      </c>
      <c r="D85" s="1" t="n">
        <v>52.5</v>
      </c>
      <c r="E85" s="1" t="n">
        <v>8.82</v>
      </c>
      <c r="F85" s="1" t="n">
        <v>0</v>
      </c>
    </row>
    <row collapsed="false" customFormat="false" customHeight="false" hidden="false" ht="14.75" outlineLevel="0" r="86">
      <c r="A86" s="1" t="s">
        <v>1058</v>
      </c>
      <c r="B86" s="1" t="s">
        <v>1004</v>
      </c>
      <c r="C86" s="1" t="s">
        <v>995</v>
      </c>
      <c r="D86" s="1" t="n">
        <v>280</v>
      </c>
      <c r="E86" s="1" t="n">
        <v>21.61</v>
      </c>
      <c r="F86" s="1" t="s">
        <v>9</v>
      </c>
    </row>
    <row collapsed="false" customFormat="false" customHeight="false" hidden="false" ht="14.75" outlineLevel="0" r="87">
      <c r="A87" s="1" t="s">
        <v>1059</v>
      </c>
      <c r="B87" s="1" t="s">
        <v>1004</v>
      </c>
      <c r="C87" s="1" t="s">
        <v>995</v>
      </c>
      <c r="D87" s="1" t="n">
        <v>190</v>
      </c>
      <c r="E87" s="1" t="n">
        <v>18.91</v>
      </c>
      <c r="F87" s="1" t="s">
        <v>9</v>
      </c>
    </row>
    <row collapsed="false" customFormat="false" customHeight="false" hidden="false" ht="14.75" outlineLevel="0" r="88">
      <c r="A88" s="1" t="s">
        <v>1060</v>
      </c>
      <c r="B88" s="1" t="s">
        <v>997</v>
      </c>
      <c r="C88" s="1" t="s">
        <v>995</v>
      </c>
      <c r="D88" s="1" t="n">
        <v>277.2</v>
      </c>
      <c r="E88" s="1" t="n">
        <v>19.21</v>
      </c>
      <c r="F88" s="1" t="n">
        <f aca="false">21/8</f>
        <v>2.625</v>
      </c>
    </row>
    <row collapsed="false" customFormat="false" customHeight="false" hidden="false" ht="14.75" outlineLevel="0" r="89">
      <c r="A89" s="1" t="s">
        <v>1061</v>
      </c>
      <c r="B89" s="1" t="s">
        <v>997</v>
      </c>
      <c r="C89" s="1" t="s">
        <v>995</v>
      </c>
      <c r="D89" s="1" t="n">
        <v>198.7</v>
      </c>
      <c r="E89" s="1" t="n">
        <v>13.44</v>
      </c>
      <c r="F89" s="1" t="n">
        <f aca="false">15/8</f>
        <v>1.875</v>
      </c>
    </row>
    <row collapsed="false" customFormat="false" customHeight="false" hidden="false" ht="14.75" outlineLevel="0" r="90">
      <c r="A90" s="1" t="s">
        <v>1062</v>
      </c>
      <c r="B90" s="1" t="s">
        <v>997</v>
      </c>
      <c r="C90" s="1" t="s">
        <v>995</v>
      </c>
      <c r="D90" s="1" t="n">
        <v>126.8</v>
      </c>
      <c r="E90" s="1" t="n">
        <v>13.17</v>
      </c>
      <c r="F90" s="1" t="n">
        <f aca="false">5/7</f>
        <v>0.714285714285714</v>
      </c>
    </row>
    <row collapsed="false" customFormat="false" customHeight="false" hidden="false" ht="14.75" outlineLevel="0" r="91">
      <c r="A91" s="1" t="s">
        <v>1063</v>
      </c>
      <c r="B91" s="1" t="s">
        <v>999</v>
      </c>
      <c r="C91" s="1" t="s">
        <v>995</v>
      </c>
      <c r="D91" s="1" t="n">
        <v>116.7</v>
      </c>
      <c r="E91" s="1" t="n">
        <v>14.15</v>
      </c>
      <c r="F91" s="1" t="n">
        <f aca="false">3/7</f>
        <v>0.428571428571429</v>
      </c>
    </row>
    <row collapsed="false" customFormat="false" customHeight="false" hidden="false" ht="14.75" outlineLevel="0" r="92">
      <c r="A92" s="1" t="s">
        <v>1064</v>
      </c>
      <c r="B92" s="1" t="s">
        <v>1004</v>
      </c>
      <c r="C92" s="1" t="s">
        <v>995</v>
      </c>
      <c r="D92" s="1" t="n">
        <v>154.3</v>
      </c>
      <c r="E92" s="1" t="n">
        <v>14.55</v>
      </c>
      <c r="F92" s="1" t="s">
        <v>9</v>
      </c>
    </row>
    <row collapsed="false" customFormat="false" customHeight="false" hidden="false" ht="14.75" outlineLevel="0" r="93">
      <c r="A93" s="1" t="s">
        <v>1065</v>
      </c>
      <c r="B93" s="1" t="s">
        <v>1004</v>
      </c>
      <c r="C93" s="1" t="s">
        <v>995</v>
      </c>
      <c r="D93" s="1" t="n">
        <v>151.4</v>
      </c>
      <c r="E93" s="1" t="n">
        <v>17.18</v>
      </c>
      <c r="F93" s="1" t="s">
        <v>9</v>
      </c>
    </row>
    <row collapsed="false" customFormat="false" customHeight="false" hidden="false" ht="14.75" outlineLevel="0" r="94">
      <c r="A94" s="1" t="s">
        <v>1066</v>
      </c>
      <c r="B94" s="1" t="s">
        <v>1004</v>
      </c>
      <c r="C94" s="1" t="s">
        <v>995</v>
      </c>
      <c r="D94" s="1" t="n">
        <v>207.1</v>
      </c>
      <c r="E94" s="1" t="n">
        <v>16.85</v>
      </c>
      <c r="F94" s="1" t="s">
        <v>9</v>
      </c>
    </row>
    <row collapsed="false" customFormat="false" customHeight="false" hidden="false" ht="14.75" outlineLevel="0" r="95">
      <c r="A95" s="1" t="s">
        <v>491</v>
      </c>
      <c r="B95" s="1" t="s">
        <v>994</v>
      </c>
      <c r="C95" s="1" t="s">
        <v>995</v>
      </c>
      <c r="D95" s="1" t="n">
        <v>461.5</v>
      </c>
      <c r="E95" s="1" t="n">
        <v>23.11</v>
      </c>
      <c r="F95" s="1" t="n">
        <v>4</v>
      </c>
    </row>
    <row collapsed="false" customFormat="false" customHeight="false" hidden="false" ht="14.75" outlineLevel="0" r="96">
      <c r="A96" s="1" t="s">
        <v>1067</v>
      </c>
      <c r="B96" s="1" t="s">
        <v>997</v>
      </c>
      <c r="C96" s="1" t="s">
        <v>995</v>
      </c>
      <c r="D96" s="1" t="n">
        <v>400.4</v>
      </c>
      <c r="E96" s="1" t="n">
        <v>21.1</v>
      </c>
      <c r="F96" s="1" t="n">
        <f aca="false">42/11</f>
        <v>3.81818181818182</v>
      </c>
    </row>
    <row collapsed="false" customFormat="false" customHeight="false" hidden="false" ht="14.75" outlineLevel="0" r="97">
      <c r="A97" s="1" t="s">
        <v>1068</v>
      </c>
      <c r="B97" s="1" t="s">
        <v>997</v>
      </c>
      <c r="C97" s="1" t="s">
        <v>995</v>
      </c>
      <c r="D97" s="1" t="n">
        <v>97.4</v>
      </c>
      <c r="E97" s="1" t="n">
        <v>9.47</v>
      </c>
      <c r="F97" s="1" t="n">
        <f aca="false">5/7</f>
        <v>0.714285714285714</v>
      </c>
    </row>
    <row collapsed="false" customFormat="false" customHeight="false" hidden="false" ht="14.75" outlineLevel="0" r="98">
      <c r="A98" s="1" t="s">
        <v>1069</v>
      </c>
      <c r="B98" s="1" t="s">
        <v>1007</v>
      </c>
      <c r="C98" s="1" t="s">
        <v>995</v>
      </c>
      <c r="D98" s="1" t="n">
        <v>265.8</v>
      </c>
      <c r="E98" s="1" t="n">
        <v>16.07</v>
      </c>
      <c r="F98" s="1" t="n">
        <f aca="false">11/9</f>
        <v>1.22222222222222</v>
      </c>
    </row>
    <row collapsed="false" customFormat="false" customHeight="false" hidden="false" ht="14.75" outlineLevel="0" r="99">
      <c r="A99" s="1" t="s">
        <v>1070</v>
      </c>
      <c r="B99" s="1" t="s">
        <v>1001</v>
      </c>
      <c r="C99" s="1" t="s">
        <v>995</v>
      </c>
      <c r="D99" s="1" t="n">
        <v>228</v>
      </c>
      <c r="E99" s="1" t="n">
        <v>15.71</v>
      </c>
      <c r="F99" s="1" t="n">
        <v>1.2</v>
      </c>
    </row>
    <row collapsed="false" customFormat="false" customHeight="false" hidden="false" ht="14.75" outlineLevel="0" r="100">
      <c r="A100" s="1" t="s">
        <v>1071</v>
      </c>
      <c r="B100" s="1" t="s">
        <v>1001</v>
      </c>
      <c r="C100" s="1" t="s">
        <v>995</v>
      </c>
      <c r="D100" s="1" t="n">
        <v>120.6</v>
      </c>
      <c r="E100" s="1" t="n">
        <v>10.28</v>
      </c>
      <c r="F100" s="1" t="n">
        <f aca="false">3/9</f>
        <v>0.333333333333333</v>
      </c>
    </row>
    <row collapsed="false" customFormat="false" customHeight="false" hidden="false" ht="14.75" outlineLevel="0" r="101">
      <c r="A101" s="1" t="s">
        <v>1072</v>
      </c>
      <c r="B101" s="1" t="s">
        <v>1001</v>
      </c>
      <c r="C101" s="1" t="s">
        <v>995</v>
      </c>
      <c r="D101" s="1" t="n">
        <v>220.6</v>
      </c>
      <c r="E101" s="1" t="n">
        <v>14.75</v>
      </c>
      <c r="F101" s="1" t="n">
        <f aca="false">7/9</f>
        <v>0.777777777777778</v>
      </c>
    </row>
    <row collapsed="false" customFormat="false" customHeight="false" hidden="false" ht="14.75" outlineLevel="0" r="102">
      <c r="A102" s="1" t="s">
        <v>1073</v>
      </c>
      <c r="B102" s="1" t="s">
        <v>1001</v>
      </c>
      <c r="C102" s="1" t="s">
        <v>995</v>
      </c>
      <c r="D102" s="1" t="n">
        <v>172</v>
      </c>
      <c r="E102" s="1" t="n">
        <v>12.18</v>
      </c>
      <c r="F102" s="1" t="n">
        <v>0.4</v>
      </c>
    </row>
    <row collapsed="false" customFormat="false" customHeight="false" hidden="false" ht="14.75" outlineLevel="0" r="103">
      <c r="A103" s="1" t="s">
        <v>1074</v>
      </c>
      <c r="B103" s="1" t="s">
        <v>1001</v>
      </c>
      <c r="C103" s="1" t="s">
        <v>995</v>
      </c>
      <c r="D103" s="1" t="n">
        <v>79.4</v>
      </c>
      <c r="E103" s="1" t="n">
        <v>8.25</v>
      </c>
      <c r="F103" s="1" t="n">
        <v>0</v>
      </c>
    </row>
    <row collapsed="false" customFormat="false" customHeight="false" hidden="false" ht="14.75" outlineLevel="0" r="104">
      <c r="A104" s="1" t="s">
        <v>1075</v>
      </c>
      <c r="B104" s="1" t="s">
        <v>1007</v>
      </c>
      <c r="C104" s="1" t="s">
        <v>995</v>
      </c>
      <c r="D104" s="1" t="n">
        <v>185.8</v>
      </c>
      <c r="E104" s="1" t="n">
        <v>11.76</v>
      </c>
      <c r="F104" s="1" t="n">
        <f aca="false">3/8</f>
        <v>0.375</v>
      </c>
    </row>
    <row collapsed="false" customFormat="false" customHeight="false" hidden="false" ht="14.75" outlineLevel="0" r="105">
      <c r="A105" s="1" t="s">
        <v>1076</v>
      </c>
      <c r="B105" s="1" t="s">
        <v>1007</v>
      </c>
      <c r="C105" s="1" t="s">
        <v>995</v>
      </c>
      <c r="D105" s="1" t="n">
        <v>67.5</v>
      </c>
      <c r="E105" s="1" t="n">
        <v>7.08</v>
      </c>
      <c r="F105" s="1" t="n">
        <f aca="false">2/7</f>
        <v>0.285714285714286</v>
      </c>
    </row>
    <row collapsed="false" customFormat="false" customHeight="false" hidden="false" ht="14.75" outlineLevel="0" r="106">
      <c r="A106" s="1" t="s">
        <v>1077</v>
      </c>
      <c r="B106" s="1" t="s">
        <v>1004</v>
      </c>
      <c r="C106" s="1" t="s">
        <v>995</v>
      </c>
      <c r="D106" s="1" t="n">
        <v>268.6</v>
      </c>
      <c r="E106" s="1" t="n">
        <v>19.84</v>
      </c>
      <c r="F106" s="1" t="s">
        <v>9</v>
      </c>
    </row>
    <row collapsed="false" customFormat="false" customHeight="false" hidden="false" ht="14.75" outlineLevel="0" r="107">
      <c r="A107" s="1" t="s">
        <v>1078</v>
      </c>
      <c r="B107" s="1" t="s">
        <v>1004</v>
      </c>
      <c r="C107" s="1" t="s">
        <v>995</v>
      </c>
      <c r="D107" s="1" t="n">
        <v>110</v>
      </c>
      <c r="E107" s="1" t="n">
        <v>15.67</v>
      </c>
      <c r="F107" s="1" t="s">
        <v>9</v>
      </c>
    </row>
    <row collapsed="false" customFormat="false" customHeight="false" hidden="false" ht="14.75" outlineLevel="0" r="108">
      <c r="A108" s="1" t="s">
        <v>1079</v>
      </c>
      <c r="B108" s="1" t="s">
        <v>994</v>
      </c>
      <c r="C108" s="1" t="s">
        <v>995</v>
      </c>
      <c r="D108" s="1" t="n">
        <v>257</v>
      </c>
      <c r="E108" s="1" t="n">
        <v>17.86</v>
      </c>
      <c r="F108" s="1" t="n">
        <v>2.1</v>
      </c>
    </row>
    <row collapsed="false" customFormat="false" customHeight="false" hidden="false" ht="14.75" outlineLevel="0" r="109">
      <c r="A109" s="1" t="s">
        <v>1080</v>
      </c>
      <c r="B109" s="1" t="s">
        <v>1004</v>
      </c>
      <c r="C109" s="1" t="s">
        <v>995</v>
      </c>
      <c r="D109" s="1" t="n">
        <v>197.1</v>
      </c>
      <c r="E109" s="1" t="n">
        <v>18.16</v>
      </c>
      <c r="F109" s="1" t="s">
        <v>9</v>
      </c>
    </row>
    <row collapsed="false" customFormat="false" customHeight="false" hidden="false" ht="14.75" outlineLevel="0" r="110">
      <c r="A110" s="1" t="s">
        <v>972</v>
      </c>
      <c r="B110" s="1" t="s">
        <v>1007</v>
      </c>
      <c r="C110" s="1" t="s">
        <v>995</v>
      </c>
      <c r="D110" s="1" t="n">
        <v>160.8</v>
      </c>
      <c r="E110" s="1" t="n">
        <v>11.36</v>
      </c>
      <c r="F110" s="1" t="n">
        <v>1</v>
      </c>
    </row>
    <row collapsed="false" customFormat="false" customHeight="false" hidden="false" ht="14.75" outlineLevel="0" r="111">
      <c r="A111" s="1" t="s">
        <v>1081</v>
      </c>
      <c r="B111" s="1" t="s">
        <v>1005</v>
      </c>
      <c r="C111" s="1" t="s">
        <v>995</v>
      </c>
      <c r="D111" s="1" t="n">
        <v>168.3</v>
      </c>
      <c r="E111" s="1" t="n">
        <v>13.93</v>
      </c>
      <c r="F111" s="1" t="n">
        <f aca="false">5/6</f>
        <v>0.833333333333333</v>
      </c>
    </row>
    <row collapsed="false" customFormat="false" customHeight="false" hidden="false" ht="14.75" outlineLevel="0" r="112">
      <c r="A112" s="1" t="s">
        <v>1082</v>
      </c>
      <c r="B112" s="1" t="s">
        <v>999</v>
      </c>
      <c r="C112" s="1" t="s">
        <v>995</v>
      </c>
      <c r="D112" s="1" t="n">
        <v>487</v>
      </c>
      <c r="E112" s="1" t="n">
        <v>23.45</v>
      </c>
      <c r="F112" s="1" t="n">
        <f aca="false">83/9</f>
        <v>9.22222222222222</v>
      </c>
    </row>
    <row collapsed="false" customFormat="false" customHeight="false" hidden="false" ht="14.75" outlineLevel="0" r="113">
      <c r="A113" s="1" t="s">
        <v>1083</v>
      </c>
      <c r="B113" s="1" t="s">
        <v>999</v>
      </c>
      <c r="C113" s="1" t="s">
        <v>995</v>
      </c>
      <c r="D113" s="1" t="n">
        <v>192.5</v>
      </c>
      <c r="E113" s="1" t="n">
        <v>15.57</v>
      </c>
      <c r="F113" s="1" t="n">
        <v>2</v>
      </c>
    </row>
    <row collapsed="false" customFormat="false" customHeight="false" hidden="false" ht="14.75" outlineLevel="0" r="114">
      <c r="A114" s="1" t="s">
        <v>974</v>
      </c>
      <c r="B114" s="1" t="s">
        <v>997</v>
      </c>
      <c r="C114" s="1" t="s">
        <v>995</v>
      </c>
      <c r="D114" s="1" t="n">
        <v>449.8</v>
      </c>
      <c r="E114" s="1" t="n">
        <v>23.42</v>
      </c>
      <c r="F114" s="1" t="n">
        <f aca="false">65/11</f>
        <v>5.90909090909091</v>
      </c>
    </row>
    <row collapsed="false" customFormat="false" customHeight="false" hidden="false" ht="14.75" outlineLevel="0" r="115">
      <c r="A115" s="1" t="s">
        <v>975</v>
      </c>
      <c r="B115" s="1" t="s">
        <v>997</v>
      </c>
      <c r="C115" s="1" t="s">
        <v>995</v>
      </c>
      <c r="D115" s="1" t="n">
        <v>330.7</v>
      </c>
      <c r="E115" s="1" t="n">
        <v>19.19</v>
      </c>
      <c r="F115" s="1" t="n">
        <f aca="false">44/9</f>
        <v>4.88888888888889</v>
      </c>
    </row>
    <row collapsed="false" customFormat="false" customHeight="false" hidden="false" ht="14.75" outlineLevel="0" r="116">
      <c r="A116" s="1" t="s">
        <v>976</v>
      </c>
      <c r="B116" s="1" t="s">
        <v>997</v>
      </c>
      <c r="C116" s="1" t="s">
        <v>995</v>
      </c>
      <c r="D116" s="1" t="n">
        <v>101.4</v>
      </c>
      <c r="E116" s="1" t="n">
        <v>9</v>
      </c>
      <c r="F116" s="1" t="n">
        <f aca="false">4/7</f>
        <v>0.571428571428571</v>
      </c>
    </row>
    <row collapsed="false" customFormat="false" customHeight="false" hidden="false" ht="14.75" outlineLevel="0" r="117">
      <c r="A117" s="1" t="s">
        <v>1084</v>
      </c>
      <c r="B117" s="1" t="s">
        <v>997</v>
      </c>
      <c r="C117" s="1" t="s">
        <v>995</v>
      </c>
      <c r="D117" s="1" t="n">
        <v>57.9</v>
      </c>
      <c r="E117" s="1" t="n">
        <v>5.22</v>
      </c>
      <c r="F117" s="1" t="n">
        <f aca="false">3/7</f>
        <v>0.428571428571429</v>
      </c>
    </row>
    <row collapsed="false" customFormat="false" customHeight="false" hidden="false" ht="14.75" outlineLevel="0" r="118">
      <c r="A118" s="1" t="s">
        <v>1085</v>
      </c>
      <c r="B118" s="1" t="s">
        <v>1004</v>
      </c>
      <c r="C118" s="1" t="s">
        <v>995</v>
      </c>
      <c r="D118" s="1" t="n">
        <v>154.3</v>
      </c>
      <c r="E118" s="1" t="n">
        <v>14</v>
      </c>
      <c r="F118" s="1" t="s">
        <v>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blackAndWhite="false" cellComments="none" copies="1" draft="false" firstPageNumber="0" fitToHeight="1" fitToWidth="1" horizontalDpi="300" orientation="portrait" pageOrder="downThenOver" paperSize="1" scale="100" useFirstPageNumber="false" usePrinterDefaults="false" verticalDpi="300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416"/>
  <sheetViews>
    <sheetView colorId="64" defaultGridColor="true" rightToLeft="false" showFormulas="false" showGridLines="true" showOutlineSymbols="true" showRowColHeaders="true" showZeros="true" tabSelected="false" topLeftCell="A392" view="normal" windowProtection="false" workbookViewId="0" zoomScale="85" zoomScaleNormal="85" zoomScalePageLayoutView="100">
      <selection activeCell="A417" activeCellId="0" pane="topLeft" sqref="A417"/>
    </sheetView>
  </sheetViews>
  <cols>
    <col collapsed="false" hidden="false" max="1" min="1" style="1" width="16.5882352941176"/>
    <col collapsed="false" hidden="false" max="2" min="2" style="1" width="43.6039215686275"/>
    <col collapsed="false" hidden="false" max="3" min="3" style="1" width="6.52156862745098"/>
    <col collapsed="false" hidden="false" max="5" min="4" style="1" width="7.15294117647059"/>
    <col collapsed="false" hidden="false" max="6" min="6" style="1" width="14.1647058823529"/>
    <col collapsed="false" hidden="false" max="1025" min="7" style="0" width="8.5921568627451"/>
  </cols>
  <sheetData>
    <row collapsed="false" customFormat="true" customHeight="false" hidden="false" ht="14.75" outlineLevel="0" r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collapsed="false" customFormat="false" customHeight="false" hidden="false" ht="14.75" outlineLevel="0" r="2">
      <c r="A2" s="1" t="s">
        <v>87</v>
      </c>
      <c r="B2" s="1" t="s">
        <v>1086</v>
      </c>
      <c r="C2" s="1" t="s">
        <v>1087</v>
      </c>
      <c r="D2" s="1" t="n">
        <v>207.9</v>
      </c>
      <c r="E2" s="1" t="n">
        <v>13.02</v>
      </c>
      <c r="F2" s="1" t="n">
        <f aca="false">6/7</f>
        <v>0.857142857142857</v>
      </c>
    </row>
    <row collapsed="false" customFormat="false" customHeight="false" hidden="false" ht="14.75" outlineLevel="0" r="3">
      <c r="A3" s="1" t="s">
        <v>993</v>
      </c>
      <c r="B3" s="1" t="s">
        <v>1086</v>
      </c>
      <c r="C3" s="1" t="s">
        <v>1087</v>
      </c>
      <c r="D3" s="1" t="n">
        <v>349.4</v>
      </c>
      <c r="E3" s="1" t="n">
        <v>13.15</v>
      </c>
      <c r="F3" s="1" t="n">
        <f aca="false">34/8</f>
        <v>4.25</v>
      </c>
    </row>
    <row collapsed="false" customFormat="false" customHeight="false" hidden="false" ht="14.75" outlineLevel="0" r="4">
      <c r="A4" s="1" t="s">
        <v>1088</v>
      </c>
      <c r="B4" s="1" t="s">
        <v>1089</v>
      </c>
      <c r="C4" s="1" t="s">
        <v>1087</v>
      </c>
      <c r="D4" s="1" t="n">
        <v>285.8</v>
      </c>
      <c r="E4" s="1" t="n">
        <v>17.76</v>
      </c>
      <c r="F4" s="1" t="n">
        <f aca="false">35/12</f>
        <v>2.91666666666667</v>
      </c>
    </row>
    <row collapsed="false" customFormat="false" customHeight="false" hidden="false" ht="14.75" outlineLevel="0" r="5">
      <c r="A5" s="1" t="s">
        <v>1090</v>
      </c>
      <c r="B5" s="1" t="s">
        <v>1089</v>
      </c>
      <c r="C5" s="1" t="s">
        <v>1087</v>
      </c>
      <c r="D5" s="1" t="n">
        <v>269</v>
      </c>
      <c r="E5" s="1" t="n">
        <v>14.59</v>
      </c>
      <c r="F5" s="1" t="n">
        <v>1.5</v>
      </c>
    </row>
    <row collapsed="false" customFormat="false" customHeight="false" hidden="false" ht="14.75" outlineLevel="0" r="6">
      <c r="A6" s="1" t="s">
        <v>1091</v>
      </c>
      <c r="B6" s="1" t="s">
        <v>1089</v>
      </c>
      <c r="C6" s="1" t="s">
        <v>1087</v>
      </c>
      <c r="D6" s="1" t="n">
        <v>162.8</v>
      </c>
      <c r="E6" s="1" t="n">
        <v>10.42</v>
      </c>
      <c r="F6" s="1" t="n">
        <f aca="false">13/9</f>
        <v>1.44444444444444</v>
      </c>
    </row>
    <row collapsed="false" customFormat="false" customHeight="false" hidden="false" ht="14.75" outlineLevel="0" r="7">
      <c r="A7" s="1" t="s">
        <v>1092</v>
      </c>
      <c r="B7" s="1" t="s">
        <v>1089</v>
      </c>
      <c r="C7" s="1" t="s">
        <v>1087</v>
      </c>
      <c r="D7" s="1" t="n">
        <v>100</v>
      </c>
      <c r="E7" s="1" t="n">
        <v>6.94</v>
      </c>
      <c r="F7" s="1" t="n">
        <v>0.5</v>
      </c>
    </row>
    <row collapsed="false" customFormat="false" customHeight="false" hidden="false" ht="14.75" outlineLevel="0" r="8">
      <c r="A8" s="1" t="s">
        <v>509</v>
      </c>
      <c r="B8" s="1" t="s">
        <v>1093</v>
      </c>
      <c r="C8" s="1" t="s">
        <v>1087</v>
      </c>
      <c r="D8" s="1" t="n">
        <v>193.3</v>
      </c>
      <c r="E8" s="1" t="n">
        <v>13.67</v>
      </c>
      <c r="F8" s="1" t="n">
        <f aca="false">19/9</f>
        <v>2.11111111111111</v>
      </c>
    </row>
    <row collapsed="false" customFormat="false" customHeight="false" hidden="false" ht="14.75" outlineLevel="0" r="9">
      <c r="A9" s="1" t="s">
        <v>1094</v>
      </c>
      <c r="B9" s="1" t="s">
        <v>1086</v>
      </c>
      <c r="C9" s="1" t="s">
        <v>1087</v>
      </c>
      <c r="D9" s="1" t="n">
        <v>135</v>
      </c>
      <c r="E9" s="1" t="n">
        <v>10</v>
      </c>
      <c r="F9" s="1" t="n">
        <f aca="false">6/7</f>
        <v>0.857142857142857</v>
      </c>
    </row>
    <row collapsed="false" customFormat="false" customHeight="false" hidden="false" ht="14.75" outlineLevel="0" r="10">
      <c r="A10" s="1" t="s">
        <v>1095</v>
      </c>
      <c r="B10" s="1" t="s">
        <v>1086</v>
      </c>
      <c r="C10" s="1" t="s">
        <v>1087</v>
      </c>
      <c r="D10" s="1" t="n">
        <v>140.7</v>
      </c>
      <c r="E10" s="1" t="n">
        <v>7.68</v>
      </c>
      <c r="F10" s="1" t="n">
        <f aca="false">5/7</f>
        <v>0.714285714285714</v>
      </c>
    </row>
    <row collapsed="false" customFormat="false" customHeight="false" hidden="false" ht="14.75" outlineLevel="0" r="11">
      <c r="A11" s="1" t="s">
        <v>1096</v>
      </c>
      <c r="B11" s="1" t="s">
        <v>1097</v>
      </c>
      <c r="C11" s="1" t="s">
        <v>1087</v>
      </c>
      <c r="D11" s="1" t="n">
        <v>326</v>
      </c>
      <c r="E11" s="1" t="n">
        <v>20.61</v>
      </c>
      <c r="F11" s="1" t="n">
        <f aca="false">39/11</f>
        <v>3.54545454545455</v>
      </c>
    </row>
    <row collapsed="false" customFormat="false" customHeight="false" hidden="false" ht="14.75" outlineLevel="0" r="12">
      <c r="A12" s="1" t="s">
        <v>1098</v>
      </c>
      <c r="B12" s="1" t="s">
        <v>1097</v>
      </c>
      <c r="C12" s="1" t="s">
        <v>1087</v>
      </c>
      <c r="D12" s="1" t="n">
        <v>73.3</v>
      </c>
      <c r="E12" s="1" t="n">
        <v>7.02</v>
      </c>
      <c r="F12" s="1" t="n">
        <f aca="false">3/9</f>
        <v>0.333333333333333</v>
      </c>
    </row>
    <row collapsed="false" customFormat="false" customHeight="false" hidden="false" ht="14.75" outlineLevel="0" r="13">
      <c r="A13" s="1" t="s">
        <v>1099</v>
      </c>
      <c r="B13" s="1" t="s">
        <v>1086</v>
      </c>
      <c r="C13" s="1" t="s">
        <v>1087</v>
      </c>
      <c r="D13" s="1" t="n">
        <v>232.1</v>
      </c>
      <c r="E13" s="1" t="n">
        <v>13.68</v>
      </c>
      <c r="F13" s="1" t="n">
        <f aca="false">19/7</f>
        <v>2.71428571428571</v>
      </c>
    </row>
    <row collapsed="false" customFormat="false" customHeight="false" hidden="false" ht="14.75" outlineLevel="0" r="14">
      <c r="A14" s="1" t="s">
        <v>286</v>
      </c>
      <c r="B14" s="1" t="s">
        <v>1100</v>
      </c>
      <c r="C14" s="1" t="s">
        <v>1087</v>
      </c>
      <c r="D14" s="1" t="n">
        <v>476.1</v>
      </c>
      <c r="E14" s="1" t="n">
        <v>23.12</v>
      </c>
      <c r="F14" s="1" t="n">
        <f aca="false">59/9</f>
        <v>6.55555555555556</v>
      </c>
    </row>
    <row collapsed="false" customFormat="false" customHeight="false" hidden="false" ht="14.75" outlineLevel="0" r="15">
      <c r="A15" s="1" t="s">
        <v>289</v>
      </c>
      <c r="B15" s="1" t="s">
        <v>1100</v>
      </c>
      <c r="C15" s="1" t="s">
        <v>1087</v>
      </c>
      <c r="D15" s="1" t="n">
        <v>190.6</v>
      </c>
      <c r="E15" s="1" t="n">
        <v>12.9</v>
      </c>
      <c r="F15" s="1" t="n">
        <f aca="false">17/9</f>
        <v>1.88888888888889</v>
      </c>
    </row>
    <row collapsed="false" customFormat="false" customHeight="false" hidden="false" ht="14.75" outlineLevel="0" r="16">
      <c r="A16" s="1" t="s">
        <v>290</v>
      </c>
      <c r="B16" s="1" t="s">
        <v>1101</v>
      </c>
      <c r="C16" s="1" t="s">
        <v>1087</v>
      </c>
      <c r="D16" s="1" t="n">
        <v>132.5</v>
      </c>
      <c r="E16" s="1" t="n">
        <v>5.67</v>
      </c>
      <c r="F16" s="1" t="n">
        <v>0.875</v>
      </c>
    </row>
    <row collapsed="false" customFormat="false" customHeight="false" hidden="false" ht="14.75" outlineLevel="0" r="17">
      <c r="A17" s="1" t="s">
        <v>435</v>
      </c>
      <c r="B17" s="1" t="s">
        <v>1102</v>
      </c>
      <c r="C17" s="1" t="s">
        <v>1087</v>
      </c>
      <c r="D17" s="1" t="n">
        <v>252</v>
      </c>
      <c r="E17" s="1" t="n">
        <v>16.08</v>
      </c>
      <c r="F17" s="1" t="n">
        <v>2.3</v>
      </c>
    </row>
    <row collapsed="false" customFormat="false" customHeight="false" hidden="false" ht="14.75" outlineLevel="0" r="18">
      <c r="A18" s="1" t="s">
        <v>1103</v>
      </c>
      <c r="B18" s="1" t="s">
        <v>1086</v>
      </c>
      <c r="C18" s="1" t="s">
        <v>1087</v>
      </c>
      <c r="D18" s="1" t="n">
        <v>39.3</v>
      </c>
      <c r="E18" s="1" t="n">
        <v>3.33</v>
      </c>
      <c r="F18" s="1" t="n">
        <v>0</v>
      </c>
    </row>
    <row collapsed="false" customFormat="false" customHeight="false" hidden="false" ht="14.75" outlineLevel="0" r="19">
      <c r="A19" s="1" t="s">
        <v>1104</v>
      </c>
      <c r="B19" s="1" t="s">
        <v>1102</v>
      </c>
      <c r="C19" s="1" t="s">
        <v>1087</v>
      </c>
      <c r="D19" s="1" t="n">
        <v>134</v>
      </c>
      <c r="E19" s="1" t="n">
        <v>11.08</v>
      </c>
      <c r="F19" s="1" t="n">
        <v>0.8</v>
      </c>
    </row>
    <row collapsed="false" customFormat="false" customHeight="false" hidden="false" ht="14.75" outlineLevel="0" r="20">
      <c r="A20" s="1" t="s">
        <v>1105</v>
      </c>
      <c r="B20" s="1" t="s">
        <v>1106</v>
      </c>
      <c r="C20" s="1" t="s">
        <v>1087</v>
      </c>
      <c r="D20" s="1" t="n">
        <v>111.2</v>
      </c>
      <c r="E20" s="1" t="n">
        <v>6.98</v>
      </c>
      <c r="F20" s="1" t="n">
        <v>0</v>
      </c>
    </row>
    <row collapsed="false" customFormat="false" customHeight="false" hidden="false" ht="14.75" outlineLevel="0" r="21">
      <c r="A21" s="1" t="s">
        <v>1107</v>
      </c>
      <c r="B21" s="1" t="s">
        <v>1106</v>
      </c>
      <c r="C21" s="1" t="s">
        <v>1087</v>
      </c>
      <c r="D21" s="1" t="n">
        <v>78.1</v>
      </c>
      <c r="E21" s="1" t="n">
        <v>3.66</v>
      </c>
      <c r="F21" s="1" t="n">
        <f aca="false">1/8</f>
        <v>0.125</v>
      </c>
    </row>
    <row collapsed="false" customFormat="false" customHeight="false" hidden="false" ht="14.75" outlineLevel="0" r="22">
      <c r="A22" s="1" t="s">
        <v>295</v>
      </c>
      <c r="B22" s="1" t="s">
        <v>1106</v>
      </c>
      <c r="C22" s="1" t="s">
        <v>1087</v>
      </c>
      <c r="D22" s="1" t="n">
        <v>466.7</v>
      </c>
      <c r="E22" s="1" t="n">
        <v>19.07</v>
      </c>
      <c r="F22" s="1" t="n">
        <f aca="false">48/9</f>
        <v>5.33333333333333</v>
      </c>
    </row>
    <row collapsed="false" customFormat="false" customHeight="false" hidden="false" ht="14.75" outlineLevel="0" r="23">
      <c r="A23" s="1" t="s">
        <v>296</v>
      </c>
      <c r="B23" s="1" t="s">
        <v>1106</v>
      </c>
      <c r="C23" s="1" t="s">
        <v>1087</v>
      </c>
      <c r="D23" s="1" t="n">
        <v>112.5</v>
      </c>
      <c r="E23" s="1" t="n">
        <v>5.2</v>
      </c>
      <c r="F23" s="1" t="n">
        <f aca="false">4/8</f>
        <v>0.5</v>
      </c>
    </row>
    <row collapsed="false" customFormat="false" customHeight="false" hidden="false" ht="14.75" outlineLevel="0" r="24">
      <c r="A24" s="1" t="s">
        <v>195</v>
      </c>
      <c r="B24" s="1" t="s">
        <v>1097</v>
      </c>
      <c r="C24" s="1" t="s">
        <v>1087</v>
      </c>
      <c r="D24" s="1" t="n">
        <v>275.7</v>
      </c>
      <c r="E24" s="1" t="n">
        <v>16.22</v>
      </c>
      <c r="F24" s="1" t="n">
        <f aca="false">18/7</f>
        <v>2.57142857142857</v>
      </c>
    </row>
    <row collapsed="false" customFormat="false" customHeight="false" hidden="false" ht="14.75" outlineLevel="0" r="25">
      <c r="A25" s="1" t="s">
        <v>197</v>
      </c>
      <c r="B25" s="1" t="s">
        <v>1097</v>
      </c>
      <c r="C25" s="1" t="s">
        <v>1087</v>
      </c>
      <c r="D25" s="1" t="n">
        <v>199.3</v>
      </c>
      <c r="E25" s="1" t="n">
        <v>12.95</v>
      </c>
      <c r="F25" s="1" t="n">
        <f aca="false">8/7</f>
        <v>1.14285714285714</v>
      </c>
    </row>
    <row collapsed="false" customFormat="false" customHeight="false" hidden="false" ht="14.75" outlineLevel="0" r="26">
      <c r="A26" s="1" t="s">
        <v>1108</v>
      </c>
      <c r="B26" s="1" t="s">
        <v>1106</v>
      </c>
      <c r="C26" s="1" t="s">
        <v>1087</v>
      </c>
      <c r="D26" s="1" t="n">
        <v>183.3</v>
      </c>
      <c r="E26" s="1" t="n">
        <v>9.04</v>
      </c>
      <c r="F26" s="1" t="n">
        <f aca="false">2/9</f>
        <v>0.222222222222222</v>
      </c>
    </row>
    <row collapsed="false" customFormat="false" customHeight="false" hidden="false" ht="14.75" outlineLevel="0" r="27">
      <c r="A27" s="1" t="s">
        <v>1109</v>
      </c>
      <c r="B27" s="1" t="s">
        <v>1110</v>
      </c>
      <c r="C27" s="1" t="s">
        <v>1087</v>
      </c>
      <c r="D27" s="1" t="n">
        <v>220.6</v>
      </c>
      <c r="E27" s="1" t="n">
        <v>11.82</v>
      </c>
      <c r="F27" s="1" t="n">
        <f aca="false">7/8</f>
        <v>0.875</v>
      </c>
    </row>
    <row collapsed="false" customFormat="false" customHeight="false" hidden="false" ht="14.75" outlineLevel="0" r="28">
      <c r="A28" s="1" t="s">
        <v>1111</v>
      </c>
      <c r="B28" s="1" t="s">
        <v>1112</v>
      </c>
      <c r="C28" s="1" t="s">
        <v>1087</v>
      </c>
      <c r="D28" s="1" t="n">
        <v>92.2</v>
      </c>
      <c r="E28" s="1" t="n">
        <v>5.15</v>
      </c>
      <c r="F28" s="1" t="s">
        <v>9</v>
      </c>
    </row>
    <row collapsed="false" customFormat="false" customHeight="false" hidden="false" ht="14.75" outlineLevel="0" r="29">
      <c r="A29" s="1" t="s">
        <v>678</v>
      </c>
      <c r="B29" s="1" t="s">
        <v>1110</v>
      </c>
      <c r="C29" s="1" t="s">
        <v>1087</v>
      </c>
      <c r="D29" s="1" t="n">
        <v>300.6</v>
      </c>
      <c r="E29" s="1" t="n">
        <v>12.1</v>
      </c>
      <c r="F29" s="1" t="n">
        <f aca="false">18/8</f>
        <v>2.25</v>
      </c>
    </row>
    <row collapsed="false" customFormat="false" customHeight="false" hidden="false" ht="14.75" outlineLevel="0" r="30">
      <c r="A30" s="1" t="s">
        <v>681</v>
      </c>
      <c r="B30" s="1" t="s">
        <v>1110</v>
      </c>
      <c r="C30" s="1" t="s">
        <v>1087</v>
      </c>
      <c r="D30" s="1" t="n">
        <v>143.8</v>
      </c>
      <c r="E30" s="1" t="n">
        <v>8.7</v>
      </c>
      <c r="F30" s="1" t="n">
        <v>1</v>
      </c>
    </row>
    <row collapsed="false" customFormat="false" customHeight="false" hidden="false" ht="14.75" outlineLevel="0" r="31">
      <c r="A31" s="1" t="s">
        <v>1113</v>
      </c>
      <c r="B31" s="1" t="s">
        <v>1110</v>
      </c>
      <c r="C31" s="1" t="s">
        <v>1087</v>
      </c>
      <c r="D31" s="1" t="n">
        <v>238.8</v>
      </c>
      <c r="E31" s="1" t="n">
        <v>11.22</v>
      </c>
      <c r="F31" s="1" t="n">
        <f aca="false">10/8</f>
        <v>1.25</v>
      </c>
    </row>
    <row collapsed="false" customFormat="false" customHeight="false" hidden="false" ht="14.75" outlineLevel="0" r="32">
      <c r="A32" s="1" t="s">
        <v>1114</v>
      </c>
      <c r="B32" s="1" t="s">
        <v>1110</v>
      </c>
      <c r="C32" s="1" t="s">
        <v>1087</v>
      </c>
      <c r="D32" s="1" t="n">
        <v>193.8</v>
      </c>
      <c r="E32" s="1" t="n">
        <v>9.76</v>
      </c>
      <c r="F32" s="1" t="n">
        <f aca="false">7/8</f>
        <v>0.875</v>
      </c>
    </row>
    <row collapsed="false" customFormat="false" customHeight="false" hidden="false" ht="14.75" outlineLevel="0" r="33">
      <c r="A33" s="1" t="s">
        <v>1003</v>
      </c>
      <c r="B33" s="1" t="s">
        <v>1110</v>
      </c>
      <c r="C33" s="1" t="s">
        <v>1087</v>
      </c>
      <c r="D33" s="1" t="n">
        <v>80</v>
      </c>
      <c r="E33" s="1" t="n">
        <v>5.97</v>
      </c>
      <c r="F33" s="1" t="n">
        <v>0</v>
      </c>
    </row>
    <row collapsed="false" customFormat="false" customHeight="false" hidden="false" ht="14.75" outlineLevel="0" r="34">
      <c r="A34" s="1" t="s">
        <v>1115</v>
      </c>
      <c r="B34" s="1" t="s">
        <v>1089</v>
      </c>
      <c r="C34" s="1" t="s">
        <v>1087</v>
      </c>
      <c r="D34" s="1" t="n">
        <v>68.1</v>
      </c>
      <c r="E34" s="1" t="n">
        <v>6.76</v>
      </c>
      <c r="F34" s="1" t="n">
        <f aca="false">2/8</f>
        <v>0.25</v>
      </c>
    </row>
    <row collapsed="false" customFormat="false" customHeight="false" hidden="false" ht="14.75" outlineLevel="0" r="35">
      <c r="A35" s="1" t="s">
        <v>1116</v>
      </c>
      <c r="B35" s="1" t="s">
        <v>1089</v>
      </c>
      <c r="C35" s="1" t="s">
        <v>1087</v>
      </c>
      <c r="D35" s="1" t="n">
        <v>28.9</v>
      </c>
      <c r="E35" s="1" t="n">
        <v>1.3</v>
      </c>
      <c r="F35" s="1" t="n">
        <f aca="false">1/9</f>
        <v>0.111111111111111</v>
      </c>
    </row>
    <row collapsed="false" customFormat="false" customHeight="false" hidden="false" ht="14.75" outlineLevel="0" r="36">
      <c r="A36" s="1" t="s">
        <v>1117</v>
      </c>
      <c r="B36" s="1" t="s">
        <v>1110</v>
      </c>
      <c r="C36" s="1" t="s">
        <v>1087</v>
      </c>
      <c r="D36" s="1" t="n">
        <v>257.2</v>
      </c>
      <c r="E36" s="1" t="n">
        <v>12.05</v>
      </c>
      <c r="F36" s="1" t="n">
        <v>2</v>
      </c>
    </row>
    <row collapsed="false" customFormat="false" customHeight="false" hidden="false" ht="14.75" outlineLevel="0" r="37">
      <c r="A37" s="1" t="s">
        <v>1118</v>
      </c>
      <c r="B37" s="1" t="s">
        <v>1110</v>
      </c>
      <c r="C37" s="1" t="s">
        <v>1087</v>
      </c>
      <c r="D37" s="1" t="n">
        <v>111.2</v>
      </c>
      <c r="E37" s="1" t="n">
        <v>6.2</v>
      </c>
      <c r="F37" s="1" t="n">
        <f aca="false">2/8</f>
        <v>0.25</v>
      </c>
    </row>
    <row collapsed="false" customFormat="false" customHeight="false" hidden="false" ht="14.75" outlineLevel="0" r="38">
      <c r="A38" s="1" t="s">
        <v>815</v>
      </c>
      <c r="B38" s="1" t="s">
        <v>1119</v>
      </c>
      <c r="C38" s="1" t="s">
        <v>1087</v>
      </c>
      <c r="D38" s="1" t="n">
        <v>65.5</v>
      </c>
      <c r="E38" s="1" t="n">
        <v>7.84</v>
      </c>
      <c r="F38" s="1" t="n">
        <v>0.3</v>
      </c>
    </row>
    <row collapsed="false" customFormat="false" customHeight="false" hidden="false" ht="14.75" outlineLevel="0" r="39">
      <c r="A39" s="1" t="s">
        <v>1120</v>
      </c>
      <c r="B39" s="1" t="s">
        <v>1121</v>
      </c>
      <c r="C39" s="1" t="s">
        <v>1087</v>
      </c>
      <c r="D39" s="1" t="n">
        <v>95</v>
      </c>
      <c r="E39" s="1" t="n">
        <v>5.65</v>
      </c>
      <c r="F39" s="1" t="s">
        <v>9</v>
      </c>
    </row>
    <row collapsed="false" customFormat="false" customHeight="false" hidden="false" ht="14.75" outlineLevel="0" r="40">
      <c r="A40" s="1" t="s">
        <v>1122</v>
      </c>
      <c r="B40" s="1" t="s">
        <v>1119</v>
      </c>
      <c r="C40" s="1" t="s">
        <v>1087</v>
      </c>
      <c r="D40" s="1" t="n">
        <v>321</v>
      </c>
      <c r="E40" s="1" t="n">
        <v>15.4</v>
      </c>
      <c r="F40" s="1" t="n">
        <v>2.7</v>
      </c>
    </row>
    <row collapsed="false" customFormat="false" customHeight="false" hidden="false" ht="14.75" outlineLevel="0" r="41">
      <c r="A41" s="1" t="s">
        <v>1123</v>
      </c>
      <c r="B41" s="1" t="s">
        <v>1119</v>
      </c>
      <c r="C41" s="1" t="s">
        <v>1087</v>
      </c>
      <c r="D41" s="1" t="n">
        <v>85.5</v>
      </c>
      <c r="E41" s="1" t="n">
        <v>5</v>
      </c>
      <c r="F41" s="1" t="n">
        <f aca="false">4/11</f>
        <v>0.363636363636364</v>
      </c>
    </row>
    <row collapsed="false" customFormat="false" customHeight="false" hidden="false" ht="14.75" outlineLevel="0" r="42">
      <c r="A42" s="1" t="s">
        <v>1124</v>
      </c>
      <c r="B42" s="1" t="s">
        <v>1119</v>
      </c>
      <c r="C42" s="1" t="s">
        <v>1087</v>
      </c>
      <c r="D42" s="1" t="n">
        <v>55</v>
      </c>
      <c r="E42" s="1" t="n">
        <v>3.33</v>
      </c>
      <c r="F42" s="1" t="n">
        <v>0</v>
      </c>
    </row>
    <row collapsed="false" customFormat="false" customHeight="false" hidden="false" ht="14.75" outlineLevel="0" r="43">
      <c r="A43" s="1" t="s">
        <v>1125</v>
      </c>
      <c r="B43" s="1" t="s">
        <v>1086</v>
      </c>
      <c r="C43" s="1" t="s">
        <v>1087</v>
      </c>
      <c r="D43" s="1" t="n">
        <v>201.4</v>
      </c>
      <c r="E43" s="1" t="n">
        <v>12.78</v>
      </c>
      <c r="F43" s="1" t="n">
        <v>2</v>
      </c>
    </row>
    <row collapsed="false" customFormat="false" customHeight="false" hidden="false" ht="14.75" outlineLevel="0" r="44">
      <c r="A44" s="1" t="s">
        <v>56</v>
      </c>
      <c r="B44" s="1" t="s">
        <v>1086</v>
      </c>
      <c r="C44" s="1" t="s">
        <v>1087</v>
      </c>
      <c r="D44" s="1" t="n">
        <v>424.5</v>
      </c>
      <c r="E44" s="1" t="n">
        <v>21.03</v>
      </c>
      <c r="F44" s="1" t="n">
        <f aca="false">54/11</f>
        <v>4.90909090909091</v>
      </c>
    </row>
    <row collapsed="false" customFormat="false" customHeight="false" hidden="false" ht="14.75" outlineLevel="0" r="45">
      <c r="A45" s="1" t="s">
        <v>57</v>
      </c>
      <c r="B45" s="1" t="s">
        <v>1086</v>
      </c>
      <c r="C45" s="1" t="s">
        <v>1087</v>
      </c>
      <c r="D45" s="1" t="n">
        <v>297.5</v>
      </c>
      <c r="E45" s="1" t="n">
        <v>16.4</v>
      </c>
      <c r="F45" s="1" t="n">
        <f aca="false">19/8</f>
        <v>2.375</v>
      </c>
    </row>
    <row collapsed="false" customFormat="false" customHeight="false" hidden="false" ht="14.75" outlineLevel="0" r="46">
      <c r="A46" s="1" t="s">
        <v>1126</v>
      </c>
      <c r="B46" s="1" t="s">
        <v>1106</v>
      </c>
      <c r="C46" s="1" t="s">
        <v>1087</v>
      </c>
      <c r="D46" s="1" t="n">
        <v>143.1</v>
      </c>
      <c r="E46" s="1" t="n">
        <v>8.08</v>
      </c>
      <c r="F46" s="1" t="n">
        <f aca="false">11/8</f>
        <v>1.375</v>
      </c>
    </row>
    <row collapsed="false" customFormat="false" customHeight="false" hidden="false" ht="14.75" outlineLevel="0" r="47">
      <c r="A47" s="1" t="s">
        <v>525</v>
      </c>
      <c r="B47" s="1" t="s">
        <v>1127</v>
      </c>
      <c r="C47" s="1" t="s">
        <v>1087</v>
      </c>
      <c r="D47" s="1" t="n">
        <v>386.5</v>
      </c>
      <c r="E47" s="1" t="n">
        <v>21.62</v>
      </c>
      <c r="F47" s="1" t="n">
        <v>4.5</v>
      </c>
    </row>
    <row collapsed="false" customFormat="false" customHeight="false" hidden="false" ht="14.75" outlineLevel="0" r="48">
      <c r="A48" s="1" t="s">
        <v>1128</v>
      </c>
      <c r="B48" s="1" t="s">
        <v>1100</v>
      </c>
      <c r="C48" s="1" t="s">
        <v>1087</v>
      </c>
      <c r="D48" s="1" t="n">
        <v>314.4</v>
      </c>
      <c r="E48" s="1" t="n">
        <v>17.22</v>
      </c>
      <c r="F48" s="1" t="n">
        <f aca="false">30/9</f>
        <v>3.33333333333333</v>
      </c>
    </row>
    <row collapsed="false" customFormat="false" customHeight="false" hidden="false" ht="14.75" outlineLevel="0" r="49">
      <c r="A49" s="1" t="s">
        <v>1129</v>
      </c>
      <c r="B49" s="1" t="s">
        <v>1101</v>
      </c>
      <c r="C49" s="1" t="s">
        <v>1087</v>
      </c>
      <c r="D49" s="1" t="n">
        <v>148.8</v>
      </c>
      <c r="E49" s="1" t="n">
        <v>9.61</v>
      </c>
      <c r="F49" s="1" t="n">
        <v>0.5</v>
      </c>
    </row>
    <row collapsed="false" customFormat="false" customHeight="false" hidden="false" ht="14.75" outlineLevel="0" r="50">
      <c r="A50" s="1" t="s">
        <v>1130</v>
      </c>
      <c r="B50" s="1" t="s">
        <v>1101</v>
      </c>
      <c r="C50" s="1" t="s">
        <v>1087</v>
      </c>
      <c r="D50" s="1" t="n">
        <v>150</v>
      </c>
      <c r="E50" s="1" t="n">
        <v>8.04</v>
      </c>
      <c r="F50" s="1" t="n">
        <v>1.5</v>
      </c>
    </row>
    <row collapsed="false" customFormat="false" customHeight="false" hidden="false" ht="14.75" outlineLevel="0" r="51">
      <c r="A51" s="1" t="s">
        <v>103</v>
      </c>
      <c r="B51" s="1" t="s">
        <v>1110</v>
      </c>
      <c r="C51" s="1" t="s">
        <v>1087</v>
      </c>
      <c r="D51" s="1" t="n">
        <v>432.8</v>
      </c>
      <c r="E51" s="1" t="n">
        <v>20.09</v>
      </c>
      <c r="F51" s="1" t="n">
        <f aca="false">41/9</f>
        <v>4.55555555555556</v>
      </c>
    </row>
    <row collapsed="false" customFormat="false" customHeight="false" hidden="false" ht="14.75" outlineLevel="0" r="52">
      <c r="A52" s="1" t="s">
        <v>104</v>
      </c>
      <c r="B52" s="1" t="s">
        <v>1110</v>
      </c>
      <c r="C52" s="1" t="s">
        <v>1087</v>
      </c>
      <c r="D52" s="1" t="n">
        <v>113.8</v>
      </c>
      <c r="E52" s="1" t="n">
        <v>7.33</v>
      </c>
      <c r="F52" s="1" t="n">
        <f aca="false">5/8</f>
        <v>0.625</v>
      </c>
    </row>
    <row collapsed="false" customFormat="false" customHeight="false" hidden="false" ht="14.75" outlineLevel="0" r="53">
      <c r="A53" s="1" t="s">
        <v>1131</v>
      </c>
      <c r="B53" s="1" t="s">
        <v>1110</v>
      </c>
      <c r="C53" s="1" t="s">
        <v>1087</v>
      </c>
      <c r="D53" s="1" t="n">
        <v>193.3</v>
      </c>
      <c r="E53" s="1" t="n">
        <v>8.68</v>
      </c>
      <c r="F53" s="1" t="n">
        <f aca="false">14/9</f>
        <v>1.55555555555556</v>
      </c>
    </row>
    <row collapsed="false" customFormat="false" customHeight="false" hidden="false" ht="14.75" outlineLevel="0" r="54">
      <c r="A54" s="1" t="s">
        <v>1132</v>
      </c>
      <c r="B54" s="1" t="s">
        <v>1110</v>
      </c>
      <c r="C54" s="1" t="s">
        <v>1087</v>
      </c>
      <c r="D54" s="1" t="n">
        <v>101.9</v>
      </c>
      <c r="E54" s="1" t="n">
        <v>5.73</v>
      </c>
      <c r="F54" s="1" t="n">
        <f aca="false">2/8</f>
        <v>0.25</v>
      </c>
    </row>
    <row collapsed="false" customFormat="false" customHeight="false" hidden="false" ht="14.75" outlineLevel="0" r="55">
      <c r="A55" s="1" t="s">
        <v>1133</v>
      </c>
      <c r="B55" s="1" t="s">
        <v>1134</v>
      </c>
      <c r="C55" s="1" t="s">
        <v>1087</v>
      </c>
      <c r="D55" s="1" t="n">
        <v>200</v>
      </c>
      <c r="E55" s="1" t="n">
        <v>12.84</v>
      </c>
      <c r="F55" s="1" t="n">
        <v>1.2</v>
      </c>
    </row>
    <row collapsed="false" customFormat="false" customHeight="false" hidden="false" ht="14.75" outlineLevel="0" r="56">
      <c r="A56" s="1" t="s">
        <v>1135</v>
      </c>
      <c r="B56" s="1" t="s">
        <v>1134</v>
      </c>
      <c r="C56" s="1" t="s">
        <v>1087</v>
      </c>
      <c r="D56" s="1" t="n">
        <v>93.5</v>
      </c>
      <c r="E56" s="1" t="n">
        <v>8.56</v>
      </c>
      <c r="F56" s="1" t="n">
        <v>0.8</v>
      </c>
    </row>
    <row collapsed="false" customFormat="false" customHeight="false" hidden="false" ht="14.75" outlineLevel="0" r="57">
      <c r="A57" s="1" t="s">
        <v>1136</v>
      </c>
      <c r="B57" s="1" t="s">
        <v>1089</v>
      </c>
      <c r="C57" s="1" t="s">
        <v>1087</v>
      </c>
      <c r="D57" s="1" t="n">
        <v>216.3</v>
      </c>
      <c r="E57" s="1" t="n">
        <v>13.91</v>
      </c>
      <c r="F57" s="1" t="n">
        <v>1.1</v>
      </c>
    </row>
    <row collapsed="false" customFormat="false" customHeight="false" hidden="false" ht="14.75" outlineLevel="0" r="58">
      <c r="A58" s="1" t="s">
        <v>1137</v>
      </c>
      <c r="B58" s="1" t="s">
        <v>1089</v>
      </c>
      <c r="C58" s="1" t="s">
        <v>1087</v>
      </c>
      <c r="D58" s="1" t="n">
        <v>23.8</v>
      </c>
      <c r="E58" s="1" t="n">
        <v>8.33</v>
      </c>
      <c r="F58" s="1" t="n">
        <v>0</v>
      </c>
    </row>
    <row collapsed="false" customFormat="false" customHeight="false" hidden="false" ht="14.75" outlineLevel="0" r="59">
      <c r="A59" s="1" t="s">
        <v>199</v>
      </c>
      <c r="B59" s="1" t="s">
        <v>1097</v>
      </c>
      <c r="C59" s="1" t="s">
        <v>1087</v>
      </c>
      <c r="D59" s="1" t="n">
        <v>338.2</v>
      </c>
      <c r="E59" s="1" t="n">
        <v>19.07</v>
      </c>
      <c r="F59" s="1" t="n">
        <f aca="false">27/11</f>
        <v>2.45454545454545</v>
      </c>
    </row>
    <row collapsed="false" customFormat="false" customHeight="false" hidden="false" ht="14.75" outlineLevel="0" r="60">
      <c r="A60" s="1" t="s">
        <v>200</v>
      </c>
      <c r="B60" s="1" t="s">
        <v>1097</v>
      </c>
      <c r="C60" s="1" t="s">
        <v>1087</v>
      </c>
      <c r="D60" s="1" t="n">
        <v>303.6</v>
      </c>
      <c r="E60" s="1" t="n">
        <v>18.79</v>
      </c>
      <c r="F60" s="1" t="n">
        <f aca="false">21/11</f>
        <v>1.90909090909091</v>
      </c>
    </row>
    <row collapsed="false" customFormat="false" customHeight="false" hidden="false" ht="14.75" outlineLevel="0" r="61">
      <c r="A61" s="1" t="s">
        <v>201</v>
      </c>
      <c r="B61" s="1" t="s">
        <v>1097</v>
      </c>
      <c r="C61" s="1" t="s">
        <v>1087</v>
      </c>
      <c r="D61" s="1" t="n">
        <v>161.5</v>
      </c>
      <c r="E61" s="1" t="n">
        <v>10.49</v>
      </c>
      <c r="F61" s="1" t="n">
        <v>0.9</v>
      </c>
    </row>
    <row collapsed="false" customFormat="false" customHeight="false" hidden="false" ht="14.75" outlineLevel="0" r="62">
      <c r="A62" s="1" t="s">
        <v>202</v>
      </c>
      <c r="B62" s="1" t="s">
        <v>1097</v>
      </c>
      <c r="C62" s="1" t="s">
        <v>1087</v>
      </c>
      <c r="D62" s="1" t="n">
        <v>140.5</v>
      </c>
      <c r="E62" s="1" t="n">
        <v>10.88</v>
      </c>
      <c r="F62" s="1" t="n">
        <f aca="false">6/9</f>
        <v>0.666666666666667</v>
      </c>
    </row>
    <row collapsed="false" customFormat="false" customHeight="false" hidden="false" ht="14.75" outlineLevel="0" r="63">
      <c r="A63" s="1" t="s">
        <v>1138</v>
      </c>
      <c r="B63" s="1" t="s">
        <v>1119</v>
      </c>
      <c r="C63" s="1" t="s">
        <v>1087</v>
      </c>
      <c r="D63" s="1" t="n">
        <v>141.5</v>
      </c>
      <c r="E63" s="1" t="n">
        <v>9.59</v>
      </c>
      <c r="F63" s="1" t="n">
        <v>0.2</v>
      </c>
    </row>
    <row collapsed="false" customFormat="false" customHeight="false" hidden="false" ht="14.75" outlineLevel="0" r="64">
      <c r="A64" s="1" t="s">
        <v>1139</v>
      </c>
      <c r="B64" s="1" t="s">
        <v>1119</v>
      </c>
      <c r="C64" s="1" t="s">
        <v>1087</v>
      </c>
      <c r="D64" s="1" t="n">
        <v>42</v>
      </c>
      <c r="E64" s="1" t="n">
        <v>3.44</v>
      </c>
      <c r="F64" s="1" t="n">
        <v>0.1</v>
      </c>
    </row>
    <row collapsed="false" customFormat="false" customHeight="false" hidden="false" ht="14.75" outlineLevel="0" r="65">
      <c r="A65" s="1" t="s">
        <v>308</v>
      </c>
      <c r="B65" s="1" t="s">
        <v>1097</v>
      </c>
      <c r="C65" s="1" t="s">
        <v>1087</v>
      </c>
      <c r="D65" s="1" t="n">
        <v>95.7</v>
      </c>
      <c r="E65" s="1" t="n">
        <v>8.46</v>
      </c>
      <c r="F65" s="1" t="n">
        <f aca="false">4/7</f>
        <v>0.571428571428571</v>
      </c>
    </row>
    <row collapsed="false" customFormat="false" customHeight="false" hidden="false" ht="14.75" outlineLevel="0" r="66">
      <c r="A66" s="1" t="s">
        <v>1140</v>
      </c>
      <c r="B66" s="1" t="s">
        <v>1097</v>
      </c>
      <c r="C66" s="1" t="s">
        <v>1087</v>
      </c>
      <c r="D66" s="1" t="n">
        <v>46.4</v>
      </c>
      <c r="E66" s="1" t="n">
        <v>4.57</v>
      </c>
      <c r="F66" s="1" t="n">
        <f aca="false">1/7</f>
        <v>0.142857142857143</v>
      </c>
    </row>
    <row collapsed="false" customFormat="false" customHeight="false" hidden="false" ht="14.75" outlineLevel="0" r="67">
      <c r="A67" s="1" t="s">
        <v>1141</v>
      </c>
      <c r="B67" s="1" t="s">
        <v>1086</v>
      </c>
      <c r="C67" s="1" t="s">
        <v>1087</v>
      </c>
      <c r="D67" s="1" t="n">
        <v>89.3</v>
      </c>
      <c r="E67" s="1" t="n">
        <v>7.57</v>
      </c>
      <c r="F67" s="1" t="n">
        <f aca="false">5/7</f>
        <v>0.714285714285714</v>
      </c>
    </row>
    <row collapsed="false" customFormat="false" customHeight="false" hidden="false" ht="14.75" outlineLevel="0" r="68">
      <c r="A68" s="1" t="s">
        <v>1142</v>
      </c>
      <c r="B68" s="1" t="s">
        <v>1101</v>
      </c>
      <c r="C68" s="1" t="s">
        <v>1087</v>
      </c>
      <c r="D68" s="1" t="n">
        <v>253.8</v>
      </c>
      <c r="E68" s="1" t="n">
        <v>14.92</v>
      </c>
      <c r="F68" s="1" t="n">
        <v>1.5</v>
      </c>
    </row>
    <row collapsed="false" customFormat="false" customHeight="false" hidden="false" ht="14.75" outlineLevel="0" r="69">
      <c r="A69" s="1" t="s">
        <v>1143</v>
      </c>
      <c r="B69" s="1" t="s">
        <v>1101</v>
      </c>
      <c r="C69" s="1" t="s">
        <v>1087</v>
      </c>
      <c r="D69" s="1" t="n">
        <v>97.5</v>
      </c>
      <c r="E69" s="1" t="n">
        <v>6.58</v>
      </c>
      <c r="F69" s="1" t="n">
        <v>0.75</v>
      </c>
    </row>
    <row collapsed="false" customFormat="false" customHeight="false" hidden="false" ht="14.75" outlineLevel="0" r="70">
      <c r="A70" s="1" t="s">
        <v>1144</v>
      </c>
      <c r="B70" s="1" t="s">
        <v>1093</v>
      </c>
      <c r="C70" s="1" t="s">
        <v>1087</v>
      </c>
      <c r="D70" s="1" t="n">
        <v>115</v>
      </c>
      <c r="E70" s="1" t="n">
        <v>8.11</v>
      </c>
      <c r="F70" s="1" t="n">
        <f aca="false">5/7</f>
        <v>0.714285714285714</v>
      </c>
    </row>
    <row collapsed="false" customFormat="false" customHeight="false" hidden="false" ht="14.75" outlineLevel="0" r="71">
      <c r="A71" s="1" t="s">
        <v>1145</v>
      </c>
      <c r="B71" s="1" t="s">
        <v>1093</v>
      </c>
      <c r="C71" s="1" t="s">
        <v>1087</v>
      </c>
      <c r="D71" s="1" t="n">
        <v>107.5</v>
      </c>
      <c r="E71" s="1" t="n">
        <v>7.84</v>
      </c>
      <c r="F71" s="1" t="n">
        <f aca="false">1/8</f>
        <v>0.125</v>
      </c>
    </row>
    <row collapsed="false" customFormat="false" customHeight="false" hidden="false" ht="14.75" outlineLevel="0" r="72">
      <c r="A72" s="1" t="s">
        <v>535</v>
      </c>
      <c r="B72" s="1" t="s">
        <v>1146</v>
      </c>
      <c r="C72" s="1" t="s">
        <v>1087</v>
      </c>
      <c r="D72" s="1" t="n">
        <v>528</v>
      </c>
      <c r="E72" s="1" t="n">
        <v>22.53</v>
      </c>
      <c r="F72" s="1" t="n">
        <v>7.3</v>
      </c>
    </row>
    <row collapsed="false" customFormat="false" customHeight="false" hidden="false" ht="14.75" outlineLevel="0" r="73">
      <c r="A73" s="1" t="s">
        <v>536</v>
      </c>
      <c r="B73" s="1" t="s">
        <v>1146</v>
      </c>
      <c r="C73" s="1" t="s">
        <v>1087</v>
      </c>
      <c r="D73" s="1" t="n">
        <v>273.9</v>
      </c>
      <c r="E73" s="1" t="n">
        <v>14.95</v>
      </c>
      <c r="F73" s="1" t="n">
        <f aca="false">23/9</f>
        <v>2.55555555555556</v>
      </c>
    </row>
    <row collapsed="false" customFormat="false" customHeight="false" hidden="false" ht="14.75" outlineLevel="0" r="74">
      <c r="A74" s="1" t="s">
        <v>1147</v>
      </c>
      <c r="B74" s="1" t="s">
        <v>1148</v>
      </c>
      <c r="C74" s="1" t="s">
        <v>1087</v>
      </c>
      <c r="D74" s="1" t="n">
        <v>184.4</v>
      </c>
      <c r="E74" s="1" t="n">
        <v>13.01</v>
      </c>
      <c r="F74" s="1" t="n">
        <f aca="false">10/9</f>
        <v>1.11111111111111</v>
      </c>
    </row>
    <row collapsed="false" customFormat="false" customHeight="false" hidden="false" ht="14.75" outlineLevel="0" r="75">
      <c r="A75" s="1" t="s">
        <v>1149</v>
      </c>
      <c r="B75" s="1" t="s">
        <v>1148</v>
      </c>
      <c r="C75" s="1" t="s">
        <v>1087</v>
      </c>
      <c r="D75" s="1" t="n">
        <v>155.6</v>
      </c>
      <c r="E75" s="1" t="n">
        <v>11.55</v>
      </c>
      <c r="F75" s="1" t="n">
        <f aca="false">10/8</f>
        <v>1.25</v>
      </c>
    </row>
    <row collapsed="false" customFormat="false" customHeight="false" hidden="false" ht="14.75" outlineLevel="0" r="76">
      <c r="A76" s="1" t="s">
        <v>1150</v>
      </c>
      <c r="B76" s="1" t="s">
        <v>1102</v>
      </c>
      <c r="C76" s="1" t="s">
        <v>1087</v>
      </c>
      <c r="D76" s="1" t="n">
        <v>267</v>
      </c>
      <c r="E76" s="1" t="n">
        <v>17.92</v>
      </c>
      <c r="F76" s="1" t="n">
        <v>1.8</v>
      </c>
    </row>
    <row collapsed="false" customFormat="false" customHeight="false" hidden="false" ht="14.75" outlineLevel="0" r="77">
      <c r="A77" s="1" t="s">
        <v>1151</v>
      </c>
      <c r="B77" s="1" t="s">
        <v>1086</v>
      </c>
      <c r="C77" s="1" t="s">
        <v>1087</v>
      </c>
      <c r="D77" s="1" t="n">
        <v>132.5</v>
      </c>
      <c r="E77" s="1" t="n">
        <v>9.76</v>
      </c>
      <c r="F77" s="1" t="n">
        <v>1</v>
      </c>
    </row>
    <row collapsed="false" customFormat="false" customHeight="false" hidden="false" ht="14.75" outlineLevel="0" r="78">
      <c r="A78" s="1" t="s">
        <v>321</v>
      </c>
      <c r="B78" s="1" t="s">
        <v>1101</v>
      </c>
      <c r="C78" s="1" t="s">
        <v>1087</v>
      </c>
      <c r="D78" s="1" t="n">
        <v>73.1</v>
      </c>
      <c r="E78" s="1" t="n">
        <v>6.43</v>
      </c>
      <c r="F78" s="1" t="n">
        <v>0.125</v>
      </c>
    </row>
    <row collapsed="false" customFormat="false" customHeight="false" hidden="false" ht="14.75" outlineLevel="0" r="79">
      <c r="A79" s="1" t="s">
        <v>322</v>
      </c>
      <c r="B79" s="1" t="s">
        <v>1101</v>
      </c>
      <c r="C79" s="1" t="s">
        <v>1087</v>
      </c>
      <c r="D79" s="1" t="n">
        <v>85.6</v>
      </c>
      <c r="E79" s="1" t="n">
        <v>6.84</v>
      </c>
      <c r="F79" s="1" t="n">
        <v>0.375</v>
      </c>
    </row>
    <row collapsed="false" customFormat="false" customHeight="false" hidden="false" ht="14.75" outlineLevel="0" r="80">
      <c r="A80" s="1" t="s">
        <v>1152</v>
      </c>
      <c r="B80" s="1" t="s">
        <v>1110</v>
      </c>
      <c r="C80" s="1" t="s">
        <v>1087</v>
      </c>
      <c r="D80" s="1" t="n">
        <v>196.7</v>
      </c>
      <c r="E80" s="1" t="n">
        <v>8.8</v>
      </c>
      <c r="F80" s="1" t="n">
        <f aca="false">14/9</f>
        <v>1.55555555555556</v>
      </c>
    </row>
    <row collapsed="false" customFormat="false" customHeight="false" hidden="false" ht="14.75" outlineLevel="0" r="81">
      <c r="A81" s="1" t="s">
        <v>447</v>
      </c>
      <c r="B81" s="1" t="s">
        <v>1110</v>
      </c>
      <c r="C81" s="1" t="s">
        <v>1087</v>
      </c>
      <c r="D81" s="1" t="n">
        <v>195</v>
      </c>
      <c r="E81" s="1" t="n">
        <v>9.7</v>
      </c>
      <c r="F81" s="1" t="n">
        <f aca="false">6/8</f>
        <v>0.75</v>
      </c>
    </row>
    <row collapsed="false" customFormat="false" customHeight="false" hidden="false" ht="14.75" outlineLevel="0" r="82">
      <c r="A82" s="1" t="s">
        <v>447</v>
      </c>
      <c r="B82" s="1" t="s">
        <v>1102</v>
      </c>
      <c r="C82" s="1" t="s">
        <v>1087</v>
      </c>
      <c r="D82" s="1" t="n">
        <v>289</v>
      </c>
      <c r="E82" s="1" t="n">
        <v>18.42</v>
      </c>
      <c r="F82" s="1" t="n">
        <v>2.4</v>
      </c>
    </row>
    <row collapsed="false" customFormat="false" customHeight="false" hidden="false" ht="14.75" outlineLevel="0" r="83">
      <c r="A83" s="1" t="s">
        <v>448</v>
      </c>
      <c r="B83" s="1" t="s">
        <v>1110</v>
      </c>
      <c r="C83" s="1" t="s">
        <v>1087</v>
      </c>
      <c r="D83" s="1" t="n">
        <v>60.6</v>
      </c>
      <c r="E83" s="1" t="n">
        <v>4.8</v>
      </c>
      <c r="F83" s="1" t="n">
        <f aca="false">1/8</f>
        <v>0.125</v>
      </c>
    </row>
    <row collapsed="false" customFormat="false" customHeight="false" hidden="false" ht="14.75" outlineLevel="0" r="84">
      <c r="A84" s="1" t="s">
        <v>448</v>
      </c>
      <c r="B84" s="1" t="s">
        <v>1102</v>
      </c>
      <c r="C84" s="1" t="s">
        <v>1087</v>
      </c>
      <c r="D84" s="1" t="n">
        <v>142.5</v>
      </c>
      <c r="E84" s="1" t="n">
        <v>9.86</v>
      </c>
      <c r="F84" s="1" t="n">
        <v>0.6</v>
      </c>
    </row>
    <row collapsed="false" customFormat="false" customHeight="false" hidden="false" ht="14.75" outlineLevel="0" r="85">
      <c r="A85" s="1" t="s">
        <v>1153</v>
      </c>
      <c r="B85" s="1" t="s">
        <v>1106</v>
      </c>
      <c r="C85" s="1" t="s">
        <v>1087</v>
      </c>
      <c r="D85" s="1" t="n">
        <v>179.4</v>
      </c>
      <c r="E85" s="1" t="n">
        <v>8.59</v>
      </c>
      <c r="F85" s="1" t="n">
        <f aca="false">11/9</f>
        <v>1.22222222222222</v>
      </c>
    </row>
    <row collapsed="false" customFormat="false" customHeight="false" hidden="false" ht="14.75" outlineLevel="0" r="86">
      <c r="A86" s="1" t="s">
        <v>852</v>
      </c>
      <c r="B86" s="1" t="s">
        <v>1146</v>
      </c>
      <c r="C86" s="1" t="s">
        <v>1087</v>
      </c>
      <c r="D86" s="1" t="n">
        <v>141.2</v>
      </c>
      <c r="E86" s="1" t="n">
        <v>12.55</v>
      </c>
      <c r="F86" s="1" t="n">
        <f aca="false">7/8</f>
        <v>0.875</v>
      </c>
    </row>
    <row collapsed="false" customFormat="false" customHeight="false" hidden="false" ht="14.75" outlineLevel="0" r="87">
      <c r="A87" s="1" t="s">
        <v>543</v>
      </c>
      <c r="B87" s="1" t="s">
        <v>1102</v>
      </c>
      <c r="C87" s="1" t="s">
        <v>1087</v>
      </c>
      <c r="D87" s="1" t="n">
        <v>469</v>
      </c>
      <c r="E87" s="1" t="n">
        <v>23.12</v>
      </c>
      <c r="F87" s="1" t="n">
        <v>5.1</v>
      </c>
    </row>
    <row collapsed="false" customFormat="false" customHeight="false" hidden="false" ht="14.75" outlineLevel="0" r="88">
      <c r="A88" s="1" t="s">
        <v>544</v>
      </c>
      <c r="B88" s="1" t="s">
        <v>1102</v>
      </c>
      <c r="C88" s="1" t="s">
        <v>1087</v>
      </c>
      <c r="D88" s="1" t="n">
        <v>289.5</v>
      </c>
      <c r="E88" s="1" t="n">
        <v>15.95</v>
      </c>
      <c r="F88" s="1" t="n">
        <v>1.9</v>
      </c>
    </row>
    <row collapsed="false" customFormat="false" customHeight="false" hidden="false" ht="14.75" outlineLevel="0" r="89">
      <c r="A89" s="1" t="s">
        <v>119</v>
      </c>
      <c r="B89" s="1" t="s">
        <v>1134</v>
      </c>
      <c r="C89" s="1" t="s">
        <v>1087</v>
      </c>
      <c r="D89" s="1" t="n">
        <v>405.5</v>
      </c>
      <c r="E89" s="1" t="n">
        <v>20.62</v>
      </c>
      <c r="F89" s="1" t="n">
        <v>3.9</v>
      </c>
    </row>
    <row collapsed="false" customFormat="false" customHeight="false" hidden="false" ht="14.75" outlineLevel="0" r="90">
      <c r="A90" s="1" t="s">
        <v>120</v>
      </c>
      <c r="B90" s="1" t="s">
        <v>1134</v>
      </c>
      <c r="C90" s="1" t="s">
        <v>1087</v>
      </c>
      <c r="D90" s="1" t="n">
        <v>118</v>
      </c>
      <c r="E90" s="1" t="n">
        <v>10.83</v>
      </c>
      <c r="F90" s="1" t="n">
        <v>1.1</v>
      </c>
    </row>
    <row collapsed="false" customFormat="false" customHeight="false" hidden="false" ht="14.75" outlineLevel="0" r="91">
      <c r="A91" s="1" t="s">
        <v>1154</v>
      </c>
      <c r="B91" s="1" t="s">
        <v>1127</v>
      </c>
      <c r="C91" s="1" t="s">
        <v>1087</v>
      </c>
      <c r="D91" s="1" t="n">
        <v>160</v>
      </c>
      <c r="E91" s="1" t="n">
        <v>13.91</v>
      </c>
      <c r="F91" s="1" t="n">
        <f aca="false">8/9</f>
        <v>0.888888888888889</v>
      </c>
    </row>
    <row collapsed="false" customFormat="false" customHeight="false" hidden="false" ht="14.75" outlineLevel="0" r="92">
      <c r="A92" s="1" t="s">
        <v>1155</v>
      </c>
      <c r="B92" s="1" t="s">
        <v>1093</v>
      </c>
      <c r="C92" s="1" t="s">
        <v>1087</v>
      </c>
      <c r="D92" s="1" t="n">
        <v>72.5</v>
      </c>
      <c r="E92" s="1" t="n">
        <v>4.38</v>
      </c>
      <c r="F92" s="1" t="n">
        <f aca="false">2/6</f>
        <v>0.333333333333333</v>
      </c>
    </row>
    <row collapsed="false" customFormat="false" customHeight="false" hidden="false" ht="14.75" outlineLevel="0" r="93">
      <c r="A93" s="1" t="s">
        <v>1156</v>
      </c>
      <c r="B93" s="1" t="s">
        <v>1093</v>
      </c>
      <c r="C93" s="1" t="s">
        <v>1087</v>
      </c>
      <c r="D93" s="1" t="n">
        <v>30.8</v>
      </c>
      <c r="E93" s="1" t="n">
        <v>3.12</v>
      </c>
      <c r="F93" s="1" t="n">
        <f aca="false">1/6</f>
        <v>0.166666666666667</v>
      </c>
    </row>
    <row collapsed="false" customFormat="false" customHeight="false" hidden="false" ht="14.75" outlineLevel="0" r="94">
      <c r="A94" s="1" t="s">
        <v>1020</v>
      </c>
      <c r="B94" s="1" t="s">
        <v>1146</v>
      </c>
      <c r="C94" s="1" t="s">
        <v>1087</v>
      </c>
      <c r="D94" s="1" t="n">
        <v>161.4</v>
      </c>
      <c r="E94" s="1" t="n">
        <v>9.73</v>
      </c>
      <c r="F94" s="1" t="n">
        <f aca="false">8/7</f>
        <v>1.14285714285714</v>
      </c>
    </row>
    <row collapsed="false" customFormat="false" customHeight="false" hidden="false" ht="14.75" outlineLevel="0" r="95">
      <c r="A95" s="1" t="s">
        <v>856</v>
      </c>
      <c r="B95" s="1" t="s">
        <v>1146</v>
      </c>
      <c r="C95" s="1" t="s">
        <v>1087</v>
      </c>
      <c r="D95" s="1" t="n">
        <v>231.2</v>
      </c>
      <c r="E95" s="1" t="n">
        <v>14.8</v>
      </c>
      <c r="F95" s="1" t="n">
        <f aca="false">16/8</f>
        <v>2</v>
      </c>
    </row>
    <row collapsed="false" customFormat="false" customHeight="false" hidden="false" ht="14.75" outlineLevel="0" r="96">
      <c r="A96" s="1" t="s">
        <v>858</v>
      </c>
      <c r="B96" s="1" t="s">
        <v>1146</v>
      </c>
      <c r="C96" s="1" t="s">
        <v>1087</v>
      </c>
      <c r="D96" s="1" t="n">
        <v>110.7</v>
      </c>
      <c r="E96" s="1" t="n">
        <v>10.75</v>
      </c>
      <c r="F96" s="1" t="n">
        <f aca="false">6/7</f>
        <v>0.857142857142857</v>
      </c>
    </row>
    <row collapsed="false" customFormat="false" customHeight="false" hidden="false" ht="14.75" outlineLevel="0" r="97">
      <c r="A97" s="1" t="s">
        <v>1157</v>
      </c>
      <c r="B97" s="1" t="s">
        <v>1127</v>
      </c>
      <c r="C97" s="1" t="s">
        <v>1087</v>
      </c>
      <c r="D97" s="1" t="n">
        <v>127.9</v>
      </c>
      <c r="E97" s="1" t="n">
        <v>10.22</v>
      </c>
      <c r="F97" s="1" t="n">
        <f aca="false">9/7</f>
        <v>1.28571428571429</v>
      </c>
    </row>
    <row collapsed="false" customFormat="false" customHeight="false" hidden="false" ht="14.75" outlineLevel="0" r="98">
      <c r="A98" s="1" t="s">
        <v>1158</v>
      </c>
      <c r="B98" s="1" t="s">
        <v>1127</v>
      </c>
      <c r="C98" s="1" t="s">
        <v>1087</v>
      </c>
      <c r="D98" s="1" t="n">
        <v>102.2</v>
      </c>
      <c r="E98" s="1" t="n">
        <v>9.33</v>
      </c>
      <c r="F98" s="1" t="n">
        <f aca="false">6/9</f>
        <v>0.666666666666667</v>
      </c>
    </row>
    <row collapsed="false" customFormat="false" customHeight="false" hidden="false" ht="14.75" outlineLevel="0" r="99">
      <c r="A99" s="1" t="s">
        <v>1159</v>
      </c>
      <c r="B99" s="1" t="s">
        <v>1093</v>
      </c>
      <c r="C99" s="1" t="s">
        <v>1087</v>
      </c>
      <c r="D99" s="1" t="n">
        <v>101.7</v>
      </c>
      <c r="E99" s="1" t="n">
        <v>6.05</v>
      </c>
      <c r="F99" s="1" t="n">
        <f aca="false">5/6</f>
        <v>0.833333333333333</v>
      </c>
    </row>
    <row collapsed="false" customFormat="false" customHeight="false" hidden="false" ht="14.75" outlineLevel="0" r="100">
      <c r="A100" s="1" t="s">
        <v>1160</v>
      </c>
      <c r="B100" s="1" t="s">
        <v>1146</v>
      </c>
      <c r="C100" s="1" t="s">
        <v>1087</v>
      </c>
      <c r="D100" s="1" t="n">
        <v>89.2</v>
      </c>
      <c r="E100" s="1" t="n">
        <v>7.19</v>
      </c>
      <c r="F100" s="1" t="n">
        <f aca="false">3/7</f>
        <v>0.428571428571429</v>
      </c>
    </row>
    <row collapsed="false" customFormat="false" customHeight="false" hidden="false" ht="14.75" outlineLevel="0" r="101">
      <c r="A101" s="1" t="s">
        <v>123</v>
      </c>
      <c r="B101" s="1" t="s">
        <v>1134</v>
      </c>
      <c r="C101" s="1" t="s">
        <v>1087</v>
      </c>
      <c r="D101" s="1" t="n">
        <v>459</v>
      </c>
      <c r="E101" s="1" t="n">
        <v>21.57</v>
      </c>
      <c r="F101" s="1" t="n">
        <v>4.9</v>
      </c>
    </row>
    <row collapsed="false" customFormat="false" customHeight="false" hidden="false" ht="14.75" outlineLevel="0" r="102">
      <c r="A102" s="1" t="s">
        <v>124</v>
      </c>
      <c r="B102" s="1" t="s">
        <v>1134</v>
      </c>
      <c r="C102" s="1" t="s">
        <v>1087</v>
      </c>
      <c r="D102" s="1" t="n">
        <v>182</v>
      </c>
      <c r="E102" s="1" t="n">
        <v>12.23</v>
      </c>
      <c r="F102" s="1" t="n">
        <v>1.3</v>
      </c>
    </row>
    <row collapsed="false" customFormat="false" customHeight="false" hidden="false" ht="14.75" outlineLevel="0" r="103">
      <c r="A103" s="1" t="s">
        <v>1161</v>
      </c>
      <c r="B103" s="1" t="s">
        <v>1134</v>
      </c>
      <c r="C103" s="1" t="s">
        <v>1087</v>
      </c>
      <c r="D103" s="1" t="n">
        <v>84</v>
      </c>
      <c r="E103" s="1" t="n">
        <v>7.98</v>
      </c>
      <c r="F103" s="1" t="n">
        <v>0.7</v>
      </c>
    </row>
    <row collapsed="false" customFormat="false" customHeight="false" hidden="false" ht="14.75" outlineLevel="0" r="104">
      <c r="A104" s="1" t="s">
        <v>1162</v>
      </c>
      <c r="B104" s="1" t="s">
        <v>1093</v>
      </c>
      <c r="C104" s="1" t="s">
        <v>1087</v>
      </c>
      <c r="D104" s="1" t="n">
        <v>112.5</v>
      </c>
      <c r="E104" s="1" t="n">
        <v>6.55</v>
      </c>
      <c r="F104" s="1" t="n">
        <f aca="false">2/6</f>
        <v>0.333333333333333</v>
      </c>
    </row>
    <row collapsed="false" customFormat="false" customHeight="false" hidden="false" ht="14.75" outlineLevel="0" r="105">
      <c r="A105" s="1" t="s">
        <v>1163</v>
      </c>
      <c r="B105" s="1" t="s">
        <v>1164</v>
      </c>
      <c r="C105" s="1" t="s">
        <v>1087</v>
      </c>
      <c r="D105" s="1" t="n">
        <v>254</v>
      </c>
      <c r="E105" s="1" t="n">
        <v>13.7</v>
      </c>
      <c r="F105" s="1" t="n">
        <f aca="false">6/5</f>
        <v>1.2</v>
      </c>
    </row>
    <row collapsed="false" customFormat="false" customHeight="false" hidden="false" ht="14.75" outlineLevel="0" r="106">
      <c r="A106" s="1" t="s">
        <v>1165</v>
      </c>
      <c r="B106" s="1" t="s">
        <v>1121</v>
      </c>
      <c r="C106" s="1" t="s">
        <v>1087</v>
      </c>
      <c r="D106" s="1" t="n">
        <v>418</v>
      </c>
      <c r="E106" s="1" t="n">
        <v>19.7</v>
      </c>
      <c r="F106" s="1" t="s">
        <v>9</v>
      </c>
    </row>
    <row collapsed="false" customFormat="false" customHeight="false" hidden="false" ht="14.75" outlineLevel="0" r="107">
      <c r="A107" s="1" t="s">
        <v>1166</v>
      </c>
      <c r="B107" s="1" t="s">
        <v>1121</v>
      </c>
      <c r="C107" s="1" t="s">
        <v>1087</v>
      </c>
      <c r="D107" s="1" t="n">
        <v>269.4</v>
      </c>
      <c r="E107" s="1" t="n">
        <v>12.78</v>
      </c>
      <c r="F107" s="1" t="s">
        <v>9</v>
      </c>
    </row>
    <row collapsed="false" customFormat="false" customHeight="false" hidden="false" ht="14.75" outlineLevel="0" r="108">
      <c r="A108" s="1" t="s">
        <v>1167</v>
      </c>
      <c r="B108" s="1" t="s">
        <v>1112</v>
      </c>
      <c r="C108" s="1" t="s">
        <v>1087</v>
      </c>
      <c r="D108" s="1" t="n">
        <v>118.1</v>
      </c>
      <c r="E108" s="1" t="n">
        <v>6.58</v>
      </c>
      <c r="F108" s="1" t="s">
        <v>9</v>
      </c>
    </row>
    <row collapsed="false" customFormat="false" customHeight="false" hidden="false" ht="14.75" outlineLevel="0" r="109">
      <c r="A109" s="1" t="s">
        <v>1168</v>
      </c>
      <c r="B109" s="1" t="s">
        <v>1101</v>
      </c>
      <c r="C109" s="1" t="s">
        <v>1087</v>
      </c>
      <c r="D109" s="1" t="n">
        <v>308.1</v>
      </c>
      <c r="E109" s="1" t="n">
        <v>14.47</v>
      </c>
      <c r="F109" s="1" t="n">
        <v>1.875</v>
      </c>
    </row>
    <row collapsed="false" customFormat="false" customHeight="false" hidden="false" ht="14.75" outlineLevel="0" r="110">
      <c r="A110" s="1" t="s">
        <v>1169</v>
      </c>
      <c r="B110" s="1" t="s">
        <v>1101</v>
      </c>
      <c r="C110" s="1" t="s">
        <v>1087</v>
      </c>
      <c r="D110" s="1" t="n">
        <v>91.2</v>
      </c>
      <c r="E110" s="1" t="n">
        <v>4.62</v>
      </c>
      <c r="F110" s="1" t="n">
        <v>0.375</v>
      </c>
    </row>
    <row collapsed="false" customFormat="false" customHeight="false" hidden="false" ht="14.75" outlineLevel="0" r="111">
      <c r="A111" s="1" t="s">
        <v>1170</v>
      </c>
      <c r="B111" s="1" t="s">
        <v>1101</v>
      </c>
      <c r="C111" s="1" t="s">
        <v>1087</v>
      </c>
      <c r="D111" s="1" t="n">
        <v>305.6</v>
      </c>
      <c r="E111" s="1" t="n">
        <v>15.07</v>
      </c>
      <c r="F111" s="1" t="n">
        <v>2.125</v>
      </c>
    </row>
    <row collapsed="false" customFormat="false" customHeight="false" hidden="false" ht="14.75" outlineLevel="0" r="112">
      <c r="A112" s="1" t="s">
        <v>1171</v>
      </c>
      <c r="B112" s="1" t="s">
        <v>1101</v>
      </c>
      <c r="C112" s="1" t="s">
        <v>1087</v>
      </c>
      <c r="D112" s="1" t="n">
        <v>134.4</v>
      </c>
      <c r="E112" s="1" t="n">
        <v>9.57</v>
      </c>
      <c r="F112" s="1" t="n">
        <v>0.75</v>
      </c>
    </row>
    <row collapsed="false" customFormat="false" customHeight="false" hidden="false" ht="14.75" outlineLevel="0" r="113">
      <c r="A113" s="1" t="s">
        <v>554</v>
      </c>
      <c r="B113" s="1" t="s">
        <v>1102</v>
      </c>
      <c r="C113" s="1" t="s">
        <v>1087</v>
      </c>
      <c r="D113" s="1" t="n">
        <v>249</v>
      </c>
      <c r="E113" s="1" t="n">
        <v>17.07</v>
      </c>
      <c r="F113" s="1" t="n">
        <v>2.1</v>
      </c>
    </row>
    <row collapsed="false" customFormat="false" customHeight="false" hidden="false" ht="14.75" outlineLevel="0" r="114">
      <c r="A114" s="1" t="s">
        <v>555</v>
      </c>
      <c r="B114" s="1" t="s">
        <v>1102</v>
      </c>
      <c r="C114" s="1" t="s">
        <v>1087</v>
      </c>
      <c r="D114" s="1" t="n">
        <v>137</v>
      </c>
      <c r="E114" s="1" t="n">
        <v>10.29</v>
      </c>
      <c r="F114" s="1" t="n">
        <v>0.5</v>
      </c>
    </row>
    <row collapsed="false" customFormat="false" customHeight="false" hidden="false" ht="14.75" outlineLevel="0" r="115">
      <c r="A115" s="1" t="s">
        <v>1172</v>
      </c>
      <c r="B115" s="1" t="s">
        <v>1102</v>
      </c>
      <c r="C115" s="1" t="s">
        <v>1087</v>
      </c>
      <c r="D115" s="1" t="n">
        <v>55.5</v>
      </c>
      <c r="E115" s="1" t="n">
        <v>7.14</v>
      </c>
      <c r="F115" s="1" t="n">
        <v>0.3</v>
      </c>
    </row>
    <row collapsed="false" customFormat="false" customHeight="false" hidden="false" ht="14.75" outlineLevel="0" r="116">
      <c r="A116" s="1" t="s">
        <v>1173</v>
      </c>
      <c r="B116" s="1" t="s">
        <v>1102</v>
      </c>
      <c r="C116" s="1" t="s">
        <v>1087</v>
      </c>
      <c r="D116" s="1" t="n">
        <v>180</v>
      </c>
      <c r="E116" s="1" t="n">
        <v>12.53</v>
      </c>
      <c r="F116" s="1" t="n">
        <v>1</v>
      </c>
    </row>
    <row collapsed="false" customFormat="false" customHeight="false" hidden="false" ht="14.75" outlineLevel="0" r="117">
      <c r="A117" s="1" t="s">
        <v>1174</v>
      </c>
      <c r="B117" s="1" t="s">
        <v>1102</v>
      </c>
      <c r="C117" s="1" t="s">
        <v>1087</v>
      </c>
      <c r="D117" s="1" t="n">
        <v>89</v>
      </c>
      <c r="E117" s="1" t="n">
        <v>7.09</v>
      </c>
      <c r="F117" s="1" t="n">
        <v>0.5</v>
      </c>
    </row>
    <row collapsed="false" customFormat="false" customHeight="false" hidden="false" ht="14.75" outlineLevel="0" r="118">
      <c r="A118" s="1" t="s">
        <v>1175</v>
      </c>
      <c r="B118" s="1" t="s">
        <v>1164</v>
      </c>
      <c r="C118" s="1" t="s">
        <v>1087</v>
      </c>
      <c r="D118" s="1" t="n">
        <v>119</v>
      </c>
      <c r="E118" s="1" t="n">
        <v>10.33</v>
      </c>
      <c r="F118" s="1" t="n">
        <v>0</v>
      </c>
    </row>
    <row collapsed="false" customFormat="false" customHeight="false" hidden="false" ht="14.75" outlineLevel="0" r="119">
      <c r="A119" s="1" t="s">
        <v>1176</v>
      </c>
      <c r="B119" s="1" t="s">
        <v>1127</v>
      </c>
      <c r="C119" s="1" t="s">
        <v>1087</v>
      </c>
      <c r="D119" s="1" t="n">
        <v>198.9</v>
      </c>
      <c r="E119" s="1" t="n">
        <v>14.51</v>
      </c>
      <c r="F119" s="1" t="n">
        <f aca="false">20/9</f>
        <v>2.22222222222222</v>
      </c>
    </row>
    <row collapsed="false" customFormat="false" customHeight="false" hidden="false" ht="14.75" outlineLevel="0" r="120">
      <c r="A120" s="1" t="s">
        <v>1177</v>
      </c>
      <c r="B120" s="1" t="s">
        <v>1127</v>
      </c>
      <c r="C120" s="1" t="s">
        <v>1087</v>
      </c>
      <c r="D120" s="1" t="n">
        <v>158.9</v>
      </c>
      <c r="E120" s="1" t="n">
        <v>10.68</v>
      </c>
      <c r="F120" s="1" t="n">
        <f aca="false">12/9</f>
        <v>1.33333333333333</v>
      </c>
    </row>
    <row collapsed="false" customFormat="false" customHeight="false" hidden="false" ht="14.75" outlineLevel="0" r="121">
      <c r="A121" s="1" t="s">
        <v>127</v>
      </c>
      <c r="B121" s="1" t="s">
        <v>1100</v>
      </c>
      <c r="C121" s="1" t="s">
        <v>1087</v>
      </c>
      <c r="D121" s="1" t="n">
        <v>269.4</v>
      </c>
      <c r="E121" s="1" t="n">
        <v>16.62</v>
      </c>
      <c r="F121" s="1" t="n">
        <f aca="false">21/9</f>
        <v>2.33333333333333</v>
      </c>
    </row>
    <row collapsed="false" customFormat="false" customHeight="false" hidden="false" ht="14.75" outlineLevel="0" r="122">
      <c r="A122" s="1" t="s">
        <v>129</v>
      </c>
      <c r="B122" s="1" t="s">
        <v>1101</v>
      </c>
      <c r="C122" s="1" t="s">
        <v>1087</v>
      </c>
      <c r="D122" s="1" t="n">
        <v>146.9</v>
      </c>
      <c r="E122" s="1" t="n">
        <v>8.7</v>
      </c>
      <c r="F122" s="1" t="n">
        <v>1</v>
      </c>
    </row>
    <row collapsed="false" customFormat="false" customHeight="false" hidden="false" ht="14.75" outlineLevel="0" r="123">
      <c r="A123" s="1" t="s">
        <v>1178</v>
      </c>
      <c r="B123" s="1" t="s">
        <v>1101</v>
      </c>
      <c r="C123" s="1" t="s">
        <v>1087</v>
      </c>
      <c r="D123" s="1" t="n">
        <v>151.2</v>
      </c>
      <c r="E123" s="1" t="n">
        <v>10.42</v>
      </c>
      <c r="F123" s="1" t="n">
        <v>0.625</v>
      </c>
    </row>
    <row collapsed="false" customFormat="false" customHeight="false" hidden="false" ht="14.75" outlineLevel="0" r="124">
      <c r="A124" s="1" t="s">
        <v>334</v>
      </c>
      <c r="B124" s="1" t="s">
        <v>1164</v>
      </c>
      <c r="C124" s="1" t="s">
        <v>1087</v>
      </c>
      <c r="D124" s="1" t="n">
        <v>208</v>
      </c>
      <c r="E124" s="1" t="n">
        <v>11.49</v>
      </c>
      <c r="F124" s="1" t="n">
        <v>1.8</v>
      </c>
    </row>
    <row collapsed="false" customFormat="false" customHeight="false" hidden="false" ht="14.75" outlineLevel="0" r="125">
      <c r="A125" s="1" t="s">
        <v>335</v>
      </c>
      <c r="B125" s="1" t="s">
        <v>1164</v>
      </c>
      <c r="C125" s="1" t="s">
        <v>1087</v>
      </c>
      <c r="D125" s="1" t="n">
        <v>18</v>
      </c>
      <c r="E125" s="1" t="n">
        <v>4.29</v>
      </c>
      <c r="F125" s="1" t="n">
        <v>0</v>
      </c>
    </row>
    <row collapsed="false" customFormat="false" customHeight="false" hidden="false" ht="14.75" outlineLevel="0" r="126">
      <c r="A126" s="1" t="s">
        <v>864</v>
      </c>
      <c r="B126" s="1" t="s">
        <v>1086</v>
      </c>
      <c r="C126" s="1" t="s">
        <v>1087</v>
      </c>
      <c r="D126" s="1" t="n">
        <v>239.4</v>
      </c>
      <c r="E126" s="1" t="n">
        <v>13.93</v>
      </c>
      <c r="F126" s="1" t="n">
        <f aca="false">21/9</f>
        <v>2.33333333333333</v>
      </c>
    </row>
    <row collapsed="false" customFormat="false" customHeight="false" hidden="false" ht="14.75" outlineLevel="0" r="127">
      <c r="A127" s="1" t="s">
        <v>1179</v>
      </c>
      <c r="B127" s="1" t="s">
        <v>1086</v>
      </c>
      <c r="C127" s="1" t="s">
        <v>1087</v>
      </c>
      <c r="D127" s="1" t="n">
        <v>77.1</v>
      </c>
      <c r="E127" s="1" t="n">
        <v>8.91</v>
      </c>
      <c r="F127" s="1" t="n">
        <f aca="false">1/7</f>
        <v>0.142857142857143</v>
      </c>
    </row>
    <row collapsed="false" customFormat="false" customHeight="false" hidden="false" ht="14.75" outlineLevel="0" r="128">
      <c r="A128" s="1" t="s">
        <v>1180</v>
      </c>
      <c r="B128" s="1" t="s">
        <v>1119</v>
      </c>
      <c r="C128" s="1" t="s">
        <v>1087</v>
      </c>
      <c r="D128" s="1" t="n">
        <v>218.6</v>
      </c>
      <c r="E128" s="1" t="n">
        <v>11.67</v>
      </c>
      <c r="F128" s="1" t="n">
        <f aca="false">16/11</f>
        <v>1.45454545454545</v>
      </c>
    </row>
    <row collapsed="false" customFormat="false" customHeight="false" hidden="false" ht="14.75" outlineLevel="0" r="129">
      <c r="A129" s="1" t="s">
        <v>1181</v>
      </c>
      <c r="B129" s="1" t="s">
        <v>1106</v>
      </c>
      <c r="C129" s="1" t="s">
        <v>1087</v>
      </c>
      <c r="D129" s="1" t="n">
        <v>106.9</v>
      </c>
      <c r="E129" s="1" t="n">
        <v>6.43</v>
      </c>
      <c r="F129" s="1" t="n">
        <f aca="false">5/8</f>
        <v>0.625</v>
      </c>
    </row>
    <row collapsed="false" customFormat="false" customHeight="false" hidden="false" ht="14.75" outlineLevel="0" r="130">
      <c r="A130" s="1" t="s">
        <v>1182</v>
      </c>
      <c r="B130" s="1" t="s">
        <v>1106</v>
      </c>
      <c r="C130" s="1" t="s">
        <v>1087</v>
      </c>
      <c r="D130" s="1" t="n">
        <v>206.9</v>
      </c>
      <c r="E130" s="1" t="n">
        <v>9.26</v>
      </c>
      <c r="F130" s="1" t="n">
        <f aca="false">4/8</f>
        <v>0.5</v>
      </c>
    </row>
    <row collapsed="false" customFormat="false" customHeight="false" hidden="false" ht="14.75" outlineLevel="0" r="131">
      <c r="A131" s="1" t="s">
        <v>1183</v>
      </c>
      <c r="B131" s="1" t="s">
        <v>1101</v>
      </c>
      <c r="C131" s="1" t="s">
        <v>1087</v>
      </c>
      <c r="D131" s="1" t="n">
        <v>224.4</v>
      </c>
      <c r="E131" s="1" t="n">
        <v>11.33</v>
      </c>
      <c r="F131" s="1" t="n">
        <v>1.875</v>
      </c>
    </row>
    <row collapsed="false" customFormat="false" customHeight="false" hidden="false" ht="14.75" outlineLevel="0" r="132">
      <c r="A132" s="1" t="s">
        <v>1184</v>
      </c>
      <c r="B132" s="1" t="s">
        <v>1101</v>
      </c>
      <c r="C132" s="1" t="s">
        <v>1087</v>
      </c>
      <c r="D132" s="1" t="n">
        <v>149.4</v>
      </c>
      <c r="E132" s="1" t="n">
        <v>8.3</v>
      </c>
      <c r="F132" s="1" t="n">
        <v>0.875</v>
      </c>
    </row>
    <row collapsed="false" customFormat="false" customHeight="false" hidden="false" ht="14.75" outlineLevel="0" r="133">
      <c r="A133" s="1" t="s">
        <v>867</v>
      </c>
      <c r="B133" s="1" t="s">
        <v>1093</v>
      </c>
      <c r="C133" s="1" t="s">
        <v>1087</v>
      </c>
      <c r="D133" s="1" t="n">
        <v>260.7</v>
      </c>
      <c r="E133" s="1" t="n">
        <v>13.35</v>
      </c>
      <c r="F133" s="1" t="n">
        <v>1</v>
      </c>
    </row>
    <row collapsed="false" customFormat="false" customHeight="false" hidden="false" ht="14.75" outlineLevel="0" r="134">
      <c r="A134" s="1" t="s">
        <v>689</v>
      </c>
      <c r="B134" s="1" t="s">
        <v>1101</v>
      </c>
      <c r="C134" s="1" t="s">
        <v>1087</v>
      </c>
      <c r="D134" s="1" t="n">
        <v>232.5</v>
      </c>
      <c r="E134" s="1" t="n">
        <v>10.95</v>
      </c>
      <c r="F134" s="1" t="n">
        <v>1.25</v>
      </c>
    </row>
    <row collapsed="false" customFormat="false" customHeight="false" hidden="false" ht="14.75" outlineLevel="0" r="135">
      <c r="A135" s="1" t="s">
        <v>690</v>
      </c>
      <c r="B135" s="1" t="s">
        <v>1101</v>
      </c>
      <c r="C135" s="1" t="s">
        <v>1087</v>
      </c>
      <c r="D135" s="1" t="n">
        <v>117.5</v>
      </c>
      <c r="E135" s="1" t="n">
        <v>7.07</v>
      </c>
      <c r="F135" s="1" t="n">
        <v>0.75</v>
      </c>
    </row>
    <row collapsed="false" customFormat="false" customHeight="false" hidden="false" ht="14.75" outlineLevel="0" r="136">
      <c r="A136" s="1" t="s">
        <v>1185</v>
      </c>
      <c r="B136" s="1" t="s">
        <v>1101</v>
      </c>
      <c r="C136" s="1" t="s">
        <v>1087</v>
      </c>
      <c r="D136" s="1" t="n">
        <v>215.6</v>
      </c>
      <c r="E136" s="1" t="n">
        <v>10.41</v>
      </c>
      <c r="F136" s="1" t="n">
        <v>1.125</v>
      </c>
    </row>
    <row collapsed="false" customFormat="false" customHeight="false" hidden="false" ht="14.75" outlineLevel="0" r="137">
      <c r="A137" s="1" t="s">
        <v>1186</v>
      </c>
      <c r="B137" s="1" t="s">
        <v>1101</v>
      </c>
      <c r="C137" s="1" t="s">
        <v>1087</v>
      </c>
      <c r="D137" s="1" t="n">
        <v>230</v>
      </c>
      <c r="E137" s="1" t="n">
        <v>12.13</v>
      </c>
      <c r="F137" s="1" t="n">
        <v>1.5</v>
      </c>
    </row>
    <row collapsed="false" customFormat="false" customHeight="false" hidden="false" ht="14.75" outlineLevel="0" r="138">
      <c r="A138" s="1" t="s">
        <v>691</v>
      </c>
      <c r="B138" s="1" t="s">
        <v>1187</v>
      </c>
      <c r="C138" s="1" t="s">
        <v>1087</v>
      </c>
      <c r="D138" s="1" t="n">
        <v>323.9</v>
      </c>
      <c r="E138" s="1" t="n">
        <v>18.53</v>
      </c>
      <c r="F138" s="1" t="n">
        <f aca="false">13/9</f>
        <v>1.44444444444444</v>
      </c>
    </row>
    <row collapsed="false" customFormat="false" customHeight="false" hidden="false" ht="14.75" outlineLevel="0" r="139">
      <c r="A139" s="1" t="s">
        <v>692</v>
      </c>
      <c r="B139" s="1" t="s">
        <v>1187</v>
      </c>
      <c r="C139" s="1" t="s">
        <v>1087</v>
      </c>
      <c r="D139" s="1" t="n">
        <v>210.6</v>
      </c>
      <c r="E139" s="1" t="n">
        <v>11.3</v>
      </c>
      <c r="F139" s="1" t="n">
        <f aca="false">8/9</f>
        <v>0.888888888888889</v>
      </c>
    </row>
    <row collapsed="false" customFormat="false" customHeight="false" hidden="false" ht="14.75" outlineLevel="0" r="140">
      <c r="A140" s="1" t="s">
        <v>206</v>
      </c>
      <c r="B140" s="1" t="s">
        <v>1097</v>
      </c>
      <c r="C140" s="1" t="s">
        <v>1087</v>
      </c>
      <c r="D140" s="1" t="n">
        <v>337.7</v>
      </c>
      <c r="E140" s="1" t="n">
        <v>19.48</v>
      </c>
      <c r="F140" s="1" t="n">
        <f aca="false">35/11</f>
        <v>3.18181818181818</v>
      </c>
    </row>
    <row collapsed="false" customFormat="false" customHeight="false" hidden="false" ht="14.75" outlineLevel="0" r="141">
      <c r="A141" s="1" t="s">
        <v>207</v>
      </c>
      <c r="B141" s="1" t="s">
        <v>1097</v>
      </c>
      <c r="C141" s="1" t="s">
        <v>1087</v>
      </c>
      <c r="D141" s="1" t="n">
        <v>120.6</v>
      </c>
      <c r="E141" s="1" t="n">
        <v>10.42</v>
      </c>
      <c r="F141" s="1" t="n">
        <f aca="false">4/9</f>
        <v>0.444444444444444</v>
      </c>
    </row>
    <row collapsed="false" customFormat="false" customHeight="false" hidden="false" ht="14.75" outlineLevel="0" r="142">
      <c r="A142" s="1" t="s">
        <v>1188</v>
      </c>
      <c r="B142" s="1" t="s">
        <v>1097</v>
      </c>
      <c r="C142" s="1" t="s">
        <v>1087</v>
      </c>
      <c r="D142" s="1" t="n">
        <v>89</v>
      </c>
      <c r="E142" s="1" t="n">
        <v>6.16</v>
      </c>
      <c r="F142" s="1" t="n">
        <f aca="false">4/10</f>
        <v>0.4</v>
      </c>
    </row>
    <row collapsed="false" customFormat="false" customHeight="false" hidden="false" ht="14.75" outlineLevel="0" r="143">
      <c r="A143" s="1" t="s">
        <v>1189</v>
      </c>
      <c r="B143" s="1" t="s">
        <v>1097</v>
      </c>
      <c r="C143" s="1" t="s">
        <v>1087</v>
      </c>
      <c r="D143" s="1" t="n">
        <v>63.5</v>
      </c>
      <c r="E143" s="1" t="n">
        <v>6.25</v>
      </c>
      <c r="F143" s="1" t="n">
        <f aca="false">3/10</f>
        <v>0.3</v>
      </c>
    </row>
    <row collapsed="false" customFormat="false" customHeight="false" hidden="false" ht="14.75" outlineLevel="0" r="144">
      <c r="A144" s="1" t="s">
        <v>1190</v>
      </c>
      <c r="B144" s="1" t="s">
        <v>1093</v>
      </c>
      <c r="C144" s="1" t="s">
        <v>1087</v>
      </c>
      <c r="D144" s="1" t="n">
        <v>84.2</v>
      </c>
      <c r="E144" s="1" t="n">
        <v>7.24</v>
      </c>
      <c r="F144" s="1" t="n">
        <v>0.5</v>
      </c>
    </row>
    <row collapsed="false" customFormat="false" customHeight="false" hidden="false" ht="14.75" outlineLevel="0" r="145">
      <c r="A145" s="1" t="s">
        <v>1191</v>
      </c>
      <c r="B145" s="1" t="s">
        <v>1093</v>
      </c>
      <c r="C145" s="1" t="s">
        <v>1087</v>
      </c>
      <c r="D145" s="1" t="n">
        <v>185.8</v>
      </c>
      <c r="E145" s="1" t="n">
        <v>10.65</v>
      </c>
      <c r="F145" s="1" t="n">
        <f aca="false">5/7</f>
        <v>0.714285714285714</v>
      </c>
    </row>
    <row collapsed="false" customFormat="false" customHeight="false" hidden="false" ht="14.75" outlineLevel="0" r="146">
      <c r="A146" s="1" t="s">
        <v>1192</v>
      </c>
      <c r="B146" s="1" t="s">
        <v>1093</v>
      </c>
      <c r="C146" s="1" t="s">
        <v>1087</v>
      </c>
      <c r="D146" s="1" t="n">
        <v>57.5</v>
      </c>
      <c r="E146" s="1" t="n">
        <v>4.4</v>
      </c>
      <c r="F146" s="1" t="n">
        <v>0</v>
      </c>
    </row>
    <row collapsed="false" customFormat="false" customHeight="false" hidden="false" ht="14.75" outlineLevel="0" r="147">
      <c r="A147" s="1" t="s">
        <v>1193</v>
      </c>
      <c r="B147" s="1" t="s">
        <v>1093</v>
      </c>
      <c r="C147" s="1" t="s">
        <v>1087</v>
      </c>
      <c r="D147" s="1" t="n">
        <v>33.3</v>
      </c>
      <c r="E147" s="1" t="n">
        <v>5.38</v>
      </c>
      <c r="F147" s="1" t="n">
        <f aca="false">1/6</f>
        <v>0.166666666666667</v>
      </c>
    </row>
    <row collapsed="false" customFormat="false" customHeight="false" hidden="false" ht="14.75" outlineLevel="0" r="148">
      <c r="A148" s="1" t="s">
        <v>562</v>
      </c>
      <c r="B148" s="1" t="s">
        <v>1093</v>
      </c>
      <c r="C148" s="1" t="s">
        <v>1087</v>
      </c>
      <c r="D148" s="1" t="n">
        <v>125.7</v>
      </c>
      <c r="E148" s="1" t="n">
        <v>8.16</v>
      </c>
      <c r="F148" s="1" t="n">
        <f aca="false">3/7</f>
        <v>0.428571428571429</v>
      </c>
    </row>
    <row collapsed="false" customFormat="false" customHeight="false" hidden="false" ht="14.75" outlineLevel="0" r="149">
      <c r="A149" s="1" t="s">
        <v>563</v>
      </c>
      <c r="B149" s="1" t="s">
        <v>1093</v>
      </c>
      <c r="C149" s="1" t="s">
        <v>1087</v>
      </c>
      <c r="D149" s="1" t="n">
        <v>125</v>
      </c>
      <c r="E149" s="1" t="n">
        <v>7.74</v>
      </c>
      <c r="F149" s="1" t="n">
        <f aca="false">4/6</f>
        <v>0.666666666666667</v>
      </c>
    </row>
    <row collapsed="false" customFormat="false" customHeight="false" hidden="false" ht="14.75" outlineLevel="0" r="150">
      <c r="A150" s="1" t="s">
        <v>1194</v>
      </c>
      <c r="B150" s="1" t="s">
        <v>1093</v>
      </c>
      <c r="C150" s="1" t="s">
        <v>1087</v>
      </c>
      <c r="D150" s="1" t="n">
        <v>100</v>
      </c>
      <c r="E150" s="1" t="n">
        <v>5.95</v>
      </c>
      <c r="F150" s="1" t="n">
        <f aca="false">4/6</f>
        <v>0.666666666666667</v>
      </c>
    </row>
    <row collapsed="false" customFormat="false" customHeight="false" hidden="false" ht="14.75" outlineLevel="0" r="151">
      <c r="A151" s="1" t="s">
        <v>339</v>
      </c>
      <c r="B151" s="1" t="s">
        <v>1164</v>
      </c>
      <c r="C151" s="1" t="s">
        <v>1087</v>
      </c>
      <c r="D151" s="1" t="n">
        <v>299</v>
      </c>
      <c r="E151" s="1" t="n">
        <v>18.56</v>
      </c>
      <c r="F151" s="1" t="n">
        <f aca="false">22/5</f>
        <v>4.4</v>
      </c>
    </row>
    <row collapsed="false" customFormat="false" customHeight="false" hidden="false" ht="14.75" outlineLevel="0" r="152">
      <c r="A152" s="1" t="s">
        <v>564</v>
      </c>
      <c r="B152" s="1" t="s">
        <v>1164</v>
      </c>
      <c r="C152" s="1" t="s">
        <v>1087</v>
      </c>
      <c r="D152" s="1" t="n">
        <v>269</v>
      </c>
      <c r="E152" s="1" t="n">
        <v>15.19</v>
      </c>
      <c r="F152" s="1" t="n">
        <f aca="false">9/5</f>
        <v>1.8</v>
      </c>
    </row>
    <row collapsed="false" customFormat="false" customHeight="false" hidden="false" ht="14.75" outlineLevel="0" r="153">
      <c r="A153" s="1" t="s">
        <v>881</v>
      </c>
      <c r="B153" s="1" t="s">
        <v>1146</v>
      </c>
      <c r="C153" s="1" t="s">
        <v>1087</v>
      </c>
      <c r="D153" s="1" t="n">
        <v>130.7</v>
      </c>
      <c r="E153" s="1" t="n">
        <v>9.78</v>
      </c>
      <c r="F153" s="1" t="n">
        <f aca="false">9/7</f>
        <v>1.28571428571429</v>
      </c>
    </row>
    <row collapsed="false" customFormat="false" customHeight="false" hidden="false" ht="14.75" outlineLevel="0" r="154">
      <c r="A154" s="1" t="s">
        <v>1195</v>
      </c>
      <c r="B154" s="1" t="s">
        <v>1101</v>
      </c>
      <c r="C154" s="1" t="s">
        <v>1087</v>
      </c>
      <c r="D154" s="1" t="n">
        <v>175</v>
      </c>
      <c r="E154" s="1" t="n">
        <v>9.54</v>
      </c>
      <c r="F154" s="1" t="n">
        <v>0.375</v>
      </c>
    </row>
    <row collapsed="false" customFormat="false" customHeight="false" hidden="false" ht="14.75" outlineLevel="0" r="155">
      <c r="A155" s="1" t="s">
        <v>1196</v>
      </c>
      <c r="B155" s="1" t="s">
        <v>1101</v>
      </c>
      <c r="C155" s="1" t="s">
        <v>1087</v>
      </c>
      <c r="D155" s="1" t="n">
        <v>90.6</v>
      </c>
      <c r="E155" s="1" t="n">
        <v>5.71</v>
      </c>
      <c r="F155" s="1" t="n">
        <v>0.125</v>
      </c>
    </row>
    <row collapsed="false" customFormat="false" customHeight="false" hidden="false" ht="14.75" outlineLevel="0" r="156">
      <c r="A156" s="1" t="s">
        <v>1197</v>
      </c>
      <c r="B156" s="1" t="s">
        <v>1134</v>
      </c>
      <c r="C156" s="1" t="s">
        <v>1087</v>
      </c>
      <c r="D156" s="1" t="n">
        <v>180.5</v>
      </c>
      <c r="E156" s="1" t="n">
        <v>12.68</v>
      </c>
      <c r="F156" s="1" t="n">
        <v>1.2</v>
      </c>
    </row>
    <row collapsed="false" customFormat="false" customHeight="false" hidden="false" ht="14.75" outlineLevel="0" r="157">
      <c r="A157" s="1" t="s">
        <v>1198</v>
      </c>
      <c r="B157" s="1" t="s">
        <v>1134</v>
      </c>
      <c r="C157" s="1" t="s">
        <v>1087</v>
      </c>
      <c r="D157" s="1" t="n">
        <v>76</v>
      </c>
      <c r="E157" s="1" t="n">
        <v>7.67</v>
      </c>
      <c r="F157" s="1" t="n">
        <v>0.3</v>
      </c>
    </row>
    <row collapsed="false" customFormat="false" customHeight="false" hidden="false" ht="14.75" outlineLevel="0" r="158">
      <c r="A158" s="1" t="s">
        <v>1199</v>
      </c>
      <c r="B158" s="1" t="s">
        <v>1086</v>
      </c>
      <c r="C158" s="1" t="s">
        <v>1087</v>
      </c>
      <c r="D158" s="1" t="n">
        <v>208.6</v>
      </c>
      <c r="E158" s="1" t="n">
        <v>13.12</v>
      </c>
      <c r="F158" s="1" t="n">
        <f aca="false">8/7</f>
        <v>1.14285714285714</v>
      </c>
    </row>
    <row collapsed="false" customFormat="false" customHeight="false" hidden="false" ht="14.75" outlineLevel="0" r="159">
      <c r="A159" s="1" t="s">
        <v>1200</v>
      </c>
      <c r="B159" s="1" t="s">
        <v>1101</v>
      </c>
      <c r="C159" s="1" t="s">
        <v>1087</v>
      </c>
      <c r="D159" s="1" t="n">
        <v>250</v>
      </c>
      <c r="E159" s="1" t="n">
        <v>12.05</v>
      </c>
      <c r="F159" s="1" t="n">
        <v>1.375</v>
      </c>
    </row>
    <row collapsed="false" customFormat="false" customHeight="false" hidden="false" ht="14.75" outlineLevel="0" r="160">
      <c r="A160" s="1" t="s">
        <v>1201</v>
      </c>
      <c r="B160" s="1" t="s">
        <v>1101</v>
      </c>
      <c r="C160" s="1" t="s">
        <v>1087</v>
      </c>
      <c r="D160" s="1" t="n">
        <v>112.5</v>
      </c>
      <c r="E160" s="1" t="n">
        <v>7.14</v>
      </c>
      <c r="F160" s="1" t="n">
        <v>0.25</v>
      </c>
    </row>
    <row collapsed="false" customFormat="false" customHeight="false" hidden="false" ht="14.75" outlineLevel="0" r="161">
      <c r="A161" s="1" t="s">
        <v>1202</v>
      </c>
      <c r="B161" s="1" t="s">
        <v>1093</v>
      </c>
      <c r="C161" s="1" t="s">
        <v>1087</v>
      </c>
      <c r="D161" s="1" t="n">
        <v>196.4</v>
      </c>
      <c r="E161" s="1" t="n">
        <v>12.38</v>
      </c>
      <c r="F161" s="1" t="n">
        <f aca="false">4/7</f>
        <v>0.571428571428571</v>
      </c>
    </row>
    <row collapsed="false" customFormat="false" customHeight="false" hidden="false" ht="14.75" outlineLevel="0" r="162">
      <c r="A162" s="1" t="s">
        <v>1203</v>
      </c>
      <c r="B162" s="1" t="s">
        <v>1093</v>
      </c>
      <c r="C162" s="1" t="s">
        <v>1087</v>
      </c>
      <c r="D162" s="1" t="n">
        <v>197.9</v>
      </c>
      <c r="E162" s="1" t="n">
        <v>12.87</v>
      </c>
      <c r="F162" s="1" t="n">
        <f aca="false">6/7</f>
        <v>0.857142857142857</v>
      </c>
    </row>
    <row collapsed="false" customFormat="false" customHeight="false" hidden="false" ht="14.75" outlineLevel="0" r="163">
      <c r="A163" s="1" t="s">
        <v>885</v>
      </c>
      <c r="B163" s="1" t="s">
        <v>1086</v>
      </c>
      <c r="C163" s="1" t="s">
        <v>1087</v>
      </c>
      <c r="D163" s="1" t="n">
        <v>229.2</v>
      </c>
      <c r="E163" s="1" t="n">
        <v>12.7</v>
      </c>
      <c r="F163" s="1" t="n">
        <v>1</v>
      </c>
    </row>
    <row collapsed="false" customFormat="false" customHeight="false" hidden="false" ht="14.75" outlineLevel="0" r="164">
      <c r="A164" s="1" t="s">
        <v>211</v>
      </c>
      <c r="B164" s="1" t="s">
        <v>1097</v>
      </c>
      <c r="C164" s="1" t="s">
        <v>1087</v>
      </c>
      <c r="D164" s="1" t="n">
        <v>523.8</v>
      </c>
      <c r="E164" s="1" t="n">
        <v>24.36</v>
      </c>
      <c r="F164" s="1" t="n">
        <f aca="false">99/12</f>
        <v>8.25</v>
      </c>
    </row>
    <row collapsed="false" customFormat="false" customHeight="false" hidden="false" ht="14.75" outlineLevel="0" r="165">
      <c r="A165" s="1" t="s">
        <v>212</v>
      </c>
      <c r="B165" s="1" t="s">
        <v>1097</v>
      </c>
      <c r="C165" s="1" t="s">
        <v>1087</v>
      </c>
      <c r="D165" s="1" t="n">
        <v>282.3</v>
      </c>
      <c r="E165" s="1" t="n">
        <v>16.27</v>
      </c>
      <c r="F165" s="1" t="n">
        <f aca="false">29/11</f>
        <v>2.63636363636364</v>
      </c>
    </row>
    <row collapsed="false" customFormat="false" customHeight="false" hidden="false" ht="14.75" outlineLevel="0" r="166">
      <c r="A166" s="1" t="s">
        <v>213</v>
      </c>
      <c r="B166" s="1" t="s">
        <v>1097</v>
      </c>
      <c r="C166" s="1" t="s">
        <v>1087</v>
      </c>
      <c r="D166" s="1" t="n">
        <v>125.7</v>
      </c>
      <c r="E166" s="1" t="n">
        <v>9.35</v>
      </c>
      <c r="F166" s="1" t="n">
        <f aca="false">3/7</f>
        <v>0.428571428571429</v>
      </c>
    </row>
    <row collapsed="false" customFormat="false" customHeight="false" hidden="false" ht="14.75" outlineLevel="0" r="167">
      <c r="A167" s="1" t="s">
        <v>214</v>
      </c>
      <c r="B167" s="1" t="s">
        <v>1097</v>
      </c>
      <c r="C167" s="1" t="s">
        <v>1087</v>
      </c>
      <c r="D167" s="1" t="n">
        <v>126.4</v>
      </c>
      <c r="E167" s="1" t="n">
        <v>9.57</v>
      </c>
      <c r="F167" s="1" t="n">
        <f aca="false">4/7</f>
        <v>0.571428571428571</v>
      </c>
    </row>
    <row collapsed="false" customFormat="false" customHeight="false" hidden="false" ht="14.75" outlineLevel="0" r="168">
      <c r="A168" s="1" t="s">
        <v>1204</v>
      </c>
      <c r="B168" s="1" t="s">
        <v>1101</v>
      </c>
      <c r="C168" s="1" t="s">
        <v>1087</v>
      </c>
      <c r="D168" s="1" t="n">
        <v>150</v>
      </c>
      <c r="E168" s="1" t="n">
        <v>7.86</v>
      </c>
      <c r="F168" s="1" t="n">
        <v>0.75</v>
      </c>
    </row>
    <row collapsed="false" customFormat="false" customHeight="false" hidden="false" ht="14.75" outlineLevel="0" r="169">
      <c r="A169" s="1" t="s">
        <v>343</v>
      </c>
      <c r="B169" s="1" t="s">
        <v>1100</v>
      </c>
      <c r="C169" s="1" t="s">
        <v>1087</v>
      </c>
      <c r="D169" s="1" t="n">
        <v>596.7</v>
      </c>
      <c r="E169" s="1" t="n">
        <v>24.85</v>
      </c>
      <c r="F169" s="1" t="n">
        <f aca="false">86/9</f>
        <v>9.55555555555556</v>
      </c>
    </row>
    <row collapsed="false" customFormat="false" customHeight="false" hidden="false" ht="14.75" outlineLevel="0" r="170">
      <c r="A170" s="1" t="s">
        <v>344</v>
      </c>
      <c r="B170" s="1" t="s">
        <v>1100</v>
      </c>
      <c r="C170" s="1" t="s">
        <v>1087</v>
      </c>
      <c r="D170" s="1" t="n">
        <v>415.6</v>
      </c>
      <c r="E170" s="1" t="n">
        <v>20.71</v>
      </c>
      <c r="F170" s="1" t="n">
        <f aca="false">50/9</f>
        <v>5.55555555555556</v>
      </c>
    </row>
    <row collapsed="false" customFormat="false" customHeight="false" hidden="false" ht="14.75" outlineLevel="0" r="171">
      <c r="A171" s="1" t="s">
        <v>466</v>
      </c>
      <c r="B171" s="1" t="s">
        <v>1101</v>
      </c>
      <c r="C171" s="1" t="s">
        <v>1087</v>
      </c>
      <c r="D171" s="1" t="n">
        <v>257.5</v>
      </c>
      <c r="E171" s="1" t="n">
        <v>13.78</v>
      </c>
      <c r="F171" s="1" t="n">
        <v>1.25</v>
      </c>
    </row>
    <row collapsed="false" customFormat="false" customHeight="false" hidden="false" ht="14.75" outlineLevel="0" r="172">
      <c r="A172" s="1" t="s">
        <v>1031</v>
      </c>
      <c r="B172" s="1" t="s">
        <v>1086</v>
      </c>
      <c r="C172" s="1" t="s">
        <v>1087</v>
      </c>
      <c r="D172" s="1" t="n">
        <v>178.6</v>
      </c>
      <c r="E172" s="1" t="n">
        <v>13.82</v>
      </c>
      <c r="F172" s="1" t="n">
        <f aca="false">10/7</f>
        <v>1.42857142857143</v>
      </c>
    </row>
    <row collapsed="false" customFormat="false" customHeight="false" hidden="false" ht="14.75" outlineLevel="0" r="173">
      <c r="A173" s="1" t="s">
        <v>566</v>
      </c>
      <c r="B173" s="1" t="s">
        <v>1127</v>
      </c>
      <c r="C173" s="1" t="s">
        <v>1087</v>
      </c>
      <c r="D173" s="1" t="n">
        <v>307</v>
      </c>
      <c r="E173" s="1" t="n">
        <v>17.16</v>
      </c>
      <c r="F173" s="1" t="n">
        <v>4</v>
      </c>
    </row>
    <row collapsed="false" customFormat="false" customHeight="false" hidden="false" ht="14.75" outlineLevel="0" r="174">
      <c r="A174" s="1" t="s">
        <v>567</v>
      </c>
      <c r="B174" s="1" t="s">
        <v>1127</v>
      </c>
      <c r="C174" s="1" t="s">
        <v>1087</v>
      </c>
      <c r="D174" s="1" t="n">
        <v>247.8</v>
      </c>
      <c r="E174" s="1" t="n">
        <v>18.83</v>
      </c>
      <c r="F174" s="1" t="n">
        <f aca="false">16/9</f>
        <v>1.77777777777778</v>
      </c>
    </row>
    <row collapsed="false" customFormat="false" customHeight="false" hidden="false" ht="14.75" outlineLevel="0" r="175">
      <c r="A175" s="1" t="s">
        <v>345</v>
      </c>
      <c r="B175" s="1" t="s">
        <v>1097</v>
      </c>
      <c r="C175" s="1" t="s">
        <v>1087</v>
      </c>
      <c r="D175" s="1" t="n">
        <v>239.5</v>
      </c>
      <c r="E175" s="1" t="n">
        <v>13.8</v>
      </c>
      <c r="F175" s="1" t="n">
        <f aca="false">24/10</f>
        <v>2.4</v>
      </c>
    </row>
    <row collapsed="false" customFormat="false" customHeight="false" hidden="false" ht="14.75" outlineLevel="0" r="176">
      <c r="A176" s="1" t="s">
        <v>1205</v>
      </c>
      <c r="B176" s="1" t="s">
        <v>1119</v>
      </c>
      <c r="C176" s="1" t="s">
        <v>1087</v>
      </c>
      <c r="D176" s="1" t="n">
        <v>134</v>
      </c>
      <c r="E176" s="1" t="n">
        <v>8.24</v>
      </c>
      <c r="F176" s="1" t="n">
        <v>0.8</v>
      </c>
    </row>
    <row collapsed="false" customFormat="false" customHeight="false" hidden="false" ht="14.75" outlineLevel="0" r="177">
      <c r="A177" s="1" t="s">
        <v>1206</v>
      </c>
      <c r="B177" s="1" t="s">
        <v>1119</v>
      </c>
      <c r="C177" s="1" t="s">
        <v>1087</v>
      </c>
      <c r="D177" s="1" t="n">
        <v>98</v>
      </c>
      <c r="E177" s="1" t="n">
        <v>5.71</v>
      </c>
      <c r="F177" s="1" t="n">
        <v>0.4</v>
      </c>
    </row>
    <row collapsed="false" customFormat="false" customHeight="false" hidden="false" ht="14.75" outlineLevel="0" r="178">
      <c r="A178" s="1" t="s">
        <v>1207</v>
      </c>
      <c r="B178" s="1" t="s">
        <v>1101</v>
      </c>
      <c r="C178" s="1" t="s">
        <v>1087</v>
      </c>
      <c r="D178" s="1" t="n">
        <v>165.6</v>
      </c>
      <c r="E178" s="1" t="n">
        <v>8.07</v>
      </c>
      <c r="F178" s="1" t="n">
        <v>1.125</v>
      </c>
    </row>
    <row collapsed="false" customFormat="false" customHeight="false" hidden="false" ht="14.75" outlineLevel="0" r="179">
      <c r="A179" s="1" t="s">
        <v>1208</v>
      </c>
      <c r="B179" s="1" t="s">
        <v>1086</v>
      </c>
      <c r="C179" s="1" t="s">
        <v>1087</v>
      </c>
      <c r="D179" s="1" t="n">
        <v>314</v>
      </c>
      <c r="E179" s="1" t="n">
        <v>17.77</v>
      </c>
      <c r="F179" s="1" t="n">
        <v>2</v>
      </c>
    </row>
    <row collapsed="false" customFormat="false" customHeight="false" hidden="false" ht="14.75" outlineLevel="0" r="180">
      <c r="A180" s="1" t="s">
        <v>1209</v>
      </c>
      <c r="B180" s="1" t="s">
        <v>1086</v>
      </c>
      <c r="C180" s="1" t="s">
        <v>1087</v>
      </c>
      <c r="D180" s="1" t="n">
        <v>195.8</v>
      </c>
      <c r="E180" s="1" t="n">
        <v>11.55</v>
      </c>
      <c r="F180" s="1" t="n">
        <f aca="false">5/6</f>
        <v>0.833333333333333</v>
      </c>
    </row>
    <row collapsed="false" customFormat="false" customHeight="false" hidden="false" ht="14.75" outlineLevel="0" r="181">
      <c r="A181" s="1" t="s">
        <v>1210</v>
      </c>
      <c r="B181" s="1" t="s">
        <v>1101</v>
      </c>
      <c r="C181" s="1" t="s">
        <v>1087</v>
      </c>
      <c r="D181" s="1" t="n">
        <v>279.4</v>
      </c>
      <c r="E181" s="1" t="n">
        <v>14.67</v>
      </c>
      <c r="F181" s="1" t="n">
        <v>1.5</v>
      </c>
    </row>
    <row collapsed="false" customFormat="false" customHeight="false" hidden="false" ht="14.75" outlineLevel="0" r="182">
      <c r="A182" s="1" t="s">
        <v>895</v>
      </c>
      <c r="B182" s="1" t="s">
        <v>1119</v>
      </c>
      <c r="C182" s="1" t="s">
        <v>1087</v>
      </c>
      <c r="D182" s="1" t="n">
        <v>67.5</v>
      </c>
      <c r="E182" s="1" t="n">
        <v>5.8</v>
      </c>
      <c r="F182" s="1" t="n">
        <v>0.1</v>
      </c>
    </row>
    <row collapsed="false" customFormat="false" customHeight="false" hidden="false" ht="14.75" outlineLevel="0" r="183">
      <c r="A183" s="1" t="s">
        <v>896</v>
      </c>
      <c r="B183" s="1" t="s">
        <v>1119</v>
      </c>
      <c r="C183" s="1" t="s">
        <v>1087</v>
      </c>
      <c r="D183" s="1" t="n">
        <v>49.5</v>
      </c>
      <c r="E183" s="1" t="n">
        <v>3.16</v>
      </c>
      <c r="F183" s="1" t="n">
        <v>0.1</v>
      </c>
    </row>
    <row collapsed="false" customFormat="false" customHeight="false" hidden="false" ht="14.75" outlineLevel="0" r="184">
      <c r="A184" s="1" t="s">
        <v>1211</v>
      </c>
      <c r="B184" s="1" t="s">
        <v>1119</v>
      </c>
      <c r="C184" s="1" t="s">
        <v>1087</v>
      </c>
      <c r="D184" s="1" t="n">
        <v>46.5</v>
      </c>
      <c r="E184" s="1" t="n">
        <v>2.7</v>
      </c>
      <c r="F184" s="1" t="n">
        <v>0</v>
      </c>
    </row>
    <row collapsed="false" customFormat="false" customHeight="false" hidden="false" ht="14.75" outlineLevel="0" r="185">
      <c r="A185" s="1" t="s">
        <v>897</v>
      </c>
      <c r="B185" s="1" t="s">
        <v>1164</v>
      </c>
      <c r="C185" s="1" t="s">
        <v>1087</v>
      </c>
      <c r="D185" s="1" t="n">
        <v>117</v>
      </c>
      <c r="E185" s="1" t="n">
        <v>10.32</v>
      </c>
      <c r="F185" s="1" t="n">
        <v>0.2</v>
      </c>
    </row>
    <row collapsed="false" customFormat="false" customHeight="false" hidden="false" ht="14.75" outlineLevel="0" r="186">
      <c r="A186" s="1" t="s">
        <v>898</v>
      </c>
      <c r="B186" s="1" t="s">
        <v>1164</v>
      </c>
      <c r="C186" s="1" t="s">
        <v>1087</v>
      </c>
      <c r="D186" s="1" t="n">
        <v>118</v>
      </c>
      <c r="E186" s="1" t="n">
        <v>8.24</v>
      </c>
      <c r="F186" s="1" t="n">
        <v>0</v>
      </c>
    </row>
    <row collapsed="false" customFormat="false" customHeight="false" hidden="false" ht="14.75" outlineLevel="0" r="187">
      <c r="A187" s="1" t="s">
        <v>1212</v>
      </c>
      <c r="B187" s="1" t="s">
        <v>1093</v>
      </c>
      <c r="C187" s="1" t="s">
        <v>1087</v>
      </c>
      <c r="D187" s="1" t="n">
        <v>256.5</v>
      </c>
      <c r="E187" s="1" t="n">
        <v>14.67</v>
      </c>
      <c r="F187" s="1" t="n">
        <v>2</v>
      </c>
    </row>
    <row collapsed="false" customFormat="false" customHeight="false" hidden="false" ht="14.75" outlineLevel="0" r="188">
      <c r="A188" s="1" t="s">
        <v>1213</v>
      </c>
      <c r="B188" s="1" t="s">
        <v>1093</v>
      </c>
      <c r="C188" s="1" t="s">
        <v>1087</v>
      </c>
      <c r="D188" s="1" t="n">
        <v>152.5</v>
      </c>
      <c r="E188" s="1" t="n">
        <v>9.58</v>
      </c>
      <c r="F188" s="1" t="n">
        <v>0.5</v>
      </c>
    </row>
    <row collapsed="false" customFormat="false" customHeight="false" hidden="false" ht="14.75" outlineLevel="0" r="189">
      <c r="A189" s="1" t="s">
        <v>1035</v>
      </c>
      <c r="B189" s="1" t="s">
        <v>1146</v>
      </c>
      <c r="C189" s="1" t="s">
        <v>1087</v>
      </c>
      <c r="D189" s="1" t="n">
        <v>110.8</v>
      </c>
      <c r="E189" s="1" t="n">
        <v>7.25</v>
      </c>
      <c r="F189" s="1" t="n">
        <f aca="false">3/7</f>
        <v>0.428571428571429</v>
      </c>
    </row>
    <row collapsed="false" customFormat="false" customHeight="false" hidden="false" ht="14.75" outlineLevel="0" r="190">
      <c r="A190" s="1" t="s">
        <v>1214</v>
      </c>
      <c r="B190" s="1" t="s">
        <v>1127</v>
      </c>
      <c r="C190" s="1" t="s">
        <v>1087</v>
      </c>
      <c r="D190" s="1" t="n">
        <v>170</v>
      </c>
      <c r="E190" s="1" t="n">
        <v>14.31</v>
      </c>
      <c r="F190" s="1" t="n">
        <f aca="false">12/8</f>
        <v>1.5</v>
      </c>
    </row>
    <row collapsed="false" customFormat="false" customHeight="false" hidden="false" ht="14.75" outlineLevel="0" r="191">
      <c r="A191" s="1" t="s">
        <v>1215</v>
      </c>
      <c r="B191" s="1" t="s">
        <v>1127</v>
      </c>
      <c r="C191" s="1" t="s">
        <v>1087</v>
      </c>
      <c r="D191" s="1" t="n">
        <v>366.5</v>
      </c>
      <c r="E191" s="1" t="n">
        <v>21.49</v>
      </c>
      <c r="F191" s="1" t="n">
        <v>2.9</v>
      </c>
    </row>
    <row collapsed="false" customFormat="false" customHeight="false" hidden="false" ht="14.75" outlineLevel="0" r="192">
      <c r="A192" s="1" t="s">
        <v>1216</v>
      </c>
      <c r="B192" s="1" t="s">
        <v>1127</v>
      </c>
      <c r="C192" s="1" t="s">
        <v>1087</v>
      </c>
      <c r="D192" s="1" t="n">
        <v>132.5</v>
      </c>
      <c r="E192" s="1" t="n">
        <v>10.47</v>
      </c>
      <c r="F192" s="1" t="n">
        <f aca="false">3/8</f>
        <v>0.375</v>
      </c>
    </row>
    <row collapsed="false" customFormat="false" customHeight="false" hidden="false" ht="14.75" outlineLevel="0" r="193">
      <c r="A193" s="1" t="s">
        <v>348</v>
      </c>
      <c r="B193" s="1" t="s">
        <v>1164</v>
      </c>
      <c r="C193" s="1" t="s">
        <v>1087</v>
      </c>
      <c r="D193" s="1" t="n">
        <v>590</v>
      </c>
      <c r="E193" s="1" t="n">
        <v>23.06</v>
      </c>
      <c r="F193" s="1" t="n">
        <f aca="false">36/5</f>
        <v>7.2</v>
      </c>
    </row>
    <row collapsed="false" customFormat="false" customHeight="false" hidden="false" ht="14.75" outlineLevel="0" r="194">
      <c r="A194" s="1" t="s">
        <v>349</v>
      </c>
      <c r="B194" s="1" t="s">
        <v>1164</v>
      </c>
      <c r="C194" s="1" t="s">
        <v>1087</v>
      </c>
      <c r="D194" s="1" t="n">
        <v>253</v>
      </c>
      <c r="E194" s="1" t="n">
        <v>14.52</v>
      </c>
      <c r="F194" s="1" t="n">
        <f aca="false">8/5</f>
        <v>1.6</v>
      </c>
    </row>
    <row collapsed="false" customFormat="false" customHeight="false" hidden="false" ht="14.75" outlineLevel="0" r="195">
      <c r="A195" s="1" t="s">
        <v>350</v>
      </c>
      <c r="B195" s="1" t="s">
        <v>1164</v>
      </c>
      <c r="C195" s="1" t="s">
        <v>1087</v>
      </c>
      <c r="D195" s="1" t="n">
        <v>159</v>
      </c>
      <c r="E195" s="1" t="n">
        <v>8.6</v>
      </c>
      <c r="F195" s="1" t="n">
        <f aca="false">8/5</f>
        <v>1.6</v>
      </c>
    </row>
    <row collapsed="false" customFormat="false" customHeight="false" hidden="false" ht="14.75" outlineLevel="0" r="196">
      <c r="A196" s="1" t="s">
        <v>1217</v>
      </c>
      <c r="B196" s="1" t="s">
        <v>1101</v>
      </c>
      <c r="C196" s="1" t="s">
        <v>1087</v>
      </c>
      <c r="D196" s="1" t="n">
        <v>367.5</v>
      </c>
      <c r="E196" s="1" t="n">
        <v>17.18</v>
      </c>
      <c r="F196" s="1" t="n">
        <f aca="false">27/8</f>
        <v>3.375</v>
      </c>
    </row>
    <row collapsed="false" customFormat="false" customHeight="false" hidden="false" ht="14.75" outlineLevel="0" r="197">
      <c r="A197" s="1" t="s">
        <v>1218</v>
      </c>
      <c r="B197" s="1" t="s">
        <v>1101</v>
      </c>
      <c r="C197" s="1" t="s">
        <v>1087</v>
      </c>
      <c r="D197" s="1" t="n">
        <v>175.6</v>
      </c>
      <c r="E197" s="1" t="n">
        <v>10.61</v>
      </c>
      <c r="F197" s="1" t="n">
        <v>0.25</v>
      </c>
    </row>
    <row collapsed="false" customFormat="false" customHeight="false" hidden="false" ht="14.75" outlineLevel="0" r="198">
      <c r="A198" s="1" t="s">
        <v>1219</v>
      </c>
      <c r="B198" s="1" t="s">
        <v>1086</v>
      </c>
      <c r="C198" s="1" t="s">
        <v>1087</v>
      </c>
      <c r="D198" s="1" t="n">
        <v>206.9</v>
      </c>
      <c r="E198" s="1" t="n">
        <v>14.37</v>
      </c>
      <c r="F198" s="1" t="n">
        <f aca="false">12/8</f>
        <v>1.5</v>
      </c>
    </row>
    <row collapsed="false" customFormat="false" customHeight="false" hidden="false" ht="14.75" outlineLevel="0" r="199">
      <c r="A199" s="1" t="s">
        <v>1220</v>
      </c>
      <c r="B199" s="1" t="s">
        <v>1086</v>
      </c>
      <c r="C199" s="1" t="s">
        <v>1087</v>
      </c>
      <c r="D199" s="1" t="n">
        <v>134.3</v>
      </c>
      <c r="E199" s="1" t="n">
        <v>10</v>
      </c>
      <c r="F199" s="1" t="n">
        <f aca="false">4/7</f>
        <v>0.571428571428571</v>
      </c>
    </row>
    <row collapsed="false" customFormat="false" customHeight="false" hidden="false" ht="14.75" outlineLevel="0" r="200">
      <c r="A200" s="1" t="s">
        <v>574</v>
      </c>
      <c r="B200" s="1" t="s">
        <v>1101</v>
      </c>
      <c r="C200" s="1" t="s">
        <v>1087</v>
      </c>
      <c r="D200" s="1" t="n">
        <v>362.5</v>
      </c>
      <c r="E200" s="1" t="n">
        <v>16.92</v>
      </c>
      <c r="F200" s="1" t="n">
        <v>2.5</v>
      </c>
    </row>
    <row collapsed="false" customFormat="false" customHeight="false" hidden="false" ht="14.75" outlineLevel="0" r="201">
      <c r="A201" s="1" t="s">
        <v>575</v>
      </c>
      <c r="B201" s="1" t="s">
        <v>1101</v>
      </c>
      <c r="C201" s="1" t="s">
        <v>1087</v>
      </c>
      <c r="D201" s="1" t="n">
        <v>234.4</v>
      </c>
      <c r="E201" s="1" t="n">
        <v>4.8</v>
      </c>
      <c r="F201" s="1" t="n">
        <v>1.875</v>
      </c>
    </row>
    <row collapsed="false" customFormat="false" customHeight="false" hidden="false" ht="14.75" outlineLevel="0" r="202">
      <c r="A202" s="1" t="s">
        <v>1221</v>
      </c>
      <c r="B202" s="1" t="s">
        <v>1101</v>
      </c>
      <c r="C202" s="1" t="s">
        <v>1087</v>
      </c>
      <c r="D202" s="1" t="n">
        <v>145.6</v>
      </c>
      <c r="E202" s="1" t="n">
        <v>7.92</v>
      </c>
      <c r="F202" s="1" t="n">
        <v>0.375</v>
      </c>
    </row>
    <row collapsed="false" customFormat="false" customHeight="false" hidden="false" ht="14.75" outlineLevel="0" r="203">
      <c r="A203" s="1" t="s">
        <v>352</v>
      </c>
      <c r="B203" s="1" t="s">
        <v>1100</v>
      </c>
      <c r="C203" s="1" t="s">
        <v>1087</v>
      </c>
      <c r="D203" s="1" t="n">
        <v>265.6</v>
      </c>
      <c r="E203" s="1" t="n">
        <v>14.62</v>
      </c>
      <c r="F203" s="1" t="n">
        <f aca="false">25/9</f>
        <v>2.77777777777778</v>
      </c>
    </row>
    <row collapsed="false" customFormat="false" customHeight="false" hidden="false" ht="14.75" outlineLevel="0" r="204">
      <c r="A204" s="1" t="s">
        <v>1222</v>
      </c>
      <c r="B204" s="1" t="s">
        <v>1121</v>
      </c>
      <c r="C204" s="1" t="s">
        <v>1087</v>
      </c>
      <c r="D204" s="1" t="n">
        <v>63.3</v>
      </c>
      <c r="E204" s="1" t="n">
        <v>4.71</v>
      </c>
      <c r="F204" s="1" t="s">
        <v>9</v>
      </c>
    </row>
    <row collapsed="false" customFormat="false" customHeight="false" hidden="false" ht="14.75" outlineLevel="0" r="205">
      <c r="A205" s="1" t="s">
        <v>1223</v>
      </c>
      <c r="B205" s="1" t="s">
        <v>1148</v>
      </c>
      <c r="C205" s="1" t="s">
        <v>1087</v>
      </c>
      <c r="D205" s="1" t="n">
        <v>302</v>
      </c>
      <c r="E205" s="1" t="n">
        <v>16.59</v>
      </c>
      <c r="F205" s="1" t="n">
        <v>2.5</v>
      </c>
    </row>
    <row collapsed="false" customFormat="false" customHeight="false" hidden="false" ht="14.75" outlineLevel="0" r="206">
      <c r="A206" s="1" t="s">
        <v>1224</v>
      </c>
      <c r="B206" s="1" t="s">
        <v>1148</v>
      </c>
      <c r="C206" s="1" t="s">
        <v>1087</v>
      </c>
      <c r="D206" s="1" t="n">
        <v>279.5</v>
      </c>
      <c r="E206" s="1" t="n">
        <v>16.42</v>
      </c>
      <c r="F206" s="1" t="n">
        <v>2.4</v>
      </c>
    </row>
    <row collapsed="false" customFormat="false" customHeight="false" hidden="false" ht="14.75" outlineLevel="0" r="207">
      <c r="A207" s="1" t="s">
        <v>1225</v>
      </c>
      <c r="B207" s="1" t="s">
        <v>1148</v>
      </c>
      <c r="C207" s="1" t="s">
        <v>1087</v>
      </c>
      <c r="D207" s="1" t="n">
        <v>103.6</v>
      </c>
      <c r="E207" s="1" t="n">
        <v>12.81</v>
      </c>
      <c r="F207" s="1" t="n">
        <f aca="false">6/7</f>
        <v>0.857142857142857</v>
      </c>
    </row>
    <row collapsed="false" customFormat="false" customHeight="false" hidden="false" ht="14.75" outlineLevel="0" r="208">
      <c r="A208" s="1" t="s">
        <v>1226</v>
      </c>
      <c r="B208" s="1" t="s">
        <v>1148</v>
      </c>
      <c r="C208" s="1" t="s">
        <v>1087</v>
      </c>
      <c r="D208" s="1" t="n">
        <v>94.3</v>
      </c>
      <c r="E208" s="1" t="n">
        <v>7.78</v>
      </c>
      <c r="F208" s="1" t="n">
        <v>1</v>
      </c>
    </row>
    <row collapsed="false" customFormat="false" customHeight="false" hidden="false" ht="14.75" outlineLevel="0" r="209">
      <c r="A209" s="1" t="s">
        <v>354</v>
      </c>
      <c r="B209" s="1" t="s">
        <v>1101</v>
      </c>
      <c r="C209" s="1" t="s">
        <v>1087</v>
      </c>
      <c r="D209" s="1" t="n">
        <v>226.2</v>
      </c>
      <c r="E209" s="1" t="n">
        <v>12.54</v>
      </c>
      <c r="F209" s="1" t="n">
        <v>1</v>
      </c>
    </row>
    <row collapsed="false" customFormat="false" customHeight="false" hidden="false" ht="14.75" outlineLevel="0" r="210">
      <c r="A210" s="1" t="s">
        <v>1227</v>
      </c>
      <c r="B210" s="1" t="s">
        <v>1127</v>
      </c>
      <c r="C210" s="1" t="s">
        <v>1087</v>
      </c>
      <c r="D210" s="1" t="n">
        <v>83.1</v>
      </c>
      <c r="E210" s="1" t="n">
        <v>8.42</v>
      </c>
      <c r="F210" s="1" t="n">
        <f aca="false">4/8</f>
        <v>0.5</v>
      </c>
    </row>
    <row collapsed="false" customFormat="false" customHeight="false" hidden="false" ht="14.75" outlineLevel="0" r="211">
      <c r="A211" s="1" t="s">
        <v>1228</v>
      </c>
      <c r="B211" s="1" t="s">
        <v>1097</v>
      </c>
      <c r="C211" s="1" t="s">
        <v>1087</v>
      </c>
      <c r="D211" s="1" t="n">
        <v>37</v>
      </c>
      <c r="E211" s="1" t="n">
        <v>3.33</v>
      </c>
      <c r="F211" s="1" t="n">
        <v>0</v>
      </c>
    </row>
    <row collapsed="false" customFormat="false" customHeight="false" hidden="false" ht="14.75" outlineLevel="0" r="212">
      <c r="A212" s="1" t="s">
        <v>1229</v>
      </c>
      <c r="B212" s="1" t="s">
        <v>1102</v>
      </c>
      <c r="C212" s="1" t="s">
        <v>1087</v>
      </c>
      <c r="D212" s="1" t="n">
        <v>130.5</v>
      </c>
      <c r="E212" s="1" t="n">
        <v>11.08</v>
      </c>
      <c r="F212" s="1" t="n">
        <v>1.3</v>
      </c>
    </row>
    <row collapsed="false" customFormat="false" customHeight="false" hidden="false" ht="14.75" outlineLevel="0" r="213">
      <c r="A213" s="1" t="s">
        <v>1230</v>
      </c>
      <c r="B213" s="1" t="s">
        <v>1102</v>
      </c>
      <c r="C213" s="1" t="s">
        <v>1087</v>
      </c>
      <c r="D213" s="1" t="n">
        <v>87</v>
      </c>
      <c r="E213" s="1" t="n">
        <v>7.8</v>
      </c>
      <c r="F213" s="1" t="n">
        <v>0.7</v>
      </c>
    </row>
    <row collapsed="false" customFormat="false" customHeight="false" hidden="false" ht="14.75" outlineLevel="0" r="214">
      <c r="A214" s="1" t="s">
        <v>19</v>
      </c>
      <c r="B214" s="1" t="s">
        <v>1100</v>
      </c>
      <c r="C214" s="1" t="s">
        <v>1087</v>
      </c>
      <c r="D214" s="1" t="n">
        <v>352</v>
      </c>
      <c r="E214" s="1" t="n">
        <v>20.11</v>
      </c>
      <c r="F214" s="1" t="n">
        <v>5.2</v>
      </c>
    </row>
    <row collapsed="false" customFormat="false" customHeight="false" hidden="false" ht="14.75" outlineLevel="0" r="215">
      <c r="A215" s="1" t="s">
        <v>20</v>
      </c>
      <c r="B215" s="1" t="s">
        <v>1100</v>
      </c>
      <c r="C215" s="1" t="s">
        <v>1087</v>
      </c>
      <c r="D215" s="1" t="n">
        <v>253.9</v>
      </c>
      <c r="E215" s="1" t="n">
        <v>15.2</v>
      </c>
      <c r="F215" s="1" t="n">
        <v>2</v>
      </c>
    </row>
    <row collapsed="false" customFormat="false" customHeight="false" hidden="false" ht="14.75" outlineLevel="0" r="216">
      <c r="A216" s="1" t="s">
        <v>149</v>
      </c>
      <c r="B216" s="1" t="s">
        <v>1101</v>
      </c>
      <c r="C216" s="1" t="s">
        <v>1087</v>
      </c>
      <c r="D216" s="1" t="n">
        <v>328.8</v>
      </c>
      <c r="E216" s="1" t="n">
        <v>16.17</v>
      </c>
      <c r="F216" s="1" t="n">
        <v>3.5</v>
      </c>
    </row>
    <row collapsed="false" customFormat="false" customHeight="false" hidden="false" ht="14.75" outlineLevel="0" r="217">
      <c r="A217" s="1" t="s">
        <v>694</v>
      </c>
      <c r="B217" s="1" t="s">
        <v>1187</v>
      </c>
      <c r="C217" s="1" t="s">
        <v>1087</v>
      </c>
      <c r="D217" s="1" t="n">
        <v>494.5</v>
      </c>
      <c r="E217" s="1" t="n">
        <v>21.18</v>
      </c>
      <c r="F217" s="1" t="n">
        <v>3.7</v>
      </c>
    </row>
    <row collapsed="false" customFormat="false" customHeight="false" hidden="false" ht="14.75" outlineLevel="0" r="218">
      <c r="A218" s="1" t="s">
        <v>695</v>
      </c>
      <c r="B218" s="1" t="s">
        <v>1187</v>
      </c>
      <c r="C218" s="1" t="s">
        <v>1087</v>
      </c>
      <c r="D218" s="1" t="n">
        <v>107.9</v>
      </c>
      <c r="E218" s="1" t="n">
        <v>8.87</v>
      </c>
      <c r="F218" s="1" t="n">
        <f aca="false">4/7</f>
        <v>0.571428571428571</v>
      </c>
    </row>
    <row collapsed="false" customFormat="false" customHeight="false" hidden="false" ht="14.75" outlineLevel="0" r="219">
      <c r="A219" s="1" t="s">
        <v>1231</v>
      </c>
      <c r="B219" s="1" t="s">
        <v>1110</v>
      </c>
      <c r="C219" s="1" t="s">
        <v>1087</v>
      </c>
      <c r="D219" s="1" t="n">
        <v>268.8</v>
      </c>
      <c r="E219" s="1" t="n">
        <v>13.21</v>
      </c>
      <c r="F219" s="1" t="n">
        <f aca="false">6/8</f>
        <v>0.75</v>
      </c>
    </row>
    <row collapsed="false" customFormat="false" customHeight="false" hidden="false" ht="14.75" outlineLevel="0" r="220">
      <c r="A220" s="1" t="s">
        <v>1232</v>
      </c>
      <c r="B220" s="1" t="s">
        <v>1110</v>
      </c>
      <c r="C220" s="1" t="s">
        <v>1087</v>
      </c>
      <c r="D220" s="1" t="n">
        <v>158.8</v>
      </c>
      <c r="E220" s="1" t="n">
        <v>8.07</v>
      </c>
      <c r="F220" s="1" t="n">
        <f aca="false">2/8</f>
        <v>0.25</v>
      </c>
    </row>
    <row collapsed="false" customFormat="false" customHeight="false" hidden="false" ht="14.75" outlineLevel="0" r="221">
      <c r="A221" s="1" t="s">
        <v>358</v>
      </c>
      <c r="B221" s="1" t="s">
        <v>1100</v>
      </c>
      <c r="C221" s="1" t="s">
        <v>1087</v>
      </c>
      <c r="D221" s="1" t="n">
        <v>276.7</v>
      </c>
      <c r="E221" s="1" t="n">
        <v>16.67</v>
      </c>
      <c r="F221" s="1" t="n">
        <f aca="false">28/9</f>
        <v>3.11111111111111</v>
      </c>
    </row>
    <row collapsed="false" customFormat="false" customHeight="false" hidden="false" ht="14.75" outlineLevel="0" r="222">
      <c r="A222" s="1" t="s">
        <v>359</v>
      </c>
      <c r="B222" s="1" t="s">
        <v>1101</v>
      </c>
      <c r="C222" s="1" t="s">
        <v>1087</v>
      </c>
      <c r="D222" s="1" t="n">
        <v>153.8</v>
      </c>
      <c r="E222" s="1" t="n">
        <v>10</v>
      </c>
      <c r="F222" s="1" t="n">
        <v>0.5</v>
      </c>
    </row>
    <row collapsed="false" customFormat="false" customHeight="false" hidden="false" ht="14.75" outlineLevel="0" r="223">
      <c r="A223" s="1" t="s">
        <v>1233</v>
      </c>
      <c r="B223" s="1" t="s">
        <v>1106</v>
      </c>
      <c r="C223" s="1" t="s">
        <v>1087</v>
      </c>
      <c r="D223" s="1" t="n">
        <v>265</v>
      </c>
      <c r="E223" s="1" t="n">
        <v>12.86</v>
      </c>
      <c r="F223" s="1" t="n">
        <f aca="false">11/9</f>
        <v>1.22222222222222</v>
      </c>
    </row>
    <row collapsed="false" customFormat="false" customHeight="false" hidden="false" ht="14.75" outlineLevel="0" r="224">
      <c r="A224" s="1" t="s">
        <v>1234</v>
      </c>
      <c r="B224" s="1" t="s">
        <v>1101</v>
      </c>
      <c r="C224" s="1" t="s">
        <v>1087</v>
      </c>
      <c r="D224" s="1" t="n">
        <v>175</v>
      </c>
      <c r="E224" s="1" t="n">
        <v>9.31</v>
      </c>
      <c r="F224" s="1" t="n">
        <v>1.125</v>
      </c>
    </row>
    <row collapsed="false" customFormat="false" customHeight="false" hidden="false" ht="14.75" outlineLevel="0" r="225">
      <c r="A225" s="1" t="s">
        <v>1235</v>
      </c>
      <c r="B225" s="1" t="s">
        <v>1089</v>
      </c>
      <c r="C225" s="1" t="s">
        <v>1087</v>
      </c>
      <c r="D225" s="1" t="n">
        <v>161.2</v>
      </c>
      <c r="E225" s="1" t="n">
        <v>10.4</v>
      </c>
      <c r="F225" s="1" t="n">
        <f aca="false">11/9</f>
        <v>1.22222222222222</v>
      </c>
    </row>
    <row collapsed="false" customFormat="false" customHeight="false" hidden="false" ht="14.75" outlineLevel="0" r="226">
      <c r="A226" s="1" t="s">
        <v>1236</v>
      </c>
      <c r="B226" s="1" t="s">
        <v>1089</v>
      </c>
      <c r="C226" s="1" t="s">
        <v>1087</v>
      </c>
      <c r="D226" s="1" t="n">
        <v>82.5</v>
      </c>
      <c r="E226" s="1" t="n">
        <v>6.34</v>
      </c>
      <c r="F226" s="1" t="n">
        <f aca="false">2/8</f>
        <v>0.25</v>
      </c>
    </row>
    <row collapsed="false" customFormat="false" customHeight="false" hidden="false" ht="14.75" outlineLevel="0" r="227">
      <c r="A227" s="1" t="s">
        <v>1237</v>
      </c>
      <c r="B227" s="1" t="s">
        <v>1093</v>
      </c>
      <c r="C227" s="1" t="s">
        <v>1087</v>
      </c>
      <c r="D227" s="1" t="n">
        <v>130.7</v>
      </c>
      <c r="E227" s="1" t="n">
        <v>9.68</v>
      </c>
      <c r="F227" s="1" t="n">
        <f aca="false">5/7</f>
        <v>0.714285714285714</v>
      </c>
    </row>
    <row collapsed="false" customFormat="false" customHeight="false" hidden="false" ht="14.75" outlineLevel="0" r="228">
      <c r="A228" s="1" t="s">
        <v>362</v>
      </c>
      <c r="B228" s="1" t="s">
        <v>1101</v>
      </c>
      <c r="C228" s="1" t="s">
        <v>1087</v>
      </c>
      <c r="D228" s="1" t="n">
        <v>134.4</v>
      </c>
      <c r="E228" s="1" t="n">
        <v>7.83</v>
      </c>
      <c r="F228" s="1" t="n">
        <v>0.5</v>
      </c>
    </row>
    <row collapsed="false" customFormat="false" customHeight="false" hidden="false" ht="14.75" outlineLevel="0" r="229">
      <c r="A229" s="1" t="s">
        <v>1238</v>
      </c>
      <c r="B229" s="1" t="s">
        <v>1112</v>
      </c>
      <c r="C229" s="1" t="s">
        <v>1087</v>
      </c>
      <c r="D229" s="1" t="n">
        <v>77.6</v>
      </c>
      <c r="E229" s="1" t="n">
        <v>7</v>
      </c>
      <c r="F229" s="1" t="s">
        <v>9</v>
      </c>
    </row>
    <row collapsed="false" customFormat="false" customHeight="false" hidden="false" ht="14.75" outlineLevel="0" r="230">
      <c r="A230" s="1" t="s">
        <v>1239</v>
      </c>
      <c r="B230" s="1" t="s">
        <v>1148</v>
      </c>
      <c r="C230" s="1" t="s">
        <v>1087</v>
      </c>
      <c r="D230" s="1" t="n">
        <v>162.8</v>
      </c>
      <c r="E230" s="1" t="n">
        <v>13.23</v>
      </c>
      <c r="F230" s="1" t="n">
        <f aca="false">12/9</f>
        <v>1.33333333333333</v>
      </c>
    </row>
    <row collapsed="false" customFormat="false" customHeight="false" hidden="false" ht="14.75" outlineLevel="0" r="231">
      <c r="A231" s="1" t="s">
        <v>1240</v>
      </c>
      <c r="B231" s="1" t="s">
        <v>1100</v>
      </c>
      <c r="C231" s="1" t="s">
        <v>1087</v>
      </c>
      <c r="D231" s="1" t="n">
        <v>188.9</v>
      </c>
      <c r="E231" s="1" t="n">
        <v>13.65</v>
      </c>
      <c r="F231" s="1" t="n">
        <f aca="false">13/9</f>
        <v>1.44444444444444</v>
      </c>
    </row>
    <row collapsed="false" customFormat="false" customHeight="false" hidden="false" ht="14.75" outlineLevel="0" r="232">
      <c r="A232" s="1" t="s">
        <v>1241</v>
      </c>
      <c r="B232" s="1" t="s">
        <v>1101</v>
      </c>
      <c r="C232" s="1" t="s">
        <v>1087</v>
      </c>
      <c r="D232" s="1" t="n">
        <v>80</v>
      </c>
      <c r="E232" s="1" t="n">
        <v>4.84</v>
      </c>
      <c r="F232" s="1" t="n">
        <v>0.625</v>
      </c>
    </row>
    <row collapsed="false" customFormat="false" customHeight="false" hidden="false" ht="14.75" outlineLevel="0" r="233">
      <c r="A233" s="1" t="s">
        <v>1242</v>
      </c>
      <c r="B233" s="1" t="s">
        <v>1093</v>
      </c>
      <c r="C233" s="1" t="s">
        <v>1087</v>
      </c>
      <c r="D233" s="1" t="n">
        <v>94.2</v>
      </c>
      <c r="E233" s="1" t="n">
        <v>9.31</v>
      </c>
      <c r="F233" s="1" t="n">
        <v>1</v>
      </c>
    </row>
    <row collapsed="false" customFormat="false" customHeight="false" hidden="false" ht="14.75" outlineLevel="0" r="234">
      <c r="A234" s="1" t="s">
        <v>1243</v>
      </c>
      <c r="B234" s="1" t="s">
        <v>1093</v>
      </c>
      <c r="C234" s="1" t="s">
        <v>1087</v>
      </c>
      <c r="D234" s="1" t="n">
        <v>66.7</v>
      </c>
      <c r="E234" s="1" t="n">
        <v>3.67</v>
      </c>
      <c r="F234" s="1" t="n">
        <f aca="false">1/6</f>
        <v>0.166666666666667</v>
      </c>
    </row>
    <row collapsed="false" customFormat="false" customHeight="false" hidden="false" ht="14.75" outlineLevel="0" r="235">
      <c r="A235" s="1" t="s">
        <v>1244</v>
      </c>
      <c r="B235" s="1" t="s">
        <v>1093</v>
      </c>
      <c r="C235" s="1" t="s">
        <v>1087</v>
      </c>
      <c r="D235" s="1" t="n">
        <v>103.3</v>
      </c>
      <c r="E235" s="1" t="n">
        <v>5.9</v>
      </c>
      <c r="F235" s="1" t="n">
        <v>0</v>
      </c>
    </row>
    <row collapsed="false" customFormat="false" customHeight="false" hidden="false" ht="14.75" outlineLevel="0" r="236">
      <c r="A236" s="1" t="s">
        <v>218</v>
      </c>
      <c r="B236" s="1" t="s">
        <v>1097</v>
      </c>
      <c r="C236" s="1" t="s">
        <v>1087</v>
      </c>
      <c r="D236" s="1" t="n">
        <v>235.9</v>
      </c>
      <c r="E236" s="1" t="n">
        <v>15.24</v>
      </c>
      <c r="F236" s="1" t="n">
        <f aca="false">29/11</f>
        <v>2.63636363636364</v>
      </c>
    </row>
    <row collapsed="false" customFormat="false" customHeight="false" hidden="false" ht="14.75" outlineLevel="0" r="237">
      <c r="A237" s="1" t="s">
        <v>219</v>
      </c>
      <c r="B237" s="1" t="s">
        <v>1097</v>
      </c>
      <c r="C237" s="1" t="s">
        <v>1087</v>
      </c>
      <c r="D237" s="1" t="n">
        <v>149</v>
      </c>
      <c r="E237" s="1" t="n">
        <v>9.81</v>
      </c>
      <c r="F237" s="1" t="n">
        <v>0.9</v>
      </c>
    </row>
    <row collapsed="false" customFormat="false" customHeight="false" hidden="false" ht="14.75" outlineLevel="0" r="238">
      <c r="A238" s="1" t="s">
        <v>1245</v>
      </c>
      <c r="B238" s="1" t="s">
        <v>1101</v>
      </c>
      <c r="C238" s="1" t="s">
        <v>1087</v>
      </c>
      <c r="D238" s="1" t="n">
        <v>156.2</v>
      </c>
      <c r="E238" s="1" t="n">
        <v>9.3</v>
      </c>
      <c r="F238" s="1" t="n">
        <v>0.75</v>
      </c>
    </row>
    <row collapsed="false" customFormat="false" customHeight="false" hidden="false" ht="14.75" outlineLevel="0" r="239">
      <c r="A239" s="1" t="s">
        <v>1246</v>
      </c>
      <c r="B239" s="1" t="s">
        <v>1101</v>
      </c>
      <c r="C239" s="1" t="s">
        <v>1087</v>
      </c>
      <c r="D239" s="1" t="n">
        <v>90.6</v>
      </c>
      <c r="E239" s="1" t="n">
        <v>5.13</v>
      </c>
      <c r="F239" s="1" t="n">
        <v>0.5</v>
      </c>
    </row>
    <row collapsed="false" customFormat="false" customHeight="false" hidden="false" ht="14.75" outlineLevel="0" r="240">
      <c r="A240" s="1" t="s">
        <v>1247</v>
      </c>
      <c r="B240" s="1" t="s">
        <v>1106</v>
      </c>
      <c r="C240" s="1" t="s">
        <v>1087</v>
      </c>
      <c r="D240" s="1" t="n">
        <v>198.1</v>
      </c>
      <c r="E240" s="1" t="n">
        <v>8.68</v>
      </c>
      <c r="F240" s="1" t="n">
        <f aca="false">11/8</f>
        <v>1.375</v>
      </c>
    </row>
    <row collapsed="false" customFormat="false" customHeight="false" hidden="false" ht="14.75" outlineLevel="0" r="241">
      <c r="A241" s="1" t="s">
        <v>155</v>
      </c>
      <c r="B241" s="1" t="s">
        <v>1110</v>
      </c>
      <c r="C241" s="1" t="s">
        <v>1087</v>
      </c>
      <c r="D241" s="1" t="n">
        <v>205</v>
      </c>
      <c r="E241" s="1" t="n">
        <v>11.19</v>
      </c>
      <c r="F241" s="1" t="n">
        <f aca="false">5/8</f>
        <v>0.625</v>
      </c>
    </row>
    <row collapsed="false" customFormat="false" customHeight="false" hidden="false" ht="14.75" outlineLevel="0" r="242">
      <c r="A242" s="1" t="s">
        <v>1248</v>
      </c>
      <c r="B242" s="1" t="s">
        <v>1106</v>
      </c>
      <c r="C242" s="1" t="s">
        <v>1087</v>
      </c>
      <c r="D242" s="1" t="n">
        <v>143.8</v>
      </c>
      <c r="E242" s="1" t="n">
        <v>8.67</v>
      </c>
      <c r="F242" s="1" t="n">
        <f aca="false">2/8</f>
        <v>0.25</v>
      </c>
    </row>
    <row collapsed="false" customFormat="false" customHeight="false" hidden="false" ht="14.75" outlineLevel="0" r="243">
      <c r="A243" s="1" t="s">
        <v>1249</v>
      </c>
      <c r="B243" s="1" t="s">
        <v>1086</v>
      </c>
      <c r="C243" s="1" t="s">
        <v>1087</v>
      </c>
      <c r="D243" s="1" t="n">
        <v>56.9</v>
      </c>
      <c r="E243" s="1" t="n">
        <v>4.52</v>
      </c>
      <c r="F243" s="1" t="n">
        <f aca="false">5/8</f>
        <v>0.625</v>
      </c>
    </row>
    <row collapsed="false" customFormat="false" customHeight="false" hidden="false" ht="14.75" outlineLevel="0" r="244">
      <c r="A244" s="1" t="s">
        <v>1250</v>
      </c>
      <c r="B244" s="1" t="s">
        <v>1086</v>
      </c>
      <c r="C244" s="1" t="s">
        <v>1087</v>
      </c>
      <c r="D244" s="1" t="n">
        <v>25.7</v>
      </c>
      <c r="E244" s="1" t="n">
        <v>2.67</v>
      </c>
      <c r="F244" s="1" t="n">
        <v>0</v>
      </c>
    </row>
    <row collapsed="false" customFormat="false" customHeight="false" hidden="false" ht="14.75" outlineLevel="0" r="245">
      <c r="A245" s="1" t="s">
        <v>1251</v>
      </c>
      <c r="B245" s="1" t="s">
        <v>1102</v>
      </c>
      <c r="C245" s="1" t="s">
        <v>1087</v>
      </c>
      <c r="D245" s="1" t="n">
        <v>32.5</v>
      </c>
      <c r="E245" s="1" t="n">
        <v>4.17</v>
      </c>
      <c r="F245" s="1" t="n">
        <v>0.1</v>
      </c>
    </row>
    <row collapsed="false" customFormat="false" customHeight="false" hidden="false" ht="14.75" outlineLevel="0" r="246">
      <c r="A246" s="1" t="s">
        <v>1252</v>
      </c>
      <c r="B246" s="1" t="s">
        <v>1097</v>
      </c>
      <c r="C246" s="1" t="s">
        <v>1087</v>
      </c>
      <c r="D246" s="1" t="n">
        <v>220</v>
      </c>
      <c r="E246" s="1" t="n">
        <v>12.43</v>
      </c>
      <c r="F246" s="1" t="n">
        <f aca="false">4/7</f>
        <v>0.571428571428571</v>
      </c>
    </row>
    <row collapsed="false" customFormat="false" customHeight="false" hidden="false" ht="14.75" outlineLevel="0" r="247">
      <c r="A247" s="1" t="s">
        <v>1253</v>
      </c>
      <c r="B247" s="1" t="s">
        <v>1097</v>
      </c>
      <c r="C247" s="1" t="s">
        <v>1087</v>
      </c>
      <c r="D247" s="1" t="n">
        <v>62.9</v>
      </c>
      <c r="E247" s="1" t="n">
        <v>5.33</v>
      </c>
      <c r="F247" s="1" t="n">
        <f aca="false">1/7</f>
        <v>0.142857142857143</v>
      </c>
    </row>
    <row collapsed="false" customFormat="false" customHeight="false" hidden="false" ht="14.75" outlineLevel="0" r="248">
      <c r="A248" s="1" t="s">
        <v>1254</v>
      </c>
      <c r="B248" s="1" t="s">
        <v>1097</v>
      </c>
      <c r="C248" s="1" t="s">
        <v>1087</v>
      </c>
      <c r="D248" s="1" t="n">
        <v>33.6</v>
      </c>
      <c r="E248" s="1" t="n">
        <v>4.5</v>
      </c>
      <c r="F248" s="1" t="n">
        <f aca="false">1/7</f>
        <v>0.142857142857143</v>
      </c>
    </row>
    <row collapsed="false" customFormat="false" customHeight="false" hidden="false" ht="14.75" outlineLevel="0" r="249">
      <c r="A249" s="1" t="s">
        <v>1255</v>
      </c>
      <c r="B249" s="1" t="s">
        <v>1097</v>
      </c>
      <c r="C249" s="1" t="s">
        <v>1087</v>
      </c>
      <c r="D249" s="1" t="n">
        <v>184.3</v>
      </c>
      <c r="E249" s="1" t="n">
        <v>9.7</v>
      </c>
      <c r="F249" s="1" t="n">
        <v>1</v>
      </c>
    </row>
    <row collapsed="false" customFormat="false" customHeight="false" hidden="false" ht="14.75" outlineLevel="0" r="250">
      <c r="A250" s="1" t="s">
        <v>584</v>
      </c>
      <c r="B250" s="1" t="s">
        <v>1101</v>
      </c>
      <c r="C250" s="1" t="s">
        <v>1087</v>
      </c>
      <c r="D250" s="1" t="n">
        <v>339.4</v>
      </c>
      <c r="E250" s="1" t="n">
        <v>15.44</v>
      </c>
      <c r="F250" s="1" t="n">
        <v>2.625</v>
      </c>
    </row>
    <row collapsed="false" customFormat="false" customHeight="false" hidden="false" ht="14.75" outlineLevel="0" r="251">
      <c r="A251" s="1" t="s">
        <v>585</v>
      </c>
      <c r="B251" s="1" t="s">
        <v>1101</v>
      </c>
      <c r="C251" s="1" t="s">
        <v>1087</v>
      </c>
      <c r="D251" s="1" t="n">
        <v>119.4</v>
      </c>
      <c r="E251" s="1" t="n">
        <v>7.05</v>
      </c>
      <c r="F251" s="1" t="n">
        <v>0.375</v>
      </c>
    </row>
    <row collapsed="false" customFormat="false" customHeight="false" hidden="false" ht="14.75" outlineLevel="0" r="252">
      <c r="A252" s="1" t="s">
        <v>158</v>
      </c>
      <c r="B252" s="1" t="s">
        <v>1134</v>
      </c>
      <c r="C252" s="1" t="s">
        <v>1087</v>
      </c>
      <c r="D252" s="1" t="n">
        <v>295</v>
      </c>
      <c r="E252" s="1" t="n">
        <v>16.18</v>
      </c>
      <c r="F252" s="1" t="n">
        <v>1.7</v>
      </c>
    </row>
    <row collapsed="false" customFormat="false" customHeight="false" hidden="false" ht="14.75" outlineLevel="0" r="253">
      <c r="A253" s="1" t="s">
        <v>159</v>
      </c>
      <c r="B253" s="1" t="s">
        <v>1134</v>
      </c>
      <c r="C253" s="1" t="s">
        <v>1087</v>
      </c>
      <c r="D253" s="1" t="n">
        <v>137.5</v>
      </c>
      <c r="E253" s="1" t="n">
        <v>11.41</v>
      </c>
      <c r="F253" s="1" t="n">
        <v>0.7</v>
      </c>
    </row>
    <row collapsed="false" customFormat="false" customHeight="false" hidden="false" ht="14.75" outlineLevel="0" r="254">
      <c r="A254" s="1" t="s">
        <v>163</v>
      </c>
      <c r="B254" s="1" t="s">
        <v>1100</v>
      </c>
      <c r="C254" s="1" t="s">
        <v>1087</v>
      </c>
      <c r="D254" s="1" t="n">
        <v>340</v>
      </c>
      <c r="E254" s="1" t="n">
        <v>20.36</v>
      </c>
      <c r="F254" s="1" t="n">
        <f aca="false">36/9</f>
        <v>4</v>
      </c>
    </row>
    <row collapsed="false" customFormat="false" customHeight="false" hidden="false" ht="14.75" outlineLevel="0" r="255">
      <c r="A255" s="1" t="s">
        <v>1256</v>
      </c>
      <c r="B255" s="1" t="s">
        <v>1089</v>
      </c>
      <c r="C255" s="1" t="s">
        <v>1087</v>
      </c>
      <c r="D255" s="1" t="n">
        <v>62.5</v>
      </c>
      <c r="E255" s="1" t="n">
        <v>5.3</v>
      </c>
      <c r="F255" s="1" t="n">
        <f aca="false">3/8</f>
        <v>0.375</v>
      </c>
    </row>
    <row collapsed="false" customFormat="false" customHeight="false" hidden="false" ht="14.75" outlineLevel="0" r="256">
      <c r="A256" s="1" t="s">
        <v>1257</v>
      </c>
      <c r="B256" s="1" t="s">
        <v>1089</v>
      </c>
      <c r="C256" s="1" t="s">
        <v>1087</v>
      </c>
      <c r="D256" s="1" t="n">
        <v>71.1</v>
      </c>
      <c r="E256" s="1" t="n">
        <v>6</v>
      </c>
      <c r="F256" s="1" t="n">
        <f aca="false">4/9</f>
        <v>0.444444444444444</v>
      </c>
    </row>
    <row collapsed="false" customFormat="false" customHeight="false" hidden="false" ht="14.75" outlineLevel="0" r="257">
      <c r="A257" s="1" t="s">
        <v>1258</v>
      </c>
      <c r="B257" s="1" t="s">
        <v>1127</v>
      </c>
      <c r="C257" s="1" t="s">
        <v>1087</v>
      </c>
      <c r="D257" s="1" t="n">
        <v>417</v>
      </c>
      <c r="E257" s="1" t="n">
        <v>21.01</v>
      </c>
      <c r="F257" s="1" t="n">
        <v>5.1</v>
      </c>
    </row>
    <row collapsed="false" customFormat="false" customHeight="false" hidden="false" ht="14.75" outlineLevel="0" r="258">
      <c r="A258" s="1" t="s">
        <v>1259</v>
      </c>
      <c r="B258" s="1" t="s">
        <v>1127</v>
      </c>
      <c r="C258" s="1" t="s">
        <v>1087</v>
      </c>
      <c r="D258" s="1" t="n">
        <v>235</v>
      </c>
      <c r="E258" s="1" t="n">
        <v>16.81</v>
      </c>
      <c r="F258" s="1" t="n">
        <f aca="false">14/9</f>
        <v>1.55555555555556</v>
      </c>
    </row>
    <row collapsed="false" customFormat="false" customHeight="false" hidden="false" ht="14.75" outlineLevel="0" r="259">
      <c r="A259" s="1" t="s">
        <v>478</v>
      </c>
      <c r="B259" s="1" t="s">
        <v>1086</v>
      </c>
      <c r="C259" s="1" t="s">
        <v>1087</v>
      </c>
      <c r="D259" s="1" t="n">
        <v>383.1</v>
      </c>
      <c r="E259" s="1" t="n">
        <v>18.49</v>
      </c>
      <c r="F259" s="1" t="n">
        <v>4</v>
      </c>
    </row>
    <row collapsed="false" customFormat="false" customHeight="false" hidden="false" ht="14.75" outlineLevel="0" r="260">
      <c r="A260" s="1" t="s">
        <v>1260</v>
      </c>
      <c r="B260" s="1" t="s">
        <v>1110</v>
      </c>
      <c r="C260" s="1" t="s">
        <v>1087</v>
      </c>
      <c r="D260" s="1" t="n">
        <v>178.8</v>
      </c>
      <c r="E260" s="1" t="n">
        <v>8.64</v>
      </c>
      <c r="F260" s="1" t="n">
        <f aca="false">6/8</f>
        <v>0.75</v>
      </c>
    </row>
    <row collapsed="false" customFormat="false" customHeight="false" hidden="false" ht="14.75" outlineLevel="0" r="261">
      <c r="A261" s="1" t="s">
        <v>915</v>
      </c>
      <c r="B261" s="1" t="s">
        <v>1146</v>
      </c>
      <c r="C261" s="1" t="s">
        <v>1087</v>
      </c>
      <c r="D261" s="1" t="n">
        <v>155</v>
      </c>
      <c r="E261" s="1" t="n">
        <v>7.3</v>
      </c>
      <c r="F261" s="1" t="n">
        <f aca="false">10/7</f>
        <v>1.42857142857143</v>
      </c>
    </row>
    <row collapsed="false" customFormat="false" customHeight="false" hidden="false" ht="14.75" outlineLevel="0" r="262">
      <c r="A262" s="1" t="s">
        <v>916</v>
      </c>
      <c r="B262" s="1" t="s">
        <v>1146</v>
      </c>
      <c r="C262" s="1" t="s">
        <v>1087</v>
      </c>
      <c r="D262" s="1" t="n">
        <v>196.9</v>
      </c>
      <c r="E262" s="1" t="n">
        <v>11.53</v>
      </c>
      <c r="F262" s="1" t="n">
        <f aca="false">12/8</f>
        <v>1.5</v>
      </c>
    </row>
    <row collapsed="false" customFormat="false" customHeight="false" hidden="false" ht="14.75" outlineLevel="0" r="263">
      <c r="A263" s="1" t="s">
        <v>264</v>
      </c>
      <c r="B263" s="1" t="s">
        <v>1102</v>
      </c>
      <c r="C263" s="1" t="s">
        <v>1087</v>
      </c>
      <c r="D263" s="1" t="n">
        <v>384.1</v>
      </c>
      <c r="E263" s="1" t="n">
        <v>19.5</v>
      </c>
      <c r="F263" s="1" t="n">
        <f aca="false">42/11</f>
        <v>3.81818181818182</v>
      </c>
    </row>
    <row collapsed="false" customFormat="false" customHeight="false" hidden="false" ht="14.75" outlineLevel="0" r="264">
      <c r="A264" s="1" t="s">
        <v>265</v>
      </c>
      <c r="B264" s="1" t="s">
        <v>1102</v>
      </c>
      <c r="C264" s="1" t="s">
        <v>1087</v>
      </c>
      <c r="D264" s="1" t="n">
        <v>59</v>
      </c>
      <c r="E264" s="1" t="n">
        <v>3.86</v>
      </c>
      <c r="F264" s="1" t="n">
        <v>0.3</v>
      </c>
    </row>
    <row collapsed="false" customFormat="false" customHeight="false" hidden="false" ht="14.75" outlineLevel="0" r="265">
      <c r="A265" s="1" t="s">
        <v>1261</v>
      </c>
      <c r="B265" s="1" t="s">
        <v>1102</v>
      </c>
      <c r="C265" s="1" t="s">
        <v>1087</v>
      </c>
      <c r="D265" s="1" t="n">
        <v>40.5</v>
      </c>
      <c r="E265" s="1" t="n">
        <v>3.67</v>
      </c>
      <c r="F265" s="1" t="n">
        <v>0.1</v>
      </c>
    </row>
    <row collapsed="false" customFormat="false" customHeight="false" hidden="false" ht="14.75" outlineLevel="0" r="266">
      <c r="A266" s="1" t="s">
        <v>1262</v>
      </c>
      <c r="B266" s="1" t="s">
        <v>1101</v>
      </c>
      <c r="C266" s="1" t="s">
        <v>1087</v>
      </c>
      <c r="D266" s="1" t="n">
        <v>231.2</v>
      </c>
      <c r="E266" s="1" t="n">
        <v>13.52</v>
      </c>
      <c r="F266" s="1" t="n">
        <v>1.75</v>
      </c>
    </row>
    <row collapsed="false" customFormat="false" customHeight="false" hidden="false" ht="14.75" outlineLevel="0" r="267">
      <c r="A267" s="1" t="s">
        <v>1263</v>
      </c>
      <c r="B267" s="1" t="s">
        <v>1164</v>
      </c>
      <c r="C267" s="1" t="s">
        <v>1087</v>
      </c>
      <c r="D267" s="1" t="n">
        <v>239</v>
      </c>
      <c r="E267" s="1" t="n">
        <v>13.08</v>
      </c>
      <c r="F267" s="1" t="n">
        <v>2</v>
      </c>
    </row>
    <row collapsed="false" customFormat="false" customHeight="false" hidden="false" ht="14.75" outlineLevel="0" r="268">
      <c r="A268" s="1" t="s">
        <v>1264</v>
      </c>
      <c r="B268" s="1" t="s">
        <v>1086</v>
      </c>
      <c r="C268" s="1" t="s">
        <v>1087</v>
      </c>
      <c r="D268" s="1" t="n">
        <v>156.4</v>
      </c>
      <c r="E268" s="1" t="n">
        <v>10.46</v>
      </c>
      <c r="F268" s="1" t="n">
        <v>1</v>
      </c>
    </row>
    <row collapsed="false" customFormat="false" customHeight="false" hidden="false" ht="14.75" outlineLevel="0" r="269">
      <c r="A269" s="1" t="s">
        <v>591</v>
      </c>
      <c r="B269" s="1" t="s">
        <v>1164</v>
      </c>
      <c r="C269" s="1" t="s">
        <v>1087</v>
      </c>
      <c r="D269" s="1" t="n">
        <v>235.8</v>
      </c>
      <c r="E269" s="1" t="n">
        <v>13.51</v>
      </c>
      <c r="F269" s="1" t="n">
        <v>1</v>
      </c>
    </row>
    <row collapsed="false" customFormat="false" customHeight="false" hidden="false" ht="14.75" outlineLevel="0" r="270">
      <c r="A270" s="1" t="s">
        <v>1265</v>
      </c>
      <c r="B270" s="1" t="s">
        <v>1097</v>
      </c>
      <c r="C270" s="1" t="s">
        <v>1087</v>
      </c>
      <c r="D270" s="1" t="n">
        <v>43</v>
      </c>
      <c r="E270" s="1" t="n">
        <v>6</v>
      </c>
      <c r="F270" s="1" t="n">
        <v>0</v>
      </c>
    </row>
    <row collapsed="false" customFormat="false" customHeight="false" hidden="false" ht="14.75" outlineLevel="0" r="271">
      <c r="A271" s="1" t="s">
        <v>266</v>
      </c>
      <c r="B271" s="1" t="s">
        <v>1102</v>
      </c>
      <c r="C271" s="1" t="s">
        <v>1087</v>
      </c>
      <c r="D271" s="1" t="n">
        <v>442.3</v>
      </c>
      <c r="E271" s="1" t="n">
        <v>21.34</v>
      </c>
      <c r="F271" s="1" t="n">
        <f aca="false">65/11</f>
        <v>5.90909090909091</v>
      </c>
    </row>
    <row collapsed="false" customFormat="false" customHeight="false" hidden="false" ht="14.75" outlineLevel="0" r="272">
      <c r="A272" s="1" t="s">
        <v>267</v>
      </c>
      <c r="B272" s="1" t="s">
        <v>1102</v>
      </c>
      <c r="C272" s="1" t="s">
        <v>1087</v>
      </c>
      <c r="D272" s="1" t="n">
        <v>160</v>
      </c>
      <c r="E272" s="1" t="n">
        <v>11.05</v>
      </c>
      <c r="F272" s="1" t="n">
        <v>1.1</v>
      </c>
    </row>
    <row collapsed="false" customFormat="false" customHeight="false" hidden="false" ht="14.75" outlineLevel="0" r="273">
      <c r="A273" s="1" t="s">
        <v>715</v>
      </c>
      <c r="B273" s="1" t="s">
        <v>1102</v>
      </c>
      <c r="C273" s="1" t="s">
        <v>1087</v>
      </c>
      <c r="D273" s="1" t="n">
        <v>137</v>
      </c>
      <c r="E273" s="1" t="n">
        <v>8.18</v>
      </c>
      <c r="F273" s="1" t="n">
        <v>0.4</v>
      </c>
    </row>
    <row collapsed="false" customFormat="false" customHeight="false" hidden="false" ht="14.75" outlineLevel="0" r="274">
      <c r="A274" s="1" t="s">
        <v>1266</v>
      </c>
      <c r="B274" s="1" t="s">
        <v>1100</v>
      </c>
      <c r="C274" s="1" t="s">
        <v>1087</v>
      </c>
      <c r="D274" s="1" t="n">
        <v>267.2</v>
      </c>
      <c r="E274" s="1" t="n">
        <v>15.64</v>
      </c>
      <c r="F274" s="1" t="n">
        <f aca="false">19/9</f>
        <v>2.11111111111111</v>
      </c>
    </row>
    <row collapsed="false" customFormat="false" customHeight="false" hidden="false" ht="14.75" outlineLevel="0" r="275">
      <c r="A275" s="1" t="s">
        <v>1267</v>
      </c>
      <c r="B275" s="1" t="s">
        <v>1101</v>
      </c>
      <c r="C275" s="1" t="s">
        <v>1087</v>
      </c>
      <c r="D275" s="1" t="n">
        <v>137.5</v>
      </c>
      <c r="E275" s="1" t="n">
        <v>7</v>
      </c>
      <c r="F275" s="1" t="n">
        <v>0.375</v>
      </c>
    </row>
    <row collapsed="false" customFormat="false" customHeight="false" hidden="false" ht="14.75" outlineLevel="0" r="276">
      <c r="A276" s="1" t="s">
        <v>1268</v>
      </c>
      <c r="B276" s="1" t="s">
        <v>1101</v>
      </c>
      <c r="C276" s="1" t="s">
        <v>1087</v>
      </c>
      <c r="D276" s="1" t="n">
        <v>146.9</v>
      </c>
      <c r="E276" s="1" t="n">
        <v>8.46</v>
      </c>
      <c r="F276" s="1" t="n">
        <v>1.375</v>
      </c>
    </row>
    <row collapsed="false" customFormat="false" customHeight="false" hidden="false" ht="14.75" outlineLevel="0" r="277">
      <c r="A277" s="1" t="s">
        <v>1269</v>
      </c>
      <c r="B277" s="1" t="s">
        <v>1101</v>
      </c>
      <c r="C277" s="1" t="s">
        <v>1087</v>
      </c>
      <c r="D277" s="1" t="n">
        <v>100.6</v>
      </c>
      <c r="E277" s="1" t="n">
        <v>6.58</v>
      </c>
      <c r="F277" s="1" t="n">
        <v>0.5</v>
      </c>
    </row>
    <row collapsed="false" customFormat="false" customHeight="false" hidden="false" ht="14.75" outlineLevel="0" r="278">
      <c r="A278" s="1" t="s">
        <v>1270</v>
      </c>
      <c r="B278" s="1" t="s">
        <v>1086</v>
      </c>
      <c r="C278" s="1" t="s">
        <v>1087</v>
      </c>
      <c r="D278" s="1" t="n">
        <v>97.1</v>
      </c>
      <c r="E278" s="1" t="n">
        <v>5.95</v>
      </c>
      <c r="F278" s="1" t="n">
        <v>1</v>
      </c>
    </row>
    <row collapsed="false" customFormat="false" customHeight="false" hidden="false" ht="14.75" outlineLevel="0" r="279">
      <c r="A279" s="1" t="s">
        <v>1271</v>
      </c>
      <c r="B279" s="1" t="s">
        <v>1121</v>
      </c>
      <c r="C279" s="1" t="s">
        <v>1087</v>
      </c>
      <c r="D279" s="1" t="n">
        <v>111.7</v>
      </c>
      <c r="E279" s="1" t="n">
        <v>8.15</v>
      </c>
      <c r="F279" s="1" t="s">
        <v>9</v>
      </c>
    </row>
    <row collapsed="false" customFormat="false" customHeight="false" hidden="false" ht="14.75" outlineLevel="0" r="280">
      <c r="A280" s="1" t="s">
        <v>1272</v>
      </c>
      <c r="B280" s="1" t="s">
        <v>1121</v>
      </c>
      <c r="C280" s="1" t="s">
        <v>1087</v>
      </c>
      <c r="D280" s="1" t="n">
        <v>55.6</v>
      </c>
      <c r="E280" s="1" t="n">
        <v>3.93</v>
      </c>
      <c r="F280" s="1" t="s">
        <v>9</v>
      </c>
    </row>
    <row collapsed="false" customFormat="false" customHeight="false" hidden="false" ht="14.75" outlineLevel="0" r="281">
      <c r="A281" s="1" t="s">
        <v>1273</v>
      </c>
      <c r="B281" s="1" t="s">
        <v>1121</v>
      </c>
      <c r="C281" s="1" t="s">
        <v>1087</v>
      </c>
      <c r="D281" s="1" t="n">
        <v>270</v>
      </c>
      <c r="E281" s="1" t="n">
        <v>14.22</v>
      </c>
      <c r="F281" s="1" t="s">
        <v>9</v>
      </c>
    </row>
    <row collapsed="false" customFormat="false" customHeight="false" hidden="false" ht="14.75" outlineLevel="0" r="282">
      <c r="A282" s="1" t="s">
        <v>1274</v>
      </c>
      <c r="B282" s="1" t="s">
        <v>1121</v>
      </c>
      <c r="C282" s="1" t="s">
        <v>1087</v>
      </c>
      <c r="D282" s="1" t="n">
        <v>118.9</v>
      </c>
      <c r="E282" s="1" t="n">
        <v>6.86</v>
      </c>
      <c r="F282" s="1" t="s">
        <v>9</v>
      </c>
    </row>
    <row collapsed="false" customFormat="false" customHeight="false" hidden="false" ht="14.75" outlineLevel="0" r="283">
      <c r="A283" s="1" t="s">
        <v>1275</v>
      </c>
      <c r="B283" s="1" t="s">
        <v>1164</v>
      </c>
      <c r="C283" s="1" t="s">
        <v>1087</v>
      </c>
      <c r="D283" s="1" t="n">
        <v>92</v>
      </c>
      <c r="E283" s="1" t="n">
        <v>8.46</v>
      </c>
      <c r="F283" s="1" t="n">
        <v>0.2</v>
      </c>
    </row>
    <row collapsed="false" customFormat="false" customHeight="false" hidden="false" ht="14.75" outlineLevel="0" r="284">
      <c r="A284" s="1" t="s">
        <v>1276</v>
      </c>
      <c r="B284" s="1" t="s">
        <v>1110</v>
      </c>
      <c r="C284" s="1" t="s">
        <v>1087</v>
      </c>
      <c r="D284" s="1" t="n">
        <v>180.6</v>
      </c>
      <c r="E284" s="1" t="n">
        <v>9.84</v>
      </c>
      <c r="F284" s="1" t="n">
        <f aca="false">5/8</f>
        <v>0.625</v>
      </c>
    </row>
    <row collapsed="false" customFormat="false" customHeight="false" hidden="false" ht="14.75" outlineLevel="0" r="285">
      <c r="A285" s="1" t="s">
        <v>1277</v>
      </c>
      <c r="B285" s="1" t="s">
        <v>1187</v>
      </c>
      <c r="C285" s="1" t="s">
        <v>1087</v>
      </c>
      <c r="D285" s="1" t="n">
        <v>84.3</v>
      </c>
      <c r="E285" s="1" t="n">
        <v>5.3</v>
      </c>
      <c r="F285" s="1" t="n">
        <v>1</v>
      </c>
    </row>
    <row collapsed="false" customFormat="false" customHeight="false" hidden="false" ht="14.75" outlineLevel="0" r="286">
      <c r="A286" s="1" t="s">
        <v>1278</v>
      </c>
      <c r="B286" s="1" t="s">
        <v>1146</v>
      </c>
      <c r="C286" s="1" t="s">
        <v>1087</v>
      </c>
      <c r="D286" s="1" t="n">
        <v>131.4</v>
      </c>
      <c r="E286" s="1" t="n">
        <v>7.79</v>
      </c>
      <c r="F286" s="1" t="n">
        <f aca="false">5/7</f>
        <v>0.714285714285714</v>
      </c>
    </row>
    <row collapsed="false" customFormat="false" customHeight="false" hidden="false" ht="14.75" outlineLevel="0" r="287">
      <c r="A287" s="1" t="s">
        <v>1279</v>
      </c>
      <c r="B287" s="1" t="s">
        <v>1146</v>
      </c>
      <c r="C287" s="1" t="s">
        <v>1087</v>
      </c>
      <c r="D287" s="1" t="n">
        <v>60.8</v>
      </c>
      <c r="E287" s="1" t="n">
        <v>5.62</v>
      </c>
      <c r="F287" s="1" t="n">
        <f aca="false">3/7</f>
        <v>0.428571428571429</v>
      </c>
    </row>
    <row collapsed="false" customFormat="false" customHeight="false" hidden="false" ht="14.75" outlineLevel="0" r="288">
      <c r="A288" s="1" t="s">
        <v>1280</v>
      </c>
      <c r="B288" s="1" t="s">
        <v>1110</v>
      </c>
      <c r="C288" s="1" t="s">
        <v>1087</v>
      </c>
      <c r="D288" s="1" t="n">
        <v>131.2</v>
      </c>
      <c r="E288" s="1" t="n">
        <v>5.66</v>
      </c>
      <c r="F288" s="1" t="n">
        <v>1</v>
      </c>
    </row>
    <row collapsed="false" customFormat="false" customHeight="false" hidden="false" ht="14.75" outlineLevel="0" r="289">
      <c r="A289" s="1" t="s">
        <v>1281</v>
      </c>
      <c r="B289" s="1" t="s">
        <v>1121</v>
      </c>
      <c r="C289" s="1" t="s">
        <v>1087</v>
      </c>
      <c r="D289" s="1" t="n">
        <v>95</v>
      </c>
      <c r="E289" s="1" t="n">
        <v>5.96</v>
      </c>
      <c r="F289" s="1" t="s">
        <v>9</v>
      </c>
    </row>
    <row collapsed="false" customFormat="false" customHeight="false" hidden="false" ht="14.75" outlineLevel="0" r="290">
      <c r="A290" s="1" t="s">
        <v>1282</v>
      </c>
      <c r="B290" s="1" t="s">
        <v>1106</v>
      </c>
      <c r="C290" s="1" t="s">
        <v>1087</v>
      </c>
      <c r="D290" s="1" t="n">
        <v>128.8</v>
      </c>
      <c r="E290" s="1" t="n">
        <v>7.4</v>
      </c>
      <c r="F290" s="1" t="n">
        <f aca="false">3/8</f>
        <v>0.375</v>
      </c>
    </row>
    <row collapsed="false" customFormat="false" customHeight="false" hidden="false" ht="14.75" outlineLevel="0" r="291">
      <c r="A291" s="1" t="s">
        <v>1283</v>
      </c>
      <c r="B291" s="1" t="s">
        <v>1187</v>
      </c>
      <c r="C291" s="1" t="s">
        <v>1087</v>
      </c>
      <c r="D291" s="1" t="n">
        <v>192.1</v>
      </c>
      <c r="E291" s="1" t="n">
        <v>13.02</v>
      </c>
      <c r="F291" s="1" t="n">
        <f aca="false">3/7</f>
        <v>0.428571428571429</v>
      </c>
    </row>
    <row collapsed="false" customFormat="false" customHeight="false" hidden="false" ht="14.75" outlineLevel="0" r="292">
      <c r="A292" s="1" t="s">
        <v>1284</v>
      </c>
      <c r="B292" s="1" t="s">
        <v>1127</v>
      </c>
      <c r="C292" s="1" t="s">
        <v>1087</v>
      </c>
      <c r="D292" s="1" t="n">
        <v>151.9</v>
      </c>
      <c r="E292" s="1" t="n">
        <v>10</v>
      </c>
      <c r="F292" s="1" t="n">
        <f aca="false">13/8</f>
        <v>1.625</v>
      </c>
    </row>
    <row collapsed="false" customFormat="false" customHeight="false" hidden="false" ht="14.75" outlineLevel="0" r="293">
      <c r="A293" s="1" t="s">
        <v>1285</v>
      </c>
      <c r="B293" s="1" t="s">
        <v>1097</v>
      </c>
      <c r="C293" s="1" t="s">
        <v>1087</v>
      </c>
      <c r="D293" s="1" t="n">
        <v>311.8</v>
      </c>
      <c r="E293" s="1" t="n">
        <v>18.66</v>
      </c>
      <c r="F293" s="1" t="n">
        <f aca="false">33/11</f>
        <v>3</v>
      </c>
    </row>
    <row collapsed="false" customFormat="false" customHeight="false" hidden="false" ht="14.75" outlineLevel="0" r="294">
      <c r="A294" s="1" t="s">
        <v>1286</v>
      </c>
      <c r="B294" s="1" t="s">
        <v>1097</v>
      </c>
      <c r="C294" s="1" t="s">
        <v>1087</v>
      </c>
      <c r="D294" s="1" t="n">
        <v>122.9</v>
      </c>
      <c r="E294" s="1" t="n">
        <v>9.56</v>
      </c>
      <c r="F294" s="1" t="n">
        <f aca="false">4/7</f>
        <v>0.571428571428571</v>
      </c>
    </row>
    <row collapsed="false" customFormat="false" customHeight="false" hidden="false" ht="14.75" outlineLevel="0" r="295">
      <c r="A295" s="1" t="s">
        <v>1287</v>
      </c>
      <c r="B295" s="1" t="s">
        <v>1110</v>
      </c>
      <c r="C295" s="1" t="s">
        <v>1087</v>
      </c>
      <c r="D295" s="1" t="n">
        <v>155</v>
      </c>
      <c r="E295" s="1" t="n">
        <v>8.55</v>
      </c>
      <c r="F295" s="1" t="n">
        <f aca="false">5/8</f>
        <v>0.625</v>
      </c>
    </row>
    <row collapsed="false" customFormat="false" customHeight="false" hidden="false" ht="14.75" outlineLevel="0" r="296">
      <c r="A296" s="1" t="s">
        <v>1288</v>
      </c>
      <c r="B296" s="1" t="s">
        <v>1127</v>
      </c>
      <c r="C296" s="1" t="s">
        <v>1087</v>
      </c>
      <c r="D296" s="1" t="n">
        <v>216.2</v>
      </c>
      <c r="E296" s="1" t="n">
        <v>15.94</v>
      </c>
      <c r="F296" s="1" t="n">
        <f aca="false">16/8</f>
        <v>2</v>
      </c>
    </row>
    <row collapsed="false" customFormat="false" customHeight="false" hidden="false" ht="14.75" outlineLevel="0" r="297">
      <c r="A297" s="1" t="s">
        <v>1289</v>
      </c>
      <c r="B297" s="1" t="s">
        <v>1127</v>
      </c>
      <c r="C297" s="1" t="s">
        <v>1087</v>
      </c>
      <c r="D297" s="1" t="n">
        <v>180</v>
      </c>
      <c r="E297" s="1" t="n">
        <v>11.38</v>
      </c>
      <c r="F297" s="1" t="n">
        <f aca="false">12/8</f>
        <v>1.5</v>
      </c>
    </row>
    <row collapsed="false" customFormat="false" customHeight="false" hidden="false" ht="14.75" outlineLevel="0" r="298">
      <c r="A298" s="1" t="s">
        <v>1290</v>
      </c>
      <c r="B298" s="1" t="s">
        <v>1127</v>
      </c>
      <c r="C298" s="1" t="s">
        <v>1087</v>
      </c>
      <c r="D298" s="1" t="n">
        <v>42.5</v>
      </c>
      <c r="E298" s="1" t="n">
        <v>5</v>
      </c>
      <c r="F298" s="1" t="n">
        <v>0</v>
      </c>
    </row>
    <row collapsed="false" customFormat="false" customHeight="false" hidden="false" ht="14.75" outlineLevel="0" r="299">
      <c r="A299" s="1" t="s">
        <v>1291</v>
      </c>
      <c r="B299" s="1" t="s">
        <v>1089</v>
      </c>
      <c r="C299" s="1" t="s">
        <v>1087</v>
      </c>
      <c r="D299" s="1" t="n">
        <v>239</v>
      </c>
      <c r="E299" s="1" t="n">
        <v>13.38</v>
      </c>
      <c r="F299" s="1" t="n">
        <v>1.5</v>
      </c>
    </row>
    <row collapsed="false" customFormat="false" customHeight="false" hidden="false" ht="14.75" outlineLevel="0" r="300">
      <c r="A300" s="1" t="s">
        <v>223</v>
      </c>
      <c r="B300" s="1" t="s">
        <v>1097</v>
      </c>
      <c r="C300" s="1" t="s">
        <v>1087</v>
      </c>
      <c r="D300" s="1" t="n">
        <v>119.4</v>
      </c>
      <c r="E300" s="1" t="n">
        <v>10.7</v>
      </c>
      <c r="F300" s="1" t="n">
        <f aca="false">6/10</f>
        <v>0.6</v>
      </c>
    </row>
    <row collapsed="false" customFormat="false" customHeight="false" hidden="false" ht="14.75" outlineLevel="0" r="301">
      <c r="A301" s="1" t="s">
        <v>224</v>
      </c>
      <c r="B301" s="1" t="s">
        <v>1097</v>
      </c>
      <c r="C301" s="1" t="s">
        <v>1087</v>
      </c>
      <c r="D301" s="1" t="n">
        <v>78.5</v>
      </c>
      <c r="E301" s="1" t="n">
        <v>6.08</v>
      </c>
      <c r="F301" s="1" t="n">
        <v>0.3</v>
      </c>
    </row>
    <row collapsed="false" customFormat="false" customHeight="false" hidden="false" ht="14.75" outlineLevel="0" r="302">
      <c r="A302" s="1" t="s">
        <v>225</v>
      </c>
      <c r="B302" s="1" t="s">
        <v>1097</v>
      </c>
      <c r="C302" s="1" t="s">
        <v>1087</v>
      </c>
      <c r="D302" s="1" t="n">
        <v>81.5</v>
      </c>
      <c r="E302" s="1" t="n">
        <v>6.27</v>
      </c>
      <c r="F302" s="1" t="n">
        <v>0.4</v>
      </c>
    </row>
    <row collapsed="false" customFormat="false" customHeight="false" hidden="false" ht="14.75" outlineLevel="0" r="303">
      <c r="A303" s="1" t="s">
        <v>942</v>
      </c>
      <c r="B303" s="1" t="s">
        <v>1097</v>
      </c>
      <c r="C303" s="1" t="s">
        <v>1087</v>
      </c>
      <c r="D303" s="1" t="n">
        <v>97.2</v>
      </c>
      <c r="E303" s="1" t="n">
        <v>9.24</v>
      </c>
      <c r="F303" s="1" t="n">
        <f aca="false">5/9</f>
        <v>0.555555555555556</v>
      </c>
    </row>
    <row collapsed="false" customFormat="false" customHeight="false" hidden="false" ht="14.75" outlineLevel="0" r="304">
      <c r="A304" s="1" t="s">
        <v>1292</v>
      </c>
      <c r="B304" s="1" t="s">
        <v>1110</v>
      </c>
      <c r="C304" s="1" t="s">
        <v>1087</v>
      </c>
      <c r="D304" s="1" t="n">
        <v>193.1</v>
      </c>
      <c r="E304" s="1" t="n">
        <v>10.62</v>
      </c>
      <c r="F304" s="1" t="n">
        <f aca="false">13/8</f>
        <v>1.625</v>
      </c>
    </row>
    <row collapsed="false" customFormat="false" customHeight="false" hidden="false" ht="14.75" outlineLevel="0" r="305">
      <c r="A305" s="1" t="s">
        <v>1293</v>
      </c>
      <c r="B305" s="1" t="s">
        <v>1106</v>
      </c>
      <c r="C305" s="1" t="s">
        <v>1087</v>
      </c>
      <c r="D305" s="1" t="n">
        <v>140</v>
      </c>
      <c r="E305" s="1" t="n">
        <v>7.14</v>
      </c>
      <c r="F305" s="1" t="n">
        <f aca="false">9/8</f>
        <v>1.125</v>
      </c>
    </row>
    <row collapsed="false" customFormat="false" customHeight="false" hidden="false" ht="14.75" outlineLevel="0" r="306">
      <c r="A306" s="1" t="s">
        <v>1294</v>
      </c>
      <c r="B306" s="1" t="s">
        <v>1106</v>
      </c>
      <c r="C306" s="1" t="s">
        <v>1087</v>
      </c>
      <c r="D306" s="1" t="n">
        <v>128.8</v>
      </c>
      <c r="E306" s="1" t="n">
        <v>7.35</v>
      </c>
      <c r="F306" s="1" t="n">
        <f aca="false">2/8</f>
        <v>0.25</v>
      </c>
    </row>
    <row collapsed="false" customFormat="false" customHeight="false" hidden="false" ht="14.75" outlineLevel="0" r="307">
      <c r="A307" s="1" t="s">
        <v>1295</v>
      </c>
      <c r="B307" s="1" t="s">
        <v>1106</v>
      </c>
      <c r="C307" s="1" t="s">
        <v>1087</v>
      </c>
      <c r="D307" s="1" t="n">
        <v>192.8</v>
      </c>
      <c r="E307" s="1" t="n">
        <v>10.15</v>
      </c>
      <c r="F307" s="1" t="n">
        <f aca="false">10/9</f>
        <v>1.11111111111111</v>
      </c>
    </row>
    <row collapsed="false" customFormat="false" customHeight="false" hidden="false" ht="14.75" outlineLevel="0" r="308">
      <c r="A308" s="1" t="s">
        <v>1296</v>
      </c>
      <c r="B308" s="1" t="s">
        <v>1106</v>
      </c>
      <c r="C308" s="1" t="s">
        <v>1087</v>
      </c>
      <c r="D308" s="1" t="n">
        <v>91.2</v>
      </c>
      <c r="E308" s="1" t="n">
        <v>8.75</v>
      </c>
      <c r="F308" s="1" t="n">
        <f aca="false">2/8</f>
        <v>0.25</v>
      </c>
    </row>
    <row collapsed="false" customFormat="false" customHeight="false" hidden="false" ht="14.75" outlineLevel="0" r="309">
      <c r="A309" s="1" t="s">
        <v>1297</v>
      </c>
      <c r="B309" s="1" t="s">
        <v>1106</v>
      </c>
      <c r="C309" s="1" t="s">
        <v>1087</v>
      </c>
      <c r="D309" s="1" t="n">
        <v>190.6</v>
      </c>
      <c r="E309" s="1" t="n">
        <v>8.9</v>
      </c>
      <c r="F309" s="1" t="n">
        <f aca="false">4/8</f>
        <v>0.5</v>
      </c>
    </row>
    <row collapsed="false" customFormat="false" customHeight="false" hidden="false" ht="14.75" outlineLevel="0" r="310">
      <c r="A310" s="1" t="s">
        <v>1298</v>
      </c>
      <c r="B310" s="1" t="s">
        <v>1101</v>
      </c>
      <c r="C310" s="1" t="s">
        <v>1087</v>
      </c>
      <c r="D310" s="1" t="n">
        <v>255</v>
      </c>
      <c r="E310" s="1" t="n">
        <v>12.99</v>
      </c>
      <c r="F310" s="1" t="n">
        <v>1.75</v>
      </c>
    </row>
    <row collapsed="false" customFormat="false" customHeight="false" hidden="false" ht="14.75" outlineLevel="0" r="311">
      <c r="A311" s="1" t="s">
        <v>1299</v>
      </c>
      <c r="B311" s="1" t="s">
        <v>1101</v>
      </c>
      <c r="C311" s="1" t="s">
        <v>1087</v>
      </c>
      <c r="D311" s="1" t="n">
        <v>186.2</v>
      </c>
      <c r="E311" s="1" t="n">
        <v>8.62</v>
      </c>
      <c r="F311" s="1" t="n">
        <v>1.125</v>
      </c>
    </row>
    <row collapsed="false" customFormat="false" customHeight="false" hidden="false" ht="14.75" outlineLevel="0" r="312">
      <c r="A312" s="1" t="s">
        <v>1300</v>
      </c>
      <c r="B312" s="1" t="s">
        <v>1101</v>
      </c>
      <c r="C312" s="1" t="s">
        <v>1087</v>
      </c>
      <c r="D312" s="1" t="n">
        <v>238.8</v>
      </c>
      <c r="E312" s="1" t="n">
        <v>12.39</v>
      </c>
      <c r="F312" s="1" t="n">
        <v>2.125</v>
      </c>
    </row>
    <row collapsed="false" customFormat="false" customHeight="false" hidden="false" ht="14.75" outlineLevel="0" r="313">
      <c r="A313" s="1" t="s">
        <v>1301</v>
      </c>
      <c r="B313" s="1" t="s">
        <v>1086</v>
      </c>
      <c r="C313" s="1" t="s">
        <v>1087</v>
      </c>
      <c r="D313" s="1" t="n">
        <v>91.4</v>
      </c>
      <c r="E313" s="1" t="n">
        <v>8.24</v>
      </c>
      <c r="F313" s="1" t="n">
        <v>0</v>
      </c>
    </row>
    <row collapsed="false" customFormat="false" customHeight="false" hidden="false" ht="14.75" outlineLevel="0" r="314">
      <c r="A314" s="1" t="s">
        <v>1302</v>
      </c>
      <c r="B314" s="1" t="s">
        <v>1086</v>
      </c>
      <c r="C314" s="1" t="s">
        <v>1087</v>
      </c>
      <c r="D314" s="1" t="n">
        <v>104.3</v>
      </c>
      <c r="E314" s="1" t="n">
        <v>10.71</v>
      </c>
      <c r="F314" s="1" t="n">
        <f aca="false">3/7</f>
        <v>0.428571428571429</v>
      </c>
    </row>
    <row collapsed="false" customFormat="false" customHeight="false" hidden="false" ht="14.75" outlineLevel="0" r="315">
      <c r="A315" s="1" t="s">
        <v>1303</v>
      </c>
      <c r="B315" s="1" t="s">
        <v>1127</v>
      </c>
      <c r="C315" s="1" t="s">
        <v>1087</v>
      </c>
      <c r="D315" s="1" t="n">
        <v>114.4</v>
      </c>
      <c r="E315" s="1" t="n">
        <v>8.27</v>
      </c>
      <c r="F315" s="1" t="n">
        <f aca="false">7/8</f>
        <v>0.875</v>
      </c>
    </row>
    <row collapsed="false" customFormat="false" customHeight="false" hidden="false" ht="14.75" outlineLevel="0" r="316">
      <c r="A316" s="1" t="s">
        <v>226</v>
      </c>
      <c r="B316" s="1" t="s">
        <v>1097</v>
      </c>
      <c r="C316" s="1" t="s">
        <v>1087</v>
      </c>
      <c r="D316" s="1" t="n">
        <v>310</v>
      </c>
      <c r="E316" s="1" t="n">
        <v>16.5</v>
      </c>
      <c r="F316" s="1" t="n">
        <f aca="false">23/7</f>
        <v>3.28571428571429</v>
      </c>
    </row>
    <row collapsed="false" customFormat="false" customHeight="false" hidden="false" ht="14.75" outlineLevel="0" r="317">
      <c r="A317" s="1" t="s">
        <v>27</v>
      </c>
      <c r="B317" s="1" t="s">
        <v>1093</v>
      </c>
      <c r="C317" s="1" t="s">
        <v>1087</v>
      </c>
      <c r="D317" s="1" t="n">
        <v>133.3</v>
      </c>
      <c r="E317" s="1" t="n">
        <v>9.29</v>
      </c>
      <c r="F317" s="1" t="n">
        <f aca="false">5/6</f>
        <v>0.833333333333333</v>
      </c>
    </row>
    <row collapsed="false" customFormat="false" customHeight="false" hidden="false" ht="14.75" outlineLevel="0" r="318">
      <c r="A318" s="1" t="s">
        <v>1304</v>
      </c>
      <c r="B318" s="1" t="s">
        <v>1093</v>
      </c>
      <c r="C318" s="1" t="s">
        <v>1087</v>
      </c>
      <c r="D318" s="1" t="n">
        <v>62.5</v>
      </c>
      <c r="E318" s="1" t="n">
        <v>6.4</v>
      </c>
      <c r="F318" s="1" t="n">
        <f aca="false">1/6</f>
        <v>0.166666666666667</v>
      </c>
    </row>
    <row collapsed="false" customFormat="false" customHeight="false" hidden="false" ht="14.75" outlineLevel="0" r="319">
      <c r="A319" s="1" t="s">
        <v>1305</v>
      </c>
      <c r="B319" s="1" t="s">
        <v>1102</v>
      </c>
      <c r="C319" s="1" t="s">
        <v>1087</v>
      </c>
      <c r="D319" s="1" t="n">
        <v>244.5</v>
      </c>
      <c r="E319" s="1" t="n">
        <v>16.11</v>
      </c>
      <c r="F319" s="1" t="n">
        <v>1.6</v>
      </c>
    </row>
    <row collapsed="false" customFormat="false" customHeight="false" hidden="false" ht="14.75" outlineLevel="0" r="320">
      <c r="A320" s="1" t="s">
        <v>1306</v>
      </c>
      <c r="B320" s="1" t="s">
        <v>1164</v>
      </c>
      <c r="C320" s="1" t="s">
        <v>1087</v>
      </c>
      <c r="D320" s="1" t="n">
        <v>117</v>
      </c>
      <c r="E320" s="1" t="n">
        <v>9.41</v>
      </c>
      <c r="F320" s="1" t="n">
        <f aca="false">2/5</f>
        <v>0.4</v>
      </c>
    </row>
    <row collapsed="false" customFormat="false" customHeight="false" hidden="false" ht="14.75" outlineLevel="0" r="321">
      <c r="A321" s="1" t="s">
        <v>1307</v>
      </c>
      <c r="B321" s="1" t="s">
        <v>1164</v>
      </c>
      <c r="C321" s="1" t="s">
        <v>1087</v>
      </c>
      <c r="D321" s="1" t="n">
        <v>143</v>
      </c>
      <c r="E321" s="1" t="n">
        <v>8.9</v>
      </c>
      <c r="F321" s="1" t="n">
        <f aca="false">6/5</f>
        <v>1.2</v>
      </c>
    </row>
    <row collapsed="false" customFormat="false" customHeight="false" hidden="false" ht="14.75" outlineLevel="0" r="322">
      <c r="A322" s="1" t="s">
        <v>1308</v>
      </c>
      <c r="B322" s="1" t="s">
        <v>1102</v>
      </c>
      <c r="C322" s="1" t="s">
        <v>1087</v>
      </c>
      <c r="D322" s="1" t="n">
        <v>339</v>
      </c>
      <c r="E322" s="1" t="n">
        <v>19.96</v>
      </c>
      <c r="F322" s="1" t="n">
        <v>3.3</v>
      </c>
    </row>
    <row collapsed="false" customFormat="false" customHeight="false" hidden="false" ht="14.75" outlineLevel="0" r="323">
      <c r="A323" s="1" t="s">
        <v>278</v>
      </c>
      <c r="B323" s="1" t="s">
        <v>1119</v>
      </c>
      <c r="C323" s="1" t="s">
        <v>1087</v>
      </c>
      <c r="D323" s="1" t="n">
        <v>293.6</v>
      </c>
      <c r="E323" s="1" t="n">
        <v>14.31</v>
      </c>
      <c r="F323" s="1" t="n">
        <f aca="false">30/11</f>
        <v>2.72727272727273</v>
      </c>
    </row>
    <row collapsed="false" customFormat="false" customHeight="false" hidden="false" ht="14.75" outlineLevel="0" r="324">
      <c r="A324" s="1" t="s">
        <v>611</v>
      </c>
      <c r="B324" s="1" t="s">
        <v>1119</v>
      </c>
      <c r="C324" s="1" t="s">
        <v>1087</v>
      </c>
      <c r="D324" s="1" t="n">
        <v>72</v>
      </c>
      <c r="E324" s="1" t="n">
        <v>5.31</v>
      </c>
      <c r="F324" s="1" t="n">
        <v>0.3</v>
      </c>
    </row>
    <row collapsed="false" customFormat="false" customHeight="false" hidden="false" ht="14.75" outlineLevel="0" r="325">
      <c r="A325" s="1" t="s">
        <v>951</v>
      </c>
      <c r="B325" s="1" t="s">
        <v>1119</v>
      </c>
      <c r="C325" s="1" t="s">
        <v>1087</v>
      </c>
      <c r="D325" s="1" t="n">
        <v>100</v>
      </c>
      <c r="E325" s="1" t="n">
        <v>7.3</v>
      </c>
      <c r="F325" s="1" t="n">
        <f aca="false">3/11</f>
        <v>0.272727272727273</v>
      </c>
    </row>
    <row collapsed="false" customFormat="false" customHeight="false" hidden="false" ht="14.75" outlineLevel="0" r="326">
      <c r="A326" s="1" t="s">
        <v>1309</v>
      </c>
      <c r="B326" s="1" t="s">
        <v>1127</v>
      </c>
      <c r="C326" s="1" t="s">
        <v>1087</v>
      </c>
      <c r="D326" s="1" t="n">
        <v>202.5</v>
      </c>
      <c r="E326" s="1" t="n">
        <v>13.66</v>
      </c>
      <c r="F326" s="1" t="n">
        <f aca="false">18/8</f>
        <v>2.25</v>
      </c>
    </row>
    <row collapsed="false" customFormat="false" customHeight="false" hidden="false" ht="14.75" outlineLevel="0" r="327">
      <c r="A327" s="1" t="s">
        <v>1310</v>
      </c>
      <c r="B327" s="1" t="s">
        <v>1086</v>
      </c>
      <c r="C327" s="1" t="s">
        <v>1087</v>
      </c>
      <c r="D327" s="1" t="n">
        <v>270.7</v>
      </c>
      <c r="E327" s="1" t="n">
        <v>14.93</v>
      </c>
      <c r="F327" s="1" t="n">
        <f aca="false">9/7</f>
        <v>1.28571428571429</v>
      </c>
    </row>
    <row collapsed="false" customFormat="false" customHeight="false" hidden="false" ht="14.75" outlineLevel="0" r="328">
      <c r="A328" s="1" t="s">
        <v>1311</v>
      </c>
      <c r="B328" s="1" t="s">
        <v>1086</v>
      </c>
      <c r="C328" s="1" t="s">
        <v>1087</v>
      </c>
      <c r="D328" s="1" t="n">
        <v>88.6</v>
      </c>
      <c r="E328" s="1" t="n">
        <v>11</v>
      </c>
      <c r="F328" s="1" t="n">
        <f aca="false">1/7</f>
        <v>0.142857142857143</v>
      </c>
    </row>
    <row collapsed="false" customFormat="false" customHeight="false" hidden="false" ht="14.75" outlineLevel="0" r="329">
      <c r="A329" s="1" t="s">
        <v>702</v>
      </c>
      <c r="B329" s="1" t="s">
        <v>1187</v>
      </c>
      <c r="C329" s="1" t="s">
        <v>1087</v>
      </c>
      <c r="D329" s="1" t="n">
        <v>348.5</v>
      </c>
      <c r="E329" s="1" t="n">
        <v>18.63</v>
      </c>
      <c r="F329" s="1" t="n">
        <v>1.8</v>
      </c>
    </row>
    <row collapsed="false" customFormat="false" customHeight="false" hidden="false" ht="14.75" outlineLevel="0" r="330">
      <c r="A330" s="1" t="s">
        <v>703</v>
      </c>
      <c r="B330" s="1" t="s">
        <v>1187</v>
      </c>
      <c r="C330" s="1" t="s">
        <v>1087</v>
      </c>
      <c r="D330" s="1" t="n">
        <v>166.4</v>
      </c>
      <c r="E330" s="1" t="n">
        <v>12.05</v>
      </c>
      <c r="F330" s="1" t="n">
        <f aca="false">10/7</f>
        <v>1.42857142857143</v>
      </c>
    </row>
    <row collapsed="false" customFormat="false" customHeight="false" hidden="false" ht="14.75" outlineLevel="0" r="331">
      <c r="A331" s="1" t="s">
        <v>279</v>
      </c>
      <c r="B331" s="1" t="s">
        <v>1102</v>
      </c>
      <c r="C331" s="1" t="s">
        <v>1087</v>
      </c>
      <c r="D331" s="1" t="n">
        <v>166.5</v>
      </c>
      <c r="E331" s="1" t="n">
        <v>13.38</v>
      </c>
      <c r="F331" s="1" t="n">
        <v>0.7</v>
      </c>
    </row>
    <row collapsed="false" customFormat="false" customHeight="false" hidden="false" ht="14.75" outlineLevel="0" r="332">
      <c r="A332" s="1" t="s">
        <v>280</v>
      </c>
      <c r="B332" s="1" t="s">
        <v>1102</v>
      </c>
      <c r="C332" s="1" t="s">
        <v>1087</v>
      </c>
      <c r="D332" s="1" t="n">
        <v>115</v>
      </c>
      <c r="E332" s="1" t="n">
        <v>9.17</v>
      </c>
      <c r="F332" s="1" t="n">
        <v>0.4</v>
      </c>
    </row>
    <row collapsed="false" customFormat="false" customHeight="false" hidden="false" ht="14.75" outlineLevel="0" r="333">
      <c r="A333" s="1" t="s">
        <v>281</v>
      </c>
      <c r="B333" s="1" t="s">
        <v>1102</v>
      </c>
      <c r="C333" s="1" t="s">
        <v>1087</v>
      </c>
      <c r="D333" s="1" t="n">
        <v>134</v>
      </c>
      <c r="E333" s="1" t="n">
        <v>10.45</v>
      </c>
      <c r="F333" s="1" t="n">
        <v>0.9</v>
      </c>
    </row>
    <row collapsed="false" customFormat="false" customHeight="false" hidden="false" ht="14.75" outlineLevel="0" r="334">
      <c r="A334" s="1" t="s">
        <v>1312</v>
      </c>
      <c r="B334" s="1" t="s">
        <v>1101</v>
      </c>
      <c r="C334" s="1" t="s">
        <v>1087</v>
      </c>
      <c r="D334" s="1" t="n">
        <v>217.5</v>
      </c>
      <c r="E334" s="1" t="n">
        <v>12.21</v>
      </c>
      <c r="F334" s="1" t="n">
        <v>1</v>
      </c>
    </row>
    <row collapsed="false" customFormat="false" customHeight="false" hidden="false" ht="14.75" outlineLevel="0" r="335">
      <c r="A335" s="1" t="s">
        <v>1313</v>
      </c>
      <c r="B335" s="1" t="s">
        <v>1089</v>
      </c>
      <c r="C335" s="1" t="s">
        <v>1087</v>
      </c>
      <c r="D335" s="1" t="n">
        <v>72.8</v>
      </c>
      <c r="E335" s="1" t="n">
        <v>6.22</v>
      </c>
      <c r="F335" s="1" t="n">
        <f aca="false">4/9</f>
        <v>0.444444444444444</v>
      </c>
    </row>
    <row collapsed="false" customFormat="false" customHeight="false" hidden="false" ht="14.75" outlineLevel="0" r="336">
      <c r="A336" s="1" t="s">
        <v>1314</v>
      </c>
      <c r="B336" s="1" t="s">
        <v>1100</v>
      </c>
      <c r="C336" s="1" t="s">
        <v>1087</v>
      </c>
      <c r="D336" s="1" t="n">
        <v>183.3</v>
      </c>
      <c r="E336" s="1" t="n">
        <v>12.32</v>
      </c>
      <c r="F336" s="1" t="n">
        <f aca="false">10/9</f>
        <v>1.11111111111111</v>
      </c>
    </row>
    <row collapsed="false" customFormat="false" customHeight="false" hidden="false" ht="14.75" outlineLevel="0" r="337">
      <c r="A337" s="1" t="s">
        <v>1315</v>
      </c>
      <c r="B337" s="1" t="s">
        <v>1101</v>
      </c>
      <c r="C337" s="1" t="s">
        <v>1087</v>
      </c>
      <c r="D337" s="1" t="n">
        <v>161.9</v>
      </c>
      <c r="E337" s="1" t="n">
        <v>7.37</v>
      </c>
      <c r="F337" s="1" t="n">
        <v>0.5</v>
      </c>
    </row>
    <row collapsed="false" customFormat="false" customHeight="false" hidden="false" ht="14.75" outlineLevel="0" r="338">
      <c r="A338" s="1" t="s">
        <v>30</v>
      </c>
      <c r="B338" s="1" t="s">
        <v>1093</v>
      </c>
      <c r="C338" s="1" t="s">
        <v>1087</v>
      </c>
      <c r="D338" s="1" t="n">
        <v>391.7</v>
      </c>
      <c r="E338" s="1" t="n">
        <v>18.64</v>
      </c>
      <c r="F338" s="1" t="n">
        <v>2.8</v>
      </c>
    </row>
    <row collapsed="false" customFormat="false" customHeight="false" hidden="false" ht="14.75" outlineLevel="0" r="339">
      <c r="A339" s="1" t="s">
        <v>31</v>
      </c>
      <c r="B339" s="1" t="s">
        <v>1093</v>
      </c>
      <c r="C339" s="1" t="s">
        <v>1087</v>
      </c>
      <c r="D339" s="1" t="n">
        <v>297.2</v>
      </c>
      <c r="E339" s="1" t="n">
        <v>14.36</v>
      </c>
      <c r="F339" s="1" t="n">
        <f aca="false">16/9</f>
        <v>1.77777777777778</v>
      </c>
    </row>
    <row collapsed="false" customFormat="false" customHeight="false" hidden="false" ht="14.75" outlineLevel="0" r="340">
      <c r="A340" s="1" t="s">
        <v>1316</v>
      </c>
      <c r="B340" s="1" t="s">
        <v>1093</v>
      </c>
      <c r="C340" s="1" t="s">
        <v>1087</v>
      </c>
      <c r="D340" s="1" t="n">
        <v>231.9</v>
      </c>
      <c r="E340" s="1" t="n">
        <v>12.53</v>
      </c>
      <c r="F340" s="1" t="n">
        <f aca="false">15/8</f>
        <v>1.875</v>
      </c>
    </row>
    <row collapsed="false" customFormat="false" customHeight="false" hidden="false" ht="14.75" outlineLevel="0" r="341">
      <c r="A341" s="1" t="s">
        <v>1317</v>
      </c>
      <c r="B341" s="1" t="s">
        <v>1097</v>
      </c>
      <c r="C341" s="1" t="s">
        <v>1087</v>
      </c>
      <c r="D341" s="1" t="n">
        <v>440.8</v>
      </c>
      <c r="E341" s="1" t="n">
        <v>21.69</v>
      </c>
      <c r="F341" s="1" t="n">
        <f aca="false">68/12</f>
        <v>5.66666666666667</v>
      </c>
    </row>
    <row collapsed="false" customFormat="false" customHeight="false" hidden="false" ht="14.75" outlineLevel="0" r="342">
      <c r="A342" s="1" t="s">
        <v>613</v>
      </c>
      <c r="B342" s="1" t="s">
        <v>1146</v>
      </c>
      <c r="C342" s="1" t="s">
        <v>1087</v>
      </c>
      <c r="D342" s="1" t="n">
        <v>441.5</v>
      </c>
      <c r="E342" s="1" t="n">
        <v>22.2</v>
      </c>
      <c r="F342" s="1" t="n">
        <v>4.7</v>
      </c>
    </row>
    <row collapsed="false" customFormat="false" customHeight="false" hidden="false" ht="14.75" outlineLevel="0" r="343">
      <c r="A343" s="1" t="s">
        <v>614</v>
      </c>
      <c r="B343" s="1" t="s">
        <v>1146</v>
      </c>
      <c r="C343" s="1" t="s">
        <v>1087</v>
      </c>
      <c r="D343" s="1" t="n">
        <v>241.1</v>
      </c>
      <c r="E343" s="1" t="n">
        <v>13.21</v>
      </c>
      <c r="F343" s="1" t="n">
        <f aca="false">23/9</f>
        <v>2.55555555555556</v>
      </c>
    </row>
    <row collapsed="false" customFormat="false" customHeight="false" hidden="false" ht="14.75" outlineLevel="0" r="344">
      <c r="A344" s="1" t="s">
        <v>615</v>
      </c>
      <c r="B344" s="1" t="s">
        <v>1146</v>
      </c>
      <c r="C344" s="1" t="s">
        <v>1087</v>
      </c>
      <c r="D344" s="1" t="n">
        <v>185.7</v>
      </c>
      <c r="E344" s="1" t="n">
        <v>9.53</v>
      </c>
      <c r="F344" s="1" t="n">
        <v>2</v>
      </c>
    </row>
    <row collapsed="false" customFormat="false" customHeight="false" hidden="false" ht="14.75" outlineLevel="0" r="345">
      <c r="A345" s="1" t="s">
        <v>1318</v>
      </c>
      <c r="B345" s="1" t="s">
        <v>1101</v>
      </c>
      <c r="C345" s="1" t="s">
        <v>1087</v>
      </c>
      <c r="D345" s="1" t="n">
        <v>195.6</v>
      </c>
      <c r="E345" s="1" t="n">
        <v>11.07</v>
      </c>
      <c r="F345" s="1" t="n">
        <v>0.375</v>
      </c>
    </row>
    <row collapsed="false" customFormat="false" customHeight="false" hidden="false" ht="14.75" outlineLevel="0" r="346">
      <c r="A346" s="1" t="s">
        <v>1319</v>
      </c>
      <c r="B346" s="1" t="s">
        <v>1101</v>
      </c>
      <c r="C346" s="1" t="s">
        <v>1087</v>
      </c>
      <c r="D346" s="1" t="n">
        <v>78.1</v>
      </c>
      <c r="E346" s="1" t="n">
        <v>5.67</v>
      </c>
      <c r="F346" s="1" t="n">
        <v>0.5</v>
      </c>
    </row>
    <row collapsed="false" customFormat="false" customHeight="false" hidden="false" ht="14.75" outlineLevel="0" r="347">
      <c r="A347" s="1" t="s">
        <v>397</v>
      </c>
      <c r="B347" s="1" t="s">
        <v>1101</v>
      </c>
      <c r="C347" s="1" t="s">
        <v>1087</v>
      </c>
      <c r="D347" s="1" t="n">
        <v>270.6</v>
      </c>
      <c r="E347" s="1" t="n">
        <v>12.96</v>
      </c>
      <c r="F347" s="1" t="n">
        <v>2.125</v>
      </c>
    </row>
    <row collapsed="false" customFormat="false" customHeight="false" hidden="false" ht="14.75" outlineLevel="0" r="348">
      <c r="A348" s="1" t="s">
        <v>398</v>
      </c>
      <c r="B348" s="1" t="s">
        <v>1101</v>
      </c>
      <c r="C348" s="1" t="s">
        <v>1087</v>
      </c>
      <c r="D348" s="1" t="n">
        <v>193.1</v>
      </c>
      <c r="E348" s="1" t="n">
        <v>11.02</v>
      </c>
      <c r="F348" s="1" t="n">
        <v>0.375</v>
      </c>
    </row>
    <row collapsed="false" customFormat="false" customHeight="false" hidden="false" ht="14.75" outlineLevel="0" r="349">
      <c r="A349" s="1" t="s">
        <v>1320</v>
      </c>
      <c r="B349" s="1" t="s">
        <v>1097</v>
      </c>
      <c r="C349" s="1" t="s">
        <v>1087</v>
      </c>
      <c r="D349" s="1" t="n">
        <v>220</v>
      </c>
      <c r="E349" s="1" t="n">
        <v>13.32</v>
      </c>
      <c r="F349" s="1" t="n">
        <v>1.8</v>
      </c>
    </row>
    <row collapsed="false" customFormat="false" customHeight="false" hidden="false" ht="14.75" outlineLevel="0" r="350">
      <c r="A350" s="1" t="s">
        <v>1321</v>
      </c>
      <c r="B350" s="1" t="s">
        <v>1106</v>
      </c>
      <c r="C350" s="1" t="s">
        <v>1087</v>
      </c>
      <c r="D350" s="1" t="n">
        <v>213.3</v>
      </c>
      <c r="E350" s="1" t="n">
        <v>10.51</v>
      </c>
      <c r="F350" s="1" t="n">
        <f aca="false">10/9</f>
        <v>1.11111111111111</v>
      </c>
    </row>
    <row collapsed="false" customFormat="false" customHeight="false" hidden="false" ht="14.75" outlineLevel="0" r="351">
      <c r="A351" s="1" t="s">
        <v>1322</v>
      </c>
      <c r="B351" s="1" t="s">
        <v>1106</v>
      </c>
      <c r="C351" s="1" t="s">
        <v>1087</v>
      </c>
      <c r="D351" s="1" t="n">
        <v>176.9</v>
      </c>
      <c r="E351" s="1" t="n">
        <v>9.14</v>
      </c>
      <c r="F351" s="1" t="n">
        <v>1.5</v>
      </c>
    </row>
    <row collapsed="false" customFormat="false" customHeight="false" hidden="false" ht="14.75" outlineLevel="0" r="352">
      <c r="A352" s="1" t="s">
        <v>178</v>
      </c>
      <c r="B352" s="1" t="s">
        <v>1100</v>
      </c>
      <c r="C352" s="1" t="s">
        <v>1087</v>
      </c>
      <c r="D352" s="1" t="n">
        <v>373</v>
      </c>
      <c r="E352" s="1" t="n">
        <v>20.3</v>
      </c>
      <c r="F352" s="1" t="n">
        <v>4.8</v>
      </c>
    </row>
    <row collapsed="false" customFormat="false" customHeight="false" hidden="false" ht="14.75" outlineLevel="0" r="353">
      <c r="A353" s="1" t="s">
        <v>179</v>
      </c>
      <c r="B353" s="1" t="s">
        <v>1101</v>
      </c>
      <c r="C353" s="1" t="s">
        <v>1087</v>
      </c>
      <c r="D353" s="1" t="n">
        <v>319.4</v>
      </c>
      <c r="E353" s="1" t="n">
        <v>17.12</v>
      </c>
      <c r="F353" s="1" t="n">
        <v>3.125</v>
      </c>
    </row>
    <row collapsed="false" customFormat="false" customHeight="false" hidden="false" ht="14.75" outlineLevel="0" r="354">
      <c r="A354" s="1" t="s">
        <v>1323</v>
      </c>
      <c r="B354" s="1" t="s">
        <v>1106</v>
      </c>
      <c r="C354" s="1" t="s">
        <v>1087</v>
      </c>
      <c r="D354" s="1" t="n">
        <v>200.6</v>
      </c>
      <c r="E354" s="1" t="n">
        <v>9.44</v>
      </c>
      <c r="F354" s="1" t="n">
        <f aca="false">14/9</f>
        <v>1.55555555555556</v>
      </c>
    </row>
    <row collapsed="false" customFormat="false" customHeight="false" hidden="false" ht="14.75" outlineLevel="0" r="355">
      <c r="A355" s="1" t="s">
        <v>1069</v>
      </c>
      <c r="B355" s="1" t="s">
        <v>1146</v>
      </c>
      <c r="C355" s="1" t="s">
        <v>1087</v>
      </c>
      <c r="D355" s="1" t="n">
        <v>93.6</v>
      </c>
      <c r="E355" s="1" t="n">
        <v>7.95</v>
      </c>
      <c r="F355" s="1" t="n">
        <v>1</v>
      </c>
    </row>
    <row collapsed="false" customFormat="false" customHeight="false" hidden="false" ht="14.75" outlineLevel="0" r="356">
      <c r="A356" s="1" t="s">
        <v>1324</v>
      </c>
      <c r="B356" s="1" t="s">
        <v>1093</v>
      </c>
      <c r="C356" s="1" t="s">
        <v>1087</v>
      </c>
      <c r="D356" s="1" t="n">
        <v>167.9</v>
      </c>
      <c r="E356" s="1" t="n">
        <v>10.7</v>
      </c>
      <c r="F356" s="1" t="n">
        <f aca="false">5/7</f>
        <v>0.714285714285714</v>
      </c>
    </row>
    <row collapsed="false" customFormat="false" customHeight="false" hidden="false" ht="14.75" outlineLevel="0" r="357">
      <c r="A357" s="1" t="s">
        <v>1325</v>
      </c>
      <c r="B357" s="1" t="s">
        <v>1110</v>
      </c>
      <c r="C357" s="1" t="s">
        <v>1087</v>
      </c>
      <c r="D357" s="1" t="n">
        <v>196.2</v>
      </c>
      <c r="E357" s="1" t="n">
        <v>10.17</v>
      </c>
      <c r="F357" s="1" t="n">
        <f aca="false">6/8</f>
        <v>0.75</v>
      </c>
    </row>
    <row collapsed="false" customFormat="false" customHeight="false" hidden="false" ht="14.75" outlineLevel="0" r="358">
      <c r="A358" s="1" t="s">
        <v>1326</v>
      </c>
      <c r="B358" s="1" t="s">
        <v>1102</v>
      </c>
      <c r="C358" s="1" t="s">
        <v>1087</v>
      </c>
      <c r="D358" s="1" t="n">
        <v>355.5</v>
      </c>
      <c r="E358" s="1" t="n">
        <v>21.23</v>
      </c>
      <c r="F358" s="1" t="n">
        <v>4.6</v>
      </c>
    </row>
    <row collapsed="false" customFormat="false" customHeight="false" hidden="false" ht="14.75" outlineLevel="0" r="359">
      <c r="A359" s="1" t="s">
        <v>1327</v>
      </c>
      <c r="B359" s="1" t="s">
        <v>1106</v>
      </c>
      <c r="C359" s="1" t="s">
        <v>1087</v>
      </c>
      <c r="D359" s="1" t="n">
        <v>259.4</v>
      </c>
      <c r="E359" s="1" t="n">
        <v>12.76</v>
      </c>
      <c r="F359" s="1" t="n">
        <f aca="false">12/9</f>
        <v>1.33333333333333</v>
      </c>
    </row>
    <row collapsed="false" customFormat="false" customHeight="false" hidden="false" ht="14.75" outlineLevel="0" r="360">
      <c r="A360" s="1" t="s">
        <v>1328</v>
      </c>
      <c r="B360" s="1" t="s">
        <v>1106</v>
      </c>
      <c r="C360" s="1" t="s">
        <v>1087</v>
      </c>
      <c r="D360" s="1" t="n">
        <v>159.4</v>
      </c>
      <c r="E360" s="1" t="n">
        <v>8.77</v>
      </c>
      <c r="F360" s="1" t="n">
        <f aca="false">4/8</f>
        <v>0.5</v>
      </c>
    </row>
    <row collapsed="false" customFormat="false" customHeight="false" hidden="false" ht="14.75" outlineLevel="0" r="361">
      <c r="A361" s="1" t="s">
        <v>1329</v>
      </c>
      <c r="B361" s="1" t="s">
        <v>1093</v>
      </c>
      <c r="C361" s="1" t="s">
        <v>1087</v>
      </c>
      <c r="D361" s="1" t="n">
        <v>235</v>
      </c>
      <c r="E361" s="1" t="n">
        <v>12.84</v>
      </c>
      <c r="F361" s="1" t="n">
        <f aca="false">16/8</f>
        <v>2</v>
      </c>
    </row>
    <row collapsed="false" customFormat="false" customHeight="false" hidden="false" ht="14.75" outlineLevel="0" r="362">
      <c r="A362" s="1" t="s">
        <v>1330</v>
      </c>
      <c r="B362" s="1" t="s">
        <v>1093</v>
      </c>
      <c r="C362" s="1" t="s">
        <v>1087</v>
      </c>
      <c r="D362" s="1" t="n">
        <v>283.1</v>
      </c>
      <c r="E362" s="1" t="n">
        <v>16.16</v>
      </c>
      <c r="F362" s="1" t="n">
        <f aca="false">13/8</f>
        <v>1.625</v>
      </c>
    </row>
    <row collapsed="false" customFormat="false" customHeight="false" hidden="false" ht="14.75" outlineLevel="0" r="363">
      <c r="A363" s="1" t="s">
        <v>1331</v>
      </c>
      <c r="B363" s="1" t="s">
        <v>1093</v>
      </c>
      <c r="C363" s="1" t="s">
        <v>1087</v>
      </c>
      <c r="D363" s="1" t="n">
        <v>75</v>
      </c>
      <c r="E363" s="1" t="n">
        <v>6.17</v>
      </c>
      <c r="F363" s="1" t="n">
        <v>0.5</v>
      </c>
    </row>
    <row collapsed="false" customFormat="false" customHeight="false" hidden="false" ht="14.75" outlineLevel="0" r="364">
      <c r="A364" s="1" t="s">
        <v>1332</v>
      </c>
      <c r="B364" s="1" t="s">
        <v>1101</v>
      </c>
      <c r="C364" s="1" t="s">
        <v>1087</v>
      </c>
      <c r="D364" s="1" t="n">
        <v>167.5</v>
      </c>
      <c r="E364" s="1" t="n">
        <v>8.28</v>
      </c>
      <c r="F364" s="1" t="n">
        <v>0.875</v>
      </c>
    </row>
    <row collapsed="false" customFormat="false" customHeight="false" hidden="false" ht="14.75" outlineLevel="0" r="365">
      <c r="A365" s="1" t="s">
        <v>282</v>
      </c>
      <c r="B365" s="1" t="s">
        <v>1102</v>
      </c>
      <c r="C365" s="1" t="s">
        <v>1087</v>
      </c>
      <c r="D365" s="1" t="n">
        <v>157</v>
      </c>
      <c r="E365" s="1" t="n">
        <v>11.62</v>
      </c>
      <c r="F365" s="1" t="n">
        <v>0.6</v>
      </c>
    </row>
    <row collapsed="false" customFormat="false" customHeight="false" hidden="false" ht="14.75" outlineLevel="0" r="366">
      <c r="A366" s="1" t="s">
        <v>620</v>
      </c>
      <c r="B366" s="1" t="s">
        <v>1127</v>
      </c>
      <c r="C366" s="1" t="s">
        <v>1087</v>
      </c>
      <c r="D366" s="1" t="n">
        <v>311.1</v>
      </c>
      <c r="E366" s="1" t="n">
        <v>17.45</v>
      </c>
      <c r="F366" s="1" t="n">
        <f aca="false">24/9</f>
        <v>2.66666666666667</v>
      </c>
    </row>
    <row collapsed="false" customFormat="false" customHeight="false" hidden="false" ht="14.75" outlineLevel="0" r="367">
      <c r="A367" s="1" t="s">
        <v>621</v>
      </c>
      <c r="B367" s="1" t="s">
        <v>1127</v>
      </c>
      <c r="C367" s="1" t="s">
        <v>1087</v>
      </c>
      <c r="D367" s="1" t="n">
        <v>189</v>
      </c>
      <c r="E367" s="1" t="n">
        <v>12.99</v>
      </c>
      <c r="F367" s="1" t="n">
        <v>1.4</v>
      </c>
    </row>
    <row collapsed="false" customFormat="false" customHeight="false" hidden="false" ht="14.75" outlineLevel="0" r="368">
      <c r="A368" s="1" t="s">
        <v>1333</v>
      </c>
      <c r="B368" s="1" t="s">
        <v>1086</v>
      </c>
      <c r="C368" s="1" t="s">
        <v>1087</v>
      </c>
      <c r="D368" s="1" t="n">
        <v>122.9</v>
      </c>
      <c r="E368" s="1" t="n">
        <v>8.3</v>
      </c>
      <c r="F368" s="1" t="n">
        <f aca="false">6/7</f>
        <v>0.857142857142857</v>
      </c>
    </row>
    <row collapsed="false" customFormat="false" customHeight="false" hidden="false" ht="14.75" outlineLevel="0" r="369">
      <c r="A369" s="1" t="s">
        <v>182</v>
      </c>
      <c r="B369" s="1" t="s">
        <v>1164</v>
      </c>
      <c r="C369" s="1" t="s">
        <v>1087</v>
      </c>
      <c r="D369" s="1" t="n">
        <v>34</v>
      </c>
      <c r="E369" s="1" t="n">
        <v>7</v>
      </c>
      <c r="F369" s="1" t="n">
        <v>0</v>
      </c>
    </row>
    <row collapsed="false" customFormat="false" customHeight="false" hidden="false" ht="14.75" outlineLevel="0" r="370">
      <c r="A370" s="1" t="s">
        <v>1334</v>
      </c>
      <c r="B370" s="1" t="s">
        <v>1127</v>
      </c>
      <c r="C370" s="1" t="s">
        <v>1087</v>
      </c>
      <c r="D370" s="1" t="n">
        <v>42.8</v>
      </c>
      <c r="E370" s="1" t="n">
        <v>3.67</v>
      </c>
      <c r="F370" s="1" t="n">
        <f aca="false">5/9</f>
        <v>0.555555555555556</v>
      </c>
    </row>
    <row collapsed="false" customFormat="false" customHeight="false" hidden="false" ht="14.75" outlineLevel="0" r="371">
      <c r="A371" s="1" t="s">
        <v>1335</v>
      </c>
      <c r="B371" s="1" t="s">
        <v>1127</v>
      </c>
      <c r="C371" s="1" t="s">
        <v>1087</v>
      </c>
      <c r="D371" s="1" t="n">
        <v>34.4</v>
      </c>
      <c r="E371" s="1" t="n">
        <v>6.5</v>
      </c>
      <c r="F371" s="1" t="n">
        <f aca="false">3/9</f>
        <v>0.333333333333333</v>
      </c>
    </row>
    <row collapsed="false" customFormat="false" customHeight="false" hidden="false" ht="14.75" outlineLevel="0" r="372">
      <c r="A372" s="1" t="s">
        <v>1336</v>
      </c>
      <c r="B372" s="1" t="s">
        <v>1146</v>
      </c>
      <c r="C372" s="1" t="s">
        <v>1087</v>
      </c>
      <c r="D372" s="1" t="n">
        <v>13.3</v>
      </c>
      <c r="E372" s="1" t="n">
        <v>0</v>
      </c>
      <c r="F372" s="1" t="n">
        <v>0</v>
      </c>
    </row>
    <row collapsed="false" customFormat="false" customHeight="false" hidden="false" ht="14.75" outlineLevel="0" r="373">
      <c r="A373" s="1" t="s">
        <v>1337</v>
      </c>
      <c r="B373" s="1" t="s">
        <v>1121</v>
      </c>
      <c r="C373" s="1" t="s">
        <v>1087</v>
      </c>
      <c r="D373" s="1" t="n">
        <v>511</v>
      </c>
      <c r="E373" s="1" t="n">
        <v>22</v>
      </c>
      <c r="F373" s="1" t="s">
        <v>9</v>
      </c>
    </row>
    <row collapsed="false" customFormat="false" customHeight="false" hidden="false" ht="14.75" outlineLevel="0" r="374">
      <c r="A374" s="1" t="s">
        <v>1338</v>
      </c>
      <c r="B374" s="1" t="s">
        <v>1089</v>
      </c>
      <c r="C374" s="1" t="s">
        <v>1087</v>
      </c>
      <c r="D374" s="1" t="n">
        <v>121.3</v>
      </c>
      <c r="E374" s="1" t="n">
        <v>7.46</v>
      </c>
      <c r="F374" s="1" t="n">
        <v>0.7</v>
      </c>
    </row>
    <row collapsed="false" customFormat="false" customHeight="false" hidden="false" ht="14.75" outlineLevel="0" r="375">
      <c r="A375" s="1" t="s">
        <v>1339</v>
      </c>
      <c r="B375" s="1" t="s">
        <v>1086</v>
      </c>
      <c r="C375" s="1" t="s">
        <v>1087</v>
      </c>
      <c r="D375" s="1" t="n">
        <v>154.3</v>
      </c>
      <c r="E375" s="1" t="n">
        <v>8.5</v>
      </c>
      <c r="F375" s="1" t="n">
        <f aca="false">6/7</f>
        <v>0.857142857142857</v>
      </c>
    </row>
    <row collapsed="false" customFormat="false" customHeight="false" hidden="false" ht="14.75" outlineLevel="0" r="376">
      <c r="A376" s="1" t="s">
        <v>1340</v>
      </c>
      <c r="B376" s="1" t="s">
        <v>1102</v>
      </c>
      <c r="C376" s="1" t="s">
        <v>1087</v>
      </c>
      <c r="D376" s="1" t="n">
        <v>248.5</v>
      </c>
      <c r="E376" s="1" t="n">
        <v>16.33</v>
      </c>
      <c r="F376" s="1" t="n">
        <v>2.1</v>
      </c>
    </row>
    <row collapsed="false" customFormat="false" customHeight="false" hidden="false" ht="14.75" outlineLevel="0" r="377">
      <c r="A377" s="1" t="s">
        <v>627</v>
      </c>
      <c r="B377" s="1" t="s">
        <v>1102</v>
      </c>
      <c r="C377" s="1" t="s">
        <v>1087</v>
      </c>
      <c r="D377" s="1" t="n">
        <v>416</v>
      </c>
      <c r="E377" s="1" t="n">
        <v>22.36</v>
      </c>
      <c r="F377" s="1" t="n">
        <v>4.7</v>
      </c>
    </row>
    <row collapsed="false" customFormat="false" customHeight="false" hidden="false" ht="14.75" outlineLevel="0" r="378">
      <c r="A378" s="1" t="s">
        <v>413</v>
      </c>
      <c r="B378" s="1" t="s">
        <v>1100</v>
      </c>
      <c r="C378" s="1" t="s">
        <v>1087</v>
      </c>
      <c r="D378" s="1" t="n">
        <v>288.3</v>
      </c>
      <c r="E378" s="1" t="n">
        <v>16.35</v>
      </c>
      <c r="F378" s="1" t="n">
        <f aca="false">22/9</f>
        <v>2.44444444444444</v>
      </c>
    </row>
    <row collapsed="false" customFormat="false" customHeight="false" hidden="false" ht="14.75" outlineLevel="0" r="379">
      <c r="A379" s="1" t="s">
        <v>414</v>
      </c>
      <c r="B379" s="1" t="s">
        <v>1101</v>
      </c>
      <c r="C379" s="1" t="s">
        <v>1087</v>
      </c>
      <c r="D379" s="1" t="n">
        <v>137.5</v>
      </c>
      <c r="E379" s="1" t="n">
        <v>5.96</v>
      </c>
      <c r="F379" s="1" t="n">
        <v>0.5</v>
      </c>
    </row>
    <row collapsed="false" customFormat="false" customHeight="false" hidden="false" ht="14.75" outlineLevel="0" r="380">
      <c r="A380" s="1" t="s">
        <v>1341</v>
      </c>
      <c r="B380" s="1" t="s">
        <v>1164</v>
      </c>
      <c r="C380" s="1" t="s">
        <v>1087</v>
      </c>
      <c r="D380" s="1" t="n">
        <v>162</v>
      </c>
      <c r="E380" s="1" t="n">
        <v>13.06</v>
      </c>
      <c r="F380" s="1" t="n">
        <f aca="false">3/5</f>
        <v>0.6</v>
      </c>
    </row>
    <row collapsed="false" customFormat="false" customHeight="false" hidden="false" ht="14.75" outlineLevel="0" r="381">
      <c r="A381" s="1" t="s">
        <v>1342</v>
      </c>
      <c r="B381" s="1" t="s">
        <v>1101</v>
      </c>
      <c r="C381" s="1" t="s">
        <v>1087</v>
      </c>
      <c r="D381" s="1" t="n">
        <v>146.9</v>
      </c>
      <c r="E381" s="1" t="n">
        <v>7.36</v>
      </c>
      <c r="F381" s="1" t="n">
        <v>0.5</v>
      </c>
    </row>
    <row collapsed="false" customFormat="false" customHeight="false" hidden="false" ht="14.75" outlineLevel="0" r="382">
      <c r="A382" s="1" t="s">
        <v>1343</v>
      </c>
      <c r="B382" s="1" t="s">
        <v>1089</v>
      </c>
      <c r="C382" s="1" t="s">
        <v>1087</v>
      </c>
      <c r="D382" s="1" t="n">
        <v>369.5</v>
      </c>
      <c r="E382" s="1" t="n">
        <v>18.99</v>
      </c>
      <c r="F382" s="1" t="n">
        <f aca="false">25/11</f>
        <v>2.27272727272727</v>
      </c>
    </row>
    <row collapsed="false" customFormat="false" customHeight="false" hidden="false" ht="14.75" outlineLevel="0" r="383">
      <c r="A383" s="1" t="s">
        <v>1344</v>
      </c>
      <c r="B383" s="1" t="s">
        <v>1089</v>
      </c>
      <c r="C383" s="1" t="s">
        <v>1087</v>
      </c>
      <c r="D383" s="1" t="n">
        <v>242.7</v>
      </c>
      <c r="E383" s="1" t="n">
        <v>14.1</v>
      </c>
      <c r="F383" s="1" t="n">
        <f aca="false">15/11</f>
        <v>1.36363636363636</v>
      </c>
    </row>
    <row collapsed="false" customFormat="false" customHeight="false" hidden="false" ht="14.75" outlineLevel="0" r="384">
      <c r="A384" s="1" t="s">
        <v>628</v>
      </c>
      <c r="B384" s="1" t="s">
        <v>1127</v>
      </c>
      <c r="C384" s="1" t="s">
        <v>1087</v>
      </c>
      <c r="D384" s="1" t="n">
        <v>202.5</v>
      </c>
      <c r="E384" s="1" t="n">
        <v>13.38</v>
      </c>
      <c r="F384" s="1" t="n">
        <f aca="false">18/8</f>
        <v>2.25</v>
      </c>
    </row>
    <row collapsed="false" customFormat="false" customHeight="false" hidden="false" ht="14.75" outlineLevel="0" r="385">
      <c r="A385" s="1" t="s">
        <v>629</v>
      </c>
      <c r="B385" s="1" t="s">
        <v>1127</v>
      </c>
      <c r="C385" s="1" t="s">
        <v>1087</v>
      </c>
      <c r="D385" s="1" t="n">
        <v>171.9</v>
      </c>
      <c r="E385" s="1" t="n">
        <v>11.92</v>
      </c>
      <c r="F385" s="1" t="n">
        <f aca="false">9/8</f>
        <v>1.125</v>
      </c>
    </row>
    <row collapsed="false" customFormat="false" customHeight="false" hidden="false" ht="14.75" outlineLevel="0" r="386">
      <c r="A386" s="1" t="s">
        <v>419</v>
      </c>
      <c r="B386" s="1" t="s">
        <v>1101</v>
      </c>
      <c r="C386" s="1" t="s">
        <v>1087</v>
      </c>
      <c r="D386" s="1" t="n">
        <v>214.4</v>
      </c>
      <c r="E386" s="1" t="n">
        <v>9.58</v>
      </c>
      <c r="F386" s="1" t="n">
        <v>1.375</v>
      </c>
    </row>
    <row collapsed="false" customFormat="false" customHeight="false" hidden="false" ht="14.75" outlineLevel="0" r="387">
      <c r="A387" s="1" t="s">
        <v>190</v>
      </c>
      <c r="B387" s="1" t="s">
        <v>1100</v>
      </c>
      <c r="C387" s="1" t="s">
        <v>1087</v>
      </c>
      <c r="D387" s="1" t="n">
        <v>298.3</v>
      </c>
      <c r="E387" s="1" t="n">
        <v>18.38</v>
      </c>
      <c r="F387" s="1" t="n">
        <f aca="false">30/9</f>
        <v>3.33333333333333</v>
      </c>
    </row>
    <row collapsed="false" customFormat="false" customHeight="false" hidden="false" ht="14.75" outlineLevel="0" r="388">
      <c r="A388" s="1" t="s">
        <v>191</v>
      </c>
      <c r="B388" s="1" t="s">
        <v>1101</v>
      </c>
      <c r="C388" s="1" t="s">
        <v>1087</v>
      </c>
      <c r="D388" s="1" t="n">
        <v>273.1</v>
      </c>
      <c r="E388" s="1" t="n">
        <v>14.19</v>
      </c>
      <c r="F388" s="1" t="n">
        <v>2.875</v>
      </c>
    </row>
    <row collapsed="false" customFormat="false" customHeight="false" hidden="false" ht="14.75" outlineLevel="0" r="389">
      <c r="A389" s="1" t="s">
        <v>420</v>
      </c>
      <c r="B389" s="1" t="s">
        <v>1101</v>
      </c>
      <c r="C389" s="1" t="s">
        <v>1087</v>
      </c>
      <c r="D389" s="1" t="n">
        <v>109.4</v>
      </c>
      <c r="E389" s="1" t="n">
        <v>8.08</v>
      </c>
      <c r="F389" s="1" t="n">
        <v>0.75</v>
      </c>
    </row>
    <row collapsed="false" customFormat="false" customHeight="false" hidden="false" ht="14.75" outlineLevel="0" r="390">
      <c r="A390" s="1" t="s">
        <v>1345</v>
      </c>
      <c r="B390" s="1" t="s">
        <v>1101</v>
      </c>
      <c r="C390" s="1" t="s">
        <v>1087</v>
      </c>
      <c r="D390" s="1" t="n">
        <v>125.6</v>
      </c>
      <c r="E390" s="1" t="n">
        <v>7.07</v>
      </c>
      <c r="F390" s="1" t="n">
        <v>0.5</v>
      </c>
    </row>
    <row collapsed="false" customFormat="false" customHeight="false" hidden="false" ht="14.75" outlineLevel="0" r="391">
      <c r="A391" s="1" t="s">
        <v>421</v>
      </c>
      <c r="B391" s="1" t="s">
        <v>1100</v>
      </c>
      <c r="C391" s="1" t="s">
        <v>1087</v>
      </c>
      <c r="D391" s="1" t="n">
        <v>340.6</v>
      </c>
      <c r="E391" s="1" t="n">
        <v>19.23</v>
      </c>
      <c r="F391" s="1" t="n">
        <f aca="false">21/9</f>
        <v>2.33333333333333</v>
      </c>
    </row>
    <row collapsed="false" customFormat="false" customHeight="false" hidden="false" ht="14.75" outlineLevel="0" r="392">
      <c r="A392" s="1" t="s">
        <v>422</v>
      </c>
      <c r="B392" s="1" t="s">
        <v>1101</v>
      </c>
      <c r="C392" s="1" t="s">
        <v>1087</v>
      </c>
      <c r="D392" s="1" t="n">
        <v>126.9</v>
      </c>
      <c r="E392" s="1" t="n">
        <v>7.56</v>
      </c>
      <c r="F392" s="1" t="n">
        <v>0.625</v>
      </c>
    </row>
    <row collapsed="false" customFormat="false" customHeight="false" hidden="false" ht="14.75" outlineLevel="0" r="393">
      <c r="A393" s="1" t="s">
        <v>1346</v>
      </c>
      <c r="B393" s="1" t="s">
        <v>1097</v>
      </c>
      <c r="C393" s="1" t="s">
        <v>1087</v>
      </c>
      <c r="D393" s="1" t="n">
        <v>315</v>
      </c>
      <c r="E393" s="1" t="n">
        <v>19.81</v>
      </c>
      <c r="F393" s="1" t="n">
        <f aca="false">39/11</f>
        <v>3.54545454545455</v>
      </c>
    </row>
    <row collapsed="false" customFormat="false" customHeight="false" hidden="false" ht="14.75" outlineLevel="0" r="394">
      <c r="A394" s="1" t="s">
        <v>1347</v>
      </c>
      <c r="B394" s="1" t="s">
        <v>1097</v>
      </c>
      <c r="C394" s="1" t="s">
        <v>1087</v>
      </c>
      <c r="D394" s="1" t="n">
        <v>198</v>
      </c>
      <c r="E394" s="1" t="n">
        <v>13</v>
      </c>
      <c r="F394" s="1" t="n">
        <v>1.5</v>
      </c>
    </row>
    <row collapsed="false" customFormat="false" customHeight="false" hidden="false" ht="14.75" outlineLevel="0" r="395">
      <c r="A395" s="1" t="s">
        <v>1348</v>
      </c>
      <c r="B395" s="1" t="s">
        <v>1097</v>
      </c>
      <c r="C395" s="1" t="s">
        <v>1087</v>
      </c>
      <c r="D395" s="1" t="n">
        <v>186</v>
      </c>
      <c r="E395" s="1" t="n">
        <v>11.67</v>
      </c>
      <c r="F395" s="1" t="n">
        <v>1.2</v>
      </c>
    </row>
    <row collapsed="false" customFormat="false" customHeight="false" hidden="false" ht="14.75" outlineLevel="0" r="396">
      <c r="A396" s="1" t="s">
        <v>1349</v>
      </c>
      <c r="B396" s="1" t="s">
        <v>1097</v>
      </c>
      <c r="C396" s="1" t="s">
        <v>1087</v>
      </c>
      <c r="D396" s="1" t="n">
        <v>41.4</v>
      </c>
      <c r="E396" s="1" t="n">
        <v>2.5</v>
      </c>
      <c r="F396" s="1" t="n">
        <f aca="false">2/7</f>
        <v>0.285714285714286</v>
      </c>
    </row>
    <row collapsed="false" customFormat="false" customHeight="false" hidden="false" ht="14.75" outlineLevel="0" r="397">
      <c r="A397" s="1" t="s">
        <v>1350</v>
      </c>
      <c r="B397" s="1" t="s">
        <v>1146</v>
      </c>
      <c r="C397" s="1" t="s">
        <v>1087</v>
      </c>
      <c r="D397" s="1" t="n">
        <v>129.3</v>
      </c>
      <c r="E397" s="1" t="n">
        <v>9.89</v>
      </c>
      <c r="F397" s="1" t="n">
        <f aca="false">12/7</f>
        <v>1.71428571428571</v>
      </c>
    </row>
    <row collapsed="false" customFormat="false" customHeight="false" hidden="false" ht="14.75" outlineLevel="0" r="398">
      <c r="A398" s="1" t="s">
        <v>1351</v>
      </c>
      <c r="B398" s="1" t="s">
        <v>1146</v>
      </c>
      <c r="C398" s="1" t="s">
        <v>1087</v>
      </c>
      <c r="D398" s="1" t="n">
        <v>103.3</v>
      </c>
      <c r="E398" s="1" t="n">
        <v>8.82</v>
      </c>
      <c r="F398" s="1" t="n">
        <f aca="false">3/7</f>
        <v>0.428571428571429</v>
      </c>
    </row>
    <row collapsed="false" customFormat="false" customHeight="false" hidden="false" ht="14.75" outlineLevel="0" r="399">
      <c r="A399" s="1" t="s">
        <v>1352</v>
      </c>
      <c r="B399" s="1" t="s">
        <v>1089</v>
      </c>
      <c r="C399" s="1" t="s">
        <v>1087</v>
      </c>
      <c r="D399" s="1" t="n">
        <v>119.1</v>
      </c>
      <c r="E399" s="1" t="n">
        <v>7.34</v>
      </c>
      <c r="F399" s="1" t="n">
        <v>1.1</v>
      </c>
    </row>
    <row collapsed="false" customFormat="false" customHeight="false" hidden="false" ht="14.75" outlineLevel="0" r="400">
      <c r="A400" s="1" t="s">
        <v>1353</v>
      </c>
      <c r="B400" s="1" t="s">
        <v>1089</v>
      </c>
      <c r="C400" s="1" t="s">
        <v>1087</v>
      </c>
      <c r="D400" s="1" t="n">
        <v>36.1</v>
      </c>
      <c r="E400" s="1" t="n">
        <v>3.96</v>
      </c>
      <c r="F400" s="1" t="n">
        <f aca="false">2/9</f>
        <v>0.222222222222222</v>
      </c>
    </row>
    <row collapsed="false" customFormat="false" customHeight="false" hidden="false" ht="14.75" outlineLevel="0" r="401">
      <c r="A401" s="1" t="s">
        <v>1354</v>
      </c>
      <c r="B401" s="1" t="s">
        <v>1106</v>
      </c>
      <c r="C401" s="1" t="s">
        <v>1087</v>
      </c>
      <c r="D401" s="1" t="n">
        <v>81.2</v>
      </c>
      <c r="E401" s="1" t="n">
        <v>2.33</v>
      </c>
      <c r="F401" s="1" t="n">
        <v>0.5</v>
      </c>
    </row>
    <row collapsed="false" customFormat="false" customHeight="false" hidden="false" ht="14.75" outlineLevel="0" r="402">
      <c r="A402" s="1" t="s">
        <v>1355</v>
      </c>
      <c r="B402" s="1" t="s">
        <v>1093</v>
      </c>
      <c r="C402" s="1" t="s">
        <v>1087</v>
      </c>
      <c r="D402" s="1" t="n">
        <v>39.2</v>
      </c>
      <c r="E402" s="1" t="n">
        <v>4.38</v>
      </c>
      <c r="F402" s="1" t="n">
        <f aca="false">1/6</f>
        <v>0.166666666666667</v>
      </c>
    </row>
    <row collapsed="false" customFormat="false" customHeight="false" hidden="false" ht="14.75" outlineLevel="0" r="403">
      <c r="A403" s="1" t="s">
        <v>1356</v>
      </c>
      <c r="B403" s="1" t="s">
        <v>1093</v>
      </c>
      <c r="C403" s="1" t="s">
        <v>1087</v>
      </c>
      <c r="D403" s="1" t="n">
        <v>20</v>
      </c>
      <c r="E403" s="1" t="n">
        <v>2</v>
      </c>
      <c r="F403" s="1" t="n">
        <v>0</v>
      </c>
    </row>
    <row collapsed="false" customFormat="false" customHeight="false" hidden="false" ht="14.75" outlineLevel="0" r="404">
      <c r="A404" s="1" t="s">
        <v>1357</v>
      </c>
      <c r="B404" s="1" t="s">
        <v>1146</v>
      </c>
      <c r="C404" s="1" t="s">
        <v>1087</v>
      </c>
      <c r="D404" s="1" t="n">
        <v>166.9</v>
      </c>
      <c r="E404" s="1" t="n">
        <v>12.83</v>
      </c>
      <c r="F404" s="1" t="n">
        <v>0.5</v>
      </c>
    </row>
    <row collapsed="false" customFormat="false" customHeight="false" hidden="false" ht="14.75" outlineLevel="0" r="405">
      <c r="A405" s="1" t="s">
        <v>1358</v>
      </c>
      <c r="B405" s="1" t="s">
        <v>1146</v>
      </c>
      <c r="C405" s="1" t="s">
        <v>1087</v>
      </c>
      <c r="D405" s="1" t="n">
        <v>119.2</v>
      </c>
      <c r="E405" s="1" t="n">
        <v>7.56</v>
      </c>
      <c r="F405" s="1" t="n">
        <f aca="false">3/7</f>
        <v>0.428571428571429</v>
      </c>
    </row>
    <row collapsed="false" customFormat="false" customHeight="false" hidden="false" ht="14.75" outlineLevel="0" r="406">
      <c r="A406" s="1" t="s">
        <v>2067</v>
      </c>
      <c r="B406" s="1" t="s">
        <v>2068</v>
      </c>
      <c r="C406" s="1" t="s">
        <v>1087</v>
      </c>
      <c r="D406" s="1" t="n">
        <v>420.5</v>
      </c>
      <c r="E406" s="1" t="n">
        <v>20.3</v>
      </c>
      <c r="F406" s="1" t="n">
        <f aca="false">29/8</f>
        <v>3.625</v>
      </c>
    </row>
    <row collapsed="false" customFormat="false" customHeight="false" hidden="false" ht="14.75" outlineLevel="0" r="407">
      <c r="A407" s="1" t="s">
        <v>2069</v>
      </c>
      <c r="B407" s="1" t="s">
        <v>2068</v>
      </c>
      <c r="C407" s="1" t="s">
        <v>1087</v>
      </c>
      <c r="D407" s="1" t="n">
        <v>258.6</v>
      </c>
      <c r="E407" s="1" t="n">
        <v>11.97</v>
      </c>
      <c r="F407" s="1" t="n">
        <v>2</v>
      </c>
    </row>
    <row collapsed="false" customFormat="false" customHeight="false" hidden="false" ht="14.75" outlineLevel="0" r="408">
      <c r="A408" s="1" t="s">
        <v>2070</v>
      </c>
      <c r="B408" s="1" t="s">
        <v>2068</v>
      </c>
      <c r="C408" s="1" t="s">
        <v>1087</v>
      </c>
      <c r="D408" s="1" t="n">
        <v>294.9</v>
      </c>
      <c r="E408" s="1" t="n">
        <v>14.91</v>
      </c>
      <c r="F408" s="1" t="n">
        <f aca="false">14/8</f>
        <v>1.75</v>
      </c>
    </row>
    <row collapsed="false" customFormat="false" customHeight="false" hidden="false" ht="14.75" outlineLevel="0" r="409">
      <c r="A409" s="1" t="s">
        <v>2071</v>
      </c>
      <c r="B409" s="1" t="s">
        <v>2068</v>
      </c>
      <c r="C409" s="1" t="s">
        <v>1087</v>
      </c>
      <c r="D409" s="1" t="n">
        <v>247.9</v>
      </c>
      <c r="E409" s="1" t="n">
        <v>14</v>
      </c>
      <c r="F409" s="1" t="n">
        <f aca="false">12/8</f>
        <v>1.5</v>
      </c>
    </row>
    <row collapsed="false" customFormat="false" customHeight="false" hidden="false" ht="14.75" outlineLevel="0" r="410">
      <c r="A410" s="1" t="s">
        <v>950</v>
      </c>
      <c r="B410" s="1" t="s">
        <v>2068</v>
      </c>
      <c r="C410" s="1" t="s">
        <v>1087</v>
      </c>
      <c r="D410" s="1" t="n">
        <v>157.3</v>
      </c>
      <c r="E410" s="1" t="n">
        <v>12.97</v>
      </c>
      <c r="F410" s="1" t="n">
        <f aca="false">10/8</f>
        <v>1.25</v>
      </c>
    </row>
    <row collapsed="false" customFormat="false" customHeight="false" hidden="false" ht="14.75" outlineLevel="0" r="411">
      <c r="A411" s="1" t="s">
        <v>862</v>
      </c>
      <c r="B411" s="1" t="s">
        <v>2068</v>
      </c>
      <c r="C411" s="1" t="s">
        <v>1087</v>
      </c>
      <c r="D411" s="1" t="n">
        <v>176.1</v>
      </c>
      <c r="E411" s="1" t="n">
        <v>14.3</v>
      </c>
      <c r="F411" s="1" t="n">
        <f aca="false">2/8</f>
        <v>0.25</v>
      </c>
    </row>
    <row collapsed="false" customFormat="false" customHeight="false" hidden="false" ht="14.75" outlineLevel="0" r="412">
      <c r="A412" s="1" t="s">
        <v>2072</v>
      </c>
      <c r="B412" s="1" t="s">
        <v>2068</v>
      </c>
      <c r="C412" s="1" t="s">
        <v>1087</v>
      </c>
      <c r="D412" s="1" t="n">
        <v>93.5</v>
      </c>
      <c r="E412" s="1" t="n">
        <v>7.8</v>
      </c>
      <c r="F412" s="1" t="n">
        <f aca="false">4/8</f>
        <v>0.5</v>
      </c>
    </row>
    <row collapsed="false" customFormat="false" customHeight="false" hidden="false" ht="14.75" outlineLevel="0" r="413">
      <c r="A413" s="1" t="s">
        <v>2073</v>
      </c>
      <c r="B413" s="1" t="s">
        <v>2068</v>
      </c>
      <c r="C413" s="1" t="s">
        <v>1087</v>
      </c>
      <c r="D413" s="1" t="n">
        <v>148</v>
      </c>
      <c r="E413" s="1" t="n">
        <v>11.53</v>
      </c>
      <c r="F413" s="1" t="n">
        <f aca="false">11/8</f>
        <v>1.375</v>
      </c>
    </row>
    <row collapsed="false" customFormat="false" customHeight="false" hidden="false" ht="14.75" outlineLevel="0" r="414">
      <c r="A414" s="1" t="s">
        <v>2074</v>
      </c>
      <c r="B414" s="1" t="s">
        <v>2068</v>
      </c>
      <c r="C414" s="1" t="s">
        <v>1087</v>
      </c>
      <c r="D414" s="1" t="n">
        <v>88.5</v>
      </c>
      <c r="E414" s="1" t="n">
        <v>7.78</v>
      </c>
      <c r="F414" s="1" t="n">
        <f aca="false">1/8</f>
        <v>0.125</v>
      </c>
    </row>
    <row collapsed="false" customFormat="false" customHeight="false" hidden="false" ht="14.75" outlineLevel="0" r="415">
      <c r="A415" s="1" t="s">
        <v>2075</v>
      </c>
      <c r="B415" s="1" t="s">
        <v>2068</v>
      </c>
      <c r="C415" s="1" t="s">
        <v>1087</v>
      </c>
      <c r="D415" s="1" t="n">
        <v>83.2</v>
      </c>
      <c r="E415" s="1" t="n">
        <v>5.86</v>
      </c>
      <c r="F415" s="1" t="n">
        <f aca="false">3/8</f>
        <v>0.375</v>
      </c>
    </row>
    <row collapsed="false" customFormat="false" customHeight="false" hidden="false" ht="14.75" outlineLevel="0" r="416">
      <c r="A416" s="1" t="s">
        <v>2076</v>
      </c>
      <c r="B416" s="1" t="s">
        <v>2068</v>
      </c>
      <c r="C416" s="1" t="s">
        <v>1087</v>
      </c>
      <c r="D416" s="1" t="n">
        <v>57</v>
      </c>
      <c r="E416" s="1" t="n">
        <v>6.11</v>
      </c>
      <c r="F416" s="1" t="n">
        <f aca="false">2/8</f>
        <v>0.25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blackAndWhite="false" cellComments="none" copies="1" draft="false" firstPageNumber="0" fitToHeight="1" fitToWidth="1" horizontalDpi="300" orientation="portrait" pageOrder="downThenOver" paperSize="1" scale="100" useFirstPageNumber="false" usePrinterDefaults="false" verticalDpi="300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153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85" zoomScaleNormal="85" zoomScalePageLayoutView="100">
      <selection activeCell="A1" activeCellId="0" pane="topLeft" sqref="A1"/>
    </sheetView>
  </sheetViews>
  <cols>
    <col collapsed="false" hidden="false" max="1" min="1" style="1" width="26.8274509803922"/>
    <col collapsed="false" hidden="false" max="2" min="2" style="1" width="36.121568627451"/>
    <col collapsed="false" hidden="false" max="3" min="3" style="1" width="8.12941176470588"/>
    <col collapsed="false" hidden="false" max="5" min="4" style="1" width="7.15294117647059"/>
    <col collapsed="false" hidden="false" max="6" min="6" style="1" width="14.1647058823529"/>
    <col collapsed="false" hidden="false" max="1025" min="7" style="0" width="8.5921568627451"/>
  </cols>
  <sheetData>
    <row collapsed="false" customFormat="true" customHeight="false" hidden="false" ht="14.75" outlineLevel="0" r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collapsed="false" customFormat="false" customHeight="false" hidden="false" ht="14.75" outlineLevel="0" r="2">
      <c r="A2" s="1" t="s">
        <v>1359</v>
      </c>
      <c r="B2" s="1" t="s">
        <v>1360</v>
      </c>
      <c r="C2" s="1" t="s">
        <v>1361</v>
      </c>
      <c r="D2" s="1" t="n">
        <v>180.2</v>
      </c>
      <c r="E2" s="1" t="n">
        <v>13.37</v>
      </c>
      <c r="F2" s="1" t="n">
        <f aca="false">8/7</f>
        <v>1.14285714285714</v>
      </c>
    </row>
    <row collapsed="false" customFormat="false" customHeight="false" hidden="false" ht="14.75" outlineLevel="0" r="3">
      <c r="A3" s="1" t="s">
        <v>1362</v>
      </c>
      <c r="B3" s="1" t="s">
        <v>1363</v>
      </c>
      <c r="C3" s="1" t="s">
        <v>1361</v>
      </c>
      <c r="D3" s="1" t="n">
        <v>92.7</v>
      </c>
      <c r="E3" s="1" t="n">
        <v>11.25</v>
      </c>
      <c r="F3" s="1" t="n">
        <f aca="false">1/7</f>
        <v>0.142857142857143</v>
      </c>
    </row>
    <row collapsed="false" customFormat="false" customHeight="false" hidden="false" ht="14.75" outlineLevel="0" r="4">
      <c r="A4" s="1" t="s">
        <v>1364</v>
      </c>
      <c r="B4" s="1" t="s">
        <v>1365</v>
      </c>
      <c r="C4" s="1" t="s">
        <v>1361</v>
      </c>
      <c r="D4" s="1" t="n">
        <v>269.5</v>
      </c>
      <c r="E4" s="1" t="n">
        <v>15.7</v>
      </c>
      <c r="F4" s="1" t="n">
        <f aca="false">21/11</f>
        <v>1.90909090909091</v>
      </c>
    </row>
    <row collapsed="false" customFormat="false" customHeight="false" hidden="false" ht="14.75" outlineLevel="0" r="5">
      <c r="A5" s="1" t="s">
        <v>1366</v>
      </c>
      <c r="B5" s="1" t="s">
        <v>1365</v>
      </c>
      <c r="C5" s="1" t="s">
        <v>1361</v>
      </c>
      <c r="D5" s="1" t="n">
        <v>103.6</v>
      </c>
      <c r="E5" s="1" t="n">
        <v>9.91</v>
      </c>
      <c r="F5" s="1" t="n">
        <f aca="false">6/11</f>
        <v>0.545454545454545</v>
      </c>
    </row>
    <row collapsed="false" customFormat="false" customHeight="false" hidden="false" ht="14.75" outlineLevel="0" r="6">
      <c r="A6" s="1" t="s">
        <v>1367</v>
      </c>
      <c r="B6" s="1" t="s">
        <v>1368</v>
      </c>
      <c r="C6" s="1" t="s">
        <v>1361</v>
      </c>
      <c r="D6" s="1" t="n">
        <v>122.1</v>
      </c>
      <c r="E6" s="1" t="n">
        <v>11.79</v>
      </c>
      <c r="F6" s="1" t="n">
        <f aca="false">2/7</f>
        <v>0.285714285714286</v>
      </c>
    </row>
    <row collapsed="false" customFormat="false" customHeight="false" hidden="false" ht="14.75" outlineLevel="0" r="7">
      <c r="A7" s="1" t="s">
        <v>1369</v>
      </c>
      <c r="B7" s="1" t="s">
        <v>1363</v>
      </c>
      <c r="C7" s="1" t="s">
        <v>1361</v>
      </c>
      <c r="D7" s="1" t="n">
        <v>400</v>
      </c>
      <c r="E7" s="1" t="n">
        <v>20.9</v>
      </c>
      <c r="F7" s="1" t="n">
        <v>3</v>
      </c>
    </row>
    <row collapsed="false" customFormat="false" customHeight="false" hidden="false" ht="14.75" outlineLevel="0" r="8">
      <c r="A8" s="1" t="s">
        <v>1370</v>
      </c>
      <c r="B8" s="1" t="s">
        <v>1365</v>
      </c>
      <c r="C8" s="1" t="s">
        <v>1361</v>
      </c>
      <c r="D8" s="1" t="n">
        <v>128.6</v>
      </c>
      <c r="E8" s="1" t="n">
        <v>10</v>
      </c>
      <c r="F8" s="1" t="n">
        <f aca="false">7/11</f>
        <v>0.636363636363636</v>
      </c>
    </row>
    <row collapsed="false" customFormat="false" customHeight="false" hidden="false" ht="14.75" outlineLevel="0" r="9">
      <c r="A9" s="1" t="s">
        <v>1371</v>
      </c>
      <c r="B9" s="1" t="s">
        <v>1360</v>
      </c>
      <c r="C9" s="1" t="s">
        <v>1361</v>
      </c>
      <c r="D9" s="1" t="n">
        <v>159.1</v>
      </c>
      <c r="E9" s="1" t="n">
        <v>13.72</v>
      </c>
      <c r="F9" s="1" t="n">
        <v>1</v>
      </c>
    </row>
    <row collapsed="false" customFormat="false" customHeight="false" hidden="false" ht="14.75" outlineLevel="0" r="10">
      <c r="A10" s="1" t="s">
        <v>1104</v>
      </c>
      <c r="B10" s="1" t="s">
        <v>282</v>
      </c>
      <c r="C10" s="1" t="s">
        <v>1361</v>
      </c>
      <c r="D10" s="1" t="n">
        <v>180</v>
      </c>
      <c r="E10" s="1" t="n">
        <v>16.17</v>
      </c>
      <c r="F10" s="1" t="n">
        <f aca="false">10/7</f>
        <v>1.42857142857143</v>
      </c>
    </row>
    <row collapsed="false" customFormat="false" customHeight="false" hidden="false" ht="14.75" outlineLevel="0" r="11">
      <c r="A11" s="1" t="s">
        <v>1372</v>
      </c>
      <c r="B11" s="1" t="s">
        <v>1373</v>
      </c>
      <c r="C11" s="1" t="s">
        <v>1361</v>
      </c>
      <c r="D11" s="1" t="n">
        <v>267.1</v>
      </c>
      <c r="E11" s="1" t="n">
        <v>20.27</v>
      </c>
      <c r="F11" s="1" t="n">
        <v>3.2</v>
      </c>
    </row>
    <row collapsed="false" customFormat="false" customHeight="false" hidden="false" ht="14.75" outlineLevel="0" r="12">
      <c r="A12" s="1" t="s">
        <v>1374</v>
      </c>
      <c r="B12" s="1" t="s">
        <v>282</v>
      </c>
      <c r="C12" s="1" t="s">
        <v>1361</v>
      </c>
      <c r="D12" s="1" t="n">
        <v>186.4</v>
      </c>
      <c r="E12" s="1" t="n">
        <v>12.81</v>
      </c>
      <c r="F12" s="1" t="n">
        <f aca="false">5/7</f>
        <v>0.714285714285714</v>
      </c>
    </row>
    <row collapsed="false" customFormat="false" customHeight="false" hidden="false" ht="14.75" outlineLevel="0" r="13">
      <c r="A13" s="1" t="s">
        <v>1375</v>
      </c>
      <c r="B13" s="1" t="s">
        <v>1376</v>
      </c>
      <c r="C13" s="1" t="s">
        <v>1361</v>
      </c>
      <c r="D13" s="1" t="n">
        <v>86.4</v>
      </c>
      <c r="E13" s="1" t="n">
        <v>7.65</v>
      </c>
      <c r="F13" s="1" t="n">
        <f aca="false">3/7</f>
        <v>0.428571428571429</v>
      </c>
    </row>
    <row collapsed="false" customFormat="false" customHeight="false" hidden="false" ht="14.75" outlineLevel="0" r="14">
      <c r="A14" s="1" t="s">
        <v>1377</v>
      </c>
      <c r="B14" s="1" t="s">
        <v>1365</v>
      </c>
      <c r="C14" s="1" t="s">
        <v>1361</v>
      </c>
      <c r="D14" s="1" t="n">
        <v>45.5</v>
      </c>
      <c r="E14" s="1" t="n">
        <v>7</v>
      </c>
      <c r="F14" s="1" t="n">
        <f aca="false">4/11</f>
        <v>0.363636363636364</v>
      </c>
    </row>
    <row collapsed="false" customFormat="false" customHeight="false" hidden="false" ht="14.75" outlineLevel="0" r="15">
      <c r="A15" s="1" t="s">
        <v>1125</v>
      </c>
      <c r="B15" s="1" t="s">
        <v>1368</v>
      </c>
      <c r="C15" s="1" t="s">
        <v>1361</v>
      </c>
      <c r="D15" s="1" t="n">
        <v>280.7</v>
      </c>
      <c r="E15" s="1" t="n">
        <v>19.55</v>
      </c>
      <c r="F15" s="1" t="n">
        <f aca="false">18/7</f>
        <v>2.57142857142857</v>
      </c>
    </row>
    <row collapsed="false" customFormat="false" customHeight="false" hidden="false" ht="14.75" outlineLevel="0" r="16">
      <c r="A16" s="1" t="s">
        <v>1378</v>
      </c>
      <c r="B16" s="1" t="s">
        <v>1376</v>
      </c>
      <c r="C16" s="1" t="s">
        <v>1361</v>
      </c>
      <c r="D16" s="1" t="n">
        <v>251</v>
      </c>
      <c r="E16" s="1" t="n">
        <v>15.94</v>
      </c>
      <c r="F16" s="1" t="n">
        <v>1.3</v>
      </c>
    </row>
    <row collapsed="false" customFormat="false" customHeight="false" hidden="false" ht="14.75" outlineLevel="0" r="17">
      <c r="A17" s="1" t="s">
        <v>1379</v>
      </c>
      <c r="B17" s="1" t="s">
        <v>1376</v>
      </c>
      <c r="C17" s="1" t="s">
        <v>1361</v>
      </c>
      <c r="D17" s="1" t="n">
        <v>286</v>
      </c>
      <c r="E17" s="1" t="n">
        <v>16.38</v>
      </c>
      <c r="F17" s="1" t="n">
        <v>2.3</v>
      </c>
    </row>
    <row collapsed="false" customFormat="false" customHeight="false" hidden="false" ht="14.75" outlineLevel="0" r="18">
      <c r="A18" s="1" t="s">
        <v>1380</v>
      </c>
      <c r="B18" s="1" t="s">
        <v>1368</v>
      </c>
      <c r="C18" s="1" t="s">
        <v>1361</v>
      </c>
      <c r="D18" s="1" t="n">
        <v>105.7</v>
      </c>
      <c r="E18" s="1" t="n">
        <v>11.76</v>
      </c>
      <c r="F18" s="1" t="n">
        <f aca="false">4/7</f>
        <v>0.571428571428571</v>
      </c>
    </row>
    <row collapsed="false" customFormat="false" customHeight="false" hidden="false" ht="14.75" outlineLevel="0" r="19">
      <c r="A19" s="1" t="s">
        <v>1381</v>
      </c>
      <c r="B19" s="1" t="s">
        <v>1368</v>
      </c>
      <c r="C19" s="1" t="s">
        <v>1361</v>
      </c>
      <c r="D19" s="1" t="n">
        <v>31.4</v>
      </c>
      <c r="E19" s="1" t="n">
        <v>6.39</v>
      </c>
      <c r="F19" s="1" t="n">
        <f aca="false">2/7</f>
        <v>0.285714285714286</v>
      </c>
    </row>
    <row collapsed="false" customFormat="false" customHeight="false" hidden="false" ht="14.75" outlineLevel="0" r="20">
      <c r="A20" s="1" t="s">
        <v>724</v>
      </c>
      <c r="B20" s="1" t="s">
        <v>1365</v>
      </c>
      <c r="C20" s="1" t="s">
        <v>1361</v>
      </c>
      <c r="D20" s="1" t="n">
        <v>334.6</v>
      </c>
      <c r="E20" s="1" t="n">
        <v>18.97</v>
      </c>
      <c r="F20" s="1" t="n">
        <f aca="false">32/12</f>
        <v>2.66666666666667</v>
      </c>
    </row>
    <row collapsed="false" customFormat="false" customHeight="false" hidden="false" ht="14.75" outlineLevel="0" r="21">
      <c r="A21" s="1" t="s">
        <v>1382</v>
      </c>
      <c r="B21" s="1" t="s">
        <v>282</v>
      </c>
      <c r="C21" s="1" t="s">
        <v>1361</v>
      </c>
      <c r="D21" s="1" t="n">
        <v>121.4</v>
      </c>
      <c r="E21" s="1" t="n">
        <v>13.65</v>
      </c>
      <c r="F21" s="1" t="n">
        <f aca="false">3/7</f>
        <v>0.428571428571429</v>
      </c>
    </row>
    <row collapsed="false" customFormat="false" customHeight="false" hidden="false" ht="14.75" outlineLevel="0" r="22">
      <c r="A22" s="1" t="s">
        <v>1383</v>
      </c>
      <c r="B22" s="1" t="s">
        <v>1384</v>
      </c>
      <c r="C22" s="1" t="s">
        <v>1361</v>
      </c>
      <c r="D22" s="1" t="n">
        <v>152.5</v>
      </c>
      <c r="E22" s="1" t="n">
        <v>13.44</v>
      </c>
      <c r="F22" s="1" t="n">
        <v>0.6</v>
      </c>
    </row>
    <row collapsed="false" customFormat="false" customHeight="false" hidden="false" ht="14.75" outlineLevel="0" r="23">
      <c r="A23" s="1" t="s">
        <v>1385</v>
      </c>
      <c r="B23" s="1" t="s">
        <v>1384</v>
      </c>
      <c r="C23" s="1" t="s">
        <v>1361</v>
      </c>
      <c r="D23" s="1" t="n">
        <v>24</v>
      </c>
      <c r="E23" s="1" t="n">
        <v>7.06</v>
      </c>
      <c r="F23" s="1" t="n">
        <v>0.2</v>
      </c>
    </row>
    <row collapsed="false" customFormat="false" customHeight="false" hidden="false" ht="14.75" outlineLevel="0" r="24">
      <c r="A24" s="1" t="s">
        <v>1386</v>
      </c>
      <c r="B24" s="1" t="s">
        <v>1365</v>
      </c>
      <c r="C24" s="1" t="s">
        <v>1361</v>
      </c>
      <c r="D24" s="1" t="n">
        <v>125</v>
      </c>
      <c r="E24" s="1" t="n">
        <v>9.71</v>
      </c>
      <c r="F24" s="1" t="n">
        <f aca="false">4/11</f>
        <v>0.363636363636364</v>
      </c>
    </row>
    <row collapsed="false" customFormat="false" customHeight="false" hidden="false" ht="14.75" outlineLevel="0" r="25">
      <c r="A25" s="1" t="s">
        <v>1387</v>
      </c>
      <c r="B25" s="1" t="s">
        <v>1365</v>
      </c>
      <c r="C25" s="1" t="s">
        <v>1361</v>
      </c>
      <c r="D25" s="1" t="n">
        <v>53.6</v>
      </c>
      <c r="E25" s="1" t="n">
        <v>5.68</v>
      </c>
      <c r="F25" s="1" t="n">
        <f aca="false">2/11</f>
        <v>0.181818181818182</v>
      </c>
    </row>
    <row collapsed="false" customFormat="false" customHeight="false" hidden="false" ht="14.75" outlineLevel="0" r="26">
      <c r="A26" s="1" t="s">
        <v>1388</v>
      </c>
      <c r="B26" s="1" t="s">
        <v>1389</v>
      </c>
      <c r="C26" s="1" t="s">
        <v>1361</v>
      </c>
      <c r="D26" s="1" t="n">
        <v>285</v>
      </c>
      <c r="E26" s="1" t="n">
        <v>16.85</v>
      </c>
      <c r="F26" s="1" t="n">
        <v>1</v>
      </c>
    </row>
    <row collapsed="false" customFormat="false" customHeight="false" hidden="false" ht="14.75" outlineLevel="0" r="27">
      <c r="A27" s="1" t="s">
        <v>1390</v>
      </c>
      <c r="B27" s="1" t="s">
        <v>1376</v>
      </c>
      <c r="C27" s="1" t="s">
        <v>1361</v>
      </c>
      <c r="D27" s="1" t="n">
        <v>112.9</v>
      </c>
      <c r="E27" s="1" t="n">
        <v>10.77</v>
      </c>
      <c r="F27" s="1" t="n">
        <f aca="false">4/7</f>
        <v>0.571428571428571</v>
      </c>
    </row>
    <row collapsed="false" customFormat="false" customHeight="false" hidden="false" ht="14.75" outlineLevel="0" r="28">
      <c r="A28" s="1" t="s">
        <v>312</v>
      </c>
      <c r="B28" s="1" t="s">
        <v>1384</v>
      </c>
      <c r="C28" s="1" t="s">
        <v>1361</v>
      </c>
      <c r="D28" s="1" t="n">
        <v>159.5</v>
      </c>
      <c r="E28" s="1" t="n">
        <v>14.46</v>
      </c>
      <c r="F28" s="1" t="n">
        <v>0.5</v>
      </c>
    </row>
    <row collapsed="false" customFormat="false" customHeight="false" hidden="false" ht="14.75" outlineLevel="0" r="29">
      <c r="A29" s="1" t="s">
        <v>314</v>
      </c>
      <c r="B29" s="1" t="s">
        <v>1384</v>
      </c>
      <c r="C29" s="1" t="s">
        <v>1361</v>
      </c>
      <c r="D29" s="1" t="n">
        <v>219</v>
      </c>
      <c r="E29" s="1" t="n">
        <v>14.77</v>
      </c>
      <c r="F29" s="1" t="n">
        <v>1.5</v>
      </c>
    </row>
    <row collapsed="false" customFormat="false" customHeight="false" hidden="false" ht="14.75" outlineLevel="0" r="30">
      <c r="A30" s="1" t="s">
        <v>843</v>
      </c>
      <c r="B30" s="1" t="s">
        <v>1368</v>
      </c>
      <c r="C30" s="1" t="s">
        <v>1361</v>
      </c>
      <c r="D30" s="1" t="n">
        <v>210</v>
      </c>
      <c r="E30" s="1" t="n">
        <v>15.25</v>
      </c>
      <c r="F30" s="1" t="n">
        <v>1</v>
      </c>
    </row>
    <row collapsed="false" customFormat="false" customHeight="false" hidden="false" ht="14.75" outlineLevel="0" r="31">
      <c r="A31" s="1" t="s">
        <v>1391</v>
      </c>
      <c r="B31" s="1" t="s">
        <v>1368</v>
      </c>
      <c r="C31" s="1" t="s">
        <v>1361</v>
      </c>
      <c r="D31" s="1" t="n">
        <v>102.1</v>
      </c>
      <c r="E31" s="1" t="n">
        <v>8.95</v>
      </c>
      <c r="F31" s="1" t="n">
        <f aca="false">3/7</f>
        <v>0.428571428571429</v>
      </c>
    </row>
    <row collapsed="false" customFormat="false" customHeight="false" hidden="false" ht="14.75" outlineLevel="0" r="32">
      <c r="A32" s="1" t="s">
        <v>1392</v>
      </c>
      <c r="B32" s="1" t="s">
        <v>1368</v>
      </c>
      <c r="C32" s="1" t="s">
        <v>1361</v>
      </c>
      <c r="D32" s="1" t="n">
        <v>236.4</v>
      </c>
      <c r="E32" s="1" t="n">
        <v>18.45</v>
      </c>
      <c r="F32" s="1" t="n">
        <f aca="false">9/7</f>
        <v>1.28571428571429</v>
      </c>
    </row>
    <row collapsed="false" customFormat="false" customHeight="false" hidden="false" ht="14.75" outlineLevel="0" r="33">
      <c r="A33" s="1" t="s">
        <v>1393</v>
      </c>
      <c r="B33" s="1" t="s">
        <v>1389</v>
      </c>
      <c r="C33" s="1" t="s">
        <v>1361</v>
      </c>
      <c r="D33" s="1" t="n">
        <v>468</v>
      </c>
      <c r="E33" s="1" t="n">
        <v>22.36</v>
      </c>
      <c r="F33" s="1" t="n">
        <v>4.5</v>
      </c>
    </row>
    <row collapsed="false" customFormat="false" customHeight="false" hidden="false" ht="14.75" outlineLevel="0" r="34">
      <c r="A34" s="1" t="s">
        <v>1394</v>
      </c>
      <c r="B34" s="1" t="s">
        <v>1389</v>
      </c>
      <c r="C34" s="1" t="s">
        <v>1361</v>
      </c>
      <c r="D34" s="1" t="n">
        <v>223</v>
      </c>
      <c r="E34" s="1" t="n">
        <v>16.47</v>
      </c>
      <c r="F34" s="1" t="n">
        <v>1.9</v>
      </c>
    </row>
    <row collapsed="false" customFormat="false" customHeight="false" hidden="false" ht="14.75" outlineLevel="0" r="35">
      <c r="A35" s="1" t="s">
        <v>1395</v>
      </c>
      <c r="B35" s="1" t="s">
        <v>1368</v>
      </c>
      <c r="C35" s="1" t="s">
        <v>1361</v>
      </c>
      <c r="D35" s="1" t="n">
        <v>207.9</v>
      </c>
      <c r="E35" s="1" t="n">
        <v>17.55</v>
      </c>
      <c r="F35" s="1" t="n">
        <f aca="false">17/7</f>
        <v>2.42857142857143</v>
      </c>
    </row>
    <row collapsed="false" customFormat="false" customHeight="false" hidden="false" ht="14.75" outlineLevel="0" r="36">
      <c r="A36" s="1" t="s">
        <v>552</v>
      </c>
      <c r="B36" s="1" t="s">
        <v>1384</v>
      </c>
      <c r="C36" s="1" t="s">
        <v>1361</v>
      </c>
      <c r="D36" s="1" t="n">
        <v>127.8</v>
      </c>
      <c r="E36" s="1" t="n">
        <v>12.8</v>
      </c>
      <c r="F36" s="1" t="n">
        <v>0.7</v>
      </c>
    </row>
    <row collapsed="false" customFormat="false" customHeight="false" hidden="false" ht="14.75" outlineLevel="0" r="37">
      <c r="A37" s="1" t="s">
        <v>1396</v>
      </c>
      <c r="B37" s="1" t="s">
        <v>1363</v>
      </c>
      <c r="C37" s="1" t="s">
        <v>1361</v>
      </c>
      <c r="D37" s="1" t="n">
        <v>283.1</v>
      </c>
      <c r="E37" s="1" t="n">
        <v>18.73</v>
      </c>
      <c r="F37" s="1" t="n">
        <v>2</v>
      </c>
    </row>
    <row collapsed="false" customFormat="false" customHeight="false" hidden="false" ht="14.75" outlineLevel="0" r="38">
      <c r="A38" s="1" t="s">
        <v>1397</v>
      </c>
      <c r="B38" s="1" t="s">
        <v>1363</v>
      </c>
      <c r="C38" s="1" t="s">
        <v>1361</v>
      </c>
      <c r="D38" s="1" t="n">
        <v>150.8</v>
      </c>
      <c r="E38" s="1" t="n">
        <v>14.49</v>
      </c>
      <c r="F38" s="1" t="n">
        <f aca="false">6/7</f>
        <v>0.857142857142857</v>
      </c>
    </row>
    <row collapsed="false" customFormat="false" customHeight="false" hidden="false" ht="14.75" outlineLevel="0" r="39">
      <c r="A39" s="1" t="s">
        <v>1398</v>
      </c>
      <c r="B39" s="1" t="s">
        <v>1365</v>
      </c>
      <c r="C39" s="1" t="s">
        <v>1361</v>
      </c>
      <c r="D39" s="1" t="n">
        <v>236.2</v>
      </c>
      <c r="E39" s="1" t="n">
        <v>13.94</v>
      </c>
      <c r="F39" s="1" t="n">
        <f aca="false">19/12</f>
        <v>1.58333333333333</v>
      </c>
    </row>
    <row collapsed="false" customFormat="false" customHeight="false" hidden="false" ht="14.75" outlineLevel="0" r="40">
      <c r="A40" s="1" t="s">
        <v>1399</v>
      </c>
      <c r="B40" s="1" t="s">
        <v>1365</v>
      </c>
      <c r="C40" s="1" t="s">
        <v>1361</v>
      </c>
      <c r="D40" s="1" t="n">
        <v>143.2</v>
      </c>
      <c r="E40" s="1" t="n">
        <v>11.35</v>
      </c>
      <c r="F40" s="1" t="n">
        <f aca="false">6/11</f>
        <v>0.545454545454545</v>
      </c>
    </row>
    <row collapsed="false" customFormat="false" customHeight="false" hidden="false" ht="14.75" outlineLevel="0" r="41">
      <c r="A41" s="1" t="s">
        <v>1400</v>
      </c>
      <c r="B41" s="1" t="s">
        <v>282</v>
      </c>
      <c r="C41" s="1" t="s">
        <v>1361</v>
      </c>
      <c r="D41" s="1" t="n">
        <v>299.3</v>
      </c>
      <c r="E41" s="1" t="n">
        <v>18.66</v>
      </c>
      <c r="F41" s="1" t="n">
        <f aca="false">25/7</f>
        <v>3.57142857142857</v>
      </c>
    </row>
    <row collapsed="false" customFormat="false" customHeight="false" hidden="false" ht="14.75" outlineLevel="0" r="42">
      <c r="A42" s="1" t="s">
        <v>864</v>
      </c>
      <c r="B42" s="1" t="s">
        <v>1368</v>
      </c>
      <c r="C42" s="1" t="s">
        <v>1361</v>
      </c>
      <c r="D42" s="1" t="n">
        <v>338.6</v>
      </c>
      <c r="E42" s="1" t="n">
        <v>21.01</v>
      </c>
      <c r="F42" s="1" t="n">
        <f aca="false">24/7</f>
        <v>3.42857142857143</v>
      </c>
    </row>
    <row collapsed="false" customFormat="false" customHeight="false" hidden="false" ht="14.75" outlineLevel="0" r="43">
      <c r="A43" s="1" t="s">
        <v>1179</v>
      </c>
      <c r="B43" s="1" t="s">
        <v>1368</v>
      </c>
      <c r="C43" s="1" t="s">
        <v>1361</v>
      </c>
      <c r="D43" s="1" t="n">
        <v>100.7</v>
      </c>
      <c r="E43" s="1" t="n">
        <v>12.26</v>
      </c>
      <c r="F43" s="1" t="n">
        <f aca="false">8/7</f>
        <v>1.14285714285714</v>
      </c>
    </row>
    <row collapsed="false" customFormat="false" customHeight="false" hidden="false" ht="14.75" outlineLevel="0" r="44">
      <c r="A44" s="1" t="s">
        <v>1401</v>
      </c>
      <c r="B44" s="1" t="s">
        <v>1368</v>
      </c>
      <c r="C44" s="1" t="s">
        <v>1361</v>
      </c>
      <c r="D44" s="1" t="n">
        <v>181.4</v>
      </c>
      <c r="E44" s="1" t="n">
        <v>13.36</v>
      </c>
      <c r="F44" s="1" t="n">
        <f aca="false">10/7</f>
        <v>1.42857142857143</v>
      </c>
    </row>
    <row collapsed="false" customFormat="false" customHeight="false" hidden="false" ht="14.75" outlineLevel="0" r="45">
      <c r="A45" s="1" t="s">
        <v>1402</v>
      </c>
      <c r="B45" s="1" t="s">
        <v>1368</v>
      </c>
      <c r="C45" s="1" t="s">
        <v>1361</v>
      </c>
      <c r="D45" s="1" t="n">
        <v>85.7</v>
      </c>
      <c r="E45" s="1" t="n">
        <v>10</v>
      </c>
      <c r="F45" s="1" t="n">
        <f aca="false">1/7</f>
        <v>0.142857142857143</v>
      </c>
    </row>
    <row collapsed="false" customFormat="false" customHeight="false" hidden="false" ht="14.75" outlineLevel="0" r="46">
      <c r="A46" s="1" t="s">
        <v>1403</v>
      </c>
      <c r="B46" s="1" t="s">
        <v>1368</v>
      </c>
      <c r="C46" s="1" t="s">
        <v>1361</v>
      </c>
      <c r="D46" s="1" t="n">
        <v>176.4</v>
      </c>
      <c r="E46" s="1" t="n">
        <v>11.75</v>
      </c>
      <c r="F46" s="1" t="n">
        <v>1</v>
      </c>
    </row>
    <row collapsed="false" customFormat="false" customHeight="false" hidden="false" ht="14.75" outlineLevel="0" r="47">
      <c r="A47" s="1" t="s">
        <v>560</v>
      </c>
      <c r="B47" s="1" t="s">
        <v>1384</v>
      </c>
      <c r="C47" s="1" t="s">
        <v>1361</v>
      </c>
      <c r="D47" s="1" t="n">
        <v>95.5</v>
      </c>
      <c r="E47" s="1" t="n">
        <v>9.59</v>
      </c>
      <c r="F47" s="1" t="n">
        <v>0.4</v>
      </c>
    </row>
    <row collapsed="false" customFormat="false" customHeight="false" hidden="false" ht="14.75" outlineLevel="0" r="48">
      <c r="A48" s="1" t="s">
        <v>560</v>
      </c>
      <c r="B48" s="1" t="s">
        <v>1368</v>
      </c>
      <c r="C48" s="1" t="s">
        <v>1361</v>
      </c>
      <c r="D48" s="1" t="n">
        <v>335.7</v>
      </c>
      <c r="E48" s="1" t="n">
        <v>19.55</v>
      </c>
      <c r="F48" s="1" t="n">
        <f aca="false">17/7</f>
        <v>2.42857142857143</v>
      </c>
    </row>
    <row collapsed="false" customFormat="false" customHeight="false" hidden="false" ht="14.75" outlineLevel="0" r="49">
      <c r="A49" s="1" t="s">
        <v>1404</v>
      </c>
      <c r="B49" s="1" t="s">
        <v>1365</v>
      </c>
      <c r="C49" s="1" t="s">
        <v>1361</v>
      </c>
      <c r="D49" s="1" t="n">
        <v>161.8</v>
      </c>
      <c r="E49" s="1" t="n">
        <v>13.25</v>
      </c>
      <c r="F49" s="1" t="n">
        <f aca="false">7/11</f>
        <v>0.636363636363636</v>
      </c>
    </row>
    <row collapsed="false" customFormat="false" customHeight="false" hidden="false" ht="14.75" outlineLevel="0" r="50">
      <c r="A50" s="1" t="s">
        <v>1405</v>
      </c>
      <c r="B50" s="1" t="s">
        <v>1365</v>
      </c>
      <c r="C50" s="1" t="s">
        <v>1361</v>
      </c>
      <c r="D50" s="1" t="n">
        <v>98.6</v>
      </c>
      <c r="E50" s="1" t="n">
        <v>9.64</v>
      </c>
      <c r="F50" s="1" t="n">
        <f aca="false">2/11</f>
        <v>0.181818181818182</v>
      </c>
    </row>
    <row collapsed="false" customFormat="false" customHeight="false" hidden="false" ht="14.75" outlineLevel="0" r="51">
      <c r="A51" s="1" t="s">
        <v>1022</v>
      </c>
      <c r="B51" s="1" t="s">
        <v>282</v>
      </c>
      <c r="C51" s="1" t="s">
        <v>1361</v>
      </c>
      <c r="D51" s="1" t="n">
        <v>100</v>
      </c>
      <c r="E51" s="1" t="n">
        <v>12.42</v>
      </c>
      <c r="F51" s="1" t="n">
        <f aca="false">6/7</f>
        <v>0.857142857142857</v>
      </c>
    </row>
    <row collapsed="false" customFormat="false" customHeight="false" hidden="false" ht="14.75" outlineLevel="0" r="52">
      <c r="A52" s="1" t="s">
        <v>459</v>
      </c>
      <c r="B52" s="1" t="s">
        <v>1389</v>
      </c>
      <c r="C52" s="1" t="s">
        <v>1361</v>
      </c>
      <c r="D52" s="1" t="n">
        <v>361</v>
      </c>
      <c r="E52" s="1" t="n">
        <v>20.55</v>
      </c>
      <c r="F52" s="1" t="n">
        <v>1.7</v>
      </c>
    </row>
    <row collapsed="false" customFormat="false" customHeight="false" hidden="false" ht="14.75" outlineLevel="0" r="53">
      <c r="A53" s="1" t="s">
        <v>460</v>
      </c>
      <c r="B53" s="1" t="s">
        <v>1389</v>
      </c>
      <c r="C53" s="1" t="s">
        <v>1361</v>
      </c>
      <c r="D53" s="1" t="n">
        <v>193.5</v>
      </c>
      <c r="E53" s="1" t="n">
        <v>12.44</v>
      </c>
      <c r="F53" s="1" t="n">
        <v>0.9</v>
      </c>
    </row>
    <row collapsed="false" customFormat="false" customHeight="false" hidden="false" ht="14.75" outlineLevel="0" r="54">
      <c r="A54" s="1" t="s">
        <v>1406</v>
      </c>
      <c r="B54" s="1" t="s">
        <v>1384</v>
      </c>
      <c r="C54" s="1" t="s">
        <v>1361</v>
      </c>
      <c r="D54" s="1" t="n">
        <v>240.5</v>
      </c>
      <c r="E54" s="1" t="n">
        <v>14.74</v>
      </c>
      <c r="F54" s="1" t="n">
        <v>1.1</v>
      </c>
    </row>
    <row collapsed="false" customFormat="false" customHeight="false" hidden="false" ht="14.75" outlineLevel="0" r="55">
      <c r="A55" s="1" t="s">
        <v>1407</v>
      </c>
      <c r="B55" s="1" t="s">
        <v>1384</v>
      </c>
      <c r="C55" s="1" t="s">
        <v>1361</v>
      </c>
      <c r="D55" s="1" t="n">
        <v>160.5</v>
      </c>
      <c r="E55" s="1" t="n">
        <v>11.45</v>
      </c>
      <c r="F55" s="1" t="n">
        <v>1.6</v>
      </c>
    </row>
    <row collapsed="false" customFormat="false" customHeight="false" hidden="false" ht="14.75" outlineLevel="0" r="56">
      <c r="A56" s="1" t="s">
        <v>1408</v>
      </c>
      <c r="B56" s="1" t="s">
        <v>1373</v>
      </c>
      <c r="C56" s="1" t="s">
        <v>1361</v>
      </c>
      <c r="D56" s="1" t="n">
        <v>367</v>
      </c>
      <c r="E56" s="1" t="n">
        <v>22.62</v>
      </c>
      <c r="F56" s="1" t="n">
        <v>5.6</v>
      </c>
    </row>
    <row collapsed="false" customFormat="false" customHeight="false" hidden="false" ht="14.75" outlineLevel="0" r="57">
      <c r="A57" s="1" t="s">
        <v>1409</v>
      </c>
      <c r="B57" s="1" t="s">
        <v>1410</v>
      </c>
      <c r="C57" s="1" t="s">
        <v>1361</v>
      </c>
      <c r="D57" s="1" t="n">
        <v>197.8</v>
      </c>
      <c r="E57" s="1" t="n">
        <v>13.64</v>
      </c>
      <c r="F57" s="1" t="n">
        <f aca="false">13/9</f>
        <v>1.44444444444444</v>
      </c>
    </row>
    <row collapsed="false" customFormat="false" customHeight="false" hidden="false" ht="14.75" outlineLevel="0" r="58">
      <c r="A58" s="1" t="s">
        <v>339</v>
      </c>
      <c r="B58" s="1" t="s">
        <v>1384</v>
      </c>
      <c r="C58" s="1" t="s">
        <v>1361</v>
      </c>
      <c r="D58" s="1" t="n">
        <v>360</v>
      </c>
      <c r="E58" s="1" t="n">
        <v>21.03</v>
      </c>
      <c r="F58" s="1" t="n">
        <f aca="false">42/11</f>
        <v>3.81818181818182</v>
      </c>
    </row>
    <row collapsed="false" customFormat="false" customHeight="false" hidden="false" ht="14.75" outlineLevel="0" r="59">
      <c r="A59" s="1" t="s">
        <v>564</v>
      </c>
      <c r="B59" s="1" t="s">
        <v>1384</v>
      </c>
      <c r="C59" s="1" t="s">
        <v>1361</v>
      </c>
      <c r="D59" s="1" t="n">
        <v>174</v>
      </c>
      <c r="E59" s="1" t="n">
        <v>13.99</v>
      </c>
      <c r="F59" s="1" t="n">
        <v>0.6</v>
      </c>
    </row>
    <row collapsed="false" customFormat="false" customHeight="false" hidden="false" ht="14.75" outlineLevel="0" r="60">
      <c r="A60" s="1" t="s">
        <v>1411</v>
      </c>
      <c r="B60" s="1" t="s">
        <v>1389</v>
      </c>
      <c r="C60" s="1" t="s">
        <v>1361</v>
      </c>
      <c r="D60" s="1" t="n">
        <v>247.5</v>
      </c>
      <c r="E60" s="1" t="n">
        <v>16.65</v>
      </c>
      <c r="F60" s="1" t="n">
        <v>2.1</v>
      </c>
    </row>
    <row collapsed="false" customFormat="false" customHeight="false" hidden="false" ht="14.75" outlineLevel="0" r="61">
      <c r="A61" s="1" t="s">
        <v>1412</v>
      </c>
      <c r="B61" s="1" t="s">
        <v>1389</v>
      </c>
      <c r="C61" s="1" t="s">
        <v>1361</v>
      </c>
      <c r="D61" s="1" t="n">
        <v>165</v>
      </c>
      <c r="E61" s="1" t="n">
        <v>12.5</v>
      </c>
      <c r="F61" s="1" t="n">
        <v>1.8</v>
      </c>
    </row>
    <row collapsed="false" customFormat="false" customHeight="false" hidden="false" ht="14.75" outlineLevel="0" r="62">
      <c r="A62" s="1" t="s">
        <v>1413</v>
      </c>
      <c r="B62" s="1" t="s">
        <v>1365</v>
      </c>
      <c r="C62" s="1" t="s">
        <v>1361</v>
      </c>
      <c r="D62" s="1" t="n">
        <v>358.3</v>
      </c>
      <c r="E62" s="1" t="n">
        <v>18.43</v>
      </c>
      <c r="F62" s="1" t="n">
        <f aca="false">40/12</f>
        <v>3.33333333333333</v>
      </c>
    </row>
    <row collapsed="false" customFormat="false" customHeight="false" hidden="false" ht="14.75" outlineLevel="0" r="63">
      <c r="A63" s="1" t="s">
        <v>1414</v>
      </c>
      <c r="B63" s="1" t="s">
        <v>1365</v>
      </c>
      <c r="C63" s="1" t="s">
        <v>1361</v>
      </c>
      <c r="D63" s="1" t="n">
        <v>238.3</v>
      </c>
      <c r="E63" s="1" t="n">
        <v>15.54</v>
      </c>
      <c r="F63" s="1" t="n">
        <f aca="false">15/12</f>
        <v>1.25</v>
      </c>
    </row>
    <row collapsed="false" customFormat="false" customHeight="false" hidden="false" ht="14.75" outlineLevel="0" r="64">
      <c r="A64" s="1" t="s">
        <v>1415</v>
      </c>
      <c r="B64" s="1" t="s">
        <v>1416</v>
      </c>
      <c r="C64" s="1" t="s">
        <v>1361</v>
      </c>
      <c r="D64" s="1" t="n">
        <v>148.6</v>
      </c>
      <c r="E64" s="1" t="n">
        <v>12.83</v>
      </c>
      <c r="F64" s="1" t="n">
        <f aca="false">4/7</f>
        <v>0.571428571428571</v>
      </c>
    </row>
    <row collapsed="false" customFormat="false" customHeight="false" hidden="false" ht="14.75" outlineLevel="0" r="65">
      <c r="A65" s="1" t="s">
        <v>1417</v>
      </c>
      <c r="B65" s="1" t="s">
        <v>282</v>
      </c>
      <c r="C65" s="1" t="s">
        <v>1361</v>
      </c>
      <c r="D65" s="1" t="n">
        <v>155</v>
      </c>
      <c r="E65" s="1" t="n">
        <v>11.8</v>
      </c>
      <c r="F65" s="1" t="n">
        <f aca="false">3/7</f>
        <v>0.428571428571429</v>
      </c>
    </row>
    <row collapsed="false" customFormat="false" customHeight="false" hidden="false" ht="14.75" outlineLevel="0" r="66">
      <c r="A66" s="1" t="s">
        <v>647</v>
      </c>
      <c r="B66" s="1" t="s">
        <v>1365</v>
      </c>
      <c r="C66" s="1" t="s">
        <v>1361</v>
      </c>
      <c r="D66" s="1" t="n">
        <v>145</v>
      </c>
      <c r="E66" s="1" t="n">
        <v>10.12</v>
      </c>
      <c r="F66" s="1" t="n">
        <f aca="false">4/11</f>
        <v>0.363636363636364</v>
      </c>
    </row>
    <row collapsed="false" customFormat="false" customHeight="false" hidden="false" ht="14.75" outlineLevel="0" r="67">
      <c r="A67" s="1" t="s">
        <v>1418</v>
      </c>
      <c r="B67" s="1" t="s">
        <v>1360</v>
      </c>
      <c r="C67" s="1" t="s">
        <v>1361</v>
      </c>
      <c r="D67" s="1" t="n">
        <v>82.6</v>
      </c>
      <c r="E67" s="1" t="n">
        <v>6.39</v>
      </c>
      <c r="F67" s="1" t="n">
        <f aca="false">5/7</f>
        <v>0.714285714285714</v>
      </c>
    </row>
    <row collapsed="false" customFormat="false" customHeight="false" hidden="false" ht="14.75" outlineLevel="0" r="68">
      <c r="A68" s="1" t="s">
        <v>1419</v>
      </c>
      <c r="B68" s="1" t="s">
        <v>1360</v>
      </c>
      <c r="C68" s="1" t="s">
        <v>1361</v>
      </c>
      <c r="D68" s="1" t="n">
        <v>111.4</v>
      </c>
      <c r="E68" s="1" t="n">
        <v>8.14</v>
      </c>
      <c r="F68" s="1" t="n">
        <f aca="false">4/7</f>
        <v>0.571428571428571</v>
      </c>
    </row>
    <row collapsed="false" customFormat="false" customHeight="false" hidden="false" ht="14.75" outlineLevel="0" r="69">
      <c r="A69" s="1" t="s">
        <v>1420</v>
      </c>
      <c r="B69" s="1" t="s">
        <v>1376</v>
      </c>
      <c r="C69" s="1" t="s">
        <v>1361</v>
      </c>
      <c r="D69" s="1" t="n">
        <v>115</v>
      </c>
      <c r="E69" s="1" t="n">
        <v>9.79</v>
      </c>
      <c r="F69" s="1" t="n">
        <v>0.5</v>
      </c>
    </row>
    <row collapsed="false" customFormat="false" customHeight="false" hidden="false" ht="14.75" outlineLevel="0" r="70">
      <c r="A70" s="1" t="s">
        <v>1421</v>
      </c>
      <c r="B70" s="1" t="s">
        <v>1410</v>
      </c>
      <c r="C70" s="1" t="s">
        <v>1361</v>
      </c>
      <c r="D70" s="1" t="n">
        <v>133.8</v>
      </c>
      <c r="E70" s="1" t="n">
        <v>12.2</v>
      </c>
      <c r="F70" s="1" t="n">
        <f aca="false">9/8</f>
        <v>1.125</v>
      </c>
    </row>
    <row collapsed="false" customFormat="false" customHeight="false" hidden="false" ht="14.75" outlineLevel="0" r="71">
      <c r="A71" s="1" t="s">
        <v>1422</v>
      </c>
      <c r="B71" s="1" t="s">
        <v>1368</v>
      </c>
      <c r="C71" s="1" t="s">
        <v>1361</v>
      </c>
      <c r="D71" s="1" t="n">
        <v>183.6</v>
      </c>
      <c r="E71" s="1" t="n">
        <v>12.2</v>
      </c>
      <c r="F71" s="1" t="n">
        <f aca="false">9/7</f>
        <v>1.28571428571429</v>
      </c>
    </row>
    <row collapsed="false" customFormat="false" customHeight="false" hidden="false" ht="14.75" outlineLevel="0" r="72">
      <c r="A72" s="1" t="s">
        <v>1423</v>
      </c>
      <c r="B72" s="1" t="s">
        <v>1363</v>
      </c>
      <c r="C72" s="1" t="s">
        <v>1361</v>
      </c>
      <c r="D72" s="1" t="n">
        <v>308.9</v>
      </c>
      <c r="E72" s="1" t="n">
        <v>17.07</v>
      </c>
      <c r="F72" s="1" t="n">
        <v>2</v>
      </c>
    </row>
    <row collapsed="false" customFormat="false" customHeight="false" hidden="false" ht="14.75" outlineLevel="0" r="73">
      <c r="A73" s="1" t="s">
        <v>1424</v>
      </c>
      <c r="B73" s="1" t="s">
        <v>1363</v>
      </c>
      <c r="C73" s="1" t="s">
        <v>1361</v>
      </c>
      <c r="D73" s="1" t="n">
        <v>233.1</v>
      </c>
      <c r="E73" s="1" t="n">
        <v>15.52</v>
      </c>
      <c r="F73" s="1" t="n">
        <v>1</v>
      </c>
    </row>
    <row collapsed="false" customFormat="false" customHeight="false" hidden="false" ht="14.75" outlineLevel="0" r="74">
      <c r="A74" s="1" t="s">
        <v>1425</v>
      </c>
      <c r="B74" s="1" t="s">
        <v>1363</v>
      </c>
      <c r="C74" s="1" t="s">
        <v>1361</v>
      </c>
      <c r="D74" s="1" t="n">
        <v>155.7</v>
      </c>
      <c r="E74" s="1" t="n">
        <v>13.11</v>
      </c>
      <c r="F74" s="1" t="n">
        <v>1</v>
      </c>
    </row>
    <row collapsed="false" customFormat="false" customHeight="false" hidden="false" ht="14.75" outlineLevel="0" r="75">
      <c r="A75" s="1" t="s">
        <v>1426</v>
      </c>
      <c r="B75" s="1" t="s">
        <v>282</v>
      </c>
      <c r="C75" s="1" t="s">
        <v>1361</v>
      </c>
      <c r="D75" s="1" t="n">
        <v>240.7</v>
      </c>
      <c r="E75" s="1" t="n">
        <v>18.28</v>
      </c>
      <c r="F75" s="1" t="n">
        <f aca="false">18/7</f>
        <v>2.57142857142857</v>
      </c>
    </row>
    <row collapsed="false" customFormat="false" customHeight="false" hidden="false" ht="14.75" outlineLevel="0" r="76">
      <c r="A76" s="1" t="s">
        <v>1427</v>
      </c>
      <c r="B76" s="1" t="s">
        <v>1373</v>
      </c>
      <c r="C76" s="1" t="s">
        <v>1361</v>
      </c>
      <c r="D76" s="1" t="n">
        <v>304.7</v>
      </c>
      <c r="E76" s="1" t="n">
        <v>20</v>
      </c>
      <c r="F76" s="1" t="n">
        <v>3.1</v>
      </c>
    </row>
    <row collapsed="false" customFormat="false" customHeight="false" hidden="false" ht="14.75" outlineLevel="0" r="77">
      <c r="A77" s="1" t="s">
        <v>1428</v>
      </c>
      <c r="B77" s="1" t="s">
        <v>282</v>
      </c>
      <c r="C77" s="1" t="s">
        <v>1361</v>
      </c>
      <c r="D77" s="1" t="n">
        <v>207.1</v>
      </c>
      <c r="E77" s="1" t="n">
        <v>11.97</v>
      </c>
      <c r="F77" s="1" t="n">
        <f aca="false">9/7</f>
        <v>1.28571428571429</v>
      </c>
    </row>
    <row collapsed="false" customFormat="false" customHeight="false" hidden="false" ht="14.75" outlineLevel="0" r="78">
      <c r="A78" s="1" t="s">
        <v>1429</v>
      </c>
      <c r="B78" s="1" t="s">
        <v>282</v>
      </c>
      <c r="C78" s="1" t="s">
        <v>1361</v>
      </c>
      <c r="D78" s="1" t="n">
        <v>143.6</v>
      </c>
      <c r="E78" s="1" t="n">
        <v>12.5</v>
      </c>
      <c r="F78" s="1" t="n">
        <f aca="false">11/7</f>
        <v>1.57142857142857</v>
      </c>
    </row>
    <row collapsed="false" customFormat="false" customHeight="false" hidden="false" ht="14.75" outlineLevel="0" r="79">
      <c r="A79" s="1" t="s">
        <v>1430</v>
      </c>
      <c r="B79" s="1" t="s">
        <v>282</v>
      </c>
      <c r="C79" s="1" t="s">
        <v>1361</v>
      </c>
      <c r="D79" s="1" t="n">
        <v>78.6</v>
      </c>
      <c r="E79" s="1" t="n">
        <v>7.74</v>
      </c>
      <c r="F79" s="1" t="n">
        <f aca="false">2/7</f>
        <v>0.285714285714286</v>
      </c>
    </row>
    <row collapsed="false" customFormat="false" customHeight="false" hidden="false" ht="14.75" outlineLevel="0" r="80">
      <c r="A80" s="1" t="s">
        <v>1431</v>
      </c>
      <c r="B80" s="1" t="s">
        <v>1373</v>
      </c>
      <c r="C80" s="1" t="s">
        <v>1361</v>
      </c>
      <c r="D80" s="1" t="n">
        <v>225.8</v>
      </c>
      <c r="E80" s="1" t="n">
        <v>21.54</v>
      </c>
      <c r="F80" s="1" t="n">
        <v>1.7</v>
      </c>
    </row>
    <row collapsed="false" customFormat="false" customHeight="false" hidden="false" ht="14.75" outlineLevel="0" r="81">
      <c r="A81" s="1" t="s">
        <v>582</v>
      </c>
      <c r="B81" s="1" t="s">
        <v>1384</v>
      </c>
      <c r="C81" s="1" t="s">
        <v>1361</v>
      </c>
      <c r="D81" s="1" t="n">
        <v>133</v>
      </c>
      <c r="E81" s="1" t="n">
        <v>11.41</v>
      </c>
      <c r="F81" s="1" t="n">
        <v>0.8</v>
      </c>
    </row>
    <row collapsed="false" customFormat="false" customHeight="false" hidden="false" ht="14.75" outlineLevel="0" r="82">
      <c r="A82" s="1" t="s">
        <v>1432</v>
      </c>
      <c r="B82" s="1" t="s">
        <v>1363</v>
      </c>
      <c r="C82" s="1" t="s">
        <v>1361</v>
      </c>
      <c r="D82" s="1" t="n">
        <v>106.2</v>
      </c>
      <c r="E82" s="1" t="n">
        <v>9.05</v>
      </c>
      <c r="F82" s="1" t="n">
        <f aca="false">2/7</f>
        <v>0.285714285714286</v>
      </c>
    </row>
    <row collapsed="false" customFormat="false" customHeight="false" hidden="false" ht="14.75" outlineLevel="0" r="83">
      <c r="A83" s="1" t="s">
        <v>1433</v>
      </c>
      <c r="B83" s="1" t="s">
        <v>1389</v>
      </c>
      <c r="C83" s="1" t="s">
        <v>1361</v>
      </c>
      <c r="D83" s="1" t="n">
        <v>120.5</v>
      </c>
      <c r="E83" s="1" t="n">
        <v>15.32</v>
      </c>
      <c r="F83" s="1" t="n">
        <v>0.6</v>
      </c>
    </row>
    <row collapsed="false" customFormat="false" customHeight="false" hidden="false" ht="14.75" outlineLevel="0" r="84">
      <c r="A84" s="1" t="s">
        <v>1434</v>
      </c>
      <c r="B84" s="1" t="s">
        <v>1389</v>
      </c>
      <c r="C84" s="1" t="s">
        <v>1361</v>
      </c>
      <c r="D84" s="1" t="n">
        <v>220</v>
      </c>
      <c r="E84" s="1" t="n">
        <v>17.22</v>
      </c>
      <c r="F84" s="1" t="n">
        <v>0.6</v>
      </c>
    </row>
    <row collapsed="false" customFormat="false" customHeight="false" hidden="false" ht="14.75" outlineLevel="0" r="85">
      <c r="A85" s="1" t="s">
        <v>1435</v>
      </c>
      <c r="B85" s="1" t="s">
        <v>1363</v>
      </c>
      <c r="C85" s="1" t="s">
        <v>1361</v>
      </c>
      <c r="D85" s="1" t="n">
        <v>149.6</v>
      </c>
      <c r="E85" s="1" t="n">
        <v>12.73</v>
      </c>
      <c r="F85" s="1" t="n">
        <f aca="false">6/7</f>
        <v>0.857142857142857</v>
      </c>
    </row>
    <row collapsed="false" customFormat="false" customHeight="false" hidden="false" ht="14.75" outlineLevel="0" r="86">
      <c r="A86" s="1" t="s">
        <v>364</v>
      </c>
      <c r="B86" s="1" t="s">
        <v>282</v>
      </c>
      <c r="C86" s="1" t="s">
        <v>1361</v>
      </c>
      <c r="D86" s="1" t="n">
        <v>413.6</v>
      </c>
      <c r="E86" s="1" t="n">
        <v>21.82</v>
      </c>
      <c r="F86" s="1" t="n">
        <f aca="false">32/7</f>
        <v>4.57142857142857</v>
      </c>
    </row>
    <row collapsed="false" customFormat="false" customHeight="false" hidden="false" ht="14.75" outlineLevel="0" r="87">
      <c r="A87" s="1" t="s">
        <v>1436</v>
      </c>
      <c r="B87" s="1" t="s">
        <v>282</v>
      </c>
      <c r="C87" s="1" t="s">
        <v>1361</v>
      </c>
      <c r="D87" s="1" t="n">
        <v>118.6</v>
      </c>
      <c r="E87" s="1" t="n">
        <v>9.52</v>
      </c>
      <c r="F87" s="1" t="n">
        <f aca="false">4/7</f>
        <v>0.571428571428571</v>
      </c>
    </row>
    <row collapsed="false" customFormat="false" customHeight="false" hidden="false" ht="14.75" outlineLevel="0" r="88">
      <c r="A88" s="1" t="s">
        <v>1437</v>
      </c>
      <c r="B88" s="1" t="s">
        <v>1389</v>
      </c>
      <c r="C88" s="1" t="s">
        <v>1361</v>
      </c>
      <c r="D88" s="1" t="n">
        <v>186</v>
      </c>
      <c r="E88" s="1" t="n">
        <v>15</v>
      </c>
      <c r="F88" s="1" t="n">
        <v>1.7</v>
      </c>
    </row>
    <row collapsed="false" customFormat="false" customHeight="false" hidden="false" ht="14.75" outlineLevel="0" r="89">
      <c r="A89" s="1" t="s">
        <v>1438</v>
      </c>
      <c r="B89" s="1" t="s">
        <v>1376</v>
      </c>
      <c r="C89" s="1" t="s">
        <v>1361</v>
      </c>
      <c r="D89" s="1" t="n">
        <v>114.3</v>
      </c>
      <c r="E89" s="1" t="n">
        <v>11.32</v>
      </c>
      <c r="F89" s="1" t="n">
        <f aca="false">3/7</f>
        <v>0.428571428571429</v>
      </c>
    </row>
    <row collapsed="false" customFormat="false" customHeight="false" hidden="false" ht="14.75" outlineLevel="0" r="90">
      <c r="A90" s="1" t="s">
        <v>1439</v>
      </c>
      <c r="B90" s="1" t="s">
        <v>1376</v>
      </c>
      <c r="C90" s="1" t="s">
        <v>1361</v>
      </c>
      <c r="D90" s="1" t="n">
        <v>120</v>
      </c>
      <c r="E90" s="1" t="n">
        <v>12.27</v>
      </c>
      <c r="F90" s="1" t="n">
        <f aca="false">5/8</f>
        <v>0.625</v>
      </c>
    </row>
    <row collapsed="false" customFormat="false" customHeight="false" hidden="false" ht="14.75" outlineLevel="0" r="91">
      <c r="A91" s="1" t="s">
        <v>1440</v>
      </c>
      <c r="B91" s="1" t="s">
        <v>1376</v>
      </c>
      <c r="C91" s="1" t="s">
        <v>1361</v>
      </c>
      <c r="D91" s="1" t="n">
        <v>42.1</v>
      </c>
      <c r="E91" s="1" t="n">
        <v>6.67</v>
      </c>
      <c r="F91" s="1" t="n">
        <v>0</v>
      </c>
    </row>
    <row collapsed="false" customFormat="false" customHeight="false" hidden="false" ht="14.75" outlineLevel="0" r="92">
      <c r="A92" s="1" t="s">
        <v>591</v>
      </c>
      <c r="B92" s="1" t="s">
        <v>1384</v>
      </c>
      <c r="C92" s="1" t="s">
        <v>1361</v>
      </c>
      <c r="D92" s="1" t="n">
        <v>234.5</v>
      </c>
      <c r="E92" s="1" t="n">
        <v>14.53</v>
      </c>
      <c r="F92" s="1" t="n">
        <v>1.4</v>
      </c>
    </row>
    <row collapsed="false" customFormat="false" customHeight="false" hidden="false" ht="14.75" outlineLevel="0" r="93">
      <c r="A93" s="1" t="s">
        <v>1441</v>
      </c>
      <c r="B93" s="1" t="s">
        <v>1389</v>
      </c>
      <c r="C93" s="1" t="s">
        <v>1361</v>
      </c>
      <c r="D93" s="1" t="n">
        <v>164.5</v>
      </c>
      <c r="E93" s="1" t="n">
        <v>16.94</v>
      </c>
      <c r="F93" s="1" t="n">
        <v>0.8</v>
      </c>
    </row>
    <row collapsed="false" customFormat="false" customHeight="false" hidden="false" ht="14.75" outlineLevel="0" r="94">
      <c r="A94" s="1" t="s">
        <v>1442</v>
      </c>
      <c r="B94" s="1" t="s">
        <v>1389</v>
      </c>
      <c r="C94" s="1" t="s">
        <v>1361</v>
      </c>
      <c r="D94" s="1" t="n">
        <v>106</v>
      </c>
      <c r="E94" s="1" t="n">
        <v>10.98</v>
      </c>
      <c r="F94" s="1" t="n">
        <v>0.4</v>
      </c>
    </row>
    <row collapsed="false" customFormat="false" customHeight="false" hidden="false" ht="14.75" outlineLevel="0" r="95">
      <c r="A95" s="1" t="s">
        <v>1443</v>
      </c>
      <c r="B95" s="1" t="s">
        <v>1410</v>
      </c>
      <c r="C95" s="1" t="s">
        <v>1361</v>
      </c>
      <c r="D95" s="1" t="n">
        <v>180.6</v>
      </c>
      <c r="E95" s="1" t="n">
        <v>11.51</v>
      </c>
      <c r="F95" s="1" t="n">
        <f aca="false">16/9</f>
        <v>1.77777777777778</v>
      </c>
    </row>
    <row collapsed="false" customFormat="false" customHeight="false" hidden="false" ht="14.75" outlineLevel="0" r="96">
      <c r="A96" s="1" t="s">
        <v>1444</v>
      </c>
      <c r="B96" s="1" t="s">
        <v>1410</v>
      </c>
      <c r="C96" s="1" t="s">
        <v>1361</v>
      </c>
      <c r="D96" s="1" t="n">
        <v>138.8</v>
      </c>
      <c r="E96" s="1" t="n">
        <v>11.6</v>
      </c>
      <c r="F96" s="1" t="n">
        <f aca="false">7/8</f>
        <v>0.875</v>
      </c>
    </row>
    <row collapsed="false" customFormat="false" customHeight="false" hidden="false" ht="14.75" outlineLevel="0" r="97">
      <c r="A97" s="1" t="s">
        <v>1445</v>
      </c>
      <c r="B97" s="1" t="s">
        <v>1363</v>
      </c>
      <c r="C97" s="1" t="s">
        <v>1361</v>
      </c>
      <c r="D97" s="1" t="n">
        <v>303</v>
      </c>
      <c r="E97" s="1" t="n">
        <v>18.38</v>
      </c>
      <c r="F97" s="1" t="n">
        <f aca="false">15/7</f>
        <v>2.14285714285714</v>
      </c>
    </row>
    <row collapsed="false" customFormat="false" customHeight="false" hidden="false" ht="14.75" outlineLevel="0" r="98">
      <c r="A98" s="1" t="s">
        <v>1446</v>
      </c>
      <c r="B98" s="1" t="s">
        <v>1363</v>
      </c>
      <c r="C98" s="1" t="s">
        <v>1361</v>
      </c>
      <c r="D98" s="1" t="n">
        <v>190.2</v>
      </c>
      <c r="E98" s="1" t="n">
        <v>14.68</v>
      </c>
      <c r="F98" s="1" t="n">
        <v>1</v>
      </c>
    </row>
    <row collapsed="false" customFormat="false" customHeight="false" hidden="false" ht="14.75" outlineLevel="0" r="99">
      <c r="A99" s="1" t="s">
        <v>1447</v>
      </c>
      <c r="B99" s="1" t="s">
        <v>1363</v>
      </c>
      <c r="C99" s="1" t="s">
        <v>1361</v>
      </c>
      <c r="D99" s="1" t="n">
        <v>84.8</v>
      </c>
      <c r="E99" s="1" t="n">
        <v>10.71</v>
      </c>
      <c r="F99" s="1" t="n">
        <f aca="false">3/7</f>
        <v>0.428571428571429</v>
      </c>
    </row>
    <row collapsed="false" customFormat="false" customHeight="false" hidden="false" ht="14.75" outlineLevel="0" r="100">
      <c r="A100" s="1" t="s">
        <v>169</v>
      </c>
      <c r="B100" s="1" t="s">
        <v>1384</v>
      </c>
      <c r="C100" s="1" t="s">
        <v>1361</v>
      </c>
      <c r="D100" s="1" t="n">
        <v>287.7</v>
      </c>
      <c r="E100" s="1" t="n">
        <v>18.11</v>
      </c>
      <c r="F100" s="1" t="n">
        <v>2</v>
      </c>
    </row>
    <row collapsed="false" customFormat="false" customHeight="false" hidden="false" ht="14.75" outlineLevel="0" r="101">
      <c r="A101" s="1" t="s">
        <v>1448</v>
      </c>
      <c r="B101" s="1" t="s">
        <v>1368</v>
      </c>
      <c r="C101" s="1" t="s">
        <v>1361</v>
      </c>
      <c r="D101" s="1" t="n">
        <v>445</v>
      </c>
      <c r="E101" s="1" t="n">
        <v>22.39</v>
      </c>
      <c r="F101" s="1" t="n">
        <f aca="false">34/7</f>
        <v>4.85714285714286</v>
      </c>
    </row>
    <row collapsed="false" customFormat="false" customHeight="false" hidden="false" ht="14.75" outlineLevel="0" r="102">
      <c r="A102" s="1" t="s">
        <v>1449</v>
      </c>
      <c r="B102" s="1" t="s">
        <v>1368</v>
      </c>
      <c r="C102" s="1" t="s">
        <v>1361</v>
      </c>
      <c r="D102" s="1" t="n">
        <v>206.4</v>
      </c>
      <c r="E102" s="1" t="n">
        <v>15.18</v>
      </c>
      <c r="F102" s="1" t="n">
        <f aca="false">11/7</f>
        <v>1.57142857142857</v>
      </c>
    </row>
    <row collapsed="false" customFormat="false" customHeight="false" hidden="false" ht="14.75" outlineLevel="0" r="103">
      <c r="A103" s="1" t="s">
        <v>1450</v>
      </c>
      <c r="B103" s="1" t="s">
        <v>1368</v>
      </c>
      <c r="C103" s="1" t="s">
        <v>1361</v>
      </c>
      <c r="D103" s="1" t="n">
        <v>120</v>
      </c>
      <c r="E103" s="1" t="n">
        <v>11</v>
      </c>
      <c r="F103" s="1" t="n">
        <f aca="false">4/7</f>
        <v>0.571428571428571</v>
      </c>
    </row>
    <row collapsed="false" customFormat="false" customHeight="false" hidden="false" ht="14.75" outlineLevel="0" r="104">
      <c r="A104" s="1" t="s">
        <v>1451</v>
      </c>
      <c r="B104" s="1" t="s">
        <v>1368</v>
      </c>
      <c r="C104" s="1" t="s">
        <v>1361</v>
      </c>
      <c r="D104" s="1" t="n">
        <v>285</v>
      </c>
      <c r="E104" s="1" t="n">
        <v>20.08</v>
      </c>
      <c r="F104" s="1" t="n">
        <f aca="false">23/7</f>
        <v>3.28571428571429</v>
      </c>
    </row>
    <row collapsed="false" customFormat="false" customHeight="false" hidden="false" ht="14.75" outlineLevel="0" r="105">
      <c r="A105" s="1" t="s">
        <v>1452</v>
      </c>
      <c r="B105" s="1" t="s">
        <v>1368</v>
      </c>
      <c r="C105" s="1" t="s">
        <v>1361</v>
      </c>
      <c r="D105" s="1" t="n">
        <v>177.9</v>
      </c>
      <c r="E105" s="1" t="n">
        <v>16.38</v>
      </c>
      <c r="F105" s="1" t="n">
        <f aca="false">11/7</f>
        <v>1.57142857142857</v>
      </c>
    </row>
    <row collapsed="false" customFormat="false" customHeight="false" hidden="false" ht="14.75" outlineLevel="0" r="106">
      <c r="A106" s="1" t="s">
        <v>601</v>
      </c>
      <c r="B106" s="1" t="s">
        <v>1384</v>
      </c>
      <c r="C106" s="1" t="s">
        <v>1361</v>
      </c>
      <c r="D106" s="1" t="n">
        <v>341.4</v>
      </c>
      <c r="E106" s="1" t="n">
        <v>18.31</v>
      </c>
      <c r="F106" s="1" t="n">
        <f aca="false">25/11</f>
        <v>2.27272727272727</v>
      </c>
    </row>
    <row collapsed="false" customFormat="false" customHeight="false" hidden="false" ht="14.75" outlineLevel="0" r="107">
      <c r="A107" s="1" t="s">
        <v>602</v>
      </c>
      <c r="B107" s="1" t="s">
        <v>1384</v>
      </c>
      <c r="C107" s="1" t="s">
        <v>1361</v>
      </c>
      <c r="D107" s="1" t="n">
        <v>181</v>
      </c>
      <c r="E107" s="1" t="n">
        <v>13.51</v>
      </c>
      <c r="F107" s="1" t="n">
        <v>0.6</v>
      </c>
    </row>
    <row collapsed="false" customFormat="false" customHeight="false" hidden="false" ht="14.75" outlineLevel="0" r="108">
      <c r="A108" s="1" t="s">
        <v>1453</v>
      </c>
      <c r="B108" s="1" t="s">
        <v>1360</v>
      </c>
      <c r="C108" s="1" t="s">
        <v>1361</v>
      </c>
      <c r="D108" s="1" t="n">
        <v>149.2</v>
      </c>
      <c r="E108" s="1" t="n">
        <v>11.63</v>
      </c>
      <c r="F108" s="1" t="n">
        <f aca="false">4/7</f>
        <v>0.571428571428571</v>
      </c>
    </row>
    <row collapsed="false" customFormat="false" customHeight="false" hidden="false" ht="14.75" outlineLevel="0" r="109">
      <c r="A109" s="1" t="s">
        <v>391</v>
      </c>
      <c r="B109" s="1" t="s">
        <v>1384</v>
      </c>
      <c r="C109" s="1" t="s">
        <v>1361</v>
      </c>
      <c r="D109" s="1" t="n">
        <v>455</v>
      </c>
      <c r="E109" s="1" t="n">
        <v>21.27</v>
      </c>
      <c r="F109" s="1" t="n">
        <f aca="false">65/11</f>
        <v>5.90909090909091</v>
      </c>
    </row>
    <row collapsed="false" customFormat="false" customHeight="false" hidden="false" ht="14.75" outlineLevel="0" r="110">
      <c r="A110" s="1" t="s">
        <v>392</v>
      </c>
      <c r="B110" s="1" t="s">
        <v>1384</v>
      </c>
      <c r="C110" s="1" t="s">
        <v>1361</v>
      </c>
      <c r="D110" s="1" t="n">
        <v>263.5</v>
      </c>
      <c r="E110" s="1" t="n">
        <v>16.79</v>
      </c>
      <c r="F110" s="1" t="n">
        <v>2.5</v>
      </c>
    </row>
    <row collapsed="false" customFormat="false" customHeight="false" hidden="false" ht="14.75" outlineLevel="0" r="111">
      <c r="A111" s="1" t="s">
        <v>393</v>
      </c>
      <c r="B111" s="1" t="s">
        <v>1384</v>
      </c>
      <c r="C111" s="1" t="s">
        <v>1361</v>
      </c>
      <c r="D111" s="1" t="n">
        <v>179</v>
      </c>
      <c r="E111" s="1" t="n">
        <v>13.46</v>
      </c>
      <c r="F111" s="1" t="n">
        <v>1</v>
      </c>
    </row>
    <row collapsed="false" customFormat="false" customHeight="false" hidden="false" ht="14.75" outlineLevel="0" r="112">
      <c r="A112" s="1" t="s">
        <v>1454</v>
      </c>
      <c r="B112" s="1" t="s">
        <v>1416</v>
      </c>
      <c r="C112" s="1" t="s">
        <v>1361</v>
      </c>
      <c r="D112" s="1" t="n">
        <v>202.1</v>
      </c>
      <c r="E112" s="1" t="n">
        <v>14.91</v>
      </c>
      <c r="F112" s="1" t="n">
        <f aca="false">9/7</f>
        <v>1.28571428571429</v>
      </c>
    </row>
    <row collapsed="false" customFormat="false" customHeight="false" hidden="false" ht="14.75" outlineLevel="0" r="113">
      <c r="A113" s="1" t="s">
        <v>1455</v>
      </c>
      <c r="B113" s="1" t="s">
        <v>282</v>
      </c>
      <c r="C113" s="1" t="s">
        <v>1361</v>
      </c>
      <c r="D113" s="1" t="n">
        <v>224.3</v>
      </c>
      <c r="E113" s="1" t="n">
        <v>18.18</v>
      </c>
      <c r="F113" s="1" t="n">
        <f aca="false">14/7</f>
        <v>2</v>
      </c>
    </row>
    <row collapsed="false" customFormat="false" customHeight="false" hidden="false" ht="14.75" outlineLevel="0" r="114">
      <c r="A114" s="1" t="s">
        <v>1305</v>
      </c>
      <c r="B114" s="1" t="s">
        <v>282</v>
      </c>
      <c r="C114" s="1" t="s">
        <v>1361</v>
      </c>
      <c r="D114" s="1" t="n">
        <v>327.9</v>
      </c>
      <c r="E114" s="1" t="n">
        <v>20</v>
      </c>
      <c r="F114" s="1" t="n">
        <f aca="false">16/7</f>
        <v>2.28571428571429</v>
      </c>
    </row>
    <row collapsed="false" customFormat="false" customHeight="false" hidden="false" ht="14.75" outlineLevel="0" r="115">
      <c r="A115" s="1" t="s">
        <v>1456</v>
      </c>
      <c r="B115" s="1" t="s">
        <v>282</v>
      </c>
      <c r="C115" s="1" t="s">
        <v>1361</v>
      </c>
      <c r="D115" s="1" t="n">
        <v>315.7</v>
      </c>
      <c r="E115" s="1" t="n">
        <v>17.44</v>
      </c>
      <c r="F115" s="1" t="n">
        <f aca="false">24/7</f>
        <v>3.42857142857143</v>
      </c>
    </row>
    <row collapsed="false" customFormat="false" customHeight="false" hidden="false" ht="14.75" outlineLevel="0" r="116">
      <c r="A116" s="1" t="s">
        <v>1457</v>
      </c>
      <c r="B116" s="1" t="s">
        <v>282</v>
      </c>
      <c r="C116" s="1" t="s">
        <v>1361</v>
      </c>
      <c r="D116" s="1" t="n">
        <v>175.7</v>
      </c>
      <c r="E116" s="1" t="n">
        <v>17.73</v>
      </c>
      <c r="F116" s="1" t="n">
        <f aca="false">13/7</f>
        <v>1.85714285714286</v>
      </c>
    </row>
    <row collapsed="false" customFormat="false" customHeight="false" hidden="false" ht="14.75" outlineLevel="0" r="117">
      <c r="A117" s="1" t="s">
        <v>1458</v>
      </c>
      <c r="B117" s="1" t="s">
        <v>1389</v>
      </c>
      <c r="C117" s="1" t="s">
        <v>1361</v>
      </c>
      <c r="D117" s="1" t="n">
        <v>215</v>
      </c>
      <c r="E117" s="1" t="n">
        <v>15.83</v>
      </c>
      <c r="F117" s="1" t="n">
        <v>0.8</v>
      </c>
    </row>
    <row collapsed="false" customFormat="false" customHeight="false" hidden="false" ht="14.75" outlineLevel="0" r="118">
      <c r="A118" s="1" t="s">
        <v>1459</v>
      </c>
      <c r="B118" s="1" t="s">
        <v>1376</v>
      </c>
      <c r="C118" s="1" t="s">
        <v>1361</v>
      </c>
      <c r="D118" s="1" t="n">
        <v>160.5</v>
      </c>
      <c r="E118" s="1" t="n">
        <v>11.99</v>
      </c>
      <c r="F118" s="1" t="n">
        <v>0.8</v>
      </c>
    </row>
    <row collapsed="false" customFormat="false" customHeight="false" hidden="false" ht="14.75" outlineLevel="0" r="119">
      <c r="A119" s="1" t="s">
        <v>1460</v>
      </c>
      <c r="B119" s="1" t="s">
        <v>1376</v>
      </c>
      <c r="C119" s="1" t="s">
        <v>1361</v>
      </c>
      <c r="D119" s="1" t="n">
        <v>163.6</v>
      </c>
      <c r="E119" s="1" t="n">
        <v>12.31</v>
      </c>
      <c r="F119" s="1" t="n">
        <v>0</v>
      </c>
    </row>
    <row collapsed="false" customFormat="false" customHeight="false" hidden="false" ht="14.75" outlineLevel="0" r="120">
      <c r="A120" s="1" t="s">
        <v>1461</v>
      </c>
      <c r="B120" s="1" t="s">
        <v>1376</v>
      </c>
      <c r="C120" s="1" t="s">
        <v>1361</v>
      </c>
      <c r="D120" s="1" t="n">
        <v>162.1</v>
      </c>
      <c r="E120" s="1" t="n">
        <v>10.36</v>
      </c>
      <c r="F120" s="1" t="n">
        <f aca="false">6/7</f>
        <v>0.857142857142857</v>
      </c>
    </row>
    <row collapsed="false" customFormat="false" customHeight="false" hidden="false" ht="14.75" outlineLevel="0" r="121">
      <c r="A121" s="1" t="s">
        <v>1462</v>
      </c>
      <c r="B121" s="1" t="s">
        <v>1360</v>
      </c>
      <c r="C121" s="1" t="s">
        <v>1361</v>
      </c>
      <c r="D121" s="1" t="n">
        <v>225</v>
      </c>
      <c r="E121" s="1" t="n">
        <v>14.83</v>
      </c>
      <c r="F121" s="1" t="n">
        <f aca="false">6/7</f>
        <v>0.857142857142857</v>
      </c>
    </row>
    <row collapsed="false" customFormat="false" customHeight="false" hidden="false" ht="14.75" outlineLevel="0" r="122">
      <c r="A122" s="1" t="s">
        <v>1463</v>
      </c>
      <c r="B122" s="1" t="s">
        <v>1360</v>
      </c>
      <c r="C122" s="1" t="s">
        <v>1361</v>
      </c>
      <c r="D122" s="1" t="n">
        <v>244.9</v>
      </c>
      <c r="E122" s="1" t="n">
        <v>15.69</v>
      </c>
      <c r="F122" s="1" t="n">
        <f aca="false">13/7</f>
        <v>1.85714285714286</v>
      </c>
    </row>
    <row collapsed="false" customFormat="false" customHeight="false" hidden="false" ht="14.75" outlineLevel="0" r="123">
      <c r="A123" s="1" t="s">
        <v>1464</v>
      </c>
      <c r="B123" s="1" t="s">
        <v>1384</v>
      </c>
      <c r="C123" s="1" t="s">
        <v>1361</v>
      </c>
      <c r="D123" s="1" t="n">
        <v>106.7</v>
      </c>
      <c r="E123" s="1" t="n">
        <v>11.82</v>
      </c>
      <c r="F123" s="1" t="n">
        <v>0.8</v>
      </c>
    </row>
    <row collapsed="false" customFormat="false" customHeight="false" hidden="false" ht="14.75" outlineLevel="0" r="124">
      <c r="A124" s="1" t="s">
        <v>1465</v>
      </c>
      <c r="B124" s="1" t="s">
        <v>1376</v>
      </c>
      <c r="C124" s="1" t="s">
        <v>1361</v>
      </c>
      <c r="D124" s="1" t="n">
        <v>63.6</v>
      </c>
      <c r="E124" s="1" t="n">
        <v>5.71</v>
      </c>
      <c r="F124" s="1" t="n">
        <f aca="false">1/7</f>
        <v>0.142857142857143</v>
      </c>
    </row>
    <row collapsed="false" customFormat="false" customHeight="false" hidden="false" ht="14.75" outlineLevel="0" r="125">
      <c r="A125" s="1" t="s">
        <v>176</v>
      </c>
      <c r="B125" s="1" t="s">
        <v>1365</v>
      </c>
      <c r="C125" s="1" t="s">
        <v>1361</v>
      </c>
      <c r="D125" s="1" t="n">
        <v>125.5</v>
      </c>
      <c r="E125" s="1" t="n">
        <v>11.01</v>
      </c>
      <c r="F125" s="1" t="n">
        <f aca="false">5/11</f>
        <v>0.454545454545455</v>
      </c>
    </row>
    <row collapsed="false" customFormat="false" customHeight="false" hidden="false" ht="14.75" outlineLevel="0" r="126">
      <c r="A126" s="1" t="s">
        <v>1466</v>
      </c>
      <c r="B126" s="1" t="s">
        <v>282</v>
      </c>
      <c r="C126" s="1" t="s">
        <v>1361</v>
      </c>
      <c r="D126" s="1" t="n">
        <v>320</v>
      </c>
      <c r="E126" s="1" t="n">
        <v>20.48</v>
      </c>
      <c r="F126" s="1" t="n">
        <f aca="false">17/7</f>
        <v>2.42857142857143</v>
      </c>
    </row>
    <row collapsed="false" customFormat="false" customHeight="false" hidden="false" ht="14.75" outlineLevel="0" r="127">
      <c r="A127" s="1" t="s">
        <v>1467</v>
      </c>
      <c r="B127" s="1" t="s">
        <v>282</v>
      </c>
      <c r="C127" s="1" t="s">
        <v>1361</v>
      </c>
      <c r="D127" s="1" t="n">
        <v>155</v>
      </c>
      <c r="E127" s="1" t="n">
        <v>14.13</v>
      </c>
      <c r="F127" s="1" t="n">
        <f aca="false">19/7</f>
        <v>2.71428571428571</v>
      </c>
    </row>
    <row collapsed="false" customFormat="false" customHeight="false" hidden="false" ht="14.75" outlineLevel="0" r="128">
      <c r="A128" s="1" t="s">
        <v>1468</v>
      </c>
      <c r="B128" s="1" t="s">
        <v>1416</v>
      </c>
      <c r="C128" s="1" t="s">
        <v>1361</v>
      </c>
      <c r="D128" s="1" t="n">
        <v>272.9</v>
      </c>
      <c r="E128" s="1" t="n">
        <v>17.32</v>
      </c>
      <c r="F128" s="1" t="n">
        <f aca="false">13/7</f>
        <v>1.85714285714286</v>
      </c>
    </row>
    <row collapsed="false" customFormat="false" customHeight="false" hidden="false" ht="14.75" outlineLevel="0" r="129">
      <c r="A129" s="1" t="s">
        <v>1469</v>
      </c>
      <c r="B129" s="1" t="s">
        <v>1416</v>
      </c>
      <c r="C129" s="1" t="s">
        <v>1361</v>
      </c>
      <c r="D129" s="1" t="n">
        <v>136.4</v>
      </c>
      <c r="E129" s="1" t="n">
        <v>13.75</v>
      </c>
      <c r="F129" s="1" t="n">
        <f aca="false">6/7</f>
        <v>0.857142857142857</v>
      </c>
    </row>
    <row collapsed="false" customFormat="false" customHeight="false" hidden="false" ht="14.75" outlineLevel="0" r="130">
      <c r="A130" s="1" t="s">
        <v>1470</v>
      </c>
      <c r="B130" s="1" t="s">
        <v>1365</v>
      </c>
      <c r="C130" s="1" t="s">
        <v>1361</v>
      </c>
      <c r="D130" s="1" t="n">
        <v>84.1</v>
      </c>
      <c r="E130" s="1" t="n">
        <v>7.31</v>
      </c>
      <c r="F130" s="1" t="n">
        <f aca="false">8/11</f>
        <v>0.727272727272727</v>
      </c>
    </row>
    <row collapsed="false" customFormat="false" customHeight="false" hidden="false" ht="14.75" outlineLevel="0" r="131">
      <c r="A131" s="1" t="s">
        <v>1471</v>
      </c>
      <c r="B131" s="1" t="s">
        <v>1360</v>
      </c>
      <c r="C131" s="1" t="s">
        <v>1361</v>
      </c>
      <c r="D131" s="1" t="n">
        <v>106.6</v>
      </c>
      <c r="E131" s="1" t="n">
        <v>10</v>
      </c>
      <c r="F131" s="1" t="n">
        <v>1</v>
      </c>
    </row>
    <row collapsed="false" customFormat="false" customHeight="false" hidden="false" ht="14.75" outlineLevel="0" r="132">
      <c r="A132" s="1" t="s">
        <v>400</v>
      </c>
      <c r="B132" s="1" t="s">
        <v>1389</v>
      </c>
      <c r="C132" s="1" t="s">
        <v>1361</v>
      </c>
      <c r="D132" s="1" t="n">
        <v>392</v>
      </c>
      <c r="E132" s="1" t="n">
        <v>19.69</v>
      </c>
      <c r="F132" s="1" t="n">
        <v>4</v>
      </c>
    </row>
    <row collapsed="false" customFormat="false" customHeight="false" hidden="false" ht="14.75" outlineLevel="0" r="133">
      <c r="A133" s="1" t="s">
        <v>401</v>
      </c>
      <c r="B133" s="1" t="s">
        <v>1389</v>
      </c>
      <c r="C133" s="1" t="s">
        <v>1361</v>
      </c>
      <c r="D133" s="1" t="n">
        <v>215.5</v>
      </c>
      <c r="E133" s="1" t="n">
        <v>15.89</v>
      </c>
      <c r="F133" s="1" t="n">
        <v>0.8</v>
      </c>
    </row>
    <row collapsed="false" customFormat="false" customHeight="false" hidden="false" ht="14.75" outlineLevel="0" r="134">
      <c r="A134" s="1" t="s">
        <v>1472</v>
      </c>
      <c r="B134" s="1" t="s">
        <v>1376</v>
      </c>
      <c r="C134" s="1" t="s">
        <v>1361</v>
      </c>
      <c r="D134" s="1" t="n">
        <v>135.6</v>
      </c>
      <c r="E134" s="1" t="n">
        <v>11.47</v>
      </c>
      <c r="F134" s="1" t="n">
        <f aca="false">5/8</f>
        <v>0.625</v>
      </c>
    </row>
    <row collapsed="false" customFormat="false" customHeight="false" hidden="false" ht="14.75" outlineLevel="0" r="135">
      <c r="A135" s="1" t="s">
        <v>1473</v>
      </c>
      <c r="B135" s="1" t="s">
        <v>1389</v>
      </c>
      <c r="C135" s="1" t="s">
        <v>1361</v>
      </c>
      <c r="D135" s="1" t="n">
        <v>155.5</v>
      </c>
      <c r="E135" s="1" t="n">
        <v>13.09</v>
      </c>
      <c r="F135" s="1" t="n">
        <v>0.3</v>
      </c>
    </row>
    <row collapsed="false" customFormat="false" customHeight="false" hidden="false" ht="14.75" outlineLevel="0" r="136">
      <c r="A136" s="1" t="s">
        <v>1474</v>
      </c>
      <c r="B136" s="1" t="s">
        <v>1389</v>
      </c>
      <c r="C136" s="1" t="s">
        <v>1361</v>
      </c>
      <c r="D136" s="1" t="n">
        <v>97</v>
      </c>
      <c r="E136" s="1" t="n">
        <v>8.36</v>
      </c>
      <c r="F136" s="1" t="n">
        <v>0.3</v>
      </c>
    </row>
    <row collapsed="false" customFormat="false" customHeight="false" hidden="false" ht="14.75" outlineLevel="0" r="137">
      <c r="A137" s="1" t="s">
        <v>1326</v>
      </c>
      <c r="B137" s="1" t="s">
        <v>282</v>
      </c>
      <c r="C137" s="1" t="s">
        <v>1361</v>
      </c>
      <c r="D137" s="1" t="n">
        <v>439.3</v>
      </c>
      <c r="E137" s="1" t="n">
        <v>22.61</v>
      </c>
      <c r="F137" s="1" t="n">
        <f aca="false">37/7</f>
        <v>5.28571428571429</v>
      </c>
    </row>
    <row collapsed="false" customFormat="false" customHeight="false" hidden="false" ht="14.75" outlineLevel="0" r="138">
      <c r="A138" s="1" t="s">
        <v>1475</v>
      </c>
      <c r="B138" s="1" t="s">
        <v>282</v>
      </c>
      <c r="C138" s="1" t="s">
        <v>1361</v>
      </c>
      <c r="D138" s="1" t="n">
        <v>55</v>
      </c>
      <c r="E138" s="1" t="n">
        <v>6.52</v>
      </c>
      <c r="F138" s="1" t="n">
        <f aca="false">2/7</f>
        <v>0.285714285714286</v>
      </c>
    </row>
    <row collapsed="false" customFormat="false" customHeight="false" hidden="false" ht="14.75" outlineLevel="0" r="139">
      <c r="A139" s="1" t="s">
        <v>1476</v>
      </c>
      <c r="B139" s="1" t="s">
        <v>1389</v>
      </c>
      <c r="C139" s="1" t="s">
        <v>1361</v>
      </c>
      <c r="D139" s="1" t="n">
        <v>234.5</v>
      </c>
      <c r="E139" s="1" t="n">
        <v>16.67</v>
      </c>
      <c r="F139" s="1" t="n">
        <v>2.2</v>
      </c>
    </row>
    <row collapsed="false" customFormat="false" customHeight="false" hidden="false" ht="14.75" outlineLevel="0" r="140">
      <c r="A140" s="1" t="s">
        <v>1477</v>
      </c>
      <c r="B140" s="1" t="s">
        <v>1376</v>
      </c>
      <c r="C140" s="1" t="s">
        <v>1361</v>
      </c>
      <c r="D140" s="1" t="n">
        <v>143.1</v>
      </c>
      <c r="E140" s="1" t="n">
        <v>11.09</v>
      </c>
      <c r="F140" s="1" t="n">
        <v>0.25</v>
      </c>
    </row>
    <row collapsed="false" customFormat="false" customHeight="false" hidden="false" ht="14.75" outlineLevel="0" r="141">
      <c r="A141" s="1" t="s">
        <v>1478</v>
      </c>
      <c r="B141" s="1" t="s">
        <v>1376</v>
      </c>
      <c r="C141" s="1" t="s">
        <v>1361</v>
      </c>
      <c r="D141" s="1" t="n">
        <v>191</v>
      </c>
      <c r="E141" s="1" t="n">
        <v>14.36</v>
      </c>
      <c r="F141" s="1" t="n">
        <v>0.9</v>
      </c>
    </row>
    <row collapsed="false" customFormat="false" customHeight="false" hidden="false" ht="14.75" outlineLevel="0" r="142">
      <c r="A142" s="1" t="s">
        <v>409</v>
      </c>
      <c r="B142" s="1" t="s">
        <v>1384</v>
      </c>
      <c r="C142" s="1" t="s">
        <v>1361</v>
      </c>
      <c r="D142" s="1" t="n">
        <v>152</v>
      </c>
      <c r="E142" s="1" t="n">
        <v>10.97</v>
      </c>
      <c r="F142" s="1" t="n">
        <v>1.1</v>
      </c>
    </row>
    <row collapsed="false" customFormat="false" customHeight="false" hidden="false" ht="14.75" outlineLevel="0" r="143">
      <c r="A143" s="1" t="s">
        <v>1479</v>
      </c>
      <c r="B143" s="1" t="s">
        <v>282</v>
      </c>
      <c r="C143" s="1" t="s">
        <v>1361</v>
      </c>
      <c r="D143" s="1" t="n">
        <v>182.1</v>
      </c>
      <c r="E143" s="1" t="n">
        <v>12.63</v>
      </c>
      <c r="F143" s="1" t="n">
        <f aca="false">9/7</f>
        <v>1.28571428571429</v>
      </c>
    </row>
    <row collapsed="false" customFormat="false" customHeight="false" hidden="false" ht="14.75" outlineLevel="0" r="144">
      <c r="A144" s="1" t="s">
        <v>1480</v>
      </c>
      <c r="B144" s="1" t="s">
        <v>1376</v>
      </c>
      <c r="C144" s="1" t="s">
        <v>1361</v>
      </c>
      <c r="D144" s="1" t="n">
        <v>128.6</v>
      </c>
      <c r="E144" s="1" t="n">
        <v>10</v>
      </c>
      <c r="F144" s="1" t="n">
        <f aca="false">6/7</f>
        <v>0.857142857142857</v>
      </c>
    </row>
    <row collapsed="false" customFormat="false" customHeight="false" hidden="false" ht="14.75" outlineLevel="0" r="145">
      <c r="A145" s="1" t="s">
        <v>1340</v>
      </c>
      <c r="B145" s="1" t="s">
        <v>282</v>
      </c>
      <c r="C145" s="1" t="s">
        <v>1361</v>
      </c>
      <c r="D145" s="1" t="n">
        <v>430.7</v>
      </c>
      <c r="E145" s="1" t="n">
        <v>21.08</v>
      </c>
      <c r="F145" s="1" t="n">
        <f aca="false">35/7</f>
        <v>5</v>
      </c>
    </row>
    <row collapsed="false" customFormat="false" customHeight="false" hidden="false" ht="14.75" outlineLevel="0" r="146">
      <c r="A146" s="1" t="s">
        <v>1481</v>
      </c>
      <c r="B146" s="1" t="s">
        <v>1363</v>
      </c>
      <c r="C146" s="1" t="s">
        <v>1361</v>
      </c>
      <c r="D146" s="1" t="n">
        <v>388.7</v>
      </c>
      <c r="E146" s="1" t="n">
        <v>22.92</v>
      </c>
      <c r="F146" s="1" t="n">
        <f aca="false">24/7</f>
        <v>3.42857142857143</v>
      </c>
    </row>
    <row collapsed="false" customFormat="false" customHeight="false" hidden="false" ht="14.75" outlineLevel="0" r="147">
      <c r="A147" s="1" t="s">
        <v>1482</v>
      </c>
      <c r="B147" s="1" t="s">
        <v>282</v>
      </c>
      <c r="C147" s="1" t="s">
        <v>1361</v>
      </c>
      <c r="D147" s="1" t="n">
        <v>258.6</v>
      </c>
      <c r="E147" s="1" t="n">
        <v>18.71</v>
      </c>
      <c r="F147" s="1" t="n">
        <f aca="false">15/7</f>
        <v>2.14285714285714</v>
      </c>
    </row>
    <row collapsed="false" customFormat="false" customHeight="false" hidden="false" ht="14.75" outlineLevel="0" r="148">
      <c r="A148" s="1" t="s">
        <v>1483</v>
      </c>
      <c r="B148" s="1" t="s">
        <v>1410</v>
      </c>
      <c r="C148" s="1" t="s">
        <v>1361</v>
      </c>
      <c r="D148" s="1" t="n">
        <v>150</v>
      </c>
      <c r="E148" s="1" t="n">
        <v>13.08</v>
      </c>
      <c r="F148" s="1" t="n">
        <f aca="false">6/8</f>
        <v>0.75</v>
      </c>
    </row>
    <row collapsed="false" customFormat="false" customHeight="false" hidden="false" ht="14.75" outlineLevel="0" r="149">
      <c r="A149" s="1" t="s">
        <v>1484</v>
      </c>
      <c r="B149" s="1" t="s">
        <v>1410</v>
      </c>
      <c r="C149" s="1" t="s">
        <v>1361</v>
      </c>
      <c r="D149" s="1" t="n">
        <v>165.6</v>
      </c>
      <c r="E149" s="1" t="n">
        <v>12.17</v>
      </c>
      <c r="F149" s="1" t="n">
        <f aca="false">7/8</f>
        <v>0.875</v>
      </c>
    </row>
    <row collapsed="false" customFormat="false" customHeight="false" hidden="false" ht="14.75" outlineLevel="0" r="150">
      <c r="A150" s="1" t="s">
        <v>1485</v>
      </c>
      <c r="B150" s="1" t="s">
        <v>1363</v>
      </c>
      <c r="C150" s="1" t="s">
        <v>1361</v>
      </c>
      <c r="D150" s="1" t="n">
        <v>209.6</v>
      </c>
      <c r="E150" s="1" t="n">
        <v>15</v>
      </c>
      <c r="F150" s="1" t="n">
        <f aca="false">6/7</f>
        <v>0.857142857142857</v>
      </c>
    </row>
    <row collapsed="false" customFormat="false" customHeight="false" hidden="false" ht="14.75" outlineLevel="0" r="151">
      <c r="A151" s="1" t="s">
        <v>1486</v>
      </c>
      <c r="B151" s="1" t="s">
        <v>282</v>
      </c>
      <c r="C151" s="1" t="s">
        <v>1361</v>
      </c>
      <c r="D151" s="1" t="n">
        <v>184.4</v>
      </c>
      <c r="E151" s="1" t="n">
        <v>12.59</v>
      </c>
      <c r="F151" s="1" t="n">
        <f aca="false">6/7</f>
        <v>0.857142857142857</v>
      </c>
    </row>
    <row collapsed="false" customFormat="false" customHeight="false" hidden="false" ht="14.75" outlineLevel="0" r="152">
      <c r="A152" s="1" t="s">
        <v>1487</v>
      </c>
      <c r="B152" s="1" t="s">
        <v>1389</v>
      </c>
      <c r="C152" s="1" t="s">
        <v>1361</v>
      </c>
      <c r="D152" s="1" t="n">
        <v>101.5</v>
      </c>
      <c r="E152" s="1" t="n">
        <v>10.39</v>
      </c>
      <c r="F152" s="1" t="n">
        <v>0.8</v>
      </c>
    </row>
    <row collapsed="false" customFormat="false" customHeight="false" hidden="false" ht="14.75" outlineLevel="0" r="153">
      <c r="A153" s="1" t="s">
        <v>1488</v>
      </c>
      <c r="B153" s="1" t="s">
        <v>1389</v>
      </c>
      <c r="C153" s="1" t="s">
        <v>1361</v>
      </c>
      <c r="D153" s="1" t="n">
        <v>97</v>
      </c>
      <c r="E153" s="1" t="n">
        <v>11.52</v>
      </c>
      <c r="F153" s="1" t="n">
        <v>0.6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blackAndWhite="false" cellComments="none" copies="1" draft="false" firstPageNumber="0" fitToHeight="1" fitToWidth="1" horizontalDpi="300" orientation="portrait" pageOrder="downThenOver" paperSize="1" scale="100" useFirstPageNumber="false" usePrinterDefaults="false" verticalDpi="300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274"/>
  <sheetViews>
    <sheetView colorId="64" defaultGridColor="true" rightToLeft="false" showFormulas="false" showGridLines="true" showOutlineSymbols="true" showRowColHeaders="true" showZeros="true" tabSelected="false" topLeftCell="A246" view="normal" windowProtection="false" workbookViewId="0" zoomScale="85" zoomScaleNormal="85" zoomScalePageLayoutView="100">
      <selection activeCell="A279" activeCellId="0" pane="topLeft" sqref="A279"/>
    </sheetView>
  </sheetViews>
  <cols>
    <col collapsed="false" hidden="false" max="1" min="1" style="1" width="28.1372549019608"/>
    <col collapsed="false" hidden="false" max="2" min="2" style="1" width="27.4941176470588"/>
    <col collapsed="false" hidden="false" max="3" min="3" style="1" width="6.52156862745098"/>
    <col collapsed="false" hidden="false" max="5" min="4" style="1" width="7.15294117647059"/>
    <col collapsed="false" hidden="false" max="6" min="6" style="1" width="14.1647058823529"/>
    <col collapsed="false" hidden="false" max="1025" min="7" style="1" width="10.8705882352941"/>
  </cols>
  <sheetData>
    <row collapsed="false" customFormat="false" customHeight="false" hidden="false" ht="14.75" outlineLevel="0"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collapsed="false" customFormat="false" customHeight="false" hidden="false" ht="14.75" outlineLevel="0" r="2">
      <c r="A2" s="1" t="s">
        <v>1489</v>
      </c>
      <c r="B2" s="4" t="s">
        <v>1490</v>
      </c>
      <c r="C2" s="1" t="s">
        <v>1491</v>
      </c>
      <c r="D2" s="1" t="n">
        <v>281.9</v>
      </c>
      <c r="E2" s="1" t="n">
        <v>18.16</v>
      </c>
      <c r="F2" s="1" t="n">
        <f aca="false">26/8</f>
        <v>3.25</v>
      </c>
    </row>
    <row collapsed="false" customFormat="false" customHeight="false" hidden="false" ht="14.75" outlineLevel="0" r="3">
      <c r="A3" s="1" t="s">
        <v>1492</v>
      </c>
      <c r="B3" s="1" t="s">
        <v>1493</v>
      </c>
      <c r="C3" s="1" t="s">
        <v>1491</v>
      </c>
      <c r="D3" s="1" t="n">
        <v>163.3</v>
      </c>
      <c r="E3" s="1" t="n">
        <v>14.25</v>
      </c>
      <c r="F3" s="1" t="n">
        <v>1</v>
      </c>
    </row>
    <row collapsed="false" customFormat="false" customHeight="false" hidden="false" ht="14.75" outlineLevel="0" r="4">
      <c r="A4" s="1" t="s">
        <v>1367</v>
      </c>
      <c r="B4" s="4" t="s">
        <v>1490</v>
      </c>
      <c r="C4" s="1" t="s">
        <v>1491</v>
      </c>
      <c r="D4" s="1" t="n">
        <v>17.9</v>
      </c>
      <c r="E4" s="1" t="n">
        <v>0.83</v>
      </c>
      <c r="F4" s="1" t="n">
        <v>0</v>
      </c>
    </row>
    <row collapsed="false" customFormat="false" customHeight="false" hidden="false" ht="14.75" outlineLevel="0" r="5">
      <c r="A5" s="1" t="s">
        <v>796</v>
      </c>
      <c r="B5" s="1" t="s">
        <v>1494</v>
      </c>
      <c r="C5" s="1" t="s">
        <v>1491</v>
      </c>
      <c r="D5" s="1" t="n">
        <v>251.7</v>
      </c>
      <c r="E5" s="1" t="n">
        <v>17.86</v>
      </c>
      <c r="F5" s="1" t="n">
        <v>1.4</v>
      </c>
    </row>
    <row collapsed="false" customFormat="false" customHeight="false" hidden="false" ht="14.75" outlineLevel="0" r="6">
      <c r="A6" s="1" t="s">
        <v>1495</v>
      </c>
      <c r="B6" s="1" t="s">
        <v>1496</v>
      </c>
      <c r="C6" s="1" t="s">
        <v>1491</v>
      </c>
      <c r="D6" s="1" t="n">
        <v>118.3</v>
      </c>
      <c r="E6" s="1" t="n">
        <v>12.58</v>
      </c>
      <c r="F6" s="1" t="n">
        <v>1</v>
      </c>
    </row>
    <row collapsed="false" customFormat="false" customHeight="false" hidden="false" ht="14.75" outlineLevel="0" r="7">
      <c r="A7" s="1" t="s">
        <v>1497</v>
      </c>
      <c r="B7" s="1" t="s">
        <v>1496</v>
      </c>
      <c r="C7" s="1" t="s">
        <v>1491</v>
      </c>
      <c r="D7" s="1" t="n">
        <v>77.5</v>
      </c>
      <c r="E7" s="1" t="n">
        <v>8.08</v>
      </c>
      <c r="F7" s="1" t="n">
        <f aca="false">5/6</f>
        <v>0.833333333333333</v>
      </c>
    </row>
    <row collapsed="false" customFormat="false" customHeight="false" hidden="false" ht="14.75" outlineLevel="0" r="8">
      <c r="A8" s="1" t="s">
        <v>1498</v>
      </c>
      <c r="B8" s="1" t="s">
        <v>1499</v>
      </c>
      <c r="C8" s="4" t="s">
        <v>1491</v>
      </c>
      <c r="D8" s="1" t="n">
        <v>126</v>
      </c>
      <c r="E8" s="1" t="n">
        <v>10.24</v>
      </c>
      <c r="F8" s="1" t="n">
        <v>0.8</v>
      </c>
    </row>
    <row collapsed="false" customFormat="false" customHeight="false" hidden="false" ht="14.75" outlineLevel="0" r="9">
      <c r="A9" s="1" t="s">
        <v>1500</v>
      </c>
      <c r="B9" s="1" t="s">
        <v>1499</v>
      </c>
      <c r="C9" s="4" t="s">
        <v>1491</v>
      </c>
      <c r="D9" s="1" t="n">
        <v>128</v>
      </c>
      <c r="E9" s="1" t="n">
        <v>10.21</v>
      </c>
      <c r="F9" s="1" t="n">
        <v>0.6</v>
      </c>
    </row>
    <row collapsed="false" customFormat="false" customHeight="false" hidden="false" ht="14.75" outlineLevel="0" r="10">
      <c r="A10" s="1" t="s">
        <v>1501</v>
      </c>
      <c r="B10" s="1" t="s">
        <v>1499</v>
      </c>
      <c r="C10" s="4" t="s">
        <v>1491</v>
      </c>
      <c r="D10" s="1" t="n">
        <v>154</v>
      </c>
      <c r="E10" s="1" t="n">
        <v>7.66</v>
      </c>
      <c r="F10" s="1" t="n">
        <v>0.9</v>
      </c>
    </row>
    <row collapsed="false" customFormat="false" customHeight="false" hidden="false" ht="14.75" outlineLevel="0" r="11">
      <c r="A11" s="1" t="s">
        <v>511</v>
      </c>
      <c r="B11" s="1" t="s">
        <v>1496</v>
      </c>
      <c r="C11" s="1" t="s">
        <v>1491</v>
      </c>
      <c r="D11" s="1" t="n">
        <v>221.4</v>
      </c>
      <c r="E11" s="1" t="n">
        <v>15</v>
      </c>
      <c r="F11" s="1" t="n">
        <v>2</v>
      </c>
    </row>
    <row collapsed="false" customFormat="false" customHeight="false" hidden="false" ht="14.75" outlineLevel="0" r="12">
      <c r="A12" s="1" t="s">
        <v>512</v>
      </c>
      <c r="B12" s="1" t="s">
        <v>1496</v>
      </c>
      <c r="C12" s="1" t="s">
        <v>1491</v>
      </c>
      <c r="D12" s="1" t="n">
        <v>78.3</v>
      </c>
      <c r="E12" s="1" t="n">
        <v>8.21</v>
      </c>
      <c r="F12" s="1" t="n">
        <f aca="false">4/6</f>
        <v>0.666666666666667</v>
      </c>
    </row>
    <row collapsed="false" customFormat="false" customHeight="false" hidden="false" ht="14.75" outlineLevel="0" r="13">
      <c r="A13" s="1" t="s">
        <v>1502</v>
      </c>
      <c r="B13" s="1" t="s">
        <v>1496</v>
      </c>
      <c r="C13" s="1" t="s">
        <v>1491</v>
      </c>
      <c r="D13" s="1" t="n">
        <v>84.2</v>
      </c>
      <c r="E13" s="1" t="n">
        <v>10.38</v>
      </c>
      <c r="F13" s="1" t="n">
        <v>0.5</v>
      </c>
    </row>
    <row collapsed="false" customFormat="false" customHeight="false" hidden="false" ht="14.75" outlineLevel="0" r="14">
      <c r="A14" s="1" t="s">
        <v>1503</v>
      </c>
      <c r="B14" s="1" t="s">
        <v>1504</v>
      </c>
      <c r="C14" s="1" t="s">
        <v>1491</v>
      </c>
      <c r="D14" s="1" t="n">
        <v>275</v>
      </c>
      <c r="E14" s="1" t="n">
        <v>14.23</v>
      </c>
      <c r="F14" s="1" t="n">
        <f aca="false">10/7</f>
        <v>1.42857142857143</v>
      </c>
    </row>
    <row collapsed="false" customFormat="false" customHeight="false" hidden="false" ht="14.75" outlineLevel="0" r="15">
      <c r="A15" s="1" t="s">
        <v>1505</v>
      </c>
      <c r="B15" s="1" t="s">
        <v>1504</v>
      </c>
      <c r="C15" s="1" t="s">
        <v>1491</v>
      </c>
      <c r="D15" s="1" t="n">
        <v>130.7</v>
      </c>
      <c r="E15" s="1" t="n">
        <v>10.1</v>
      </c>
      <c r="F15" s="1" t="n">
        <f aca="false">3/7</f>
        <v>0.428571428571429</v>
      </c>
    </row>
    <row collapsed="false" customFormat="false" customHeight="false" hidden="false" ht="14.75" outlineLevel="0" r="16">
      <c r="A16" s="1" t="s">
        <v>1506</v>
      </c>
      <c r="B16" s="1" t="s">
        <v>1499</v>
      </c>
      <c r="C16" s="4" t="s">
        <v>1491</v>
      </c>
      <c r="D16" s="1" t="n">
        <v>293.4</v>
      </c>
      <c r="E16" s="1" t="n">
        <v>18.22</v>
      </c>
      <c r="F16" s="1" t="n">
        <f aca="false">31/11</f>
        <v>2.81818181818182</v>
      </c>
    </row>
    <row collapsed="false" customFormat="false" customHeight="false" hidden="false" ht="14.75" outlineLevel="0" r="17">
      <c r="A17" s="1" t="s">
        <v>1507</v>
      </c>
      <c r="B17" s="1" t="s">
        <v>1496</v>
      </c>
      <c r="C17" s="1" t="s">
        <v>1491</v>
      </c>
      <c r="D17" s="1" t="n">
        <v>13.3</v>
      </c>
      <c r="E17" s="1" t="n">
        <v>1.43</v>
      </c>
      <c r="F17" s="1" t="n">
        <v>0</v>
      </c>
    </row>
    <row collapsed="false" customFormat="false" customHeight="false" hidden="false" ht="14.75" outlineLevel="0" r="18">
      <c r="A18" s="1" t="s">
        <v>513</v>
      </c>
      <c r="B18" s="1" t="s">
        <v>1496</v>
      </c>
      <c r="C18" s="1" t="s">
        <v>1491</v>
      </c>
      <c r="D18" s="1" t="n">
        <v>372.5</v>
      </c>
      <c r="E18" s="1" t="n">
        <v>20.79</v>
      </c>
      <c r="F18" s="1" t="n">
        <f aca="false">28/8</f>
        <v>3.5</v>
      </c>
    </row>
    <row collapsed="false" customFormat="false" customHeight="false" hidden="false" ht="14.75" outlineLevel="0" r="19">
      <c r="A19" s="1" t="s">
        <v>514</v>
      </c>
      <c r="B19" s="1" t="s">
        <v>1496</v>
      </c>
      <c r="C19" s="1" t="s">
        <v>1491</v>
      </c>
      <c r="D19" s="1" t="n">
        <v>245</v>
      </c>
      <c r="E19" s="1" t="n">
        <v>17.92</v>
      </c>
      <c r="F19" s="1" t="n">
        <f aca="false">15/7</f>
        <v>2.14285714285714</v>
      </c>
    </row>
    <row collapsed="false" customFormat="false" customHeight="false" hidden="false" ht="14.75" outlineLevel="0" r="20">
      <c r="A20" s="1" t="s">
        <v>1508</v>
      </c>
      <c r="B20" s="1" t="s">
        <v>1496</v>
      </c>
      <c r="C20" s="1" t="s">
        <v>1491</v>
      </c>
      <c r="D20" s="1" t="n">
        <v>64.2</v>
      </c>
      <c r="E20" s="1" t="n">
        <v>10</v>
      </c>
      <c r="F20" s="1" t="n">
        <f aca="false">1/6</f>
        <v>0.166666666666667</v>
      </c>
    </row>
    <row collapsed="false" customFormat="false" customHeight="false" hidden="false" ht="14.75" outlineLevel="0" r="21">
      <c r="A21" s="1" t="s">
        <v>1509</v>
      </c>
      <c r="B21" s="1" t="s">
        <v>1496</v>
      </c>
      <c r="C21" s="1" t="s">
        <v>1491</v>
      </c>
      <c r="D21" s="1" t="n">
        <v>86.7</v>
      </c>
      <c r="E21" s="1" t="n">
        <v>9.66</v>
      </c>
      <c r="F21" s="1" t="n">
        <f aca="false">2/6</f>
        <v>0.333333333333333</v>
      </c>
    </row>
    <row collapsed="false" customFormat="false" customHeight="false" hidden="false" ht="14.75" outlineLevel="0" r="22">
      <c r="A22" s="1" t="s">
        <v>1510</v>
      </c>
      <c r="B22" s="4" t="s">
        <v>1490</v>
      </c>
      <c r="C22" s="1" t="s">
        <v>1491</v>
      </c>
      <c r="D22" s="1" t="n">
        <v>114.3</v>
      </c>
      <c r="E22" s="1" t="n">
        <v>10.25</v>
      </c>
      <c r="F22" s="1" t="n">
        <f aca="false">1/7</f>
        <v>0.142857142857143</v>
      </c>
    </row>
    <row collapsed="false" customFormat="false" customHeight="false" hidden="false" ht="14.75" outlineLevel="0" r="23">
      <c r="A23" s="1" t="s">
        <v>1511</v>
      </c>
      <c r="B23" s="4" t="s">
        <v>1490</v>
      </c>
      <c r="C23" s="1" t="s">
        <v>1491</v>
      </c>
      <c r="D23" s="1" t="n">
        <v>73.1</v>
      </c>
      <c r="E23" s="1" t="n">
        <v>4.87</v>
      </c>
      <c r="F23" s="1" t="n">
        <f aca="false">5/8</f>
        <v>0.625</v>
      </c>
    </row>
    <row collapsed="false" customFormat="false" customHeight="false" hidden="false" ht="14.75" outlineLevel="0" r="24">
      <c r="A24" s="1" t="s">
        <v>439</v>
      </c>
      <c r="B24" s="1" t="s">
        <v>1493</v>
      </c>
      <c r="C24" s="1" t="s">
        <v>1491</v>
      </c>
      <c r="D24" s="1" t="n">
        <v>142.1</v>
      </c>
      <c r="E24" s="1" t="n">
        <v>9.8</v>
      </c>
      <c r="F24" s="1" t="n">
        <f aca="false">6/8</f>
        <v>0.75</v>
      </c>
    </row>
    <row collapsed="false" customFormat="false" customHeight="false" hidden="false" ht="14.75" outlineLevel="0" r="25">
      <c r="A25" s="1" t="s">
        <v>441</v>
      </c>
      <c r="B25" s="1" t="s">
        <v>1493</v>
      </c>
      <c r="C25" s="1" t="s">
        <v>1491</v>
      </c>
      <c r="D25" s="1" t="n">
        <v>125.7</v>
      </c>
      <c r="E25" s="1" t="n">
        <v>10.83</v>
      </c>
      <c r="F25" s="1" t="n">
        <f aca="false">6/7</f>
        <v>0.857142857142857</v>
      </c>
    </row>
    <row collapsed="false" customFormat="false" customHeight="false" hidden="false" ht="14.75" outlineLevel="0" r="26">
      <c r="A26" s="1" t="s">
        <v>1125</v>
      </c>
      <c r="B26" s="4" t="s">
        <v>1490</v>
      </c>
      <c r="C26" s="1" t="s">
        <v>1491</v>
      </c>
      <c r="D26" s="1" t="n">
        <v>221.4</v>
      </c>
      <c r="E26" s="1" t="n">
        <v>15</v>
      </c>
      <c r="F26" s="1" t="n">
        <v>2</v>
      </c>
    </row>
    <row collapsed="false" customFormat="false" customHeight="false" hidden="false" ht="14.75" outlineLevel="0" r="27">
      <c r="A27" s="1" t="s">
        <v>821</v>
      </c>
      <c r="B27" s="1" t="s">
        <v>1512</v>
      </c>
      <c r="C27" s="1" t="s">
        <v>1491</v>
      </c>
      <c r="D27" s="1" t="n">
        <v>305</v>
      </c>
      <c r="E27" s="1" t="n">
        <v>18.13</v>
      </c>
      <c r="F27" s="1" t="n">
        <v>2.2</v>
      </c>
    </row>
    <row collapsed="false" customFormat="false" customHeight="false" hidden="false" ht="14.75" outlineLevel="0" r="28">
      <c r="A28" s="1" t="s">
        <v>1513</v>
      </c>
      <c r="B28" s="1" t="s">
        <v>1512</v>
      </c>
      <c r="C28" s="1" t="s">
        <v>1491</v>
      </c>
      <c r="D28" s="1" t="n">
        <v>111</v>
      </c>
      <c r="E28" s="1" t="n">
        <v>9.62</v>
      </c>
      <c r="F28" s="1" t="n">
        <v>0.7</v>
      </c>
    </row>
    <row collapsed="false" customFormat="false" customHeight="false" hidden="false" ht="14.75" outlineLevel="0" r="29">
      <c r="A29" s="1" t="s">
        <v>101</v>
      </c>
      <c r="B29" s="1" t="s">
        <v>1512</v>
      </c>
      <c r="C29" s="1" t="s">
        <v>1491</v>
      </c>
      <c r="D29" s="1" t="n">
        <v>391</v>
      </c>
      <c r="E29" s="1" t="n">
        <v>18.5</v>
      </c>
      <c r="F29" s="1" t="n">
        <v>4.5</v>
      </c>
    </row>
    <row collapsed="false" customFormat="false" customHeight="false" hidden="false" ht="14.75" outlineLevel="0" r="30">
      <c r="A30" s="1" t="s">
        <v>1514</v>
      </c>
      <c r="B30" s="1" t="s">
        <v>1512</v>
      </c>
      <c r="C30" s="1" t="s">
        <v>1491</v>
      </c>
      <c r="D30" s="1" t="n">
        <v>126.5</v>
      </c>
      <c r="E30" s="1" t="n">
        <v>10.65</v>
      </c>
      <c r="F30" s="1" t="n">
        <f aca="false">3/5</f>
        <v>0.6</v>
      </c>
    </row>
    <row collapsed="false" customFormat="false" customHeight="false" hidden="false" ht="14.75" outlineLevel="0" r="31">
      <c r="A31" s="1" t="s">
        <v>824</v>
      </c>
      <c r="B31" s="1" t="s">
        <v>1494</v>
      </c>
      <c r="C31" s="1" t="s">
        <v>1491</v>
      </c>
      <c r="D31" s="1" t="n">
        <v>291</v>
      </c>
      <c r="E31" s="1" t="n">
        <v>17.75</v>
      </c>
      <c r="F31" s="1" t="n">
        <v>2.7</v>
      </c>
    </row>
    <row collapsed="false" customFormat="false" customHeight="false" hidden="false" ht="14.75" outlineLevel="0" r="32">
      <c r="A32" s="1" t="s">
        <v>1008</v>
      </c>
      <c r="B32" s="1" t="s">
        <v>1494</v>
      </c>
      <c r="C32" s="1" t="s">
        <v>1491</v>
      </c>
      <c r="D32" s="1" t="n">
        <v>194</v>
      </c>
      <c r="E32" s="1" t="n">
        <v>14.25</v>
      </c>
      <c r="F32" s="1" t="n">
        <v>1</v>
      </c>
    </row>
    <row collapsed="false" customFormat="false" customHeight="false" hidden="false" ht="14.75" outlineLevel="0" r="33">
      <c r="A33" s="1" t="s">
        <v>1009</v>
      </c>
      <c r="B33" s="1" t="s">
        <v>1494</v>
      </c>
      <c r="C33" s="1" t="s">
        <v>1491</v>
      </c>
      <c r="D33" s="1" t="n">
        <v>103.9</v>
      </c>
      <c r="E33" s="1" t="n">
        <v>10.85</v>
      </c>
      <c r="F33" s="1" t="n">
        <v>0.8</v>
      </c>
    </row>
    <row collapsed="false" customFormat="false" customHeight="false" hidden="false" ht="14.75" outlineLevel="0" r="34">
      <c r="A34" s="1" t="s">
        <v>1011</v>
      </c>
      <c r="B34" s="1" t="s">
        <v>1499</v>
      </c>
      <c r="C34" s="4" t="s">
        <v>1491</v>
      </c>
      <c r="D34" s="1" t="n">
        <v>164</v>
      </c>
      <c r="E34" s="1" t="n">
        <v>12.08</v>
      </c>
      <c r="F34" s="1" t="n">
        <v>1.5</v>
      </c>
    </row>
    <row collapsed="false" customFormat="false" customHeight="false" hidden="false" ht="14.75" outlineLevel="0" r="35">
      <c r="A35" s="1" t="s">
        <v>1012</v>
      </c>
      <c r="B35" s="1" t="s">
        <v>1499</v>
      </c>
      <c r="C35" s="4" t="s">
        <v>1491</v>
      </c>
      <c r="D35" s="1" t="n">
        <v>156.7</v>
      </c>
      <c r="E35" s="1" t="n">
        <v>10.86</v>
      </c>
      <c r="F35" s="1" t="n">
        <v>0.9</v>
      </c>
    </row>
    <row collapsed="false" customFormat="false" customHeight="false" hidden="false" ht="14.75" outlineLevel="0" r="36">
      <c r="A36" s="1" t="s">
        <v>1515</v>
      </c>
      <c r="B36" s="1" t="s">
        <v>1499</v>
      </c>
      <c r="C36" s="4" t="s">
        <v>1491</v>
      </c>
      <c r="D36" s="1" t="n">
        <v>104.7</v>
      </c>
      <c r="E36" s="1" t="n">
        <v>6.04</v>
      </c>
      <c r="F36" s="1" t="n">
        <v>0.6</v>
      </c>
    </row>
    <row collapsed="false" customFormat="false" customHeight="false" hidden="false" ht="14.75" outlineLevel="0" r="37">
      <c r="A37" s="1" t="s">
        <v>827</v>
      </c>
      <c r="B37" s="1" t="s">
        <v>1494</v>
      </c>
      <c r="C37" s="1" t="s">
        <v>1491</v>
      </c>
      <c r="D37" s="1" t="n">
        <v>308.2</v>
      </c>
      <c r="E37" s="1" t="n">
        <v>18.99</v>
      </c>
      <c r="F37" s="1" t="n">
        <f aca="false">30/11</f>
        <v>2.72727272727273</v>
      </c>
    </row>
    <row collapsed="false" customFormat="false" customHeight="false" hidden="false" ht="14.75" outlineLevel="0" r="38">
      <c r="A38" s="1" t="s">
        <v>828</v>
      </c>
      <c r="B38" s="1" t="s">
        <v>1494</v>
      </c>
      <c r="C38" s="1" t="s">
        <v>1491</v>
      </c>
      <c r="D38" s="1" t="n">
        <v>173.5</v>
      </c>
      <c r="E38" s="1" t="n">
        <v>11.57</v>
      </c>
      <c r="F38" s="1" t="n">
        <v>0.9</v>
      </c>
    </row>
    <row collapsed="false" customFormat="false" customHeight="false" hidden="false" ht="14.75" outlineLevel="0" r="39">
      <c r="A39" s="1" t="s">
        <v>829</v>
      </c>
      <c r="B39" s="1" t="s">
        <v>1494</v>
      </c>
      <c r="C39" s="1" t="s">
        <v>1491</v>
      </c>
      <c r="D39" s="1" t="n">
        <v>80</v>
      </c>
      <c r="E39" s="1" t="n">
        <v>8</v>
      </c>
      <c r="F39" s="1" t="n">
        <v>0.3</v>
      </c>
    </row>
    <row collapsed="false" customFormat="false" customHeight="false" hidden="false" ht="14.75" outlineLevel="0" r="40">
      <c r="A40" s="1" t="s">
        <v>830</v>
      </c>
      <c r="B40" s="1" t="s">
        <v>1494</v>
      </c>
      <c r="C40" s="1" t="s">
        <v>1491</v>
      </c>
      <c r="D40" s="1" t="n">
        <v>105.6</v>
      </c>
      <c r="E40" s="1" t="n">
        <v>9.06</v>
      </c>
      <c r="F40" s="1" t="n">
        <v>0.9</v>
      </c>
    </row>
    <row collapsed="false" customFormat="false" customHeight="false" hidden="false" ht="14.75" outlineLevel="0" r="41">
      <c r="A41" s="1" t="s">
        <v>831</v>
      </c>
      <c r="B41" s="1" t="s">
        <v>1494</v>
      </c>
      <c r="C41" s="1" t="s">
        <v>1491</v>
      </c>
      <c r="D41" s="1" t="n">
        <v>114.5</v>
      </c>
      <c r="E41" s="1" t="n">
        <v>8.59</v>
      </c>
      <c r="F41" s="1" t="n">
        <v>1.2</v>
      </c>
    </row>
    <row collapsed="false" customFormat="false" customHeight="false" hidden="false" ht="14.75" outlineLevel="0" r="42">
      <c r="A42" s="1" t="s">
        <v>832</v>
      </c>
      <c r="B42" s="1" t="s">
        <v>1494</v>
      </c>
      <c r="C42" s="1" t="s">
        <v>1491</v>
      </c>
      <c r="D42" s="1" t="n">
        <v>79.4</v>
      </c>
      <c r="E42" s="1" t="n">
        <v>7.44</v>
      </c>
      <c r="F42" s="1" t="n">
        <v>0.3</v>
      </c>
    </row>
    <row collapsed="false" customFormat="false" customHeight="false" hidden="false" ht="14.75" outlineLevel="0" r="43">
      <c r="A43" s="1" t="s">
        <v>1144</v>
      </c>
      <c r="B43" s="1" t="s">
        <v>1496</v>
      </c>
      <c r="C43" s="1" t="s">
        <v>1491</v>
      </c>
      <c r="D43" s="1" t="n">
        <v>172.1</v>
      </c>
      <c r="E43" s="1" t="n">
        <v>13.37</v>
      </c>
      <c r="F43" s="1" t="n">
        <f aca="false">8/7</f>
        <v>1.14285714285714</v>
      </c>
    </row>
    <row collapsed="false" customFormat="false" customHeight="false" hidden="false" ht="14.75" outlineLevel="0" r="44">
      <c r="A44" s="1" t="s">
        <v>1145</v>
      </c>
      <c r="B44" s="1" t="s">
        <v>1496</v>
      </c>
      <c r="C44" s="1" t="s">
        <v>1491</v>
      </c>
      <c r="D44" s="1" t="n">
        <v>132.5</v>
      </c>
      <c r="E44" s="1" t="n">
        <v>11.32</v>
      </c>
      <c r="F44" s="1" t="n">
        <f aca="false">5/6</f>
        <v>0.833333333333333</v>
      </c>
    </row>
    <row collapsed="false" customFormat="false" customHeight="false" hidden="false" ht="14.75" outlineLevel="0" r="45">
      <c r="A45" s="1" t="s">
        <v>535</v>
      </c>
      <c r="B45" s="1" t="s">
        <v>1496</v>
      </c>
      <c r="C45" s="1" t="s">
        <v>1491</v>
      </c>
      <c r="D45" s="1" t="n">
        <v>517.2</v>
      </c>
      <c r="E45" s="1" t="n">
        <v>23.92</v>
      </c>
      <c r="F45" s="1" t="n">
        <v>5.9</v>
      </c>
    </row>
    <row collapsed="false" customFormat="false" customHeight="false" hidden="false" ht="14.75" outlineLevel="0" r="46">
      <c r="A46" s="1" t="s">
        <v>536</v>
      </c>
      <c r="B46" s="1" t="s">
        <v>1496</v>
      </c>
      <c r="C46" s="1" t="s">
        <v>1491</v>
      </c>
      <c r="D46" s="1" t="n">
        <v>204.2</v>
      </c>
      <c r="E46" s="1" t="n">
        <v>15.96</v>
      </c>
      <c r="F46" s="1" t="n">
        <f aca="false">16/6</f>
        <v>2.66666666666667</v>
      </c>
    </row>
    <row collapsed="false" customFormat="false" customHeight="false" hidden="false" ht="14.75" outlineLevel="0" r="47">
      <c r="A47" s="1" t="s">
        <v>1516</v>
      </c>
      <c r="B47" s="1" t="s">
        <v>1517</v>
      </c>
      <c r="C47" s="1" t="s">
        <v>1491</v>
      </c>
      <c r="D47" s="1" t="n">
        <v>299</v>
      </c>
      <c r="E47" s="1" t="n">
        <v>17.7830188679245</v>
      </c>
      <c r="F47" s="1" t="n">
        <v>2.33333333333333</v>
      </c>
    </row>
    <row collapsed="false" customFormat="false" customHeight="false" hidden="false" ht="14.75" outlineLevel="0" r="48">
      <c r="A48" s="1" t="s">
        <v>1518</v>
      </c>
      <c r="B48" s="4" t="s">
        <v>1490</v>
      </c>
      <c r="C48" s="1" t="s">
        <v>1491</v>
      </c>
      <c r="D48" s="1" t="n">
        <v>101.4</v>
      </c>
      <c r="E48" s="1" t="n">
        <v>9.72</v>
      </c>
      <c r="F48" s="1" t="n">
        <v>1</v>
      </c>
    </row>
    <row collapsed="false" customFormat="false" customHeight="false" hidden="false" ht="14.75" outlineLevel="0" r="49">
      <c r="A49" s="1" t="s">
        <v>1519</v>
      </c>
      <c r="B49" s="4" t="s">
        <v>1490</v>
      </c>
      <c r="C49" s="1" t="s">
        <v>1491</v>
      </c>
      <c r="D49" s="1" t="n">
        <v>52.5</v>
      </c>
      <c r="E49" s="1" t="n">
        <v>4.33</v>
      </c>
      <c r="F49" s="1" t="n">
        <v>0</v>
      </c>
    </row>
    <row collapsed="false" customFormat="false" customHeight="false" hidden="false" ht="14.75" outlineLevel="0" r="50">
      <c r="A50" s="1" t="s">
        <v>846</v>
      </c>
      <c r="B50" s="1" t="s">
        <v>1494</v>
      </c>
      <c r="C50" s="1" t="s">
        <v>1491</v>
      </c>
      <c r="D50" s="1" t="n">
        <v>142.2</v>
      </c>
      <c r="E50" s="1" t="n">
        <v>12.13</v>
      </c>
      <c r="F50" s="1" t="n">
        <v>1.1</v>
      </c>
    </row>
    <row collapsed="false" customFormat="false" customHeight="false" hidden="false" ht="14.75" outlineLevel="0" r="51">
      <c r="A51" s="1" t="s">
        <v>847</v>
      </c>
      <c r="B51" s="1" t="s">
        <v>1494</v>
      </c>
      <c r="C51" s="1" t="s">
        <v>1491</v>
      </c>
      <c r="D51" s="1" t="n">
        <v>128.5</v>
      </c>
      <c r="E51" s="1" t="n">
        <v>10.46</v>
      </c>
      <c r="F51" s="1" t="n">
        <v>1</v>
      </c>
    </row>
    <row collapsed="false" customFormat="false" customHeight="false" hidden="false" ht="14.75" outlineLevel="0" r="52">
      <c r="A52" s="1" t="s">
        <v>253</v>
      </c>
      <c r="B52" s="1" t="s">
        <v>1499</v>
      </c>
      <c r="C52" s="4" t="s">
        <v>1491</v>
      </c>
      <c r="D52" s="1" t="n">
        <v>218</v>
      </c>
      <c r="E52" s="1" t="n">
        <v>17.31</v>
      </c>
      <c r="F52" s="1" t="n">
        <v>1.7</v>
      </c>
    </row>
    <row collapsed="false" customFormat="false" customHeight="false" hidden="false" ht="14.75" outlineLevel="0" r="53">
      <c r="A53" s="1" t="s">
        <v>254</v>
      </c>
      <c r="B53" s="1" t="s">
        <v>1499</v>
      </c>
      <c r="C53" s="4" t="s">
        <v>1491</v>
      </c>
      <c r="D53" s="1" t="n">
        <v>156.7</v>
      </c>
      <c r="E53" s="1" t="n">
        <v>10.32</v>
      </c>
      <c r="F53" s="1" t="n">
        <v>0.2</v>
      </c>
    </row>
    <row collapsed="false" customFormat="false" customHeight="false" hidden="false" ht="14.75" outlineLevel="0" r="54">
      <c r="A54" s="1" t="s">
        <v>1520</v>
      </c>
      <c r="B54" s="1" t="s">
        <v>1499</v>
      </c>
      <c r="C54" s="4" t="s">
        <v>1491</v>
      </c>
      <c r="D54" s="1" t="n">
        <v>158.7</v>
      </c>
      <c r="E54" s="1" t="n">
        <v>9.03</v>
      </c>
      <c r="F54" s="1" t="n">
        <v>0.3</v>
      </c>
    </row>
    <row collapsed="false" customFormat="false" customHeight="false" hidden="false" ht="14.75" outlineLevel="0" r="55">
      <c r="A55" s="1" t="s">
        <v>1521</v>
      </c>
      <c r="B55" s="1" t="s">
        <v>1517</v>
      </c>
      <c r="C55" s="1" t="s">
        <v>1491</v>
      </c>
      <c r="D55" s="1" t="n">
        <v>167.02</v>
      </c>
      <c r="E55" s="1" t="n">
        <v>15.5384615384615</v>
      </c>
      <c r="F55" s="1" t="n">
        <v>1.5</v>
      </c>
    </row>
    <row collapsed="false" customFormat="false" customHeight="false" hidden="false" ht="14.75" outlineLevel="0" r="56">
      <c r="A56" s="1" t="s">
        <v>1522</v>
      </c>
      <c r="B56" s="1" t="s">
        <v>1493</v>
      </c>
      <c r="C56" s="1" t="s">
        <v>1491</v>
      </c>
      <c r="D56" s="1" t="n">
        <v>387.9</v>
      </c>
      <c r="E56" s="1" t="n">
        <v>20.89</v>
      </c>
      <c r="F56" s="1" t="n">
        <f aca="false">53/13</f>
        <v>4.07692307692308</v>
      </c>
    </row>
    <row collapsed="false" customFormat="false" customHeight="false" hidden="false" ht="14.75" outlineLevel="0" r="57">
      <c r="A57" s="1" t="s">
        <v>324</v>
      </c>
      <c r="B57" s="1" t="s">
        <v>1493</v>
      </c>
      <c r="C57" s="1" t="s">
        <v>1491</v>
      </c>
      <c r="D57" s="1" t="n">
        <v>111.4</v>
      </c>
      <c r="E57" s="1" t="n">
        <v>9.15</v>
      </c>
      <c r="F57" s="1" t="n">
        <f aca="false">3/7</f>
        <v>0.428571428571429</v>
      </c>
    </row>
    <row collapsed="false" customFormat="false" customHeight="false" hidden="false" ht="14.75" outlineLevel="0" r="58">
      <c r="A58" s="1" t="s">
        <v>1523</v>
      </c>
      <c r="B58" s="1" t="s">
        <v>1517</v>
      </c>
      <c r="C58" s="1" t="s">
        <v>1491</v>
      </c>
      <c r="D58" s="1" t="n">
        <v>93.8666666666667</v>
      </c>
      <c r="E58" s="1" t="n">
        <v>7.2</v>
      </c>
      <c r="F58" s="1" t="n">
        <v>1.16666666666667</v>
      </c>
    </row>
    <row collapsed="false" customFormat="false" customHeight="false" hidden="false" ht="14.75" outlineLevel="0" r="59">
      <c r="A59" s="1" t="s">
        <v>1524</v>
      </c>
      <c r="B59" s="1" t="s">
        <v>1517</v>
      </c>
      <c r="C59" s="1" t="s">
        <v>1491</v>
      </c>
      <c r="D59" s="1" t="n">
        <v>22.2333333333333</v>
      </c>
      <c r="E59" s="1" t="n">
        <v>3.125</v>
      </c>
      <c r="F59" s="1" t="n">
        <v>0</v>
      </c>
    </row>
    <row collapsed="false" customFormat="false" customHeight="false" hidden="false" ht="14.75" outlineLevel="0" r="60">
      <c r="A60" s="1" t="s">
        <v>1525</v>
      </c>
      <c r="B60" s="1" t="s">
        <v>1504</v>
      </c>
      <c r="C60" s="1" t="s">
        <v>1491</v>
      </c>
      <c r="D60" s="1" t="n">
        <v>275.7</v>
      </c>
      <c r="E60" s="1" t="n">
        <v>14.94</v>
      </c>
      <c r="F60" s="1" t="n">
        <v>2</v>
      </c>
    </row>
    <row collapsed="false" customFormat="false" customHeight="false" hidden="false" ht="14.75" outlineLevel="0" r="61">
      <c r="A61" s="1" t="s">
        <v>1526</v>
      </c>
      <c r="B61" s="1" t="s">
        <v>1504</v>
      </c>
      <c r="C61" s="1" t="s">
        <v>1491</v>
      </c>
      <c r="D61" s="1" t="n">
        <v>309.3</v>
      </c>
      <c r="E61" s="1" t="n">
        <v>16.16</v>
      </c>
      <c r="F61" s="1" t="n">
        <v>3</v>
      </c>
    </row>
    <row collapsed="false" customFormat="false" customHeight="false" hidden="false" ht="14.75" outlineLevel="0" r="62">
      <c r="A62" s="1" t="s">
        <v>1527</v>
      </c>
      <c r="B62" s="1" t="s">
        <v>1504</v>
      </c>
      <c r="C62" s="1" t="s">
        <v>1491</v>
      </c>
      <c r="D62" s="1" t="n">
        <v>135</v>
      </c>
      <c r="E62" s="1" t="n">
        <v>9.79</v>
      </c>
      <c r="F62" s="1" t="n">
        <f aca="false">8/7</f>
        <v>1.14285714285714</v>
      </c>
    </row>
    <row collapsed="false" customFormat="false" customHeight="false" hidden="false" ht="14.75" outlineLevel="0" r="63">
      <c r="A63" s="1" t="s">
        <v>1014</v>
      </c>
      <c r="B63" s="1" t="s">
        <v>1493</v>
      </c>
      <c r="C63" s="1" t="s">
        <v>1491</v>
      </c>
      <c r="D63" s="1" t="n">
        <v>579.1</v>
      </c>
      <c r="E63" s="1" t="n">
        <v>21.55</v>
      </c>
      <c r="F63" s="1" t="n">
        <f aca="false">94/11</f>
        <v>8.54545454545455</v>
      </c>
    </row>
    <row collapsed="false" customFormat="false" customHeight="false" hidden="false" ht="14.75" outlineLevel="0" r="64">
      <c r="A64" s="1" t="s">
        <v>1015</v>
      </c>
      <c r="B64" s="1" t="s">
        <v>1493</v>
      </c>
      <c r="C64" s="1" t="s">
        <v>1491</v>
      </c>
      <c r="D64" s="1" t="n">
        <v>348.2</v>
      </c>
      <c r="E64" s="1" t="n">
        <v>19.44</v>
      </c>
      <c r="F64" s="1" t="n">
        <f aca="false">45/12</f>
        <v>3.75</v>
      </c>
    </row>
    <row collapsed="false" customFormat="false" customHeight="false" hidden="false" ht="14.75" outlineLevel="0" r="65">
      <c r="A65" s="1" t="s">
        <v>1528</v>
      </c>
      <c r="B65" s="1" t="s">
        <v>1493</v>
      </c>
      <c r="C65" s="1" t="s">
        <v>1491</v>
      </c>
      <c r="D65" s="1" t="n">
        <v>485</v>
      </c>
      <c r="E65" s="1" t="n">
        <v>21.47</v>
      </c>
      <c r="F65" s="1" t="n">
        <f aca="false">67/12</f>
        <v>5.58333333333333</v>
      </c>
    </row>
    <row collapsed="false" customFormat="false" customHeight="false" hidden="false" ht="14.75" outlineLevel="0" r="66">
      <c r="A66" s="1" t="s">
        <v>1529</v>
      </c>
      <c r="B66" s="1" t="s">
        <v>1493</v>
      </c>
      <c r="C66" s="1" t="s">
        <v>1491</v>
      </c>
      <c r="D66" s="1" t="n">
        <v>138.8</v>
      </c>
      <c r="E66" s="1" t="n">
        <v>10.75</v>
      </c>
      <c r="F66" s="1" t="n">
        <f aca="false">6/8</f>
        <v>0.75</v>
      </c>
    </row>
    <row collapsed="false" customFormat="false" customHeight="false" hidden="false" ht="14.75" outlineLevel="0" r="67">
      <c r="A67" s="1" t="s">
        <v>1530</v>
      </c>
      <c r="B67" s="1" t="s">
        <v>1517</v>
      </c>
      <c r="C67" s="1" t="s">
        <v>1491</v>
      </c>
      <c r="D67" s="1" t="n">
        <v>152.766666666667</v>
      </c>
      <c r="E67" s="1" t="n">
        <v>12.1875</v>
      </c>
      <c r="F67" s="1" t="n">
        <v>0.5</v>
      </c>
    </row>
    <row collapsed="false" customFormat="false" customHeight="false" hidden="false" ht="14.75" outlineLevel="0" r="68">
      <c r="A68" s="1" t="s">
        <v>1531</v>
      </c>
      <c r="B68" s="1" t="s">
        <v>1512</v>
      </c>
      <c r="C68" s="1" t="s">
        <v>1491</v>
      </c>
      <c r="D68" s="1" t="n">
        <v>415</v>
      </c>
      <c r="E68" s="1" t="n">
        <v>22.24</v>
      </c>
      <c r="F68" s="1" t="n">
        <v>4.4</v>
      </c>
    </row>
    <row collapsed="false" customFormat="false" customHeight="false" hidden="false" ht="14.75" outlineLevel="0" r="69">
      <c r="A69" s="1" t="s">
        <v>1532</v>
      </c>
      <c r="B69" s="1" t="s">
        <v>1512</v>
      </c>
      <c r="C69" s="1" t="s">
        <v>1491</v>
      </c>
      <c r="D69" s="1" t="n">
        <v>402</v>
      </c>
      <c r="E69" s="1" t="n">
        <v>20.23</v>
      </c>
      <c r="F69" s="1" t="n">
        <v>4.4</v>
      </c>
    </row>
    <row collapsed="false" customFormat="false" customHeight="false" hidden="false" ht="14.75" outlineLevel="0" r="70">
      <c r="A70" s="1" t="s">
        <v>1533</v>
      </c>
      <c r="B70" s="1" t="s">
        <v>1512</v>
      </c>
      <c r="C70" s="1" t="s">
        <v>1491</v>
      </c>
      <c r="D70" s="1" t="n">
        <v>191.5</v>
      </c>
      <c r="E70" s="1" t="n">
        <v>12.21</v>
      </c>
      <c r="F70" s="1" t="n">
        <v>1.3</v>
      </c>
    </row>
    <row collapsed="false" customFormat="false" customHeight="false" hidden="false" ht="14.75" outlineLevel="0" r="71">
      <c r="A71" s="1" t="s">
        <v>853</v>
      </c>
      <c r="B71" s="1" t="s">
        <v>1494</v>
      </c>
      <c r="C71" s="1" t="s">
        <v>1491</v>
      </c>
      <c r="D71" s="1" t="n">
        <v>204</v>
      </c>
      <c r="E71" s="1" t="n">
        <v>15.37</v>
      </c>
      <c r="F71" s="1" t="n">
        <v>2.4</v>
      </c>
    </row>
    <row collapsed="false" customFormat="false" customHeight="false" hidden="false" ht="14.75" outlineLevel="0" r="72">
      <c r="A72" s="1" t="s">
        <v>1534</v>
      </c>
      <c r="B72" s="1" t="s">
        <v>1535</v>
      </c>
      <c r="C72" s="1" t="s">
        <v>1491</v>
      </c>
      <c r="D72" s="1" t="n">
        <v>124</v>
      </c>
      <c r="E72" s="1" t="n">
        <v>11.29</v>
      </c>
      <c r="F72" s="1" t="n">
        <f aca="false">8/6</f>
        <v>1.33333333333333</v>
      </c>
    </row>
    <row collapsed="false" customFormat="false" customHeight="false" hidden="false" ht="14.75" outlineLevel="0" r="73">
      <c r="A73" s="1" t="s">
        <v>1536</v>
      </c>
      <c r="B73" s="1" t="s">
        <v>1535</v>
      </c>
      <c r="C73" s="1" t="s">
        <v>1491</v>
      </c>
      <c r="D73" s="1" t="n">
        <v>82</v>
      </c>
      <c r="E73" s="1" t="n">
        <v>6.67</v>
      </c>
      <c r="F73" s="1" t="n">
        <f aca="false">3/6</f>
        <v>0.5</v>
      </c>
    </row>
    <row collapsed="false" customFormat="false" customHeight="false" hidden="false" ht="14.75" outlineLevel="0" r="74">
      <c r="A74" s="1" t="s">
        <v>1537</v>
      </c>
      <c r="B74" s="1" t="s">
        <v>1535</v>
      </c>
      <c r="C74" s="1" t="s">
        <v>1491</v>
      </c>
      <c r="D74" s="1" t="n">
        <v>33</v>
      </c>
      <c r="E74" s="1" t="n">
        <v>4.17</v>
      </c>
      <c r="F74" s="1" t="n">
        <f aca="false">1/6</f>
        <v>0.166666666666667</v>
      </c>
    </row>
    <row collapsed="false" customFormat="false" customHeight="false" hidden="false" ht="14.75" outlineLevel="0" r="75">
      <c r="A75" s="1" t="s">
        <v>1538</v>
      </c>
      <c r="B75" s="1" t="s">
        <v>1535</v>
      </c>
      <c r="C75" s="1" t="s">
        <v>1491</v>
      </c>
      <c r="D75" s="1" t="n">
        <v>63</v>
      </c>
      <c r="E75" s="1" t="n">
        <v>6</v>
      </c>
      <c r="F75" s="1" t="n">
        <f aca="false">1/6</f>
        <v>0.166666666666667</v>
      </c>
    </row>
    <row collapsed="false" customFormat="false" customHeight="false" hidden="false" ht="14.75" outlineLevel="0" r="76">
      <c r="A76" s="1" t="s">
        <v>122</v>
      </c>
      <c r="B76" s="1" t="s">
        <v>1512</v>
      </c>
      <c r="C76" s="1" t="s">
        <v>1491</v>
      </c>
      <c r="D76" s="1" t="n">
        <v>67.5</v>
      </c>
      <c r="E76" s="1" t="n">
        <v>6.9</v>
      </c>
      <c r="F76" s="1" t="n">
        <v>0.5</v>
      </c>
    </row>
    <row collapsed="false" customFormat="false" customHeight="false" hidden="false" ht="14.75" outlineLevel="0" r="77">
      <c r="A77" s="1" t="s">
        <v>1162</v>
      </c>
      <c r="B77" s="1" t="s">
        <v>1496</v>
      </c>
      <c r="C77" s="1" t="s">
        <v>1491</v>
      </c>
      <c r="D77" s="1" t="n">
        <v>61.7</v>
      </c>
      <c r="E77" s="1" t="n">
        <v>6.82</v>
      </c>
      <c r="F77" s="1" t="n">
        <f aca="false">1/6</f>
        <v>0.166666666666667</v>
      </c>
    </row>
    <row collapsed="false" customFormat="false" customHeight="false" hidden="false" ht="14.75" outlineLevel="0" r="78">
      <c r="A78" s="1" t="s">
        <v>1539</v>
      </c>
      <c r="B78" s="1" t="s">
        <v>1499</v>
      </c>
      <c r="C78" s="4" t="s">
        <v>1491</v>
      </c>
      <c r="D78" s="1" t="n">
        <v>53.8</v>
      </c>
      <c r="E78" s="1" t="n">
        <v>5.91</v>
      </c>
      <c r="F78" s="1" t="n">
        <f aca="false">2/8</f>
        <v>0.25</v>
      </c>
    </row>
    <row collapsed="false" customFormat="false" customHeight="false" hidden="false" ht="14.75" outlineLevel="0" r="79">
      <c r="A79" s="1" t="s">
        <v>1540</v>
      </c>
      <c r="B79" s="1" t="s">
        <v>1493</v>
      </c>
      <c r="C79" s="1" t="s">
        <v>1491</v>
      </c>
      <c r="D79" s="1" t="n">
        <v>91.7</v>
      </c>
      <c r="E79" s="1" t="n">
        <v>9.29</v>
      </c>
      <c r="F79" s="1" t="n">
        <f aca="false">3/7</f>
        <v>0.428571428571429</v>
      </c>
    </row>
    <row collapsed="false" customFormat="false" customHeight="false" hidden="false" ht="14.75" outlineLevel="0" r="80">
      <c r="A80" s="1" t="s">
        <v>864</v>
      </c>
      <c r="B80" s="4" t="s">
        <v>1490</v>
      </c>
      <c r="C80" s="1" t="s">
        <v>1491</v>
      </c>
      <c r="D80" s="1" t="n">
        <v>276.9</v>
      </c>
      <c r="E80" s="1" t="n">
        <v>16.14</v>
      </c>
      <c r="F80" s="1" t="n">
        <f aca="false">17/8</f>
        <v>2.125</v>
      </c>
    </row>
    <row collapsed="false" customFormat="false" customHeight="false" hidden="false" ht="14.75" outlineLevel="0" r="81">
      <c r="A81" s="1" t="s">
        <v>1179</v>
      </c>
      <c r="B81" s="4" t="s">
        <v>1490</v>
      </c>
      <c r="C81" s="1" t="s">
        <v>1491</v>
      </c>
      <c r="D81" s="1" t="n">
        <v>90</v>
      </c>
      <c r="E81" s="1" t="n">
        <v>7.82</v>
      </c>
      <c r="F81" s="1" t="n">
        <f aca="false">4/7</f>
        <v>0.571428571428571</v>
      </c>
    </row>
    <row collapsed="false" customFormat="false" customHeight="false" hidden="false" ht="14.75" outlineLevel="0" r="82">
      <c r="A82" s="1" t="s">
        <v>1541</v>
      </c>
      <c r="B82" s="4" t="s">
        <v>1490</v>
      </c>
      <c r="C82" s="1" t="s">
        <v>1491</v>
      </c>
      <c r="D82" s="1" t="n">
        <v>160.6</v>
      </c>
      <c r="E82" s="1" t="n">
        <v>10.48</v>
      </c>
      <c r="F82" s="1" t="n">
        <f aca="false">9/8</f>
        <v>1.125</v>
      </c>
    </row>
    <row collapsed="false" customFormat="false" customHeight="false" hidden="false" ht="14.75" outlineLevel="0" r="83">
      <c r="A83" s="1" t="s">
        <v>1542</v>
      </c>
      <c r="B83" s="4" t="s">
        <v>1490</v>
      </c>
      <c r="C83" s="1" t="s">
        <v>1491</v>
      </c>
      <c r="D83" s="1" t="n">
        <v>73.1</v>
      </c>
      <c r="E83" s="1" t="n">
        <v>5.83</v>
      </c>
      <c r="F83" s="1" t="n">
        <f aca="false">6/8</f>
        <v>0.75</v>
      </c>
    </row>
    <row collapsed="false" customFormat="false" customHeight="false" hidden="false" ht="14.75" outlineLevel="0" r="84">
      <c r="A84" s="1" t="s">
        <v>867</v>
      </c>
      <c r="B84" s="1" t="s">
        <v>1496</v>
      </c>
      <c r="C84" s="1" t="s">
        <v>1491</v>
      </c>
      <c r="D84" s="1" t="n">
        <v>210</v>
      </c>
      <c r="E84" s="1" t="n">
        <v>14.67</v>
      </c>
      <c r="F84" s="1" t="n">
        <v>1</v>
      </c>
    </row>
    <row collapsed="false" customFormat="false" customHeight="false" hidden="false" ht="14.75" outlineLevel="0" r="85">
      <c r="A85" s="1" t="s">
        <v>1543</v>
      </c>
      <c r="B85" s="1" t="s">
        <v>1517</v>
      </c>
      <c r="C85" s="1" t="s">
        <v>1491</v>
      </c>
      <c r="D85" s="1" t="n">
        <v>482.52</v>
      </c>
      <c r="E85" s="1" t="n">
        <v>22.6595744680851</v>
      </c>
      <c r="F85" s="1" t="n">
        <v>7.83333333333333</v>
      </c>
    </row>
    <row collapsed="false" customFormat="false" customHeight="false" hidden="false" ht="14.75" outlineLevel="0" r="86">
      <c r="A86" s="1" t="s">
        <v>1544</v>
      </c>
      <c r="B86" s="1" t="s">
        <v>1517</v>
      </c>
      <c r="C86" s="1" t="s">
        <v>1491</v>
      </c>
      <c r="D86" s="1" t="n">
        <v>113.5</v>
      </c>
      <c r="E86" s="1" t="n">
        <v>10.1694915254237</v>
      </c>
      <c r="F86" s="1" t="n">
        <v>0.5</v>
      </c>
    </row>
    <row collapsed="false" customFormat="false" customHeight="false" hidden="false" ht="14.75" outlineLevel="0" r="87">
      <c r="A87" s="1" t="s">
        <v>133</v>
      </c>
      <c r="B87" s="1" t="s">
        <v>1512</v>
      </c>
      <c r="C87" s="1" t="s">
        <v>1491</v>
      </c>
      <c r="D87" s="1" t="n">
        <v>321.5</v>
      </c>
      <c r="E87" s="1" t="n">
        <v>18.45</v>
      </c>
      <c r="F87" s="1" t="n">
        <v>2.8</v>
      </c>
    </row>
    <row collapsed="false" customFormat="false" customHeight="false" hidden="false" ht="14.75" outlineLevel="0" r="88">
      <c r="A88" s="1" t="s">
        <v>1545</v>
      </c>
      <c r="B88" s="1" t="s">
        <v>1493</v>
      </c>
      <c r="C88" s="1" t="s">
        <v>1491</v>
      </c>
      <c r="D88" s="1" t="n">
        <v>106.7</v>
      </c>
      <c r="E88" s="1" t="n">
        <v>8</v>
      </c>
      <c r="F88" s="1" t="n">
        <f aca="false">6/7</f>
        <v>0.857142857142857</v>
      </c>
    </row>
    <row collapsed="false" customFormat="false" customHeight="false" hidden="false" ht="14.75" outlineLevel="0" r="89">
      <c r="A89" s="1" t="s">
        <v>1546</v>
      </c>
      <c r="B89" s="1" t="s">
        <v>1493</v>
      </c>
      <c r="C89" s="1" t="s">
        <v>1491</v>
      </c>
      <c r="D89" s="1" t="n">
        <v>198.9</v>
      </c>
      <c r="E89" s="1" t="n">
        <v>12.82</v>
      </c>
      <c r="F89" s="1" t="n">
        <v>1</v>
      </c>
    </row>
    <row collapsed="false" customFormat="false" customHeight="false" hidden="false" ht="14.75" outlineLevel="0" r="90">
      <c r="A90" s="1" t="s">
        <v>135</v>
      </c>
      <c r="B90" s="1" t="s">
        <v>1512</v>
      </c>
      <c r="C90" s="1" t="s">
        <v>1491</v>
      </c>
      <c r="D90" s="1" t="n">
        <v>205</v>
      </c>
      <c r="E90" s="1" t="n">
        <v>17.24</v>
      </c>
      <c r="F90" s="1" t="n">
        <v>1.2</v>
      </c>
    </row>
    <row collapsed="false" customFormat="false" customHeight="false" hidden="false" ht="14.75" outlineLevel="0" r="91">
      <c r="A91" s="1" t="s">
        <v>1547</v>
      </c>
      <c r="B91" s="1" t="s">
        <v>1499</v>
      </c>
      <c r="C91" s="4" t="s">
        <v>1491</v>
      </c>
      <c r="D91" s="1" t="n">
        <v>260.7</v>
      </c>
      <c r="E91" s="1" t="n">
        <v>14.94</v>
      </c>
      <c r="F91" s="1" t="n">
        <v>1.7</v>
      </c>
    </row>
    <row collapsed="false" customFormat="false" customHeight="false" hidden="false" ht="14.75" outlineLevel="0" r="92">
      <c r="A92" s="1" t="s">
        <v>1548</v>
      </c>
      <c r="B92" s="1" t="s">
        <v>1499</v>
      </c>
      <c r="C92" s="4" t="s">
        <v>1491</v>
      </c>
      <c r="D92" s="1" t="n">
        <v>145.3</v>
      </c>
      <c r="E92" s="1" t="n">
        <v>11.83</v>
      </c>
      <c r="F92" s="1" t="n">
        <v>0.2</v>
      </c>
    </row>
    <row collapsed="false" customFormat="false" customHeight="false" hidden="false" ht="14.75" outlineLevel="0" r="93">
      <c r="A93" s="1" t="s">
        <v>1549</v>
      </c>
      <c r="B93" s="1" t="s">
        <v>1499</v>
      </c>
      <c r="C93" s="4" t="s">
        <v>1491</v>
      </c>
      <c r="D93" s="1" t="n">
        <v>391.3</v>
      </c>
      <c r="E93" s="1" t="n">
        <v>23.35</v>
      </c>
      <c r="F93" s="1" t="n">
        <f aca="false">59/12</f>
        <v>4.91666666666667</v>
      </c>
    </row>
    <row collapsed="false" customFormat="false" customHeight="false" hidden="false" ht="14.75" outlineLevel="0" r="94">
      <c r="A94" s="1" t="s">
        <v>1550</v>
      </c>
      <c r="B94" s="1" t="s">
        <v>1499</v>
      </c>
      <c r="C94" s="4" t="s">
        <v>1491</v>
      </c>
      <c r="D94" s="1" t="n">
        <v>154.5</v>
      </c>
      <c r="E94" s="1" t="n">
        <v>14.06</v>
      </c>
      <c r="F94" s="1" t="n">
        <v>1.1</v>
      </c>
    </row>
    <row collapsed="false" customFormat="false" customHeight="false" hidden="false" ht="14.75" outlineLevel="0" r="95">
      <c r="A95" s="1" t="s">
        <v>1551</v>
      </c>
      <c r="B95" s="1" t="s">
        <v>1499</v>
      </c>
      <c r="C95" s="4" t="s">
        <v>1491</v>
      </c>
      <c r="D95" s="1" t="n">
        <v>212</v>
      </c>
      <c r="E95" s="1" t="n">
        <v>10.77</v>
      </c>
      <c r="F95" s="1" t="n">
        <v>0.8</v>
      </c>
    </row>
    <row collapsed="false" customFormat="false" customHeight="false" hidden="false" ht="14.75" outlineLevel="0" r="96">
      <c r="A96" s="1" t="s">
        <v>1552</v>
      </c>
      <c r="B96" s="1" t="s">
        <v>1512</v>
      </c>
      <c r="C96" s="1" t="s">
        <v>1491</v>
      </c>
      <c r="D96" s="1" t="n">
        <v>51.5</v>
      </c>
      <c r="E96" s="1" t="n">
        <v>7.67</v>
      </c>
      <c r="F96" s="1" t="n">
        <v>0.5</v>
      </c>
    </row>
    <row collapsed="false" customFormat="false" customHeight="false" hidden="false" ht="14.75" outlineLevel="0" r="97">
      <c r="A97" s="1" t="s">
        <v>1553</v>
      </c>
      <c r="B97" s="1" t="s">
        <v>1512</v>
      </c>
      <c r="C97" s="1" t="s">
        <v>1491</v>
      </c>
      <c r="D97" s="1" t="n">
        <v>76.5</v>
      </c>
      <c r="E97" s="1" t="n">
        <v>6.12</v>
      </c>
      <c r="F97" s="1" t="n">
        <v>0.3</v>
      </c>
    </row>
    <row collapsed="false" customFormat="false" customHeight="false" hidden="false" ht="14.75" outlineLevel="0" r="98">
      <c r="A98" s="1" t="s">
        <v>1554</v>
      </c>
      <c r="B98" s="1" t="s">
        <v>1493</v>
      </c>
      <c r="C98" s="1" t="s">
        <v>1491</v>
      </c>
      <c r="D98" s="1" t="n">
        <v>207.5</v>
      </c>
      <c r="E98" s="1" t="n">
        <v>17.02</v>
      </c>
      <c r="F98" s="1" t="n">
        <f aca="false">12/9</f>
        <v>1.33333333333333</v>
      </c>
    </row>
    <row collapsed="false" customFormat="false" customHeight="false" hidden="false" ht="14.75" outlineLevel="0" r="99">
      <c r="A99" s="1" t="s">
        <v>1024</v>
      </c>
      <c r="B99" s="4" t="s">
        <v>1490</v>
      </c>
      <c r="C99" s="1" t="s">
        <v>1491</v>
      </c>
      <c r="D99" s="1" t="n">
        <v>304.3</v>
      </c>
      <c r="E99" s="1" t="n">
        <v>18.38</v>
      </c>
      <c r="F99" s="1" t="n">
        <f aca="false">18/7</f>
        <v>2.57142857142857</v>
      </c>
    </row>
    <row collapsed="false" customFormat="false" customHeight="false" hidden="false" ht="14.75" outlineLevel="0" r="100">
      <c r="A100" s="1" t="s">
        <v>1025</v>
      </c>
      <c r="B100" s="4" t="s">
        <v>1490</v>
      </c>
      <c r="C100" s="1" t="s">
        <v>1491</v>
      </c>
      <c r="D100" s="1" t="n">
        <v>301.9</v>
      </c>
      <c r="E100" s="1" t="n">
        <v>17.08</v>
      </c>
      <c r="F100" s="1" t="n">
        <f aca="false">18/8</f>
        <v>2.25</v>
      </c>
    </row>
    <row collapsed="false" customFormat="false" customHeight="false" hidden="false" ht="14.75" outlineLevel="0" r="101">
      <c r="A101" s="1" t="s">
        <v>1555</v>
      </c>
      <c r="B101" s="1" t="s">
        <v>1496</v>
      </c>
      <c r="C101" s="1" t="s">
        <v>1491</v>
      </c>
      <c r="D101" s="1" t="n">
        <v>78</v>
      </c>
      <c r="E101" s="1" t="n">
        <v>6.52</v>
      </c>
      <c r="F101" s="1" t="n">
        <f aca="false">4/6</f>
        <v>0.666666666666667</v>
      </c>
    </row>
    <row collapsed="false" customFormat="false" customHeight="false" hidden="false" ht="14.75" outlineLevel="0" r="102">
      <c r="A102" s="1" t="s">
        <v>883</v>
      </c>
      <c r="B102" s="1" t="s">
        <v>1494</v>
      </c>
      <c r="C102" s="1" t="s">
        <v>1491</v>
      </c>
      <c r="D102" s="1" t="n">
        <v>153.5</v>
      </c>
      <c r="E102" s="1" t="n">
        <v>11.07</v>
      </c>
      <c r="F102" s="1" t="n">
        <v>0.9</v>
      </c>
    </row>
    <row collapsed="false" customFormat="false" customHeight="false" hidden="false" ht="14.75" outlineLevel="0" r="103">
      <c r="A103" s="1" t="s">
        <v>884</v>
      </c>
      <c r="B103" s="1" t="s">
        <v>1494</v>
      </c>
      <c r="C103" s="1" t="s">
        <v>1491</v>
      </c>
      <c r="D103" s="1" t="n">
        <v>138</v>
      </c>
      <c r="E103" s="1" t="n">
        <v>10.74</v>
      </c>
      <c r="F103" s="1" t="n">
        <v>0.7</v>
      </c>
    </row>
    <row collapsed="false" customFormat="false" customHeight="false" hidden="false" ht="14.75" outlineLevel="0" r="104">
      <c r="A104" s="1" t="s">
        <v>1556</v>
      </c>
      <c r="B104" s="1" t="s">
        <v>1494</v>
      </c>
      <c r="C104" s="1" t="s">
        <v>1491</v>
      </c>
      <c r="D104" s="1" t="n">
        <v>92.5</v>
      </c>
      <c r="E104" s="1" t="n">
        <v>10.21</v>
      </c>
      <c r="F104" s="1" t="n">
        <v>0.6</v>
      </c>
    </row>
    <row collapsed="false" customFormat="false" customHeight="false" hidden="false" ht="14.75" outlineLevel="0" r="105">
      <c r="A105" s="1" t="s">
        <v>464</v>
      </c>
      <c r="B105" s="1" t="s">
        <v>1493</v>
      </c>
      <c r="C105" s="1" t="s">
        <v>1491</v>
      </c>
      <c r="D105" s="1" t="n">
        <v>146.4</v>
      </c>
      <c r="E105" s="1" t="n">
        <v>10</v>
      </c>
      <c r="F105" s="1" t="n">
        <f aca="false">5/7</f>
        <v>0.714285714285714</v>
      </c>
    </row>
    <row collapsed="false" customFormat="false" customHeight="false" hidden="false" ht="14.75" outlineLevel="0" r="106">
      <c r="A106" s="1" t="s">
        <v>465</v>
      </c>
      <c r="B106" s="1" t="s">
        <v>1493</v>
      </c>
      <c r="C106" s="1" t="s">
        <v>1491</v>
      </c>
      <c r="D106" s="1" t="n">
        <v>30.7</v>
      </c>
      <c r="E106" s="1" t="n">
        <v>6.15</v>
      </c>
      <c r="F106" s="1" t="n">
        <f aca="false">3/7</f>
        <v>0.428571428571429</v>
      </c>
    </row>
    <row collapsed="false" customFormat="false" customHeight="false" hidden="false" ht="14.75" outlineLevel="0" r="107">
      <c r="A107" s="1" t="s">
        <v>1031</v>
      </c>
      <c r="B107" s="4" t="s">
        <v>1490</v>
      </c>
      <c r="C107" s="1" t="s">
        <v>1491</v>
      </c>
      <c r="D107" s="1" t="n">
        <v>225.6</v>
      </c>
      <c r="E107" s="1" t="n">
        <v>15.14</v>
      </c>
      <c r="F107" s="1" t="n">
        <f aca="false">7/8</f>
        <v>0.875</v>
      </c>
    </row>
    <row collapsed="false" customFormat="false" customHeight="false" hidden="false" ht="14.75" outlineLevel="0" r="108">
      <c r="A108" s="1" t="s">
        <v>1557</v>
      </c>
      <c r="B108" s="1" t="s">
        <v>1504</v>
      </c>
      <c r="C108" s="1" t="s">
        <v>1491</v>
      </c>
      <c r="D108" s="1" t="n">
        <v>98.6</v>
      </c>
      <c r="E108" s="1" t="n">
        <v>9.17</v>
      </c>
      <c r="F108" s="1" t="n">
        <f aca="false">5/7</f>
        <v>0.714285714285714</v>
      </c>
    </row>
    <row collapsed="false" customFormat="false" customHeight="false" hidden="false" ht="14.75" outlineLevel="0" r="109">
      <c r="A109" s="1" t="s">
        <v>1558</v>
      </c>
      <c r="B109" s="1" t="s">
        <v>1504</v>
      </c>
      <c r="C109" s="1" t="s">
        <v>1491</v>
      </c>
      <c r="D109" s="1" t="n">
        <v>56.4</v>
      </c>
      <c r="E109" s="1" t="n">
        <v>9.58</v>
      </c>
      <c r="F109" s="1" t="n">
        <f aca="false">1/7</f>
        <v>0.142857142857143</v>
      </c>
    </row>
    <row collapsed="false" customFormat="false" customHeight="false" hidden="false" ht="14.75" outlineLevel="0" r="110">
      <c r="A110" s="1" t="s">
        <v>467</v>
      </c>
      <c r="B110" s="1" t="s">
        <v>1493</v>
      </c>
      <c r="C110" s="1" t="s">
        <v>1491</v>
      </c>
      <c r="D110" s="1" t="n">
        <v>72.5</v>
      </c>
      <c r="E110" s="1" t="n">
        <v>6.73</v>
      </c>
      <c r="F110" s="1" t="n">
        <f aca="false">3/7</f>
        <v>0.428571428571429</v>
      </c>
    </row>
    <row collapsed="false" customFormat="false" customHeight="false" hidden="false" ht="14.75" outlineLevel="0" r="111">
      <c r="A111" s="1" t="s">
        <v>1559</v>
      </c>
      <c r="B111" s="1" t="s">
        <v>1512</v>
      </c>
      <c r="C111" s="1" t="s">
        <v>1491</v>
      </c>
      <c r="D111" s="1" t="n">
        <v>150</v>
      </c>
      <c r="E111" s="1" t="n">
        <v>11.47</v>
      </c>
      <c r="F111" s="1" t="n">
        <v>1.1</v>
      </c>
    </row>
    <row collapsed="false" customFormat="false" customHeight="false" hidden="false" ht="14.75" outlineLevel="0" r="112">
      <c r="A112" s="1" t="s">
        <v>1560</v>
      </c>
      <c r="B112" s="1" t="s">
        <v>1493</v>
      </c>
      <c r="C112" s="1" t="s">
        <v>1491</v>
      </c>
      <c r="D112" s="1" t="n">
        <v>206.7</v>
      </c>
      <c r="E112" s="1" t="n">
        <v>9.78</v>
      </c>
      <c r="F112" s="1" t="n">
        <f aca="false">17/9</f>
        <v>1.88888888888889</v>
      </c>
    </row>
    <row collapsed="false" customFormat="false" customHeight="false" hidden="false" ht="14.75" outlineLevel="0" r="113">
      <c r="A113" s="1" t="s">
        <v>570</v>
      </c>
      <c r="B113" s="1" t="s">
        <v>1496</v>
      </c>
      <c r="C113" s="1" t="s">
        <v>1491</v>
      </c>
      <c r="D113" s="1" t="n">
        <v>297.1</v>
      </c>
      <c r="E113" s="1" t="n">
        <v>18.63</v>
      </c>
      <c r="F113" s="1" t="n">
        <f aca="false">9/7</f>
        <v>1.28571428571429</v>
      </c>
    </row>
    <row collapsed="false" customFormat="false" customHeight="false" hidden="false" ht="14.75" outlineLevel="0" r="114">
      <c r="A114" s="1" t="s">
        <v>571</v>
      </c>
      <c r="B114" s="1" t="s">
        <v>1496</v>
      </c>
      <c r="C114" s="1" t="s">
        <v>1491</v>
      </c>
      <c r="D114" s="1" t="n">
        <v>127.5</v>
      </c>
      <c r="E114" s="1" t="n">
        <v>13.53</v>
      </c>
      <c r="F114" s="1" t="n">
        <f aca="false">5/6</f>
        <v>0.833333333333333</v>
      </c>
    </row>
    <row collapsed="false" customFormat="false" customHeight="false" hidden="false" ht="14.75" outlineLevel="0" r="115">
      <c r="A115" s="1" t="s">
        <v>1561</v>
      </c>
      <c r="B115" s="1" t="s">
        <v>1535</v>
      </c>
      <c r="C115" s="1" t="s">
        <v>1491</v>
      </c>
      <c r="D115" s="1" t="n">
        <v>345.5</v>
      </c>
      <c r="E115" s="1" t="n">
        <v>16.02</v>
      </c>
      <c r="F115" s="1" t="n">
        <v>4.6</v>
      </c>
    </row>
    <row collapsed="false" customFormat="false" customHeight="false" hidden="false" ht="14.75" outlineLevel="0" r="116">
      <c r="A116" s="1" t="s">
        <v>1562</v>
      </c>
      <c r="B116" s="1" t="s">
        <v>1535</v>
      </c>
      <c r="C116" s="1" t="s">
        <v>1491</v>
      </c>
      <c r="D116" s="1" t="n">
        <v>225</v>
      </c>
      <c r="E116" s="1" t="n">
        <v>15.2</v>
      </c>
      <c r="F116" s="1" t="n">
        <f aca="false">11/9</f>
        <v>1.22222222222222</v>
      </c>
    </row>
    <row collapsed="false" customFormat="false" customHeight="false" hidden="false" ht="14.75" outlineLevel="0" r="117">
      <c r="A117" s="1" t="s">
        <v>1563</v>
      </c>
      <c r="B117" s="1" t="s">
        <v>1535</v>
      </c>
      <c r="C117" s="1" t="s">
        <v>1491</v>
      </c>
      <c r="D117" s="1" t="n">
        <v>254.4</v>
      </c>
      <c r="E117" s="1" t="n">
        <v>17.67</v>
      </c>
      <c r="F117" s="1" t="n">
        <f aca="false">17/9</f>
        <v>1.88888888888889</v>
      </c>
    </row>
    <row collapsed="false" customFormat="false" customHeight="false" hidden="false" ht="14.75" outlineLevel="0" r="118">
      <c r="A118" s="6" t="s">
        <v>1564</v>
      </c>
      <c r="B118" s="1" t="s">
        <v>1496</v>
      </c>
      <c r="C118" s="1" t="s">
        <v>1491</v>
      </c>
      <c r="D118" s="1" t="n">
        <v>424.4</v>
      </c>
      <c r="E118" s="1" t="n">
        <v>20.85</v>
      </c>
      <c r="F118" s="1" t="n">
        <f aca="false">41/8</f>
        <v>5.125</v>
      </c>
    </row>
    <row collapsed="false" customFormat="false" customHeight="false" hidden="false" ht="14.75" outlineLevel="0" r="119">
      <c r="A119" s="6" t="s">
        <v>1565</v>
      </c>
      <c r="B119" s="1" t="s">
        <v>1496</v>
      </c>
      <c r="C119" s="1" t="s">
        <v>1491</v>
      </c>
      <c r="D119" s="1" t="n">
        <v>419.4</v>
      </c>
      <c r="E119" s="1" t="n">
        <v>20.05</v>
      </c>
      <c r="F119" s="1" t="n">
        <f aca="false">46/8</f>
        <v>5.75</v>
      </c>
    </row>
    <row collapsed="false" customFormat="false" customHeight="false" hidden="false" ht="14.75" outlineLevel="0" r="120">
      <c r="A120" s="6" t="s">
        <v>1566</v>
      </c>
      <c r="B120" s="1" t="s">
        <v>1496</v>
      </c>
      <c r="C120" s="1" t="s">
        <v>1491</v>
      </c>
      <c r="D120" s="1" t="n">
        <v>354.4</v>
      </c>
      <c r="E120" s="1" t="n">
        <v>18.37</v>
      </c>
      <c r="F120" s="1" t="n">
        <f aca="false">27/8</f>
        <v>3.375</v>
      </c>
    </row>
    <row collapsed="false" customFormat="false" customHeight="false" hidden="false" ht="14.75" outlineLevel="0" r="121">
      <c r="A121" s="6" t="s">
        <v>1567</v>
      </c>
      <c r="B121" s="1" t="s">
        <v>1496</v>
      </c>
      <c r="C121" s="1" t="s">
        <v>1491</v>
      </c>
      <c r="D121" s="1" t="n">
        <v>393.3</v>
      </c>
      <c r="E121" s="1" t="n">
        <v>19.91</v>
      </c>
      <c r="F121" s="1" t="n">
        <f aca="false">48/9</f>
        <v>5.33333333333333</v>
      </c>
    </row>
    <row collapsed="false" customFormat="false" customHeight="false" hidden="false" ht="14.75" outlineLevel="0" r="122">
      <c r="A122" s="1" t="s">
        <v>1568</v>
      </c>
      <c r="B122" s="4" t="s">
        <v>1490</v>
      </c>
      <c r="C122" s="1" t="s">
        <v>1491</v>
      </c>
      <c r="D122" s="1" t="n">
        <v>145.6</v>
      </c>
      <c r="E122" s="1" t="n">
        <v>9.19</v>
      </c>
      <c r="F122" s="1" t="n">
        <f aca="false">6/8</f>
        <v>0.75</v>
      </c>
    </row>
    <row collapsed="false" customFormat="false" customHeight="false" hidden="false" ht="14.75" outlineLevel="0" r="123">
      <c r="A123" s="1" t="s">
        <v>1569</v>
      </c>
      <c r="B123" s="4" t="s">
        <v>1490</v>
      </c>
      <c r="C123" s="1" t="s">
        <v>1491</v>
      </c>
      <c r="D123" s="1" t="n">
        <v>76.9</v>
      </c>
      <c r="E123" s="1" t="n">
        <v>6.32</v>
      </c>
      <c r="F123" s="1" t="n">
        <f aca="false">3/8</f>
        <v>0.375</v>
      </c>
    </row>
    <row collapsed="false" customFormat="false" customHeight="false" hidden="false" ht="14.75" outlineLevel="0" r="124">
      <c r="A124" s="1" t="s">
        <v>1570</v>
      </c>
      <c r="B124" s="4" t="s">
        <v>1490</v>
      </c>
      <c r="C124" s="1" t="s">
        <v>1491</v>
      </c>
      <c r="D124" s="1" t="n">
        <v>29.4</v>
      </c>
      <c r="E124" s="1" t="n">
        <v>2.11</v>
      </c>
      <c r="F124" s="1" t="n">
        <f aca="false">1/8</f>
        <v>0.125</v>
      </c>
    </row>
    <row collapsed="false" customFormat="false" customHeight="false" hidden="false" ht="14.75" outlineLevel="0" r="125">
      <c r="A125" s="1" t="s">
        <v>1422</v>
      </c>
      <c r="B125" s="4" t="s">
        <v>1490</v>
      </c>
      <c r="C125" s="1" t="s">
        <v>1491</v>
      </c>
      <c r="D125" s="1" t="n">
        <v>173.6</v>
      </c>
      <c r="E125" s="1" t="n">
        <v>13.56</v>
      </c>
      <c r="F125" s="1" t="n">
        <f aca="false">10/7</f>
        <v>1.42857142857143</v>
      </c>
    </row>
    <row collapsed="false" customFormat="false" customHeight="false" hidden="false" ht="14.75" outlineLevel="0" r="126">
      <c r="A126" s="1" t="s">
        <v>151</v>
      </c>
      <c r="B126" s="1" t="s">
        <v>1517</v>
      </c>
      <c r="C126" s="1" t="s">
        <v>1491</v>
      </c>
      <c r="D126" s="1" t="n">
        <v>329</v>
      </c>
      <c r="E126" s="1" t="n">
        <v>19</v>
      </c>
      <c r="F126" s="1" t="n">
        <v>4</v>
      </c>
    </row>
    <row collapsed="false" customFormat="false" customHeight="false" hidden="false" ht="14.75" outlineLevel="0" r="127">
      <c r="A127" s="1" t="s">
        <v>152</v>
      </c>
      <c r="B127" s="1" t="s">
        <v>1517</v>
      </c>
      <c r="C127" s="1" t="s">
        <v>1491</v>
      </c>
      <c r="D127" s="1" t="n">
        <v>258.52</v>
      </c>
      <c r="E127" s="1" t="n">
        <v>18.6931818181818</v>
      </c>
      <c r="F127" s="1" t="n">
        <v>1.83333333333333</v>
      </c>
    </row>
    <row collapsed="false" customFormat="false" customHeight="false" hidden="false" ht="14.75" outlineLevel="0" r="128">
      <c r="A128" s="1" t="s">
        <v>654</v>
      </c>
      <c r="B128" s="1" t="s">
        <v>1517</v>
      </c>
      <c r="C128" s="1" t="s">
        <v>1491</v>
      </c>
      <c r="D128" s="1" t="n">
        <v>220.02</v>
      </c>
      <c r="E128" s="1" t="n">
        <v>14.8823529411765</v>
      </c>
      <c r="F128" s="1" t="n">
        <v>1.66666666666667</v>
      </c>
    </row>
    <row collapsed="false" customFormat="false" customHeight="false" hidden="false" ht="14.75" outlineLevel="0" r="129">
      <c r="A129" s="1" t="s">
        <v>1571</v>
      </c>
      <c r="B129" s="1" t="s">
        <v>1517</v>
      </c>
      <c r="C129" s="1" t="s">
        <v>1491</v>
      </c>
      <c r="D129" s="1" t="n">
        <v>120.54</v>
      </c>
      <c r="E129" s="1" t="n">
        <v>10.1666666666667</v>
      </c>
      <c r="F129" s="1" t="n">
        <v>0.333333333333333</v>
      </c>
    </row>
    <row collapsed="false" customFormat="false" customHeight="false" hidden="false" ht="14.75" outlineLevel="0" r="130">
      <c r="A130" s="1" t="s">
        <v>1572</v>
      </c>
      <c r="B130" s="1" t="s">
        <v>1512</v>
      </c>
      <c r="C130" s="1" t="s">
        <v>1491</v>
      </c>
      <c r="D130" s="1" t="n">
        <v>87.5</v>
      </c>
      <c r="E130" s="1" t="n">
        <v>11.54</v>
      </c>
      <c r="F130" s="1" t="n">
        <v>0.5</v>
      </c>
    </row>
    <row collapsed="false" customFormat="false" customHeight="false" hidden="false" ht="14.75" outlineLevel="0" r="131">
      <c r="A131" s="1" t="s">
        <v>1573</v>
      </c>
      <c r="B131" s="4" t="s">
        <v>1490</v>
      </c>
      <c r="C131" s="1" t="s">
        <v>1491</v>
      </c>
      <c r="D131" s="1" t="n">
        <v>221.2</v>
      </c>
      <c r="E131" s="1" t="n">
        <v>16.77</v>
      </c>
      <c r="F131" s="1" t="n">
        <f aca="false">18/8</f>
        <v>2.25</v>
      </c>
    </row>
    <row collapsed="false" customFormat="false" customHeight="false" hidden="false" ht="14.75" outlineLevel="0" r="132">
      <c r="A132" s="1" t="s">
        <v>1574</v>
      </c>
      <c r="B132" s="1" t="s">
        <v>1494</v>
      </c>
      <c r="C132" s="1" t="s">
        <v>1491</v>
      </c>
      <c r="D132" s="1" t="n">
        <v>166</v>
      </c>
      <c r="E132" s="1" t="n">
        <v>15.37</v>
      </c>
      <c r="F132" s="1" t="n">
        <v>0.4</v>
      </c>
    </row>
    <row collapsed="false" customFormat="false" customHeight="false" hidden="false" ht="14.75" outlineLevel="0" r="133">
      <c r="A133" s="1" t="s">
        <v>1046</v>
      </c>
      <c r="B133" s="1" t="s">
        <v>1494</v>
      </c>
      <c r="C133" s="1" t="s">
        <v>1491</v>
      </c>
      <c r="D133" s="1" t="n">
        <v>271.5</v>
      </c>
      <c r="E133" s="1" t="n">
        <v>16.47</v>
      </c>
      <c r="F133" s="1" t="n">
        <v>2.4</v>
      </c>
    </row>
    <row collapsed="false" customFormat="false" customHeight="false" hidden="false" ht="14.75" outlineLevel="0" r="134">
      <c r="A134" s="1" t="s">
        <v>1047</v>
      </c>
      <c r="B134" s="1" t="s">
        <v>1494</v>
      </c>
      <c r="C134" s="1" t="s">
        <v>1491</v>
      </c>
      <c r="D134" s="1" t="n">
        <v>255</v>
      </c>
      <c r="E134" s="1" t="n">
        <v>15.3</v>
      </c>
      <c r="F134" s="1" t="n">
        <v>2.5</v>
      </c>
    </row>
    <row collapsed="false" customFormat="false" customHeight="false" hidden="false" ht="14.75" outlineLevel="0" r="135">
      <c r="A135" s="1" t="s">
        <v>1048</v>
      </c>
      <c r="B135" s="1" t="s">
        <v>1494</v>
      </c>
      <c r="C135" s="1" t="s">
        <v>1491</v>
      </c>
      <c r="D135" s="1" t="n">
        <v>116</v>
      </c>
      <c r="E135" s="1" t="n">
        <v>8.44</v>
      </c>
      <c r="F135" s="1" t="n">
        <v>0.5</v>
      </c>
    </row>
    <row collapsed="false" customFormat="false" customHeight="false" hidden="false" ht="14.75" outlineLevel="0" r="136">
      <c r="A136" s="1" t="s">
        <v>1575</v>
      </c>
      <c r="B136" s="1" t="s">
        <v>1493</v>
      </c>
      <c r="C136" s="1" t="s">
        <v>1491</v>
      </c>
      <c r="D136" s="1" t="n">
        <v>121.2</v>
      </c>
      <c r="E136" s="1" t="n">
        <v>9.23</v>
      </c>
      <c r="F136" s="1" t="n">
        <v>0.5</v>
      </c>
    </row>
    <row collapsed="false" customFormat="false" customHeight="false" hidden="false" ht="14.75" outlineLevel="0" r="137">
      <c r="A137" s="1" t="s">
        <v>158</v>
      </c>
      <c r="B137" s="1" t="s">
        <v>1512</v>
      </c>
      <c r="C137" s="1" t="s">
        <v>1491</v>
      </c>
      <c r="D137" s="1" t="n">
        <v>293.5</v>
      </c>
      <c r="E137" s="1" t="n">
        <v>19.5</v>
      </c>
      <c r="F137" s="1" t="n">
        <v>1.9</v>
      </c>
    </row>
    <row collapsed="false" customFormat="false" customHeight="false" hidden="false" ht="14.75" outlineLevel="0" r="138">
      <c r="A138" s="1" t="s">
        <v>159</v>
      </c>
      <c r="B138" s="1" t="s">
        <v>1512</v>
      </c>
      <c r="C138" s="1" t="s">
        <v>1491</v>
      </c>
      <c r="D138" s="1" t="n">
        <v>367.5</v>
      </c>
      <c r="E138" s="1" t="n">
        <v>18.64</v>
      </c>
      <c r="F138" s="1" t="n">
        <v>3.1</v>
      </c>
    </row>
    <row collapsed="false" customFormat="false" customHeight="false" hidden="false" ht="14.75" outlineLevel="0" r="139">
      <c r="A139" s="1" t="s">
        <v>1576</v>
      </c>
      <c r="B139" s="1" t="s">
        <v>1512</v>
      </c>
      <c r="C139" s="1" t="s">
        <v>1491</v>
      </c>
      <c r="D139" s="1" t="n">
        <v>155.5</v>
      </c>
      <c r="E139" s="1" t="n">
        <v>14.7</v>
      </c>
      <c r="F139" s="1" t="n">
        <v>1</v>
      </c>
    </row>
    <row collapsed="false" customFormat="false" customHeight="false" hidden="false" ht="14.75" outlineLevel="0" r="140">
      <c r="A140" s="1" t="s">
        <v>161</v>
      </c>
      <c r="B140" s="1" t="s">
        <v>1517</v>
      </c>
      <c r="C140" s="1" t="s">
        <v>1491</v>
      </c>
      <c r="D140" s="1" t="n">
        <v>258.48</v>
      </c>
      <c r="E140" s="1" t="n">
        <v>16.0714285714286</v>
      </c>
      <c r="F140" s="1" t="n">
        <v>3</v>
      </c>
    </row>
    <row collapsed="false" customFormat="false" customHeight="false" hidden="false" ht="14.75" outlineLevel="0" r="141">
      <c r="A141" s="1" t="s">
        <v>162</v>
      </c>
      <c r="B141" s="1" t="s">
        <v>1517</v>
      </c>
      <c r="C141" s="1" t="s">
        <v>1491</v>
      </c>
      <c r="D141" s="1" t="n">
        <v>111.1</v>
      </c>
      <c r="E141" s="1" t="n">
        <v>9.61538461538462</v>
      </c>
      <c r="F141" s="1" t="n">
        <v>0.166666666666667</v>
      </c>
    </row>
    <row collapsed="false" customFormat="false" customHeight="false" hidden="false" ht="14.75" outlineLevel="0" r="142">
      <c r="A142" s="1" t="s">
        <v>363</v>
      </c>
      <c r="B142" s="1" t="s">
        <v>1517</v>
      </c>
      <c r="C142" s="1" t="s">
        <v>1491</v>
      </c>
      <c r="D142" s="1" t="n">
        <v>66.1</v>
      </c>
      <c r="E142" s="1" t="n">
        <v>6.80555555555556</v>
      </c>
      <c r="F142" s="1" t="n">
        <v>0.666666666666667</v>
      </c>
    </row>
    <row collapsed="false" customFormat="false" customHeight="false" hidden="false" ht="14.75" outlineLevel="0" r="143">
      <c r="A143" s="1" t="s">
        <v>1577</v>
      </c>
      <c r="B143" s="1" t="s">
        <v>1499</v>
      </c>
      <c r="C143" s="4" t="s">
        <v>1491</v>
      </c>
      <c r="D143" s="1" t="n">
        <v>40</v>
      </c>
      <c r="E143" s="1" t="n">
        <v>5.68</v>
      </c>
      <c r="F143" s="1" t="n">
        <v>0.3</v>
      </c>
    </row>
    <row collapsed="false" customFormat="false" customHeight="false" hidden="false" ht="14.75" outlineLevel="0" r="144">
      <c r="A144" s="1" t="s">
        <v>1578</v>
      </c>
      <c r="B144" s="1" t="s">
        <v>1499</v>
      </c>
      <c r="C144" s="4" t="s">
        <v>1491</v>
      </c>
      <c r="D144" s="1" t="n">
        <v>216.5</v>
      </c>
      <c r="E144" s="1" t="n">
        <v>14.29</v>
      </c>
      <c r="F144" s="1" t="n">
        <v>1.2</v>
      </c>
    </row>
    <row collapsed="false" customFormat="false" customHeight="false" hidden="false" ht="14.75" outlineLevel="0" r="145">
      <c r="A145" s="1" t="s">
        <v>1579</v>
      </c>
      <c r="B145" s="1" t="s">
        <v>1499</v>
      </c>
      <c r="C145" s="4" t="s">
        <v>1491</v>
      </c>
      <c r="D145" s="1" t="n">
        <v>117.3</v>
      </c>
      <c r="E145" s="1" t="n">
        <v>9.35</v>
      </c>
      <c r="F145" s="1" t="n">
        <v>0.2</v>
      </c>
    </row>
    <row collapsed="false" customFormat="false" customHeight="false" hidden="false" ht="14.75" outlineLevel="0" r="146">
      <c r="A146" s="1" t="s">
        <v>364</v>
      </c>
      <c r="B146" s="1" t="s">
        <v>1499</v>
      </c>
      <c r="C146" s="4" t="s">
        <v>1491</v>
      </c>
      <c r="D146" s="1" t="n">
        <v>337.7</v>
      </c>
      <c r="E146" s="1" t="n">
        <v>20.64</v>
      </c>
      <c r="F146" s="1" t="n">
        <f aca="false">37/12</f>
        <v>3.08333333333333</v>
      </c>
    </row>
    <row collapsed="false" customFormat="false" customHeight="false" hidden="false" ht="14.75" outlineLevel="0" r="147">
      <c r="A147" s="1" t="s">
        <v>1580</v>
      </c>
      <c r="B147" s="1" t="s">
        <v>1493</v>
      </c>
      <c r="C147" s="1" t="s">
        <v>1491</v>
      </c>
      <c r="D147" s="1" t="n">
        <v>285.7</v>
      </c>
      <c r="E147" s="1" t="n">
        <v>17.7</v>
      </c>
      <c r="F147" s="1" t="n">
        <v>1.8</v>
      </c>
    </row>
    <row collapsed="false" customFormat="false" customHeight="false" hidden="false" ht="14.75" outlineLevel="0" r="148">
      <c r="A148" s="1" t="s">
        <v>1581</v>
      </c>
      <c r="B148" s="1" t="s">
        <v>1493</v>
      </c>
      <c r="C148" s="1" t="s">
        <v>1491</v>
      </c>
      <c r="D148" s="1" t="n">
        <v>148.3</v>
      </c>
      <c r="E148" s="1" t="n">
        <v>12.07</v>
      </c>
      <c r="F148" s="1" t="n">
        <f aca="false">5/7</f>
        <v>0.714285714285714</v>
      </c>
    </row>
    <row collapsed="false" customFormat="false" customHeight="false" hidden="false" ht="14.75" outlineLevel="0" r="149">
      <c r="A149" s="1" t="s">
        <v>266</v>
      </c>
      <c r="B149" s="1" t="s">
        <v>1499</v>
      </c>
      <c r="C149" s="4" t="s">
        <v>1491</v>
      </c>
      <c r="D149" s="1" t="n">
        <v>423.6</v>
      </c>
      <c r="E149" s="1" t="n">
        <v>21.91</v>
      </c>
      <c r="F149" s="1" t="n">
        <f aca="false">57/11</f>
        <v>5.18181818181818</v>
      </c>
    </row>
    <row collapsed="false" customFormat="false" customHeight="false" hidden="false" ht="14.75" outlineLevel="0" r="150">
      <c r="A150" s="1" t="s">
        <v>267</v>
      </c>
      <c r="B150" s="1" t="s">
        <v>1499</v>
      </c>
      <c r="C150" s="4" t="s">
        <v>1491</v>
      </c>
      <c r="D150" s="1" t="n">
        <v>195</v>
      </c>
      <c r="E150" s="1" t="n">
        <v>14.44</v>
      </c>
      <c r="F150" s="1" t="n">
        <v>1.9</v>
      </c>
    </row>
    <row collapsed="false" customFormat="false" customHeight="false" hidden="false" ht="14.75" outlineLevel="0" r="151">
      <c r="A151" s="1" t="s">
        <v>715</v>
      </c>
      <c r="B151" s="1" t="s">
        <v>1499</v>
      </c>
      <c r="C151" s="4" t="s">
        <v>1491</v>
      </c>
      <c r="D151" s="1" t="n">
        <v>127.1</v>
      </c>
      <c r="E151" s="1" t="n">
        <v>10.7</v>
      </c>
      <c r="F151" s="1" t="n">
        <v>0.5</v>
      </c>
    </row>
    <row collapsed="false" customFormat="false" customHeight="false" hidden="false" ht="14.75" outlineLevel="0" r="152">
      <c r="A152" s="1" t="s">
        <v>1582</v>
      </c>
      <c r="B152" s="1" t="s">
        <v>1499</v>
      </c>
      <c r="C152" s="4" t="s">
        <v>1491</v>
      </c>
      <c r="D152" s="1" t="n">
        <v>131.3</v>
      </c>
      <c r="E152" s="1" t="n">
        <v>8.8</v>
      </c>
      <c r="F152" s="1" t="n">
        <v>0.2</v>
      </c>
    </row>
    <row collapsed="false" customFormat="false" customHeight="false" hidden="false" ht="14.75" outlineLevel="0" r="153">
      <c r="A153" s="1" t="s">
        <v>1583</v>
      </c>
      <c r="B153" s="1" t="s">
        <v>1499</v>
      </c>
      <c r="C153" s="4" t="s">
        <v>1491</v>
      </c>
      <c r="D153" s="1" t="n">
        <v>110</v>
      </c>
      <c r="E153" s="1" t="n">
        <v>8</v>
      </c>
      <c r="F153" s="1" t="n">
        <v>0.4</v>
      </c>
    </row>
    <row collapsed="false" customFormat="false" customHeight="false" hidden="false" ht="14.75" outlineLevel="0" r="154">
      <c r="A154" s="1" t="s">
        <v>1584</v>
      </c>
      <c r="B154" s="1" t="s">
        <v>1499</v>
      </c>
      <c r="C154" s="4" t="s">
        <v>1491</v>
      </c>
      <c r="D154" s="1" t="n">
        <v>54.6</v>
      </c>
      <c r="E154" s="1" t="n">
        <v>4.58</v>
      </c>
      <c r="F154" s="1" t="n">
        <f aca="false">2/8</f>
        <v>0.25</v>
      </c>
    </row>
    <row collapsed="false" customFormat="false" customHeight="false" hidden="false" ht="14.75" outlineLevel="0" r="155">
      <c r="A155" s="1" t="s">
        <v>1585</v>
      </c>
      <c r="B155" s="1" t="s">
        <v>1535</v>
      </c>
      <c r="C155" s="1" t="s">
        <v>1491</v>
      </c>
      <c r="D155" s="1" t="n">
        <v>148.3</v>
      </c>
      <c r="E155" s="1" t="n">
        <v>13.39</v>
      </c>
      <c r="F155" s="1" t="n">
        <f aca="false">13/9</f>
        <v>1.44444444444444</v>
      </c>
    </row>
    <row collapsed="false" customFormat="false" customHeight="false" hidden="false" ht="14.75" outlineLevel="0" r="156">
      <c r="A156" s="1" t="s">
        <v>1586</v>
      </c>
      <c r="B156" s="1" t="s">
        <v>1535</v>
      </c>
      <c r="C156" s="1" t="s">
        <v>1491</v>
      </c>
      <c r="D156" s="1" t="n">
        <v>95</v>
      </c>
      <c r="E156" s="1" t="n">
        <v>8.52</v>
      </c>
      <c r="F156" s="1" t="n">
        <f aca="false">5/6</f>
        <v>0.833333333333333</v>
      </c>
    </row>
    <row collapsed="false" customFormat="false" customHeight="false" hidden="false" ht="14.75" outlineLevel="0" r="157">
      <c r="A157" s="1" t="s">
        <v>1587</v>
      </c>
      <c r="B157" s="1" t="s">
        <v>1535</v>
      </c>
      <c r="C157" s="1" t="s">
        <v>1491</v>
      </c>
      <c r="D157" s="1" t="n">
        <v>20</v>
      </c>
      <c r="E157" s="1" t="n">
        <v>6.67</v>
      </c>
      <c r="F157" s="1" t="n">
        <f aca="false">1/6</f>
        <v>0.166666666666667</v>
      </c>
    </row>
    <row collapsed="false" customFormat="false" customHeight="false" hidden="false" ht="14.75" outlineLevel="0" r="158">
      <c r="A158" s="1" t="s">
        <v>269</v>
      </c>
      <c r="B158" s="1" t="s">
        <v>1499</v>
      </c>
      <c r="C158" s="4" t="s">
        <v>1491</v>
      </c>
      <c r="D158" s="1" t="n">
        <v>142.5</v>
      </c>
      <c r="E158" s="1" t="n">
        <v>10.34</v>
      </c>
      <c r="F158" s="1" t="n">
        <v>0.7</v>
      </c>
    </row>
    <row collapsed="false" customFormat="false" customHeight="false" hidden="false" ht="14.75" outlineLevel="0" r="159">
      <c r="A159" s="1" t="s">
        <v>1588</v>
      </c>
      <c r="B159" s="1" t="s">
        <v>1499</v>
      </c>
      <c r="C159" s="4" t="s">
        <v>1491</v>
      </c>
      <c r="D159" s="1" t="n">
        <v>79.3</v>
      </c>
      <c r="E159" s="1" t="n">
        <v>7.7</v>
      </c>
      <c r="F159" s="1" t="n">
        <v>0.4</v>
      </c>
    </row>
    <row collapsed="false" customFormat="false" customHeight="false" hidden="false" ht="14.75" outlineLevel="0" r="160">
      <c r="A160" s="1" t="s">
        <v>1055</v>
      </c>
      <c r="B160" s="1" t="s">
        <v>1493</v>
      </c>
      <c r="C160" s="1" t="s">
        <v>1491</v>
      </c>
      <c r="D160" s="1" t="n">
        <v>90</v>
      </c>
      <c r="E160" s="1" t="n">
        <v>8</v>
      </c>
      <c r="F160" s="1" t="n">
        <f aca="false">3/7</f>
        <v>0.428571428571429</v>
      </c>
    </row>
    <row collapsed="false" customFormat="false" customHeight="false" hidden="false" ht="14.75" outlineLevel="0" r="161">
      <c r="A161" s="1" t="s">
        <v>1055</v>
      </c>
      <c r="B161" s="1" t="s">
        <v>1499</v>
      </c>
      <c r="C161" s="4" t="s">
        <v>1491</v>
      </c>
      <c r="D161" s="1" t="n">
        <v>160.7</v>
      </c>
      <c r="E161" s="1" t="n">
        <v>12.91</v>
      </c>
      <c r="F161" s="1" t="n">
        <v>1.2</v>
      </c>
    </row>
    <row collapsed="false" customFormat="false" customHeight="false" hidden="false" ht="14.75" outlineLevel="0" r="162">
      <c r="A162" s="1" t="s">
        <v>1056</v>
      </c>
      <c r="B162" s="1" t="s">
        <v>1493</v>
      </c>
      <c r="C162" s="1" t="s">
        <v>1491</v>
      </c>
      <c r="D162" s="1" t="n">
        <v>113.6</v>
      </c>
      <c r="E162" s="1" t="n">
        <v>9.02</v>
      </c>
      <c r="F162" s="1" t="n">
        <f aca="false">4/7</f>
        <v>0.571428571428571</v>
      </c>
    </row>
    <row collapsed="false" customFormat="false" customHeight="false" hidden="false" ht="14.75" outlineLevel="0" r="163">
      <c r="A163" s="1" t="s">
        <v>1589</v>
      </c>
      <c r="B163" s="1" t="s">
        <v>1499</v>
      </c>
      <c r="C163" s="4" t="s">
        <v>1491</v>
      </c>
      <c r="D163" s="1" t="n">
        <v>246</v>
      </c>
      <c r="E163" s="1" t="n">
        <v>11.55</v>
      </c>
      <c r="F163" s="1" t="n">
        <v>1.8</v>
      </c>
    </row>
    <row collapsed="false" customFormat="false" customHeight="false" hidden="false" ht="14.75" outlineLevel="0" r="164">
      <c r="A164" s="1" t="s">
        <v>1590</v>
      </c>
      <c r="B164" s="1" t="s">
        <v>1499</v>
      </c>
      <c r="C164" s="4" t="s">
        <v>1491</v>
      </c>
      <c r="D164" s="1" t="n">
        <v>138</v>
      </c>
      <c r="E164" s="1" t="n">
        <v>9.26</v>
      </c>
      <c r="F164" s="1" t="n">
        <v>0.3</v>
      </c>
    </row>
    <row collapsed="false" customFormat="false" customHeight="false" hidden="false" ht="14.75" outlineLevel="0" r="165">
      <c r="A165" s="1" t="s">
        <v>1591</v>
      </c>
      <c r="B165" s="1" t="s">
        <v>1535</v>
      </c>
      <c r="C165" s="1" t="s">
        <v>1491</v>
      </c>
      <c r="D165" s="1" t="n">
        <v>145</v>
      </c>
      <c r="E165" s="1" t="n">
        <v>13.21</v>
      </c>
      <c r="F165" s="1" t="n">
        <f aca="false">5/6</f>
        <v>0.833333333333333</v>
      </c>
    </row>
    <row collapsed="false" customFormat="false" customHeight="false" hidden="false" ht="14.75" outlineLevel="0" r="166">
      <c r="A166" s="1" t="s">
        <v>1592</v>
      </c>
      <c r="B166" s="1" t="s">
        <v>1535</v>
      </c>
      <c r="C166" s="1" t="s">
        <v>1491</v>
      </c>
      <c r="D166" s="1" t="n">
        <v>91.7</v>
      </c>
      <c r="E166" s="1" t="n">
        <v>9.48</v>
      </c>
      <c r="F166" s="1" t="n">
        <v>1</v>
      </c>
    </row>
    <row collapsed="false" customFormat="false" customHeight="false" hidden="false" ht="14.75" outlineLevel="0" r="167">
      <c r="A167" s="1" t="s">
        <v>1593</v>
      </c>
      <c r="B167" s="1" t="s">
        <v>1535</v>
      </c>
      <c r="C167" s="1" t="s">
        <v>1491</v>
      </c>
      <c r="D167" s="1" t="n">
        <v>237.2</v>
      </c>
      <c r="E167" s="1" t="n">
        <v>15.73</v>
      </c>
      <c r="F167" s="1" t="n">
        <v>1</v>
      </c>
    </row>
    <row collapsed="false" customFormat="false" customHeight="false" hidden="false" ht="14.75" outlineLevel="0" r="168">
      <c r="A168" s="1" t="s">
        <v>376</v>
      </c>
      <c r="B168" s="1" t="s">
        <v>1512</v>
      </c>
      <c r="C168" s="1" t="s">
        <v>1491</v>
      </c>
      <c r="D168" s="1" t="n">
        <v>354</v>
      </c>
      <c r="E168" s="1" t="n">
        <v>19</v>
      </c>
      <c r="F168" s="1" t="n">
        <v>3.6</v>
      </c>
    </row>
    <row collapsed="false" customFormat="false" customHeight="false" hidden="false" ht="14.75" outlineLevel="0" r="169">
      <c r="A169" s="1" t="s">
        <v>377</v>
      </c>
      <c r="B169" s="1" t="s">
        <v>1512</v>
      </c>
      <c r="C169" s="1" t="s">
        <v>1491</v>
      </c>
      <c r="D169" s="1" t="n">
        <v>321</v>
      </c>
      <c r="E169" s="1" t="n">
        <v>19.07</v>
      </c>
      <c r="F169" s="1" t="n">
        <v>3</v>
      </c>
    </row>
    <row collapsed="false" customFormat="false" customHeight="false" hidden="false" ht="14.75" outlineLevel="0" r="170">
      <c r="A170" s="1" t="s">
        <v>378</v>
      </c>
      <c r="B170" s="1" t="s">
        <v>1512</v>
      </c>
      <c r="C170" s="1" t="s">
        <v>1491</v>
      </c>
      <c r="D170" s="1" t="n">
        <v>271</v>
      </c>
      <c r="E170" s="1" t="n">
        <v>16.1</v>
      </c>
      <c r="F170" s="1" t="n">
        <v>1.8</v>
      </c>
    </row>
    <row collapsed="false" customFormat="false" customHeight="false" hidden="false" ht="14.75" outlineLevel="0" r="171">
      <c r="A171" s="1" t="s">
        <v>936</v>
      </c>
      <c r="B171" s="1" t="s">
        <v>1512</v>
      </c>
      <c r="C171" s="1" t="s">
        <v>1491</v>
      </c>
      <c r="D171" s="1" t="n">
        <v>160.5</v>
      </c>
      <c r="E171" s="1" t="n">
        <v>13.33</v>
      </c>
      <c r="F171" s="1" t="n">
        <v>1</v>
      </c>
    </row>
    <row collapsed="false" customFormat="false" customHeight="false" hidden="false" ht="14.75" outlineLevel="0" r="172">
      <c r="A172" s="1" t="s">
        <v>1594</v>
      </c>
      <c r="B172" s="1" t="s">
        <v>1512</v>
      </c>
      <c r="C172" s="1" t="s">
        <v>1491</v>
      </c>
      <c r="D172" s="1" t="n">
        <v>144</v>
      </c>
      <c r="E172" s="1" t="n">
        <v>10.86</v>
      </c>
      <c r="F172" s="1" t="n">
        <v>1.4</v>
      </c>
    </row>
    <row collapsed="false" customFormat="false" customHeight="false" hidden="false" ht="14.75" outlineLevel="0" r="173">
      <c r="A173" s="1" t="s">
        <v>1595</v>
      </c>
      <c r="B173" s="1" t="s">
        <v>1512</v>
      </c>
      <c r="C173" s="1" t="s">
        <v>1491</v>
      </c>
      <c r="D173" s="1" t="n">
        <v>72.5</v>
      </c>
      <c r="E173" s="1" t="n">
        <v>5.96</v>
      </c>
      <c r="F173" s="1" t="n">
        <v>0.5</v>
      </c>
    </row>
    <row collapsed="false" customFormat="false" customHeight="false" hidden="false" ht="14.75" outlineLevel="0" r="174">
      <c r="A174" s="1" t="s">
        <v>1596</v>
      </c>
      <c r="B174" s="4" t="s">
        <v>1490</v>
      </c>
      <c r="C174" s="1" t="s">
        <v>1491</v>
      </c>
      <c r="D174" s="1" t="n">
        <v>134.3</v>
      </c>
      <c r="E174" s="1" t="n">
        <v>11.11</v>
      </c>
      <c r="F174" s="1" t="n">
        <v>1</v>
      </c>
    </row>
    <row collapsed="false" customFormat="false" customHeight="false" hidden="false" ht="14.75" outlineLevel="0" r="175">
      <c r="A175" s="1" t="s">
        <v>1597</v>
      </c>
      <c r="B175" s="4" t="s">
        <v>1490</v>
      </c>
      <c r="C175" s="1" t="s">
        <v>1491</v>
      </c>
      <c r="D175" s="1" t="n">
        <v>166.2</v>
      </c>
      <c r="E175" s="1" t="n">
        <v>10.78</v>
      </c>
      <c r="F175" s="1" t="n">
        <f aca="false">12/8</f>
        <v>1.5</v>
      </c>
    </row>
    <row collapsed="false" customFormat="false" customHeight="false" hidden="false" ht="14.75" outlineLevel="0" r="176">
      <c r="A176" s="1" t="s">
        <v>487</v>
      </c>
      <c r="B176" s="1" t="s">
        <v>1493</v>
      </c>
      <c r="C176" s="1" t="s">
        <v>1491</v>
      </c>
      <c r="D176" s="1" t="n">
        <v>142.1</v>
      </c>
      <c r="E176" s="1" t="n">
        <v>13.07</v>
      </c>
      <c r="F176" s="1" t="n">
        <f aca="false">5/7</f>
        <v>0.714285714285714</v>
      </c>
    </row>
    <row collapsed="false" customFormat="false" customHeight="false" hidden="false" ht="14.75" outlineLevel="0" r="177">
      <c r="A177" s="1" t="s">
        <v>488</v>
      </c>
      <c r="B177" s="1" t="s">
        <v>1493</v>
      </c>
      <c r="C177" s="1" t="s">
        <v>1491</v>
      </c>
      <c r="D177" s="1" t="n">
        <v>25</v>
      </c>
      <c r="E177" s="1" t="n">
        <v>5</v>
      </c>
      <c r="F177" s="1" t="n">
        <v>0</v>
      </c>
    </row>
    <row collapsed="false" customFormat="false" customHeight="false" hidden="false" ht="14.75" outlineLevel="0" r="178">
      <c r="A178" s="1" t="s">
        <v>384</v>
      </c>
      <c r="B178" s="1" t="s">
        <v>1517</v>
      </c>
      <c r="C178" s="1" t="s">
        <v>1491</v>
      </c>
      <c r="D178" s="1" t="n">
        <v>375.52</v>
      </c>
      <c r="E178" s="1" t="n">
        <v>22.6106194690265</v>
      </c>
      <c r="F178" s="1" t="n">
        <v>4.5</v>
      </c>
    </row>
    <row collapsed="false" customFormat="false" customHeight="false" hidden="false" ht="14.75" outlineLevel="0" r="179">
      <c r="A179" s="1" t="s">
        <v>385</v>
      </c>
      <c r="B179" s="1" t="s">
        <v>1517</v>
      </c>
      <c r="C179" s="1" t="s">
        <v>1491</v>
      </c>
      <c r="D179" s="1" t="n">
        <v>305.5</v>
      </c>
      <c r="E179" s="1" t="n">
        <v>17.5</v>
      </c>
      <c r="F179" s="1" t="n">
        <v>4.83333333333333</v>
      </c>
    </row>
    <row collapsed="false" customFormat="false" customHeight="false" hidden="false" ht="14.75" outlineLevel="0" r="180">
      <c r="A180" s="1" t="s">
        <v>1598</v>
      </c>
      <c r="B180" s="1" t="s">
        <v>1512</v>
      </c>
      <c r="C180" s="1" t="s">
        <v>1491</v>
      </c>
      <c r="D180" s="1" t="n">
        <v>108.5</v>
      </c>
      <c r="E180" s="1" t="n">
        <v>10.58</v>
      </c>
      <c r="F180" s="1" t="n">
        <v>0.7</v>
      </c>
    </row>
    <row collapsed="false" customFormat="false" customHeight="false" hidden="false" ht="14.75" outlineLevel="0" r="181">
      <c r="A181" s="1" t="s">
        <v>1599</v>
      </c>
      <c r="B181" s="1" t="s">
        <v>1504</v>
      </c>
      <c r="C181" s="1" t="s">
        <v>1491</v>
      </c>
      <c r="D181" s="1" t="n">
        <v>186.4</v>
      </c>
      <c r="E181" s="1" t="n">
        <v>12.33</v>
      </c>
      <c r="F181" s="1" t="n">
        <f aca="false">4/7</f>
        <v>0.571428571428571</v>
      </c>
    </row>
    <row collapsed="false" customFormat="false" customHeight="false" hidden="false" ht="14.75" outlineLevel="0" r="182">
      <c r="A182" s="1" t="s">
        <v>1600</v>
      </c>
      <c r="B182" s="1" t="s">
        <v>1496</v>
      </c>
      <c r="C182" s="1" t="s">
        <v>1491</v>
      </c>
      <c r="D182" s="1" t="n">
        <v>116.7</v>
      </c>
      <c r="E182" s="1" t="n">
        <v>8.89</v>
      </c>
      <c r="F182" s="1" t="n">
        <f aca="false">9/6</f>
        <v>1.5</v>
      </c>
    </row>
    <row collapsed="false" customFormat="false" customHeight="false" hidden="false" ht="14.75" outlineLevel="0" r="183">
      <c r="A183" s="1" t="s">
        <v>1601</v>
      </c>
      <c r="B183" s="1" t="s">
        <v>1496</v>
      </c>
      <c r="C183" s="1" t="s">
        <v>1491</v>
      </c>
      <c r="D183" s="1" t="n">
        <v>432.5</v>
      </c>
      <c r="E183" s="1" t="n">
        <v>20.92</v>
      </c>
      <c r="F183" s="1" t="n">
        <v>6.8</v>
      </c>
    </row>
    <row collapsed="false" customFormat="false" customHeight="false" hidden="false" ht="14.75" outlineLevel="0" r="184">
      <c r="A184" s="1" t="s">
        <v>275</v>
      </c>
      <c r="B184" s="1" t="s">
        <v>1499</v>
      </c>
      <c r="C184" s="4" t="s">
        <v>1491</v>
      </c>
      <c r="D184" s="1" t="n">
        <v>317.5</v>
      </c>
      <c r="E184" s="1" t="n">
        <v>19.81</v>
      </c>
      <c r="F184" s="1" t="n">
        <v>4.2</v>
      </c>
    </row>
    <row collapsed="false" customFormat="false" customHeight="false" hidden="false" ht="14.75" outlineLevel="0" r="185">
      <c r="A185" s="1" t="s">
        <v>276</v>
      </c>
      <c r="B185" s="1" t="s">
        <v>1499</v>
      </c>
      <c r="C185" s="4" t="s">
        <v>1491</v>
      </c>
      <c r="D185" s="1" t="n">
        <v>112.9</v>
      </c>
      <c r="E185" s="1" t="n">
        <v>8.6</v>
      </c>
      <c r="F185" s="1" t="n">
        <v>0.3</v>
      </c>
    </row>
    <row collapsed="false" customFormat="false" customHeight="false" hidden="false" ht="14.75" outlineLevel="0" r="186">
      <c r="A186" s="1" t="s">
        <v>1602</v>
      </c>
      <c r="B186" s="1" t="s">
        <v>1499</v>
      </c>
      <c r="C186" s="4" t="s">
        <v>1491</v>
      </c>
      <c r="D186" s="1" t="n">
        <v>102.7</v>
      </c>
      <c r="E186" s="1" t="n">
        <v>10.66</v>
      </c>
      <c r="F186" s="1" t="n">
        <v>0.3</v>
      </c>
    </row>
    <row collapsed="false" customFormat="false" customHeight="false" hidden="false" ht="14.75" outlineLevel="0" r="187">
      <c r="A187" s="1" t="s">
        <v>1603</v>
      </c>
      <c r="B187" s="1" t="s">
        <v>1499</v>
      </c>
      <c r="C187" s="4" t="s">
        <v>1491</v>
      </c>
      <c r="D187" s="1" t="n">
        <v>64.7</v>
      </c>
      <c r="E187" s="1" t="n">
        <v>5.31</v>
      </c>
      <c r="F187" s="1" t="n">
        <v>0.1</v>
      </c>
    </row>
    <row collapsed="false" customFormat="false" customHeight="false" hidden="false" ht="14.75" outlineLevel="0" r="188">
      <c r="A188" s="1" t="s">
        <v>1604</v>
      </c>
      <c r="B188" s="1" t="s">
        <v>1493</v>
      </c>
      <c r="C188" s="1" t="s">
        <v>1491</v>
      </c>
      <c r="D188" s="1" t="n">
        <v>46.4</v>
      </c>
      <c r="E188" s="1" t="n">
        <v>4.35</v>
      </c>
      <c r="F188" s="1" t="n">
        <f aca="false">1/7</f>
        <v>0.142857142857143</v>
      </c>
    </row>
    <row collapsed="false" customFormat="false" customHeight="false" hidden="false" ht="14.75" outlineLevel="0" r="189">
      <c r="A189" s="1" t="s">
        <v>28</v>
      </c>
      <c r="B189" s="1" t="s">
        <v>1517</v>
      </c>
      <c r="C189" s="1" t="s">
        <v>1491</v>
      </c>
      <c r="D189" s="1" t="n">
        <v>462.5</v>
      </c>
      <c r="E189" s="1" t="n">
        <v>22.007299270073</v>
      </c>
      <c r="F189" s="1" t="n">
        <v>7.66666666666667</v>
      </c>
    </row>
    <row collapsed="false" customFormat="false" customHeight="false" hidden="false" ht="14.75" outlineLevel="0" r="190">
      <c r="A190" s="1" t="s">
        <v>1605</v>
      </c>
      <c r="B190" s="1" t="s">
        <v>1496</v>
      </c>
      <c r="C190" s="1" t="s">
        <v>1491</v>
      </c>
      <c r="D190" s="1" t="n">
        <v>268.6</v>
      </c>
      <c r="E190" s="1" t="n">
        <v>16.91</v>
      </c>
      <c r="F190" s="1" t="n">
        <f aca="false">18/7</f>
        <v>2.57142857142857</v>
      </c>
    </row>
    <row collapsed="false" customFormat="false" customHeight="false" hidden="false" ht="14.75" outlineLevel="0" r="191">
      <c r="A191" s="1" t="s">
        <v>1606</v>
      </c>
      <c r="B191" s="1" t="s">
        <v>1496</v>
      </c>
      <c r="C191" s="1" t="s">
        <v>1491</v>
      </c>
      <c r="D191" s="1" t="n">
        <v>186.7</v>
      </c>
      <c r="E191" s="1" t="n">
        <v>11.96</v>
      </c>
      <c r="F191" s="1" t="n">
        <f aca="false">8/6</f>
        <v>1.33333333333333</v>
      </c>
    </row>
    <row collapsed="false" customFormat="false" customHeight="false" hidden="false" ht="14.75" outlineLevel="0" r="192">
      <c r="A192" s="1" t="s">
        <v>1607</v>
      </c>
      <c r="B192" s="1" t="s">
        <v>1496</v>
      </c>
      <c r="C192" s="1" t="s">
        <v>1491</v>
      </c>
      <c r="D192" s="1" t="n">
        <v>505</v>
      </c>
      <c r="E192" s="1" t="n">
        <v>24.26</v>
      </c>
      <c r="F192" s="1" t="n">
        <f aca="false">26/7</f>
        <v>3.71428571428571</v>
      </c>
    </row>
    <row collapsed="false" customFormat="false" customHeight="false" hidden="false" ht="14.75" outlineLevel="0" r="193">
      <c r="A193" s="1" t="s">
        <v>616</v>
      </c>
      <c r="B193" s="1" t="s">
        <v>1496</v>
      </c>
      <c r="C193" s="1" t="s">
        <v>1491</v>
      </c>
      <c r="D193" s="1" t="n">
        <v>338.6</v>
      </c>
      <c r="E193" s="1" t="n">
        <v>18.11</v>
      </c>
      <c r="F193" s="1" t="n">
        <f aca="false">15/7</f>
        <v>2.14285714285714</v>
      </c>
    </row>
    <row collapsed="false" customFormat="false" customHeight="false" hidden="false" ht="14.75" outlineLevel="0" r="194">
      <c r="A194" s="1" t="s">
        <v>1608</v>
      </c>
      <c r="B194" s="1" t="s">
        <v>1494</v>
      </c>
      <c r="C194" s="1" t="s">
        <v>1491</v>
      </c>
      <c r="D194" s="1" t="n">
        <v>312.5</v>
      </c>
      <c r="E194" s="1" t="n">
        <v>16.1</v>
      </c>
      <c r="F194" s="1" t="n">
        <v>2</v>
      </c>
    </row>
    <row collapsed="false" customFormat="false" customHeight="false" hidden="false" ht="14.75" outlineLevel="0" r="195">
      <c r="A195" s="1" t="s">
        <v>32</v>
      </c>
      <c r="B195" s="1" t="s">
        <v>1517</v>
      </c>
      <c r="C195" s="1" t="s">
        <v>1491</v>
      </c>
      <c r="D195" s="1" t="n">
        <v>432.98</v>
      </c>
      <c r="E195" s="1" t="n">
        <v>22.6</v>
      </c>
      <c r="F195" s="1" t="n">
        <v>7.33333333333333</v>
      </c>
    </row>
    <row collapsed="false" customFormat="false" customHeight="false" hidden="false" ht="14.75" outlineLevel="0" r="196">
      <c r="A196" s="1" t="s">
        <v>404</v>
      </c>
      <c r="B196" s="1" t="s">
        <v>1517</v>
      </c>
      <c r="C196" s="1" t="s">
        <v>1491</v>
      </c>
      <c r="D196" s="1" t="n">
        <v>252.52</v>
      </c>
      <c r="E196" s="1" t="n">
        <v>15.9183673469388</v>
      </c>
      <c r="F196" s="1" t="n">
        <v>2.16666666666667</v>
      </c>
    </row>
    <row collapsed="false" customFormat="false" customHeight="false" hidden="false" ht="14.75" outlineLevel="0" r="197">
      <c r="A197" s="1" t="s">
        <v>1609</v>
      </c>
      <c r="B197" s="1" t="s">
        <v>1517</v>
      </c>
      <c r="C197" s="1" t="s">
        <v>1491</v>
      </c>
      <c r="D197" s="1" t="n">
        <v>117.98</v>
      </c>
      <c r="E197" s="1" t="n">
        <v>10.7627118644068</v>
      </c>
      <c r="F197" s="1" t="n">
        <v>0.666666666666667</v>
      </c>
    </row>
    <row collapsed="false" customFormat="false" customHeight="false" hidden="false" ht="14.75" outlineLevel="0" r="198">
      <c r="A198" s="1" t="s">
        <v>1610</v>
      </c>
      <c r="B198" s="1" t="s">
        <v>1493</v>
      </c>
      <c r="C198" s="1" t="s">
        <v>1491</v>
      </c>
      <c r="D198" s="1" t="n">
        <v>290</v>
      </c>
      <c r="E198" s="1" t="n">
        <v>16.93</v>
      </c>
      <c r="F198" s="1" t="n">
        <v>1.7</v>
      </c>
    </row>
    <row collapsed="false" customFormat="false" customHeight="false" hidden="false" ht="14.75" outlineLevel="0" r="199">
      <c r="A199" s="1" t="s">
        <v>1611</v>
      </c>
      <c r="B199" s="1" t="s">
        <v>1493</v>
      </c>
      <c r="C199" s="1" t="s">
        <v>1491</v>
      </c>
      <c r="D199" s="1" t="n">
        <v>155</v>
      </c>
      <c r="E199" s="1" t="n">
        <v>10.98</v>
      </c>
      <c r="F199" s="1" t="n">
        <v>1</v>
      </c>
    </row>
    <row collapsed="false" customFormat="false" customHeight="false" hidden="false" ht="14.75" outlineLevel="0" r="200">
      <c r="A200" s="1" t="s">
        <v>499</v>
      </c>
      <c r="B200" s="1" t="s">
        <v>1493</v>
      </c>
      <c r="C200" s="1" t="s">
        <v>1491</v>
      </c>
      <c r="D200" s="1" t="n">
        <v>261.7</v>
      </c>
      <c r="E200" s="1" t="n">
        <v>16.39</v>
      </c>
      <c r="F200" s="1" t="n">
        <f aca="false">8/9</f>
        <v>0.888888888888889</v>
      </c>
    </row>
    <row collapsed="false" customFormat="false" customHeight="false" hidden="false" ht="14.75" outlineLevel="0" r="201">
      <c r="A201" s="1" t="s">
        <v>1612</v>
      </c>
      <c r="B201" s="1" t="s">
        <v>1499</v>
      </c>
      <c r="C201" s="4" t="s">
        <v>1491</v>
      </c>
      <c r="D201" s="1" t="n">
        <v>164.7</v>
      </c>
      <c r="E201" s="1" t="n">
        <v>12.24</v>
      </c>
      <c r="F201" s="1" t="n">
        <v>1.2</v>
      </c>
    </row>
    <row collapsed="false" customFormat="false" customHeight="false" hidden="false" ht="14.75" outlineLevel="0" r="202">
      <c r="A202" s="1" t="s">
        <v>1613</v>
      </c>
      <c r="B202" s="1" t="s">
        <v>1493</v>
      </c>
      <c r="C202" s="1" t="s">
        <v>1491</v>
      </c>
      <c r="D202" s="1" t="n">
        <v>348.2</v>
      </c>
      <c r="E202" s="1" t="n">
        <v>20</v>
      </c>
      <c r="F202" s="1" t="n">
        <f aca="false">35/12</f>
        <v>2.91666666666667</v>
      </c>
    </row>
    <row collapsed="false" customFormat="false" customHeight="false" hidden="false" ht="14.75" outlineLevel="0" r="203">
      <c r="A203" s="1" t="s">
        <v>1614</v>
      </c>
      <c r="B203" s="1" t="s">
        <v>1493</v>
      </c>
      <c r="C203" s="1" t="s">
        <v>1491</v>
      </c>
      <c r="D203" s="1" t="n">
        <v>171.1</v>
      </c>
      <c r="E203" s="1" t="n">
        <v>11.86</v>
      </c>
      <c r="F203" s="1" t="n">
        <v>1</v>
      </c>
    </row>
    <row collapsed="false" customFormat="false" customHeight="false" hidden="false" ht="14.75" outlineLevel="0" r="204">
      <c r="A204" s="1" t="s">
        <v>672</v>
      </c>
      <c r="B204" s="1" t="s">
        <v>1517</v>
      </c>
      <c r="C204" s="1" t="s">
        <v>1491</v>
      </c>
      <c r="D204" s="1" t="n">
        <v>83.8666666666667</v>
      </c>
      <c r="E204" s="1" t="n">
        <v>9.88372093023256</v>
      </c>
      <c r="F204" s="1" t="n">
        <v>0.166666666666667</v>
      </c>
    </row>
    <row collapsed="false" customFormat="false" customHeight="false" hidden="false" ht="14.75" outlineLevel="0" r="205">
      <c r="A205" s="1" t="s">
        <v>1615</v>
      </c>
      <c r="B205" s="1" t="s">
        <v>1496</v>
      </c>
      <c r="C205" s="1" t="s">
        <v>1491</v>
      </c>
      <c r="D205" s="1" t="n">
        <v>180</v>
      </c>
      <c r="E205" s="1" t="n">
        <v>11.18</v>
      </c>
      <c r="F205" s="1" t="n">
        <f aca="false">5/6</f>
        <v>0.833333333333333</v>
      </c>
    </row>
    <row collapsed="false" customFormat="false" customHeight="false" hidden="false" ht="14.75" outlineLevel="0" r="206">
      <c r="A206" s="1" t="s">
        <v>1616</v>
      </c>
      <c r="B206" s="1" t="s">
        <v>1496</v>
      </c>
      <c r="C206" s="1" t="s">
        <v>1491</v>
      </c>
      <c r="D206" s="1" t="n">
        <v>124.2</v>
      </c>
      <c r="E206" s="1" t="n">
        <v>9</v>
      </c>
      <c r="F206" s="1" t="n">
        <f aca="false">1/6</f>
        <v>0.166666666666667</v>
      </c>
    </row>
    <row collapsed="false" customFormat="false" customHeight="false" hidden="false" ht="14.75" outlineLevel="0" r="207">
      <c r="A207" s="1" t="s">
        <v>1617</v>
      </c>
      <c r="B207" s="1" t="s">
        <v>1499</v>
      </c>
      <c r="C207" s="4" t="s">
        <v>1491</v>
      </c>
      <c r="D207" s="1" t="n">
        <v>55.4</v>
      </c>
      <c r="E207" s="1" t="n">
        <v>6.52</v>
      </c>
      <c r="F207" s="1" t="n">
        <f aca="false">1/8</f>
        <v>0.125</v>
      </c>
    </row>
    <row collapsed="false" customFormat="false" customHeight="false" hidden="false" ht="14.75" outlineLevel="0" r="208">
      <c r="A208" s="1" t="s">
        <v>974</v>
      </c>
      <c r="B208" s="1" t="s">
        <v>1494</v>
      </c>
      <c r="C208" s="1" t="s">
        <v>1491</v>
      </c>
      <c r="D208" s="1" t="n">
        <v>418.6</v>
      </c>
      <c r="E208" s="1" t="n">
        <v>21.1</v>
      </c>
      <c r="F208" s="1" t="n">
        <f aca="false">35/11</f>
        <v>3.18181818181818</v>
      </c>
    </row>
    <row collapsed="false" customFormat="false" customHeight="false" hidden="false" ht="14.75" outlineLevel="0" r="209">
      <c r="A209" s="1" t="s">
        <v>975</v>
      </c>
      <c r="B209" s="1" t="s">
        <v>1494</v>
      </c>
      <c r="C209" s="1" t="s">
        <v>1491</v>
      </c>
      <c r="D209" s="1" t="n">
        <v>224.5</v>
      </c>
      <c r="E209" s="1" t="n">
        <v>14.84</v>
      </c>
      <c r="F209" s="1" t="n">
        <v>1.7</v>
      </c>
    </row>
    <row collapsed="false" customFormat="false" customHeight="false" hidden="false" ht="14.75" outlineLevel="0" r="210">
      <c r="A210" s="1" t="s">
        <v>976</v>
      </c>
      <c r="B210" s="1" t="s">
        <v>1494</v>
      </c>
      <c r="C210" s="1" t="s">
        <v>1491</v>
      </c>
      <c r="D210" s="1" t="n">
        <v>62.2</v>
      </c>
      <c r="E210" s="1" t="n">
        <v>8.71</v>
      </c>
      <c r="F210" s="1" t="n">
        <v>0.4</v>
      </c>
    </row>
    <row collapsed="false" customFormat="false" customHeight="false" hidden="false" ht="14.75" outlineLevel="0" r="211">
      <c r="A211" s="1" t="s">
        <v>1618</v>
      </c>
      <c r="B211" s="1" t="s">
        <v>1535</v>
      </c>
      <c r="C211" s="1" t="s">
        <v>1491</v>
      </c>
      <c r="D211" s="1" t="n">
        <v>280</v>
      </c>
      <c r="E211" s="1" t="n">
        <v>16.52</v>
      </c>
      <c r="F211" s="1" t="n">
        <v>1.8</v>
      </c>
    </row>
    <row collapsed="false" customFormat="false" customHeight="false" hidden="false" ht="14.75" outlineLevel="0" r="212">
      <c r="A212" s="1" t="s">
        <v>1619</v>
      </c>
      <c r="B212" s="1" t="s">
        <v>1496</v>
      </c>
      <c r="C212" s="1" t="s">
        <v>1491</v>
      </c>
      <c r="D212" s="1" t="n">
        <v>229.3</v>
      </c>
      <c r="E212" s="1" t="n">
        <v>15.74</v>
      </c>
      <c r="F212" s="1" t="n">
        <f aca="false">11/7</f>
        <v>1.57142857142857</v>
      </c>
    </row>
    <row collapsed="false" customFormat="false" customHeight="false" hidden="false" ht="14.75" outlineLevel="0" r="213">
      <c r="A213" s="1" t="s">
        <v>984</v>
      </c>
      <c r="B213" s="1" t="s">
        <v>1496</v>
      </c>
      <c r="C213" s="1" t="s">
        <v>1491</v>
      </c>
      <c r="D213" s="1" t="n">
        <v>185.8</v>
      </c>
      <c r="E213" s="1" t="n">
        <v>12.2</v>
      </c>
      <c r="F213" s="1" t="n">
        <v>2</v>
      </c>
    </row>
    <row collapsed="false" customFormat="false" customHeight="false" hidden="false" ht="14.75" outlineLevel="0" r="214">
      <c r="A214" s="1" t="s">
        <v>1620</v>
      </c>
      <c r="B214" s="1" t="s">
        <v>1499</v>
      </c>
      <c r="C214" s="4" t="s">
        <v>1491</v>
      </c>
      <c r="D214" s="1" t="n">
        <v>82.3</v>
      </c>
      <c r="E214" s="1" t="n">
        <v>9.31</v>
      </c>
      <c r="F214" s="1" t="n">
        <v>0.1</v>
      </c>
    </row>
    <row collapsed="false" customFormat="false" customHeight="false" hidden="false" ht="14.75" outlineLevel="0" r="215">
      <c r="A215" s="1" t="s">
        <v>1621</v>
      </c>
      <c r="B215" s="1" t="s">
        <v>1499</v>
      </c>
      <c r="C215" s="4" t="s">
        <v>1491</v>
      </c>
      <c r="D215" s="1" t="n">
        <v>35.3</v>
      </c>
      <c r="E215" s="1" t="n">
        <v>4.5</v>
      </c>
      <c r="F215" s="1" t="n">
        <v>0.2</v>
      </c>
    </row>
    <row collapsed="false" customFormat="false" customHeight="false" hidden="false" ht="14.75" outlineLevel="0" r="216">
      <c r="A216" s="1" t="s">
        <v>1622</v>
      </c>
      <c r="B216" s="1" t="s">
        <v>1499</v>
      </c>
      <c r="C216" s="4" t="s">
        <v>1491</v>
      </c>
      <c r="D216" s="1" t="n">
        <v>67.7</v>
      </c>
      <c r="E216" s="1" t="n">
        <v>6.3</v>
      </c>
      <c r="F216" s="1" t="n">
        <v>0</v>
      </c>
    </row>
    <row collapsed="false" customFormat="false" customHeight="false" hidden="false" ht="14.75" outlineLevel="0" r="217">
      <c r="A217" s="1" t="s">
        <v>1623</v>
      </c>
      <c r="B217" s="1" t="s">
        <v>1496</v>
      </c>
      <c r="C217" s="1" t="s">
        <v>1491</v>
      </c>
      <c r="D217" s="1" t="n">
        <v>53.3</v>
      </c>
      <c r="E217" s="1" t="n">
        <v>7.78</v>
      </c>
      <c r="F217" s="1" t="n">
        <v>0</v>
      </c>
    </row>
    <row collapsed="false" customFormat="false" customHeight="false" hidden="false" ht="14.75" outlineLevel="0" r="218">
      <c r="A218" s="1" t="s">
        <v>1624</v>
      </c>
      <c r="B218" s="1" t="s">
        <v>1496</v>
      </c>
      <c r="C218" s="1" t="s">
        <v>1491</v>
      </c>
      <c r="D218" s="1" t="n">
        <v>30</v>
      </c>
      <c r="E218" s="1" t="n">
        <v>3.57</v>
      </c>
      <c r="F218" s="1" t="n">
        <v>0</v>
      </c>
    </row>
    <row collapsed="false" customFormat="false" customHeight="false" hidden="false" ht="14.75" outlineLevel="0" r="219">
      <c r="A219" s="1" t="s">
        <v>22</v>
      </c>
      <c r="B219" s="1" t="s">
        <v>2011</v>
      </c>
      <c r="C219" s="1" t="s">
        <v>1491</v>
      </c>
      <c r="D219" s="1" t="n">
        <v>420</v>
      </c>
      <c r="E219" s="1" t="n">
        <v>22.68</v>
      </c>
      <c r="F219" s="1" t="n">
        <f aca="false">54/11</f>
        <v>4.90909090909091</v>
      </c>
    </row>
    <row collapsed="false" customFormat="false" customHeight="false" hidden="false" ht="14.75" outlineLevel="0" r="220">
      <c r="A220" s="1" t="s">
        <v>1648</v>
      </c>
      <c r="B220" s="1" t="s">
        <v>2011</v>
      </c>
      <c r="C220" s="1" t="s">
        <v>1491</v>
      </c>
      <c r="D220" s="1" t="n">
        <v>395.5</v>
      </c>
      <c r="E220" s="1" t="n">
        <v>22.46</v>
      </c>
      <c r="F220" s="1" t="n">
        <f aca="false">55/11</f>
        <v>5</v>
      </c>
    </row>
    <row collapsed="false" customFormat="false" customHeight="false" hidden="false" ht="14.75" outlineLevel="0" r="221">
      <c r="A221" s="1" t="s">
        <v>2012</v>
      </c>
      <c r="B221" s="1" t="s">
        <v>2011</v>
      </c>
      <c r="C221" s="1" t="s">
        <v>1491</v>
      </c>
      <c r="D221" s="1" t="n">
        <v>265.5</v>
      </c>
      <c r="E221" s="1" t="n">
        <v>17.45</v>
      </c>
      <c r="F221" s="1" t="n">
        <v>1.7</v>
      </c>
    </row>
    <row collapsed="false" customFormat="false" customHeight="false" hidden="false" ht="14.75" outlineLevel="0" r="222">
      <c r="A222" s="1" t="s">
        <v>597</v>
      </c>
      <c r="B222" s="1" t="s">
        <v>2011</v>
      </c>
      <c r="C222" s="1" t="s">
        <v>1491</v>
      </c>
      <c r="D222" s="1" t="n">
        <v>275.9</v>
      </c>
      <c r="E222" s="1" t="n">
        <v>18.3</v>
      </c>
      <c r="F222" s="1" t="n">
        <v>3</v>
      </c>
    </row>
    <row collapsed="false" customFormat="false" customHeight="false" hidden="false" ht="14.75" outlineLevel="0" r="223">
      <c r="A223" s="1" t="s">
        <v>947</v>
      </c>
      <c r="B223" s="1" t="s">
        <v>2011</v>
      </c>
      <c r="C223" s="1" t="s">
        <v>1491</v>
      </c>
      <c r="D223" s="1" t="n">
        <v>305</v>
      </c>
      <c r="E223" s="1" t="n">
        <v>19.23</v>
      </c>
      <c r="F223" s="1" t="n">
        <v>2.7</v>
      </c>
    </row>
    <row collapsed="false" customFormat="false" customHeight="false" hidden="false" ht="14.75" outlineLevel="0" r="224">
      <c r="A224" s="1" t="s">
        <v>566</v>
      </c>
      <c r="B224" s="1" t="s">
        <v>2011</v>
      </c>
      <c r="C224" s="1" t="s">
        <v>1491</v>
      </c>
      <c r="D224" s="1" t="n">
        <v>289.1</v>
      </c>
      <c r="E224" s="1" t="n">
        <v>18.92</v>
      </c>
      <c r="F224" s="1" t="n">
        <f aca="false">25/11</f>
        <v>2.27272727272727</v>
      </c>
    </row>
    <row collapsed="false" customFormat="false" customHeight="false" hidden="false" ht="14.75" outlineLevel="0" r="225">
      <c r="A225" s="1" t="s">
        <v>24</v>
      </c>
      <c r="B225" s="1" t="s">
        <v>2011</v>
      </c>
      <c r="C225" s="1" t="s">
        <v>1491</v>
      </c>
      <c r="D225" s="1" t="n">
        <v>255</v>
      </c>
      <c r="E225" s="1" t="n">
        <v>18.2</v>
      </c>
      <c r="F225" s="1" t="n">
        <f aca="false">19/11</f>
        <v>1.72727272727273</v>
      </c>
    </row>
    <row collapsed="false" customFormat="false" customHeight="false" hidden="false" ht="14.75" outlineLevel="0" r="226">
      <c r="A226" s="1" t="s">
        <v>2013</v>
      </c>
      <c r="B226" s="1" t="s">
        <v>2011</v>
      </c>
      <c r="C226" s="1" t="s">
        <v>1491</v>
      </c>
      <c r="D226" s="1" t="n">
        <v>230.9</v>
      </c>
      <c r="E226" s="1" t="n">
        <v>16.2</v>
      </c>
      <c r="F226" s="1" t="n">
        <f aca="false">25/12</f>
        <v>2.08333333333333</v>
      </c>
    </row>
    <row collapsed="false" customFormat="false" customHeight="false" hidden="false" ht="14.75" outlineLevel="0" r="227">
      <c r="A227" s="1" t="s">
        <v>1215</v>
      </c>
      <c r="B227" s="1" t="s">
        <v>2011</v>
      </c>
      <c r="C227" s="1" t="s">
        <v>1491</v>
      </c>
      <c r="D227" s="1" t="n">
        <v>282</v>
      </c>
      <c r="E227" s="1" t="n">
        <v>15.9</v>
      </c>
      <c r="F227" s="1" t="n">
        <v>3.1</v>
      </c>
    </row>
    <row collapsed="false" customFormat="false" customHeight="false" hidden="false" ht="14.75" outlineLevel="0" r="228">
      <c r="A228" s="1" t="s">
        <v>1649</v>
      </c>
      <c r="B228" s="1" t="s">
        <v>2011</v>
      </c>
      <c r="C228" s="1" t="s">
        <v>1491</v>
      </c>
      <c r="D228" s="1" t="n">
        <v>215</v>
      </c>
      <c r="E228" s="1" t="n">
        <v>15.84</v>
      </c>
      <c r="F228" s="1" t="n">
        <v>0.7</v>
      </c>
    </row>
    <row collapsed="false" customFormat="false" customHeight="false" hidden="false" ht="14.75" outlineLevel="0" r="229">
      <c r="A229" s="1" t="s">
        <v>567</v>
      </c>
      <c r="B229" s="1" t="s">
        <v>2011</v>
      </c>
      <c r="C229" s="1" t="s">
        <v>1491</v>
      </c>
      <c r="D229" s="1" t="n">
        <v>223.3</v>
      </c>
      <c r="E229" s="1" t="n">
        <v>15.51</v>
      </c>
      <c r="F229" s="1" t="n">
        <f aca="false">21/9</f>
        <v>2.33333333333333</v>
      </c>
    </row>
    <row collapsed="false" customFormat="false" customHeight="false" hidden="false" ht="14.75" outlineLevel="0" r="230">
      <c r="A230" s="1" t="s">
        <v>1214</v>
      </c>
      <c r="B230" s="1" t="s">
        <v>2011</v>
      </c>
      <c r="C230" s="1" t="s">
        <v>1491</v>
      </c>
      <c r="D230" s="1" t="n">
        <v>188</v>
      </c>
      <c r="E230" s="1" t="n">
        <v>14.38</v>
      </c>
      <c r="F230" s="1" t="n">
        <v>1.2</v>
      </c>
    </row>
    <row collapsed="false" customFormat="false" customHeight="false" hidden="false" ht="14.75" outlineLevel="0" r="231">
      <c r="A231" s="1" t="s">
        <v>2014</v>
      </c>
      <c r="B231" s="1" t="s">
        <v>2011</v>
      </c>
      <c r="C231" s="1" t="s">
        <v>1491</v>
      </c>
      <c r="D231" s="1" t="n">
        <v>122.5</v>
      </c>
      <c r="E231" s="1" t="n">
        <v>11.72</v>
      </c>
      <c r="F231" s="1" t="n">
        <v>1</v>
      </c>
    </row>
    <row collapsed="false" customFormat="false" customHeight="false" hidden="false" ht="14.75" outlineLevel="0" r="232">
      <c r="A232" s="1" t="s">
        <v>568</v>
      </c>
      <c r="B232" s="1" t="s">
        <v>2011</v>
      </c>
      <c r="C232" s="1" t="s">
        <v>1491</v>
      </c>
      <c r="D232" s="1" t="n">
        <v>194</v>
      </c>
      <c r="E232" s="1" t="n">
        <v>13.29</v>
      </c>
      <c r="F232" s="1" t="n">
        <v>1.3</v>
      </c>
    </row>
    <row collapsed="false" customFormat="false" customHeight="false" hidden="false" ht="14.75" outlineLevel="0" r="233">
      <c r="A233" s="1" t="s">
        <v>1334</v>
      </c>
      <c r="B233" s="1" t="s">
        <v>2011</v>
      </c>
      <c r="C233" s="1" t="s">
        <v>1491</v>
      </c>
      <c r="D233" s="1" t="n">
        <v>92.8</v>
      </c>
      <c r="E233" s="1" t="n">
        <v>11.58</v>
      </c>
      <c r="F233" s="1" t="n">
        <f aca="false">6/9</f>
        <v>0.666666666666667</v>
      </c>
    </row>
    <row collapsed="false" customFormat="false" customHeight="false" hidden="false" ht="14.75" outlineLevel="0" r="234">
      <c r="A234" s="1" t="s">
        <v>948</v>
      </c>
      <c r="B234" s="1" t="s">
        <v>2011</v>
      </c>
      <c r="C234" s="1" t="s">
        <v>1491</v>
      </c>
      <c r="D234" s="1" t="n">
        <v>276.5</v>
      </c>
      <c r="E234" s="1" t="n">
        <v>14.73</v>
      </c>
      <c r="F234" s="1" t="n">
        <v>1.7</v>
      </c>
    </row>
    <row collapsed="false" customFormat="false" customHeight="false" hidden="false" ht="14.75" outlineLevel="0" r="235">
      <c r="A235" s="1" t="s">
        <v>598</v>
      </c>
      <c r="B235" s="1" t="s">
        <v>2011</v>
      </c>
      <c r="C235" s="1" t="s">
        <v>1491</v>
      </c>
      <c r="D235" s="1" t="n">
        <v>161.1</v>
      </c>
      <c r="E235" s="1" t="n">
        <v>13.73</v>
      </c>
      <c r="F235" s="1" t="n">
        <f aca="false">10/9</f>
        <v>1.11111111111111</v>
      </c>
    </row>
    <row collapsed="false" customFormat="false" customHeight="false" hidden="false" ht="14.75" outlineLevel="0" r="236">
      <c r="A236" s="1" t="s">
        <v>2015</v>
      </c>
      <c r="B236" s="1" t="s">
        <v>2011</v>
      </c>
      <c r="C236" s="1" t="s">
        <v>1491</v>
      </c>
      <c r="D236" s="1" t="n">
        <v>118.5</v>
      </c>
      <c r="E236" s="1" t="n">
        <v>10.52</v>
      </c>
      <c r="F236" s="1" t="n">
        <v>0.7</v>
      </c>
    </row>
    <row collapsed="false" customFormat="false" customHeight="false" hidden="false" ht="14.75" outlineLevel="0" r="237">
      <c r="A237" s="1" t="s">
        <v>949</v>
      </c>
      <c r="B237" s="1" t="s">
        <v>2011</v>
      </c>
      <c r="C237" s="1" t="s">
        <v>1491</v>
      </c>
      <c r="D237" s="1" t="n">
        <v>133</v>
      </c>
      <c r="E237" s="1" t="n">
        <v>12.29</v>
      </c>
      <c r="F237" s="1" t="n">
        <v>0.8</v>
      </c>
    </row>
    <row collapsed="false" customFormat="false" customHeight="false" hidden="false" ht="14.75" outlineLevel="0" r="238">
      <c r="A238" s="1" t="s">
        <v>2016</v>
      </c>
      <c r="B238" s="1" t="s">
        <v>2011</v>
      </c>
      <c r="C238" s="1" t="s">
        <v>1491</v>
      </c>
      <c r="D238" s="1" t="n">
        <v>156.7</v>
      </c>
      <c r="E238" s="1" t="n">
        <v>12.08</v>
      </c>
      <c r="F238" s="1" t="n">
        <f aca="false">5/9</f>
        <v>0.555555555555556</v>
      </c>
    </row>
    <row collapsed="false" customFormat="false" customHeight="false" hidden="false" ht="14.75" outlineLevel="0" r="239">
      <c r="A239" s="1" t="s">
        <v>937</v>
      </c>
      <c r="B239" s="1" t="s">
        <v>2011</v>
      </c>
      <c r="C239" s="1" t="s">
        <v>1491</v>
      </c>
      <c r="D239" s="1" t="n">
        <v>91</v>
      </c>
      <c r="E239" s="1" t="n">
        <v>9.78</v>
      </c>
      <c r="F239" s="1" t="n">
        <v>0.5</v>
      </c>
    </row>
    <row collapsed="false" customFormat="false" customHeight="false" hidden="false" ht="14.75" outlineLevel="0" r="240">
      <c r="A240" s="1" t="s">
        <v>1335</v>
      </c>
      <c r="B240" s="1" t="s">
        <v>2011</v>
      </c>
      <c r="C240" s="1" t="s">
        <v>1491</v>
      </c>
      <c r="D240" s="1" t="n">
        <v>32</v>
      </c>
      <c r="E240" s="1" t="n">
        <v>4.58</v>
      </c>
      <c r="F240" s="1" t="n">
        <v>0.1</v>
      </c>
    </row>
    <row collapsed="false" customFormat="false" customHeight="false" hidden="false" ht="14.75" outlineLevel="0" r="241">
      <c r="A241" s="1" t="s">
        <v>747</v>
      </c>
      <c r="B241" s="1" t="s">
        <v>2017</v>
      </c>
      <c r="C241" s="1" t="s">
        <v>1491</v>
      </c>
      <c r="D241" s="1" t="n">
        <v>442.5</v>
      </c>
      <c r="E241" s="1" t="n">
        <v>21.45</v>
      </c>
      <c r="F241" s="1" t="n">
        <f aca="false">46/12</f>
        <v>3.83333333333333</v>
      </c>
    </row>
    <row collapsed="false" customFormat="false" customHeight="false" hidden="false" ht="14.75" outlineLevel="0" r="242">
      <c r="A242" s="1" t="s">
        <v>1393</v>
      </c>
      <c r="B242" s="1" t="s">
        <v>2017</v>
      </c>
      <c r="C242" s="1" t="s">
        <v>1491</v>
      </c>
      <c r="D242" s="1" t="n">
        <v>323.3</v>
      </c>
      <c r="E242" s="1" t="n">
        <v>18.54</v>
      </c>
      <c r="F242" s="1" t="n">
        <f aca="false">27/13</f>
        <v>2.07692307692308</v>
      </c>
    </row>
    <row collapsed="false" customFormat="false" customHeight="false" hidden="false" ht="14.75" outlineLevel="0" r="243">
      <c r="A243" s="1" t="s">
        <v>2018</v>
      </c>
      <c r="B243" s="1" t="s">
        <v>2017</v>
      </c>
      <c r="C243" s="1" t="s">
        <v>1491</v>
      </c>
      <c r="D243" s="1" t="n">
        <v>206.5</v>
      </c>
      <c r="E243" s="1" t="n">
        <v>14.29</v>
      </c>
      <c r="F243" s="1" t="n">
        <f aca="false">19/11</f>
        <v>1.72727272727273</v>
      </c>
    </row>
    <row collapsed="false" customFormat="false" customHeight="false" hidden="false" ht="14.75" outlineLevel="0" r="244">
      <c r="A244" s="1" t="s">
        <v>2019</v>
      </c>
      <c r="B244" s="1" t="s">
        <v>2017</v>
      </c>
      <c r="C244" s="1" t="s">
        <v>1491</v>
      </c>
      <c r="D244" s="1" t="n">
        <v>239.5</v>
      </c>
      <c r="E244" s="1" t="n">
        <v>14.54</v>
      </c>
      <c r="F244" s="1" t="n">
        <v>1.3</v>
      </c>
    </row>
    <row collapsed="false" customFormat="false" customHeight="false" hidden="false" ht="14.75" outlineLevel="0" r="245">
      <c r="A245" s="1" t="s">
        <v>2020</v>
      </c>
      <c r="B245" s="1" t="s">
        <v>2017</v>
      </c>
      <c r="C245" s="1" t="s">
        <v>1491</v>
      </c>
      <c r="D245" s="1" t="n">
        <v>154.5</v>
      </c>
      <c r="E245" s="1" t="n">
        <v>12</v>
      </c>
      <c r="F245" s="1" t="n">
        <v>1.2</v>
      </c>
    </row>
    <row collapsed="false" customFormat="false" customHeight="false" hidden="false" ht="14.75" outlineLevel="0" r="246">
      <c r="A246" s="1" t="s">
        <v>2021</v>
      </c>
      <c r="B246" s="1" t="s">
        <v>2017</v>
      </c>
      <c r="C246" s="1" t="s">
        <v>1491</v>
      </c>
      <c r="D246" s="1" t="n">
        <v>148.2</v>
      </c>
      <c r="E246" s="1" t="n">
        <v>12.7</v>
      </c>
      <c r="F246" s="1" t="n">
        <f aca="false">4/11</f>
        <v>0.363636363636364</v>
      </c>
    </row>
    <row collapsed="false" customFormat="false" customHeight="false" hidden="false" ht="14.75" outlineLevel="0" r="247">
      <c r="A247" s="1" t="s">
        <v>1818</v>
      </c>
      <c r="B247" s="1" t="s">
        <v>2017</v>
      </c>
      <c r="C247" s="1" t="s">
        <v>1491</v>
      </c>
      <c r="D247" s="1" t="n">
        <v>131.4</v>
      </c>
      <c r="E247" s="1" t="n">
        <v>11.32</v>
      </c>
      <c r="F247" s="1" t="n">
        <f aca="false">10/11</f>
        <v>0.909090909090909</v>
      </c>
    </row>
    <row collapsed="false" customFormat="false" customHeight="false" hidden="false" ht="14.75" outlineLevel="0" r="248">
      <c r="A248" s="1" t="s">
        <v>2022</v>
      </c>
      <c r="B248" s="1" t="s">
        <v>2017</v>
      </c>
      <c r="C248" s="1" t="s">
        <v>1491</v>
      </c>
      <c r="D248" s="1" t="n">
        <v>85</v>
      </c>
      <c r="E248" s="1" t="n">
        <v>8.68</v>
      </c>
      <c r="F248" s="1" t="n">
        <f aca="false">8/11</f>
        <v>0.727272727272727</v>
      </c>
    </row>
    <row collapsed="false" customFormat="false" customHeight="false" hidden="false" ht="14.75" outlineLevel="0" r="249">
      <c r="A249" s="1" t="s">
        <v>2023</v>
      </c>
      <c r="B249" s="1" t="s">
        <v>2017</v>
      </c>
      <c r="C249" s="1" t="s">
        <v>1491</v>
      </c>
      <c r="D249" s="1" t="n">
        <v>127.5</v>
      </c>
      <c r="E249" s="1" t="n">
        <v>9.78</v>
      </c>
      <c r="F249" s="1" t="n">
        <v>0.6</v>
      </c>
    </row>
    <row collapsed="false" customFormat="false" customHeight="false" hidden="false" ht="14.75" outlineLevel="0" r="250">
      <c r="A250" s="1" t="s">
        <v>2024</v>
      </c>
      <c r="B250" s="1" t="s">
        <v>2017</v>
      </c>
      <c r="C250" s="1" t="s">
        <v>1491</v>
      </c>
      <c r="D250" s="1" t="n">
        <v>85.6</v>
      </c>
      <c r="E250" s="1" t="n">
        <v>9.07</v>
      </c>
      <c r="F250" s="1" t="n">
        <v>0.1</v>
      </c>
    </row>
    <row collapsed="false" customFormat="false" customHeight="false" hidden="false" ht="14.75" outlineLevel="0" r="251">
      <c r="A251" s="1" t="s">
        <v>1819</v>
      </c>
      <c r="B251" s="1" t="s">
        <v>2017</v>
      </c>
      <c r="C251" s="1" t="s">
        <v>1491</v>
      </c>
      <c r="D251" s="1" t="n">
        <v>105</v>
      </c>
      <c r="E251" s="1" t="n">
        <v>8.69</v>
      </c>
      <c r="F251" s="1" t="n">
        <f aca="false">7/11</f>
        <v>0.636363636363636</v>
      </c>
    </row>
    <row collapsed="false" customFormat="false" customHeight="false" hidden="false" ht="14.75" outlineLevel="0" r="252">
      <c r="A252" s="1" t="s">
        <v>2025</v>
      </c>
      <c r="B252" s="1" t="s">
        <v>2017</v>
      </c>
      <c r="C252" s="1" t="s">
        <v>1491</v>
      </c>
      <c r="D252" s="1" t="n">
        <v>353.1</v>
      </c>
      <c r="E252" s="1" t="n">
        <v>20.2</v>
      </c>
      <c r="F252" s="1" t="n">
        <f aca="false">46/13</f>
        <v>3.53846153846154</v>
      </c>
    </row>
    <row collapsed="false" customFormat="false" customHeight="false" hidden="false" ht="14.75" outlineLevel="0" r="253">
      <c r="A253" s="1" t="s">
        <v>2026</v>
      </c>
      <c r="B253" s="1" t="s">
        <v>2017</v>
      </c>
      <c r="C253" s="1" t="s">
        <v>1491</v>
      </c>
      <c r="D253" s="1" t="n">
        <v>287.7</v>
      </c>
      <c r="E253" s="1" t="n">
        <v>16.36</v>
      </c>
      <c r="F253" s="1" t="n">
        <f aca="false">19/12</f>
        <v>1.58333333333333</v>
      </c>
    </row>
    <row collapsed="false" customFormat="false" customHeight="false" hidden="false" ht="14.75" outlineLevel="0" r="254">
      <c r="A254" s="1" t="s">
        <v>748</v>
      </c>
      <c r="B254" s="1" t="s">
        <v>2017</v>
      </c>
      <c r="C254" s="1" t="s">
        <v>1491</v>
      </c>
      <c r="D254" s="1" t="n">
        <v>227.3</v>
      </c>
      <c r="E254" s="1" t="n">
        <v>15.1</v>
      </c>
      <c r="F254" s="1" t="n">
        <f aca="false">17/11</f>
        <v>1.54545454545455</v>
      </c>
    </row>
    <row collapsed="false" customFormat="false" customHeight="false" hidden="false" ht="14.75" outlineLevel="0" r="255">
      <c r="A255" s="1" t="s">
        <v>738</v>
      </c>
      <c r="B255" s="1" t="s">
        <v>2017</v>
      </c>
      <c r="C255" s="1" t="s">
        <v>1491</v>
      </c>
      <c r="D255" s="1" t="n">
        <v>215</v>
      </c>
      <c r="E255" s="1" t="n">
        <v>14.89</v>
      </c>
      <c r="F255" s="1" t="n">
        <v>1.5</v>
      </c>
    </row>
    <row collapsed="false" customFormat="false" customHeight="false" hidden="false" ht="14.75" outlineLevel="0" r="256">
      <c r="A256" s="1" t="s">
        <v>2027</v>
      </c>
      <c r="B256" s="1" t="s">
        <v>2017</v>
      </c>
      <c r="C256" s="1" t="s">
        <v>1491</v>
      </c>
      <c r="D256" s="1" t="n">
        <v>186.8</v>
      </c>
      <c r="E256" s="1" t="n">
        <v>14.76</v>
      </c>
      <c r="F256" s="1" t="n">
        <f aca="false">9/11</f>
        <v>0.818181818181818</v>
      </c>
    </row>
    <row collapsed="false" customFormat="false" customHeight="false" hidden="false" ht="14.75" outlineLevel="0" r="257">
      <c r="A257" s="1" t="s">
        <v>1394</v>
      </c>
      <c r="B257" s="1" t="s">
        <v>2017</v>
      </c>
      <c r="C257" s="1" t="s">
        <v>1491</v>
      </c>
      <c r="D257" s="1" t="n">
        <v>167.7</v>
      </c>
      <c r="E257" s="1" t="n">
        <v>12.74</v>
      </c>
      <c r="F257" s="1" t="n">
        <f aca="false">12/11</f>
        <v>1.09090909090909</v>
      </c>
    </row>
    <row collapsed="false" customFormat="false" customHeight="false" hidden="false" ht="14.75" outlineLevel="0" r="258">
      <c r="A258" s="1" t="s">
        <v>2028</v>
      </c>
      <c r="B258" s="1" t="s">
        <v>2017</v>
      </c>
      <c r="C258" s="1" t="s">
        <v>1491</v>
      </c>
      <c r="D258" s="1" t="n">
        <v>155</v>
      </c>
      <c r="E258" s="1" t="n">
        <v>11.5</v>
      </c>
      <c r="F258" s="1" t="n">
        <f aca="false">8/11</f>
        <v>0.727272727272727</v>
      </c>
    </row>
    <row collapsed="false" customFormat="false" customHeight="false" hidden="false" ht="14.75" outlineLevel="0" r="259">
      <c r="A259" s="1" t="s">
        <v>2029</v>
      </c>
      <c r="B259" s="1" t="s">
        <v>2017</v>
      </c>
      <c r="C259" s="1" t="s">
        <v>1491</v>
      </c>
      <c r="D259" s="1" t="n">
        <v>100.9</v>
      </c>
      <c r="E259" s="1" t="n">
        <v>8.69</v>
      </c>
      <c r="F259" s="1" t="n">
        <v>1</v>
      </c>
    </row>
    <row collapsed="false" customFormat="false" customHeight="false" hidden="false" ht="14.75" outlineLevel="0" r="260">
      <c r="A260" s="1" t="s">
        <v>2030</v>
      </c>
      <c r="B260" s="1" t="s">
        <v>2017</v>
      </c>
      <c r="C260" s="1" t="s">
        <v>1491</v>
      </c>
      <c r="D260" s="1" t="n">
        <v>146.5</v>
      </c>
      <c r="E260" s="1" t="n">
        <v>12.12</v>
      </c>
      <c r="F260" s="1" t="n">
        <v>0.8</v>
      </c>
    </row>
    <row collapsed="false" customFormat="false" customHeight="false" hidden="false" ht="14.75" outlineLevel="0" r="261">
      <c r="A261" s="1" t="s">
        <v>1437</v>
      </c>
      <c r="B261" s="1" t="s">
        <v>2017</v>
      </c>
      <c r="C261" s="1" t="s">
        <v>1491</v>
      </c>
      <c r="D261" s="1" t="n">
        <v>118.5</v>
      </c>
      <c r="E261" s="1" t="n">
        <v>12.23</v>
      </c>
      <c r="F261" s="1" t="n">
        <v>0.6</v>
      </c>
    </row>
    <row collapsed="false" customFormat="false" customHeight="false" hidden="false" ht="14.75" outlineLevel="0" r="262">
      <c r="A262" s="1" t="s">
        <v>2031</v>
      </c>
      <c r="B262" s="1" t="s">
        <v>2017</v>
      </c>
      <c r="C262" s="1" t="s">
        <v>1491</v>
      </c>
      <c r="D262" s="1" t="n">
        <v>92</v>
      </c>
      <c r="E262" s="1" t="n">
        <v>10.89</v>
      </c>
      <c r="F262" s="1" t="n">
        <v>0.8</v>
      </c>
    </row>
    <row collapsed="false" customFormat="false" customHeight="false" hidden="false" ht="14.75" outlineLevel="0" r="263">
      <c r="A263" s="1" t="s">
        <v>2044</v>
      </c>
      <c r="B263" s="1" t="s">
        <v>2045</v>
      </c>
      <c r="C263" s="1" t="s">
        <v>1491</v>
      </c>
      <c r="D263" s="1" t="n">
        <v>590.6</v>
      </c>
      <c r="E263" s="1" t="n">
        <v>23.36</v>
      </c>
      <c r="F263" s="1" t="n">
        <f aca="false">83/9</f>
        <v>9.22222222222222</v>
      </c>
    </row>
    <row collapsed="false" customFormat="false" customHeight="false" hidden="false" ht="14.75" outlineLevel="0" r="264">
      <c r="A264" s="1" t="s">
        <v>2046</v>
      </c>
      <c r="B264" s="1" t="s">
        <v>2045</v>
      </c>
      <c r="C264" s="1" t="s">
        <v>1491</v>
      </c>
      <c r="D264" s="1" t="n">
        <v>290.6</v>
      </c>
      <c r="E264" s="1" t="n">
        <v>16.39</v>
      </c>
      <c r="F264" s="1" t="n">
        <f aca="false">25/9</f>
        <v>2.77777777777778</v>
      </c>
    </row>
    <row collapsed="false" customFormat="false" customHeight="false" hidden="false" ht="14.75" outlineLevel="0" r="265">
      <c r="A265" s="1" t="s">
        <v>184</v>
      </c>
      <c r="B265" s="1" t="s">
        <v>2045</v>
      </c>
      <c r="C265" s="1" t="s">
        <v>1491</v>
      </c>
      <c r="D265" s="1" t="n">
        <v>220.6</v>
      </c>
      <c r="E265" s="1" t="n">
        <v>13.07</v>
      </c>
      <c r="F265" s="1" t="n">
        <f aca="false">16/8</f>
        <v>2</v>
      </c>
    </row>
    <row collapsed="false" customFormat="false" customHeight="false" hidden="false" ht="14.75" outlineLevel="0" r="266">
      <c r="A266" s="1" t="s">
        <v>1273</v>
      </c>
      <c r="B266" s="1" t="s">
        <v>2045</v>
      </c>
      <c r="C266" s="1" t="s">
        <v>1491</v>
      </c>
      <c r="D266" s="1" t="n">
        <v>229.4</v>
      </c>
      <c r="E266" s="1" t="n">
        <v>15.56</v>
      </c>
      <c r="F266" s="1" t="n">
        <f aca="false">13/8</f>
        <v>1.625</v>
      </c>
    </row>
    <row collapsed="false" customFormat="false" customHeight="false" hidden="false" ht="14.75" outlineLevel="0" r="267">
      <c r="A267" s="1" t="s">
        <v>2047</v>
      </c>
      <c r="B267" s="1" t="s">
        <v>2045</v>
      </c>
      <c r="C267" s="1" t="s">
        <v>1491</v>
      </c>
      <c r="D267" s="1" t="n">
        <v>183.8</v>
      </c>
      <c r="E267" s="1" t="n">
        <v>14.33</v>
      </c>
      <c r="F267" s="1" t="n">
        <f aca="false">6/8</f>
        <v>0.75</v>
      </c>
    </row>
    <row collapsed="false" customFormat="false" customHeight="false" hidden="false" ht="14.75" outlineLevel="0" r="268">
      <c r="A268" s="1" t="s">
        <v>2048</v>
      </c>
      <c r="B268" s="1" t="s">
        <v>2045</v>
      </c>
      <c r="C268" s="1" t="s">
        <v>1491</v>
      </c>
      <c r="D268" s="1" t="n">
        <v>150</v>
      </c>
      <c r="E268" s="1" t="n">
        <v>12.41</v>
      </c>
      <c r="F268" s="1" t="n">
        <f aca="false">6/8</f>
        <v>0.75</v>
      </c>
    </row>
    <row collapsed="false" customFormat="false" customHeight="false" hidden="false" ht="14.75" outlineLevel="0" r="269">
      <c r="A269" s="1" t="s">
        <v>2049</v>
      </c>
      <c r="B269" s="1" t="s">
        <v>2045</v>
      </c>
      <c r="C269" s="1" t="s">
        <v>1491</v>
      </c>
      <c r="D269" s="1" t="n">
        <v>206.9</v>
      </c>
      <c r="E269" s="1" t="n">
        <v>12.96</v>
      </c>
      <c r="F269" s="1" t="n">
        <f aca="false">6/8</f>
        <v>0.75</v>
      </c>
    </row>
    <row collapsed="false" customFormat="false" customHeight="false" hidden="false" ht="14.75" outlineLevel="0" r="270">
      <c r="A270" s="1" t="s">
        <v>2050</v>
      </c>
      <c r="B270" s="1" t="s">
        <v>2045</v>
      </c>
      <c r="C270" s="1" t="s">
        <v>1491</v>
      </c>
      <c r="D270" s="1" t="n">
        <v>201.2</v>
      </c>
      <c r="E270" s="1" t="n">
        <v>13.55</v>
      </c>
      <c r="F270" s="1" t="n">
        <f aca="false">9/8</f>
        <v>1.125</v>
      </c>
    </row>
    <row collapsed="false" customFormat="false" customHeight="false" hidden="false" ht="14.75" outlineLevel="0" r="271">
      <c r="A271" s="1" t="s">
        <v>1274</v>
      </c>
      <c r="B271" s="1" t="s">
        <v>2045</v>
      </c>
      <c r="C271" s="1" t="s">
        <v>1491</v>
      </c>
      <c r="D271" s="1" t="n">
        <v>109.4</v>
      </c>
      <c r="E271" s="1" t="n">
        <v>9.33</v>
      </c>
      <c r="F271" s="1" t="n">
        <f aca="false">3/8</f>
        <v>0.375</v>
      </c>
    </row>
    <row collapsed="false" customFormat="false" customHeight="false" hidden="false" ht="14.75" outlineLevel="0" r="272">
      <c r="A272" s="1" t="s">
        <v>2051</v>
      </c>
      <c r="B272" s="1" t="s">
        <v>2045</v>
      </c>
      <c r="C272" s="1" t="s">
        <v>1491</v>
      </c>
      <c r="D272" s="1" t="n">
        <v>76.2</v>
      </c>
      <c r="E272" s="1" t="n">
        <v>8.82</v>
      </c>
      <c r="F272" s="1" t="n">
        <f aca="false">2/8</f>
        <v>0.25</v>
      </c>
    </row>
    <row collapsed="false" customFormat="false" customHeight="false" hidden="false" ht="14.75" outlineLevel="0" r="273">
      <c r="A273" s="1" t="s">
        <v>971</v>
      </c>
      <c r="B273" s="1" t="s">
        <v>2045</v>
      </c>
      <c r="C273" s="1" t="s">
        <v>1491</v>
      </c>
      <c r="D273" s="1" t="n">
        <v>53.1</v>
      </c>
      <c r="E273" s="1" t="n">
        <v>6.92</v>
      </c>
      <c r="F273" s="1" t="n">
        <f aca="false">4/8</f>
        <v>0.5</v>
      </c>
    </row>
    <row collapsed="false" customFormat="false" customHeight="false" hidden="false" ht="14.75" outlineLevel="0" r="274">
      <c r="A274" s="1" t="s">
        <v>2052</v>
      </c>
      <c r="B274" s="1" t="s">
        <v>2045</v>
      </c>
      <c r="C274" s="1" t="s">
        <v>1491</v>
      </c>
      <c r="D274" s="1" t="n">
        <v>42.5</v>
      </c>
      <c r="E274" s="1" t="n">
        <v>5.91</v>
      </c>
      <c r="F274" s="1" t="n">
        <f aca="false">3/8</f>
        <v>0.375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blackAndWhite="false" cellComments="none" copies="1" draft="false" firstPageNumber="0" fitToHeight="1" fitToWidth="1" horizontalDpi="300" orientation="portrait" pageOrder="downThenOver" paperSize="1" scale="100" useFirstPageNumber="false" usePrinterDefaults="false" verticalDpi="300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273"/>
  <sheetViews>
    <sheetView colorId="64" defaultGridColor="true" rightToLeft="false" showFormulas="false" showGridLines="true" showOutlineSymbols="true" showRowColHeaders="true" showZeros="true" tabSelected="false" topLeftCell="A261" view="normal" windowProtection="false" workbookViewId="0" zoomScale="85" zoomScaleNormal="85" zoomScalePageLayoutView="100">
      <selection activeCell="A274" activeCellId="0" pane="topLeft" sqref="A274"/>
    </sheetView>
  </sheetViews>
  <cols>
    <col collapsed="false" hidden="false" max="1025" min="1" style="0" width="8.5921568627451"/>
  </cols>
  <sheetData>
    <row collapsed="false" customFormat="false" customHeight="false" hidden="false" ht="14.75" outlineLevel="0"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collapsed="false" customFormat="false" customHeight="false" hidden="false" ht="14.75" outlineLevel="0" r="2">
      <c r="A2" s="1" t="s">
        <v>1625</v>
      </c>
      <c r="B2" s="1" t="s">
        <v>1626</v>
      </c>
      <c r="C2" s="1" t="s">
        <v>1627</v>
      </c>
      <c r="D2" s="1" t="n">
        <v>193</v>
      </c>
      <c r="E2" s="1" t="n">
        <v>12.71</v>
      </c>
      <c r="F2" s="1" t="n">
        <v>1.5</v>
      </c>
    </row>
    <row collapsed="false" customFormat="false" customHeight="false" hidden="false" ht="14.75" outlineLevel="0" r="3">
      <c r="A3" s="1" t="s">
        <v>1628</v>
      </c>
      <c r="B3" s="1" t="s">
        <v>1626</v>
      </c>
      <c r="C3" s="1" t="s">
        <v>1627</v>
      </c>
      <c r="D3" s="1" t="n">
        <v>53.9</v>
      </c>
      <c r="E3" s="1" t="n">
        <v>9.23</v>
      </c>
      <c r="F3" s="1" t="n">
        <v>0.1</v>
      </c>
    </row>
    <row collapsed="false" customFormat="false" customHeight="false" hidden="false" ht="14.75" outlineLevel="0" r="4">
      <c r="A4" s="1" t="s">
        <v>1629</v>
      </c>
      <c r="B4" s="1" t="s">
        <v>1626</v>
      </c>
      <c r="C4" s="1" t="s">
        <v>1627</v>
      </c>
      <c r="D4" s="1" t="n">
        <v>110.5</v>
      </c>
      <c r="E4" s="1" t="n">
        <v>12.45</v>
      </c>
      <c r="F4" s="1" t="n">
        <v>0.6</v>
      </c>
    </row>
    <row collapsed="false" customFormat="false" customHeight="false" hidden="false" ht="14.75" outlineLevel="0" r="5">
      <c r="A5" s="1" t="s">
        <v>1088</v>
      </c>
      <c r="B5" s="1" t="s">
        <v>1626</v>
      </c>
      <c r="C5" s="1" t="s">
        <v>1627</v>
      </c>
      <c r="D5" s="1" t="n">
        <v>315</v>
      </c>
      <c r="E5" s="1" t="n">
        <v>21.01</v>
      </c>
      <c r="F5" s="1" t="n">
        <v>3.9</v>
      </c>
    </row>
    <row collapsed="false" customFormat="false" customHeight="false" hidden="false" ht="14.75" outlineLevel="0" r="6">
      <c r="A6" s="1" t="s">
        <v>1090</v>
      </c>
      <c r="B6" s="1" t="s">
        <v>1626</v>
      </c>
      <c r="C6" s="1" t="s">
        <v>1627</v>
      </c>
      <c r="D6" s="1" t="n">
        <v>245</v>
      </c>
      <c r="E6" s="1" t="n">
        <v>15</v>
      </c>
      <c r="F6" s="1" t="n">
        <v>1.8</v>
      </c>
    </row>
    <row collapsed="false" customFormat="false" customHeight="false" hidden="false" ht="14.75" outlineLevel="0" r="7">
      <c r="A7" s="6" t="s">
        <v>1630</v>
      </c>
      <c r="B7" s="6" t="s">
        <v>1631</v>
      </c>
      <c r="C7" s="6" t="s">
        <v>1627</v>
      </c>
      <c r="D7" s="6" t="n">
        <v>248.1</v>
      </c>
      <c r="E7" s="6" t="n">
        <v>16.45</v>
      </c>
      <c r="F7" s="6" t="n">
        <f aca="false">11/8</f>
        <v>1.375</v>
      </c>
    </row>
    <row collapsed="false" customFormat="false" customHeight="false" hidden="false" ht="14.75" outlineLevel="0" r="8">
      <c r="A8" s="1" t="s">
        <v>789</v>
      </c>
      <c r="B8" s="1" t="s">
        <v>1632</v>
      </c>
      <c r="C8" s="1" t="s">
        <v>1627</v>
      </c>
      <c r="D8" s="1" t="n">
        <v>443.6</v>
      </c>
      <c r="E8" s="1" t="n">
        <v>22.21</v>
      </c>
      <c r="F8" s="1" t="n">
        <f aca="false">68/11</f>
        <v>6.18181818181818</v>
      </c>
    </row>
    <row collapsed="false" customFormat="false" customHeight="false" hidden="false" ht="14.75" outlineLevel="0" r="9">
      <c r="A9" s="1" t="s">
        <v>791</v>
      </c>
      <c r="B9" s="1" t="s">
        <v>1632</v>
      </c>
      <c r="C9" s="1" t="s">
        <v>1627</v>
      </c>
      <c r="D9" s="1" t="n">
        <v>365.9</v>
      </c>
      <c r="E9" s="1" t="n">
        <v>20.39</v>
      </c>
      <c r="F9" s="1" t="n">
        <f aca="false">56/11</f>
        <v>5.09090909090909</v>
      </c>
    </row>
    <row collapsed="false" customFormat="false" customHeight="false" hidden="false" ht="14.75" outlineLevel="0" r="10">
      <c r="A10" s="1" t="s">
        <v>792</v>
      </c>
      <c r="B10" s="1" t="s">
        <v>1632</v>
      </c>
      <c r="C10" s="1" t="s">
        <v>1627</v>
      </c>
      <c r="D10" s="1" t="n">
        <v>185.9</v>
      </c>
      <c r="E10" s="1" t="n">
        <v>16.1</v>
      </c>
      <c r="F10" s="1" t="n">
        <f aca="false">25/11</f>
        <v>2.27272727272727</v>
      </c>
    </row>
    <row collapsed="false" customFormat="false" customHeight="false" hidden="false" ht="14.75" outlineLevel="0" r="11">
      <c r="A11" s="1" t="s">
        <v>793</v>
      </c>
      <c r="B11" s="1" t="s">
        <v>1632</v>
      </c>
      <c r="C11" s="1" t="s">
        <v>1627</v>
      </c>
      <c r="D11" s="1" t="n">
        <v>276.8</v>
      </c>
      <c r="E11" s="1" t="n">
        <v>18.98</v>
      </c>
      <c r="F11" s="1" t="n">
        <f aca="false">19/11</f>
        <v>1.72727272727273</v>
      </c>
    </row>
    <row collapsed="false" customFormat="false" customHeight="false" hidden="false" ht="14.75" outlineLevel="0" r="12">
      <c r="A12" s="1" t="s">
        <v>1096</v>
      </c>
      <c r="B12" s="1" t="s">
        <v>1633</v>
      </c>
      <c r="C12" s="1" t="s">
        <v>1627</v>
      </c>
      <c r="D12" s="1" t="n">
        <v>497.5</v>
      </c>
      <c r="E12" s="1" t="n">
        <v>25.38</v>
      </c>
      <c r="F12" s="1" t="n">
        <v>8.3</v>
      </c>
    </row>
    <row collapsed="false" customFormat="false" customHeight="false" hidden="false" ht="14.75" outlineLevel="0" r="13">
      <c r="A13" s="1" t="s">
        <v>1098</v>
      </c>
      <c r="B13" s="1" t="s">
        <v>1633</v>
      </c>
      <c r="C13" s="1" t="s">
        <v>1627</v>
      </c>
      <c r="D13" s="1" t="n">
        <v>219</v>
      </c>
      <c r="E13" s="1" t="n">
        <v>15.23</v>
      </c>
      <c r="F13" s="1" t="n">
        <f aca="false">8/5</f>
        <v>1.6</v>
      </c>
    </row>
    <row collapsed="false" customFormat="false" customHeight="false" hidden="false" ht="14.75" outlineLevel="0" r="14">
      <c r="A14" s="6" t="s">
        <v>996</v>
      </c>
      <c r="B14" s="6" t="s">
        <v>1634</v>
      </c>
      <c r="C14" s="6" t="s">
        <v>1627</v>
      </c>
      <c r="D14" s="6" t="n">
        <v>255.6</v>
      </c>
      <c r="E14" s="6" t="n">
        <v>14.41</v>
      </c>
      <c r="F14" s="6" t="n">
        <f aca="false">15/8</f>
        <v>1.875</v>
      </c>
    </row>
    <row collapsed="false" customFormat="false" customHeight="false" hidden="false" ht="14.75" outlineLevel="0" r="15">
      <c r="A15" s="6" t="s">
        <v>1635</v>
      </c>
      <c r="B15" s="6" t="s">
        <v>1631</v>
      </c>
      <c r="C15" s="6" t="s">
        <v>1627</v>
      </c>
      <c r="D15" s="6" t="n">
        <v>518.3</v>
      </c>
      <c r="E15" s="6" t="n">
        <v>22.87</v>
      </c>
      <c r="F15" s="6" t="n">
        <f aca="false">51/9</f>
        <v>5.66666666666667</v>
      </c>
    </row>
    <row collapsed="false" customFormat="false" customHeight="false" hidden="false" ht="14.75" outlineLevel="0" r="16">
      <c r="A16" s="6" t="s">
        <v>1636</v>
      </c>
      <c r="B16" s="6" t="s">
        <v>1631</v>
      </c>
      <c r="C16" s="6" t="s">
        <v>1627</v>
      </c>
      <c r="D16" s="6" t="n">
        <v>317.5</v>
      </c>
      <c r="E16" s="6" t="n">
        <v>20.42</v>
      </c>
      <c r="F16" s="6" t="n">
        <v>2</v>
      </c>
    </row>
    <row collapsed="false" customFormat="false" customHeight="false" hidden="false" ht="14.75" outlineLevel="0" r="17">
      <c r="A17" s="1" t="s">
        <v>1637</v>
      </c>
      <c r="B17" s="1" t="s">
        <v>1633</v>
      </c>
      <c r="C17" s="1" t="s">
        <v>1627</v>
      </c>
      <c r="D17" s="1" t="n">
        <v>433.5</v>
      </c>
      <c r="E17" s="1" t="n">
        <v>22.25</v>
      </c>
      <c r="F17" s="1" t="n">
        <v>4.8</v>
      </c>
    </row>
    <row collapsed="false" customFormat="false" customHeight="false" hidden="false" ht="14.75" outlineLevel="0" r="18">
      <c r="A18" s="1" t="s">
        <v>1638</v>
      </c>
      <c r="B18" s="1" t="s">
        <v>1633</v>
      </c>
      <c r="C18" s="1" t="s">
        <v>1627</v>
      </c>
      <c r="D18" s="1" t="n">
        <v>278</v>
      </c>
      <c r="E18" s="1" t="n">
        <v>17.4</v>
      </c>
      <c r="F18" s="1" t="n">
        <f aca="false">8/5</f>
        <v>1.6</v>
      </c>
    </row>
    <row collapsed="false" customFormat="false" customHeight="false" hidden="false" ht="14.75" outlineLevel="0" r="19">
      <c r="A19" s="1" t="s">
        <v>1639</v>
      </c>
      <c r="B19" s="1" t="s">
        <v>1633</v>
      </c>
      <c r="C19" s="1" t="s">
        <v>1627</v>
      </c>
      <c r="D19" s="1" t="n">
        <v>79</v>
      </c>
      <c r="E19" s="1" t="n">
        <v>14.44</v>
      </c>
      <c r="F19" s="1" t="n">
        <v>0.6</v>
      </c>
    </row>
    <row collapsed="false" customFormat="false" customHeight="false" hidden="false" ht="14.75" outlineLevel="0" r="20">
      <c r="A20" s="6" t="s">
        <v>1109</v>
      </c>
      <c r="B20" s="6" t="s">
        <v>1634</v>
      </c>
      <c r="C20" s="6" t="s">
        <v>1627</v>
      </c>
      <c r="D20" s="6" t="n">
        <v>249.4</v>
      </c>
      <c r="E20" s="6" t="n">
        <v>16.42</v>
      </c>
      <c r="F20" s="6" t="n">
        <f aca="false">13/9</f>
        <v>1.44444444444444</v>
      </c>
    </row>
    <row collapsed="false" customFormat="false" customHeight="false" hidden="false" ht="14.75" outlineLevel="0" r="21">
      <c r="A21" s="1" t="s">
        <v>1640</v>
      </c>
      <c r="B21" s="1" t="s">
        <v>1633</v>
      </c>
      <c r="C21" s="1" t="s">
        <v>1627</v>
      </c>
      <c r="D21" s="1" t="n">
        <v>56</v>
      </c>
      <c r="E21" s="1" t="n">
        <v>5.79</v>
      </c>
      <c r="F21" s="1" t="n">
        <v>0.6</v>
      </c>
    </row>
    <row collapsed="false" customFormat="false" customHeight="false" hidden="false" ht="14.75" outlineLevel="0" r="22">
      <c r="A22" s="1" t="s">
        <v>1641</v>
      </c>
      <c r="B22" s="1" t="s">
        <v>1633</v>
      </c>
      <c r="C22" s="1" t="s">
        <v>1627</v>
      </c>
      <c r="D22" s="1" t="n">
        <v>86</v>
      </c>
      <c r="E22" s="1" t="n">
        <v>7.92</v>
      </c>
      <c r="F22" s="1" t="n">
        <f aca="false">2/5</f>
        <v>0.4</v>
      </c>
    </row>
    <row collapsed="false" customFormat="false" customHeight="false" hidden="false" ht="14.75" outlineLevel="0" r="23">
      <c r="A23" s="1" t="s">
        <v>1642</v>
      </c>
      <c r="B23" s="1" t="s">
        <v>1633</v>
      </c>
      <c r="C23" s="1" t="s">
        <v>1627</v>
      </c>
      <c r="D23" s="1" t="n">
        <v>63</v>
      </c>
      <c r="E23" s="1" t="n">
        <v>11.33</v>
      </c>
      <c r="F23" s="1" t="n">
        <f aca="false">1/5</f>
        <v>0.2</v>
      </c>
    </row>
    <row collapsed="false" customFormat="false" customHeight="false" hidden="false" ht="14.75" outlineLevel="0" r="24">
      <c r="A24" s="6" t="s">
        <v>678</v>
      </c>
      <c r="B24" s="6" t="s">
        <v>1634</v>
      </c>
      <c r="C24" s="6" t="s">
        <v>1627</v>
      </c>
      <c r="D24" s="6" t="n">
        <v>427.8</v>
      </c>
      <c r="E24" s="6" t="n">
        <v>20.45</v>
      </c>
      <c r="F24" s="6" t="n">
        <v>4</v>
      </c>
    </row>
    <row collapsed="false" customFormat="false" customHeight="false" hidden="false" ht="14.75" outlineLevel="0" r="25">
      <c r="A25" s="6" t="s">
        <v>681</v>
      </c>
      <c r="B25" s="6" t="s">
        <v>1634</v>
      </c>
      <c r="C25" s="6" t="s">
        <v>1627</v>
      </c>
      <c r="D25" s="6" t="n">
        <v>269.4</v>
      </c>
      <c r="E25" s="6" t="n">
        <v>14.66</v>
      </c>
      <c r="F25" s="6" t="n">
        <f aca="false">17/8</f>
        <v>2.125</v>
      </c>
    </row>
    <row collapsed="false" customFormat="false" customHeight="false" hidden="false" ht="14.75" outlineLevel="0" r="26">
      <c r="A26" s="6" t="s">
        <v>1003</v>
      </c>
      <c r="B26" s="6" t="s">
        <v>1634</v>
      </c>
      <c r="C26" s="6" t="s">
        <v>1627</v>
      </c>
      <c r="D26" s="6" t="n">
        <v>240.6</v>
      </c>
      <c r="E26" s="6" t="n">
        <v>12.91</v>
      </c>
      <c r="F26" s="6" t="n">
        <f aca="false">11/8</f>
        <v>1.375</v>
      </c>
    </row>
    <row collapsed="false" customFormat="false" customHeight="false" hidden="false" ht="14.75" outlineLevel="0" r="27">
      <c r="A27" s="1" t="s">
        <v>1115</v>
      </c>
      <c r="B27" s="1" t="s">
        <v>1626</v>
      </c>
      <c r="C27" s="1" t="s">
        <v>1627</v>
      </c>
      <c r="D27" s="1" t="n">
        <v>177.5</v>
      </c>
      <c r="E27" s="1" t="n">
        <v>14.11</v>
      </c>
      <c r="F27" s="1" t="n">
        <v>1.2</v>
      </c>
    </row>
    <row collapsed="false" customFormat="false" customHeight="false" hidden="false" ht="14.75" outlineLevel="0" r="28">
      <c r="A28" s="1" t="s">
        <v>1116</v>
      </c>
      <c r="B28" s="1" t="s">
        <v>1626</v>
      </c>
      <c r="C28" s="1" t="s">
        <v>1627</v>
      </c>
      <c r="D28" s="1" t="n">
        <v>48</v>
      </c>
      <c r="E28" s="1" t="n">
        <v>12.73</v>
      </c>
      <c r="F28" s="1" t="n">
        <v>0</v>
      </c>
    </row>
    <row collapsed="false" customFormat="false" customHeight="false" hidden="false" ht="14.75" outlineLevel="0" r="29">
      <c r="A29" s="6" t="s">
        <v>1117</v>
      </c>
      <c r="B29" s="6" t="s">
        <v>1634</v>
      </c>
      <c r="C29" s="6" t="s">
        <v>1627</v>
      </c>
      <c r="D29" s="6" t="n">
        <v>384.4</v>
      </c>
      <c r="E29" s="6" t="n">
        <v>19.9</v>
      </c>
      <c r="F29" s="6" t="n">
        <f aca="false">34/9</f>
        <v>3.77777777777778</v>
      </c>
    </row>
    <row collapsed="false" customFormat="false" customHeight="false" hidden="false" ht="14.75" outlineLevel="0" r="30">
      <c r="A30" s="6" t="s">
        <v>1118</v>
      </c>
      <c r="B30" s="6" t="s">
        <v>1634</v>
      </c>
      <c r="C30" s="6" t="s">
        <v>1627</v>
      </c>
      <c r="D30" s="6" t="n">
        <v>176.2</v>
      </c>
      <c r="E30" s="6" t="n">
        <v>13.08</v>
      </c>
      <c r="F30" s="6" t="n">
        <f aca="false">12/8</f>
        <v>1.5</v>
      </c>
    </row>
    <row collapsed="false" customFormat="false" customHeight="false" hidden="false" ht="14.75" outlineLevel="0" r="31">
      <c r="A31" s="6" t="s">
        <v>1643</v>
      </c>
      <c r="B31" s="6" t="s">
        <v>1644</v>
      </c>
      <c r="C31" s="6" t="s">
        <v>1627</v>
      </c>
      <c r="D31" s="6" t="n">
        <v>258.8</v>
      </c>
      <c r="E31" s="6" t="n">
        <v>17</v>
      </c>
      <c r="F31" s="6" t="n">
        <v>2</v>
      </c>
    </row>
    <row collapsed="false" customFormat="false" customHeight="false" hidden="false" ht="14.75" outlineLevel="0" r="32">
      <c r="A32" s="6" t="s">
        <v>1645</v>
      </c>
      <c r="B32" s="6" t="s">
        <v>1646</v>
      </c>
      <c r="C32" s="6" t="s">
        <v>1627</v>
      </c>
      <c r="D32" s="6" t="n">
        <v>7.5</v>
      </c>
      <c r="E32" s="6" t="n">
        <v>0</v>
      </c>
      <c r="F32" s="6" t="n">
        <v>0</v>
      </c>
    </row>
    <row collapsed="false" customFormat="false" customHeight="false" hidden="false" ht="14.75" outlineLevel="0" r="33">
      <c r="A33" s="6" t="s">
        <v>1647</v>
      </c>
      <c r="B33" s="6" t="s">
        <v>1646</v>
      </c>
      <c r="C33" s="6" t="s">
        <v>1627</v>
      </c>
      <c r="D33" s="6" t="n">
        <v>28.8</v>
      </c>
      <c r="E33" s="6" t="n">
        <v>5</v>
      </c>
      <c r="F33" s="6" t="n">
        <v>0.25</v>
      </c>
    </row>
    <row collapsed="false" customFormat="false" customHeight="false" hidden="false" ht="14.75" outlineLevel="0" r="34">
      <c r="A34" s="1" t="s">
        <v>1648</v>
      </c>
      <c r="B34" s="1" t="s">
        <v>1632</v>
      </c>
      <c r="C34" s="1" t="s">
        <v>1627</v>
      </c>
      <c r="D34" s="1" t="n">
        <v>405</v>
      </c>
      <c r="E34" s="1" t="n">
        <v>22.12</v>
      </c>
      <c r="F34" s="1" t="n">
        <f aca="false">43/11</f>
        <v>3.90909090909091</v>
      </c>
    </row>
    <row collapsed="false" customFormat="false" customHeight="false" hidden="false" ht="14.75" outlineLevel="0" r="35">
      <c r="A35" s="1" t="s">
        <v>1649</v>
      </c>
      <c r="B35" s="1" t="s">
        <v>1632</v>
      </c>
      <c r="C35" s="1" t="s">
        <v>1627</v>
      </c>
      <c r="D35" s="1" t="n">
        <v>246.8</v>
      </c>
      <c r="E35" s="1" t="n">
        <v>17.27</v>
      </c>
      <c r="F35" s="1" t="n">
        <f aca="false">16/11</f>
        <v>1.45454545454545</v>
      </c>
    </row>
    <row collapsed="false" customFormat="false" customHeight="false" hidden="false" ht="14.75" outlineLevel="0" r="36">
      <c r="A36" s="1" t="s">
        <v>1650</v>
      </c>
      <c r="B36" s="1" t="s">
        <v>1632</v>
      </c>
      <c r="C36" s="1" t="s">
        <v>1627</v>
      </c>
      <c r="D36" s="1" t="n">
        <v>268.2</v>
      </c>
      <c r="E36" s="1" t="n">
        <v>18.92</v>
      </c>
      <c r="F36" s="1" t="n">
        <f aca="false">21/11</f>
        <v>1.90909090909091</v>
      </c>
    </row>
    <row collapsed="false" customFormat="false" customHeight="false" hidden="false" ht="14.75" outlineLevel="0" r="37">
      <c r="A37" s="1" t="s">
        <v>1651</v>
      </c>
      <c r="B37" s="1" t="s">
        <v>1632</v>
      </c>
      <c r="C37" s="1" t="s">
        <v>1627</v>
      </c>
      <c r="D37" s="1" t="n">
        <v>162.7</v>
      </c>
      <c r="E37" s="1" t="n">
        <v>13.82</v>
      </c>
      <c r="F37" s="1" t="n">
        <f aca="false">18/11</f>
        <v>1.63636363636364</v>
      </c>
    </row>
    <row collapsed="false" customFormat="false" customHeight="false" hidden="false" ht="14.75" outlineLevel="0" r="38">
      <c r="A38" s="6" t="s">
        <v>1652</v>
      </c>
      <c r="B38" s="6" t="s">
        <v>1644</v>
      </c>
      <c r="C38" s="6" t="s">
        <v>1627</v>
      </c>
      <c r="D38" s="6" t="n">
        <v>384.4</v>
      </c>
      <c r="E38" s="6" t="n">
        <v>17.94</v>
      </c>
      <c r="F38" s="6" t="n">
        <f aca="false">23/8</f>
        <v>2.875</v>
      </c>
    </row>
    <row collapsed="false" customFormat="false" customHeight="false" hidden="false" ht="14.75" outlineLevel="0" r="39">
      <c r="A39" s="6" t="s">
        <v>1653</v>
      </c>
      <c r="B39" s="6" t="s">
        <v>1644</v>
      </c>
      <c r="C39" s="6" t="s">
        <v>1627</v>
      </c>
      <c r="D39" s="6" t="n">
        <v>215</v>
      </c>
      <c r="E39" s="6" t="n">
        <v>19.32</v>
      </c>
      <c r="F39" s="6" t="n">
        <v>1</v>
      </c>
    </row>
    <row collapsed="false" customFormat="false" customHeight="false" hidden="false" ht="14.75" outlineLevel="0" r="40">
      <c r="A40" s="6" t="s">
        <v>1654</v>
      </c>
      <c r="B40" s="6" t="s">
        <v>1646</v>
      </c>
      <c r="C40" s="6" t="s">
        <v>1627</v>
      </c>
      <c r="D40" s="6" t="n">
        <v>297.5</v>
      </c>
      <c r="E40" s="6" t="n">
        <v>14.57</v>
      </c>
      <c r="F40" s="6" t="n">
        <v>1</v>
      </c>
    </row>
    <row collapsed="false" customFormat="false" customHeight="false" hidden="false" ht="14.75" outlineLevel="0" r="41">
      <c r="A41" s="1" t="s">
        <v>1655</v>
      </c>
      <c r="B41" s="1" t="s">
        <v>1626</v>
      </c>
      <c r="C41" s="1" t="s">
        <v>1627</v>
      </c>
      <c r="D41" s="1" t="n">
        <v>223.5</v>
      </c>
      <c r="E41" s="1" t="n">
        <v>18.38</v>
      </c>
      <c r="F41" s="1" t="n">
        <v>2.3</v>
      </c>
    </row>
    <row collapsed="false" customFormat="false" customHeight="false" hidden="false" ht="14.75" outlineLevel="0" r="42">
      <c r="A42" s="6" t="s">
        <v>1656</v>
      </c>
      <c r="B42" s="6" t="s">
        <v>1634</v>
      </c>
      <c r="C42" s="6" t="s">
        <v>1627</v>
      </c>
      <c r="D42" s="6" t="n">
        <v>207.5</v>
      </c>
      <c r="E42" s="6" t="n">
        <v>11.83</v>
      </c>
      <c r="F42" s="6" t="n">
        <f aca="false">12/8</f>
        <v>1.5</v>
      </c>
    </row>
    <row collapsed="false" customFormat="false" customHeight="false" hidden="false" ht="14.75" outlineLevel="0" r="43">
      <c r="A43" s="6" t="s">
        <v>1657</v>
      </c>
      <c r="B43" s="6" t="s">
        <v>1634</v>
      </c>
      <c r="C43" s="6" t="s">
        <v>1627</v>
      </c>
      <c r="D43" s="6" t="n">
        <v>162.5</v>
      </c>
      <c r="E43" s="6" t="n">
        <v>10.8</v>
      </c>
      <c r="F43" s="6" t="n">
        <f aca="false">10/8</f>
        <v>1.25</v>
      </c>
    </row>
    <row collapsed="false" customFormat="false" customHeight="false" hidden="false" ht="14.75" outlineLevel="0" r="44">
      <c r="A44" s="1" t="s">
        <v>1136</v>
      </c>
      <c r="B44" s="1" t="s">
        <v>1626</v>
      </c>
      <c r="C44" s="1" t="s">
        <v>1627</v>
      </c>
      <c r="D44" s="1" t="n">
        <v>267.5</v>
      </c>
      <c r="E44" s="1" t="n">
        <v>18.15</v>
      </c>
      <c r="F44" s="1" t="n">
        <v>2.6</v>
      </c>
    </row>
    <row collapsed="false" customFormat="false" customHeight="false" hidden="false" ht="14.75" outlineLevel="0" r="45">
      <c r="A45" s="1" t="s">
        <v>1137</v>
      </c>
      <c r="B45" s="1" t="s">
        <v>1626</v>
      </c>
      <c r="C45" s="1" t="s">
        <v>1627</v>
      </c>
      <c r="D45" s="1" t="n">
        <v>152.8</v>
      </c>
      <c r="E45" s="1" t="n">
        <v>12.1</v>
      </c>
      <c r="F45" s="1" t="n">
        <v>0.8</v>
      </c>
    </row>
    <row collapsed="false" customFormat="false" customHeight="false" hidden="false" ht="14.75" outlineLevel="0" r="46">
      <c r="A46" s="1" t="s">
        <v>827</v>
      </c>
      <c r="B46" s="1" t="s">
        <v>1658</v>
      </c>
      <c r="C46" s="1" t="s">
        <v>1627</v>
      </c>
      <c r="D46" s="1" t="n">
        <v>378.4</v>
      </c>
      <c r="E46" s="1" t="n">
        <v>23.91</v>
      </c>
      <c r="F46" s="1" t="n">
        <v>6.1</v>
      </c>
    </row>
    <row collapsed="false" customFormat="false" customHeight="false" hidden="false" ht="14.75" outlineLevel="0" r="47">
      <c r="A47" s="1" t="s">
        <v>828</v>
      </c>
      <c r="B47" s="1" t="s">
        <v>1658</v>
      </c>
      <c r="C47" s="1" t="s">
        <v>1627</v>
      </c>
      <c r="D47" s="1" t="n">
        <v>256.9</v>
      </c>
      <c r="E47" s="1" t="n">
        <v>17.69</v>
      </c>
      <c r="F47" s="1" t="n">
        <v>2.16666666666667</v>
      </c>
    </row>
    <row collapsed="false" customFormat="false" customHeight="false" hidden="false" ht="14.75" outlineLevel="0" r="48">
      <c r="A48" s="1" t="s">
        <v>829</v>
      </c>
      <c r="B48" s="1" t="s">
        <v>1658</v>
      </c>
      <c r="C48" s="1" t="s">
        <v>1627</v>
      </c>
      <c r="D48" s="1" t="n">
        <v>137</v>
      </c>
      <c r="E48" s="1" t="n">
        <v>11.09</v>
      </c>
      <c r="F48" s="1" t="n">
        <v>0.833333333333333</v>
      </c>
    </row>
    <row collapsed="false" customFormat="false" customHeight="false" hidden="false" ht="14.75" outlineLevel="0" r="49">
      <c r="A49" s="1" t="s">
        <v>830</v>
      </c>
      <c r="B49" s="1" t="s">
        <v>1658</v>
      </c>
      <c r="C49" s="1" t="s">
        <v>1627</v>
      </c>
      <c r="D49" s="1" t="n">
        <v>261</v>
      </c>
      <c r="E49" s="1" t="n">
        <v>16.8</v>
      </c>
      <c r="F49" s="1" t="n">
        <f aca="false">18/7</f>
        <v>2.57142857142857</v>
      </c>
    </row>
    <row collapsed="false" customFormat="false" customHeight="false" hidden="false" ht="14.75" outlineLevel="0" r="50">
      <c r="A50" s="1" t="s">
        <v>831</v>
      </c>
      <c r="B50" s="1" t="s">
        <v>1658</v>
      </c>
      <c r="C50" s="1" t="s">
        <v>1627</v>
      </c>
      <c r="D50" s="1" t="n">
        <v>187</v>
      </c>
      <c r="E50" s="1" t="n">
        <v>17.45</v>
      </c>
      <c r="F50" s="1" t="n">
        <v>1</v>
      </c>
    </row>
    <row collapsed="false" customFormat="false" customHeight="false" hidden="false" ht="14.75" outlineLevel="0" r="51">
      <c r="A51" s="1" t="s">
        <v>832</v>
      </c>
      <c r="B51" s="1" t="s">
        <v>1658</v>
      </c>
      <c r="C51" s="1" t="s">
        <v>1627</v>
      </c>
      <c r="D51" s="1" t="n">
        <v>131.2</v>
      </c>
      <c r="E51" s="1" t="n">
        <v>11.97</v>
      </c>
      <c r="F51" s="1" t="n">
        <v>0.833333333333333</v>
      </c>
    </row>
    <row collapsed="false" customFormat="false" customHeight="false" hidden="false" ht="14.75" outlineLevel="0" r="52">
      <c r="A52" s="6" t="s">
        <v>1659</v>
      </c>
      <c r="B52" s="6" t="s">
        <v>1631</v>
      </c>
      <c r="C52" s="6" t="s">
        <v>1627</v>
      </c>
      <c r="D52" s="6" t="n">
        <v>383.1</v>
      </c>
      <c r="E52" s="6" t="n">
        <v>19.67</v>
      </c>
      <c r="F52" s="6" t="n">
        <f aca="false">27/8</f>
        <v>3.375</v>
      </c>
    </row>
    <row collapsed="false" customFormat="false" customHeight="false" hidden="false" ht="14.75" outlineLevel="0" r="53">
      <c r="A53" s="1" t="s">
        <v>10</v>
      </c>
      <c r="B53" s="1" t="s">
        <v>1660</v>
      </c>
      <c r="C53" s="1" t="s">
        <v>1627</v>
      </c>
      <c r="D53" s="1" t="n">
        <v>134.3</v>
      </c>
      <c r="E53" s="1" t="n">
        <v>13.75</v>
      </c>
      <c r="F53" s="1" t="n">
        <f aca="false">8/7</f>
        <v>1.14285714285714</v>
      </c>
    </row>
    <row collapsed="false" customFormat="false" customHeight="false" hidden="false" ht="14.75" outlineLevel="0" r="54">
      <c r="A54" s="6" t="s">
        <v>1661</v>
      </c>
      <c r="B54" s="6" t="s">
        <v>1644</v>
      </c>
      <c r="C54" s="6" t="s">
        <v>1627</v>
      </c>
      <c r="D54" s="6" t="n">
        <v>100.6</v>
      </c>
      <c r="E54" s="6" t="n">
        <v>9.03</v>
      </c>
      <c r="F54" s="6" t="n">
        <f aca="false">5/8</f>
        <v>0.625</v>
      </c>
    </row>
    <row collapsed="false" customFormat="false" customHeight="false" hidden="false" ht="14.75" outlineLevel="0" r="55">
      <c r="A55" s="6" t="s">
        <v>1518</v>
      </c>
      <c r="B55" s="6" t="s">
        <v>1644</v>
      </c>
      <c r="C55" s="6" t="s">
        <v>1627</v>
      </c>
      <c r="D55" s="6" t="n">
        <v>290.6</v>
      </c>
      <c r="E55" s="6" t="n">
        <v>16.23</v>
      </c>
      <c r="F55" s="6" t="n">
        <f aca="false">15/8</f>
        <v>1.875</v>
      </c>
    </row>
    <row collapsed="false" customFormat="false" customHeight="false" hidden="false" ht="14.75" outlineLevel="0" r="56">
      <c r="A56" s="1" t="s">
        <v>1522</v>
      </c>
      <c r="B56" s="1" t="s">
        <v>1662</v>
      </c>
      <c r="C56" s="1" t="s">
        <v>1627</v>
      </c>
      <c r="D56" s="1" t="n">
        <v>247.7</v>
      </c>
      <c r="E56" s="1" t="n">
        <v>16.14</v>
      </c>
      <c r="F56" s="1" t="n">
        <f aca="false">30/11</f>
        <v>2.72727272727273</v>
      </c>
    </row>
    <row collapsed="false" customFormat="false" customHeight="false" hidden="false" ht="14.75" outlineLevel="0" r="57">
      <c r="A57" s="1" t="s">
        <v>324</v>
      </c>
      <c r="B57" s="1" t="s">
        <v>1662</v>
      </c>
      <c r="C57" s="1" t="s">
        <v>1627</v>
      </c>
      <c r="D57" s="1" t="n">
        <v>126.8</v>
      </c>
      <c r="E57" s="1" t="n">
        <v>11.48</v>
      </c>
      <c r="F57" s="1" t="n">
        <f aca="false">13/11</f>
        <v>1.18181818181818</v>
      </c>
    </row>
    <row collapsed="false" customFormat="false" customHeight="false" hidden="false" ht="14.75" outlineLevel="0" r="58">
      <c r="A58" s="6" t="s">
        <v>447</v>
      </c>
      <c r="B58" s="6" t="s">
        <v>1634</v>
      </c>
      <c r="C58" s="6" t="s">
        <v>1627</v>
      </c>
      <c r="D58" s="6" t="n">
        <v>195.6</v>
      </c>
      <c r="E58" s="6" t="n">
        <v>16.53</v>
      </c>
      <c r="F58" s="6" t="n">
        <f aca="false">21/8</f>
        <v>2.625</v>
      </c>
    </row>
    <row collapsed="false" customFormat="false" customHeight="false" hidden="false" ht="14.75" outlineLevel="0" r="59">
      <c r="A59" s="6" t="s">
        <v>448</v>
      </c>
      <c r="B59" s="6" t="s">
        <v>1634</v>
      </c>
      <c r="C59" s="6" t="s">
        <v>1627</v>
      </c>
      <c r="D59" s="6" t="n">
        <v>140</v>
      </c>
      <c r="E59" s="6" t="n">
        <v>10.68</v>
      </c>
      <c r="F59" s="6" t="n">
        <f aca="false">6/8</f>
        <v>0.75</v>
      </c>
    </row>
    <row collapsed="false" customFormat="false" customHeight="false" hidden="false" ht="14.75" outlineLevel="0" r="60">
      <c r="A60" s="1" t="s">
        <v>1663</v>
      </c>
      <c r="B60" s="1" t="s">
        <v>1626</v>
      </c>
      <c r="C60" s="1" t="s">
        <v>1627</v>
      </c>
      <c r="D60" s="1" t="n">
        <v>154.4</v>
      </c>
      <c r="E60" s="1" t="n">
        <v>12.74</v>
      </c>
      <c r="F60" s="1" t="n">
        <v>0.5</v>
      </c>
    </row>
    <row collapsed="false" customFormat="false" customHeight="false" hidden="false" ht="14.75" outlineLevel="0" r="61">
      <c r="A61" s="1" t="s">
        <v>204</v>
      </c>
      <c r="B61" s="1" t="s">
        <v>1662</v>
      </c>
      <c r="C61" s="1" t="s">
        <v>1627</v>
      </c>
      <c r="D61" s="1" t="n">
        <v>348.6</v>
      </c>
      <c r="E61" s="1" t="n">
        <v>21.83</v>
      </c>
      <c r="F61" s="1" t="n">
        <f aca="false">25/11</f>
        <v>2.27272727272727</v>
      </c>
    </row>
    <row collapsed="false" customFormat="false" customHeight="false" hidden="false" ht="14.75" outlineLevel="0" r="62">
      <c r="A62" s="1" t="s">
        <v>205</v>
      </c>
      <c r="B62" s="1" t="s">
        <v>1662</v>
      </c>
      <c r="C62" s="1" t="s">
        <v>1627</v>
      </c>
      <c r="D62" s="1" t="n">
        <v>250</v>
      </c>
      <c r="E62" s="1" t="n">
        <v>16.86</v>
      </c>
      <c r="F62" s="1" t="n">
        <f aca="false">14/11</f>
        <v>1.27272727272727</v>
      </c>
    </row>
    <row collapsed="false" customFormat="false" customHeight="false" hidden="false" ht="14.75" outlineLevel="0" r="63">
      <c r="A63" s="1" t="s">
        <v>1664</v>
      </c>
      <c r="B63" s="1" t="s">
        <v>1633</v>
      </c>
      <c r="C63" s="1" t="s">
        <v>1627</v>
      </c>
      <c r="D63" s="1" t="n">
        <v>140</v>
      </c>
      <c r="E63" s="1" t="n">
        <v>16.43</v>
      </c>
      <c r="F63" s="1" t="n">
        <v>0.2</v>
      </c>
    </row>
    <row collapsed="false" customFormat="false" customHeight="false" hidden="false" ht="14.75" outlineLevel="0" r="64">
      <c r="A64" s="1" t="s">
        <v>1665</v>
      </c>
      <c r="B64" s="1" t="s">
        <v>1633</v>
      </c>
      <c r="C64" s="1" t="s">
        <v>1627</v>
      </c>
      <c r="D64" s="1" t="n">
        <v>54</v>
      </c>
      <c r="E64" s="1" t="n">
        <v>8.44</v>
      </c>
      <c r="F64" s="1" t="n">
        <v>0.4</v>
      </c>
    </row>
    <row collapsed="false" customFormat="false" customHeight="false" hidden="false" ht="14.75" outlineLevel="0" r="65">
      <c r="A65" s="1" t="s">
        <v>1666</v>
      </c>
      <c r="B65" s="1" t="s">
        <v>1658</v>
      </c>
      <c r="C65" s="1" t="s">
        <v>1627</v>
      </c>
      <c r="D65" s="1" t="n">
        <v>172.8</v>
      </c>
      <c r="E65" s="1" t="n">
        <v>15.44</v>
      </c>
      <c r="F65" s="1" t="n">
        <f aca="false">6/7</f>
        <v>0.857142857142857</v>
      </c>
    </row>
    <row collapsed="false" customFormat="false" customHeight="false" hidden="false" ht="14.75" outlineLevel="0" r="66">
      <c r="A66" s="1" t="s">
        <v>1667</v>
      </c>
      <c r="B66" s="1" t="s">
        <v>1658</v>
      </c>
      <c r="C66" s="1" t="s">
        <v>1627</v>
      </c>
      <c r="D66" s="1" t="n">
        <v>188.8</v>
      </c>
      <c r="E66" s="1" t="n">
        <v>17.72</v>
      </c>
      <c r="F66" s="1" t="n">
        <f aca="false">16/7</f>
        <v>2.28571428571429</v>
      </c>
    </row>
    <row collapsed="false" customFormat="false" customHeight="false" hidden="false" ht="14.75" outlineLevel="0" r="67">
      <c r="A67" s="1" t="s">
        <v>1668</v>
      </c>
      <c r="B67" s="1" t="s">
        <v>1658</v>
      </c>
      <c r="C67" s="1" t="s">
        <v>1627</v>
      </c>
      <c r="D67" s="1" t="n">
        <v>116.4</v>
      </c>
      <c r="E67" s="1" t="n">
        <v>14.06</v>
      </c>
      <c r="F67" s="1" t="n">
        <v>0.833333333333333</v>
      </c>
    </row>
    <row collapsed="false" customFormat="false" customHeight="false" hidden="false" ht="14.75" outlineLevel="0" r="68">
      <c r="A68" s="1" t="s">
        <v>1669</v>
      </c>
      <c r="B68" s="1" t="s">
        <v>1633</v>
      </c>
      <c r="C68" s="1" t="s">
        <v>1627</v>
      </c>
      <c r="D68" s="1" t="n">
        <v>242</v>
      </c>
      <c r="E68" s="1" t="n">
        <v>16.59</v>
      </c>
      <c r="F68" s="1" t="n">
        <f aca="false">13/5</f>
        <v>2.6</v>
      </c>
    </row>
    <row collapsed="false" customFormat="false" customHeight="false" hidden="false" ht="14.75" outlineLevel="0" r="69">
      <c r="A69" s="6" t="s">
        <v>1670</v>
      </c>
      <c r="B69" s="6" t="s">
        <v>1634</v>
      </c>
      <c r="C69" s="6" t="s">
        <v>1627</v>
      </c>
      <c r="D69" s="6" t="n">
        <v>203.8</v>
      </c>
      <c r="E69" s="6" t="n">
        <v>15.45</v>
      </c>
      <c r="F69" s="6" t="n">
        <f aca="false">12/8</f>
        <v>1.5</v>
      </c>
    </row>
    <row collapsed="false" customFormat="false" customHeight="false" hidden="false" ht="14.75" outlineLevel="0" r="70">
      <c r="A70" s="1" t="s">
        <v>853</v>
      </c>
      <c r="B70" s="1" t="s">
        <v>1658</v>
      </c>
      <c r="C70" s="1" t="s">
        <v>1627</v>
      </c>
      <c r="D70" s="1" t="n">
        <v>327.1</v>
      </c>
      <c r="E70" s="1" t="n">
        <v>19.52</v>
      </c>
      <c r="F70" s="1" t="n">
        <f aca="false">28/8</f>
        <v>3.5</v>
      </c>
    </row>
    <row collapsed="false" customFormat="false" customHeight="false" hidden="false" ht="14.75" outlineLevel="0" r="71">
      <c r="A71" s="1" t="s">
        <v>854</v>
      </c>
      <c r="B71" s="1" t="s">
        <v>1658</v>
      </c>
      <c r="C71" s="1" t="s">
        <v>1627</v>
      </c>
      <c r="D71" s="1" t="n">
        <v>276.7</v>
      </c>
      <c r="E71" s="1" t="n">
        <v>17.03</v>
      </c>
      <c r="F71" s="1" t="n">
        <v>3.83333333333333</v>
      </c>
    </row>
    <row collapsed="false" customFormat="false" customHeight="false" hidden="false" ht="14.75" outlineLevel="0" r="72">
      <c r="A72" s="1" t="s">
        <v>1671</v>
      </c>
      <c r="B72" s="1" t="s">
        <v>1632</v>
      </c>
      <c r="C72" s="1" t="s">
        <v>1627</v>
      </c>
      <c r="D72" s="1" t="n">
        <v>144.1</v>
      </c>
      <c r="E72" s="1" t="n">
        <v>12.75</v>
      </c>
      <c r="F72" s="1" t="n">
        <f aca="false">10/11</f>
        <v>0.909090909090909</v>
      </c>
    </row>
    <row collapsed="false" customFormat="false" customHeight="false" hidden="false" ht="14.75" outlineLevel="0" r="73">
      <c r="A73" s="1" t="s">
        <v>1672</v>
      </c>
      <c r="B73" s="1" t="s">
        <v>1632</v>
      </c>
      <c r="C73" s="1" t="s">
        <v>1627</v>
      </c>
      <c r="D73" s="1" t="n">
        <v>105.9</v>
      </c>
      <c r="E73" s="1" t="n">
        <v>9.13</v>
      </c>
      <c r="F73" s="1" t="n">
        <f aca="false">8/11</f>
        <v>0.727272727272727</v>
      </c>
    </row>
    <row collapsed="false" customFormat="false" customHeight="false" hidden="false" ht="14.75" outlineLevel="0" r="74">
      <c r="A74" s="1" t="s">
        <v>1673</v>
      </c>
      <c r="B74" s="1" t="s">
        <v>1633</v>
      </c>
      <c r="C74" s="1" t="s">
        <v>1627</v>
      </c>
      <c r="D74" s="1" t="n">
        <v>167</v>
      </c>
      <c r="E74" s="1" t="n">
        <v>12.78</v>
      </c>
      <c r="F74" s="1" t="n">
        <f aca="false">7/5</f>
        <v>1.4</v>
      </c>
    </row>
    <row collapsed="false" customFormat="false" customHeight="false" hidden="false" ht="14.75" outlineLevel="0" r="75">
      <c r="A75" s="6" t="s">
        <v>1674</v>
      </c>
      <c r="B75" s="6" t="s">
        <v>1634</v>
      </c>
      <c r="C75" s="6" t="s">
        <v>1627</v>
      </c>
      <c r="D75" s="6" t="n">
        <v>248.1</v>
      </c>
      <c r="E75" s="6" t="n">
        <v>15.79</v>
      </c>
      <c r="F75" s="6" t="n">
        <f aca="false">15/8</f>
        <v>1.875</v>
      </c>
    </row>
    <row collapsed="false" customFormat="false" customHeight="false" hidden="false" ht="14.75" outlineLevel="0" r="76">
      <c r="A76" s="6" t="s">
        <v>1675</v>
      </c>
      <c r="B76" s="6" t="s">
        <v>1634</v>
      </c>
      <c r="C76" s="6" t="s">
        <v>1627</v>
      </c>
      <c r="D76" s="6" t="n">
        <v>291.9</v>
      </c>
      <c r="E76" s="6" t="n">
        <v>10</v>
      </c>
      <c r="F76" s="6" t="n">
        <f aca="false">9/8</f>
        <v>1.125</v>
      </c>
    </row>
    <row collapsed="false" customFormat="false" customHeight="false" hidden="false" ht="14.75" outlineLevel="0" r="77">
      <c r="A77" s="1" t="s">
        <v>1676</v>
      </c>
      <c r="B77" s="1" t="s">
        <v>1677</v>
      </c>
      <c r="C77" s="1" t="s">
        <v>1627</v>
      </c>
      <c r="D77" s="1" t="n">
        <v>60</v>
      </c>
      <c r="E77" s="1" t="n">
        <v>8.52</v>
      </c>
      <c r="F77" s="1" t="n">
        <v>0</v>
      </c>
    </row>
    <row collapsed="false" customFormat="false" customHeight="false" hidden="false" ht="14.75" outlineLevel="0" r="78">
      <c r="A78" s="1" t="s">
        <v>1678</v>
      </c>
      <c r="B78" s="1" t="s">
        <v>1677</v>
      </c>
      <c r="C78" s="1" t="s">
        <v>1627</v>
      </c>
      <c r="D78" s="1" t="n">
        <v>76.2</v>
      </c>
      <c r="E78" s="1" t="n">
        <v>7.65</v>
      </c>
      <c r="F78" s="1" t="n">
        <f aca="false">4/8</f>
        <v>0.5</v>
      </c>
    </row>
    <row collapsed="false" customFormat="false" customHeight="false" hidden="false" ht="14.75" outlineLevel="0" r="79">
      <c r="A79" s="6" t="s">
        <v>1679</v>
      </c>
      <c r="B79" s="6" t="s">
        <v>1646</v>
      </c>
      <c r="C79" s="6" t="s">
        <v>1627</v>
      </c>
      <c r="D79" s="6" t="n">
        <v>287.5</v>
      </c>
      <c r="E79" s="6" t="n">
        <v>15.71</v>
      </c>
      <c r="F79" s="6" t="n">
        <v>0.5</v>
      </c>
    </row>
    <row collapsed="false" customFormat="false" customHeight="false" hidden="false" ht="14.75" outlineLevel="0" r="80">
      <c r="A80" s="1" t="s">
        <v>1680</v>
      </c>
      <c r="B80" s="1" t="s">
        <v>1633</v>
      </c>
      <c r="C80" s="1" t="s">
        <v>1627</v>
      </c>
      <c r="D80" s="1" t="n">
        <v>235</v>
      </c>
      <c r="E80" s="1" t="n">
        <v>17.33</v>
      </c>
      <c r="F80" s="1" t="n">
        <f aca="false">7/5</f>
        <v>1.4</v>
      </c>
    </row>
    <row collapsed="false" customFormat="false" customHeight="false" hidden="false" ht="14.75" outlineLevel="0" r="81">
      <c r="A81" s="1" t="s">
        <v>1681</v>
      </c>
      <c r="B81" s="1" t="s">
        <v>1633</v>
      </c>
      <c r="C81" s="1" t="s">
        <v>1627</v>
      </c>
      <c r="D81" s="1" t="n">
        <v>116</v>
      </c>
      <c r="E81" s="1" t="n">
        <v>10</v>
      </c>
      <c r="F81" s="1" t="n">
        <v>0.4</v>
      </c>
    </row>
    <row collapsed="false" customFormat="false" customHeight="false" hidden="false" ht="14.75" outlineLevel="0" r="82">
      <c r="A82" s="6" t="s">
        <v>1168</v>
      </c>
      <c r="B82" s="6" t="s">
        <v>1631</v>
      </c>
      <c r="C82" s="6" t="s">
        <v>1627</v>
      </c>
      <c r="D82" s="6" t="n">
        <v>376.1</v>
      </c>
      <c r="E82" s="6" t="n">
        <v>18.7</v>
      </c>
      <c r="F82" s="6" t="n">
        <f aca="false">43/9</f>
        <v>4.77777777777778</v>
      </c>
    </row>
    <row collapsed="false" customFormat="false" customHeight="false" hidden="false" ht="14.75" outlineLevel="0" r="83">
      <c r="A83" s="6" t="s">
        <v>1169</v>
      </c>
      <c r="B83" s="6" t="s">
        <v>1631</v>
      </c>
      <c r="C83" s="6" t="s">
        <v>1627</v>
      </c>
      <c r="D83" s="6" t="n">
        <v>118.1</v>
      </c>
      <c r="E83" s="6" t="n">
        <v>10.91</v>
      </c>
      <c r="F83" s="6" t="n">
        <f aca="false">3/8</f>
        <v>0.375</v>
      </c>
    </row>
    <row collapsed="false" customFormat="false" customHeight="false" hidden="false" ht="14.75" outlineLevel="0" r="84">
      <c r="A84" s="6" t="s">
        <v>1181</v>
      </c>
      <c r="B84" s="6" t="s">
        <v>1634</v>
      </c>
      <c r="C84" s="6" t="s">
        <v>1627</v>
      </c>
      <c r="D84" s="6" t="n">
        <v>135.6</v>
      </c>
      <c r="E84" s="6" t="n">
        <v>9.76</v>
      </c>
      <c r="F84" s="6" t="n">
        <f aca="false">13/8</f>
        <v>1.625</v>
      </c>
    </row>
    <row collapsed="false" customFormat="false" customHeight="false" hidden="false" ht="14.75" outlineLevel="0" r="85">
      <c r="A85" s="1" t="s">
        <v>1543</v>
      </c>
      <c r="B85" s="1" t="s">
        <v>1633</v>
      </c>
      <c r="C85" s="1" t="s">
        <v>1627</v>
      </c>
      <c r="D85" s="1" t="n">
        <v>420</v>
      </c>
      <c r="E85" s="1" t="n">
        <v>21.6</v>
      </c>
      <c r="F85" s="1" t="n">
        <v>6.6</v>
      </c>
    </row>
    <row collapsed="false" customFormat="false" customHeight="false" hidden="false" ht="14.75" outlineLevel="0" r="86">
      <c r="A86" s="1" t="s">
        <v>1544</v>
      </c>
      <c r="B86" s="1" t="s">
        <v>1633</v>
      </c>
      <c r="C86" s="1" t="s">
        <v>1627</v>
      </c>
      <c r="D86" s="1" t="n">
        <v>462.7</v>
      </c>
      <c r="E86" s="1" t="n">
        <v>24.68</v>
      </c>
      <c r="F86" s="1" t="n">
        <f aca="false">75/11</f>
        <v>6.81818181818182</v>
      </c>
    </row>
    <row collapsed="false" customFormat="false" customHeight="false" hidden="false" ht="14.75" outlineLevel="0" r="87">
      <c r="A87" s="6" t="s">
        <v>689</v>
      </c>
      <c r="B87" s="6" t="s">
        <v>1631</v>
      </c>
      <c r="C87" s="6" t="s">
        <v>1627</v>
      </c>
      <c r="D87" s="6" t="n">
        <v>324.4</v>
      </c>
      <c r="E87" s="6" t="n">
        <v>18.46</v>
      </c>
      <c r="F87" s="6" t="n">
        <f aca="false">19/8</f>
        <v>2.375</v>
      </c>
    </row>
    <row collapsed="false" customFormat="false" customHeight="false" hidden="false" ht="14.75" outlineLevel="0" r="88">
      <c r="A88" s="6" t="s">
        <v>690</v>
      </c>
      <c r="B88" s="6" t="s">
        <v>1631</v>
      </c>
      <c r="C88" s="6" t="s">
        <v>1627</v>
      </c>
      <c r="D88" s="6" t="n">
        <v>131.9</v>
      </c>
      <c r="E88" s="6" t="n">
        <v>13.53</v>
      </c>
      <c r="F88" s="6" t="n">
        <f aca="false">5/8</f>
        <v>0.625</v>
      </c>
    </row>
    <row collapsed="false" customFormat="false" customHeight="false" hidden="false" ht="14.75" outlineLevel="0" r="89">
      <c r="A89" s="6" t="s">
        <v>1185</v>
      </c>
      <c r="B89" s="6" t="s">
        <v>1631</v>
      </c>
      <c r="C89" s="6" t="s">
        <v>1627</v>
      </c>
      <c r="D89" s="6" t="n">
        <v>331.9</v>
      </c>
      <c r="E89" s="6" t="n">
        <v>20.42</v>
      </c>
      <c r="F89" s="6" t="n">
        <f aca="false">29/8</f>
        <v>3.625</v>
      </c>
    </row>
    <row collapsed="false" customFormat="false" customHeight="false" hidden="false" ht="14.75" outlineLevel="0" r="90">
      <c r="A90" s="6" t="s">
        <v>1186</v>
      </c>
      <c r="B90" s="6" t="s">
        <v>1631</v>
      </c>
      <c r="C90" s="6" t="s">
        <v>1627</v>
      </c>
      <c r="D90" s="6" t="n">
        <v>171.9</v>
      </c>
      <c r="E90" s="6" t="n">
        <v>16.19</v>
      </c>
      <c r="F90" s="6" t="n">
        <f aca="false">7/8</f>
        <v>0.875</v>
      </c>
    </row>
    <row collapsed="false" customFormat="false" customHeight="false" hidden="false" ht="14.75" outlineLevel="0" r="91">
      <c r="A91" s="1" t="s">
        <v>1682</v>
      </c>
      <c r="B91" s="1" t="s">
        <v>1633</v>
      </c>
      <c r="C91" s="1" t="s">
        <v>1627</v>
      </c>
      <c r="D91" s="1" t="n">
        <v>351</v>
      </c>
      <c r="E91" s="1" t="n">
        <v>19.91</v>
      </c>
      <c r="F91" s="1" t="n">
        <f aca="false">21/5</f>
        <v>4.2</v>
      </c>
    </row>
    <row collapsed="false" customFormat="false" customHeight="false" hidden="false" ht="14.75" outlineLevel="0" r="92">
      <c r="A92" s="1" t="s">
        <v>868</v>
      </c>
      <c r="B92" s="1" t="s">
        <v>1633</v>
      </c>
      <c r="C92" s="1" t="s">
        <v>1627</v>
      </c>
      <c r="D92" s="1" t="n">
        <v>446.1</v>
      </c>
      <c r="E92" s="1" t="n">
        <v>23.43</v>
      </c>
      <c r="F92" s="1" t="n">
        <f aca="false">58/9</f>
        <v>6.44444444444444</v>
      </c>
    </row>
    <row collapsed="false" customFormat="false" customHeight="false" hidden="false" ht="14.75" outlineLevel="0" r="93">
      <c r="A93" s="1" t="s">
        <v>869</v>
      </c>
      <c r="B93" s="1" t="s">
        <v>1633</v>
      </c>
      <c r="C93" s="1" t="s">
        <v>1627</v>
      </c>
      <c r="D93" s="1" t="n">
        <v>303</v>
      </c>
      <c r="E93" s="1" t="n">
        <v>21.6</v>
      </c>
      <c r="F93" s="1" t="n">
        <v>3</v>
      </c>
    </row>
    <row collapsed="false" customFormat="false" customHeight="false" hidden="false" ht="14.75" outlineLevel="0" r="94">
      <c r="A94" s="1" t="s">
        <v>870</v>
      </c>
      <c r="B94" s="1" t="s">
        <v>1633</v>
      </c>
      <c r="C94" s="1" t="s">
        <v>1627</v>
      </c>
      <c r="D94" s="1" t="n">
        <v>149</v>
      </c>
      <c r="E94" s="1" t="n">
        <v>13.75</v>
      </c>
      <c r="F94" s="1" t="n">
        <v>0.6</v>
      </c>
    </row>
    <row collapsed="false" customFormat="false" customHeight="false" hidden="false" ht="14.75" outlineLevel="0" r="95">
      <c r="A95" s="1" t="s">
        <v>1683</v>
      </c>
      <c r="B95" s="1" t="s">
        <v>1633</v>
      </c>
      <c r="C95" s="1" t="s">
        <v>1627</v>
      </c>
      <c r="D95" s="1" t="n">
        <v>139</v>
      </c>
      <c r="E95" s="1" t="n">
        <v>10.91</v>
      </c>
      <c r="F95" s="1" t="n">
        <v>0.2</v>
      </c>
    </row>
    <row collapsed="false" customFormat="false" customHeight="false" hidden="false" ht="14.75" outlineLevel="0" r="96">
      <c r="A96" s="1" t="s">
        <v>1684</v>
      </c>
      <c r="B96" s="1" t="s">
        <v>1633</v>
      </c>
      <c r="C96" s="1" t="s">
        <v>1627</v>
      </c>
      <c r="D96" s="1" t="n">
        <v>51</v>
      </c>
      <c r="E96" s="1" t="n">
        <v>8.57</v>
      </c>
      <c r="F96" s="1" t="n">
        <f aca="false">2/5</f>
        <v>0.4</v>
      </c>
    </row>
    <row collapsed="false" customFormat="false" customHeight="false" hidden="false" ht="14.75" outlineLevel="0" r="97">
      <c r="A97" s="1" t="s">
        <v>1685</v>
      </c>
      <c r="B97" s="1" t="s">
        <v>1633</v>
      </c>
      <c r="C97" s="1" t="s">
        <v>1627</v>
      </c>
      <c r="D97" s="1" t="n">
        <v>180</v>
      </c>
      <c r="E97" s="1" t="n">
        <v>13.78</v>
      </c>
      <c r="F97" s="1" t="n">
        <f aca="false">7/5</f>
        <v>1.4</v>
      </c>
    </row>
    <row collapsed="false" customFormat="false" customHeight="false" hidden="false" ht="14.75" outlineLevel="0" r="98">
      <c r="A98" s="6" t="s">
        <v>1686</v>
      </c>
      <c r="B98" s="6" t="s">
        <v>1644</v>
      </c>
      <c r="C98" s="6" t="s">
        <v>1627</v>
      </c>
      <c r="D98" s="6" t="n">
        <v>281.2</v>
      </c>
      <c r="E98" s="6" t="n">
        <v>15</v>
      </c>
      <c r="F98" s="6" t="n">
        <f aca="false">18/8</f>
        <v>2.25</v>
      </c>
    </row>
    <row collapsed="false" customFormat="false" customHeight="false" hidden="false" ht="14.75" outlineLevel="0" r="99">
      <c r="A99" s="6" t="s">
        <v>1687</v>
      </c>
      <c r="B99" s="6" t="s">
        <v>1644</v>
      </c>
      <c r="C99" s="6" t="s">
        <v>1627</v>
      </c>
      <c r="D99" s="6" t="n">
        <v>132.5</v>
      </c>
      <c r="E99" s="6" t="n">
        <v>14.83</v>
      </c>
      <c r="F99" s="6" t="n">
        <f aca="false">10/8</f>
        <v>1.25</v>
      </c>
    </row>
    <row collapsed="false" customFormat="false" customHeight="false" hidden="false" ht="14.75" outlineLevel="0" r="100">
      <c r="A100" s="1" t="s">
        <v>1688</v>
      </c>
      <c r="B100" s="1" t="s">
        <v>1633</v>
      </c>
      <c r="C100" s="1" t="s">
        <v>1627</v>
      </c>
      <c r="D100" s="1" t="n">
        <v>261</v>
      </c>
      <c r="E100" s="1" t="n">
        <v>17.61</v>
      </c>
      <c r="F100" s="1" t="n">
        <f aca="false">14/5</f>
        <v>2.8</v>
      </c>
    </row>
    <row collapsed="false" customFormat="false" customHeight="false" hidden="false" ht="14.75" outlineLevel="0" r="101">
      <c r="A101" s="1" t="s">
        <v>1689</v>
      </c>
      <c r="B101" s="1" t="s">
        <v>1633</v>
      </c>
      <c r="C101" s="1" t="s">
        <v>1627</v>
      </c>
      <c r="D101" s="1" t="n">
        <v>128</v>
      </c>
      <c r="E101" s="1" t="n">
        <v>14.07</v>
      </c>
      <c r="F101" s="1" t="n">
        <v>1</v>
      </c>
    </row>
    <row collapsed="false" customFormat="false" customHeight="false" hidden="false" ht="14.75" outlineLevel="0" r="102">
      <c r="A102" s="1" t="s">
        <v>875</v>
      </c>
      <c r="B102" s="1" t="s">
        <v>1660</v>
      </c>
      <c r="C102" s="1" t="s">
        <v>1627</v>
      </c>
      <c r="D102" s="1" t="n">
        <v>251.4</v>
      </c>
      <c r="E102" s="1" t="n">
        <v>16.56</v>
      </c>
      <c r="F102" s="1" t="n">
        <f aca="false">17/7</f>
        <v>2.42857142857143</v>
      </c>
    </row>
    <row collapsed="false" customFormat="false" customHeight="false" hidden="false" ht="14.75" outlineLevel="0" r="103">
      <c r="A103" s="1" t="s">
        <v>877</v>
      </c>
      <c r="B103" s="1" t="s">
        <v>1662</v>
      </c>
      <c r="C103" s="1" t="s">
        <v>1627</v>
      </c>
      <c r="D103" s="1" t="n">
        <v>229.5</v>
      </c>
      <c r="E103" s="1" t="n">
        <v>17.45</v>
      </c>
      <c r="F103" s="1" t="n">
        <f aca="false">21/11</f>
        <v>1.90909090909091</v>
      </c>
    </row>
    <row collapsed="false" customFormat="false" customHeight="false" hidden="false" ht="14.75" outlineLevel="0" r="104">
      <c r="A104" s="1" t="s">
        <v>878</v>
      </c>
      <c r="B104" s="1" t="s">
        <v>1662</v>
      </c>
      <c r="C104" s="1" t="s">
        <v>1627</v>
      </c>
      <c r="D104" s="1" t="n">
        <v>179.5</v>
      </c>
      <c r="E104" s="1" t="n">
        <v>14.75</v>
      </c>
      <c r="F104" s="1" t="n">
        <v>1</v>
      </c>
    </row>
    <row collapsed="false" customFormat="false" customHeight="false" hidden="false" ht="14.75" outlineLevel="0" r="105">
      <c r="A105" s="1" t="s">
        <v>1690</v>
      </c>
      <c r="B105" s="1" t="s">
        <v>1633</v>
      </c>
      <c r="C105" s="1" t="s">
        <v>1627</v>
      </c>
      <c r="D105" s="1" t="n">
        <v>280.8</v>
      </c>
      <c r="E105" s="1" t="n">
        <v>18.53</v>
      </c>
      <c r="F105" s="1" t="n">
        <f aca="false">19/6</f>
        <v>3.16666666666667</v>
      </c>
    </row>
    <row collapsed="false" customFormat="false" customHeight="false" hidden="false" ht="14.75" outlineLevel="0" r="106">
      <c r="A106" s="1" t="s">
        <v>1691</v>
      </c>
      <c r="B106" s="1" t="s">
        <v>1633</v>
      </c>
      <c r="C106" s="1" t="s">
        <v>1627</v>
      </c>
      <c r="D106" s="1" t="n">
        <v>175</v>
      </c>
      <c r="E106" s="1" t="n">
        <v>16.36</v>
      </c>
      <c r="F106" s="1" t="n">
        <v>1.4</v>
      </c>
    </row>
    <row collapsed="false" customFormat="false" customHeight="false" hidden="false" ht="14.75" outlineLevel="0" r="107">
      <c r="A107" s="6" t="s">
        <v>1692</v>
      </c>
      <c r="B107" s="6" t="s">
        <v>1644</v>
      </c>
      <c r="C107" s="6" t="s">
        <v>1627</v>
      </c>
      <c r="D107" s="6" t="n">
        <v>368.8</v>
      </c>
      <c r="E107" s="6" t="n">
        <v>20.12</v>
      </c>
      <c r="F107" s="6" t="n">
        <f aca="false">22/8</f>
        <v>2.75</v>
      </c>
    </row>
    <row collapsed="false" customFormat="false" customHeight="false" hidden="false" ht="14.75" outlineLevel="0" r="108">
      <c r="A108" s="6" t="s">
        <v>1693</v>
      </c>
      <c r="B108" s="6" t="s">
        <v>1644</v>
      </c>
      <c r="C108" s="6" t="s">
        <v>1627</v>
      </c>
      <c r="D108" s="6" t="n">
        <v>219.4</v>
      </c>
      <c r="E108" s="6" t="n">
        <v>14.82</v>
      </c>
      <c r="F108" s="6" t="n">
        <f aca="false">13/8</f>
        <v>1.625</v>
      </c>
    </row>
    <row collapsed="false" customFormat="false" customHeight="false" hidden="false" ht="14.75" outlineLevel="0" r="109">
      <c r="A109" s="6" t="s">
        <v>1694</v>
      </c>
      <c r="B109" s="6" t="s">
        <v>1631</v>
      </c>
      <c r="C109" s="6" t="s">
        <v>1627</v>
      </c>
      <c r="D109" s="6" t="n">
        <v>308.1</v>
      </c>
      <c r="E109" s="6" t="n">
        <v>17.82</v>
      </c>
      <c r="F109" s="6" t="n">
        <f aca="false">13/8</f>
        <v>1.625</v>
      </c>
    </row>
    <row collapsed="false" customFormat="false" customHeight="false" hidden="false" ht="14.75" outlineLevel="0" r="110">
      <c r="A110" s="1" t="s">
        <v>1695</v>
      </c>
      <c r="B110" s="1" t="s">
        <v>1658</v>
      </c>
      <c r="C110" s="1" t="s">
        <v>1627</v>
      </c>
      <c r="D110" s="1" t="n">
        <v>250.7</v>
      </c>
      <c r="E110" s="1" t="n">
        <v>18.57</v>
      </c>
      <c r="F110" s="1" t="n">
        <v>3.16666666666667</v>
      </c>
    </row>
    <row collapsed="false" customFormat="false" customHeight="false" hidden="false" ht="14.75" outlineLevel="0" r="111">
      <c r="A111" s="1" t="s">
        <v>1696</v>
      </c>
      <c r="B111" s="1" t="s">
        <v>1658</v>
      </c>
      <c r="C111" s="1" t="s">
        <v>1627</v>
      </c>
      <c r="D111" s="1" t="n">
        <v>151.9</v>
      </c>
      <c r="E111" s="1" t="n">
        <v>13.41</v>
      </c>
      <c r="F111" s="1" t="n">
        <v>0.666666666666667</v>
      </c>
    </row>
    <row collapsed="false" customFormat="false" customHeight="false" hidden="false" ht="14.75" outlineLevel="0" r="112">
      <c r="A112" s="1" t="s">
        <v>1697</v>
      </c>
      <c r="B112" s="1" t="s">
        <v>1658</v>
      </c>
      <c r="C112" s="1" t="s">
        <v>1627</v>
      </c>
      <c r="D112" s="1" t="n">
        <v>64.9</v>
      </c>
      <c r="E112" s="1" t="n">
        <v>7.2</v>
      </c>
      <c r="F112" s="1" t="n">
        <v>0.166666666666667</v>
      </c>
    </row>
    <row collapsed="false" customFormat="false" customHeight="false" hidden="false" ht="14.75" outlineLevel="0" r="113">
      <c r="A113" s="1" t="s">
        <v>1698</v>
      </c>
      <c r="B113" s="1" t="s">
        <v>1633</v>
      </c>
      <c r="C113" s="1" t="s">
        <v>1627</v>
      </c>
      <c r="D113" s="1" t="n">
        <v>372.1</v>
      </c>
      <c r="E113" s="1" t="n">
        <v>23.44</v>
      </c>
      <c r="F113" s="1" t="n">
        <f aca="false">23/7</f>
        <v>3.28571428571429</v>
      </c>
    </row>
    <row collapsed="false" customFormat="false" customHeight="false" hidden="false" ht="14.75" outlineLevel="0" r="114">
      <c r="A114" s="1" t="s">
        <v>1202</v>
      </c>
      <c r="B114" s="1" t="s">
        <v>1660</v>
      </c>
      <c r="C114" s="1" t="s">
        <v>1627</v>
      </c>
      <c r="D114" s="1" t="n">
        <v>302.9</v>
      </c>
      <c r="E114" s="1" t="n">
        <v>21.36</v>
      </c>
      <c r="F114" s="1" t="n">
        <f aca="false">18/7</f>
        <v>2.57142857142857</v>
      </c>
    </row>
    <row collapsed="false" customFormat="false" customHeight="false" hidden="false" ht="14.75" outlineLevel="0" r="115">
      <c r="A115" s="1" t="s">
        <v>1203</v>
      </c>
      <c r="B115" s="1" t="s">
        <v>1660</v>
      </c>
      <c r="C115" s="1" t="s">
        <v>1627</v>
      </c>
      <c r="D115" s="1" t="n">
        <v>197.1</v>
      </c>
      <c r="E115" s="1" t="n">
        <v>17.35</v>
      </c>
      <c r="F115" s="1" t="n">
        <f aca="false">12/7</f>
        <v>1.71428571428571</v>
      </c>
    </row>
    <row collapsed="false" customFormat="false" customHeight="false" hidden="false" ht="14.75" outlineLevel="0" r="116">
      <c r="A116" s="1" t="s">
        <v>213</v>
      </c>
      <c r="B116" s="1" t="s">
        <v>1633</v>
      </c>
      <c r="C116" s="1" t="s">
        <v>1627</v>
      </c>
      <c r="D116" s="1" t="n">
        <v>270</v>
      </c>
      <c r="E116" s="1" t="n">
        <v>17.86</v>
      </c>
      <c r="F116" s="1" t="n">
        <f aca="false">15/6</f>
        <v>2.5</v>
      </c>
    </row>
    <row collapsed="false" customFormat="false" customHeight="false" hidden="false" ht="14.75" outlineLevel="0" r="117">
      <c r="A117" s="1" t="s">
        <v>214</v>
      </c>
      <c r="B117" s="1" t="s">
        <v>1633</v>
      </c>
      <c r="C117" s="1" t="s">
        <v>1627</v>
      </c>
      <c r="D117" s="1" t="n">
        <v>123.8</v>
      </c>
      <c r="E117" s="1" t="n">
        <v>11.25</v>
      </c>
      <c r="F117" s="1" t="n">
        <v>0</v>
      </c>
    </row>
    <row collapsed="false" customFormat="false" customHeight="false" hidden="false" ht="14.75" outlineLevel="0" r="118">
      <c r="A118" s="1" t="s">
        <v>345</v>
      </c>
      <c r="B118" s="1" t="s">
        <v>1633</v>
      </c>
      <c r="C118" s="1" t="s">
        <v>1627</v>
      </c>
      <c r="D118" s="1" t="n">
        <v>424.3</v>
      </c>
      <c r="E118" s="1" t="n">
        <v>23.09</v>
      </c>
      <c r="F118" s="1" t="n">
        <v>4</v>
      </c>
    </row>
    <row collapsed="false" customFormat="false" customHeight="false" hidden="false" ht="14.75" outlineLevel="0" r="119">
      <c r="A119" s="1" t="s">
        <v>346</v>
      </c>
      <c r="B119" s="1" t="s">
        <v>1633</v>
      </c>
      <c r="C119" s="1" t="s">
        <v>1627</v>
      </c>
      <c r="D119" s="1" t="n">
        <v>146</v>
      </c>
      <c r="E119" s="1" t="n">
        <v>12.42</v>
      </c>
      <c r="F119" s="1" t="n">
        <v>2.2</v>
      </c>
    </row>
    <row collapsed="false" customFormat="false" customHeight="false" hidden="false" ht="14.75" outlineLevel="0" r="120">
      <c r="A120" s="1" t="s">
        <v>347</v>
      </c>
      <c r="B120" s="1" t="s">
        <v>1633</v>
      </c>
      <c r="C120" s="1" t="s">
        <v>1627</v>
      </c>
      <c r="D120" s="1" t="n">
        <v>77</v>
      </c>
      <c r="E120" s="1" t="n">
        <v>11</v>
      </c>
      <c r="F120" s="1" t="n">
        <f aca="false">2/5</f>
        <v>0.4</v>
      </c>
    </row>
    <row collapsed="false" customFormat="false" customHeight="false" hidden="false" ht="14.75" outlineLevel="0" r="121">
      <c r="A121" s="6" t="s">
        <v>1700</v>
      </c>
      <c r="B121" s="6" t="s">
        <v>1646</v>
      </c>
      <c r="C121" s="6" t="s">
        <v>1627</v>
      </c>
      <c r="D121" s="6" t="n">
        <v>331.2</v>
      </c>
      <c r="E121" s="6" t="n">
        <v>16.82</v>
      </c>
      <c r="F121" s="6" t="n">
        <f aca="false">5/4</f>
        <v>1.25</v>
      </c>
    </row>
    <row collapsed="false" customFormat="false" customHeight="false" hidden="false" ht="14.75" outlineLevel="0" r="122">
      <c r="A122" s="1" t="s">
        <v>470</v>
      </c>
      <c r="B122" s="1" t="s">
        <v>1633</v>
      </c>
      <c r="C122" s="1" t="s">
        <v>1627</v>
      </c>
      <c r="D122" s="1" t="n">
        <v>378.6</v>
      </c>
      <c r="E122" s="1" t="n">
        <v>20.78</v>
      </c>
      <c r="F122" s="1" t="n">
        <f aca="false">37/7</f>
        <v>5.28571428571429</v>
      </c>
    </row>
    <row collapsed="false" customFormat="false" customHeight="false" hidden="false" ht="14.75" outlineLevel="0" r="123">
      <c r="A123" s="1" t="s">
        <v>471</v>
      </c>
      <c r="B123" s="1" t="s">
        <v>1633</v>
      </c>
      <c r="C123" s="1" t="s">
        <v>1627</v>
      </c>
      <c r="D123" s="1" t="n">
        <v>210</v>
      </c>
      <c r="E123" s="1" t="n">
        <v>16</v>
      </c>
      <c r="F123" s="1" t="n">
        <v>2</v>
      </c>
    </row>
    <row collapsed="false" customFormat="false" customHeight="false" hidden="false" ht="14.75" outlineLevel="0" r="124">
      <c r="A124" s="1" t="s">
        <v>894</v>
      </c>
      <c r="B124" s="1" t="s">
        <v>1633</v>
      </c>
      <c r="C124" s="1" t="s">
        <v>1627</v>
      </c>
      <c r="D124" s="1" t="n">
        <v>137</v>
      </c>
      <c r="E124" s="1" t="n">
        <v>12.33</v>
      </c>
      <c r="F124" s="1" t="n">
        <v>1.2</v>
      </c>
    </row>
    <row collapsed="false" customFormat="false" customHeight="false" hidden="false" ht="14.75" outlineLevel="0" r="125">
      <c r="A125" s="1" t="s">
        <v>1701</v>
      </c>
      <c r="B125" s="1" t="s">
        <v>1633</v>
      </c>
      <c r="C125" s="1" t="s">
        <v>1627</v>
      </c>
      <c r="D125" s="1" t="n">
        <v>263</v>
      </c>
      <c r="E125" s="1" t="n">
        <v>19.55</v>
      </c>
      <c r="F125" s="1" t="n">
        <f aca="false">8/5</f>
        <v>1.6</v>
      </c>
    </row>
    <row collapsed="false" customFormat="false" customHeight="false" hidden="false" ht="14.75" outlineLevel="0" r="126">
      <c r="A126" s="1" t="s">
        <v>1702</v>
      </c>
      <c r="B126" s="1" t="s">
        <v>1633</v>
      </c>
      <c r="C126" s="1" t="s">
        <v>1627</v>
      </c>
      <c r="D126" s="1" t="n">
        <v>279.2</v>
      </c>
      <c r="E126" s="1" t="n">
        <v>18.07</v>
      </c>
      <c r="F126" s="1" t="n">
        <f aca="false">26/6</f>
        <v>4.33333333333333</v>
      </c>
    </row>
    <row collapsed="false" customFormat="false" customHeight="false" hidden="false" ht="14.75" outlineLevel="0" r="127">
      <c r="A127" s="1" t="s">
        <v>1703</v>
      </c>
      <c r="B127" s="1" t="s">
        <v>1633</v>
      </c>
      <c r="C127" s="1" t="s">
        <v>1627</v>
      </c>
      <c r="D127" s="1" t="n">
        <v>208</v>
      </c>
      <c r="E127" s="1" t="n">
        <v>15.37</v>
      </c>
      <c r="F127" s="1" t="n">
        <v>1</v>
      </c>
    </row>
    <row collapsed="false" customFormat="false" customHeight="false" hidden="false" ht="14.75" outlineLevel="0" r="128">
      <c r="A128" s="1" t="s">
        <v>1704</v>
      </c>
      <c r="B128" s="1" t="s">
        <v>1633</v>
      </c>
      <c r="C128" s="1" t="s">
        <v>1627</v>
      </c>
      <c r="D128" s="1" t="n">
        <v>109</v>
      </c>
      <c r="E128" s="1" t="n">
        <v>12.5</v>
      </c>
      <c r="F128" s="1" t="n">
        <f aca="false">3/5</f>
        <v>0.6</v>
      </c>
    </row>
    <row collapsed="false" customFormat="false" customHeight="false" hidden="false" ht="14.75" outlineLevel="0" r="129">
      <c r="A129" s="1" t="s">
        <v>1705</v>
      </c>
      <c r="B129" s="1" t="s">
        <v>1633</v>
      </c>
      <c r="C129" s="1" t="s">
        <v>1627</v>
      </c>
      <c r="D129" s="1" t="n">
        <v>99</v>
      </c>
      <c r="E129" s="1" t="n">
        <v>11.3</v>
      </c>
      <c r="F129" s="1" t="n">
        <v>0.8</v>
      </c>
    </row>
    <row collapsed="false" customFormat="false" customHeight="false" hidden="false" ht="14.75" outlineLevel="0" r="130">
      <c r="A130" s="1" t="s">
        <v>1706</v>
      </c>
      <c r="B130" s="1" t="s">
        <v>1633</v>
      </c>
      <c r="C130" s="1" t="s">
        <v>1627</v>
      </c>
      <c r="D130" s="1" t="n">
        <v>272</v>
      </c>
      <c r="E130" s="1" t="n">
        <v>16.57</v>
      </c>
      <c r="F130" s="1" t="n">
        <f aca="false">6/5</f>
        <v>1.2</v>
      </c>
    </row>
    <row collapsed="false" customFormat="false" customHeight="false" hidden="false" ht="14.75" outlineLevel="0" r="131">
      <c r="A131" s="1" t="s">
        <v>1707</v>
      </c>
      <c r="B131" s="1" t="s">
        <v>1633</v>
      </c>
      <c r="C131" s="1" t="s">
        <v>1627</v>
      </c>
      <c r="D131" s="1" t="n">
        <v>430</v>
      </c>
      <c r="E131" s="1" t="n">
        <v>22.11</v>
      </c>
      <c r="F131" s="1" t="n">
        <f aca="false">34/6</f>
        <v>5.66666666666667</v>
      </c>
    </row>
    <row collapsed="false" customFormat="false" customHeight="false" hidden="false" ht="14.75" outlineLevel="0" r="132">
      <c r="A132" s="1" t="s">
        <v>1708</v>
      </c>
      <c r="B132" s="1" t="s">
        <v>1633</v>
      </c>
      <c r="C132" s="1" t="s">
        <v>1627</v>
      </c>
      <c r="D132" s="1" t="n">
        <v>263.3</v>
      </c>
      <c r="E132" s="1" t="n">
        <v>17.5</v>
      </c>
      <c r="F132" s="1" t="n">
        <f aca="false">15/6</f>
        <v>2.5</v>
      </c>
    </row>
    <row collapsed="false" customFormat="false" customHeight="false" hidden="false" ht="14.75" outlineLevel="0" r="133">
      <c r="A133" s="6" t="s">
        <v>1709</v>
      </c>
      <c r="B133" s="6" t="s">
        <v>1634</v>
      </c>
      <c r="C133" s="6" t="s">
        <v>1627</v>
      </c>
      <c r="D133" s="6" t="n">
        <v>225</v>
      </c>
      <c r="E133" s="6" t="n">
        <v>13.67</v>
      </c>
      <c r="F133" s="6" t="n">
        <f aca="false">18/8</f>
        <v>2.25</v>
      </c>
    </row>
    <row collapsed="false" customFormat="false" customHeight="false" hidden="false" ht="14.75" outlineLevel="0" r="134">
      <c r="A134" s="6" t="s">
        <v>358</v>
      </c>
      <c r="B134" s="6" t="s">
        <v>1631</v>
      </c>
      <c r="C134" s="6" t="s">
        <v>1627</v>
      </c>
      <c r="D134" s="6" t="n">
        <v>425.6</v>
      </c>
      <c r="E134" s="6" t="n">
        <v>21.43</v>
      </c>
      <c r="F134" s="6" t="n">
        <f aca="false">42/9</f>
        <v>4.66666666666667</v>
      </c>
    </row>
    <row collapsed="false" customFormat="false" customHeight="false" hidden="false" ht="14.75" outlineLevel="0" r="135">
      <c r="A135" s="6" t="s">
        <v>359</v>
      </c>
      <c r="B135" s="6" t="s">
        <v>1631</v>
      </c>
      <c r="C135" s="6" t="s">
        <v>1627</v>
      </c>
      <c r="D135" s="6" t="n">
        <v>183.8</v>
      </c>
      <c r="E135" s="6" t="n">
        <v>13.65</v>
      </c>
      <c r="F135" s="6" t="n">
        <f aca="false">6/8</f>
        <v>0.75</v>
      </c>
    </row>
    <row collapsed="false" customFormat="false" customHeight="false" hidden="false" ht="14.75" outlineLevel="0" r="136">
      <c r="A136" s="1" t="s">
        <v>1710</v>
      </c>
      <c r="B136" s="1" t="s">
        <v>1626</v>
      </c>
      <c r="C136" s="1" t="s">
        <v>1627</v>
      </c>
      <c r="D136" s="1" t="n">
        <v>184.5</v>
      </c>
      <c r="E136" s="1" t="n">
        <v>13.57</v>
      </c>
      <c r="F136" s="1" t="n">
        <v>2.5</v>
      </c>
    </row>
    <row collapsed="false" customFormat="false" customHeight="false" hidden="false" ht="14.75" outlineLevel="0" r="137">
      <c r="A137" s="6" t="s">
        <v>360</v>
      </c>
      <c r="B137" s="6" t="s">
        <v>1631</v>
      </c>
      <c r="C137" s="6" t="s">
        <v>1627</v>
      </c>
      <c r="D137" s="6" t="n">
        <v>412.8</v>
      </c>
      <c r="E137" s="6" t="n">
        <v>22.48</v>
      </c>
      <c r="F137" s="6" t="n">
        <f aca="false">25/9</f>
        <v>2.77777777777778</v>
      </c>
    </row>
    <row collapsed="false" customFormat="false" customHeight="false" hidden="false" ht="14.75" outlineLevel="0" r="138">
      <c r="A138" s="6" t="s">
        <v>361</v>
      </c>
      <c r="B138" s="6" t="s">
        <v>1631</v>
      </c>
      <c r="C138" s="6" t="s">
        <v>1627</v>
      </c>
      <c r="D138" s="6" t="n">
        <v>184.4</v>
      </c>
      <c r="E138" s="6" t="n">
        <v>13.89</v>
      </c>
      <c r="F138" s="6" t="n">
        <f aca="false">11/8</f>
        <v>1.375</v>
      </c>
    </row>
    <row collapsed="false" customFormat="false" customHeight="false" hidden="false" ht="14.75" outlineLevel="0" r="139">
      <c r="A139" s="6" t="s">
        <v>1711</v>
      </c>
      <c r="B139" s="6" t="s">
        <v>1644</v>
      </c>
      <c r="C139" s="6" t="s">
        <v>1627</v>
      </c>
      <c r="D139" s="6" t="n">
        <v>336.2</v>
      </c>
      <c r="E139" s="6" t="n">
        <v>18.61</v>
      </c>
      <c r="F139" s="6" t="n">
        <f aca="false">12/8</f>
        <v>1.5</v>
      </c>
    </row>
    <row collapsed="false" customFormat="false" customHeight="false" hidden="false" ht="14.75" outlineLevel="0" r="140">
      <c r="A140" s="6" t="s">
        <v>1712</v>
      </c>
      <c r="B140" s="6" t="s">
        <v>1644</v>
      </c>
      <c r="C140" s="6" t="s">
        <v>1627</v>
      </c>
      <c r="D140" s="6" t="n">
        <v>164.4</v>
      </c>
      <c r="E140" s="6" t="n">
        <v>13.4</v>
      </c>
      <c r="F140" s="6" t="n">
        <f aca="false">1/8</f>
        <v>0.125</v>
      </c>
    </row>
    <row collapsed="false" customFormat="false" customHeight="false" hidden="false" ht="14.75" outlineLevel="0" r="141">
      <c r="A141" s="1" t="s">
        <v>1713</v>
      </c>
      <c r="B141" s="1" t="s">
        <v>1626</v>
      </c>
      <c r="C141" s="1" t="s">
        <v>1627</v>
      </c>
      <c r="D141" s="1" t="n">
        <v>288.5</v>
      </c>
      <c r="E141" s="1" t="n">
        <v>18.7</v>
      </c>
      <c r="F141" s="1" t="n">
        <v>2.4</v>
      </c>
    </row>
    <row collapsed="false" customFormat="false" customHeight="false" hidden="false" ht="14.75" outlineLevel="0" r="142">
      <c r="A142" s="1" t="s">
        <v>1714</v>
      </c>
      <c r="B142" s="1" t="s">
        <v>1633</v>
      </c>
      <c r="C142" s="1" t="s">
        <v>1627</v>
      </c>
      <c r="D142" s="1" t="n">
        <v>198</v>
      </c>
      <c r="E142" s="1" t="n">
        <v>17.5</v>
      </c>
      <c r="F142" s="1" t="n">
        <f aca="false">3/5</f>
        <v>0.6</v>
      </c>
    </row>
    <row collapsed="false" customFormat="false" customHeight="false" hidden="false" ht="14.75" outlineLevel="0" r="143">
      <c r="A143" s="1" t="s">
        <v>1715</v>
      </c>
      <c r="B143" s="1" t="s">
        <v>1633</v>
      </c>
      <c r="C143" s="1" t="s">
        <v>1627</v>
      </c>
      <c r="D143" s="1" t="n">
        <v>127</v>
      </c>
      <c r="E143" s="1" t="n">
        <v>18.33</v>
      </c>
      <c r="F143" s="1" t="n">
        <v>1.8</v>
      </c>
    </row>
    <row collapsed="false" customFormat="false" customHeight="false" hidden="false" ht="14.75" outlineLevel="0" r="144">
      <c r="A144" s="1" t="s">
        <v>1716</v>
      </c>
      <c r="B144" s="1" t="s">
        <v>1660</v>
      </c>
      <c r="C144" s="1" t="s">
        <v>1627</v>
      </c>
      <c r="D144" s="1" t="n">
        <v>126.4</v>
      </c>
      <c r="E144" s="1" t="n">
        <v>15.88</v>
      </c>
      <c r="F144" s="1" t="n">
        <f aca="false">4/7</f>
        <v>0.571428571428571</v>
      </c>
    </row>
    <row collapsed="false" customFormat="false" customHeight="false" hidden="false" ht="14.75" outlineLevel="0" r="145">
      <c r="A145" s="6" t="s">
        <v>1717</v>
      </c>
      <c r="B145" s="6" t="s">
        <v>1634</v>
      </c>
      <c r="C145" s="6" t="s">
        <v>1627</v>
      </c>
      <c r="D145" s="6" t="n">
        <v>158.8</v>
      </c>
      <c r="E145" s="6" t="n">
        <v>11.09</v>
      </c>
      <c r="F145" s="6" t="n">
        <v>2</v>
      </c>
    </row>
    <row collapsed="false" customFormat="false" customHeight="false" hidden="false" ht="14.75" outlineLevel="0" r="146">
      <c r="A146" s="1" t="s">
        <v>1718</v>
      </c>
      <c r="B146" s="1" t="s">
        <v>1633</v>
      </c>
      <c r="C146" s="1" t="s">
        <v>1627</v>
      </c>
      <c r="D146" s="1" t="n">
        <v>93</v>
      </c>
      <c r="E146" s="1" t="n">
        <v>12.62</v>
      </c>
      <c r="F146" s="1" t="n">
        <f aca="false">3/5</f>
        <v>0.6</v>
      </c>
    </row>
    <row collapsed="false" customFormat="false" customHeight="false" hidden="false" ht="14.75" outlineLevel="0" r="147">
      <c r="A147" s="1" t="s">
        <v>906</v>
      </c>
      <c r="B147" s="1" t="s">
        <v>1658</v>
      </c>
      <c r="C147" s="1" t="s">
        <v>1627</v>
      </c>
      <c r="D147" s="1" t="n">
        <v>199.4</v>
      </c>
      <c r="E147" s="1" t="n">
        <v>16.45</v>
      </c>
      <c r="F147" s="1" t="n">
        <f aca="false">17/7</f>
        <v>2.42857142857143</v>
      </c>
    </row>
    <row collapsed="false" customFormat="false" customHeight="false" hidden="false" ht="14.75" outlineLevel="0" r="148">
      <c r="A148" s="1" t="s">
        <v>907</v>
      </c>
      <c r="B148" s="1" t="s">
        <v>1658</v>
      </c>
      <c r="C148" s="1" t="s">
        <v>1627</v>
      </c>
      <c r="D148" s="1" t="n">
        <v>169.9</v>
      </c>
      <c r="E148" s="1" t="n">
        <v>12.34</v>
      </c>
      <c r="F148" s="1" t="n">
        <v>2.66666666666667</v>
      </c>
    </row>
    <row collapsed="false" customFormat="false" customHeight="false" hidden="false" ht="14.75" outlineLevel="0" r="149">
      <c r="A149" s="1" t="s">
        <v>908</v>
      </c>
      <c r="B149" s="1" t="s">
        <v>1658</v>
      </c>
      <c r="C149" s="1" t="s">
        <v>1627</v>
      </c>
      <c r="D149" s="1" t="n">
        <v>252.4</v>
      </c>
      <c r="E149" s="1" t="n">
        <v>19.29</v>
      </c>
      <c r="F149" s="1" t="n">
        <f aca="false">22/7</f>
        <v>3.14285714285714</v>
      </c>
    </row>
    <row collapsed="false" customFormat="false" customHeight="false" hidden="false" ht="14.75" outlineLevel="0" r="150">
      <c r="A150" s="1" t="s">
        <v>909</v>
      </c>
      <c r="B150" s="1" t="s">
        <v>1658</v>
      </c>
      <c r="C150" s="1" t="s">
        <v>1627</v>
      </c>
      <c r="D150" s="1" t="n">
        <v>235.7</v>
      </c>
      <c r="E150" s="1" t="n">
        <v>17.75</v>
      </c>
      <c r="F150" s="1" t="n">
        <f aca="false">21/7</f>
        <v>3</v>
      </c>
    </row>
    <row collapsed="false" customFormat="false" customHeight="false" hidden="false" ht="14.75" outlineLevel="0" r="151">
      <c r="A151" s="1" t="s">
        <v>910</v>
      </c>
      <c r="B151" s="1" t="s">
        <v>1658</v>
      </c>
      <c r="C151" s="1" t="s">
        <v>1627</v>
      </c>
      <c r="D151" s="1" t="n">
        <v>151.1</v>
      </c>
      <c r="E151" s="1" t="n">
        <v>13.33</v>
      </c>
      <c r="F151" s="1" t="n">
        <v>1.5</v>
      </c>
    </row>
    <row collapsed="false" customFormat="false" customHeight="false" hidden="false" ht="14.75" outlineLevel="0" r="152">
      <c r="A152" s="6" t="s">
        <v>1245</v>
      </c>
      <c r="B152" s="6" t="s">
        <v>1631</v>
      </c>
      <c r="C152" s="6" t="s">
        <v>1627</v>
      </c>
      <c r="D152" s="6" t="n">
        <v>219.4</v>
      </c>
      <c r="E152" s="6" t="n">
        <v>14.83</v>
      </c>
      <c r="F152" s="6" t="n">
        <f aca="false">7/8</f>
        <v>0.875</v>
      </c>
    </row>
    <row collapsed="false" customFormat="false" customHeight="false" hidden="false" ht="14.75" outlineLevel="0" r="153">
      <c r="A153" s="6" t="s">
        <v>1246</v>
      </c>
      <c r="B153" s="6" t="s">
        <v>1631</v>
      </c>
      <c r="C153" s="6" t="s">
        <v>1627</v>
      </c>
      <c r="D153" s="6" t="n">
        <v>100.6</v>
      </c>
      <c r="E153" s="6" t="n">
        <v>10.3</v>
      </c>
      <c r="F153" s="6" t="n">
        <f aca="false">5/8</f>
        <v>0.625</v>
      </c>
    </row>
    <row collapsed="false" customFormat="false" customHeight="false" hidden="false" ht="14.75" outlineLevel="0" r="154">
      <c r="A154" s="1" t="s">
        <v>1719</v>
      </c>
      <c r="B154" s="1" t="s">
        <v>1633</v>
      </c>
      <c r="C154" s="1" t="s">
        <v>1627</v>
      </c>
      <c r="D154" s="1" t="n">
        <v>175</v>
      </c>
      <c r="E154" s="1" t="n">
        <v>14.43</v>
      </c>
      <c r="F154" s="1" t="n">
        <f aca="false">12/5</f>
        <v>2.4</v>
      </c>
    </row>
    <row collapsed="false" customFormat="false" customHeight="false" hidden="false" ht="14.75" outlineLevel="0" r="155">
      <c r="A155" s="1" t="s">
        <v>1574</v>
      </c>
      <c r="B155" s="1" t="s">
        <v>1658</v>
      </c>
      <c r="C155" s="1" t="s">
        <v>1627</v>
      </c>
      <c r="D155" s="1" t="n">
        <v>216.7</v>
      </c>
      <c r="E155" s="1" t="n">
        <v>18.04</v>
      </c>
      <c r="F155" s="1" t="n">
        <v>1.5</v>
      </c>
    </row>
    <row collapsed="false" customFormat="false" customHeight="false" hidden="false" ht="14.75" outlineLevel="0" r="156">
      <c r="A156" s="1" t="s">
        <v>1046</v>
      </c>
      <c r="B156" s="1" t="s">
        <v>1658</v>
      </c>
      <c r="C156" s="1" t="s">
        <v>1627</v>
      </c>
      <c r="D156" s="1" t="n">
        <v>337.1</v>
      </c>
      <c r="E156" s="1" t="n">
        <v>20.41</v>
      </c>
      <c r="F156" s="1" t="n">
        <v>3.6</v>
      </c>
    </row>
    <row collapsed="false" customFormat="false" customHeight="false" hidden="false" ht="14.75" outlineLevel="0" r="157">
      <c r="A157" s="1" t="s">
        <v>1047</v>
      </c>
      <c r="B157" s="1" t="s">
        <v>1658</v>
      </c>
      <c r="C157" s="1" t="s">
        <v>1627</v>
      </c>
      <c r="D157" s="1" t="n">
        <v>273.8</v>
      </c>
      <c r="E157" s="1" t="n">
        <v>18.64</v>
      </c>
      <c r="F157" s="1" t="n">
        <v>3.66666666666667</v>
      </c>
    </row>
    <row collapsed="false" customFormat="false" customHeight="false" hidden="false" ht="14.75" outlineLevel="0" r="158">
      <c r="A158" s="1" t="s">
        <v>1048</v>
      </c>
      <c r="B158" s="1" t="s">
        <v>1658</v>
      </c>
      <c r="C158" s="1" t="s">
        <v>1627</v>
      </c>
      <c r="D158" s="1" t="n">
        <v>93.5</v>
      </c>
      <c r="E158" s="1" t="n">
        <v>10.65</v>
      </c>
      <c r="F158" s="1" t="n">
        <v>1.5</v>
      </c>
    </row>
    <row collapsed="false" customFormat="false" customHeight="false" hidden="false" ht="14.75" outlineLevel="0" r="159">
      <c r="A159" s="1" t="s">
        <v>1720</v>
      </c>
      <c r="B159" s="1" t="s">
        <v>1658</v>
      </c>
      <c r="C159" s="1" t="s">
        <v>1627</v>
      </c>
      <c r="D159" s="1" t="n">
        <v>371.2</v>
      </c>
      <c r="E159" s="1" t="n">
        <v>22.21</v>
      </c>
      <c r="F159" s="1" t="n">
        <v>4.7</v>
      </c>
    </row>
    <row collapsed="false" customFormat="false" customHeight="false" hidden="false" ht="14.75" outlineLevel="0" r="160">
      <c r="A160" s="1" t="s">
        <v>1721</v>
      </c>
      <c r="B160" s="1" t="s">
        <v>1633</v>
      </c>
      <c r="C160" s="1" t="s">
        <v>1627</v>
      </c>
      <c r="D160" s="1" t="n">
        <v>400.8</v>
      </c>
      <c r="E160" s="1" t="n">
        <v>23.14</v>
      </c>
      <c r="F160" s="1" t="n">
        <f aca="false">21/6</f>
        <v>3.5</v>
      </c>
    </row>
    <row collapsed="false" customFormat="false" customHeight="false" hidden="false" ht="14.75" outlineLevel="0" r="161">
      <c r="A161" s="1" t="s">
        <v>1722</v>
      </c>
      <c r="B161" s="1" t="s">
        <v>1633</v>
      </c>
      <c r="C161" s="1" t="s">
        <v>1627</v>
      </c>
      <c r="D161" s="1" t="n">
        <v>327.5</v>
      </c>
      <c r="E161" s="1" t="n">
        <v>18.66</v>
      </c>
      <c r="F161" s="1" t="n">
        <f aca="false">16/6</f>
        <v>2.66666666666667</v>
      </c>
    </row>
    <row collapsed="false" customFormat="false" customHeight="false" hidden="false" ht="14.75" outlineLevel="0" r="162">
      <c r="A162" s="1" t="s">
        <v>1723</v>
      </c>
      <c r="B162" s="1" t="s">
        <v>1633</v>
      </c>
      <c r="C162" s="1" t="s">
        <v>1627</v>
      </c>
      <c r="D162" s="1" t="n">
        <v>131</v>
      </c>
      <c r="E162" s="1" t="n">
        <v>10.32</v>
      </c>
      <c r="F162" s="1" t="n">
        <v>1.4</v>
      </c>
    </row>
    <row collapsed="false" customFormat="false" customHeight="false" hidden="false" ht="14.75" outlineLevel="0" r="163">
      <c r="A163" s="1" t="s">
        <v>1724</v>
      </c>
      <c r="B163" s="1" t="s">
        <v>1633</v>
      </c>
      <c r="C163" s="1" t="s">
        <v>1627</v>
      </c>
      <c r="D163" s="1" t="n">
        <v>126</v>
      </c>
      <c r="E163" s="1" t="n">
        <v>10.81</v>
      </c>
      <c r="F163" s="1" t="n">
        <v>0.4</v>
      </c>
    </row>
    <row collapsed="false" customFormat="false" customHeight="false" hidden="false" ht="14.75" outlineLevel="0" r="164">
      <c r="A164" s="1" t="s">
        <v>1725</v>
      </c>
      <c r="B164" s="1" t="s">
        <v>1632</v>
      </c>
      <c r="C164" s="1" t="s">
        <v>1627</v>
      </c>
      <c r="D164" s="1" t="n">
        <v>252.7</v>
      </c>
      <c r="E164" s="1" t="n">
        <v>16.01</v>
      </c>
      <c r="F164" s="1" t="n">
        <f aca="false">24/11</f>
        <v>2.18181818181818</v>
      </c>
    </row>
    <row collapsed="false" customFormat="false" customHeight="false" hidden="false" ht="14.75" outlineLevel="0" r="165">
      <c r="A165" s="1" t="s">
        <v>918</v>
      </c>
      <c r="B165" s="1" t="s">
        <v>1662</v>
      </c>
      <c r="C165" s="1" t="s">
        <v>1627</v>
      </c>
      <c r="D165" s="1" t="n">
        <v>118.2</v>
      </c>
      <c r="E165" s="1" t="n">
        <v>12.07</v>
      </c>
      <c r="F165" s="1" t="n">
        <f aca="false">6/11</f>
        <v>0.545454545454545</v>
      </c>
    </row>
    <row collapsed="false" customFormat="false" customHeight="false" hidden="false" ht="14.75" outlineLevel="0" r="166">
      <c r="A166" s="1" t="s">
        <v>1726</v>
      </c>
      <c r="B166" s="1" t="s">
        <v>1633</v>
      </c>
      <c r="C166" s="1" t="s">
        <v>1627</v>
      </c>
      <c r="D166" s="1" t="n">
        <v>252.5</v>
      </c>
      <c r="E166" s="1" t="n">
        <v>15.88</v>
      </c>
      <c r="F166" s="1" t="n">
        <f aca="false">14/6</f>
        <v>2.33333333333333</v>
      </c>
    </row>
    <row collapsed="false" customFormat="false" customHeight="false" hidden="false" ht="14.75" outlineLevel="0" r="167">
      <c r="A167" s="1" t="s">
        <v>1727</v>
      </c>
      <c r="B167" s="1" t="s">
        <v>1633</v>
      </c>
      <c r="C167" s="1" t="s">
        <v>1627</v>
      </c>
      <c r="D167" s="1" t="n">
        <v>78</v>
      </c>
      <c r="E167" s="1" t="n">
        <v>12.94</v>
      </c>
      <c r="F167" s="1" t="n">
        <v>1</v>
      </c>
    </row>
    <row collapsed="false" customFormat="false" customHeight="false" hidden="false" ht="14.75" outlineLevel="0" r="168">
      <c r="A168" s="1" t="s">
        <v>1728</v>
      </c>
      <c r="B168" s="1" t="s">
        <v>1658</v>
      </c>
      <c r="C168" s="1" t="s">
        <v>1627</v>
      </c>
      <c r="D168" s="1" t="n">
        <v>158.2</v>
      </c>
      <c r="E168" s="1" t="n">
        <v>14.09</v>
      </c>
      <c r="F168" s="1" t="n">
        <v>0.833333333333333</v>
      </c>
    </row>
    <row collapsed="false" customFormat="false" customHeight="false" hidden="false" ht="14.75" outlineLevel="0" r="169">
      <c r="A169" s="1" t="s">
        <v>1729</v>
      </c>
      <c r="B169" s="1" t="s">
        <v>1658</v>
      </c>
      <c r="C169" s="1" t="s">
        <v>1627</v>
      </c>
      <c r="D169" s="1" t="n">
        <v>101.7</v>
      </c>
      <c r="E169" s="1" t="n">
        <v>12.69</v>
      </c>
      <c r="F169" s="1" t="n">
        <v>0.666666666666667</v>
      </c>
    </row>
    <row collapsed="false" customFormat="false" customHeight="false" hidden="false" ht="14.75" outlineLevel="0" r="170">
      <c r="A170" s="1" t="s">
        <v>364</v>
      </c>
      <c r="B170" s="1" t="s">
        <v>1662</v>
      </c>
      <c r="C170" s="1" t="s">
        <v>1627</v>
      </c>
      <c r="D170" s="1" t="n">
        <v>230.5</v>
      </c>
      <c r="E170" s="1" t="n">
        <v>17.2</v>
      </c>
      <c r="F170" s="1" t="n">
        <f aca="false">20/11</f>
        <v>1.81818181818182</v>
      </c>
    </row>
    <row collapsed="false" customFormat="false" customHeight="false" hidden="false" ht="14.75" outlineLevel="0" r="171">
      <c r="A171" s="6" t="s">
        <v>1262</v>
      </c>
      <c r="B171" s="6" t="s">
        <v>1631</v>
      </c>
      <c r="C171" s="6" t="s">
        <v>1627</v>
      </c>
      <c r="D171" s="6" t="n">
        <v>313.8</v>
      </c>
      <c r="E171" s="6" t="n">
        <v>22.42</v>
      </c>
      <c r="F171" s="6" t="n">
        <f aca="false">20/8</f>
        <v>2.5</v>
      </c>
    </row>
    <row collapsed="false" customFormat="false" customHeight="false" hidden="false" ht="14.75" outlineLevel="0" r="172">
      <c r="A172" s="1" t="s">
        <v>921</v>
      </c>
      <c r="B172" s="1" t="s">
        <v>1658</v>
      </c>
      <c r="C172" s="1" t="s">
        <v>1627</v>
      </c>
      <c r="D172" s="1" t="n">
        <v>232.6</v>
      </c>
      <c r="E172" s="1" t="n">
        <v>15.9</v>
      </c>
      <c r="F172" s="1" t="n">
        <v>1.83333333333333</v>
      </c>
    </row>
    <row collapsed="false" customFormat="false" customHeight="false" hidden="false" ht="14.75" outlineLevel="0" r="173">
      <c r="A173" s="6" t="s">
        <v>1268</v>
      </c>
      <c r="B173" s="6" t="s">
        <v>1631</v>
      </c>
      <c r="C173" s="6" t="s">
        <v>1627</v>
      </c>
      <c r="D173" s="6" t="n">
        <v>195</v>
      </c>
      <c r="E173" s="6" t="n">
        <v>13.15</v>
      </c>
      <c r="F173" s="6" t="n">
        <f aca="false">10/8</f>
        <v>1.25</v>
      </c>
    </row>
    <row collapsed="false" customFormat="false" customHeight="false" hidden="false" ht="14.75" outlineLevel="0" r="174">
      <c r="A174" s="6" t="s">
        <v>1269</v>
      </c>
      <c r="B174" s="6" t="s">
        <v>1631</v>
      </c>
      <c r="C174" s="6" t="s">
        <v>1627</v>
      </c>
      <c r="D174" s="6" t="n">
        <v>136.9</v>
      </c>
      <c r="E174" s="6" t="n">
        <v>9.05</v>
      </c>
      <c r="F174" s="6" t="n">
        <f aca="false">13/8</f>
        <v>1.625</v>
      </c>
    </row>
    <row collapsed="false" customFormat="false" customHeight="false" hidden="false" ht="14.75" outlineLevel="0" r="175">
      <c r="A175" s="1" t="s">
        <v>1730</v>
      </c>
      <c r="B175" s="1" t="s">
        <v>1633</v>
      </c>
      <c r="C175" s="1" t="s">
        <v>1627</v>
      </c>
      <c r="D175" s="1" t="n">
        <v>63</v>
      </c>
      <c r="E175" s="1" t="n">
        <v>10</v>
      </c>
      <c r="F175" s="1" t="n">
        <f aca="false">1/5</f>
        <v>0.2</v>
      </c>
    </row>
    <row collapsed="false" customFormat="false" customHeight="false" hidden="false" ht="14.75" outlineLevel="0" r="176">
      <c r="A176" s="6" t="s">
        <v>1277</v>
      </c>
      <c r="B176" s="6" t="s">
        <v>1634</v>
      </c>
      <c r="C176" s="6" t="s">
        <v>1627</v>
      </c>
      <c r="D176" s="6" t="n">
        <v>205.6</v>
      </c>
      <c r="E176" s="6" t="n">
        <v>14.44</v>
      </c>
      <c r="F176" s="6" t="n">
        <f aca="false">9/8</f>
        <v>1.125</v>
      </c>
    </row>
    <row collapsed="false" customFormat="false" customHeight="false" hidden="false" ht="14.75" outlineLevel="0" r="177">
      <c r="A177" s="6" t="s">
        <v>1731</v>
      </c>
      <c r="B177" s="6" t="s">
        <v>1634</v>
      </c>
      <c r="C177" s="6" t="s">
        <v>1627</v>
      </c>
      <c r="D177" s="6" t="n">
        <v>356.1</v>
      </c>
      <c r="E177" s="6" t="n">
        <v>17.01</v>
      </c>
      <c r="F177" s="6" t="n">
        <f aca="false">43/9</f>
        <v>4.77777777777778</v>
      </c>
    </row>
    <row collapsed="false" customFormat="false" customHeight="false" hidden="false" ht="14.75" outlineLevel="0" r="178">
      <c r="A178" s="6" t="s">
        <v>1732</v>
      </c>
      <c r="B178" s="6" t="s">
        <v>1634</v>
      </c>
      <c r="C178" s="6" t="s">
        <v>1627</v>
      </c>
      <c r="D178" s="6" t="n">
        <v>130</v>
      </c>
      <c r="E178" s="6" t="n">
        <v>9.13</v>
      </c>
      <c r="F178" s="6" t="n">
        <f aca="false">6/8</f>
        <v>0.75</v>
      </c>
    </row>
    <row collapsed="false" customFormat="false" customHeight="false" hidden="false" ht="14.75" outlineLevel="0" r="179">
      <c r="A179" s="1" t="s">
        <v>1733</v>
      </c>
      <c r="B179" s="1" t="s">
        <v>1633</v>
      </c>
      <c r="C179" s="1" t="s">
        <v>1627</v>
      </c>
      <c r="D179" s="1" t="n">
        <v>246.7</v>
      </c>
      <c r="E179" s="1" t="n">
        <v>17.26</v>
      </c>
      <c r="F179" s="1" t="n">
        <f aca="false">11/6</f>
        <v>1.83333333333333</v>
      </c>
    </row>
    <row collapsed="false" customFormat="false" customHeight="false" hidden="false" ht="14.75" outlineLevel="0" r="180">
      <c r="A180" s="1" t="s">
        <v>932</v>
      </c>
      <c r="B180" s="1" t="s">
        <v>1662</v>
      </c>
      <c r="C180" s="1" t="s">
        <v>1627</v>
      </c>
      <c r="D180" s="1" t="n">
        <v>23.6</v>
      </c>
      <c r="E180" s="1" t="n">
        <v>5.29</v>
      </c>
      <c r="F180" s="1" t="n">
        <v>0</v>
      </c>
    </row>
    <row collapsed="false" customFormat="false" customHeight="false" hidden="false" ht="14.75" outlineLevel="0" r="181">
      <c r="A181" s="1" t="s">
        <v>1734</v>
      </c>
      <c r="B181" s="1" t="s">
        <v>1633</v>
      </c>
      <c r="C181" s="1" t="s">
        <v>1627</v>
      </c>
      <c r="D181" s="1" t="n">
        <v>129</v>
      </c>
      <c r="E181" s="1" t="n">
        <v>12.76</v>
      </c>
      <c r="F181" s="1" t="n">
        <v>1.2</v>
      </c>
    </row>
    <row collapsed="false" customFormat="false" customHeight="false" hidden="false" ht="14.75" outlineLevel="0" r="182">
      <c r="A182" s="1" t="s">
        <v>1735</v>
      </c>
      <c r="B182" s="1" t="s">
        <v>1633</v>
      </c>
      <c r="C182" s="1" t="s">
        <v>1627</v>
      </c>
      <c r="D182" s="1" t="n">
        <v>110</v>
      </c>
      <c r="E182" s="1" t="n">
        <v>10.91</v>
      </c>
      <c r="F182" s="1" t="n">
        <v>1</v>
      </c>
    </row>
    <row collapsed="false" customFormat="false" customHeight="false" hidden="false" ht="14.75" outlineLevel="0" r="183">
      <c r="A183" s="1" t="s">
        <v>1736</v>
      </c>
      <c r="B183" s="1" t="s">
        <v>1633</v>
      </c>
      <c r="C183" s="1" t="s">
        <v>1627</v>
      </c>
      <c r="D183" s="1" t="n">
        <v>46</v>
      </c>
      <c r="E183" s="1" t="n">
        <v>10.91</v>
      </c>
      <c r="F183" s="1" t="n">
        <f aca="false">1/5</f>
        <v>0.2</v>
      </c>
    </row>
    <row collapsed="false" customFormat="false" customHeight="false" hidden="false" ht="14.75" outlineLevel="0" r="184">
      <c r="A184" s="1" t="s">
        <v>1737</v>
      </c>
      <c r="B184" s="1" t="s">
        <v>1633</v>
      </c>
      <c r="C184" s="1" t="s">
        <v>1627</v>
      </c>
      <c r="D184" s="1" t="n">
        <v>330</v>
      </c>
      <c r="E184" s="1" t="n">
        <v>20.48</v>
      </c>
      <c r="F184" s="1" t="n">
        <v>3</v>
      </c>
    </row>
    <row collapsed="false" customFormat="false" customHeight="false" hidden="false" ht="14.75" outlineLevel="0" r="185">
      <c r="A185" s="1" t="s">
        <v>1738</v>
      </c>
      <c r="B185" s="1" t="s">
        <v>1633</v>
      </c>
      <c r="C185" s="1" t="s">
        <v>1627</v>
      </c>
      <c r="D185" s="1" t="n">
        <v>162</v>
      </c>
      <c r="E185" s="1" t="n">
        <v>14.85</v>
      </c>
      <c r="F185" s="1" t="n">
        <f aca="false">7/5</f>
        <v>1.4</v>
      </c>
    </row>
    <row collapsed="false" customFormat="false" customHeight="false" hidden="false" ht="14.75" outlineLevel="0" r="186">
      <c r="A186" s="1" t="s">
        <v>1739</v>
      </c>
      <c r="B186" s="1" t="s">
        <v>1633</v>
      </c>
      <c r="C186" s="1" t="s">
        <v>1627</v>
      </c>
      <c r="D186" s="1" t="n">
        <v>230</v>
      </c>
      <c r="E186" s="1" t="n">
        <v>18.25</v>
      </c>
      <c r="F186" s="1" t="n">
        <f aca="false">12/5</f>
        <v>2.4</v>
      </c>
    </row>
    <row collapsed="false" customFormat="false" customHeight="false" hidden="false" ht="14.75" outlineLevel="0" r="187">
      <c r="A187" s="6" t="s">
        <v>1740</v>
      </c>
      <c r="B187" s="6" t="s">
        <v>1631</v>
      </c>
      <c r="C187" s="6" t="s">
        <v>1627</v>
      </c>
      <c r="D187" s="6" t="n">
        <v>253.8</v>
      </c>
      <c r="E187" s="6" t="n">
        <v>18.39</v>
      </c>
      <c r="F187" s="6" t="n">
        <f aca="false">14/8</f>
        <v>1.75</v>
      </c>
    </row>
    <row collapsed="false" customFormat="false" customHeight="false" hidden="false" ht="14.75" outlineLevel="0" r="188">
      <c r="A188" s="1" t="s">
        <v>597</v>
      </c>
      <c r="B188" s="1" t="s">
        <v>1632</v>
      </c>
      <c r="C188" s="1" t="s">
        <v>1627</v>
      </c>
      <c r="D188" s="1" t="n">
        <v>252.7</v>
      </c>
      <c r="E188" s="1" t="n">
        <v>19.27</v>
      </c>
      <c r="F188" s="1" t="n">
        <f aca="false">33/11</f>
        <v>3</v>
      </c>
    </row>
    <row collapsed="false" customFormat="false" customHeight="false" hidden="false" ht="14.75" outlineLevel="0" r="189">
      <c r="A189" s="1" t="s">
        <v>598</v>
      </c>
      <c r="B189" s="1" t="s">
        <v>1632</v>
      </c>
      <c r="C189" s="1" t="s">
        <v>1627</v>
      </c>
      <c r="D189" s="1" t="n">
        <v>127.7</v>
      </c>
      <c r="E189" s="1" t="n">
        <v>13.06</v>
      </c>
      <c r="F189" s="1" t="n">
        <f aca="false">9/11</f>
        <v>0.818181818181818</v>
      </c>
    </row>
    <row collapsed="false" customFormat="false" customHeight="false" hidden="false" ht="14.75" outlineLevel="0" r="190">
      <c r="A190" s="1" t="s">
        <v>937</v>
      </c>
      <c r="B190" s="1" t="s">
        <v>1632</v>
      </c>
      <c r="C190" s="1" t="s">
        <v>1627</v>
      </c>
      <c r="D190" s="1" t="n">
        <v>140</v>
      </c>
      <c r="E190" s="1" t="n">
        <v>12.21</v>
      </c>
      <c r="F190" s="1" t="n">
        <f aca="false">12/11</f>
        <v>1.09090909090909</v>
      </c>
    </row>
    <row collapsed="false" customFormat="false" customHeight="false" hidden="false" ht="14.75" outlineLevel="0" r="191">
      <c r="A191" s="1" t="s">
        <v>1741</v>
      </c>
      <c r="B191" s="1" t="s">
        <v>1633</v>
      </c>
      <c r="C191" s="1" t="s">
        <v>1627</v>
      </c>
      <c r="D191" s="1" t="n">
        <v>454.3</v>
      </c>
      <c r="E191" s="1" t="n">
        <v>22.83</v>
      </c>
      <c r="F191" s="1" t="n">
        <f aca="false">34/7</f>
        <v>4.85714285714286</v>
      </c>
    </row>
    <row collapsed="false" customFormat="false" customHeight="false" hidden="false" ht="14.75" outlineLevel="0" r="192">
      <c r="A192" s="1" t="s">
        <v>1291</v>
      </c>
      <c r="B192" s="1" t="s">
        <v>1626</v>
      </c>
      <c r="C192" s="1" t="s">
        <v>1627</v>
      </c>
      <c r="D192" s="1" t="n">
        <v>318</v>
      </c>
      <c r="E192" s="1" t="n">
        <v>17.97</v>
      </c>
      <c r="F192" s="1" t="n">
        <v>2.4</v>
      </c>
    </row>
    <row collapsed="false" customFormat="false" customHeight="false" hidden="false" ht="14.75" outlineLevel="0" r="193">
      <c r="A193" s="1" t="s">
        <v>1742</v>
      </c>
      <c r="B193" s="1" t="s">
        <v>1677</v>
      </c>
      <c r="C193" s="1" t="s">
        <v>1627</v>
      </c>
      <c r="D193" s="1" t="n">
        <v>355.6</v>
      </c>
      <c r="E193" s="1" t="n">
        <v>18.78</v>
      </c>
      <c r="F193" s="1" t="n">
        <f aca="false">21/8</f>
        <v>2.625</v>
      </c>
    </row>
    <row collapsed="false" customFormat="false" customHeight="false" hidden="false" ht="14.75" outlineLevel="0" r="194">
      <c r="A194" s="1" t="s">
        <v>1743</v>
      </c>
      <c r="B194" s="1" t="s">
        <v>1677</v>
      </c>
      <c r="C194" s="1" t="s">
        <v>1627</v>
      </c>
      <c r="D194" s="1" t="n">
        <v>151.2</v>
      </c>
      <c r="E194" s="1" t="n">
        <v>9.21</v>
      </c>
      <c r="F194" s="1" t="n">
        <f aca="false">4/8</f>
        <v>0.5</v>
      </c>
    </row>
    <row collapsed="false" customFormat="false" customHeight="false" hidden="false" ht="14.75" outlineLevel="0" r="195">
      <c r="A195" s="1" t="s">
        <v>1744</v>
      </c>
      <c r="B195" s="1" t="s">
        <v>1677</v>
      </c>
      <c r="C195" s="1" t="s">
        <v>1627</v>
      </c>
      <c r="D195" s="1" t="n">
        <v>90</v>
      </c>
      <c r="E195" s="1" t="n">
        <v>9.46</v>
      </c>
      <c r="F195" s="1" t="n">
        <f aca="false">2/8</f>
        <v>0.25</v>
      </c>
    </row>
    <row collapsed="false" customFormat="false" customHeight="false" hidden="false" ht="14.75" outlineLevel="0" r="196">
      <c r="A196" s="1" t="s">
        <v>223</v>
      </c>
      <c r="B196" s="1" t="s">
        <v>1633</v>
      </c>
      <c r="C196" s="1" t="s">
        <v>1627</v>
      </c>
      <c r="D196" s="1" t="n">
        <v>246</v>
      </c>
      <c r="E196" s="1" t="n">
        <v>14.9</v>
      </c>
      <c r="F196" s="1" t="n">
        <f aca="false">13/5</f>
        <v>2.6</v>
      </c>
    </row>
    <row collapsed="false" customFormat="false" customHeight="false" hidden="false" ht="14.75" outlineLevel="0" r="197">
      <c r="A197" s="1" t="s">
        <v>224</v>
      </c>
      <c r="B197" s="1" t="s">
        <v>1633</v>
      </c>
      <c r="C197" s="1" t="s">
        <v>1627</v>
      </c>
      <c r="D197" s="1" t="n">
        <v>230</v>
      </c>
      <c r="E197" s="1" t="n">
        <v>17.68</v>
      </c>
      <c r="F197" s="1" t="n">
        <f aca="false">12/5</f>
        <v>2.4</v>
      </c>
    </row>
    <row collapsed="false" customFormat="false" customHeight="false" hidden="false" ht="14.75" outlineLevel="0" r="198">
      <c r="A198" s="1" t="s">
        <v>225</v>
      </c>
      <c r="B198" s="1" t="s">
        <v>1633</v>
      </c>
      <c r="C198" s="1" t="s">
        <v>1627</v>
      </c>
      <c r="D198" s="1" t="n">
        <v>98</v>
      </c>
      <c r="E198" s="1" t="n">
        <v>7.24</v>
      </c>
      <c r="F198" s="1" t="n">
        <v>0.6</v>
      </c>
    </row>
    <row collapsed="false" customFormat="false" customHeight="false" hidden="false" ht="14.75" outlineLevel="0" r="199">
      <c r="A199" s="1" t="s">
        <v>942</v>
      </c>
      <c r="B199" s="1" t="s">
        <v>1633</v>
      </c>
      <c r="C199" s="1" t="s">
        <v>1627</v>
      </c>
      <c r="D199" s="1" t="n">
        <v>80</v>
      </c>
      <c r="E199" s="1" t="n">
        <v>7.73</v>
      </c>
      <c r="F199" s="1" t="n">
        <f aca="false">3/5</f>
        <v>0.6</v>
      </c>
    </row>
    <row collapsed="false" customFormat="false" customHeight="false" hidden="false" ht="14.75" outlineLevel="0" r="200">
      <c r="A200" s="6" t="s">
        <v>1292</v>
      </c>
      <c r="B200" s="6" t="s">
        <v>1634</v>
      </c>
      <c r="C200" s="6" t="s">
        <v>1627</v>
      </c>
      <c r="D200" s="6" t="n">
        <v>253.8</v>
      </c>
      <c r="E200" s="6" t="n">
        <v>15.14</v>
      </c>
      <c r="F200" s="6" t="n">
        <v>2</v>
      </c>
    </row>
    <row collapsed="false" customFormat="false" customHeight="false" hidden="false" ht="14.75" outlineLevel="0" r="201">
      <c r="A201" s="1" t="s">
        <v>1060</v>
      </c>
      <c r="B201" s="1" t="s">
        <v>1658</v>
      </c>
      <c r="C201" s="1" t="s">
        <v>1627</v>
      </c>
      <c r="D201" s="1" t="n">
        <v>324.1</v>
      </c>
      <c r="E201" s="1" t="n">
        <v>20.14</v>
      </c>
      <c r="F201" s="1" t="n">
        <v>5.33333333333333</v>
      </c>
    </row>
    <row collapsed="false" customFormat="false" customHeight="false" hidden="false" ht="14.75" outlineLevel="0" r="202">
      <c r="A202" s="1" t="s">
        <v>1061</v>
      </c>
      <c r="B202" s="1" t="s">
        <v>1658</v>
      </c>
      <c r="C202" s="1" t="s">
        <v>1627</v>
      </c>
      <c r="D202" s="1" t="n">
        <v>159.8</v>
      </c>
      <c r="E202" s="1" t="n">
        <v>16.1</v>
      </c>
      <c r="F202" s="1" t="n">
        <v>1.33333333333333</v>
      </c>
    </row>
    <row collapsed="false" customFormat="false" customHeight="false" hidden="false" ht="14.75" outlineLevel="0" r="203">
      <c r="A203" s="1" t="s">
        <v>1062</v>
      </c>
      <c r="B203" s="1" t="s">
        <v>1658</v>
      </c>
      <c r="C203" s="1" t="s">
        <v>1627</v>
      </c>
      <c r="D203" s="1" t="n">
        <v>186.4</v>
      </c>
      <c r="E203" s="1" t="n">
        <v>13.73</v>
      </c>
      <c r="F203" s="1" t="n">
        <v>1.33333333333333</v>
      </c>
    </row>
    <row collapsed="false" customFormat="false" customHeight="false" hidden="false" ht="14.75" outlineLevel="0" r="204">
      <c r="A204" s="1" t="s">
        <v>1745</v>
      </c>
      <c r="B204" s="1" t="s">
        <v>1658</v>
      </c>
      <c r="C204" s="1" t="s">
        <v>1627</v>
      </c>
      <c r="D204" s="1" t="n">
        <v>75</v>
      </c>
      <c r="E204" s="1" t="n">
        <v>10.48</v>
      </c>
      <c r="F204" s="1" t="n">
        <v>0.5</v>
      </c>
    </row>
    <row collapsed="false" customFormat="false" customHeight="false" hidden="false" ht="14.75" outlineLevel="0" r="205">
      <c r="A205" s="1" t="s">
        <v>1746</v>
      </c>
      <c r="B205" s="1" t="s">
        <v>1658</v>
      </c>
      <c r="C205" s="1" t="s">
        <v>1627</v>
      </c>
      <c r="D205" s="1" t="n">
        <v>344.1</v>
      </c>
      <c r="E205" s="1" t="n">
        <v>20.19</v>
      </c>
      <c r="F205" s="1" t="n">
        <f aca="false">22/8</f>
        <v>2.75</v>
      </c>
    </row>
    <row collapsed="false" customFormat="false" customHeight="false" hidden="false" ht="14.75" outlineLevel="0" r="206">
      <c r="A206" s="1" t="s">
        <v>1747</v>
      </c>
      <c r="B206" s="1" t="s">
        <v>1658</v>
      </c>
      <c r="C206" s="1" t="s">
        <v>1627</v>
      </c>
      <c r="D206" s="1" t="n">
        <v>203.7</v>
      </c>
      <c r="E206" s="1" t="n">
        <v>15.23</v>
      </c>
      <c r="F206" s="1" t="n">
        <v>1.16666666666667</v>
      </c>
    </row>
    <row collapsed="false" customFormat="false" customHeight="false" hidden="false" ht="14.75" outlineLevel="0" r="207">
      <c r="A207" s="1" t="s">
        <v>1748</v>
      </c>
      <c r="B207" s="1" t="s">
        <v>1633</v>
      </c>
      <c r="C207" s="1" t="s">
        <v>1627</v>
      </c>
      <c r="D207" s="1" t="n">
        <v>277.5</v>
      </c>
      <c r="E207" s="1" t="n">
        <v>18.77</v>
      </c>
      <c r="F207" s="1" t="n">
        <f aca="false">15/6</f>
        <v>2.5</v>
      </c>
    </row>
    <row collapsed="false" customFormat="false" customHeight="false" hidden="false" ht="14.75" outlineLevel="0" r="208">
      <c r="A208" s="1" t="s">
        <v>1749</v>
      </c>
      <c r="B208" s="1" t="s">
        <v>1658</v>
      </c>
      <c r="C208" s="1" t="s">
        <v>1627</v>
      </c>
      <c r="D208" s="1" t="n">
        <v>196.5</v>
      </c>
      <c r="E208" s="1" t="n">
        <v>16.67</v>
      </c>
      <c r="F208" s="1" t="n">
        <v>1.16666666666667</v>
      </c>
    </row>
    <row collapsed="false" customFormat="false" customHeight="false" hidden="false" ht="14.75" outlineLevel="0" r="209">
      <c r="A209" s="1" t="s">
        <v>1750</v>
      </c>
      <c r="B209" s="1" t="s">
        <v>1658</v>
      </c>
      <c r="C209" s="1" t="s">
        <v>1627</v>
      </c>
      <c r="D209" s="1" t="n">
        <v>102.3</v>
      </c>
      <c r="E209" s="1" t="n">
        <v>12.76</v>
      </c>
      <c r="F209" s="1" t="n">
        <v>0.166666666666667</v>
      </c>
    </row>
    <row collapsed="false" customFormat="false" customHeight="false" hidden="false" ht="14.75" outlineLevel="0" r="210">
      <c r="A210" s="1" t="s">
        <v>394</v>
      </c>
      <c r="B210" s="1" t="s">
        <v>1633</v>
      </c>
      <c r="C210" s="1" t="s">
        <v>1627</v>
      </c>
      <c r="D210" s="1" t="n">
        <v>292.1</v>
      </c>
      <c r="E210" s="1" t="n">
        <v>15.52</v>
      </c>
      <c r="F210" s="1" t="n">
        <f aca="false">32/7</f>
        <v>4.57142857142857</v>
      </c>
    </row>
    <row collapsed="false" customFormat="false" customHeight="false" hidden="false" ht="14.75" outlineLevel="0" r="211">
      <c r="A211" s="1" t="s">
        <v>1751</v>
      </c>
      <c r="B211" s="1" t="s">
        <v>1633</v>
      </c>
      <c r="C211" s="1" t="s">
        <v>1627</v>
      </c>
      <c r="D211" s="1" t="n">
        <v>330</v>
      </c>
      <c r="E211" s="1" t="n">
        <v>19.41</v>
      </c>
      <c r="F211" s="1" t="n">
        <v>4</v>
      </c>
    </row>
    <row collapsed="false" customFormat="false" customHeight="false" hidden="false" ht="14.75" outlineLevel="0" r="212">
      <c r="A212" s="1" t="s">
        <v>1752</v>
      </c>
      <c r="B212" s="1" t="s">
        <v>1633</v>
      </c>
      <c r="C212" s="1" t="s">
        <v>1627</v>
      </c>
      <c r="D212" s="1" t="n">
        <v>125</v>
      </c>
      <c r="E212" s="1" t="n">
        <v>13.85</v>
      </c>
      <c r="F212" s="1" t="n">
        <v>0.8</v>
      </c>
    </row>
    <row collapsed="false" customFormat="false" customHeight="false" hidden="false" ht="14.75" outlineLevel="0" r="213">
      <c r="A213" s="1" t="s">
        <v>47</v>
      </c>
      <c r="B213" s="1" t="s">
        <v>1660</v>
      </c>
      <c r="C213" s="1" t="s">
        <v>1627</v>
      </c>
      <c r="D213" s="1" t="n">
        <v>320</v>
      </c>
      <c r="E213" s="1" t="n">
        <v>19.29</v>
      </c>
      <c r="F213" s="1" t="n">
        <f aca="false">27/8</f>
        <v>3.375</v>
      </c>
    </row>
    <row collapsed="false" customFormat="false" customHeight="false" hidden="false" ht="14.75" outlineLevel="0" r="214">
      <c r="A214" s="1" t="s">
        <v>1753</v>
      </c>
      <c r="B214" s="1" t="s">
        <v>1658</v>
      </c>
      <c r="C214" s="1" t="s">
        <v>1627</v>
      </c>
      <c r="D214" s="1" t="n">
        <v>107.1</v>
      </c>
      <c r="E214" s="1" t="n">
        <v>10.57</v>
      </c>
      <c r="F214" s="1" t="n">
        <v>0.5</v>
      </c>
    </row>
    <row collapsed="false" customFormat="false" customHeight="false" hidden="false" ht="14.75" outlineLevel="0" r="215">
      <c r="A215" s="1" t="s">
        <v>1754</v>
      </c>
      <c r="B215" s="1" t="s">
        <v>1633</v>
      </c>
      <c r="C215" s="1" t="s">
        <v>1627</v>
      </c>
      <c r="D215" s="1" t="n">
        <v>335.8</v>
      </c>
      <c r="E215" s="1" t="n">
        <v>19.1</v>
      </c>
      <c r="F215" s="1" t="n">
        <f aca="false">22/6</f>
        <v>3.66666666666667</v>
      </c>
    </row>
    <row collapsed="false" customFormat="false" customHeight="false" hidden="false" ht="14.75" outlineLevel="0" r="216">
      <c r="A216" s="1" t="s">
        <v>1755</v>
      </c>
      <c r="B216" s="1" t="s">
        <v>1633</v>
      </c>
      <c r="C216" s="1" t="s">
        <v>1627</v>
      </c>
      <c r="D216" s="1" t="n">
        <v>193</v>
      </c>
      <c r="E216" s="1" t="n">
        <v>14.47</v>
      </c>
      <c r="F216" s="1" t="n">
        <f aca="false">8/5</f>
        <v>1.6</v>
      </c>
    </row>
    <row collapsed="false" customFormat="false" customHeight="false" hidden="false" ht="14.75" outlineLevel="0" r="217">
      <c r="A217" s="1" t="s">
        <v>1756</v>
      </c>
      <c r="B217" s="1" t="s">
        <v>1633</v>
      </c>
      <c r="C217" s="1" t="s">
        <v>1627</v>
      </c>
      <c r="D217" s="1" t="n">
        <v>275</v>
      </c>
      <c r="E217" s="1" t="n">
        <v>18.96</v>
      </c>
      <c r="F217" s="1" t="n">
        <f aca="false">3/5</f>
        <v>0.6</v>
      </c>
    </row>
    <row collapsed="false" customFormat="false" customHeight="false" hidden="false" ht="14.75" outlineLevel="0" r="218">
      <c r="A218" s="1" t="s">
        <v>1757</v>
      </c>
      <c r="B218" s="1" t="s">
        <v>1633</v>
      </c>
      <c r="C218" s="1" t="s">
        <v>1627</v>
      </c>
      <c r="D218" s="1" t="n">
        <v>215</v>
      </c>
      <c r="E218" s="1" t="n">
        <v>16.07</v>
      </c>
      <c r="F218" s="1" t="n">
        <f aca="false">3/5</f>
        <v>0.6</v>
      </c>
    </row>
    <row collapsed="false" customFormat="false" customHeight="false" hidden="false" ht="14.75" outlineLevel="0" r="219">
      <c r="A219" s="1" t="s">
        <v>1758</v>
      </c>
      <c r="B219" s="1" t="s">
        <v>1633</v>
      </c>
      <c r="C219" s="1" t="s">
        <v>1627</v>
      </c>
      <c r="D219" s="1" t="n">
        <v>124</v>
      </c>
      <c r="E219" s="1" t="n">
        <v>12.14</v>
      </c>
      <c r="F219" s="1" t="n">
        <v>0.6</v>
      </c>
    </row>
    <row collapsed="false" customFormat="false" customHeight="false" hidden="false" ht="14.75" outlineLevel="0" r="220">
      <c r="A220" s="1" t="s">
        <v>1759</v>
      </c>
      <c r="B220" s="1" t="s">
        <v>1633</v>
      </c>
      <c r="C220" s="1" t="s">
        <v>1627</v>
      </c>
      <c r="D220" s="1" t="n">
        <v>59</v>
      </c>
      <c r="E220" s="1" t="n">
        <v>5.5</v>
      </c>
      <c r="F220" s="1" t="n">
        <f aca="false">3/5</f>
        <v>0.6</v>
      </c>
    </row>
    <row collapsed="false" customFormat="false" customHeight="false" hidden="false" ht="14.75" outlineLevel="0" r="221">
      <c r="A221" s="6" t="s">
        <v>1312</v>
      </c>
      <c r="B221" s="6" t="s">
        <v>1631</v>
      </c>
      <c r="C221" s="6" t="s">
        <v>1627</v>
      </c>
      <c r="D221" s="6" t="n">
        <v>286.2</v>
      </c>
      <c r="E221" s="6" t="n">
        <v>19.21</v>
      </c>
      <c r="F221" s="6" t="n">
        <f aca="false">18/8</f>
        <v>2.25</v>
      </c>
    </row>
    <row collapsed="false" customFormat="false" customHeight="false" hidden="false" ht="14.75" outlineLevel="0" r="222">
      <c r="A222" s="1" t="s">
        <v>1760</v>
      </c>
      <c r="B222" s="1" t="s">
        <v>1660</v>
      </c>
      <c r="C222" s="1" t="s">
        <v>1627</v>
      </c>
      <c r="D222" s="1" t="n">
        <v>269.4</v>
      </c>
      <c r="E222" s="1" t="n">
        <v>17.38</v>
      </c>
      <c r="F222" s="1" t="n">
        <f aca="false">29/9</f>
        <v>3.22222222222222</v>
      </c>
    </row>
    <row collapsed="false" customFormat="false" customHeight="false" hidden="false" ht="14.75" outlineLevel="0" r="223">
      <c r="A223" s="1" t="s">
        <v>1317</v>
      </c>
      <c r="B223" s="1" t="s">
        <v>1633</v>
      </c>
      <c r="C223" s="1" t="s">
        <v>1627</v>
      </c>
      <c r="D223" s="1" t="n">
        <v>521.8</v>
      </c>
      <c r="E223" s="1" t="n">
        <v>24.2</v>
      </c>
      <c r="F223" s="1" t="n">
        <f aca="false">94/11</f>
        <v>8.54545454545455</v>
      </c>
    </row>
    <row collapsed="false" customFormat="false" customHeight="false" hidden="false" ht="14.75" outlineLevel="0" r="224">
      <c r="A224" s="1" t="s">
        <v>961</v>
      </c>
      <c r="B224" s="1" t="s">
        <v>1662</v>
      </c>
      <c r="C224" s="1" t="s">
        <v>1627</v>
      </c>
      <c r="D224" s="1" t="n">
        <v>139.5</v>
      </c>
      <c r="E224" s="1" t="n">
        <v>15.16</v>
      </c>
      <c r="F224" s="1" t="n">
        <f aca="false">7/11</f>
        <v>0.636363636363636</v>
      </c>
    </row>
    <row collapsed="false" customFormat="false" customHeight="false" hidden="false" ht="14.75" outlineLevel="0" r="225">
      <c r="A225" s="1" t="s">
        <v>1607</v>
      </c>
      <c r="B225" s="1" t="s">
        <v>1660</v>
      </c>
      <c r="C225" s="1" t="s">
        <v>1627</v>
      </c>
      <c r="D225" s="1" t="n">
        <v>465.6</v>
      </c>
      <c r="E225" s="1" t="n">
        <v>22.74</v>
      </c>
      <c r="F225" s="1" t="n">
        <f aca="false">42/9</f>
        <v>4.66666666666667</v>
      </c>
    </row>
    <row collapsed="false" customFormat="false" customHeight="false" hidden="false" ht="14.75" outlineLevel="0" r="226">
      <c r="A226" s="1" t="s">
        <v>1761</v>
      </c>
      <c r="B226" s="1" t="s">
        <v>1633</v>
      </c>
      <c r="C226" s="1" t="s">
        <v>1627</v>
      </c>
      <c r="D226" s="1" t="n">
        <v>302</v>
      </c>
      <c r="E226" s="1" t="n">
        <v>19.31</v>
      </c>
      <c r="F226" s="1" t="n">
        <f aca="false">16/5</f>
        <v>3.2</v>
      </c>
    </row>
    <row collapsed="false" customFormat="false" customHeight="false" hidden="false" ht="14.75" outlineLevel="0" r="227">
      <c r="A227" s="1" t="s">
        <v>1762</v>
      </c>
      <c r="B227" s="1" t="s">
        <v>1633</v>
      </c>
      <c r="C227" s="1" t="s">
        <v>1627</v>
      </c>
      <c r="D227" s="1" t="n">
        <v>152</v>
      </c>
      <c r="E227" s="1" t="n">
        <v>15.17</v>
      </c>
      <c r="F227" s="1" t="n">
        <v>1</v>
      </c>
    </row>
    <row collapsed="false" customFormat="false" customHeight="false" hidden="false" ht="14.75" outlineLevel="0" r="228">
      <c r="A228" s="1" t="s">
        <v>1067</v>
      </c>
      <c r="B228" s="1" t="s">
        <v>1658</v>
      </c>
      <c r="C228" s="1" t="s">
        <v>1627</v>
      </c>
      <c r="D228" s="1" t="n">
        <v>289.3</v>
      </c>
      <c r="E228" s="1" t="n">
        <v>17.79</v>
      </c>
      <c r="F228" s="1" t="n">
        <f aca="false">23/7</f>
        <v>3.28571428571429</v>
      </c>
    </row>
    <row collapsed="false" customFormat="false" customHeight="false" hidden="false" ht="14.75" outlineLevel="0" r="229">
      <c r="A229" s="1" t="s">
        <v>1068</v>
      </c>
      <c r="B229" s="1" t="s">
        <v>1658</v>
      </c>
      <c r="C229" s="1" t="s">
        <v>1627</v>
      </c>
      <c r="D229" s="1" t="n">
        <v>181</v>
      </c>
      <c r="E229" s="1" t="n">
        <v>17.95</v>
      </c>
      <c r="F229" s="1" t="n">
        <v>1.83333333333333</v>
      </c>
    </row>
    <row collapsed="false" customFormat="false" customHeight="false" hidden="false" ht="14.75" outlineLevel="0" r="230">
      <c r="A230" s="1" t="s">
        <v>1763</v>
      </c>
      <c r="B230" s="1" t="s">
        <v>1658</v>
      </c>
      <c r="C230" s="1" t="s">
        <v>1627</v>
      </c>
      <c r="D230" s="1" t="n">
        <v>124</v>
      </c>
      <c r="E230" s="1" t="n">
        <v>12</v>
      </c>
      <c r="F230" s="1" t="n">
        <v>1.83333333333333</v>
      </c>
    </row>
    <row collapsed="false" customFormat="false" customHeight="false" hidden="false" ht="14.75" outlineLevel="0" r="231">
      <c r="A231" s="1" t="s">
        <v>400</v>
      </c>
      <c r="B231" s="1" t="s">
        <v>1633</v>
      </c>
      <c r="C231" s="1" t="s">
        <v>1627</v>
      </c>
      <c r="D231" s="1" t="n">
        <v>423.3</v>
      </c>
      <c r="E231" s="1" t="n">
        <v>24.25</v>
      </c>
      <c r="F231" s="1" t="n">
        <f aca="false">43/9</f>
        <v>4.77777777777778</v>
      </c>
    </row>
    <row collapsed="false" customFormat="false" customHeight="false" hidden="false" ht="14.75" outlineLevel="0" r="232">
      <c r="A232" s="1" t="s">
        <v>401</v>
      </c>
      <c r="B232" s="1" t="s">
        <v>1633</v>
      </c>
      <c r="C232" s="1" t="s">
        <v>1627</v>
      </c>
      <c r="D232" s="1" t="n">
        <v>197.5</v>
      </c>
      <c r="E232" s="1" t="n">
        <v>15.83</v>
      </c>
      <c r="F232" s="1" t="n">
        <f aca="false">7/4</f>
        <v>1.75</v>
      </c>
    </row>
    <row collapsed="false" customFormat="false" customHeight="false" hidden="false" ht="14.75" outlineLevel="0" r="233">
      <c r="A233" s="1" t="s">
        <v>1324</v>
      </c>
      <c r="B233" s="1" t="s">
        <v>1660</v>
      </c>
      <c r="C233" s="1" t="s">
        <v>1627</v>
      </c>
      <c r="D233" s="1" t="n">
        <v>231.9</v>
      </c>
      <c r="E233" s="1" t="n">
        <v>18.23</v>
      </c>
      <c r="F233" s="1" t="n">
        <f aca="false">17/8</f>
        <v>2.125</v>
      </c>
    </row>
    <row collapsed="false" customFormat="false" customHeight="false" hidden="false" ht="14.75" outlineLevel="0" r="234">
      <c r="A234" s="6" t="s">
        <v>1325</v>
      </c>
      <c r="B234" s="6" t="s">
        <v>1634</v>
      </c>
      <c r="C234" s="6" t="s">
        <v>1627</v>
      </c>
      <c r="D234" s="6" t="n">
        <v>188.8</v>
      </c>
      <c r="E234" s="6" t="n">
        <v>16.22</v>
      </c>
      <c r="F234" s="6" t="n">
        <f aca="false">10/8</f>
        <v>1.25</v>
      </c>
    </row>
    <row collapsed="false" customFormat="false" customHeight="false" hidden="false" ht="14.75" outlineLevel="0" r="235">
      <c r="A235" s="1" t="s">
        <v>1764</v>
      </c>
      <c r="B235" s="1" t="s">
        <v>1633</v>
      </c>
      <c r="C235" s="1" t="s">
        <v>1627</v>
      </c>
      <c r="D235" s="1" t="n">
        <v>26</v>
      </c>
      <c r="E235" s="1" t="n">
        <v>6.25</v>
      </c>
      <c r="F235" s="1" t="n">
        <f aca="false">2/5</f>
        <v>0.4</v>
      </c>
    </row>
    <row collapsed="false" customFormat="false" customHeight="false" hidden="false" ht="14.75" outlineLevel="0" r="236">
      <c r="A236" s="6" t="s">
        <v>1332</v>
      </c>
      <c r="B236" s="6" t="s">
        <v>1631</v>
      </c>
      <c r="C236" s="6" t="s">
        <v>1627</v>
      </c>
      <c r="D236" s="6" t="n">
        <v>206.2</v>
      </c>
      <c r="E236" s="6" t="n">
        <v>13.51</v>
      </c>
      <c r="F236" s="6" t="n">
        <f aca="false">12/8</f>
        <v>1.5</v>
      </c>
    </row>
    <row collapsed="false" customFormat="false" customHeight="false" hidden="false" ht="14.75" outlineLevel="0" r="237">
      <c r="A237" s="1" t="s">
        <v>1765</v>
      </c>
      <c r="B237" s="1" t="s">
        <v>1633</v>
      </c>
      <c r="C237" s="1" t="s">
        <v>1627</v>
      </c>
      <c r="D237" s="1" t="n">
        <v>387.9</v>
      </c>
      <c r="E237" s="1" t="n">
        <v>23</v>
      </c>
      <c r="F237" s="1" t="n">
        <f aca="false">27/7</f>
        <v>3.85714285714286</v>
      </c>
    </row>
    <row collapsed="false" customFormat="false" customHeight="false" hidden="false" ht="14.75" outlineLevel="0" r="238">
      <c r="A238" s="1" t="s">
        <v>1766</v>
      </c>
      <c r="B238" s="1" t="s">
        <v>1633</v>
      </c>
      <c r="C238" s="1" t="s">
        <v>1627</v>
      </c>
      <c r="D238" s="1" t="n">
        <v>345</v>
      </c>
      <c r="E238" s="1" t="n">
        <v>17.68</v>
      </c>
      <c r="F238" s="1" t="n">
        <f aca="false">28/6</f>
        <v>4.66666666666667</v>
      </c>
    </row>
    <row collapsed="false" customFormat="false" customHeight="false" hidden="false" ht="14.75" outlineLevel="0" r="239">
      <c r="A239" s="1" t="s">
        <v>1767</v>
      </c>
      <c r="B239" s="1" t="s">
        <v>1633</v>
      </c>
      <c r="C239" s="1" t="s">
        <v>1627</v>
      </c>
      <c r="D239" s="1" t="n">
        <v>257.5</v>
      </c>
      <c r="E239" s="1" t="n">
        <v>19.9</v>
      </c>
      <c r="F239" s="1" t="n">
        <f aca="false">14/6</f>
        <v>2.33333333333333</v>
      </c>
    </row>
    <row collapsed="false" customFormat="false" customHeight="false" hidden="false" ht="14.75" outlineLevel="0" r="240">
      <c r="A240" s="1" t="s">
        <v>1334</v>
      </c>
      <c r="B240" s="1" t="s">
        <v>1632</v>
      </c>
      <c r="C240" s="1" t="s">
        <v>1627</v>
      </c>
      <c r="D240" s="1" t="n">
        <v>145</v>
      </c>
      <c r="E240" s="1" t="n">
        <v>12.57</v>
      </c>
      <c r="F240" s="1" t="n">
        <f aca="false">7/11</f>
        <v>0.636363636363636</v>
      </c>
    </row>
    <row collapsed="false" customFormat="false" customHeight="false" hidden="false" ht="14.75" outlineLevel="0" r="241">
      <c r="A241" s="1" t="s">
        <v>1335</v>
      </c>
      <c r="B241" s="1" t="s">
        <v>1632</v>
      </c>
      <c r="C241" s="1" t="s">
        <v>1627</v>
      </c>
      <c r="D241" s="1" t="n">
        <v>64.5</v>
      </c>
      <c r="E241" s="1" t="n">
        <v>9.73</v>
      </c>
      <c r="F241" s="1" t="n">
        <f aca="false">7/11</f>
        <v>0.636363636363636</v>
      </c>
    </row>
    <row collapsed="false" customFormat="false" customHeight="false" hidden="false" ht="14.75" outlineLevel="0" r="242">
      <c r="A242" s="1" t="s">
        <v>1768</v>
      </c>
      <c r="B242" s="1" t="s">
        <v>1633</v>
      </c>
      <c r="C242" s="1" t="s">
        <v>1627</v>
      </c>
      <c r="D242" s="1" t="n">
        <v>368.3</v>
      </c>
      <c r="E242" s="1" t="n">
        <v>19.07</v>
      </c>
      <c r="F242" s="1" t="n">
        <f aca="false">14/6</f>
        <v>2.33333333333333</v>
      </c>
    </row>
    <row collapsed="false" customFormat="false" customHeight="false" hidden="false" ht="14.75" outlineLevel="0" r="243">
      <c r="A243" s="1" t="s">
        <v>1769</v>
      </c>
      <c r="B243" s="1" t="s">
        <v>1633</v>
      </c>
      <c r="C243" s="1" t="s">
        <v>1627</v>
      </c>
      <c r="D243" s="1" t="n">
        <v>155</v>
      </c>
      <c r="E243" s="1" t="n">
        <v>12.94</v>
      </c>
      <c r="F243" s="1" t="n">
        <v>1</v>
      </c>
    </row>
    <row collapsed="false" customFormat="false" customHeight="false" hidden="false" ht="14.75" outlineLevel="0" r="244">
      <c r="A244" s="1" t="s">
        <v>1770</v>
      </c>
      <c r="B244" s="1" t="s">
        <v>1633</v>
      </c>
      <c r="C244" s="1" t="s">
        <v>1627</v>
      </c>
      <c r="D244" s="1" t="n">
        <v>155</v>
      </c>
      <c r="E244" s="1" t="n">
        <v>10.54</v>
      </c>
      <c r="F244" s="1" t="n">
        <v>0.8</v>
      </c>
    </row>
    <row collapsed="false" customFormat="false" customHeight="false" hidden="false" ht="14.75" outlineLevel="0" r="245">
      <c r="A245" s="1" t="s">
        <v>1771</v>
      </c>
      <c r="B245" s="1" t="s">
        <v>1633</v>
      </c>
      <c r="C245" s="1" t="s">
        <v>1627</v>
      </c>
      <c r="D245" s="1" t="n">
        <v>127</v>
      </c>
      <c r="E245" s="1" t="n">
        <v>12.96</v>
      </c>
      <c r="F245" s="1" t="n">
        <v>1.4</v>
      </c>
    </row>
    <row collapsed="false" customFormat="false" customHeight="false" hidden="false" ht="14.75" outlineLevel="0" r="246">
      <c r="A246" s="1" t="s">
        <v>1772</v>
      </c>
      <c r="B246" s="1" t="s">
        <v>1633</v>
      </c>
      <c r="C246" s="1" t="s">
        <v>1627</v>
      </c>
      <c r="D246" s="1" t="n">
        <v>81</v>
      </c>
      <c r="E246" s="1" t="n">
        <v>10</v>
      </c>
      <c r="F246" s="1" t="n">
        <v>0.6</v>
      </c>
    </row>
    <row collapsed="false" customFormat="false" customHeight="false" hidden="false" ht="14.75" outlineLevel="0" r="247">
      <c r="A247" s="1" t="s">
        <v>1615</v>
      </c>
      <c r="B247" s="1" t="s">
        <v>1660</v>
      </c>
      <c r="C247" s="1" t="s">
        <v>1627</v>
      </c>
      <c r="D247" s="1" t="n">
        <v>236.1</v>
      </c>
      <c r="E247" s="1" t="n">
        <v>17.01</v>
      </c>
      <c r="F247" s="1" t="n">
        <f aca="false">21/9</f>
        <v>2.33333333333333</v>
      </c>
    </row>
    <row collapsed="false" customFormat="false" customHeight="false" hidden="false" ht="14.75" outlineLevel="0" r="248">
      <c r="A248" s="1" t="s">
        <v>1616</v>
      </c>
      <c r="B248" s="1" t="s">
        <v>1660</v>
      </c>
      <c r="C248" s="1" t="s">
        <v>1627</v>
      </c>
      <c r="D248" s="1" t="n">
        <v>192.5</v>
      </c>
      <c r="E248" s="1" t="n">
        <v>14.13</v>
      </c>
      <c r="F248" s="1" t="n">
        <f aca="false">14/8</f>
        <v>1.75</v>
      </c>
    </row>
    <row collapsed="false" customFormat="false" customHeight="false" hidden="false" ht="14.75" outlineLevel="0" r="249">
      <c r="A249" s="1" t="s">
        <v>1773</v>
      </c>
      <c r="B249" s="1" t="s">
        <v>1633</v>
      </c>
      <c r="C249" s="1" t="s">
        <v>1627</v>
      </c>
      <c r="D249" s="1" t="n">
        <v>253</v>
      </c>
      <c r="E249" s="1" t="n">
        <v>18.67</v>
      </c>
      <c r="F249" s="1" t="n">
        <f aca="false">8/5</f>
        <v>1.6</v>
      </c>
    </row>
    <row collapsed="false" customFormat="false" customHeight="false" hidden="false" ht="14.75" outlineLevel="0" r="250">
      <c r="A250" s="1" t="s">
        <v>1774</v>
      </c>
      <c r="B250" s="1" t="s">
        <v>1633</v>
      </c>
      <c r="C250" s="1" t="s">
        <v>1627</v>
      </c>
      <c r="D250" s="1" t="n">
        <v>94</v>
      </c>
      <c r="E250" s="1" t="n">
        <v>11.09</v>
      </c>
      <c r="F250" s="1" t="n">
        <v>0.2</v>
      </c>
    </row>
    <row collapsed="false" customFormat="false" customHeight="false" hidden="false" ht="14.75" outlineLevel="0" r="251">
      <c r="A251" s="6" t="s">
        <v>1775</v>
      </c>
      <c r="B251" s="6" t="s">
        <v>1634</v>
      </c>
      <c r="C251" s="6" t="s">
        <v>1627</v>
      </c>
      <c r="D251" s="6" t="n">
        <v>246.9</v>
      </c>
      <c r="E251" s="6" t="n">
        <v>15.9</v>
      </c>
      <c r="F251" s="6" t="n">
        <f aca="false">15/8</f>
        <v>1.875</v>
      </c>
    </row>
    <row collapsed="false" customFormat="false" customHeight="false" hidden="false" ht="14.75" outlineLevel="0" r="252">
      <c r="A252" s="6" t="s">
        <v>1776</v>
      </c>
      <c r="B252" s="6" t="s">
        <v>1634</v>
      </c>
      <c r="C252" s="6" t="s">
        <v>1627</v>
      </c>
      <c r="D252" s="6" t="n">
        <v>243.1</v>
      </c>
      <c r="E252" s="6" t="n">
        <v>14.84</v>
      </c>
      <c r="F252" s="6" t="n">
        <f aca="false">23/8</f>
        <v>2.875</v>
      </c>
    </row>
    <row collapsed="false" customFormat="false" customHeight="false" hidden="false" ht="14.75" outlineLevel="0" r="253">
      <c r="A253" s="1" t="s">
        <v>974</v>
      </c>
      <c r="B253" s="1" t="s">
        <v>1658</v>
      </c>
      <c r="C253" s="1" t="s">
        <v>1627</v>
      </c>
      <c r="D253" s="1" t="n">
        <v>388.5</v>
      </c>
      <c r="E253" s="1" t="n">
        <v>22.39</v>
      </c>
      <c r="F253" s="1" t="n">
        <v>6.3</v>
      </c>
    </row>
    <row collapsed="false" customFormat="false" customHeight="false" hidden="false" ht="14.75" outlineLevel="0" r="254">
      <c r="A254" s="1" t="s">
        <v>975</v>
      </c>
      <c r="B254" s="1" t="s">
        <v>1658</v>
      </c>
      <c r="C254" s="1" t="s">
        <v>1627</v>
      </c>
      <c r="D254" s="1" t="n">
        <v>334.4</v>
      </c>
      <c r="E254" s="1" t="n">
        <v>21.8</v>
      </c>
      <c r="F254" s="1" t="n">
        <f aca="false">34/8</f>
        <v>4.25</v>
      </c>
    </row>
    <row collapsed="false" customFormat="false" customHeight="false" hidden="false" ht="14.75" outlineLevel="0" r="255">
      <c r="A255" s="1" t="s">
        <v>976</v>
      </c>
      <c r="B255" s="1" t="s">
        <v>1658</v>
      </c>
      <c r="C255" s="1" t="s">
        <v>1627</v>
      </c>
      <c r="D255" s="1" t="n">
        <v>366.5</v>
      </c>
      <c r="E255" s="1" t="n">
        <v>21.14</v>
      </c>
      <c r="F255" s="1" t="n">
        <f aca="false">35/8</f>
        <v>4.375</v>
      </c>
    </row>
    <row collapsed="false" customFormat="false" customHeight="false" hidden="false" ht="14.75" outlineLevel="0" r="256">
      <c r="A256" s="1" t="s">
        <v>1084</v>
      </c>
      <c r="B256" s="1" t="s">
        <v>1658</v>
      </c>
      <c r="C256" s="1" t="s">
        <v>1627</v>
      </c>
      <c r="D256" s="1" t="n">
        <v>92.7</v>
      </c>
      <c r="E256" s="1" t="n">
        <v>12.17</v>
      </c>
      <c r="F256" s="1" t="n">
        <v>0.166666666666667</v>
      </c>
    </row>
    <row collapsed="false" customFormat="false" customHeight="false" hidden="false" ht="14.75" outlineLevel="0" r="257">
      <c r="A257" s="6" t="s">
        <v>1342</v>
      </c>
      <c r="B257" s="6" t="s">
        <v>1631</v>
      </c>
      <c r="C257" s="6" t="s">
        <v>1627</v>
      </c>
      <c r="D257" s="6" t="n">
        <v>216.2</v>
      </c>
      <c r="E257" s="6" t="n">
        <v>14.14</v>
      </c>
      <c r="F257" s="6" t="n">
        <f aca="false">10/8</f>
        <v>1.25</v>
      </c>
    </row>
    <row collapsed="false" customFormat="false" customHeight="false" hidden="false" ht="14.75" outlineLevel="0" r="258">
      <c r="A258" s="1" t="s">
        <v>1343</v>
      </c>
      <c r="B258" s="1" t="s">
        <v>1626</v>
      </c>
      <c r="C258" s="1" t="s">
        <v>1627</v>
      </c>
      <c r="D258" s="1" t="n">
        <v>422</v>
      </c>
      <c r="E258" s="1" t="n">
        <v>22.28</v>
      </c>
      <c r="F258" s="1" t="n">
        <v>3.9</v>
      </c>
    </row>
    <row collapsed="false" customFormat="false" customHeight="false" hidden="false" ht="14.75" outlineLevel="0" r="259">
      <c r="A259" s="1" t="s">
        <v>1344</v>
      </c>
      <c r="B259" s="1" t="s">
        <v>1626</v>
      </c>
      <c r="C259" s="1" t="s">
        <v>1627</v>
      </c>
      <c r="D259" s="1" t="n">
        <v>318.5</v>
      </c>
      <c r="E259" s="1" t="n">
        <v>20.39</v>
      </c>
      <c r="F259" s="1" t="n">
        <v>2.3</v>
      </c>
    </row>
    <row collapsed="false" customFormat="false" customHeight="false" hidden="false" ht="14.75" outlineLevel="0" r="260">
      <c r="A260" s="1" t="s">
        <v>1777</v>
      </c>
      <c r="B260" s="1" t="s">
        <v>1633</v>
      </c>
      <c r="C260" s="1" t="s">
        <v>1627</v>
      </c>
      <c r="D260" s="1" t="n">
        <v>204</v>
      </c>
      <c r="E260" s="1" t="n">
        <v>19</v>
      </c>
      <c r="F260" s="1" t="n">
        <f aca="false">7/5</f>
        <v>1.4</v>
      </c>
    </row>
    <row collapsed="false" customFormat="false" customHeight="false" hidden="false" ht="14.75" outlineLevel="0" r="261">
      <c r="A261" s="1" t="s">
        <v>1778</v>
      </c>
      <c r="B261" s="1" t="s">
        <v>1633</v>
      </c>
      <c r="C261" s="1" t="s">
        <v>1627</v>
      </c>
      <c r="D261" s="1" t="n">
        <v>160</v>
      </c>
      <c r="E261" s="1" t="n">
        <v>15.47</v>
      </c>
      <c r="F261" s="1" t="n">
        <v>0.4</v>
      </c>
    </row>
    <row collapsed="false" customFormat="false" customHeight="false" hidden="false" ht="14.75" outlineLevel="0" r="262">
      <c r="A262" s="1" t="s">
        <v>1779</v>
      </c>
      <c r="B262" s="1" t="s">
        <v>1633</v>
      </c>
      <c r="C262" s="1" t="s">
        <v>1627</v>
      </c>
      <c r="D262" s="1" t="n">
        <v>93.8</v>
      </c>
      <c r="E262" s="1" t="n">
        <v>8.5</v>
      </c>
      <c r="F262" s="1" t="n">
        <f aca="false">6/4</f>
        <v>1.5</v>
      </c>
    </row>
    <row collapsed="false" customFormat="false" customHeight="false" hidden="false" ht="14.75" outlineLevel="0" r="263">
      <c r="A263" s="1" t="s">
        <v>1780</v>
      </c>
      <c r="B263" s="1" t="s">
        <v>1662</v>
      </c>
      <c r="C263" s="1" t="s">
        <v>1627</v>
      </c>
      <c r="D263" s="1" t="n">
        <v>155</v>
      </c>
      <c r="E263" s="1" t="n">
        <v>13.94</v>
      </c>
      <c r="F263" s="1" t="n">
        <f aca="false">8/11</f>
        <v>0.727272727272727</v>
      </c>
    </row>
    <row collapsed="false" customFormat="false" customHeight="false" hidden="false" ht="14.75" outlineLevel="0" r="264">
      <c r="A264" s="1" t="s">
        <v>1781</v>
      </c>
      <c r="B264" s="1" t="s">
        <v>1662</v>
      </c>
      <c r="C264" s="1" t="s">
        <v>1627</v>
      </c>
      <c r="D264" s="1" t="n">
        <v>80.5</v>
      </c>
      <c r="E264" s="1" t="n">
        <v>10.23</v>
      </c>
      <c r="F264" s="1" t="n">
        <f aca="false">2/11</f>
        <v>0.181818181818182</v>
      </c>
    </row>
    <row collapsed="false" customFormat="false" customHeight="false" hidden="false" ht="14.75" outlineLevel="0" r="265">
      <c r="A265" s="1" t="s">
        <v>1346</v>
      </c>
      <c r="B265" s="1" t="s">
        <v>1633</v>
      </c>
      <c r="C265" s="1" t="s">
        <v>1627</v>
      </c>
      <c r="D265" s="1" t="n">
        <v>453.5</v>
      </c>
      <c r="E265" s="1" t="n">
        <v>23.18</v>
      </c>
      <c r="F265" s="1" t="n">
        <v>6.6</v>
      </c>
    </row>
    <row collapsed="false" customFormat="false" customHeight="false" hidden="false" ht="14.75" outlineLevel="0" r="266">
      <c r="A266" s="1" t="s">
        <v>1347</v>
      </c>
      <c r="B266" s="1" t="s">
        <v>1633</v>
      </c>
      <c r="C266" s="1" t="s">
        <v>1627</v>
      </c>
      <c r="D266" s="1" t="n">
        <v>203</v>
      </c>
      <c r="E266" s="1" t="n">
        <v>15.9</v>
      </c>
      <c r="F266" s="1" t="n">
        <f aca="false">6/5</f>
        <v>1.2</v>
      </c>
    </row>
    <row collapsed="false" customFormat="false" customHeight="false" hidden="false" ht="14.75" outlineLevel="0" r="267">
      <c r="A267" s="1" t="s">
        <v>1348</v>
      </c>
      <c r="B267" s="1" t="s">
        <v>1633</v>
      </c>
      <c r="C267" s="1" t="s">
        <v>1627</v>
      </c>
      <c r="D267" s="1" t="n">
        <v>328</v>
      </c>
      <c r="E267" s="1" t="n">
        <v>18.21</v>
      </c>
      <c r="F267" s="1" t="n">
        <f aca="false">19/5</f>
        <v>3.8</v>
      </c>
    </row>
    <row collapsed="false" customFormat="false" customHeight="false" hidden="false" ht="14.75" outlineLevel="0" r="268">
      <c r="A268" s="1" t="s">
        <v>1349</v>
      </c>
      <c r="B268" s="1" t="s">
        <v>1633</v>
      </c>
      <c r="C268" s="1" t="s">
        <v>1627</v>
      </c>
      <c r="D268" s="1" t="n">
        <v>83</v>
      </c>
      <c r="E268" s="1" t="n">
        <v>11.32</v>
      </c>
      <c r="F268" s="1" t="n">
        <v>1.2</v>
      </c>
    </row>
    <row collapsed="false" customFormat="false" customHeight="false" hidden="false" ht="14.75" outlineLevel="0" r="269">
      <c r="A269" s="6" t="s">
        <v>1782</v>
      </c>
      <c r="B269" s="6" t="s">
        <v>1644</v>
      </c>
      <c r="C269" s="6" t="s">
        <v>1627</v>
      </c>
      <c r="D269" s="6" t="n">
        <v>222.5</v>
      </c>
      <c r="E269" s="6" t="n">
        <v>16.53</v>
      </c>
      <c r="F269" s="6" t="n">
        <f aca="false">10/8</f>
        <v>1.25</v>
      </c>
    </row>
    <row collapsed="false" customFormat="false" customHeight="false" hidden="false" ht="14.75" outlineLevel="0" r="270">
      <c r="A270" s="1" t="s">
        <v>1352</v>
      </c>
      <c r="B270" s="1" t="s">
        <v>1626</v>
      </c>
      <c r="C270" s="1" t="s">
        <v>1627</v>
      </c>
      <c r="D270" s="1" t="n">
        <v>195.6</v>
      </c>
      <c r="E270" s="1" t="n">
        <v>14.65</v>
      </c>
      <c r="F270" s="1" t="n">
        <v>1.7</v>
      </c>
    </row>
    <row collapsed="false" customFormat="false" customHeight="false" hidden="false" ht="14.75" outlineLevel="0" r="271">
      <c r="A271" s="1" t="s">
        <v>1353</v>
      </c>
      <c r="B271" s="1" t="s">
        <v>1626</v>
      </c>
      <c r="C271" s="1" t="s">
        <v>1627</v>
      </c>
      <c r="D271" s="1" t="n">
        <v>56.7</v>
      </c>
      <c r="E271" s="1" t="n">
        <v>5.62</v>
      </c>
      <c r="F271" s="1" t="n">
        <v>0.3</v>
      </c>
    </row>
    <row collapsed="false" customFormat="false" customHeight="false" hidden="false" ht="14.75" outlineLevel="0" r="272">
      <c r="A272" s="1" t="s">
        <v>1783</v>
      </c>
      <c r="B272" s="1" t="s">
        <v>1633</v>
      </c>
      <c r="C272" s="1" t="s">
        <v>1627</v>
      </c>
      <c r="D272" s="1" t="n">
        <v>200</v>
      </c>
      <c r="E272" s="1" t="n">
        <v>15.38</v>
      </c>
      <c r="F272" s="1" t="n">
        <v>1</v>
      </c>
    </row>
    <row collapsed="false" customFormat="false" customHeight="false" hidden="false" ht="14.75" outlineLevel="0" r="273">
      <c r="A273" s="1" t="s">
        <v>1784</v>
      </c>
      <c r="B273" s="1" t="s">
        <v>1633</v>
      </c>
      <c r="C273" s="1" t="s">
        <v>1627</v>
      </c>
      <c r="D273" s="1" t="n">
        <v>141.2</v>
      </c>
      <c r="E273" s="1" t="n">
        <v>10.34</v>
      </c>
      <c r="F273" s="1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blackAndWhite="false" cellComments="none" copies="1" draft="false" firstPageNumber="0" fitToHeight="1" fitToWidth="1" horizontalDpi="300" orientation="portrait" pageOrder="downThenOver" paperSize="1" scale="100" useFirstPageNumber="fals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231"/>
  <sheetViews>
    <sheetView colorId="64" defaultGridColor="true" rightToLeft="false" showFormulas="false" showGridLines="true" showOutlineSymbols="true" showRowColHeaders="true" showZeros="true" tabSelected="false" topLeftCell="A218" view="normal" windowProtection="false" workbookViewId="0" zoomScale="85" zoomScaleNormal="85" zoomScalePageLayoutView="100">
      <selection activeCell="A232" activeCellId="0" pane="topLeft" sqref="A232"/>
    </sheetView>
  </sheetViews>
  <cols>
    <col collapsed="false" hidden="false" max="1025" min="1" style="0" width="8.5921568627451"/>
  </cols>
  <sheetData>
    <row collapsed="false" customFormat="false" customHeight="false" hidden="false" ht="14.75" outlineLevel="0"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collapsed="false" customFormat="false" customHeight="false" hidden="false" ht="14.75" outlineLevel="0" r="2">
      <c r="A2" s="1" t="s">
        <v>1785</v>
      </c>
      <c r="B2" s="1" t="s">
        <v>1786</v>
      </c>
      <c r="C2" s="1" t="s">
        <v>1787</v>
      </c>
      <c r="D2" s="1" t="n">
        <v>36.9</v>
      </c>
      <c r="E2" s="1" t="n">
        <v>5</v>
      </c>
      <c r="F2" s="1" t="n">
        <f aca="false">1/8</f>
        <v>0.125</v>
      </c>
    </row>
    <row collapsed="false" customFormat="false" customHeight="false" hidden="false" ht="14.75" outlineLevel="0" r="3">
      <c r="A3" s="1" t="s">
        <v>1788</v>
      </c>
      <c r="B3" s="1" t="s">
        <v>1786</v>
      </c>
      <c r="C3" s="1" t="s">
        <v>1787</v>
      </c>
      <c r="D3" s="1" t="n">
        <v>96.9</v>
      </c>
      <c r="E3" s="1" t="n">
        <v>8.45</v>
      </c>
      <c r="F3" s="1" t="n">
        <f aca="false">7/8</f>
        <v>0.875</v>
      </c>
    </row>
    <row collapsed="false" customFormat="false" customHeight="false" hidden="false" ht="14.75" outlineLevel="0" r="4">
      <c r="A4" s="1" t="s">
        <v>1789</v>
      </c>
      <c r="B4" s="1" t="s">
        <v>1790</v>
      </c>
      <c r="C4" s="4" t="s">
        <v>1787</v>
      </c>
      <c r="D4" s="1" t="n">
        <v>307.2</v>
      </c>
      <c r="E4" s="1" t="n">
        <v>15.41</v>
      </c>
      <c r="F4" s="1" t="n">
        <v>3.1</v>
      </c>
    </row>
    <row collapsed="false" customFormat="false" customHeight="false" hidden="false" ht="14.75" outlineLevel="0" r="5">
      <c r="A5" s="1" t="s">
        <v>1791</v>
      </c>
      <c r="B5" s="1" t="s">
        <v>1792</v>
      </c>
      <c r="C5" s="1" t="s">
        <v>1787</v>
      </c>
      <c r="D5" s="1" t="n">
        <v>74.4</v>
      </c>
      <c r="E5" s="1" t="n">
        <v>7.25</v>
      </c>
      <c r="F5" s="1" t="n">
        <f aca="false">2/9</f>
        <v>0.222222222222222</v>
      </c>
    </row>
    <row collapsed="false" customFormat="false" customHeight="false" hidden="false" ht="14.75" outlineLevel="0" r="6">
      <c r="A6" s="1" t="s">
        <v>1793</v>
      </c>
      <c r="B6" s="1" t="s">
        <v>1790</v>
      </c>
      <c r="C6" s="4" t="s">
        <v>1787</v>
      </c>
      <c r="D6" s="1" t="n">
        <v>82.1</v>
      </c>
      <c r="E6" s="1" t="n">
        <v>8.44</v>
      </c>
      <c r="F6" s="1" t="n">
        <f aca="false">1/4</f>
        <v>0.25</v>
      </c>
    </row>
    <row collapsed="false" customFormat="false" customHeight="false" hidden="false" ht="14.75" outlineLevel="0" r="7">
      <c r="A7" s="1" t="s">
        <v>1794</v>
      </c>
      <c r="B7" s="1" t="s">
        <v>1792</v>
      </c>
      <c r="C7" s="1" t="s">
        <v>1787</v>
      </c>
      <c r="D7" s="1" t="n">
        <v>50</v>
      </c>
      <c r="E7" s="1" t="n">
        <v>5.67</v>
      </c>
      <c r="F7" s="1" t="n">
        <f aca="false">1/9</f>
        <v>0.111111111111111</v>
      </c>
    </row>
    <row collapsed="false" customFormat="false" customHeight="false" hidden="false" ht="14.75" outlineLevel="0" r="8">
      <c r="A8" s="1" t="s">
        <v>1795</v>
      </c>
      <c r="B8" s="1" t="s">
        <v>1792</v>
      </c>
      <c r="C8" s="1" t="s">
        <v>1787</v>
      </c>
      <c r="D8" s="1" t="n">
        <v>48.9</v>
      </c>
      <c r="E8" s="1" t="n">
        <v>3.64</v>
      </c>
      <c r="F8" s="1" t="n">
        <v>0</v>
      </c>
    </row>
    <row collapsed="false" customFormat="false" customHeight="false" hidden="false" ht="14.75" outlineLevel="0" r="9">
      <c r="A9" s="1" t="s">
        <v>678</v>
      </c>
      <c r="B9" s="1" t="s">
        <v>1796</v>
      </c>
      <c r="C9" s="1" t="s">
        <v>1787</v>
      </c>
      <c r="D9" s="1" t="n">
        <v>289.4</v>
      </c>
      <c r="E9" s="1" t="n">
        <v>15</v>
      </c>
      <c r="F9" s="1" t="n">
        <f aca="false">17/8</f>
        <v>2.125</v>
      </c>
    </row>
    <row collapsed="false" customFormat="false" customHeight="false" hidden="false" ht="14.75" outlineLevel="0" r="10">
      <c r="A10" s="1" t="s">
        <v>681</v>
      </c>
      <c r="B10" s="1" t="s">
        <v>1796</v>
      </c>
      <c r="C10" s="1" t="s">
        <v>1787</v>
      </c>
      <c r="D10" s="1" t="n">
        <v>141.2</v>
      </c>
      <c r="E10" s="1" t="n">
        <v>8.72</v>
      </c>
      <c r="F10" s="1" t="n">
        <f aca="false">4/8</f>
        <v>0.5</v>
      </c>
    </row>
    <row collapsed="false" customFormat="false" customHeight="false" hidden="false" ht="14.75" outlineLevel="0" r="11">
      <c r="A11" s="1" t="s">
        <v>439</v>
      </c>
      <c r="B11" s="1" t="s">
        <v>1797</v>
      </c>
      <c r="C11" s="1" t="s">
        <v>1787</v>
      </c>
      <c r="D11" s="1" t="n">
        <v>195</v>
      </c>
      <c r="E11" s="1" t="n">
        <v>12.65</v>
      </c>
      <c r="F11" s="1" t="n">
        <v>1</v>
      </c>
    </row>
    <row collapsed="false" customFormat="false" customHeight="false" hidden="false" ht="14.75" outlineLevel="0" r="12">
      <c r="A12" s="1" t="s">
        <v>441</v>
      </c>
      <c r="B12" s="1" t="s">
        <v>1797</v>
      </c>
      <c r="C12" s="1" t="s">
        <v>1787</v>
      </c>
      <c r="D12" s="1" t="n">
        <v>120</v>
      </c>
      <c r="E12" s="1" t="n">
        <v>11.82</v>
      </c>
      <c r="F12" s="1" t="n">
        <v>0.1</v>
      </c>
    </row>
    <row collapsed="false" customFormat="false" customHeight="false" hidden="false" ht="14.75" outlineLevel="0" r="13">
      <c r="A13" s="1" t="s">
        <v>442</v>
      </c>
      <c r="B13" s="1" t="s">
        <v>1797</v>
      </c>
      <c r="C13" s="1" t="s">
        <v>1787</v>
      </c>
      <c r="D13" s="1" t="n">
        <v>118.5</v>
      </c>
      <c r="E13" s="1" t="n">
        <v>9.33</v>
      </c>
      <c r="F13" s="1" t="n">
        <v>0.6</v>
      </c>
    </row>
    <row collapsed="false" customFormat="false" customHeight="false" hidden="false" ht="14.75" outlineLevel="0" r="14">
      <c r="A14" s="1" t="s">
        <v>443</v>
      </c>
      <c r="B14" s="1" t="s">
        <v>1797</v>
      </c>
      <c r="C14" s="1" t="s">
        <v>1787</v>
      </c>
      <c r="D14" s="1" t="n">
        <v>84.5</v>
      </c>
      <c r="E14" s="1" t="n">
        <v>7.3</v>
      </c>
      <c r="F14" s="1" t="n">
        <v>0.4</v>
      </c>
    </row>
    <row collapsed="false" customFormat="false" customHeight="false" hidden="false" ht="14.75" outlineLevel="0" r="15">
      <c r="A15" s="1" t="s">
        <v>1798</v>
      </c>
      <c r="B15" s="1" t="s">
        <v>1790</v>
      </c>
      <c r="C15" s="4" t="s">
        <v>1787</v>
      </c>
      <c r="D15" s="1" t="n">
        <v>112.5</v>
      </c>
      <c r="E15" s="1" t="n">
        <v>11.11</v>
      </c>
      <c r="F15" s="1" t="n">
        <f aca="false">3/5</f>
        <v>0.6</v>
      </c>
    </row>
    <row collapsed="false" customFormat="false" customHeight="false" hidden="false" ht="14.75" outlineLevel="0" r="16">
      <c r="A16" s="1" t="s">
        <v>1799</v>
      </c>
      <c r="B16" s="1" t="s">
        <v>1790</v>
      </c>
      <c r="C16" s="4" t="s">
        <v>1787</v>
      </c>
      <c r="D16" s="1" t="n">
        <v>161.8</v>
      </c>
      <c r="E16" s="1" t="n">
        <v>11.18</v>
      </c>
      <c r="F16" s="1" t="n">
        <f aca="false">4/8</f>
        <v>0.5</v>
      </c>
    </row>
    <row collapsed="false" customFormat="false" customHeight="false" hidden="false" ht="14.75" outlineLevel="0" r="17">
      <c r="A17" s="1" t="s">
        <v>721</v>
      </c>
      <c r="B17" s="1" t="s">
        <v>1792</v>
      </c>
      <c r="C17" s="1" t="s">
        <v>1787</v>
      </c>
      <c r="D17" s="1" t="n">
        <v>191.1</v>
      </c>
      <c r="E17" s="1" t="n">
        <v>15.29</v>
      </c>
      <c r="F17" s="1" t="n">
        <f aca="false">14/9</f>
        <v>1.55555555555556</v>
      </c>
    </row>
    <row collapsed="false" customFormat="false" customHeight="false" hidden="false" ht="14.75" outlineLevel="0" r="18">
      <c r="A18" s="1" t="s">
        <v>1800</v>
      </c>
      <c r="B18" s="1" t="s">
        <v>1786</v>
      </c>
      <c r="C18" s="1" t="s">
        <v>1787</v>
      </c>
      <c r="D18" s="1" t="n">
        <v>80.6</v>
      </c>
      <c r="E18" s="1" t="n">
        <v>11.61</v>
      </c>
      <c r="F18" s="1" t="n">
        <f aca="false">2/8</f>
        <v>0.25</v>
      </c>
    </row>
    <row collapsed="false" customFormat="false" customHeight="false" hidden="false" ht="14.75" outlineLevel="0" r="19">
      <c r="A19" s="1" t="s">
        <v>1801</v>
      </c>
      <c r="B19" s="1" t="s">
        <v>1786</v>
      </c>
      <c r="C19" s="1" t="s">
        <v>1787</v>
      </c>
      <c r="D19" s="1" t="n">
        <v>121.9</v>
      </c>
      <c r="E19" s="1" t="n">
        <v>10.1</v>
      </c>
      <c r="F19" s="1" t="n">
        <f aca="false">2/8</f>
        <v>0.25</v>
      </c>
    </row>
    <row collapsed="false" customFormat="false" customHeight="false" hidden="false" ht="14.75" outlineLevel="0" r="20">
      <c r="A20" s="1" t="s">
        <v>1802</v>
      </c>
      <c r="B20" s="1" t="s">
        <v>1797</v>
      </c>
      <c r="C20" s="1" t="s">
        <v>1787</v>
      </c>
      <c r="D20" s="1" t="n">
        <v>116</v>
      </c>
      <c r="E20" s="1" t="n">
        <v>10.17</v>
      </c>
      <c r="F20" s="1" t="n">
        <v>0.4</v>
      </c>
    </row>
    <row collapsed="false" customFormat="false" customHeight="false" hidden="false" ht="14.75" outlineLevel="0" r="21">
      <c r="A21" s="1" t="s">
        <v>1803</v>
      </c>
      <c r="B21" s="1" t="s">
        <v>1786</v>
      </c>
      <c r="C21" s="1" t="s">
        <v>1787</v>
      </c>
      <c r="D21" s="1" t="n">
        <v>211.1</v>
      </c>
      <c r="E21" s="1" t="n">
        <v>18.18</v>
      </c>
      <c r="F21" s="1" t="n">
        <f aca="false">15/9</f>
        <v>1.66666666666667</v>
      </c>
    </row>
    <row collapsed="false" customFormat="false" customHeight="false" hidden="false" ht="14.75" outlineLevel="0" r="22">
      <c r="A22" s="1" t="s">
        <v>1804</v>
      </c>
      <c r="B22" s="1" t="s">
        <v>1797</v>
      </c>
      <c r="C22" s="1" t="s">
        <v>1787</v>
      </c>
      <c r="D22" s="1" t="n">
        <v>181.4</v>
      </c>
      <c r="E22" s="1" t="n">
        <v>10.49</v>
      </c>
      <c r="F22" s="1" t="n">
        <v>0.6</v>
      </c>
    </row>
    <row collapsed="false" customFormat="false" customHeight="false" hidden="false" ht="14.75" outlineLevel="0" r="23">
      <c r="A23" s="1" t="s">
        <v>1805</v>
      </c>
      <c r="B23" s="1" t="s">
        <v>1786</v>
      </c>
      <c r="C23" s="1" t="s">
        <v>1787</v>
      </c>
      <c r="D23" s="1" t="n">
        <v>182.5</v>
      </c>
      <c r="E23" s="1" t="n">
        <v>13.69</v>
      </c>
      <c r="F23" s="1" t="n">
        <v>2</v>
      </c>
    </row>
    <row collapsed="false" customFormat="false" customHeight="false" hidden="false" ht="14.75" outlineLevel="0" r="24">
      <c r="A24" s="1" t="s">
        <v>103</v>
      </c>
      <c r="B24" s="1" t="s">
        <v>1796</v>
      </c>
      <c r="C24" s="1" t="s">
        <v>1787</v>
      </c>
      <c r="D24" s="1" t="n">
        <v>461.1</v>
      </c>
      <c r="E24" s="1" t="n">
        <v>21.42</v>
      </c>
      <c r="F24" s="1" t="n">
        <f aca="false">50/9</f>
        <v>5.55555555555556</v>
      </c>
    </row>
    <row collapsed="false" customFormat="false" customHeight="false" hidden="false" ht="14.75" outlineLevel="0" r="25">
      <c r="A25" s="1" t="s">
        <v>104</v>
      </c>
      <c r="B25" s="1" t="s">
        <v>1796</v>
      </c>
      <c r="C25" s="1" t="s">
        <v>1787</v>
      </c>
      <c r="D25" s="1" t="n">
        <v>246.9</v>
      </c>
      <c r="E25" s="1" t="n">
        <v>15</v>
      </c>
      <c r="F25" s="1" t="n">
        <f aca="false">3/8</f>
        <v>0.375</v>
      </c>
    </row>
    <row collapsed="false" customFormat="false" customHeight="false" hidden="false" ht="14.75" outlineLevel="0" r="26">
      <c r="A26" s="1" t="s">
        <v>822</v>
      </c>
      <c r="B26" s="1" t="s">
        <v>1796</v>
      </c>
      <c r="C26" s="1" t="s">
        <v>1787</v>
      </c>
      <c r="D26" s="1" t="n">
        <v>140</v>
      </c>
      <c r="E26" s="1" t="n">
        <v>8.89</v>
      </c>
      <c r="F26" s="1" t="n">
        <f aca="false">14/8</f>
        <v>1.75</v>
      </c>
    </row>
    <row collapsed="false" customFormat="false" customHeight="false" hidden="false" ht="14.75" outlineLevel="0" r="27">
      <c r="A27" s="1" t="s">
        <v>1806</v>
      </c>
      <c r="B27" s="1" t="s">
        <v>1796</v>
      </c>
      <c r="C27" s="1" t="s">
        <v>1787</v>
      </c>
      <c r="D27" s="1" t="n">
        <v>226.9</v>
      </c>
      <c r="E27" s="1" t="n">
        <v>12.58</v>
      </c>
      <c r="F27" s="1" t="n">
        <f aca="false">20/8</f>
        <v>2.5</v>
      </c>
    </row>
    <row collapsed="false" customFormat="false" customHeight="false" hidden="false" ht="14.75" outlineLevel="0" r="28">
      <c r="A28" s="1" t="s">
        <v>727</v>
      </c>
      <c r="B28" s="1" t="s">
        <v>1792</v>
      </c>
      <c r="C28" s="1" t="s">
        <v>1787</v>
      </c>
      <c r="D28" s="1" t="n">
        <v>247.2</v>
      </c>
      <c r="E28" s="1" t="n">
        <v>15.11</v>
      </c>
      <c r="F28" s="1" t="n">
        <f aca="false">19/9</f>
        <v>2.11111111111111</v>
      </c>
    </row>
    <row collapsed="false" customFormat="false" customHeight="false" hidden="false" ht="14.75" outlineLevel="0" r="29">
      <c r="A29" s="1" t="s">
        <v>728</v>
      </c>
      <c r="B29" s="1" t="s">
        <v>1792</v>
      </c>
      <c r="C29" s="1" t="s">
        <v>1787</v>
      </c>
      <c r="D29" s="1" t="n">
        <v>101.1</v>
      </c>
      <c r="E29" s="1" t="n">
        <v>8.37</v>
      </c>
      <c r="F29" s="1" t="n">
        <f aca="false">3/9</f>
        <v>0.333333333333333</v>
      </c>
    </row>
    <row collapsed="false" customFormat="false" customHeight="false" hidden="false" ht="14.75" outlineLevel="0" r="30">
      <c r="A30" s="1" t="s">
        <v>1807</v>
      </c>
      <c r="B30" s="1" t="s">
        <v>1792</v>
      </c>
      <c r="C30" s="1" t="s">
        <v>1787</v>
      </c>
      <c r="D30" s="1" t="n">
        <v>75.6</v>
      </c>
      <c r="E30" s="1" t="n">
        <v>10.42</v>
      </c>
      <c r="F30" s="1" t="n">
        <f aca="false">6/9</f>
        <v>0.666666666666667</v>
      </c>
    </row>
    <row collapsed="false" customFormat="false" customHeight="false" hidden="false" ht="14.75" outlineLevel="0" r="31">
      <c r="A31" s="1" t="s">
        <v>1011</v>
      </c>
      <c r="B31" s="1" t="s">
        <v>1808</v>
      </c>
      <c r="C31" s="1" t="s">
        <v>1787</v>
      </c>
      <c r="D31" s="1" t="n">
        <v>215.5</v>
      </c>
      <c r="E31" s="1" t="n">
        <v>14.06</v>
      </c>
      <c r="F31" s="1" t="n">
        <v>2</v>
      </c>
    </row>
    <row collapsed="false" customFormat="false" customHeight="false" hidden="false" ht="14.75" outlineLevel="0" r="32">
      <c r="A32" s="1" t="s">
        <v>1012</v>
      </c>
      <c r="B32" s="1" t="s">
        <v>1808</v>
      </c>
      <c r="C32" s="1" t="s">
        <v>1787</v>
      </c>
      <c r="D32" s="1" t="n">
        <v>128</v>
      </c>
      <c r="E32" s="1" t="n">
        <v>11.83</v>
      </c>
      <c r="F32" s="1" t="n">
        <v>0.6</v>
      </c>
    </row>
    <row collapsed="false" customFormat="false" customHeight="false" hidden="false" ht="14.75" outlineLevel="0" r="33">
      <c r="A33" s="1" t="s">
        <v>1515</v>
      </c>
      <c r="B33" s="1" t="s">
        <v>1809</v>
      </c>
      <c r="C33" s="1" t="s">
        <v>1787</v>
      </c>
      <c r="D33" s="1" t="n">
        <v>93.3</v>
      </c>
      <c r="E33" s="1" t="n">
        <v>6.67</v>
      </c>
      <c r="F33" s="1" t="n">
        <f aca="false">5/9</f>
        <v>0.555555555555556</v>
      </c>
    </row>
    <row collapsed="false" customFormat="false" customHeight="false" hidden="false" ht="14.75" outlineLevel="0" r="34">
      <c r="A34" s="1" t="s">
        <v>1810</v>
      </c>
      <c r="B34" s="1" t="s">
        <v>1790</v>
      </c>
      <c r="C34" s="4" t="s">
        <v>1787</v>
      </c>
      <c r="D34" s="1" t="n">
        <v>144</v>
      </c>
      <c r="E34" s="1" t="n">
        <v>10.33</v>
      </c>
      <c r="F34" s="1" t="n">
        <f aca="false">1/6</f>
        <v>0.166666666666667</v>
      </c>
    </row>
    <row collapsed="false" customFormat="false" customHeight="false" hidden="false" ht="14.75" outlineLevel="0" r="35">
      <c r="A35" s="1" t="s">
        <v>1811</v>
      </c>
      <c r="B35" s="1" t="s">
        <v>1790</v>
      </c>
      <c r="C35" s="4" t="s">
        <v>1787</v>
      </c>
      <c r="D35" s="1" t="n">
        <v>99.1</v>
      </c>
      <c r="E35" s="1" t="n">
        <v>10.37</v>
      </c>
      <c r="F35" s="1" t="n">
        <f aca="false">1/7</f>
        <v>0.142857142857143</v>
      </c>
    </row>
    <row collapsed="false" customFormat="false" customHeight="false" hidden="false" ht="14.75" outlineLevel="0" r="36">
      <c r="A36" s="1" t="s">
        <v>1812</v>
      </c>
      <c r="B36" s="1" t="s">
        <v>1786</v>
      </c>
      <c r="C36" s="1" t="s">
        <v>1787</v>
      </c>
      <c r="D36" s="1" t="n">
        <v>165.6</v>
      </c>
      <c r="E36" s="1" t="n">
        <v>13.48</v>
      </c>
      <c r="F36" s="1" t="n">
        <f aca="false">6/8</f>
        <v>0.75</v>
      </c>
    </row>
    <row collapsed="false" customFormat="false" customHeight="false" hidden="false" ht="14.75" outlineLevel="0" r="37">
      <c r="A37" s="1" t="s">
        <v>253</v>
      </c>
      <c r="B37" s="1" t="s">
        <v>1808</v>
      </c>
      <c r="C37" s="1" t="s">
        <v>1787</v>
      </c>
      <c r="D37" s="1" t="n">
        <v>290.5</v>
      </c>
      <c r="E37" s="1" t="n">
        <v>19.39</v>
      </c>
      <c r="F37" s="1" t="n">
        <v>2.4</v>
      </c>
    </row>
    <row collapsed="false" customFormat="false" customHeight="false" hidden="false" ht="14.75" outlineLevel="0" r="38">
      <c r="A38" s="1" t="s">
        <v>254</v>
      </c>
      <c r="B38" s="1" t="s">
        <v>1808</v>
      </c>
      <c r="C38" s="1" t="s">
        <v>1787</v>
      </c>
      <c r="D38" s="1" t="n">
        <v>198.5</v>
      </c>
      <c r="E38" s="1" t="n">
        <v>12.91</v>
      </c>
      <c r="F38" s="1" t="n">
        <v>1.8</v>
      </c>
    </row>
    <row collapsed="false" customFormat="false" customHeight="false" hidden="false" ht="14.75" outlineLevel="0" r="39">
      <c r="A39" s="1" t="s">
        <v>1520</v>
      </c>
      <c r="B39" s="1" t="s">
        <v>1809</v>
      </c>
      <c r="C39" s="1" t="s">
        <v>1787</v>
      </c>
      <c r="D39" s="1" t="n">
        <v>145</v>
      </c>
      <c r="E39" s="1" t="n">
        <v>9.85</v>
      </c>
      <c r="F39" s="1" t="n">
        <f aca="false">4/9</f>
        <v>0.444444444444444</v>
      </c>
    </row>
    <row collapsed="false" customFormat="false" customHeight="false" hidden="false" ht="14.75" outlineLevel="0" r="40">
      <c r="A40" s="1" t="s">
        <v>1813</v>
      </c>
      <c r="B40" s="1" t="s">
        <v>1797</v>
      </c>
      <c r="C40" s="1" t="s">
        <v>1787</v>
      </c>
      <c r="D40" s="1" t="n">
        <v>145.5</v>
      </c>
      <c r="E40" s="1" t="n">
        <v>11.27</v>
      </c>
      <c r="F40" s="1" t="n">
        <v>0.5</v>
      </c>
    </row>
    <row collapsed="false" customFormat="false" customHeight="false" hidden="false" ht="14.75" outlineLevel="0" r="41">
      <c r="A41" s="1" t="s">
        <v>1014</v>
      </c>
      <c r="B41" s="1" t="s">
        <v>1797</v>
      </c>
      <c r="C41" s="1" t="s">
        <v>1787</v>
      </c>
      <c r="D41" s="1" t="n">
        <v>405.5</v>
      </c>
      <c r="E41" s="1" t="n">
        <v>20.45</v>
      </c>
      <c r="F41" s="1" t="n">
        <f aca="false">41/11</f>
        <v>3.72727272727273</v>
      </c>
    </row>
    <row collapsed="false" customFormat="false" customHeight="false" hidden="false" ht="14.75" outlineLevel="0" r="42">
      <c r="A42" s="1" t="s">
        <v>1015</v>
      </c>
      <c r="B42" s="1" t="s">
        <v>1797</v>
      </c>
      <c r="C42" s="1" t="s">
        <v>1787</v>
      </c>
      <c r="D42" s="1" t="n">
        <v>254.5</v>
      </c>
      <c r="E42" s="1" t="n">
        <v>14.77</v>
      </c>
      <c r="F42" s="1" t="n">
        <f aca="false">25/11</f>
        <v>2.27272727272727</v>
      </c>
    </row>
    <row collapsed="false" customFormat="false" customHeight="false" hidden="false" ht="14.75" outlineLevel="0" r="43">
      <c r="A43" s="1" t="s">
        <v>1528</v>
      </c>
      <c r="B43" s="1" t="s">
        <v>1797</v>
      </c>
      <c r="C43" s="1" t="s">
        <v>1787</v>
      </c>
      <c r="D43" s="1" t="n">
        <v>481.4</v>
      </c>
      <c r="E43" s="1" t="n">
        <v>22.39</v>
      </c>
      <c r="F43" s="1" t="n">
        <f aca="false">64/11</f>
        <v>5.81818181818182</v>
      </c>
    </row>
    <row collapsed="false" customFormat="false" customHeight="false" hidden="false" ht="14.75" outlineLevel="0" r="44">
      <c r="A44" s="1" t="s">
        <v>1814</v>
      </c>
      <c r="B44" s="1" t="s">
        <v>1797</v>
      </c>
      <c r="C44" s="1" t="s">
        <v>1787</v>
      </c>
      <c r="D44" s="1" t="n">
        <v>197</v>
      </c>
      <c r="E44" s="1" t="n">
        <v>12.81</v>
      </c>
      <c r="F44" s="1" t="n">
        <v>0.5</v>
      </c>
    </row>
    <row collapsed="false" customFormat="false" customHeight="false" hidden="false" ht="14.75" outlineLevel="0" r="45">
      <c r="A45" s="1" t="s">
        <v>1815</v>
      </c>
      <c r="B45" s="1" t="s">
        <v>1797</v>
      </c>
      <c r="C45" s="1" t="s">
        <v>1787</v>
      </c>
      <c r="D45" s="1" t="n">
        <v>139.5</v>
      </c>
      <c r="E45" s="1" t="n">
        <v>11.52</v>
      </c>
      <c r="F45" s="1" t="n">
        <v>0.5</v>
      </c>
    </row>
    <row collapsed="false" customFormat="false" customHeight="false" hidden="false" ht="14.75" outlineLevel="0" r="46">
      <c r="A46" s="1" t="s">
        <v>1816</v>
      </c>
      <c r="B46" s="1" t="s">
        <v>1797</v>
      </c>
      <c r="C46" s="1" t="s">
        <v>1787</v>
      </c>
      <c r="D46" s="1" t="n">
        <v>65.5</v>
      </c>
      <c r="E46" s="1" t="n">
        <v>7.5</v>
      </c>
      <c r="F46" s="1" t="n">
        <v>0.6</v>
      </c>
    </row>
    <row collapsed="false" customFormat="false" customHeight="false" hidden="false" ht="14.75" outlineLevel="0" r="47">
      <c r="A47" s="1" t="s">
        <v>1016</v>
      </c>
      <c r="B47" s="1" t="s">
        <v>1797</v>
      </c>
      <c r="C47" s="1" t="s">
        <v>1787</v>
      </c>
      <c r="D47" s="1" t="n">
        <v>131.9</v>
      </c>
      <c r="E47" s="1" t="n">
        <v>8.64</v>
      </c>
      <c r="F47" s="1" t="n">
        <v>1.1</v>
      </c>
    </row>
    <row collapsed="false" customFormat="false" customHeight="false" hidden="false" ht="14.75" outlineLevel="0" r="48">
      <c r="A48" s="1" t="s">
        <v>1017</v>
      </c>
      <c r="B48" s="1" t="s">
        <v>1797</v>
      </c>
      <c r="C48" s="1" t="s">
        <v>1787</v>
      </c>
      <c r="D48" s="1" t="n">
        <v>84.5</v>
      </c>
      <c r="E48" s="1" t="n">
        <v>10.71</v>
      </c>
      <c r="F48" s="1" t="n">
        <v>0.3</v>
      </c>
    </row>
    <row collapsed="false" customFormat="false" customHeight="false" hidden="false" ht="14.75" outlineLevel="0" r="49">
      <c r="A49" s="1" t="s">
        <v>1817</v>
      </c>
      <c r="B49" s="1" t="s">
        <v>1797</v>
      </c>
      <c r="C49" s="1" t="s">
        <v>1787</v>
      </c>
      <c r="D49" s="1" t="n">
        <v>143.1</v>
      </c>
      <c r="E49" s="1" t="n">
        <v>9.66</v>
      </c>
      <c r="F49" s="1" t="n">
        <v>1</v>
      </c>
    </row>
    <row collapsed="false" customFormat="false" customHeight="false" hidden="false" ht="14.75" outlineLevel="0" r="50">
      <c r="A50" s="1" t="s">
        <v>738</v>
      </c>
      <c r="B50" s="1" t="s">
        <v>1792</v>
      </c>
      <c r="C50" s="1" t="s">
        <v>1787</v>
      </c>
      <c r="D50" s="1" t="n">
        <v>204.4</v>
      </c>
      <c r="E50" s="1" t="n">
        <v>16.27</v>
      </c>
      <c r="F50" s="1" t="n">
        <f aca="false">17/9</f>
        <v>1.88888888888889</v>
      </c>
    </row>
    <row collapsed="false" customFormat="false" customHeight="false" hidden="false" ht="14.75" outlineLevel="0" r="51">
      <c r="A51" s="1" t="s">
        <v>1818</v>
      </c>
      <c r="B51" s="1" t="s">
        <v>1792</v>
      </c>
      <c r="C51" s="1" t="s">
        <v>1787</v>
      </c>
      <c r="D51" s="1" t="n">
        <v>176.1</v>
      </c>
      <c r="E51" s="1" t="n">
        <v>13.75</v>
      </c>
      <c r="F51" s="1" t="n">
        <f aca="false">12/9</f>
        <v>1.33333333333333</v>
      </c>
    </row>
    <row collapsed="false" customFormat="false" customHeight="false" hidden="false" ht="14.75" outlineLevel="0" r="52">
      <c r="A52" s="1" t="s">
        <v>1819</v>
      </c>
      <c r="B52" s="1" t="s">
        <v>1792</v>
      </c>
      <c r="C52" s="1" t="s">
        <v>1787</v>
      </c>
      <c r="D52" s="1" t="n">
        <v>62.8</v>
      </c>
      <c r="E52" s="1" t="n">
        <v>6.84</v>
      </c>
      <c r="F52" s="1" t="n">
        <f aca="false">3/9</f>
        <v>0.333333333333333</v>
      </c>
    </row>
    <row collapsed="false" customFormat="false" customHeight="false" hidden="false" ht="14.75" outlineLevel="0" r="53">
      <c r="A53" s="1" t="s">
        <v>742</v>
      </c>
      <c r="B53" s="1" t="s">
        <v>1792</v>
      </c>
      <c r="C53" s="1" t="s">
        <v>1787</v>
      </c>
      <c r="D53" s="1" t="n">
        <v>110</v>
      </c>
      <c r="E53" s="1" t="n">
        <v>12.56</v>
      </c>
      <c r="F53" s="1" t="n">
        <f aca="false">5/9</f>
        <v>0.555555555555556</v>
      </c>
    </row>
    <row collapsed="false" customFormat="false" customHeight="false" hidden="false" ht="14.75" outlineLevel="0" r="54">
      <c r="A54" s="1" t="s">
        <v>743</v>
      </c>
      <c r="B54" s="1" t="s">
        <v>1792</v>
      </c>
      <c r="C54" s="1" t="s">
        <v>1787</v>
      </c>
      <c r="D54" s="1" t="n">
        <v>64.4</v>
      </c>
      <c r="E54" s="1" t="n">
        <v>6.22</v>
      </c>
      <c r="F54" s="1" t="n">
        <v>0</v>
      </c>
    </row>
    <row collapsed="false" customFormat="false" customHeight="false" hidden="false" ht="14.75" outlineLevel="0" r="55">
      <c r="A55" s="1" t="s">
        <v>744</v>
      </c>
      <c r="B55" s="1" t="s">
        <v>1792</v>
      </c>
      <c r="C55" s="1" t="s">
        <v>1787</v>
      </c>
      <c r="D55" s="1" t="n">
        <v>53.9</v>
      </c>
      <c r="E55" s="1" t="n">
        <v>5.3</v>
      </c>
      <c r="F55" s="1" t="n">
        <v>0</v>
      </c>
    </row>
    <row collapsed="false" customFormat="false" customHeight="false" hidden="false" ht="14.75" outlineLevel="0" r="56">
      <c r="A56" s="1" t="s">
        <v>1820</v>
      </c>
      <c r="B56" s="1" t="s">
        <v>1797</v>
      </c>
      <c r="C56" s="1" t="s">
        <v>1787</v>
      </c>
      <c r="D56" s="1" t="n">
        <v>167</v>
      </c>
      <c r="E56" s="1" t="n">
        <v>11.28</v>
      </c>
      <c r="F56" s="1" t="n">
        <v>0.4</v>
      </c>
    </row>
    <row collapsed="false" customFormat="false" customHeight="false" hidden="false" ht="14.75" outlineLevel="0" r="57">
      <c r="A57" s="1" t="s">
        <v>1821</v>
      </c>
      <c r="B57" s="1" t="s">
        <v>1808</v>
      </c>
      <c r="C57" s="1" t="s">
        <v>1787</v>
      </c>
      <c r="D57" s="1" t="n">
        <v>194</v>
      </c>
      <c r="E57" s="1" t="n">
        <v>13.81</v>
      </c>
      <c r="F57" s="1" t="n">
        <v>1.6</v>
      </c>
    </row>
    <row collapsed="false" customFormat="false" customHeight="false" hidden="false" ht="14.75" outlineLevel="0" r="58">
      <c r="A58" s="1" t="s">
        <v>1822</v>
      </c>
      <c r="B58" s="1" t="s">
        <v>1809</v>
      </c>
      <c r="C58" s="1" t="s">
        <v>1787</v>
      </c>
      <c r="D58" s="1" t="n">
        <v>140.6</v>
      </c>
      <c r="E58" s="1" t="n">
        <v>8.97</v>
      </c>
      <c r="F58" s="1" t="n">
        <f aca="false">6/9</f>
        <v>0.666666666666667</v>
      </c>
    </row>
    <row collapsed="false" customFormat="false" customHeight="false" hidden="false" ht="14.75" outlineLevel="0" r="59">
      <c r="A59" s="1" t="s">
        <v>1021</v>
      </c>
      <c r="B59" s="1" t="s">
        <v>1790</v>
      </c>
      <c r="C59" s="4" t="s">
        <v>1787</v>
      </c>
      <c r="D59" s="1" t="n">
        <v>72.3</v>
      </c>
      <c r="E59" s="1" t="n">
        <v>9.41</v>
      </c>
      <c r="F59" s="1" t="n">
        <f aca="false">5/7</f>
        <v>0.714285714285714</v>
      </c>
    </row>
    <row collapsed="false" customFormat="false" customHeight="false" hidden="false" ht="14.75" outlineLevel="0" r="60">
      <c r="A60" s="1" t="s">
        <v>1183</v>
      </c>
      <c r="B60" s="1" t="s">
        <v>1808</v>
      </c>
      <c r="C60" s="1" t="s">
        <v>1787</v>
      </c>
      <c r="D60" s="1" t="n">
        <v>39.4</v>
      </c>
      <c r="E60" s="1" t="n">
        <v>5.2</v>
      </c>
      <c r="F60" s="1" t="n">
        <f aca="false">1/9</f>
        <v>0.111111111111111</v>
      </c>
    </row>
    <row collapsed="false" customFormat="false" customHeight="false" hidden="false" ht="14.75" outlineLevel="0" r="61">
      <c r="A61" s="1" t="s">
        <v>1184</v>
      </c>
      <c r="B61" s="1" t="s">
        <v>1808</v>
      </c>
      <c r="C61" s="1" t="s">
        <v>1787</v>
      </c>
      <c r="D61" s="1" t="n">
        <v>59</v>
      </c>
      <c r="E61" s="1" t="n">
        <v>5.79</v>
      </c>
      <c r="F61" s="1" t="n">
        <v>0.1</v>
      </c>
    </row>
    <row collapsed="false" customFormat="false" customHeight="false" hidden="false" ht="14.75" outlineLevel="0" r="62">
      <c r="A62" s="1" t="s">
        <v>1823</v>
      </c>
      <c r="B62" s="1" t="s">
        <v>1808</v>
      </c>
      <c r="C62" s="1" t="s">
        <v>1787</v>
      </c>
      <c r="D62" s="1" t="n">
        <v>51.7</v>
      </c>
      <c r="E62" s="1" t="n">
        <v>4.84</v>
      </c>
      <c r="F62" s="1" t="n">
        <f aca="false">2/9</f>
        <v>0.222222222222222</v>
      </c>
    </row>
    <row collapsed="false" customFormat="false" customHeight="false" hidden="false" ht="14.75" outlineLevel="0" r="63">
      <c r="A63" s="1" t="s">
        <v>1824</v>
      </c>
      <c r="B63" s="1" t="s">
        <v>1786</v>
      </c>
      <c r="C63" s="1" t="s">
        <v>1787</v>
      </c>
      <c r="D63" s="1" t="n">
        <v>358.1</v>
      </c>
      <c r="E63" s="1" t="n">
        <v>18.88</v>
      </c>
      <c r="F63" s="1" t="n">
        <f aca="false">40/8</f>
        <v>5</v>
      </c>
    </row>
    <row collapsed="false" customFormat="false" customHeight="false" hidden="false" ht="14.75" outlineLevel="0" r="64">
      <c r="A64" s="1" t="s">
        <v>691</v>
      </c>
      <c r="B64" s="1" t="s">
        <v>1796</v>
      </c>
      <c r="C64" s="1" t="s">
        <v>1787</v>
      </c>
      <c r="D64" s="1" t="n">
        <v>355</v>
      </c>
      <c r="E64" s="1" t="n">
        <v>17.58</v>
      </c>
      <c r="F64" s="1" t="n">
        <f aca="false">18/8</f>
        <v>2.25</v>
      </c>
    </row>
    <row collapsed="false" customFormat="false" customHeight="false" hidden="false" ht="14.75" outlineLevel="0" r="65">
      <c r="A65" s="1" t="s">
        <v>692</v>
      </c>
      <c r="B65" s="1" t="s">
        <v>1796</v>
      </c>
      <c r="C65" s="1" t="s">
        <v>1787</v>
      </c>
      <c r="D65" s="1" t="n">
        <v>218.8</v>
      </c>
      <c r="E65" s="1" t="n">
        <v>13.08</v>
      </c>
      <c r="F65" s="1" t="n">
        <f aca="false">6/8</f>
        <v>0.75</v>
      </c>
    </row>
    <row collapsed="false" customFormat="false" customHeight="false" hidden="false" ht="14.75" outlineLevel="0" r="66">
      <c r="A66" s="1" t="s">
        <v>1546</v>
      </c>
      <c r="B66" s="1" t="s">
        <v>1797</v>
      </c>
      <c r="C66" s="1" t="s">
        <v>1787</v>
      </c>
      <c r="D66" s="1" t="n">
        <v>207.9</v>
      </c>
      <c r="E66" s="1" t="n">
        <v>14.94</v>
      </c>
      <c r="F66" s="1" t="n">
        <v>0.9</v>
      </c>
    </row>
    <row collapsed="false" customFormat="false" customHeight="false" hidden="false" ht="14.75" outlineLevel="0" r="67">
      <c r="A67" s="1" t="s">
        <v>1825</v>
      </c>
      <c r="B67" s="1" t="s">
        <v>1797</v>
      </c>
      <c r="C67" s="1" t="s">
        <v>1787</v>
      </c>
      <c r="D67" s="1" t="n">
        <v>165</v>
      </c>
      <c r="E67" s="1" t="n">
        <v>10.62</v>
      </c>
      <c r="F67" s="1" t="n">
        <v>0.8</v>
      </c>
    </row>
    <row collapsed="false" customFormat="false" customHeight="false" hidden="false" ht="14.75" outlineLevel="0" r="68">
      <c r="A68" s="1" t="s">
        <v>747</v>
      </c>
      <c r="B68" s="1" t="s">
        <v>1792</v>
      </c>
      <c r="C68" s="1" t="s">
        <v>1787</v>
      </c>
      <c r="D68" s="1" t="n">
        <v>411.1</v>
      </c>
      <c r="E68" s="1" t="n">
        <v>22.46</v>
      </c>
      <c r="F68" s="1" t="n">
        <f aca="false">28/9</f>
        <v>3.11111111111111</v>
      </c>
    </row>
    <row collapsed="false" customFormat="false" customHeight="false" hidden="false" ht="14.75" outlineLevel="0" r="69">
      <c r="A69" s="1" t="s">
        <v>748</v>
      </c>
      <c r="B69" s="1" t="s">
        <v>1792</v>
      </c>
      <c r="C69" s="1" t="s">
        <v>1787</v>
      </c>
      <c r="D69" s="1" t="n">
        <v>137.8</v>
      </c>
      <c r="E69" s="1" t="n">
        <v>13.12</v>
      </c>
      <c r="F69" s="1" t="n">
        <f aca="false">10/9</f>
        <v>1.11111111111111</v>
      </c>
    </row>
    <row collapsed="false" customFormat="false" customHeight="false" hidden="false" ht="14.75" outlineLevel="0" r="70">
      <c r="A70" s="1" t="s">
        <v>1826</v>
      </c>
      <c r="B70" s="1" t="s">
        <v>1797</v>
      </c>
      <c r="C70" s="1" t="s">
        <v>1787</v>
      </c>
      <c r="D70" s="1" t="n">
        <v>268</v>
      </c>
      <c r="E70" s="1" t="n">
        <v>16.83</v>
      </c>
      <c r="F70" s="1" t="n">
        <v>1.3</v>
      </c>
    </row>
    <row collapsed="false" customFormat="false" customHeight="false" hidden="false" ht="14.75" outlineLevel="0" r="71">
      <c r="A71" s="1" t="s">
        <v>1827</v>
      </c>
      <c r="B71" s="1" t="s">
        <v>1786</v>
      </c>
      <c r="C71" s="1" t="s">
        <v>1787</v>
      </c>
      <c r="D71" s="1" t="n">
        <v>161.9</v>
      </c>
      <c r="E71" s="1" t="n">
        <v>13.6</v>
      </c>
      <c r="F71" s="1" t="n">
        <f aca="false">10/8</f>
        <v>1.25</v>
      </c>
    </row>
    <row collapsed="false" customFormat="false" customHeight="false" hidden="false" ht="14.75" outlineLevel="0" r="72">
      <c r="A72" s="1" t="s">
        <v>1549</v>
      </c>
      <c r="B72" s="1" t="s">
        <v>1808</v>
      </c>
      <c r="C72" s="1" t="s">
        <v>1787</v>
      </c>
      <c r="D72" s="1" t="n">
        <v>430.8</v>
      </c>
      <c r="E72" s="1" t="n">
        <v>21.72</v>
      </c>
      <c r="F72" s="1" t="n">
        <v>5.8</v>
      </c>
    </row>
    <row collapsed="false" customFormat="false" customHeight="false" hidden="false" ht="14.75" outlineLevel="0" r="73">
      <c r="A73" s="1" t="s">
        <v>1550</v>
      </c>
      <c r="B73" s="1" t="s">
        <v>1808</v>
      </c>
      <c r="C73" s="1" t="s">
        <v>1787</v>
      </c>
      <c r="D73" s="1" t="n">
        <v>211.5</v>
      </c>
      <c r="E73" s="1" t="n">
        <v>16.67</v>
      </c>
      <c r="F73" s="1" t="n">
        <v>1.7</v>
      </c>
    </row>
    <row collapsed="false" customFormat="false" customHeight="false" hidden="false" ht="14.75" outlineLevel="0" r="74">
      <c r="A74" s="1" t="s">
        <v>1828</v>
      </c>
      <c r="B74" s="1" t="s">
        <v>1786</v>
      </c>
      <c r="C74" s="1" t="s">
        <v>1787</v>
      </c>
      <c r="D74" s="1" t="n">
        <v>251.9</v>
      </c>
      <c r="E74" s="1" t="n">
        <v>15.38</v>
      </c>
      <c r="F74" s="1" t="n">
        <f aca="false">20/8</f>
        <v>2.5</v>
      </c>
    </row>
    <row collapsed="false" customFormat="false" customHeight="false" hidden="false" ht="14.75" outlineLevel="0" r="75">
      <c r="A75" s="1" t="s">
        <v>1829</v>
      </c>
      <c r="B75" s="1" t="s">
        <v>1797</v>
      </c>
      <c r="C75" s="1" t="s">
        <v>1787</v>
      </c>
      <c r="D75" s="1" t="n">
        <v>143.5</v>
      </c>
      <c r="E75" s="1" t="n">
        <v>10.79</v>
      </c>
      <c r="F75" s="1" t="n">
        <v>0.3</v>
      </c>
    </row>
    <row collapsed="false" customFormat="false" customHeight="false" hidden="false" ht="14.75" outlineLevel="0" r="76">
      <c r="A76" s="1" t="s">
        <v>1830</v>
      </c>
      <c r="B76" s="1" t="s">
        <v>1797</v>
      </c>
      <c r="C76" s="1" t="s">
        <v>1787</v>
      </c>
      <c r="D76" s="1" t="n">
        <v>35</v>
      </c>
      <c r="E76" s="1" t="n">
        <v>5</v>
      </c>
      <c r="F76" s="1" t="n">
        <v>0.2</v>
      </c>
    </row>
    <row collapsed="false" customFormat="false" customHeight="false" hidden="false" ht="14.75" outlineLevel="0" r="77">
      <c r="A77" s="1" t="s">
        <v>883</v>
      </c>
      <c r="B77" s="1" t="s">
        <v>1808</v>
      </c>
      <c r="C77" s="1" t="s">
        <v>1787</v>
      </c>
      <c r="D77" s="1" t="n">
        <v>140.5</v>
      </c>
      <c r="E77" s="1" t="n">
        <v>12.95</v>
      </c>
      <c r="F77" s="1" t="n">
        <v>0.7</v>
      </c>
    </row>
    <row collapsed="false" customFormat="false" customHeight="false" hidden="false" ht="14.75" outlineLevel="0" r="78">
      <c r="A78" s="1" t="s">
        <v>884</v>
      </c>
      <c r="B78" s="1" t="s">
        <v>1808</v>
      </c>
      <c r="C78" s="1" t="s">
        <v>1787</v>
      </c>
      <c r="D78" s="1" t="n">
        <v>149</v>
      </c>
      <c r="E78" s="1" t="n">
        <v>12.28</v>
      </c>
      <c r="F78" s="1" t="n">
        <v>2.1</v>
      </c>
    </row>
    <row collapsed="false" customFormat="false" customHeight="false" hidden="false" ht="14.75" outlineLevel="0" r="79">
      <c r="A79" s="1" t="s">
        <v>1831</v>
      </c>
      <c r="B79" s="1" t="s">
        <v>1809</v>
      </c>
      <c r="C79" s="1" t="s">
        <v>1787</v>
      </c>
      <c r="D79" s="1" t="n">
        <v>195</v>
      </c>
      <c r="E79" s="1" t="n">
        <v>11.46</v>
      </c>
      <c r="F79" s="1" t="n">
        <f aca="false">12/9</f>
        <v>1.33333333333333</v>
      </c>
    </row>
    <row collapsed="false" customFormat="false" customHeight="false" hidden="false" ht="14.75" outlineLevel="0" r="80">
      <c r="A80" s="1" t="s">
        <v>1832</v>
      </c>
      <c r="B80" s="1" t="s">
        <v>1809</v>
      </c>
      <c r="C80" s="1" t="s">
        <v>1787</v>
      </c>
      <c r="D80" s="1" t="n">
        <v>133.9</v>
      </c>
      <c r="E80" s="1" t="n">
        <v>10.93</v>
      </c>
      <c r="F80" s="1" t="n">
        <f aca="false">7/9</f>
        <v>0.777777777777778</v>
      </c>
    </row>
    <row collapsed="false" customFormat="false" customHeight="false" hidden="false" ht="14.75" outlineLevel="0" r="81">
      <c r="A81" s="1" t="s">
        <v>1833</v>
      </c>
      <c r="B81" s="1" t="s">
        <v>1797</v>
      </c>
      <c r="C81" s="1" t="s">
        <v>1787</v>
      </c>
      <c r="D81" s="1" t="n">
        <v>70.5</v>
      </c>
      <c r="E81" s="1" t="n">
        <v>7.05</v>
      </c>
      <c r="F81" s="1" t="n">
        <v>0.2</v>
      </c>
    </row>
    <row collapsed="false" customFormat="false" customHeight="false" hidden="false" ht="14.75" outlineLevel="0" r="82">
      <c r="A82" s="1" t="s">
        <v>1834</v>
      </c>
      <c r="B82" s="1" t="s">
        <v>1797</v>
      </c>
      <c r="C82" s="1" t="s">
        <v>1787</v>
      </c>
      <c r="D82" s="1" t="n">
        <v>133.5</v>
      </c>
      <c r="E82" s="1" t="n">
        <v>11.52</v>
      </c>
      <c r="F82" s="1" t="n">
        <v>0.6</v>
      </c>
    </row>
    <row collapsed="false" customFormat="false" customHeight="false" hidden="false" ht="14.75" outlineLevel="0" r="83">
      <c r="A83" s="1" t="s">
        <v>467</v>
      </c>
      <c r="B83" s="1" t="s">
        <v>1797</v>
      </c>
      <c r="C83" s="1" t="s">
        <v>1787</v>
      </c>
      <c r="D83" s="1" t="n">
        <v>135.5</v>
      </c>
      <c r="E83" s="1" t="n">
        <v>8.13</v>
      </c>
      <c r="F83" s="1" t="n">
        <v>0.7</v>
      </c>
    </row>
    <row collapsed="false" customFormat="false" customHeight="false" hidden="false" ht="14.75" outlineLevel="0" r="84">
      <c r="A84" s="1" t="s">
        <v>1835</v>
      </c>
      <c r="B84" s="1" t="s">
        <v>1796</v>
      </c>
      <c r="C84" s="1" t="s">
        <v>1787</v>
      </c>
      <c r="D84" s="1" t="n">
        <v>241.9</v>
      </c>
      <c r="E84" s="1" t="n">
        <v>14.2</v>
      </c>
      <c r="F84" s="1" t="n">
        <f aca="false">21/8</f>
        <v>2.625</v>
      </c>
    </row>
    <row collapsed="false" customFormat="false" customHeight="false" hidden="false" ht="14.75" outlineLevel="0" r="85">
      <c r="A85" s="1" t="s">
        <v>892</v>
      </c>
      <c r="B85" s="1" t="s">
        <v>1797</v>
      </c>
      <c r="C85" s="1" t="s">
        <v>1787</v>
      </c>
      <c r="D85" s="1" t="n">
        <v>196.7</v>
      </c>
      <c r="E85" s="1" t="n">
        <v>12.12</v>
      </c>
      <c r="F85" s="1" t="n">
        <f aca="false">10/9</f>
        <v>1.11111111111111</v>
      </c>
    </row>
    <row collapsed="false" customFormat="false" customHeight="false" hidden="false" ht="14.75" outlineLevel="0" r="86">
      <c r="A86" s="1" t="s">
        <v>893</v>
      </c>
      <c r="B86" s="1" t="s">
        <v>1797</v>
      </c>
      <c r="C86" s="1" t="s">
        <v>1787</v>
      </c>
      <c r="D86" s="1" t="n">
        <v>126</v>
      </c>
      <c r="E86" s="1" t="n">
        <v>9.38</v>
      </c>
      <c r="F86" s="1" t="n">
        <v>0.8</v>
      </c>
    </row>
    <row collapsed="false" customFormat="false" customHeight="false" hidden="false" ht="14.75" outlineLevel="0" r="87">
      <c r="A87" s="1" t="s">
        <v>1836</v>
      </c>
      <c r="B87" s="1" t="s">
        <v>1797</v>
      </c>
      <c r="C87" s="1" t="s">
        <v>1787</v>
      </c>
      <c r="D87" s="1" t="n">
        <v>193.3</v>
      </c>
      <c r="E87" s="1" t="n">
        <v>13.47</v>
      </c>
      <c r="F87" s="1" t="n">
        <f aca="false">13/9</f>
        <v>1.44444444444444</v>
      </c>
    </row>
    <row collapsed="false" customFormat="false" customHeight="false" hidden="false" ht="14.75" outlineLevel="0" r="88">
      <c r="A88" s="1" t="s">
        <v>1837</v>
      </c>
      <c r="B88" s="1" t="s">
        <v>1797</v>
      </c>
      <c r="C88" s="1" t="s">
        <v>1787</v>
      </c>
      <c r="D88" s="1" t="n">
        <v>120.5</v>
      </c>
      <c r="E88" s="1" t="n">
        <v>7.32</v>
      </c>
      <c r="F88" s="1" t="n">
        <v>0.9</v>
      </c>
    </row>
    <row collapsed="false" customFormat="false" customHeight="false" hidden="false" ht="14.75" outlineLevel="0" r="89">
      <c r="A89" s="1" t="s">
        <v>1041</v>
      </c>
      <c r="B89" s="1" t="s">
        <v>1790</v>
      </c>
      <c r="C89" s="4" t="s">
        <v>1787</v>
      </c>
      <c r="D89" s="1" t="n">
        <v>286.6</v>
      </c>
      <c r="E89" s="1" t="n">
        <v>15.35</v>
      </c>
      <c r="F89" s="1" t="n">
        <f aca="false">18/8</f>
        <v>2.25</v>
      </c>
    </row>
    <row collapsed="false" customFormat="false" customHeight="false" hidden="false" ht="14.75" outlineLevel="0" r="90">
      <c r="A90" s="1" t="s">
        <v>1042</v>
      </c>
      <c r="B90" s="1" t="s">
        <v>1790</v>
      </c>
      <c r="C90" s="4" t="s">
        <v>1787</v>
      </c>
      <c r="D90" s="1" t="n">
        <v>121.5</v>
      </c>
      <c r="E90" s="1" t="n">
        <v>11.67</v>
      </c>
      <c r="F90" s="1" t="n">
        <f aca="false">3/7</f>
        <v>0.428571428571429</v>
      </c>
    </row>
    <row collapsed="false" customFormat="false" customHeight="false" hidden="false" ht="14.75" outlineLevel="0" r="91">
      <c r="A91" s="1" t="s">
        <v>147</v>
      </c>
      <c r="B91" s="1" t="s">
        <v>1790</v>
      </c>
      <c r="C91" s="4" t="s">
        <v>1787</v>
      </c>
      <c r="D91" s="1" t="n">
        <v>190.2</v>
      </c>
      <c r="E91" s="1" t="n">
        <v>12.8</v>
      </c>
      <c r="F91" s="1" t="n">
        <f aca="false">10/8</f>
        <v>1.25</v>
      </c>
    </row>
    <row collapsed="false" customFormat="false" customHeight="false" hidden="false" ht="14.75" outlineLevel="0" r="92">
      <c r="A92" s="1" t="s">
        <v>148</v>
      </c>
      <c r="B92" s="1" t="s">
        <v>1790</v>
      </c>
      <c r="C92" s="4" t="s">
        <v>1787</v>
      </c>
      <c r="D92" s="1" t="n">
        <v>81.2</v>
      </c>
      <c r="E92" s="1" t="n">
        <v>7.14</v>
      </c>
      <c r="F92" s="1" t="n">
        <v>0</v>
      </c>
    </row>
    <row collapsed="false" customFormat="false" customHeight="false" hidden="false" ht="14.75" outlineLevel="0" r="93">
      <c r="A93" s="1" t="s">
        <v>353</v>
      </c>
      <c r="B93" s="1" t="s">
        <v>1796</v>
      </c>
      <c r="C93" s="1" t="s">
        <v>1787</v>
      </c>
      <c r="D93" s="1" t="n">
        <v>105</v>
      </c>
      <c r="E93" s="1" t="n">
        <v>7.44</v>
      </c>
      <c r="F93" s="1" t="n">
        <f aca="false">4/8</f>
        <v>0.5</v>
      </c>
    </row>
    <row collapsed="false" customFormat="false" customHeight="false" hidden="false" ht="14.75" outlineLevel="0" r="94">
      <c r="A94" s="1" t="s">
        <v>353</v>
      </c>
      <c r="B94" s="1" t="s">
        <v>1790</v>
      </c>
      <c r="C94" s="4" t="s">
        <v>1787</v>
      </c>
      <c r="D94" s="1" t="n">
        <v>222.8</v>
      </c>
      <c r="E94" s="1" t="n">
        <v>13.29</v>
      </c>
      <c r="F94" s="1" t="n">
        <f aca="false">15/9</f>
        <v>1.66666666666667</v>
      </c>
    </row>
    <row collapsed="false" customFormat="false" customHeight="false" hidden="false" ht="14.75" outlineLevel="0" r="95">
      <c r="A95" s="1" t="s">
        <v>1838</v>
      </c>
      <c r="B95" s="1" t="s">
        <v>1796</v>
      </c>
      <c r="C95" s="1" t="s">
        <v>1787</v>
      </c>
      <c r="D95" s="1" t="n">
        <v>307.5</v>
      </c>
      <c r="E95" s="1" t="n">
        <v>15.06</v>
      </c>
      <c r="F95" s="1" t="n">
        <f aca="false">12/8</f>
        <v>1.5</v>
      </c>
    </row>
    <row collapsed="false" customFormat="false" customHeight="false" hidden="false" ht="14.75" outlineLevel="0" r="96">
      <c r="A96" s="1" t="s">
        <v>1839</v>
      </c>
      <c r="B96" s="1" t="s">
        <v>1796</v>
      </c>
      <c r="C96" s="1" t="s">
        <v>1787</v>
      </c>
      <c r="D96" s="1" t="n">
        <v>78.8</v>
      </c>
      <c r="E96" s="1" t="n">
        <v>8.08</v>
      </c>
      <c r="F96" s="1" t="n">
        <f aca="false">2/8</f>
        <v>0.25</v>
      </c>
    </row>
    <row collapsed="false" customFormat="false" customHeight="false" hidden="false" ht="14.75" outlineLevel="0" r="97">
      <c r="A97" s="1" t="s">
        <v>1709</v>
      </c>
      <c r="B97" s="1" t="s">
        <v>1796</v>
      </c>
      <c r="C97" s="1" t="s">
        <v>1787</v>
      </c>
      <c r="D97" s="1" t="n">
        <v>187.5</v>
      </c>
      <c r="E97" s="1" t="n">
        <v>10.65</v>
      </c>
      <c r="F97" s="1" t="n">
        <f aca="false">10/8</f>
        <v>1.25</v>
      </c>
    </row>
    <row collapsed="false" customFormat="false" customHeight="false" hidden="false" ht="14.75" outlineLevel="0" r="98">
      <c r="A98" s="1" t="s">
        <v>1840</v>
      </c>
      <c r="B98" s="1" t="s">
        <v>1797</v>
      </c>
      <c r="C98" s="1" t="s">
        <v>1787</v>
      </c>
      <c r="D98" s="1" t="n">
        <v>128.5</v>
      </c>
      <c r="E98" s="1" t="n">
        <v>10.54</v>
      </c>
      <c r="F98" s="1" t="n">
        <v>0.6</v>
      </c>
    </row>
    <row collapsed="false" customFormat="false" customHeight="false" hidden="false" ht="14.75" outlineLevel="0" r="99">
      <c r="A99" s="1" t="s">
        <v>1841</v>
      </c>
      <c r="B99" s="1" t="s">
        <v>1797</v>
      </c>
      <c r="C99" s="1" t="s">
        <v>1787</v>
      </c>
      <c r="D99" s="1" t="n">
        <v>118</v>
      </c>
      <c r="E99" s="1" t="n">
        <v>9.67</v>
      </c>
      <c r="F99" s="1" t="n">
        <v>0.7</v>
      </c>
    </row>
    <row collapsed="false" customFormat="false" customHeight="false" hidden="false" ht="14.75" outlineLevel="0" r="100">
      <c r="A100" s="1" t="s">
        <v>694</v>
      </c>
      <c r="B100" s="1" t="s">
        <v>1796</v>
      </c>
      <c r="C100" s="1" t="s">
        <v>1787</v>
      </c>
      <c r="D100" s="1" t="n">
        <v>506.1</v>
      </c>
      <c r="E100" s="1" t="n">
        <v>21.61</v>
      </c>
      <c r="F100" s="1" t="n">
        <f aca="false">51/9</f>
        <v>5.66666666666667</v>
      </c>
    </row>
    <row collapsed="false" customFormat="false" customHeight="false" hidden="false" ht="14.75" outlineLevel="0" r="101">
      <c r="A101" s="1" t="s">
        <v>695</v>
      </c>
      <c r="B101" s="1" t="s">
        <v>1796</v>
      </c>
      <c r="C101" s="1" t="s">
        <v>1787</v>
      </c>
      <c r="D101" s="1" t="n">
        <v>243.8</v>
      </c>
      <c r="E101" s="1" t="n">
        <v>12.43</v>
      </c>
      <c r="F101" s="1" t="n">
        <f aca="false">18/8</f>
        <v>2.25</v>
      </c>
    </row>
    <row collapsed="false" customFormat="false" customHeight="false" hidden="false" ht="14.75" outlineLevel="0" r="102">
      <c r="A102" s="1" t="s">
        <v>1842</v>
      </c>
      <c r="B102" s="1" t="s">
        <v>1808</v>
      </c>
      <c r="C102" s="1" t="s">
        <v>1787</v>
      </c>
      <c r="D102" s="1" t="n">
        <v>114.5</v>
      </c>
      <c r="E102" s="1" t="n">
        <v>10</v>
      </c>
      <c r="F102" s="1" t="n">
        <v>0.7</v>
      </c>
    </row>
    <row collapsed="false" customFormat="false" customHeight="false" hidden="false" ht="14.75" outlineLevel="0" r="103">
      <c r="A103" s="1" t="s">
        <v>1843</v>
      </c>
      <c r="B103" s="1" t="s">
        <v>1808</v>
      </c>
      <c r="C103" s="1" t="s">
        <v>1787</v>
      </c>
      <c r="D103" s="1" t="n">
        <v>64</v>
      </c>
      <c r="E103" s="1" t="n">
        <v>5.68</v>
      </c>
      <c r="F103" s="1" t="n">
        <v>0.2</v>
      </c>
    </row>
    <row collapsed="false" customFormat="false" customHeight="false" hidden="false" ht="14.75" outlineLevel="0" r="104">
      <c r="A104" s="1" t="s">
        <v>1844</v>
      </c>
      <c r="B104" s="1" t="s">
        <v>1786</v>
      </c>
      <c r="C104" s="1" t="s">
        <v>1787</v>
      </c>
      <c r="D104" s="1" t="n">
        <v>248.8</v>
      </c>
      <c r="E104" s="1" t="n">
        <v>17.03</v>
      </c>
      <c r="F104" s="1" t="n">
        <f aca="false">32/8</f>
        <v>4</v>
      </c>
    </row>
    <row collapsed="false" customFormat="false" customHeight="false" hidden="false" ht="14.75" outlineLevel="0" r="105">
      <c r="A105" s="1" t="s">
        <v>754</v>
      </c>
      <c r="B105" s="1" t="s">
        <v>1792</v>
      </c>
      <c r="C105" s="1" t="s">
        <v>1787</v>
      </c>
      <c r="D105" s="1" t="n">
        <v>76.7</v>
      </c>
      <c r="E105" s="1" t="n">
        <v>8.08</v>
      </c>
      <c r="F105" s="1" t="n">
        <f aca="false">5/9</f>
        <v>0.555555555555556</v>
      </c>
    </row>
    <row collapsed="false" customFormat="false" customHeight="false" hidden="false" ht="14.75" outlineLevel="0" r="106">
      <c r="A106" s="1" t="s">
        <v>755</v>
      </c>
      <c r="B106" s="1" t="s">
        <v>1792</v>
      </c>
      <c r="C106" s="1" t="s">
        <v>1787</v>
      </c>
      <c r="D106" s="1" t="n">
        <v>55.6</v>
      </c>
      <c r="E106" s="1" t="n">
        <v>8.93</v>
      </c>
      <c r="F106" s="1" t="n">
        <f aca="false">2/9</f>
        <v>0.222222222222222</v>
      </c>
    </row>
    <row collapsed="false" customFormat="false" customHeight="false" hidden="false" ht="14.75" outlineLevel="0" r="107">
      <c r="A107" s="1" t="s">
        <v>1845</v>
      </c>
      <c r="B107" s="1" t="s">
        <v>1786</v>
      </c>
      <c r="C107" s="1" t="s">
        <v>1787</v>
      </c>
      <c r="D107" s="1" t="n">
        <v>208.8</v>
      </c>
      <c r="E107" s="1" t="n">
        <v>13.99</v>
      </c>
      <c r="F107" s="1" t="n">
        <f aca="false">15/8</f>
        <v>1.875</v>
      </c>
    </row>
    <row collapsed="false" customFormat="false" customHeight="false" hidden="false" ht="14.75" outlineLevel="0" r="108">
      <c r="A108" s="1" t="s">
        <v>1846</v>
      </c>
      <c r="B108" s="1" t="s">
        <v>1786</v>
      </c>
      <c r="C108" s="1" t="s">
        <v>1787</v>
      </c>
      <c r="D108" s="1" t="n">
        <v>76.2</v>
      </c>
      <c r="E108" s="1" t="n">
        <v>7.88</v>
      </c>
      <c r="F108" s="1" t="n">
        <f aca="false">4/8</f>
        <v>0.5</v>
      </c>
    </row>
    <row collapsed="false" customFormat="false" customHeight="false" hidden="false" ht="14.75" outlineLevel="0" r="109">
      <c r="A109" s="1" t="s">
        <v>364</v>
      </c>
      <c r="B109" s="1" t="s">
        <v>1808</v>
      </c>
      <c r="C109" s="1" t="s">
        <v>1787</v>
      </c>
      <c r="D109" s="1" t="n">
        <v>411.5</v>
      </c>
      <c r="E109" s="1" t="n">
        <v>21.25</v>
      </c>
      <c r="F109" s="1" t="n">
        <v>3.7</v>
      </c>
    </row>
    <row collapsed="false" customFormat="false" customHeight="false" hidden="false" ht="14.75" outlineLevel="0" r="110">
      <c r="A110" s="1" t="s">
        <v>1847</v>
      </c>
      <c r="B110" s="1" t="s">
        <v>1797</v>
      </c>
      <c r="C110" s="1" t="s">
        <v>1787</v>
      </c>
      <c r="D110" s="1" t="n">
        <v>326</v>
      </c>
      <c r="E110" s="1" t="n">
        <v>19.19</v>
      </c>
      <c r="F110" s="1" t="n">
        <v>2.2</v>
      </c>
    </row>
    <row collapsed="false" customFormat="false" customHeight="false" hidden="false" ht="14.75" outlineLevel="0" r="111">
      <c r="A111" s="1" t="s">
        <v>1580</v>
      </c>
      <c r="B111" s="1" t="s">
        <v>1797</v>
      </c>
      <c r="C111" s="1" t="s">
        <v>1787</v>
      </c>
      <c r="D111" s="1" t="n">
        <v>239.5</v>
      </c>
      <c r="E111" s="1" t="n">
        <v>16.94</v>
      </c>
      <c r="F111" s="1" t="n">
        <v>1.7</v>
      </c>
    </row>
    <row collapsed="false" customFormat="false" customHeight="false" hidden="false" ht="14.75" outlineLevel="0" r="112">
      <c r="A112" s="1" t="s">
        <v>1581</v>
      </c>
      <c r="B112" s="1" t="s">
        <v>1797</v>
      </c>
      <c r="C112" s="1" t="s">
        <v>1787</v>
      </c>
      <c r="D112" s="1" t="n">
        <v>253.8</v>
      </c>
      <c r="E112" s="1" t="n">
        <v>17.04</v>
      </c>
      <c r="F112" s="1" t="n">
        <f aca="false">19/11</f>
        <v>1.72727272727273</v>
      </c>
    </row>
    <row collapsed="false" customFormat="false" customHeight="false" hidden="false" ht="14.75" outlineLevel="0" r="113">
      <c r="A113" s="1" t="s">
        <v>365</v>
      </c>
      <c r="B113" s="1" t="s">
        <v>1790</v>
      </c>
      <c r="C113" s="4" t="s">
        <v>1787</v>
      </c>
      <c r="D113" s="1" t="n">
        <v>192.6</v>
      </c>
      <c r="E113" s="1" t="n">
        <v>14.65</v>
      </c>
      <c r="F113" s="1" t="n">
        <f aca="false">11/7</f>
        <v>1.57142857142857</v>
      </c>
    </row>
    <row collapsed="false" customFormat="false" customHeight="false" hidden="false" ht="14.75" outlineLevel="0" r="114">
      <c r="A114" s="1" t="s">
        <v>266</v>
      </c>
      <c r="B114" s="1" t="s">
        <v>1808</v>
      </c>
      <c r="C114" s="1" t="s">
        <v>1787</v>
      </c>
      <c r="D114" s="1" t="n">
        <v>458.2</v>
      </c>
      <c r="E114" s="1" t="n">
        <v>21.87</v>
      </c>
      <c r="F114" s="1" t="n">
        <v>4.6</v>
      </c>
    </row>
    <row collapsed="false" customFormat="false" customHeight="false" hidden="false" ht="14.75" outlineLevel="0" r="115">
      <c r="A115" s="1" t="s">
        <v>267</v>
      </c>
      <c r="B115" s="1" t="s">
        <v>1808</v>
      </c>
      <c r="C115" s="1" t="s">
        <v>1787</v>
      </c>
      <c r="D115" s="1" t="n">
        <v>212</v>
      </c>
      <c r="E115" s="1" t="n">
        <v>15.9</v>
      </c>
      <c r="F115" s="1" t="n">
        <v>1.4</v>
      </c>
    </row>
    <row collapsed="false" customFormat="false" customHeight="false" hidden="false" ht="14.75" outlineLevel="0" r="116">
      <c r="A116" s="1" t="s">
        <v>715</v>
      </c>
      <c r="B116" s="1" t="s">
        <v>1808</v>
      </c>
      <c r="C116" s="1" t="s">
        <v>1787</v>
      </c>
      <c r="D116" s="1" t="n">
        <v>132</v>
      </c>
      <c r="E116" s="1" t="n">
        <v>8.68</v>
      </c>
      <c r="F116" s="1" t="n">
        <v>0.5</v>
      </c>
    </row>
    <row collapsed="false" customFormat="false" customHeight="false" hidden="false" ht="14.75" outlineLevel="0" r="117">
      <c r="A117" s="1" t="s">
        <v>1848</v>
      </c>
      <c r="B117" s="1" t="s">
        <v>1809</v>
      </c>
      <c r="C117" s="1" t="s">
        <v>1787</v>
      </c>
      <c r="D117" s="1" t="n">
        <v>132.8</v>
      </c>
      <c r="E117" s="1" t="n">
        <v>10.17</v>
      </c>
      <c r="F117" s="1" t="n">
        <f aca="false">3/9</f>
        <v>0.333333333333333</v>
      </c>
    </row>
    <row collapsed="false" customFormat="false" customHeight="false" hidden="false" ht="14.75" outlineLevel="0" r="118">
      <c r="A118" s="1" t="s">
        <v>1582</v>
      </c>
      <c r="B118" s="1" t="s">
        <v>1809</v>
      </c>
      <c r="C118" s="1" t="s">
        <v>1787</v>
      </c>
      <c r="D118" s="1" t="n">
        <v>32.8</v>
      </c>
      <c r="E118" s="1" t="n">
        <v>2.08</v>
      </c>
      <c r="F118" s="1" t="n">
        <f aca="false">2/9</f>
        <v>0.222222222222222</v>
      </c>
    </row>
    <row collapsed="false" customFormat="false" customHeight="false" hidden="false" ht="14.75" outlineLevel="0" r="119">
      <c r="A119" s="1" t="s">
        <v>372</v>
      </c>
      <c r="B119" s="1" t="s">
        <v>1790</v>
      </c>
      <c r="C119" s="4" t="s">
        <v>1787</v>
      </c>
      <c r="D119" s="1" t="n">
        <v>392.2</v>
      </c>
      <c r="E119" s="1" t="n">
        <v>19.72</v>
      </c>
      <c r="F119" s="1" t="n">
        <v>1.2</v>
      </c>
    </row>
    <row collapsed="false" customFormat="false" customHeight="false" hidden="false" ht="14.75" outlineLevel="0" r="120">
      <c r="A120" s="1" t="s">
        <v>373</v>
      </c>
      <c r="B120" s="1" t="s">
        <v>1790</v>
      </c>
      <c r="C120" s="4" t="s">
        <v>1787</v>
      </c>
      <c r="D120" s="1" t="n">
        <v>258.5</v>
      </c>
      <c r="E120" s="1" t="n">
        <v>14.86</v>
      </c>
      <c r="F120" s="1" t="n">
        <f aca="false">14/8</f>
        <v>1.75</v>
      </c>
    </row>
    <row collapsed="false" customFormat="false" customHeight="false" hidden="false" ht="14.75" outlineLevel="0" r="121">
      <c r="A121" s="1" t="s">
        <v>1849</v>
      </c>
      <c r="B121" s="1" t="s">
        <v>1796</v>
      </c>
      <c r="C121" s="1" t="s">
        <v>1787</v>
      </c>
      <c r="D121" s="1" t="n">
        <v>341.7</v>
      </c>
      <c r="E121" s="1" t="n">
        <v>17.4</v>
      </c>
      <c r="F121" s="1" t="n">
        <f aca="false">23/9</f>
        <v>2.55555555555556</v>
      </c>
    </row>
    <row collapsed="false" customFormat="false" customHeight="false" hidden="false" ht="14.75" outlineLevel="0" r="122">
      <c r="A122" s="1" t="s">
        <v>1850</v>
      </c>
      <c r="B122" s="1" t="s">
        <v>1796</v>
      </c>
      <c r="C122" s="1" t="s">
        <v>1787</v>
      </c>
      <c r="D122" s="1" t="n">
        <v>138.8</v>
      </c>
      <c r="E122" s="1" t="n">
        <v>10</v>
      </c>
      <c r="F122" s="1" t="n">
        <f aca="false">4/8</f>
        <v>0.5</v>
      </c>
    </row>
    <row collapsed="false" customFormat="false" customHeight="false" hidden="false" ht="14.75" outlineLevel="0" r="123">
      <c r="A123" s="1" t="s">
        <v>699</v>
      </c>
      <c r="B123" s="1" t="s">
        <v>1796</v>
      </c>
      <c r="C123" s="1" t="s">
        <v>1787</v>
      </c>
      <c r="D123" s="1" t="n">
        <v>248.1</v>
      </c>
      <c r="E123" s="1" t="n">
        <v>13.8</v>
      </c>
      <c r="F123" s="1" t="n">
        <f aca="false">13/8</f>
        <v>1.625</v>
      </c>
    </row>
    <row collapsed="false" customFormat="false" customHeight="false" hidden="false" ht="14.75" outlineLevel="0" r="124">
      <c r="A124" s="1" t="s">
        <v>700</v>
      </c>
      <c r="B124" s="1" t="s">
        <v>1796</v>
      </c>
      <c r="C124" s="1" t="s">
        <v>1787</v>
      </c>
      <c r="D124" s="1" t="n">
        <v>62.5</v>
      </c>
      <c r="E124" s="1" t="n">
        <v>5.71</v>
      </c>
      <c r="F124" s="1" t="n">
        <v>0</v>
      </c>
    </row>
    <row collapsed="false" customFormat="false" customHeight="false" hidden="false" ht="14.75" outlineLevel="0" r="125">
      <c r="A125" s="1" t="s">
        <v>1851</v>
      </c>
      <c r="B125" s="1" t="s">
        <v>1797</v>
      </c>
      <c r="C125" s="1" t="s">
        <v>1787</v>
      </c>
      <c r="D125" s="1" t="n">
        <v>119</v>
      </c>
      <c r="E125" s="1" t="n">
        <v>8.26</v>
      </c>
      <c r="F125" s="1" t="n">
        <v>0</v>
      </c>
    </row>
    <row collapsed="false" customFormat="false" customHeight="false" hidden="false" ht="14.75" outlineLevel="0" r="126">
      <c r="A126" s="1" t="s">
        <v>1852</v>
      </c>
      <c r="B126" s="1" t="s">
        <v>1796</v>
      </c>
      <c r="C126" s="1" t="s">
        <v>1787</v>
      </c>
      <c r="D126" s="1" t="n">
        <v>206.9</v>
      </c>
      <c r="E126" s="1" t="n">
        <v>13.7</v>
      </c>
      <c r="F126" s="1" t="n">
        <f aca="false">5/8</f>
        <v>0.625</v>
      </c>
    </row>
    <row collapsed="false" customFormat="false" customHeight="false" hidden="false" ht="14.75" outlineLevel="0" r="127">
      <c r="A127" s="1" t="s">
        <v>384</v>
      </c>
      <c r="B127" s="1" t="s">
        <v>1786</v>
      </c>
      <c r="C127" s="1" t="s">
        <v>1787</v>
      </c>
      <c r="D127" s="1" t="n">
        <v>453.9</v>
      </c>
      <c r="E127" s="1" t="n">
        <v>24.04</v>
      </c>
      <c r="F127" s="1" t="n">
        <f aca="false">59/9</f>
        <v>6.55555555555556</v>
      </c>
    </row>
    <row collapsed="false" customFormat="false" customHeight="false" hidden="false" ht="14.75" outlineLevel="0" r="128">
      <c r="A128" s="1" t="s">
        <v>385</v>
      </c>
      <c r="B128" s="1" t="s">
        <v>1786</v>
      </c>
      <c r="C128" s="1" t="s">
        <v>1787</v>
      </c>
      <c r="D128" s="1" t="n">
        <v>366.1</v>
      </c>
      <c r="E128" s="1" t="n">
        <v>21.72</v>
      </c>
      <c r="F128" s="1" t="n">
        <f aca="false">30/9</f>
        <v>3.33333333333333</v>
      </c>
    </row>
    <row collapsed="false" customFormat="false" customHeight="false" hidden="false" ht="14.75" outlineLevel="0" r="129">
      <c r="A129" s="1" t="s">
        <v>386</v>
      </c>
      <c r="B129" s="1" t="s">
        <v>1790</v>
      </c>
      <c r="C129" s="4" t="s">
        <v>1787</v>
      </c>
      <c r="D129" s="1" t="n">
        <v>252</v>
      </c>
      <c r="E129" s="1" t="n">
        <v>15.42</v>
      </c>
      <c r="F129" s="1" t="n">
        <f aca="false">26/9</f>
        <v>2.88888888888889</v>
      </c>
    </row>
    <row collapsed="false" customFormat="false" customHeight="false" hidden="false" ht="14.75" outlineLevel="0" r="130">
      <c r="A130" s="1" t="s">
        <v>1853</v>
      </c>
      <c r="B130" s="1" t="s">
        <v>1790</v>
      </c>
      <c r="C130" s="4" t="s">
        <v>1787</v>
      </c>
      <c r="D130" s="1" t="n">
        <v>127.6</v>
      </c>
      <c r="E130" s="1" t="n">
        <v>11.33</v>
      </c>
      <c r="F130" s="1" t="n">
        <v>1</v>
      </c>
    </row>
    <row collapsed="false" customFormat="false" customHeight="false" hidden="false" ht="14.75" outlineLevel="0" r="131">
      <c r="A131" s="1" t="s">
        <v>389</v>
      </c>
      <c r="B131" s="1" t="s">
        <v>1786</v>
      </c>
      <c r="C131" s="1" t="s">
        <v>1787</v>
      </c>
      <c r="D131" s="1" t="n">
        <v>348.9</v>
      </c>
      <c r="E131" s="1" t="n">
        <v>18.58</v>
      </c>
      <c r="F131" s="1" t="n">
        <f aca="false">35/9</f>
        <v>3.88888888888889</v>
      </c>
    </row>
    <row collapsed="false" customFormat="false" customHeight="false" hidden="false" ht="14.75" outlineLevel="0" r="132">
      <c r="A132" s="1" t="s">
        <v>1854</v>
      </c>
      <c r="B132" s="1" t="s">
        <v>1796</v>
      </c>
      <c r="C132" s="1" t="s">
        <v>1787</v>
      </c>
      <c r="D132" s="1" t="n">
        <v>218.1</v>
      </c>
      <c r="E132" s="1" t="n">
        <v>14.04</v>
      </c>
      <c r="F132" s="1" t="n">
        <f aca="false">7/8</f>
        <v>0.875</v>
      </c>
    </row>
    <row collapsed="false" customFormat="false" customHeight="false" hidden="false" ht="14.75" outlineLevel="0" r="133">
      <c r="A133" s="1" t="s">
        <v>1855</v>
      </c>
      <c r="B133" s="1" t="s">
        <v>1797</v>
      </c>
      <c r="C133" s="1" t="s">
        <v>1787</v>
      </c>
      <c r="D133" s="1" t="n">
        <v>120.5</v>
      </c>
      <c r="E133" s="1" t="n">
        <v>10</v>
      </c>
      <c r="F133" s="1" t="n">
        <v>0.3</v>
      </c>
    </row>
    <row collapsed="false" customFormat="false" customHeight="false" hidden="false" ht="14.75" outlineLevel="0" r="134">
      <c r="A134" s="1" t="s">
        <v>1856</v>
      </c>
      <c r="B134" s="1" t="s">
        <v>1796</v>
      </c>
      <c r="C134" s="1" t="s">
        <v>1787</v>
      </c>
      <c r="D134" s="1" t="n">
        <v>209.4</v>
      </c>
      <c r="E134" s="1" t="n">
        <v>12.31</v>
      </c>
      <c r="F134" s="1" t="n">
        <f aca="false">9/8</f>
        <v>1.125</v>
      </c>
    </row>
    <row collapsed="false" customFormat="false" customHeight="false" hidden="false" ht="14.75" outlineLevel="0" r="135">
      <c r="A135" s="1" t="s">
        <v>1857</v>
      </c>
      <c r="B135" s="1" t="s">
        <v>1786</v>
      </c>
      <c r="C135" s="1" t="s">
        <v>1787</v>
      </c>
      <c r="D135" s="1" t="n">
        <v>464.4</v>
      </c>
      <c r="E135" s="1" t="n">
        <v>20.73</v>
      </c>
      <c r="F135" s="1" t="n">
        <f aca="false">57/9</f>
        <v>6.33333333333333</v>
      </c>
    </row>
    <row collapsed="false" customFormat="false" customHeight="false" hidden="false" ht="14.75" outlineLevel="0" r="136">
      <c r="A136" s="1" t="s">
        <v>1858</v>
      </c>
      <c r="B136" s="1" t="s">
        <v>1786</v>
      </c>
      <c r="C136" s="1" t="s">
        <v>1787</v>
      </c>
      <c r="D136" s="1" t="n">
        <v>183.8</v>
      </c>
      <c r="E136" s="1" t="n">
        <v>16.32</v>
      </c>
      <c r="F136" s="1" t="n">
        <f aca="false">11/8</f>
        <v>1.375</v>
      </c>
    </row>
    <row collapsed="false" customFormat="false" customHeight="false" hidden="false" ht="14.75" outlineLevel="0" r="137">
      <c r="A137" s="1" t="s">
        <v>1859</v>
      </c>
      <c r="B137" s="1" t="s">
        <v>1797</v>
      </c>
      <c r="C137" s="1" t="s">
        <v>1787</v>
      </c>
      <c r="D137" s="1" t="n">
        <v>146</v>
      </c>
      <c r="E137" s="1" t="n">
        <v>10.27</v>
      </c>
      <c r="F137" s="1" t="n">
        <v>0.7</v>
      </c>
    </row>
    <row collapsed="false" customFormat="false" customHeight="false" hidden="false" ht="14.75" outlineLevel="0" r="138">
      <c r="A138" s="1" t="s">
        <v>1063</v>
      </c>
      <c r="B138" s="1" t="s">
        <v>1797</v>
      </c>
      <c r="C138" s="1" t="s">
        <v>1787</v>
      </c>
      <c r="D138" s="1" t="n">
        <v>56</v>
      </c>
      <c r="E138" s="1" t="n">
        <v>4.5</v>
      </c>
      <c r="F138" s="1" t="n">
        <v>0</v>
      </c>
    </row>
    <row collapsed="false" customFormat="false" customHeight="false" hidden="false" ht="14.75" outlineLevel="0" r="139">
      <c r="A139" s="1" t="s">
        <v>1751</v>
      </c>
      <c r="B139" s="1" t="s">
        <v>1786</v>
      </c>
      <c r="C139" s="1" t="s">
        <v>1787</v>
      </c>
      <c r="D139" s="1" t="n">
        <v>261.2</v>
      </c>
      <c r="E139" s="1" t="n">
        <v>18.52</v>
      </c>
      <c r="F139" s="1" t="n">
        <f aca="false">17/8</f>
        <v>2.125</v>
      </c>
    </row>
    <row collapsed="false" customFormat="false" customHeight="false" hidden="false" ht="14.75" outlineLevel="0" r="140">
      <c r="A140" s="1" t="s">
        <v>1860</v>
      </c>
      <c r="B140" s="1" t="s">
        <v>1797</v>
      </c>
      <c r="C140" s="1" t="s">
        <v>1787</v>
      </c>
      <c r="D140" s="1" t="n">
        <v>261.4</v>
      </c>
      <c r="E140" s="1" t="n">
        <v>16.24</v>
      </c>
      <c r="F140" s="1" t="n">
        <v>2.3</v>
      </c>
    </row>
    <row collapsed="false" customFormat="false" customHeight="false" hidden="false" ht="14.75" outlineLevel="0" r="141">
      <c r="A141" s="1" t="s">
        <v>770</v>
      </c>
      <c r="B141" s="1" t="s">
        <v>1792</v>
      </c>
      <c r="C141" s="1" t="s">
        <v>1787</v>
      </c>
      <c r="D141" s="1" t="n">
        <v>350</v>
      </c>
      <c r="E141" s="1" t="n">
        <v>22.06</v>
      </c>
      <c r="F141" s="1" t="n">
        <f aca="false">34/9</f>
        <v>3.77777777777778</v>
      </c>
    </row>
    <row collapsed="false" customFormat="false" customHeight="false" hidden="false" ht="14.75" outlineLevel="0" r="142">
      <c r="A142" s="1" t="s">
        <v>771</v>
      </c>
      <c r="B142" s="1" t="s">
        <v>1792</v>
      </c>
      <c r="C142" s="1" t="s">
        <v>1787</v>
      </c>
      <c r="D142" s="1" t="n">
        <v>181.7</v>
      </c>
      <c r="E142" s="1" t="n">
        <v>15</v>
      </c>
      <c r="F142" s="1" t="n">
        <f aca="false">10/9</f>
        <v>1.11111111111111</v>
      </c>
    </row>
    <row collapsed="false" customFormat="false" customHeight="false" hidden="false" ht="14.75" outlineLevel="0" r="143">
      <c r="A143" s="1" t="s">
        <v>772</v>
      </c>
      <c r="B143" s="1" t="s">
        <v>1792</v>
      </c>
      <c r="C143" s="1" t="s">
        <v>1787</v>
      </c>
      <c r="D143" s="1" t="n">
        <v>121.1</v>
      </c>
      <c r="E143" s="1" t="n">
        <v>10.55</v>
      </c>
      <c r="F143" s="1" t="n">
        <f aca="false">8/9</f>
        <v>0.888888888888889</v>
      </c>
    </row>
    <row collapsed="false" customFormat="false" customHeight="false" hidden="false" ht="14.75" outlineLevel="0" r="144">
      <c r="A144" s="1" t="s">
        <v>773</v>
      </c>
      <c r="B144" s="1" t="s">
        <v>1792</v>
      </c>
      <c r="C144" s="1" t="s">
        <v>1787</v>
      </c>
      <c r="D144" s="1" t="n">
        <v>67.2</v>
      </c>
      <c r="E144" s="1" t="n">
        <v>9.55</v>
      </c>
      <c r="F144" s="1" t="n">
        <f aca="false">1/9</f>
        <v>0.111111111111111</v>
      </c>
    </row>
    <row collapsed="false" customFormat="false" customHeight="false" hidden="false" ht="14.75" outlineLevel="0" r="145">
      <c r="A145" s="1" t="s">
        <v>774</v>
      </c>
      <c r="B145" s="1" t="s">
        <v>1792</v>
      </c>
      <c r="C145" s="1" t="s">
        <v>1787</v>
      </c>
      <c r="D145" s="1" t="n">
        <v>75</v>
      </c>
      <c r="E145" s="1" t="n">
        <v>8.78</v>
      </c>
      <c r="F145" s="1" t="n">
        <f aca="false">2/9</f>
        <v>0.222222222222222</v>
      </c>
    </row>
    <row collapsed="false" customFormat="false" customHeight="false" hidden="false" ht="14.75" outlineLevel="0" r="146">
      <c r="A146" s="1" t="s">
        <v>278</v>
      </c>
      <c r="B146" s="1" t="s">
        <v>1808</v>
      </c>
      <c r="C146" s="1" t="s">
        <v>1787</v>
      </c>
      <c r="D146" s="1" t="n">
        <v>306.5</v>
      </c>
      <c r="E146" s="1" t="n">
        <v>17.5</v>
      </c>
      <c r="F146" s="1" t="n">
        <v>3.6</v>
      </c>
    </row>
    <row collapsed="false" customFormat="false" customHeight="false" hidden="false" ht="14.75" outlineLevel="0" r="147">
      <c r="A147" s="1" t="s">
        <v>611</v>
      </c>
      <c r="B147" s="1" t="s">
        <v>1808</v>
      </c>
      <c r="C147" s="1" t="s">
        <v>1787</v>
      </c>
      <c r="D147" s="1" t="n">
        <v>114</v>
      </c>
      <c r="E147" s="1" t="n">
        <v>9.17</v>
      </c>
      <c r="F147" s="1" t="n">
        <v>0.6</v>
      </c>
    </row>
    <row collapsed="false" customFormat="false" customHeight="false" hidden="false" ht="14.75" outlineLevel="0" r="148">
      <c r="A148" s="1" t="s">
        <v>779</v>
      </c>
      <c r="B148" s="1" t="s">
        <v>1792</v>
      </c>
      <c r="C148" s="1" t="s">
        <v>1787</v>
      </c>
      <c r="D148" s="1" t="n">
        <v>121.1</v>
      </c>
      <c r="E148" s="1" t="n">
        <v>10.59</v>
      </c>
      <c r="F148" s="1" t="n">
        <f aca="false">10/9</f>
        <v>1.11111111111111</v>
      </c>
    </row>
    <row collapsed="false" customFormat="false" customHeight="false" hidden="false" ht="14.75" outlineLevel="0" r="149">
      <c r="A149" s="1" t="s">
        <v>1861</v>
      </c>
      <c r="B149" s="1" t="s">
        <v>1797</v>
      </c>
      <c r="C149" s="1" t="s">
        <v>1787</v>
      </c>
      <c r="D149" s="1" t="n">
        <v>59</v>
      </c>
      <c r="E149" s="1" t="n">
        <v>5.79</v>
      </c>
      <c r="F149" s="1" t="n">
        <v>0.2</v>
      </c>
    </row>
    <row collapsed="false" customFormat="false" customHeight="false" hidden="false" ht="14.75" outlineLevel="0" r="150">
      <c r="A150" s="1" t="s">
        <v>702</v>
      </c>
      <c r="B150" s="1" t="s">
        <v>1796</v>
      </c>
      <c r="C150" s="1" t="s">
        <v>1787</v>
      </c>
      <c r="D150" s="1" t="n">
        <v>437.2</v>
      </c>
      <c r="E150" s="1" t="n">
        <v>20.35</v>
      </c>
      <c r="F150" s="1" t="n">
        <f aca="false">31/9</f>
        <v>3.44444444444444</v>
      </c>
    </row>
    <row collapsed="false" customFormat="false" customHeight="false" hidden="false" ht="14.75" outlineLevel="0" r="151">
      <c r="A151" s="1" t="s">
        <v>703</v>
      </c>
      <c r="B151" s="1" t="s">
        <v>1796</v>
      </c>
      <c r="C151" s="1" t="s">
        <v>1787</v>
      </c>
      <c r="D151" s="1" t="n">
        <v>198.8</v>
      </c>
      <c r="E151" s="1" t="n">
        <v>13.09</v>
      </c>
      <c r="F151" s="1" t="n">
        <v>1</v>
      </c>
    </row>
    <row collapsed="false" customFormat="false" customHeight="false" hidden="false" ht="14.75" outlineLevel="0" r="152">
      <c r="A152" s="1" t="s">
        <v>1862</v>
      </c>
      <c r="B152" s="1" t="s">
        <v>1808</v>
      </c>
      <c r="C152" s="1" t="s">
        <v>1787</v>
      </c>
      <c r="D152" s="1" t="n">
        <v>268.5</v>
      </c>
      <c r="E152" s="1" t="n">
        <v>16.37</v>
      </c>
      <c r="F152" s="1" t="n">
        <v>2.2</v>
      </c>
    </row>
    <row collapsed="false" customFormat="false" customHeight="false" hidden="false" ht="14.75" outlineLevel="0" r="153">
      <c r="A153" s="1" t="s">
        <v>400</v>
      </c>
      <c r="B153" s="1" t="s">
        <v>1786</v>
      </c>
      <c r="C153" s="1" t="s">
        <v>1787</v>
      </c>
      <c r="D153" s="1" t="n">
        <v>355</v>
      </c>
      <c r="E153" s="1" t="n">
        <v>20.39</v>
      </c>
      <c r="F153" s="1" t="n">
        <f aca="false">30/9</f>
        <v>3.33333333333333</v>
      </c>
    </row>
    <row collapsed="false" customFormat="false" customHeight="false" hidden="false" ht="14.75" outlineLevel="0" r="154">
      <c r="A154" s="1" t="s">
        <v>1863</v>
      </c>
      <c r="B154" s="1" t="s">
        <v>1796</v>
      </c>
      <c r="C154" s="1" t="s">
        <v>1787</v>
      </c>
      <c r="D154" s="1" t="n">
        <v>100.6</v>
      </c>
      <c r="E154" s="1" t="n">
        <v>7.11</v>
      </c>
      <c r="F154" s="1" t="n">
        <f aca="false">5/8</f>
        <v>0.625</v>
      </c>
    </row>
    <row collapsed="false" customFormat="false" customHeight="false" hidden="false" ht="14.75" outlineLevel="0" r="155">
      <c r="A155" s="1" t="s">
        <v>1864</v>
      </c>
      <c r="B155" s="1" t="s">
        <v>1797</v>
      </c>
      <c r="C155" s="1" t="s">
        <v>1787</v>
      </c>
      <c r="D155" s="1" t="n">
        <v>160.5</v>
      </c>
      <c r="E155" s="1" t="n">
        <v>12.93</v>
      </c>
      <c r="F155" s="1" t="n">
        <v>0.3</v>
      </c>
    </row>
    <row collapsed="false" customFormat="false" customHeight="false" hidden="false" ht="14.75" outlineLevel="0" r="156">
      <c r="A156" s="1" t="s">
        <v>1865</v>
      </c>
      <c r="B156" s="1" t="s">
        <v>1797</v>
      </c>
      <c r="C156" s="1" t="s">
        <v>1787</v>
      </c>
      <c r="D156" s="1" t="n">
        <v>88</v>
      </c>
      <c r="E156" s="1" t="n">
        <v>4.83</v>
      </c>
      <c r="F156" s="1" t="n">
        <v>0.3</v>
      </c>
    </row>
    <row collapsed="false" customFormat="false" customHeight="false" hidden="false" ht="14.75" outlineLevel="0" r="157">
      <c r="A157" s="1" t="s">
        <v>282</v>
      </c>
      <c r="B157" s="1" t="s">
        <v>1808</v>
      </c>
      <c r="C157" s="1" t="s">
        <v>1787</v>
      </c>
      <c r="D157" s="1" t="n">
        <v>180.5</v>
      </c>
      <c r="E157" s="1" t="n">
        <v>13.25</v>
      </c>
      <c r="F157" s="1" t="n">
        <v>1</v>
      </c>
    </row>
    <row collapsed="false" customFormat="false" customHeight="false" hidden="false" ht="14.75" outlineLevel="0" r="158">
      <c r="A158" s="1" t="s">
        <v>1866</v>
      </c>
      <c r="B158" s="1" t="s">
        <v>1809</v>
      </c>
      <c r="C158" s="1" t="s">
        <v>1787</v>
      </c>
      <c r="D158" s="1" t="n">
        <v>96.7</v>
      </c>
      <c r="E158" s="1" t="n">
        <v>7.96</v>
      </c>
      <c r="F158" s="1" t="n">
        <f aca="false">3/9</f>
        <v>0.333333333333333</v>
      </c>
    </row>
    <row collapsed="false" customFormat="false" customHeight="false" hidden="false" ht="14.75" outlineLevel="0" r="159">
      <c r="A159" s="1" t="s">
        <v>1867</v>
      </c>
      <c r="B159" s="1" t="s">
        <v>1797</v>
      </c>
      <c r="C159" s="1" t="s">
        <v>1787</v>
      </c>
      <c r="D159" s="1" t="n">
        <v>291.5</v>
      </c>
      <c r="E159" s="1" t="n">
        <v>17.5</v>
      </c>
      <c r="F159" s="1" t="n">
        <v>3.3</v>
      </c>
    </row>
    <row collapsed="false" customFormat="false" customHeight="false" hidden="false" ht="14.75" outlineLevel="0" r="160">
      <c r="A160" s="1" t="s">
        <v>1868</v>
      </c>
      <c r="B160" s="1" t="s">
        <v>1797</v>
      </c>
      <c r="C160" s="1" t="s">
        <v>1787</v>
      </c>
      <c r="D160" s="1" t="n">
        <v>276.4</v>
      </c>
      <c r="E160" s="1" t="n">
        <v>16.85</v>
      </c>
      <c r="F160" s="1" t="n">
        <f aca="false">33/11</f>
        <v>3</v>
      </c>
    </row>
    <row collapsed="false" customFormat="false" customHeight="false" hidden="false" ht="14.75" outlineLevel="0" r="161">
      <c r="A161" s="1" t="s">
        <v>1869</v>
      </c>
      <c r="B161" s="1" t="s">
        <v>1797</v>
      </c>
      <c r="C161" s="1" t="s">
        <v>1787</v>
      </c>
      <c r="D161" s="1" t="n">
        <v>154.5</v>
      </c>
      <c r="E161" s="1" t="n">
        <v>12.14</v>
      </c>
      <c r="F161" s="1" t="n">
        <v>1</v>
      </c>
    </row>
    <row collapsed="false" customFormat="false" customHeight="false" hidden="false" ht="14.75" outlineLevel="0" r="162">
      <c r="A162" s="1" t="s">
        <v>1870</v>
      </c>
      <c r="B162" s="1" t="s">
        <v>1797</v>
      </c>
      <c r="C162" s="1" t="s">
        <v>1787</v>
      </c>
      <c r="D162" s="1" t="n">
        <v>328</v>
      </c>
      <c r="E162" s="1" t="n">
        <v>18.76</v>
      </c>
      <c r="F162" s="1" t="n">
        <v>2.7</v>
      </c>
    </row>
    <row collapsed="false" customFormat="false" customHeight="false" hidden="false" ht="14.75" outlineLevel="0" r="163">
      <c r="A163" s="1" t="s">
        <v>1871</v>
      </c>
      <c r="B163" s="1" t="s">
        <v>1797</v>
      </c>
      <c r="C163" s="1" t="s">
        <v>1787</v>
      </c>
      <c r="D163" s="1" t="n">
        <v>169.3</v>
      </c>
      <c r="E163" s="1" t="n">
        <v>12.88</v>
      </c>
      <c r="F163" s="1" t="n">
        <v>0.3</v>
      </c>
    </row>
    <row collapsed="false" customFormat="false" customHeight="false" hidden="false" ht="14.75" outlineLevel="0" r="164">
      <c r="A164" s="1" t="s">
        <v>1872</v>
      </c>
      <c r="B164" s="1" t="s">
        <v>1790</v>
      </c>
      <c r="C164" s="4" t="s">
        <v>1787</v>
      </c>
      <c r="D164" s="1" t="n">
        <v>142.3</v>
      </c>
      <c r="E164" s="1" t="n">
        <v>12.26</v>
      </c>
      <c r="F164" s="1" t="n">
        <f aca="false">5/7</f>
        <v>0.714285714285714</v>
      </c>
    </row>
    <row collapsed="false" customFormat="false" customHeight="false" hidden="false" ht="14.75" outlineLevel="0" r="165">
      <c r="A165" s="1" t="s">
        <v>1082</v>
      </c>
      <c r="B165" s="1" t="s">
        <v>1808</v>
      </c>
      <c r="C165" s="1" t="s">
        <v>1787</v>
      </c>
      <c r="D165" s="1" t="n">
        <v>438</v>
      </c>
      <c r="E165" s="1" t="n">
        <v>22.25</v>
      </c>
      <c r="F165" s="1" t="n">
        <v>4.7</v>
      </c>
    </row>
    <row collapsed="false" customFormat="false" customHeight="false" hidden="false" ht="14.75" outlineLevel="0" r="166">
      <c r="A166" s="1" t="s">
        <v>1083</v>
      </c>
      <c r="B166" s="1" t="s">
        <v>1808</v>
      </c>
      <c r="C166" s="1" t="s">
        <v>1787</v>
      </c>
      <c r="D166" s="1" t="n">
        <v>85</v>
      </c>
      <c r="E166" s="1" t="n">
        <v>9.78</v>
      </c>
      <c r="F166" s="1" t="n">
        <v>0</v>
      </c>
    </row>
    <row collapsed="false" customFormat="false" customHeight="false" hidden="false" ht="14.75" outlineLevel="0" r="167">
      <c r="A167" s="1" t="s">
        <v>1873</v>
      </c>
      <c r="B167" s="1" t="s">
        <v>1796</v>
      </c>
      <c r="C167" s="1" t="s">
        <v>1787</v>
      </c>
      <c r="D167" s="1" t="n">
        <v>255</v>
      </c>
      <c r="E167" s="1" t="n">
        <v>13.33</v>
      </c>
      <c r="F167" s="1" t="n">
        <f aca="false">4/8</f>
        <v>0.5</v>
      </c>
    </row>
    <row collapsed="false" customFormat="false" customHeight="false" hidden="false" ht="14.75" outlineLevel="0" r="168">
      <c r="A168" s="1" t="s">
        <v>1874</v>
      </c>
      <c r="B168" s="1" t="s">
        <v>1796</v>
      </c>
      <c r="C168" s="1" t="s">
        <v>1787</v>
      </c>
      <c r="D168" s="1" t="n">
        <v>103.1</v>
      </c>
      <c r="E168" s="1" t="n">
        <v>8</v>
      </c>
      <c r="F168" s="1" t="n">
        <f aca="false">1/8</f>
        <v>0.125</v>
      </c>
    </row>
    <row collapsed="false" customFormat="false" customHeight="false" hidden="false" ht="14.75" outlineLevel="0" r="169">
      <c r="A169" s="1" t="s">
        <v>1875</v>
      </c>
      <c r="B169" s="1" t="s">
        <v>1797</v>
      </c>
      <c r="C169" s="1" t="s">
        <v>1787</v>
      </c>
      <c r="D169" s="1" t="n">
        <v>180.6</v>
      </c>
      <c r="E169" s="1" t="n">
        <v>11.52</v>
      </c>
      <c r="F169" s="1" t="n">
        <f aca="false">9/8</f>
        <v>1.125</v>
      </c>
    </row>
    <row collapsed="false" customFormat="false" customHeight="false" hidden="false" ht="14.75" outlineLevel="0" r="170">
      <c r="A170" s="1" t="s">
        <v>1782</v>
      </c>
      <c r="B170" s="1" t="s">
        <v>1796</v>
      </c>
      <c r="C170" s="1" t="s">
        <v>1787</v>
      </c>
      <c r="D170" s="1" t="n">
        <v>155.6</v>
      </c>
      <c r="E170" s="1" t="n">
        <v>9.81</v>
      </c>
      <c r="F170" s="1" t="n">
        <f aca="false">3/8</f>
        <v>0.375</v>
      </c>
    </row>
    <row collapsed="false" customFormat="false" customHeight="false" hidden="false" ht="14.75" outlineLevel="0" r="171">
      <c r="A171" s="1" t="s">
        <v>677</v>
      </c>
      <c r="B171" s="1" t="s">
        <v>1792</v>
      </c>
      <c r="C171" s="1" t="s">
        <v>1787</v>
      </c>
      <c r="D171" s="1" t="n">
        <v>156.1</v>
      </c>
      <c r="E171" s="1" t="n">
        <v>13.44</v>
      </c>
      <c r="F171" s="1" t="n">
        <f aca="false">5/9</f>
        <v>0.555555555555556</v>
      </c>
    </row>
    <row collapsed="false" customFormat="false" customHeight="false" hidden="false" ht="14.75" outlineLevel="0" r="172">
      <c r="A172" s="1" t="s">
        <v>1996</v>
      </c>
      <c r="B172" s="1" t="s">
        <v>1997</v>
      </c>
      <c r="C172" s="1" t="s">
        <v>1787</v>
      </c>
      <c r="D172" s="1" t="n">
        <v>548.5</v>
      </c>
      <c r="E172" s="1" t="n">
        <v>23.16</v>
      </c>
      <c r="F172" s="1" t="n">
        <v>6.8</v>
      </c>
    </row>
    <row collapsed="false" customFormat="false" customHeight="false" hidden="false" ht="14.75" outlineLevel="0" r="173">
      <c r="A173" s="1" t="s">
        <v>1998</v>
      </c>
      <c r="B173" s="1" t="s">
        <v>1997</v>
      </c>
      <c r="C173" s="1" t="s">
        <v>1787</v>
      </c>
      <c r="D173" s="1" t="n">
        <v>391</v>
      </c>
      <c r="E173" s="1" t="n">
        <v>19.47</v>
      </c>
      <c r="F173" s="1" t="n">
        <v>3.3</v>
      </c>
    </row>
    <row collapsed="false" customFormat="false" customHeight="false" hidden="false" ht="14.75" outlineLevel="0" r="174">
      <c r="A174" s="1" t="s">
        <v>1999</v>
      </c>
      <c r="B174" s="1" t="s">
        <v>1997</v>
      </c>
      <c r="C174" s="1" t="s">
        <v>1787</v>
      </c>
      <c r="D174" s="1" t="n">
        <v>219.5</v>
      </c>
      <c r="E174" s="1" t="n">
        <v>14.61</v>
      </c>
      <c r="F174" s="1" t="n">
        <v>1.6</v>
      </c>
    </row>
    <row collapsed="false" customFormat="false" customHeight="false" hidden="false" ht="14.75" outlineLevel="0" r="175">
      <c r="A175" s="1" t="s">
        <v>2000</v>
      </c>
      <c r="B175" s="1" t="s">
        <v>1997</v>
      </c>
      <c r="C175" s="1" t="s">
        <v>1787</v>
      </c>
      <c r="D175" s="1" t="n">
        <v>231</v>
      </c>
      <c r="E175" s="1" t="n">
        <v>14.06</v>
      </c>
      <c r="F175" s="1" t="n">
        <v>1.8</v>
      </c>
    </row>
    <row collapsed="false" customFormat="false" customHeight="false" hidden="false" ht="14.75" outlineLevel="0" r="176">
      <c r="A176" s="1" t="s">
        <v>2001</v>
      </c>
      <c r="B176" s="1" t="s">
        <v>1997</v>
      </c>
      <c r="C176" s="1" t="s">
        <v>1787</v>
      </c>
      <c r="D176" s="1" t="n">
        <v>173.5</v>
      </c>
      <c r="E176" s="1" t="n">
        <v>13.07</v>
      </c>
      <c r="F176" s="1" t="n">
        <v>1.9</v>
      </c>
    </row>
    <row collapsed="false" customFormat="false" customHeight="false" hidden="false" ht="14.75" outlineLevel="0" r="177">
      <c r="A177" s="1" t="s">
        <v>2002</v>
      </c>
      <c r="B177" s="1" t="s">
        <v>1997</v>
      </c>
      <c r="C177" s="1" t="s">
        <v>1787</v>
      </c>
      <c r="D177" s="1" t="n">
        <v>296</v>
      </c>
      <c r="E177" s="1" t="n">
        <v>14.66</v>
      </c>
      <c r="F177" s="1" t="n">
        <v>3</v>
      </c>
    </row>
    <row collapsed="false" customFormat="false" customHeight="false" hidden="false" ht="14.75" outlineLevel="0" r="178">
      <c r="A178" s="1" t="s">
        <v>2003</v>
      </c>
      <c r="B178" s="1" t="s">
        <v>1997</v>
      </c>
      <c r="C178" s="1" t="s">
        <v>1787</v>
      </c>
      <c r="D178" s="1" t="n">
        <v>251.5</v>
      </c>
      <c r="E178" s="1" t="n">
        <v>13.71</v>
      </c>
      <c r="F178" s="1" t="n">
        <v>2.3</v>
      </c>
    </row>
    <row collapsed="false" customFormat="false" customHeight="false" hidden="false" ht="14.75" outlineLevel="0" r="179">
      <c r="A179" s="1" t="s">
        <v>2004</v>
      </c>
      <c r="B179" s="1" t="s">
        <v>1997</v>
      </c>
      <c r="C179" s="1" t="s">
        <v>1787</v>
      </c>
      <c r="D179" s="1" t="n">
        <v>228</v>
      </c>
      <c r="E179" s="1" t="n">
        <v>13.75</v>
      </c>
      <c r="F179" s="1" t="n">
        <v>2</v>
      </c>
    </row>
    <row collapsed="false" customFormat="false" customHeight="false" hidden="false" ht="14.75" outlineLevel="0" r="180">
      <c r="A180" s="1" t="s">
        <v>2005</v>
      </c>
      <c r="B180" s="1" t="s">
        <v>1997</v>
      </c>
      <c r="C180" s="1" t="s">
        <v>1787</v>
      </c>
      <c r="D180" s="1" t="n">
        <v>165</v>
      </c>
      <c r="E180" s="1" t="n">
        <v>11.71</v>
      </c>
      <c r="F180" s="1" t="n">
        <v>1.1</v>
      </c>
    </row>
    <row collapsed="false" customFormat="false" customHeight="false" hidden="false" ht="14.75" outlineLevel="0" r="181">
      <c r="A181" s="1" t="s">
        <v>2006</v>
      </c>
      <c r="B181" s="1" t="s">
        <v>1997</v>
      </c>
      <c r="C181" s="1" t="s">
        <v>1787</v>
      </c>
      <c r="D181" s="1" t="n">
        <v>145.5</v>
      </c>
      <c r="E181" s="1" t="n">
        <v>12.12</v>
      </c>
      <c r="F181" s="1" t="n">
        <v>0.7</v>
      </c>
    </row>
    <row collapsed="false" customFormat="false" customHeight="false" hidden="false" ht="14.75" outlineLevel="0" r="182">
      <c r="A182" s="1" t="s">
        <v>2007</v>
      </c>
      <c r="B182" s="1" t="s">
        <v>1997</v>
      </c>
      <c r="C182" s="1" t="s">
        <v>1787</v>
      </c>
      <c r="D182" s="1" t="n">
        <v>142</v>
      </c>
      <c r="E182" s="1" t="n">
        <v>11.43</v>
      </c>
      <c r="F182" s="1" t="n">
        <v>1</v>
      </c>
    </row>
    <row collapsed="false" customFormat="false" customHeight="false" hidden="false" ht="14.75" outlineLevel="0" r="183">
      <c r="A183" s="1" t="s">
        <v>666</v>
      </c>
      <c r="B183" s="1" t="s">
        <v>1997</v>
      </c>
      <c r="C183" s="1" t="s">
        <v>1787</v>
      </c>
      <c r="D183" s="1" t="n">
        <v>148.5</v>
      </c>
      <c r="E183" s="1" t="n">
        <v>10</v>
      </c>
      <c r="F183" s="1" t="n">
        <v>0.7</v>
      </c>
    </row>
    <row collapsed="false" customFormat="false" customHeight="false" hidden="false" ht="14.75" outlineLevel="0" r="184">
      <c r="A184" s="1" t="s">
        <v>2008</v>
      </c>
      <c r="B184" s="1" t="s">
        <v>1997</v>
      </c>
      <c r="C184" s="1" t="s">
        <v>1787</v>
      </c>
      <c r="D184" s="1" t="n">
        <v>132.5</v>
      </c>
      <c r="E184" s="1" t="n">
        <v>11.41</v>
      </c>
      <c r="F184" s="1" t="n">
        <v>1.2</v>
      </c>
    </row>
    <row collapsed="false" customFormat="false" customHeight="false" hidden="false" ht="14.75" outlineLevel="0" r="185">
      <c r="A185" s="1" t="s">
        <v>820</v>
      </c>
      <c r="B185" s="1" t="s">
        <v>1997</v>
      </c>
      <c r="C185" s="1" t="s">
        <v>1787</v>
      </c>
      <c r="D185" s="1" t="n">
        <v>159.5</v>
      </c>
      <c r="E185" s="1" t="n">
        <v>13.88</v>
      </c>
      <c r="F185" s="1" t="n">
        <v>1.4</v>
      </c>
    </row>
    <row collapsed="false" customFormat="false" customHeight="false" hidden="false" ht="14.75" outlineLevel="0" r="186">
      <c r="A186" s="1" t="s">
        <v>2009</v>
      </c>
      <c r="B186" s="1" t="s">
        <v>1997</v>
      </c>
      <c r="C186" s="1" t="s">
        <v>1787</v>
      </c>
      <c r="D186" s="1" t="n">
        <v>126.5</v>
      </c>
      <c r="E186" s="1" t="n">
        <v>11.53</v>
      </c>
      <c r="F186" s="1" t="n">
        <v>0.1</v>
      </c>
    </row>
    <row collapsed="false" customFormat="false" customHeight="false" hidden="false" ht="14.75" outlineLevel="0" r="187">
      <c r="A187" s="1" t="s">
        <v>2010</v>
      </c>
      <c r="B187" s="1" t="s">
        <v>1997</v>
      </c>
      <c r="C187" s="1" t="s">
        <v>1787</v>
      </c>
      <c r="D187" s="1" t="n">
        <v>95</v>
      </c>
      <c r="E187" s="1" t="n">
        <v>10.43</v>
      </c>
      <c r="F187" s="1" t="n">
        <v>0.6</v>
      </c>
    </row>
    <row collapsed="false" customFormat="false" customHeight="false" hidden="false" ht="14.75" outlineLevel="0" r="188">
      <c r="A188" s="1" t="s">
        <v>880</v>
      </c>
      <c r="B188" s="1" t="s">
        <v>2105</v>
      </c>
      <c r="C188" s="1" t="s">
        <v>1787</v>
      </c>
      <c r="D188" s="1" t="n">
        <v>438.8</v>
      </c>
      <c r="E188" s="1" t="n">
        <v>22.38</v>
      </c>
      <c r="F188" s="1" t="n">
        <f aca="false">52/8</f>
        <v>6.5</v>
      </c>
    </row>
    <row collapsed="false" customFormat="false" customHeight="false" hidden="false" ht="14.75" outlineLevel="0" r="189">
      <c r="A189" s="1" t="s">
        <v>218</v>
      </c>
      <c r="B189" s="1" t="s">
        <v>2105</v>
      </c>
      <c r="C189" s="1" t="s">
        <v>1787</v>
      </c>
      <c r="D189" s="1" t="n">
        <v>441.2</v>
      </c>
      <c r="E189" s="1" t="n">
        <v>20.27</v>
      </c>
      <c r="F189" s="1" t="n">
        <f aca="false">42/8</f>
        <v>5.25</v>
      </c>
    </row>
    <row collapsed="false" customFormat="false" customHeight="false" hidden="false" ht="14.75" outlineLevel="0" r="190">
      <c r="A190" s="1" t="s">
        <v>2106</v>
      </c>
      <c r="B190" s="1" t="s">
        <v>2105</v>
      </c>
      <c r="C190" s="1" t="s">
        <v>1787</v>
      </c>
      <c r="D190" s="1" t="n">
        <v>228.6</v>
      </c>
      <c r="E190" s="1" t="n">
        <v>15.55</v>
      </c>
      <c r="F190" s="1" t="n">
        <f aca="false">15/7</f>
        <v>2.14285714285714</v>
      </c>
    </row>
    <row collapsed="false" customFormat="false" customHeight="false" hidden="false" ht="14.75" outlineLevel="0" r="191">
      <c r="A191" s="1" t="s">
        <v>902</v>
      </c>
      <c r="B191" s="1" t="s">
        <v>2105</v>
      </c>
      <c r="C191" s="1" t="s">
        <v>1787</v>
      </c>
      <c r="D191" s="1" t="n">
        <v>363.6</v>
      </c>
      <c r="E191" s="1" t="n">
        <v>18.56</v>
      </c>
      <c r="F191" s="1" t="n">
        <f aca="false">21/7</f>
        <v>3</v>
      </c>
    </row>
    <row collapsed="false" customFormat="false" customHeight="false" hidden="false" ht="14.75" outlineLevel="0" r="192">
      <c r="A192" s="1" t="s">
        <v>219</v>
      </c>
      <c r="B192" s="1" t="s">
        <v>2105</v>
      </c>
      <c r="C192" s="1" t="s">
        <v>1787</v>
      </c>
      <c r="D192" s="1" t="n">
        <v>320.8</v>
      </c>
      <c r="E192" s="1" t="n">
        <v>17.25</v>
      </c>
      <c r="F192" s="1" t="n">
        <f aca="false">12/6</f>
        <v>2</v>
      </c>
    </row>
    <row collapsed="false" customFormat="false" customHeight="false" hidden="false" ht="14.75" outlineLevel="0" r="193">
      <c r="A193" s="1" t="s">
        <v>1722</v>
      </c>
      <c r="B193" s="1" t="s">
        <v>2105</v>
      </c>
      <c r="C193" s="1" t="s">
        <v>1787</v>
      </c>
      <c r="D193" s="1" t="n">
        <v>269.2</v>
      </c>
      <c r="E193" s="1" t="n">
        <v>14.03</v>
      </c>
      <c r="F193" s="1" t="n">
        <f aca="false">7/6</f>
        <v>1.16666666666667</v>
      </c>
    </row>
    <row collapsed="false" customFormat="false" customHeight="false" hidden="false" ht="14.75" outlineLevel="0" r="194">
      <c r="A194" s="1" t="s">
        <v>930</v>
      </c>
      <c r="B194" s="1" t="s">
        <v>2105</v>
      </c>
      <c r="C194" s="1" t="s">
        <v>1787</v>
      </c>
      <c r="D194" s="1" t="n">
        <v>326.7</v>
      </c>
      <c r="E194" s="1" t="n">
        <v>16.94</v>
      </c>
      <c r="F194" s="1" t="n">
        <f aca="false">12/6</f>
        <v>2</v>
      </c>
    </row>
    <row collapsed="false" customFormat="false" customHeight="false" hidden="false" ht="14.75" outlineLevel="0" r="195">
      <c r="A195" s="1" t="s">
        <v>931</v>
      </c>
      <c r="B195" s="1" t="s">
        <v>2105</v>
      </c>
      <c r="C195" s="1" t="s">
        <v>1787</v>
      </c>
      <c r="D195" s="1" t="n">
        <v>155</v>
      </c>
      <c r="E195" s="1" t="n">
        <v>12.62</v>
      </c>
      <c r="F195" s="1" t="n">
        <f aca="false">7/6</f>
        <v>1.16666666666667</v>
      </c>
    </row>
    <row collapsed="false" customFormat="false" customHeight="false" hidden="false" ht="14.75" outlineLevel="0" r="196">
      <c r="A196" s="1" t="s">
        <v>903</v>
      </c>
      <c r="B196" s="1" t="s">
        <v>2105</v>
      </c>
      <c r="C196" s="1" t="s">
        <v>1787</v>
      </c>
      <c r="D196" s="1" t="n">
        <v>283</v>
      </c>
      <c r="E196" s="1" t="n">
        <v>19.69</v>
      </c>
      <c r="F196" s="1" t="n">
        <f aca="false">5/5</f>
        <v>1</v>
      </c>
    </row>
    <row collapsed="false" customFormat="false" customHeight="false" hidden="false" ht="14.75" outlineLevel="0" r="197">
      <c r="A197" s="1" t="s">
        <v>2107</v>
      </c>
      <c r="B197" s="1" t="s">
        <v>2105</v>
      </c>
      <c r="C197" s="1" t="s">
        <v>1787</v>
      </c>
      <c r="D197" s="1" t="n">
        <v>216</v>
      </c>
      <c r="E197" s="1" t="n">
        <v>13.7</v>
      </c>
      <c r="F197" s="1" t="n">
        <f aca="false">4/5</f>
        <v>0.8</v>
      </c>
    </row>
    <row collapsed="false" customFormat="false" customHeight="false" hidden="false" ht="14.75" outlineLevel="0" r="198">
      <c r="A198" s="1" t="s">
        <v>2108</v>
      </c>
      <c r="B198" s="1" t="s">
        <v>2105</v>
      </c>
      <c r="C198" s="1" t="s">
        <v>1787</v>
      </c>
      <c r="D198" s="1" t="n">
        <v>204</v>
      </c>
      <c r="E198" s="1" t="n">
        <v>13.84</v>
      </c>
      <c r="F198" s="1" t="n">
        <v>2</v>
      </c>
    </row>
    <row collapsed="false" customFormat="false" customHeight="false" hidden="false" ht="14.75" outlineLevel="0" r="199">
      <c r="A199" s="1" t="s">
        <v>2109</v>
      </c>
      <c r="B199" s="1" t="s">
        <v>2105</v>
      </c>
      <c r="C199" s="1" t="s">
        <v>1787</v>
      </c>
      <c r="D199" s="1" t="n">
        <v>181</v>
      </c>
      <c r="E199" s="1" t="n">
        <v>12.56</v>
      </c>
      <c r="F199" s="1" t="n">
        <v>1.2</v>
      </c>
    </row>
    <row collapsed="false" customFormat="false" customHeight="false" hidden="false" ht="14.75" outlineLevel="0" r="200">
      <c r="A200" s="1" t="s">
        <v>308</v>
      </c>
      <c r="B200" s="1" t="s">
        <v>2105</v>
      </c>
      <c r="C200" s="1" t="s">
        <v>1787</v>
      </c>
      <c r="D200" s="1" t="n">
        <v>172</v>
      </c>
      <c r="E200" s="1" t="n">
        <v>12.16</v>
      </c>
      <c r="F200" s="1" t="n">
        <v>2</v>
      </c>
    </row>
    <row collapsed="false" customFormat="false" customHeight="false" hidden="false" ht="14.75" outlineLevel="0" r="201">
      <c r="A201" s="1" t="s">
        <v>1723</v>
      </c>
      <c r="B201" s="1" t="s">
        <v>2105</v>
      </c>
      <c r="C201" s="1" t="s">
        <v>1787</v>
      </c>
      <c r="D201" s="1" t="n">
        <v>116</v>
      </c>
      <c r="E201" s="1" t="n">
        <v>9.38</v>
      </c>
      <c r="F201" s="1" t="n">
        <v>1</v>
      </c>
    </row>
    <row collapsed="false" customFormat="false" customHeight="false" hidden="false" ht="14.75" outlineLevel="0" r="202">
      <c r="A202" s="1" t="s">
        <v>2110</v>
      </c>
      <c r="B202" s="1" t="s">
        <v>2105</v>
      </c>
      <c r="C202" s="1" t="s">
        <v>1787</v>
      </c>
      <c r="D202" s="1" t="n">
        <v>208</v>
      </c>
      <c r="E202" s="1" t="n">
        <v>16.41</v>
      </c>
      <c r="F202" s="1" t="n">
        <v>1.8</v>
      </c>
    </row>
    <row collapsed="false" customFormat="false" customHeight="false" hidden="false" ht="14.75" outlineLevel="0" r="203">
      <c r="A203" s="1" t="s">
        <v>2111</v>
      </c>
      <c r="B203" s="1" t="s">
        <v>2105</v>
      </c>
      <c r="C203" s="1" t="s">
        <v>1787</v>
      </c>
      <c r="D203" s="1" t="n">
        <v>154</v>
      </c>
      <c r="E203" s="1" t="n">
        <v>9.47</v>
      </c>
      <c r="F203" s="1" t="n">
        <v>2</v>
      </c>
    </row>
    <row collapsed="false" customFormat="false" customHeight="false" hidden="false" ht="14.75" outlineLevel="0" r="204">
      <c r="A204" s="1" t="s">
        <v>2112</v>
      </c>
      <c r="B204" s="1" t="s">
        <v>2105</v>
      </c>
      <c r="C204" s="1" t="s">
        <v>1787</v>
      </c>
      <c r="D204" s="1" t="n">
        <v>113</v>
      </c>
      <c r="E204" s="1" t="n">
        <v>11.92</v>
      </c>
      <c r="F204" s="1" t="n">
        <v>0.8</v>
      </c>
    </row>
    <row collapsed="false" customFormat="false" customHeight="false" hidden="false" ht="14.75" outlineLevel="0" r="205">
      <c r="A205" s="1" t="s">
        <v>2113</v>
      </c>
      <c r="B205" s="1" t="s">
        <v>2105</v>
      </c>
      <c r="C205" s="1" t="s">
        <v>1787</v>
      </c>
      <c r="D205" s="1" t="n">
        <v>112</v>
      </c>
      <c r="E205" s="1" t="n">
        <v>8.97</v>
      </c>
      <c r="F205" s="1" t="n">
        <v>0.6</v>
      </c>
    </row>
    <row collapsed="false" customFormat="false" customHeight="false" hidden="false" ht="14.75" outlineLevel="0" r="206">
      <c r="A206" s="1" t="s">
        <v>842</v>
      </c>
      <c r="B206" s="1" t="s">
        <v>2105</v>
      </c>
      <c r="C206" s="1" t="s">
        <v>1787</v>
      </c>
      <c r="D206" s="1" t="n">
        <v>98</v>
      </c>
      <c r="E206" s="1" t="n">
        <v>11.74</v>
      </c>
      <c r="F206" s="1" t="n">
        <v>0.2</v>
      </c>
    </row>
    <row collapsed="false" customFormat="false" customHeight="false" hidden="false" ht="14.75" outlineLevel="0" r="207">
      <c r="A207" s="1" t="s">
        <v>2114</v>
      </c>
      <c r="B207" s="1" t="s">
        <v>2105</v>
      </c>
      <c r="C207" s="1" t="s">
        <v>1787</v>
      </c>
      <c r="D207" s="1" t="n">
        <v>82</v>
      </c>
      <c r="E207" s="1" t="n">
        <v>9.76</v>
      </c>
      <c r="F207" s="1" t="n">
        <v>0.4</v>
      </c>
    </row>
    <row collapsed="false" customFormat="false" customHeight="false" hidden="false" ht="14.75" outlineLevel="0" r="208">
      <c r="A208" s="1" t="s">
        <v>2115</v>
      </c>
      <c r="B208" s="1" t="s">
        <v>2105</v>
      </c>
      <c r="C208" s="1" t="s">
        <v>1787</v>
      </c>
      <c r="D208" s="1" t="n">
        <v>112</v>
      </c>
      <c r="E208" s="1" t="n">
        <v>12.31</v>
      </c>
      <c r="F208" s="1" t="n">
        <v>0.6</v>
      </c>
    </row>
    <row collapsed="false" customFormat="false" customHeight="false" hidden="false" ht="14.75" outlineLevel="0" r="209">
      <c r="A209" s="1" t="s">
        <v>2116</v>
      </c>
      <c r="B209" s="1" t="s">
        <v>2105</v>
      </c>
      <c r="C209" s="1" t="s">
        <v>1787</v>
      </c>
      <c r="D209" s="1" t="n">
        <v>64</v>
      </c>
      <c r="E209" s="1" t="n">
        <v>7.78</v>
      </c>
      <c r="F209" s="1" t="n">
        <v>0.4</v>
      </c>
    </row>
    <row collapsed="false" customFormat="false" customHeight="false" hidden="false" ht="14.75" outlineLevel="0" r="210">
      <c r="A210" s="1" t="s">
        <v>2117</v>
      </c>
      <c r="B210" s="1" t="s">
        <v>2105</v>
      </c>
      <c r="C210" s="1" t="s">
        <v>1787</v>
      </c>
      <c r="D210" s="1" t="n">
        <v>59</v>
      </c>
      <c r="E210" s="1" t="n">
        <v>6.67</v>
      </c>
      <c r="F210" s="1" t="n">
        <v>0.2</v>
      </c>
    </row>
    <row collapsed="false" customFormat="false" customHeight="false" hidden="false" ht="14.75" outlineLevel="0" r="211">
      <c r="A211" s="1" t="s">
        <v>1724</v>
      </c>
      <c r="B211" s="1" t="s">
        <v>2105</v>
      </c>
      <c r="C211" s="1" t="s">
        <v>1787</v>
      </c>
      <c r="D211" s="1" t="n">
        <v>51</v>
      </c>
      <c r="E211" s="1" t="n">
        <v>7.5</v>
      </c>
      <c r="F211" s="1" t="n">
        <v>0.4</v>
      </c>
    </row>
    <row collapsed="false" customFormat="false" customHeight="false" hidden="false" ht="14.75" outlineLevel="0" r="212">
      <c r="A212" s="1" t="s">
        <v>1140</v>
      </c>
      <c r="B212" s="1" t="s">
        <v>2105</v>
      </c>
      <c r="C212" s="1" t="s">
        <v>1787</v>
      </c>
      <c r="D212" s="1" t="n">
        <v>34</v>
      </c>
      <c r="E212" s="1" t="n">
        <v>2.14</v>
      </c>
      <c r="F212" s="1" t="n">
        <v>0.2</v>
      </c>
    </row>
    <row collapsed="false" customFormat="false" customHeight="false" hidden="false" ht="14.75" outlineLevel="0" r="213">
      <c r="A213" s="1" t="s">
        <v>2118</v>
      </c>
      <c r="B213" s="1" t="s">
        <v>2105</v>
      </c>
      <c r="C213" s="1" t="s">
        <v>1787</v>
      </c>
      <c r="D213" s="1" t="n">
        <v>22</v>
      </c>
      <c r="E213" s="1" t="n">
        <v>3.75</v>
      </c>
      <c r="F213" s="1" t="n">
        <v>0</v>
      </c>
    </row>
    <row collapsed="false" customFormat="false" customHeight="false" hidden="false" ht="14.75" outlineLevel="0" r="214">
      <c r="A214" s="1" t="s">
        <v>535</v>
      </c>
      <c r="B214" s="1" t="s">
        <v>2126</v>
      </c>
      <c r="C214" s="1" t="s">
        <v>1787</v>
      </c>
      <c r="D214" s="1" t="n">
        <v>489.2</v>
      </c>
      <c r="E214" s="1" t="n">
        <v>24.86</v>
      </c>
      <c r="F214" s="1" t="n">
        <f aca="false">83/13</f>
        <v>6.38461538461539</v>
      </c>
    </row>
    <row collapsed="false" customFormat="false" customHeight="false" hidden="false" ht="14.75" outlineLevel="0" r="215">
      <c r="A215" s="1" t="s">
        <v>2127</v>
      </c>
      <c r="B215" s="1" t="s">
        <v>2126</v>
      </c>
      <c r="C215" s="1" t="s">
        <v>1787</v>
      </c>
      <c r="D215" s="1" t="n">
        <v>345.3</v>
      </c>
      <c r="E215" s="1" t="n">
        <v>21.17</v>
      </c>
      <c r="F215" s="1" t="n">
        <f aca="false">55/11</f>
        <v>5</v>
      </c>
    </row>
    <row collapsed="false" customFormat="false" customHeight="false" hidden="false" ht="14.75" outlineLevel="0" r="216">
      <c r="A216" s="1" t="s">
        <v>26</v>
      </c>
      <c r="B216" s="1" t="s">
        <v>2126</v>
      </c>
      <c r="C216" s="1" t="s">
        <v>1787</v>
      </c>
      <c r="D216" s="1" t="n">
        <v>423.8</v>
      </c>
      <c r="E216" s="1" t="n">
        <v>22.57</v>
      </c>
      <c r="F216" s="1" t="n">
        <f aca="false">68/11</f>
        <v>6.18181818181818</v>
      </c>
    </row>
    <row collapsed="false" customFormat="false" customHeight="false" hidden="false" ht="14.75" outlineLevel="0" r="217">
      <c r="A217" s="1" t="s">
        <v>2128</v>
      </c>
      <c r="B217" s="1" t="s">
        <v>2126</v>
      </c>
      <c r="C217" s="1" t="s">
        <v>1787</v>
      </c>
      <c r="D217" s="1" t="n">
        <v>216.5</v>
      </c>
      <c r="E217" s="1" t="n">
        <v>17.8</v>
      </c>
      <c r="F217" s="1" t="n">
        <v>2.6</v>
      </c>
    </row>
    <row collapsed="false" customFormat="false" customHeight="false" hidden="false" ht="14.75" outlineLevel="0" r="218">
      <c r="A218" s="1" t="s">
        <v>613</v>
      </c>
      <c r="B218" s="1" t="s">
        <v>2126</v>
      </c>
      <c r="C218" s="1" t="s">
        <v>1787</v>
      </c>
      <c r="D218" s="1" t="n">
        <v>415</v>
      </c>
      <c r="E218" s="1" t="n">
        <v>23.5</v>
      </c>
      <c r="F218" s="1" t="n">
        <v>4.2</v>
      </c>
    </row>
    <row collapsed="false" customFormat="false" customHeight="false" hidden="false" ht="14.75" outlineLevel="0" r="219">
      <c r="A219" s="1" t="s">
        <v>1760</v>
      </c>
      <c r="B219" s="1" t="s">
        <v>2126</v>
      </c>
      <c r="C219" s="1" t="s">
        <v>1787</v>
      </c>
      <c r="D219" s="1" t="n">
        <v>257.8</v>
      </c>
      <c r="E219" s="1" t="n">
        <v>17.2</v>
      </c>
      <c r="F219" s="1" t="n">
        <f aca="false">27/9</f>
        <v>3</v>
      </c>
    </row>
    <row collapsed="false" customFormat="false" customHeight="false" hidden="false" ht="14.75" outlineLevel="0" r="220">
      <c r="A220" s="1" t="s">
        <v>614</v>
      </c>
      <c r="B220" s="1" t="s">
        <v>2126</v>
      </c>
      <c r="C220" s="1" t="s">
        <v>1787</v>
      </c>
      <c r="D220" s="1" t="n">
        <v>305.6</v>
      </c>
      <c r="E220" s="1" t="n">
        <v>17.55</v>
      </c>
      <c r="F220" s="1" t="n">
        <f aca="false">16/9</f>
        <v>1.77777777777778</v>
      </c>
    </row>
    <row collapsed="false" customFormat="false" customHeight="false" hidden="false" ht="14.75" outlineLevel="0" r="221">
      <c r="A221" s="1" t="s">
        <v>2129</v>
      </c>
      <c r="B221" s="1" t="s">
        <v>2126</v>
      </c>
      <c r="C221" s="1" t="s">
        <v>1787</v>
      </c>
      <c r="D221" s="1" t="n">
        <v>244.2</v>
      </c>
      <c r="E221" s="1" t="n">
        <v>17.85</v>
      </c>
      <c r="F221" s="1" t="n">
        <f aca="false">19/9</f>
        <v>2.11111111111111</v>
      </c>
    </row>
    <row collapsed="false" customFormat="false" customHeight="false" hidden="false" ht="14.75" outlineLevel="0" r="222">
      <c r="A222" s="1" t="s">
        <v>536</v>
      </c>
      <c r="B222" s="1" t="s">
        <v>2126</v>
      </c>
      <c r="C222" s="1" t="s">
        <v>1787</v>
      </c>
      <c r="D222" s="1" t="n">
        <v>343.8</v>
      </c>
      <c r="E222" s="1" t="n">
        <v>18.6</v>
      </c>
      <c r="F222" s="1" t="n">
        <f aca="false">26/8</f>
        <v>3.25</v>
      </c>
    </row>
    <row collapsed="false" customFormat="false" customHeight="false" hidden="false" ht="14.75" outlineLevel="0" r="223">
      <c r="A223" s="1" t="s">
        <v>2130</v>
      </c>
      <c r="B223" s="1" t="s">
        <v>2126</v>
      </c>
      <c r="C223" s="1" t="s">
        <v>1787</v>
      </c>
      <c r="D223" s="1" t="n">
        <v>267.1</v>
      </c>
      <c r="E223" s="1" t="n">
        <v>15</v>
      </c>
      <c r="F223" s="1" t="n">
        <f aca="false">13/8</f>
        <v>1.625</v>
      </c>
    </row>
    <row collapsed="false" customFormat="false" customHeight="false" hidden="false" ht="14.75" outlineLevel="0" r="224">
      <c r="A224" s="1" t="s">
        <v>2131</v>
      </c>
      <c r="B224" s="1" t="s">
        <v>2126</v>
      </c>
      <c r="C224" s="1" t="s">
        <v>1787</v>
      </c>
      <c r="D224" s="1" t="n">
        <v>205</v>
      </c>
      <c r="E224" s="1" t="n">
        <v>15.56</v>
      </c>
      <c r="F224" s="1" t="n">
        <f aca="false">17/8</f>
        <v>2.125</v>
      </c>
    </row>
    <row collapsed="false" customFormat="false" customHeight="false" hidden="false" ht="14.75" outlineLevel="0" r="225">
      <c r="A225" s="1" t="s">
        <v>2132</v>
      </c>
      <c r="B225" s="1" t="s">
        <v>2126</v>
      </c>
      <c r="C225" s="1" t="s">
        <v>1787</v>
      </c>
      <c r="D225" s="1" t="n">
        <v>199.4</v>
      </c>
      <c r="E225" s="1" t="n">
        <v>14.03</v>
      </c>
      <c r="F225" s="1" t="n">
        <f aca="false">6/8</f>
        <v>0.75</v>
      </c>
    </row>
    <row collapsed="false" customFormat="false" customHeight="false" hidden="false" ht="14.75" outlineLevel="0" r="226">
      <c r="A226" s="1" t="s">
        <v>2133</v>
      </c>
      <c r="B226" s="1" t="s">
        <v>2126</v>
      </c>
      <c r="C226" s="1" t="s">
        <v>1787</v>
      </c>
      <c r="D226" s="1" t="n">
        <v>59.3</v>
      </c>
      <c r="E226" s="1" t="n">
        <v>7.92</v>
      </c>
      <c r="F226" s="1" t="n">
        <f aca="false">6/7</f>
        <v>0.857142857142857</v>
      </c>
    </row>
    <row collapsed="false" customFormat="false" customHeight="false" hidden="false" ht="14.75" outlineLevel="0" r="227">
      <c r="A227" s="1" t="s">
        <v>2134</v>
      </c>
      <c r="B227" s="1" t="s">
        <v>2126</v>
      </c>
      <c r="C227" s="1" t="s">
        <v>1787</v>
      </c>
      <c r="D227" s="1" t="n">
        <v>115.7</v>
      </c>
      <c r="E227" s="1" t="n">
        <v>12.43</v>
      </c>
      <c r="F227" s="1" t="n">
        <f aca="false">9/7</f>
        <v>1.28571428571429</v>
      </c>
    </row>
    <row collapsed="false" customFormat="false" customHeight="false" hidden="false" ht="14.75" outlineLevel="0" r="228">
      <c r="A228" s="1" t="s">
        <v>2135</v>
      </c>
      <c r="B228" s="1" t="s">
        <v>2126</v>
      </c>
      <c r="C228" s="1" t="s">
        <v>1787</v>
      </c>
      <c r="D228" s="1" t="n">
        <v>70</v>
      </c>
      <c r="E228" s="1" t="n">
        <v>8.52</v>
      </c>
      <c r="F228" s="1" t="n">
        <f aca="false">2/7</f>
        <v>0.285714285714286</v>
      </c>
    </row>
    <row collapsed="false" customFormat="false" customHeight="false" hidden="false" ht="14.75" outlineLevel="0" r="229">
      <c r="A229" s="1" t="s">
        <v>615</v>
      </c>
      <c r="B229" s="1" t="s">
        <v>2126</v>
      </c>
      <c r="C229" s="1" t="s">
        <v>1787</v>
      </c>
      <c r="D229" s="1" t="n">
        <v>145</v>
      </c>
      <c r="E229" s="1" t="n">
        <v>11.2</v>
      </c>
      <c r="F229" s="1" t="n">
        <f aca="false">5/7</f>
        <v>0.714285714285714</v>
      </c>
    </row>
    <row collapsed="false" customFormat="false" customHeight="false" hidden="false" ht="14.75" outlineLevel="0" r="230">
      <c r="A230" s="1" t="s">
        <v>27</v>
      </c>
      <c r="B230" s="1" t="s">
        <v>2126</v>
      </c>
      <c r="C230" s="1" t="s">
        <v>1787</v>
      </c>
      <c r="D230" s="1" t="n">
        <v>124</v>
      </c>
      <c r="E230" s="1" t="n">
        <v>12.96</v>
      </c>
      <c r="F230" s="1" t="n">
        <f aca="false">3/5</f>
        <v>0.6</v>
      </c>
    </row>
    <row collapsed="false" customFormat="false" customHeight="false" hidden="false" ht="14.75" outlineLevel="0" r="231">
      <c r="A231" s="1" t="s">
        <v>2136</v>
      </c>
      <c r="B231" s="1" t="s">
        <v>2126</v>
      </c>
      <c r="C231" s="1" t="s">
        <v>1787</v>
      </c>
      <c r="D231" s="1" t="n">
        <v>27</v>
      </c>
      <c r="E231" s="1" t="n">
        <v>4.55</v>
      </c>
      <c r="F231" s="1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blackAndWhite="false" cellComments="none" copies="1" draft="false" firstPageNumber="0" fitToHeight="1" fitToWidth="1" horizontalDpi="300" orientation="portrait" pageOrder="downThenOver" paperSize="1" scale="100" useFirstPageNumber="fals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97"/>
  <sheetViews>
    <sheetView colorId="64" defaultGridColor="true" rightToLeft="false" showFormulas="false" showGridLines="true" showOutlineSymbols="true" showRowColHeaders="true" showZeros="true" tabSelected="false" topLeftCell="A91" view="normal" windowProtection="false" workbookViewId="0" zoomScale="85" zoomScaleNormal="85" zoomScalePageLayoutView="100">
      <selection activeCell="A98" activeCellId="0" pane="topLeft" sqref="A98"/>
    </sheetView>
  </sheetViews>
  <cols>
    <col collapsed="false" hidden="false" max="1025" min="1" style="1" width="11.5843137254902"/>
  </cols>
  <sheetData>
    <row collapsed="false" customFormat="false" customHeight="false" hidden="false" ht="14.75" outlineLevel="0"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collapsed="false" customFormat="false" customHeight="false" hidden="false" ht="14.75" outlineLevel="0" r="2">
      <c r="A2" s="1" t="s">
        <v>2053</v>
      </c>
      <c r="B2" s="1" t="s">
        <v>2054</v>
      </c>
      <c r="C2" s="1" t="s">
        <v>2055</v>
      </c>
      <c r="D2" s="1" t="n">
        <v>331.1</v>
      </c>
      <c r="E2" s="1" t="n">
        <v>18.14</v>
      </c>
      <c r="F2" s="1" t="n">
        <v>3.2</v>
      </c>
    </row>
    <row collapsed="false" customFormat="false" customHeight="false" hidden="false" ht="14.75" outlineLevel="0" r="3">
      <c r="A3" s="1" t="s">
        <v>2056</v>
      </c>
      <c r="B3" s="1" t="s">
        <v>2054</v>
      </c>
      <c r="C3" s="1" t="s">
        <v>2055</v>
      </c>
      <c r="D3" s="1" t="n">
        <v>304</v>
      </c>
      <c r="E3" s="1" t="n">
        <v>17.79</v>
      </c>
      <c r="F3" s="1" t="n">
        <v>3.6</v>
      </c>
    </row>
    <row collapsed="false" customFormat="false" customHeight="false" hidden="false" ht="14.75" outlineLevel="0" r="4">
      <c r="A4" s="1" t="s">
        <v>2057</v>
      </c>
      <c r="B4" s="1" t="s">
        <v>2054</v>
      </c>
      <c r="C4" s="1" t="s">
        <v>2055</v>
      </c>
      <c r="D4" s="1" t="n">
        <v>257.9</v>
      </c>
      <c r="E4" s="1" t="n">
        <v>13.22</v>
      </c>
      <c r="F4" s="1" t="n">
        <v>1</v>
      </c>
    </row>
    <row collapsed="false" customFormat="false" customHeight="false" hidden="false" ht="14.75" outlineLevel="0" r="5">
      <c r="A5" s="1" t="s">
        <v>2058</v>
      </c>
      <c r="B5" s="1" t="s">
        <v>2054</v>
      </c>
      <c r="C5" s="1" t="s">
        <v>2055</v>
      </c>
      <c r="D5" s="1" t="n">
        <v>312.9</v>
      </c>
      <c r="E5" s="1" t="n">
        <v>18.07</v>
      </c>
      <c r="F5" s="1" t="n">
        <f aca="false">26/8</f>
        <v>3.25</v>
      </c>
    </row>
    <row collapsed="false" customFormat="false" customHeight="false" hidden="false" ht="14.75" outlineLevel="0" r="6">
      <c r="A6" s="1" t="s">
        <v>2059</v>
      </c>
      <c r="B6" s="1" t="s">
        <v>2054</v>
      </c>
      <c r="C6" s="1" t="s">
        <v>2055</v>
      </c>
      <c r="D6" s="1" t="n">
        <v>230</v>
      </c>
      <c r="E6" s="1" t="n">
        <v>13.56</v>
      </c>
      <c r="F6" s="1" t="n">
        <f aca="false">28/8</f>
        <v>3.5</v>
      </c>
    </row>
    <row collapsed="false" customFormat="false" customHeight="false" hidden="false" ht="14.75" outlineLevel="0" r="7">
      <c r="A7" s="1" t="s">
        <v>2060</v>
      </c>
      <c r="B7" s="1" t="s">
        <v>2054</v>
      </c>
      <c r="C7" s="1" t="s">
        <v>2055</v>
      </c>
      <c r="D7" s="1" t="n">
        <v>148.1</v>
      </c>
      <c r="E7" s="1" t="n">
        <v>11.94</v>
      </c>
      <c r="F7" s="1" t="n">
        <f aca="false">11/8</f>
        <v>1.375</v>
      </c>
    </row>
    <row collapsed="false" customFormat="false" customHeight="false" hidden="false" ht="14.75" outlineLevel="0" r="8">
      <c r="A8" s="1" t="s">
        <v>2061</v>
      </c>
      <c r="B8" s="1" t="s">
        <v>2054</v>
      </c>
      <c r="C8" s="1" t="s">
        <v>2055</v>
      </c>
      <c r="D8" s="1" t="n">
        <v>173.8</v>
      </c>
      <c r="E8" s="1" t="n">
        <v>13.6</v>
      </c>
      <c r="F8" s="1" t="n">
        <f aca="false">12/8</f>
        <v>1.5</v>
      </c>
    </row>
    <row collapsed="false" customFormat="false" customHeight="false" hidden="false" ht="14.75" outlineLevel="0" r="9">
      <c r="A9" s="1" t="s">
        <v>2062</v>
      </c>
      <c r="B9" s="1" t="s">
        <v>2054</v>
      </c>
      <c r="C9" s="1" t="s">
        <v>2055</v>
      </c>
      <c r="D9" s="1" t="n">
        <v>237.5</v>
      </c>
      <c r="E9" s="1" t="n">
        <v>14.61</v>
      </c>
      <c r="F9" s="1" t="n">
        <f aca="false">11/8</f>
        <v>1.375</v>
      </c>
    </row>
    <row collapsed="false" customFormat="false" customHeight="false" hidden="false" ht="14.75" outlineLevel="0" r="10">
      <c r="A10" s="1" t="s">
        <v>2063</v>
      </c>
      <c r="B10" s="1" t="s">
        <v>2054</v>
      </c>
      <c r="C10" s="1" t="s">
        <v>2055</v>
      </c>
      <c r="D10" s="1" t="n">
        <v>75.6</v>
      </c>
      <c r="E10" s="1" t="n">
        <v>6.94</v>
      </c>
      <c r="F10" s="1" t="n">
        <f aca="false">2/8</f>
        <v>0.25</v>
      </c>
    </row>
    <row collapsed="false" customFormat="false" customHeight="false" hidden="false" ht="14.75" outlineLevel="0" r="11">
      <c r="A11" s="1" t="s">
        <v>2064</v>
      </c>
      <c r="B11" s="1" t="s">
        <v>2054</v>
      </c>
      <c r="C11" s="1" t="s">
        <v>2055</v>
      </c>
      <c r="D11" s="1" t="n">
        <v>80.6</v>
      </c>
      <c r="E11" s="1" t="n">
        <v>8.57</v>
      </c>
      <c r="F11" s="1" t="n">
        <f aca="false">1/8</f>
        <v>0.125</v>
      </c>
    </row>
    <row collapsed="false" customFormat="false" customHeight="false" hidden="false" ht="14.75" outlineLevel="0" r="12">
      <c r="A12" s="1" t="s">
        <v>2065</v>
      </c>
      <c r="B12" s="1" t="s">
        <v>2054</v>
      </c>
      <c r="C12" s="1" t="s">
        <v>2055</v>
      </c>
      <c r="D12" s="1" t="n">
        <v>72.5</v>
      </c>
      <c r="E12" s="1" t="n">
        <v>7.73</v>
      </c>
      <c r="F12" s="1" t="n">
        <f aca="false">3/8</f>
        <v>0.375</v>
      </c>
    </row>
    <row collapsed="false" customFormat="false" customHeight="false" hidden="false" ht="14.75" outlineLevel="0" r="13">
      <c r="A13" s="1" t="s">
        <v>2066</v>
      </c>
      <c r="B13" s="1" t="s">
        <v>2054</v>
      </c>
      <c r="C13" s="1" t="s">
        <v>2055</v>
      </c>
      <c r="D13" s="1" t="n">
        <v>47.9</v>
      </c>
      <c r="E13" s="1" t="n">
        <v>10</v>
      </c>
      <c r="F13" s="1" t="n">
        <f aca="false">1/8</f>
        <v>0.125</v>
      </c>
    </row>
    <row collapsed="false" customFormat="false" customHeight="false" hidden="false" ht="14.75" outlineLevel="0" r="14">
      <c r="A14" s="1" t="s">
        <v>2137</v>
      </c>
      <c r="B14" s="1" t="s">
        <v>2138</v>
      </c>
      <c r="C14" s="1" t="s">
        <v>2055</v>
      </c>
      <c r="D14" s="1" t="n">
        <v>475.6</v>
      </c>
      <c r="E14" s="1" t="n">
        <v>22.19</v>
      </c>
      <c r="F14" s="1" t="n">
        <f aca="false">50/8</f>
        <v>6.25</v>
      </c>
    </row>
    <row collapsed="false" customFormat="false" customHeight="false" hidden="false" ht="14.75" outlineLevel="0" r="15">
      <c r="A15" s="1" t="s">
        <v>2139</v>
      </c>
      <c r="B15" s="1" t="s">
        <v>2138</v>
      </c>
      <c r="C15" s="1" t="s">
        <v>2055</v>
      </c>
      <c r="D15" s="1" t="n">
        <v>417.5</v>
      </c>
      <c r="E15" s="1" t="n">
        <v>21.37</v>
      </c>
      <c r="F15" s="1" t="n">
        <f aca="false">39/8</f>
        <v>4.875</v>
      </c>
    </row>
    <row collapsed="false" customFormat="false" customHeight="false" hidden="false" ht="14.75" outlineLevel="0" r="16">
      <c r="A16" s="1" t="s">
        <v>2140</v>
      </c>
      <c r="B16" s="1" t="s">
        <v>2138</v>
      </c>
      <c r="C16" s="1" t="s">
        <v>2055</v>
      </c>
      <c r="D16" s="1" t="n">
        <v>226.9</v>
      </c>
      <c r="E16" s="1" t="n">
        <v>14.93</v>
      </c>
      <c r="F16" s="1" t="n">
        <f aca="false">12/8</f>
        <v>1.5</v>
      </c>
    </row>
    <row collapsed="false" customFormat="false" customHeight="false" hidden="false" ht="14.75" outlineLevel="0" r="17">
      <c r="A17" s="1" t="s">
        <v>532</v>
      </c>
      <c r="B17" s="1" t="s">
        <v>2138</v>
      </c>
      <c r="C17" s="1" t="s">
        <v>2055</v>
      </c>
      <c r="D17" s="1" t="n">
        <v>183.1</v>
      </c>
      <c r="E17" s="1" t="n">
        <v>13.02</v>
      </c>
      <c r="F17" s="1" t="n">
        <f aca="false">11/8</f>
        <v>1.375</v>
      </c>
    </row>
    <row collapsed="false" customFormat="false" customHeight="false" hidden="false" ht="14.75" outlineLevel="0" r="18">
      <c r="A18" s="1" t="s">
        <v>2141</v>
      </c>
      <c r="B18" s="1" t="s">
        <v>2138</v>
      </c>
      <c r="C18" s="1" t="s">
        <v>2055</v>
      </c>
      <c r="D18" s="1" t="n">
        <v>250.6</v>
      </c>
      <c r="E18" s="1" t="n">
        <v>15.26</v>
      </c>
      <c r="F18" s="1" t="n">
        <f aca="false">28/8</f>
        <v>3.5</v>
      </c>
    </row>
    <row collapsed="false" customFormat="false" customHeight="false" hidden="false" ht="14.75" outlineLevel="0" r="19">
      <c r="A19" s="1" t="s">
        <v>2142</v>
      </c>
      <c r="B19" s="1" t="s">
        <v>2138</v>
      </c>
      <c r="C19" s="1" t="s">
        <v>2055</v>
      </c>
      <c r="D19" s="1" t="n">
        <v>160.6</v>
      </c>
      <c r="E19" s="1" t="n">
        <v>13.55</v>
      </c>
      <c r="F19" s="1" t="n">
        <f aca="false">13/8</f>
        <v>1.625</v>
      </c>
    </row>
    <row collapsed="false" customFormat="false" customHeight="false" hidden="false" ht="14.75" outlineLevel="0" r="20">
      <c r="A20" s="1" t="s">
        <v>2143</v>
      </c>
      <c r="B20" s="1" t="s">
        <v>2138</v>
      </c>
      <c r="C20" s="1" t="s">
        <v>2055</v>
      </c>
      <c r="D20" s="1" t="n">
        <v>86.7</v>
      </c>
      <c r="E20" s="1" t="n">
        <v>7.67</v>
      </c>
      <c r="F20" s="1" t="n">
        <v>0</v>
      </c>
    </row>
    <row collapsed="false" customFormat="false" customHeight="false" hidden="false" ht="14.75" outlineLevel="0" r="21">
      <c r="A21" s="1" t="s">
        <v>2144</v>
      </c>
      <c r="B21" s="1" t="s">
        <v>2138</v>
      </c>
      <c r="C21" s="1" t="s">
        <v>2055</v>
      </c>
      <c r="D21" s="1" t="n">
        <v>69.2</v>
      </c>
      <c r="E21" s="1" t="n">
        <v>10</v>
      </c>
      <c r="F21" s="1" t="n">
        <f aca="false">2/8</f>
        <v>0.25</v>
      </c>
    </row>
    <row collapsed="false" customFormat="false" customHeight="false" hidden="false" ht="14.75" outlineLevel="0" r="22">
      <c r="A22" s="1" t="s">
        <v>2145</v>
      </c>
      <c r="B22" s="1" t="s">
        <v>2138</v>
      </c>
      <c r="C22" s="1" t="s">
        <v>2055</v>
      </c>
      <c r="D22" s="1" t="n">
        <v>67.1</v>
      </c>
      <c r="E22" s="1" t="n">
        <v>6.55</v>
      </c>
      <c r="F22" s="1" t="n">
        <f aca="false">3/8</f>
        <v>0.375</v>
      </c>
    </row>
    <row collapsed="false" customFormat="false" customHeight="false" hidden="false" ht="14.75" outlineLevel="0" r="23">
      <c r="A23" s="1" t="s">
        <v>2146</v>
      </c>
      <c r="B23" s="1" t="s">
        <v>2138</v>
      </c>
      <c r="C23" s="1" t="s">
        <v>2055</v>
      </c>
      <c r="D23" s="1" t="n">
        <v>84</v>
      </c>
      <c r="E23" s="1" t="n">
        <v>8.7</v>
      </c>
      <c r="F23" s="1" t="n">
        <f aca="false">3/8</f>
        <v>0.375</v>
      </c>
    </row>
    <row collapsed="false" customFormat="false" customHeight="false" hidden="false" ht="14.75" outlineLevel="0" r="24">
      <c r="A24" s="1" t="s">
        <v>2147</v>
      </c>
      <c r="B24" s="1" t="s">
        <v>2148</v>
      </c>
      <c r="C24" s="1" t="s">
        <v>2055</v>
      </c>
      <c r="D24" s="1" t="n">
        <v>342.1</v>
      </c>
      <c r="E24" s="1" t="n">
        <v>18.13</v>
      </c>
      <c r="F24" s="1" t="n">
        <v>4</v>
      </c>
    </row>
    <row collapsed="false" customFormat="false" customHeight="false" hidden="false" ht="14.75" outlineLevel="0" r="25">
      <c r="A25" s="1" t="s">
        <v>2149</v>
      </c>
      <c r="B25" s="1" t="s">
        <v>2148</v>
      </c>
      <c r="C25" s="1" t="s">
        <v>2055</v>
      </c>
      <c r="D25" s="1" t="n">
        <v>419.3</v>
      </c>
      <c r="E25" s="1" t="n">
        <v>21.1</v>
      </c>
      <c r="F25" s="1" t="n">
        <f aca="false">29/7</f>
        <v>4.14285714285714</v>
      </c>
    </row>
    <row collapsed="false" customFormat="false" customHeight="false" hidden="false" ht="14.75" outlineLevel="0" r="26">
      <c r="A26" s="1" t="s">
        <v>2150</v>
      </c>
      <c r="B26" s="1" t="s">
        <v>2148</v>
      </c>
      <c r="C26" s="1" t="s">
        <v>2055</v>
      </c>
      <c r="D26" s="1" t="n">
        <v>187.4</v>
      </c>
      <c r="E26" s="1" t="n">
        <v>13.89</v>
      </c>
      <c r="F26" s="1" t="n">
        <f aca="false">10/7</f>
        <v>1.42857142857143</v>
      </c>
    </row>
    <row collapsed="false" customFormat="false" customHeight="false" hidden="false" ht="14.75" outlineLevel="0" r="27">
      <c r="A27" s="1" t="s">
        <v>2073</v>
      </c>
      <c r="B27" s="1" t="s">
        <v>2148</v>
      </c>
      <c r="C27" s="1" t="s">
        <v>2055</v>
      </c>
      <c r="D27" s="1" t="n">
        <v>224.5</v>
      </c>
      <c r="E27" s="1" t="n">
        <v>15.65</v>
      </c>
      <c r="F27" s="1" t="n">
        <f aca="false">8/7</f>
        <v>1.14285714285714</v>
      </c>
    </row>
    <row collapsed="false" customFormat="false" customHeight="false" hidden="false" ht="14.75" outlineLevel="0" r="28">
      <c r="A28" s="1" t="s">
        <v>2151</v>
      </c>
      <c r="B28" s="1" t="s">
        <v>2148</v>
      </c>
      <c r="C28" s="1" t="s">
        <v>2055</v>
      </c>
      <c r="D28" s="1" t="n">
        <v>162.1</v>
      </c>
      <c r="E28" s="1" t="n">
        <v>11.73</v>
      </c>
      <c r="F28" s="1" t="n">
        <f aca="false">8/7</f>
        <v>1.14285714285714</v>
      </c>
    </row>
    <row collapsed="false" customFormat="false" customHeight="false" hidden="false" ht="14.75" outlineLevel="0" r="29">
      <c r="A29" s="1" t="s">
        <v>2152</v>
      </c>
      <c r="B29" s="1" t="s">
        <v>2148</v>
      </c>
      <c r="C29" s="1" t="s">
        <v>2055</v>
      </c>
      <c r="D29" s="1" t="n">
        <v>163.6</v>
      </c>
      <c r="E29" s="1" t="n">
        <v>15.58</v>
      </c>
      <c r="F29" s="1" t="n">
        <f aca="false">16/7</f>
        <v>2.28571428571429</v>
      </c>
    </row>
    <row collapsed="false" customFormat="false" customHeight="false" hidden="false" ht="14.75" outlineLevel="0" r="30">
      <c r="A30" s="1" t="s">
        <v>2076</v>
      </c>
      <c r="B30" s="1" t="s">
        <v>2148</v>
      </c>
      <c r="C30" s="1" t="s">
        <v>2055</v>
      </c>
      <c r="D30" s="1" t="n">
        <v>115</v>
      </c>
      <c r="E30" s="1" t="n">
        <v>13.14</v>
      </c>
      <c r="F30" s="1" t="n">
        <f aca="false">3/7</f>
        <v>0.428571428571429</v>
      </c>
    </row>
    <row collapsed="false" customFormat="false" customHeight="false" hidden="false" ht="14.75" outlineLevel="0" r="31">
      <c r="A31" s="1" t="s">
        <v>2153</v>
      </c>
      <c r="B31" s="1" t="s">
        <v>2148</v>
      </c>
      <c r="C31" s="1" t="s">
        <v>2055</v>
      </c>
      <c r="D31" s="1" t="n">
        <v>107.1</v>
      </c>
      <c r="E31" s="1" t="n">
        <v>11.71</v>
      </c>
      <c r="F31" s="1" t="n">
        <f aca="false">3/7</f>
        <v>0.428571428571429</v>
      </c>
    </row>
    <row collapsed="false" customFormat="false" customHeight="false" hidden="false" ht="14.75" outlineLevel="0" r="32">
      <c r="A32" s="1" t="s">
        <v>2078</v>
      </c>
      <c r="B32" s="1" t="s">
        <v>2154</v>
      </c>
      <c r="C32" s="1" t="s">
        <v>2055</v>
      </c>
      <c r="D32" s="1" t="n">
        <v>473.8</v>
      </c>
      <c r="E32" s="1" t="n">
        <v>21.95</v>
      </c>
      <c r="F32" s="1" t="n">
        <f aca="false">47/8</f>
        <v>5.875</v>
      </c>
    </row>
    <row collapsed="false" customFormat="false" customHeight="false" hidden="false" ht="14.75" outlineLevel="0" r="33">
      <c r="A33" s="1" t="s">
        <v>2155</v>
      </c>
      <c r="B33" s="1" t="s">
        <v>2154</v>
      </c>
      <c r="C33" s="1" t="s">
        <v>2055</v>
      </c>
      <c r="D33" s="1" t="n">
        <v>345</v>
      </c>
      <c r="E33" s="1" t="n">
        <v>18.46</v>
      </c>
      <c r="F33" s="1" t="n">
        <f aca="false">29/8</f>
        <v>3.625</v>
      </c>
    </row>
    <row collapsed="false" customFormat="false" customHeight="false" hidden="false" ht="14.75" outlineLevel="0" r="34">
      <c r="A34" s="1" t="s">
        <v>664</v>
      </c>
      <c r="B34" s="1" t="s">
        <v>2154</v>
      </c>
      <c r="C34" s="1" t="s">
        <v>2055</v>
      </c>
      <c r="D34" s="1" t="n">
        <v>351.9</v>
      </c>
      <c r="E34" s="1" t="n">
        <v>19.78</v>
      </c>
      <c r="F34" s="1" t="n">
        <f aca="false">29/8</f>
        <v>3.625</v>
      </c>
    </row>
    <row collapsed="false" customFormat="false" customHeight="false" hidden="false" ht="14.75" outlineLevel="0" r="35">
      <c r="A35" s="1" t="s">
        <v>671</v>
      </c>
      <c r="B35" s="1" t="s">
        <v>2154</v>
      </c>
      <c r="C35" s="1" t="s">
        <v>2055</v>
      </c>
      <c r="D35" s="1" t="n">
        <v>252.5</v>
      </c>
      <c r="E35" s="1" t="n">
        <v>18.36</v>
      </c>
      <c r="F35" s="1" t="n">
        <f aca="false">18/8</f>
        <v>2.25</v>
      </c>
    </row>
    <row collapsed="false" customFormat="false" customHeight="false" hidden="false" ht="14.75" outlineLevel="0" r="36">
      <c r="A36" s="1" t="s">
        <v>2156</v>
      </c>
      <c r="B36" s="1" t="s">
        <v>2154</v>
      </c>
      <c r="C36" s="1" t="s">
        <v>2055</v>
      </c>
      <c r="D36" s="1" t="n">
        <v>225</v>
      </c>
      <c r="E36" s="1" t="n">
        <v>13.42</v>
      </c>
      <c r="F36" s="1" t="n">
        <f aca="false">10/6</f>
        <v>1.66666666666667</v>
      </c>
    </row>
    <row collapsed="false" customFormat="false" customHeight="false" hidden="false" ht="14.75" outlineLevel="0" r="37">
      <c r="A37" s="1" t="s">
        <v>649</v>
      </c>
      <c r="B37" s="1" t="s">
        <v>2154</v>
      </c>
      <c r="C37" s="1" t="s">
        <v>2055</v>
      </c>
      <c r="D37" s="1" t="n">
        <v>251.7</v>
      </c>
      <c r="E37" s="1" t="n">
        <v>18.94</v>
      </c>
      <c r="F37" s="1" t="n">
        <f aca="false">10/6</f>
        <v>1.66666666666667</v>
      </c>
    </row>
    <row collapsed="false" customFormat="false" customHeight="false" hidden="false" ht="14.75" outlineLevel="0" r="38">
      <c r="A38" s="1" t="s">
        <v>669</v>
      </c>
      <c r="B38" s="1" t="s">
        <v>2154</v>
      </c>
      <c r="C38" s="1" t="s">
        <v>2055</v>
      </c>
      <c r="D38" s="1" t="n">
        <v>213.3</v>
      </c>
      <c r="E38" s="1" t="n">
        <v>13.15</v>
      </c>
      <c r="F38" s="1" t="n">
        <f aca="false">9/6</f>
        <v>1.5</v>
      </c>
    </row>
    <row collapsed="false" customFormat="false" customHeight="false" hidden="false" ht="14.75" outlineLevel="0" r="39">
      <c r="A39" s="1" t="s">
        <v>499</v>
      </c>
      <c r="B39" s="1" t="s">
        <v>2154</v>
      </c>
      <c r="C39" s="1" t="s">
        <v>2055</v>
      </c>
      <c r="D39" s="1" t="n">
        <v>351.7</v>
      </c>
      <c r="E39" s="1" t="n">
        <v>17.7</v>
      </c>
      <c r="F39" s="1" t="n">
        <f aca="false">19/6</f>
        <v>3.16666666666667</v>
      </c>
    </row>
    <row collapsed="false" customFormat="false" customHeight="false" hidden="false" ht="14.75" outlineLevel="0" r="40">
      <c r="A40" s="1" t="s">
        <v>2157</v>
      </c>
      <c r="B40" s="1" t="s">
        <v>2154</v>
      </c>
      <c r="C40" s="1" t="s">
        <v>2055</v>
      </c>
      <c r="D40" s="1" t="n">
        <v>184</v>
      </c>
      <c r="E40" s="1" t="n">
        <v>15.28</v>
      </c>
      <c r="F40" s="1" t="n">
        <f aca="false">6/5</f>
        <v>1.2</v>
      </c>
    </row>
    <row collapsed="false" customFormat="false" customHeight="false" hidden="false" ht="14.75" outlineLevel="0" r="41">
      <c r="A41" s="1" t="s">
        <v>2158</v>
      </c>
      <c r="B41" s="1" t="s">
        <v>2154</v>
      </c>
      <c r="C41" s="1" t="s">
        <v>2055</v>
      </c>
      <c r="D41" s="1" t="n">
        <v>200</v>
      </c>
      <c r="E41" s="1" t="n">
        <v>13.02</v>
      </c>
      <c r="F41" s="1" t="n">
        <f aca="false">8/5</f>
        <v>1.6</v>
      </c>
    </row>
    <row collapsed="false" customFormat="false" customHeight="false" hidden="false" ht="14.75" outlineLevel="0" r="42">
      <c r="A42" s="1" t="s">
        <v>2159</v>
      </c>
      <c r="B42" s="1" t="s">
        <v>2154</v>
      </c>
      <c r="C42" s="1" t="s">
        <v>2055</v>
      </c>
      <c r="D42" s="1" t="n">
        <v>160</v>
      </c>
      <c r="E42" s="1" t="n">
        <v>10.79</v>
      </c>
      <c r="F42" s="1" t="n">
        <f aca="false">4/5</f>
        <v>0.8</v>
      </c>
    </row>
    <row collapsed="false" customFormat="false" customHeight="false" hidden="false" ht="14.75" outlineLevel="0" r="43">
      <c r="A43" s="1" t="s">
        <v>647</v>
      </c>
      <c r="B43" s="1" t="s">
        <v>2154</v>
      </c>
      <c r="C43" s="1" t="s">
        <v>2055</v>
      </c>
      <c r="D43" s="1" t="n">
        <v>157</v>
      </c>
      <c r="E43" s="1" t="n">
        <v>11.94</v>
      </c>
      <c r="F43" s="1" t="n">
        <f aca="false">3/5</f>
        <v>0.6</v>
      </c>
    </row>
    <row collapsed="false" customFormat="false" customHeight="false" hidden="false" ht="14.75" outlineLevel="0" r="44">
      <c r="A44" s="1" t="s">
        <v>2160</v>
      </c>
      <c r="B44" s="1" t="s">
        <v>2154</v>
      </c>
      <c r="C44" s="1" t="s">
        <v>2055</v>
      </c>
      <c r="D44" s="1" t="n">
        <v>133</v>
      </c>
      <c r="E44" s="1" t="n">
        <v>15.56</v>
      </c>
      <c r="F44" s="1" t="n">
        <f aca="false">1/5</f>
        <v>0.2</v>
      </c>
    </row>
    <row collapsed="false" customFormat="false" customHeight="false" hidden="false" ht="14.75" outlineLevel="0" r="45">
      <c r="A45" s="1" t="s">
        <v>2161</v>
      </c>
      <c r="B45" s="1" t="s">
        <v>2154</v>
      </c>
      <c r="C45" s="1" t="s">
        <v>2055</v>
      </c>
      <c r="D45" s="1" t="n">
        <v>109</v>
      </c>
      <c r="E45" s="1" t="n">
        <v>8.62</v>
      </c>
      <c r="F45" s="1" t="n">
        <v>1</v>
      </c>
    </row>
    <row collapsed="false" customFormat="false" customHeight="false" hidden="false" ht="14.75" outlineLevel="0" r="46">
      <c r="A46" s="1" t="s">
        <v>2162</v>
      </c>
      <c r="B46" s="1" t="s">
        <v>2154</v>
      </c>
      <c r="C46" s="1" t="s">
        <v>2055</v>
      </c>
      <c r="D46" s="1" t="n">
        <v>84</v>
      </c>
      <c r="E46" s="1" t="n">
        <v>6.8</v>
      </c>
      <c r="F46" s="1" t="n">
        <f aca="false">1/5</f>
        <v>0.2</v>
      </c>
    </row>
    <row collapsed="false" customFormat="false" customHeight="false" hidden="false" ht="14.75" outlineLevel="0" r="47">
      <c r="A47" s="1" t="s">
        <v>661</v>
      </c>
      <c r="B47" s="1" t="s">
        <v>2154</v>
      </c>
      <c r="C47" s="1" t="s">
        <v>2055</v>
      </c>
      <c r="D47" s="1" t="n">
        <v>127</v>
      </c>
      <c r="E47" s="1" t="n">
        <v>15.4</v>
      </c>
      <c r="F47" s="1" t="n">
        <f aca="false">2/5</f>
        <v>0.4</v>
      </c>
    </row>
    <row collapsed="false" customFormat="false" customHeight="false" hidden="false" ht="14.75" outlineLevel="0" r="48">
      <c r="A48" s="1" t="s">
        <v>2163</v>
      </c>
      <c r="B48" s="1" t="s">
        <v>2154</v>
      </c>
      <c r="C48" s="1" t="s">
        <v>2055</v>
      </c>
      <c r="D48" s="1" t="n">
        <v>39</v>
      </c>
      <c r="E48" s="1" t="n">
        <v>10</v>
      </c>
      <c r="F48" s="1" t="n">
        <f aca="false">1/5</f>
        <v>0.2</v>
      </c>
    </row>
    <row collapsed="false" customFormat="false" customHeight="false" hidden="false" ht="14.75" outlineLevel="0" r="49">
      <c r="A49" s="1" t="s">
        <v>2164</v>
      </c>
      <c r="B49" s="1" t="s">
        <v>2154</v>
      </c>
      <c r="C49" s="1" t="s">
        <v>2055</v>
      </c>
      <c r="D49" s="1" t="n">
        <v>6</v>
      </c>
      <c r="E49" s="1" t="n">
        <v>5</v>
      </c>
      <c r="F49" s="1" t="n">
        <v>0</v>
      </c>
    </row>
    <row collapsed="false" customFormat="false" customHeight="false" hidden="false" ht="14.75" outlineLevel="0" r="50">
      <c r="A50" s="1" t="s">
        <v>169</v>
      </c>
      <c r="B50" s="1" t="s">
        <v>2165</v>
      </c>
      <c r="C50" s="1" t="s">
        <v>2055</v>
      </c>
      <c r="D50" s="1" t="n">
        <v>315</v>
      </c>
      <c r="E50" s="1" t="n">
        <v>16.83</v>
      </c>
      <c r="F50" s="1" t="n">
        <f aca="false">14/8</f>
        <v>1.75</v>
      </c>
    </row>
    <row collapsed="false" customFormat="false" customHeight="false" hidden="false" ht="14.75" outlineLevel="0" r="51">
      <c r="A51" s="1" t="s">
        <v>2166</v>
      </c>
      <c r="B51" s="1" t="s">
        <v>2165</v>
      </c>
      <c r="C51" s="1" t="s">
        <v>2055</v>
      </c>
      <c r="D51" s="1" t="n">
        <v>430.6</v>
      </c>
      <c r="E51" s="1" t="n">
        <v>19.38</v>
      </c>
      <c r="F51" s="1" t="n">
        <f aca="false">35/8</f>
        <v>4.375</v>
      </c>
    </row>
    <row collapsed="false" customFormat="false" customHeight="false" hidden="false" ht="14.75" outlineLevel="0" r="52">
      <c r="A52" s="1" t="s">
        <v>2167</v>
      </c>
      <c r="B52" s="1" t="s">
        <v>2165</v>
      </c>
      <c r="C52" s="1" t="s">
        <v>2055</v>
      </c>
      <c r="D52" s="1" t="n">
        <v>222.5</v>
      </c>
      <c r="E52" s="1" t="n">
        <v>13.44</v>
      </c>
      <c r="F52" s="1" t="n">
        <f aca="false">10/8</f>
        <v>1.25</v>
      </c>
    </row>
    <row collapsed="false" customFormat="false" customHeight="false" hidden="false" ht="14.75" outlineLevel="0" r="53">
      <c r="A53" s="1" t="s">
        <v>2168</v>
      </c>
      <c r="B53" s="1" t="s">
        <v>2165</v>
      </c>
      <c r="C53" s="1" t="s">
        <v>2055</v>
      </c>
      <c r="D53" s="1" t="n">
        <v>269.4</v>
      </c>
      <c r="E53" s="1" t="n">
        <v>16.05</v>
      </c>
      <c r="F53" s="1" t="n">
        <f aca="false">14/8</f>
        <v>1.75</v>
      </c>
    </row>
    <row collapsed="false" customFormat="false" customHeight="false" hidden="false" ht="14.75" outlineLevel="0" r="54">
      <c r="A54" s="1" t="s">
        <v>2169</v>
      </c>
      <c r="B54" s="1" t="s">
        <v>2165</v>
      </c>
      <c r="C54" s="1" t="s">
        <v>2055</v>
      </c>
      <c r="D54" s="1" t="n">
        <v>104.2</v>
      </c>
      <c r="E54" s="1" t="n">
        <v>10</v>
      </c>
      <c r="F54" s="1" t="n">
        <f aca="false">7/6</f>
        <v>1.16666666666667</v>
      </c>
    </row>
    <row collapsed="false" customFormat="false" customHeight="false" hidden="false" ht="14.75" outlineLevel="0" r="55">
      <c r="A55" s="1" t="s">
        <v>2170</v>
      </c>
      <c r="B55" s="1" t="s">
        <v>2165</v>
      </c>
      <c r="C55" s="1" t="s">
        <v>2055</v>
      </c>
      <c r="D55" s="1" t="n">
        <v>114.2</v>
      </c>
      <c r="E55" s="1" t="n">
        <v>9.17</v>
      </c>
      <c r="F55" s="1" t="n">
        <f aca="false">3/6</f>
        <v>0.5</v>
      </c>
    </row>
    <row collapsed="false" customFormat="false" customHeight="false" hidden="false" ht="14.75" outlineLevel="0" r="56">
      <c r="A56" s="1" t="s">
        <v>2171</v>
      </c>
      <c r="B56" s="1" t="s">
        <v>2165</v>
      </c>
      <c r="C56" s="1" t="s">
        <v>2055</v>
      </c>
      <c r="D56" s="1" t="n">
        <v>130</v>
      </c>
      <c r="E56" s="1" t="n">
        <v>11.62</v>
      </c>
      <c r="F56" s="1" t="n">
        <f aca="false">4/6</f>
        <v>0.666666666666667</v>
      </c>
    </row>
    <row collapsed="false" customFormat="false" customHeight="false" hidden="false" ht="14.75" outlineLevel="0" r="57">
      <c r="A57" s="1" t="s">
        <v>2172</v>
      </c>
      <c r="B57" s="1" t="s">
        <v>2165</v>
      </c>
      <c r="C57" s="1" t="s">
        <v>2055</v>
      </c>
      <c r="D57" s="1" t="n">
        <v>113.3</v>
      </c>
      <c r="E57" s="1" t="n">
        <v>10.91</v>
      </c>
      <c r="F57" s="1" t="n">
        <f aca="false">5/6</f>
        <v>0.833333333333333</v>
      </c>
    </row>
    <row collapsed="false" customFormat="false" customHeight="false" hidden="false" ht="14.75" outlineLevel="0" r="58">
      <c r="A58" s="1" t="s">
        <v>2173</v>
      </c>
      <c r="B58" s="1" t="s">
        <v>2165</v>
      </c>
      <c r="C58" s="1" t="s">
        <v>2055</v>
      </c>
      <c r="D58" s="1" t="n">
        <v>82</v>
      </c>
      <c r="E58" s="1" t="n">
        <v>7.83</v>
      </c>
      <c r="F58" s="1" t="n">
        <f aca="false">1/6</f>
        <v>0.166666666666667</v>
      </c>
    </row>
    <row collapsed="false" customFormat="false" customHeight="false" hidden="false" ht="14.75" outlineLevel="0" r="59">
      <c r="A59" s="1" t="s">
        <v>2174</v>
      </c>
      <c r="B59" s="1" t="s">
        <v>2165</v>
      </c>
      <c r="C59" s="1" t="s">
        <v>2055</v>
      </c>
      <c r="D59" s="1" t="n">
        <v>60</v>
      </c>
      <c r="E59" s="1" t="n">
        <v>13.08</v>
      </c>
      <c r="F59" s="1" t="n">
        <f aca="false">2/6</f>
        <v>0.333333333333333</v>
      </c>
    </row>
    <row collapsed="false" customFormat="false" customHeight="false" hidden="false" ht="14.75" outlineLevel="0" r="60">
      <c r="A60" s="1" t="s">
        <v>2175</v>
      </c>
      <c r="B60" s="1" t="s">
        <v>2165</v>
      </c>
      <c r="C60" s="1" t="s">
        <v>2055</v>
      </c>
      <c r="D60" s="1" t="n">
        <v>66</v>
      </c>
      <c r="E60" s="1" t="n">
        <v>9.41</v>
      </c>
      <c r="F60" s="1" t="n">
        <f aca="false">1/6</f>
        <v>0.166666666666667</v>
      </c>
    </row>
    <row collapsed="false" customFormat="false" customHeight="false" hidden="false" ht="14.75" outlineLevel="0" r="61">
      <c r="A61" s="1" t="s">
        <v>2176</v>
      </c>
      <c r="B61" s="1" t="s">
        <v>2165</v>
      </c>
      <c r="C61" s="1" t="s">
        <v>2055</v>
      </c>
      <c r="D61" s="1" t="n">
        <v>55</v>
      </c>
      <c r="E61" s="1" t="n">
        <v>4</v>
      </c>
      <c r="F61" s="1" t="n">
        <f aca="false">2/6</f>
        <v>0.333333333333333</v>
      </c>
    </row>
    <row collapsed="false" customFormat="false" customHeight="false" hidden="false" ht="14.75" outlineLevel="0" r="62">
      <c r="A62" s="1" t="s">
        <v>1071</v>
      </c>
      <c r="B62" s="1" t="s">
        <v>2177</v>
      </c>
      <c r="C62" s="1" t="s">
        <v>2055</v>
      </c>
      <c r="D62" s="1" t="n">
        <v>365.6</v>
      </c>
      <c r="E62" s="1" t="n">
        <v>18.17</v>
      </c>
      <c r="F62" s="1" t="n">
        <f aca="false">24/9</f>
        <v>2.66666666666667</v>
      </c>
    </row>
    <row collapsed="false" customFormat="false" customHeight="false" hidden="false" ht="14.75" outlineLevel="0" r="63">
      <c r="A63" s="1" t="s">
        <v>2178</v>
      </c>
      <c r="B63" s="1" t="s">
        <v>2177</v>
      </c>
      <c r="C63" s="1" t="s">
        <v>2055</v>
      </c>
      <c r="D63" s="1" t="n">
        <v>236.7</v>
      </c>
      <c r="E63" s="1" t="n">
        <v>14.4</v>
      </c>
      <c r="F63" s="1" t="n">
        <f aca="false">22/9</f>
        <v>2.44444444444444</v>
      </c>
    </row>
    <row collapsed="false" customFormat="false" customHeight="false" hidden="false" ht="14.75" outlineLevel="0" r="64">
      <c r="A64" s="1" t="s">
        <v>1036</v>
      </c>
      <c r="B64" s="1" t="s">
        <v>2177</v>
      </c>
      <c r="C64" s="1" t="s">
        <v>2055</v>
      </c>
      <c r="D64" s="1" t="n">
        <v>315</v>
      </c>
      <c r="E64" s="1" t="n">
        <v>18.07</v>
      </c>
      <c r="F64" s="1" t="n">
        <v>3.2</v>
      </c>
    </row>
    <row collapsed="false" customFormat="false" customHeight="false" hidden="false" ht="14.75" outlineLevel="0" r="65">
      <c r="A65" s="1" t="s">
        <v>2179</v>
      </c>
      <c r="B65" s="1" t="s">
        <v>2177</v>
      </c>
      <c r="C65" s="1" t="s">
        <v>2055</v>
      </c>
      <c r="D65" s="1" t="n">
        <v>227</v>
      </c>
      <c r="E65" s="1" t="n">
        <v>16.47</v>
      </c>
      <c r="F65" s="1" t="n">
        <v>1.5</v>
      </c>
    </row>
    <row collapsed="false" customFormat="false" customHeight="false" hidden="false" ht="14.75" outlineLevel="0" r="66">
      <c r="A66" s="1" t="s">
        <v>1037</v>
      </c>
      <c r="B66" s="1" t="s">
        <v>2177</v>
      </c>
      <c r="C66" s="1" t="s">
        <v>2055</v>
      </c>
      <c r="D66" s="1" t="n">
        <v>213.3</v>
      </c>
      <c r="E66" s="1" t="n">
        <v>15</v>
      </c>
      <c r="F66" s="1" t="n">
        <f aca="false">14/9</f>
        <v>1.55555555555556</v>
      </c>
    </row>
    <row collapsed="false" customFormat="false" customHeight="false" hidden="false" ht="14.75" outlineLevel="0" r="67">
      <c r="A67" s="1" t="s">
        <v>1070</v>
      </c>
      <c r="B67" s="1" t="s">
        <v>2177</v>
      </c>
      <c r="C67" s="1" t="s">
        <v>2055</v>
      </c>
      <c r="D67" s="1" t="n">
        <v>210.6</v>
      </c>
      <c r="E67" s="1" t="n">
        <v>13.38</v>
      </c>
      <c r="F67" s="1" t="n">
        <f aca="false">11/9</f>
        <v>1.22222222222222</v>
      </c>
    </row>
    <row collapsed="false" customFormat="false" customHeight="false" hidden="false" ht="14.75" outlineLevel="0" r="68">
      <c r="A68" s="1" t="s">
        <v>1039</v>
      </c>
      <c r="B68" s="1" t="s">
        <v>2177</v>
      </c>
      <c r="C68" s="1" t="s">
        <v>2055</v>
      </c>
      <c r="D68" s="1" t="n">
        <v>203.1</v>
      </c>
      <c r="E68" s="1" t="n">
        <v>14.92</v>
      </c>
      <c r="F68" s="1" t="n">
        <f aca="false">10/9</f>
        <v>1.11111111111111</v>
      </c>
    </row>
    <row collapsed="false" customFormat="false" customHeight="false" hidden="false" ht="14.75" outlineLevel="0" r="69">
      <c r="A69" s="1" t="s">
        <v>996</v>
      </c>
      <c r="B69" s="1" t="s">
        <v>2177</v>
      </c>
      <c r="C69" s="1" t="s">
        <v>2055</v>
      </c>
      <c r="D69" s="1" t="n">
        <v>220</v>
      </c>
      <c r="E69" s="1" t="n">
        <v>16.57</v>
      </c>
      <c r="F69" s="1" t="n">
        <f aca="false">14/9</f>
        <v>1.55555555555556</v>
      </c>
    </row>
    <row collapsed="false" customFormat="false" customHeight="false" hidden="false" ht="14.75" outlineLevel="0" r="70">
      <c r="A70" s="1" t="s">
        <v>2180</v>
      </c>
      <c r="B70" s="1" t="s">
        <v>2177</v>
      </c>
      <c r="C70" s="1" t="s">
        <v>2055</v>
      </c>
      <c r="D70" s="1" t="n">
        <v>82.9</v>
      </c>
      <c r="E70" s="1" t="n">
        <v>10</v>
      </c>
      <c r="F70" s="1" t="n">
        <f aca="false">3/9</f>
        <v>0.333333333333333</v>
      </c>
    </row>
    <row collapsed="false" customFormat="false" customHeight="false" hidden="false" ht="14.75" outlineLevel="0" r="71">
      <c r="A71" s="1" t="s">
        <v>2181</v>
      </c>
      <c r="B71" s="1" t="s">
        <v>2177</v>
      </c>
      <c r="C71" s="1" t="s">
        <v>2055</v>
      </c>
      <c r="D71" s="1" t="n">
        <v>91.4</v>
      </c>
      <c r="E71" s="1" t="n">
        <v>10</v>
      </c>
      <c r="F71" s="1" t="n">
        <f aca="false">4/9</f>
        <v>0.444444444444444</v>
      </c>
    </row>
    <row collapsed="false" customFormat="false" customHeight="false" hidden="false" ht="14.75" outlineLevel="0" r="72">
      <c r="A72" s="1" t="s">
        <v>2182</v>
      </c>
      <c r="B72" s="1" t="s">
        <v>2177</v>
      </c>
      <c r="C72" s="1" t="s">
        <v>2055</v>
      </c>
      <c r="D72" s="1" t="n">
        <v>164</v>
      </c>
      <c r="E72" s="1" t="n">
        <v>12.43</v>
      </c>
      <c r="F72" s="1" t="n">
        <f aca="false">4/8</f>
        <v>0.5</v>
      </c>
    </row>
    <row collapsed="false" customFormat="false" customHeight="false" hidden="false" ht="14.75" outlineLevel="0" r="73">
      <c r="A73" s="1" t="s">
        <v>2183</v>
      </c>
      <c r="B73" s="1" t="s">
        <v>2177</v>
      </c>
      <c r="C73" s="1" t="s">
        <v>2055</v>
      </c>
      <c r="D73" s="1" t="n">
        <v>123</v>
      </c>
      <c r="E73" s="1" t="n">
        <v>11.79</v>
      </c>
      <c r="F73" s="1" t="n">
        <f aca="false">2/8</f>
        <v>0.25</v>
      </c>
    </row>
    <row collapsed="false" customFormat="false" customHeight="false" hidden="false" ht="14.75" outlineLevel="0" r="74">
      <c r="A74" s="1" t="s">
        <v>1072</v>
      </c>
      <c r="B74" s="1" t="s">
        <v>2177</v>
      </c>
      <c r="C74" s="1" t="s">
        <v>2055</v>
      </c>
      <c r="D74" s="1" t="n">
        <v>218.8</v>
      </c>
      <c r="E74" s="1" t="n">
        <v>14.71</v>
      </c>
      <c r="F74" s="1" t="n">
        <f aca="false">8/9</f>
        <v>0.888888888888889</v>
      </c>
    </row>
    <row collapsed="false" customFormat="false" customHeight="false" hidden="false" ht="14.75" outlineLevel="0" r="75">
      <c r="A75" s="1" t="s">
        <v>1038</v>
      </c>
      <c r="B75" s="1" t="s">
        <v>2177</v>
      </c>
      <c r="C75" s="1" t="s">
        <v>2055</v>
      </c>
      <c r="D75" s="1" t="n">
        <v>105.6</v>
      </c>
      <c r="E75" s="1" t="n">
        <v>10.44</v>
      </c>
      <c r="F75" s="1" t="n">
        <f aca="false">5/9</f>
        <v>0.555555555555556</v>
      </c>
    </row>
    <row collapsed="false" customFormat="false" customHeight="false" hidden="false" ht="14.75" outlineLevel="0" r="76">
      <c r="A76" s="1" t="s">
        <v>2184</v>
      </c>
      <c r="B76" s="1" t="s">
        <v>2177</v>
      </c>
      <c r="C76" s="1" t="s">
        <v>2055</v>
      </c>
      <c r="D76" s="1" t="n">
        <v>78.8</v>
      </c>
      <c r="E76" s="1" t="n">
        <v>8.43</v>
      </c>
      <c r="F76" s="1" t="n">
        <f aca="false">2/9</f>
        <v>0.222222222222222</v>
      </c>
    </row>
    <row collapsed="false" customFormat="false" customHeight="false" hidden="false" ht="14.75" outlineLevel="0" r="77">
      <c r="A77" s="1" t="s">
        <v>2185</v>
      </c>
      <c r="B77" s="1" t="s">
        <v>2177</v>
      </c>
      <c r="C77" s="1" t="s">
        <v>2055</v>
      </c>
      <c r="D77" s="1" t="n">
        <v>117.5</v>
      </c>
      <c r="E77" s="1" t="n">
        <v>13.17</v>
      </c>
      <c r="F77" s="1" t="n">
        <f aca="false">1/9</f>
        <v>0.111111111111111</v>
      </c>
    </row>
    <row collapsed="false" customFormat="false" customHeight="false" hidden="false" ht="14.75" outlineLevel="0" r="78">
      <c r="A78" s="1" t="s">
        <v>1073</v>
      </c>
      <c r="B78" s="1" t="s">
        <v>2177</v>
      </c>
      <c r="C78" s="1" t="s">
        <v>2055</v>
      </c>
      <c r="D78" s="1" t="n">
        <v>65.6</v>
      </c>
      <c r="E78" s="1" t="n">
        <v>10.38</v>
      </c>
      <c r="F78" s="1" t="n">
        <f aca="false">2/9</f>
        <v>0.222222222222222</v>
      </c>
    </row>
    <row collapsed="false" customFormat="false" customHeight="false" hidden="false" ht="14.75" outlineLevel="0" r="79">
      <c r="A79" s="1" t="s">
        <v>2186</v>
      </c>
      <c r="B79" s="1" t="s">
        <v>2177</v>
      </c>
      <c r="C79" s="1" t="s">
        <v>2055</v>
      </c>
      <c r="D79" s="1" t="n">
        <v>57</v>
      </c>
      <c r="E79" s="1" t="n">
        <v>6.11</v>
      </c>
      <c r="F79" s="1" t="n">
        <f aca="false">1/9</f>
        <v>0.111111111111111</v>
      </c>
    </row>
    <row collapsed="false" customFormat="false" customHeight="false" hidden="false" ht="14.75" outlineLevel="0" r="80">
      <c r="A80" s="1" t="s">
        <v>339</v>
      </c>
      <c r="B80" s="1" t="s">
        <v>2187</v>
      </c>
      <c r="C80" s="1" t="s">
        <v>2055</v>
      </c>
      <c r="D80" s="1" t="n">
        <v>507.2</v>
      </c>
      <c r="E80" s="1" t="n">
        <v>22.06</v>
      </c>
      <c r="F80" s="1" t="n">
        <f aca="false">56/9</f>
        <v>6.22222222222222</v>
      </c>
    </row>
    <row collapsed="false" customFormat="false" customHeight="false" hidden="false" ht="14.75" outlineLevel="0" r="81">
      <c r="A81" s="1" t="s">
        <v>564</v>
      </c>
      <c r="B81" s="1" t="s">
        <v>2187</v>
      </c>
      <c r="C81" s="1" t="s">
        <v>2055</v>
      </c>
      <c r="D81" s="1" t="n">
        <v>272.4</v>
      </c>
      <c r="E81" s="1" t="n">
        <v>18.92</v>
      </c>
      <c r="F81" s="1" t="n">
        <f aca="false">30/9</f>
        <v>3.33333333333333</v>
      </c>
    </row>
    <row collapsed="false" customFormat="false" customHeight="false" hidden="false" ht="14.75" outlineLevel="0" r="82">
      <c r="A82" s="1" t="s">
        <v>1163</v>
      </c>
      <c r="B82" s="1" t="s">
        <v>2187</v>
      </c>
      <c r="C82" s="1" t="s">
        <v>2055</v>
      </c>
      <c r="D82" s="1" t="n">
        <v>236.1</v>
      </c>
      <c r="E82" s="1" t="n">
        <v>15.68</v>
      </c>
      <c r="F82" s="1" t="n">
        <f aca="false">23/9</f>
        <v>2.55555555555556</v>
      </c>
    </row>
    <row collapsed="false" customFormat="false" customHeight="false" hidden="false" ht="14.75" outlineLevel="0" r="83">
      <c r="A83" s="1" t="s">
        <v>606</v>
      </c>
      <c r="B83" s="1" t="s">
        <v>2187</v>
      </c>
      <c r="C83" s="1" t="s">
        <v>2055</v>
      </c>
      <c r="D83" s="1" t="n">
        <v>138.3</v>
      </c>
      <c r="E83" s="1" t="n">
        <v>13.65</v>
      </c>
      <c r="F83" s="1" t="n">
        <f aca="false">15/9</f>
        <v>1.66666666666667</v>
      </c>
    </row>
    <row collapsed="false" customFormat="false" customHeight="false" hidden="false" ht="14.75" outlineLevel="0" r="84">
      <c r="A84" s="1" t="s">
        <v>605</v>
      </c>
      <c r="B84" s="1" t="s">
        <v>2187</v>
      </c>
      <c r="C84" s="1" t="s">
        <v>2055</v>
      </c>
      <c r="D84" s="1" t="n">
        <v>183.2</v>
      </c>
      <c r="E84" s="1" t="n">
        <v>13.75</v>
      </c>
      <c r="F84" s="1" t="n">
        <f aca="false">14/8</f>
        <v>1.75</v>
      </c>
    </row>
    <row collapsed="false" customFormat="false" customHeight="false" hidden="false" ht="14.75" outlineLevel="0" r="85">
      <c r="A85" s="1" t="s">
        <v>1937</v>
      </c>
      <c r="B85" s="1" t="s">
        <v>2187</v>
      </c>
      <c r="C85" s="1" t="s">
        <v>2055</v>
      </c>
      <c r="D85" s="1" t="n">
        <v>130.6</v>
      </c>
      <c r="E85" s="1" t="n">
        <v>11.04</v>
      </c>
      <c r="F85" s="1" t="n">
        <f aca="false">7/8</f>
        <v>0.875</v>
      </c>
    </row>
    <row collapsed="false" customFormat="false" customHeight="false" hidden="false" ht="14.75" outlineLevel="0" r="86">
      <c r="A86" s="1" t="s">
        <v>173</v>
      </c>
      <c r="B86" s="1" t="s">
        <v>2187</v>
      </c>
      <c r="C86" s="1" t="s">
        <v>2055</v>
      </c>
      <c r="D86" s="1" t="n">
        <v>131.9</v>
      </c>
      <c r="E86" s="1" t="n">
        <v>11.43</v>
      </c>
      <c r="F86" s="1" t="n">
        <f aca="false">10/8</f>
        <v>1.25</v>
      </c>
    </row>
    <row collapsed="false" customFormat="false" customHeight="false" hidden="false" ht="14.75" outlineLevel="0" r="87">
      <c r="A87" s="1" t="s">
        <v>1406</v>
      </c>
      <c r="B87" s="1" t="s">
        <v>2188</v>
      </c>
      <c r="C87" s="1" t="s">
        <v>2055</v>
      </c>
      <c r="D87" s="1" t="n">
        <v>328.5</v>
      </c>
      <c r="E87" s="1" t="n">
        <v>17.42</v>
      </c>
      <c r="F87" s="1" t="n">
        <v>3.2</v>
      </c>
    </row>
    <row collapsed="false" customFormat="false" customHeight="false" hidden="false" ht="14.75" outlineLevel="0" r="88">
      <c r="A88" s="1" t="s">
        <v>1426</v>
      </c>
      <c r="B88" s="1" t="s">
        <v>2188</v>
      </c>
      <c r="C88" s="1" t="s">
        <v>2055</v>
      </c>
      <c r="D88" s="1" t="n">
        <v>330</v>
      </c>
      <c r="E88" s="1" t="n">
        <v>17.84</v>
      </c>
      <c r="F88" s="1" t="n">
        <v>3.8</v>
      </c>
    </row>
    <row collapsed="false" customFormat="false" customHeight="false" hidden="false" ht="14.75" outlineLevel="0" r="89">
      <c r="A89" s="1" t="s">
        <v>1407</v>
      </c>
      <c r="B89" s="1" t="s">
        <v>2188</v>
      </c>
      <c r="C89" s="1" t="s">
        <v>2055</v>
      </c>
      <c r="D89" s="1" t="n">
        <v>241</v>
      </c>
      <c r="E89" s="1" t="n">
        <v>14.79</v>
      </c>
      <c r="F89" s="1" t="n">
        <v>1.5</v>
      </c>
    </row>
    <row collapsed="false" customFormat="false" customHeight="false" hidden="false" ht="14.75" outlineLevel="0" r="90">
      <c r="A90" s="1" t="s">
        <v>539</v>
      </c>
      <c r="B90" s="1" t="s">
        <v>2188</v>
      </c>
      <c r="C90" s="1" t="s">
        <v>2055</v>
      </c>
      <c r="D90" s="1" t="n">
        <v>229</v>
      </c>
      <c r="E90" s="1" t="n">
        <v>15.91</v>
      </c>
      <c r="F90" s="1" t="n">
        <v>2.3</v>
      </c>
    </row>
    <row collapsed="false" customFormat="false" customHeight="false" hidden="false" ht="14.75" outlineLevel="0" r="91">
      <c r="A91" s="1" t="s">
        <v>141</v>
      </c>
      <c r="B91" s="1" t="s">
        <v>2188</v>
      </c>
      <c r="C91" s="1" t="s">
        <v>2055</v>
      </c>
      <c r="D91" s="1" t="n">
        <v>93</v>
      </c>
      <c r="E91" s="1" t="n">
        <v>9.39</v>
      </c>
      <c r="F91" s="1" t="n">
        <v>0.7</v>
      </c>
    </row>
    <row collapsed="false" customFormat="false" customHeight="false" hidden="false" ht="14.75" outlineLevel="0" r="92">
      <c r="A92" s="1" t="s">
        <v>2189</v>
      </c>
      <c r="B92" s="1" t="s">
        <v>2188</v>
      </c>
      <c r="C92" s="1" t="s">
        <v>2055</v>
      </c>
      <c r="D92" s="1" t="n">
        <v>67.5</v>
      </c>
      <c r="E92" s="1" t="n">
        <v>8.65</v>
      </c>
      <c r="F92" s="1" t="n">
        <v>0.5</v>
      </c>
    </row>
    <row collapsed="false" customFormat="false" customHeight="false" hidden="false" ht="14.75" outlineLevel="0" r="93">
      <c r="A93" s="1" t="s">
        <v>2200</v>
      </c>
      <c r="B93" s="1" t="s">
        <v>2201</v>
      </c>
      <c r="C93" s="1" t="s">
        <v>2055</v>
      </c>
      <c r="D93" s="1" t="n">
        <v>245.6</v>
      </c>
      <c r="E93" s="1" t="n">
        <v>14.4</v>
      </c>
      <c r="F93" s="1" t="n">
        <f aca="false">22/9</f>
        <v>2.44444444444444</v>
      </c>
    </row>
    <row collapsed="false" customFormat="false" customHeight="false" hidden="false" ht="14.75" outlineLevel="0" r="94">
      <c r="A94" s="1" t="s">
        <v>1939</v>
      </c>
      <c r="B94" s="1" t="s">
        <v>2201</v>
      </c>
      <c r="C94" s="1" t="s">
        <v>2055</v>
      </c>
      <c r="D94" s="1" t="n">
        <v>292.2</v>
      </c>
      <c r="E94" s="1" t="n">
        <v>18.09</v>
      </c>
      <c r="F94" s="1" t="n">
        <f aca="false">12/9</f>
        <v>1.33333333333333</v>
      </c>
    </row>
    <row collapsed="false" customFormat="false" customHeight="false" hidden="false" ht="14.75" outlineLevel="0" r="95">
      <c r="A95" s="1" t="s">
        <v>2202</v>
      </c>
      <c r="B95" s="1" t="s">
        <v>2201</v>
      </c>
      <c r="C95" s="1" t="s">
        <v>2055</v>
      </c>
      <c r="D95" s="1" t="n">
        <v>119.4</v>
      </c>
      <c r="E95" s="1" t="n">
        <v>10.64</v>
      </c>
      <c r="F95" s="1" t="n">
        <f aca="false">6/8</f>
        <v>0.75</v>
      </c>
    </row>
    <row collapsed="false" customFormat="false" customHeight="false" hidden="false" ht="14.75" outlineLevel="0" r="96">
      <c r="A96" s="1" t="s">
        <v>1940</v>
      </c>
      <c r="B96" s="1" t="s">
        <v>2201</v>
      </c>
      <c r="C96" s="1" t="s">
        <v>2055</v>
      </c>
      <c r="D96" s="1" t="n">
        <v>79.4</v>
      </c>
      <c r="E96" s="1" t="n">
        <v>7.3</v>
      </c>
      <c r="F96" s="1" t="n">
        <f aca="false">1/8</f>
        <v>0.125</v>
      </c>
    </row>
    <row collapsed="false" customFormat="false" customHeight="false" hidden="false" ht="14.75" outlineLevel="0" r="97">
      <c r="A97" s="1" t="s">
        <v>409</v>
      </c>
      <c r="B97" s="1" t="s">
        <v>2201</v>
      </c>
      <c r="C97" s="1" t="s">
        <v>2055</v>
      </c>
      <c r="D97" s="1" t="n">
        <v>28.8</v>
      </c>
      <c r="E97" s="1" t="n">
        <v>3.33</v>
      </c>
      <c r="F97" s="1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blackAndWhite="false" cellComments="none" copies="1" draft="false" firstPageNumber="0" fitToHeight="1" fitToWidth="1" horizontalDpi="300" orientation="portrait" pageOrder="downThenOver" paperSize="1" scale="100" useFirstPageNumber="fals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91"/>
  <sheetViews>
    <sheetView colorId="64" defaultGridColor="true" rightToLeft="false" showFormulas="false" showGridLines="true" showOutlineSymbols="true" showRowColHeaders="true" showZeros="true" tabSelected="false" topLeftCell="A60" view="normal" windowProtection="false" workbookViewId="0" zoomScale="85" zoomScaleNormal="85" zoomScalePageLayoutView="100">
      <selection activeCell="A74" activeCellId="0" pane="topLeft" sqref="A74"/>
    </sheetView>
  </sheetViews>
  <cols>
    <col collapsed="false" hidden="false" max="1025" min="1" style="1" width="11.5843137254902"/>
  </cols>
  <sheetData>
    <row collapsed="false" customFormat="false" customHeight="false" hidden="false" ht="14.75" outlineLevel="0"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collapsed="false" customFormat="false" customHeight="false" hidden="false" ht="14.75" outlineLevel="0" r="2">
      <c r="A2" s="1" t="s">
        <v>286</v>
      </c>
      <c r="B2" s="1" t="s">
        <v>2039</v>
      </c>
      <c r="C2" s="1" t="s">
        <v>2040</v>
      </c>
      <c r="D2" s="1" t="n">
        <v>549.6</v>
      </c>
      <c r="E2" s="1" t="n">
        <v>24.78</v>
      </c>
      <c r="F2" s="1" t="n">
        <f aca="false">113/12</f>
        <v>9.41666666666667</v>
      </c>
    </row>
    <row collapsed="false" customFormat="false" customHeight="false" hidden="false" ht="14.75" outlineLevel="0" r="3">
      <c r="A3" s="1" t="s">
        <v>343</v>
      </c>
      <c r="B3" s="1" t="s">
        <v>2039</v>
      </c>
      <c r="C3" s="1" t="s">
        <v>2040</v>
      </c>
      <c r="D3" s="1" t="n">
        <v>512.9</v>
      </c>
      <c r="E3" s="1" t="n">
        <v>23.12</v>
      </c>
      <c r="F3" s="1" t="n">
        <f aca="false">118/12</f>
        <v>9.83333333333333</v>
      </c>
    </row>
    <row collapsed="false" customFormat="false" customHeight="false" hidden="false" ht="14.75" outlineLevel="0" r="4">
      <c r="A4" s="1" t="s">
        <v>303</v>
      </c>
      <c r="B4" s="1" t="s">
        <v>2039</v>
      </c>
      <c r="C4" s="1" t="s">
        <v>2040</v>
      </c>
      <c r="D4" s="1" t="n">
        <v>441.8</v>
      </c>
      <c r="E4" s="1" t="n">
        <v>20.46</v>
      </c>
      <c r="F4" s="1" t="n">
        <f aca="false">73/11</f>
        <v>6.63636363636364</v>
      </c>
    </row>
    <row collapsed="false" customFormat="false" customHeight="false" hidden="false" ht="14.75" outlineLevel="0" r="5">
      <c r="A5" s="1" t="s">
        <v>355</v>
      </c>
      <c r="B5" s="1" t="s">
        <v>2039</v>
      </c>
      <c r="C5" s="1" t="s">
        <v>2040</v>
      </c>
      <c r="D5" s="1" t="n">
        <v>412.9</v>
      </c>
      <c r="E5" s="1" t="n">
        <v>21.59</v>
      </c>
      <c r="F5" s="1" t="n">
        <f aca="false">77/12</f>
        <v>6.41666666666667</v>
      </c>
    </row>
    <row collapsed="false" customFormat="false" customHeight="false" hidden="false" ht="14.75" outlineLevel="0" r="6">
      <c r="A6" s="1" t="s">
        <v>344</v>
      </c>
      <c r="B6" s="1" t="s">
        <v>2039</v>
      </c>
      <c r="C6" s="1" t="s">
        <v>2040</v>
      </c>
      <c r="D6" s="1" t="n">
        <v>362.5</v>
      </c>
      <c r="E6" s="1" t="n">
        <v>23.29</v>
      </c>
      <c r="F6" s="1" t="n">
        <f aca="false">65/11</f>
        <v>5.90909090909091</v>
      </c>
    </row>
    <row collapsed="false" customFormat="false" customHeight="false" hidden="false" ht="14.75" outlineLevel="0" r="7">
      <c r="A7" s="1" t="s">
        <v>163</v>
      </c>
      <c r="B7" s="1" t="s">
        <v>2039</v>
      </c>
      <c r="C7" s="1" t="s">
        <v>2040</v>
      </c>
      <c r="D7" s="1" t="n">
        <v>445.5</v>
      </c>
      <c r="E7" s="1" t="n">
        <v>22.73</v>
      </c>
      <c r="F7" s="1" t="n">
        <f aca="false">69/11</f>
        <v>6.27272727272727</v>
      </c>
    </row>
    <row collapsed="false" customFormat="false" customHeight="false" hidden="false" ht="14.75" outlineLevel="0" r="8">
      <c r="A8" s="1" t="s">
        <v>295</v>
      </c>
      <c r="B8" s="1" t="s">
        <v>2039</v>
      </c>
      <c r="C8" s="1" t="s">
        <v>2040</v>
      </c>
      <c r="D8" s="1" t="n">
        <v>380.5</v>
      </c>
      <c r="E8" s="1" t="n">
        <v>20.53</v>
      </c>
      <c r="F8" s="1" t="n">
        <f aca="false">56/11</f>
        <v>5.09090909090909</v>
      </c>
    </row>
    <row collapsed="false" customFormat="false" customHeight="false" hidden="false" ht="14.75" outlineLevel="0" r="9">
      <c r="A9" s="1" t="s">
        <v>38</v>
      </c>
      <c r="B9" s="1" t="s">
        <v>2039</v>
      </c>
      <c r="C9" s="1" t="s">
        <v>2040</v>
      </c>
      <c r="D9" s="1" t="n">
        <v>350.5</v>
      </c>
      <c r="E9" s="1" t="n">
        <v>20.41</v>
      </c>
      <c r="F9" s="1" t="n">
        <f aca="false">53/11</f>
        <v>4.81818181818182</v>
      </c>
    </row>
    <row collapsed="false" customFormat="false" customHeight="false" hidden="false" ht="14.75" outlineLevel="0" r="10">
      <c r="A10" s="1" t="s">
        <v>2041</v>
      </c>
      <c r="B10" s="1" t="s">
        <v>2039</v>
      </c>
      <c r="C10" s="1" t="s">
        <v>2040</v>
      </c>
      <c r="D10" s="1" t="n">
        <v>363.2</v>
      </c>
      <c r="E10" s="1" t="n">
        <v>20.78</v>
      </c>
      <c r="F10" s="1" t="n">
        <f aca="false">50/11</f>
        <v>4.54545454545455</v>
      </c>
    </row>
    <row collapsed="false" customFormat="false" customHeight="false" hidden="false" ht="14.75" outlineLevel="0" r="11">
      <c r="A11" s="1" t="s">
        <v>356</v>
      </c>
      <c r="B11" s="1" t="s">
        <v>2039</v>
      </c>
      <c r="C11" s="1" t="s">
        <v>2040</v>
      </c>
      <c r="D11" s="1" t="n">
        <v>346.8</v>
      </c>
      <c r="E11" s="1" t="n">
        <v>19.14</v>
      </c>
      <c r="F11" s="1" t="n">
        <f aca="false">41/11</f>
        <v>3.72727272727273</v>
      </c>
    </row>
    <row collapsed="false" customFormat="false" customHeight="false" hidden="false" ht="14.75" outlineLevel="0" r="12">
      <c r="A12" s="1" t="s">
        <v>289</v>
      </c>
      <c r="B12" s="1" t="s">
        <v>2039</v>
      </c>
      <c r="C12" s="1" t="s">
        <v>2040</v>
      </c>
      <c r="D12" s="1" t="n">
        <v>327.7</v>
      </c>
      <c r="E12" s="1" t="n">
        <v>18.56</v>
      </c>
      <c r="F12" s="1" t="n">
        <f aca="false">41/11</f>
        <v>3.72727272727273</v>
      </c>
    </row>
    <row collapsed="false" customFormat="false" customHeight="false" hidden="false" ht="14.75" outlineLevel="0" r="13">
      <c r="A13" s="1" t="s">
        <v>190</v>
      </c>
      <c r="B13" s="1" t="s">
        <v>2039</v>
      </c>
      <c r="C13" s="1" t="s">
        <v>2040</v>
      </c>
      <c r="D13" s="1" t="n">
        <v>281.4</v>
      </c>
      <c r="E13" s="1" t="n">
        <v>16.88</v>
      </c>
      <c r="F13" s="1" t="n">
        <f aca="false">33/11</f>
        <v>3</v>
      </c>
    </row>
    <row collapsed="false" customFormat="false" customHeight="false" hidden="false" ht="14.75" outlineLevel="0" r="14">
      <c r="A14" s="1" t="s">
        <v>421</v>
      </c>
      <c r="B14" s="1" t="s">
        <v>2039</v>
      </c>
      <c r="C14" s="1" t="s">
        <v>2040</v>
      </c>
      <c r="D14" s="1" t="n">
        <v>263.6</v>
      </c>
      <c r="E14" s="1" t="n">
        <v>18.04</v>
      </c>
      <c r="F14" s="1" t="n">
        <f aca="false">26/11</f>
        <v>2.36363636363636</v>
      </c>
    </row>
    <row collapsed="false" customFormat="false" customHeight="false" hidden="false" ht="14.75" outlineLevel="0" r="15">
      <c r="A15" s="1" t="s">
        <v>358</v>
      </c>
      <c r="B15" s="1" t="s">
        <v>2039</v>
      </c>
      <c r="C15" s="1" t="s">
        <v>2040</v>
      </c>
      <c r="D15" s="1" t="n">
        <v>238.6</v>
      </c>
      <c r="E15" s="1" t="n">
        <v>18.82</v>
      </c>
      <c r="F15" s="1" t="n">
        <f aca="false">36/11</f>
        <v>3.27272727272727</v>
      </c>
    </row>
    <row collapsed="false" customFormat="false" customHeight="false" hidden="false" ht="14.75" outlineLevel="0" r="16">
      <c r="A16" s="1" t="s">
        <v>1314</v>
      </c>
      <c r="B16" s="1" t="s">
        <v>2039</v>
      </c>
      <c r="C16" s="1" t="s">
        <v>2040</v>
      </c>
      <c r="D16" s="1" t="n">
        <v>191.8</v>
      </c>
      <c r="E16" s="1" t="n">
        <v>16.54</v>
      </c>
      <c r="F16" s="1" t="n">
        <f aca="false">21/11</f>
        <v>1.90909090909091</v>
      </c>
    </row>
    <row collapsed="false" customFormat="false" customHeight="false" hidden="false" ht="14.75" outlineLevel="0" r="17">
      <c r="A17" s="1" t="s">
        <v>2042</v>
      </c>
      <c r="B17" s="1" t="s">
        <v>2039</v>
      </c>
      <c r="C17" s="1" t="s">
        <v>2040</v>
      </c>
      <c r="D17" s="1" t="n">
        <v>191.4</v>
      </c>
      <c r="E17" s="1" t="n">
        <v>14.82</v>
      </c>
      <c r="F17" s="1" t="n">
        <f aca="false">20/11</f>
        <v>1.81818181818182</v>
      </c>
    </row>
    <row collapsed="false" customFormat="false" customHeight="false" hidden="false" ht="14.75" outlineLevel="0" r="18">
      <c r="A18" s="1" t="s">
        <v>191</v>
      </c>
      <c r="B18" s="1" t="s">
        <v>2039</v>
      </c>
      <c r="C18" s="1" t="s">
        <v>2040</v>
      </c>
      <c r="D18" s="1" t="n">
        <v>276.4</v>
      </c>
      <c r="E18" s="1" t="n">
        <v>15.81</v>
      </c>
      <c r="F18" s="1" t="n">
        <f aca="false">19/11</f>
        <v>1.72727272727273</v>
      </c>
    </row>
    <row collapsed="false" customFormat="false" customHeight="false" hidden="false" ht="14.75" outlineLevel="0" r="19">
      <c r="A19" s="1" t="s">
        <v>332</v>
      </c>
      <c r="B19" s="1" t="s">
        <v>2039</v>
      </c>
      <c r="C19" s="1" t="s">
        <v>2040</v>
      </c>
      <c r="D19" s="1" t="n">
        <v>256.8</v>
      </c>
      <c r="E19" s="1" t="n">
        <v>14.6</v>
      </c>
      <c r="F19" s="1" t="n">
        <f aca="false">32/11</f>
        <v>2.90909090909091</v>
      </c>
    </row>
    <row collapsed="false" customFormat="false" customHeight="false" hidden="false" ht="14.75" outlineLevel="0" r="20">
      <c r="A20" s="1" t="s">
        <v>359</v>
      </c>
      <c r="B20" s="1" t="s">
        <v>2039</v>
      </c>
      <c r="C20" s="1" t="s">
        <v>2040</v>
      </c>
      <c r="D20" s="1" t="n">
        <v>153.2</v>
      </c>
      <c r="E20" s="1" t="n">
        <v>12.13</v>
      </c>
      <c r="F20" s="1" t="n">
        <f aca="false">12/11</f>
        <v>1.09090909090909</v>
      </c>
    </row>
    <row collapsed="false" customFormat="false" customHeight="false" hidden="false" ht="14.75" outlineLevel="0" r="21">
      <c r="A21" s="1" t="s">
        <v>296</v>
      </c>
      <c r="B21" s="1" t="s">
        <v>2039</v>
      </c>
      <c r="C21" s="1" t="s">
        <v>2040</v>
      </c>
      <c r="D21" s="1" t="n">
        <v>132.3</v>
      </c>
      <c r="E21" s="1" t="n">
        <v>10.41</v>
      </c>
      <c r="F21" s="1" t="n">
        <f aca="false">9/11</f>
        <v>0.818181818181818</v>
      </c>
    </row>
    <row collapsed="false" customFormat="false" customHeight="false" hidden="false" ht="14.75" outlineLevel="0" r="22">
      <c r="A22" s="1" t="s">
        <v>1315</v>
      </c>
      <c r="B22" s="1" t="s">
        <v>2039</v>
      </c>
      <c r="C22" s="1" t="s">
        <v>2040</v>
      </c>
      <c r="D22" s="1" t="n">
        <v>118.2</v>
      </c>
      <c r="E22" s="1" t="n">
        <v>10.98</v>
      </c>
      <c r="F22" s="1" t="n">
        <v>1</v>
      </c>
    </row>
    <row collapsed="false" customFormat="false" customHeight="false" hidden="false" ht="14.75" outlineLevel="0" r="23">
      <c r="A23" s="1" t="s">
        <v>422</v>
      </c>
      <c r="B23" s="1" t="s">
        <v>2039</v>
      </c>
      <c r="C23" s="1" t="s">
        <v>2040</v>
      </c>
      <c r="D23" s="1" t="n">
        <v>100</v>
      </c>
      <c r="E23" s="1" t="n">
        <v>10.71</v>
      </c>
      <c r="F23" s="1" t="n">
        <f aca="false">5/11</f>
        <v>0.454545454545455</v>
      </c>
    </row>
    <row collapsed="false" customFormat="false" customHeight="false" hidden="false" ht="14.75" outlineLevel="0" r="24">
      <c r="A24" s="1" t="s">
        <v>1022</v>
      </c>
      <c r="B24" s="1" t="s">
        <v>2039</v>
      </c>
      <c r="C24" s="1" t="s">
        <v>2040</v>
      </c>
      <c r="D24" s="1" t="n">
        <v>95.9</v>
      </c>
      <c r="E24" s="1" t="n">
        <v>9.82</v>
      </c>
      <c r="F24" s="1" t="n">
        <f aca="false">5/11</f>
        <v>0.454545454545455</v>
      </c>
    </row>
    <row collapsed="false" customFormat="false" customHeight="false" hidden="false" ht="14.75" outlineLevel="0" r="25">
      <c r="A25" s="1" t="s">
        <v>2043</v>
      </c>
      <c r="B25" s="1" t="s">
        <v>2039</v>
      </c>
      <c r="C25" s="1" t="s">
        <v>2040</v>
      </c>
      <c r="D25" s="1" t="n">
        <v>72.7</v>
      </c>
      <c r="E25" s="1" t="n">
        <v>7.02</v>
      </c>
      <c r="F25" s="1" t="n">
        <f aca="false">2/11</f>
        <v>0.181818181818182</v>
      </c>
    </row>
    <row collapsed="false" customFormat="false" customHeight="false" hidden="false" ht="14.75" outlineLevel="0" r="26">
      <c r="A26" s="1" t="s">
        <v>348</v>
      </c>
      <c r="B26" s="1" t="s">
        <v>2077</v>
      </c>
      <c r="C26" s="1" t="s">
        <v>2040</v>
      </c>
      <c r="D26" s="1" t="n">
        <v>544.2</v>
      </c>
      <c r="E26" s="1" t="n">
        <v>23.92</v>
      </c>
      <c r="F26" s="1" t="n">
        <f aca="false">111/12</f>
        <v>9.25</v>
      </c>
    </row>
    <row collapsed="false" customFormat="false" customHeight="false" hidden="false" ht="14.75" outlineLevel="0" r="27">
      <c r="A27" s="1" t="s">
        <v>339</v>
      </c>
      <c r="B27" s="1" t="s">
        <v>2077</v>
      </c>
      <c r="C27" s="1" t="s">
        <v>2040</v>
      </c>
      <c r="D27" s="1" t="n">
        <v>368.8</v>
      </c>
      <c r="E27" s="1" t="n">
        <v>19.72</v>
      </c>
      <c r="F27" s="1" t="n">
        <f aca="false">45/12</f>
        <v>3.75</v>
      </c>
    </row>
    <row collapsed="false" customFormat="false" customHeight="false" hidden="false" ht="14.75" outlineLevel="0" r="28">
      <c r="A28" s="1" t="s">
        <v>607</v>
      </c>
      <c r="B28" s="1" t="s">
        <v>2077</v>
      </c>
      <c r="C28" s="1" t="s">
        <v>2040</v>
      </c>
      <c r="D28" s="1" t="n">
        <v>349.2</v>
      </c>
      <c r="E28" s="1" t="n">
        <v>19.82</v>
      </c>
      <c r="F28" s="1" t="n">
        <f aca="false">42/12</f>
        <v>3.5</v>
      </c>
    </row>
    <row collapsed="false" customFormat="false" customHeight="false" hidden="false" ht="14.75" outlineLevel="0" r="29">
      <c r="A29" s="1" t="s">
        <v>2078</v>
      </c>
      <c r="B29" s="1" t="s">
        <v>2077</v>
      </c>
      <c r="C29" s="1" t="s">
        <v>2040</v>
      </c>
      <c r="D29" s="1" t="n">
        <v>296.2</v>
      </c>
      <c r="E29" s="1" t="n">
        <v>18.68</v>
      </c>
      <c r="F29" s="1" t="n">
        <f aca="false">31/12</f>
        <v>2.58333333333333</v>
      </c>
    </row>
    <row collapsed="false" customFormat="false" customHeight="false" hidden="false" ht="14.75" outlineLevel="0" r="30">
      <c r="A30" s="1" t="s">
        <v>591</v>
      </c>
      <c r="B30" s="1" t="s">
        <v>2077</v>
      </c>
      <c r="C30" s="1" t="s">
        <v>2040</v>
      </c>
      <c r="D30" s="1" t="n">
        <v>306.5</v>
      </c>
      <c r="E30" s="1" t="n">
        <v>15.78</v>
      </c>
      <c r="F30" s="1" t="n">
        <v>2.9</v>
      </c>
    </row>
    <row collapsed="false" customFormat="false" customHeight="false" hidden="false" ht="14.75" outlineLevel="0" r="31">
      <c r="A31" s="1" t="s">
        <v>391</v>
      </c>
      <c r="B31" s="1" t="s">
        <v>2077</v>
      </c>
      <c r="C31" s="1" t="s">
        <v>2040</v>
      </c>
      <c r="D31" s="1" t="n">
        <v>255</v>
      </c>
      <c r="E31" s="1" t="n">
        <v>15.64</v>
      </c>
      <c r="F31" s="1" t="n">
        <v>2.8</v>
      </c>
    </row>
    <row collapsed="false" customFormat="false" customHeight="false" hidden="false" ht="14.75" outlineLevel="0" r="32">
      <c r="A32" s="1" t="s">
        <v>340</v>
      </c>
      <c r="B32" s="1" t="s">
        <v>2077</v>
      </c>
      <c r="C32" s="1" t="s">
        <v>2040</v>
      </c>
      <c r="D32" s="1" t="n">
        <v>239</v>
      </c>
      <c r="E32" s="1" t="n">
        <v>14.79</v>
      </c>
      <c r="F32" s="1" t="n">
        <v>1.5</v>
      </c>
    </row>
    <row collapsed="false" customFormat="false" customHeight="false" hidden="false" ht="14.75" outlineLevel="0" r="33">
      <c r="A33" s="1" t="s">
        <v>349</v>
      </c>
      <c r="B33" s="1" t="s">
        <v>2077</v>
      </c>
      <c r="C33" s="1" t="s">
        <v>2040</v>
      </c>
      <c r="D33" s="1" t="n">
        <v>270</v>
      </c>
      <c r="E33" s="1" t="n">
        <v>16.5</v>
      </c>
      <c r="F33" s="1" t="n">
        <v>2.5</v>
      </c>
    </row>
    <row collapsed="false" customFormat="false" customHeight="false" hidden="false" ht="14.75" outlineLevel="0" r="34">
      <c r="A34" s="1" t="s">
        <v>2079</v>
      </c>
      <c r="B34" s="1" t="s">
        <v>2077</v>
      </c>
      <c r="C34" s="1" t="s">
        <v>2040</v>
      </c>
      <c r="D34" s="1" t="n">
        <v>246.5</v>
      </c>
      <c r="E34" s="1" t="n">
        <v>14.26</v>
      </c>
      <c r="F34" s="1" t="n">
        <v>1.5</v>
      </c>
    </row>
    <row collapsed="false" customFormat="false" customHeight="false" hidden="false" ht="14.75" outlineLevel="0" r="35">
      <c r="A35" s="1" t="s">
        <v>589</v>
      </c>
      <c r="B35" s="1" t="s">
        <v>2077</v>
      </c>
      <c r="C35" s="1" t="s">
        <v>2040</v>
      </c>
      <c r="D35" s="1" t="n">
        <v>212</v>
      </c>
      <c r="E35" s="1" t="n">
        <v>14.02</v>
      </c>
      <c r="F35" s="1" t="n">
        <v>1.5</v>
      </c>
    </row>
    <row collapsed="false" customFormat="false" customHeight="false" hidden="false" ht="14.75" outlineLevel="0" r="36">
      <c r="A36" s="1" t="s">
        <v>392</v>
      </c>
      <c r="B36" s="1" t="s">
        <v>2077</v>
      </c>
      <c r="C36" s="1" t="s">
        <v>2040</v>
      </c>
      <c r="D36" s="1" t="n">
        <v>180.5</v>
      </c>
      <c r="E36" s="1" t="n">
        <v>12.47</v>
      </c>
      <c r="F36" s="1" t="n">
        <v>1.2</v>
      </c>
    </row>
    <row collapsed="false" customFormat="false" customHeight="false" hidden="false" ht="14.75" outlineLevel="0" r="37">
      <c r="A37" s="1" t="s">
        <v>564</v>
      </c>
      <c r="B37" s="1" t="s">
        <v>2077</v>
      </c>
      <c r="C37" s="1" t="s">
        <v>2040</v>
      </c>
      <c r="D37" s="1" t="n">
        <v>172.5</v>
      </c>
      <c r="E37" s="1" t="n">
        <v>14.65</v>
      </c>
      <c r="F37" s="1" t="n">
        <v>1.1</v>
      </c>
    </row>
    <row collapsed="false" customFormat="false" customHeight="false" hidden="false" ht="14.75" outlineLevel="0" r="38">
      <c r="A38" s="1" t="s">
        <v>2080</v>
      </c>
      <c r="B38" s="1" t="s">
        <v>2077</v>
      </c>
      <c r="C38" s="1" t="s">
        <v>2040</v>
      </c>
      <c r="D38" s="1" t="n">
        <v>229.5</v>
      </c>
      <c r="E38" s="1" t="n">
        <v>14.53</v>
      </c>
      <c r="F38" s="1" t="n">
        <v>0.7</v>
      </c>
    </row>
    <row collapsed="false" customFormat="false" customHeight="false" hidden="false" ht="14.75" outlineLevel="0" r="39">
      <c r="A39" s="1" t="s">
        <v>938</v>
      </c>
      <c r="B39" s="1" t="s">
        <v>2077</v>
      </c>
      <c r="C39" s="1" t="s">
        <v>2040</v>
      </c>
      <c r="D39" s="1" t="n">
        <v>170.5</v>
      </c>
      <c r="E39" s="1" t="n">
        <v>13.01</v>
      </c>
      <c r="F39" s="1" t="n">
        <v>1</v>
      </c>
    </row>
    <row collapsed="false" customFormat="false" customHeight="false" hidden="false" ht="14.75" outlineLevel="0" r="40">
      <c r="A40" s="1" t="s">
        <v>108</v>
      </c>
      <c r="B40" s="1" t="s">
        <v>2077</v>
      </c>
      <c r="C40" s="1" t="s">
        <v>2040</v>
      </c>
      <c r="D40" s="1" t="n">
        <v>145.5</v>
      </c>
      <c r="E40" s="1" t="n">
        <v>10.72</v>
      </c>
      <c r="F40" s="1" t="n">
        <v>1.1</v>
      </c>
    </row>
    <row collapsed="false" customFormat="false" customHeight="false" hidden="false" ht="14.75" outlineLevel="0" r="41">
      <c r="A41" s="1" t="s">
        <v>2081</v>
      </c>
      <c r="B41" s="1" t="s">
        <v>2077</v>
      </c>
      <c r="C41" s="1" t="s">
        <v>2040</v>
      </c>
      <c r="D41" s="1" t="n">
        <v>186</v>
      </c>
      <c r="E41" s="1" t="n">
        <v>13.85</v>
      </c>
      <c r="F41" s="1" t="n">
        <v>1</v>
      </c>
    </row>
    <row collapsed="false" customFormat="false" customHeight="false" hidden="false" ht="14.75" outlineLevel="0" r="42">
      <c r="A42" s="1" t="s">
        <v>312</v>
      </c>
      <c r="B42" s="1" t="s">
        <v>2077</v>
      </c>
      <c r="C42" s="1" t="s">
        <v>2040</v>
      </c>
      <c r="D42" s="1" t="n">
        <v>181.5</v>
      </c>
      <c r="E42" s="1" t="n">
        <v>13.85</v>
      </c>
      <c r="F42" s="1" t="n">
        <v>0.8</v>
      </c>
    </row>
    <row collapsed="false" customFormat="false" customHeight="false" hidden="false" ht="14.75" outlineLevel="0" r="43">
      <c r="A43" s="1" t="s">
        <v>314</v>
      </c>
      <c r="B43" s="1" t="s">
        <v>2077</v>
      </c>
      <c r="C43" s="1" t="s">
        <v>2040</v>
      </c>
      <c r="D43" s="1" t="n">
        <v>149</v>
      </c>
      <c r="E43" s="1" t="n">
        <v>10.27</v>
      </c>
      <c r="F43" s="1" t="n">
        <v>1.2</v>
      </c>
    </row>
    <row collapsed="false" customFormat="false" customHeight="false" hidden="false" ht="14.75" outlineLevel="0" r="44">
      <c r="A44" s="1" t="s">
        <v>2082</v>
      </c>
      <c r="B44" s="1" t="s">
        <v>2077</v>
      </c>
      <c r="C44" s="1" t="s">
        <v>2040</v>
      </c>
      <c r="D44" s="1" t="n">
        <v>119</v>
      </c>
      <c r="E44" s="1" t="n">
        <v>12.83</v>
      </c>
      <c r="F44" s="1" t="n">
        <v>0.4</v>
      </c>
    </row>
    <row collapsed="false" customFormat="false" customHeight="false" hidden="false" ht="14.75" outlineLevel="0" r="45">
      <c r="A45" s="1" t="s">
        <v>1937</v>
      </c>
      <c r="B45" s="1" t="s">
        <v>2077</v>
      </c>
      <c r="C45" s="1" t="s">
        <v>2040</v>
      </c>
      <c r="D45" s="1" t="n">
        <v>121</v>
      </c>
      <c r="E45" s="1" t="n">
        <v>9.38</v>
      </c>
      <c r="F45" s="1" t="n">
        <v>1.2</v>
      </c>
    </row>
    <row collapsed="false" customFormat="false" customHeight="false" hidden="false" ht="14.75" outlineLevel="0" r="46">
      <c r="A46" s="1" t="s">
        <v>350</v>
      </c>
      <c r="B46" s="1" t="s">
        <v>2077</v>
      </c>
      <c r="C46" s="1" t="s">
        <v>2040</v>
      </c>
      <c r="D46" s="1" t="n">
        <v>152.5</v>
      </c>
      <c r="E46" s="1" t="n">
        <v>11.78</v>
      </c>
      <c r="F46" s="1" t="n">
        <v>1.2</v>
      </c>
    </row>
    <row collapsed="false" customFormat="false" customHeight="false" hidden="false" ht="14.75" outlineLevel="0" r="47">
      <c r="A47" s="1" t="s">
        <v>2083</v>
      </c>
      <c r="B47" s="1" t="s">
        <v>2077</v>
      </c>
      <c r="C47" s="1" t="s">
        <v>2040</v>
      </c>
      <c r="D47" s="1" t="n">
        <v>109.5</v>
      </c>
      <c r="E47" s="1" t="n">
        <v>8.2</v>
      </c>
      <c r="F47" s="1" t="n">
        <v>0.9</v>
      </c>
    </row>
    <row collapsed="false" customFormat="false" customHeight="false" hidden="false" ht="14.75" outlineLevel="0" r="48">
      <c r="A48" s="1" t="s">
        <v>2084</v>
      </c>
      <c r="B48" s="1" t="s">
        <v>2077</v>
      </c>
      <c r="C48" s="1" t="s">
        <v>2040</v>
      </c>
      <c r="D48" s="1" t="n">
        <v>139</v>
      </c>
      <c r="E48" s="1" t="n">
        <v>11.52</v>
      </c>
      <c r="F48" s="1" t="n">
        <v>0.3</v>
      </c>
    </row>
    <row collapsed="false" customFormat="false" customHeight="false" hidden="false" ht="14.75" outlineLevel="0" r="49">
      <c r="A49" s="1" t="s">
        <v>2085</v>
      </c>
      <c r="B49" s="1" t="s">
        <v>2077</v>
      </c>
      <c r="C49" s="1" t="s">
        <v>2040</v>
      </c>
      <c r="D49" s="1" t="n">
        <v>150</v>
      </c>
      <c r="E49" s="1" t="n">
        <v>10.82</v>
      </c>
      <c r="F49" s="1" t="n">
        <v>1</v>
      </c>
    </row>
    <row collapsed="false" customFormat="false" customHeight="false" hidden="false" ht="14.75" outlineLevel="0" r="50">
      <c r="A50" s="1" t="s">
        <v>341</v>
      </c>
      <c r="B50" s="1" t="s">
        <v>2077</v>
      </c>
      <c r="C50" s="1" t="s">
        <v>2040</v>
      </c>
      <c r="D50" s="1" t="n">
        <v>150.5</v>
      </c>
      <c r="E50" s="1" t="n">
        <v>11.86</v>
      </c>
      <c r="F50" s="1" t="n">
        <v>1.6</v>
      </c>
    </row>
    <row collapsed="false" customFormat="false" customHeight="false" hidden="false" ht="14.75" outlineLevel="0" r="51">
      <c r="A51" s="1" t="s">
        <v>2086</v>
      </c>
      <c r="B51" s="1" t="s">
        <v>2077</v>
      </c>
      <c r="C51" s="1" t="s">
        <v>2040</v>
      </c>
      <c r="D51" s="1" t="n">
        <v>114</v>
      </c>
      <c r="E51" s="1" t="n">
        <v>10.35</v>
      </c>
      <c r="F51" s="1" t="n">
        <v>0.5</v>
      </c>
    </row>
    <row collapsed="false" customFormat="false" customHeight="false" hidden="false" ht="14.75" outlineLevel="0" r="52">
      <c r="A52" s="1" t="s">
        <v>608</v>
      </c>
      <c r="B52" s="1" t="s">
        <v>2077</v>
      </c>
      <c r="C52" s="1" t="s">
        <v>2040</v>
      </c>
      <c r="D52" s="1" t="n">
        <v>154</v>
      </c>
      <c r="E52" s="1" t="n">
        <v>12.14</v>
      </c>
      <c r="F52" s="1" t="n">
        <v>0.8</v>
      </c>
    </row>
    <row collapsed="false" customFormat="false" customHeight="false" hidden="false" ht="14.75" outlineLevel="0" r="53">
      <c r="A53" s="1" t="s">
        <v>110</v>
      </c>
      <c r="B53" s="1" t="s">
        <v>2077</v>
      </c>
      <c r="C53" s="1" t="s">
        <v>2040</v>
      </c>
      <c r="D53" s="1" t="n">
        <v>67</v>
      </c>
      <c r="E53" s="1" t="n">
        <v>8.33</v>
      </c>
      <c r="F53" s="1" t="n">
        <v>0.6</v>
      </c>
    </row>
    <row collapsed="false" customFormat="false" customHeight="false" hidden="false" ht="14.75" outlineLevel="0" r="54">
      <c r="A54" s="1" t="s">
        <v>2087</v>
      </c>
      <c r="B54" s="1" t="s">
        <v>2077</v>
      </c>
      <c r="C54" s="1" t="s">
        <v>2040</v>
      </c>
      <c r="D54" s="1" t="n">
        <v>122</v>
      </c>
      <c r="E54" s="1" t="n">
        <v>12.04</v>
      </c>
      <c r="F54" s="1" t="n">
        <v>0.8</v>
      </c>
    </row>
    <row collapsed="false" customFormat="false" customHeight="false" hidden="false" ht="14.75" outlineLevel="0" r="55">
      <c r="A55" s="1" t="s">
        <v>2088</v>
      </c>
      <c r="B55" s="1" t="s">
        <v>2077</v>
      </c>
      <c r="C55" s="1" t="s">
        <v>2040</v>
      </c>
      <c r="D55" s="1" t="n">
        <v>119.5</v>
      </c>
      <c r="E55" s="1" t="n">
        <v>10.68</v>
      </c>
      <c r="F55" s="1" t="n">
        <v>0</v>
      </c>
    </row>
    <row collapsed="false" customFormat="false" customHeight="false" hidden="false" ht="14.75" outlineLevel="0" r="56">
      <c r="A56" s="1" t="s">
        <v>2089</v>
      </c>
      <c r="B56" s="1" t="s">
        <v>2077</v>
      </c>
      <c r="C56" s="1" t="s">
        <v>2040</v>
      </c>
      <c r="D56" s="1" t="n">
        <v>121.5</v>
      </c>
      <c r="E56" s="1" t="n">
        <v>9.68</v>
      </c>
      <c r="F56" s="1" t="n">
        <v>0.4</v>
      </c>
    </row>
    <row collapsed="false" customFormat="false" customHeight="false" hidden="false" ht="14.75" outlineLevel="0" r="57">
      <c r="A57" s="1" t="s">
        <v>2090</v>
      </c>
      <c r="B57" s="1" t="s">
        <v>2077</v>
      </c>
      <c r="C57" s="1" t="s">
        <v>2040</v>
      </c>
      <c r="D57" s="1" t="n">
        <v>71.5</v>
      </c>
      <c r="E57" s="1" t="n">
        <v>8.33</v>
      </c>
      <c r="F57" s="1" t="n">
        <v>1</v>
      </c>
    </row>
    <row collapsed="false" customFormat="false" customHeight="false" hidden="false" ht="14.75" outlineLevel="0" r="58">
      <c r="A58" s="1" t="s">
        <v>1357</v>
      </c>
      <c r="B58" s="1" t="s">
        <v>2119</v>
      </c>
      <c r="C58" s="1" t="s">
        <v>2040</v>
      </c>
      <c r="D58" s="1" t="n">
        <v>274</v>
      </c>
      <c r="E58" s="1" t="n">
        <v>14.36</v>
      </c>
      <c r="F58" s="1" t="n">
        <v>1.3</v>
      </c>
    </row>
    <row collapsed="false" customFormat="false" customHeight="false" hidden="false" ht="14.75" outlineLevel="0" r="59">
      <c r="A59" s="1" t="s">
        <v>916</v>
      </c>
      <c r="B59" s="1" t="s">
        <v>2119</v>
      </c>
      <c r="C59" s="1" t="s">
        <v>2040</v>
      </c>
      <c r="D59" s="1" t="n">
        <v>244</v>
      </c>
      <c r="E59" s="1" t="n">
        <v>14</v>
      </c>
      <c r="F59" s="1" t="n">
        <v>1.5</v>
      </c>
    </row>
    <row collapsed="false" customFormat="false" customHeight="false" hidden="false" ht="14.75" outlineLevel="0" r="60">
      <c r="A60" s="1" t="s">
        <v>2120</v>
      </c>
      <c r="B60" s="1" t="s">
        <v>2119</v>
      </c>
      <c r="C60" s="1" t="s">
        <v>2040</v>
      </c>
      <c r="D60" s="1" t="n">
        <v>191.1</v>
      </c>
      <c r="E60" s="1" t="n">
        <v>13.31</v>
      </c>
      <c r="F60" s="1" t="n">
        <f aca="false">8/9</f>
        <v>0.888888888888889</v>
      </c>
    </row>
    <row collapsed="false" customFormat="false" customHeight="false" hidden="false" ht="14.75" outlineLevel="0" r="61">
      <c r="A61" s="1" t="s">
        <v>856</v>
      </c>
      <c r="B61" s="1" t="s">
        <v>2119</v>
      </c>
      <c r="C61" s="1" t="s">
        <v>2040</v>
      </c>
      <c r="D61" s="1" t="n">
        <v>294.4</v>
      </c>
      <c r="E61" s="1" t="n">
        <v>15.98</v>
      </c>
      <c r="F61" s="1" t="n">
        <f aca="false">16/9</f>
        <v>1.77777777777778</v>
      </c>
    </row>
    <row collapsed="false" customFormat="false" customHeight="false" hidden="false" ht="14.75" outlineLevel="0" r="62">
      <c r="A62" s="1" t="s">
        <v>2121</v>
      </c>
      <c r="B62" s="1" t="s">
        <v>2119</v>
      </c>
      <c r="C62" s="1" t="s">
        <v>2040</v>
      </c>
      <c r="D62" s="1" t="n">
        <v>170.6</v>
      </c>
      <c r="E62" s="1" t="n">
        <v>13.67</v>
      </c>
      <c r="F62" s="1" t="n">
        <f aca="false">2/8</f>
        <v>0.25</v>
      </c>
    </row>
    <row collapsed="false" customFormat="false" customHeight="false" hidden="false" ht="14.75" outlineLevel="0" r="63">
      <c r="A63" s="1" t="s">
        <v>1160</v>
      </c>
      <c r="B63" s="1" t="s">
        <v>2119</v>
      </c>
      <c r="C63" s="1" t="s">
        <v>2040</v>
      </c>
      <c r="D63" s="1" t="n">
        <v>138.8</v>
      </c>
      <c r="E63" s="1" t="n">
        <v>12.2</v>
      </c>
      <c r="F63" s="1" t="n">
        <f aca="false">6/8</f>
        <v>0.75</v>
      </c>
    </row>
    <row collapsed="false" customFormat="false" customHeight="false" hidden="false" ht="14.75" outlineLevel="0" r="64">
      <c r="A64" s="1" t="s">
        <v>1069</v>
      </c>
      <c r="B64" s="1" t="s">
        <v>2119</v>
      </c>
      <c r="C64" s="1" t="s">
        <v>2040</v>
      </c>
      <c r="D64" s="1" t="n">
        <v>205.6</v>
      </c>
      <c r="E64" s="1" t="n">
        <v>12.11</v>
      </c>
      <c r="F64" s="1" t="n">
        <f aca="false">4/8</f>
        <v>0.5</v>
      </c>
    </row>
    <row collapsed="false" customFormat="false" customHeight="false" hidden="false" ht="14.75" outlineLevel="0" r="65">
      <c r="A65" s="1" t="s">
        <v>1358</v>
      </c>
      <c r="B65" s="1" t="s">
        <v>2119</v>
      </c>
      <c r="C65" s="1" t="s">
        <v>2040</v>
      </c>
      <c r="D65" s="1" t="n">
        <v>142.5</v>
      </c>
      <c r="E65" s="1" t="n">
        <v>10.91</v>
      </c>
      <c r="F65" s="1" t="n">
        <v>1</v>
      </c>
    </row>
    <row collapsed="false" customFormat="false" customHeight="false" hidden="false" ht="14.75" outlineLevel="0" r="66">
      <c r="A66" s="1" t="s">
        <v>2122</v>
      </c>
      <c r="B66" s="1" t="s">
        <v>2119</v>
      </c>
      <c r="C66" s="1" t="s">
        <v>2040</v>
      </c>
      <c r="D66" s="1" t="n">
        <v>67.9</v>
      </c>
      <c r="E66" s="1" t="n">
        <v>8.15</v>
      </c>
      <c r="F66" s="1" t="n">
        <f aca="false">3/7</f>
        <v>0.428571428571429</v>
      </c>
    </row>
    <row collapsed="false" customFormat="false" customHeight="false" hidden="false" ht="14.75" outlineLevel="0" r="67">
      <c r="A67" s="1" t="s">
        <v>2123</v>
      </c>
      <c r="B67" s="1" t="s">
        <v>2119</v>
      </c>
      <c r="C67" s="1" t="s">
        <v>2040</v>
      </c>
      <c r="D67" s="1" t="n">
        <v>32.2</v>
      </c>
      <c r="E67" s="1" t="n">
        <v>7.14</v>
      </c>
      <c r="F67" s="1" t="n">
        <f aca="false">2/7</f>
        <v>0.285714285714286</v>
      </c>
    </row>
    <row collapsed="false" customFormat="false" customHeight="false" hidden="false" ht="14.75" outlineLevel="0" r="68">
      <c r="A68" s="1" t="s">
        <v>857</v>
      </c>
      <c r="B68" s="1" t="s">
        <v>2119</v>
      </c>
      <c r="C68" s="1" t="s">
        <v>2040</v>
      </c>
      <c r="D68" s="1" t="n">
        <v>97.9</v>
      </c>
      <c r="E68" s="1" t="n">
        <v>7.84</v>
      </c>
      <c r="F68" s="1" t="n">
        <f aca="false">9/7</f>
        <v>1.28571428571429</v>
      </c>
    </row>
    <row collapsed="false" customFormat="false" customHeight="false" hidden="false" ht="14.75" outlineLevel="0" r="69">
      <c r="A69" s="1" t="s">
        <v>881</v>
      </c>
      <c r="B69" s="1" t="s">
        <v>2119</v>
      </c>
      <c r="C69" s="1" t="s">
        <v>2040</v>
      </c>
      <c r="D69" s="1" t="n">
        <v>125</v>
      </c>
      <c r="E69" s="1" t="n">
        <v>10</v>
      </c>
      <c r="F69" s="1" t="n">
        <f aca="false">12/7</f>
        <v>1.71428571428571</v>
      </c>
    </row>
    <row collapsed="false" customFormat="false" customHeight="false" hidden="false" ht="14.75" outlineLevel="0" r="70">
      <c r="A70" s="1" t="s">
        <v>2124</v>
      </c>
      <c r="B70" s="1" t="s">
        <v>2119</v>
      </c>
      <c r="C70" s="1" t="s">
        <v>2040</v>
      </c>
      <c r="D70" s="1" t="n">
        <v>155.2</v>
      </c>
      <c r="E70" s="1" t="n">
        <v>11.04</v>
      </c>
      <c r="F70" s="1" t="n">
        <f aca="false">4/7</f>
        <v>0.571428571428571</v>
      </c>
    </row>
    <row collapsed="false" customFormat="false" customHeight="false" hidden="false" ht="14.75" outlineLevel="0" r="71">
      <c r="A71" s="1" t="s">
        <v>1057</v>
      </c>
      <c r="B71" s="1" t="s">
        <v>2119</v>
      </c>
      <c r="C71" s="1" t="s">
        <v>2040</v>
      </c>
      <c r="D71" s="1" t="n">
        <v>69.2</v>
      </c>
      <c r="E71" s="1" t="n">
        <v>8.52</v>
      </c>
      <c r="F71" s="1" t="n">
        <f aca="false">2/7</f>
        <v>0.285714285714286</v>
      </c>
    </row>
    <row collapsed="false" customFormat="false" customHeight="false" hidden="false" ht="14.75" outlineLevel="0" r="72">
      <c r="A72" s="1" t="s">
        <v>1861</v>
      </c>
      <c r="B72" s="1" t="s">
        <v>2119</v>
      </c>
      <c r="C72" s="1" t="s">
        <v>2040</v>
      </c>
      <c r="D72" s="1" t="n">
        <v>128.7</v>
      </c>
      <c r="E72" s="1" t="n">
        <v>8</v>
      </c>
      <c r="F72" s="1" t="n">
        <f aca="false">4/7</f>
        <v>0.571428571428571</v>
      </c>
    </row>
    <row collapsed="false" customFormat="false" customHeight="false" hidden="false" ht="14.75" outlineLevel="0" r="73">
      <c r="A73" s="1" t="s">
        <v>2125</v>
      </c>
      <c r="B73" s="1" t="s">
        <v>2119</v>
      </c>
      <c r="C73" s="1" t="s">
        <v>2040</v>
      </c>
      <c r="D73" s="1" t="n">
        <v>117.1</v>
      </c>
      <c r="E73" s="1" t="n">
        <v>12.16</v>
      </c>
      <c r="F73" s="1" t="n">
        <f aca="false">4/7</f>
        <v>0.571428571428571</v>
      </c>
    </row>
    <row collapsed="false" customFormat="false" customHeight="false" hidden="false" ht="14.75" outlineLevel="0" r="74">
      <c r="A74" s="1" t="s">
        <v>1543</v>
      </c>
      <c r="B74" s="1" t="s">
        <v>2190</v>
      </c>
      <c r="C74" s="1" t="s">
        <v>2040</v>
      </c>
      <c r="D74" s="1" t="n">
        <v>477.1</v>
      </c>
      <c r="E74" s="1" t="n">
        <v>23.45</v>
      </c>
      <c r="F74" s="1" t="n">
        <f aca="false">78/12</f>
        <v>6.5</v>
      </c>
    </row>
    <row collapsed="false" customFormat="false" customHeight="false" hidden="false" ht="14.75" outlineLevel="0" r="75">
      <c r="A75" s="1" t="s">
        <v>667</v>
      </c>
      <c r="B75" s="1" t="s">
        <v>2190</v>
      </c>
      <c r="C75" s="1" t="s">
        <v>2040</v>
      </c>
      <c r="D75" s="1" t="n">
        <v>414.2</v>
      </c>
      <c r="E75" s="1" t="n">
        <v>23.17</v>
      </c>
      <c r="F75" s="1" t="n">
        <f aca="false">69/12</f>
        <v>5.75</v>
      </c>
    </row>
    <row collapsed="false" customFormat="false" customHeight="false" hidden="false" ht="14.75" outlineLevel="0" r="76">
      <c r="A76" s="1" t="s">
        <v>2191</v>
      </c>
      <c r="B76" s="1" t="s">
        <v>2190</v>
      </c>
      <c r="C76" s="1" t="s">
        <v>2040</v>
      </c>
      <c r="D76" s="1" t="n">
        <v>367.7</v>
      </c>
      <c r="E76" s="1" t="n">
        <v>20</v>
      </c>
      <c r="F76" s="1" t="n">
        <f aca="false">34/11</f>
        <v>3.09090909090909</v>
      </c>
    </row>
    <row collapsed="false" customFormat="false" customHeight="false" hidden="false" ht="14.75" outlineLevel="0" r="77">
      <c r="A77" s="1" t="s">
        <v>2096</v>
      </c>
      <c r="B77" s="1" t="s">
        <v>2190</v>
      </c>
      <c r="C77" s="1" t="s">
        <v>2040</v>
      </c>
      <c r="D77" s="1" t="n">
        <v>304.5</v>
      </c>
      <c r="E77" s="1" t="n">
        <v>18.35</v>
      </c>
      <c r="F77" s="1" t="n">
        <f aca="false">34/11</f>
        <v>3.09090909090909</v>
      </c>
    </row>
    <row collapsed="false" customFormat="false" customHeight="false" hidden="false" ht="14.75" outlineLevel="0" r="78">
      <c r="A78" s="1" t="s">
        <v>1803</v>
      </c>
      <c r="B78" s="1" t="s">
        <v>2190</v>
      </c>
      <c r="C78" s="1" t="s">
        <v>2040</v>
      </c>
      <c r="D78" s="1" t="n">
        <v>226</v>
      </c>
      <c r="E78" s="1" t="n">
        <v>17.16</v>
      </c>
      <c r="F78" s="1" t="n">
        <v>1.8</v>
      </c>
    </row>
    <row collapsed="false" customFormat="false" customHeight="false" hidden="false" ht="14.75" outlineLevel="0" r="79">
      <c r="A79" s="1" t="s">
        <v>987</v>
      </c>
      <c r="B79" s="1" t="s">
        <v>2190</v>
      </c>
      <c r="C79" s="1" t="s">
        <v>2040</v>
      </c>
      <c r="D79" s="1" t="n">
        <v>355.5</v>
      </c>
      <c r="E79" s="1" t="n">
        <v>21.82</v>
      </c>
      <c r="F79" s="1" t="n">
        <v>3.3</v>
      </c>
    </row>
    <row collapsed="false" customFormat="false" customHeight="false" hidden="false" ht="14.75" outlineLevel="0" r="80">
      <c r="A80" s="1" t="s">
        <v>1544</v>
      </c>
      <c r="B80" s="1" t="s">
        <v>2190</v>
      </c>
      <c r="C80" s="1" t="s">
        <v>2040</v>
      </c>
      <c r="D80" s="1" t="n">
        <v>202.8</v>
      </c>
      <c r="E80" s="1" t="n">
        <v>12.35</v>
      </c>
      <c r="F80" s="1" t="n">
        <v>1.6</v>
      </c>
    </row>
    <row collapsed="false" customFormat="false" customHeight="false" hidden="false" ht="14.75" outlineLevel="0" r="81">
      <c r="A81" s="1" t="s">
        <v>2192</v>
      </c>
      <c r="B81" s="1" t="s">
        <v>2190</v>
      </c>
      <c r="C81" s="1" t="s">
        <v>2040</v>
      </c>
      <c r="D81" s="1" t="n">
        <v>243.3</v>
      </c>
      <c r="E81" s="1" t="n">
        <v>15.59</v>
      </c>
      <c r="F81" s="1" t="n">
        <v>2</v>
      </c>
    </row>
    <row collapsed="false" customFormat="false" customHeight="false" hidden="false" ht="14.75" outlineLevel="0" r="82">
      <c r="A82" s="1" t="s">
        <v>2193</v>
      </c>
      <c r="B82" s="1" t="s">
        <v>2190</v>
      </c>
      <c r="C82" s="1" t="s">
        <v>2040</v>
      </c>
      <c r="D82" s="1" t="n">
        <v>193.9</v>
      </c>
      <c r="E82" s="1" t="n">
        <v>15.22</v>
      </c>
      <c r="F82" s="1" t="n">
        <v>1</v>
      </c>
    </row>
    <row collapsed="false" customFormat="false" customHeight="false" hidden="false" ht="14.75" outlineLevel="0" r="83">
      <c r="A83" s="1" t="s">
        <v>2194</v>
      </c>
      <c r="B83" s="1" t="s">
        <v>2190</v>
      </c>
      <c r="C83" s="1" t="s">
        <v>2040</v>
      </c>
      <c r="D83" s="1" t="n">
        <v>192.8</v>
      </c>
      <c r="E83" s="1" t="n">
        <v>12.97</v>
      </c>
      <c r="F83" s="1" t="n">
        <v>1.6</v>
      </c>
    </row>
    <row collapsed="false" customFormat="false" customHeight="false" hidden="false" ht="14.75" outlineLevel="0" r="84">
      <c r="A84" s="1" t="s">
        <v>2195</v>
      </c>
      <c r="B84" s="1" t="s">
        <v>2190</v>
      </c>
      <c r="C84" s="1" t="s">
        <v>2040</v>
      </c>
      <c r="D84" s="1" t="n">
        <v>160</v>
      </c>
      <c r="E84" s="1" t="n">
        <v>12.66</v>
      </c>
      <c r="F84" s="1" t="n">
        <v>0.3</v>
      </c>
    </row>
    <row collapsed="false" customFormat="false" customHeight="false" hidden="false" ht="14.75" outlineLevel="0" r="85">
      <c r="A85" s="1" t="s">
        <v>2196</v>
      </c>
      <c r="B85" s="1" t="s">
        <v>2190</v>
      </c>
      <c r="C85" s="1" t="s">
        <v>2040</v>
      </c>
      <c r="D85" s="1" t="n">
        <v>150</v>
      </c>
      <c r="E85" s="1" t="n">
        <v>13.87</v>
      </c>
      <c r="F85" s="1" t="n">
        <v>0.3</v>
      </c>
    </row>
    <row collapsed="false" customFormat="false" customHeight="false" hidden="false" ht="14.75" outlineLevel="0" r="86">
      <c r="A86" s="1" t="s">
        <v>142</v>
      </c>
      <c r="B86" s="1" t="s">
        <v>2190</v>
      </c>
      <c r="C86" s="1" t="s">
        <v>2040</v>
      </c>
      <c r="D86" s="1" t="n">
        <v>146.5</v>
      </c>
      <c r="E86" s="1" t="n">
        <v>11.39</v>
      </c>
      <c r="F86" s="1" t="n">
        <v>0.6</v>
      </c>
    </row>
    <row collapsed="false" customFormat="false" customHeight="false" hidden="false" ht="14.75" outlineLevel="0" r="87">
      <c r="A87" s="1" t="s">
        <v>1800</v>
      </c>
      <c r="B87" s="1" t="s">
        <v>2190</v>
      </c>
      <c r="C87" s="1" t="s">
        <v>2040</v>
      </c>
      <c r="D87" s="1" t="n">
        <v>170.5</v>
      </c>
      <c r="E87" s="1" t="n">
        <v>11.12</v>
      </c>
      <c r="F87" s="1" t="n">
        <v>0.7</v>
      </c>
    </row>
    <row collapsed="false" customFormat="false" customHeight="false" hidden="false" ht="14.75" outlineLevel="0" r="88">
      <c r="A88" s="1" t="s">
        <v>2197</v>
      </c>
      <c r="B88" s="1" t="s">
        <v>2190</v>
      </c>
      <c r="C88" s="1" t="s">
        <v>2040</v>
      </c>
      <c r="D88" s="1" t="n">
        <v>108.5</v>
      </c>
      <c r="E88" s="1" t="n">
        <v>8.83</v>
      </c>
      <c r="F88" s="1" t="n">
        <v>0.2</v>
      </c>
    </row>
    <row collapsed="false" customFormat="false" customHeight="false" hidden="false" ht="14.75" outlineLevel="0" r="89">
      <c r="A89" s="1" t="s">
        <v>1801</v>
      </c>
      <c r="B89" s="1" t="s">
        <v>2190</v>
      </c>
      <c r="C89" s="1" t="s">
        <v>2040</v>
      </c>
      <c r="D89" s="1" t="n">
        <v>114.5</v>
      </c>
      <c r="E89" s="1" t="n">
        <v>11.45</v>
      </c>
      <c r="F89" s="1" t="n">
        <v>0.1</v>
      </c>
    </row>
    <row collapsed="false" customFormat="false" customHeight="false" hidden="false" ht="14.75" outlineLevel="0" r="90">
      <c r="A90" s="1" t="s">
        <v>2198</v>
      </c>
      <c r="B90" s="1" t="s">
        <v>2190</v>
      </c>
      <c r="C90" s="1" t="s">
        <v>2040</v>
      </c>
      <c r="D90" s="1" t="n">
        <v>44</v>
      </c>
      <c r="E90" s="1" t="n">
        <v>4.84</v>
      </c>
      <c r="F90" s="1" t="n">
        <v>0.3</v>
      </c>
    </row>
    <row collapsed="false" customFormat="false" customHeight="false" hidden="false" ht="14.75" outlineLevel="0" r="91">
      <c r="A91" s="1" t="s">
        <v>2199</v>
      </c>
      <c r="B91" s="1" t="s">
        <v>2190</v>
      </c>
      <c r="C91" s="1" t="s">
        <v>2040</v>
      </c>
      <c r="D91" s="1" t="n">
        <v>57.5</v>
      </c>
      <c r="E91" s="1" t="n">
        <v>6.94</v>
      </c>
      <c r="F91" s="1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blackAndWhite="false" cellComments="none" copies="1" draft="false" firstPageNumber="0" fitToHeight="1" fitToWidth="1" horizontalDpi="300" orientation="portrait" pageOrder="downThenOver" paperSize="1" scale="100" useFirstPageNumber="fals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52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85" zoomScaleNormal="85" zoomScalePageLayoutView="100">
      <selection activeCell="A1" activeCellId="0" pane="topLeft" sqref="A1"/>
    </sheetView>
  </sheetViews>
  <cols>
    <col collapsed="false" hidden="false" max="1025" min="1" style="0" width="8.5921568627451"/>
  </cols>
  <sheetData>
    <row collapsed="false" customFormat="false" customHeight="false" hidden="false" ht="14.75" outlineLevel="0"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collapsed="false" customFormat="false" customHeight="false" hidden="false" ht="14.75" outlineLevel="0" r="2">
      <c r="A2" s="1" t="s">
        <v>1635</v>
      </c>
      <c r="B2" s="1" t="s">
        <v>1876</v>
      </c>
      <c r="C2" s="1" t="s">
        <v>1877</v>
      </c>
      <c r="D2" s="1" t="n">
        <v>191.8</v>
      </c>
      <c r="E2" s="1" t="n">
        <v>19.43</v>
      </c>
      <c r="F2" s="1" t="n">
        <f aca="false">32/11</f>
        <v>2.90909090909091</v>
      </c>
    </row>
    <row collapsed="false" customFormat="false" customHeight="false" hidden="false" ht="14.75" outlineLevel="0" r="3">
      <c r="A3" s="1" t="s">
        <v>1636</v>
      </c>
      <c r="B3" s="1" t="s">
        <v>1878</v>
      </c>
      <c r="C3" s="1" t="s">
        <v>1877</v>
      </c>
      <c r="D3" s="1" t="n">
        <v>171</v>
      </c>
      <c r="E3" s="1" t="n">
        <v>14.79</v>
      </c>
      <c r="F3" s="1" t="n">
        <v>1.6</v>
      </c>
    </row>
    <row collapsed="false" customFormat="false" customHeight="false" hidden="false" ht="14.75" outlineLevel="0" r="4">
      <c r="A4" s="1" t="s">
        <v>295</v>
      </c>
      <c r="B4" s="1" t="s">
        <v>1876</v>
      </c>
      <c r="C4" s="1" t="s">
        <v>1877</v>
      </c>
      <c r="D4" s="1" t="n">
        <v>355.9</v>
      </c>
      <c r="E4" s="1" t="n">
        <v>26.08</v>
      </c>
      <c r="F4" s="1" t="n">
        <f aca="false">60/11</f>
        <v>5.45454545454545</v>
      </c>
    </row>
    <row collapsed="false" customFormat="false" customHeight="false" hidden="false" ht="14.75" outlineLevel="0" r="5">
      <c r="A5" s="1" t="s">
        <v>296</v>
      </c>
      <c r="B5" s="1" t="s">
        <v>1878</v>
      </c>
      <c r="C5" s="1" t="s">
        <v>1877</v>
      </c>
      <c r="D5" s="1" t="n">
        <v>194</v>
      </c>
      <c r="E5" s="1" t="n">
        <v>13.75</v>
      </c>
      <c r="F5" s="1" t="n">
        <v>1.5</v>
      </c>
    </row>
    <row collapsed="false" customFormat="false" customHeight="false" hidden="false" ht="14.75" outlineLevel="0" r="6">
      <c r="A6" s="1" t="s">
        <v>297</v>
      </c>
      <c r="B6" s="1" t="s">
        <v>1878</v>
      </c>
      <c r="C6" s="1" t="s">
        <v>1877</v>
      </c>
      <c r="D6" s="1" t="n">
        <v>54.5</v>
      </c>
      <c r="E6" s="1" t="n">
        <v>4.87</v>
      </c>
      <c r="F6" s="1" t="n">
        <v>0.1</v>
      </c>
    </row>
    <row collapsed="false" customFormat="false" customHeight="false" hidden="false" ht="14.75" outlineLevel="0" r="7">
      <c r="A7" s="1" t="s">
        <v>812</v>
      </c>
      <c r="B7" s="1" t="s">
        <v>1879</v>
      </c>
      <c r="C7" s="1" t="s">
        <v>1877</v>
      </c>
      <c r="D7" s="1" t="n">
        <v>471.7</v>
      </c>
      <c r="E7" s="1" t="n">
        <v>23.8</v>
      </c>
      <c r="F7" s="1" t="n">
        <f aca="false">40/6</f>
        <v>6.66666666666667</v>
      </c>
    </row>
    <row collapsed="false" customFormat="false" customHeight="false" hidden="false" ht="14.75" outlineLevel="0" r="8">
      <c r="A8" s="1" t="s">
        <v>1880</v>
      </c>
      <c r="B8" s="1" t="s">
        <v>1876</v>
      </c>
      <c r="C8" s="1" t="s">
        <v>1877</v>
      </c>
      <c r="D8" s="1" t="n">
        <v>410.8</v>
      </c>
      <c r="E8" s="1" t="n">
        <v>25.57</v>
      </c>
      <c r="F8" s="1" t="n">
        <f aca="false">90/12</f>
        <v>7.5</v>
      </c>
    </row>
    <row collapsed="false" customFormat="false" customHeight="false" hidden="false" ht="14.75" outlineLevel="0" r="9">
      <c r="A9" s="1" t="s">
        <v>1881</v>
      </c>
      <c r="B9" s="1" t="s">
        <v>1878</v>
      </c>
      <c r="C9" s="1" t="s">
        <v>1877</v>
      </c>
      <c r="D9" s="1" t="n">
        <v>314.1</v>
      </c>
      <c r="E9" s="1" t="n">
        <v>20.09</v>
      </c>
      <c r="F9" s="1" t="n">
        <f aca="false">27/11</f>
        <v>2.45454545454545</v>
      </c>
    </row>
    <row collapsed="false" customFormat="false" customHeight="false" hidden="false" ht="14.75" outlineLevel="0" r="10">
      <c r="A10" s="1" t="s">
        <v>1659</v>
      </c>
      <c r="B10" s="1" t="s">
        <v>1878</v>
      </c>
      <c r="C10" s="1" t="s">
        <v>1877</v>
      </c>
      <c r="D10" s="1" t="n">
        <v>148</v>
      </c>
      <c r="E10" s="1" t="n">
        <v>13.08</v>
      </c>
      <c r="F10" s="1" t="n">
        <v>0.9</v>
      </c>
    </row>
    <row collapsed="false" customFormat="false" customHeight="false" hidden="false" ht="14.75" outlineLevel="0" r="11">
      <c r="A11" s="6" t="s">
        <v>1522</v>
      </c>
      <c r="B11" s="1" t="s">
        <v>1876</v>
      </c>
      <c r="C11" s="1" t="s">
        <v>1877</v>
      </c>
      <c r="D11" s="1" t="n">
        <v>327.3</v>
      </c>
      <c r="E11" s="1" t="n">
        <v>25.15</v>
      </c>
      <c r="F11" s="1" t="n">
        <f aca="false">53/11</f>
        <v>4.81818181818182</v>
      </c>
    </row>
    <row collapsed="false" customFormat="false" customHeight="false" hidden="false" ht="14.75" outlineLevel="0" r="12">
      <c r="A12" s="1" t="s">
        <v>324</v>
      </c>
      <c r="B12" s="1" t="s">
        <v>1878</v>
      </c>
      <c r="C12" s="1" t="s">
        <v>1877</v>
      </c>
      <c r="D12" s="1" t="n">
        <v>235</v>
      </c>
      <c r="E12" s="1" t="n">
        <v>16.37</v>
      </c>
      <c r="F12" s="1" t="n">
        <v>1</v>
      </c>
    </row>
    <row collapsed="false" customFormat="false" customHeight="false" hidden="false" ht="14.75" outlineLevel="0" r="13">
      <c r="A13" s="1" t="s">
        <v>1882</v>
      </c>
      <c r="B13" s="1" t="s">
        <v>1878</v>
      </c>
      <c r="C13" s="1" t="s">
        <v>1877</v>
      </c>
      <c r="D13" s="1" t="n">
        <v>108.5</v>
      </c>
      <c r="E13" s="1" t="n">
        <v>11.4</v>
      </c>
      <c r="F13" s="1" t="n">
        <v>0.5</v>
      </c>
    </row>
    <row collapsed="false" customFormat="false" customHeight="false" hidden="false" ht="14.75" outlineLevel="0" r="14">
      <c r="A14" s="1" t="s">
        <v>204</v>
      </c>
      <c r="B14" s="1" t="s">
        <v>1876</v>
      </c>
      <c r="C14" s="1" t="s">
        <v>1877</v>
      </c>
      <c r="D14" s="1" t="n">
        <v>482.7</v>
      </c>
      <c r="E14" s="1" t="n">
        <v>26.97</v>
      </c>
      <c r="F14" s="1" t="n">
        <f aca="false">110/13</f>
        <v>8.46153846153846</v>
      </c>
    </row>
    <row collapsed="false" customFormat="false" customHeight="false" hidden="false" ht="14.75" outlineLevel="0" r="15">
      <c r="A15" s="1" t="s">
        <v>332</v>
      </c>
      <c r="B15" s="1" t="s">
        <v>1878</v>
      </c>
      <c r="C15" s="1" t="s">
        <v>1877</v>
      </c>
      <c r="D15" s="1" t="n">
        <v>311.4</v>
      </c>
      <c r="E15" s="1" t="n">
        <v>20.09</v>
      </c>
      <c r="F15" s="1" t="n">
        <f aca="false">48/11</f>
        <v>4.36363636363636</v>
      </c>
    </row>
    <row collapsed="false" customFormat="false" customHeight="false" hidden="false" ht="14.75" outlineLevel="0" r="16">
      <c r="A16" s="1" t="s">
        <v>1170</v>
      </c>
      <c r="B16" s="1" t="s">
        <v>1878</v>
      </c>
      <c r="C16" s="1" t="s">
        <v>1877</v>
      </c>
      <c r="D16" s="1" t="n">
        <v>309</v>
      </c>
      <c r="E16" s="1" t="n">
        <v>18.38</v>
      </c>
      <c r="F16" s="1" t="n">
        <v>2.5</v>
      </c>
    </row>
    <row collapsed="false" customFormat="false" customHeight="false" hidden="false" ht="14.75" outlineLevel="0" r="17">
      <c r="A17" s="1" t="s">
        <v>1171</v>
      </c>
      <c r="B17" s="1" t="s">
        <v>1878</v>
      </c>
      <c r="C17" s="1" t="s">
        <v>1877</v>
      </c>
      <c r="D17" s="1" t="n">
        <v>180</v>
      </c>
      <c r="E17" s="1" t="n">
        <v>15.48</v>
      </c>
      <c r="F17" s="1" t="n">
        <v>1.5</v>
      </c>
    </row>
    <row collapsed="false" customFormat="false" customHeight="false" hidden="false" ht="14.75" outlineLevel="0" r="18">
      <c r="A18" s="1" t="s">
        <v>1883</v>
      </c>
      <c r="B18" s="1" t="s">
        <v>1878</v>
      </c>
      <c r="C18" s="1" t="s">
        <v>1877</v>
      </c>
      <c r="D18" s="1" t="n">
        <v>111</v>
      </c>
      <c r="E18" s="1" t="n">
        <v>9.76</v>
      </c>
      <c r="F18" s="1" t="n">
        <v>0.8</v>
      </c>
    </row>
    <row collapsed="false" customFormat="false" customHeight="false" hidden="false" ht="14.75" outlineLevel="0" r="19">
      <c r="A19" s="1" t="s">
        <v>865</v>
      </c>
      <c r="B19" s="1" t="s">
        <v>1879</v>
      </c>
      <c r="C19" s="1" t="s">
        <v>1877</v>
      </c>
      <c r="D19" s="1" t="n">
        <v>643.6</v>
      </c>
      <c r="E19" s="1" t="n">
        <v>24.88</v>
      </c>
      <c r="F19" s="1" t="n">
        <f aca="false">56/7</f>
        <v>8</v>
      </c>
    </row>
    <row collapsed="false" customFormat="false" customHeight="false" hidden="false" ht="14.75" outlineLevel="0" r="20">
      <c r="A20" s="1" t="s">
        <v>866</v>
      </c>
      <c r="B20" s="1" t="s">
        <v>1879</v>
      </c>
      <c r="C20" s="1" t="s">
        <v>1877</v>
      </c>
      <c r="D20" s="1" t="n">
        <v>217.5</v>
      </c>
      <c r="E20" s="1" t="n">
        <v>19.09</v>
      </c>
      <c r="F20" s="1" t="n">
        <f aca="false">13/6</f>
        <v>2.16666666666667</v>
      </c>
    </row>
    <row collapsed="false" customFormat="false" customHeight="false" hidden="false" ht="14.75" outlineLevel="0" r="21">
      <c r="A21" s="1" t="s">
        <v>1884</v>
      </c>
      <c r="B21" s="1" t="s">
        <v>1879</v>
      </c>
      <c r="C21" s="1" t="s">
        <v>1877</v>
      </c>
      <c r="D21" s="1" t="n">
        <v>175.8</v>
      </c>
      <c r="E21" s="1" t="n">
        <v>17.89</v>
      </c>
      <c r="F21" s="1" t="n">
        <f aca="false">13/6</f>
        <v>2.16666666666667</v>
      </c>
    </row>
    <row collapsed="false" customFormat="false" customHeight="false" hidden="false" ht="14.75" outlineLevel="0" r="22">
      <c r="A22" s="1" t="s">
        <v>561</v>
      </c>
      <c r="B22" s="1" t="s">
        <v>1879</v>
      </c>
      <c r="C22" s="1" t="s">
        <v>1877</v>
      </c>
      <c r="D22" s="1" t="n">
        <v>306.4</v>
      </c>
      <c r="E22" s="1" t="n">
        <v>21.18</v>
      </c>
      <c r="F22" s="1" t="n">
        <f aca="false">27/7</f>
        <v>3.85714285714286</v>
      </c>
    </row>
    <row collapsed="false" customFormat="false" customHeight="false" hidden="false" ht="14.75" outlineLevel="0" r="23">
      <c r="A23" s="1" t="s">
        <v>142</v>
      </c>
      <c r="B23" s="1" t="s">
        <v>1879</v>
      </c>
      <c r="C23" s="1" t="s">
        <v>1877</v>
      </c>
      <c r="D23" s="1" t="n">
        <v>103.6</v>
      </c>
      <c r="E23" s="1" t="n">
        <v>11.76</v>
      </c>
      <c r="F23" s="1" t="n">
        <f aca="false">6/7</f>
        <v>0.857142857142857</v>
      </c>
    </row>
    <row collapsed="false" customFormat="false" customHeight="false" hidden="false" ht="14.75" outlineLevel="0" r="24">
      <c r="A24" s="1" t="s">
        <v>343</v>
      </c>
      <c r="B24" s="1" t="s">
        <v>1876</v>
      </c>
      <c r="C24" s="1" t="s">
        <v>1877</v>
      </c>
      <c r="D24" s="1" t="n">
        <v>535</v>
      </c>
      <c r="E24" s="1" t="n">
        <v>27.42</v>
      </c>
      <c r="F24" s="1" t="n">
        <f aca="false">125/12</f>
        <v>10.4166666666667</v>
      </c>
    </row>
    <row collapsed="false" customFormat="false" customHeight="false" hidden="false" ht="14.75" outlineLevel="0" r="25">
      <c r="A25" s="1" t="s">
        <v>344</v>
      </c>
      <c r="B25" s="1" t="s">
        <v>1876</v>
      </c>
      <c r="C25" s="1" t="s">
        <v>1877</v>
      </c>
      <c r="D25" s="1" t="n">
        <v>345.5</v>
      </c>
      <c r="E25" s="1" t="n">
        <v>24.8</v>
      </c>
      <c r="F25" s="1" t="n">
        <f aca="false">65/11</f>
        <v>5.90909090909091</v>
      </c>
    </row>
    <row collapsed="false" customFormat="false" customHeight="false" hidden="false" ht="14.75" outlineLevel="0" r="26">
      <c r="A26" s="1" t="s">
        <v>351</v>
      </c>
      <c r="B26" s="1" t="s">
        <v>1876</v>
      </c>
      <c r="C26" s="1" t="s">
        <v>1877</v>
      </c>
      <c r="D26" s="1" t="n">
        <v>415</v>
      </c>
      <c r="E26" s="1" t="n">
        <v>25.17</v>
      </c>
      <c r="F26" s="1" t="n">
        <f aca="false">82/11</f>
        <v>7.45454545454545</v>
      </c>
    </row>
    <row collapsed="false" customFormat="false" customHeight="false" hidden="false" ht="14.75" outlineLevel="0" r="27">
      <c r="A27" s="1" t="s">
        <v>904</v>
      </c>
      <c r="B27" s="1" t="s">
        <v>1879</v>
      </c>
      <c r="C27" s="1" t="s">
        <v>1877</v>
      </c>
      <c r="D27" s="1" t="n">
        <v>88.6</v>
      </c>
      <c r="E27" s="1" t="n">
        <v>11.67</v>
      </c>
      <c r="F27" s="1" t="n">
        <f aca="false">5/7</f>
        <v>0.714285714285714</v>
      </c>
    </row>
    <row collapsed="false" customFormat="false" customHeight="false" hidden="false" ht="14.75" outlineLevel="0" r="28">
      <c r="A28" s="1" t="s">
        <v>19</v>
      </c>
      <c r="B28" s="1" t="s">
        <v>1876</v>
      </c>
      <c r="C28" s="1" t="s">
        <v>1877</v>
      </c>
      <c r="D28" s="1" t="n">
        <v>397.3</v>
      </c>
      <c r="E28" s="1" t="n">
        <v>26.95</v>
      </c>
      <c r="F28" s="1" t="n">
        <f aca="false">82/11</f>
        <v>7.45454545454545</v>
      </c>
    </row>
    <row collapsed="false" customFormat="false" customHeight="false" hidden="false" ht="14.75" outlineLevel="0" r="29">
      <c r="A29" s="1" t="s">
        <v>1885</v>
      </c>
      <c r="B29" s="1" t="s">
        <v>1878</v>
      </c>
      <c r="C29" s="1" t="s">
        <v>1877</v>
      </c>
      <c r="D29" s="1" t="n">
        <v>345</v>
      </c>
      <c r="E29" s="1" t="n">
        <v>20.53</v>
      </c>
      <c r="F29" s="1" t="n">
        <v>2.3</v>
      </c>
    </row>
    <row collapsed="false" customFormat="false" customHeight="false" hidden="false" ht="14.75" outlineLevel="0" r="30">
      <c r="A30" s="1" t="s">
        <v>1886</v>
      </c>
      <c r="B30" s="1" t="s">
        <v>1878</v>
      </c>
      <c r="C30" s="1" t="s">
        <v>1877</v>
      </c>
      <c r="D30" s="1" t="n">
        <v>325.5</v>
      </c>
      <c r="E30" s="1" t="n">
        <v>19.73</v>
      </c>
      <c r="F30" s="1" t="n">
        <v>3</v>
      </c>
    </row>
    <row collapsed="false" customFormat="false" customHeight="false" hidden="false" ht="14.75" outlineLevel="0" r="31">
      <c r="A31" s="1" t="s">
        <v>1887</v>
      </c>
      <c r="B31" s="1" t="s">
        <v>1878</v>
      </c>
      <c r="C31" s="1" t="s">
        <v>1877</v>
      </c>
      <c r="D31" s="1" t="n">
        <v>334.5</v>
      </c>
      <c r="E31" s="1" t="n">
        <v>18.93</v>
      </c>
      <c r="F31" s="1" t="n">
        <v>2.9</v>
      </c>
    </row>
    <row collapsed="false" customFormat="false" customHeight="false" hidden="false" ht="14.75" outlineLevel="0" r="32">
      <c r="A32" s="1" t="s">
        <v>358</v>
      </c>
      <c r="B32" s="1" t="s">
        <v>1878</v>
      </c>
      <c r="C32" s="1" t="s">
        <v>1877</v>
      </c>
      <c r="D32" s="1" t="n">
        <v>289.5</v>
      </c>
      <c r="E32" s="1" t="n">
        <v>17.19</v>
      </c>
      <c r="F32" s="1" t="n">
        <v>3.3</v>
      </c>
    </row>
    <row collapsed="false" customFormat="false" customHeight="false" hidden="false" ht="14.75" outlineLevel="0" r="33">
      <c r="A33" s="1" t="s">
        <v>359</v>
      </c>
      <c r="B33" s="1" t="s">
        <v>1878</v>
      </c>
      <c r="C33" s="1" t="s">
        <v>1877</v>
      </c>
      <c r="D33" s="1" t="n">
        <v>185.5</v>
      </c>
      <c r="E33" s="1" t="n">
        <v>12.68</v>
      </c>
      <c r="F33" s="1" t="n">
        <v>0.9</v>
      </c>
    </row>
    <row collapsed="false" customFormat="false" customHeight="false" hidden="false" ht="14.75" outlineLevel="0" r="34">
      <c r="A34" s="1" t="s">
        <v>1888</v>
      </c>
      <c r="B34" s="1" t="s">
        <v>1878</v>
      </c>
      <c r="C34" s="1" t="s">
        <v>1877</v>
      </c>
      <c r="D34" s="1" t="n">
        <v>78.5</v>
      </c>
      <c r="E34" s="1" t="n">
        <v>11.75</v>
      </c>
      <c r="F34" s="1" t="n">
        <v>0.2</v>
      </c>
    </row>
    <row collapsed="false" customFormat="false" customHeight="false" hidden="false" ht="14.75" outlineLevel="0" r="35">
      <c r="A35" s="1" t="s">
        <v>1889</v>
      </c>
      <c r="B35" s="1" t="s">
        <v>1879</v>
      </c>
      <c r="C35" s="1" t="s">
        <v>1877</v>
      </c>
      <c r="D35" s="1" t="n">
        <v>211.4</v>
      </c>
      <c r="E35" s="1" t="n">
        <v>15.79</v>
      </c>
      <c r="F35" s="1" t="n">
        <f aca="false">16/7</f>
        <v>2.28571428571429</v>
      </c>
    </row>
    <row collapsed="false" customFormat="false" customHeight="false" hidden="false" ht="14.75" outlineLevel="0" r="36">
      <c r="A36" s="1" t="s">
        <v>1890</v>
      </c>
      <c r="B36" s="1" t="s">
        <v>1879</v>
      </c>
      <c r="C36" s="1" t="s">
        <v>1877</v>
      </c>
      <c r="D36" s="1" t="n">
        <v>383.6</v>
      </c>
      <c r="E36" s="1" t="n">
        <v>21.2</v>
      </c>
      <c r="F36" s="1" t="n">
        <f aca="false">29/7</f>
        <v>4.14285714285714</v>
      </c>
    </row>
    <row collapsed="false" customFormat="false" customHeight="false" hidden="false" ht="14.75" outlineLevel="0" r="37">
      <c r="A37" s="1" t="s">
        <v>163</v>
      </c>
      <c r="B37" s="1" t="s">
        <v>1876</v>
      </c>
      <c r="C37" s="1" t="s">
        <v>1877</v>
      </c>
      <c r="D37" s="1" t="n">
        <v>386.8</v>
      </c>
      <c r="E37" s="1" t="n">
        <v>25.54</v>
      </c>
      <c r="F37" s="1" t="n">
        <f aca="false">74/11</f>
        <v>6.72727272727273</v>
      </c>
    </row>
    <row collapsed="false" customFormat="false" customHeight="false" hidden="false" ht="14.75" outlineLevel="0" r="38">
      <c r="A38" s="1" t="s">
        <v>666</v>
      </c>
      <c r="B38" s="1" t="s">
        <v>1879</v>
      </c>
      <c r="C38" s="1" t="s">
        <v>1877</v>
      </c>
      <c r="D38" s="1" t="n">
        <v>105.8</v>
      </c>
      <c r="E38" s="1" t="n">
        <v>14.44</v>
      </c>
      <c r="F38" s="1" t="n">
        <f aca="false">8/6</f>
        <v>1.33333333333333</v>
      </c>
    </row>
    <row collapsed="false" customFormat="false" customHeight="false" hidden="false" ht="14.75" outlineLevel="0" r="39">
      <c r="A39" s="1" t="s">
        <v>1891</v>
      </c>
      <c r="B39" s="1" t="s">
        <v>1879</v>
      </c>
      <c r="C39" s="1" t="s">
        <v>1877</v>
      </c>
      <c r="D39" s="1" t="n">
        <v>480.7</v>
      </c>
      <c r="E39" s="1" t="n">
        <v>24.47</v>
      </c>
      <c r="F39" s="1" t="n">
        <f aca="false">46/7</f>
        <v>6.57142857142857</v>
      </c>
    </row>
    <row collapsed="false" customFormat="false" customHeight="false" hidden="false" ht="14.75" outlineLevel="0" r="40">
      <c r="A40" s="1" t="s">
        <v>1892</v>
      </c>
      <c r="B40" s="1" t="s">
        <v>1879</v>
      </c>
      <c r="C40" s="1" t="s">
        <v>1877</v>
      </c>
      <c r="D40" s="1" t="n">
        <v>588.3</v>
      </c>
      <c r="E40" s="1" t="n">
        <v>27.5</v>
      </c>
      <c r="F40" s="1" t="n">
        <f aca="false">58/6</f>
        <v>9.66666666666667</v>
      </c>
    </row>
    <row collapsed="false" customFormat="false" customHeight="false" hidden="false" ht="14.75" outlineLevel="0" r="41">
      <c r="A41" s="1" t="s">
        <v>1893</v>
      </c>
      <c r="B41" s="1" t="s">
        <v>1879</v>
      </c>
      <c r="C41" s="1" t="s">
        <v>1877</v>
      </c>
      <c r="D41" s="1" t="n">
        <v>105</v>
      </c>
      <c r="E41" s="1" t="n">
        <v>11.52</v>
      </c>
      <c r="F41" s="1" t="n">
        <f aca="false">10/7</f>
        <v>1.42857142857143</v>
      </c>
    </row>
    <row collapsed="false" customFormat="false" customHeight="false" hidden="false" ht="14.75" outlineLevel="0" r="42">
      <c r="A42" s="1" t="s">
        <v>397</v>
      </c>
      <c r="B42" s="1" t="s">
        <v>1878</v>
      </c>
      <c r="C42" s="1" t="s">
        <v>1877</v>
      </c>
      <c r="D42" s="1" t="n">
        <v>295</v>
      </c>
      <c r="E42" s="1" t="n">
        <v>19.4</v>
      </c>
      <c r="F42" s="1" t="n">
        <v>2.5</v>
      </c>
    </row>
    <row collapsed="false" customFormat="false" customHeight="false" hidden="false" ht="14.75" outlineLevel="0" r="43">
      <c r="A43" s="1" t="s">
        <v>398</v>
      </c>
      <c r="B43" s="1" t="s">
        <v>1878</v>
      </c>
      <c r="C43" s="1" t="s">
        <v>1877</v>
      </c>
      <c r="D43" s="1" t="n">
        <v>206</v>
      </c>
      <c r="E43" s="1" t="n">
        <v>14.14</v>
      </c>
      <c r="F43" s="1" t="n">
        <v>1.6</v>
      </c>
    </row>
    <row collapsed="false" customFormat="false" customHeight="false" hidden="false" ht="14.75" outlineLevel="0" r="44">
      <c r="A44" s="1" t="s">
        <v>413</v>
      </c>
      <c r="B44" s="1" t="s">
        <v>1878</v>
      </c>
      <c r="C44" s="1" t="s">
        <v>1877</v>
      </c>
      <c r="D44" s="1" t="n">
        <v>402.5</v>
      </c>
      <c r="E44" s="1" t="n">
        <v>19.89</v>
      </c>
      <c r="F44" s="1" t="n">
        <v>3.7</v>
      </c>
    </row>
    <row collapsed="false" customFormat="false" customHeight="false" hidden="false" ht="14.75" outlineLevel="0" r="45">
      <c r="A45" s="1" t="s">
        <v>414</v>
      </c>
      <c r="B45" s="1" t="s">
        <v>1878</v>
      </c>
      <c r="C45" s="1" t="s">
        <v>1877</v>
      </c>
      <c r="D45" s="1" t="n">
        <v>275</v>
      </c>
      <c r="E45" s="1" t="n">
        <v>15.71</v>
      </c>
      <c r="F45" s="1" t="n">
        <v>1.7</v>
      </c>
    </row>
    <row collapsed="false" customFormat="false" customHeight="false" hidden="false" ht="14.75" outlineLevel="0" r="46">
      <c r="A46" s="1" t="s">
        <v>421</v>
      </c>
      <c r="B46" s="1" t="s">
        <v>1876</v>
      </c>
      <c r="C46" s="1" t="s">
        <v>1877</v>
      </c>
      <c r="D46" s="1" t="n">
        <v>243.2</v>
      </c>
      <c r="E46" s="1" t="n">
        <v>21.67</v>
      </c>
      <c r="F46" s="1" t="n">
        <f aca="false">22/11</f>
        <v>2</v>
      </c>
    </row>
    <row collapsed="false" customFormat="false" customHeight="false" hidden="false" ht="14.75" outlineLevel="0" r="47">
      <c r="A47" s="1" t="s">
        <v>422</v>
      </c>
      <c r="B47" s="1" t="s">
        <v>1878</v>
      </c>
      <c r="C47" s="1" t="s">
        <v>1877</v>
      </c>
      <c r="D47" s="1" t="n">
        <v>104</v>
      </c>
      <c r="E47" s="1" t="n">
        <v>11.6</v>
      </c>
      <c r="F47" s="1" t="n">
        <v>1.1</v>
      </c>
    </row>
    <row collapsed="false" customFormat="false" customHeight="false" hidden="false" ht="14.75" outlineLevel="0" r="48">
      <c r="A48" s="1" t="s">
        <v>986</v>
      </c>
      <c r="B48" s="1" t="s">
        <v>1879</v>
      </c>
      <c r="C48" s="1" t="s">
        <v>1877</v>
      </c>
      <c r="D48" s="1" t="n">
        <v>473.3</v>
      </c>
      <c r="E48" s="1" t="n">
        <v>25.79</v>
      </c>
      <c r="F48" s="1" t="n">
        <f aca="false">35/6</f>
        <v>5.83333333333333</v>
      </c>
    </row>
    <row collapsed="false" customFormat="false" customHeight="false" hidden="false" ht="14.75" outlineLevel="0" r="49">
      <c r="A49" s="1" t="s">
        <v>1894</v>
      </c>
      <c r="B49" s="1" t="s">
        <v>1878</v>
      </c>
      <c r="C49" s="1" t="s">
        <v>1877</v>
      </c>
      <c r="D49" s="1" t="n">
        <v>290</v>
      </c>
      <c r="E49" s="1" t="n">
        <v>20.21</v>
      </c>
      <c r="F49" s="1" t="n">
        <v>1.4</v>
      </c>
    </row>
    <row collapsed="false" customFormat="false" customHeight="false" hidden="false" ht="14.75" outlineLevel="0" r="50">
      <c r="A50" s="1" t="s">
        <v>1895</v>
      </c>
      <c r="B50" s="1" t="s">
        <v>1878</v>
      </c>
      <c r="C50" s="1" t="s">
        <v>1877</v>
      </c>
      <c r="D50" s="1" t="n">
        <v>166.5</v>
      </c>
      <c r="E50" s="1" t="n">
        <v>13.12</v>
      </c>
      <c r="F50" s="1" t="n">
        <v>0.7</v>
      </c>
    </row>
    <row collapsed="false" customFormat="false" customHeight="false" hidden="false" ht="14.75" outlineLevel="0" r="51">
      <c r="A51" s="1" t="s">
        <v>1896</v>
      </c>
      <c r="B51" s="1" t="s">
        <v>1879</v>
      </c>
      <c r="C51" s="1" t="s">
        <v>1877</v>
      </c>
      <c r="D51" s="1" t="n">
        <v>248.3</v>
      </c>
      <c r="E51" s="1" t="n">
        <v>20.82</v>
      </c>
      <c r="F51" s="1" t="n">
        <f aca="false">15/6</f>
        <v>2.5</v>
      </c>
    </row>
    <row collapsed="false" customFormat="false" customHeight="false" hidden="false" ht="14.75" outlineLevel="0" r="52">
      <c r="A52" s="1" t="s">
        <v>1897</v>
      </c>
      <c r="B52" s="1" t="s">
        <v>1876</v>
      </c>
      <c r="C52" s="1" t="s">
        <v>1877</v>
      </c>
      <c r="D52" s="1" t="n">
        <v>300.5</v>
      </c>
      <c r="E52" s="1" t="n">
        <v>24.73</v>
      </c>
      <c r="F52" s="1" t="n">
        <f aca="false">52/11</f>
        <v>4.72727272727273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blackAndWhite="false" cellComments="none" copies="1" draft="false" firstPageNumber="0" fitToHeight="1" fitToWidth="1" horizontalDpi="300" orientation="portrait" pageOrder="downThenOver" paperSize="1" scale="100" useFirstPageNumber="fals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31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85" zoomScaleNormal="85" zoomScalePageLayoutView="100">
      <selection activeCell="A1" activeCellId="0" pane="topLeft" sqref="A1"/>
    </sheetView>
  </sheetViews>
  <cols>
    <col collapsed="false" hidden="false" max="1" min="1" style="1" width="22.4470588235294"/>
    <col collapsed="false" hidden="false" max="2" min="2" style="1" width="31.0509803921569"/>
    <col collapsed="false" hidden="false" max="3" min="3" style="1" width="12.6705882352941"/>
    <col collapsed="false" hidden="false" max="5" min="4" style="1" width="7.15294117647059"/>
    <col collapsed="false" hidden="false" max="6" min="6" style="1" width="6.52156862745098"/>
    <col collapsed="false" hidden="false" max="1025" min="7" style="0" width="8.5921568627451"/>
  </cols>
  <sheetData>
    <row collapsed="false" customFormat="true" customHeight="false" hidden="false" ht="14.75" outlineLevel="0" r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collapsed="false" customFormat="false" customHeight="false" hidden="false" ht="14.75" outlineLevel="0" r="2">
      <c r="A2" s="1" t="s">
        <v>1898</v>
      </c>
      <c r="B2" s="1" t="s">
        <v>1899</v>
      </c>
      <c r="C2" s="1" t="s">
        <v>1900</v>
      </c>
      <c r="D2" s="1" t="n">
        <v>246.8</v>
      </c>
      <c r="E2" s="1" t="n">
        <v>14.82</v>
      </c>
      <c r="F2" s="1" t="s">
        <v>9</v>
      </c>
    </row>
    <row collapsed="false" customFormat="false" customHeight="false" hidden="false" ht="14.75" outlineLevel="0" r="3">
      <c r="A3" s="1" t="s">
        <v>1901</v>
      </c>
      <c r="B3" s="1" t="s">
        <v>1899</v>
      </c>
      <c r="C3" s="1" t="s">
        <v>1900</v>
      </c>
      <c r="D3" s="1" t="n">
        <v>68.6</v>
      </c>
      <c r="E3" s="1" t="n">
        <v>7.76</v>
      </c>
      <c r="F3" s="1" t="s">
        <v>9</v>
      </c>
    </row>
    <row collapsed="false" customFormat="false" customHeight="false" hidden="false" ht="14.75" outlineLevel="0" r="4">
      <c r="A4" s="1" t="s">
        <v>1902</v>
      </c>
      <c r="B4" s="1" t="s">
        <v>1903</v>
      </c>
      <c r="C4" s="1" t="s">
        <v>1900</v>
      </c>
      <c r="D4" s="1" t="n">
        <v>299.6</v>
      </c>
      <c r="E4" s="1" t="n">
        <v>18.01</v>
      </c>
      <c r="F4" s="1" t="s">
        <v>9</v>
      </c>
    </row>
    <row collapsed="false" customFormat="false" customHeight="false" hidden="false" ht="14.75" outlineLevel="0" r="5">
      <c r="A5" s="1" t="s">
        <v>1372</v>
      </c>
      <c r="B5" s="1" t="s">
        <v>1903</v>
      </c>
      <c r="C5" s="1" t="s">
        <v>1900</v>
      </c>
      <c r="D5" s="1" t="n">
        <v>182</v>
      </c>
      <c r="E5" s="1" t="n">
        <v>14.16</v>
      </c>
      <c r="F5" s="1" t="s">
        <v>9</v>
      </c>
    </row>
    <row collapsed="false" customFormat="false" customHeight="false" hidden="false" ht="14.75" outlineLevel="0" r="6">
      <c r="A6" s="1" t="s">
        <v>1904</v>
      </c>
      <c r="B6" s="1" t="s">
        <v>1899</v>
      </c>
      <c r="C6" s="1" t="s">
        <v>1900</v>
      </c>
      <c r="D6" s="1" t="n">
        <v>298.6</v>
      </c>
      <c r="E6" s="1" t="n">
        <v>16.5</v>
      </c>
      <c r="F6" s="1" t="s">
        <v>9</v>
      </c>
    </row>
    <row collapsed="false" customFormat="false" customHeight="false" hidden="false" ht="14.75" outlineLevel="0" r="7">
      <c r="A7" s="1" t="s">
        <v>1905</v>
      </c>
      <c r="B7" s="1" t="s">
        <v>1899</v>
      </c>
      <c r="C7" s="1" t="s">
        <v>1900</v>
      </c>
      <c r="D7" s="1" t="n">
        <v>80</v>
      </c>
      <c r="E7" s="1" t="n">
        <v>11.25</v>
      </c>
      <c r="F7" s="1" t="s">
        <v>9</v>
      </c>
    </row>
    <row collapsed="false" customFormat="false" customHeight="false" hidden="false" ht="14.75" outlineLevel="0" r="8">
      <c r="A8" s="1" t="s">
        <v>1906</v>
      </c>
      <c r="B8" s="1" t="s">
        <v>1903</v>
      </c>
      <c r="C8" s="1" t="s">
        <v>1900</v>
      </c>
      <c r="D8" s="1" t="n">
        <v>217</v>
      </c>
      <c r="E8" s="1" t="n">
        <v>17.59</v>
      </c>
      <c r="F8" s="1" t="s">
        <v>9</v>
      </c>
    </row>
    <row collapsed="false" customFormat="false" customHeight="false" hidden="false" ht="14.75" outlineLevel="0" r="9">
      <c r="A9" s="1" t="s">
        <v>1907</v>
      </c>
      <c r="B9" s="1" t="s">
        <v>1899</v>
      </c>
      <c r="C9" s="1" t="s">
        <v>1900</v>
      </c>
      <c r="D9" s="1" t="n">
        <v>323.2</v>
      </c>
      <c r="E9" s="1" t="n">
        <v>18.18</v>
      </c>
      <c r="F9" s="1" t="s">
        <v>9</v>
      </c>
    </row>
    <row collapsed="false" customFormat="false" customHeight="false" hidden="false" ht="14.75" outlineLevel="0" r="10">
      <c r="A10" s="1" t="s">
        <v>1908</v>
      </c>
      <c r="B10" s="1" t="s">
        <v>1899</v>
      </c>
      <c r="C10" s="1" t="s">
        <v>1900</v>
      </c>
      <c r="D10" s="1" t="n">
        <v>172.7</v>
      </c>
      <c r="E10" s="1" t="n">
        <v>15.19</v>
      </c>
      <c r="F10" s="1" t="s">
        <v>9</v>
      </c>
    </row>
    <row collapsed="false" customFormat="false" customHeight="false" hidden="false" ht="14.75" outlineLevel="0" r="11">
      <c r="A11" s="1" t="s">
        <v>1909</v>
      </c>
      <c r="B11" s="1" t="s">
        <v>1899</v>
      </c>
      <c r="C11" s="1" t="s">
        <v>1900</v>
      </c>
      <c r="D11" s="1" t="n">
        <v>91.4</v>
      </c>
      <c r="E11" s="1" t="n">
        <v>11.25</v>
      </c>
      <c r="F11" s="1" t="s">
        <v>9</v>
      </c>
    </row>
    <row collapsed="false" customFormat="false" customHeight="false" hidden="false" ht="14.75" outlineLevel="0" r="12">
      <c r="A12" s="1" t="s">
        <v>1910</v>
      </c>
      <c r="B12" s="1" t="s">
        <v>1899</v>
      </c>
      <c r="C12" s="1" t="s">
        <v>1900</v>
      </c>
      <c r="D12" s="1" t="n">
        <v>62.1</v>
      </c>
      <c r="E12" s="1" t="n">
        <v>8.75</v>
      </c>
      <c r="F12" s="1" t="s">
        <v>9</v>
      </c>
    </row>
    <row collapsed="false" customFormat="false" customHeight="false" hidden="false" ht="14.75" outlineLevel="0" r="13">
      <c r="A13" s="1" t="s">
        <v>1911</v>
      </c>
      <c r="B13" s="1" t="s">
        <v>1903</v>
      </c>
      <c r="C13" s="1" t="s">
        <v>1900</v>
      </c>
      <c r="D13" s="1" t="n">
        <v>287.1</v>
      </c>
      <c r="E13" s="1" t="n">
        <v>18.43</v>
      </c>
      <c r="F13" s="1" t="s">
        <v>9</v>
      </c>
    </row>
    <row collapsed="false" customFormat="false" customHeight="false" hidden="false" ht="14.75" outlineLevel="0" r="14">
      <c r="A14" s="1" t="s">
        <v>1912</v>
      </c>
      <c r="B14" s="1" t="s">
        <v>1899</v>
      </c>
      <c r="C14" s="1" t="s">
        <v>1900</v>
      </c>
      <c r="D14" s="1" t="n">
        <v>200.7</v>
      </c>
      <c r="E14" s="1" t="n">
        <v>16.07</v>
      </c>
      <c r="F14" s="1" t="s">
        <v>9</v>
      </c>
    </row>
    <row collapsed="false" customFormat="false" customHeight="false" hidden="false" ht="14.75" outlineLevel="0" r="15">
      <c r="A15" s="1" t="s">
        <v>1913</v>
      </c>
      <c r="B15" s="1" t="s">
        <v>1899</v>
      </c>
      <c r="C15" s="1" t="s">
        <v>1900</v>
      </c>
      <c r="D15" s="1" t="n">
        <v>129.1</v>
      </c>
      <c r="E15" s="1" t="n">
        <v>11.97</v>
      </c>
      <c r="F15" s="1" t="s">
        <v>9</v>
      </c>
    </row>
    <row collapsed="false" customFormat="false" customHeight="false" hidden="false" ht="14.75" outlineLevel="0" r="16">
      <c r="A16" s="1" t="s">
        <v>1914</v>
      </c>
      <c r="B16" s="1" t="s">
        <v>1899</v>
      </c>
      <c r="C16" s="1" t="s">
        <v>1900</v>
      </c>
      <c r="D16" s="1" t="n">
        <v>221.4</v>
      </c>
      <c r="E16" s="1" t="n">
        <v>15.35</v>
      </c>
      <c r="F16" s="1" t="s">
        <v>9</v>
      </c>
    </row>
    <row collapsed="false" customFormat="false" customHeight="false" hidden="false" ht="14.75" outlineLevel="0" r="17">
      <c r="A17" s="1" t="s">
        <v>1915</v>
      </c>
      <c r="B17" s="1" t="s">
        <v>1899</v>
      </c>
      <c r="C17" s="1" t="s">
        <v>1900</v>
      </c>
      <c r="D17" s="1" t="n">
        <v>150.7</v>
      </c>
      <c r="E17" s="1" t="n">
        <v>10.87</v>
      </c>
      <c r="F17" s="1" t="s">
        <v>9</v>
      </c>
    </row>
    <row collapsed="false" customFormat="false" customHeight="false" hidden="false" ht="14.75" outlineLevel="0" r="18">
      <c r="A18" s="1" t="s">
        <v>1916</v>
      </c>
      <c r="B18" s="1" t="s">
        <v>1899</v>
      </c>
      <c r="C18" s="1" t="s">
        <v>1900</v>
      </c>
      <c r="D18" s="1" t="n">
        <v>78.2</v>
      </c>
      <c r="E18" s="1" t="n">
        <v>11.14</v>
      </c>
      <c r="F18" s="1" t="s">
        <v>9</v>
      </c>
    </row>
    <row collapsed="false" customFormat="false" customHeight="false" hidden="false" ht="14.75" outlineLevel="0" r="19">
      <c r="A19" s="1" t="s">
        <v>1917</v>
      </c>
      <c r="B19" s="1" t="s">
        <v>1899</v>
      </c>
      <c r="C19" s="1" t="s">
        <v>1900</v>
      </c>
      <c r="D19" s="1" t="n">
        <v>135.7</v>
      </c>
      <c r="E19" s="1" t="n">
        <v>11.49</v>
      </c>
      <c r="F19" s="1" t="s">
        <v>9</v>
      </c>
    </row>
    <row collapsed="false" customFormat="false" customHeight="false" hidden="false" ht="14.75" outlineLevel="0" r="20">
      <c r="A20" s="1" t="s">
        <v>1918</v>
      </c>
      <c r="B20" s="1" t="s">
        <v>1899</v>
      </c>
      <c r="C20" s="1" t="s">
        <v>1900</v>
      </c>
      <c r="D20" s="1" t="n">
        <v>42.9</v>
      </c>
      <c r="E20" s="1" t="n">
        <v>6.32</v>
      </c>
      <c r="F20" s="1" t="s">
        <v>9</v>
      </c>
    </row>
    <row collapsed="false" customFormat="false" customHeight="false" hidden="false" ht="14.75" outlineLevel="0" r="21">
      <c r="A21" s="1" t="s">
        <v>1919</v>
      </c>
      <c r="B21" s="1" t="s">
        <v>1899</v>
      </c>
      <c r="C21" s="1" t="s">
        <v>1900</v>
      </c>
      <c r="D21" s="1" t="n">
        <v>147.1</v>
      </c>
      <c r="E21" s="1" t="n">
        <v>13.26</v>
      </c>
      <c r="F21" s="1" t="s">
        <v>9</v>
      </c>
    </row>
    <row collapsed="false" customFormat="false" customHeight="false" hidden="false" ht="14.75" outlineLevel="0" r="22">
      <c r="A22" s="1" t="s">
        <v>1423</v>
      </c>
      <c r="B22" s="1" t="s">
        <v>1899</v>
      </c>
      <c r="C22" s="1" t="s">
        <v>1900</v>
      </c>
      <c r="D22" s="1" t="n">
        <v>238.6</v>
      </c>
      <c r="E22" s="1" t="n">
        <v>15.7</v>
      </c>
      <c r="F22" s="1" t="s">
        <v>9</v>
      </c>
    </row>
    <row collapsed="false" customFormat="false" customHeight="false" hidden="false" ht="14.75" outlineLevel="0" r="23">
      <c r="A23" s="1" t="s">
        <v>1424</v>
      </c>
      <c r="B23" s="1" t="s">
        <v>1899</v>
      </c>
      <c r="C23" s="1" t="s">
        <v>1900</v>
      </c>
      <c r="D23" s="1" t="n">
        <v>218.6</v>
      </c>
      <c r="E23" s="1" t="n">
        <v>15</v>
      </c>
      <c r="F23" s="1" t="s">
        <v>9</v>
      </c>
    </row>
    <row collapsed="false" customFormat="false" customHeight="false" hidden="false" ht="14.75" outlineLevel="0" r="24">
      <c r="A24" s="1" t="s">
        <v>665</v>
      </c>
      <c r="B24" s="1" t="s">
        <v>1899</v>
      </c>
      <c r="C24" s="1" t="s">
        <v>1900</v>
      </c>
      <c r="D24" s="1" t="n">
        <v>345.5</v>
      </c>
      <c r="E24" s="1" t="n">
        <v>20.27</v>
      </c>
      <c r="F24" s="1" t="s">
        <v>9</v>
      </c>
    </row>
    <row collapsed="false" customFormat="false" customHeight="false" hidden="false" ht="14.75" outlineLevel="0" r="25">
      <c r="A25" s="1" t="s">
        <v>1920</v>
      </c>
      <c r="B25" s="1" t="s">
        <v>1899</v>
      </c>
      <c r="C25" s="1" t="s">
        <v>1900</v>
      </c>
      <c r="D25" s="1" t="n">
        <v>248.6</v>
      </c>
      <c r="E25" s="1" t="n">
        <v>14.43</v>
      </c>
      <c r="F25" s="1" t="s">
        <v>9</v>
      </c>
    </row>
    <row collapsed="false" customFormat="false" customHeight="false" hidden="false" ht="14.75" outlineLevel="0" r="26">
      <c r="A26" s="1" t="s">
        <v>1921</v>
      </c>
      <c r="B26" s="1" t="s">
        <v>1899</v>
      </c>
      <c r="C26" s="1" t="s">
        <v>1900</v>
      </c>
      <c r="D26" s="1" t="n">
        <v>151.4</v>
      </c>
      <c r="E26" s="1" t="n">
        <v>11.67</v>
      </c>
      <c r="F26" s="1" t="s">
        <v>9</v>
      </c>
    </row>
    <row collapsed="false" customFormat="false" customHeight="false" hidden="false" ht="14.75" outlineLevel="0" r="27">
      <c r="A27" s="1" t="s">
        <v>1922</v>
      </c>
      <c r="B27" s="1" t="s">
        <v>1899</v>
      </c>
      <c r="C27" s="1" t="s">
        <v>1900</v>
      </c>
      <c r="D27" s="1" t="n">
        <v>88.6</v>
      </c>
      <c r="E27" s="1" t="n">
        <v>11.36</v>
      </c>
      <c r="F27" s="1" t="s">
        <v>9</v>
      </c>
    </row>
    <row collapsed="false" customFormat="false" customHeight="false" hidden="false" ht="14.75" outlineLevel="0" r="28">
      <c r="A28" s="1" t="s">
        <v>1923</v>
      </c>
      <c r="B28" s="1" t="s">
        <v>1903</v>
      </c>
      <c r="C28" s="1" t="s">
        <v>1900</v>
      </c>
      <c r="D28" s="1" t="n">
        <v>185</v>
      </c>
      <c r="E28" s="1" t="n">
        <v>13.86</v>
      </c>
      <c r="F28" s="1" t="s">
        <v>9</v>
      </c>
    </row>
    <row collapsed="false" customFormat="false" customHeight="false" hidden="false" ht="14.75" outlineLevel="0" r="29">
      <c r="A29" s="1" t="s">
        <v>1924</v>
      </c>
      <c r="B29" s="1" t="s">
        <v>1903</v>
      </c>
      <c r="C29" s="1" t="s">
        <v>1900</v>
      </c>
      <c r="D29" s="1" t="n">
        <v>132.5</v>
      </c>
      <c r="E29" s="1" t="n">
        <v>13.05</v>
      </c>
      <c r="F29" s="1" t="s">
        <v>9</v>
      </c>
    </row>
    <row collapsed="false" customFormat="false" customHeight="false" hidden="false" ht="14.75" outlineLevel="0" r="30">
      <c r="A30" s="1" t="s">
        <v>1926</v>
      </c>
      <c r="B30" s="1" t="s">
        <v>1899</v>
      </c>
      <c r="C30" s="1" t="s">
        <v>1900</v>
      </c>
      <c r="D30" s="1" t="n">
        <v>260</v>
      </c>
      <c r="E30" s="1" t="n">
        <v>16.01</v>
      </c>
      <c r="F30" s="1" t="s">
        <v>9</v>
      </c>
    </row>
    <row collapsed="false" customFormat="false" customHeight="false" hidden="false" ht="14.75" outlineLevel="0" r="31">
      <c r="A31" s="1" t="s">
        <v>1928</v>
      </c>
      <c r="B31" s="1" t="s">
        <v>1899</v>
      </c>
      <c r="C31" s="1" t="s">
        <v>1900</v>
      </c>
      <c r="D31" s="1" t="n">
        <v>186.8</v>
      </c>
      <c r="E31" s="1" t="n">
        <v>14.89</v>
      </c>
      <c r="F31" s="1" t="s">
        <v>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blackAndWhite="false" cellComments="none" copies="1" draft="false" firstPageNumber="0" fitToHeight="1" fitToWidth="1" horizontalDpi="300" orientation="portrait" pageOrder="downThenOver" paperSize="1" scale="100" useFirstPageNumber="false" usePrinterDefaults="false" verticalDpi="300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74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85" zoomScaleNormal="85" zoomScalePageLayoutView="100">
      <selection activeCell="A1" activeCellId="0" pane="topLeft" sqref="A1"/>
    </sheetView>
  </sheetViews>
  <cols>
    <col collapsed="false" hidden="false" max="1" min="1" style="1" width="25.3882352941176"/>
    <col collapsed="false" hidden="false" max="2" min="2" style="1" width="16.2705882352941"/>
    <col collapsed="false" hidden="false" max="3" min="3" style="1" width="8.62745098039216"/>
    <col collapsed="false" hidden="false" max="6" min="4" style="1" width="14.1647058823529"/>
    <col collapsed="false" hidden="false" max="1025" min="7" style="0" width="8.5921568627451"/>
  </cols>
  <sheetData>
    <row collapsed="false" customFormat="false" customHeight="false" hidden="false" ht="14.75" outlineLevel="0"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collapsed="false" customFormat="false" customHeight="false" hidden="false" ht="14.75" outlineLevel="0" r="2">
      <c r="A2" s="1" t="s">
        <v>1930</v>
      </c>
      <c r="B2" s="1" t="s">
        <v>1931</v>
      </c>
      <c r="C2" s="1" t="s">
        <v>1932</v>
      </c>
      <c r="D2" s="1" t="n">
        <v>111.2</v>
      </c>
      <c r="E2" s="1" t="n">
        <v>7.87</v>
      </c>
      <c r="F2" s="1" t="n">
        <f aca="false">4/8</f>
        <v>0.5</v>
      </c>
    </row>
    <row collapsed="false" customFormat="false" customHeight="false" hidden="false" ht="14.75" outlineLevel="0" r="3">
      <c r="A3" s="1" t="s">
        <v>302</v>
      </c>
      <c r="B3" s="1" t="s">
        <v>1932</v>
      </c>
      <c r="C3" s="1" t="s">
        <v>1932</v>
      </c>
      <c r="D3" s="1" t="n">
        <v>232.2</v>
      </c>
      <c r="E3" s="1" t="n">
        <v>19.2857142857143</v>
      </c>
      <c r="F3" s="1" t="n">
        <v>1.44444444444444</v>
      </c>
    </row>
    <row collapsed="false" customFormat="false" customHeight="false" hidden="false" ht="14.75" outlineLevel="0" r="4">
      <c r="A4" s="1" t="s">
        <v>303</v>
      </c>
      <c r="B4" s="1" t="s">
        <v>1933</v>
      </c>
      <c r="C4" s="1" t="s">
        <v>1932</v>
      </c>
      <c r="D4" s="1" t="n">
        <v>466.4</v>
      </c>
      <c r="E4" s="1" t="n">
        <v>25.74</v>
      </c>
      <c r="F4" s="1" t="n">
        <v>8.18181818181818</v>
      </c>
    </row>
    <row collapsed="false" customFormat="false" customHeight="false" hidden="false" ht="14.75" outlineLevel="0" r="5">
      <c r="A5" s="1" t="s">
        <v>101</v>
      </c>
      <c r="B5" s="1" t="s">
        <v>1932</v>
      </c>
      <c r="C5" s="1" t="s">
        <v>1932</v>
      </c>
      <c r="D5" s="1" t="n">
        <v>347.2</v>
      </c>
      <c r="E5" s="1" t="n">
        <v>19.3269230769231</v>
      </c>
      <c r="F5" s="1" t="n">
        <v>3.88888888888889</v>
      </c>
    </row>
    <row collapsed="false" customFormat="false" customHeight="false" hidden="false" ht="14.75" outlineLevel="0" r="6">
      <c r="A6" s="1" t="s">
        <v>102</v>
      </c>
      <c r="B6" s="1" t="s">
        <v>1932</v>
      </c>
      <c r="C6" s="1" t="s">
        <v>1932</v>
      </c>
      <c r="D6" s="1" t="n">
        <v>161.666666666667</v>
      </c>
      <c r="E6" s="1" t="n">
        <v>14.8333333333333</v>
      </c>
      <c r="F6" s="1" t="n">
        <v>0.777777777777778</v>
      </c>
    </row>
    <row collapsed="false" customFormat="false" customHeight="false" hidden="false" ht="14.75" outlineLevel="0" r="7">
      <c r="A7" s="1" t="s">
        <v>38</v>
      </c>
      <c r="B7" s="1" t="s">
        <v>1932</v>
      </c>
      <c r="C7" s="1" t="s">
        <v>1932</v>
      </c>
      <c r="D7" s="1" t="n">
        <v>241.5</v>
      </c>
      <c r="E7" s="1" t="n">
        <v>16.9318181818182</v>
      </c>
      <c r="F7" s="1" t="n">
        <v>2.1</v>
      </c>
    </row>
    <row collapsed="false" customFormat="false" customHeight="false" hidden="false" ht="14.75" outlineLevel="0" r="8">
      <c r="A8" s="1" t="s">
        <v>1934</v>
      </c>
      <c r="B8" s="1" t="s">
        <v>1933</v>
      </c>
      <c r="C8" s="1" t="s">
        <v>1932</v>
      </c>
      <c r="D8" s="1" t="n">
        <v>307.3</v>
      </c>
      <c r="E8" s="1" t="n">
        <v>18.12</v>
      </c>
      <c r="F8" s="1" t="n">
        <v>3.81818181818182</v>
      </c>
    </row>
    <row collapsed="false" customFormat="false" customHeight="false" hidden="false" ht="14.75" outlineLevel="0" r="9">
      <c r="A9" s="1" t="s">
        <v>312</v>
      </c>
      <c r="B9" s="1" t="s">
        <v>1931</v>
      </c>
      <c r="C9" s="1" t="s">
        <v>1932</v>
      </c>
      <c r="D9" s="1" t="n">
        <v>221.1</v>
      </c>
      <c r="E9" s="1" t="n">
        <v>12.03</v>
      </c>
      <c r="F9" s="1" t="n">
        <f aca="false">15/9</f>
        <v>1.66666666666667</v>
      </c>
    </row>
    <row collapsed="false" customFormat="false" customHeight="false" hidden="false" ht="14.75" outlineLevel="0" r="10">
      <c r="A10" s="1" t="s">
        <v>314</v>
      </c>
      <c r="B10" s="1" t="s">
        <v>1931</v>
      </c>
      <c r="C10" s="1" t="s">
        <v>1932</v>
      </c>
      <c r="D10" s="1" t="n">
        <v>110.6</v>
      </c>
      <c r="E10" s="1" t="n">
        <v>8.36</v>
      </c>
      <c r="F10" s="1" t="n">
        <v>1</v>
      </c>
    </row>
    <row collapsed="false" customFormat="false" customHeight="false" hidden="false" ht="14.75" outlineLevel="0" r="11">
      <c r="A11" s="1" t="s">
        <v>317</v>
      </c>
      <c r="B11" s="1" t="s">
        <v>1932</v>
      </c>
      <c r="C11" s="1" t="s">
        <v>1932</v>
      </c>
      <c r="D11" s="1" t="n">
        <v>198.333333333333</v>
      </c>
      <c r="E11" s="1" t="n">
        <v>13.5333333333333</v>
      </c>
      <c r="F11" s="1" t="n">
        <v>2.11111111111111</v>
      </c>
    </row>
    <row collapsed="false" customFormat="false" customHeight="false" hidden="false" ht="14.75" outlineLevel="0" r="12">
      <c r="A12" s="1" t="s">
        <v>40</v>
      </c>
      <c r="B12" s="1" t="s">
        <v>1932</v>
      </c>
      <c r="C12" s="1" t="s">
        <v>1932</v>
      </c>
      <c r="D12" s="1" t="n">
        <v>470.4</v>
      </c>
      <c r="E12" s="1" t="n">
        <v>25.8783783783784</v>
      </c>
      <c r="F12" s="1" t="n">
        <v>7.25</v>
      </c>
    </row>
    <row collapsed="false" customFormat="false" customHeight="false" hidden="false" ht="14.75" outlineLevel="0" r="13">
      <c r="A13" s="1" t="s">
        <v>1935</v>
      </c>
      <c r="B13" s="1" t="s">
        <v>1931</v>
      </c>
      <c r="C13" s="1" t="s">
        <v>1932</v>
      </c>
      <c r="D13" s="1" t="n">
        <v>72.2</v>
      </c>
      <c r="E13" s="1" t="n">
        <v>7.38</v>
      </c>
      <c r="F13" s="1" t="n">
        <f aca="false">2/9</f>
        <v>0.222222222222222</v>
      </c>
    </row>
    <row collapsed="false" customFormat="false" customHeight="false" hidden="false" ht="14.75" outlineLevel="0" r="14">
      <c r="A14" s="1" t="s">
        <v>1936</v>
      </c>
      <c r="B14" s="1" t="s">
        <v>1931</v>
      </c>
      <c r="C14" s="1" t="s">
        <v>1932</v>
      </c>
      <c r="D14" s="1" t="n">
        <v>78.3</v>
      </c>
      <c r="E14" s="1" t="n">
        <v>6.2</v>
      </c>
      <c r="F14" s="1" t="n">
        <f aca="false">4/9</f>
        <v>0.444444444444444</v>
      </c>
    </row>
    <row collapsed="false" customFormat="false" customHeight="false" hidden="false" ht="14.75" outlineLevel="0" r="15">
      <c r="A15" s="1" t="s">
        <v>332</v>
      </c>
      <c r="B15" s="1" t="s">
        <v>1933</v>
      </c>
      <c r="C15" s="1" t="s">
        <v>1932</v>
      </c>
      <c r="D15" s="1" t="n">
        <v>210.5</v>
      </c>
      <c r="E15" s="1" t="n">
        <v>17.77</v>
      </c>
      <c r="F15" s="1" t="n">
        <v>2.36363636363636</v>
      </c>
    </row>
    <row collapsed="false" customFormat="false" customHeight="false" hidden="false" ht="14.75" outlineLevel="0" r="16">
      <c r="A16" s="1" t="s">
        <v>865</v>
      </c>
      <c r="B16" s="1" t="s">
        <v>1932</v>
      </c>
      <c r="C16" s="1" t="s">
        <v>1932</v>
      </c>
      <c r="D16" s="1" t="n">
        <v>431</v>
      </c>
      <c r="E16" s="1" t="n">
        <v>24.4444444444444</v>
      </c>
      <c r="F16" s="1" t="n">
        <v>6.5</v>
      </c>
    </row>
    <row collapsed="false" customFormat="false" customHeight="false" hidden="false" ht="14.75" outlineLevel="0" r="17">
      <c r="A17" s="1" t="s">
        <v>866</v>
      </c>
      <c r="B17" s="1" t="s">
        <v>1932</v>
      </c>
      <c r="C17" s="1" t="s">
        <v>1932</v>
      </c>
      <c r="D17" s="1" t="n">
        <v>98.1</v>
      </c>
      <c r="E17" s="1" t="n">
        <v>10.25</v>
      </c>
      <c r="F17" s="1" t="n">
        <v>0.5</v>
      </c>
    </row>
    <row collapsed="false" customFormat="false" customHeight="false" hidden="false" ht="14.75" outlineLevel="0" r="18">
      <c r="A18" s="1" t="s">
        <v>560</v>
      </c>
      <c r="B18" s="1" t="s">
        <v>1931</v>
      </c>
      <c r="C18" s="1" t="s">
        <v>1932</v>
      </c>
      <c r="D18" s="1" t="n">
        <v>48.8</v>
      </c>
      <c r="E18" s="1" t="n">
        <v>5.6</v>
      </c>
      <c r="F18" s="1" t="n">
        <f aca="false">6/8</f>
        <v>0.75</v>
      </c>
    </row>
    <row collapsed="false" customFormat="false" customHeight="false" hidden="false" ht="14.75" outlineLevel="0" r="19">
      <c r="A19" s="1" t="s">
        <v>691</v>
      </c>
      <c r="B19" s="1" t="s">
        <v>1933</v>
      </c>
      <c r="C19" s="1" t="s">
        <v>1932</v>
      </c>
      <c r="D19" s="1" t="n">
        <v>269.5</v>
      </c>
      <c r="E19" s="1" t="n">
        <v>16.91</v>
      </c>
      <c r="F19" s="1" t="n">
        <v>1.45454545454545</v>
      </c>
    </row>
    <row collapsed="false" customFormat="false" customHeight="false" hidden="false" ht="14.75" outlineLevel="0" r="20">
      <c r="A20" s="1" t="s">
        <v>692</v>
      </c>
      <c r="B20" s="1" t="s">
        <v>1933</v>
      </c>
      <c r="C20" s="1" t="s">
        <v>1932</v>
      </c>
      <c r="D20" s="1" t="n">
        <v>146.8</v>
      </c>
      <c r="E20" s="1" t="n">
        <v>14.04</v>
      </c>
      <c r="F20" s="1" t="n">
        <v>0.636363636363636</v>
      </c>
    </row>
    <row collapsed="false" customFormat="false" customHeight="false" hidden="false" ht="14.75" outlineLevel="0" r="21">
      <c r="A21" s="1" t="s">
        <v>693</v>
      </c>
      <c r="B21" s="1" t="s">
        <v>1933</v>
      </c>
      <c r="C21" s="1" t="s">
        <v>1932</v>
      </c>
      <c r="D21" s="1" t="n">
        <v>144.1</v>
      </c>
      <c r="E21" s="1" t="n">
        <v>13.64</v>
      </c>
      <c r="F21" s="1" t="n">
        <v>1.36363636363636</v>
      </c>
    </row>
    <row collapsed="false" customFormat="false" customHeight="false" hidden="false" ht="14.75" outlineLevel="0" r="22">
      <c r="A22" s="1" t="s">
        <v>561</v>
      </c>
      <c r="B22" s="1" t="s">
        <v>1932</v>
      </c>
      <c r="C22" s="1" t="s">
        <v>1932</v>
      </c>
      <c r="D22" s="1" t="n">
        <v>248.5</v>
      </c>
      <c r="E22" s="1" t="n">
        <v>18.2954545454545</v>
      </c>
      <c r="F22" s="1" t="n">
        <v>2.7</v>
      </c>
    </row>
    <row collapsed="false" customFormat="false" customHeight="false" hidden="false" ht="14.75" outlineLevel="0" r="23">
      <c r="A23" s="1" t="s">
        <v>1406</v>
      </c>
      <c r="B23" s="1" t="s">
        <v>1931</v>
      </c>
      <c r="C23" s="1" t="s">
        <v>1932</v>
      </c>
      <c r="D23" s="1" t="n">
        <v>247.8</v>
      </c>
      <c r="E23" s="1" t="n">
        <v>13.72</v>
      </c>
      <c r="F23" s="1" t="n">
        <f aca="false">16/9</f>
        <v>1.77777777777778</v>
      </c>
    </row>
    <row collapsed="false" customFormat="false" customHeight="false" hidden="false" ht="14.75" outlineLevel="0" r="24">
      <c r="A24" s="1" t="s">
        <v>1407</v>
      </c>
      <c r="B24" s="1" t="s">
        <v>1931</v>
      </c>
      <c r="C24" s="1" t="s">
        <v>1932</v>
      </c>
      <c r="D24" s="1" t="n">
        <v>168.3</v>
      </c>
      <c r="E24" s="1" t="n">
        <v>12.64</v>
      </c>
      <c r="F24" s="1" t="n">
        <f aca="false">8/9</f>
        <v>0.888888888888889</v>
      </c>
    </row>
    <row collapsed="false" customFormat="false" customHeight="false" hidden="false" ht="14.75" outlineLevel="0" r="25">
      <c r="A25" s="1" t="s">
        <v>339</v>
      </c>
      <c r="B25" s="1" t="s">
        <v>1931</v>
      </c>
      <c r="C25" s="1" t="s">
        <v>1932</v>
      </c>
      <c r="D25" s="1" t="n">
        <v>414</v>
      </c>
      <c r="E25" s="1" t="n">
        <v>19.42</v>
      </c>
      <c r="F25" s="1" t="n">
        <f aca="false">40/11</f>
        <v>3.63636363636364</v>
      </c>
    </row>
    <row collapsed="false" customFormat="false" customHeight="false" hidden="false" ht="14.75" outlineLevel="0" r="26">
      <c r="A26" s="1" t="s">
        <v>564</v>
      </c>
      <c r="B26" s="1" t="s">
        <v>1931</v>
      </c>
      <c r="C26" s="1" t="s">
        <v>1932</v>
      </c>
      <c r="D26" s="1" t="n">
        <v>218.9</v>
      </c>
      <c r="E26" s="1" t="n">
        <v>13.26</v>
      </c>
      <c r="F26" s="1" t="n">
        <v>1.4</v>
      </c>
    </row>
    <row collapsed="false" customFormat="false" customHeight="false" hidden="false" ht="14.75" outlineLevel="0" r="27">
      <c r="A27" s="1" t="s">
        <v>1937</v>
      </c>
      <c r="B27" s="1" t="s">
        <v>1931</v>
      </c>
      <c r="C27" s="1" t="s">
        <v>1932</v>
      </c>
      <c r="D27" s="1" t="n">
        <v>167.2</v>
      </c>
      <c r="E27" s="1" t="n">
        <v>11.48</v>
      </c>
      <c r="F27" s="1" t="n">
        <f aca="false">6/9</f>
        <v>0.666666666666667</v>
      </c>
    </row>
    <row collapsed="false" customFormat="false" customHeight="false" hidden="false" ht="14.75" outlineLevel="0" r="28">
      <c r="A28" s="1" t="s">
        <v>340</v>
      </c>
      <c r="B28" s="1" t="s">
        <v>1931</v>
      </c>
      <c r="C28" s="1" t="s">
        <v>1932</v>
      </c>
      <c r="D28" s="1" t="n">
        <v>178.3</v>
      </c>
      <c r="E28" s="1" t="n">
        <v>11.18</v>
      </c>
      <c r="F28" s="1" t="n">
        <f aca="false">11/9</f>
        <v>1.22222222222222</v>
      </c>
    </row>
    <row collapsed="false" customFormat="false" customHeight="false" hidden="false" ht="14.75" outlineLevel="0" r="29">
      <c r="A29" s="1" t="s">
        <v>341</v>
      </c>
      <c r="B29" s="1" t="s">
        <v>1931</v>
      </c>
      <c r="C29" s="1" t="s">
        <v>1932</v>
      </c>
      <c r="D29" s="1" t="n">
        <v>213.3</v>
      </c>
      <c r="E29" s="1" t="n">
        <v>13.25</v>
      </c>
      <c r="F29" s="1" t="n">
        <f aca="false">10/9</f>
        <v>1.11111111111111</v>
      </c>
    </row>
    <row collapsed="false" customFormat="false" customHeight="false" hidden="false" ht="14.75" outlineLevel="0" r="30">
      <c r="A30" s="1" t="s">
        <v>142</v>
      </c>
      <c r="B30" s="1" t="s">
        <v>1932</v>
      </c>
      <c r="C30" s="1" t="s">
        <v>1932</v>
      </c>
      <c r="D30" s="1" t="n">
        <v>96.4285714285714</v>
      </c>
      <c r="E30" s="1" t="n">
        <v>10.9090909090909</v>
      </c>
      <c r="F30" s="1" t="n">
        <v>0.571428571428571</v>
      </c>
    </row>
    <row collapsed="false" customFormat="false" customHeight="false" hidden="false" ht="14.75" outlineLevel="0" r="31">
      <c r="A31" s="1" t="s">
        <v>1938</v>
      </c>
      <c r="B31" s="1" t="s">
        <v>1932</v>
      </c>
      <c r="C31" s="1" t="s">
        <v>1932</v>
      </c>
      <c r="D31" s="1" t="n">
        <v>76.6666666666667</v>
      </c>
      <c r="E31" s="1" t="n">
        <v>6.2962962962963</v>
      </c>
      <c r="F31" s="1" t="n">
        <v>0.666666666666667</v>
      </c>
    </row>
    <row collapsed="false" customFormat="false" customHeight="false" hidden="false" ht="14.75" outlineLevel="0" r="32">
      <c r="A32" s="1" t="s">
        <v>16</v>
      </c>
      <c r="B32" s="1" t="s">
        <v>1933</v>
      </c>
      <c r="C32" s="1" t="s">
        <v>1932</v>
      </c>
      <c r="D32" s="1" t="n">
        <v>547.7</v>
      </c>
      <c r="E32" s="1" t="n">
        <v>26.6</v>
      </c>
      <c r="F32" s="1" t="n">
        <v>10.1818181818182</v>
      </c>
    </row>
    <row collapsed="false" customFormat="false" customHeight="false" hidden="false" ht="14.75" outlineLevel="0" r="33">
      <c r="A33" s="1" t="s">
        <v>889</v>
      </c>
      <c r="B33" s="1" t="s">
        <v>1931</v>
      </c>
      <c r="C33" s="1" t="s">
        <v>1932</v>
      </c>
      <c r="D33" s="1" t="n">
        <v>207.8</v>
      </c>
      <c r="E33" s="1" t="n">
        <v>13.17</v>
      </c>
      <c r="F33" s="1" t="n">
        <f aca="false">10/9</f>
        <v>1.11111111111111</v>
      </c>
    </row>
    <row collapsed="false" customFormat="false" customHeight="false" hidden="false" ht="14.75" outlineLevel="0" r="34">
      <c r="A34" s="1" t="s">
        <v>1939</v>
      </c>
      <c r="B34" s="1" t="s">
        <v>1931</v>
      </c>
      <c r="C34" s="1" t="s">
        <v>1932</v>
      </c>
      <c r="D34" s="1" t="n">
        <v>286.7</v>
      </c>
      <c r="E34" s="1" t="n">
        <v>15.5</v>
      </c>
      <c r="F34" s="1" t="n">
        <f aca="false">16/11</f>
        <v>1.45454545454545</v>
      </c>
    </row>
    <row collapsed="false" customFormat="false" customHeight="false" hidden="false" ht="14.75" outlineLevel="0" r="35">
      <c r="A35" s="1" t="s">
        <v>1940</v>
      </c>
      <c r="B35" s="1" t="s">
        <v>1931</v>
      </c>
      <c r="C35" s="1" t="s">
        <v>1932</v>
      </c>
      <c r="D35" s="1" t="n">
        <v>178.3</v>
      </c>
      <c r="E35" s="1" t="n">
        <v>12.96</v>
      </c>
      <c r="F35" s="1" t="n">
        <v>1</v>
      </c>
    </row>
    <row collapsed="false" customFormat="false" customHeight="false" hidden="false" ht="14.75" outlineLevel="0" r="36">
      <c r="A36" s="1" t="s">
        <v>146</v>
      </c>
      <c r="B36" s="1" t="s">
        <v>1933</v>
      </c>
      <c r="C36" s="1" t="s">
        <v>1932</v>
      </c>
      <c r="D36" s="1" t="n">
        <v>410.5</v>
      </c>
      <c r="E36" s="1" t="n">
        <v>23.49</v>
      </c>
      <c r="F36" s="1" t="n">
        <v>5.27272727272727</v>
      </c>
    </row>
    <row collapsed="false" customFormat="false" customHeight="false" hidden="false" ht="14.75" outlineLevel="0" r="37">
      <c r="A37" s="1" t="s">
        <v>1941</v>
      </c>
      <c r="B37" s="1" t="s">
        <v>1932</v>
      </c>
      <c r="C37" s="1" t="s">
        <v>1932</v>
      </c>
      <c r="D37" s="1" t="n">
        <v>216.644444444444</v>
      </c>
      <c r="E37" s="1" t="n">
        <v>16.2666666666667</v>
      </c>
      <c r="F37" s="1" t="n">
        <v>1.11111111111111</v>
      </c>
    </row>
    <row collapsed="false" customFormat="false" customHeight="false" hidden="false" ht="14.75" outlineLevel="0" r="38">
      <c r="A38" s="1" t="s">
        <v>1942</v>
      </c>
      <c r="B38" s="1" t="s">
        <v>1932</v>
      </c>
      <c r="C38" s="1" t="s">
        <v>1932</v>
      </c>
      <c r="D38" s="1" t="n">
        <v>99</v>
      </c>
      <c r="E38" s="1" t="n">
        <v>10.9782608695652</v>
      </c>
      <c r="F38" s="1" t="n">
        <v>1.1</v>
      </c>
    </row>
    <row collapsed="false" customFormat="false" customHeight="false" hidden="false" ht="14.75" outlineLevel="0" r="39">
      <c r="A39" s="1" t="s">
        <v>19</v>
      </c>
      <c r="B39" s="1" t="s">
        <v>1933</v>
      </c>
      <c r="C39" s="1" t="s">
        <v>1932</v>
      </c>
      <c r="D39" s="1" t="n">
        <v>490</v>
      </c>
      <c r="E39" s="1" t="n">
        <v>25.42</v>
      </c>
      <c r="F39" s="1" t="n">
        <v>7.90909090909091</v>
      </c>
    </row>
    <row collapsed="false" customFormat="false" customHeight="false" hidden="false" ht="14.75" outlineLevel="0" r="40">
      <c r="A40" s="1" t="s">
        <v>20</v>
      </c>
      <c r="B40" s="1" t="s">
        <v>1933</v>
      </c>
      <c r="C40" s="1" t="s">
        <v>1932</v>
      </c>
      <c r="D40" s="1" t="n">
        <v>280.9</v>
      </c>
      <c r="E40" s="1" t="n">
        <v>18.64</v>
      </c>
      <c r="F40" s="1" t="n">
        <v>3.18181818181818</v>
      </c>
    </row>
    <row collapsed="false" customFormat="false" customHeight="false" hidden="false" ht="14.75" outlineLevel="0" r="41">
      <c r="A41" s="1" t="s">
        <v>1943</v>
      </c>
      <c r="B41" s="1" t="s">
        <v>1932</v>
      </c>
      <c r="C41" s="1" t="s">
        <v>1932</v>
      </c>
      <c r="D41" s="1" t="n">
        <v>322.244444444444</v>
      </c>
      <c r="E41" s="1" t="n">
        <v>18.8144329896907</v>
      </c>
      <c r="F41" s="1" t="n">
        <v>4.22222222222222</v>
      </c>
    </row>
    <row collapsed="false" customFormat="false" customHeight="false" hidden="false" ht="14.75" outlineLevel="0" r="42">
      <c r="A42" s="1" t="s">
        <v>1944</v>
      </c>
      <c r="B42" s="1" t="s">
        <v>1931</v>
      </c>
      <c r="C42" s="1" t="s">
        <v>1932</v>
      </c>
      <c r="D42" s="1" t="n">
        <v>93.3</v>
      </c>
      <c r="E42" s="1" t="n">
        <v>11.07</v>
      </c>
      <c r="F42" s="1" t="n">
        <f aca="false">2/6</f>
        <v>0.333333333333333</v>
      </c>
    </row>
    <row collapsed="false" customFormat="false" customHeight="false" hidden="false" ht="14.75" outlineLevel="0" r="43">
      <c r="A43" s="1" t="s">
        <v>1945</v>
      </c>
      <c r="B43" s="1" t="s">
        <v>1931</v>
      </c>
      <c r="C43" s="1" t="s">
        <v>1932</v>
      </c>
      <c r="D43" s="1" t="n">
        <v>105.8</v>
      </c>
      <c r="E43" s="1" t="n">
        <v>12</v>
      </c>
      <c r="F43" s="1" t="n">
        <f aca="false">2/6</f>
        <v>0.333333333333333</v>
      </c>
    </row>
    <row collapsed="false" customFormat="false" customHeight="false" hidden="false" ht="14.75" outlineLevel="0" r="44">
      <c r="A44" s="1" t="s">
        <v>1946</v>
      </c>
      <c r="B44" s="1" t="s">
        <v>1931</v>
      </c>
      <c r="C44" s="1" t="s">
        <v>1932</v>
      </c>
      <c r="D44" s="1" t="n">
        <v>43.3</v>
      </c>
      <c r="E44" s="1" t="n">
        <v>5.88</v>
      </c>
      <c r="F44" s="1" t="n">
        <v>0</v>
      </c>
    </row>
    <row collapsed="false" customFormat="false" customHeight="false" hidden="false" ht="14.75" outlineLevel="0" r="45">
      <c r="A45" s="1" t="s">
        <v>1947</v>
      </c>
      <c r="B45" s="1" t="s">
        <v>1931</v>
      </c>
      <c r="C45" s="1" t="s">
        <v>1932</v>
      </c>
      <c r="D45" s="1" t="n">
        <v>36.1</v>
      </c>
      <c r="E45" s="1" t="n">
        <v>5.45</v>
      </c>
      <c r="F45" s="1" t="n">
        <v>0</v>
      </c>
    </row>
    <row collapsed="false" customFormat="false" customHeight="false" hidden="false" ht="14.75" outlineLevel="0" r="46">
      <c r="A46" s="1" t="s">
        <v>1948</v>
      </c>
      <c r="B46" s="1" t="s">
        <v>1931</v>
      </c>
      <c r="C46" s="1" t="s">
        <v>1932</v>
      </c>
      <c r="D46" s="1" t="n">
        <v>50.8</v>
      </c>
      <c r="E46" s="1" t="n">
        <v>4.35</v>
      </c>
      <c r="F46" s="1" t="n">
        <f aca="false">1/6</f>
        <v>0.166666666666667</v>
      </c>
    </row>
    <row collapsed="false" customFormat="false" customHeight="false" hidden="false" ht="14.75" outlineLevel="0" r="47">
      <c r="A47" s="1" t="s">
        <v>163</v>
      </c>
      <c r="B47" s="1" t="s">
        <v>1933</v>
      </c>
      <c r="C47" s="1" t="s">
        <v>1932</v>
      </c>
      <c r="D47" s="1" t="n">
        <v>346.8</v>
      </c>
      <c r="E47" s="1" t="n">
        <v>23.2</v>
      </c>
      <c r="F47" s="1" t="n">
        <v>4</v>
      </c>
    </row>
    <row collapsed="false" customFormat="false" customHeight="false" hidden="false" ht="14.75" outlineLevel="0" r="48">
      <c r="A48" s="1" t="s">
        <v>1949</v>
      </c>
      <c r="B48" s="1" t="s">
        <v>1933</v>
      </c>
      <c r="C48" s="1" t="s">
        <v>1932</v>
      </c>
      <c r="D48" s="1" t="n">
        <v>83.6</v>
      </c>
      <c r="E48" s="1" t="n">
        <v>8.14</v>
      </c>
      <c r="F48" s="1" t="n">
        <v>0.636363636363636</v>
      </c>
    </row>
    <row collapsed="false" customFormat="false" customHeight="false" hidden="false" ht="14.75" outlineLevel="0" r="49">
      <c r="A49" s="1" t="s">
        <v>920</v>
      </c>
      <c r="B49" s="1" t="s">
        <v>1931</v>
      </c>
      <c r="C49" s="1" t="s">
        <v>1932</v>
      </c>
      <c r="D49" s="1" t="n">
        <v>84.4</v>
      </c>
      <c r="E49" s="1" t="n">
        <v>9.19</v>
      </c>
      <c r="F49" s="1" t="n">
        <f aca="false">1/8</f>
        <v>0.125</v>
      </c>
    </row>
    <row collapsed="false" customFormat="false" customHeight="false" hidden="false" ht="14.75" outlineLevel="0" r="50">
      <c r="A50" s="1" t="s">
        <v>169</v>
      </c>
      <c r="B50" s="1" t="s">
        <v>1931</v>
      </c>
      <c r="C50" s="1" t="s">
        <v>1932</v>
      </c>
      <c r="D50" s="1" t="n">
        <v>278.2</v>
      </c>
      <c r="E50" s="1" t="n">
        <v>15.04</v>
      </c>
      <c r="F50" s="1" t="n">
        <f aca="false">16/11</f>
        <v>1.45454545454545</v>
      </c>
    </row>
    <row collapsed="false" customFormat="false" customHeight="false" hidden="false" ht="14.75" outlineLevel="0" r="51">
      <c r="A51" s="1" t="s">
        <v>667</v>
      </c>
      <c r="B51" s="1" t="s">
        <v>1932</v>
      </c>
      <c r="C51" s="1" t="s">
        <v>1932</v>
      </c>
      <c r="D51" s="1" t="n">
        <v>359.5</v>
      </c>
      <c r="E51" s="1" t="n">
        <v>23.7864077669903</v>
      </c>
      <c r="F51" s="1" t="n">
        <v>5</v>
      </c>
    </row>
    <row collapsed="false" customFormat="false" customHeight="false" hidden="false" ht="14.75" outlineLevel="0" r="52">
      <c r="A52" s="1" t="s">
        <v>171</v>
      </c>
      <c r="B52" s="1" t="s">
        <v>1932</v>
      </c>
      <c r="C52" s="1" t="s">
        <v>1932</v>
      </c>
      <c r="D52" s="1" t="n">
        <v>219.444444444444</v>
      </c>
      <c r="E52" s="1" t="n">
        <v>15.1948051948052</v>
      </c>
      <c r="F52" s="1" t="n">
        <v>2.11111111111111</v>
      </c>
    </row>
    <row collapsed="false" customFormat="false" customHeight="false" hidden="false" ht="14.75" outlineLevel="0" r="53">
      <c r="A53" s="1" t="s">
        <v>391</v>
      </c>
      <c r="B53" s="1" t="s">
        <v>1933</v>
      </c>
      <c r="C53" s="1" t="s">
        <v>1932</v>
      </c>
      <c r="D53" s="1" t="n">
        <v>415.9</v>
      </c>
      <c r="E53" s="1" t="n">
        <v>23.06</v>
      </c>
      <c r="F53" s="1" t="n">
        <v>4.45454545454545</v>
      </c>
    </row>
    <row collapsed="false" customFormat="false" customHeight="false" hidden="false" ht="14.75" outlineLevel="0" r="54">
      <c r="A54" s="1" t="s">
        <v>392</v>
      </c>
      <c r="B54" s="1" t="s">
        <v>1933</v>
      </c>
      <c r="C54" s="1" t="s">
        <v>1932</v>
      </c>
      <c r="D54" s="1" t="n">
        <v>243.2</v>
      </c>
      <c r="E54" s="1" t="n">
        <v>16.24</v>
      </c>
      <c r="F54" s="1" t="n">
        <v>2.18181818181818</v>
      </c>
    </row>
    <row collapsed="false" customFormat="false" customHeight="false" hidden="false" ht="14.75" outlineLevel="0" r="55">
      <c r="A55" s="1" t="s">
        <v>604</v>
      </c>
      <c r="B55" s="1" t="s">
        <v>1933</v>
      </c>
      <c r="C55" s="1" t="s">
        <v>1932</v>
      </c>
      <c r="D55" s="1" t="n">
        <v>504.1</v>
      </c>
      <c r="E55" s="1" t="n">
        <v>26.76</v>
      </c>
      <c r="F55" s="1" t="n">
        <v>8.18181818181818</v>
      </c>
    </row>
    <row collapsed="false" customFormat="false" customHeight="false" hidden="false" ht="14.75" outlineLevel="0" r="56">
      <c r="A56" s="1" t="s">
        <v>1298</v>
      </c>
      <c r="B56" s="1" t="s">
        <v>1933</v>
      </c>
      <c r="C56" s="1" t="s">
        <v>1932</v>
      </c>
      <c r="D56" s="1" t="n">
        <v>185.9</v>
      </c>
      <c r="E56" s="1" t="n">
        <v>13.11</v>
      </c>
      <c r="F56" s="1" t="n">
        <v>1.18181818181818</v>
      </c>
    </row>
    <row collapsed="false" customFormat="false" customHeight="false" hidden="false" ht="14.75" outlineLevel="0" r="57">
      <c r="A57" s="1" t="s">
        <v>395</v>
      </c>
      <c r="B57" s="1" t="s">
        <v>1931</v>
      </c>
      <c r="C57" s="1" t="s">
        <v>1932</v>
      </c>
      <c r="D57" s="1" t="n">
        <v>58.9</v>
      </c>
      <c r="E57" s="1" t="n">
        <v>8</v>
      </c>
      <c r="F57" s="1" t="n">
        <f aca="false">2/9</f>
        <v>0.222222222222222</v>
      </c>
    </row>
    <row collapsed="false" customFormat="false" customHeight="false" hidden="false" ht="14.75" outlineLevel="0" r="58">
      <c r="A58" s="1" t="s">
        <v>396</v>
      </c>
      <c r="B58" s="1" t="s">
        <v>1933</v>
      </c>
      <c r="C58" s="1" t="s">
        <v>1932</v>
      </c>
      <c r="D58" s="1" t="n">
        <v>269.5</v>
      </c>
      <c r="E58" s="1" t="n">
        <v>18.48</v>
      </c>
      <c r="F58" s="1" t="n">
        <v>2.09090909090909</v>
      </c>
    </row>
    <row collapsed="false" customFormat="false" customHeight="false" hidden="false" ht="14.75" outlineLevel="0" r="59">
      <c r="A59" s="1" t="s">
        <v>28</v>
      </c>
      <c r="B59" s="1" t="s">
        <v>1932</v>
      </c>
      <c r="C59" s="1" t="s">
        <v>1932</v>
      </c>
      <c r="D59" s="1" t="n">
        <v>478.154545454546</v>
      </c>
      <c r="E59" s="1" t="n">
        <v>25.354609929078</v>
      </c>
      <c r="F59" s="1" t="n">
        <v>6.54545454545455</v>
      </c>
    </row>
    <row collapsed="false" customFormat="false" customHeight="false" hidden="false" ht="14.75" outlineLevel="0" r="60">
      <c r="A60" s="1" t="s">
        <v>1314</v>
      </c>
      <c r="B60" s="1" t="s">
        <v>1933</v>
      </c>
      <c r="C60" s="1" t="s">
        <v>1932</v>
      </c>
      <c r="D60" s="1" t="n">
        <v>239.5</v>
      </c>
      <c r="E60" s="1" t="n">
        <v>17.4</v>
      </c>
      <c r="F60" s="1" t="n">
        <v>1.63636363636364</v>
      </c>
    </row>
    <row collapsed="false" customFormat="false" customHeight="false" hidden="false" ht="14.75" outlineLevel="0" r="61">
      <c r="A61" s="1" t="s">
        <v>1315</v>
      </c>
      <c r="B61" s="1" t="s">
        <v>1933</v>
      </c>
      <c r="C61" s="1" t="s">
        <v>1932</v>
      </c>
      <c r="D61" s="1" t="n">
        <v>86.8</v>
      </c>
      <c r="E61" s="1" t="n">
        <v>7.86</v>
      </c>
      <c r="F61" s="1" t="n">
        <v>0.363636363636364</v>
      </c>
    </row>
    <row collapsed="false" customFormat="false" customHeight="false" hidden="false" ht="14.75" outlineLevel="0" r="62">
      <c r="A62" s="1" t="s">
        <v>961</v>
      </c>
      <c r="B62" s="1" t="s">
        <v>1932</v>
      </c>
      <c r="C62" s="1" t="s">
        <v>1932</v>
      </c>
      <c r="D62" s="1" t="n">
        <v>358</v>
      </c>
      <c r="E62" s="1" t="n">
        <v>23.7745098039216</v>
      </c>
      <c r="F62" s="1" t="n">
        <v>4.9</v>
      </c>
    </row>
    <row collapsed="false" customFormat="false" customHeight="false" hidden="false" ht="14.75" outlineLevel="0" r="63">
      <c r="A63" s="1" t="s">
        <v>400</v>
      </c>
      <c r="B63" s="1" t="s">
        <v>1932</v>
      </c>
      <c r="C63" s="1" t="s">
        <v>1932</v>
      </c>
      <c r="D63" s="1" t="n">
        <v>283.355555555556</v>
      </c>
      <c r="E63" s="1" t="n">
        <v>18.4444444444444</v>
      </c>
      <c r="F63" s="1" t="n">
        <v>2.44444444444444</v>
      </c>
    </row>
    <row collapsed="false" customFormat="false" customHeight="false" hidden="false" ht="14.75" outlineLevel="0" r="64">
      <c r="A64" s="1" t="s">
        <v>401</v>
      </c>
      <c r="B64" s="1" t="s">
        <v>1932</v>
      </c>
      <c r="C64" s="1" t="s">
        <v>1932</v>
      </c>
      <c r="D64" s="1" t="n">
        <v>228.5</v>
      </c>
      <c r="E64" s="1" t="n">
        <v>17.5903614457831</v>
      </c>
      <c r="F64" s="1" t="n">
        <v>2.1</v>
      </c>
    </row>
    <row collapsed="false" customFormat="false" customHeight="false" hidden="false" ht="14.75" outlineLevel="0" r="65">
      <c r="A65" s="1" t="s">
        <v>1950</v>
      </c>
      <c r="B65" s="1" t="s">
        <v>1933</v>
      </c>
      <c r="C65" s="1" t="s">
        <v>1932</v>
      </c>
      <c r="D65" s="1" t="n">
        <v>338.2</v>
      </c>
      <c r="E65" s="1" t="n">
        <v>23.36</v>
      </c>
      <c r="F65" s="1" t="n">
        <v>4</v>
      </c>
    </row>
    <row collapsed="false" customFormat="false" customHeight="false" hidden="false" ht="14.75" outlineLevel="0" r="66">
      <c r="A66" s="1" t="s">
        <v>409</v>
      </c>
      <c r="B66" s="1" t="s">
        <v>1931</v>
      </c>
      <c r="C66" s="1" t="s">
        <v>1932</v>
      </c>
      <c r="D66" s="1" t="n">
        <v>163.3</v>
      </c>
      <c r="E66" s="1" t="n">
        <v>10.47</v>
      </c>
      <c r="F66" s="1" t="n">
        <f aca="false">5/9</f>
        <v>0.555555555555556</v>
      </c>
    </row>
    <row collapsed="false" customFormat="false" customHeight="false" hidden="false" ht="14.75" outlineLevel="0" r="67">
      <c r="A67" s="1" t="s">
        <v>1951</v>
      </c>
      <c r="B67" s="1" t="s">
        <v>1931</v>
      </c>
      <c r="C67" s="1" t="s">
        <v>1932</v>
      </c>
      <c r="D67" s="1" t="n">
        <v>153.3</v>
      </c>
      <c r="E67" s="1" t="n">
        <v>10.91</v>
      </c>
      <c r="F67" s="1" t="n">
        <f aca="false">6/9</f>
        <v>0.666666666666667</v>
      </c>
    </row>
    <row collapsed="false" customFormat="false" customHeight="false" hidden="false" ht="14.75" outlineLevel="0" r="68">
      <c r="A68" s="1" t="s">
        <v>1952</v>
      </c>
      <c r="B68" s="1" t="s">
        <v>1931</v>
      </c>
      <c r="C68" s="1" t="s">
        <v>1932</v>
      </c>
      <c r="D68" s="1" t="n">
        <v>104.4</v>
      </c>
      <c r="E68" s="1" t="n">
        <v>9.02</v>
      </c>
      <c r="F68" s="1" t="n">
        <f aca="false">3/9</f>
        <v>0.333333333333333</v>
      </c>
    </row>
    <row collapsed="false" customFormat="false" customHeight="false" hidden="false" ht="14.75" outlineLevel="0" r="69">
      <c r="A69" s="1" t="s">
        <v>1953</v>
      </c>
      <c r="B69" s="1" t="s">
        <v>1931</v>
      </c>
      <c r="C69" s="1" t="s">
        <v>1932</v>
      </c>
      <c r="D69" s="1" t="n">
        <v>111.7</v>
      </c>
      <c r="E69" s="1" t="n">
        <v>9.62</v>
      </c>
      <c r="F69" s="1" t="n">
        <f aca="false">5/9</f>
        <v>0.555555555555556</v>
      </c>
    </row>
    <row collapsed="false" customFormat="false" customHeight="false" hidden="false" ht="14.75" outlineLevel="0" r="70">
      <c r="A70" s="1" t="s">
        <v>190</v>
      </c>
      <c r="B70" s="1" t="s">
        <v>1933</v>
      </c>
      <c r="C70" s="1" t="s">
        <v>1932</v>
      </c>
      <c r="D70" s="1" t="n">
        <v>197.7</v>
      </c>
      <c r="E70" s="1" t="n">
        <v>15.71</v>
      </c>
      <c r="F70" s="1" t="n">
        <v>1.54545454545455</v>
      </c>
    </row>
    <row collapsed="false" customFormat="false" customHeight="false" hidden="false" ht="14.75" outlineLevel="0" r="71">
      <c r="A71" s="1" t="s">
        <v>191</v>
      </c>
      <c r="B71" s="1" t="s">
        <v>1933</v>
      </c>
      <c r="C71" s="1" t="s">
        <v>1932</v>
      </c>
      <c r="D71" s="1" t="n">
        <v>121.8</v>
      </c>
      <c r="E71" s="1" t="n">
        <v>10.31</v>
      </c>
      <c r="F71" s="1" t="n">
        <v>1.27272727272727</v>
      </c>
    </row>
    <row collapsed="false" customFormat="false" customHeight="false" hidden="false" ht="14.75" outlineLevel="0" r="72">
      <c r="A72" s="1" t="s">
        <v>986</v>
      </c>
      <c r="B72" s="1" t="s">
        <v>1932</v>
      </c>
      <c r="C72" s="1" t="s">
        <v>1932</v>
      </c>
      <c r="D72" s="1" t="n">
        <v>358.333333333333</v>
      </c>
      <c r="E72" s="1" t="n">
        <v>23.1720430107527</v>
      </c>
      <c r="F72" s="1" t="n">
        <v>5.11111111111111</v>
      </c>
    </row>
    <row collapsed="false" customFormat="false" customHeight="false" hidden="false" ht="14.75" outlineLevel="0" r="73">
      <c r="A73" s="1" t="s">
        <v>1894</v>
      </c>
      <c r="B73" s="1" t="s">
        <v>1933</v>
      </c>
      <c r="C73" s="1" t="s">
        <v>1932</v>
      </c>
      <c r="D73" s="1" t="n">
        <v>122.3</v>
      </c>
      <c r="E73" s="1" t="n">
        <v>11.95</v>
      </c>
      <c r="F73" s="1" t="n">
        <v>0.272727272727273</v>
      </c>
    </row>
    <row collapsed="false" customFormat="false" customHeight="false" hidden="false" ht="14.75" outlineLevel="0" r="74">
      <c r="A74" s="1" t="s">
        <v>1895</v>
      </c>
      <c r="B74" s="1" t="s">
        <v>1933</v>
      </c>
      <c r="C74" s="1" t="s">
        <v>1932</v>
      </c>
      <c r="D74" s="1" t="n">
        <v>39.1</v>
      </c>
      <c r="E74" s="1" t="n">
        <v>5</v>
      </c>
      <c r="F74" s="1" t="n">
        <v>0.0909090909090909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blackAndWhite="false" cellComments="none" copies="1" draft="false" firstPageNumber="0" fitToHeight="1" fitToWidth="1" horizontalDpi="300" orientation="portrait" pageOrder="downThenOver" paperSize="1" scale="100" useFirstPageNumber="false" usePrinterDefaults="false" verticalDpi="300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3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85" zoomScaleNormal="85" zoomScalePageLayoutView="100">
      <selection activeCell="A14" activeCellId="0" pane="topLeft" sqref="A14"/>
    </sheetView>
  </sheetViews>
  <cols>
    <col collapsed="false" hidden="false" max="1" min="1" style="1" width="25.3882352941176"/>
    <col collapsed="false" hidden="false" max="2" min="2" style="1" width="16.2705882352941"/>
    <col collapsed="false" hidden="false" max="3" min="3" style="1" width="8.62745098039216"/>
    <col collapsed="false" hidden="false" max="6" min="4" style="1" width="14.1647058823529"/>
    <col collapsed="false" hidden="false" max="1025" min="7" style="0" width="8.5921568627451"/>
  </cols>
  <sheetData>
    <row collapsed="false" customFormat="false" customHeight="false" hidden="false" ht="14.75" outlineLevel="0"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collapsed="false" customFormat="false" customHeight="false" hidden="false" ht="14.75" outlineLevel="0" r="2">
      <c r="A2" s="1" t="s">
        <v>1954</v>
      </c>
      <c r="B2" s="1" t="s">
        <v>1955</v>
      </c>
      <c r="C2" s="1" t="s">
        <v>1955</v>
      </c>
      <c r="D2" s="1" t="n">
        <v>414.5</v>
      </c>
      <c r="E2" s="1" t="n">
        <v>20.89</v>
      </c>
      <c r="F2" s="1" t="n">
        <v>3.8</v>
      </c>
    </row>
    <row collapsed="false" customFormat="false" customHeight="false" hidden="false" ht="14.75" outlineLevel="0" r="3">
      <c r="A3" s="1" t="s">
        <v>1956</v>
      </c>
      <c r="B3" s="1" t="s">
        <v>1955</v>
      </c>
      <c r="C3" s="1" t="s">
        <v>1955</v>
      </c>
      <c r="D3" s="1" t="n">
        <v>336</v>
      </c>
      <c r="E3" s="1" t="n">
        <v>19.9</v>
      </c>
      <c r="F3" s="1" t="n">
        <v>2.3</v>
      </c>
    </row>
    <row collapsed="false" customFormat="false" customHeight="false" hidden="false" ht="14.75" outlineLevel="0" r="4">
      <c r="A4" s="1" t="s">
        <v>336</v>
      </c>
      <c r="B4" s="1" t="s">
        <v>1955</v>
      </c>
      <c r="C4" s="1" t="s">
        <v>1955</v>
      </c>
      <c r="D4" s="1" t="n">
        <v>125</v>
      </c>
      <c r="E4" s="1" t="n">
        <v>12.61</v>
      </c>
      <c r="F4" s="1" t="n">
        <v>1</v>
      </c>
    </row>
    <row collapsed="false" customFormat="false" customHeight="false" hidden="false" ht="14.75" outlineLevel="0" r="5">
      <c r="A5" s="1" t="s">
        <v>344</v>
      </c>
      <c r="B5" s="1" t="s">
        <v>1955</v>
      </c>
      <c r="C5" s="1" t="s">
        <v>1955</v>
      </c>
      <c r="D5" s="1" t="n">
        <v>354.5</v>
      </c>
      <c r="E5" s="1" t="n">
        <v>21.27</v>
      </c>
      <c r="F5" s="1" t="n">
        <v>3.5</v>
      </c>
    </row>
    <row collapsed="false" customFormat="false" customHeight="false" hidden="false" ht="14.75" outlineLevel="0" r="6">
      <c r="A6" s="1" t="s">
        <v>466</v>
      </c>
      <c r="B6" s="1" t="s">
        <v>1955</v>
      </c>
      <c r="C6" s="1" t="s">
        <v>1955</v>
      </c>
      <c r="D6" s="1" t="n">
        <v>133.9</v>
      </c>
      <c r="E6" s="1" t="n">
        <v>11.88</v>
      </c>
      <c r="F6" s="1" t="n">
        <f aca="false">6/9</f>
        <v>0.666666666666667</v>
      </c>
    </row>
    <row collapsed="false" customFormat="false" customHeight="false" hidden="false" ht="14.75" outlineLevel="0" r="7">
      <c r="A7" s="1" t="s">
        <v>19</v>
      </c>
      <c r="B7" s="1" t="s">
        <v>1955</v>
      </c>
      <c r="C7" s="1" t="s">
        <v>1955</v>
      </c>
      <c r="D7" s="1" t="n">
        <v>538.5</v>
      </c>
      <c r="E7" s="1" t="n">
        <v>25.07</v>
      </c>
      <c r="F7" s="1" t="n">
        <v>7</v>
      </c>
    </row>
    <row collapsed="false" customFormat="false" customHeight="false" hidden="false" ht="14.75" outlineLevel="0" r="8">
      <c r="A8" s="1" t="s">
        <v>20</v>
      </c>
      <c r="B8" s="1" t="s">
        <v>1955</v>
      </c>
      <c r="C8" s="1" t="s">
        <v>1955</v>
      </c>
      <c r="D8" s="1" t="n">
        <v>275</v>
      </c>
      <c r="E8" s="1" t="n">
        <v>18.48</v>
      </c>
      <c r="F8" s="1" t="n">
        <v>1.6</v>
      </c>
    </row>
    <row collapsed="false" customFormat="false" customHeight="false" hidden="false" ht="14.75" outlineLevel="0" r="9">
      <c r="A9" s="1" t="s">
        <v>21</v>
      </c>
      <c r="B9" s="1" t="s">
        <v>1955</v>
      </c>
      <c r="C9" s="1" t="s">
        <v>1955</v>
      </c>
      <c r="D9" s="1" t="n">
        <v>406.5</v>
      </c>
      <c r="E9" s="1" t="n">
        <v>20.58</v>
      </c>
      <c r="F9" s="1" t="n">
        <v>2.2</v>
      </c>
    </row>
    <row collapsed="false" customFormat="false" customHeight="false" hidden="false" ht="14.75" outlineLevel="0" r="10">
      <c r="A10" s="1" t="s">
        <v>585</v>
      </c>
      <c r="B10" s="1" t="s">
        <v>1955</v>
      </c>
      <c r="C10" s="1" t="s">
        <v>1955</v>
      </c>
      <c r="D10" s="1" t="n">
        <v>150.7</v>
      </c>
      <c r="E10" s="1" t="n">
        <v>14.1</v>
      </c>
      <c r="F10" s="1" t="n">
        <f aca="false">3/7</f>
        <v>0.428571428571429</v>
      </c>
    </row>
    <row collapsed="false" customFormat="false" customHeight="false" hidden="false" ht="14.75" outlineLevel="0" r="11">
      <c r="A11" s="1" t="s">
        <v>163</v>
      </c>
      <c r="B11" s="1" t="s">
        <v>1955</v>
      </c>
      <c r="C11" s="1" t="s">
        <v>1955</v>
      </c>
      <c r="D11" s="1" t="n">
        <v>424.5</v>
      </c>
      <c r="E11" s="1" t="n">
        <v>21.89</v>
      </c>
      <c r="F11" s="1" t="n">
        <v>4.5</v>
      </c>
    </row>
    <row collapsed="false" customFormat="false" customHeight="false" hidden="false" ht="14.75" outlineLevel="0" r="12">
      <c r="A12" s="1" t="s">
        <v>1957</v>
      </c>
      <c r="B12" s="1" t="s">
        <v>1955</v>
      </c>
      <c r="C12" s="1" t="s">
        <v>1955</v>
      </c>
      <c r="D12" s="1" t="n">
        <v>253.1</v>
      </c>
      <c r="E12" s="1" t="n">
        <v>17.57</v>
      </c>
      <c r="F12" s="1" t="n">
        <f aca="false">7/8</f>
        <v>0.875</v>
      </c>
    </row>
    <row collapsed="false" customFormat="false" customHeight="false" hidden="false" ht="14.75" outlineLevel="0" r="13">
      <c r="A13" s="1" t="s">
        <v>1958</v>
      </c>
      <c r="B13" s="1" t="s">
        <v>1955</v>
      </c>
      <c r="C13" s="1" t="s">
        <v>1955</v>
      </c>
      <c r="D13" s="1" t="n">
        <v>47.1</v>
      </c>
      <c r="E13" s="1" t="n">
        <v>6.84</v>
      </c>
      <c r="F13" s="1" t="n">
        <f aca="false">2/7</f>
        <v>0.285714285714286</v>
      </c>
    </row>
    <row collapsed="false" customFormat="false" customHeight="false" hidden="false" ht="14.75" outlineLevel="0" r="14">
      <c r="A14" s="1" t="s">
        <v>865</v>
      </c>
      <c r="B14" s="1" t="s">
        <v>2091</v>
      </c>
      <c r="C14" s="1" t="s">
        <v>1955</v>
      </c>
      <c r="D14" s="1" t="n">
        <v>480</v>
      </c>
      <c r="E14" s="1" t="n">
        <v>22.6</v>
      </c>
      <c r="F14" s="1" t="n">
        <f aca="false">47/9</f>
        <v>5.22222222222222</v>
      </c>
    </row>
    <row collapsed="false" customFormat="false" customHeight="false" hidden="false" ht="14.75" outlineLevel="0" r="15">
      <c r="A15" s="1" t="s">
        <v>28</v>
      </c>
      <c r="B15" s="1" t="s">
        <v>2091</v>
      </c>
      <c r="C15" s="1" t="s">
        <v>1955</v>
      </c>
      <c r="D15" s="1" t="n">
        <v>487.8</v>
      </c>
      <c r="E15" s="1" t="n">
        <v>23.37</v>
      </c>
      <c r="F15" s="1" t="n">
        <f aca="false">58/9</f>
        <v>6.44444444444444</v>
      </c>
    </row>
    <row collapsed="false" customFormat="false" customHeight="false" hidden="false" ht="14.75" outlineLevel="0" r="16">
      <c r="A16" s="1" t="s">
        <v>812</v>
      </c>
      <c r="B16" s="1" t="s">
        <v>2091</v>
      </c>
      <c r="C16" s="1" t="s">
        <v>1955</v>
      </c>
      <c r="D16" s="1" t="n">
        <v>408.3</v>
      </c>
      <c r="E16" s="1" t="n">
        <v>20.68</v>
      </c>
      <c r="F16" s="1" t="n">
        <f aca="false">44/9</f>
        <v>4.88888888888889</v>
      </c>
    </row>
    <row collapsed="false" customFormat="false" customHeight="false" hidden="false" ht="14.75" outlineLevel="0" r="17">
      <c r="A17" s="1" t="s">
        <v>626</v>
      </c>
      <c r="B17" s="1" t="s">
        <v>2091</v>
      </c>
      <c r="C17" s="1" t="s">
        <v>1955</v>
      </c>
      <c r="D17" s="1" t="n">
        <v>454.4</v>
      </c>
      <c r="E17" s="1" t="n">
        <v>24.3</v>
      </c>
      <c r="F17" s="1" t="n">
        <f aca="false">41/9</f>
        <v>4.55555555555556</v>
      </c>
    </row>
    <row collapsed="false" customFormat="false" customHeight="false" hidden="false" ht="14.75" outlineLevel="0" r="18">
      <c r="A18" s="1" t="s">
        <v>2092</v>
      </c>
      <c r="B18" s="1" t="s">
        <v>2091</v>
      </c>
      <c r="C18" s="1" t="s">
        <v>1955</v>
      </c>
      <c r="D18" s="1" t="n">
        <v>245</v>
      </c>
      <c r="E18" s="1" t="n">
        <v>17.97</v>
      </c>
      <c r="F18" s="1" t="n">
        <f aca="false">6/9</f>
        <v>0.666666666666667</v>
      </c>
    </row>
    <row collapsed="false" customFormat="false" customHeight="false" hidden="false" ht="14.75" outlineLevel="0" r="19">
      <c r="A19" s="1" t="s">
        <v>302</v>
      </c>
      <c r="B19" s="1" t="s">
        <v>2091</v>
      </c>
      <c r="C19" s="1" t="s">
        <v>1955</v>
      </c>
      <c r="D19" s="1" t="n">
        <v>280.6</v>
      </c>
      <c r="E19" s="1" t="n">
        <v>19.47</v>
      </c>
      <c r="F19" s="1" t="n">
        <f aca="false">10/9</f>
        <v>1.11111111111111</v>
      </c>
    </row>
    <row collapsed="false" customFormat="false" customHeight="false" hidden="false" ht="14.75" outlineLevel="0" r="20">
      <c r="A20" s="1" t="s">
        <v>103</v>
      </c>
      <c r="B20" s="1" t="s">
        <v>2091</v>
      </c>
      <c r="C20" s="1" t="s">
        <v>1955</v>
      </c>
      <c r="D20" s="1" t="n">
        <v>277.5</v>
      </c>
      <c r="E20" s="1" t="n">
        <v>16.51</v>
      </c>
      <c r="F20" s="1" t="n">
        <f aca="false">20/9</f>
        <v>2.22222222222222</v>
      </c>
    </row>
    <row collapsed="false" customFormat="false" customHeight="false" hidden="false" ht="14.75" outlineLevel="0" r="21">
      <c r="A21" s="1" t="s">
        <v>2093</v>
      </c>
      <c r="B21" s="1" t="s">
        <v>2091</v>
      </c>
      <c r="C21" s="1" t="s">
        <v>1955</v>
      </c>
      <c r="D21" s="1" t="n">
        <v>247.5</v>
      </c>
      <c r="E21" s="1" t="n">
        <v>16.18</v>
      </c>
      <c r="F21" s="1" t="n">
        <f aca="false">19/9</f>
        <v>2.11111111111111</v>
      </c>
    </row>
    <row collapsed="false" customFormat="false" customHeight="false" hidden="false" ht="14.75" outlineLevel="0" r="22">
      <c r="A22" s="1" t="s">
        <v>2094</v>
      </c>
      <c r="B22" s="1" t="s">
        <v>2091</v>
      </c>
      <c r="C22" s="1" t="s">
        <v>1955</v>
      </c>
      <c r="D22" s="1" t="n">
        <v>243.8</v>
      </c>
      <c r="E22" s="1" t="n">
        <v>16.04</v>
      </c>
      <c r="F22" s="1" t="n">
        <f aca="false">14/9</f>
        <v>1.55555555555556</v>
      </c>
    </row>
    <row collapsed="false" customFormat="false" customHeight="false" hidden="false" ht="14.75" outlineLevel="0" r="23">
      <c r="A23" s="1" t="s">
        <v>2095</v>
      </c>
      <c r="B23" s="1" t="s">
        <v>2091</v>
      </c>
      <c r="C23" s="1" t="s">
        <v>1955</v>
      </c>
      <c r="D23" s="1" t="n">
        <v>271.7</v>
      </c>
      <c r="E23" s="1" t="n">
        <v>15.36</v>
      </c>
      <c r="F23" s="1" t="n">
        <v>2</v>
      </c>
    </row>
    <row collapsed="false" customFormat="false" customHeight="false" hidden="false" ht="14.75" outlineLevel="0" r="24">
      <c r="A24" s="1" t="s">
        <v>2096</v>
      </c>
      <c r="B24" s="1" t="s">
        <v>2091</v>
      </c>
      <c r="C24" s="1" t="s">
        <v>1955</v>
      </c>
      <c r="D24" s="1" t="n">
        <v>226.7</v>
      </c>
      <c r="E24" s="1" t="n">
        <v>15.62</v>
      </c>
      <c r="F24" s="1" t="n">
        <f aca="false">15/9</f>
        <v>1.66666666666667</v>
      </c>
    </row>
    <row collapsed="false" customFormat="false" customHeight="false" hidden="false" ht="14.75" outlineLevel="0" r="25">
      <c r="A25" s="1" t="s">
        <v>2097</v>
      </c>
      <c r="B25" s="1" t="s">
        <v>2091</v>
      </c>
      <c r="C25" s="1" t="s">
        <v>1955</v>
      </c>
      <c r="D25" s="1" t="n">
        <v>238.9</v>
      </c>
      <c r="E25" s="1" t="n">
        <v>16.54</v>
      </c>
      <c r="F25" s="1" t="n">
        <f aca="false">21/9</f>
        <v>2.33333333333333</v>
      </c>
    </row>
    <row collapsed="false" customFormat="false" customHeight="false" hidden="false" ht="14.75" outlineLevel="0" r="26">
      <c r="A26" s="1" t="s">
        <v>866</v>
      </c>
      <c r="B26" s="1" t="s">
        <v>2091</v>
      </c>
      <c r="C26" s="1" t="s">
        <v>1955</v>
      </c>
      <c r="D26" s="1" t="n">
        <v>212.2</v>
      </c>
      <c r="E26" s="1" t="n">
        <v>13.54</v>
      </c>
      <c r="F26" s="1" t="n">
        <f aca="false">12/9</f>
        <v>1.33333333333333</v>
      </c>
    </row>
    <row collapsed="false" customFormat="false" customHeight="false" hidden="false" ht="14.75" outlineLevel="0" r="27">
      <c r="A27" s="1" t="s">
        <v>424</v>
      </c>
      <c r="B27" s="1" t="s">
        <v>2091</v>
      </c>
      <c r="C27" s="1" t="s">
        <v>1955</v>
      </c>
      <c r="D27" s="1" t="n">
        <v>191.1</v>
      </c>
      <c r="E27" s="1" t="n">
        <v>17.2</v>
      </c>
      <c r="F27" s="1" t="n">
        <f aca="false">9/9</f>
        <v>1</v>
      </c>
    </row>
    <row collapsed="false" customFormat="false" customHeight="false" hidden="false" ht="14.75" outlineLevel="0" r="28">
      <c r="A28" s="1" t="s">
        <v>2098</v>
      </c>
      <c r="B28" s="1" t="s">
        <v>2091</v>
      </c>
      <c r="C28" s="1" t="s">
        <v>1955</v>
      </c>
      <c r="D28" s="1" t="n">
        <v>193.8</v>
      </c>
      <c r="E28" s="1" t="n">
        <v>14.7</v>
      </c>
      <c r="F28" s="1" t="n">
        <f aca="false">13/9</f>
        <v>1.44444444444444</v>
      </c>
    </row>
    <row collapsed="false" customFormat="false" customHeight="false" hidden="false" ht="14.75" outlineLevel="0" r="29">
      <c r="A29" s="1" t="s">
        <v>666</v>
      </c>
      <c r="B29" s="1" t="s">
        <v>2091</v>
      </c>
      <c r="C29" s="1" t="s">
        <v>1955</v>
      </c>
      <c r="D29" s="1" t="n">
        <v>146.2</v>
      </c>
      <c r="E29" s="1" t="n">
        <v>12.41</v>
      </c>
      <c r="F29" s="1" t="n">
        <f aca="false">11/9</f>
        <v>1.22222222222222</v>
      </c>
    </row>
    <row collapsed="false" customFormat="false" customHeight="false" hidden="false" ht="14.75" outlineLevel="0" r="30">
      <c r="A30" s="1" t="s">
        <v>2099</v>
      </c>
      <c r="B30" s="1" t="s">
        <v>2091</v>
      </c>
      <c r="C30" s="1" t="s">
        <v>1955</v>
      </c>
      <c r="D30" s="1" t="n">
        <v>163.1</v>
      </c>
      <c r="E30" s="1" t="n">
        <v>15.09</v>
      </c>
      <c r="F30" s="1" t="n">
        <f aca="false">3/9</f>
        <v>0.333333333333333</v>
      </c>
    </row>
    <row collapsed="false" customFormat="false" customHeight="false" hidden="false" ht="14.75" outlineLevel="0" r="31">
      <c r="A31" s="1" t="s">
        <v>2100</v>
      </c>
      <c r="B31" s="1" t="s">
        <v>2091</v>
      </c>
      <c r="C31" s="1" t="s">
        <v>1955</v>
      </c>
      <c r="D31" s="1" t="n">
        <v>138.8</v>
      </c>
      <c r="E31" s="1" t="n">
        <v>10.36</v>
      </c>
      <c r="F31" s="1" t="n">
        <f aca="false">9/9</f>
        <v>1</v>
      </c>
    </row>
    <row collapsed="false" customFormat="false" customHeight="false" hidden="false" ht="14.75" outlineLevel="0" r="32">
      <c r="A32" s="1" t="s">
        <v>104</v>
      </c>
      <c r="B32" s="1" t="s">
        <v>2091</v>
      </c>
      <c r="C32" s="1" t="s">
        <v>1955</v>
      </c>
      <c r="D32" s="1" t="n">
        <v>128.8</v>
      </c>
      <c r="E32" s="1" t="n">
        <v>10.6</v>
      </c>
      <c r="F32" s="1" t="n">
        <f aca="false">4/9</f>
        <v>0.444444444444444</v>
      </c>
    </row>
    <row collapsed="false" customFormat="false" customHeight="false" hidden="false" ht="14.75" outlineLevel="0" r="33">
      <c r="A33" s="1" t="s">
        <v>142</v>
      </c>
      <c r="B33" s="1" t="s">
        <v>2091</v>
      </c>
      <c r="C33" s="1" t="s">
        <v>1955</v>
      </c>
      <c r="D33" s="1" t="n">
        <v>115</v>
      </c>
      <c r="E33" s="1" t="n">
        <v>11.78</v>
      </c>
      <c r="F33" s="1" t="n">
        <f aca="false">4/9</f>
        <v>0.444444444444444</v>
      </c>
    </row>
    <row collapsed="false" customFormat="false" customHeight="false" hidden="false" ht="14.75" outlineLevel="0" r="34">
      <c r="A34" s="1" t="s">
        <v>2101</v>
      </c>
      <c r="B34" s="1" t="s">
        <v>2091</v>
      </c>
      <c r="C34" s="1" t="s">
        <v>1955</v>
      </c>
      <c r="D34" s="1" t="n">
        <v>114</v>
      </c>
      <c r="E34" s="1" t="n">
        <v>12.31</v>
      </c>
      <c r="F34" s="1" t="n">
        <f aca="false">5/9</f>
        <v>0.555555555555556</v>
      </c>
    </row>
    <row collapsed="false" customFormat="false" customHeight="false" hidden="false" ht="14.75" outlineLevel="0" r="35">
      <c r="A35" s="1" t="s">
        <v>2102</v>
      </c>
      <c r="B35" s="1" t="s">
        <v>2091</v>
      </c>
      <c r="C35" s="1" t="s">
        <v>1955</v>
      </c>
      <c r="D35" s="1" t="n">
        <v>79</v>
      </c>
      <c r="E35" s="1" t="n">
        <v>12.5</v>
      </c>
      <c r="F35" s="1" t="n">
        <f aca="false">2/9</f>
        <v>0.222222222222222</v>
      </c>
    </row>
    <row collapsed="false" customFormat="false" customHeight="false" hidden="false" ht="14.75" outlineLevel="0" r="36">
      <c r="A36" s="1" t="s">
        <v>2103</v>
      </c>
      <c r="B36" s="1" t="s">
        <v>2091</v>
      </c>
      <c r="C36" s="1" t="s">
        <v>1955</v>
      </c>
      <c r="D36" s="1" t="n">
        <v>64</v>
      </c>
      <c r="E36" s="1" t="n">
        <v>12.65</v>
      </c>
      <c r="F36" s="1" t="n">
        <f aca="false">0/9</f>
        <v>0</v>
      </c>
    </row>
    <row collapsed="false" customFormat="false" customHeight="false" hidden="false" ht="14.75" outlineLevel="0" r="37">
      <c r="A37" s="1" t="s">
        <v>2104</v>
      </c>
      <c r="B37" s="1" t="s">
        <v>2091</v>
      </c>
      <c r="C37" s="1" t="s">
        <v>1955</v>
      </c>
      <c r="D37" s="1" t="n">
        <v>20</v>
      </c>
      <c r="E37" s="1" t="n">
        <v>4.55</v>
      </c>
      <c r="F37" s="1" t="n">
        <f aca="false">1/9</f>
        <v>0.111111111111111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blackAndWhite="false" cellComments="none" copies="1" draft="false" firstPageNumber="0" fitToHeight="1" fitToWidth="1" horizontalDpi="300" orientation="portrait" pageOrder="downThenOver" paperSize="1" scale="100" useFirstPageNumber="false" usePrinterDefaults="false" verticalDpi="300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25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85" zoomScaleNormal="85" zoomScalePageLayoutView="100">
      <selection activeCell="A1" activeCellId="0" pane="topLeft" sqref="A1"/>
    </sheetView>
  </sheetViews>
  <cols>
    <col collapsed="false" hidden="false" max="1025" min="1" style="0" width="8.5921568627451"/>
  </cols>
  <sheetData>
    <row collapsed="false" customFormat="false" customHeight="false" hidden="false" ht="14.75" outlineLevel="0"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collapsed="false" customFormat="false" customHeight="false" hidden="false" ht="14.75" outlineLevel="0" r="2">
      <c r="A2" s="1" t="s">
        <v>286</v>
      </c>
      <c r="B2" s="1" t="s">
        <v>1959</v>
      </c>
      <c r="C2" s="1" t="s">
        <v>2604</v>
      </c>
      <c r="D2" s="1" t="n">
        <v>422</v>
      </c>
      <c r="E2" s="1" t="n">
        <v>25.6</v>
      </c>
      <c r="F2" s="1" t="n">
        <v>8.5</v>
      </c>
    </row>
    <row collapsed="false" customFormat="false" customHeight="false" hidden="false" ht="14.75" outlineLevel="0" r="3">
      <c r="A3" s="1" t="s">
        <v>289</v>
      </c>
      <c r="B3" s="1" t="s">
        <v>1961</v>
      </c>
      <c r="C3" s="1" t="s">
        <v>2604</v>
      </c>
      <c r="D3" s="1" t="n">
        <v>362.3</v>
      </c>
      <c r="E3" s="1" t="n">
        <v>17.81</v>
      </c>
      <c r="F3" s="1" t="n">
        <f aca="false">51/11</f>
        <v>4.63636363636364</v>
      </c>
    </row>
    <row collapsed="false" customFormat="false" customHeight="false" hidden="false" ht="14.75" outlineLevel="0" r="4">
      <c r="A4" s="1" t="s">
        <v>1105</v>
      </c>
      <c r="B4" s="1" t="s">
        <v>1961</v>
      </c>
      <c r="C4" s="1" t="s">
        <v>2604</v>
      </c>
      <c r="D4" s="1" t="n">
        <v>81.7</v>
      </c>
      <c r="E4" s="1" t="n">
        <v>8.41</v>
      </c>
      <c r="F4" s="1" t="n">
        <f aca="false">2/9</f>
        <v>0.222222222222222</v>
      </c>
    </row>
    <row collapsed="false" customFormat="false" customHeight="false" hidden="false" ht="14.75" outlineLevel="0" r="5">
      <c r="A5" s="1" t="s">
        <v>1107</v>
      </c>
      <c r="B5" s="1" t="s">
        <v>1961</v>
      </c>
      <c r="C5" s="1" t="s">
        <v>2604</v>
      </c>
      <c r="D5" s="1" t="n">
        <v>40.6</v>
      </c>
      <c r="E5" s="1" t="n">
        <v>6.96</v>
      </c>
      <c r="F5" s="1" t="n">
        <v>0</v>
      </c>
    </row>
    <row collapsed="false" customFormat="false" customHeight="false" hidden="false" ht="14.75" outlineLevel="0" r="6">
      <c r="A6" s="1" t="s">
        <v>295</v>
      </c>
      <c r="B6" s="1" t="s">
        <v>1959</v>
      </c>
      <c r="C6" s="1" t="s">
        <v>2604</v>
      </c>
      <c r="D6" s="1" t="n">
        <v>296</v>
      </c>
      <c r="E6" s="1" t="n">
        <v>22.91</v>
      </c>
      <c r="F6" s="1" t="n">
        <v>5.1</v>
      </c>
    </row>
    <row collapsed="false" customFormat="false" customHeight="false" hidden="false" ht="14.75" outlineLevel="0" r="7">
      <c r="A7" s="1" t="s">
        <v>296</v>
      </c>
      <c r="B7" s="1" t="s">
        <v>1961</v>
      </c>
      <c r="C7" s="1" t="s">
        <v>2604</v>
      </c>
      <c r="D7" s="1" t="n">
        <v>169.4</v>
      </c>
      <c r="E7" s="1" t="n">
        <v>10.32</v>
      </c>
      <c r="F7" s="1" t="n">
        <f aca="false">14/9</f>
        <v>1.55555555555556</v>
      </c>
    </row>
    <row collapsed="false" customFormat="false" customHeight="false" hidden="false" ht="14.75" outlineLevel="0" r="8">
      <c r="A8" s="1" t="s">
        <v>303</v>
      </c>
      <c r="B8" s="1" t="s">
        <v>1959</v>
      </c>
      <c r="C8" s="1" t="s">
        <v>2604</v>
      </c>
      <c r="D8" s="1" t="n">
        <v>383.5</v>
      </c>
      <c r="E8" s="1" t="n">
        <v>24.48</v>
      </c>
      <c r="F8" s="1" t="n">
        <v>7.3</v>
      </c>
    </row>
    <row collapsed="false" customFormat="false" customHeight="false" hidden="false" ht="14.75" outlineLevel="0" r="9">
      <c r="A9" s="1" t="s">
        <v>534</v>
      </c>
      <c r="B9" s="1" t="s">
        <v>1961</v>
      </c>
      <c r="C9" s="1" t="s">
        <v>2604</v>
      </c>
      <c r="D9" s="1" t="n">
        <v>65.6</v>
      </c>
      <c r="E9" s="1" t="n">
        <v>6.94</v>
      </c>
      <c r="F9" s="1" t="n">
        <f aca="false">2/9</f>
        <v>0.222222222222222</v>
      </c>
    </row>
    <row collapsed="false" customFormat="false" customHeight="false" hidden="false" ht="14.75" outlineLevel="0" r="10">
      <c r="A10" s="1" t="s">
        <v>332</v>
      </c>
      <c r="B10" s="1" t="s">
        <v>1961</v>
      </c>
      <c r="C10" s="1" t="s">
        <v>2604</v>
      </c>
      <c r="D10" s="1" t="n">
        <v>355</v>
      </c>
      <c r="E10" s="1" t="n">
        <v>18.07</v>
      </c>
      <c r="F10" s="1" t="n">
        <f aca="false">42/11</f>
        <v>3.81818181818182</v>
      </c>
    </row>
    <row collapsed="false" customFormat="false" customHeight="false" hidden="false" ht="14.75" outlineLevel="0" r="11">
      <c r="A11" s="1" t="s">
        <v>343</v>
      </c>
      <c r="B11" s="1" t="s">
        <v>1959</v>
      </c>
      <c r="C11" s="1" t="s">
        <v>2604</v>
      </c>
      <c r="D11" s="1" t="n">
        <v>359.5</v>
      </c>
      <c r="E11" s="1" t="n">
        <v>24.05</v>
      </c>
      <c r="F11" s="1" t="n">
        <v>6.7</v>
      </c>
    </row>
    <row collapsed="false" customFormat="false" customHeight="false" hidden="false" ht="14.75" outlineLevel="0" r="12">
      <c r="A12" s="1" t="s">
        <v>344</v>
      </c>
      <c r="B12" s="1" t="s">
        <v>1961</v>
      </c>
      <c r="C12" s="1" t="s">
        <v>2604</v>
      </c>
      <c r="D12" s="1" t="n">
        <v>227.2</v>
      </c>
      <c r="E12" s="1" t="n">
        <v>15.5</v>
      </c>
      <c r="F12" s="1" t="n">
        <f aca="false">15/9</f>
        <v>1.66666666666667</v>
      </c>
    </row>
    <row collapsed="false" customFormat="false" customHeight="false" hidden="false" ht="14.75" outlineLevel="0" r="13">
      <c r="A13" s="1" t="s">
        <v>466</v>
      </c>
      <c r="B13" s="1" t="s">
        <v>1961</v>
      </c>
      <c r="C13" s="1" t="s">
        <v>2604</v>
      </c>
      <c r="D13" s="1" t="n">
        <v>66.7</v>
      </c>
      <c r="E13" s="1" t="n">
        <v>7.22</v>
      </c>
      <c r="F13" s="1" t="n">
        <f aca="false">4/9</f>
        <v>0.444444444444444</v>
      </c>
    </row>
    <row collapsed="false" customFormat="false" customHeight="false" hidden="false" ht="14.75" outlineLevel="0" r="14">
      <c r="A14" s="1" t="s">
        <v>569</v>
      </c>
      <c r="B14" s="1" t="s">
        <v>1961</v>
      </c>
      <c r="C14" s="1" t="s">
        <v>2604</v>
      </c>
      <c r="D14" s="1" t="n">
        <v>234.4</v>
      </c>
      <c r="E14" s="1" t="n">
        <v>15.3</v>
      </c>
      <c r="F14" s="1" t="n">
        <v>2</v>
      </c>
    </row>
    <row collapsed="false" customFormat="false" customHeight="false" hidden="false" ht="14.75" outlineLevel="0" r="15">
      <c r="A15" s="1" t="s">
        <v>354</v>
      </c>
      <c r="B15" s="1" t="s">
        <v>1961</v>
      </c>
      <c r="C15" s="1" t="s">
        <v>2604</v>
      </c>
      <c r="D15" s="1" t="n">
        <v>155</v>
      </c>
      <c r="E15" s="1" t="n">
        <v>9.86</v>
      </c>
      <c r="F15" s="1" t="n">
        <f aca="false">10/9</f>
        <v>1.11111111111111</v>
      </c>
    </row>
    <row collapsed="false" customFormat="false" customHeight="false" hidden="false" ht="14.75" outlineLevel="0" r="16">
      <c r="A16" s="1" t="s">
        <v>19</v>
      </c>
      <c r="B16" s="1" t="s">
        <v>1959</v>
      </c>
      <c r="C16" s="1" t="s">
        <v>2604</v>
      </c>
      <c r="D16" s="1" t="n">
        <v>399.5</v>
      </c>
      <c r="E16" s="1" t="n">
        <v>25.61</v>
      </c>
      <c r="F16" s="1" t="n">
        <v>6.6</v>
      </c>
    </row>
    <row collapsed="false" customFormat="false" customHeight="false" hidden="false" ht="14.75" outlineLevel="0" r="17">
      <c r="A17" s="1" t="s">
        <v>20</v>
      </c>
      <c r="B17" s="1" t="s">
        <v>1961</v>
      </c>
      <c r="C17" s="1" t="s">
        <v>2604</v>
      </c>
      <c r="D17" s="1" t="n">
        <v>231.7</v>
      </c>
      <c r="E17" s="1" t="n">
        <v>15.35</v>
      </c>
      <c r="F17" s="1" t="n">
        <f aca="false">24/9</f>
        <v>2.66666666666667</v>
      </c>
    </row>
    <row collapsed="false" customFormat="false" customHeight="false" hidden="false" ht="14.75" outlineLevel="0" r="18">
      <c r="A18" s="1" t="s">
        <v>358</v>
      </c>
      <c r="B18" s="1" t="s">
        <v>1961</v>
      </c>
      <c r="C18" s="1" t="s">
        <v>2604</v>
      </c>
      <c r="D18" s="1" t="n">
        <v>285.6</v>
      </c>
      <c r="E18" s="1" t="n">
        <v>19.59</v>
      </c>
      <c r="F18" s="1" t="n">
        <f aca="false">28/9</f>
        <v>3.11111111111111</v>
      </c>
    </row>
    <row collapsed="false" customFormat="false" customHeight="false" hidden="false" ht="14.75" outlineLevel="0" r="19">
      <c r="A19" s="1" t="s">
        <v>359</v>
      </c>
      <c r="B19" s="1" t="s">
        <v>1961</v>
      </c>
      <c r="C19" s="1" t="s">
        <v>2604</v>
      </c>
      <c r="D19" s="1" t="n">
        <v>176.7</v>
      </c>
      <c r="E19" s="1" t="n">
        <v>15</v>
      </c>
      <c r="F19" s="1" t="n">
        <f aca="false">15/9</f>
        <v>1.66666666666667</v>
      </c>
    </row>
    <row collapsed="false" customFormat="false" customHeight="false" hidden="false" ht="14.75" outlineLevel="0" r="20">
      <c r="A20" s="1" t="s">
        <v>163</v>
      </c>
      <c r="B20" s="1" t="s">
        <v>1959</v>
      </c>
      <c r="C20" s="1" t="s">
        <v>2604</v>
      </c>
      <c r="D20" s="1" t="n">
        <v>289.5</v>
      </c>
      <c r="E20" s="1" t="n">
        <v>23.73</v>
      </c>
      <c r="F20" s="1" t="n">
        <v>3.8</v>
      </c>
    </row>
    <row collapsed="false" customFormat="false" customHeight="false" hidden="false" ht="14.75" outlineLevel="0" r="21">
      <c r="A21" s="1" t="s">
        <v>1298</v>
      </c>
      <c r="B21" s="1" t="s">
        <v>1961</v>
      </c>
      <c r="C21" s="1" t="s">
        <v>2604</v>
      </c>
      <c r="D21" s="1" t="n">
        <v>317.8</v>
      </c>
      <c r="E21" s="1" t="n">
        <v>18.67</v>
      </c>
      <c r="F21" s="1" t="n">
        <f aca="false">27/9</f>
        <v>3</v>
      </c>
    </row>
    <row collapsed="false" customFormat="false" customHeight="false" hidden="false" ht="14.75" outlineLevel="0" r="22">
      <c r="A22" s="1" t="s">
        <v>1962</v>
      </c>
      <c r="B22" s="1" t="s">
        <v>1961</v>
      </c>
      <c r="C22" s="1" t="s">
        <v>2604</v>
      </c>
      <c r="D22" s="1" t="n">
        <v>267.2</v>
      </c>
      <c r="E22" s="1" t="n">
        <v>14.9</v>
      </c>
      <c r="F22" s="1" t="n">
        <f aca="false">15/9</f>
        <v>1.66666666666667</v>
      </c>
    </row>
    <row collapsed="false" customFormat="false" customHeight="false" hidden="false" ht="14.75" outlineLevel="0" r="23">
      <c r="A23" s="1" t="s">
        <v>1963</v>
      </c>
      <c r="B23" s="1" t="s">
        <v>1961</v>
      </c>
      <c r="C23" s="1" t="s">
        <v>2604</v>
      </c>
      <c r="D23" s="1" t="n">
        <v>198.3</v>
      </c>
      <c r="E23" s="1" t="n">
        <v>11.95</v>
      </c>
      <c r="F23" s="1" t="n">
        <f aca="false">10/9</f>
        <v>1.11111111111111</v>
      </c>
    </row>
    <row collapsed="false" customFormat="false" customHeight="false" hidden="false" ht="14.75" outlineLevel="0" r="24">
      <c r="A24" s="1" t="s">
        <v>1964</v>
      </c>
      <c r="B24" s="1" t="s">
        <v>1961</v>
      </c>
      <c r="C24" s="1" t="s">
        <v>2604</v>
      </c>
      <c r="D24" s="1" t="n">
        <v>94.4</v>
      </c>
      <c r="E24" s="1" t="n">
        <v>8.37</v>
      </c>
      <c r="F24" s="1" t="n">
        <f aca="false">3/9</f>
        <v>0.333333333333333</v>
      </c>
    </row>
    <row collapsed="false" customFormat="false" customHeight="false" hidden="false" ht="14.75" outlineLevel="0" r="25">
      <c r="A25" s="1" t="s">
        <v>1965</v>
      </c>
      <c r="B25" s="1" t="s">
        <v>1961</v>
      </c>
      <c r="C25" s="1" t="s">
        <v>2604</v>
      </c>
      <c r="D25" s="1" t="n">
        <v>168.9</v>
      </c>
      <c r="E25" s="1" t="n">
        <v>13.18</v>
      </c>
      <c r="F25" s="1" t="n">
        <f aca="false">12/9</f>
        <v>1.33333333333333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blackAndWhite="false" cellComments="none" copies="1" draft="false" firstPageNumber="0" fitToHeight="1" fitToWidth="1" horizontalDpi="300" orientation="portrait" pageOrder="downThenOver" paperSize="1" scale="100" useFirstPageNumber="fals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85" zoomScaleNormal="85" zoomScalePageLayoutView="100">
      <selection activeCell="B12" activeCellId="0" pane="topLeft" sqref="B12"/>
    </sheetView>
  </sheetViews>
  <cols>
    <col collapsed="false" hidden="false" max="1025" min="1" style="0" width="8.5921568627451"/>
  </cols>
  <sheetData>
    <row collapsed="false" customFormat="false" customHeight="false" hidden="false" ht="14.75" outlineLevel="0"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collapsed="false" customFormat="false" customHeight="false" hidden="false" ht="14.75" outlineLevel="0" r="2">
      <c r="A2" s="1" t="s">
        <v>1966</v>
      </c>
      <c r="B2" s="1" t="s">
        <v>1967</v>
      </c>
      <c r="C2" s="1" t="s">
        <v>1968</v>
      </c>
      <c r="D2" s="1" t="n">
        <v>167.2</v>
      </c>
      <c r="E2" s="1" t="n">
        <v>11.67</v>
      </c>
      <c r="F2" s="1" t="n">
        <f aca="false">20/16</f>
        <v>1.25</v>
      </c>
    </row>
    <row collapsed="false" customFormat="false" customHeight="false" hidden="false" ht="14.75" outlineLevel="0" r="3">
      <c r="A3" s="1" t="s">
        <v>1969</v>
      </c>
      <c r="B3" s="1" t="s">
        <v>1967</v>
      </c>
      <c r="C3" s="1" t="s">
        <v>1968</v>
      </c>
      <c r="D3" s="1" t="n">
        <v>386.9</v>
      </c>
      <c r="E3" s="1" t="n">
        <v>19.43</v>
      </c>
      <c r="F3" s="1" t="n">
        <f aca="false">76/16</f>
        <v>4.75</v>
      </c>
    </row>
    <row collapsed="false" customFormat="false" customHeight="false" hidden="false" ht="14.75" outlineLevel="0" r="4">
      <c r="A4" s="1" t="s">
        <v>1970</v>
      </c>
      <c r="B4" s="1" t="s">
        <v>1967</v>
      </c>
      <c r="C4" s="1" t="s">
        <v>1968</v>
      </c>
      <c r="D4" s="1" t="n">
        <v>305.9</v>
      </c>
      <c r="E4" s="1" t="n">
        <v>15.92</v>
      </c>
      <c r="F4" s="1" t="n">
        <f aca="false">28/16</f>
        <v>1.75</v>
      </c>
    </row>
    <row collapsed="false" customFormat="false" customHeight="false" hidden="false" ht="14.75" outlineLevel="0" r="5">
      <c r="A5" s="1" t="s">
        <v>39</v>
      </c>
      <c r="B5" s="1" t="s">
        <v>1967</v>
      </c>
      <c r="C5" s="1" t="s">
        <v>1968</v>
      </c>
      <c r="D5" s="1" t="n">
        <v>173.4</v>
      </c>
      <c r="E5" s="1" t="n">
        <v>12.23</v>
      </c>
      <c r="F5" s="1" t="n">
        <f aca="false">13/16</f>
        <v>0.8125</v>
      </c>
    </row>
    <row collapsed="false" customFormat="false" customHeight="false" hidden="false" ht="14.75" outlineLevel="0" r="6">
      <c r="A6" s="1" t="s">
        <v>1971</v>
      </c>
      <c r="B6" s="1" t="s">
        <v>1967</v>
      </c>
      <c r="C6" s="1" t="s">
        <v>1968</v>
      </c>
      <c r="D6" s="1" t="n">
        <v>253.1</v>
      </c>
      <c r="E6" s="1" t="n">
        <v>14.72</v>
      </c>
      <c r="F6" s="1" t="n">
        <f aca="false">26/16</f>
        <v>1.625</v>
      </c>
    </row>
    <row collapsed="false" customFormat="false" customHeight="false" hidden="false" ht="14.75" outlineLevel="0" r="7">
      <c r="A7" s="1" t="s">
        <v>1972</v>
      </c>
      <c r="B7" s="1" t="s">
        <v>1967</v>
      </c>
      <c r="C7" s="1" t="s">
        <v>1968</v>
      </c>
      <c r="D7" s="1" t="n">
        <v>315.6</v>
      </c>
      <c r="E7" s="1" t="n">
        <v>17.08</v>
      </c>
      <c r="F7" s="1" t="n">
        <f aca="false">35/16</f>
        <v>2.1875</v>
      </c>
    </row>
    <row collapsed="false" customFormat="false" customHeight="false" hidden="false" ht="14.75" outlineLevel="0" r="8">
      <c r="A8" s="1" t="s">
        <v>1973</v>
      </c>
      <c r="B8" s="1" t="s">
        <v>1967</v>
      </c>
      <c r="C8" s="1" t="s">
        <v>1968</v>
      </c>
      <c r="D8" s="1" t="n">
        <v>295</v>
      </c>
      <c r="E8" s="1" t="n">
        <v>16.63</v>
      </c>
      <c r="F8" s="1" t="n">
        <f aca="false">47/16</f>
        <v>2.9375</v>
      </c>
    </row>
    <row collapsed="false" customFormat="false" customHeight="false" hidden="false" ht="14.75" outlineLevel="0" r="9">
      <c r="A9" s="1" t="s">
        <v>1974</v>
      </c>
      <c r="B9" s="1" t="s">
        <v>1967</v>
      </c>
      <c r="C9" s="1" t="s">
        <v>1968</v>
      </c>
      <c r="D9" s="1" t="n">
        <v>240.9</v>
      </c>
      <c r="E9" s="1" t="n">
        <v>14.94</v>
      </c>
      <c r="F9" s="1" t="n">
        <f aca="false">23/16</f>
        <v>1.4375</v>
      </c>
    </row>
    <row collapsed="false" customFormat="false" customHeight="false" hidden="false" ht="14.75" outlineLevel="0" r="10">
      <c r="A10" s="1" t="s">
        <v>1975</v>
      </c>
      <c r="B10" s="1" t="s">
        <v>1967</v>
      </c>
      <c r="C10" s="1" t="s">
        <v>1968</v>
      </c>
      <c r="D10" s="1" t="n">
        <v>405.9</v>
      </c>
      <c r="E10" s="1" t="n">
        <v>19.05</v>
      </c>
      <c r="F10" s="1" t="n">
        <f aca="false">45/16</f>
        <v>2.8125</v>
      </c>
    </row>
    <row collapsed="false" customFormat="false" customHeight="false" hidden="false" ht="14.75" outlineLevel="0" r="11">
      <c r="A11" s="1" t="s">
        <v>1976</v>
      </c>
      <c r="B11" s="1" t="s">
        <v>1967</v>
      </c>
      <c r="C11" s="1" t="s">
        <v>1968</v>
      </c>
      <c r="D11" s="1" t="n">
        <v>157.8</v>
      </c>
      <c r="E11" s="1" t="n">
        <v>11.18</v>
      </c>
      <c r="F11" s="1" t="n">
        <f aca="false">15/16</f>
        <v>0.9375</v>
      </c>
    </row>
    <row collapsed="false" customFormat="false" customHeight="false" hidden="false" ht="14.75" outlineLevel="0" r="12">
      <c r="A12" s="1" t="s">
        <v>1977</v>
      </c>
      <c r="B12" s="1" t="s">
        <v>1967</v>
      </c>
      <c r="C12" s="1" t="s">
        <v>1968</v>
      </c>
      <c r="D12" s="1" t="n">
        <v>65.6</v>
      </c>
      <c r="E12" s="1" t="n">
        <v>6.77</v>
      </c>
      <c r="F12" s="1" t="n">
        <f aca="false">8/16</f>
        <v>0.5</v>
      </c>
    </row>
    <row collapsed="false" customFormat="false" customHeight="false" hidden="false" ht="14.75" outlineLevel="0" r="13">
      <c r="A13" s="1" t="s">
        <v>1978</v>
      </c>
      <c r="B13" s="1" t="s">
        <v>1967</v>
      </c>
      <c r="C13" s="1" t="s">
        <v>1968</v>
      </c>
      <c r="D13" s="1" t="n">
        <v>273.8</v>
      </c>
      <c r="E13" s="1" t="n">
        <v>15.86</v>
      </c>
      <c r="F13" s="1" t="n">
        <f aca="false">45/16</f>
        <v>2.8125</v>
      </c>
    </row>
    <row collapsed="false" customFormat="false" customHeight="false" hidden="false" ht="14.75" outlineLevel="0" r="14">
      <c r="A14" s="1" t="s">
        <v>1979</v>
      </c>
      <c r="B14" s="1" t="s">
        <v>1967</v>
      </c>
      <c r="C14" s="1" t="s">
        <v>1968</v>
      </c>
      <c r="D14" s="1" t="n">
        <v>196.6</v>
      </c>
      <c r="E14" s="1" t="n">
        <v>12.3</v>
      </c>
      <c r="F14" s="1" t="n">
        <f aca="false">24/16</f>
        <v>1.5</v>
      </c>
    </row>
    <row collapsed="false" customFormat="false" customHeight="false" hidden="false" ht="14.75" outlineLevel="0" r="15">
      <c r="A15" s="1" t="s">
        <v>1980</v>
      </c>
      <c r="B15" s="1" t="s">
        <v>1967</v>
      </c>
      <c r="C15" s="1" t="s">
        <v>1968</v>
      </c>
      <c r="D15" s="1" t="n">
        <v>221.2</v>
      </c>
      <c r="E15" s="1" t="n">
        <v>13.42</v>
      </c>
      <c r="F15" s="1" t="n">
        <f aca="false">27/16</f>
        <v>1.6875</v>
      </c>
    </row>
    <row collapsed="false" customFormat="false" customHeight="false" hidden="false" ht="14.75" outlineLevel="0" r="16">
      <c r="A16" s="1" t="s">
        <v>1981</v>
      </c>
      <c r="B16" s="1" t="s">
        <v>1967</v>
      </c>
      <c r="C16" s="1" t="s">
        <v>1968</v>
      </c>
      <c r="D16" s="1" t="n">
        <v>296.2</v>
      </c>
      <c r="E16" s="1" t="n">
        <v>17.46</v>
      </c>
      <c r="F16" s="1" t="n">
        <f aca="false">36/16</f>
        <v>2.25</v>
      </c>
    </row>
    <row collapsed="false" customFormat="false" customHeight="false" hidden="false" ht="14.75" outlineLevel="0" r="17">
      <c r="A17" s="1" t="s">
        <v>1982</v>
      </c>
      <c r="B17" s="1" t="s">
        <v>1967</v>
      </c>
      <c r="C17" s="1" t="s">
        <v>1968</v>
      </c>
      <c r="D17" s="1" t="n">
        <v>130.9</v>
      </c>
      <c r="E17" s="1" t="n">
        <v>10.67</v>
      </c>
      <c r="F17" s="1" t="n">
        <f aca="false">9/16</f>
        <v>0.5625</v>
      </c>
    </row>
    <row collapsed="false" customFormat="false" customHeight="false" hidden="false" ht="14.75" outlineLevel="0" r="18">
      <c r="A18" s="6" t="s">
        <v>1983</v>
      </c>
      <c r="B18" s="1" t="s">
        <v>1967</v>
      </c>
      <c r="C18" s="1" t="s">
        <v>1968</v>
      </c>
      <c r="D18" s="1" t="n">
        <v>109.7</v>
      </c>
      <c r="E18" s="1" t="n">
        <v>11.18</v>
      </c>
      <c r="F18" s="1" t="n">
        <f aca="false">7/16</f>
        <v>0.4375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blackAndWhite="false" cellComments="none" copies="1" draft="false" firstPageNumber="0" fitToHeight="1" fitToWidth="1" horizontalDpi="300" orientation="portrait" pageOrder="downThenOver" paperSize="1" scale="100" useFirstPageNumber="fals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35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85" zoomScaleNormal="85" zoomScalePageLayoutView="100">
      <selection activeCell="A1" activeCellId="0" pane="topLeft" sqref="A1"/>
    </sheetView>
  </sheetViews>
  <cols>
    <col collapsed="false" hidden="false" max="1025" min="1" style="0" width="8.5921568627451"/>
  </cols>
  <sheetData>
    <row collapsed="false" customFormat="false" customHeight="false" hidden="false" ht="14.75" outlineLevel="0"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collapsed="false" customFormat="false" customHeight="false" hidden="false" ht="14.75" outlineLevel="0" r="2">
      <c r="A2" s="1" t="s">
        <v>1984</v>
      </c>
      <c r="B2" s="1" t="s">
        <v>1985</v>
      </c>
      <c r="C2" s="1" t="s">
        <v>1985</v>
      </c>
      <c r="D2" s="1" t="n">
        <v>315</v>
      </c>
      <c r="E2" s="1" t="n">
        <v>19</v>
      </c>
      <c r="F2" s="1" t="s">
        <v>9</v>
      </c>
    </row>
    <row collapsed="false" customFormat="false" customHeight="false" hidden="false" ht="14.75" outlineLevel="0" r="3">
      <c r="A3" s="1" t="s">
        <v>108</v>
      </c>
      <c r="B3" s="1" t="s">
        <v>1985</v>
      </c>
      <c r="C3" s="1" t="s">
        <v>1985</v>
      </c>
      <c r="D3" s="1" t="n">
        <v>401.82</v>
      </c>
      <c r="E3" s="1" t="n">
        <v>20.39</v>
      </c>
      <c r="F3" s="1" t="s">
        <v>9</v>
      </c>
    </row>
    <row collapsed="false" customFormat="false" customHeight="false" hidden="false" ht="14.75" outlineLevel="0" r="4">
      <c r="A4" s="1" t="s">
        <v>110</v>
      </c>
      <c r="B4" s="1" t="s">
        <v>1985</v>
      </c>
      <c r="C4" s="1" t="s">
        <v>1985</v>
      </c>
      <c r="D4" s="1" t="n">
        <v>257.27</v>
      </c>
      <c r="E4" s="1" t="n">
        <v>16.77</v>
      </c>
      <c r="F4" s="1" t="s">
        <v>9</v>
      </c>
    </row>
    <row collapsed="false" customFormat="false" customHeight="false" hidden="false" ht="14.75" outlineLevel="0" r="5">
      <c r="A5" s="1" t="s">
        <v>316</v>
      </c>
      <c r="B5" s="1" t="s">
        <v>1985</v>
      </c>
      <c r="C5" s="1" t="s">
        <v>1985</v>
      </c>
      <c r="D5" s="1" t="n">
        <v>218</v>
      </c>
      <c r="E5" s="1" t="n">
        <v>13.21</v>
      </c>
      <c r="F5" s="1" t="s">
        <v>9</v>
      </c>
    </row>
    <row collapsed="false" customFormat="false" customHeight="false" hidden="false" ht="14.75" outlineLevel="0" r="6">
      <c r="A6" s="1" t="s">
        <v>1986</v>
      </c>
      <c r="B6" s="1" t="s">
        <v>1985</v>
      </c>
      <c r="C6" s="1" t="s">
        <v>1985</v>
      </c>
      <c r="D6" s="1" t="n">
        <v>185.56</v>
      </c>
      <c r="E6" s="1" t="n">
        <v>11.59</v>
      </c>
      <c r="F6" s="1" t="s">
        <v>9</v>
      </c>
    </row>
    <row collapsed="false" customFormat="false" customHeight="false" hidden="false" ht="14.75" outlineLevel="0" r="7">
      <c r="A7" s="1" t="s">
        <v>1163</v>
      </c>
      <c r="B7" s="1" t="s">
        <v>1985</v>
      </c>
      <c r="C7" s="1" t="s">
        <v>1985</v>
      </c>
      <c r="D7" s="1" t="n">
        <v>230</v>
      </c>
      <c r="E7" s="1" t="n">
        <v>13.46</v>
      </c>
      <c r="F7" s="1" t="s">
        <v>9</v>
      </c>
    </row>
    <row collapsed="false" customFormat="false" customHeight="false" hidden="false" ht="14.75" outlineLevel="0" r="8">
      <c r="A8" s="1" t="s">
        <v>1987</v>
      </c>
      <c r="B8" s="1" t="s">
        <v>1985</v>
      </c>
      <c r="C8" s="1" t="s">
        <v>1985</v>
      </c>
      <c r="D8" s="1" t="n">
        <v>192</v>
      </c>
      <c r="E8" s="1" t="n">
        <v>11.83</v>
      </c>
      <c r="F8" s="1" t="s">
        <v>9</v>
      </c>
    </row>
    <row collapsed="false" customFormat="false" customHeight="false" hidden="false" ht="14.75" outlineLevel="0" r="9">
      <c r="A9" s="1" t="s">
        <v>1988</v>
      </c>
      <c r="B9" s="1" t="s">
        <v>1985</v>
      </c>
      <c r="C9" s="1" t="s">
        <v>1985</v>
      </c>
      <c r="D9" s="1" t="n">
        <v>82.86</v>
      </c>
      <c r="E9" s="1" t="n">
        <v>7.41</v>
      </c>
      <c r="F9" s="1" t="s">
        <v>9</v>
      </c>
    </row>
    <row collapsed="false" customFormat="false" customHeight="false" hidden="false" ht="14.75" outlineLevel="0" r="10">
      <c r="A10" s="1" t="s">
        <v>138</v>
      </c>
      <c r="B10" s="1" t="s">
        <v>1985</v>
      </c>
      <c r="C10" s="1" t="s">
        <v>1985</v>
      </c>
      <c r="D10" s="1" t="n">
        <v>71.25</v>
      </c>
      <c r="E10" s="1" t="n">
        <v>7.41</v>
      </c>
      <c r="F10" s="1" t="s">
        <v>9</v>
      </c>
    </row>
    <row collapsed="false" customFormat="false" customHeight="false" hidden="false" ht="14.75" outlineLevel="0" r="11">
      <c r="A11" s="1" t="s">
        <v>339</v>
      </c>
      <c r="B11" s="1" t="s">
        <v>1985</v>
      </c>
      <c r="C11" s="1" t="s">
        <v>1985</v>
      </c>
      <c r="D11" s="1" t="n">
        <v>355.56</v>
      </c>
      <c r="E11" s="1" t="n">
        <v>18.32</v>
      </c>
      <c r="F11" s="1" t="s">
        <v>9</v>
      </c>
    </row>
    <row collapsed="false" customFormat="false" customHeight="false" hidden="false" ht="14.75" outlineLevel="0" r="12">
      <c r="A12" s="1" t="s">
        <v>564</v>
      </c>
      <c r="B12" s="1" t="s">
        <v>1985</v>
      </c>
      <c r="C12" s="1" t="s">
        <v>1985</v>
      </c>
      <c r="D12" s="1" t="n">
        <v>250.91</v>
      </c>
      <c r="E12" s="1" t="n">
        <v>14.15</v>
      </c>
      <c r="F12" s="1" t="s">
        <v>9</v>
      </c>
    </row>
    <row collapsed="false" customFormat="false" customHeight="false" hidden="false" ht="14.75" outlineLevel="0" r="13">
      <c r="A13" s="1" t="s">
        <v>1937</v>
      </c>
      <c r="B13" s="1" t="s">
        <v>1985</v>
      </c>
      <c r="C13" s="1" t="s">
        <v>1985</v>
      </c>
      <c r="D13" s="1" t="n">
        <v>176.67</v>
      </c>
      <c r="E13" s="1" t="n">
        <v>12.37</v>
      </c>
      <c r="F13" s="1" t="s">
        <v>9</v>
      </c>
    </row>
    <row collapsed="false" customFormat="false" customHeight="false" hidden="false" ht="14.75" outlineLevel="0" r="14">
      <c r="A14" s="1" t="s">
        <v>348</v>
      </c>
      <c r="B14" s="1" t="s">
        <v>1985</v>
      </c>
      <c r="C14" s="1" t="s">
        <v>1985</v>
      </c>
      <c r="D14" s="1" t="n">
        <v>540.83</v>
      </c>
      <c r="E14" s="1" t="n">
        <v>24.15</v>
      </c>
      <c r="F14" s="1" t="s">
        <v>9</v>
      </c>
    </row>
    <row collapsed="false" customFormat="false" customHeight="false" hidden="false" ht="14.75" outlineLevel="0" r="15">
      <c r="A15" s="1" t="s">
        <v>349</v>
      </c>
      <c r="B15" s="1" t="s">
        <v>1985</v>
      </c>
      <c r="C15" s="1" t="s">
        <v>1985</v>
      </c>
      <c r="D15" s="1" t="n">
        <v>288.89</v>
      </c>
      <c r="E15" s="1" t="n">
        <v>15.76</v>
      </c>
      <c r="F15" s="1" t="s">
        <v>9</v>
      </c>
    </row>
    <row collapsed="false" customFormat="false" customHeight="false" hidden="false" ht="14.75" outlineLevel="0" r="16">
      <c r="A16" s="1" t="s">
        <v>1262</v>
      </c>
      <c r="B16" s="1" t="s">
        <v>1985</v>
      </c>
      <c r="C16" s="1" t="s">
        <v>1985</v>
      </c>
      <c r="D16" s="1" t="n">
        <v>295.56</v>
      </c>
      <c r="E16" s="1" t="n">
        <v>15.22</v>
      </c>
      <c r="F16" s="1" t="s">
        <v>9</v>
      </c>
    </row>
    <row collapsed="false" customFormat="false" customHeight="false" hidden="false" ht="14.75" outlineLevel="0" r="17">
      <c r="A17" s="1" t="s">
        <v>591</v>
      </c>
      <c r="B17" s="1" t="s">
        <v>1985</v>
      </c>
      <c r="C17" s="1" t="s">
        <v>1985</v>
      </c>
      <c r="D17" s="1" t="n">
        <v>230</v>
      </c>
      <c r="E17" s="1" t="n">
        <v>15.28</v>
      </c>
      <c r="F17" s="1" t="s">
        <v>9</v>
      </c>
    </row>
    <row collapsed="false" customFormat="false" customHeight="false" hidden="false" ht="14.75" outlineLevel="0" r="18">
      <c r="A18" s="1" t="s">
        <v>1989</v>
      </c>
      <c r="B18" s="1" t="s">
        <v>1985</v>
      </c>
      <c r="C18" s="1" t="s">
        <v>1985</v>
      </c>
      <c r="D18" s="1" t="n">
        <v>255</v>
      </c>
      <c r="E18" s="1" t="n">
        <v>12.92</v>
      </c>
      <c r="F18" s="1" t="s">
        <v>9</v>
      </c>
    </row>
    <row collapsed="false" customFormat="false" customHeight="false" hidden="false" ht="14.75" outlineLevel="0" r="19">
      <c r="A19" s="1" t="s">
        <v>1990</v>
      </c>
      <c r="B19" s="1" t="s">
        <v>1985</v>
      </c>
      <c r="C19" s="1" t="s">
        <v>1985</v>
      </c>
      <c r="D19" s="1" t="n">
        <v>173.75</v>
      </c>
      <c r="E19" s="1" t="n">
        <v>11.75</v>
      </c>
      <c r="F19" s="1" t="s">
        <v>9</v>
      </c>
    </row>
    <row collapsed="false" customFormat="false" customHeight="false" hidden="false" ht="14.75" outlineLevel="0" r="20">
      <c r="A20" s="1" t="s">
        <v>1991</v>
      </c>
      <c r="B20" s="1" t="s">
        <v>1985</v>
      </c>
      <c r="C20" s="1" t="s">
        <v>1985</v>
      </c>
      <c r="D20" s="1" t="n">
        <v>248.89</v>
      </c>
      <c r="E20" s="1" t="n">
        <v>13</v>
      </c>
      <c r="F20" s="1" t="s">
        <v>9</v>
      </c>
    </row>
    <row collapsed="false" customFormat="false" customHeight="false" hidden="false" ht="14.75" outlineLevel="0" r="21">
      <c r="A21" s="1" t="s">
        <v>1992</v>
      </c>
      <c r="B21" s="1" t="s">
        <v>1985</v>
      </c>
      <c r="C21" s="1" t="s">
        <v>1985</v>
      </c>
      <c r="D21" s="1" t="n">
        <v>191.11</v>
      </c>
      <c r="E21" s="1" t="n">
        <v>11.74</v>
      </c>
      <c r="F21" s="1" t="s">
        <v>9</v>
      </c>
    </row>
    <row collapsed="false" customFormat="false" customHeight="false" hidden="false" ht="14.75" outlineLevel="0" r="22">
      <c r="A22" s="1" t="s">
        <v>1993</v>
      </c>
      <c r="B22" s="1" t="s">
        <v>1985</v>
      </c>
      <c r="C22" s="1" t="s">
        <v>1985</v>
      </c>
      <c r="D22" s="1" t="n">
        <v>108</v>
      </c>
      <c r="E22" s="1" t="n">
        <v>7.07</v>
      </c>
      <c r="F22" s="1" t="s">
        <v>9</v>
      </c>
    </row>
    <row collapsed="false" customFormat="false" customHeight="false" hidden="false" ht="14.75" outlineLevel="0" r="23">
      <c r="A23" s="1" t="s">
        <v>922</v>
      </c>
      <c r="B23" s="1" t="s">
        <v>1985</v>
      </c>
      <c r="C23" s="1" t="s">
        <v>1985</v>
      </c>
      <c r="D23" s="1" t="n">
        <v>384</v>
      </c>
      <c r="E23" s="1" t="n">
        <v>18.89</v>
      </c>
      <c r="F23" s="1" t="s">
        <v>9</v>
      </c>
    </row>
    <row collapsed="false" customFormat="false" customHeight="false" hidden="false" ht="14.75" outlineLevel="0" r="24">
      <c r="A24" s="1" t="s">
        <v>923</v>
      </c>
      <c r="B24" s="1" t="s">
        <v>1985</v>
      </c>
      <c r="C24" s="1" t="s">
        <v>1985</v>
      </c>
      <c r="D24" s="1" t="n">
        <v>208.89</v>
      </c>
      <c r="E24" s="1" t="n">
        <v>12.05</v>
      </c>
      <c r="F24" s="1" t="s">
        <v>9</v>
      </c>
    </row>
    <row collapsed="false" customFormat="false" customHeight="false" hidden="false" ht="14.75" outlineLevel="0" r="25">
      <c r="A25" s="1" t="s">
        <v>1994</v>
      </c>
      <c r="B25" s="1" t="s">
        <v>1985</v>
      </c>
      <c r="C25" s="1" t="s">
        <v>1985</v>
      </c>
      <c r="D25" s="1" t="n">
        <v>194</v>
      </c>
      <c r="E25" s="1" t="n">
        <v>12.5</v>
      </c>
      <c r="F25" s="1" t="s">
        <v>9</v>
      </c>
    </row>
    <row collapsed="false" customFormat="false" customHeight="false" hidden="false" ht="14.75" outlineLevel="0" r="26">
      <c r="A26" s="1" t="s">
        <v>391</v>
      </c>
      <c r="B26" s="1" t="s">
        <v>1985</v>
      </c>
      <c r="C26" s="1" t="s">
        <v>1985</v>
      </c>
      <c r="D26" s="1" t="n">
        <v>387.27</v>
      </c>
      <c r="E26" s="1" t="n">
        <v>21.37</v>
      </c>
      <c r="F26" s="1" t="s">
        <v>9</v>
      </c>
    </row>
    <row collapsed="false" customFormat="false" customHeight="false" hidden="false" ht="14.75" outlineLevel="0" r="27">
      <c r="A27" s="1" t="s">
        <v>392</v>
      </c>
      <c r="B27" s="1" t="s">
        <v>1985</v>
      </c>
      <c r="C27" s="1" t="s">
        <v>1985</v>
      </c>
      <c r="D27" s="1" t="n">
        <v>300</v>
      </c>
      <c r="E27" s="1" t="n">
        <v>14.85</v>
      </c>
      <c r="F27" s="1" t="s">
        <v>9</v>
      </c>
    </row>
    <row collapsed="false" customFormat="false" customHeight="false" hidden="false" ht="14.75" outlineLevel="0" r="28">
      <c r="A28" s="1" t="s">
        <v>393</v>
      </c>
      <c r="B28" s="1" t="s">
        <v>1985</v>
      </c>
      <c r="C28" s="1" t="s">
        <v>1985</v>
      </c>
      <c r="D28" s="1" t="n">
        <v>193.64</v>
      </c>
      <c r="E28" s="1" t="n">
        <v>11.63</v>
      </c>
      <c r="F28" s="1" t="s">
        <v>9</v>
      </c>
    </row>
    <row collapsed="false" customFormat="false" customHeight="false" hidden="false" ht="14.75" outlineLevel="0" r="29">
      <c r="A29" s="1" t="s">
        <v>1995</v>
      </c>
      <c r="B29" s="1" t="s">
        <v>1985</v>
      </c>
      <c r="C29" s="1" t="s">
        <v>1985</v>
      </c>
      <c r="D29" s="1" t="n">
        <v>40</v>
      </c>
      <c r="E29" s="1" t="n">
        <v>5.26</v>
      </c>
      <c r="F29" s="1" t="s">
        <v>9</v>
      </c>
    </row>
    <row collapsed="false" customFormat="false" customHeight="false" hidden="false" ht="14.75" outlineLevel="0" r="30">
      <c r="A30" s="1" t="s">
        <v>174</v>
      </c>
      <c r="B30" s="1" t="s">
        <v>1985</v>
      </c>
      <c r="C30" s="1" t="s">
        <v>1985</v>
      </c>
      <c r="D30" s="1" t="n">
        <v>371</v>
      </c>
      <c r="E30" s="1" t="n">
        <v>19.57</v>
      </c>
      <c r="F30" s="1" t="s">
        <v>9</v>
      </c>
    </row>
    <row collapsed="false" customFormat="false" customHeight="false" hidden="false" ht="14.75" outlineLevel="0" r="31">
      <c r="A31" s="1" t="s">
        <v>1306</v>
      </c>
      <c r="B31" s="1" t="s">
        <v>1985</v>
      </c>
      <c r="C31" s="1" t="s">
        <v>1985</v>
      </c>
      <c r="D31" s="1" t="n">
        <v>261</v>
      </c>
      <c r="E31" s="1" t="n">
        <v>14.26</v>
      </c>
      <c r="F31" s="1" t="s">
        <v>9</v>
      </c>
    </row>
    <row collapsed="false" customFormat="false" customHeight="false" hidden="false" ht="14.75" outlineLevel="0" r="32">
      <c r="A32" s="1" t="s">
        <v>396</v>
      </c>
      <c r="B32" s="1" t="s">
        <v>1985</v>
      </c>
      <c r="C32" s="1" t="s">
        <v>1985</v>
      </c>
      <c r="D32" s="1" t="n">
        <v>330</v>
      </c>
      <c r="E32" s="1" t="n">
        <v>15.88</v>
      </c>
      <c r="F32" s="1" t="s">
        <v>9</v>
      </c>
    </row>
    <row collapsed="false" customFormat="false" customHeight="false" hidden="false" ht="14.75" outlineLevel="0" r="33">
      <c r="A33" s="1" t="s">
        <v>1867</v>
      </c>
      <c r="B33" s="1" t="s">
        <v>1985</v>
      </c>
      <c r="C33" s="1" t="s">
        <v>1985</v>
      </c>
      <c r="D33" s="1" t="n">
        <v>78.33</v>
      </c>
      <c r="E33" s="1" t="n">
        <v>6.25</v>
      </c>
      <c r="F33" s="1" t="s">
        <v>9</v>
      </c>
    </row>
    <row collapsed="false" customFormat="false" customHeight="false" hidden="false" ht="14.75" outlineLevel="0" r="34">
      <c r="A34" s="1" t="s">
        <v>184</v>
      </c>
      <c r="B34" s="1" t="s">
        <v>1985</v>
      </c>
      <c r="C34" s="1" t="s">
        <v>1985</v>
      </c>
      <c r="D34" s="1" t="n">
        <v>206</v>
      </c>
      <c r="E34" s="1" t="n">
        <v>11.05</v>
      </c>
      <c r="F34" s="1" t="s">
        <v>9</v>
      </c>
    </row>
    <row collapsed="false" customFormat="false" customHeight="false" hidden="false" ht="14.75" outlineLevel="0" r="35">
      <c r="A35" s="1" t="s">
        <v>1341</v>
      </c>
      <c r="B35" s="1" t="s">
        <v>1985</v>
      </c>
      <c r="C35" s="1" t="s">
        <v>1985</v>
      </c>
      <c r="D35" s="1" t="n">
        <v>216.67</v>
      </c>
      <c r="E35" s="1" t="n">
        <v>14</v>
      </c>
      <c r="F35" s="1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blackAndWhite="false" cellComments="none" copies="1" draft="false" firstPageNumber="0" fitToHeight="1" fitToWidth="1" horizontalDpi="300" orientation="portrait" pageOrder="downThenOver" paperSize="1" scale="100" useFirstPageNumber="fals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22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85" zoomScaleNormal="85" zoomScalePageLayoutView="100">
      <pane activePane="bottomLeft" topLeftCell="A1" xSplit="0" ySplit="540"/>
      <selection activeCell="A1" activeCellId="0" pane="topLeft" sqref="A1"/>
      <selection activeCell="A1" activeCellId="0" pane="bottomLeft" sqref="A1"/>
    </sheetView>
  </sheetViews>
  <cols>
    <col collapsed="false" hidden="false" max="1" min="1" style="1" width="25.678431372549"/>
    <col collapsed="false" hidden="false" max="1025" min="2" style="0" width="8.5921568627451"/>
  </cols>
  <sheetData>
    <row collapsed="false" customFormat="false" customHeight="false" hidden="false" ht="14.75" outlineLevel="0" r="1">
      <c r="A1" s="2" t="s">
        <v>0</v>
      </c>
      <c r="B1" s="2" t="s">
        <v>3</v>
      </c>
      <c r="C1" s="2" t="s">
        <v>2605</v>
      </c>
      <c r="D1" s="2" t="n">
        <v>15</v>
      </c>
    </row>
    <row collapsed="false" customFormat="false" customHeight="false" hidden="false" ht="14.75" outlineLevel="0" r="2">
      <c r="A2" s="1" t="s">
        <v>1543</v>
      </c>
      <c r="B2" s="1" t="n">
        <v>482.52</v>
      </c>
      <c r="C2" s="1" t="n">
        <v>22.6595744680851</v>
      </c>
      <c r="D2" s="1" t="n">
        <v>7.83333333333333</v>
      </c>
    </row>
    <row collapsed="false" customFormat="false" customHeight="false" hidden="false" ht="14.75" outlineLevel="0" r="3">
      <c r="A3" s="1" t="s">
        <v>28</v>
      </c>
      <c r="B3" s="1" t="n">
        <v>462.5</v>
      </c>
      <c r="C3" s="1" t="n">
        <v>22.007299270073</v>
      </c>
      <c r="D3" s="1" t="n">
        <v>7.66666666666667</v>
      </c>
    </row>
    <row collapsed="false" customFormat="false" customHeight="false" hidden="false" ht="14.75" outlineLevel="0" r="4">
      <c r="A4" s="1" t="s">
        <v>32</v>
      </c>
      <c r="B4" s="1" t="n">
        <v>432.98</v>
      </c>
      <c r="C4" s="1" t="n">
        <v>22.6</v>
      </c>
      <c r="D4" s="1" t="n">
        <v>7.33333333333333</v>
      </c>
    </row>
    <row collapsed="false" customFormat="false" customHeight="false" hidden="false" ht="14.75" outlineLevel="0" r="5">
      <c r="A5" s="1" t="s">
        <v>384</v>
      </c>
      <c r="B5" s="1" t="n">
        <v>375.52</v>
      </c>
      <c r="C5" s="1" t="n">
        <v>22.6106194690265</v>
      </c>
      <c r="D5" s="1" t="n">
        <v>4.5</v>
      </c>
    </row>
    <row collapsed="false" customFormat="false" customHeight="false" hidden="false" ht="14.75" outlineLevel="0" r="6">
      <c r="A6" s="1" t="s">
        <v>151</v>
      </c>
      <c r="B6" s="1" t="n">
        <v>329</v>
      </c>
      <c r="C6" s="1" t="n">
        <v>19</v>
      </c>
      <c r="D6" s="1" t="n">
        <v>4</v>
      </c>
    </row>
    <row collapsed="false" customFormat="false" customHeight="false" hidden="false" ht="14.75" outlineLevel="0" r="7">
      <c r="A7" s="1" t="s">
        <v>385</v>
      </c>
      <c r="B7" s="1" t="n">
        <v>305.5</v>
      </c>
      <c r="C7" s="1" t="n">
        <v>17.5</v>
      </c>
      <c r="D7" s="1" t="n">
        <v>4.83333333333333</v>
      </c>
    </row>
    <row collapsed="false" customFormat="false" customHeight="false" hidden="false" ht="14.75" outlineLevel="0" r="8">
      <c r="A8" s="1" t="s">
        <v>1516</v>
      </c>
      <c r="B8" s="1" t="n">
        <v>299</v>
      </c>
      <c r="C8" s="1" t="n">
        <v>17.7830188679245</v>
      </c>
      <c r="D8" s="1" t="n">
        <v>2.33333333333333</v>
      </c>
    </row>
    <row collapsed="false" customFormat="false" customHeight="false" hidden="false" ht="14.75" outlineLevel="0" r="9">
      <c r="A9" s="1" t="s">
        <v>152</v>
      </c>
      <c r="B9" s="1" t="n">
        <v>258.52</v>
      </c>
      <c r="C9" s="1" t="n">
        <v>18.6931818181818</v>
      </c>
      <c r="D9" s="1" t="n">
        <v>1.83333333333333</v>
      </c>
    </row>
    <row collapsed="false" customFormat="false" customHeight="false" hidden="false" ht="14.75" outlineLevel="0" r="10">
      <c r="A10" s="1" t="s">
        <v>161</v>
      </c>
      <c r="B10" s="1" t="n">
        <v>258.48</v>
      </c>
      <c r="C10" s="1" t="n">
        <v>16.0714285714286</v>
      </c>
      <c r="D10" s="1" t="n">
        <v>3</v>
      </c>
    </row>
    <row collapsed="false" customFormat="false" customHeight="false" hidden="false" ht="14.75" outlineLevel="0" r="11">
      <c r="A11" s="1" t="s">
        <v>404</v>
      </c>
      <c r="B11" s="1" t="n">
        <v>252.52</v>
      </c>
      <c r="C11" s="1" t="n">
        <v>15.9183673469388</v>
      </c>
      <c r="D11" s="1" t="n">
        <v>2.16666666666667</v>
      </c>
    </row>
    <row collapsed="false" customFormat="false" customHeight="false" hidden="false" ht="14.75" outlineLevel="0" r="12">
      <c r="A12" s="1" t="s">
        <v>654</v>
      </c>
      <c r="B12" s="1" t="n">
        <v>220.02</v>
      </c>
      <c r="C12" s="1" t="n">
        <v>14.8823529411765</v>
      </c>
      <c r="D12" s="1" t="n">
        <v>1.66666666666667</v>
      </c>
    </row>
    <row collapsed="false" customFormat="false" customHeight="false" hidden="false" ht="14.75" outlineLevel="0" r="13">
      <c r="A13" s="1" t="s">
        <v>1521</v>
      </c>
      <c r="B13" s="1" t="n">
        <v>167.02</v>
      </c>
      <c r="C13" s="1" t="n">
        <v>15.5384615384615</v>
      </c>
      <c r="D13" s="1" t="n">
        <v>1.5</v>
      </c>
    </row>
    <row collapsed="false" customFormat="false" customHeight="false" hidden="false" ht="14.75" outlineLevel="0" r="14">
      <c r="A14" s="1" t="s">
        <v>1530</v>
      </c>
      <c r="B14" s="1" t="n">
        <v>152.766666666667</v>
      </c>
      <c r="C14" s="1" t="n">
        <v>12.1875</v>
      </c>
      <c r="D14" s="1" t="n">
        <v>0.5</v>
      </c>
    </row>
    <row collapsed="false" customFormat="false" customHeight="false" hidden="false" ht="14.75" outlineLevel="0" r="15">
      <c r="A15" s="1" t="s">
        <v>1571</v>
      </c>
      <c r="B15" s="1" t="n">
        <v>120.54</v>
      </c>
      <c r="C15" s="1" t="n">
        <v>10.1666666666667</v>
      </c>
      <c r="D15" s="1" t="n">
        <v>0.333333333333333</v>
      </c>
    </row>
    <row collapsed="false" customFormat="false" customHeight="false" hidden="false" ht="14.75" outlineLevel="0" r="16">
      <c r="A16" s="1" t="s">
        <v>1609</v>
      </c>
      <c r="B16" s="1" t="n">
        <v>117.98</v>
      </c>
      <c r="C16" s="1" t="n">
        <v>10.7627118644068</v>
      </c>
      <c r="D16" s="1" t="n">
        <v>0.666666666666667</v>
      </c>
    </row>
    <row collapsed="false" customFormat="false" customHeight="false" hidden="false" ht="14.75" outlineLevel="0" r="17">
      <c r="A17" s="1" t="s">
        <v>1544</v>
      </c>
      <c r="B17" s="1" t="n">
        <v>113.5</v>
      </c>
      <c r="C17" s="1" t="n">
        <v>10.1694915254237</v>
      </c>
      <c r="D17" s="1" t="n">
        <v>0.5</v>
      </c>
    </row>
    <row collapsed="false" customFormat="false" customHeight="false" hidden="false" ht="14.75" outlineLevel="0" r="18">
      <c r="A18" s="1" t="s">
        <v>162</v>
      </c>
      <c r="B18" s="1" t="n">
        <v>111.1</v>
      </c>
      <c r="C18" s="1" t="n">
        <v>9.61538461538462</v>
      </c>
      <c r="D18" s="1" t="n">
        <v>0.166666666666667</v>
      </c>
    </row>
    <row collapsed="false" customFormat="false" customHeight="false" hidden="false" ht="14.75" outlineLevel="0" r="19">
      <c r="A19" s="1" t="s">
        <v>1523</v>
      </c>
      <c r="B19" s="1" t="n">
        <v>93.8666666666667</v>
      </c>
      <c r="C19" s="1" t="n">
        <v>7.2</v>
      </c>
      <c r="D19" s="1" t="n">
        <v>1.16666666666667</v>
      </c>
    </row>
    <row collapsed="false" customFormat="false" customHeight="false" hidden="false" ht="14.75" outlineLevel="0" r="20">
      <c r="A20" s="1" t="s">
        <v>672</v>
      </c>
      <c r="B20" s="1" t="n">
        <v>83.8666666666667</v>
      </c>
      <c r="C20" s="1" t="n">
        <v>9.88372093023256</v>
      </c>
      <c r="D20" s="1" t="n">
        <v>0.166666666666667</v>
      </c>
    </row>
    <row collapsed="false" customFormat="false" customHeight="false" hidden="false" ht="14.75" outlineLevel="0" r="21">
      <c r="A21" s="1" t="s">
        <v>363</v>
      </c>
      <c r="B21" s="1" t="n">
        <v>66.1</v>
      </c>
      <c r="C21" s="1" t="n">
        <v>6.80555555555556</v>
      </c>
      <c r="D21" s="1" t="n">
        <v>0.666666666666667</v>
      </c>
    </row>
    <row collapsed="false" customFormat="false" customHeight="false" hidden="false" ht="14.75" outlineLevel="0" r="22">
      <c r="A22" s="1" t="s">
        <v>1524</v>
      </c>
      <c r="B22" s="1" t="n">
        <v>22.2333333333333</v>
      </c>
      <c r="C22" s="1" t="n">
        <v>3.125</v>
      </c>
      <c r="D22" s="1" t="n">
        <v>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blackAndWhite="false" cellComments="none" copies="1" draft="false" firstPageNumber="0" fitToHeight="1" fitToWidth="1" horizontalDpi="300" orientation="portrait" pageOrder="downThenOver" paperSize="1" scale="100" useFirstPageNumber="false" usePrinterDefaults="false" verticalDpi="300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LibreOffice/3.4$Win32 LibreOffice_project/340m1$Build-502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