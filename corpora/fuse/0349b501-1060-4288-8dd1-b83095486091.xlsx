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990" windowWidth="23235" windowHeight="8925"/>
  </bookViews>
  <sheets>
    <sheet name="presence-absence" sheetId="1" r:id="rId1"/>
  </sheets>
  <calcPr calcId="125725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2"/>
  <c r="G4"/>
  <c r="F7"/>
  <c r="G7" s="1"/>
  <c r="F8"/>
  <c r="G8" s="1"/>
  <c r="F9"/>
  <c r="G9" s="1"/>
  <c r="F10"/>
  <c r="G10" s="1"/>
  <c r="F11"/>
  <c r="G11" s="1"/>
  <c r="F12"/>
  <c r="G12" s="1"/>
  <c r="F13"/>
  <c r="G13" s="1"/>
  <c r="F14"/>
  <c r="G14" s="1"/>
  <c r="F15"/>
  <c r="G15" s="1"/>
  <c r="F16"/>
  <c r="G16" s="1"/>
  <c r="F17"/>
  <c r="G17" s="1"/>
  <c r="F18"/>
  <c r="G18" s="1"/>
  <c r="F19"/>
  <c r="G19" s="1"/>
  <c r="F20"/>
  <c r="G20" s="1"/>
  <c r="F21"/>
  <c r="G21" s="1"/>
  <c r="F22"/>
  <c r="G22" s="1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G37" s="1"/>
  <c r="F38"/>
  <c r="G38" s="1"/>
  <c r="F39"/>
  <c r="G39" s="1"/>
  <c r="F40"/>
  <c r="G40" s="1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G52" s="1"/>
  <c r="F53"/>
  <c r="G53" s="1"/>
  <c r="F54"/>
  <c r="G54" s="1"/>
  <c r="F55"/>
  <c r="G55" s="1"/>
  <c r="F56"/>
  <c r="G56" s="1"/>
  <c r="F57"/>
  <c r="G57" s="1"/>
  <c r="F58"/>
  <c r="G58" s="1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G70" s="1"/>
  <c r="F71"/>
  <c r="G71" s="1"/>
  <c r="F72"/>
  <c r="G72" s="1"/>
  <c r="F73"/>
  <c r="G73" s="1"/>
  <c r="F74"/>
  <c r="G74" s="1"/>
  <c r="F75"/>
  <c r="G75" s="1"/>
  <c r="F76"/>
  <c r="G76" s="1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G88" s="1"/>
  <c r="F89"/>
  <c r="G89" s="1"/>
  <c r="F90"/>
  <c r="G90" s="1"/>
  <c r="F91"/>
  <c r="G91" s="1"/>
  <c r="F92"/>
  <c r="G92" s="1"/>
  <c r="F93"/>
  <c r="G93" s="1"/>
  <c r="F94"/>
  <c r="G94" s="1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G109" s="1"/>
  <c r="F110"/>
  <c r="G110" s="1"/>
  <c r="F111"/>
  <c r="G111" s="1"/>
  <c r="F112"/>
  <c r="G112" s="1"/>
  <c r="F113"/>
  <c r="G113" s="1"/>
  <c r="F114"/>
  <c r="G114" s="1"/>
  <c r="F115"/>
  <c r="G115" s="1"/>
  <c r="F116"/>
  <c r="G116" s="1"/>
  <c r="F117"/>
  <c r="G117" s="1"/>
  <c r="F118"/>
  <c r="G118" s="1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G127" s="1"/>
  <c r="F128"/>
  <c r="G128" s="1"/>
  <c r="F129"/>
  <c r="G129" s="1"/>
  <c r="F130"/>
  <c r="G130" s="1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G145" s="1"/>
  <c r="F146"/>
  <c r="G146" s="1"/>
  <c r="F147"/>
  <c r="G147" s="1"/>
  <c r="F148"/>
  <c r="G148" s="1"/>
  <c r="F149"/>
  <c r="G149" s="1"/>
  <c r="F150"/>
  <c r="G150" s="1"/>
  <c r="F151"/>
  <c r="G151" s="1"/>
  <c r="F152"/>
  <c r="G152" s="1"/>
  <c r="F153"/>
  <c r="G153" s="1"/>
  <c r="F3"/>
  <c r="G3" s="1"/>
  <c r="F4"/>
  <c r="F5"/>
  <c r="G5" s="1"/>
  <c r="F6"/>
  <c r="G6" s="1"/>
  <c r="F2"/>
  <c r="G2" s="1"/>
</calcChain>
</file>

<file path=xl/sharedStrings.xml><?xml version="1.0" encoding="utf-8"?>
<sst xmlns="http://schemas.openxmlformats.org/spreadsheetml/2006/main" count="160" uniqueCount="158">
  <si>
    <t>P</t>
  </si>
  <si>
    <t>P.adj.BH</t>
  </si>
  <si>
    <t>Dialister sp. type 2</t>
  </si>
  <si>
    <t>Eggerthella sp. type 1</t>
  </si>
  <si>
    <t>Parvimonas micra</t>
  </si>
  <si>
    <t>Prevotella timonensis</t>
  </si>
  <si>
    <t>Atopobium vaginae</t>
  </si>
  <si>
    <t>BVAB2</t>
  </si>
  <si>
    <t>Dialister micraerophilus</t>
  </si>
  <si>
    <t>Prevotella buccalis</t>
  </si>
  <si>
    <t>Megasphaera sp. type 1</t>
  </si>
  <si>
    <t>Aerococcus christensenii</t>
  </si>
  <si>
    <t>Porphyromonas asaccharolytica</t>
  </si>
  <si>
    <t>Sneathia sanguinegens</t>
  </si>
  <si>
    <t>Leptotrichia amnionii</t>
  </si>
  <si>
    <t>Prevotella</t>
  </si>
  <si>
    <t>Mycoplasma hominis</t>
  </si>
  <si>
    <t>Lactobacillus jensenii</t>
  </si>
  <si>
    <t>Anaerococcus prevotii/tetradius</t>
  </si>
  <si>
    <t>Prevotella bivia</t>
  </si>
  <si>
    <t>Gemella haemolysans</t>
  </si>
  <si>
    <t>Prevotella amnii</t>
  </si>
  <si>
    <t>Gardnerella vaginalis</t>
  </si>
  <si>
    <t>BVAB3</t>
  </si>
  <si>
    <t>Megasphaera sp. type 2</t>
  </si>
  <si>
    <t>Prevotella disiens</t>
  </si>
  <si>
    <t>Lactobacillus crispatus</t>
  </si>
  <si>
    <t>Prevotella genogroup 3</t>
  </si>
  <si>
    <t>BVAB1</t>
  </si>
  <si>
    <t>Lactobacillus vaginalis</t>
  </si>
  <si>
    <t>Porphyromonas</t>
  </si>
  <si>
    <t>Prevotella genogroup 4</t>
  </si>
  <si>
    <t>Peptostreptococcus</t>
  </si>
  <si>
    <t>Fusobacterium nucleatum</t>
  </si>
  <si>
    <t>Bacteroides/Porphyromonas</t>
  </si>
  <si>
    <t>Coriobacteriaceae</t>
  </si>
  <si>
    <t>Lactobacillus gasseri</t>
  </si>
  <si>
    <t>Arcanobacterium phocae</t>
  </si>
  <si>
    <t>Fusobacteriaceae</t>
  </si>
  <si>
    <t>Sutterella</t>
  </si>
  <si>
    <t>Prevotella melaninogenica</t>
  </si>
  <si>
    <t>Sneathia</t>
  </si>
  <si>
    <t>Peptoniphilus harei</t>
  </si>
  <si>
    <t>Mobiluncus curtisii</t>
  </si>
  <si>
    <t>Campylobacter ureolyticus</t>
  </si>
  <si>
    <t>Candidate Division TM7 vaginal</t>
  </si>
  <si>
    <t>Lachnospiraceae</t>
  </si>
  <si>
    <t>Peptoniphilus lacrimalis</t>
  </si>
  <si>
    <t>Porphyromonas sp. type 1</t>
  </si>
  <si>
    <t>Peptoniphilus</t>
  </si>
  <si>
    <t>Aerococcus</t>
  </si>
  <si>
    <t>Mobiluncus mulieris</t>
  </si>
  <si>
    <t>Lactobacillus coleohominis</t>
  </si>
  <si>
    <t>Mycoplasma</t>
  </si>
  <si>
    <t>Bifidobacterium breve</t>
  </si>
  <si>
    <t>Eubacteriaceae/Lachnospiraceae</t>
  </si>
  <si>
    <t>Veillonella montpellierensis</t>
  </si>
  <si>
    <t>Dialister propionicifaciens</t>
  </si>
  <si>
    <t>Prevotella genogroup 7</t>
  </si>
  <si>
    <t>Actinomyces</t>
  </si>
  <si>
    <t>Bacillales</t>
  </si>
  <si>
    <t>Fusobacterium gonidiaformans</t>
  </si>
  <si>
    <t>Peptostreptococcus stomatis</t>
  </si>
  <si>
    <t>Actinobacteridae</t>
  </si>
  <si>
    <t>Bifidobacterium</t>
  </si>
  <si>
    <t>Dialister</t>
  </si>
  <si>
    <t>Lactobacillales</t>
  </si>
  <si>
    <t>Clostridium colicanis</t>
  </si>
  <si>
    <t>Escherichia coli</t>
  </si>
  <si>
    <t>Alistipes finegoldii</t>
  </si>
  <si>
    <t>Bifidobacteriaceae</t>
  </si>
  <si>
    <t>Corynebacterium</t>
  </si>
  <si>
    <t>Megasphaera</t>
  </si>
  <si>
    <t>Megasphaera micronuciformis</t>
  </si>
  <si>
    <t>Porphyromonas uenonis</t>
  </si>
  <si>
    <t>Prevotella bergensis</t>
  </si>
  <si>
    <t>Sutterella wadsworthensis</t>
  </si>
  <si>
    <t>Anaerococcus</t>
  </si>
  <si>
    <t>Atopobium</t>
  </si>
  <si>
    <t>Bacteroides faecis</t>
  </si>
  <si>
    <t>Bilophila wadsworthia</t>
  </si>
  <si>
    <t>Clostridiales Family XI. Incertae Sedis</t>
  </si>
  <si>
    <t>Corynebacterineae</t>
  </si>
  <si>
    <t>Delftia</t>
  </si>
  <si>
    <t>Dialister/Megasphaera</t>
  </si>
  <si>
    <t>Dialister pneumosintes</t>
  </si>
  <si>
    <t>Eubacteriaceae/Ruminococcaceae</t>
  </si>
  <si>
    <t>Eubacterium/Megasphaera</t>
  </si>
  <si>
    <t>Staphylococcus</t>
  </si>
  <si>
    <t>Bifidobacterium bifidum</t>
  </si>
  <si>
    <t>Actinobacteria (class)</t>
  </si>
  <si>
    <t>Actinobaculum massiliense</t>
  </si>
  <si>
    <t>Actinomycetaceae</t>
  </si>
  <si>
    <t>Anaerococcus prevotii</t>
  </si>
  <si>
    <t>Atopobium minutum</t>
  </si>
  <si>
    <t>delta/epsilon subdivisions</t>
  </si>
  <si>
    <t>Haemophilus pittmaniae</t>
  </si>
  <si>
    <t>Lactobacillus kalixensis</t>
  </si>
  <si>
    <t>Moraxellaceae</t>
  </si>
  <si>
    <t>Moryella indoligenes</t>
  </si>
  <si>
    <t>Neisseria gonorrhoeae</t>
  </si>
  <si>
    <t>Porphyromonas bennonis</t>
  </si>
  <si>
    <t>Porphyromonas endodontalis</t>
  </si>
  <si>
    <t>Prevotella intermedia</t>
  </si>
  <si>
    <t>Prevotella/Ruminococcus</t>
  </si>
  <si>
    <t>Slackia exigua</t>
  </si>
  <si>
    <t>Streptococcus</t>
  </si>
  <si>
    <t>Anaerococcus vaginalis</t>
  </si>
  <si>
    <t>Actinomyces neuii</t>
  </si>
  <si>
    <t>Bacteroides</t>
  </si>
  <si>
    <t>Brevibacterium paucivorans</t>
  </si>
  <si>
    <t>Corynebacterium tuberculostearicum</t>
  </si>
  <si>
    <t>Faecalibacterium prausnitzii</t>
  </si>
  <si>
    <t>Candidatus Peptoniphilus massiliensis</t>
  </si>
  <si>
    <t>Ruminococcus obeum</t>
  </si>
  <si>
    <t>Finegoldia magna</t>
  </si>
  <si>
    <t>Streptococcus salivarius/thermophilus</t>
  </si>
  <si>
    <t>Veillonella atypica</t>
  </si>
  <si>
    <t>Veillonella atypica/parvula</t>
  </si>
  <si>
    <t>Lactobacillus</t>
  </si>
  <si>
    <t>Rhodopseudomonas palustris</t>
  </si>
  <si>
    <t>Asticcacaulis excentricus</t>
  </si>
  <si>
    <t>Bacteroides stercoris</t>
  </si>
  <si>
    <t>Dorea longicatena</t>
  </si>
  <si>
    <t>Fusobacterium</t>
  </si>
  <si>
    <t>Lachnospiraceae/Ruminococcaceae</t>
  </si>
  <si>
    <t>Lactobacillus iners</t>
  </si>
  <si>
    <t>Pelomonas aquatica</t>
  </si>
  <si>
    <t>Streptococcus agalactiae</t>
  </si>
  <si>
    <t>Streptococcus mitis/oralis</t>
  </si>
  <si>
    <t>Streptococcus parasanguinis</t>
  </si>
  <si>
    <t>Ureaplasma parvum/urealyticum</t>
  </si>
  <si>
    <t>Streptococcus anginosus</t>
  </si>
  <si>
    <t>Eubacterium</t>
  </si>
  <si>
    <t>Prevotella genogroup 6</t>
  </si>
  <si>
    <t>Rhizobiales</t>
  </si>
  <si>
    <t>Bacteroides coagulans</t>
  </si>
  <si>
    <t>Bacteroides nordii</t>
  </si>
  <si>
    <t>Clostridiales</t>
  </si>
  <si>
    <t>Enterococcus durans/faecalis/faecium</t>
  </si>
  <si>
    <t>Haemophilus</t>
  </si>
  <si>
    <t>Parabacteroides merdae</t>
  </si>
  <si>
    <t>Porphyromonas somerae</t>
  </si>
  <si>
    <t>Raoultella planticola</t>
  </si>
  <si>
    <t>Rhizobacter dauci</t>
  </si>
  <si>
    <t>Roseburia inulinivorans</t>
  </si>
  <si>
    <t>Ruminococcaceae</t>
  </si>
  <si>
    <t>Staphylococcus haemolyticus</t>
  </si>
  <si>
    <t>Streptococcus gallolyticus</t>
  </si>
  <si>
    <t>Varibaculum cambriense</t>
  </si>
  <si>
    <t>Bacteroides xylanisolvens</t>
  </si>
  <si>
    <t>Brevibacterium otitidis</t>
  </si>
  <si>
    <t>Delftia tsuruhatensis</t>
  </si>
  <si>
    <t>Fusobacterium periodonticum</t>
  </si>
  <si>
    <t>Nugent 0-6</t>
  </si>
  <si>
    <t>Percent</t>
  </si>
  <si>
    <t>Nugent 7-10</t>
  </si>
  <si>
    <t>Totals (N)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</si>
</sst>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>
      <selection activeCell="G26" sqref="G26"/>
    </sheetView>
  </sheetViews>
  <sheetFormatPr defaultRowHeight="15"/>
  <cols>
    <col min="1" max="1" width="31.7109375" customWidth="1"/>
    <col min="2" max="2" width="11.140625" customWidth="1"/>
    <col min="3" max="3" width="7.85546875" customWidth="1"/>
    <col min="4" max="4" width="12.5703125" customWidth="1"/>
    <col min="5" max="5" width="8.85546875" customWidth="1"/>
    <col min="6" max="6" width="10" customWidth="1"/>
    <col min="7" max="7" width="7.85546875" customWidth="1"/>
  </cols>
  <sheetData>
    <row r="1" spans="1:9">
      <c r="A1" s="1"/>
      <c r="B1" s="1" t="s">
        <v>154</v>
      </c>
      <c r="C1" s="1" t="s">
        <v>155</v>
      </c>
      <c r="D1" s="1" t="s">
        <v>156</v>
      </c>
      <c r="E1" s="1" t="s">
        <v>155</v>
      </c>
      <c r="F1" s="1" t="s">
        <v>157</v>
      </c>
      <c r="G1" s="1" t="s">
        <v>155</v>
      </c>
      <c r="H1" s="1" t="s">
        <v>0</v>
      </c>
      <c r="I1" s="1" t="s">
        <v>1</v>
      </c>
    </row>
    <row r="2" spans="1:9">
      <c r="A2" s="1" t="s">
        <v>2</v>
      </c>
      <c r="B2" s="1">
        <v>4</v>
      </c>
      <c r="C2" s="1">
        <f>B2/103*100</f>
        <v>3.8834951456310676</v>
      </c>
      <c r="D2" s="1">
        <v>88</v>
      </c>
      <c r="E2" s="2">
        <f>D2/117*100</f>
        <v>75.213675213675216</v>
      </c>
      <c r="F2" s="1">
        <f>SUM(B2,D2)</f>
        <v>92</v>
      </c>
      <c r="G2" s="1">
        <f>F2/220*100</f>
        <v>41.818181818181813</v>
      </c>
      <c r="H2" s="3">
        <v>3.24717378283586E-16</v>
      </c>
      <c r="I2" s="3">
        <v>4.93570414991051E-14</v>
      </c>
    </row>
    <row r="3" spans="1:9">
      <c r="A3" s="1" t="s">
        <v>3</v>
      </c>
      <c r="B3" s="1">
        <v>9</v>
      </c>
      <c r="C3" s="1">
        <f t="shared" ref="C3:C66" si="0">B3/103*100</f>
        <v>8.7378640776699026</v>
      </c>
      <c r="D3" s="1">
        <v>99</v>
      </c>
      <c r="E3" s="2">
        <f t="shared" ref="E3:E66" si="1">D3/117*100</f>
        <v>84.615384615384613</v>
      </c>
      <c r="F3" s="1">
        <f t="shared" ref="F3:F66" si="2">SUM(B3,D3)</f>
        <v>108</v>
      </c>
      <c r="G3" s="1">
        <f t="shared" ref="G3:G66" si="3">F3/220*100</f>
        <v>49.090909090909093</v>
      </c>
      <c r="H3" s="3">
        <v>1.09983820533164E-15</v>
      </c>
      <c r="I3" s="3">
        <v>8.3587703605204498E-14</v>
      </c>
    </row>
    <row r="4" spans="1:9">
      <c r="A4" s="1" t="s">
        <v>4</v>
      </c>
      <c r="B4" s="1">
        <v>7</v>
      </c>
      <c r="C4" s="1">
        <f t="shared" si="0"/>
        <v>6.7961165048543686</v>
      </c>
      <c r="D4" s="1">
        <v>85</v>
      </c>
      <c r="E4" s="1">
        <f t="shared" si="1"/>
        <v>72.649572649572647</v>
      </c>
      <c r="F4" s="1">
        <f t="shared" si="2"/>
        <v>92</v>
      </c>
      <c r="G4" s="1">
        <f t="shared" si="3"/>
        <v>41.818181818181813</v>
      </c>
      <c r="H4" s="3">
        <v>4.8105432650463897E-14</v>
      </c>
      <c r="I4" s="3">
        <v>2.4373419209568398E-12</v>
      </c>
    </row>
    <row r="5" spans="1:9">
      <c r="A5" s="1" t="s">
        <v>5</v>
      </c>
      <c r="B5" s="1">
        <v>9</v>
      </c>
      <c r="C5" s="1">
        <f t="shared" si="0"/>
        <v>8.7378640776699026</v>
      </c>
      <c r="D5" s="1">
        <v>89</v>
      </c>
      <c r="E5" s="2">
        <f t="shared" si="1"/>
        <v>76.068376068376068</v>
      </c>
      <c r="F5" s="1">
        <f t="shared" si="2"/>
        <v>98</v>
      </c>
      <c r="G5" s="1">
        <f t="shared" si="3"/>
        <v>44.545454545454547</v>
      </c>
      <c r="H5" s="3">
        <v>8.2427493851900104E-14</v>
      </c>
      <c r="I5" s="3">
        <v>3.1322447663722E-12</v>
      </c>
    </row>
    <row r="6" spans="1:9">
      <c r="A6" s="1" t="s">
        <v>6</v>
      </c>
      <c r="B6" s="1">
        <v>20</v>
      </c>
      <c r="C6" s="1">
        <f t="shared" si="0"/>
        <v>19.417475728155338</v>
      </c>
      <c r="D6" s="1">
        <v>107</v>
      </c>
      <c r="E6" s="2">
        <f t="shared" si="1"/>
        <v>91.452991452991455</v>
      </c>
      <c r="F6" s="1">
        <f t="shared" si="2"/>
        <v>127</v>
      </c>
      <c r="G6" s="1">
        <f t="shared" si="3"/>
        <v>57.727272727272727</v>
      </c>
      <c r="H6" s="3">
        <v>2.26554879311948E-12</v>
      </c>
      <c r="I6" s="3">
        <v>5.2425206635126398E-11</v>
      </c>
    </row>
    <row r="7" spans="1:9">
      <c r="A7" s="1" t="s">
        <v>7</v>
      </c>
      <c r="B7" s="1">
        <v>7</v>
      </c>
      <c r="C7" s="1">
        <f t="shared" si="0"/>
        <v>6.7961165048543686</v>
      </c>
      <c r="D7" s="1">
        <v>76</v>
      </c>
      <c r="E7" s="1">
        <f t="shared" si="1"/>
        <v>64.957264957264954</v>
      </c>
      <c r="F7" s="1">
        <f t="shared" si="2"/>
        <v>83</v>
      </c>
      <c r="G7" s="1">
        <f t="shared" si="3"/>
        <v>37.727272727272727</v>
      </c>
      <c r="H7" s="3">
        <v>2.4143187266176602E-12</v>
      </c>
      <c r="I7" s="3">
        <v>5.2425206635126398E-11</v>
      </c>
    </row>
    <row r="8" spans="1:9">
      <c r="A8" s="1" t="s">
        <v>8</v>
      </c>
      <c r="B8" s="1">
        <v>13</v>
      </c>
      <c r="C8" s="1">
        <f t="shared" si="0"/>
        <v>12.621359223300971</v>
      </c>
      <c r="D8" s="1">
        <v>91</v>
      </c>
      <c r="E8" s="2">
        <f t="shared" si="1"/>
        <v>77.777777777777786</v>
      </c>
      <c r="F8" s="1">
        <f t="shared" si="2"/>
        <v>104</v>
      </c>
      <c r="G8" s="1">
        <f t="shared" si="3"/>
        <v>47.272727272727273</v>
      </c>
      <c r="H8" s="3">
        <v>2.3196568899556699E-12</v>
      </c>
      <c r="I8" s="3">
        <v>5.2425206635126398E-11</v>
      </c>
    </row>
    <row r="9" spans="1:9">
      <c r="A9" s="1" t="s">
        <v>9</v>
      </c>
      <c r="B9" s="1">
        <v>3</v>
      </c>
      <c r="C9" s="1">
        <f t="shared" si="0"/>
        <v>2.912621359223301</v>
      </c>
      <c r="D9" s="1">
        <v>62</v>
      </c>
      <c r="E9" s="1">
        <f t="shared" si="1"/>
        <v>52.991452991452995</v>
      </c>
      <c r="F9" s="1">
        <f t="shared" si="2"/>
        <v>65</v>
      </c>
      <c r="G9" s="1">
        <f t="shared" si="3"/>
        <v>29.545454545454547</v>
      </c>
      <c r="H9" s="3">
        <v>9.1793062200453693E-12</v>
      </c>
      <c r="I9" s="3">
        <v>1.7440681818086199E-10</v>
      </c>
    </row>
    <row r="10" spans="1:9">
      <c r="A10" s="1" t="s">
        <v>10</v>
      </c>
      <c r="B10" s="1">
        <v>13</v>
      </c>
      <c r="C10" s="1">
        <f t="shared" si="0"/>
        <v>12.621359223300971</v>
      </c>
      <c r="D10" s="1">
        <v>79</v>
      </c>
      <c r="E10" s="1">
        <f t="shared" si="1"/>
        <v>67.521367521367523</v>
      </c>
      <c r="F10" s="1">
        <f t="shared" si="2"/>
        <v>92</v>
      </c>
      <c r="G10" s="1">
        <f t="shared" si="3"/>
        <v>41.818181818181813</v>
      </c>
      <c r="H10" s="3">
        <v>3.3139131191377098E-10</v>
      </c>
      <c r="I10" s="3">
        <v>5.5968310456547999E-9</v>
      </c>
    </row>
    <row r="11" spans="1:9">
      <c r="A11" s="1" t="s">
        <v>11</v>
      </c>
      <c r="B11" s="1">
        <v>20</v>
      </c>
      <c r="C11" s="1">
        <f t="shared" si="0"/>
        <v>19.417475728155338</v>
      </c>
      <c r="D11" s="1">
        <v>91</v>
      </c>
      <c r="E11" s="2">
        <f t="shared" si="1"/>
        <v>77.777777777777786</v>
      </c>
      <c r="F11" s="1">
        <f t="shared" si="2"/>
        <v>111</v>
      </c>
      <c r="G11" s="1">
        <f t="shared" si="3"/>
        <v>50.454545454545453</v>
      </c>
      <c r="H11" s="3">
        <v>1.1951270255039901E-9</v>
      </c>
      <c r="I11" s="3">
        <v>1.8165930787660698E-8</v>
      </c>
    </row>
    <row r="12" spans="1:9">
      <c r="A12" s="1" t="s">
        <v>12</v>
      </c>
      <c r="B12" s="1">
        <v>4</v>
      </c>
      <c r="C12" s="1">
        <f t="shared" si="0"/>
        <v>3.8834951456310676</v>
      </c>
      <c r="D12" s="1">
        <v>51</v>
      </c>
      <c r="E12" s="1">
        <f t="shared" si="1"/>
        <v>43.589743589743591</v>
      </c>
      <c r="F12" s="1">
        <f t="shared" si="2"/>
        <v>55</v>
      </c>
      <c r="G12" s="1">
        <f t="shared" si="3"/>
        <v>25</v>
      </c>
      <c r="H12" s="3">
        <v>4.1663072210692102E-9</v>
      </c>
      <c r="I12" s="3">
        <v>5.2773224800210002E-8</v>
      </c>
    </row>
    <row r="13" spans="1:9">
      <c r="A13" s="1" t="s">
        <v>13</v>
      </c>
      <c r="B13" s="1">
        <v>14</v>
      </c>
      <c r="C13" s="1">
        <f t="shared" si="0"/>
        <v>13.592233009708737</v>
      </c>
      <c r="D13" s="1">
        <v>75</v>
      </c>
      <c r="E13" s="1">
        <f t="shared" si="1"/>
        <v>64.102564102564102</v>
      </c>
      <c r="F13" s="1">
        <f t="shared" si="2"/>
        <v>89</v>
      </c>
      <c r="G13" s="1">
        <f t="shared" si="3"/>
        <v>40.454545454545453</v>
      </c>
      <c r="H13" s="3">
        <v>4.1636857961458198E-9</v>
      </c>
      <c r="I13" s="3">
        <v>5.2773224800210002E-8</v>
      </c>
    </row>
    <row r="14" spans="1:9">
      <c r="A14" s="1" t="s">
        <v>14</v>
      </c>
      <c r="B14" s="1">
        <v>22</v>
      </c>
      <c r="C14" s="1">
        <f t="shared" si="0"/>
        <v>21.359223300970871</v>
      </c>
      <c r="D14" s="1">
        <v>91</v>
      </c>
      <c r="E14" s="2">
        <f t="shared" si="1"/>
        <v>77.777777777777786</v>
      </c>
      <c r="F14" s="1">
        <f t="shared" si="2"/>
        <v>113</v>
      </c>
      <c r="G14" s="1">
        <f t="shared" si="3"/>
        <v>51.363636363636367</v>
      </c>
      <c r="H14" s="3">
        <v>5.6663181746155804E-9</v>
      </c>
      <c r="I14" s="3">
        <v>6.6252335580120598E-8</v>
      </c>
    </row>
    <row r="15" spans="1:9">
      <c r="A15" s="1" t="s">
        <v>15</v>
      </c>
      <c r="B15" s="1">
        <v>4</v>
      </c>
      <c r="C15" s="1">
        <f t="shared" si="0"/>
        <v>3.8834951456310676</v>
      </c>
      <c r="D15" s="1">
        <v>48</v>
      </c>
      <c r="E15" s="1">
        <f t="shared" si="1"/>
        <v>41.025641025641022</v>
      </c>
      <c r="F15" s="1">
        <f t="shared" si="2"/>
        <v>52</v>
      </c>
      <c r="G15" s="1">
        <f t="shared" si="3"/>
        <v>23.636363636363637</v>
      </c>
      <c r="H15" s="3">
        <v>1.5650622443247502E-8</v>
      </c>
      <c r="I15" s="3">
        <v>1.69921043669545E-7</v>
      </c>
    </row>
    <row r="16" spans="1:9">
      <c r="A16" s="1" t="s">
        <v>16</v>
      </c>
      <c r="B16" s="1">
        <v>6</v>
      </c>
      <c r="C16" s="1">
        <f t="shared" si="0"/>
        <v>5.825242718446602</v>
      </c>
      <c r="D16" s="1">
        <v>52</v>
      </c>
      <c r="E16" s="1">
        <f t="shared" si="1"/>
        <v>44.444444444444443</v>
      </c>
      <c r="F16" s="1">
        <f t="shared" si="2"/>
        <v>58</v>
      </c>
      <c r="G16" s="1">
        <f t="shared" si="3"/>
        <v>26.36363636363636</v>
      </c>
      <c r="H16" s="3">
        <v>2.5955110086108398E-8</v>
      </c>
      <c r="I16" s="3">
        <v>2.6301178220589802E-7</v>
      </c>
    </row>
    <row r="17" spans="1:9">
      <c r="A17" s="1" t="s">
        <v>17</v>
      </c>
      <c r="B17" s="1">
        <v>67</v>
      </c>
      <c r="C17" s="2">
        <f t="shared" si="0"/>
        <v>65.048543689320397</v>
      </c>
      <c r="D17" s="1">
        <v>21</v>
      </c>
      <c r="E17" s="1">
        <f t="shared" si="1"/>
        <v>17.948717948717949</v>
      </c>
      <c r="F17" s="1">
        <f t="shared" si="2"/>
        <v>88</v>
      </c>
      <c r="G17" s="1">
        <f t="shared" si="3"/>
        <v>40</v>
      </c>
      <c r="H17" s="3">
        <v>3.5528341159293101E-8</v>
      </c>
      <c r="I17" s="3">
        <v>3.3751924101328499E-7</v>
      </c>
    </row>
    <row r="18" spans="1:9">
      <c r="A18" s="1" t="s">
        <v>18</v>
      </c>
      <c r="B18" s="1">
        <v>3</v>
      </c>
      <c r="C18" s="1">
        <f t="shared" si="0"/>
        <v>2.912621359223301</v>
      </c>
      <c r="D18" s="1">
        <v>43</v>
      </c>
      <c r="E18" s="1">
        <f t="shared" si="1"/>
        <v>36.752136752136757</v>
      </c>
      <c r="F18" s="1">
        <f t="shared" si="2"/>
        <v>46</v>
      </c>
      <c r="G18" s="1">
        <f t="shared" si="3"/>
        <v>20.909090909090907</v>
      </c>
      <c r="H18" s="3">
        <v>4.3216529371320399E-8</v>
      </c>
      <c r="I18" s="3">
        <v>3.86406615555335E-7</v>
      </c>
    </row>
    <row r="19" spans="1:9">
      <c r="A19" s="1" t="s">
        <v>19</v>
      </c>
      <c r="B19" s="1">
        <v>17</v>
      </c>
      <c r="C19" s="1">
        <f t="shared" si="0"/>
        <v>16.50485436893204</v>
      </c>
      <c r="D19" s="1">
        <v>75</v>
      </c>
      <c r="E19" s="1">
        <f t="shared" si="1"/>
        <v>64.102564102564102</v>
      </c>
      <c r="F19" s="1">
        <f t="shared" si="2"/>
        <v>92</v>
      </c>
      <c r="G19" s="1">
        <f t="shared" si="3"/>
        <v>41.818181818181813</v>
      </c>
      <c r="H19" s="3">
        <v>5.1059503558706101E-8</v>
      </c>
      <c r="I19" s="3">
        <v>4.31169141162407E-7</v>
      </c>
    </row>
    <row r="20" spans="1:9">
      <c r="A20" s="1" t="s">
        <v>20</v>
      </c>
      <c r="B20" s="1">
        <v>5</v>
      </c>
      <c r="C20" s="1">
        <f t="shared" si="0"/>
        <v>4.8543689320388346</v>
      </c>
      <c r="D20" s="1">
        <v>47</v>
      </c>
      <c r="E20" s="1">
        <f t="shared" si="1"/>
        <v>40.17094017094017</v>
      </c>
      <c r="F20" s="1">
        <f t="shared" si="2"/>
        <v>52</v>
      </c>
      <c r="G20" s="1">
        <f t="shared" si="3"/>
        <v>23.636363636363637</v>
      </c>
      <c r="H20" s="3">
        <v>7.6006418995717703E-8</v>
      </c>
      <c r="I20" s="3">
        <v>5.7764878436745499E-7</v>
      </c>
    </row>
    <row r="21" spans="1:9">
      <c r="A21" s="1" t="s">
        <v>21</v>
      </c>
      <c r="B21" s="1">
        <v>10</v>
      </c>
      <c r="C21" s="1">
        <f t="shared" si="0"/>
        <v>9.7087378640776691</v>
      </c>
      <c r="D21" s="1">
        <v>59</v>
      </c>
      <c r="E21" s="1">
        <f t="shared" si="1"/>
        <v>50.427350427350426</v>
      </c>
      <c r="F21" s="1">
        <f t="shared" si="2"/>
        <v>69</v>
      </c>
      <c r="G21" s="1">
        <f t="shared" si="3"/>
        <v>31.363636363636367</v>
      </c>
      <c r="H21" s="3">
        <v>7.3986674345538099E-8</v>
      </c>
      <c r="I21" s="3">
        <v>5.7764878436745499E-7</v>
      </c>
    </row>
    <row r="22" spans="1:9">
      <c r="A22" s="1" t="s">
        <v>22</v>
      </c>
      <c r="B22" s="1">
        <v>39</v>
      </c>
      <c r="C22" s="1">
        <f t="shared" si="0"/>
        <v>37.864077669902912</v>
      </c>
      <c r="D22" s="1">
        <v>115</v>
      </c>
      <c r="E22" s="1">
        <f t="shared" si="1"/>
        <v>98.290598290598282</v>
      </c>
      <c r="F22" s="1">
        <f t="shared" si="2"/>
        <v>154</v>
      </c>
      <c r="G22" s="1">
        <f t="shared" si="3"/>
        <v>70</v>
      </c>
      <c r="H22" s="3">
        <v>9.0226414703764295E-8</v>
      </c>
      <c r="I22" s="3">
        <v>6.5306738261772195E-7</v>
      </c>
    </row>
    <row r="23" spans="1:9">
      <c r="A23" s="1" t="s">
        <v>23</v>
      </c>
      <c r="B23" s="1">
        <v>1</v>
      </c>
      <c r="C23" s="1">
        <f t="shared" si="0"/>
        <v>0.97087378640776689</v>
      </c>
      <c r="D23" s="1">
        <v>35</v>
      </c>
      <c r="E23" s="1">
        <f t="shared" si="1"/>
        <v>29.914529914529915</v>
      </c>
      <c r="F23" s="1">
        <f t="shared" si="2"/>
        <v>36</v>
      </c>
      <c r="G23" s="1">
        <f t="shared" si="3"/>
        <v>16.363636363636363</v>
      </c>
      <c r="H23" s="3">
        <v>1.1863805663869801E-7</v>
      </c>
      <c r="I23" s="3">
        <v>7.84042809090524E-7</v>
      </c>
    </row>
    <row r="24" spans="1:9">
      <c r="A24" s="1" t="s">
        <v>24</v>
      </c>
      <c r="B24" s="1">
        <v>1</v>
      </c>
      <c r="C24" s="1">
        <f t="shared" si="0"/>
        <v>0.97087378640776689</v>
      </c>
      <c r="D24" s="1">
        <v>35</v>
      </c>
      <c r="E24" s="1">
        <f t="shared" si="1"/>
        <v>29.914529914529915</v>
      </c>
      <c r="F24" s="1">
        <f t="shared" si="2"/>
        <v>36</v>
      </c>
      <c r="G24" s="1">
        <f t="shared" si="3"/>
        <v>16.363636363636363</v>
      </c>
      <c r="H24" s="3">
        <v>1.1863805663869801E-7</v>
      </c>
      <c r="I24" s="3">
        <v>7.84042809090524E-7</v>
      </c>
    </row>
    <row r="25" spans="1:9">
      <c r="A25" s="1" t="s">
        <v>25</v>
      </c>
      <c r="B25" s="1">
        <v>5</v>
      </c>
      <c r="C25" s="1">
        <f t="shared" si="0"/>
        <v>4.8543689320388346</v>
      </c>
      <c r="D25" s="1">
        <v>44</v>
      </c>
      <c r="E25" s="1">
        <f t="shared" si="1"/>
        <v>37.606837606837608</v>
      </c>
      <c r="F25" s="1">
        <f t="shared" si="2"/>
        <v>49</v>
      </c>
      <c r="G25" s="1">
        <f t="shared" si="3"/>
        <v>22.272727272727273</v>
      </c>
      <c r="H25" s="3">
        <v>2.8007405725663499E-7</v>
      </c>
      <c r="I25" s="3">
        <v>1.77380236262535E-6</v>
      </c>
    </row>
    <row r="26" spans="1:9">
      <c r="A26" s="1" t="s">
        <v>26</v>
      </c>
      <c r="B26" s="1">
        <v>76</v>
      </c>
      <c r="C26" s="2">
        <f t="shared" si="0"/>
        <v>73.786407766990294</v>
      </c>
      <c r="D26" s="1">
        <v>33</v>
      </c>
      <c r="E26" s="1">
        <f t="shared" si="1"/>
        <v>28.205128205128204</v>
      </c>
      <c r="F26" s="1">
        <f t="shared" si="2"/>
        <v>109</v>
      </c>
      <c r="G26" s="1">
        <f t="shared" si="3"/>
        <v>49.545454545454547</v>
      </c>
      <c r="H26" s="3">
        <v>1.6451029520656599E-6</v>
      </c>
      <c r="I26" s="3">
        <v>1.00022259485592E-5</v>
      </c>
    </row>
    <row r="27" spans="1:9">
      <c r="A27" s="1" t="s">
        <v>27</v>
      </c>
      <c r="B27" s="1">
        <v>4</v>
      </c>
      <c r="C27" s="1">
        <f t="shared" si="0"/>
        <v>3.8834951456310676</v>
      </c>
      <c r="D27" s="1">
        <v>37</v>
      </c>
      <c r="E27" s="1">
        <f t="shared" si="1"/>
        <v>31.623931623931622</v>
      </c>
      <c r="F27" s="1">
        <f t="shared" si="2"/>
        <v>41</v>
      </c>
      <c r="G27" s="1">
        <f t="shared" si="3"/>
        <v>18.636363636363637</v>
      </c>
      <c r="H27" s="3">
        <v>1.9756221165399102E-6</v>
      </c>
      <c r="I27" s="3">
        <v>1.15497908351564E-5</v>
      </c>
    </row>
    <row r="28" spans="1:9">
      <c r="A28" s="1" t="s">
        <v>28</v>
      </c>
      <c r="B28" s="1">
        <v>6</v>
      </c>
      <c r="C28" s="1">
        <f t="shared" si="0"/>
        <v>5.825242718446602</v>
      </c>
      <c r="D28" s="1">
        <v>41</v>
      </c>
      <c r="E28" s="1">
        <f t="shared" si="1"/>
        <v>35.042735042735039</v>
      </c>
      <c r="F28" s="1">
        <f t="shared" si="2"/>
        <v>47</v>
      </c>
      <c r="G28" s="1">
        <f t="shared" si="3"/>
        <v>21.363636363636363</v>
      </c>
      <c r="H28" s="3">
        <v>2.8899757941788501E-6</v>
      </c>
      <c r="I28" s="3">
        <v>1.6269493359821702E-5</v>
      </c>
    </row>
    <row r="29" spans="1:9">
      <c r="A29" s="1" t="s">
        <v>29</v>
      </c>
      <c r="B29" s="1">
        <v>28</v>
      </c>
      <c r="C29" s="1">
        <f t="shared" si="0"/>
        <v>27.184466019417474</v>
      </c>
      <c r="D29" s="1">
        <v>4</v>
      </c>
      <c r="E29" s="1">
        <f t="shared" si="1"/>
        <v>3.4188034188034191</v>
      </c>
      <c r="F29" s="1">
        <f t="shared" si="2"/>
        <v>32</v>
      </c>
      <c r="G29" s="1">
        <f t="shared" si="3"/>
        <v>14.545454545454545</v>
      </c>
      <c r="H29" s="3">
        <v>3.9887041684452398E-6</v>
      </c>
      <c r="I29" s="3">
        <v>2.1652965485845602E-5</v>
      </c>
    </row>
    <row r="30" spans="1:9">
      <c r="A30" s="1" t="s">
        <v>30</v>
      </c>
      <c r="B30" s="1">
        <v>4</v>
      </c>
      <c r="C30" s="1">
        <f t="shared" si="0"/>
        <v>3.8834951456310676</v>
      </c>
      <c r="D30" s="1">
        <v>35</v>
      </c>
      <c r="E30" s="1">
        <f t="shared" si="1"/>
        <v>29.914529914529915</v>
      </c>
      <c r="F30" s="1">
        <f t="shared" si="2"/>
        <v>39</v>
      </c>
      <c r="G30" s="1">
        <f t="shared" si="3"/>
        <v>17.727272727272727</v>
      </c>
      <c r="H30" s="3">
        <v>4.7431673887248997E-6</v>
      </c>
      <c r="I30" s="3">
        <v>2.4860739416764998E-5</v>
      </c>
    </row>
    <row r="31" spans="1:9">
      <c r="A31" s="1" t="s">
        <v>31</v>
      </c>
      <c r="B31" s="1">
        <v>1</v>
      </c>
      <c r="C31" s="1">
        <f t="shared" si="0"/>
        <v>0.97087378640776689</v>
      </c>
      <c r="D31" s="1">
        <v>26</v>
      </c>
      <c r="E31" s="1">
        <f t="shared" si="1"/>
        <v>22.222222222222221</v>
      </c>
      <c r="F31" s="1">
        <f t="shared" si="2"/>
        <v>27</v>
      </c>
      <c r="G31" s="1">
        <f t="shared" si="3"/>
        <v>12.272727272727273</v>
      </c>
      <c r="H31" s="3">
        <v>7.1327600701713496E-6</v>
      </c>
      <c r="I31" s="3">
        <v>3.6139317688868201E-5</v>
      </c>
    </row>
    <row r="32" spans="1:9">
      <c r="A32" s="1" t="s">
        <v>32</v>
      </c>
      <c r="B32" s="1">
        <v>8</v>
      </c>
      <c r="C32" s="1">
        <f t="shared" si="0"/>
        <v>7.7669902912621351</v>
      </c>
      <c r="D32" s="1">
        <v>43</v>
      </c>
      <c r="E32" s="1">
        <f t="shared" si="1"/>
        <v>36.752136752136757</v>
      </c>
      <c r="F32" s="1">
        <f t="shared" si="2"/>
        <v>51</v>
      </c>
      <c r="G32" s="1">
        <f t="shared" si="3"/>
        <v>23.18181818181818</v>
      </c>
      <c r="H32" s="3">
        <v>8.3675857965744796E-6</v>
      </c>
      <c r="I32" s="3">
        <v>4.1028162615461997E-5</v>
      </c>
    </row>
    <row r="33" spans="1:9">
      <c r="A33" s="1" t="s">
        <v>33</v>
      </c>
      <c r="B33" s="1">
        <v>1</v>
      </c>
      <c r="C33" s="1">
        <f t="shared" si="0"/>
        <v>0.97087378640776689</v>
      </c>
      <c r="D33" s="1">
        <v>25</v>
      </c>
      <c r="E33" s="1">
        <f t="shared" si="1"/>
        <v>21.367521367521366</v>
      </c>
      <c r="F33" s="1">
        <f t="shared" si="2"/>
        <v>26</v>
      </c>
      <c r="G33" s="1">
        <f t="shared" si="3"/>
        <v>11.818181818181818</v>
      </c>
      <c r="H33" s="3">
        <v>1.12724464836043E-5</v>
      </c>
      <c r="I33" s="3">
        <v>5.3544120797120199E-5</v>
      </c>
    </row>
    <row r="34" spans="1:9">
      <c r="A34" s="1" t="s">
        <v>34</v>
      </c>
      <c r="B34" s="1">
        <v>1</v>
      </c>
      <c r="C34" s="1">
        <f t="shared" si="0"/>
        <v>0.97087378640776689</v>
      </c>
      <c r="D34" s="1">
        <v>24</v>
      </c>
      <c r="E34" s="1">
        <f t="shared" si="1"/>
        <v>20.512820512820511</v>
      </c>
      <c r="F34" s="1">
        <f t="shared" si="2"/>
        <v>25</v>
      </c>
      <c r="G34" s="1">
        <f t="shared" si="3"/>
        <v>11.363636363636363</v>
      </c>
      <c r="H34" s="3">
        <v>1.7825972601104898E-5</v>
      </c>
      <c r="I34" s="3">
        <v>8.2107510162664804E-5</v>
      </c>
    </row>
    <row r="35" spans="1:9">
      <c r="A35" s="1" t="s">
        <v>35</v>
      </c>
      <c r="B35" s="1">
        <v>0</v>
      </c>
      <c r="C35" s="1">
        <f t="shared" si="0"/>
        <v>0</v>
      </c>
      <c r="D35" s="1">
        <v>15</v>
      </c>
      <c r="E35" s="1">
        <f t="shared" si="1"/>
        <v>12.820512820512819</v>
      </c>
      <c r="F35" s="1">
        <f t="shared" si="2"/>
        <v>15</v>
      </c>
      <c r="G35" s="1">
        <f t="shared" si="3"/>
        <v>6.8181818181818175</v>
      </c>
      <c r="H35" s="1">
        <v>2.7918414492253901E-4</v>
      </c>
      <c r="I35" s="1">
        <v>1.2481173537713501E-3</v>
      </c>
    </row>
    <row r="36" spans="1:9">
      <c r="A36" s="1" t="s">
        <v>36</v>
      </c>
      <c r="B36" s="1">
        <v>35</v>
      </c>
      <c r="C36" s="1">
        <f t="shared" si="0"/>
        <v>33.980582524271846</v>
      </c>
      <c r="D36" s="1">
        <v>13</v>
      </c>
      <c r="E36" s="1">
        <f t="shared" si="1"/>
        <v>11.111111111111111</v>
      </c>
      <c r="F36" s="1">
        <f t="shared" si="2"/>
        <v>48</v>
      </c>
      <c r="G36" s="1">
        <f t="shared" si="3"/>
        <v>21.818181818181817</v>
      </c>
      <c r="H36" s="1">
        <v>2.9046704384095602E-4</v>
      </c>
      <c r="I36" s="1">
        <v>1.2614568761092999E-3</v>
      </c>
    </row>
    <row r="37" spans="1:9">
      <c r="A37" s="1" t="s">
        <v>37</v>
      </c>
      <c r="B37" s="1">
        <v>0</v>
      </c>
      <c r="C37" s="1">
        <f t="shared" si="0"/>
        <v>0</v>
      </c>
      <c r="D37" s="1">
        <v>13</v>
      </c>
      <c r="E37" s="1">
        <f t="shared" si="1"/>
        <v>11.111111111111111</v>
      </c>
      <c r="F37" s="1">
        <f t="shared" si="2"/>
        <v>13</v>
      </c>
      <c r="G37" s="1">
        <f t="shared" si="3"/>
        <v>5.9090909090909092</v>
      </c>
      <c r="H37" s="1">
        <v>7.17080692455437E-4</v>
      </c>
      <c r="I37" s="1">
        <v>2.9507087947552098E-3</v>
      </c>
    </row>
    <row r="38" spans="1:9">
      <c r="A38" s="1" t="s">
        <v>38</v>
      </c>
      <c r="B38" s="1">
        <v>1</v>
      </c>
      <c r="C38" s="1">
        <f t="shared" si="0"/>
        <v>0.97087378640776689</v>
      </c>
      <c r="D38" s="1">
        <v>16</v>
      </c>
      <c r="E38" s="1">
        <f t="shared" si="1"/>
        <v>13.675213675213676</v>
      </c>
      <c r="F38" s="1">
        <f t="shared" si="2"/>
        <v>17</v>
      </c>
      <c r="G38" s="1">
        <f t="shared" si="3"/>
        <v>7.7272727272727266</v>
      </c>
      <c r="H38" s="1">
        <v>7.1826464082857199E-4</v>
      </c>
      <c r="I38" s="1">
        <v>2.9507087947552098E-3</v>
      </c>
    </row>
    <row r="39" spans="1:9">
      <c r="A39" s="1" t="s">
        <v>39</v>
      </c>
      <c r="B39" s="1">
        <v>1</v>
      </c>
      <c r="C39" s="1">
        <f t="shared" si="0"/>
        <v>0.97087378640776689</v>
      </c>
      <c r="D39" s="1">
        <v>15</v>
      </c>
      <c r="E39" s="1">
        <f t="shared" si="1"/>
        <v>12.820512820512819</v>
      </c>
      <c r="F39" s="1">
        <f t="shared" si="2"/>
        <v>16</v>
      </c>
      <c r="G39" s="1">
        <f t="shared" si="3"/>
        <v>7.2727272727272725</v>
      </c>
      <c r="H39" s="1">
        <v>1.1457749855574499E-3</v>
      </c>
      <c r="I39" s="1">
        <v>4.5830999422297996E-3</v>
      </c>
    </row>
    <row r="40" spans="1:9">
      <c r="A40" s="1" t="s">
        <v>40</v>
      </c>
      <c r="B40" s="1">
        <v>4</v>
      </c>
      <c r="C40" s="1">
        <f t="shared" si="0"/>
        <v>3.8834951456310676</v>
      </c>
      <c r="D40" s="1">
        <v>22</v>
      </c>
      <c r="E40" s="1">
        <f t="shared" si="1"/>
        <v>18.803418803418804</v>
      </c>
      <c r="F40" s="1">
        <f t="shared" si="2"/>
        <v>26</v>
      </c>
      <c r="G40" s="1">
        <f t="shared" si="3"/>
        <v>11.818181818181818</v>
      </c>
      <c r="H40" s="1">
        <v>1.31760315507193E-3</v>
      </c>
      <c r="I40" s="1">
        <v>5.1352738351521203E-3</v>
      </c>
    </row>
    <row r="41" spans="1:9">
      <c r="A41" s="1" t="s">
        <v>41</v>
      </c>
      <c r="B41" s="1">
        <v>2</v>
      </c>
      <c r="C41" s="1">
        <f t="shared" si="0"/>
        <v>1.9417475728155338</v>
      </c>
      <c r="D41" s="1">
        <v>17</v>
      </c>
      <c r="E41" s="1">
        <f t="shared" si="1"/>
        <v>14.529914529914532</v>
      </c>
      <c r="F41" s="1">
        <f t="shared" si="2"/>
        <v>19</v>
      </c>
      <c r="G41" s="1">
        <f t="shared" si="3"/>
        <v>8.6363636363636367</v>
      </c>
      <c r="H41" s="1">
        <v>1.52293576397244E-3</v>
      </c>
      <c r="I41" s="1">
        <v>5.78715590309527E-3</v>
      </c>
    </row>
    <row r="42" spans="1:9">
      <c r="A42" s="1" t="s">
        <v>42</v>
      </c>
      <c r="B42" s="1">
        <v>4</v>
      </c>
      <c r="C42" s="1">
        <f t="shared" si="0"/>
        <v>3.8834951456310676</v>
      </c>
      <c r="D42" s="1">
        <v>21</v>
      </c>
      <c r="E42" s="1">
        <f t="shared" si="1"/>
        <v>17.948717948717949</v>
      </c>
      <c r="F42" s="1">
        <f t="shared" si="2"/>
        <v>25</v>
      </c>
      <c r="G42" s="1">
        <f t="shared" si="3"/>
        <v>11.363636363636363</v>
      </c>
      <c r="H42" s="1">
        <v>2.01456100218235E-3</v>
      </c>
      <c r="I42" s="1">
        <v>7.4686163983345797E-3</v>
      </c>
    </row>
    <row r="43" spans="1:9">
      <c r="A43" s="1" t="s">
        <v>43</v>
      </c>
      <c r="B43" s="1">
        <v>1</v>
      </c>
      <c r="C43" s="1">
        <f t="shared" si="0"/>
        <v>0.97087378640776689</v>
      </c>
      <c r="D43" s="1">
        <v>13</v>
      </c>
      <c r="E43" s="1">
        <f t="shared" si="1"/>
        <v>11.111111111111111</v>
      </c>
      <c r="F43" s="1">
        <f t="shared" si="2"/>
        <v>14</v>
      </c>
      <c r="G43" s="1">
        <f t="shared" si="3"/>
        <v>6.3636363636363633</v>
      </c>
      <c r="H43" s="1">
        <v>2.9293179623443698E-3</v>
      </c>
      <c r="I43" s="1">
        <v>1.0601341197055801E-2</v>
      </c>
    </row>
    <row r="44" spans="1:9">
      <c r="A44" s="1" t="s">
        <v>44</v>
      </c>
      <c r="B44" s="1">
        <v>0</v>
      </c>
      <c r="C44" s="1">
        <f t="shared" si="0"/>
        <v>0</v>
      </c>
      <c r="D44" s="1">
        <v>10</v>
      </c>
      <c r="E44" s="1">
        <f t="shared" si="1"/>
        <v>8.5470085470085468</v>
      </c>
      <c r="F44" s="1">
        <f t="shared" si="2"/>
        <v>10</v>
      </c>
      <c r="G44" s="1">
        <f t="shared" si="3"/>
        <v>4.5454545454545459</v>
      </c>
      <c r="H44" s="1">
        <v>3.0066660385751598E-3</v>
      </c>
      <c r="I44" s="1">
        <v>1.06282148340331E-2</v>
      </c>
    </row>
    <row r="45" spans="1:9">
      <c r="A45" s="1" t="s">
        <v>45</v>
      </c>
      <c r="B45" s="1">
        <v>1</v>
      </c>
      <c r="C45" s="1">
        <f t="shared" si="0"/>
        <v>0.97087378640776689</v>
      </c>
      <c r="D45" s="1">
        <v>12</v>
      </c>
      <c r="E45" s="1">
        <f t="shared" si="1"/>
        <v>10.256410256410255</v>
      </c>
      <c r="F45" s="1">
        <f t="shared" si="2"/>
        <v>13</v>
      </c>
      <c r="G45" s="1">
        <f t="shared" si="3"/>
        <v>5.9090909090909092</v>
      </c>
      <c r="H45" s="1">
        <v>4.6966217832997001E-3</v>
      </c>
      <c r="I45" s="1">
        <v>1.51890747034373E-2</v>
      </c>
    </row>
    <row r="46" spans="1:9">
      <c r="A46" s="1" t="s">
        <v>46</v>
      </c>
      <c r="B46" s="1">
        <v>1</v>
      </c>
      <c r="C46" s="1">
        <f t="shared" si="0"/>
        <v>0.97087378640776689</v>
      </c>
      <c r="D46" s="1">
        <v>12</v>
      </c>
      <c r="E46" s="1">
        <f t="shared" si="1"/>
        <v>10.256410256410255</v>
      </c>
      <c r="F46" s="1">
        <f t="shared" si="2"/>
        <v>13</v>
      </c>
      <c r="G46" s="1">
        <f t="shared" si="3"/>
        <v>5.9090909090909092</v>
      </c>
      <c r="H46" s="1">
        <v>4.6966217832997001E-3</v>
      </c>
      <c r="I46" s="1">
        <v>1.51890747034373E-2</v>
      </c>
    </row>
    <row r="47" spans="1:9">
      <c r="A47" s="1" t="s">
        <v>47</v>
      </c>
      <c r="B47" s="1">
        <v>1</v>
      </c>
      <c r="C47" s="1">
        <f t="shared" si="0"/>
        <v>0.97087378640776689</v>
      </c>
      <c r="D47" s="1">
        <v>12</v>
      </c>
      <c r="E47" s="1">
        <f t="shared" si="1"/>
        <v>10.256410256410255</v>
      </c>
      <c r="F47" s="1">
        <f t="shared" si="2"/>
        <v>13</v>
      </c>
      <c r="G47" s="1">
        <f t="shared" si="3"/>
        <v>5.9090909090909092</v>
      </c>
      <c r="H47" s="1">
        <v>4.6966217832997001E-3</v>
      </c>
      <c r="I47" s="1">
        <v>1.51890747034373E-2</v>
      </c>
    </row>
    <row r="48" spans="1:9">
      <c r="A48" s="1" t="s">
        <v>48</v>
      </c>
      <c r="B48" s="1">
        <v>1</v>
      </c>
      <c r="C48" s="1">
        <f t="shared" si="0"/>
        <v>0.97087378640776689</v>
      </c>
      <c r="D48" s="1">
        <v>12</v>
      </c>
      <c r="E48" s="1">
        <f t="shared" si="1"/>
        <v>10.256410256410255</v>
      </c>
      <c r="F48" s="1">
        <f t="shared" si="2"/>
        <v>13</v>
      </c>
      <c r="G48" s="1">
        <f t="shared" si="3"/>
        <v>5.9090909090909092</v>
      </c>
      <c r="H48" s="1">
        <v>4.6966217832997001E-3</v>
      </c>
      <c r="I48" s="1">
        <v>1.51890747034373E-2</v>
      </c>
    </row>
    <row r="49" spans="1:9">
      <c r="A49" s="1" t="s">
        <v>49</v>
      </c>
      <c r="B49" s="1">
        <v>5</v>
      </c>
      <c r="C49" s="1">
        <f t="shared" si="0"/>
        <v>4.8543689320388346</v>
      </c>
      <c r="D49" s="1">
        <v>20</v>
      </c>
      <c r="E49" s="1">
        <f t="shared" si="1"/>
        <v>17.094017094017094</v>
      </c>
      <c r="F49" s="1">
        <f t="shared" si="2"/>
        <v>25</v>
      </c>
      <c r="G49" s="1">
        <f t="shared" si="3"/>
        <v>11.363636363636363</v>
      </c>
      <c r="H49" s="1">
        <v>7.2039804642680403E-3</v>
      </c>
      <c r="I49" s="1">
        <v>2.2812604803515501E-2</v>
      </c>
    </row>
    <row r="50" spans="1:9">
      <c r="A50" s="1" t="s">
        <v>50</v>
      </c>
      <c r="B50" s="1">
        <v>1</v>
      </c>
      <c r="C50" s="1">
        <f t="shared" si="0"/>
        <v>0.97087378640776689</v>
      </c>
      <c r="D50" s="1">
        <v>11</v>
      </c>
      <c r="E50" s="1">
        <f t="shared" si="1"/>
        <v>9.4017094017094021</v>
      </c>
      <c r="F50" s="1">
        <f t="shared" si="2"/>
        <v>12</v>
      </c>
      <c r="G50" s="1">
        <f t="shared" si="3"/>
        <v>5.4545454545454541</v>
      </c>
      <c r="H50" s="1">
        <v>7.5462757154178698E-3</v>
      </c>
      <c r="I50" s="1">
        <v>2.3408855280479899E-2</v>
      </c>
    </row>
    <row r="51" spans="1:9">
      <c r="A51" s="1" t="s">
        <v>51</v>
      </c>
      <c r="B51" s="1">
        <v>1</v>
      </c>
      <c r="C51" s="1">
        <f t="shared" si="0"/>
        <v>0.97087378640776689</v>
      </c>
      <c r="D51" s="1">
        <v>10</v>
      </c>
      <c r="E51" s="1">
        <f t="shared" si="1"/>
        <v>8.5470085470085468</v>
      </c>
      <c r="F51" s="1">
        <f t="shared" si="2"/>
        <v>11</v>
      </c>
      <c r="G51" s="1">
        <f t="shared" si="3"/>
        <v>5</v>
      </c>
      <c r="H51" s="1">
        <v>1.21544985402234E-2</v>
      </c>
      <c r="I51" s="1">
        <v>3.69496755622791E-2</v>
      </c>
    </row>
    <row r="52" spans="1:9">
      <c r="A52" s="1" t="s">
        <v>52</v>
      </c>
      <c r="B52" s="1">
        <v>16</v>
      </c>
      <c r="C52" s="1">
        <f t="shared" si="0"/>
        <v>15.53398058252427</v>
      </c>
      <c r="D52" s="1">
        <v>6</v>
      </c>
      <c r="E52" s="1">
        <f t="shared" si="1"/>
        <v>5.1282051282051277</v>
      </c>
      <c r="F52" s="1">
        <f t="shared" si="2"/>
        <v>22</v>
      </c>
      <c r="G52" s="1">
        <f t="shared" si="3"/>
        <v>10</v>
      </c>
      <c r="H52" s="1">
        <v>1.48743324296121E-2</v>
      </c>
      <c r="I52" s="1">
        <v>4.4331343711785001E-2</v>
      </c>
    </row>
    <row r="53" spans="1:9">
      <c r="A53" s="1" t="s">
        <v>53</v>
      </c>
      <c r="B53" s="1">
        <v>1</v>
      </c>
      <c r="C53" s="1">
        <f t="shared" si="0"/>
        <v>0.97087378640776689</v>
      </c>
      <c r="D53" s="1">
        <v>9</v>
      </c>
      <c r="E53" s="1">
        <f t="shared" si="1"/>
        <v>7.6923076923076925</v>
      </c>
      <c r="F53" s="1">
        <f t="shared" si="2"/>
        <v>10</v>
      </c>
      <c r="G53" s="1">
        <f t="shared" si="3"/>
        <v>4.5454545454545459</v>
      </c>
      <c r="H53" s="1">
        <v>1.96315898129647E-2</v>
      </c>
      <c r="I53" s="1">
        <v>5.7384647145589003E-2</v>
      </c>
    </row>
    <row r="54" spans="1:9">
      <c r="A54" s="1" t="s">
        <v>54</v>
      </c>
      <c r="B54" s="1">
        <v>1</v>
      </c>
      <c r="C54" s="1">
        <f t="shared" si="0"/>
        <v>0.97087378640776689</v>
      </c>
      <c r="D54" s="1">
        <v>8</v>
      </c>
      <c r="E54" s="1">
        <f t="shared" si="1"/>
        <v>6.8376068376068382</v>
      </c>
      <c r="F54" s="1">
        <f t="shared" si="2"/>
        <v>9</v>
      </c>
      <c r="G54" s="1">
        <f t="shared" si="3"/>
        <v>4.0909090909090908</v>
      </c>
      <c r="H54" s="1">
        <v>3.1811164398524501E-2</v>
      </c>
      <c r="I54" s="1">
        <v>9.1232018652372099E-2</v>
      </c>
    </row>
    <row r="55" spans="1:9">
      <c r="A55" s="1" t="s">
        <v>55</v>
      </c>
      <c r="B55" s="1">
        <v>0</v>
      </c>
      <c r="C55" s="1">
        <f t="shared" si="0"/>
        <v>0</v>
      </c>
      <c r="D55" s="1">
        <v>5</v>
      </c>
      <c r="E55" s="1">
        <f t="shared" si="1"/>
        <v>4.2735042735042734</v>
      </c>
      <c r="F55" s="1">
        <f t="shared" si="2"/>
        <v>5</v>
      </c>
      <c r="G55" s="1">
        <f t="shared" si="3"/>
        <v>2.2727272727272729</v>
      </c>
      <c r="H55" s="1">
        <v>3.5902926449932301E-2</v>
      </c>
      <c r="I55" s="1">
        <v>0.101060089266476</v>
      </c>
    </row>
    <row r="56" spans="1:9">
      <c r="A56" s="1" t="s">
        <v>56</v>
      </c>
      <c r="B56" s="1">
        <v>8</v>
      </c>
      <c r="C56" s="1">
        <f t="shared" si="0"/>
        <v>7.7669902912621351</v>
      </c>
      <c r="D56" s="1">
        <v>21</v>
      </c>
      <c r="E56" s="1">
        <f t="shared" si="1"/>
        <v>17.948717948717949</v>
      </c>
      <c r="F56" s="1">
        <f t="shared" si="2"/>
        <v>29</v>
      </c>
      <c r="G56" s="1">
        <f t="shared" si="3"/>
        <v>13.18181818181818</v>
      </c>
      <c r="H56" s="1">
        <v>3.7935226881871099E-2</v>
      </c>
      <c r="I56" s="1">
        <v>0.104839172473535</v>
      </c>
    </row>
    <row r="57" spans="1:9">
      <c r="A57" s="1" t="s">
        <v>57</v>
      </c>
      <c r="B57" s="1">
        <v>3</v>
      </c>
      <c r="C57" s="1">
        <f t="shared" si="0"/>
        <v>2.912621359223301</v>
      </c>
      <c r="D57" s="1">
        <v>11</v>
      </c>
      <c r="E57" s="1">
        <f t="shared" si="1"/>
        <v>9.4017094017094021</v>
      </c>
      <c r="F57" s="1">
        <f t="shared" si="2"/>
        <v>14</v>
      </c>
      <c r="G57" s="1">
        <f t="shared" si="3"/>
        <v>6.3636363636363633</v>
      </c>
      <c r="H57" s="1">
        <v>5.6930599914805202E-2</v>
      </c>
      <c r="I57" s="1">
        <v>0.15197617630603899</v>
      </c>
    </row>
    <row r="58" spans="1:9">
      <c r="A58" s="1" t="s">
        <v>58</v>
      </c>
      <c r="B58" s="1">
        <v>2</v>
      </c>
      <c r="C58" s="1">
        <f t="shared" si="0"/>
        <v>1.9417475728155338</v>
      </c>
      <c r="D58" s="1">
        <v>9</v>
      </c>
      <c r="E58" s="1">
        <f t="shared" si="1"/>
        <v>7.6923076923076925</v>
      </c>
      <c r="F58" s="1">
        <f t="shared" si="2"/>
        <v>11</v>
      </c>
      <c r="G58" s="1">
        <f t="shared" si="3"/>
        <v>5</v>
      </c>
      <c r="H58" s="1">
        <v>5.6991066114764503E-2</v>
      </c>
      <c r="I58" s="1">
        <v>0.15197617630603899</v>
      </c>
    </row>
    <row r="59" spans="1:9">
      <c r="A59" s="1" t="s">
        <v>59</v>
      </c>
      <c r="B59" s="1">
        <v>0</v>
      </c>
      <c r="C59" s="1">
        <f t="shared" si="0"/>
        <v>0</v>
      </c>
      <c r="D59" s="1">
        <v>4</v>
      </c>
      <c r="E59" s="1">
        <f t="shared" si="1"/>
        <v>3.4188034188034191</v>
      </c>
      <c r="F59" s="1">
        <f t="shared" si="2"/>
        <v>4</v>
      </c>
      <c r="G59" s="1">
        <f t="shared" si="3"/>
        <v>1.8181818181818181</v>
      </c>
      <c r="H59" s="1">
        <v>6.0582441261972902E-2</v>
      </c>
      <c r="I59" s="1">
        <v>0.15607679782745601</v>
      </c>
    </row>
    <row r="60" spans="1:9">
      <c r="A60" s="1" t="s">
        <v>60</v>
      </c>
      <c r="B60" s="1">
        <v>0</v>
      </c>
      <c r="C60" s="1">
        <f t="shared" si="0"/>
        <v>0</v>
      </c>
      <c r="D60" s="1">
        <v>4</v>
      </c>
      <c r="E60" s="1">
        <f t="shared" si="1"/>
        <v>3.4188034188034191</v>
      </c>
      <c r="F60" s="1">
        <f t="shared" si="2"/>
        <v>4</v>
      </c>
      <c r="G60" s="1">
        <f t="shared" si="3"/>
        <v>1.8181818181818181</v>
      </c>
      <c r="H60" s="1">
        <v>6.0582441261972902E-2</v>
      </c>
      <c r="I60" s="1">
        <v>0.15607679782745601</v>
      </c>
    </row>
    <row r="61" spans="1:9">
      <c r="A61" s="1" t="s">
        <v>61</v>
      </c>
      <c r="B61" s="1">
        <v>2</v>
      </c>
      <c r="C61" s="1">
        <f t="shared" si="0"/>
        <v>1.9417475728155338</v>
      </c>
      <c r="D61" s="1">
        <v>8</v>
      </c>
      <c r="E61" s="1">
        <f t="shared" si="1"/>
        <v>6.8376068376068382</v>
      </c>
      <c r="F61" s="1">
        <f t="shared" si="2"/>
        <v>10</v>
      </c>
      <c r="G61" s="1">
        <f t="shared" si="3"/>
        <v>4.5454545454545459</v>
      </c>
      <c r="H61" s="1">
        <v>8.9210797235471206E-2</v>
      </c>
      <c r="I61" s="1">
        <v>0.22229575704576399</v>
      </c>
    </row>
    <row r="62" spans="1:9">
      <c r="A62" s="1" t="s">
        <v>62</v>
      </c>
      <c r="B62" s="1">
        <v>2</v>
      </c>
      <c r="C62" s="1">
        <f t="shared" si="0"/>
        <v>1.9417475728155338</v>
      </c>
      <c r="D62" s="1">
        <v>8</v>
      </c>
      <c r="E62" s="1">
        <f t="shared" si="1"/>
        <v>6.8376068376068382</v>
      </c>
      <c r="F62" s="1">
        <f t="shared" si="2"/>
        <v>10</v>
      </c>
      <c r="G62" s="1">
        <f t="shared" si="3"/>
        <v>4.5454545454545459</v>
      </c>
      <c r="H62" s="1">
        <v>8.9210797235471206E-2</v>
      </c>
      <c r="I62" s="1">
        <v>0.22229575704576399</v>
      </c>
    </row>
    <row r="63" spans="1:9">
      <c r="A63" s="1" t="s">
        <v>63</v>
      </c>
      <c r="B63" s="1">
        <v>0</v>
      </c>
      <c r="C63" s="1">
        <f t="shared" si="0"/>
        <v>0</v>
      </c>
      <c r="D63" s="1">
        <v>3</v>
      </c>
      <c r="E63" s="1">
        <f t="shared" si="1"/>
        <v>2.5641025641025639</v>
      </c>
      <c r="F63" s="1">
        <f t="shared" si="2"/>
        <v>3</v>
      </c>
      <c r="G63" s="1">
        <f t="shared" si="3"/>
        <v>1.3636363636363635</v>
      </c>
      <c r="H63" s="1">
        <v>0.104136295625868</v>
      </c>
      <c r="I63" s="1">
        <v>0.243518722078953</v>
      </c>
    </row>
    <row r="64" spans="1:9">
      <c r="A64" s="1" t="s">
        <v>64</v>
      </c>
      <c r="B64" s="1">
        <v>0</v>
      </c>
      <c r="C64" s="1">
        <f t="shared" si="0"/>
        <v>0</v>
      </c>
      <c r="D64" s="1">
        <v>3</v>
      </c>
      <c r="E64" s="1">
        <f t="shared" si="1"/>
        <v>2.5641025641025639</v>
      </c>
      <c r="F64" s="1">
        <f t="shared" si="2"/>
        <v>3</v>
      </c>
      <c r="G64" s="1">
        <f t="shared" si="3"/>
        <v>1.3636363636363635</v>
      </c>
      <c r="H64" s="1">
        <v>0.104136295625868</v>
      </c>
      <c r="I64" s="1">
        <v>0.243518722078953</v>
      </c>
    </row>
    <row r="65" spans="1:9">
      <c r="A65" s="1" t="s">
        <v>65</v>
      </c>
      <c r="B65" s="1">
        <v>0</v>
      </c>
      <c r="C65" s="1">
        <f t="shared" si="0"/>
        <v>0</v>
      </c>
      <c r="D65" s="1">
        <v>3</v>
      </c>
      <c r="E65" s="1">
        <f t="shared" si="1"/>
        <v>2.5641025641025639</v>
      </c>
      <c r="F65" s="1">
        <f t="shared" si="2"/>
        <v>3</v>
      </c>
      <c r="G65" s="1">
        <f t="shared" si="3"/>
        <v>1.3636363636363635</v>
      </c>
      <c r="H65" s="1">
        <v>0.104136295625868</v>
      </c>
      <c r="I65" s="1">
        <v>0.243518722078953</v>
      </c>
    </row>
    <row r="66" spans="1:9">
      <c r="A66" s="1" t="s">
        <v>66</v>
      </c>
      <c r="B66" s="1">
        <v>0</v>
      </c>
      <c r="C66" s="1">
        <f t="shared" si="0"/>
        <v>0</v>
      </c>
      <c r="D66" s="1">
        <v>3</v>
      </c>
      <c r="E66" s="1">
        <f t="shared" si="1"/>
        <v>2.5641025641025639</v>
      </c>
      <c r="F66" s="1">
        <f t="shared" si="2"/>
        <v>3</v>
      </c>
      <c r="G66" s="1">
        <f t="shared" si="3"/>
        <v>1.3636363636363635</v>
      </c>
      <c r="H66" s="1">
        <v>0.104136295625868</v>
      </c>
      <c r="I66" s="1">
        <v>0.243518722078953</v>
      </c>
    </row>
    <row r="67" spans="1:9">
      <c r="A67" s="1" t="s">
        <v>67</v>
      </c>
      <c r="B67" s="1">
        <v>6</v>
      </c>
      <c r="C67" s="1">
        <f t="shared" ref="C67:C130" si="4">B67/103*100</f>
        <v>5.825242718446602</v>
      </c>
      <c r="D67" s="1">
        <v>2</v>
      </c>
      <c r="E67" s="1">
        <f t="shared" ref="E67:E130" si="5">D67/117*100</f>
        <v>1.7094017094017095</v>
      </c>
      <c r="F67" s="1">
        <f t="shared" ref="F67:F130" si="6">SUM(B67,D67)</f>
        <v>8</v>
      </c>
      <c r="G67" s="1">
        <f t="shared" ref="G67:G130" si="7">F67/220*100</f>
        <v>3.6363636363636362</v>
      </c>
      <c r="H67" s="1">
        <v>0.11016718300456101</v>
      </c>
      <c r="I67" s="1">
        <v>0.249931519652138</v>
      </c>
    </row>
    <row r="68" spans="1:9">
      <c r="A68" s="1" t="s">
        <v>68</v>
      </c>
      <c r="B68" s="1">
        <v>6</v>
      </c>
      <c r="C68" s="1">
        <f t="shared" si="4"/>
        <v>5.825242718446602</v>
      </c>
      <c r="D68" s="1">
        <v>2</v>
      </c>
      <c r="E68" s="1">
        <f t="shared" si="5"/>
        <v>1.7094017094017095</v>
      </c>
      <c r="F68" s="1">
        <f t="shared" si="6"/>
        <v>8</v>
      </c>
      <c r="G68" s="1">
        <f t="shared" si="7"/>
        <v>3.6363636363636362</v>
      </c>
      <c r="H68" s="1">
        <v>0.11016718300456101</v>
      </c>
      <c r="I68" s="1">
        <v>0.249931519652138</v>
      </c>
    </row>
    <row r="69" spans="1:9">
      <c r="A69" s="1" t="s">
        <v>69</v>
      </c>
      <c r="B69" s="1">
        <v>2</v>
      </c>
      <c r="C69" s="1">
        <f t="shared" si="4"/>
        <v>1.9417475728155338</v>
      </c>
      <c r="D69" s="1">
        <v>0</v>
      </c>
      <c r="E69" s="1">
        <f t="shared" si="5"/>
        <v>0</v>
      </c>
      <c r="F69" s="1">
        <f t="shared" si="6"/>
        <v>2</v>
      </c>
      <c r="G69" s="1">
        <f t="shared" si="7"/>
        <v>0.90909090909090906</v>
      </c>
      <c r="H69" s="1">
        <v>0.13174301028611299</v>
      </c>
      <c r="I69" s="1">
        <v>0.28212388430410801</v>
      </c>
    </row>
    <row r="70" spans="1:9">
      <c r="A70" s="1" t="s">
        <v>70</v>
      </c>
      <c r="B70" s="1">
        <v>2</v>
      </c>
      <c r="C70" s="1">
        <f t="shared" si="4"/>
        <v>1.9417475728155338</v>
      </c>
      <c r="D70" s="1">
        <v>7</v>
      </c>
      <c r="E70" s="1">
        <f t="shared" si="5"/>
        <v>5.982905982905983</v>
      </c>
      <c r="F70" s="1">
        <f t="shared" si="6"/>
        <v>9</v>
      </c>
      <c r="G70" s="1">
        <f t="shared" si="7"/>
        <v>4.0909090909090908</v>
      </c>
      <c r="H70" s="1">
        <v>0.139205863965843</v>
      </c>
      <c r="I70" s="1">
        <v>0.28212388430410801</v>
      </c>
    </row>
    <row r="71" spans="1:9">
      <c r="A71" s="1" t="s">
        <v>71</v>
      </c>
      <c r="B71" s="1">
        <v>2</v>
      </c>
      <c r="C71" s="1">
        <f t="shared" si="4"/>
        <v>1.9417475728155338</v>
      </c>
      <c r="D71" s="1">
        <v>7</v>
      </c>
      <c r="E71" s="1">
        <f t="shared" si="5"/>
        <v>5.982905982905983</v>
      </c>
      <c r="F71" s="1">
        <f t="shared" si="6"/>
        <v>9</v>
      </c>
      <c r="G71" s="1">
        <f t="shared" si="7"/>
        <v>4.0909090909090908</v>
      </c>
      <c r="H71" s="1">
        <v>0.139205863965843</v>
      </c>
      <c r="I71" s="1">
        <v>0.28212388430410801</v>
      </c>
    </row>
    <row r="72" spans="1:9">
      <c r="A72" s="1" t="s">
        <v>72</v>
      </c>
      <c r="B72" s="1">
        <v>2</v>
      </c>
      <c r="C72" s="1">
        <f t="shared" si="4"/>
        <v>1.9417475728155338</v>
      </c>
      <c r="D72" s="1">
        <v>7</v>
      </c>
      <c r="E72" s="1">
        <f t="shared" si="5"/>
        <v>5.982905982905983</v>
      </c>
      <c r="F72" s="1">
        <f t="shared" si="6"/>
        <v>9</v>
      </c>
      <c r="G72" s="1">
        <f t="shared" si="7"/>
        <v>4.0909090909090908</v>
      </c>
      <c r="H72" s="1">
        <v>0.139205863965843</v>
      </c>
      <c r="I72" s="1">
        <v>0.28212388430410801</v>
      </c>
    </row>
    <row r="73" spans="1:9">
      <c r="A73" s="1" t="s">
        <v>73</v>
      </c>
      <c r="B73" s="1">
        <v>1</v>
      </c>
      <c r="C73" s="1">
        <f t="shared" si="4"/>
        <v>0.97087378640776689</v>
      </c>
      <c r="D73" s="1">
        <v>5</v>
      </c>
      <c r="E73" s="1">
        <f t="shared" si="5"/>
        <v>4.2735042735042734</v>
      </c>
      <c r="F73" s="1">
        <f t="shared" si="6"/>
        <v>6</v>
      </c>
      <c r="G73" s="1">
        <f t="shared" si="7"/>
        <v>2.7272727272727271</v>
      </c>
      <c r="H73" s="1">
        <v>0.13884215565797001</v>
      </c>
      <c r="I73" s="1">
        <v>0.28212388430410801</v>
      </c>
    </row>
    <row r="74" spans="1:9">
      <c r="A74" s="1" t="s">
        <v>74</v>
      </c>
      <c r="B74" s="1">
        <v>2</v>
      </c>
      <c r="C74" s="1">
        <f t="shared" si="4"/>
        <v>1.9417475728155338</v>
      </c>
      <c r="D74" s="1">
        <v>7</v>
      </c>
      <c r="E74" s="1">
        <f t="shared" si="5"/>
        <v>5.982905982905983</v>
      </c>
      <c r="F74" s="1">
        <f t="shared" si="6"/>
        <v>9</v>
      </c>
      <c r="G74" s="1">
        <f t="shared" si="7"/>
        <v>4.0909090909090908</v>
      </c>
      <c r="H74" s="1">
        <v>0.139205863965843</v>
      </c>
      <c r="I74" s="1">
        <v>0.28212388430410801</v>
      </c>
    </row>
    <row r="75" spans="1:9">
      <c r="A75" s="1" t="s">
        <v>75</v>
      </c>
      <c r="B75" s="1">
        <v>1</v>
      </c>
      <c r="C75" s="1">
        <f t="shared" si="4"/>
        <v>0.97087378640776689</v>
      </c>
      <c r="D75" s="1">
        <v>5</v>
      </c>
      <c r="E75" s="1">
        <f t="shared" si="5"/>
        <v>4.2735042735042734</v>
      </c>
      <c r="F75" s="1">
        <f t="shared" si="6"/>
        <v>6</v>
      </c>
      <c r="G75" s="1">
        <f t="shared" si="7"/>
        <v>2.7272727272727271</v>
      </c>
      <c r="H75" s="1">
        <v>0.13884215565797001</v>
      </c>
      <c r="I75" s="1">
        <v>0.28212388430410801</v>
      </c>
    </row>
    <row r="76" spans="1:9">
      <c r="A76" s="1" t="s">
        <v>76</v>
      </c>
      <c r="B76" s="1">
        <v>2</v>
      </c>
      <c r="C76" s="1">
        <f t="shared" si="4"/>
        <v>1.9417475728155338</v>
      </c>
      <c r="D76" s="1">
        <v>7</v>
      </c>
      <c r="E76" s="1">
        <f t="shared" si="5"/>
        <v>5.982905982905983</v>
      </c>
      <c r="F76" s="1">
        <f t="shared" si="6"/>
        <v>9</v>
      </c>
      <c r="G76" s="1">
        <f t="shared" si="7"/>
        <v>4.0909090909090908</v>
      </c>
      <c r="H76" s="1">
        <v>0.139205863965843</v>
      </c>
      <c r="I76" s="1">
        <v>0.28212388430410801</v>
      </c>
    </row>
    <row r="77" spans="1:9">
      <c r="A77" s="1" t="s">
        <v>77</v>
      </c>
      <c r="B77" s="1">
        <v>4</v>
      </c>
      <c r="C77" s="1">
        <f t="shared" si="4"/>
        <v>3.8834951456310676</v>
      </c>
      <c r="D77" s="1">
        <v>10</v>
      </c>
      <c r="E77" s="1">
        <f t="shared" si="5"/>
        <v>8.5470085470085468</v>
      </c>
      <c r="F77" s="1">
        <f t="shared" si="6"/>
        <v>14</v>
      </c>
      <c r="G77" s="1">
        <f t="shared" si="7"/>
        <v>6.3636363636363633</v>
      </c>
      <c r="H77" s="1">
        <v>0.17123847133312201</v>
      </c>
      <c r="I77" s="1">
        <v>0.32616239939733999</v>
      </c>
    </row>
    <row r="78" spans="1:9">
      <c r="A78" s="1" t="s">
        <v>78</v>
      </c>
      <c r="B78" s="1">
        <v>0</v>
      </c>
      <c r="C78" s="1">
        <f t="shared" si="4"/>
        <v>0</v>
      </c>
      <c r="D78" s="1">
        <v>2</v>
      </c>
      <c r="E78" s="1">
        <f t="shared" si="5"/>
        <v>1.7094017094017095</v>
      </c>
      <c r="F78" s="1">
        <f t="shared" si="6"/>
        <v>2</v>
      </c>
      <c r="G78" s="1">
        <f t="shared" si="7"/>
        <v>0.90909090909090906</v>
      </c>
      <c r="H78" s="1">
        <v>0.1845392522906</v>
      </c>
      <c r="I78" s="1">
        <v>0.32616239939733999</v>
      </c>
    </row>
    <row r="79" spans="1:9">
      <c r="A79" s="1" t="s">
        <v>79</v>
      </c>
      <c r="B79" s="1">
        <v>0</v>
      </c>
      <c r="C79" s="1">
        <f t="shared" si="4"/>
        <v>0</v>
      </c>
      <c r="D79" s="1">
        <v>2</v>
      </c>
      <c r="E79" s="1">
        <f t="shared" si="5"/>
        <v>1.7094017094017095</v>
      </c>
      <c r="F79" s="1">
        <f t="shared" si="6"/>
        <v>2</v>
      </c>
      <c r="G79" s="1">
        <f t="shared" si="7"/>
        <v>0.90909090909090906</v>
      </c>
      <c r="H79" s="1">
        <v>0.1845392522906</v>
      </c>
      <c r="I79" s="1">
        <v>0.32616239939733999</v>
      </c>
    </row>
    <row r="80" spans="1:9">
      <c r="A80" s="1" t="s">
        <v>80</v>
      </c>
      <c r="B80" s="1">
        <v>0</v>
      </c>
      <c r="C80" s="1">
        <f t="shared" si="4"/>
        <v>0</v>
      </c>
      <c r="D80" s="1">
        <v>2</v>
      </c>
      <c r="E80" s="1">
        <f t="shared" si="5"/>
        <v>1.7094017094017095</v>
      </c>
      <c r="F80" s="1">
        <f t="shared" si="6"/>
        <v>2</v>
      </c>
      <c r="G80" s="1">
        <f t="shared" si="7"/>
        <v>0.90909090909090906</v>
      </c>
      <c r="H80" s="1">
        <v>0.1845392522906</v>
      </c>
      <c r="I80" s="1">
        <v>0.32616239939733999</v>
      </c>
    </row>
    <row r="81" spans="1:9">
      <c r="A81" s="1" t="s">
        <v>81</v>
      </c>
      <c r="B81" s="1">
        <v>0</v>
      </c>
      <c r="C81" s="1">
        <f t="shared" si="4"/>
        <v>0</v>
      </c>
      <c r="D81" s="1">
        <v>2</v>
      </c>
      <c r="E81" s="1">
        <f t="shared" si="5"/>
        <v>1.7094017094017095</v>
      </c>
      <c r="F81" s="1">
        <f t="shared" si="6"/>
        <v>2</v>
      </c>
      <c r="G81" s="1">
        <f t="shared" si="7"/>
        <v>0.90909090909090906</v>
      </c>
      <c r="H81" s="1">
        <v>0.1845392522906</v>
      </c>
      <c r="I81" s="1">
        <v>0.32616239939733999</v>
      </c>
    </row>
    <row r="82" spans="1:9">
      <c r="A82" s="1" t="s">
        <v>82</v>
      </c>
      <c r="B82" s="1">
        <v>0</v>
      </c>
      <c r="C82" s="1">
        <f t="shared" si="4"/>
        <v>0</v>
      </c>
      <c r="D82" s="1">
        <v>2</v>
      </c>
      <c r="E82" s="1">
        <f t="shared" si="5"/>
        <v>1.7094017094017095</v>
      </c>
      <c r="F82" s="1">
        <f t="shared" si="6"/>
        <v>2</v>
      </c>
      <c r="G82" s="1">
        <f t="shared" si="7"/>
        <v>0.90909090909090906</v>
      </c>
      <c r="H82" s="1">
        <v>0.1845392522906</v>
      </c>
      <c r="I82" s="1">
        <v>0.32616239939733999</v>
      </c>
    </row>
    <row r="83" spans="1:9">
      <c r="A83" s="1" t="s">
        <v>83</v>
      </c>
      <c r="B83" s="1">
        <v>0</v>
      </c>
      <c r="C83" s="1">
        <f t="shared" si="4"/>
        <v>0</v>
      </c>
      <c r="D83" s="1">
        <v>2</v>
      </c>
      <c r="E83" s="1">
        <f t="shared" si="5"/>
        <v>1.7094017094017095</v>
      </c>
      <c r="F83" s="1">
        <f t="shared" si="6"/>
        <v>2</v>
      </c>
      <c r="G83" s="1">
        <f t="shared" si="7"/>
        <v>0.90909090909090906</v>
      </c>
      <c r="H83" s="1">
        <v>0.1845392522906</v>
      </c>
      <c r="I83" s="1">
        <v>0.32616239939733999</v>
      </c>
    </row>
    <row r="84" spans="1:9">
      <c r="A84" s="1" t="s">
        <v>84</v>
      </c>
      <c r="B84" s="1">
        <v>0</v>
      </c>
      <c r="C84" s="1">
        <f t="shared" si="4"/>
        <v>0</v>
      </c>
      <c r="D84" s="1">
        <v>2</v>
      </c>
      <c r="E84" s="1">
        <f t="shared" si="5"/>
        <v>1.7094017094017095</v>
      </c>
      <c r="F84" s="1">
        <f t="shared" si="6"/>
        <v>2</v>
      </c>
      <c r="G84" s="1">
        <f t="shared" si="7"/>
        <v>0.90909090909090906</v>
      </c>
      <c r="H84" s="1">
        <v>0.1845392522906</v>
      </c>
      <c r="I84" s="1">
        <v>0.32616239939733999</v>
      </c>
    </row>
    <row r="85" spans="1:9">
      <c r="A85" s="1" t="s">
        <v>85</v>
      </c>
      <c r="B85" s="1">
        <v>0</v>
      </c>
      <c r="C85" s="1">
        <f t="shared" si="4"/>
        <v>0</v>
      </c>
      <c r="D85" s="1">
        <v>2</v>
      </c>
      <c r="E85" s="1">
        <f t="shared" si="5"/>
        <v>1.7094017094017095</v>
      </c>
      <c r="F85" s="1">
        <f t="shared" si="6"/>
        <v>2</v>
      </c>
      <c r="G85" s="1">
        <f t="shared" si="7"/>
        <v>0.90909090909090906</v>
      </c>
      <c r="H85" s="1">
        <v>0.1845392522906</v>
      </c>
      <c r="I85" s="1">
        <v>0.32616239939733999</v>
      </c>
    </row>
    <row r="86" spans="1:9">
      <c r="A86" s="1" t="s">
        <v>86</v>
      </c>
      <c r="B86" s="1">
        <v>0</v>
      </c>
      <c r="C86" s="1">
        <f t="shared" si="4"/>
        <v>0</v>
      </c>
      <c r="D86" s="1">
        <v>2</v>
      </c>
      <c r="E86" s="1">
        <f t="shared" si="5"/>
        <v>1.7094017094017095</v>
      </c>
      <c r="F86" s="1">
        <f t="shared" si="6"/>
        <v>2</v>
      </c>
      <c r="G86" s="1">
        <f t="shared" si="7"/>
        <v>0.90909090909090906</v>
      </c>
      <c r="H86" s="1">
        <v>0.1845392522906</v>
      </c>
      <c r="I86" s="1">
        <v>0.32616239939733999</v>
      </c>
    </row>
    <row r="87" spans="1:9">
      <c r="A87" s="1" t="s">
        <v>87</v>
      </c>
      <c r="B87" s="1">
        <v>0</v>
      </c>
      <c r="C87" s="1">
        <f t="shared" si="4"/>
        <v>0</v>
      </c>
      <c r="D87" s="1">
        <v>2</v>
      </c>
      <c r="E87" s="1">
        <f t="shared" si="5"/>
        <v>1.7094017094017095</v>
      </c>
      <c r="F87" s="1">
        <f t="shared" si="6"/>
        <v>2</v>
      </c>
      <c r="G87" s="1">
        <f t="shared" si="7"/>
        <v>0.90909090909090906</v>
      </c>
      <c r="H87" s="1">
        <v>0.1845392522906</v>
      </c>
      <c r="I87" s="1">
        <v>0.32616239939733999</v>
      </c>
    </row>
    <row r="88" spans="1:9">
      <c r="A88" s="1" t="s">
        <v>88</v>
      </c>
      <c r="B88" s="1">
        <v>5</v>
      </c>
      <c r="C88" s="1">
        <f t="shared" si="4"/>
        <v>4.8543689320388346</v>
      </c>
      <c r="D88" s="1">
        <v>2</v>
      </c>
      <c r="E88" s="1">
        <f t="shared" si="5"/>
        <v>1.7094017094017095</v>
      </c>
      <c r="F88" s="1">
        <f t="shared" si="6"/>
        <v>7</v>
      </c>
      <c r="G88" s="1">
        <f t="shared" si="7"/>
        <v>3.1818181818181817</v>
      </c>
      <c r="H88" s="1">
        <v>0.19192545272556399</v>
      </c>
      <c r="I88" s="1">
        <v>0.33531803234811097</v>
      </c>
    </row>
    <row r="89" spans="1:9">
      <c r="A89" s="1" t="s">
        <v>89</v>
      </c>
      <c r="B89" s="1">
        <v>1</v>
      </c>
      <c r="C89" s="1">
        <f t="shared" si="4"/>
        <v>0.97087378640776689</v>
      </c>
      <c r="D89" s="1">
        <v>4</v>
      </c>
      <c r="E89" s="1">
        <f t="shared" si="5"/>
        <v>3.4188034188034191</v>
      </c>
      <c r="F89" s="1">
        <f t="shared" si="6"/>
        <v>5</v>
      </c>
      <c r="G89" s="1">
        <f t="shared" si="7"/>
        <v>2.2727272727272729</v>
      </c>
      <c r="H89" s="1">
        <v>0.22944824178394399</v>
      </c>
      <c r="I89" s="1">
        <v>0.39631969035408499</v>
      </c>
    </row>
    <row r="90" spans="1:9">
      <c r="A90" s="1" t="s">
        <v>90</v>
      </c>
      <c r="B90" s="1">
        <v>1</v>
      </c>
      <c r="C90" s="1">
        <f t="shared" si="4"/>
        <v>0.97087378640776689</v>
      </c>
      <c r="D90" s="1">
        <v>0</v>
      </c>
      <c r="E90" s="1">
        <f t="shared" si="5"/>
        <v>0</v>
      </c>
      <c r="F90" s="1">
        <f t="shared" si="6"/>
        <v>1</v>
      </c>
      <c r="G90" s="1">
        <f t="shared" si="7"/>
        <v>0.45454545454545453</v>
      </c>
      <c r="H90" s="1">
        <v>0.286515611465058</v>
      </c>
      <c r="I90" s="1">
        <v>0.48933003306391898</v>
      </c>
    </row>
    <row r="91" spans="1:9">
      <c r="A91" s="1" t="s">
        <v>91</v>
      </c>
      <c r="B91" s="1">
        <v>0</v>
      </c>
      <c r="C91" s="1">
        <f t="shared" si="4"/>
        <v>0</v>
      </c>
      <c r="D91" s="1">
        <v>1</v>
      </c>
      <c r="E91" s="1">
        <f t="shared" si="5"/>
        <v>0.85470085470085477</v>
      </c>
      <c r="F91" s="1">
        <f t="shared" si="6"/>
        <v>1</v>
      </c>
      <c r="G91" s="1">
        <f t="shared" si="7"/>
        <v>0.45454545454545453</v>
      </c>
      <c r="H91" s="1">
        <v>0.34810805825804197</v>
      </c>
      <c r="I91" s="1">
        <v>0.55276776887485501</v>
      </c>
    </row>
    <row r="92" spans="1:9">
      <c r="A92" s="1" t="s">
        <v>92</v>
      </c>
      <c r="B92" s="1">
        <v>0</v>
      </c>
      <c r="C92" s="1">
        <f t="shared" si="4"/>
        <v>0</v>
      </c>
      <c r="D92" s="1">
        <v>1</v>
      </c>
      <c r="E92" s="1">
        <f t="shared" si="5"/>
        <v>0.85470085470085477</v>
      </c>
      <c r="F92" s="1">
        <f t="shared" si="6"/>
        <v>1</v>
      </c>
      <c r="G92" s="1">
        <f t="shared" si="7"/>
        <v>0.45454545454545453</v>
      </c>
      <c r="H92" s="1">
        <v>0.34810805825804197</v>
      </c>
      <c r="I92" s="1">
        <v>0.55276776887485501</v>
      </c>
    </row>
    <row r="93" spans="1:9">
      <c r="A93" s="1" t="s">
        <v>93</v>
      </c>
      <c r="B93" s="1">
        <v>0</v>
      </c>
      <c r="C93" s="1">
        <f t="shared" si="4"/>
        <v>0</v>
      </c>
      <c r="D93" s="1">
        <v>1</v>
      </c>
      <c r="E93" s="1">
        <f t="shared" si="5"/>
        <v>0.85470085470085477</v>
      </c>
      <c r="F93" s="1">
        <f t="shared" si="6"/>
        <v>1</v>
      </c>
      <c r="G93" s="1">
        <f t="shared" si="7"/>
        <v>0.45454545454545453</v>
      </c>
      <c r="H93" s="1">
        <v>0.34810805825804197</v>
      </c>
      <c r="I93" s="1">
        <v>0.55276776887485501</v>
      </c>
    </row>
    <row r="94" spans="1:9">
      <c r="A94" s="1" t="s">
        <v>94</v>
      </c>
      <c r="B94" s="1">
        <v>1</v>
      </c>
      <c r="C94" s="1">
        <f t="shared" si="4"/>
        <v>0.97087378640776689</v>
      </c>
      <c r="D94" s="1">
        <v>3</v>
      </c>
      <c r="E94" s="1">
        <f t="shared" si="5"/>
        <v>2.5641025641025639</v>
      </c>
      <c r="F94" s="1">
        <f t="shared" si="6"/>
        <v>4</v>
      </c>
      <c r="G94" s="1">
        <f t="shared" si="7"/>
        <v>1.8181818181818181</v>
      </c>
      <c r="H94" s="1">
        <v>0.38184615613065598</v>
      </c>
      <c r="I94" s="1">
        <v>0.55276776887485501</v>
      </c>
    </row>
    <row r="95" spans="1:9">
      <c r="A95" s="1" t="s">
        <v>95</v>
      </c>
      <c r="B95" s="1">
        <v>1</v>
      </c>
      <c r="C95" s="1">
        <f t="shared" si="4"/>
        <v>0.97087378640776689</v>
      </c>
      <c r="D95" s="1">
        <v>3</v>
      </c>
      <c r="E95" s="1">
        <f t="shared" si="5"/>
        <v>2.5641025641025639</v>
      </c>
      <c r="F95" s="1">
        <f t="shared" si="6"/>
        <v>4</v>
      </c>
      <c r="G95" s="1">
        <f t="shared" si="7"/>
        <v>1.8181818181818181</v>
      </c>
      <c r="H95" s="1">
        <v>0.38184615613065598</v>
      </c>
      <c r="I95" s="1">
        <v>0.55276776887485501</v>
      </c>
    </row>
    <row r="96" spans="1:9">
      <c r="A96" s="1" t="s">
        <v>96</v>
      </c>
      <c r="B96" s="1">
        <v>1</v>
      </c>
      <c r="C96" s="1">
        <f t="shared" si="4"/>
        <v>0.97087378640776689</v>
      </c>
      <c r="D96" s="1">
        <v>3</v>
      </c>
      <c r="E96" s="1">
        <f t="shared" si="5"/>
        <v>2.5641025641025639</v>
      </c>
      <c r="F96" s="1">
        <f t="shared" si="6"/>
        <v>4</v>
      </c>
      <c r="G96" s="1">
        <f t="shared" si="7"/>
        <v>1.8181818181818181</v>
      </c>
      <c r="H96" s="1">
        <v>0.38184615613065598</v>
      </c>
      <c r="I96" s="1">
        <v>0.55276776887485501</v>
      </c>
    </row>
    <row r="97" spans="1:9">
      <c r="A97" s="1" t="s">
        <v>97</v>
      </c>
      <c r="B97" s="1">
        <v>1</v>
      </c>
      <c r="C97" s="1">
        <f t="shared" si="4"/>
        <v>0.97087378640776689</v>
      </c>
      <c r="D97" s="1">
        <v>3</v>
      </c>
      <c r="E97" s="1">
        <f t="shared" si="5"/>
        <v>2.5641025641025639</v>
      </c>
      <c r="F97" s="1">
        <f t="shared" si="6"/>
        <v>4</v>
      </c>
      <c r="G97" s="1">
        <f t="shared" si="7"/>
        <v>1.8181818181818181</v>
      </c>
      <c r="H97" s="1">
        <v>0.38184615613065598</v>
      </c>
      <c r="I97" s="1">
        <v>0.55276776887485501</v>
      </c>
    </row>
    <row r="98" spans="1:9">
      <c r="A98" s="1" t="s">
        <v>98</v>
      </c>
      <c r="B98" s="1">
        <v>1</v>
      </c>
      <c r="C98" s="1">
        <f t="shared" si="4"/>
        <v>0.97087378640776689</v>
      </c>
      <c r="D98" s="1">
        <v>3</v>
      </c>
      <c r="E98" s="1">
        <f t="shared" si="5"/>
        <v>2.5641025641025639</v>
      </c>
      <c r="F98" s="1">
        <f t="shared" si="6"/>
        <v>4</v>
      </c>
      <c r="G98" s="1">
        <f t="shared" si="7"/>
        <v>1.8181818181818181</v>
      </c>
      <c r="H98" s="1">
        <v>0.38184615613065598</v>
      </c>
      <c r="I98" s="1">
        <v>0.55276776887485501</v>
      </c>
    </row>
    <row r="99" spans="1:9">
      <c r="A99" s="1" t="s">
        <v>99</v>
      </c>
      <c r="B99" s="1">
        <v>1</v>
      </c>
      <c r="C99" s="1">
        <f t="shared" si="4"/>
        <v>0.97087378640776689</v>
      </c>
      <c r="D99" s="1">
        <v>3</v>
      </c>
      <c r="E99" s="1">
        <f t="shared" si="5"/>
        <v>2.5641025641025639</v>
      </c>
      <c r="F99" s="1">
        <f t="shared" si="6"/>
        <v>4</v>
      </c>
      <c r="G99" s="1">
        <f t="shared" si="7"/>
        <v>1.8181818181818181</v>
      </c>
      <c r="H99" s="1">
        <v>0.38184615613065598</v>
      </c>
      <c r="I99" s="1">
        <v>0.55276776887485501</v>
      </c>
    </row>
    <row r="100" spans="1:9">
      <c r="A100" s="1" t="s">
        <v>100</v>
      </c>
      <c r="B100" s="1">
        <v>1</v>
      </c>
      <c r="C100" s="1">
        <f t="shared" si="4"/>
        <v>0.97087378640776689</v>
      </c>
      <c r="D100" s="1">
        <v>3</v>
      </c>
      <c r="E100" s="1">
        <f t="shared" si="5"/>
        <v>2.5641025641025639</v>
      </c>
      <c r="F100" s="1">
        <f t="shared" si="6"/>
        <v>4</v>
      </c>
      <c r="G100" s="1">
        <f t="shared" si="7"/>
        <v>1.8181818181818181</v>
      </c>
      <c r="H100" s="1">
        <v>0.38184615613065598</v>
      </c>
      <c r="I100" s="1">
        <v>0.55276776887485501</v>
      </c>
    </row>
    <row r="101" spans="1:9">
      <c r="A101" s="1" t="s">
        <v>101</v>
      </c>
      <c r="B101" s="1">
        <v>4</v>
      </c>
      <c r="C101" s="1">
        <f t="shared" si="4"/>
        <v>3.8834951456310676</v>
      </c>
      <c r="D101" s="1">
        <v>8</v>
      </c>
      <c r="E101" s="1">
        <f t="shared" si="5"/>
        <v>6.8376068376068382</v>
      </c>
      <c r="F101" s="1">
        <f t="shared" si="6"/>
        <v>12</v>
      </c>
      <c r="G101" s="1">
        <f t="shared" si="7"/>
        <v>5.4545454545454541</v>
      </c>
      <c r="H101" s="1">
        <v>0.34919331028385198</v>
      </c>
      <c r="I101" s="1">
        <v>0.55276776887485501</v>
      </c>
    </row>
    <row r="102" spans="1:9">
      <c r="A102" s="1" t="s">
        <v>102</v>
      </c>
      <c r="B102" s="1">
        <v>1</v>
      </c>
      <c r="C102" s="1">
        <f t="shared" si="4"/>
        <v>0.97087378640776689</v>
      </c>
      <c r="D102" s="1">
        <v>3</v>
      </c>
      <c r="E102" s="1">
        <f t="shared" si="5"/>
        <v>2.5641025641025639</v>
      </c>
      <c r="F102" s="1">
        <f t="shared" si="6"/>
        <v>4</v>
      </c>
      <c r="G102" s="1">
        <f t="shared" si="7"/>
        <v>1.8181818181818181</v>
      </c>
      <c r="H102" s="1">
        <v>0.38184615613065598</v>
      </c>
      <c r="I102" s="1">
        <v>0.55276776887485501</v>
      </c>
    </row>
    <row r="103" spans="1:9">
      <c r="A103" s="1" t="s">
        <v>103</v>
      </c>
      <c r="B103" s="1">
        <v>1</v>
      </c>
      <c r="C103" s="1">
        <f t="shared" si="4"/>
        <v>0.97087378640776689</v>
      </c>
      <c r="D103" s="1">
        <v>3</v>
      </c>
      <c r="E103" s="1">
        <f t="shared" si="5"/>
        <v>2.5641025641025639</v>
      </c>
      <c r="F103" s="1">
        <f t="shared" si="6"/>
        <v>4</v>
      </c>
      <c r="G103" s="1">
        <f t="shared" si="7"/>
        <v>1.8181818181818181</v>
      </c>
      <c r="H103" s="1">
        <v>0.38184615613065598</v>
      </c>
      <c r="I103" s="1">
        <v>0.55276776887485501</v>
      </c>
    </row>
    <row r="104" spans="1:9">
      <c r="A104" s="1" t="s">
        <v>104</v>
      </c>
      <c r="B104" s="1">
        <v>1</v>
      </c>
      <c r="C104" s="1">
        <f t="shared" si="4"/>
        <v>0.97087378640776689</v>
      </c>
      <c r="D104" s="1">
        <v>3</v>
      </c>
      <c r="E104" s="1">
        <f t="shared" si="5"/>
        <v>2.5641025641025639</v>
      </c>
      <c r="F104" s="1">
        <f t="shared" si="6"/>
        <v>4</v>
      </c>
      <c r="G104" s="1">
        <f t="shared" si="7"/>
        <v>1.8181818181818181</v>
      </c>
      <c r="H104" s="1">
        <v>0.38184615613065598</v>
      </c>
      <c r="I104" s="1">
        <v>0.55276776887485501</v>
      </c>
    </row>
    <row r="105" spans="1:9">
      <c r="A105" s="1" t="s">
        <v>105</v>
      </c>
      <c r="B105" s="1">
        <v>1</v>
      </c>
      <c r="C105" s="1">
        <f t="shared" si="4"/>
        <v>0.97087378640776689</v>
      </c>
      <c r="D105" s="1">
        <v>3</v>
      </c>
      <c r="E105" s="1">
        <f t="shared" si="5"/>
        <v>2.5641025641025639</v>
      </c>
      <c r="F105" s="1">
        <f t="shared" si="6"/>
        <v>4</v>
      </c>
      <c r="G105" s="1">
        <f t="shared" si="7"/>
        <v>1.8181818181818181</v>
      </c>
      <c r="H105" s="1">
        <v>0.38184615613065598</v>
      </c>
      <c r="I105" s="1">
        <v>0.55276776887485501</v>
      </c>
    </row>
    <row r="106" spans="1:9">
      <c r="A106" s="1" t="s">
        <v>106</v>
      </c>
      <c r="B106" s="1">
        <v>1</v>
      </c>
      <c r="C106" s="1">
        <f t="shared" si="4"/>
        <v>0.97087378640776689</v>
      </c>
      <c r="D106" s="1">
        <v>3</v>
      </c>
      <c r="E106" s="1">
        <f t="shared" si="5"/>
        <v>2.5641025641025639</v>
      </c>
      <c r="F106" s="1">
        <f t="shared" si="6"/>
        <v>4</v>
      </c>
      <c r="G106" s="1">
        <f t="shared" si="7"/>
        <v>1.8181818181818181</v>
      </c>
      <c r="H106" s="1">
        <v>0.38184615613065598</v>
      </c>
      <c r="I106" s="1">
        <v>0.55276776887485501</v>
      </c>
    </row>
    <row r="107" spans="1:9">
      <c r="A107" s="1" t="s">
        <v>107</v>
      </c>
      <c r="B107" s="1">
        <v>3</v>
      </c>
      <c r="C107" s="1">
        <f t="shared" si="4"/>
        <v>2.912621359223301</v>
      </c>
      <c r="D107" s="1">
        <v>6</v>
      </c>
      <c r="E107" s="1">
        <f t="shared" si="5"/>
        <v>5.1282051282051277</v>
      </c>
      <c r="F107" s="1">
        <f t="shared" si="6"/>
        <v>9</v>
      </c>
      <c r="G107" s="1">
        <f t="shared" si="7"/>
        <v>4.0909090909090908</v>
      </c>
      <c r="H107" s="1">
        <v>0.4175183611853</v>
      </c>
      <c r="I107" s="1">
        <v>0.59870557452986495</v>
      </c>
    </row>
    <row r="108" spans="1:9">
      <c r="A108" s="1" t="s">
        <v>108</v>
      </c>
      <c r="B108" s="1">
        <v>2</v>
      </c>
      <c r="C108" s="1">
        <f t="shared" si="4"/>
        <v>1.9417475728155338</v>
      </c>
      <c r="D108" s="1">
        <v>1</v>
      </c>
      <c r="E108" s="1">
        <f t="shared" si="5"/>
        <v>0.85470085470085477</v>
      </c>
      <c r="F108" s="1">
        <f t="shared" si="6"/>
        <v>3</v>
      </c>
      <c r="G108" s="1">
        <f t="shared" si="7"/>
        <v>1.3636363636363635</v>
      </c>
      <c r="H108" s="1">
        <v>0.49084333135937902</v>
      </c>
      <c r="I108" s="1">
        <v>0.67214582312275295</v>
      </c>
    </row>
    <row r="109" spans="1:9">
      <c r="A109" s="1" t="s">
        <v>109</v>
      </c>
      <c r="B109" s="1">
        <v>2</v>
      </c>
      <c r="C109" s="1">
        <f t="shared" si="4"/>
        <v>1.9417475728155338</v>
      </c>
      <c r="D109" s="1">
        <v>1</v>
      </c>
      <c r="E109" s="1">
        <f t="shared" si="5"/>
        <v>0.85470085470085477</v>
      </c>
      <c r="F109" s="1">
        <f t="shared" si="6"/>
        <v>3</v>
      </c>
      <c r="G109" s="1">
        <f t="shared" si="7"/>
        <v>1.3636363636363635</v>
      </c>
      <c r="H109" s="1">
        <v>0.49084333135937902</v>
      </c>
      <c r="I109" s="1">
        <v>0.67214582312275295</v>
      </c>
    </row>
    <row r="110" spans="1:9">
      <c r="A110" s="1" t="s">
        <v>110</v>
      </c>
      <c r="B110" s="1">
        <v>2</v>
      </c>
      <c r="C110" s="1">
        <f t="shared" si="4"/>
        <v>1.9417475728155338</v>
      </c>
      <c r="D110" s="1">
        <v>1</v>
      </c>
      <c r="E110" s="1">
        <f t="shared" si="5"/>
        <v>0.85470085470085477</v>
      </c>
      <c r="F110" s="1">
        <f t="shared" si="6"/>
        <v>3</v>
      </c>
      <c r="G110" s="1">
        <f t="shared" si="7"/>
        <v>1.3636363636363635</v>
      </c>
      <c r="H110" s="1">
        <v>0.49084333135937902</v>
      </c>
      <c r="I110" s="1">
        <v>0.67214582312275295</v>
      </c>
    </row>
    <row r="111" spans="1:9">
      <c r="A111" s="1" t="s">
        <v>111</v>
      </c>
      <c r="B111" s="1">
        <v>2</v>
      </c>
      <c r="C111" s="1">
        <f t="shared" si="4"/>
        <v>1.9417475728155338</v>
      </c>
      <c r="D111" s="1">
        <v>1</v>
      </c>
      <c r="E111" s="1">
        <f t="shared" si="5"/>
        <v>0.85470085470085477</v>
      </c>
      <c r="F111" s="1">
        <f t="shared" si="6"/>
        <v>3</v>
      </c>
      <c r="G111" s="1">
        <f t="shared" si="7"/>
        <v>1.3636363636363635</v>
      </c>
      <c r="H111" s="1">
        <v>0.49084333135937902</v>
      </c>
      <c r="I111" s="1">
        <v>0.67214582312275295</v>
      </c>
    </row>
    <row r="112" spans="1:9">
      <c r="A112" s="1" t="s">
        <v>112</v>
      </c>
      <c r="B112" s="1">
        <v>2</v>
      </c>
      <c r="C112" s="1">
        <f t="shared" si="4"/>
        <v>1.9417475728155338</v>
      </c>
      <c r="D112" s="1">
        <v>1</v>
      </c>
      <c r="E112" s="1">
        <f t="shared" si="5"/>
        <v>0.85470085470085477</v>
      </c>
      <c r="F112" s="1">
        <f t="shared" si="6"/>
        <v>3</v>
      </c>
      <c r="G112" s="1">
        <f t="shared" si="7"/>
        <v>1.3636363636363635</v>
      </c>
      <c r="H112" s="1">
        <v>0.49084333135937902</v>
      </c>
      <c r="I112" s="1">
        <v>0.67214582312275295</v>
      </c>
    </row>
    <row r="113" spans="1:9">
      <c r="A113" s="1" t="s">
        <v>113</v>
      </c>
      <c r="B113" s="1">
        <v>2</v>
      </c>
      <c r="C113" s="1">
        <f t="shared" si="4"/>
        <v>1.9417475728155338</v>
      </c>
      <c r="D113" s="1">
        <v>4</v>
      </c>
      <c r="E113" s="1">
        <f t="shared" si="5"/>
        <v>3.4188034188034191</v>
      </c>
      <c r="F113" s="1">
        <f t="shared" si="6"/>
        <v>6</v>
      </c>
      <c r="G113" s="1">
        <f t="shared" si="7"/>
        <v>2.7272727272727271</v>
      </c>
      <c r="H113" s="1">
        <v>0.50799579575428599</v>
      </c>
      <c r="I113" s="1">
        <v>0.68332177835974806</v>
      </c>
    </row>
    <row r="114" spans="1:9">
      <c r="A114" s="1" t="s">
        <v>114</v>
      </c>
      <c r="B114" s="1">
        <v>2</v>
      </c>
      <c r="C114" s="1">
        <f t="shared" si="4"/>
        <v>1.9417475728155338</v>
      </c>
      <c r="D114" s="1">
        <v>4</v>
      </c>
      <c r="E114" s="1">
        <f t="shared" si="5"/>
        <v>3.4188034188034191</v>
      </c>
      <c r="F114" s="1">
        <f t="shared" si="6"/>
        <v>6</v>
      </c>
      <c r="G114" s="1">
        <f t="shared" si="7"/>
        <v>2.7272727272727271</v>
      </c>
      <c r="H114" s="1">
        <v>0.50799579575428599</v>
      </c>
      <c r="I114" s="1">
        <v>0.68332177835974806</v>
      </c>
    </row>
    <row r="115" spans="1:9">
      <c r="A115" s="1" t="s">
        <v>115</v>
      </c>
      <c r="B115" s="1">
        <v>11</v>
      </c>
      <c r="C115" s="1">
        <f t="shared" si="4"/>
        <v>10.679611650485436</v>
      </c>
      <c r="D115" s="1">
        <v>16</v>
      </c>
      <c r="E115" s="1">
        <f t="shared" si="5"/>
        <v>13.675213675213676</v>
      </c>
      <c r="F115" s="1">
        <f t="shared" si="6"/>
        <v>27</v>
      </c>
      <c r="G115" s="1">
        <f t="shared" si="7"/>
        <v>12.272727272727273</v>
      </c>
      <c r="H115" s="1">
        <v>0.52681923733404001</v>
      </c>
      <c r="I115" s="1">
        <v>0.70242564977872002</v>
      </c>
    </row>
    <row r="116" spans="1:9">
      <c r="A116" s="1" t="s">
        <v>116</v>
      </c>
      <c r="B116" s="1">
        <v>3</v>
      </c>
      <c r="C116" s="1">
        <f t="shared" si="4"/>
        <v>2.912621359223301</v>
      </c>
      <c r="D116" s="1">
        <v>2</v>
      </c>
      <c r="E116" s="1">
        <f t="shared" si="5"/>
        <v>1.7094017094017095</v>
      </c>
      <c r="F116" s="1">
        <f t="shared" si="6"/>
        <v>5</v>
      </c>
      <c r="G116" s="1">
        <f t="shared" si="7"/>
        <v>2.2727272727272729</v>
      </c>
      <c r="H116" s="1">
        <v>0.55471735899740804</v>
      </c>
      <c r="I116" s="1">
        <v>0.72065844929577805</v>
      </c>
    </row>
    <row r="117" spans="1:9">
      <c r="A117" s="1" t="s">
        <v>117</v>
      </c>
      <c r="B117" s="1">
        <v>3</v>
      </c>
      <c r="C117" s="1">
        <f t="shared" si="4"/>
        <v>2.912621359223301</v>
      </c>
      <c r="D117" s="1">
        <v>2</v>
      </c>
      <c r="E117" s="1">
        <f t="shared" si="5"/>
        <v>1.7094017094017095</v>
      </c>
      <c r="F117" s="1">
        <f t="shared" si="6"/>
        <v>5</v>
      </c>
      <c r="G117" s="1">
        <f t="shared" si="7"/>
        <v>2.2727272727272729</v>
      </c>
      <c r="H117" s="1">
        <v>0.55471735899740804</v>
      </c>
      <c r="I117" s="1">
        <v>0.72065844929577805</v>
      </c>
    </row>
    <row r="118" spans="1:9">
      <c r="A118" s="1" t="s">
        <v>118</v>
      </c>
      <c r="B118" s="1">
        <v>3</v>
      </c>
      <c r="C118" s="1">
        <f t="shared" si="4"/>
        <v>2.912621359223301</v>
      </c>
      <c r="D118" s="1">
        <v>2</v>
      </c>
      <c r="E118" s="1">
        <f t="shared" si="5"/>
        <v>1.7094017094017095</v>
      </c>
      <c r="F118" s="1">
        <f t="shared" si="6"/>
        <v>5</v>
      </c>
      <c r="G118" s="1">
        <f t="shared" si="7"/>
        <v>2.2727272727272729</v>
      </c>
      <c r="H118" s="1">
        <v>0.55471735899740804</v>
      </c>
      <c r="I118" s="1">
        <v>0.72065844929577805</v>
      </c>
    </row>
    <row r="119" spans="1:9">
      <c r="A119" s="1" t="s">
        <v>119</v>
      </c>
      <c r="B119" s="1">
        <v>24</v>
      </c>
      <c r="C119" s="1">
        <f t="shared" si="4"/>
        <v>23.300970873786408</v>
      </c>
      <c r="D119" s="1">
        <v>23</v>
      </c>
      <c r="E119" s="1">
        <f t="shared" si="5"/>
        <v>19.658119658119659</v>
      </c>
      <c r="F119" s="1">
        <f t="shared" si="6"/>
        <v>47</v>
      </c>
      <c r="G119" s="1">
        <f t="shared" si="7"/>
        <v>21.363636363636363</v>
      </c>
      <c r="H119" s="1">
        <v>0.55968044976212505</v>
      </c>
      <c r="I119" s="1">
        <v>0.72094430816816102</v>
      </c>
    </row>
    <row r="120" spans="1:9">
      <c r="A120" s="1" t="s">
        <v>120</v>
      </c>
      <c r="B120" s="1">
        <v>4</v>
      </c>
      <c r="C120" s="1">
        <f t="shared" si="4"/>
        <v>3.8834951456310676</v>
      </c>
      <c r="D120" s="1">
        <v>3</v>
      </c>
      <c r="E120" s="1">
        <f t="shared" si="5"/>
        <v>2.5641025641025639</v>
      </c>
      <c r="F120" s="1">
        <f t="shared" si="6"/>
        <v>7</v>
      </c>
      <c r="G120" s="1">
        <f t="shared" si="7"/>
        <v>3.1818181818181817</v>
      </c>
      <c r="H120" s="1">
        <v>0.58407645138600806</v>
      </c>
      <c r="I120" s="1">
        <v>0.74604723202246503</v>
      </c>
    </row>
    <row r="121" spans="1:9">
      <c r="A121" s="1" t="s">
        <v>121</v>
      </c>
      <c r="B121" s="1">
        <v>5</v>
      </c>
      <c r="C121" s="1">
        <f t="shared" si="4"/>
        <v>4.8543689320388346</v>
      </c>
      <c r="D121" s="1">
        <v>4</v>
      </c>
      <c r="E121" s="1">
        <f t="shared" si="5"/>
        <v>3.4188034188034191</v>
      </c>
      <c r="F121" s="1">
        <f t="shared" si="6"/>
        <v>9</v>
      </c>
      <c r="G121" s="1">
        <f t="shared" si="7"/>
        <v>4.0909090909090908</v>
      </c>
      <c r="H121" s="1">
        <v>0.59936969353911196</v>
      </c>
      <c r="I121" s="1">
        <v>0.74799096461963199</v>
      </c>
    </row>
    <row r="122" spans="1:9">
      <c r="A122" s="1" t="s">
        <v>122</v>
      </c>
      <c r="B122" s="1">
        <v>1</v>
      </c>
      <c r="C122" s="1">
        <f t="shared" si="4"/>
        <v>0.97087378640776689</v>
      </c>
      <c r="D122" s="1">
        <v>2</v>
      </c>
      <c r="E122" s="1">
        <f t="shared" si="5"/>
        <v>1.7094017094017095</v>
      </c>
      <c r="F122" s="1">
        <f t="shared" si="6"/>
        <v>3</v>
      </c>
      <c r="G122" s="1">
        <f t="shared" si="7"/>
        <v>1.3636363636363635</v>
      </c>
      <c r="H122" s="1">
        <v>0.63972911447731695</v>
      </c>
      <c r="I122" s="1">
        <v>0.74799096461963199</v>
      </c>
    </row>
    <row r="123" spans="1:9">
      <c r="A123" s="1" t="s">
        <v>123</v>
      </c>
      <c r="B123" s="1">
        <v>1</v>
      </c>
      <c r="C123" s="1">
        <f t="shared" si="4"/>
        <v>0.97087378640776689</v>
      </c>
      <c r="D123" s="1">
        <v>2</v>
      </c>
      <c r="E123" s="1">
        <f t="shared" si="5"/>
        <v>1.7094017094017095</v>
      </c>
      <c r="F123" s="1">
        <f t="shared" si="6"/>
        <v>3</v>
      </c>
      <c r="G123" s="1">
        <f t="shared" si="7"/>
        <v>1.3636363636363635</v>
      </c>
      <c r="H123" s="1">
        <v>0.63972911447731695</v>
      </c>
      <c r="I123" s="1">
        <v>0.74799096461963199</v>
      </c>
    </row>
    <row r="124" spans="1:9">
      <c r="A124" s="1" t="s">
        <v>124</v>
      </c>
      <c r="B124" s="1">
        <v>1</v>
      </c>
      <c r="C124" s="1">
        <f t="shared" si="4"/>
        <v>0.97087378640776689</v>
      </c>
      <c r="D124" s="1">
        <v>2</v>
      </c>
      <c r="E124" s="1">
        <f t="shared" si="5"/>
        <v>1.7094017094017095</v>
      </c>
      <c r="F124" s="1">
        <f t="shared" si="6"/>
        <v>3</v>
      </c>
      <c r="G124" s="1">
        <f t="shared" si="7"/>
        <v>1.3636363636363635</v>
      </c>
      <c r="H124" s="1">
        <v>0.63972911447731695</v>
      </c>
      <c r="I124" s="1">
        <v>0.74799096461963199</v>
      </c>
    </row>
    <row r="125" spans="1:9">
      <c r="A125" s="1" t="s">
        <v>125</v>
      </c>
      <c r="B125" s="1">
        <v>1</v>
      </c>
      <c r="C125" s="1">
        <f t="shared" si="4"/>
        <v>0.97087378640776689</v>
      </c>
      <c r="D125" s="1">
        <v>2</v>
      </c>
      <c r="E125" s="1">
        <f t="shared" si="5"/>
        <v>1.7094017094017095</v>
      </c>
      <c r="F125" s="1">
        <f t="shared" si="6"/>
        <v>3</v>
      </c>
      <c r="G125" s="1">
        <f t="shared" si="7"/>
        <v>1.3636363636363635</v>
      </c>
      <c r="H125" s="1">
        <v>0.63972911447731695</v>
      </c>
      <c r="I125" s="1">
        <v>0.74799096461963199</v>
      </c>
    </row>
    <row r="126" spans="1:9">
      <c r="A126" s="1" t="s">
        <v>126</v>
      </c>
      <c r="B126" s="1">
        <v>96</v>
      </c>
      <c r="C126" s="2">
        <f t="shared" si="4"/>
        <v>93.203883495145632</v>
      </c>
      <c r="D126" s="1">
        <v>101</v>
      </c>
      <c r="E126" s="2">
        <f t="shared" si="5"/>
        <v>86.324786324786331</v>
      </c>
      <c r="F126" s="1">
        <f t="shared" si="6"/>
        <v>197</v>
      </c>
      <c r="G126" s="1">
        <f t="shared" si="7"/>
        <v>89.545454545454547</v>
      </c>
      <c r="H126" s="1">
        <v>0.59055344475743898</v>
      </c>
      <c r="I126" s="1">
        <v>0.74799096461963199</v>
      </c>
    </row>
    <row r="127" spans="1:9">
      <c r="A127" s="1" t="s">
        <v>127</v>
      </c>
      <c r="B127" s="1">
        <v>6</v>
      </c>
      <c r="C127" s="1">
        <f t="shared" si="4"/>
        <v>5.825242718446602</v>
      </c>
      <c r="D127" s="1">
        <v>5</v>
      </c>
      <c r="E127" s="1">
        <f t="shared" si="5"/>
        <v>4.2735042735042734</v>
      </c>
      <c r="F127" s="1">
        <f t="shared" si="6"/>
        <v>11</v>
      </c>
      <c r="G127" s="1">
        <f t="shared" si="7"/>
        <v>5</v>
      </c>
      <c r="H127" s="1">
        <v>0.60752448002091297</v>
      </c>
      <c r="I127" s="1">
        <v>0.74799096461963199</v>
      </c>
    </row>
    <row r="128" spans="1:9">
      <c r="A128" s="1" t="s">
        <v>128</v>
      </c>
      <c r="B128" s="1">
        <v>9</v>
      </c>
      <c r="C128" s="1">
        <f t="shared" si="4"/>
        <v>8.7378640776699026</v>
      </c>
      <c r="D128" s="1">
        <v>8</v>
      </c>
      <c r="E128" s="1">
        <f t="shared" si="5"/>
        <v>6.8376068376068382</v>
      </c>
      <c r="F128" s="1">
        <f t="shared" si="6"/>
        <v>17</v>
      </c>
      <c r="G128" s="1">
        <f t="shared" si="7"/>
        <v>7.7272727272727266</v>
      </c>
      <c r="H128" s="1">
        <v>0.61289839298197701</v>
      </c>
      <c r="I128" s="1">
        <v>0.74799096461963199</v>
      </c>
    </row>
    <row r="129" spans="1:9">
      <c r="A129" s="1" t="s">
        <v>129</v>
      </c>
      <c r="B129" s="1">
        <v>9</v>
      </c>
      <c r="C129" s="1">
        <f t="shared" si="4"/>
        <v>8.7378640776699026</v>
      </c>
      <c r="D129" s="1">
        <v>8</v>
      </c>
      <c r="E129" s="1">
        <f t="shared" si="5"/>
        <v>6.8376068376068382</v>
      </c>
      <c r="F129" s="1">
        <f t="shared" si="6"/>
        <v>17</v>
      </c>
      <c r="G129" s="1">
        <f t="shared" si="7"/>
        <v>7.7272727272727266</v>
      </c>
      <c r="H129" s="1">
        <v>0.61289839298197701</v>
      </c>
      <c r="I129" s="1">
        <v>0.74799096461963199</v>
      </c>
    </row>
    <row r="130" spans="1:9">
      <c r="A130" s="1" t="s">
        <v>130</v>
      </c>
      <c r="B130" s="1">
        <v>1</v>
      </c>
      <c r="C130" s="1">
        <f t="shared" si="4"/>
        <v>0.97087378640776689</v>
      </c>
      <c r="D130" s="1">
        <v>2</v>
      </c>
      <c r="E130" s="1">
        <f t="shared" si="5"/>
        <v>1.7094017094017095</v>
      </c>
      <c r="F130" s="1">
        <f t="shared" si="6"/>
        <v>3</v>
      </c>
      <c r="G130" s="1">
        <f t="shared" si="7"/>
        <v>1.3636363636363635</v>
      </c>
      <c r="H130" s="1">
        <v>0.63972911447731695</v>
      </c>
      <c r="I130" s="1">
        <v>0.74799096461963199</v>
      </c>
    </row>
    <row r="131" spans="1:9">
      <c r="A131" s="1" t="s">
        <v>131</v>
      </c>
      <c r="B131" s="1">
        <v>1</v>
      </c>
      <c r="C131" s="1">
        <f t="shared" ref="C131:C153" si="8">B131/103*100</f>
        <v>0.97087378640776689</v>
      </c>
      <c r="D131" s="1">
        <v>2</v>
      </c>
      <c r="E131" s="1">
        <f t="shared" ref="E131:E153" si="9">D131/117*100</f>
        <v>1.7094017094017095</v>
      </c>
      <c r="F131" s="1">
        <f t="shared" ref="F131:F153" si="10">SUM(B131,D131)</f>
        <v>3</v>
      </c>
      <c r="G131" s="1">
        <f t="shared" ref="G131:G153" si="11">F131/220*100</f>
        <v>1.3636363636363635</v>
      </c>
      <c r="H131" s="1">
        <v>0.63972911447731695</v>
      </c>
      <c r="I131" s="1">
        <v>0.74799096461963199</v>
      </c>
    </row>
    <row r="132" spans="1:9">
      <c r="A132" s="1" t="s">
        <v>132</v>
      </c>
      <c r="B132" s="1">
        <v>5</v>
      </c>
      <c r="C132" s="1">
        <f t="shared" si="8"/>
        <v>4.8543689320388346</v>
      </c>
      <c r="D132" s="1">
        <v>7</v>
      </c>
      <c r="E132" s="1">
        <f t="shared" si="9"/>
        <v>5.982905982905983</v>
      </c>
      <c r="F132" s="1">
        <f t="shared" si="10"/>
        <v>12</v>
      </c>
      <c r="G132" s="1">
        <f t="shared" si="11"/>
        <v>5.4545454545454541</v>
      </c>
      <c r="H132" s="1">
        <v>0.72061849907940301</v>
      </c>
      <c r="I132" s="1">
        <v>0.83613749511503199</v>
      </c>
    </row>
    <row r="133" spans="1:9">
      <c r="A133" s="1" t="s">
        <v>133</v>
      </c>
      <c r="B133" s="1">
        <v>2</v>
      </c>
      <c r="C133" s="1">
        <f t="shared" si="8"/>
        <v>1.9417475728155338</v>
      </c>
      <c r="D133" s="1">
        <v>3</v>
      </c>
      <c r="E133" s="1">
        <f t="shared" si="9"/>
        <v>2.5641025641025639</v>
      </c>
      <c r="F133" s="1">
        <f t="shared" si="10"/>
        <v>5</v>
      </c>
      <c r="G133" s="1">
        <f t="shared" si="11"/>
        <v>2.2727272727272729</v>
      </c>
      <c r="H133" s="1">
        <v>0.75995670797769999</v>
      </c>
      <c r="I133" s="1">
        <v>0.86204044487022702</v>
      </c>
    </row>
    <row r="134" spans="1:9">
      <c r="A134" s="1" t="s">
        <v>134</v>
      </c>
      <c r="B134" s="1">
        <v>2</v>
      </c>
      <c r="C134" s="1">
        <f t="shared" si="8"/>
        <v>1.9417475728155338</v>
      </c>
      <c r="D134" s="1">
        <v>3</v>
      </c>
      <c r="E134" s="1">
        <f t="shared" si="9"/>
        <v>2.5641025641025639</v>
      </c>
      <c r="F134" s="1">
        <f t="shared" si="10"/>
        <v>5</v>
      </c>
      <c r="G134" s="1">
        <f t="shared" si="11"/>
        <v>2.2727272727272729</v>
      </c>
      <c r="H134" s="1">
        <v>0.75995670797769999</v>
      </c>
      <c r="I134" s="1">
        <v>0.86204044487022702</v>
      </c>
    </row>
    <row r="135" spans="1:9">
      <c r="A135" s="1" t="s">
        <v>135</v>
      </c>
      <c r="B135" s="1">
        <v>2</v>
      </c>
      <c r="C135" s="1">
        <f t="shared" si="8"/>
        <v>1.9417475728155338</v>
      </c>
      <c r="D135" s="1">
        <v>3</v>
      </c>
      <c r="E135" s="1">
        <f t="shared" si="9"/>
        <v>2.5641025641025639</v>
      </c>
      <c r="F135" s="1">
        <f t="shared" si="10"/>
        <v>5</v>
      </c>
      <c r="G135" s="1">
        <f t="shared" si="11"/>
        <v>2.2727272727272729</v>
      </c>
      <c r="H135" s="1">
        <v>0.75995670797769999</v>
      </c>
      <c r="I135" s="1">
        <v>0.86204044487022702</v>
      </c>
    </row>
    <row r="136" spans="1:9">
      <c r="A136" s="1" t="s">
        <v>136</v>
      </c>
      <c r="B136" s="1">
        <v>3</v>
      </c>
      <c r="C136" s="1">
        <f t="shared" si="8"/>
        <v>2.912621359223301</v>
      </c>
      <c r="D136" s="1">
        <v>3</v>
      </c>
      <c r="E136" s="1">
        <f t="shared" si="9"/>
        <v>2.5641025641025639</v>
      </c>
      <c r="F136" s="1">
        <f t="shared" si="10"/>
        <v>6</v>
      </c>
      <c r="G136" s="1">
        <f t="shared" si="11"/>
        <v>2.7272727272727271</v>
      </c>
      <c r="H136" s="1">
        <v>0.87588073673830402</v>
      </c>
      <c r="I136" s="1">
        <v>0.92280429351495896</v>
      </c>
    </row>
    <row r="137" spans="1:9">
      <c r="A137" s="1" t="s">
        <v>137</v>
      </c>
      <c r="B137" s="1">
        <v>2</v>
      </c>
      <c r="C137" s="1">
        <f t="shared" si="8"/>
        <v>1.9417475728155338</v>
      </c>
      <c r="D137" s="1">
        <v>2</v>
      </c>
      <c r="E137" s="1">
        <f t="shared" si="9"/>
        <v>1.7094017094017095</v>
      </c>
      <c r="F137" s="1">
        <f t="shared" si="10"/>
        <v>4</v>
      </c>
      <c r="G137" s="1">
        <f t="shared" si="11"/>
        <v>1.8181818181818181</v>
      </c>
      <c r="H137" s="1">
        <v>0.89851997000140704</v>
      </c>
      <c r="I137" s="1">
        <v>0.92280429351495896</v>
      </c>
    </row>
    <row r="138" spans="1:9">
      <c r="A138" s="1" t="s">
        <v>138</v>
      </c>
      <c r="B138" s="1">
        <v>8</v>
      </c>
      <c r="C138" s="1">
        <f t="shared" si="8"/>
        <v>7.7669902912621351</v>
      </c>
      <c r="D138" s="1">
        <v>10</v>
      </c>
      <c r="E138" s="1">
        <f t="shared" si="9"/>
        <v>8.5470085470085468</v>
      </c>
      <c r="F138" s="1">
        <f t="shared" si="10"/>
        <v>18</v>
      </c>
      <c r="G138" s="1">
        <f t="shared" si="11"/>
        <v>8.1818181818181817</v>
      </c>
      <c r="H138" s="1">
        <v>0.84005168481692605</v>
      </c>
      <c r="I138" s="1">
        <v>0.92280429351495896</v>
      </c>
    </row>
    <row r="139" spans="1:9">
      <c r="A139" s="1" t="s">
        <v>139</v>
      </c>
      <c r="B139" s="1">
        <v>3</v>
      </c>
      <c r="C139" s="1">
        <f t="shared" si="8"/>
        <v>2.912621359223301</v>
      </c>
      <c r="D139" s="1">
        <v>4</v>
      </c>
      <c r="E139" s="1">
        <f t="shared" si="9"/>
        <v>3.4188034188034191</v>
      </c>
      <c r="F139" s="1">
        <f t="shared" si="10"/>
        <v>7</v>
      </c>
      <c r="G139" s="1">
        <f t="shared" si="11"/>
        <v>3.1818181818181817</v>
      </c>
      <c r="H139" s="1">
        <v>0.83364881079348496</v>
      </c>
      <c r="I139" s="1">
        <v>0.92280429351495896</v>
      </c>
    </row>
    <row r="140" spans="1:9">
      <c r="A140" s="1" t="s">
        <v>140</v>
      </c>
      <c r="B140" s="1">
        <v>2</v>
      </c>
      <c r="C140" s="1">
        <f t="shared" si="8"/>
        <v>1.9417475728155338</v>
      </c>
      <c r="D140" s="1">
        <v>2</v>
      </c>
      <c r="E140" s="1">
        <f t="shared" si="9"/>
        <v>1.7094017094017095</v>
      </c>
      <c r="F140" s="1">
        <f t="shared" si="10"/>
        <v>4</v>
      </c>
      <c r="G140" s="1">
        <f t="shared" si="11"/>
        <v>1.8181818181818181</v>
      </c>
      <c r="H140" s="1">
        <v>0.89851997000140704</v>
      </c>
      <c r="I140" s="1">
        <v>0.92280429351495896</v>
      </c>
    </row>
    <row r="141" spans="1:9">
      <c r="A141" s="1" t="s">
        <v>141</v>
      </c>
      <c r="B141" s="1">
        <v>2</v>
      </c>
      <c r="C141" s="1">
        <f t="shared" si="8"/>
        <v>1.9417475728155338</v>
      </c>
      <c r="D141" s="1">
        <v>2</v>
      </c>
      <c r="E141" s="1">
        <f t="shared" si="9"/>
        <v>1.7094017094017095</v>
      </c>
      <c r="F141" s="1">
        <f t="shared" si="10"/>
        <v>4</v>
      </c>
      <c r="G141" s="1">
        <f t="shared" si="11"/>
        <v>1.8181818181818181</v>
      </c>
      <c r="H141" s="1">
        <v>0.89851997000140704</v>
      </c>
      <c r="I141" s="1">
        <v>0.92280429351495896</v>
      </c>
    </row>
    <row r="142" spans="1:9">
      <c r="A142" s="1" t="s">
        <v>142</v>
      </c>
      <c r="B142" s="1">
        <v>2</v>
      </c>
      <c r="C142" s="1">
        <f t="shared" si="8"/>
        <v>1.9417475728155338</v>
      </c>
      <c r="D142" s="1">
        <v>2</v>
      </c>
      <c r="E142" s="1">
        <f t="shared" si="9"/>
        <v>1.7094017094017095</v>
      </c>
      <c r="F142" s="1">
        <f t="shared" si="10"/>
        <v>4</v>
      </c>
      <c r="G142" s="1">
        <f t="shared" si="11"/>
        <v>1.8181818181818181</v>
      </c>
      <c r="H142" s="1">
        <v>0.89851997000140704</v>
      </c>
      <c r="I142" s="1">
        <v>0.92280429351495896</v>
      </c>
    </row>
    <row r="143" spans="1:9">
      <c r="A143" s="1" t="s">
        <v>143</v>
      </c>
      <c r="B143" s="1">
        <v>3</v>
      </c>
      <c r="C143" s="1">
        <f t="shared" si="8"/>
        <v>2.912621359223301</v>
      </c>
      <c r="D143" s="1">
        <v>3</v>
      </c>
      <c r="E143" s="1">
        <f t="shared" si="9"/>
        <v>2.5641025641025639</v>
      </c>
      <c r="F143" s="1">
        <f t="shared" si="10"/>
        <v>6</v>
      </c>
      <c r="G143" s="1">
        <f t="shared" si="11"/>
        <v>2.7272727272727271</v>
      </c>
      <c r="H143" s="1">
        <v>0.87588073673830402</v>
      </c>
      <c r="I143" s="1">
        <v>0.92280429351495896</v>
      </c>
    </row>
    <row r="144" spans="1:9">
      <c r="A144" s="1" t="s">
        <v>144</v>
      </c>
      <c r="B144" s="1">
        <v>3</v>
      </c>
      <c r="C144" s="1">
        <f t="shared" si="8"/>
        <v>2.912621359223301</v>
      </c>
      <c r="D144" s="1">
        <v>3</v>
      </c>
      <c r="E144" s="1">
        <f t="shared" si="9"/>
        <v>2.5641025641025639</v>
      </c>
      <c r="F144" s="1">
        <f t="shared" si="10"/>
        <v>6</v>
      </c>
      <c r="G144" s="1">
        <f t="shared" si="11"/>
        <v>2.7272727272727271</v>
      </c>
      <c r="H144" s="1">
        <v>0.87588073673830402</v>
      </c>
      <c r="I144" s="1">
        <v>0.92280429351495896</v>
      </c>
    </row>
    <row r="145" spans="1:9">
      <c r="A145" s="1" t="s">
        <v>145</v>
      </c>
      <c r="B145" s="1">
        <v>2</v>
      </c>
      <c r="C145" s="1">
        <f t="shared" si="8"/>
        <v>1.9417475728155338</v>
      </c>
      <c r="D145" s="1">
        <v>2</v>
      </c>
      <c r="E145" s="1">
        <f t="shared" si="9"/>
        <v>1.7094017094017095</v>
      </c>
      <c r="F145" s="1">
        <f t="shared" si="10"/>
        <v>4</v>
      </c>
      <c r="G145" s="1">
        <f t="shared" si="11"/>
        <v>1.8181818181818181</v>
      </c>
      <c r="H145" s="1">
        <v>0.89851997000140704</v>
      </c>
      <c r="I145" s="1">
        <v>0.92280429351495896</v>
      </c>
    </row>
    <row r="146" spans="1:9">
      <c r="A146" s="1" t="s">
        <v>146</v>
      </c>
      <c r="B146" s="1">
        <v>3</v>
      </c>
      <c r="C146" s="1">
        <f t="shared" si="8"/>
        <v>2.912621359223301</v>
      </c>
      <c r="D146" s="1">
        <v>3</v>
      </c>
      <c r="E146" s="1">
        <f t="shared" si="9"/>
        <v>2.5641025641025639</v>
      </c>
      <c r="F146" s="1">
        <f t="shared" si="10"/>
        <v>6</v>
      </c>
      <c r="G146" s="1">
        <f t="shared" si="11"/>
        <v>2.7272727272727271</v>
      </c>
      <c r="H146" s="1">
        <v>0.87588073673830402</v>
      </c>
      <c r="I146" s="1">
        <v>0.92280429351495896</v>
      </c>
    </row>
    <row r="147" spans="1:9">
      <c r="A147" s="1" t="s">
        <v>147</v>
      </c>
      <c r="B147" s="1">
        <v>2</v>
      </c>
      <c r="C147" s="1">
        <f t="shared" si="8"/>
        <v>1.9417475728155338</v>
      </c>
      <c r="D147" s="1">
        <v>2</v>
      </c>
      <c r="E147" s="1">
        <f t="shared" si="9"/>
        <v>1.7094017094017095</v>
      </c>
      <c r="F147" s="1">
        <f t="shared" si="10"/>
        <v>4</v>
      </c>
      <c r="G147" s="1">
        <f t="shared" si="11"/>
        <v>1.8181818181818181</v>
      </c>
      <c r="H147" s="1">
        <v>0.89851997000140704</v>
      </c>
      <c r="I147" s="1">
        <v>0.92280429351495896</v>
      </c>
    </row>
    <row r="148" spans="1:9">
      <c r="A148" s="1" t="s">
        <v>148</v>
      </c>
      <c r="B148" s="1">
        <v>2</v>
      </c>
      <c r="C148" s="1">
        <f t="shared" si="8"/>
        <v>1.9417475728155338</v>
      </c>
      <c r="D148" s="1">
        <v>2</v>
      </c>
      <c r="E148" s="1">
        <f t="shared" si="9"/>
        <v>1.7094017094017095</v>
      </c>
      <c r="F148" s="1">
        <f t="shared" si="10"/>
        <v>4</v>
      </c>
      <c r="G148" s="1">
        <f t="shared" si="11"/>
        <v>1.8181818181818181</v>
      </c>
      <c r="H148" s="1">
        <v>0.89851997000140704</v>
      </c>
      <c r="I148" s="1">
        <v>0.92280429351495896</v>
      </c>
    </row>
    <row r="149" spans="1:9">
      <c r="A149" s="1" t="s">
        <v>149</v>
      </c>
      <c r="B149" s="1">
        <v>2</v>
      </c>
      <c r="C149" s="1">
        <f t="shared" si="8"/>
        <v>1.9417475728155338</v>
      </c>
      <c r="D149" s="1">
        <v>2</v>
      </c>
      <c r="E149" s="1">
        <f t="shared" si="9"/>
        <v>1.7094017094017095</v>
      </c>
      <c r="F149" s="1">
        <f t="shared" si="10"/>
        <v>4</v>
      </c>
      <c r="G149" s="1">
        <f t="shared" si="11"/>
        <v>1.8181818181818181</v>
      </c>
      <c r="H149" s="1">
        <v>0.89851997000140704</v>
      </c>
      <c r="I149" s="1">
        <v>0.92280429351495896</v>
      </c>
    </row>
    <row r="150" spans="1:9">
      <c r="A150" s="1" t="s">
        <v>150</v>
      </c>
      <c r="B150" s="1">
        <v>1</v>
      </c>
      <c r="C150" s="1">
        <f t="shared" si="8"/>
        <v>0.97087378640776689</v>
      </c>
      <c r="D150" s="1">
        <v>1</v>
      </c>
      <c r="E150" s="1">
        <f t="shared" si="9"/>
        <v>0.85470085470085477</v>
      </c>
      <c r="F150" s="1">
        <f t="shared" si="10"/>
        <v>2</v>
      </c>
      <c r="G150" s="1">
        <f t="shared" si="11"/>
        <v>0.90909090909090906</v>
      </c>
      <c r="H150" s="1">
        <v>0.92814561878647694</v>
      </c>
      <c r="I150" s="1">
        <v>0.92814561878647694</v>
      </c>
    </row>
    <row r="151" spans="1:9">
      <c r="A151" s="1" t="s">
        <v>151</v>
      </c>
      <c r="B151" s="1">
        <v>1</v>
      </c>
      <c r="C151" s="1">
        <f t="shared" si="8"/>
        <v>0.97087378640776689</v>
      </c>
      <c r="D151" s="1">
        <v>1</v>
      </c>
      <c r="E151" s="1">
        <f t="shared" si="9"/>
        <v>0.85470085470085477</v>
      </c>
      <c r="F151" s="1">
        <f t="shared" si="10"/>
        <v>2</v>
      </c>
      <c r="G151" s="1">
        <f t="shared" si="11"/>
        <v>0.90909090909090906</v>
      </c>
      <c r="H151" s="1">
        <v>0.92814561878647694</v>
      </c>
      <c r="I151" s="1">
        <v>0.92814561878647694</v>
      </c>
    </row>
    <row r="152" spans="1:9">
      <c r="A152" s="1" t="s">
        <v>152</v>
      </c>
      <c r="B152" s="1">
        <v>1</v>
      </c>
      <c r="C152" s="1">
        <f t="shared" si="8"/>
        <v>0.97087378640776689</v>
      </c>
      <c r="D152" s="1">
        <v>1</v>
      </c>
      <c r="E152" s="1">
        <f t="shared" si="9"/>
        <v>0.85470085470085477</v>
      </c>
      <c r="F152" s="1">
        <f t="shared" si="10"/>
        <v>2</v>
      </c>
      <c r="G152" s="1">
        <f t="shared" si="11"/>
        <v>0.90909090909090906</v>
      </c>
      <c r="H152" s="1">
        <v>0.92814561878647694</v>
      </c>
      <c r="I152" s="1">
        <v>0.92814561878647694</v>
      </c>
    </row>
    <row r="153" spans="1:9">
      <c r="A153" s="1" t="s">
        <v>153</v>
      </c>
      <c r="B153" s="1">
        <v>1</v>
      </c>
      <c r="C153" s="1">
        <f t="shared" si="8"/>
        <v>0.97087378640776689</v>
      </c>
      <c r="D153" s="1">
        <v>1</v>
      </c>
      <c r="E153" s="1">
        <f t="shared" si="9"/>
        <v>0.85470085470085477</v>
      </c>
      <c r="F153" s="1">
        <f t="shared" si="10"/>
        <v>2</v>
      </c>
      <c r="G153" s="1">
        <f t="shared" si="11"/>
        <v>0.90909090909090906</v>
      </c>
      <c r="H153" s="1">
        <v>0.92814561878647694</v>
      </c>
      <c r="I153" s="1">
        <v>0.92814561878647694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presence-absence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Sujatha</dc:creator>
  <cp:lastModifiedBy>ssriniva</cp:lastModifiedBy>
  <dcterms:created xsi:type="dcterms:W3CDTF">2011-12-19T23:51:49Z</dcterms:created>
  <dcterms:modified xsi:type="dcterms:W3CDTF">2012-02-08T22:55:55Z</dcterms:modified>
</cp:coreProperties>
</file>