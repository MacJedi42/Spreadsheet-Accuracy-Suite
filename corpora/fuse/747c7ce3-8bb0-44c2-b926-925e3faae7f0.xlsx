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19320" windowHeight="7890"/>
  </bookViews>
  <sheets>
    <sheet name="Summary" sheetId="5" r:id="rId1"/>
    <sheet name="Schools by Cluster Group" sheetId="3" r:id="rId2"/>
  </sheets>
  <calcPr calcId="145621"/>
</workbook>
</file>

<file path=xl/calcChain.xml><?xml version="1.0" encoding="utf-8"?>
<calcChain xmlns="http://schemas.openxmlformats.org/spreadsheetml/2006/main">
  <c r="O189" i="3" l="1"/>
  <c r="N189" i="3"/>
  <c r="N183" i="3"/>
  <c r="O183" i="3"/>
  <c r="C24" i="5" l="1"/>
  <c r="C23" i="5"/>
  <c r="C22" i="5"/>
  <c r="C21" i="5"/>
  <c r="C20" i="5"/>
  <c r="C19" i="5"/>
  <c r="C18" i="5"/>
  <c r="C16" i="5"/>
  <c r="C15" i="5"/>
  <c r="C14" i="5"/>
  <c r="O172" i="3"/>
  <c r="O106" i="3"/>
  <c r="C13" i="5"/>
  <c r="O96" i="3"/>
  <c r="C12" i="5"/>
  <c r="C11" i="5"/>
  <c r="C10" i="5"/>
  <c r="C9" i="5"/>
  <c r="C8" i="5" l="1"/>
  <c r="C7" i="5"/>
  <c r="P2" i="3"/>
  <c r="Q2" i="3" s="1"/>
  <c r="P352" i="3"/>
  <c r="Q352" i="3" s="1"/>
  <c r="P351" i="3"/>
  <c r="P347" i="3"/>
  <c r="Q347" i="3" s="1"/>
  <c r="P346" i="3"/>
  <c r="Q346" i="3" s="1"/>
  <c r="P345" i="3"/>
  <c r="P341" i="3"/>
  <c r="Q341" i="3" s="1"/>
  <c r="P340" i="3"/>
  <c r="Q340" i="3" s="1"/>
  <c r="P339" i="3"/>
  <c r="Q339" i="3" s="1"/>
  <c r="P338" i="3"/>
  <c r="Q338" i="3" s="1"/>
  <c r="P337" i="3"/>
  <c r="Q337" i="3" s="1"/>
  <c r="P336" i="3"/>
  <c r="Q336" i="3" s="1"/>
  <c r="P335" i="3"/>
  <c r="Q335" i="3" s="1"/>
  <c r="P334" i="3"/>
  <c r="Q334" i="3" s="1"/>
  <c r="P333" i="3"/>
  <c r="Q333" i="3" s="1"/>
  <c r="P332" i="3"/>
  <c r="Q332" i="3" s="1"/>
  <c r="P331" i="3"/>
  <c r="Q331" i="3" s="1"/>
  <c r="P330" i="3"/>
  <c r="Q330" i="3" s="1"/>
  <c r="P329" i="3"/>
  <c r="Q329" i="3" s="1"/>
  <c r="P328" i="3"/>
  <c r="Q328" i="3" s="1"/>
  <c r="P327" i="3"/>
  <c r="Q327" i="3" s="1"/>
  <c r="P326" i="3"/>
  <c r="Q326" i="3" s="1"/>
  <c r="P325" i="3"/>
  <c r="Q325" i="3" s="1"/>
  <c r="P324" i="3"/>
  <c r="Q324" i="3" s="1"/>
  <c r="P323" i="3"/>
  <c r="Q323" i="3" s="1"/>
  <c r="P322" i="3"/>
  <c r="Q322" i="3" s="1"/>
  <c r="P321" i="3"/>
  <c r="Q321" i="3" s="1"/>
  <c r="P320" i="3"/>
  <c r="Q320" i="3" s="1"/>
  <c r="P319" i="3"/>
  <c r="Q319" i="3" s="1"/>
  <c r="P318" i="3"/>
  <c r="Q318" i="3" s="1"/>
  <c r="P317" i="3"/>
  <c r="Q317" i="3" s="1"/>
  <c r="P316" i="3"/>
  <c r="Q316" i="3" s="1"/>
  <c r="P315" i="3"/>
  <c r="Q315" i="3" s="1"/>
  <c r="P314" i="3"/>
  <c r="P310" i="3"/>
  <c r="Q310" i="3" s="1"/>
  <c r="P309" i="3"/>
  <c r="Q309" i="3" s="1"/>
  <c r="P308" i="3"/>
  <c r="Q308" i="3" s="1"/>
  <c r="P307" i="3"/>
  <c r="Q307" i="3" s="1"/>
  <c r="P306" i="3"/>
  <c r="Q306" i="3" s="1"/>
  <c r="P305" i="3"/>
  <c r="Q305" i="3" s="1"/>
  <c r="P304" i="3"/>
  <c r="Q304" i="3" s="1"/>
  <c r="P303" i="3"/>
  <c r="Q303" i="3" s="1"/>
  <c r="P302" i="3"/>
  <c r="Q302" i="3" s="1"/>
  <c r="P301" i="3"/>
  <c r="Q301" i="3" s="1"/>
  <c r="P300" i="3"/>
  <c r="Q300" i="3" s="1"/>
  <c r="P299" i="3"/>
  <c r="Q299" i="3" s="1"/>
  <c r="P298" i="3"/>
  <c r="Q298" i="3" s="1"/>
  <c r="P297" i="3"/>
  <c r="Q297" i="3" s="1"/>
  <c r="P296" i="3"/>
  <c r="Q296" i="3" s="1"/>
  <c r="P295" i="3"/>
  <c r="Q295" i="3" s="1"/>
  <c r="P294" i="3"/>
  <c r="Q294" i="3" s="1"/>
  <c r="P293" i="3"/>
  <c r="Q293" i="3" s="1"/>
  <c r="P292" i="3"/>
  <c r="Q292" i="3" s="1"/>
  <c r="P291" i="3"/>
  <c r="Q291" i="3" s="1"/>
  <c r="P290" i="3"/>
  <c r="Q290" i="3" s="1"/>
  <c r="P289" i="3"/>
  <c r="Q289" i="3" s="1"/>
  <c r="P288" i="3"/>
  <c r="Q288" i="3" s="1"/>
  <c r="P287" i="3"/>
  <c r="Q287" i="3" s="1"/>
  <c r="P286" i="3"/>
  <c r="Q286" i="3" s="1"/>
  <c r="P285" i="3"/>
  <c r="Q285" i="3" s="1"/>
  <c r="P284" i="3"/>
  <c r="Q284" i="3" s="1"/>
  <c r="P283" i="3"/>
  <c r="Q283" i="3" s="1"/>
  <c r="P282" i="3"/>
  <c r="Q282" i="3" s="1"/>
  <c r="P281" i="3"/>
  <c r="Q281" i="3" s="1"/>
  <c r="P280" i="3"/>
  <c r="Q280" i="3" s="1"/>
  <c r="P279" i="3"/>
  <c r="Q279" i="3" s="1"/>
  <c r="P278" i="3"/>
  <c r="P274" i="3"/>
  <c r="Q274" i="3" s="1"/>
  <c r="P273" i="3"/>
  <c r="Q273" i="3" s="1"/>
  <c r="P272" i="3"/>
  <c r="Q272" i="3" s="1"/>
  <c r="P271" i="3"/>
  <c r="Q271" i="3" s="1"/>
  <c r="P270" i="3"/>
  <c r="Q270" i="3" s="1"/>
  <c r="P269" i="3"/>
  <c r="Q269" i="3" s="1"/>
  <c r="P268" i="3"/>
  <c r="Q268" i="3" s="1"/>
  <c r="P267" i="3"/>
  <c r="Q267" i="3" s="1"/>
  <c r="P266" i="3"/>
  <c r="Q266" i="3" s="1"/>
  <c r="P265" i="3"/>
  <c r="Q265" i="3" s="1"/>
  <c r="P264" i="3"/>
  <c r="Q264" i="3" s="1"/>
  <c r="P263" i="3"/>
  <c r="Q263" i="3" s="1"/>
  <c r="P262" i="3"/>
  <c r="Q262" i="3" s="1"/>
  <c r="P261" i="3"/>
  <c r="Q261" i="3" s="1"/>
  <c r="P260" i="3"/>
  <c r="Q260" i="3" s="1"/>
  <c r="P259" i="3"/>
  <c r="Q259" i="3" s="1"/>
  <c r="P258" i="3"/>
  <c r="Q258" i="3" s="1"/>
  <c r="P257" i="3"/>
  <c r="Q257" i="3" s="1"/>
  <c r="P256" i="3"/>
  <c r="Q256" i="3" s="1"/>
  <c r="P255" i="3"/>
  <c r="Q255" i="3" s="1"/>
  <c r="P254" i="3"/>
  <c r="Q254" i="3" s="1"/>
  <c r="P253" i="3"/>
  <c r="Q253" i="3" s="1"/>
  <c r="P252" i="3"/>
  <c r="Q252" i="3" s="1"/>
  <c r="P251" i="3"/>
  <c r="Q251" i="3" s="1"/>
  <c r="P250" i="3"/>
  <c r="Q250" i="3" s="1"/>
  <c r="P249" i="3"/>
  <c r="Q249" i="3" s="1"/>
  <c r="P248" i="3"/>
  <c r="Q248" i="3" s="1"/>
  <c r="P247" i="3"/>
  <c r="Q247" i="3" s="1"/>
  <c r="P246" i="3"/>
  <c r="Q246" i="3" s="1"/>
  <c r="P245" i="3"/>
  <c r="Q245" i="3" s="1"/>
  <c r="P244" i="3"/>
  <c r="Q244" i="3" s="1"/>
  <c r="P243" i="3"/>
  <c r="Q243" i="3" s="1"/>
  <c r="P242" i="3"/>
  <c r="Q242" i="3" s="1"/>
  <c r="P241" i="3"/>
  <c r="Q241" i="3" s="1"/>
  <c r="P240" i="3"/>
  <c r="Q240" i="3" s="1"/>
  <c r="P239" i="3"/>
  <c r="Q239" i="3" s="1"/>
  <c r="P238" i="3"/>
  <c r="Q238" i="3" s="1"/>
  <c r="P237" i="3"/>
  <c r="P233" i="3"/>
  <c r="Q233" i="3" s="1"/>
  <c r="P232" i="3"/>
  <c r="Q232" i="3" s="1"/>
  <c r="P231" i="3"/>
  <c r="Q231" i="3" s="1"/>
  <c r="P230" i="3"/>
  <c r="Q230" i="3" s="1"/>
  <c r="P229" i="3"/>
  <c r="Q229" i="3" s="1"/>
  <c r="P228" i="3"/>
  <c r="Q228" i="3" s="1"/>
  <c r="P227" i="3"/>
  <c r="Q227" i="3" s="1"/>
  <c r="P226" i="3"/>
  <c r="Q226" i="3" s="1"/>
  <c r="P225" i="3"/>
  <c r="Q225" i="3" s="1"/>
  <c r="P224" i="3"/>
  <c r="Q224" i="3" s="1"/>
  <c r="P223" i="3"/>
  <c r="Q223" i="3" s="1"/>
  <c r="P222" i="3"/>
  <c r="Q222" i="3" s="1"/>
  <c r="P221" i="3"/>
  <c r="Q221" i="3" s="1"/>
  <c r="P220" i="3"/>
  <c r="Q220" i="3" s="1"/>
  <c r="P219" i="3"/>
  <c r="Q219" i="3" s="1"/>
  <c r="P218" i="3"/>
  <c r="Q218" i="3" s="1"/>
  <c r="P217" i="3"/>
  <c r="P213" i="3"/>
  <c r="Q213" i="3" s="1"/>
  <c r="P212" i="3"/>
  <c r="Q212" i="3" s="1"/>
  <c r="P211" i="3"/>
  <c r="Q211" i="3" s="1"/>
  <c r="P210" i="3"/>
  <c r="Q210" i="3" s="1"/>
  <c r="P209" i="3"/>
  <c r="Q209" i="3" s="1"/>
  <c r="P208" i="3"/>
  <c r="Q208" i="3" s="1"/>
  <c r="P207" i="3"/>
  <c r="Q207" i="3" s="1"/>
  <c r="P206" i="3"/>
  <c r="Q206" i="3" s="1"/>
  <c r="P205" i="3"/>
  <c r="Q205" i="3" s="1"/>
  <c r="P204" i="3"/>
  <c r="Q204" i="3" s="1"/>
  <c r="P203" i="3"/>
  <c r="Q203" i="3" s="1"/>
  <c r="P202" i="3"/>
  <c r="Q202" i="3" s="1"/>
  <c r="P201" i="3"/>
  <c r="Q201" i="3" s="1"/>
  <c r="P200" i="3"/>
  <c r="Q200" i="3" s="1"/>
  <c r="P199" i="3"/>
  <c r="Q199" i="3" s="1"/>
  <c r="P198" i="3"/>
  <c r="Q198" i="3" s="1"/>
  <c r="P197" i="3"/>
  <c r="Q197" i="3" s="1"/>
  <c r="P196" i="3"/>
  <c r="Q196" i="3" s="1"/>
  <c r="P195" i="3"/>
  <c r="Q195" i="3" s="1"/>
  <c r="P194" i="3"/>
  <c r="Q194" i="3" s="1"/>
  <c r="P193" i="3"/>
  <c r="P189" i="3"/>
  <c r="Q189" i="3" s="1"/>
  <c r="P188" i="3"/>
  <c r="Q188" i="3" s="1"/>
  <c r="P187" i="3"/>
  <c r="Q187" i="3" s="1"/>
  <c r="P186" i="3"/>
  <c r="Q186" i="3" s="1"/>
  <c r="P185" i="3"/>
  <c r="Q185" i="3" s="1"/>
  <c r="P184" i="3"/>
  <c r="Q184" i="3" s="1"/>
  <c r="P183" i="3"/>
  <c r="Q183" i="3" s="1"/>
  <c r="P182" i="3"/>
  <c r="Q182" i="3" s="1"/>
  <c r="P181" i="3"/>
  <c r="P177" i="3"/>
  <c r="Q177" i="3" s="1"/>
  <c r="P176" i="3"/>
  <c r="Q176" i="3" s="1"/>
  <c r="P175" i="3"/>
  <c r="P171" i="3"/>
  <c r="Q171" i="3" s="1"/>
  <c r="P170" i="3"/>
  <c r="Q170" i="3" s="1"/>
  <c r="P169" i="3"/>
  <c r="Q169" i="3" s="1"/>
  <c r="P168" i="3"/>
  <c r="Q168" i="3" s="1"/>
  <c r="P167" i="3"/>
  <c r="Q167" i="3" s="1"/>
  <c r="P166" i="3"/>
  <c r="Q166" i="3" s="1"/>
  <c r="P165" i="3"/>
  <c r="Q165" i="3" s="1"/>
  <c r="P164" i="3"/>
  <c r="Q164" i="3" s="1"/>
  <c r="P163" i="3"/>
  <c r="Q163" i="3" s="1"/>
  <c r="P162" i="3"/>
  <c r="Q162" i="3" s="1"/>
  <c r="P161" i="3"/>
  <c r="Q161" i="3" s="1"/>
  <c r="P160" i="3"/>
  <c r="Q160" i="3" s="1"/>
  <c r="P159" i="3"/>
  <c r="Q159" i="3" s="1"/>
  <c r="P158" i="3"/>
  <c r="Q158" i="3" s="1"/>
  <c r="P157" i="3"/>
  <c r="Q157" i="3" s="1"/>
  <c r="P156" i="3"/>
  <c r="Q156" i="3" s="1"/>
  <c r="P155" i="3"/>
  <c r="Q155" i="3" s="1"/>
  <c r="P154" i="3"/>
  <c r="Q154" i="3" s="1"/>
  <c r="P153" i="3"/>
  <c r="Q153" i="3" s="1"/>
  <c r="P152" i="3"/>
  <c r="Q152" i="3" s="1"/>
  <c r="P151" i="3"/>
  <c r="Q151" i="3" s="1"/>
  <c r="P150" i="3"/>
  <c r="Q150" i="3" s="1"/>
  <c r="P149" i="3"/>
  <c r="Q149" i="3" s="1"/>
  <c r="P148" i="3"/>
  <c r="Q148" i="3" s="1"/>
  <c r="P147" i="3"/>
  <c r="Q147" i="3" s="1"/>
  <c r="P146" i="3"/>
  <c r="Q146" i="3" s="1"/>
  <c r="P145" i="3"/>
  <c r="Q145" i="3" s="1"/>
  <c r="P144" i="3"/>
  <c r="Q144" i="3" s="1"/>
  <c r="P143" i="3"/>
  <c r="Q143" i="3" s="1"/>
  <c r="P142" i="3"/>
  <c r="Q142" i="3" s="1"/>
  <c r="P141" i="3"/>
  <c r="Q141" i="3" s="1"/>
  <c r="P140" i="3"/>
  <c r="Q140" i="3" s="1"/>
  <c r="P139" i="3"/>
  <c r="Q139" i="3" s="1"/>
  <c r="P138" i="3"/>
  <c r="Q138" i="3" s="1"/>
  <c r="P137" i="3"/>
  <c r="Q137" i="3" s="1"/>
  <c r="P136" i="3"/>
  <c r="Q136" i="3" s="1"/>
  <c r="P135" i="3"/>
  <c r="Q135" i="3" s="1"/>
  <c r="P134" i="3"/>
  <c r="Q134" i="3" s="1"/>
  <c r="P133" i="3"/>
  <c r="Q133" i="3" s="1"/>
  <c r="P132" i="3"/>
  <c r="Q132" i="3" s="1"/>
  <c r="P131" i="3"/>
  <c r="Q131" i="3" s="1"/>
  <c r="P130" i="3"/>
  <c r="Q130" i="3" s="1"/>
  <c r="P129" i="3"/>
  <c r="Q129" i="3" s="1"/>
  <c r="P128" i="3"/>
  <c r="Q128" i="3" s="1"/>
  <c r="P127" i="3"/>
  <c r="Q127" i="3" s="1"/>
  <c r="P126" i="3"/>
  <c r="Q126" i="3" s="1"/>
  <c r="P125" i="3"/>
  <c r="Q125" i="3" s="1"/>
  <c r="P124" i="3"/>
  <c r="Q124" i="3" s="1"/>
  <c r="P123" i="3"/>
  <c r="Q123" i="3" s="1"/>
  <c r="P122" i="3"/>
  <c r="Q122" i="3" s="1"/>
  <c r="P121" i="3"/>
  <c r="Q121" i="3" s="1"/>
  <c r="P120" i="3"/>
  <c r="Q120" i="3" s="1"/>
  <c r="P119" i="3"/>
  <c r="Q119" i="3" s="1"/>
  <c r="P118" i="3"/>
  <c r="Q118" i="3" s="1"/>
  <c r="P117" i="3"/>
  <c r="Q117" i="3" s="1"/>
  <c r="P116" i="3"/>
  <c r="Q116" i="3" s="1"/>
  <c r="P115" i="3"/>
  <c r="Q115" i="3" s="1"/>
  <c r="P114" i="3"/>
  <c r="Q114" i="3" s="1"/>
  <c r="P113" i="3"/>
  <c r="Q113" i="3" s="1"/>
  <c r="P112" i="3"/>
  <c r="Q112" i="3" s="1"/>
  <c r="P111" i="3"/>
  <c r="Q111" i="3" s="1"/>
  <c r="P110" i="3"/>
  <c r="Q110" i="3" s="1"/>
  <c r="P109" i="3"/>
  <c r="P105" i="3"/>
  <c r="Q105" i="3" s="1"/>
  <c r="P104" i="3"/>
  <c r="Q104" i="3" s="1"/>
  <c r="P103" i="3"/>
  <c r="Q103" i="3" s="1"/>
  <c r="P102" i="3"/>
  <c r="Q102" i="3" s="1"/>
  <c r="P101" i="3"/>
  <c r="Q101" i="3" s="1"/>
  <c r="P100" i="3"/>
  <c r="Q100" i="3" s="1"/>
  <c r="P99" i="3"/>
  <c r="P95" i="3"/>
  <c r="Q95" i="3" s="1"/>
  <c r="P94" i="3"/>
  <c r="Q94" i="3" s="1"/>
  <c r="P93" i="3"/>
  <c r="Q93" i="3" s="1"/>
  <c r="P92" i="3"/>
  <c r="Q92" i="3" s="1"/>
  <c r="P91" i="3"/>
  <c r="Q91" i="3" s="1"/>
  <c r="P90" i="3"/>
  <c r="Q90" i="3" s="1"/>
  <c r="P89" i="3"/>
  <c r="Q89" i="3" s="1"/>
  <c r="P88" i="3"/>
  <c r="Q88" i="3" s="1"/>
  <c r="P87" i="3"/>
  <c r="P83" i="3"/>
  <c r="Q83" i="3" s="1"/>
  <c r="P82" i="3"/>
  <c r="Q82" i="3" s="1"/>
  <c r="P81" i="3"/>
  <c r="Q81" i="3" s="1"/>
  <c r="P80" i="3"/>
  <c r="Q80" i="3" s="1"/>
  <c r="P79" i="3"/>
  <c r="Q79" i="3" s="1"/>
  <c r="P78" i="3"/>
  <c r="Q78" i="3" s="1"/>
  <c r="P77" i="3"/>
  <c r="Q77" i="3" s="1"/>
  <c r="P76" i="3"/>
  <c r="Q76" i="3" s="1"/>
  <c r="P75" i="3"/>
  <c r="Q75" i="3" s="1"/>
  <c r="P74" i="3"/>
  <c r="Q74" i="3" s="1"/>
  <c r="P73" i="3"/>
  <c r="P69" i="3"/>
  <c r="Q69" i="3" s="1"/>
  <c r="P68" i="3"/>
  <c r="Q68" i="3" s="1"/>
  <c r="P67" i="3"/>
  <c r="Q67" i="3" s="1"/>
  <c r="P66" i="3"/>
  <c r="Q66" i="3" s="1"/>
  <c r="P65" i="3"/>
  <c r="Q65" i="3" s="1"/>
  <c r="P64" i="3"/>
  <c r="Q64" i="3" s="1"/>
  <c r="P63" i="3"/>
  <c r="P59" i="3"/>
  <c r="Q59" i="3" s="1"/>
  <c r="P58" i="3"/>
  <c r="Q58" i="3" s="1"/>
  <c r="P57" i="3"/>
  <c r="Q57" i="3" s="1"/>
  <c r="P56" i="3"/>
  <c r="Q56" i="3" s="1"/>
  <c r="P55" i="3"/>
  <c r="Q55" i="3" s="1"/>
  <c r="P54" i="3"/>
  <c r="Q54" i="3" s="1"/>
  <c r="P53" i="3"/>
  <c r="Q53" i="3" s="1"/>
  <c r="P52" i="3"/>
  <c r="Q52" i="3" s="1"/>
  <c r="P51" i="3"/>
  <c r="Q51" i="3" s="1"/>
  <c r="P50" i="3"/>
  <c r="Q50" i="3" s="1"/>
  <c r="P49" i="3"/>
  <c r="Q49" i="3" s="1"/>
  <c r="P48" i="3"/>
  <c r="Q48" i="3" s="1"/>
  <c r="P47" i="3"/>
  <c r="Q47" i="3" s="1"/>
  <c r="P46" i="3"/>
  <c r="Q46" i="3" s="1"/>
  <c r="P45" i="3"/>
  <c r="Q45" i="3" s="1"/>
  <c r="P44" i="3"/>
  <c r="Q44" i="3" s="1"/>
  <c r="P43" i="3"/>
  <c r="P39" i="3"/>
  <c r="Q39" i="3" s="1"/>
  <c r="P38" i="3"/>
  <c r="Q38" i="3" s="1"/>
  <c r="P37" i="3"/>
  <c r="Q37" i="3" s="1"/>
  <c r="P36" i="3"/>
  <c r="Q36" i="3" s="1"/>
  <c r="P35" i="3"/>
  <c r="Q35" i="3" s="1"/>
  <c r="P34" i="3"/>
  <c r="Q34" i="3" s="1"/>
  <c r="P33" i="3"/>
  <c r="Q33" i="3" s="1"/>
  <c r="P32" i="3"/>
  <c r="Q32" i="3" s="1"/>
  <c r="P31" i="3"/>
  <c r="Q31" i="3" s="1"/>
  <c r="P30" i="3"/>
  <c r="P26" i="3"/>
  <c r="Q26" i="3" s="1"/>
  <c r="P25" i="3"/>
  <c r="Q25" i="3" s="1"/>
  <c r="P24" i="3"/>
  <c r="Q24" i="3" s="1"/>
  <c r="P23" i="3"/>
  <c r="Q23" i="3" s="1"/>
  <c r="P22" i="3"/>
  <c r="Q22" i="3" s="1"/>
  <c r="P21" i="3"/>
  <c r="Q21" i="3" s="1"/>
  <c r="P20" i="3"/>
  <c r="Q20" i="3" s="1"/>
  <c r="P19" i="3"/>
  <c r="Q19" i="3" s="1"/>
  <c r="P18" i="3"/>
  <c r="Q18" i="3" s="1"/>
  <c r="P17" i="3"/>
  <c r="Q17" i="3" s="1"/>
  <c r="P16" i="3"/>
  <c r="Q16" i="3" s="1"/>
  <c r="P15" i="3"/>
  <c r="Q15" i="3" s="1"/>
  <c r="P14" i="3"/>
  <c r="P10" i="3"/>
  <c r="Q10" i="3" s="1"/>
  <c r="P9" i="3"/>
  <c r="Q9" i="3" s="1"/>
  <c r="P8" i="3"/>
  <c r="Q8" i="3" s="1"/>
  <c r="P7" i="3"/>
  <c r="Q7" i="3" s="1"/>
  <c r="P6" i="3"/>
  <c r="Q6" i="3" s="1"/>
  <c r="P5" i="3"/>
  <c r="Q5" i="3" s="1"/>
  <c r="P4" i="3"/>
  <c r="Q4" i="3" s="1"/>
  <c r="P3" i="3"/>
  <c r="Q3" i="3" s="1"/>
  <c r="O353" i="3"/>
  <c r="N353" i="3"/>
  <c r="M353" i="3"/>
  <c r="M352" i="3"/>
  <c r="M351" i="3"/>
  <c r="O348" i="3"/>
  <c r="N348" i="3"/>
  <c r="M348" i="3"/>
  <c r="O342" i="3"/>
  <c r="N342" i="3"/>
  <c r="M342" i="3"/>
  <c r="O311" i="3"/>
  <c r="N311" i="3"/>
  <c r="M311" i="3"/>
  <c r="O275" i="3"/>
  <c r="N275" i="3"/>
  <c r="M275" i="3"/>
  <c r="O234" i="3"/>
  <c r="N234" i="3"/>
  <c r="M234" i="3"/>
  <c r="O214" i="3"/>
  <c r="N214" i="3"/>
  <c r="M214" i="3"/>
  <c r="O190" i="3"/>
  <c r="C17" i="5" s="1"/>
  <c r="C25" i="5" s="1"/>
  <c r="N190" i="3"/>
  <c r="M190" i="3"/>
  <c r="O178" i="3"/>
  <c r="N178" i="3"/>
  <c r="M178" i="3"/>
  <c r="N172" i="3"/>
  <c r="M172" i="3"/>
  <c r="N106" i="3"/>
  <c r="M106" i="3"/>
  <c r="N96" i="3"/>
  <c r="M96" i="3"/>
  <c r="O84" i="3"/>
  <c r="N84" i="3"/>
  <c r="M84" i="3"/>
  <c r="O70" i="3"/>
  <c r="N70" i="3"/>
  <c r="M70" i="3"/>
  <c r="O60" i="3"/>
  <c r="N60" i="3"/>
  <c r="M60" i="3"/>
  <c r="O40" i="3"/>
  <c r="N40" i="3"/>
  <c r="M40" i="3"/>
  <c r="O27" i="3"/>
  <c r="N27" i="3"/>
  <c r="M27" i="3"/>
  <c r="M11" i="3"/>
  <c r="O11" i="3"/>
  <c r="N11" i="3"/>
  <c r="P27" i="3" l="1"/>
  <c r="P353" i="3"/>
  <c r="Q351" i="3"/>
  <c r="Q353" i="3" s="1"/>
  <c r="D24" i="5" s="1"/>
  <c r="P190" i="3"/>
  <c r="Q181" i="3"/>
  <c r="Q190" i="3" s="1"/>
  <c r="D17" i="5" s="1"/>
  <c r="Q217" i="3"/>
  <c r="Q234" i="3" s="1"/>
  <c r="D19" i="5" s="1"/>
  <c r="P234" i="3"/>
  <c r="P342" i="3"/>
  <c r="Q314" i="3"/>
  <c r="Q342" i="3" s="1"/>
  <c r="D22" i="5" s="1"/>
  <c r="Q345" i="3"/>
  <c r="Q348" i="3" s="1"/>
  <c r="D23" i="5" s="1"/>
  <c r="P348" i="3"/>
  <c r="Q175" i="3"/>
  <c r="Q178" i="3" s="1"/>
  <c r="D16" i="5" s="1"/>
  <c r="P178" i="3"/>
  <c r="P214" i="3"/>
  <c r="Q193" i="3"/>
  <c r="Q214" i="3" s="1"/>
  <c r="D18" i="5" s="1"/>
  <c r="P275" i="3"/>
  <c r="Q237" i="3"/>
  <c r="Q275" i="3" s="1"/>
  <c r="D20" i="5" s="1"/>
  <c r="P311" i="3"/>
  <c r="Q278" i="3"/>
  <c r="Q311" i="3" s="1"/>
  <c r="D21" i="5" s="1"/>
  <c r="Q63" i="3"/>
  <c r="Q70" i="3" s="1"/>
  <c r="D11" i="5" s="1"/>
  <c r="P70" i="3"/>
  <c r="P96" i="3"/>
  <c r="Q87" i="3"/>
  <c r="Q96" i="3" s="1"/>
  <c r="D13" i="5" s="1"/>
  <c r="P172" i="3"/>
  <c r="Q109" i="3"/>
  <c r="Q172" i="3" s="1"/>
  <c r="D15" i="5" s="1"/>
  <c r="Q73" i="3"/>
  <c r="Q84" i="3" s="1"/>
  <c r="D12" i="5" s="1"/>
  <c r="P84" i="3"/>
  <c r="P106" i="3"/>
  <c r="Q99" i="3"/>
  <c r="Q106" i="3" s="1"/>
  <c r="D14" i="5" s="1"/>
  <c r="Q14" i="3"/>
  <c r="Q27" i="3" s="1"/>
  <c r="D8" i="5" s="1"/>
  <c r="P40" i="3"/>
  <c r="Q30" i="3"/>
  <c r="Q40" i="3" s="1"/>
  <c r="D9" i="5" s="1"/>
  <c r="Q43" i="3"/>
  <c r="Q60" i="3" s="1"/>
  <c r="D10" i="5" s="1"/>
  <c r="P60" i="3"/>
  <c r="Q11" i="3"/>
  <c r="D7" i="5" s="1"/>
  <c r="P11" i="3"/>
  <c r="D25" i="5" l="1"/>
  <c r="O188" i="3"/>
  <c r="N188" i="3"/>
</calcChain>
</file>

<file path=xl/sharedStrings.xml><?xml version="1.0" encoding="utf-8"?>
<sst xmlns="http://schemas.openxmlformats.org/spreadsheetml/2006/main" count="665" uniqueCount="376">
  <si>
    <t>Cluster Name</t>
  </si>
  <si>
    <t>Line Lease Before Erate</t>
  </si>
  <si>
    <t>Line Lease After Erate</t>
  </si>
  <si>
    <t>Install Before E Rate</t>
  </si>
  <si>
    <t>COOP Costs</t>
  </si>
  <si>
    <t>Maint Costs</t>
  </si>
  <si>
    <t>E Rate Discount</t>
  </si>
  <si>
    <t>Total Before E Rate</t>
  </si>
  <si>
    <t>Total After E Rate</t>
  </si>
  <si>
    <t>Install After E Rate</t>
  </si>
  <si>
    <t>E Rate Discount Install</t>
  </si>
  <si>
    <t>Cluster Num</t>
  </si>
  <si>
    <t>Cluster Type</t>
  </si>
  <si>
    <t>District Or School Name</t>
  </si>
  <si>
    <t>Dist Num</t>
  </si>
  <si>
    <t>REGION 3 - NORTHEAST SERVICE COOP</t>
  </si>
  <si>
    <t>EVELETH-GILBERT SCHOOL DISTRICT</t>
  </si>
  <si>
    <t>LITTLE CROW TELE-MEDIA NETWORK</t>
  </si>
  <si>
    <t>A.C.G.C.</t>
  </si>
  <si>
    <t>REGION 2 - ARCC</t>
  </si>
  <si>
    <t>AITKIN PUBLIC SCHOOL DISTRICT</t>
  </si>
  <si>
    <t>CENTRAL MN ED TELECOM SYSTEM</t>
  </si>
  <si>
    <t>ALBANY PUBLIC SCHOOL DISTRICT</t>
  </si>
  <si>
    <t>HOUSTON PUBLIC SCHOOL DISTRICT</t>
  </si>
  <si>
    <t>ALBERT LEA PUBLIC SCHOOL DISTRICT</t>
  </si>
  <si>
    <t>ALEXANDRIA PUBLIC SCHOOL DISTRICT</t>
  </si>
  <si>
    <t>BARNUM PUBLIC SCHOOL DISTRICT</t>
  </si>
  <si>
    <t>REGION 3 - CENTRAL</t>
  </si>
  <si>
    <t>BECKER PUBLIC SCHOOL DISTRICT</t>
  </si>
  <si>
    <t>BELGRADE-BROOTEN-ELROSA SCHOOL DIST</t>
  </si>
  <si>
    <t>MN RIVER VALLEY EDUCATION DISTRICT</t>
  </si>
  <si>
    <t>BENSON PUBLIC SCHOOL DISTRICT</t>
  </si>
  <si>
    <t>FRESHWATER ED. DIST.</t>
  </si>
  <si>
    <t>BERTHA-HEWITT PUBLIC SCHOOL DIST.</t>
  </si>
  <si>
    <t>BIG LAKE PUBLIC SCHOOL DISTRICT</t>
  </si>
  <si>
    <t>BIRD ISLAND-OLIVIA-LAKE LILLIAN</t>
  </si>
  <si>
    <t>EAST CENTRAL MN ED. CABLE COOP.</t>
  </si>
  <si>
    <t>BRAHAM PUBLIC SCHOOL DISTRICT</t>
  </si>
  <si>
    <t>BRAINERD PUBLIC SCHOOL DISTRICT</t>
  </si>
  <si>
    <t>BRANDON PUBLIC SCHOOL DISTRICT</t>
  </si>
  <si>
    <t>BROWERVILLE PUBLIC SCHOOL DISTRICT</t>
  </si>
  <si>
    <t>BUFFALO LK-HECTOR-STEWART PUBLIC SC</t>
  </si>
  <si>
    <t>BYRON PUBLIC SCHOOL DISTRICT</t>
  </si>
  <si>
    <t>CAMBRIDGE-ISANTI PUBLIC SCHOOL DIST</t>
  </si>
  <si>
    <t>CANNON FALLS PUBLIC SCHOOL DISTRICT</t>
  </si>
  <si>
    <t>CARLTON PUBLIC SCHOOL DISTRICT</t>
  </si>
  <si>
    <t>CHATFIELD PUBLIC SCHOOLS</t>
  </si>
  <si>
    <t>CHISAGO LAKES SCHOOL DISTRICT</t>
  </si>
  <si>
    <t>CHISHOLM PUBLIC SCHOOL DISTRICT</t>
  </si>
  <si>
    <t>CLOQUET PUBLIC SCHOOL DISTRICT</t>
  </si>
  <si>
    <t>REGION 7 - TIES</t>
  </si>
  <si>
    <t>COOK COUNTY PUBLIC SCHOOLS</t>
  </si>
  <si>
    <t>CROMWELL-WRIGHT PUBLIC SCHOOLS</t>
  </si>
  <si>
    <t>CROSBY-IRONTON PUBLIC SCHOOL DIST.</t>
  </si>
  <si>
    <t>DASSEL-COKATO PUBLIC SCHOOL DIST.</t>
  </si>
  <si>
    <t>DAWSON-BOYD PUBLIC SCHOOL DISTRICT</t>
  </si>
  <si>
    <t>ITASCA AREA SCHOOLS COLLABORATIVE E</t>
  </si>
  <si>
    <t>DEER RIVER PUBLIC SCHOOL DISTRICT</t>
  </si>
  <si>
    <t>DELANO PUBLIC SCHOOL DISTRICT</t>
  </si>
  <si>
    <t>DOVER-EYOTA PUBLIC SCHOOL DISTRICT</t>
  </si>
  <si>
    <t>DULUTH PUBLIC SCHOOL DISTRICT</t>
  </si>
  <si>
    <t>EAGLE VALLEY PUBLIC SCHOOL DISTRICT</t>
  </si>
  <si>
    <t>EAST CENTRAL SCHOOL DISTRICT</t>
  </si>
  <si>
    <t>EDEN VALLEY-WATKINS SCHOOL DISTRICT</t>
  </si>
  <si>
    <t>ELK RIVER PUBLIC SCHOOL DISTRICT</t>
  </si>
  <si>
    <t>ELY PUBLIC SCHOOL DISTRICT</t>
  </si>
  <si>
    <t>ESKO PUBLIC SCHOOL DISTRICT</t>
  </si>
  <si>
    <t>EVANSVILLE PUBLIC SCHOOL DISTRICT</t>
  </si>
  <si>
    <t>FLOODWOOD PUBLIC SCHOOL DISTRICT</t>
  </si>
  <si>
    <t>FOLEY PUBLIC SCHOOL DISTRICT</t>
  </si>
  <si>
    <t>GLENCOE-SILVER LAKE SCHOOL DISTRICT</t>
  </si>
  <si>
    <t>WASIOJA ED. TECHNOLOGY COOP.</t>
  </si>
  <si>
    <t>GOODHUE PUBLIC SCHOOL DISTRICT</t>
  </si>
  <si>
    <t>GRAND RAPIDS PUBLIC SCHOOL DISTRICT</t>
  </si>
  <si>
    <t>GREENWAY PUBLIC SCHOOL DISTRICT</t>
  </si>
  <si>
    <t>HENNING PUBLIC SCHOOL DISTRICT</t>
  </si>
  <si>
    <t>HERMANTOWN PUBLIC SCHOOL DISTRICT</t>
  </si>
  <si>
    <t>HIBBING PUBLIC SCHOOL DISTRICT</t>
  </si>
  <si>
    <t>HILL CITY PUBLIC SCHOOL DISTRICT</t>
  </si>
  <si>
    <t>HINCKLEY-FINLAYSON SCHOOL DISTRICT</t>
  </si>
  <si>
    <t>MID STATE EDUCATION DISTRICT</t>
  </si>
  <si>
    <t>HOLDINGFORD PUBLIC SCHOOL DISTRICT</t>
  </si>
  <si>
    <t>HOWARD LAKE-WAVERLY-WINSTED</t>
  </si>
  <si>
    <t>HUTCHINSON PUBLIC SCHOOL DISTRICT</t>
  </si>
  <si>
    <t>INTERNATIONAL FALLS SCHOOL DISTRICT</t>
  </si>
  <si>
    <t>ISLE PUBLIC SCHOOL DISTRICT</t>
  </si>
  <si>
    <t>KENYON-WANAMINGO SCHOOL DISTRICT</t>
  </si>
  <si>
    <t>KERKHOVEN-MURDOCK-SUNBURG</t>
  </si>
  <si>
    <t>KIMBALL PUBLIC SCHOOL DISTRICT</t>
  </si>
  <si>
    <t>KINGSLAND PUBLIC SCHOOL DISTRICT</t>
  </si>
  <si>
    <t>LAC QUI PARLE VALLEY SCHOOL DIST.</t>
  </si>
  <si>
    <t>LAKE SUPERIOR PUBLIC SCHOOL DIST.</t>
  </si>
  <si>
    <t>LAKEVIEW SCHOOL DISTRICT</t>
  </si>
  <si>
    <t>LEROY-OSTRANDER PUBLIC SCHOOLS</t>
  </si>
  <si>
    <t>LESTER PRAIRIE PUBLIC SCHOOL DIST.</t>
  </si>
  <si>
    <t>LITCHFIELD PUBLIC SCHOOL DISTRICT</t>
  </si>
  <si>
    <t>LITTLE FALLS PUBLIC SCHOOL DISTRICT</t>
  </si>
  <si>
    <t>LITTLEFORK-BIG FALLS SCHOOL DIST.</t>
  </si>
  <si>
    <t>LONG PRAIRIE-GREY EAGLE SCHOOL DIST</t>
  </si>
  <si>
    <t>LYLE PUBLIC SCHOOL DISTRICT</t>
  </si>
  <si>
    <t>M.A.C.C.R.A.Y. SCHOOL DISTRICT</t>
  </si>
  <si>
    <t>MAPLE LAKE PUBLIC SCHOOL DISTRICT</t>
  </si>
  <si>
    <t>MCGREGOR PUBLIC SCHOOL DISTRICT</t>
  </si>
  <si>
    <t>MELROSE PUBLIC SCHOOL DISTRICT</t>
  </si>
  <si>
    <t>MENAHGA PUBLIC SCHOOL DISTRICT</t>
  </si>
  <si>
    <t>MESABI EAST SCHOOL DISTRICT</t>
  </si>
  <si>
    <t>MILACA PUBLIC SCHOOL DISTRICT</t>
  </si>
  <si>
    <t>MINNEWASKA SCHOOL DISTRICT</t>
  </si>
  <si>
    <t>MONTEVIDEO PUBLIC SCHOOL DISTRICT</t>
  </si>
  <si>
    <t>MONTICELLO PUBLIC SCHOOL DISTRICT</t>
  </si>
  <si>
    <t>MOOSE LAKE PUBLIC SCHOOL DISTRICT</t>
  </si>
  <si>
    <t>MORA PUBLIC SCHOOL DISTRICT</t>
  </si>
  <si>
    <t>MOUNTAIN IRON-BUHL SCHOOL DISTRICT</t>
  </si>
  <si>
    <t>NASHWAUK-KEEWATIN SCHOOL DISTRICT</t>
  </si>
  <si>
    <t>NETT LAKE PUBLIC SCHOOL DISTRICT</t>
  </si>
  <si>
    <t>NEW LONDON-SPICER SCHOOL DISTRICT</t>
  </si>
  <si>
    <t>NORTH BRANCH PUBLIC SCHOOLS</t>
  </si>
  <si>
    <t>NORTHLAND COMMUNITY SCHOOLS</t>
  </si>
  <si>
    <t>OGILVIE PUBLIC SCHOOL DISTRICT</t>
  </si>
  <si>
    <t>ONAMIA PUBLIC SCHOOL DISTRICT</t>
  </si>
  <si>
    <t>ORTONVILLE PUBLIC SCHOOLS</t>
  </si>
  <si>
    <t>OSAKIS PUBLIC SCHOOL DISTRICT</t>
  </si>
  <si>
    <t>PARK RAPIDS PUBLIC SCHOOL DISTRICT</t>
  </si>
  <si>
    <t>PARKERS PRAIRIE PUBLIC SCHOOL DIST.</t>
  </si>
  <si>
    <t>PAYNESVILLE PUBLIC SCHOOL DISTRICT</t>
  </si>
  <si>
    <t>PEQUOT LAKES PUBLIC SCHOOLS</t>
  </si>
  <si>
    <t>PIERZ PUBLIC SCHOOL DISTRICT</t>
  </si>
  <si>
    <t>PILLAGER PUBLIC SCHOOL DISTRICT</t>
  </si>
  <si>
    <t>PINE CITY PUBLIC SCHOOL DISTRICT</t>
  </si>
  <si>
    <t>PINE ISLAND PUBLIC SCHOOL DIST.</t>
  </si>
  <si>
    <t>PINE RIVER-BACKUS SCHOOL DISTRICT</t>
  </si>
  <si>
    <t>PLAINVIEW-ELGIN-MILLVILLE</t>
  </si>
  <si>
    <t>PRINCETON PUBLIC SCHOOL DISTRICT</t>
  </si>
  <si>
    <t>PROCTOR PUBLIC SCHOOL DISTRICT</t>
  </si>
  <si>
    <t>RANDOLPH PUBLIC SCHOOL DISTRICT</t>
  </si>
  <si>
    <t>RED WING PUBLIC SCHOOL DISTRICT</t>
  </si>
  <si>
    <t>REDWOOD AREA TELECOM COOPERATIVE</t>
  </si>
  <si>
    <t>REDWOOD AREA SCHOOL DISTRICT</t>
  </si>
  <si>
    <t>RENVILLE COUNTY WEST SCHOOL DIST.</t>
  </si>
  <si>
    <t>ROCHESTER PUBLIC SCHOOL DISTRICT</t>
  </si>
  <si>
    <t>ROCKFORD PUBLIC SCHOOL DISTRICT</t>
  </si>
  <si>
    <t>ROCORI PUBLIC SCHOOL DISTRICT</t>
  </si>
  <si>
    <t>ROYALTON PUBLIC SCHOOL DISTRICT</t>
  </si>
  <si>
    <t>RUSH CITY PUBLIC SCHOOL DISTRICT</t>
  </si>
  <si>
    <t>SARTELL-ST. STEPHEN SCHOOL DISTRICT</t>
  </si>
  <si>
    <t>SAUK CENTRE PUBLIC SCHOOL DISTRICT</t>
  </si>
  <si>
    <t>SEBEKA PUBLIC SCHOOL DISTRICT</t>
  </si>
  <si>
    <t>SOUTHLAND PUBLIC SCHOOL DISTRICT</t>
  </si>
  <si>
    <t>ST. CLOUD PUBLIC SCHOOL DISTRICT</t>
  </si>
  <si>
    <t>ST. FRANCIS PUBLIC SCHOOL DISTRICT</t>
  </si>
  <si>
    <t>ST. LOUIS COUNTY SCHOOL DISTRICT</t>
  </si>
  <si>
    <t>STAPLES-MOTLEY SCHOOL DISTRICT</t>
  </si>
  <si>
    <t>STEWARTVILLE PUBLIC SCHOOL DISTRICT</t>
  </si>
  <si>
    <t>SWANVILLE PUBLIC SCHOOL DISTRICT</t>
  </si>
  <si>
    <t>UPSALA PUBLIC SCHOOL DISTRICT</t>
  </si>
  <si>
    <t>VERNDALE PUBLIC SCHOOL DISTRICT</t>
  </si>
  <si>
    <t>VIRGINIA PUBLIC SCHOOL DISTRICT</t>
  </si>
  <si>
    <t>WABASSO PUBLIC SCHOOL DISTRICT</t>
  </si>
  <si>
    <t>WADENA-DEER CREEK SCHOOL DISTRICT</t>
  </si>
  <si>
    <t>WILLMAR PUBLIC SCHOOL DISTRICT</t>
  </si>
  <si>
    <t>WRENSHALL PUBLIC SCHOOL DISTRICT</t>
  </si>
  <si>
    <t>YELLOW MEDICINE EAST</t>
  </si>
  <si>
    <t>ZUMBROTA-MAZEPPA SCHOOL DISTRICT</t>
  </si>
  <si>
    <t>NW-Links</t>
  </si>
  <si>
    <t xml:space="preserve">Ada-Borup </t>
  </si>
  <si>
    <t>Ashby</t>
  </si>
  <si>
    <t>Badger</t>
  </si>
  <si>
    <t>Bagley</t>
  </si>
  <si>
    <t>Barnesville</t>
  </si>
  <si>
    <t>Battle Lake</t>
  </si>
  <si>
    <t>Blackduck</t>
  </si>
  <si>
    <t>Breckenridge</t>
  </si>
  <si>
    <t xml:space="preserve">Browns Valley </t>
  </si>
  <si>
    <t>Campbell-Tintah</t>
  </si>
  <si>
    <t xml:space="preserve">Chokio-Alberta </t>
  </si>
  <si>
    <t>Clearbrook-Gonvick</t>
  </si>
  <si>
    <t xml:space="preserve">Climax </t>
  </si>
  <si>
    <t>Clinton-Graceville-Beardsley</t>
  </si>
  <si>
    <t>Crookston</t>
  </si>
  <si>
    <t>Dilworth-Glyndon-Felton</t>
  </si>
  <si>
    <t xml:space="preserve">East Grand Forks </t>
  </si>
  <si>
    <t xml:space="preserve">Fergus Falls </t>
  </si>
  <si>
    <t>Fertile Beltrami</t>
  </si>
  <si>
    <t>Fisher</t>
  </si>
  <si>
    <t>Fosston</t>
  </si>
  <si>
    <t>Frazee-Vergas</t>
  </si>
  <si>
    <t>Goodridge</t>
  </si>
  <si>
    <t xml:space="preserve">Greenbush-Middle River </t>
  </si>
  <si>
    <t xml:space="preserve">Grygla </t>
  </si>
  <si>
    <t>Hancock</t>
  </si>
  <si>
    <t xml:space="preserve">Hawley </t>
  </si>
  <si>
    <t>Herman-Norcross</t>
  </si>
  <si>
    <t xml:space="preserve">Kelliher </t>
  </si>
  <si>
    <t>Kittson Central-Hallock</t>
  </si>
  <si>
    <t xml:space="preserve">Lake of the Woods </t>
  </si>
  <si>
    <t>Lake Park-Audubon Public Schools</t>
  </si>
  <si>
    <t>Lancaster</t>
  </si>
  <si>
    <t>Mahnomen</t>
  </si>
  <si>
    <t>Marshall County</t>
  </si>
  <si>
    <t xml:space="preserve">Moorhead </t>
  </si>
  <si>
    <t xml:space="preserve">Morris </t>
  </si>
  <si>
    <t xml:space="preserve">Nevis </t>
  </si>
  <si>
    <t xml:space="preserve">New York Mills </t>
  </si>
  <si>
    <t xml:space="preserve">Norman County East </t>
  </si>
  <si>
    <t xml:space="preserve">Norman County West </t>
  </si>
  <si>
    <t>Oklee</t>
  </si>
  <si>
    <t xml:space="preserve">Pelican Rapids </t>
  </si>
  <si>
    <t xml:space="preserve">Perham </t>
  </si>
  <si>
    <t xml:space="preserve">Pine Point </t>
  </si>
  <si>
    <t xml:space="preserve">Plummer </t>
  </si>
  <si>
    <t xml:space="preserve">Red Lake Falls </t>
  </si>
  <si>
    <t xml:space="preserve">Red Lake  </t>
  </si>
  <si>
    <t xml:space="preserve">Roseau </t>
  </si>
  <si>
    <t xml:space="preserve">Rothsay </t>
  </si>
  <si>
    <t xml:space="preserve">South Koochiching-Rainy River </t>
  </si>
  <si>
    <t>Stephen-Argyle</t>
  </si>
  <si>
    <t xml:space="preserve">Thief River Falls </t>
  </si>
  <si>
    <t>Tri-County</t>
  </si>
  <si>
    <t xml:space="preserve">Ulen-Hitterdahl </t>
  </si>
  <si>
    <t>Underwood</t>
  </si>
  <si>
    <t>Walker-Hackensack-Akeley</t>
  </si>
  <si>
    <t>Warren-Alvarado-Oslo</t>
  </si>
  <si>
    <t xml:space="preserve">Warroad </t>
  </si>
  <si>
    <t>Waubun</t>
  </si>
  <si>
    <t>Wheaton</t>
  </si>
  <si>
    <t xml:space="preserve">Win-E-Mac </t>
  </si>
  <si>
    <t>SOCRATES</t>
  </si>
  <si>
    <t>Alden-Conger Public Schools</t>
  </si>
  <si>
    <t>Belle Plaine Public Schools</t>
  </si>
  <si>
    <t>Blue Earth Area Public Schools</t>
  </si>
  <si>
    <t>Cleveland Public Schools</t>
  </si>
  <si>
    <t>Fairmont Area Public Schools</t>
  </si>
  <si>
    <t>Gibbon-Fairfax-Winthrop Public Schools</t>
  </si>
  <si>
    <t>Granada-Huntley-East Chain Public Schools</t>
  </si>
  <si>
    <t>Glenville-Emmons Public Schools</t>
  </si>
  <si>
    <t>Janesville-Waldorf-Pemberton Public Schools</t>
  </si>
  <si>
    <t>Lake Crystal-Wellcome Memorial Public Schools</t>
  </si>
  <si>
    <t>Le Center Public Schools</t>
  </si>
  <si>
    <t>Le Sueur-Henderson Public Schools</t>
  </si>
  <si>
    <t>Madelia Public Schools</t>
  </si>
  <si>
    <t>Mankato Public Schools</t>
  </si>
  <si>
    <t>Maple River Public Schools</t>
  </si>
  <si>
    <t>Martin County West Public Schools</t>
  </si>
  <si>
    <t>Montgomery-Lonsdale Public Schools</t>
  </si>
  <si>
    <t>New Ulm Public Schools</t>
  </si>
  <si>
    <t>Nicollet Public Schools</t>
  </si>
  <si>
    <t>New Richland-Hartland-Ellendale-Geneva Public Schools</t>
  </si>
  <si>
    <t>Sibley East Public Schools</t>
  </si>
  <si>
    <t>St. Clair Public Schools</t>
  </si>
  <si>
    <t>St. James Public Schools</t>
  </si>
  <si>
    <t>St. Peter Public Schools</t>
  </si>
  <si>
    <t>Truman Public Schools</t>
  </si>
  <si>
    <t>United South Central Public Schools</t>
  </si>
  <si>
    <t>Waseca Public Schools</t>
  </si>
  <si>
    <t>Waterville-Elysian-Morristown Public Schools</t>
  </si>
  <si>
    <t>Regn 6 &amp; 8-S.W/W.C. SRV COOPERATIVE</t>
  </si>
  <si>
    <t>Adrian Public Schools</t>
  </si>
  <si>
    <t>Canby Public Schools</t>
  </si>
  <si>
    <t>Cedar Mountain Public Schools</t>
  </si>
  <si>
    <t>Comfrey Public Schools</t>
  </si>
  <si>
    <t>Edgerton Public School</t>
  </si>
  <si>
    <t>Ellsworth Public School</t>
  </si>
  <si>
    <t>Fulda Public Schools</t>
  </si>
  <si>
    <t>Hills - Beaver Creek</t>
  </si>
  <si>
    <t>Lake Benton</t>
  </si>
  <si>
    <t>Hendricks Public School</t>
  </si>
  <si>
    <t>Ivanhoe Public School</t>
  </si>
  <si>
    <t>Luverne Public Schools</t>
  </si>
  <si>
    <t>Lynd Public Schools</t>
  </si>
  <si>
    <t>Marshall Public Schools</t>
  </si>
  <si>
    <t xml:space="preserve">Milroy Public  </t>
  </si>
  <si>
    <t>Milroy Charter</t>
  </si>
  <si>
    <t>Minneota Public Schools</t>
  </si>
  <si>
    <t>Mountain Lake Public Schools</t>
  </si>
  <si>
    <t>Murray County Central Schools</t>
  </si>
  <si>
    <t>Pipestone Public Schools</t>
  </si>
  <si>
    <t>Red Rock Central</t>
  </si>
  <si>
    <t>RTR</t>
  </si>
  <si>
    <t>Sleepy Eye Public Schools</t>
  </si>
  <si>
    <t>Springfield Public Schools</t>
  </si>
  <si>
    <t>Heron Lake - Okabena</t>
  </si>
  <si>
    <t>Tracy Public Schools</t>
  </si>
  <si>
    <t>Windom Public Schools</t>
  </si>
  <si>
    <t>Worthington Public Schools</t>
  </si>
  <si>
    <t>Westbrook - Walnut Grove</t>
  </si>
  <si>
    <t>Jackson County Central</t>
  </si>
  <si>
    <t>ECHO Charter School</t>
  </si>
  <si>
    <t>Anoka-Hennepin</t>
  </si>
  <si>
    <t>Bloomington</t>
  </si>
  <si>
    <t>Brooklyn Center</t>
  </si>
  <si>
    <t>Buffalo-Hanover-Montrose</t>
  </si>
  <si>
    <t>Burnsville-Eagan-Savage</t>
  </si>
  <si>
    <t>Centennial</t>
  </si>
  <si>
    <t>Columbia Heights</t>
  </si>
  <si>
    <t>Eden Prairie</t>
  </si>
  <si>
    <t>Edina</t>
  </si>
  <si>
    <t>Forest Lake</t>
  </si>
  <si>
    <t>Fridley</t>
  </si>
  <si>
    <t>Hastings</t>
  </si>
  <si>
    <t>Hopkins</t>
  </si>
  <si>
    <t>Inver Grove Heights</t>
  </si>
  <si>
    <t>Jordan</t>
  </si>
  <si>
    <t>Lakes International Language Academy</t>
  </si>
  <si>
    <t>Lakeville</t>
  </si>
  <si>
    <t>Mahtomedi</t>
  </si>
  <si>
    <t>Minnetonka</t>
  </si>
  <si>
    <t>Mounds View</t>
  </si>
  <si>
    <t>New Prague</t>
  </si>
  <si>
    <t>North St. Paul-Maplewood-Oakdale</t>
  </si>
  <si>
    <t>Orono</t>
  </si>
  <si>
    <t>Osseo</t>
  </si>
  <si>
    <t>Richfield</t>
  </si>
  <si>
    <t>Robbinsdale</t>
  </si>
  <si>
    <t>Rosemount-Apple Valley-Eagan</t>
  </si>
  <si>
    <t>Roseville</t>
  </si>
  <si>
    <t>South St Paul</t>
  </si>
  <si>
    <t>South Washington County</t>
  </si>
  <si>
    <t>Spring Lake Park</t>
  </si>
  <si>
    <t>St. Anthony-New Brighton</t>
  </si>
  <si>
    <t>St. Louis Park</t>
  </si>
  <si>
    <t>St Michael-Albertville</t>
  </si>
  <si>
    <t>Stillwater</t>
  </si>
  <si>
    <t>Wayzata</t>
  </si>
  <si>
    <t>West St Paul</t>
  </si>
  <si>
    <t>Westonka</t>
  </si>
  <si>
    <t>REGION 10 - SOUTHEAST SERVICE COOP</t>
  </si>
  <si>
    <t>WILLOW RIVER PUBLIC SCHOOL</t>
  </si>
  <si>
    <t>SHAKOPEE PUBLIC SCHOOLS</t>
  </si>
  <si>
    <t>PRIOR LAKE PUBLIC SCHOOLS</t>
  </si>
  <si>
    <t>SCSN</t>
  </si>
  <si>
    <t>GRAND MEADOW PUBLIC SCHOOLS</t>
  </si>
  <si>
    <t>Brewster Public Schools</t>
  </si>
  <si>
    <t>Round Lake Public School District</t>
  </si>
  <si>
    <t>Prorated Aid Amount</t>
  </si>
  <si>
    <t>PAYMENTS TO TELECOM ACCESS CLUSTERS</t>
  </si>
  <si>
    <t>Cluster</t>
  </si>
  <si>
    <t>NUMBER</t>
  </si>
  <si>
    <t>Aid Eligible</t>
  </si>
  <si>
    <t>Prorated Aid</t>
  </si>
  <si>
    <t>CMETS</t>
  </si>
  <si>
    <t>ECMECC</t>
  </si>
  <si>
    <t>50-6003</t>
  </si>
  <si>
    <t xml:space="preserve">61-6004 </t>
  </si>
  <si>
    <t xml:space="preserve">IASC </t>
  </si>
  <si>
    <t>50-6070</t>
  </si>
  <si>
    <t>50-6040</t>
  </si>
  <si>
    <t>MSET</t>
  </si>
  <si>
    <t>61-6979</t>
  </si>
  <si>
    <t xml:space="preserve">MNRVED </t>
  </si>
  <si>
    <t>61-6018</t>
  </si>
  <si>
    <t>82-0869</t>
  </si>
  <si>
    <t>82-0868</t>
  </si>
  <si>
    <t>CENTRAL</t>
  </si>
  <si>
    <t>82-0867</t>
  </si>
  <si>
    <t xml:space="preserve">NESC </t>
  </si>
  <si>
    <t>83-0927</t>
  </si>
  <si>
    <t>Ties (Region 7)</t>
  </si>
  <si>
    <t>82-0925</t>
  </si>
  <si>
    <t>SOUTHWEST (Region 6 &amp; 8)</t>
  </si>
  <si>
    <t>83-0991</t>
  </si>
  <si>
    <t>50-6036</t>
  </si>
  <si>
    <t>WETC</t>
  </si>
  <si>
    <t>50-6048</t>
  </si>
  <si>
    <t>TOTAL</t>
  </si>
  <si>
    <t>Proration Rate &gt;</t>
  </si>
  <si>
    <t>FY 2012</t>
  </si>
  <si>
    <t>Rounded</t>
  </si>
  <si>
    <t>83-0921</t>
  </si>
  <si>
    <t>NW LINKS (REGION I)</t>
  </si>
  <si>
    <t>DIRECT PAYMENTS TO SCHOOLS</t>
  </si>
  <si>
    <t>None</t>
  </si>
  <si>
    <t>01-206</t>
  </si>
  <si>
    <t xml:space="preserve"> </t>
  </si>
  <si>
    <t>Telecommunications Equity Aid</t>
  </si>
  <si>
    <t>01-720</t>
  </si>
  <si>
    <t>01-2890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</si>
</sst>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1" applyFont="1"/>
    <xf numFmtId="0" fontId="0" fillId="0" borderId="0" xfId="0" applyFill="1"/>
    <xf numFmtId="43" fontId="0" fillId="0" borderId="0" xfId="1" applyFont="1" applyFill="1"/>
    <xf numFmtId="0" fontId="18" fillId="0" borderId="0" xfId="0" applyFont="1" applyFill="1"/>
    <xf numFmtId="43" fontId="18" fillId="0" borderId="0" xfId="1" applyFont="1" applyFill="1"/>
    <xf numFmtId="0" fontId="0" fillId="0" borderId="0" xfId="0" applyNumberFormat="1" applyFill="1" applyAlignment="1">
      <alignment horizontal="right"/>
    </xf>
    <xf numFmtId="0" fontId="0" fillId="0" borderId="0" xfId="0" applyNumberFormat="1" applyFill="1"/>
    <xf numFmtId="43" fontId="0" fillId="0" borderId="0" xfId="0" applyNumberFormat="1"/>
    <xf numFmtId="43" fontId="0" fillId="0" borderId="0" xfId="0" applyNumberFormat="1" applyFill="1"/>
    <xf numFmtId="0" fontId="0" fillId="0" borderId="0" xfId="0" applyFill="1" applyAlignment="1">
      <alignment horizontal="center"/>
    </xf>
    <xf numFmtId="164" fontId="0" fillId="0" borderId="0" xfId="1" applyNumberFormat="1" applyFont="1" applyFill="1"/>
    <xf numFmtId="0" fontId="0" fillId="0" borderId="0" xfId="1" applyNumberFormat="1" applyFont="1" applyFill="1"/>
    <xf numFmtId="43" fontId="16" fillId="0" borderId="0" xfId="1" applyFont="1" applyFill="1"/>
    <xf numFmtId="43" fontId="1" fillId="0" borderId="10" xfId="1" applyFont="1" applyFill="1" applyBorder="1"/>
    <xf numFmtId="43" fontId="0" fillId="0" borderId="10" xfId="1" applyFont="1" applyFill="1" applyBorder="1"/>
    <xf numFmtId="0" fontId="0" fillId="0" borderId="10" xfId="0" applyFill="1" applyBorder="1"/>
    <xf numFmtId="43" fontId="16" fillId="0" borderId="0" xfId="1" applyFont="1"/>
    <xf numFmtId="0" fontId="16" fillId="0" borderId="0" xfId="0" applyFont="1"/>
    <xf numFmtId="0" fontId="0" fillId="33" borderId="0" xfId="0" applyFill="1"/>
    <xf numFmtId="43" fontId="16" fillId="0" borderId="0" xfId="0" applyNumberFormat="1" applyFont="1" applyFill="1"/>
    <xf numFmtId="43" fontId="0" fillId="0" borderId="10" xfId="0" applyNumberFormat="1" applyFill="1" applyBorder="1"/>
    <xf numFmtId="43" fontId="16" fillId="0" borderId="11" xfId="1" applyFont="1" applyFill="1" applyBorder="1"/>
    <xf numFmtId="0" fontId="0" fillId="0" borderId="10" xfId="0" applyBorder="1"/>
    <xf numFmtId="43" fontId="0" fillId="0" borderId="10" xfId="0" applyNumberFormat="1" applyBorder="1"/>
    <xf numFmtId="43" fontId="16" fillId="0" borderId="11" xfId="1" applyFont="1" applyBorder="1"/>
    <xf numFmtId="43" fontId="16" fillId="0" borderId="0" xfId="0" applyNumberFormat="1" applyFont="1"/>
    <xf numFmtId="0" fontId="0" fillId="0" borderId="0" xfId="0" applyNumberFormat="1" applyFont="1" applyFill="1"/>
    <xf numFmtId="0" fontId="0" fillId="0" borderId="0" xfId="0" applyFont="1" applyFill="1"/>
    <xf numFmtId="43" fontId="16" fillId="0" borderId="0" xfId="0" applyNumberFormat="1" applyFont="1" applyBorder="1"/>
    <xf numFmtId="43" fontId="0" fillId="0" borderId="0" xfId="1" applyFont="1" applyBorder="1"/>
    <xf numFmtId="17" fontId="0" fillId="0" borderId="0" xfId="0" quotePrefix="1" applyNumberFormat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I28" sqref="I28"/>
    </sheetView>
  </sheetViews>
  <sheetFormatPr defaultRowHeight="15" x14ac:dyDescent="0.25"/>
  <cols>
    <col min="1" max="1" width="39.5703125" customWidth="1"/>
    <col min="2" max="2" width="13.140625" customWidth="1"/>
    <col min="3" max="3" width="12.85546875" customWidth="1"/>
    <col min="4" max="4" width="15.5703125" customWidth="1"/>
    <col min="5" max="5" width="2.28515625" style="19" customWidth="1"/>
    <col min="6" max="6" width="18.28515625" customWidth="1"/>
    <col min="7" max="7" width="31.5703125" customWidth="1"/>
    <col min="8" max="8" width="14.85546875" customWidth="1"/>
    <col min="9" max="9" width="16.7109375" customWidth="1"/>
  </cols>
  <sheetData>
    <row r="1" spans="1:9" x14ac:dyDescent="0.25">
      <c r="A1" s="18" t="s">
        <v>365</v>
      </c>
    </row>
    <row r="2" spans="1:9" x14ac:dyDescent="0.25">
      <c r="A2" s="18" t="s">
        <v>373</v>
      </c>
    </row>
    <row r="3" spans="1:9" x14ac:dyDescent="0.25">
      <c r="A3" s="18"/>
    </row>
    <row r="4" spans="1:9" x14ac:dyDescent="0.25">
      <c r="A4" s="18" t="s">
        <v>334</v>
      </c>
      <c r="F4" s="18" t="s">
        <v>369</v>
      </c>
    </row>
    <row r="6" spans="1:9" x14ac:dyDescent="0.25">
      <c r="A6" s="18" t="s">
        <v>335</v>
      </c>
      <c r="B6" s="18" t="s">
        <v>336</v>
      </c>
      <c r="C6" s="18" t="s">
        <v>337</v>
      </c>
      <c r="D6" s="18" t="s">
        <v>338</v>
      </c>
      <c r="F6" t="s">
        <v>370</v>
      </c>
    </row>
    <row r="7" spans="1:9" x14ac:dyDescent="0.25">
      <c r="A7" t="s">
        <v>339</v>
      </c>
      <c r="B7" t="s">
        <v>371</v>
      </c>
      <c r="C7" s="8">
        <f>'Schools by Cluster Group'!O11</f>
        <v>118050.73999999999</v>
      </c>
      <c r="D7" s="8">
        <f>'Schools by Cluster Group'!Q11</f>
        <v>54618.460000000014</v>
      </c>
    </row>
    <row r="8" spans="1:9" x14ac:dyDescent="0.25">
      <c r="A8" t="s">
        <v>340</v>
      </c>
      <c r="B8" t="s">
        <v>341</v>
      </c>
      <c r="C8" s="8">
        <f>'Schools by Cluster Group'!O27</f>
        <v>548617.9</v>
      </c>
      <c r="D8" s="8">
        <f>'Schools by Cluster Group'!Q27</f>
        <v>253828.76</v>
      </c>
      <c r="F8" s="27"/>
      <c r="G8" s="28"/>
      <c r="H8" s="8"/>
      <c r="I8" s="1"/>
    </row>
    <row r="9" spans="1:9" x14ac:dyDescent="0.25">
      <c r="A9" t="s">
        <v>32</v>
      </c>
      <c r="B9" t="s">
        <v>342</v>
      </c>
      <c r="C9" s="8">
        <f>'Schools by Cluster Group'!O40</f>
        <v>45305.74</v>
      </c>
      <c r="D9" s="8">
        <f>'Schools by Cluster Group'!Q40</f>
        <v>20961.580000000002</v>
      </c>
      <c r="F9" s="27"/>
      <c r="G9" s="28"/>
      <c r="H9" s="8"/>
      <c r="I9" s="30"/>
    </row>
    <row r="10" spans="1:9" x14ac:dyDescent="0.25">
      <c r="A10" s="2" t="s">
        <v>325</v>
      </c>
      <c r="B10" t="s">
        <v>367</v>
      </c>
      <c r="C10" s="8">
        <f>'Schools by Cluster Group'!O60</f>
        <v>569516.78</v>
      </c>
      <c r="D10" s="8">
        <f>'Schools by Cluster Group'!Q60</f>
        <v>263498.02</v>
      </c>
      <c r="I10" s="29"/>
    </row>
    <row r="11" spans="1:9" x14ac:dyDescent="0.25">
      <c r="A11" t="s">
        <v>343</v>
      </c>
      <c r="B11" t="s">
        <v>344</v>
      </c>
      <c r="C11" s="8">
        <f>'Schools by Cluster Group'!O70</f>
        <v>75790.010000000009</v>
      </c>
      <c r="D11" s="8">
        <f>'Schools by Cluster Group'!Q70</f>
        <v>35065.72</v>
      </c>
    </row>
    <row r="12" spans="1:9" x14ac:dyDescent="0.25">
      <c r="A12" t="s">
        <v>17</v>
      </c>
      <c r="B12" t="s">
        <v>345</v>
      </c>
      <c r="C12" s="8">
        <f>'Schools by Cluster Group'!O84</f>
        <v>322598</v>
      </c>
      <c r="D12" s="8">
        <f>'Schools by Cluster Group'!Q84</f>
        <v>149256.23000000001</v>
      </c>
    </row>
    <row r="13" spans="1:9" x14ac:dyDescent="0.25">
      <c r="A13" t="s">
        <v>346</v>
      </c>
      <c r="B13" t="s">
        <v>347</v>
      </c>
      <c r="C13" s="8">
        <f>'Schools by Cluster Group'!O96</f>
        <v>115285.23</v>
      </c>
      <c r="D13" s="8">
        <f>'Schools by Cluster Group'!Q96</f>
        <v>53338.950000000012</v>
      </c>
    </row>
    <row r="14" spans="1:9" x14ac:dyDescent="0.25">
      <c r="A14" t="s">
        <v>348</v>
      </c>
      <c r="B14" t="s">
        <v>349</v>
      </c>
      <c r="C14" s="8">
        <f>'Schools by Cluster Group'!O106</f>
        <v>119557.90999999999</v>
      </c>
      <c r="D14" s="8">
        <f>'Schools by Cluster Group'!Q106</f>
        <v>55315.819999999992</v>
      </c>
    </row>
    <row r="15" spans="1:9" x14ac:dyDescent="0.25">
      <c r="A15" t="s">
        <v>368</v>
      </c>
      <c r="B15" t="s">
        <v>350</v>
      </c>
      <c r="C15" s="8">
        <f>'Schools by Cluster Group'!O172</f>
        <v>879326.40313604323</v>
      </c>
      <c r="D15" s="8">
        <f>'Schools by Cluster Group'!Q172</f>
        <v>406837.46999999991</v>
      </c>
    </row>
    <row r="16" spans="1:9" x14ac:dyDescent="0.25">
      <c r="A16" s="2" t="s">
        <v>136</v>
      </c>
      <c r="B16" s="31" t="s">
        <v>375</v>
      </c>
      <c r="C16" s="8">
        <f>'Schools by Cluster Group'!O178</f>
        <v>23519.72</v>
      </c>
      <c r="D16" s="8">
        <f>'Schools by Cluster Group'!Q178</f>
        <v>10881.85</v>
      </c>
    </row>
    <row r="17" spans="1:4" x14ac:dyDescent="0.25">
      <c r="A17" t="s">
        <v>19</v>
      </c>
      <c r="B17" t="s">
        <v>351</v>
      </c>
      <c r="C17" s="8">
        <f>'Schools by Cluster Group'!O190</f>
        <v>82066.97</v>
      </c>
      <c r="D17" s="8">
        <f>'Schools by Cluster Group'!Q190</f>
        <v>37969.879999999997</v>
      </c>
    </row>
    <row r="18" spans="1:4" x14ac:dyDescent="0.25">
      <c r="A18" t="s">
        <v>352</v>
      </c>
      <c r="B18" t="s">
        <v>353</v>
      </c>
      <c r="C18" s="8">
        <f>'Schools by Cluster Group'!O214</f>
        <v>350028.00000000006</v>
      </c>
      <c r="D18" s="8">
        <f>'Schools by Cluster Group'!Q214</f>
        <v>161947.26999999999</v>
      </c>
    </row>
    <row r="19" spans="1:4" x14ac:dyDescent="0.25">
      <c r="A19" t="s">
        <v>354</v>
      </c>
      <c r="B19" t="s">
        <v>355</v>
      </c>
      <c r="C19" s="8">
        <f>'Schools by Cluster Group'!O234</f>
        <v>536144.05000000005</v>
      </c>
      <c r="D19" s="8">
        <f>'Schools by Cluster Group'!Q234</f>
        <v>248057.49999999994</v>
      </c>
    </row>
    <row r="20" spans="1:4" x14ac:dyDescent="0.25">
      <c r="A20" t="s">
        <v>356</v>
      </c>
      <c r="B20" t="s">
        <v>357</v>
      </c>
      <c r="C20" s="8">
        <f>'Schools by Cluster Group'!O275</f>
        <v>2492939.0175627572</v>
      </c>
      <c r="D20" s="8">
        <f>'Schools by Cluster Group'!Q275</f>
        <v>1153406.7499999998</v>
      </c>
    </row>
    <row r="21" spans="1:4" x14ac:dyDescent="0.25">
      <c r="A21" t="s">
        <v>358</v>
      </c>
      <c r="B21" t="s">
        <v>359</v>
      </c>
      <c r="C21" s="8">
        <f>'Schools by Cluster Group'!O311</f>
        <v>683147.30359999998</v>
      </c>
      <c r="D21" s="8">
        <f>'Schools by Cluster Group'!Q311</f>
        <v>316071.39999999997</v>
      </c>
    </row>
    <row r="22" spans="1:4" x14ac:dyDescent="0.25">
      <c r="A22" t="s">
        <v>226</v>
      </c>
      <c r="B22" t="s">
        <v>360</v>
      </c>
      <c r="C22" s="8">
        <f>'Schools by Cluster Group'!O342</f>
        <v>986300.58000000007</v>
      </c>
      <c r="D22" s="8">
        <f>'Schools by Cluster Group'!Q342</f>
        <v>456331.14999999997</v>
      </c>
    </row>
    <row r="23" spans="1:4" x14ac:dyDescent="0.25">
      <c r="A23" t="s">
        <v>361</v>
      </c>
      <c r="B23" t="s">
        <v>362</v>
      </c>
      <c r="C23" s="8">
        <f>'Schools by Cluster Group'!O348</f>
        <v>131424.98000000001</v>
      </c>
      <c r="D23" s="8">
        <f>'Schools by Cluster Group'!Q348</f>
        <v>60806.32</v>
      </c>
    </row>
    <row r="24" spans="1:4" x14ac:dyDescent="0.25">
      <c r="A24" t="s">
        <v>329</v>
      </c>
      <c r="B24" s="23" t="s">
        <v>374</v>
      </c>
      <c r="C24" s="24">
        <f>'Schools by Cluster Group'!O353</f>
        <v>25519</v>
      </c>
      <c r="D24" s="24">
        <f>'Schools by Cluster Group'!Q353</f>
        <v>11806.86</v>
      </c>
    </row>
    <row r="25" spans="1:4" x14ac:dyDescent="0.25">
      <c r="A25" t="s">
        <v>363</v>
      </c>
      <c r="C25" s="26">
        <f>SUM(C7:C24)</f>
        <v>8105138.3342988016</v>
      </c>
      <c r="D25" s="26">
        <f>SUM(D7:D24)</f>
        <v>3749999.9899999993</v>
      </c>
    </row>
    <row r="27" spans="1:4" x14ac:dyDescent="0.25">
      <c r="D27" s="8" t="s">
        <v>372</v>
      </c>
    </row>
    <row r="29" spans="1:4" x14ac:dyDescent="0.25">
      <c r="A29" t="s">
        <v>364</v>
      </c>
      <c r="B29">
        <v>0.462669465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3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5" sqref="B35"/>
    </sheetView>
  </sheetViews>
  <sheetFormatPr defaultRowHeight="15" x14ac:dyDescent="0.25"/>
  <cols>
    <col min="2" max="2" width="38.140625" customWidth="1"/>
    <col min="3" max="3" width="29.5703125" customWidth="1"/>
    <col min="4" max="4" width="12.5703125" customWidth="1"/>
    <col min="5" max="5" width="11.85546875" customWidth="1"/>
    <col min="6" max="6" width="24.7109375" style="1" customWidth="1"/>
    <col min="7" max="7" width="25.28515625" style="1" customWidth="1"/>
    <col min="8" max="8" width="21.28515625" style="1" customWidth="1"/>
    <col min="9" max="9" width="24.28515625" style="1" customWidth="1"/>
    <col min="10" max="10" width="21.28515625" style="1" customWidth="1"/>
    <col min="11" max="11" width="22.85546875" style="1" customWidth="1"/>
    <col min="12" max="12" width="15.7109375" style="1" customWidth="1"/>
    <col min="13" max="13" width="21" style="1" customWidth="1"/>
    <col min="14" max="14" width="22.5703125" style="1" customWidth="1"/>
    <col min="15" max="15" width="21.5703125" style="1" customWidth="1"/>
    <col min="16" max="16" width="21.85546875" customWidth="1"/>
    <col min="17" max="17" width="16.28515625" customWidth="1"/>
    <col min="18" max="18" width="13" customWidth="1"/>
  </cols>
  <sheetData>
    <row r="1" spans="1:17" s="4" customFormat="1" ht="15.75" x14ac:dyDescent="0.25">
      <c r="A1" s="4" t="s">
        <v>14</v>
      </c>
      <c r="B1" s="4" t="s">
        <v>13</v>
      </c>
      <c r="C1" s="4" t="s">
        <v>0</v>
      </c>
      <c r="D1" s="4" t="s">
        <v>11</v>
      </c>
      <c r="E1" s="4" t="s">
        <v>12</v>
      </c>
      <c r="F1" s="5" t="s">
        <v>1</v>
      </c>
      <c r="G1" s="5" t="s">
        <v>2</v>
      </c>
      <c r="H1" s="5" t="s">
        <v>3</v>
      </c>
      <c r="I1" s="5" t="s">
        <v>10</v>
      </c>
      <c r="J1" s="5" t="s">
        <v>9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4" t="s">
        <v>333</v>
      </c>
      <c r="Q1" s="4" t="s">
        <v>366</v>
      </c>
    </row>
    <row r="2" spans="1:17" s="2" customFormat="1" x14ac:dyDescent="0.25">
      <c r="A2" s="7">
        <v>206</v>
      </c>
      <c r="B2" s="2" t="s">
        <v>25</v>
      </c>
      <c r="C2" s="2" t="s">
        <v>21</v>
      </c>
      <c r="D2" s="7">
        <v>6054</v>
      </c>
      <c r="E2" s="7">
        <v>50</v>
      </c>
      <c r="F2" s="3">
        <v>63276.98</v>
      </c>
      <c r="G2" s="3">
        <v>23354.5</v>
      </c>
      <c r="H2" s="3">
        <v>0</v>
      </c>
      <c r="I2" s="3">
        <v>0</v>
      </c>
      <c r="J2" s="3">
        <v>0</v>
      </c>
      <c r="K2" s="3">
        <v>0</v>
      </c>
      <c r="L2" s="3">
        <v>4680</v>
      </c>
      <c r="M2" s="3">
        <v>39922.480000000003</v>
      </c>
      <c r="N2" s="3">
        <v>67956.98</v>
      </c>
      <c r="O2" s="3">
        <v>28034.5</v>
      </c>
      <c r="P2" s="9">
        <f>O2*Summary!$B$29</f>
        <v>12970.7071165425</v>
      </c>
      <c r="Q2" s="9">
        <f>ROUND(P2,2)</f>
        <v>12970.71</v>
      </c>
    </row>
    <row r="3" spans="1:17" s="2" customFormat="1" x14ac:dyDescent="0.25">
      <c r="A3" s="7">
        <v>207</v>
      </c>
      <c r="B3" s="2" t="s">
        <v>39</v>
      </c>
      <c r="C3" s="2" t="s">
        <v>21</v>
      </c>
      <c r="D3" s="7">
        <v>6054</v>
      </c>
      <c r="E3" s="7">
        <v>50</v>
      </c>
      <c r="F3" s="3">
        <v>24859.46</v>
      </c>
      <c r="G3" s="3">
        <v>9610.56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15248.9</v>
      </c>
      <c r="N3" s="3">
        <v>24859.46</v>
      </c>
      <c r="O3" s="3">
        <v>9610.56</v>
      </c>
      <c r="P3" s="9">
        <f>O3*Summary!$B$29</f>
        <v>4446.5126535503996</v>
      </c>
      <c r="Q3" s="9">
        <f t="shared" ref="Q3:Q10" si="0">ROUND(P3,2)</f>
        <v>4446.51</v>
      </c>
    </row>
    <row r="4" spans="1:17" s="2" customFormat="1" x14ac:dyDescent="0.25">
      <c r="A4" s="7">
        <v>208</v>
      </c>
      <c r="B4" s="2" t="s">
        <v>67</v>
      </c>
      <c r="C4" s="2" t="s">
        <v>21</v>
      </c>
      <c r="D4" s="7">
        <v>6054</v>
      </c>
      <c r="E4" s="7">
        <v>50</v>
      </c>
      <c r="F4" s="3">
        <v>24859.46</v>
      </c>
      <c r="G4" s="3">
        <v>9610.56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15248.9</v>
      </c>
      <c r="N4" s="3">
        <v>24859.46</v>
      </c>
      <c r="O4" s="3">
        <v>9610.56</v>
      </c>
      <c r="P4" s="9">
        <f>O4*Summary!$B$29</f>
        <v>4446.5126535503996</v>
      </c>
      <c r="Q4" s="9">
        <f t="shared" si="0"/>
        <v>4446.51</v>
      </c>
    </row>
    <row r="5" spans="1:17" s="2" customFormat="1" x14ac:dyDescent="0.25">
      <c r="A5" s="7">
        <v>213</v>
      </c>
      <c r="B5" s="2" t="s">
        <v>121</v>
      </c>
      <c r="C5" s="2" t="s">
        <v>21</v>
      </c>
      <c r="D5" s="7">
        <v>6054</v>
      </c>
      <c r="E5" s="7">
        <v>50</v>
      </c>
      <c r="F5" s="3">
        <v>24859.46</v>
      </c>
      <c r="G5" s="3">
        <v>9610.56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15248.9</v>
      </c>
      <c r="N5" s="3">
        <v>24859.46</v>
      </c>
      <c r="O5" s="3">
        <v>9610.56</v>
      </c>
      <c r="P5" s="9">
        <f>O5*Summary!$B$29</f>
        <v>4446.5126535503996</v>
      </c>
      <c r="Q5" s="9">
        <f t="shared" si="0"/>
        <v>4446.51</v>
      </c>
    </row>
    <row r="6" spans="1:17" s="2" customFormat="1" x14ac:dyDescent="0.25">
      <c r="A6" s="7">
        <v>547</v>
      </c>
      <c r="B6" s="2" t="s">
        <v>123</v>
      </c>
      <c r="C6" s="2" t="s">
        <v>21</v>
      </c>
      <c r="D6" s="7">
        <v>6054</v>
      </c>
      <c r="E6" s="7">
        <v>50</v>
      </c>
      <c r="F6" s="3">
        <v>24859.46</v>
      </c>
      <c r="G6" s="3">
        <v>9610.56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15248.9</v>
      </c>
      <c r="N6" s="3">
        <v>24859.46</v>
      </c>
      <c r="O6" s="3">
        <v>9610.56</v>
      </c>
      <c r="P6" s="9">
        <f>O6*Summary!$B$29</f>
        <v>4446.5126535503996</v>
      </c>
      <c r="Q6" s="9">
        <f t="shared" si="0"/>
        <v>4446.51</v>
      </c>
    </row>
    <row r="7" spans="1:17" s="2" customFormat="1" x14ac:dyDescent="0.25">
      <c r="A7" s="7">
        <v>740</v>
      </c>
      <c r="B7" s="2" t="s">
        <v>103</v>
      </c>
      <c r="C7" s="2" t="s">
        <v>21</v>
      </c>
      <c r="D7" s="7">
        <v>6054</v>
      </c>
      <c r="E7" s="7">
        <v>50</v>
      </c>
      <c r="F7" s="3">
        <v>24859.46</v>
      </c>
      <c r="G7" s="3">
        <v>9610.56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15248.9</v>
      </c>
      <c r="N7" s="3">
        <v>24859.46</v>
      </c>
      <c r="O7" s="3">
        <v>9610.56</v>
      </c>
      <c r="P7" s="9">
        <f>O7*Summary!$B$29</f>
        <v>4446.5126535503996</v>
      </c>
      <c r="Q7" s="9">
        <f t="shared" si="0"/>
        <v>4446.51</v>
      </c>
    </row>
    <row r="8" spans="1:17" s="2" customFormat="1" x14ac:dyDescent="0.25">
      <c r="A8" s="7">
        <v>743</v>
      </c>
      <c r="B8" s="2" t="s">
        <v>145</v>
      </c>
      <c r="C8" s="2" t="s">
        <v>21</v>
      </c>
      <c r="D8" s="7">
        <v>6054</v>
      </c>
      <c r="E8" s="7">
        <v>50</v>
      </c>
      <c r="F8" s="3">
        <v>24859.46</v>
      </c>
      <c r="G8" s="3">
        <v>9610.56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15248.9</v>
      </c>
      <c r="N8" s="3">
        <v>24859.46</v>
      </c>
      <c r="O8" s="3">
        <v>9610.56</v>
      </c>
      <c r="P8" s="9">
        <f>O8*Summary!$B$29</f>
        <v>4446.5126535503996</v>
      </c>
      <c r="Q8" s="9">
        <f t="shared" si="0"/>
        <v>4446.51</v>
      </c>
    </row>
    <row r="9" spans="1:17" s="2" customFormat="1" x14ac:dyDescent="0.25">
      <c r="A9" s="7">
        <v>745</v>
      </c>
      <c r="B9" s="2" t="s">
        <v>22</v>
      </c>
      <c r="C9" s="2" t="s">
        <v>21</v>
      </c>
      <c r="D9" s="7">
        <v>6054</v>
      </c>
      <c r="E9" s="7">
        <v>50</v>
      </c>
      <c r="F9" s="3">
        <v>24859.46</v>
      </c>
      <c r="G9" s="3">
        <v>9610.56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15248.9</v>
      </c>
      <c r="N9" s="3">
        <v>24859.46</v>
      </c>
      <c r="O9" s="3">
        <v>9610.56</v>
      </c>
      <c r="P9" s="9">
        <f>O9*Summary!$B$29</f>
        <v>4446.5126535503996</v>
      </c>
      <c r="Q9" s="9">
        <f t="shared" si="0"/>
        <v>4446.51</v>
      </c>
    </row>
    <row r="10" spans="1:17" s="2" customFormat="1" x14ac:dyDescent="0.25">
      <c r="A10" s="7">
        <v>2149</v>
      </c>
      <c r="B10" s="2" t="s">
        <v>107</v>
      </c>
      <c r="C10" s="2" t="s">
        <v>21</v>
      </c>
      <c r="D10" s="7">
        <v>6054</v>
      </c>
      <c r="E10" s="7">
        <v>50</v>
      </c>
      <c r="F10" s="3">
        <v>63311.46</v>
      </c>
      <c r="G10" s="3">
        <v>22742.32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14">
        <v>40569.14</v>
      </c>
      <c r="N10" s="14">
        <v>63311.46</v>
      </c>
      <c r="O10" s="14">
        <v>22742.32</v>
      </c>
      <c r="P10" s="21">
        <f>O10*Summary!$B$29</f>
        <v>10522.1770272588</v>
      </c>
      <c r="Q10" s="21">
        <f t="shared" si="0"/>
        <v>10522.18</v>
      </c>
    </row>
    <row r="11" spans="1:17" s="2" customFormat="1" x14ac:dyDescent="0.25">
      <c r="A11" s="7"/>
      <c r="D11" s="7"/>
      <c r="E11" s="7"/>
      <c r="F11" s="3"/>
      <c r="G11" s="3"/>
      <c r="H11" s="3"/>
      <c r="I11" s="3"/>
      <c r="J11" s="3"/>
      <c r="K11" s="3"/>
      <c r="L11" s="3"/>
      <c r="M11" s="13">
        <f>SUM(M2:M10)</f>
        <v>187233.91999999998</v>
      </c>
      <c r="N11" s="13">
        <f>SUM(N2:N10)</f>
        <v>305284.65999999997</v>
      </c>
      <c r="O11" s="13">
        <f>SUM(O2:O10)</f>
        <v>118050.73999999999</v>
      </c>
      <c r="P11" s="20">
        <f>SUM(P2:P10)</f>
        <v>54618.472718654099</v>
      </c>
      <c r="Q11" s="20">
        <f>SUM(Q2:Q10)</f>
        <v>54618.460000000014</v>
      </c>
    </row>
    <row r="12" spans="1:17" s="2" customFormat="1" x14ac:dyDescent="0.25">
      <c r="A12" s="7"/>
      <c r="D12" s="7"/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7" s="2" customFormat="1" x14ac:dyDescent="0.25">
      <c r="A13" s="7"/>
      <c r="D13" s="7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7" s="2" customFormat="1" x14ac:dyDescent="0.25">
      <c r="A14" s="7">
        <v>15</v>
      </c>
      <c r="B14" s="2" t="s">
        <v>149</v>
      </c>
      <c r="C14" s="2" t="s">
        <v>36</v>
      </c>
      <c r="D14" s="7">
        <v>6003</v>
      </c>
      <c r="E14" s="7">
        <v>50</v>
      </c>
      <c r="F14" s="3">
        <v>73845</v>
      </c>
      <c r="G14" s="3">
        <v>35088.300000000003</v>
      </c>
      <c r="H14" s="3">
        <v>0</v>
      </c>
      <c r="I14" s="3">
        <v>0</v>
      </c>
      <c r="J14" s="3">
        <v>0</v>
      </c>
      <c r="K14" s="3">
        <v>27771.71</v>
      </c>
      <c r="L14" s="3">
        <v>0</v>
      </c>
      <c r="M14" s="3">
        <v>38756.699999999997</v>
      </c>
      <c r="N14" s="3">
        <v>101616.71</v>
      </c>
      <c r="O14" s="3">
        <v>62860.01</v>
      </c>
      <c r="P14" s="9">
        <f>O14*Summary!$B$29</f>
        <v>29083.40719659465</v>
      </c>
      <c r="Q14" s="9">
        <f t="shared" ref="Q14:Q26" si="1">ROUND(P14,2)</f>
        <v>29083.41</v>
      </c>
    </row>
    <row r="15" spans="1:17" s="2" customFormat="1" x14ac:dyDescent="0.25">
      <c r="A15" s="7">
        <v>138</v>
      </c>
      <c r="B15" s="2" t="s">
        <v>116</v>
      </c>
      <c r="C15" s="2" t="s">
        <v>36</v>
      </c>
      <c r="D15" s="7">
        <v>6003</v>
      </c>
      <c r="E15" s="7">
        <v>50</v>
      </c>
      <c r="F15" s="3">
        <v>55740</v>
      </c>
      <c r="G15" s="3">
        <v>25105.200000000001</v>
      </c>
      <c r="H15" s="3">
        <v>0</v>
      </c>
      <c r="I15" s="3">
        <v>0</v>
      </c>
      <c r="J15" s="3">
        <v>0</v>
      </c>
      <c r="K15" s="3">
        <v>20483.21</v>
      </c>
      <c r="L15" s="3">
        <v>323.60000000000002</v>
      </c>
      <c r="M15" s="3">
        <v>30634.799999999999</v>
      </c>
      <c r="N15" s="3">
        <v>76546.81</v>
      </c>
      <c r="O15" s="3">
        <v>45912.01</v>
      </c>
      <c r="P15" s="9">
        <f>O15*Summary!$B$29</f>
        <v>21242.085103774651</v>
      </c>
      <c r="Q15" s="9">
        <f t="shared" si="1"/>
        <v>21242.09</v>
      </c>
    </row>
    <row r="16" spans="1:17" s="2" customFormat="1" x14ac:dyDescent="0.25">
      <c r="A16" s="7">
        <v>139</v>
      </c>
      <c r="B16" s="2" t="s">
        <v>143</v>
      </c>
      <c r="C16" s="2" t="s">
        <v>36</v>
      </c>
      <c r="D16" s="7">
        <v>6003</v>
      </c>
      <c r="E16" s="7">
        <v>50</v>
      </c>
      <c r="F16" s="3">
        <v>47235</v>
      </c>
      <c r="G16" s="3">
        <v>19963.5</v>
      </c>
      <c r="H16" s="3">
        <v>0</v>
      </c>
      <c r="I16" s="3">
        <v>0</v>
      </c>
      <c r="J16" s="3">
        <v>0</v>
      </c>
      <c r="K16" s="3">
        <v>10062.26</v>
      </c>
      <c r="L16" s="3">
        <v>0</v>
      </c>
      <c r="M16" s="3">
        <v>27271.5</v>
      </c>
      <c r="N16" s="3">
        <v>57297.26</v>
      </c>
      <c r="O16" s="3">
        <v>30025.759999999998</v>
      </c>
      <c r="P16" s="9">
        <f>O16*Summary!$B$29</f>
        <v>13892.0023154184</v>
      </c>
      <c r="Q16" s="9">
        <f t="shared" si="1"/>
        <v>13892</v>
      </c>
    </row>
    <row r="17" spans="1:17" s="2" customFormat="1" x14ac:dyDescent="0.25">
      <c r="A17" s="7">
        <v>314</v>
      </c>
      <c r="B17" s="2" t="s">
        <v>37</v>
      </c>
      <c r="C17" s="2" t="s">
        <v>36</v>
      </c>
      <c r="D17" s="7">
        <v>6003</v>
      </c>
      <c r="E17" s="7">
        <v>50</v>
      </c>
      <c r="F17" s="3">
        <v>50700</v>
      </c>
      <c r="G17" s="3">
        <v>19422</v>
      </c>
      <c r="H17" s="3">
        <v>0</v>
      </c>
      <c r="I17" s="3">
        <v>0</v>
      </c>
      <c r="J17" s="3">
        <v>0</v>
      </c>
      <c r="K17" s="3">
        <v>15406.23</v>
      </c>
      <c r="L17" s="3">
        <v>0</v>
      </c>
      <c r="M17" s="3">
        <v>31278</v>
      </c>
      <c r="N17" s="3">
        <v>66106.23</v>
      </c>
      <c r="O17" s="3">
        <v>34828.230000000003</v>
      </c>
      <c r="P17" s="9">
        <f>O17*Summary!$B$29</f>
        <v>16113.958540996951</v>
      </c>
      <c r="Q17" s="9">
        <f t="shared" si="1"/>
        <v>16113.96</v>
      </c>
    </row>
    <row r="18" spans="1:17" s="2" customFormat="1" x14ac:dyDescent="0.25">
      <c r="A18" s="7">
        <v>332</v>
      </c>
      <c r="B18" s="2" t="s">
        <v>111</v>
      </c>
      <c r="C18" s="2" t="s">
        <v>36</v>
      </c>
      <c r="D18" s="7">
        <v>6003</v>
      </c>
      <c r="E18" s="7">
        <v>50</v>
      </c>
      <c r="F18" s="3">
        <v>47310</v>
      </c>
      <c r="G18" s="3">
        <v>16819.5</v>
      </c>
      <c r="H18" s="3">
        <v>0</v>
      </c>
      <c r="I18" s="3">
        <v>0</v>
      </c>
      <c r="J18" s="3">
        <v>0</v>
      </c>
      <c r="K18" s="3">
        <v>13186.52</v>
      </c>
      <c r="L18" s="3">
        <v>0</v>
      </c>
      <c r="M18" s="3">
        <v>30490.5</v>
      </c>
      <c r="N18" s="3">
        <v>60496.52</v>
      </c>
      <c r="O18" s="3">
        <v>30006.02</v>
      </c>
      <c r="P18" s="9">
        <f>O18*Summary!$B$29</f>
        <v>13882.8692201793</v>
      </c>
      <c r="Q18" s="9">
        <f t="shared" si="1"/>
        <v>13882.87</v>
      </c>
    </row>
    <row r="19" spans="1:17" s="2" customFormat="1" x14ac:dyDescent="0.25">
      <c r="A19" s="7">
        <v>333</v>
      </c>
      <c r="B19" s="2" t="s">
        <v>118</v>
      </c>
      <c r="C19" s="2" t="s">
        <v>36</v>
      </c>
      <c r="D19" s="7">
        <v>6003</v>
      </c>
      <c r="E19" s="7">
        <v>50</v>
      </c>
      <c r="F19" s="3">
        <v>37875</v>
      </c>
      <c r="G19" s="3">
        <v>12928.5</v>
      </c>
      <c r="H19" s="3">
        <v>0</v>
      </c>
      <c r="I19" s="3">
        <v>0</v>
      </c>
      <c r="J19" s="3">
        <v>0</v>
      </c>
      <c r="K19" s="3">
        <v>8124.92</v>
      </c>
      <c r="L19" s="3">
        <v>0</v>
      </c>
      <c r="M19" s="3">
        <v>24946.5</v>
      </c>
      <c r="N19" s="3">
        <v>45999.92</v>
      </c>
      <c r="O19" s="3">
        <v>21053.42</v>
      </c>
      <c r="P19" s="9">
        <f>O19*Summary!$B$29</f>
        <v>9740.7745678202991</v>
      </c>
      <c r="Q19" s="9">
        <f t="shared" si="1"/>
        <v>9740.77</v>
      </c>
    </row>
    <row r="20" spans="1:17" s="2" customFormat="1" x14ac:dyDescent="0.25">
      <c r="A20" s="7">
        <v>477</v>
      </c>
      <c r="B20" s="2" t="s">
        <v>132</v>
      </c>
      <c r="C20" s="2" t="s">
        <v>36</v>
      </c>
      <c r="D20" s="7">
        <v>6003</v>
      </c>
      <c r="E20" s="7">
        <v>50</v>
      </c>
      <c r="F20" s="3">
        <v>48015</v>
      </c>
      <c r="G20" s="3">
        <v>18819.45</v>
      </c>
      <c r="H20" s="3">
        <v>0</v>
      </c>
      <c r="I20" s="3">
        <v>0</v>
      </c>
      <c r="J20" s="3">
        <v>0</v>
      </c>
      <c r="K20" s="3">
        <v>19823.669999999998</v>
      </c>
      <c r="L20" s="3">
        <v>2034.4</v>
      </c>
      <c r="M20" s="3">
        <v>29195.55</v>
      </c>
      <c r="N20" s="3">
        <v>69873.070000000007</v>
      </c>
      <c r="O20" s="3">
        <v>40677.519999999997</v>
      </c>
      <c r="P20" s="9">
        <f>O20*Summary!$B$29</f>
        <v>18820.246415926798</v>
      </c>
      <c r="Q20" s="9">
        <f t="shared" si="1"/>
        <v>18820.25</v>
      </c>
    </row>
    <row r="21" spans="1:17" s="2" customFormat="1" x14ac:dyDescent="0.25">
      <c r="A21" s="7">
        <v>578</v>
      </c>
      <c r="B21" s="2" t="s">
        <v>128</v>
      </c>
      <c r="C21" s="2" t="s">
        <v>36</v>
      </c>
      <c r="D21" s="7">
        <v>6003</v>
      </c>
      <c r="E21" s="7">
        <v>50</v>
      </c>
      <c r="F21" s="3">
        <v>56855</v>
      </c>
      <c r="G21" s="3">
        <v>20276.25</v>
      </c>
      <c r="H21" s="3">
        <v>0</v>
      </c>
      <c r="I21" s="3">
        <v>0</v>
      </c>
      <c r="J21" s="3">
        <v>0</v>
      </c>
      <c r="K21" s="3">
        <v>18873.64</v>
      </c>
      <c r="L21" s="3">
        <v>0</v>
      </c>
      <c r="M21" s="3">
        <v>36578.75</v>
      </c>
      <c r="N21" s="3">
        <v>75728.639999999999</v>
      </c>
      <c r="O21" s="3">
        <v>39149.89</v>
      </c>
      <c r="P21" s="9">
        <f>O21*Summary!$B$29</f>
        <v>18113.458661108849</v>
      </c>
      <c r="Q21" s="9">
        <f t="shared" si="1"/>
        <v>18113.46</v>
      </c>
    </row>
    <row r="22" spans="1:17" s="2" customFormat="1" x14ac:dyDescent="0.25">
      <c r="A22" s="7">
        <v>911</v>
      </c>
      <c r="B22" s="2" t="s">
        <v>43</v>
      </c>
      <c r="C22" s="2" t="s">
        <v>36</v>
      </c>
      <c r="D22" s="7">
        <v>6003</v>
      </c>
      <c r="E22" s="7">
        <v>50</v>
      </c>
      <c r="F22" s="3">
        <v>93840</v>
      </c>
      <c r="G22" s="3">
        <v>41616</v>
      </c>
      <c r="H22" s="3">
        <v>0</v>
      </c>
      <c r="I22" s="3">
        <v>0</v>
      </c>
      <c r="J22" s="3">
        <v>0</v>
      </c>
      <c r="K22" s="3">
        <v>26903.3</v>
      </c>
      <c r="L22" s="3">
        <v>0</v>
      </c>
      <c r="M22" s="3">
        <v>52224</v>
      </c>
      <c r="N22" s="3">
        <v>120743.3</v>
      </c>
      <c r="O22" s="3">
        <v>68519.3</v>
      </c>
      <c r="P22" s="9">
        <f>O22*Summary!$B$29</f>
        <v>31701.7878731745</v>
      </c>
      <c r="Q22" s="9">
        <f t="shared" si="1"/>
        <v>31701.79</v>
      </c>
    </row>
    <row r="23" spans="1:17" s="2" customFormat="1" x14ac:dyDescent="0.25">
      <c r="A23" s="7">
        <v>912</v>
      </c>
      <c r="B23" s="2" t="s">
        <v>106</v>
      </c>
      <c r="C23" s="2" t="s">
        <v>36</v>
      </c>
      <c r="D23" s="7">
        <v>6003</v>
      </c>
      <c r="E23" s="7">
        <v>50</v>
      </c>
      <c r="F23" s="3">
        <v>44895</v>
      </c>
      <c r="G23" s="3">
        <v>16914</v>
      </c>
      <c r="H23" s="3">
        <v>0</v>
      </c>
      <c r="I23" s="3">
        <v>0</v>
      </c>
      <c r="J23" s="3">
        <v>0</v>
      </c>
      <c r="K23" s="3">
        <v>13496.67</v>
      </c>
      <c r="L23" s="3">
        <v>0</v>
      </c>
      <c r="M23" s="3">
        <v>27981</v>
      </c>
      <c r="N23" s="3">
        <v>58391.67</v>
      </c>
      <c r="O23" s="3">
        <v>30410.67</v>
      </c>
      <c r="P23" s="9">
        <f>O23*Summary!$B$29</f>
        <v>14070.088419191548</v>
      </c>
      <c r="Q23" s="9">
        <f t="shared" si="1"/>
        <v>14070.09</v>
      </c>
    </row>
    <row r="24" spans="1:17" s="2" customFormat="1" x14ac:dyDescent="0.25">
      <c r="A24" s="7">
        <v>2144</v>
      </c>
      <c r="B24" s="2" t="s">
        <v>47</v>
      </c>
      <c r="C24" s="2" t="s">
        <v>36</v>
      </c>
      <c r="D24" s="7">
        <v>6003</v>
      </c>
      <c r="E24" s="7">
        <v>50</v>
      </c>
      <c r="F24" s="3">
        <v>96270</v>
      </c>
      <c r="G24" s="3">
        <v>55407.3</v>
      </c>
      <c r="H24" s="3">
        <v>0</v>
      </c>
      <c r="I24" s="3">
        <v>0</v>
      </c>
      <c r="J24" s="3">
        <v>0</v>
      </c>
      <c r="K24" s="3">
        <v>20512.16</v>
      </c>
      <c r="L24" s="3">
        <v>1028</v>
      </c>
      <c r="M24" s="3">
        <v>40862.699999999997</v>
      </c>
      <c r="N24" s="3">
        <v>117810.16</v>
      </c>
      <c r="O24" s="3">
        <v>76947.460000000006</v>
      </c>
      <c r="P24" s="9">
        <f>O24*Summary!$B$29</f>
        <v>35601.240151308906</v>
      </c>
      <c r="Q24" s="9">
        <f t="shared" si="1"/>
        <v>35601.24</v>
      </c>
    </row>
    <row r="25" spans="1:17" s="2" customFormat="1" x14ac:dyDescent="0.25">
      <c r="A25" s="7">
        <v>2165</v>
      </c>
      <c r="B25" s="2" t="s">
        <v>79</v>
      </c>
      <c r="C25" s="2" t="s">
        <v>36</v>
      </c>
      <c r="D25" s="7">
        <v>6003</v>
      </c>
      <c r="E25" s="7">
        <v>50</v>
      </c>
      <c r="F25" s="3">
        <v>73640</v>
      </c>
      <c r="G25" s="3">
        <v>23636.400000000001</v>
      </c>
      <c r="H25" s="3">
        <v>0</v>
      </c>
      <c r="I25" s="3">
        <v>0</v>
      </c>
      <c r="J25" s="3">
        <v>0</v>
      </c>
      <c r="K25" s="3">
        <v>16268.4</v>
      </c>
      <c r="L25" s="3">
        <v>0</v>
      </c>
      <c r="M25" s="3">
        <v>50003.6</v>
      </c>
      <c r="N25" s="3">
        <v>89908.4</v>
      </c>
      <c r="O25" s="3">
        <v>39904.800000000003</v>
      </c>
      <c r="P25" s="9">
        <f>O25*Summary!$B$29</f>
        <v>18462.732466932001</v>
      </c>
      <c r="Q25" s="9">
        <f t="shared" si="1"/>
        <v>18462.73</v>
      </c>
    </row>
    <row r="26" spans="1:17" s="2" customFormat="1" x14ac:dyDescent="0.25">
      <c r="A26" s="7">
        <v>2580</v>
      </c>
      <c r="B26" s="2" t="s">
        <v>62</v>
      </c>
      <c r="C26" s="2" t="s">
        <v>36</v>
      </c>
      <c r="D26" s="7">
        <v>6003</v>
      </c>
      <c r="E26" s="7">
        <v>50</v>
      </c>
      <c r="F26" s="3">
        <v>44718</v>
      </c>
      <c r="G26" s="3">
        <v>13026.2</v>
      </c>
      <c r="H26" s="3">
        <v>0</v>
      </c>
      <c r="I26" s="3">
        <v>0</v>
      </c>
      <c r="J26" s="3">
        <v>0</v>
      </c>
      <c r="K26" s="3">
        <v>15296.61</v>
      </c>
      <c r="L26" s="3">
        <v>0</v>
      </c>
      <c r="M26" s="15">
        <v>31691.8</v>
      </c>
      <c r="N26" s="15">
        <v>60014.61</v>
      </c>
      <c r="O26" s="15">
        <v>28322.81</v>
      </c>
      <c r="P26" s="21">
        <f>O26*Summary!$B$29</f>
        <v>13104.09934999665</v>
      </c>
      <c r="Q26" s="21">
        <f t="shared" si="1"/>
        <v>13104.1</v>
      </c>
    </row>
    <row r="27" spans="1:17" s="2" customFormat="1" x14ac:dyDescent="0.25">
      <c r="A27" s="7"/>
      <c r="D27" s="7"/>
      <c r="E27" s="7"/>
      <c r="F27" s="3"/>
      <c r="G27" s="3"/>
      <c r="H27" s="3"/>
      <c r="I27" s="3"/>
      <c r="J27" s="3"/>
      <c r="K27" s="3"/>
      <c r="L27" s="3"/>
      <c r="M27" s="13">
        <f>SUM(M14:M26)</f>
        <v>451915.39999999997</v>
      </c>
      <c r="N27" s="13">
        <f t="shared" ref="N27:O27" si="2">SUM(N14:N26)</f>
        <v>1000533.3000000002</v>
      </c>
      <c r="O27" s="13">
        <f t="shared" si="2"/>
        <v>548617.9</v>
      </c>
      <c r="P27" s="13">
        <f t="shared" ref="P27" si="3">SUM(P14:P26)</f>
        <v>253828.75028242351</v>
      </c>
      <c r="Q27" s="13">
        <f t="shared" ref="Q27" si="4">SUM(Q14:Q26)</f>
        <v>253828.76</v>
      </c>
    </row>
    <row r="28" spans="1:17" s="2" customFormat="1" x14ac:dyDescent="0.25">
      <c r="A28" s="7"/>
      <c r="D28" s="7"/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7" s="2" customFormat="1" x14ac:dyDescent="0.25">
      <c r="A29" s="7"/>
      <c r="D29" s="7"/>
      <c r="E29" s="7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7" s="2" customFormat="1" x14ac:dyDescent="0.25">
      <c r="A30" s="7">
        <v>116</v>
      </c>
      <c r="B30" s="2" t="s">
        <v>127</v>
      </c>
      <c r="C30" s="2" t="s">
        <v>32</v>
      </c>
      <c r="D30" s="7">
        <v>6004</v>
      </c>
      <c r="E30" s="7">
        <v>61</v>
      </c>
      <c r="F30" s="3">
        <v>9018</v>
      </c>
      <c r="G30" s="3">
        <v>1803.6</v>
      </c>
      <c r="H30" s="3">
        <v>0</v>
      </c>
      <c r="I30" s="3">
        <v>0</v>
      </c>
      <c r="J30" s="3">
        <v>0</v>
      </c>
      <c r="K30" s="3">
        <v>863.08</v>
      </c>
      <c r="L30" s="3">
        <v>1797.5</v>
      </c>
      <c r="M30" s="3">
        <v>7214.4</v>
      </c>
      <c r="N30" s="3">
        <v>11678.58</v>
      </c>
      <c r="O30" s="3">
        <v>4464.18</v>
      </c>
      <c r="P30" s="9">
        <f>O30*Summary!$B$29</f>
        <v>2065.4397722637</v>
      </c>
      <c r="Q30" s="9">
        <f t="shared" ref="Q30:Q39" si="5">ROUND(P30,2)</f>
        <v>2065.44</v>
      </c>
    </row>
    <row r="31" spans="1:17" s="2" customFormat="1" x14ac:dyDescent="0.25">
      <c r="A31" s="7">
        <v>545</v>
      </c>
      <c r="B31" s="2" t="s">
        <v>75</v>
      </c>
      <c r="C31" s="2" t="s">
        <v>32</v>
      </c>
      <c r="D31" s="7">
        <v>6004</v>
      </c>
      <c r="E31" s="7">
        <v>61</v>
      </c>
      <c r="F31" s="3">
        <v>12480</v>
      </c>
      <c r="G31" s="3">
        <v>3744</v>
      </c>
      <c r="H31" s="3">
        <v>0</v>
      </c>
      <c r="I31" s="3">
        <v>0</v>
      </c>
      <c r="J31" s="3">
        <v>0</v>
      </c>
      <c r="K31" s="3">
        <v>1797.5</v>
      </c>
      <c r="L31" s="3">
        <v>863.08</v>
      </c>
      <c r="M31" s="3">
        <v>8736</v>
      </c>
      <c r="N31" s="3">
        <v>15140.58</v>
      </c>
      <c r="O31" s="3">
        <v>6404.58</v>
      </c>
      <c r="P31" s="9">
        <f>O31*Summary!$B$29</f>
        <v>2963.2036021497001</v>
      </c>
      <c r="Q31" s="9">
        <f t="shared" si="5"/>
        <v>2963.2</v>
      </c>
    </row>
    <row r="32" spans="1:17" s="2" customFormat="1" x14ac:dyDescent="0.25">
      <c r="A32" s="7">
        <v>786</v>
      </c>
      <c r="B32" s="2" t="s">
        <v>33</v>
      </c>
      <c r="C32" s="2" t="s">
        <v>32</v>
      </c>
      <c r="D32" s="7">
        <v>6004</v>
      </c>
      <c r="E32" s="7">
        <v>61</v>
      </c>
      <c r="F32" s="3">
        <v>11856</v>
      </c>
      <c r="G32" s="3">
        <v>2371.1999999999998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9484.7999999999993</v>
      </c>
      <c r="N32" s="3">
        <v>11856</v>
      </c>
      <c r="O32" s="3">
        <v>2371.1999999999998</v>
      </c>
      <c r="P32" s="9">
        <f>O32*Summary!$B$29</f>
        <v>1097.081835408</v>
      </c>
      <c r="Q32" s="9">
        <f t="shared" si="5"/>
        <v>1097.08</v>
      </c>
    </row>
    <row r="33" spans="1:17" s="2" customFormat="1" x14ac:dyDescent="0.25">
      <c r="A33" s="7">
        <v>787</v>
      </c>
      <c r="B33" s="2" t="s">
        <v>40</v>
      </c>
      <c r="C33" s="2" t="s">
        <v>32</v>
      </c>
      <c r="D33" s="7">
        <v>6004</v>
      </c>
      <c r="E33" s="7">
        <v>61</v>
      </c>
      <c r="F33" s="3">
        <v>12096</v>
      </c>
      <c r="G33" s="3">
        <v>2419.1999999999998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9676.7999999999993</v>
      </c>
      <c r="N33" s="3">
        <v>12096</v>
      </c>
      <c r="O33" s="3">
        <v>2419.1999999999998</v>
      </c>
      <c r="P33" s="9">
        <f>O33*Summary!$B$29</f>
        <v>1119.289969728</v>
      </c>
      <c r="Q33" s="9">
        <f t="shared" si="5"/>
        <v>1119.29</v>
      </c>
    </row>
    <row r="34" spans="1:17" s="2" customFormat="1" x14ac:dyDescent="0.25">
      <c r="A34" s="7">
        <v>818</v>
      </c>
      <c r="B34" s="2" t="s">
        <v>155</v>
      </c>
      <c r="C34" s="2" t="s">
        <v>32</v>
      </c>
      <c r="D34" s="7">
        <v>6004</v>
      </c>
      <c r="E34" s="7">
        <v>61</v>
      </c>
      <c r="F34" s="3">
        <v>8502.84</v>
      </c>
      <c r="G34" s="3">
        <v>1700.57</v>
      </c>
      <c r="H34" s="3">
        <v>0</v>
      </c>
      <c r="I34" s="3">
        <v>0</v>
      </c>
      <c r="J34" s="3">
        <v>0</v>
      </c>
      <c r="K34" s="3">
        <v>863.08</v>
      </c>
      <c r="L34" s="3">
        <v>1797.5</v>
      </c>
      <c r="M34" s="3">
        <v>6802.27</v>
      </c>
      <c r="N34" s="3">
        <v>11163.42</v>
      </c>
      <c r="O34" s="3">
        <v>4361.1499999999996</v>
      </c>
      <c r="P34" s="9">
        <f>O34*Summary!$B$29</f>
        <v>2017.7709372847498</v>
      </c>
      <c r="Q34" s="9">
        <f t="shared" si="5"/>
        <v>2017.77</v>
      </c>
    </row>
    <row r="35" spans="1:17" s="2" customFormat="1" x14ac:dyDescent="0.25">
      <c r="A35" s="7">
        <v>820</v>
      </c>
      <c r="B35" s="2" t="s">
        <v>146</v>
      </c>
      <c r="C35" s="2" t="s">
        <v>32</v>
      </c>
      <c r="D35" s="7">
        <v>6004</v>
      </c>
      <c r="E35" s="7">
        <v>61</v>
      </c>
      <c r="F35" s="3">
        <v>8502.9599999999991</v>
      </c>
      <c r="G35" s="3">
        <v>1700.59</v>
      </c>
      <c r="H35" s="3">
        <v>0</v>
      </c>
      <c r="I35" s="3">
        <v>0</v>
      </c>
      <c r="J35" s="3">
        <v>0</v>
      </c>
      <c r="K35" s="3">
        <v>863.08</v>
      </c>
      <c r="L35" s="3">
        <v>1797.5</v>
      </c>
      <c r="M35" s="3">
        <v>6802.37</v>
      </c>
      <c r="N35" s="3">
        <v>11163.54</v>
      </c>
      <c r="O35" s="3">
        <v>4361.17</v>
      </c>
      <c r="P35" s="9">
        <f>O35*Summary!$B$29</f>
        <v>2017.7801906740501</v>
      </c>
      <c r="Q35" s="9">
        <f t="shared" si="5"/>
        <v>2017.78</v>
      </c>
    </row>
    <row r="36" spans="1:17" s="2" customFormat="1" x14ac:dyDescent="0.25">
      <c r="A36" s="7">
        <v>821</v>
      </c>
      <c r="B36" s="2" t="s">
        <v>104</v>
      </c>
      <c r="C36" s="2" t="s">
        <v>32</v>
      </c>
      <c r="D36" s="7">
        <v>6004</v>
      </c>
      <c r="E36" s="7">
        <v>61</v>
      </c>
      <c r="F36" s="3">
        <v>8502.9599999999991</v>
      </c>
      <c r="G36" s="3">
        <v>2040.71</v>
      </c>
      <c r="H36" s="3">
        <v>0</v>
      </c>
      <c r="I36" s="3">
        <v>0</v>
      </c>
      <c r="J36" s="3">
        <v>0</v>
      </c>
      <c r="K36" s="3">
        <v>1797.5</v>
      </c>
      <c r="L36" s="3">
        <v>863.08</v>
      </c>
      <c r="M36" s="3">
        <v>6462.25</v>
      </c>
      <c r="N36" s="3">
        <v>11163.54</v>
      </c>
      <c r="O36" s="3">
        <v>4701.29</v>
      </c>
      <c r="P36" s="9">
        <f>O36*Summary!$B$29</f>
        <v>2175.1433291098501</v>
      </c>
      <c r="Q36" s="9">
        <f t="shared" si="5"/>
        <v>2175.14</v>
      </c>
    </row>
    <row r="37" spans="1:17" s="2" customFormat="1" x14ac:dyDescent="0.25">
      <c r="A37" s="7">
        <v>2155</v>
      </c>
      <c r="B37" s="2" t="s">
        <v>158</v>
      </c>
      <c r="C37" s="2" t="s">
        <v>32</v>
      </c>
      <c r="D37" s="7">
        <v>6004</v>
      </c>
      <c r="E37" s="7">
        <v>61</v>
      </c>
      <c r="F37" s="3">
        <v>10575</v>
      </c>
      <c r="G37" s="3">
        <v>2115</v>
      </c>
      <c r="H37" s="3">
        <v>0</v>
      </c>
      <c r="I37" s="3">
        <v>0</v>
      </c>
      <c r="J37" s="3">
        <v>0</v>
      </c>
      <c r="K37" s="3">
        <v>863.08</v>
      </c>
      <c r="L37" s="3">
        <v>1797.5</v>
      </c>
      <c r="M37" s="3">
        <v>8460</v>
      </c>
      <c r="N37" s="3">
        <v>13235.58</v>
      </c>
      <c r="O37" s="3">
        <v>4775.58</v>
      </c>
      <c r="P37" s="9">
        <f>O37*Summary!$B$29</f>
        <v>2209.5150436647</v>
      </c>
      <c r="Q37" s="9">
        <f t="shared" si="5"/>
        <v>2209.52</v>
      </c>
    </row>
    <row r="38" spans="1:17" s="2" customFormat="1" x14ac:dyDescent="0.25">
      <c r="A38" s="7">
        <v>2170</v>
      </c>
      <c r="B38" s="2" t="s">
        <v>151</v>
      </c>
      <c r="C38" s="2" t="s">
        <v>32</v>
      </c>
      <c r="D38" s="7">
        <v>6004</v>
      </c>
      <c r="E38" s="7">
        <v>61</v>
      </c>
      <c r="F38" s="3">
        <v>12698.57</v>
      </c>
      <c r="G38" s="3">
        <v>2683.56</v>
      </c>
      <c r="H38" s="3">
        <v>0</v>
      </c>
      <c r="I38" s="3">
        <v>0</v>
      </c>
      <c r="J38" s="3">
        <v>0</v>
      </c>
      <c r="K38" s="3">
        <v>1797.5</v>
      </c>
      <c r="L38" s="3">
        <v>0</v>
      </c>
      <c r="M38" s="3">
        <v>10015.01</v>
      </c>
      <c r="N38" s="3">
        <v>14496.07</v>
      </c>
      <c r="O38" s="3">
        <v>4481.0600000000004</v>
      </c>
      <c r="P38" s="9">
        <f>O38*Summary!$B$29</f>
        <v>2073.2496328329003</v>
      </c>
      <c r="Q38" s="9">
        <f t="shared" si="5"/>
        <v>2073.25</v>
      </c>
    </row>
    <row r="39" spans="1:17" s="2" customFormat="1" x14ac:dyDescent="0.25">
      <c r="A39" s="7">
        <v>2759</v>
      </c>
      <c r="B39" s="2" t="s">
        <v>61</v>
      </c>
      <c r="C39" s="2" t="s">
        <v>32</v>
      </c>
      <c r="D39" s="7">
        <v>6004</v>
      </c>
      <c r="E39" s="7">
        <v>61</v>
      </c>
      <c r="F39" s="3">
        <v>17223</v>
      </c>
      <c r="G39" s="3">
        <v>4305.75</v>
      </c>
      <c r="H39" s="3">
        <v>0</v>
      </c>
      <c r="I39" s="3">
        <v>0</v>
      </c>
      <c r="J39" s="3">
        <v>0</v>
      </c>
      <c r="K39" s="3">
        <v>863.08</v>
      </c>
      <c r="L39" s="3">
        <v>1797.5</v>
      </c>
      <c r="M39" s="15">
        <v>12917.25</v>
      </c>
      <c r="N39" s="15">
        <v>19883.580000000002</v>
      </c>
      <c r="O39" s="15">
        <v>6966.33</v>
      </c>
      <c r="P39" s="21">
        <f>O39*Summary!$B$29</f>
        <v>3223.1081741134499</v>
      </c>
      <c r="Q39" s="21">
        <f t="shared" si="5"/>
        <v>3223.11</v>
      </c>
    </row>
    <row r="40" spans="1:17" s="2" customFormat="1" x14ac:dyDescent="0.25">
      <c r="A40" s="7"/>
      <c r="D40" s="7"/>
      <c r="E40" s="7"/>
      <c r="F40" s="3"/>
      <c r="G40" s="3"/>
      <c r="H40" s="3"/>
      <c r="I40" s="3"/>
      <c r="J40" s="3"/>
      <c r="K40" s="3"/>
      <c r="L40" s="3"/>
      <c r="M40" s="13">
        <f>SUM(M30:M39)</f>
        <v>86571.150000000009</v>
      </c>
      <c r="N40" s="13">
        <f t="shared" ref="N40:Q40" si="6">SUM(N30:N39)</f>
        <v>131876.89000000001</v>
      </c>
      <c r="O40" s="13">
        <f t="shared" si="6"/>
        <v>45305.74</v>
      </c>
      <c r="P40" s="13">
        <f t="shared" si="6"/>
        <v>20961.582487229101</v>
      </c>
      <c r="Q40" s="13">
        <f t="shared" si="6"/>
        <v>20961.580000000002</v>
      </c>
    </row>
    <row r="41" spans="1:17" s="2" customFormat="1" x14ac:dyDescent="0.25">
      <c r="A41" s="7"/>
      <c r="D41" s="7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Q41" s="9"/>
    </row>
    <row r="42" spans="1:17" s="2" customFormat="1" x14ac:dyDescent="0.25">
      <c r="A42" s="7"/>
      <c r="D42" s="7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Q42" s="9"/>
    </row>
    <row r="43" spans="1:17" s="2" customFormat="1" x14ac:dyDescent="0.25">
      <c r="A43" s="7">
        <v>227</v>
      </c>
      <c r="B43" s="2" t="s">
        <v>46</v>
      </c>
      <c r="C43" s="2" t="s">
        <v>325</v>
      </c>
      <c r="D43" s="7">
        <v>921</v>
      </c>
      <c r="E43" s="7">
        <v>83</v>
      </c>
      <c r="F43" s="3">
        <v>50973.56</v>
      </c>
      <c r="G43" s="3">
        <v>28035.46</v>
      </c>
      <c r="H43" s="3">
        <v>1900</v>
      </c>
      <c r="I43" s="3">
        <v>855</v>
      </c>
      <c r="J43" s="3">
        <v>1045</v>
      </c>
      <c r="K43" s="3">
        <v>1599.95</v>
      </c>
      <c r="L43" s="3">
        <v>0</v>
      </c>
      <c r="M43" s="3">
        <v>23793.1</v>
      </c>
      <c r="N43" s="3">
        <v>54473.51</v>
      </c>
      <c r="O43" s="3">
        <v>30680.41</v>
      </c>
      <c r="P43" s="9">
        <f>O43*Summary!$B$29</f>
        <v>14194.88888068065</v>
      </c>
      <c r="Q43" s="9">
        <f t="shared" ref="Q43:Q59" si="7">ROUND(P43,2)</f>
        <v>14194.89</v>
      </c>
    </row>
    <row r="44" spans="1:17" s="2" customFormat="1" x14ac:dyDescent="0.25">
      <c r="A44" s="7">
        <v>241</v>
      </c>
      <c r="B44" s="2" t="s">
        <v>24</v>
      </c>
      <c r="C44" s="2" t="s">
        <v>325</v>
      </c>
      <c r="D44" s="7">
        <v>921</v>
      </c>
      <c r="E44" s="7">
        <v>83</v>
      </c>
      <c r="F44" s="3">
        <v>113340</v>
      </c>
      <c r="G44" s="3">
        <v>35135.4</v>
      </c>
      <c r="H44" s="3">
        <v>1250</v>
      </c>
      <c r="I44" s="3"/>
      <c r="J44" s="3">
        <v>1250</v>
      </c>
      <c r="K44" s="3">
        <v>1000</v>
      </c>
      <c r="L44" s="3">
        <v>0</v>
      </c>
      <c r="M44" s="3">
        <v>78204.600000000006</v>
      </c>
      <c r="N44" s="3">
        <v>115590</v>
      </c>
      <c r="O44" s="3">
        <v>37385.4</v>
      </c>
      <c r="P44" s="9">
        <f>O44*Summary!$B$29</f>
        <v>17297.083016811001</v>
      </c>
      <c r="Q44" s="9">
        <f t="shared" si="7"/>
        <v>17297.080000000002</v>
      </c>
    </row>
    <row r="45" spans="1:17" s="2" customFormat="1" x14ac:dyDescent="0.25">
      <c r="A45" s="7">
        <v>252</v>
      </c>
      <c r="B45" s="2" t="s">
        <v>44</v>
      </c>
      <c r="C45" s="2" t="s">
        <v>325</v>
      </c>
      <c r="D45" s="7">
        <v>921</v>
      </c>
      <c r="E45" s="7">
        <v>83</v>
      </c>
      <c r="F45" s="3">
        <v>65446.01</v>
      </c>
      <c r="G45" s="3">
        <v>32722.86</v>
      </c>
      <c r="H45" s="3">
        <v>0</v>
      </c>
      <c r="I45" s="3">
        <v>0</v>
      </c>
      <c r="J45" s="3">
        <v>0</v>
      </c>
      <c r="K45" s="3">
        <v>1446.54</v>
      </c>
      <c r="L45" s="3">
        <v>0</v>
      </c>
      <c r="M45" s="3">
        <v>32723.15</v>
      </c>
      <c r="N45" s="3">
        <v>66892.55</v>
      </c>
      <c r="O45" s="3">
        <v>34169.4</v>
      </c>
      <c r="P45" s="9">
        <f>O45*Summary!$B$29</f>
        <v>15809.138017371</v>
      </c>
      <c r="Q45" s="9">
        <f t="shared" si="7"/>
        <v>15809.14</v>
      </c>
    </row>
    <row r="46" spans="1:17" s="2" customFormat="1" x14ac:dyDescent="0.25">
      <c r="A46" s="7">
        <v>255</v>
      </c>
      <c r="B46" s="2" t="s">
        <v>129</v>
      </c>
      <c r="C46" s="2" t="s">
        <v>325</v>
      </c>
      <c r="D46" s="7">
        <v>921</v>
      </c>
      <c r="E46" s="7">
        <v>83</v>
      </c>
      <c r="F46" s="3">
        <v>67583.25</v>
      </c>
      <c r="G46" s="3">
        <v>31507.67</v>
      </c>
      <c r="H46" s="3">
        <v>0</v>
      </c>
      <c r="I46" s="3">
        <v>0</v>
      </c>
      <c r="J46" s="3">
        <v>0</v>
      </c>
      <c r="K46" s="3">
        <v>1232.6400000000001</v>
      </c>
      <c r="L46" s="3">
        <v>0</v>
      </c>
      <c r="M46" s="3">
        <v>36075.58</v>
      </c>
      <c r="N46" s="3">
        <v>68815.89</v>
      </c>
      <c r="O46" s="3">
        <v>32740.31</v>
      </c>
      <c r="P46" s="9">
        <f>O46*Summary!$B$29</f>
        <v>15147.94171163415</v>
      </c>
      <c r="Q46" s="9">
        <f t="shared" si="7"/>
        <v>15147.94</v>
      </c>
    </row>
    <row r="47" spans="1:17" s="2" customFormat="1" x14ac:dyDescent="0.25">
      <c r="A47" s="7">
        <v>294</v>
      </c>
      <c r="B47" s="2" t="s">
        <v>23</v>
      </c>
      <c r="C47" s="2" t="s">
        <v>325</v>
      </c>
      <c r="D47" s="7">
        <v>921</v>
      </c>
      <c r="E47" s="7">
        <v>83</v>
      </c>
      <c r="F47" s="3">
        <v>55135.51</v>
      </c>
      <c r="G47" s="3">
        <v>26526.49</v>
      </c>
      <c r="H47" s="3">
        <v>250</v>
      </c>
      <c r="I47" s="3">
        <v>0</v>
      </c>
      <c r="J47" s="3">
        <v>250</v>
      </c>
      <c r="K47" s="3">
        <v>1000</v>
      </c>
      <c r="L47" s="3">
        <v>0</v>
      </c>
      <c r="M47" s="3">
        <v>28609.02</v>
      </c>
      <c r="N47" s="3">
        <v>56385.51</v>
      </c>
      <c r="O47" s="3">
        <v>27776.49</v>
      </c>
      <c r="P47" s="9">
        <f>O47*Summary!$B$29</f>
        <v>12851.333767877852</v>
      </c>
      <c r="Q47" s="9">
        <f t="shared" si="7"/>
        <v>12851.33</v>
      </c>
    </row>
    <row r="48" spans="1:17" s="2" customFormat="1" x14ac:dyDescent="0.25">
      <c r="A48" s="7">
        <v>497</v>
      </c>
      <c r="B48" s="2" t="s">
        <v>99</v>
      </c>
      <c r="C48" s="2" t="s">
        <v>325</v>
      </c>
      <c r="D48" s="7">
        <v>921</v>
      </c>
      <c r="E48" s="7">
        <v>83</v>
      </c>
      <c r="F48" s="3">
        <v>19883.580000000002</v>
      </c>
      <c r="G48" s="3">
        <v>5225.1000000000004</v>
      </c>
      <c r="H48" s="3">
        <v>250</v>
      </c>
      <c r="I48" s="3">
        <v>0</v>
      </c>
      <c r="J48" s="3">
        <v>250</v>
      </c>
      <c r="K48" s="3">
        <v>1000</v>
      </c>
      <c r="L48" s="3">
        <v>0</v>
      </c>
      <c r="M48" s="3">
        <v>14658.48</v>
      </c>
      <c r="N48" s="3">
        <v>21133.58</v>
      </c>
      <c r="O48" s="3">
        <v>6475.1</v>
      </c>
      <c r="P48" s="9">
        <f>O48*Summary!$B$29</f>
        <v>2995.8310528215002</v>
      </c>
      <c r="Q48" s="9">
        <f t="shared" si="7"/>
        <v>2995.83</v>
      </c>
    </row>
    <row r="49" spans="1:17" s="2" customFormat="1" x14ac:dyDescent="0.25">
      <c r="A49" s="7">
        <v>499</v>
      </c>
      <c r="B49" s="2" t="s">
        <v>93</v>
      </c>
      <c r="C49" s="2" t="s">
        <v>325</v>
      </c>
      <c r="D49" s="7">
        <v>921</v>
      </c>
      <c r="E49" s="7">
        <v>83</v>
      </c>
      <c r="F49" s="3">
        <v>24860.58</v>
      </c>
      <c r="G49" s="3">
        <v>7459.64</v>
      </c>
      <c r="H49" s="3">
        <v>0</v>
      </c>
      <c r="I49" s="3">
        <v>0</v>
      </c>
      <c r="J49" s="3">
        <v>0</v>
      </c>
      <c r="K49" s="3">
        <v>1537.64</v>
      </c>
      <c r="L49" s="3">
        <v>0</v>
      </c>
      <c r="M49" s="3">
        <v>17400.939999999999</v>
      </c>
      <c r="N49" s="3">
        <v>26398.22</v>
      </c>
      <c r="O49" s="3">
        <v>8997.2800000000007</v>
      </c>
      <c r="P49" s="9">
        <f>O49*Summary!$B$29</f>
        <v>4162.7667240552</v>
      </c>
      <c r="Q49" s="9">
        <f t="shared" si="7"/>
        <v>4162.7700000000004</v>
      </c>
    </row>
    <row r="50" spans="1:17" s="2" customFormat="1" x14ac:dyDescent="0.25">
      <c r="A50" s="7">
        <v>500</v>
      </c>
      <c r="B50" s="2" t="s">
        <v>147</v>
      </c>
      <c r="C50" s="2" t="s">
        <v>325</v>
      </c>
      <c r="D50" s="7">
        <v>921</v>
      </c>
      <c r="E50" s="7">
        <v>83</v>
      </c>
      <c r="F50" s="3">
        <v>21429.84</v>
      </c>
      <c r="G50" s="3">
        <v>8571.94</v>
      </c>
      <c r="H50" s="3">
        <v>0</v>
      </c>
      <c r="I50" s="3">
        <v>0</v>
      </c>
      <c r="J50" s="3">
        <v>0</v>
      </c>
      <c r="K50" s="3">
        <v>1581.67</v>
      </c>
      <c r="L50" s="3">
        <v>0</v>
      </c>
      <c r="M50" s="3">
        <v>12857.9</v>
      </c>
      <c r="N50" s="3">
        <v>23011.51</v>
      </c>
      <c r="O50" s="3">
        <v>10153.61</v>
      </c>
      <c r="P50" s="9">
        <f>O50*Summary!$B$29</f>
        <v>4697.7653065186505</v>
      </c>
      <c r="Q50" s="9">
        <f t="shared" si="7"/>
        <v>4697.7700000000004</v>
      </c>
    </row>
    <row r="51" spans="1:17" s="2" customFormat="1" x14ac:dyDescent="0.25">
      <c r="A51" s="7">
        <v>531</v>
      </c>
      <c r="B51" s="2" t="s">
        <v>42</v>
      </c>
      <c r="C51" s="2" t="s">
        <v>325</v>
      </c>
      <c r="D51" s="7">
        <v>921</v>
      </c>
      <c r="E51" s="7">
        <v>83</v>
      </c>
      <c r="F51" s="3">
        <v>41211.839999999997</v>
      </c>
      <c r="G51" s="3">
        <v>24932.67</v>
      </c>
      <c r="H51" s="3">
        <v>0</v>
      </c>
      <c r="I51" s="3">
        <v>0</v>
      </c>
      <c r="J51" s="3">
        <v>0</v>
      </c>
      <c r="K51" s="3">
        <v>1272.1199999999999</v>
      </c>
      <c r="L51" s="3">
        <v>6040.22</v>
      </c>
      <c r="M51" s="3">
        <v>16279.17</v>
      </c>
      <c r="N51" s="3">
        <v>48524.18</v>
      </c>
      <c r="O51" s="3">
        <v>32245.01</v>
      </c>
      <c r="P51" s="9">
        <f>O51*Summary!$B$29</f>
        <v>14918.78152561965</v>
      </c>
      <c r="Q51" s="9">
        <f t="shared" si="7"/>
        <v>14918.78</v>
      </c>
    </row>
    <row r="52" spans="1:17" s="2" customFormat="1" x14ac:dyDescent="0.25">
      <c r="A52" s="7">
        <v>533</v>
      </c>
      <c r="B52" s="2" t="s">
        <v>59</v>
      </c>
      <c r="C52" s="2" t="s">
        <v>325</v>
      </c>
      <c r="D52" s="7">
        <v>921</v>
      </c>
      <c r="E52" s="7">
        <v>83</v>
      </c>
      <c r="F52" s="3">
        <v>22642.2</v>
      </c>
      <c r="G52" s="3">
        <v>12453.21</v>
      </c>
      <c r="H52" s="3">
        <v>0</v>
      </c>
      <c r="I52" s="3">
        <v>0</v>
      </c>
      <c r="J52" s="3">
        <v>0</v>
      </c>
      <c r="K52" s="3">
        <v>1000</v>
      </c>
      <c r="L52" s="3">
        <v>0</v>
      </c>
      <c r="M52" s="3">
        <v>10188.99</v>
      </c>
      <c r="N52" s="3">
        <v>23642.2</v>
      </c>
      <c r="O52" s="3">
        <v>13453.21</v>
      </c>
      <c r="P52" s="9">
        <f>O52*Summary!$B$29</f>
        <v>6224.3894732326498</v>
      </c>
      <c r="Q52" s="9">
        <f t="shared" si="7"/>
        <v>6224.39</v>
      </c>
    </row>
    <row r="53" spans="1:17" s="2" customFormat="1" x14ac:dyDescent="0.25">
      <c r="A53" s="7">
        <v>534</v>
      </c>
      <c r="B53" s="2" t="s">
        <v>152</v>
      </c>
      <c r="C53" s="2" t="s">
        <v>325</v>
      </c>
      <c r="D53" s="7">
        <v>921</v>
      </c>
      <c r="E53" s="7">
        <v>83</v>
      </c>
      <c r="F53" s="3">
        <v>38127.599999999999</v>
      </c>
      <c r="G53" s="3">
        <v>19063.8</v>
      </c>
      <c r="H53" s="3">
        <v>0</v>
      </c>
      <c r="I53" s="3">
        <v>0</v>
      </c>
      <c r="J53" s="3">
        <v>0</v>
      </c>
      <c r="K53" s="3">
        <v>1000</v>
      </c>
      <c r="L53" s="3">
        <v>0</v>
      </c>
      <c r="M53" s="3">
        <v>19063.8</v>
      </c>
      <c r="N53" s="3">
        <v>39127.599999999999</v>
      </c>
      <c r="O53" s="3">
        <v>20063.8</v>
      </c>
      <c r="P53" s="9">
        <f>O53*Summary!$B$29</f>
        <v>9282.907611867</v>
      </c>
      <c r="Q53" s="9">
        <f t="shared" si="7"/>
        <v>9282.91</v>
      </c>
    </row>
    <row r="54" spans="1:17" s="2" customFormat="1" x14ac:dyDescent="0.25">
      <c r="A54" s="7">
        <v>535</v>
      </c>
      <c r="B54" s="2" t="s">
        <v>139</v>
      </c>
      <c r="C54" s="2" t="s">
        <v>325</v>
      </c>
      <c r="D54" s="7">
        <v>921</v>
      </c>
      <c r="E54" s="7">
        <v>83</v>
      </c>
      <c r="F54" s="3">
        <v>439275.12</v>
      </c>
      <c r="G54" s="3">
        <v>204518.31</v>
      </c>
      <c r="H54" s="3">
        <v>0</v>
      </c>
      <c r="I54" s="3">
        <v>0</v>
      </c>
      <c r="J54" s="3">
        <v>0</v>
      </c>
      <c r="K54" s="3">
        <v>1000</v>
      </c>
      <c r="L54" s="3">
        <v>10698.92</v>
      </c>
      <c r="M54" s="3">
        <v>234756.81</v>
      </c>
      <c r="N54" s="3">
        <v>450974.04</v>
      </c>
      <c r="O54" s="3">
        <v>216217.23</v>
      </c>
      <c r="P54" s="9">
        <f>O54*Summary!$B$29</f>
        <v>100037.11012788196</v>
      </c>
      <c r="Q54" s="9">
        <f t="shared" si="7"/>
        <v>100037.11</v>
      </c>
    </row>
    <row r="55" spans="1:17" s="2" customFormat="1" x14ac:dyDescent="0.25">
      <c r="A55" s="7">
        <v>2137</v>
      </c>
      <c r="B55" s="2" t="s">
        <v>89</v>
      </c>
      <c r="C55" s="2" t="s">
        <v>325</v>
      </c>
      <c r="D55" s="7">
        <v>921</v>
      </c>
      <c r="E55" s="7">
        <v>83</v>
      </c>
      <c r="F55" s="3">
        <v>68720.58</v>
      </c>
      <c r="G55" s="3">
        <v>24052.23</v>
      </c>
      <c r="H55" s="3">
        <v>0</v>
      </c>
      <c r="I55" s="3">
        <v>0</v>
      </c>
      <c r="J55" s="3">
        <v>0</v>
      </c>
      <c r="K55" s="3">
        <v>1000</v>
      </c>
      <c r="L55" s="3">
        <v>0</v>
      </c>
      <c r="M55" s="3">
        <v>44668.35</v>
      </c>
      <c r="N55" s="3">
        <v>70118.66</v>
      </c>
      <c r="O55" s="3">
        <v>25450.31</v>
      </c>
      <c r="P55" s="9">
        <f>O55*Summary!$B$29</f>
        <v>11775.08131178415</v>
      </c>
      <c r="Q55" s="9">
        <f t="shared" si="7"/>
        <v>11775.08</v>
      </c>
    </row>
    <row r="56" spans="1:17" s="2" customFormat="1" x14ac:dyDescent="0.25">
      <c r="A56" s="7">
        <v>2899</v>
      </c>
      <c r="B56" s="2" t="s">
        <v>131</v>
      </c>
      <c r="C56" s="2" t="s">
        <v>325</v>
      </c>
      <c r="D56" s="7">
        <v>921</v>
      </c>
      <c r="E56" s="7">
        <v>83</v>
      </c>
      <c r="F56" s="3">
        <v>31452</v>
      </c>
      <c r="G56" s="3">
        <v>13524.36</v>
      </c>
      <c r="H56" s="3">
        <v>0</v>
      </c>
      <c r="I56" s="3">
        <v>0</v>
      </c>
      <c r="J56" s="3">
        <v>0</v>
      </c>
      <c r="K56" s="3">
        <v>1398.08</v>
      </c>
      <c r="L56" s="3">
        <v>0</v>
      </c>
      <c r="M56" s="3">
        <v>17927.64</v>
      </c>
      <c r="N56" s="3">
        <v>32917.379999999997</v>
      </c>
      <c r="O56" s="3">
        <v>14989.74</v>
      </c>
      <c r="P56" s="9">
        <f>O56*Summary!$B$29</f>
        <v>6935.2949862891001</v>
      </c>
      <c r="Q56" s="9">
        <f t="shared" si="7"/>
        <v>6935.29</v>
      </c>
    </row>
    <row r="57" spans="1:17" s="2" customFormat="1" x14ac:dyDescent="0.25">
      <c r="A57" s="7">
        <v>195</v>
      </c>
      <c r="B57" s="2" t="s">
        <v>134</v>
      </c>
      <c r="C57" s="2" t="s">
        <v>325</v>
      </c>
      <c r="D57" s="7">
        <v>921</v>
      </c>
      <c r="E57" s="7">
        <v>83</v>
      </c>
      <c r="F57" s="3">
        <v>31307</v>
      </c>
      <c r="G57" s="3">
        <v>17176.099999999999</v>
      </c>
      <c r="H57" s="3">
        <v>1150</v>
      </c>
      <c r="I57" s="3">
        <v>0</v>
      </c>
      <c r="J57" s="3">
        <v>1150</v>
      </c>
      <c r="K57" s="3">
        <v>1465.38</v>
      </c>
      <c r="L57" s="3">
        <v>0</v>
      </c>
      <c r="M57" s="3">
        <v>14130.9</v>
      </c>
      <c r="N57" s="3">
        <v>32957</v>
      </c>
      <c r="O57" s="3">
        <v>18826.099999999999</v>
      </c>
      <c r="P57" s="9">
        <f>O57*Summary!$B$29</f>
        <v>8710.2616150364993</v>
      </c>
      <c r="Q57" s="9">
        <f t="shared" si="7"/>
        <v>8710.26</v>
      </c>
    </row>
    <row r="58" spans="1:17" s="2" customFormat="1" x14ac:dyDescent="0.25">
      <c r="A58" s="7">
        <v>256</v>
      </c>
      <c r="B58" s="2" t="s">
        <v>135</v>
      </c>
      <c r="C58" s="2" t="s">
        <v>325</v>
      </c>
      <c r="D58" s="7">
        <v>921</v>
      </c>
      <c r="E58" s="7">
        <v>83</v>
      </c>
      <c r="F58" s="3">
        <v>16800</v>
      </c>
      <c r="G58" s="3">
        <v>6384</v>
      </c>
      <c r="H58" s="3">
        <v>0</v>
      </c>
      <c r="I58" s="3">
        <v>0</v>
      </c>
      <c r="J58" s="3">
        <v>0</v>
      </c>
      <c r="K58" s="3">
        <v>1000</v>
      </c>
      <c r="L58" s="3">
        <v>0</v>
      </c>
      <c r="M58" s="3">
        <v>10416</v>
      </c>
      <c r="N58" s="3">
        <v>17800</v>
      </c>
      <c r="O58" s="3">
        <v>7384</v>
      </c>
      <c r="P58" s="9">
        <f>O58*Summary!$B$29</f>
        <v>3416.3513295600001</v>
      </c>
      <c r="Q58" s="9">
        <f t="shared" si="7"/>
        <v>3416.35</v>
      </c>
    </row>
    <row r="59" spans="1:17" s="2" customFormat="1" x14ac:dyDescent="0.25">
      <c r="A59" s="7">
        <v>495</v>
      </c>
      <c r="B59" s="2" t="s">
        <v>330</v>
      </c>
      <c r="C59" s="2" t="s">
        <v>325</v>
      </c>
      <c r="D59" s="7">
        <v>921</v>
      </c>
      <c r="E59" s="7">
        <v>83</v>
      </c>
      <c r="F59" s="3">
        <v>46863</v>
      </c>
      <c r="G59" s="3">
        <v>31509.38</v>
      </c>
      <c r="H59" s="3"/>
      <c r="I59" s="3"/>
      <c r="J59" s="3"/>
      <c r="K59" s="3">
        <v>1000</v>
      </c>
      <c r="L59" s="3"/>
      <c r="M59" s="15">
        <v>15353.62</v>
      </c>
      <c r="N59" s="15">
        <v>47863</v>
      </c>
      <c r="O59" s="15">
        <v>32509.38</v>
      </c>
      <c r="P59" s="21">
        <f>O59*Summary!$B$29</f>
        <v>15041.0974520817</v>
      </c>
      <c r="Q59" s="21">
        <f t="shared" si="7"/>
        <v>15041.1</v>
      </c>
    </row>
    <row r="60" spans="1:17" s="2" customFormat="1" x14ac:dyDescent="0.25">
      <c r="A60" s="7"/>
      <c r="D60" s="7"/>
      <c r="E60" s="7"/>
      <c r="F60" s="3"/>
      <c r="G60" s="3"/>
      <c r="H60" s="3"/>
      <c r="I60" s="3"/>
      <c r="J60" s="3"/>
      <c r="K60" s="3"/>
      <c r="L60" s="3"/>
      <c r="M60" s="13">
        <f>SUM(M43:M59)</f>
        <v>627108.05000000005</v>
      </c>
      <c r="N60" s="13">
        <f t="shared" ref="N60:Q60" si="8">SUM(N43:N59)</f>
        <v>1196624.8299999998</v>
      </c>
      <c r="O60" s="13">
        <f t="shared" si="8"/>
        <v>569516.78</v>
      </c>
      <c r="P60" s="13">
        <f t="shared" si="8"/>
        <v>263498.0239111227</v>
      </c>
      <c r="Q60" s="13">
        <f t="shared" si="8"/>
        <v>263498.02</v>
      </c>
    </row>
    <row r="61" spans="1:17" s="2" customFormat="1" x14ac:dyDescent="0.25">
      <c r="A61" s="7"/>
      <c r="D61" s="7"/>
      <c r="E61" s="7"/>
      <c r="F61" s="3"/>
      <c r="G61" s="3"/>
      <c r="H61" s="3"/>
      <c r="I61" s="3"/>
      <c r="J61" s="3"/>
      <c r="K61" s="3"/>
      <c r="L61" s="3"/>
      <c r="M61" s="3"/>
      <c r="N61" s="3"/>
      <c r="O61" s="3"/>
      <c r="Q61" s="9"/>
    </row>
    <row r="62" spans="1:17" s="2" customFormat="1" x14ac:dyDescent="0.25">
      <c r="A62" s="7"/>
      <c r="D62" s="7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Q62" s="9"/>
    </row>
    <row r="63" spans="1:17" s="2" customFormat="1" x14ac:dyDescent="0.25">
      <c r="A63" s="7">
        <v>2</v>
      </c>
      <c r="B63" s="2" t="s">
        <v>78</v>
      </c>
      <c r="C63" s="2" t="s">
        <v>56</v>
      </c>
      <c r="D63" s="7">
        <v>6070</v>
      </c>
      <c r="E63" s="7">
        <v>50</v>
      </c>
      <c r="F63" s="3">
        <v>11802.84</v>
      </c>
      <c r="G63" s="3">
        <v>2714.65</v>
      </c>
      <c r="H63" s="3">
        <v>0</v>
      </c>
      <c r="I63" s="3">
        <v>0</v>
      </c>
      <c r="J63" s="3">
        <v>0</v>
      </c>
      <c r="K63" s="3">
        <v>616.84</v>
      </c>
      <c r="L63" s="3">
        <v>0</v>
      </c>
      <c r="M63" s="3">
        <v>9088.19</v>
      </c>
      <c r="N63" s="3">
        <v>12419.68</v>
      </c>
      <c r="O63" s="3">
        <v>3331.49</v>
      </c>
      <c r="P63" s="9">
        <f>O63*Summary!$B$29</f>
        <v>1541.37869595285</v>
      </c>
      <c r="Q63" s="9">
        <f t="shared" ref="Q63:Q69" si="9">ROUND(P63,2)</f>
        <v>1541.38</v>
      </c>
    </row>
    <row r="64" spans="1:17" s="2" customFormat="1" x14ac:dyDescent="0.25">
      <c r="A64" s="7">
        <v>118</v>
      </c>
      <c r="B64" s="2" t="s">
        <v>117</v>
      </c>
      <c r="C64" s="2" t="s">
        <v>56</v>
      </c>
      <c r="D64" s="7">
        <v>6070</v>
      </c>
      <c r="E64" s="7">
        <v>50</v>
      </c>
      <c r="F64" s="3">
        <v>540</v>
      </c>
      <c r="G64" s="3">
        <v>108</v>
      </c>
      <c r="H64" s="3">
        <v>0</v>
      </c>
      <c r="I64" s="3">
        <v>0</v>
      </c>
      <c r="J64" s="3">
        <v>0</v>
      </c>
      <c r="K64" s="3">
        <v>2714.65</v>
      </c>
      <c r="L64" s="3">
        <v>0</v>
      </c>
      <c r="M64" s="3">
        <v>432</v>
      </c>
      <c r="N64" s="3">
        <v>3254.65</v>
      </c>
      <c r="O64" s="3">
        <v>2822.65</v>
      </c>
      <c r="P64" s="9">
        <f>O64*Summary!$B$29</f>
        <v>1305.9539653822501</v>
      </c>
      <c r="Q64" s="9">
        <f t="shared" si="9"/>
        <v>1305.95</v>
      </c>
    </row>
    <row r="65" spans="1:18" s="2" customFormat="1" x14ac:dyDescent="0.25">
      <c r="A65" s="7">
        <v>316</v>
      </c>
      <c r="B65" s="2" t="s">
        <v>74</v>
      </c>
      <c r="C65" s="2" t="s">
        <v>56</v>
      </c>
      <c r="D65" s="7">
        <v>6070</v>
      </c>
      <c r="E65" s="7">
        <v>50</v>
      </c>
      <c r="F65" s="3">
        <v>14400</v>
      </c>
      <c r="G65" s="3">
        <v>3312</v>
      </c>
      <c r="H65" s="3">
        <v>0</v>
      </c>
      <c r="I65" s="3">
        <v>0</v>
      </c>
      <c r="J65" s="3">
        <v>0</v>
      </c>
      <c r="K65" s="3">
        <v>5127.16</v>
      </c>
      <c r="L65" s="3">
        <v>0</v>
      </c>
      <c r="M65" s="3">
        <v>11088</v>
      </c>
      <c r="N65" s="3">
        <v>19527.16</v>
      </c>
      <c r="O65" s="3">
        <v>8439.16</v>
      </c>
      <c r="P65" s="9">
        <f>O65*Summary!$B$29</f>
        <v>3904.5416422494</v>
      </c>
      <c r="Q65" s="9">
        <f t="shared" si="9"/>
        <v>3904.54</v>
      </c>
    </row>
    <row r="66" spans="1:18" s="2" customFormat="1" x14ac:dyDescent="0.25">
      <c r="A66" s="7">
        <v>317</v>
      </c>
      <c r="B66" s="2" t="s">
        <v>57</v>
      </c>
      <c r="C66" s="2" t="s">
        <v>56</v>
      </c>
      <c r="D66" s="7">
        <v>6070</v>
      </c>
      <c r="E66" s="7">
        <v>50</v>
      </c>
      <c r="F66" s="3">
        <v>19817.16</v>
      </c>
      <c r="G66" s="3">
        <v>7490.42</v>
      </c>
      <c r="H66" s="3">
        <v>0</v>
      </c>
      <c r="I66" s="3">
        <v>0</v>
      </c>
      <c r="J66" s="3">
        <v>0</v>
      </c>
      <c r="K66" s="3">
        <v>1824.61</v>
      </c>
      <c r="L66" s="3">
        <v>7500</v>
      </c>
      <c r="M66" s="3">
        <v>12326.74</v>
      </c>
      <c r="N66" s="3">
        <v>29141.77</v>
      </c>
      <c r="O66" s="3">
        <v>16815.03</v>
      </c>
      <c r="P66" s="9">
        <f>O66*Summary!$B$29</f>
        <v>7779.8009340589497</v>
      </c>
      <c r="Q66" s="9">
        <f t="shared" si="9"/>
        <v>7779.8</v>
      </c>
    </row>
    <row r="67" spans="1:18" s="2" customFormat="1" x14ac:dyDescent="0.25">
      <c r="A67" s="7">
        <v>318</v>
      </c>
      <c r="B67" s="2" t="s">
        <v>73</v>
      </c>
      <c r="C67" s="2" t="s">
        <v>56</v>
      </c>
      <c r="D67" s="7">
        <v>6070</v>
      </c>
      <c r="E67" s="7">
        <v>50</v>
      </c>
      <c r="F67" s="3">
        <v>47039.76</v>
      </c>
      <c r="G67" s="3">
        <v>15933.52</v>
      </c>
      <c r="H67" s="3">
        <v>0</v>
      </c>
      <c r="I67" s="3">
        <v>0</v>
      </c>
      <c r="J67" s="3">
        <v>0</v>
      </c>
      <c r="K67" s="3">
        <v>27526.99</v>
      </c>
      <c r="L67" s="3">
        <v>0</v>
      </c>
      <c r="M67" s="3">
        <v>46315.53</v>
      </c>
      <c r="N67" s="3">
        <v>74566.75</v>
      </c>
      <c r="O67" s="3">
        <v>28251.22</v>
      </c>
      <c r="P67" s="9">
        <f>O67*Summary!$B$29</f>
        <v>13070.976842997301</v>
      </c>
      <c r="Q67" s="9">
        <f t="shared" si="9"/>
        <v>13070.98</v>
      </c>
    </row>
    <row r="68" spans="1:18" s="2" customFormat="1" x14ac:dyDescent="0.25">
      <c r="A68" s="7">
        <v>319</v>
      </c>
      <c r="B68" s="2" t="s">
        <v>113</v>
      </c>
      <c r="C68" s="2" t="s">
        <v>56</v>
      </c>
      <c r="D68" s="7">
        <v>6070</v>
      </c>
      <c r="E68" s="7">
        <v>50</v>
      </c>
      <c r="F68" s="3">
        <v>28542.99</v>
      </c>
      <c r="G68" s="3">
        <v>5723.5</v>
      </c>
      <c r="H68" s="3">
        <v>0</v>
      </c>
      <c r="I68" s="3">
        <v>0</v>
      </c>
      <c r="J68" s="3">
        <v>0</v>
      </c>
      <c r="K68" s="3">
        <v>5025.88</v>
      </c>
      <c r="L68" s="3">
        <v>0</v>
      </c>
      <c r="M68" s="3">
        <v>22819.49</v>
      </c>
      <c r="N68" s="3">
        <v>33568.870000000003</v>
      </c>
      <c r="O68" s="3">
        <v>10749.38</v>
      </c>
      <c r="P68" s="9">
        <f>O68*Summary!$B$29</f>
        <v>4973.4098936816999</v>
      </c>
      <c r="Q68" s="9">
        <f t="shared" si="9"/>
        <v>4973.41</v>
      </c>
    </row>
    <row r="69" spans="1:18" s="2" customFormat="1" x14ac:dyDescent="0.25">
      <c r="A69" s="7">
        <v>698</v>
      </c>
      <c r="B69" s="2" t="s">
        <v>68</v>
      </c>
      <c r="C69" s="2" t="s">
        <v>56</v>
      </c>
      <c r="D69" s="7">
        <v>6070</v>
      </c>
      <c r="E69" s="7">
        <v>50</v>
      </c>
      <c r="F69" s="3">
        <v>20382.84</v>
      </c>
      <c r="G69" s="3">
        <v>4688.04</v>
      </c>
      <c r="H69" s="3">
        <v>0</v>
      </c>
      <c r="I69" s="3">
        <v>0</v>
      </c>
      <c r="J69" s="3">
        <v>0</v>
      </c>
      <c r="K69" s="3">
        <v>693.04</v>
      </c>
      <c r="L69" s="3">
        <v>0</v>
      </c>
      <c r="M69" s="15">
        <v>15694.8</v>
      </c>
      <c r="N69" s="15">
        <v>21075.88</v>
      </c>
      <c r="O69" s="15">
        <v>5381.08</v>
      </c>
      <c r="P69" s="21">
        <f>O69*Summary!$B$29</f>
        <v>2489.6614047222001</v>
      </c>
      <c r="Q69" s="21">
        <f t="shared" si="9"/>
        <v>2489.66</v>
      </c>
      <c r="R69" s="10"/>
    </row>
    <row r="70" spans="1:18" s="2" customFormat="1" x14ac:dyDescent="0.25">
      <c r="A70" s="7"/>
      <c r="D70" s="7"/>
      <c r="E70" s="7"/>
      <c r="F70" s="3"/>
      <c r="G70" s="3"/>
      <c r="H70" s="3"/>
      <c r="I70" s="3"/>
      <c r="J70" s="3"/>
      <c r="K70" s="3"/>
      <c r="L70" s="3"/>
      <c r="M70" s="13">
        <f>SUM(M63:M69)</f>
        <v>117764.75</v>
      </c>
      <c r="N70" s="13">
        <f t="shared" ref="N70:Q70" si="10">SUM(N63:N69)</f>
        <v>193554.76</v>
      </c>
      <c r="O70" s="13">
        <f t="shared" si="10"/>
        <v>75790.010000000009</v>
      </c>
      <c r="P70" s="13">
        <f t="shared" si="10"/>
        <v>35065.723379044648</v>
      </c>
      <c r="Q70" s="13">
        <f t="shared" si="10"/>
        <v>35065.72</v>
      </c>
      <c r="R70" s="10"/>
    </row>
    <row r="71" spans="1:18" s="2" customFormat="1" x14ac:dyDescent="0.25">
      <c r="A71" s="7"/>
      <c r="D71" s="7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Q71" s="9"/>
      <c r="R71" s="10"/>
    </row>
    <row r="72" spans="1:18" s="2" customFormat="1" x14ac:dyDescent="0.25">
      <c r="A72" s="7"/>
      <c r="D72" s="7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Q72" s="9"/>
      <c r="R72" s="10"/>
    </row>
    <row r="73" spans="1:18" s="2" customFormat="1" x14ac:dyDescent="0.25">
      <c r="A73" s="7">
        <v>345</v>
      </c>
      <c r="B73" s="2" t="s">
        <v>115</v>
      </c>
      <c r="C73" s="2" t="s">
        <v>17</v>
      </c>
      <c r="D73" s="7">
        <v>6040</v>
      </c>
      <c r="E73" s="7">
        <v>50</v>
      </c>
      <c r="F73" s="3">
        <v>31023</v>
      </c>
      <c r="G73" s="3">
        <v>10991</v>
      </c>
      <c r="H73" s="3">
        <v>0</v>
      </c>
      <c r="I73" s="3">
        <v>0</v>
      </c>
      <c r="J73" s="3">
        <v>0</v>
      </c>
      <c r="K73" s="3">
        <v>16414</v>
      </c>
      <c r="L73" s="3">
        <v>350</v>
      </c>
      <c r="M73" s="3">
        <v>20032</v>
      </c>
      <c r="N73" s="3">
        <v>47787</v>
      </c>
      <c r="O73" s="3">
        <v>27755</v>
      </c>
      <c r="P73" s="9">
        <f>O73*Summary!$B$29</f>
        <v>12841.391001075001</v>
      </c>
      <c r="Q73" s="9">
        <f t="shared" ref="Q73:Q83" si="11">ROUND(P73,2)</f>
        <v>12841.39</v>
      </c>
      <c r="R73" s="9"/>
    </row>
    <row r="74" spans="1:18" s="2" customFormat="1" x14ac:dyDescent="0.25">
      <c r="A74" s="7">
        <v>347</v>
      </c>
      <c r="B74" s="2" t="s">
        <v>159</v>
      </c>
      <c r="C74" s="2" t="s">
        <v>17</v>
      </c>
      <c r="D74" s="7">
        <v>6040</v>
      </c>
      <c r="E74" s="7">
        <v>50</v>
      </c>
      <c r="F74" s="3">
        <v>90813</v>
      </c>
      <c r="G74" s="3">
        <v>24144</v>
      </c>
      <c r="H74" s="3">
        <v>0</v>
      </c>
      <c r="I74" s="3">
        <v>0</v>
      </c>
      <c r="J74" s="3">
        <v>0</v>
      </c>
      <c r="K74" s="3">
        <v>16414</v>
      </c>
      <c r="L74" s="3">
        <v>350</v>
      </c>
      <c r="M74" s="3">
        <v>66669</v>
      </c>
      <c r="N74" s="3">
        <v>107577</v>
      </c>
      <c r="O74" s="3">
        <v>40908</v>
      </c>
      <c r="P74" s="9">
        <f>O74*Summary!$B$29</f>
        <v>18926.882474220001</v>
      </c>
      <c r="Q74" s="9">
        <f t="shared" si="11"/>
        <v>18926.88</v>
      </c>
      <c r="R74" s="9"/>
    </row>
    <row r="75" spans="1:18" s="2" customFormat="1" x14ac:dyDescent="0.25">
      <c r="A75" s="7">
        <v>423</v>
      </c>
      <c r="B75" s="2" t="s">
        <v>83</v>
      </c>
      <c r="C75" s="2" t="s">
        <v>17</v>
      </c>
      <c r="D75" s="7">
        <v>6040</v>
      </c>
      <c r="E75" s="7">
        <v>50</v>
      </c>
      <c r="F75" s="3">
        <v>33874</v>
      </c>
      <c r="G75" s="3">
        <v>14625</v>
      </c>
      <c r="H75" s="3">
        <v>0</v>
      </c>
      <c r="I75" s="3">
        <v>0</v>
      </c>
      <c r="J75" s="3">
        <v>0</v>
      </c>
      <c r="K75" s="3">
        <v>16414</v>
      </c>
      <c r="L75" s="3">
        <v>350</v>
      </c>
      <c r="M75" s="3">
        <v>19249</v>
      </c>
      <c r="N75" s="3">
        <v>50638</v>
      </c>
      <c r="O75" s="3">
        <v>31389</v>
      </c>
      <c r="P75" s="9">
        <f>O75*Summary!$B$29</f>
        <v>14522.731836884999</v>
      </c>
      <c r="Q75" s="9">
        <f t="shared" si="11"/>
        <v>14522.73</v>
      </c>
      <c r="R75" s="9"/>
    </row>
    <row r="76" spans="1:18" s="2" customFormat="1" x14ac:dyDescent="0.25">
      <c r="A76" s="7">
        <v>424</v>
      </c>
      <c r="B76" s="2" t="s">
        <v>94</v>
      </c>
      <c r="C76" s="2" t="s">
        <v>17</v>
      </c>
      <c r="D76" s="7">
        <v>6040</v>
      </c>
      <c r="E76" s="7">
        <v>50</v>
      </c>
      <c r="F76" s="3">
        <v>29613</v>
      </c>
      <c r="G76" s="3">
        <v>10364</v>
      </c>
      <c r="H76" s="3">
        <v>0</v>
      </c>
      <c r="I76" s="3">
        <v>0</v>
      </c>
      <c r="J76" s="3">
        <v>0</v>
      </c>
      <c r="K76" s="3">
        <v>16414</v>
      </c>
      <c r="L76" s="3">
        <v>350</v>
      </c>
      <c r="M76" s="3">
        <v>19249</v>
      </c>
      <c r="N76" s="3">
        <v>46377</v>
      </c>
      <c r="O76" s="3">
        <v>27128</v>
      </c>
      <c r="P76" s="9">
        <f>O76*Summary!$B$29</f>
        <v>12551.29724652</v>
      </c>
      <c r="Q76" s="9">
        <f t="shared" si="11"/>
        <v>12551.3</v>
      </c>
      <c r="R76" s="9"/>
    </row>
    <row r="77" spans="1:18" s="2" customFormat="1" x14ac:dyDescent="0.25">
      <c r="A77" s="7">
        <v>775</v>
      </c>
      <c r="B77" s="2" t="s">
        <v>87</v>
      </c>
      <c r="C77" s="2" t="s">
        <v>17</v>
      </c>
      <c r="D77" s="7">
        <v>6040</v>
      </c>
      <c r="E77" s="7">
        <v>50</v>
      </c>
      <c r="F77" s="3">
        <v>29613</v>
      </c>
      <c r="G77" s="3">
        <v>10364</v>
      </c>
      <c r="H77" s="3">
        <v>857</v>
      </c>
      <c r="I77" s="3">
        <v>0</v>
      </c>
      <c r="J77" s="3">
        <v>857</v>
      </c>
      <c r="K77" s="3">
        <v>16414</v>
      </c>
      <c r="L77" s="3">
        <v>350</v>
      </c>
      <c r="M77" s="3">
        <v>19249</v>
      </c>
      <c r="N77" s="3">
        <v>47234</v>
      </c>
      <c r="O77" s="3">
        <v>27985</v>
      </c>
      <c r="P77" s="9">
        <f>O77*Summary!$B$29</f>
        <v>12947.804978025</v>
      </c>
      <c r="Q77" s="9">
        <f t="shared" si="11"/>
        <v>12947.8</v>
      </c>
      <c r="R77" s="9"/>
    </row>
    <row r="78" spans="1:18" s="2" customFormat="1" x14ac:dyDescent="0.25">
      <c r="A78" s="7">
        <v>2159</v>
      </c>
      <c r="B78" s="2" t="s">
        <v>41</v>
      </c>
      <c r="C78" s="2" t="s">
        <v>17</v>
      </c>
      <c r="D78" s="7">
        <v>6040</v>
      </c>
      <c r="E78" s="7">
        <v>50</v>
      </c>
      <c r="F78" s="3">
        <v>29613</v>
      </c>
      <c r="G78" s="3">
        <v>10364</v>
      </c>
      <c r="H78" s="3">
        <v>1247</v>
      </c>
      <c r="I78" s="3">
        <v>0</v>
      </c>
      <c r="J78" s="3">
        <v>1247</v>
      </c>
      <c r="K78" s="3">
        <v>16414</v>
      </c>
      <c r="L78" s="3">
        <v>350</v>
      </c>
      <c r="M78" s="3">
        <v>19249</v>
      </c>
      <c r="N78" s="3">
        <v>47624</v>
      </c>
      <c r="O78" s="3">
        <v>28375</v>
      </c>
      <c r="P78" s="9">
        <f>O78*Summary!$B$29</f>
        <v>13128.246069375</v>
      </c>
      <c r="Q78" s="9">
        <f t="shared" si="11"/>
        <v>13128.25</v>
      </c>
      <c r="R78" s="9"/>
    </row>
    <row r="79" spans="1:18" s="2" customFormat="1" x14ac:dyDescent="0.25">
      <c r="A79" s="7">
        <v>2180</v>
      </c>
      <c r="B79" s="2" t="s">
        <v>100</v>
      </c>
      <c r="C79" s="2" t="s">
        <v>17</v>
      </c>
      <c r="D79" s="7">
        <v>6040</v>
      </c>
      <c r="E79" s="7">
        <v>50</v>
      </c>
      <c r="F79" s="3">
        <v>29613</v>
      </c>
      <c r="G79" s="3">
        <v>10364</v>
      </c>
      <c r="H79" s="3">
        <v>857</v>
      </c>
      <c r="I79" s="3">
        <v>0</v>
      </c>
      <c r="J79" s="3">
        <v>857</v>
      </c>
      <c r="K79" s="3">
        <v>16414</v>
      </c>
      <c r="L79" s="3">
        <v>350</v>
      </c>
      <c r="M79" s="3">
        <v>19249</v>
      </c>
      <c r="N79" s="3">
        <v>47234</v>
      </c>
      <c r="O79" s="3">
        <v>27985</v>
      </c>
      <c r="P79" s="9">
        <f>O79*Summary!$B$29</f>
        <v>12947.804978025</v>
      </c>
      <c r="Q79" s="9">
        <f t="shared" si="11"/>
        <v>12947.8</v>
      </c>
      <c r="R79" s="9"/>
    </row>
    <row r="80" spans="1:18" s="2" customFormat="1" x14ac:dyDescent="0.25">
      <c r="A80" s="7">
        <v>2364</v>
      </c>
      <c r="B80" s="2" t="s">
        <v>29</v>
      </c>
      <c r="C80" s="2" t="s">
        <v>17</v>
      </c>
      <c r="D80" s="7">
        <v>6040</v>
      </c>
      <c r="E80" s="7">
        <v>50</v>
      </c>
      <c r="F80" s="3">
        <v>45213</v>
      </c>
      <c r="G80" s="3">
        <v>10364</v>
      </c>
      <c r="H80" s="3">
        <v>0</v>
      </c>
      <c r="I80" s="3">
        <v>0</v>
      </c>
      <c r="J80" s="3">
        <v>0</v>
      </c>
      <c r="K80" s="3">
        <v>16414</v>
      </c>
      <c r="L80" s="3">
        <v>350</v>
      </c>
      <c r="M80" s="3">
        <v>34849</v>
      </c>
      <c r="N80" s="3">
        <v>61977</v>
      </c>
      <c r="O80" s="3">
        <v>27128</v>
      </c>
      <c r="P80" s="9">
        <f>O80*Summary!$B$29</f>
        <v>12551.29724652</v>
      </c>
      <c r="Q80" s="9">
        <f t="shared" si="11"/>
        <v>12551.3</v>
      </c>
      <c r="R80" s="9"/>
    </row>
    <row r="81" spans="1:18" s="2" customFormat="1" x14ac:dyDescent="0.25">
      <c r="A81" s="7">
        <v>2396</v>
      </c>
      <c r="B81" s="2" t="s">
        <v>18</v>
      </c>
      <c r="C81" s="2" t="s">
        <v>17</v>
      </c>
      <c r="D81" s="7">
        <v>6040</v>
      </c>
      <c r="E81" s="7">
        <v>50</v>
      </c>
      <c r="F81" s="3">
        <v>29613</v>
      </c>
      <c r="G81" s="3">
        <v>10364</v>
      </c>
      <c r="H81" s="3">
        <v>857</v>
      </c>
      <c r="I81" s="3">
        <v>0</v>
      </c>
      <c r="J81" s="3">
        <v>857</v>
      </c>
      <c r="K81" s="3">
        <v>16414</v>
      </c>
      <c r="L81" s="3">
        <v>350</v>
      </c>
      <c r="M81" s="3">
        <v>19249</v>
      </c>
      <c r="N81" s="3">
        <v>47234</v>
      </c>
      <c r="O81" s="3">
        <v>27985</v>
      </c>
      <c r="P81" s="9">
        <f>O81*Summary!$B$29</f>
        <v>12947.804978025</v>
      </c>
      <c r="Q81" s="9">
        <f t="shared" si="11"/>
        <v>12947.8</v>
      </c>
      <c r="R81" s="9"/>
    </row>
    <row r="82" spans="1:18" s="2" customFormat="1" x14ac:dyDescent="0.25">
      <c r="A82" s="7">
        <v>2534</v>
      </c>
      <c r="B82" s="2" t="s">
        <v>35</v>
      </c>
      <c r="C82" s="2" t="s">
        <v>17</v>
      </c>
      <c r="D82" s="7">
        <v>6040</v>
      </c>
      <c r="E82" s="7">
        <v>50</v>
      </c>
      <c r="F82" s="3">
        <v>29613</v>
      </c>
      <c r="G82" s="3">
        <v>10068</v>
      </c>
      <c r="H82" s="3">
        <v>750</v>
      </c>
      <c r="I82" s="3">
        <v>0</v>
      </c>
      <c r="J82" s="3">
        <v>750</v>
      </c>
      <c r="K82" s="3">
        <v>16414</v>
      </c>
      <c r="L82" s="3">
        <v>350</v>
      </c>
      <c r="M82" s="3">
        <v>19545</v>
      </c>
      <c r="N82" s="3">
        <v>47127</v>
      </c>
      <c r="O82" s="3">
        <v>27582</v>
      </c>
      <c r="P82" s="9">
        <f>O82*Summary!$B$29</f>
        <v>12761.34918363</v>
      </c>
      <c r="Q82" s="9">
        <f t="shared" si="11"/>
        <v>12761.35</v>
      </c>
      <c r="R82" s="9"/>
    </row>
    <row r="83" spans="1:18" s="2" customFormat="1" x14ac:dyDescent="0.25">
      <c r="A83" s="7">
        <v>2859</v>
      </c>
      <c r="B83" s="2" t="s">
        <v>70</v>
      </c>
      <c r="C83" s="2" t="s">
        <v>17</v>
      </c>
      <c r="D83" s="7">
        <v>6040</v>
      </c>
      <c r="E83" s="7">
        <v>50</v>
      </c>
      <c r="F83" s="3">
        <v>29613</v>
      </c>
      <c r="G83" s="3">
        <v>10364</v>
      </c>
      <c r="H83" s="3">
        <v>1250</v>
      </c>
      <c r="I83" s="3">
        <v>0</v>
      </c>
      <c r="J83" s="3">
        <v>1250</v>
      </c>
      <c r="K83" s="3">
        <v>16414</v>
      </c>
      <c r="L83" s="3">
        <v>350</v>
      </c>
      <c r="M83" s="15">
        <v>19249</v>
      </c>
      <c r="N83" s="15">
        <v>47627</v>
      </c>
      <c r="O83" s="15">
        <v>28378</v>
      </c>
      <c r="P83" s="21">
        <f>O83*Summary!$B$29</f>
        <v>13129.634077770001</v>
      </c>
      <c r="Q83" s="21">
        <f t="shared" si="11"/>
        <v>13129.63</v>
      </c>
      <c r="R83" s="9"/>
    </row>
    <row r="84" spans="1:18" s="2" customFormat="1" x14ac:dyDescent="0.25">
      <c r="A84" s="7"/>
      <c r="D84" s="7"/>
      <c r="E84" s="7"/>
      <c r="F84" s="3"/>
      <c r="G84" s="3"/>
      <c r="H84" s="3"/>
      <c r="I84" s="3"/>
      <c r="J84" s="3"/>
      <c r="K84" s="3"/>
      <c r="L84" s="3"/>
      <c r="M84" s="13">
        <f>SUM(M73:M83)</f>
        <v>275838</v>
      </c>
      <c r="N84" s="13">
        <f t="shared" ref="N84:Q84" si="12">SUM(N73:N83)</f>
        <v>598436</v>
      </c>
      <c r="O84" s="13">
        <f t="shared" si="12"/>
        <v>322598</v>
      </c>
      <c r="P84" s="13">
        <f t="shared" si="12"/>
        <v>149256.24407007001</v>
      </c>
      <c r="Q84" s="13">
        <f t="shared" si="12"/>
        <v>149256.23000000001</v>
      </c>
      <c r="R84" s="9"/>
    </row>
    <row r="85" spans="1:18" s="2" customFormat="1" x14ac:dyDescent="0.25">
      <c r="A85" s="7"/>
      <c r="D85" s="7"/>
      <c r="E85" s="7"/>
      <c r="F85" s="3"/>
      <c r="G85" s="3"/>
      <c r="H85" s="3"/>
      <c r="I85" s="3"/>
      <c r="J85" s="3"/>
      <c r="K85" s="3"/>
      <c r="L85" s="3"/>
      <c r="M85" s="3"/>
      <c r="N85" s="3"/>
      <c r="O85" s="3"/>
      <c r="Q85" s="9"/>
      <c r="R85" s="9"/>
    </row>
    <row r="86" spans="1:18" s="2" customFormat="1" x14ac:dyDescent="0.25">
      <c r="A86" s="7"/>
      <c r="D86" s="7"/>
      <c r="E86" s="7"/>
      <c r="F86" s="3"/>
      <c r="G86" s="3"/>
      <c r="H86" s="3"/>
      <c r="I86" s="3"/>
      <c r="J86" s="3"/>
      <c r="K86" s="3"/>
      <c r="L86" s="3"/>
      <c r="M86" s="3"/>
      <c r="N86" s="3"/>
      <c r="O86" s="3"/>
      <c r="Q86" s="9"/>
      <c r="R86" s="9"/>
    </row>
    <row r="87" spans="1:18" s="2" customFormat="1" x14ac:dyDescent="0.25">
      <c r="A87" s="7">
        <v>473</v>
      </c>
      <c r="B87" s="2" t="s">
        <v>85</v>
      </c>
      <c r="C87" s="2" t="s">
        <v>80</v>
      </c>
      <c r="D87" s="7">
        <v>6979</v>
      </c>
      <c r="E87" s="7">
        <v>61</v>
      </c>
      <c r="F87" s="3">
        <v>3954</v>
      </c>
      <c r="G87" s="3">
        <v>1265.28</v>
      </c>
      <c r="H87" s="3">
        <v>0</v>
      </c>
      <c r="I87" s="3">
        <v>0</v>
      </c>
      <c r="J87" s="3">
        <v>0</v>
      </c>
      <c r="K87" s="3">
        <v>7189.75</v>
      </c>
      <c r="L87" s="3">
        <v>4354.4399999999996</v>
      </c>
      <c r="M87" s="3">
        <v>2688.72</v>
      </c>
      <c r="N87" s="3">
        <v>15498.19</v>
      </c>
      <c r="O87" s="3">
        <v>12809.47</v>
      </c>
      <c r="P87" s="9">
        <f>O87*Summary!$B$29</f>
        <v>5926.5506318335501</v>
      </c>
      <c r="Q87" s="9">
        <f t="shared" ref="Q87:Q95" si="13">ROUND(P87,2)</f>
        <v>5926.55</v>
      </c>
    </row>
    <row r="88" spans="1:18" s="2" customFormat="1" x14ac:dyDescent="0.25">
      <c r="A88" s="7">
        <v>480</v>
      </c>
      <c r="B88" s="2" t="s">
        <v>119</v>
      </c>
      <c r="C88" s="2" t="s">
        <v>80</v>
      </c>
      <c r="D88" s="7">
        <v>6979</v>
      </c>
      <c r="E88" s="7">
        <v>61</v>
      </c>
      <c r="F88" s="3">
        <v>3954</v>
      </c>
      <c r="G88" s="3">
        <v>1265.28</v>
      </c>
      <c r="H88" s="3">
        <v>0</v>
      </c>
      <c r="I88" s="3">
        <v>0</v>
      </c>
      <c r="J88" s="3">
        <v>0</v>
      </c>
      <c r="K88" s="3">
        <v>7189.75</v>
      </c>
      <c r="L88" s="3">
        <v>4354.4399999999996</v>
      </c>
      <c r="M88" s="3">
        <v>2688.72</v>
      </c>
      <c r="N88" s="3">
        <v>15498.19</v>
      </c>
      <c r="O88" s="3">
        <v>12809.47</v>
      </c>
      <c r="P88" s="9">
        <f>O88*Summary!$B$29</f>
        <v>5926.5506318335501</v>
      </c>
      <c r="Q88" s="9">
        <f t="shared" si="13"/>
        <v>5926.55</v>
      </c>
    </row>
    <row r="89" spans="1:18" s="2" customFormat="1" x14ac:dyDescent="0.25">
      <c r="A89" s="7">
        <v>482</v>
      </c>
      <c r="B89" s="2" t="s">
        <v>96</v>
      </c>
      <c r="C89" s="2" t="s">
        <v>80</v>
      </c>
      <c r="D89" s="7">
        <v>6979</v>
      </c>
      <c r="E89" s="7">
        <v>61</v>
      </c>
      <c r="F89" s="3">
        <v>3954</v>
      </c>
      <c r="G89" s="3">
        <v>1265.28</v>
      </c>
      <c r="H89" s="3">
        <v>0</v>
      </c>
      <c r="I89" s="3">
        <v>0</v>
      </c>
      <c r="J89" s="3">
        <v>0</v>
      </c>
      <c r="K89" s="3">
        <v>7189.75</v>
      </c>
      <c r="L89" s="3">
        <v>4354.4399999999996</v>
      </c>
      <c r="M89" s="3">
        <v>2688.72</v>
      </c>
      <c r="N89" s="3">
        <v>15498.19</v>
      </c>
      <c r="O89" s="3">
        <v>12809.47</v>
      </c>
      <c r="P89" s="9">
        <f>O89*Summary!$B$29</f>
        <v>5926.5506318335501</v>
      </c>
      <c r="Q89" s="9">
        <f t="shared" si="13"/>
        <v>5926.55</v>
      </c>
    </row>
    <row r="90" spans="1:18" s="2" customFormat="1" x14ac:dyDescent="0.25">
      <c r="A90" s="7">
        <v>484</v>
      </c>
      <c r="B90" s="2" t="s">
        <v>126</v>
      </c>
      <c r="C90" s="2" t="s">
        <v>80</v>
      </c>
      <c r="D90" s="7">
        <v>6979</v>
      </c>
      <c r="E90" s="7">
        <v>61</v>
      </c>
      <c r="F90" s="3">
        <v>3954</v>
      </c>
      <c r="G90" s="3">
        <v>1265.28</v>
      </c>
      <c r="H90" s="3">
        <v>0</v>
      </c>
      <c r="I90" s="3">
        <v>0</v>
      </c>
      <c r="J90" s="3">
        <v>0</v>
      </c>
      <c r="K90" s="3">
        <v>7189.75</v>
      </c>
      <c r="L90" s="3">
        <v>4354.4399999999996</v>
      </c>
      <c r="M90" s="3">
        <v>2688.72</v>
      </c>
      <c r="N90" s="3">
        <v>15498.19</v>
      </c>
      <c r="O90" s="3">
        <v>12809.47</v>
      </c>
      <c r="P90" s="9">
        <f>O90*Summary!$B$29</f>
        <v>5926.5506318335501</v>
      </c>
      <c r="Q90" s="9">
        <f t="shared" si="13"/>
        <v>5926.55</v>
      </c>
    </row>
    <row r="91" spans="1:18" s="2" customFormat="1" x14ac:dyDescent="0.25">
      <c r="A91" s="7">
        <v>485</v>
      </c>
      <c r="B91" s="2" t="s">
        <v>142</v>
      </c>
      <c r="C91" s="2" t="s">
        <v>80</v>
      </c>
      <c r="D91" s="7">
        <v>6979</v>
      </c>
      <c r="E91" s="7">
        <v>61</v>
      </c>
      <c r="F91" s="3">
        <v>3954</v>
      </c>
      <c r="G91" s="3">
        <v>1265.28</v>
      </c>
      <c r="H91" s="3">
        <v>0</v>
      </c>
      <c r="I91" s="3">
        <v>0</v>
      </c>
      <c r="J91" s="3">
        <v>0</v>
      </c>
      <c r="K91" s="3">
        <v>7189.75</v>
      </c>
      <c r="L91" s="3">
        <v>4354.4399999999996</v>
      </c>
      <c r="M91" s="3">
        <v>2688.72</v>
      </c>
      <c r="N91" s="3">
        <v>15498.19</v>
      </c>
      <c r="O91" s="3">
        <v>12809.47</v>
      </c>
      <c r="P91" s="9">
        <f>O91*Summary!$B$29</f>
        <v>5926.5506318335501</v>
      </c>
      <c r="Q91" s="9">
        <f t="shared" si="13"/>
        <v>5926.55</v>
      </c>
    </row>
    <row r="92" spans="1:18" s="2" customFormat="1" x14ac:dyDescent="0.25">
      <c r="A92" s="7">
        <v>486</v>
      </c>
      <c r="B92" s="2" t="s">
        <v>153</v>
      </c>
      <c r="C92" s="2" t="s">
        <v>80</v>
      </c>
      <c r="D92" s="7">
        <v>6979</v>
      </c>
      <c r="E92" s="7">
        <v>61</v>
      </c>
      <c r="F92" s="3">
        <v>3954</v>
      </c>
      <c r="G92" s="3">
        <v>1265.28</v>
      </c>
      <c r="H92" s="3">
        <v>0</v>
      </c>
      <c r="I92" s="3">
        <v>0</v>
      </c>
      <c r="J92" s="3">
        <v>0</v>
      </c>
      <c r="K92" s="3">
        <v>7189.75</v>
      </c>
      <c r="L92" s="3">
        <v>4354.4399999999996</v>
      </c>
      <c r="M92" s="3">
        <v>2688.72</v>
      </c>
      <c r="N92" s="3">
        <v>15498.19</v>
      </c>
      <c r="O92" s="3">
        <v>12809.47</v>
      </c>
      <c r="P92" s="9">
        <f>O92*Summary!$B$29</f>
        <v>5926.5506318335501</v>
      </c>
      <c r="Q92" s="9">
        <f t="shared" si="13"/>
        <v>5926.55</v>
      </c>
    </row>
    <row r="93" spans="1:18" s="2" customFormat="1" x14ac:dyDescent="0.25">
      <c r="A93" s="7">
        <v>487</v>
      </c>
      <c r="B93" s="2" t="s">
        <v>154</v>
      </c>
      <c r="C93" s="2" t="s">
        <v>80</v>
      </c>
      <c r="D93" s="7">
        <v>6979</v>
      </c>
      <c r="E93" s="7">
        <v>61</v>
      </c>
      <c r="F93" s="3">
        <v>3954</v>
      </c>
      <c r="G93" s="3">
        <v>1265.28</v>
      </c>
      <c r="H93" s="3">
        <v>0</v>
      </c>
      <c r="I93" s="3">
        <v>0</v>
      </c>
      <c r="J93" s="3">
        <v>0</v>
      </c>
      <c r="K93" s="3">
        <v>7189.75</v>
      </c>
      <c r="L93" s="3">
        <v>4354.4399999999996</v>
      </c>
      <c r="M93" s="3">
        <v>2688.72</v>
      </c>
      <c r="N93" s="3">
        <v>15498.19</v>
      </c>
      <c r="O93" s="3">
        <v>12809.47</v>
      </c>
      <c r="P93" s="9">
        <f>O93*Summary!$B$29</f>
        <v>5926.5506318335501</v>
      </c>
      <c r="Q93" s="9">
        <f t="shared" si="13"/>
        <v>5926.55</v>
      </c>
    </row>
    <row r="94" spans="1:18" s="2" customFormat="1" x14ac:dyDescent="0.25">
      <c r="A94" s="7">
        <v>738</v>
      </c>
      <c r="B94" s="2" t="s">
        <v>81</v>
      </c>
      <c r="C94" s="2" t="s">
        <v>80</v>
      </c>
      <c r="D94" s="7">
        <v>6979</v>
      </c>
      <c r="E94" s="7">
        <v>61</v>
      </c>
      <c r="F94" s="3">
        <v>3954</v>
      </c>
      <c r="G94" s="3">
        <v>1265.28</v>
      </c>
      <c r="H94" s="3">
        <v>0</v>
      </c>
      <c r="I94" s="3">
        <v>0</v>
      </c>
      <c r="J94" s="3">
        <v>0</v>
      </c>
      <c r="K94" s="3">
        <v>7189.75</v>
      </c>
      <c r="L94" s="3">
        <v>4354.4399999999996</v>
      </c>
      <c r="M94" s="3">
        <v>2688.72</v>
      </c>
      <c r="N94" s="3">
        <v>15498.19</v>
      </c>
      <c r="O94" s="3">
        <v>12809.47</v>
      </c>
      <c r="P94" s="9">
        <f>O94*Summary!$B$29</f>
        <v>5926.5506318335501</v>
      </c>
      <c r="Q94" s="9">
        <f t="shared" si="13"/>
        <v>5926.55</v>
      </c>
    </row>
    <row r="95" spans="1:18" s="2" customFormat="1" x14ac:dyDescent="0.25">
      <c r="A95" s="7">
        <v>2753</v>
      </c>
      <c r="B95" s="2" t="s">
        <v>98</v>
      </c>
      <c r="C95" s="2" t="s">
        <v>80</v>
      </c>
      <c r="D95" s="7">
        <v>6979</v>
      </c>
      <c r="E95" s="7">
        <v>61</v>
      </c>
      <c r="F95" s="3">
        <v>3954</v>
      </c>
      <c r="G95" s="3">
        <v>1265.28</v>
      </c>
      <c r="H95" s="3">
        <v>0</v>
      </c>
      <c r="I95" s="3">
        <v>0</v>
      </c>
      <c r="J95" s="3">
        <v>0</v>
      </c>
      <c r="K95" s="3">
        <v>7189.75</v>
      </c>
      <c r="L95" s="3">
        <v>4354.4399999999996</v>
      </c>
      <c r="M95" s="15">
        <v>2688.72</v>
      </c>
      <c r="N95" s="15">
        <v>15498.19</v>
      </c>
      <c r="O95" s="15">
        <v>12809.47</v>
      </c>
      <c r="P95" s="21">
        <f>O95*Summary!$B$29</f>
        <v>5926.5506318335501</v>
      </c>
      <c r="Q95" s="21">
        <f t="shared" si="13"/>
        <v>5926.55</v>
      </c>
    </row>
    <row r="96" spans="1:18" s="2" customFormat="1" x14ac:dyDescent="0.25">
      <c r="A96" s="7"/>
      <c r="D96" s="7"/>
      <c r="E96" s="7"/>
      <c r="F96" s="3"/>
      <c r="G96" s="3"/>
      <c r="H96" s="3"/>
      <c r="I96" s="3"/>
      <c r="J96" s="3"/>
      <c r="K96" s="3"/>
      <c r="L96" s="3"/>
      <c r="M96" s="13">
        <f>SUM(M87:M95)</f>
        <v>24198.48</v>
      </c>
      <c r="N96" s="13">
        <f t="shared" ref="N96:Q96" si="14">SUM(N87:N95)</f>
        <v>139483.71</v>
      </c>
      <c r="O96" s="13">
        <f t="shared" si="14"/>
        <v>115285.23</v>
      </c>
      <c r="P96" s="13">
        <f t="shared" si="14"/>
        <v>53338.955686501955</v>
      </c>
      <c r="Q96" s="13">
        <f t="shared" si="14"/>
        <v>53338.950000000012</v>
      </c>
    </row>
    <row r="97" spans="1:17" s="2" customFormat="1" x14ac:dyDescent="0.25">
      <c r="A97" s="7"/>
      <c r="D97" s="7"/>
      <c r="E97" s="7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7" s="2" customFormat="1" x14ac:dyDescent="0.25">
      <c r="A98" s="7"/>
      <c r="D98" s="7"/>
      <c r="E98" s="7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7" s="2" customFormat="1" x14ac:dyDescent="0.25">
      <c r="A99" s="7">
        <v>129</v>
      </c>
      <c r="B99" s="2" t="s">
        <v>108</v>
      </c>
      <c r="C99" s="2" t="s">
        <v>30</v>
      </c>
      <c r="D99" s="7">
        <v>6018</v>
      </c>
      <c r="E99" s="7">
        <v>61</v>
      </c>
      <c r="F99" s="3">
        <v>31671.58</v>
      </c>
      <c r="G99" s="3">
        <v>9218.24</v>
      </c>
      <c r="H99" s="3">
        <v>0</v>
      </c>
      <c r="I99" s="3">
        <v>0</v>
      </c>
      <c r="J99" s="3">
        <v>0</v>
      </c>
      <c r="K99" s="3">
        <v>8620.89</v>
      </c>
      <c r="L99" s="3">
        <v>0</v>
      </c>
      <c r="M99" s="3">
        <v>22453.34</v>
      </c>
      <c r="N99" s="3">
        <v>40292.47</v>
      </c>
      <c r="O99" s="3">
        <v>17839.13</v>
      </c>
      <c r="P99" s="9">
        <f>O99*Summary!$B$29</f>
        <v>8253.6207331654514</v>
      </c>
      <c r="Q99" s="9">
        <f t="shared" ref="Q99:Q105" si="15">ROUND(P99,2)</f>
        <v>8253.6200000000008</v>
      </c>
    </row>
    <row r="100" spans="1:17" s="2" customFormat="1" x14ac:dyDescent="0.25">
      <c r="A100" s="7">
        <v>378</v>
      </c>
      <c r="B100" s="2" t="s">
        <v>55</v>
      </c>
      <c r="C100" s="2" t="s">
        <v>30</v>
      </c>
      <c r="D100" s="7">
        <v>6018</v>
      </c>
      <c r="E100" s="7">
        <v>61</v>
      </c>
      <c r="F100" s="3">
        <v>28323.58</v>
      </c>
      <c r="G100" s="3">
        <v>8213.84</v>
      </c>
      <c r="H100" s="3">
        <v>0</v>
      </c>
      <c r="I100" s="3">
        <v>0</v>
      </c>
      <c r="J100" s="3">
        <v>0</v>
      </c>
      <c r="K100" s="3">
        <v>8620.89</v>
      </c>
      <c r="L100" s="3">
        <v>0</v>
      </c>
      <c r="M100" s="3">
        <v>20109.740000000002</v>
      </c>
      <c r="N100" s="3">
        <v>36944.47</v>
      </c>
      <c r="O100" s="3">
        <v>16834.73</v>
      </c>
      <c r="P100" s="9">
        <f>O100*Summary!$B$29</f>
        <v>7788.91552251945</v>
      </c>
      <c r="Q100" s="9">
        <f t="shared" si="15"/>
        <v>7788.92</v>
      </c>
    </row>
    <row r="101" spans="1:17" s="2" customFormat="1" x14ac:dyDescent="0.25">
      <c r="A101" s="7">
        <v>777</v>
      </c>
      <c r="B101" s="2" t="s">
        <v>31</v>
      </c>
      <c r="C101" s="2" t="s">
        <v>30</v>
      </c>
      <c r="D101" s="7">
        <v>6018</v>
      </c>
      <c r="E101" s="7">
        <v>61</v>
      </c>
      <c r="F101" s="3">
        <v>28323.58</v>
      </c>
      <c r="G101" s="3">
        <v>8213.84</v>
      </c>
      <c r="H101" s="3">
        <v>0</v>
      </c>
      <c r="I101" s="3">
        <v>0</v>
      </c>
      <c r="J101" s="3">
        <v>0</v>
      </c>
      <c r="K101" s="3">
        <v>8620.89</v>
      </c>
      <c r="L101" s="3">
        <v>0</v>
      </c>
      <c r="M101" s="3">
        <v>20109.740000000002</v>
      </c>
      <c r="N101" s="3">
        <v>36944.47</v>
      </c>
      <c r="O101" s="3">
        <v>16834.73</v>
      </c>
      <c r="P101" s="9">
        <f>O101*Summary!$B$29</f>
        <v>7788.91552251945</v>
      </c>
      <c r="Q101" s="9">
        <f t="shared" si="15"/>
        <v>7788.92</v>
      </c>
    </row>
    <row r="102" spans="1:17" s="2" customFormat="1" x14ac:dyDescent="0.25">
      <c r="A102" s="7">
        <v>2167</v>
      </c>
      <c r="B102" s="2" t="s">
        <v>92</v>
      </c>
      <c r="C102" s="2" t="s">
        <v>30</v>
      </c>
      <c r="D102" s="7">
        <v>6018</v>
      </c>
      <c r="E102" s="7">
        <v>61</v>
      </c>
      <c r="F102" s="3">
        <v>28323.58</v>
      </c>
      <c r="G102" s="3">
        <v>8213.84</v>
      </c>
      <c r="H102" s="3">
        <v>0</v>
      </c>
      <c r="I102" s="3">
        <v>0</v>
      </c>
      <c r="J102" s="3">
        <v>0</v>
      </c>
      <c r="K102" s="3">
        <v>8620.89</v>
      </c>
      <c r="L102" s="3">
        <v>0</v>
      </c>
      <c r="M102" s="3">
        <v>20109.740000000002</v>
      </c>
      <c r="N102" s="3">
        <v>36944.47</v>
      </c>
      <c r="O102" s="3">
        <v>16834.73</v>
      </c>
      <c r="P102" s="9">
        <f>O102*Summary!$B$29</f>
        <v>7788.91552251945</v>
      </c>
      <c r="Q102" s="9">
        <f t="shared" si="15"/>
        <v>7788.92</v>
      </c>
    </row>
    <row r="103" spans="1:17" s="2" customFormat="1" x14ac:dyDescent="0.25">
      <c r="A103" s="7">
        <v>2190</v>
      </c>
      <c r="B103" s="2" t="s">
        <v>161</v>
      </c>
      <c r="C103" s="2" t="s">
        <v>30</v>
      </c>
      <c r="D103" s="7">
        <v>6018</v>
      </c>
      <c r="E103" s="7">
        <v>61</v>
      </c>
      <c r="F103" s="3">
        <v>28323.58</v>
      </c>
      <c r="G103" s="3">
        <v>8213.84</v>
      </c>
      <c r="H103" s="3">
        <v>0</v>
      </c>
      <c r="I103" s="3">
        <v>0</v>
      </c>
      <c r="J103" s="3">
        <v>0</v>
      </c>
      <c r="K103" s="3">
        <v>8620.89</v>
      </c>
      <c r="L103" s="3">
        <v>0</v>
      </c>
      <c r="M103" s="3">
        <v>20109.740000000002</v>
      </c>
      <c r="N103" s="3">
        <v>36944.47</v>
      </c>
      <c r="O103" s="3">
        <v>16834.73</v>
      </c>
      <c r="P103" s="9">
        <f>O103*Summary!$B$29</f>
        <v>7788.91552251945</v>
      </c>
      <c r="Q103" s="9">
        <f t="shared" si="15"/>
        <v>7788.92</v>
      </c>
    </row>
    <row r="104" spans="1:17" s="2" customFormat="1" x14ac:dyDescent="0.25">
      <c r="A104" s="7">
        <v>2853</v>
      </c>
      <c r="B104" s="2" t="s">
        <v>90</v>
      </c>
      <c r="C104" s="2" t="s">
        <v>30</v>
      </c>
      <c r="D104" s="7">
        <v>6018</v>
      </c>
      <c r="E104" s="7">
        <v>61</v>
      </c>
      <c r="F104" s="3">
        <v>30075.58</v>
      </c>
      <c r="G104" s="3">
        <v>8924.24</v>
      </c>
      <c r="H104" s="3">
        <v>0</v>
      </c>
      <c r="I104" s="3">
        <v>0</v>
      </c>
      <c r="J104" s="3">
        <v>0</v>
      </c>
      <c r="K104" s="3">
        <v>8620.89</v>
      </c>
      <c r="L104" s="3">
        <v>0</v>
      </c>
      <c r="M104" s="3">
        <v>21151.34</v>
      </c>
      <c r="N104" s="3">
        <v>38696.47</v>
      </c>
      <c r="O104" s="3">
        <v>17545.13</v>
      </c>
      <c r="P104" s="9">
        <f>O104*Summary!$B$29</f>
        <v>8117.5959104554504</v>
      </c>
      <c r="Q104" s="9">
        <f t="shared" si="15"/>
        <v>8117.6</v>
      </c>
    </row>
    <row r="105" spans="1:17" s="2" customFormat="1" x14ac:dyDescent="0.25">
      <c r="A105" s="7">
        <v>2903</v>
      </c>
      <c r="B105" s="2" t="s">
        <v>120</v>
      </c>
      <c r="C105" s="2" t="s">
        <v>30</v>
      </c>
      <c r="D105" s="7">
        <v>6018</v>
      </c>
      <c r="E105" s="7">
        <v>61</v>
      </c>
      <c r="F105" s="3">
        <v>28323.58</v>
      </c>
      <c r="G105" s="3">
        <v>8213.84</v>
      </c>
      <c r="H105" s="3">
        <v>0</v>
      </c>
      <c r="I105" s="3">
        <v>0</v>
      </c>
      <c r="J105" s="3">
        <v>0</v>
      </c>
      <c r="K105" s="3">
        <v>8620.89</v>
      </c>
      <c r="L105" s="3">
        <v>0</v>
      </c>
      <c r="M105" s="15">
        <v>20109.740000000002</v>
      </c>
      <c r="N105" s="15">
        <v>36944.47</v>
      </c>
      <c r="O105" s="15">
        <v>16834.73</v>
      </c>
      <c r="P105" s="21">
        <f>O105*Summary!$B$29</f>
        <v>7788.91552251945</v>
      </c>
      <c r="Q105" s="21">
        <f t="shared" si="15"/>
        <v>7788.92</v>
      </c>
    </row>
    <row r="106" spans="1:17" s="2" customFormat="1" x14ac:dyDescent="0.25">
      <c r="A106" s="7"/>
      <c r="D106" s="7"/>
      <c r="E106" s="7"/>
      <c r="F106" s="3"/>
      <c r="G106" s="3"/>
      <c r="H106" s="3"/>
      <c r="I106" s="3"/>
      <c r="J106" s="3"/>
      <c r="K106" s="3"/>
      <c r="L106" s="3"/>
      <c r="M106" s="13">
        <f>SUM(M99:M105)</f>
        <v>144153.38</v>
      </c>
      <c r="N106" s="13">
        <f t="shared" ref="N106:Q106" si="16">SUM(N99:N105)</f>
        <v>263711.29000000004</v>
      </c>
      <c r="O106" s="13">
        <f t="shared" si="16"/>
        <v>119557.90999999999</v>
      </c>
      <c r="P106" s="13">
        <f t="shared" si="16"/>
        <v>55315.794256218149</v>
      </c>
      <c r="Q106" s="13">
        <f t="shared" si="16"/>
        <v>55315.819999999992</v>
      </c>
    </row>
    <row r="107" spans="1:17" s="2" customFormat="1" x14ac:dyDescent="0.25">
      <c r="A107" s="7"/>
      <c r="D107" s="7"/>
      <c r="E107" s="7"/>
      <c r="F107" s="3"/>
      <c r="G107" s="3"/>
      <c r="H107" s="3"/>
      <c r="I107" s="3"/>
      <c r="J107" s="3"/>
      <c r="K107" s="3"/>
      <c r="L107" s="3"/>
      <c r="M107" s="3"/>
      <c r="N107" s="3"/>
      <c r="O107" s="3"/>
      <c r="Q107" s="9"/>
    </row>
    <row r="108" spans="1:17" s="2" customFormat="1" x14ac:dyDescent="0.25">
      <c r="A108" s="7"/>
      <c r="D108" s="7"/>
      <c r="E108" s="7"/>
      <c r="F108" s="3"/>
      <c r="G108" s="3"/>
      <c r="H108" s="3"/>
      <c r="I108" s="3"/>
      <c r="J108" s="3"/>
      <c r="K108" s="3"/>
      <c r="L108" s="3"/>
      <c r="M108" s="3"/>
      <c r="N108" s="3"/>
      <c r="O108" s="3"/>
      <c r="Q108" s="9"/>
    </row>
    <row r="109" spans="1:17" s="2" customFormat="1" x14ac:dyDescent="0.25">
      <c r="A109" s="2">
        <v>23</v>
      </c>
      <c r="B109" s="3" t="s">
        <v>185</v>
      </c>
      <c r="C109" s="3" t="s">
        <v>163</v>
      </c>
      <c r="D109" s="11">
        <v>869</v>
      </c>
      <c r="E109" s="11">
        <v>82</v>
      </c>
      <c r="F109" s="3">
        <v>48956.836904861942</v>
      </c>
      <c r="G109" s="3">
        <v>12239.209226215487</v>
      </c>
      <c r="H109" s="3"/>
      <c r="I109" s="3"/>
      <c r="J109" s="3"/>
      <c r="K109" s="3">
        <v>600</v>
      </c>
      <c r="M109" s="3">
        <v>36717.627678646459</v>
      </c>
      <c r="N109" s="3">
        <v>49556.836904861942</v>
      </c>
      <c r="O109" s="3">
        <v>12839.209226215487</v>
      </c>
      <c r="P109" s="9">
        <f>O109*Summary!$B$29</f>
        <v>5940.3100637161833</v>
      </c>
      <c r="Q109" s="9">
        <f t="shared" ref="Q109:Q171" si="17">ROUND(P109,2)</f>
        <v>5940.31</v>
      </c>
    </row>
    <row r="110" spans="1:17" s="2" customFormat="1" x14ac:dyDescent="0.25">
      <c r="A110" s="2">
        <v>25</v>
      </c>
      <c r="B110" s="3" t="s">
        <v>208</v>
      </c>
      <c r="C110" s="3" t="s">
        <v>163</v>
      </c>
      <c r="D110" s="11">
        <v>869</v>
      </c>
      <c r="E110" s="11">
        <v>82</v>
      </c>
      <c r="F110" s="3">
        <v>14654.839090182129</v>
      </c>
      <c r="G110" s="3">
        <v>1465.4839090182115</v>
      </c>
      <c r="H110" s="3"/>
      <c r="I110" s="3"/>
      <c r="J110" s="3"/>
      <c r="K110" s="3">
        <v>600</v>
      </c>
      <c r="M110" s="3">
        <v>13189.355181163917</v>
      </c>
      <c r="N110" s="3">
        <v>15254.839090182129</v>
      </c>
      <c r="O110" s="3">
        <v>2065.4839090182113</v>
      </c>
      <c r="P110" s="9">
        <f>O110*Summary!$B$29</f>
        <v>955.63633515156448</v>
      </c>
      <c r="Q110" s="9">
        <f t="shared" si="17"/>
        <v>955.64</v>
      </c>
    </row>
    <row r="111" spans="1:17" s="2" customFormat="1" x14ac:dyDescent="0.25">
      <c r="A111" s="2">
        <v>32</v>
      </c>
      <c r="B111" s="3" t="s">
        <v>170</v>
      </c>
      <c r="C111" s="3" t="s">
        <v>163</v>
      </c>
      <c r="D111" s="11">
        <v>869</v>
      </c>
      <c r="E111" s="11">
        <v>82</v>
      </c>
      <c r="F111" s="3">
        <v>38814.302792895658</v>
      </c>
      <c r="G111" s="3">
        <v>9703.5756982239145</v>
      </c>
      <c r="H111" s="3"/>
      <c r="I111" s="3"/>
      <c r="J111" s="3"/>
      <c r="K111" s="3">
        <v>1200</v>
      </c>
      <c r="M111" s="3">
        <v>29110.727094671744</v>
      </c>
      <c r="N111" s="3">
        <v>40014.302792895658</v>
      </c>
      <c r="O111" s="3">
        <v>10903.575698223915</v>
      </c>
      <c r="P111" s="9">
        <f>O111*Summary!$B$29</f>
        <v>5044.7515348842599</v>
      </c>
      <c r="Q111" s="9">
        <f t="shared" si="17"/>
        <v>5044.75</v>
      </c>
    </row>
    <row r="112" spans="1:17" s="2" customFormat="1" x14ac:dyDescent="0.25">
      <c r="A112" s="2">
        <v>36</v>
      </c>
      <c r="B112" s="3" t="s">
        <v>192</v>
      </c>
      <c r="C112" s="3" t="s">
        <v>163</v>
      </c>
      <c r="D112" s="11">
        <v>869</v>
      </c>
      <c r="E112" s="11">
        <v>82</v>
      </c>
      <c r="F112" s="3">
        <v>27443.744478249133</v>
      </c>
      <c r="G112" s="3">
        <v>3823.8344478249114</v>
      </c>
      <c r="H112" s="3"/>
      <c r="I112" s="3"/>
      <c r="J112" s="3"/>
      <c r="K112" s="3">
        <v>1200</v>
      </c>
      <c r="M112" s="3">
        <v>23619.91003042422</v>
      </c>
      <c r="N112" s="3">
        <v>28643.744478249133</v>
      </c>
      <c r="O112" s="3">
        <v>5023.834447824911</v>
      </c>
      <c r="P112" s="9">
        <f>O112*Summary!$B$29</f>
        <v>2324.3747962237221</v>
      </c>
      <c r="Q112" s="9">
        <f t="shared" si="17"/>
        <v>2324.37</v>
      </c>
    </row>
    <row r="113" spans="1:17" s="2" customFormat="1" x14ac:dyDescent="0.25">
      <c r="A113" s="2">
        <v>38</v>
      </c>
      <c r="B113" s="3" t="s">
        <v>211</v>
      </c>
      <c r="C113" s="3" t="s">
        <v>163</v>
      </c>
      <c r="D113" s="11">
        <v>869</v>
      </c>
      <c r="E113" s="11">
        <v>82</v>
      </c>
      <c r="F113" s="3">
        <v>77998.31230753017</v>
      </c>
      <c r="G113" s="3">
        <v>8273.5112307530126</v>
      </c>
      <c r="H113" s="3"/>
      <c r="I113" s="3"/>
      <c r="J113" s="3"/>
      <c r="K113" s="3">
        <v>600</v>
      </c>
      <c r="M113" s="3">
        <v>69724.801076777163</v>
      </c>
      <c r="N113" s="3">
        <v>78598.31230753017</v>
      </c>
      <c r="O113" s="3">
        <v>8873.5112307530126</v>
      </c>
      <c r="P113" s="9">
        <f>O113*Summary!$B$29</f>
        <v>4105.5026938039882</v>
      </c>
      <c r="Q113" s="9">
        <f t="shared" si="17"/>
        <v>4105.5</v>
      </c>
    </row>
    <row r="114" spans="1:17" s="2" customFormat="1" x14ac:dyDescent="0.25">
      <c r="A114" s="2">
        <v>113</v>
      </c>
      <c r="B114" s="3" t="s">
        <v>220</v>
      </c>
      <c r="C114" s="3" t="s">
        <v>163</v>
      </c>
      <c r="D114" s="11">
        <v>869</v>
      </c>
      <c r="E114" s="11">
        <v>82</v>
      </c>
      <c r="F114" s="3">
        <v>37980.876002583587</v>
      </c>
      <c r="G114" s="3">
        <v>11394.262800775081</v>
      </c>
      <c r="H114" s="3"/>
      <c r="I114" s="3"/>
      <c r="J114" s="3"/>
      <c r="K114" s="3">
        <v>1200</v>
      </c>
      <c r="M114" s="3">
        <v>26586.613201808508</v>
      </c>
      <c r="N114" s="3">
        <v>39180.876002583587</v>
      </c>
      <c r="O114" s="3">
        <v>12594.262800775081</v>
      </c>
      <c r="P114" s="9">
        <f>O114*Summary!$B$29</f>
        <v>5826.9808321040082</v>
      </c>
      <c r="Q114" s="9">
        <f t="shared" si="17"/>
        <v>5826.98</v>
      </c>
    </row>
    <row r="115" spans="1:17" s="2" customFormat="1" x14ac:dyDescent="0.25">
      <c r="A115" s="2">
        <v>146</v>
      </c>
      <c r="B115" s="3" t="s">
        <v>168</v>
      </c>
      <c r="C115" s="3" t="s">
        <v>163</v>
      </c>
      <c r="D115" s="11">
        <v>869</v>
      </c>
      <c r="E115" s="11">
        <v>82</v>
      </c>
      <c r="F115" s="3">
        <v>25955.238860854042</v>
      </c>
      <c r="G115" s="3">
        <v>14015.828984861184</v>
      </c>
      <c r="H115" s="3"/>
      <c r="I115" s="3"/>
      <c r="J115" s="3"/>
      <c r="K115" s="3">
        <v>600</v>
      </c>
      <c r="M115" s="3">
        <v>11939.40987599286</v>
      </c>
      <c r="N115" s="3">
        <v>26555.238860854042</v>
      </c>
      <c r="O115" s="3">
        <v>14615.828984861184</v>
      </c>
      <c r="P115" s="9">
        <f>O115*Summary!$B$29</f>
        <v>6762.2977769572171</v>
      </c>
      <c r="Q115" s="9">
        <f t="shared" si="17"/>
        <v>6762.3</v>
      </c>
    </row>
    <row r="116" spans="1:17" s="2" customFormat="1" x14ac:dyDescent="0.25">
      <c r="A116" s="2">
        <v>150</v>
      </c>
      <c r="B116" s="3" t="s">
        <v>190</v>
      </c>
      <c r="C116" s="3" t="s">
        <v>163</v>
      </c>
      <c r="D116" s="11">
        <v>869</v>
      </c>
      <c r="E116" s="11">
        <v>82</v>
      </c>
      <c r="F116" s="3">
        <v>34889.465365928751</v>
      </c>
      <c r="G116" s="3">
        <v>21282.573873216541</v>
      </c>
      <c r="H116" s="3"/>
      <c r="I116" s="3"/>
      <c r="J116" s="3"/>
      <c r="K116" s="3">
        <v>600</v>
      </c>
      <c r="M116" s="3">
        <v>13606.891492712213</v>
      </c>
      <c r="N116" s="3">
        <v>35489.465365928751</v>
      </c>
      <c r="O116" s="3">
        <v>21882.573873216541</v>
      </c>
      <c r="P116" s="9">
        <f>O116*Summary!$B$29</f>
        <v>10124.398746744075</v>
      </c>
      <c r="Q116" s="9">
        <f t="shared" si="17"/>
        <v>10124.4</v>
      </c>
    </row>
    <row r="117" spans="1:17" s="2" customFormat="1" x14ac:dyDescent="0.25">
      <c r="A117" s="2">
        <v>152</v>
      </c>
      <c r="B117" s="3" t="s">
        <v>199</v>
      </c>
      <c r="C117" s="3" t="s">
        <v>163</v>
      </c>
      <c r="D117" s="11">
        <v>869</v>
      </c>
      <c r="E117" s="11">
        <v>82</v>
      </c>
      <c r="F117" s="3">
        <v>32738.942262674791</v>
      </c>
      <c r="G117" s="3">
        <v>15533.713440830405</v>
      </c>
      <c r="H117" s="3"/>
      <c r="I117" s="3"/>
      <c r="J117" s="3"/>
      <c r="K117" s="3">
        <v>1200</v>
      </c>
      <c r="M117" s="3">
        <v>17205.228821844386</v>
      </c>
      <c r="N117" s="3">
        <v>33938.942262674791</v>
      </c>
      <c r="O117" s="3">
        <v>16733.713440830405</v>
      </c>
      <c r="P117" s="9">
        <f>O117*Summary!$B$29</f>
        <v>7742.1782451323124</v>
      </c>
      <c r="Q117" s="9">
        <f t="shared" si="17"/>
        <v>7742.18</v>
      </c>
    </row>
    <row r="118" spans="1:17" s="2" customFormat="1" x14ac:dyDescent="0.25">
      <c r="A118" s="2">
        <v>162</v>
      </c>
      <c r="B118" s="3" t="s">
        <v>167</v>
      </c>
      <c r="C118" s="3" t="s">
        <v>163</v>
      </c>
      <c r="D118" s="11">
        <v>869</v>
      </c>
      <c r="E118" s="11">
        <v>82</v>
      </c>
      <c r="F118" s="3">
        <v>39336.398853283172</v>
      </c>
      <c r="G118" s="3">
        <v>9834.0997133207948</v>
      </c>
      <c r="H118" s="3"/>
      <c r="I118" s="3"/>
      <c r="J118" s="3"/>
      <c r="K118" s="3">
        <v>1200</v>
      </c>
      <c r="M118" s="3">
        <v>29502.299139962379</v>
      </c>
      <c r="N118" s="3">
        <v>40536.398853283172</v>
      </c>
      <c r="O118" s="3">
        <v>11034.099713320795</v>
      </c>
      <c r="P118" s="9">
        <f>O118*Summary!$B$29</f>
        <v>5105.1410111187852</v>
      </c>
      <c r="Q118" s="9">
        <f t="shared" si="17"/>
        <v>5105.1400000000003</v>
      </c>
    </row>
    <row r="119" spans="1:17" s="2" customFormat="1" x14ac:dyDescent="0.25">
      <c r="A119" s="2">
        <v>261</v>
      </c>
      <c r="B119" s="3" t="s">
        <v>165</v>
      </c>
      <c r="C119" s="3" t="s">
        <v>163</v>
      </c>
      <c r="D119" s="11">
        <v>869</v>
      </c>
      <c r="E119" s="11">
        <v>82</v>
      </c>
      <c r="F119" s="3">
        <v>19723.239673971602</v>
      </c>
      <c r="G119" s="3">
        <v>7889.2958695886427</v>
      </c>
      <c r="H119" s="3"/>
      <c r="I119" s="3"/>
      <c r="J119" s="3"/>
      <c r="K119" s="3">
        <v>1200</v>
      </c>
      <c r="M119" s="3">
        <v>11833.943804382961</v>
      </c>
      <c r="N119" s="3">
        <v>20923.239673971602</v>
      </c>
      <c r="O119" s="3">
        <v>9089.2958695886427</v>
      </c>
      <c r="P119" s="9">
        <f>O119*Summary!$B$29</f>
        <v>4205.339657209287</v>
      </c>
      <c r="Q119" s="9">
        <f t="shared" si="17"/>
        <v>4205.34</v>
      </c>
    </row>
    <row r="120" spans="1:17" s="2" customFormat="1" x14ac:dyDescent="0.25">
      <c r="A120" s="2">
        <v>264</v>
      </c>
      <c r="B120" s="3" t="s">
        <v>191</v>
      </c>
      <c r="C120" s="3" t="s">
        <v>163</v>
      </c>
      <c r="D120" s="11">
        <v>869</v>
      </c>
      <c r="E120" s="11">
        <v>82</v>
      </c>
      <c r="F120" s="3">
        <v>19586.664217576956</v>
      </c>
      <c r="G120" s="3">
        <v>4700.79941221847</v>
      </c>
      <c r="H120" s="3"/>
      <c r="I120" s="3"/>
      <c r="J120" s="3"/>
      <c r="K120" s="3">
        <v>1200</v>
      </c>
      <c r="M120" s="3">
        <v>14885.864805358486</v>
      </c>
      <c r="N120" s="3">
        <v>20786.664217576956</v>
      </c>
      <c r="O120" s="3">
        <v>5900.79941221847</v>
      </c>
      <c r="P120" s="9">
        <f>O120*Summary!$B$29</f>
        <v>2730.1197071234342</v>
      </c>
      <c r="Q120" s="9">
        <f t="shared" si="17"/>
        <v>2730.12</v>
      </c>
    </row>
    <row r="121" spans="1:17" s="2" customFormat="1" x14ac:dyDescent="0.25">
      <c r="A121" s="2">
        <v>308</v>
      </c>
      <c r="B121" s="3" t="s">
        <v>201</v>
      </c>
      <c r="C121" s="3" t="s">
        <v>163</v>
      </c>
      <c r="D121" s="11">
        <v>869</v>
      </c>
      <c r="E121" s="11">
        <v>82</v>
      </c>
      <c r="F121" s="3">
        <v>32969.964111122878</v>
      </c>
      <c r="G121" s="3">
        <v>8242.4910277807212</v>
      </c>
      <c r="H121" s="3"/>
      <c r="I121" s="3"/>
      <c r="J121" s="3"/>
      <c r="K121" s="3">
        <v>600</v>
      </c>
      <c r="M121" s="3">
        <v>24727.473083342156</v>
      </c>
      <c r="N121" s="3">
        <v>33569.964111122878</v>
      </c>
      <c r="O121" s="3">
        <v>8842.4910277807212</v>
      </c>
      <c r="P121" s="9">
        <f>O121*Summary!$B$29</f>
        <v>4091.1505930906064</v>
      </c>
      <c r="Q121" s="9">
        <f t="shared" si="17"/>
        <v>4091.15</v>
      </c>
    </row>
    <row r="122" spans="1:17" s="2" customFormat="1" x14ac:dyDescent="0.25">
      <c r="A122" s="7">
        <v>309</v>
      </c>
      <c r="B122" s="2" t="s">
        <v>122</v>
      </c>
      <c r="C122" s="3" t="s">
        <v>163</v>
      </c>
      <c r="D122" s="7">
        <v>869</v>
      </c>
      <c r="E122" s="7">
        <v>82</v>
      </c>
      <c r="F122" s="3">
        <v>18023.400000000001</v>
      </c>
      <c r="G122" s="3">
        <v>4145.38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13878.02</v>
      </c>
      <c r="N122" s="3">
        <v>18023.400000000001</v>
      </c>
      <c r="O122" s="3">
        <v>4145.38</v>
      </c>
      <c r="P122" s="9">
        <f>O122*Summary!$B$29</f>
        <v>1917.9407468217</v>
      </c>
      <c r="Q122" s="9">
        <f t="shared" si="17"/>
        <v>1917.94</v>
      </c>
    </row>
    <row r="123" spans="1:17" s="2" customFormat="1" x14ac:dyDescent="0.25">
      <c r="A123" s="2">
        <v>356</v>
      </c>
      <c r="B123" s="3" t="s">
        <v>196</v>
      </c>
      <c r="C123" s="3" t="s">
        <v>163</v>
      </c>
      <c r="D123" s="11">
        <v>869</v>
      </c>
      <c r="E123" s="11">
        <v>82</v>
      </c>
      <c r="F123" s="3">
        <v>61662.713776025405</v>
      </c>
      <c r="G123" s="3">
        <v>15415.678444006347</v>
      </c>
      <c r="H123" s="3"/>
      <c r="I123" s="3"/>
      <c r="J123" s="3"/>
      <c r="K123" s="3">
        <v>1200</v>
      </c>
      <c r="M123" s="3">
        <v>46247.035332019055</v>
      </c>
      <c r="N123" s="3">
        <v>62862.713776025405</v>
      </c>
      <c r="O123" s="3">
        <v>16615.678444006349</v>
      </c>
      <c r="P123" s="9">
        <f>O123*Summary!$B$29</f>
        <v>7687.5670563004505</v>
      </c>
      <c r="Q123" s="9">
        <f t="shared" si="17"/>
        <v>7687.57</v>
      </c>
    </row>
    <row r="124" spans="1:17" s="2" customFormat="1" x14ac:dyDescent="0.25">
      <c r="A124" s="2">
        <v>363</v>
      </c>
      <c r="B124" s="3" t="s">
        <v>214</v>
      </c>
      <c r="C124" s="3" t="s">
        <v>163</v>
      </c>
      <c r="D124" s="11">
        <v>869</v>
      </c>
      <c r="E124" s="11">
        <v>82</v>
      </c>
      <c r="F124" s="3">
        <v>72060.76203436713</v>
      </c>
      <c r="G124" s="3">
        <v>14412.152406873418</v>
      </c>
      <c r="H124" s="3"/>
      <c r="I124" s="3"/>
      <c r="J124" s="3"/>
      <c r="K124" s="3">
        <v>1200</v>
      </c>
      <c r="M124" s="3">
        <v>57648.609627493708</v>
      </c>
      <c r="N124" s="3">
        <v>73260.76203436713</v>
      </c>
      <c r="O124" s="3">
        <v>15612.152406873418</v>
      </c>
      <c r="P124" s="9">
        <f>O124*Summary!$B$29</f>
        <v>7223.2662015865862</v>
      </c>
      <c r="Q124" s="9">
        <f t="shared" si="17"/>
        <v>7223.27</v>
      </c>
    </row>
    <row r="125" spans="1:17" s="2" customFormat="1" x14ac:dyDescent="0.25">
      <c r="A125" s="2">
        <v>390</v>
      </c>
      <c r="B125" s="3" t="s">
        <v>194</v>
      </c>
      <c r="C125" s="3" t="s">
        <v>163</v>
      </c>
      <c r="D125" s="11">
        <v>869</v>
      </c>
      <c r="E125" s="11">
        <v>82</v>
      </c>
      <c r="F125" s="3">
        <v>45162.941520186847</v>
      </c>
      <c r="G125" s="3">
        <v>14000.511871257924</v>
      </c>
      <c r="H125" s="3"/>
      <c r="I125" s="3"/>
      <c r="J125" s="3"/>
      <c r="K125" s="3">
        <v>1200</v>
      </c>
      <c r="M125" s="3">
        <v>31162.429648928923</v>
      </c>
      <c r="N125" s="3">
        <v>46362.941520186847</v>
      </c>
      <c r="O125" s="3">
        <v>15200.511871257924</v>
      </c>
      <c r="P125" s="9">
        <f>O125*Summary!$B$29</f>
        <v>7032.8126952010525</v>
      </c>
      <c r="Q125" s="9">
        <f t="shared" si="17"/>
        <v>7032.81</v>
      </c>
    </row>
    <row r="126" spans="1:17" s="2" customFormat="1" x14ac:dyDescent="0.25">
      <c r="A126" s="2">
        <v>432</v>
      </c>
      <c r="B126" s="3" t="s">
        <v>197</v>
      </c>
      <c r="C126" s="3" t="s">
        <v>163</v>
      </c>
      <c r="D126" s="11">
        <v>869</v>
      </c>
      <c r="E126" s="11">
        <v>82</v>
      </c>
      <c r="F126" s="3">
        <v>37357.378488344686</v>
      </c>
      <c r="G126" s="3">
        <v>7471.4756976689332</v>
      </c>
      <c r="H126" s="3"/>
      <c r="I126" s="3"/>
      <c r="J126" s="3"/>
      <c r="K126" s="3">
        <v>1200</v>
      </c>
      <c r="L126" s="3">
        <v>4050</v>
      </c>
      <c r="M126" s="3">
        <v>29885.902790675751</v>
      </c>
      <c r="N126" s="3">
        <v>42607.378488344686</v>
      </c>
      <c r="O126" s="3">
        <v>12721.475697668933</v>
      </c>
      <c r="P126" s="9">
        <f>O126*Summary!$B$29</f>
        <v>5885.838355050987</v>
      </c>
      <c r="Q126" s="9">
        <f t="shared" si="17"/>
        <v>5885.84</v>
      </c>
    </row>
    <row r="127" spans="1:17" s="2" customFormat="1" x14ac:dyDescent="0.25">
      <c r="A127" s="2">
        <v>435</v>
      </c>
      <c r="B127" s="3" t="s">
        <v>223</v>
      </c>
      <c r="C127" s="3" t="s">
        <v>163</v>
      </c>
      <c r="D127" s="11">
        <v>869</v>
      </c>
      <c r="E127" s="11">
        <v>82</v>
      </c>
      <c r="F127" s="3">
        <v>23756.804165525155</v>
      </c>
      <c r="G127" s="3">
        <v>4971.0233747602815</v>
      </c>
      <c r="H127" s="3"/>
      <c r="I127" s="3"/>
      <c r="J127" s="3"/>
      <c r="K127" s="3">
        <v>1200</v>
      </c>
      <c r="M127" s="3">
        <v>18785.780790764871</v>
      </c>
      <c r="N127" s="3">
        <v>24956.804165525155</v>
      </c>
      <c r="O127" s="3">
        <v>6171.0233747602815</v>
      </c>
      <c r="P127" s="9">
        <f>O127*Summary!$B$29</f>
        <v>2855.1440833028341</v>
      </c>
      <c r="Q127" s="9">
        <f t="shared" si="17"/>
        <v>2855.14</v>
      </c>
    </row>
    <row r="128" spans="1:17" s="2" customFormat="1" x14ac:dyDescent="0.25">
      <c r="A128" s="2">
        <v>441</v>
      </c>
      <c r="B128" s="3" t="s">
        <v>198</v>
      </c>
      <c r="C128" s="3" t="s">
        <v>163</v>
      </c>
      <c r="D128" s="11">
        <v>869</v>
      </c>
      <c r="E128" s="11">
        <v>82</v>
      </c>
      <c r="F128" s="3">
        <v>72405.041112743973</v>
      </c>
      <c r="G128" s="3">
        <v>22644.672333823197</v>
      </c>
      <c r="H128" s="3"/>
      <c r="I128" s="3"/>
      <c r="J128" s="3"/>
      <c r="K128" s="3">
        <v>1200</v>
      </c>
      <c r="M128" s="3">
        <v>49760.368778920776</v>
      </c>
      <c r="N128" s="3">
        <v>73605.041112743973</v>
      </c>
      <c r="O128" s="3">
        <v>23844.672333823197</v>
      </c>
      <c r="P128" s="9">
        <f>O128*Summary!$B$29</f>
        <v>11032.201791790279</v>
      </c>
      <c r="Q128" s="9">
        <f t="shared" si="17"/>
        <v>11032.2</v>
      </c>
    </row>
    <row r="129" spans="1:17" s="2" customFormat="1" x14ac:dyDescent="0.25">
      <c r="A129" s="2">
        <v>447</v>
      </c>
      <c r="B129" s="3" t="s">
        <v>188</v>
      </c>
      <c r="C129" s="3" t="s">
        <v>163</v>
      </c>
      <c r="D129" s="11">
        <v>869</v>
      </c>
      <c r="E129" s="11">
        <v>82</v>
      </c>
      <c r="F129" s="3">
        <v>29919.16183054517</v>
      </c>
      <c r="G129" s="3">
        <v>8975.7485491635525</v>
      </c>
      <c r="H129" s="3"/>
      <c r="I129" s="3"/>
      <c r="J129" s="3"/>
      <c r="K129" s="3">
        <v>1200</v>
      </c>
      <c r="M129" s="3">
        <v>20943.413281381618</v>
      </c>
      <c r="N129" s="3">
        <v>31119.16183054517</v>
      </c>
      <c r="O129" s="3">
        <v>10175.748549163553</v>
      </c>
      <c r="P129" s="9">
        <f>O129*Summary!$B$29</f>
        <v>4708.0081372160266</v>
      </c>
      <c r="Q129" s="9">
        <f t="shared" si="17"/>
        <v>4708.01</v>
      </c>
    </row>
    <row r="130" spans="1:17" s="2" customFormat="1" x14ac:dyDescent="0.25">
      <c r="A130" s="2">
        <v>542</v>
      </c>
      <c r="B130" s="3" t="s">
        <v>169</v>
      </c>
      <c r="C130" s="3" t="s">
        <v>163</v>
      </c>
      <c r="D130" s="11">
        <v>869</v>
      </c>
      <c r="E130" s="11">
        <v>82</v>
      </c>
      <c r="F130" s="3">
        <v>25476.428521196769</v>
      </c>
      <c r="G130" s="3">
        <v>7642.928556359032</v>
      </c>
      <c r="H130" s="3"/>
      <c r="I130" s="3"/>
      <c r="J130" s="3"/>
      <c r="K130" s="3">
        <v>1200</v>
      </c>
      <c r="M130" s="3">
        <v>17833.499964837738</v>
      </c>
      <c r="N130" s="3">
        <v>26676.428521196769</v>
      </c>
      <c r="O130" s="3">
        <v>8842.9285563590311</v>
      </c>
      <c r="P130" s="9">
        <f>O130*Summary!$B$29</f>
        <v>4091.3530242038551</v>
      </c>
      <c r="Q130" s="9">
        <f t="shared" si="17"/>
        <v>4091.35</v>
      </c>
    </row>
    <row r="131" spans="1:17" s="2" customFormat="1" x14ac:dyDescent="0.25">
      <c r="A131" s="2">
        <v>544</v>
      </c>
      <c r="B131" s="3" t="s">
        <v>181</v>
      </c>
      <c r="C131" s="3" t="s">
        <v>163</v>
      </c>
      <c r="D131" s="11">
        <v>869</v>
      </c>
      <c r="E131" s="11">
        <v>82</v>
      </c>
      <c r="F131" s="3">
        <v>86158.012857941678</v>
      </c>
      <c r="G131" s="3">
        <v>33037.796471756083</v>
      </c>
      <c r="H131" s="3"/>
      <c r="I131" s="3"/>
      <c r="J131" s="3"/>
      <c r="K131" s="3">
        <v>600</v>
      </c>
      <c r="M131" s="3">
        <v>53120.216386185581</v>
      </c>
      <c r="N131" s="3">
        <v>86758.012857941678</v>
      </c>
      <c r="O131" s="3">
        <v>33637.796471756083</v>
      </c>
      <c r="P131" s="9">
        <f>O131*Summary!$B$29</f>
        <v>15563.181297366275</v>
      </c>
      <c r="Q131" s="9">
        <f t="shared" si="17"/>
        <v>15563.18</v>
      </c>
    </row>
    <row r="132" spans="1:17" s="2" customFormat="1" x14ac:dyDescent="0.25">
      <c r="A132" s="2">
        <v>548</v>
      </c>
      <c r="B132" s="3" t="s">
        <v>206</v>
      </c>
      <c r="C132" s="3" t="s">
        <v>163</v>
      </c>
      <c r="D132" s="11">
        <v>869</v>
      </c>
      <c r="E132" s="11">
        <v>82</v>
      </c>
      <c r="F132" s="3">
        <v>47631.760368191754</v>
      </c>
      <c r="G132" s="3">
        <v>11907.940092047942</v>
      </c>
      <c r="H132" s="3"/>
      <c r="I132" s="3"/>
      <c r="J132" s="3"/>
      <c r="K132" s="3">
        <v>600</v>
      </c>
      <c r="M132" s="3">
        <v>35723.820276143815</v>
      </c>
      <c r="N132" s="3">
        <v>48231.760368191754</v>
      </c>
      <c r="O132" s="3">
        <v>12507.940092047942</v>
      </c>
      <c r="P132" s="9">
        <f>O132*Summary!$B$29</f>
        <v>5787.0419506398721</v>
      </c>
      <c r="Q132" s="9">
        <f t="shared" si="17"/>
        <v>5787.04</v>
      </c>
    </row>
    <row r="133" spans="1:17" s="2" customFormat="1" x14ac:dyDescent="0.25">
      <c r="A133" s="2">
        <v>549</v>
      </c>
      <c r="B133" s="3" t="s">
        <v>207</v>
      </c>
      <c r="C133" s="3" t="s">
        <v>163</v>
      </c>
      <c r="D133" s="11">
        <v>869</v>
      </c>
      <c r="E133" s="11">
        <v>82</v>
      </c>
      <c r="F133" s="3">
        <v>48393.825975055821</v>
      </c>
      <c r="G133" s="3">
        <v>14858.70779251674</v>
      </c>
      <c r="H133" s="3"/>
      <c r="I133" s="3"/>
      <c r="J133" s="3"/>
      <c r="K133" s="3">
        <v>1200</v>
      </c>
      <c r="M133" s="3">
        <v>33535.118182539074</v>
      </c>
      <c r="N133" s="3">
        <v>49593.825975055821</v>
      </c>
      <c r="O133" s="3">
        <v>16058.70779251674</v>
      </c>
      <c r="P133" s="9">
        <f>O133*Summary!$B$29</f>
        <v>7429.8737429550511</v>
      </c>
      <c r="Q133" s="9">
        <f t="shared" si="17"/>
        <v>7429.87</v>
      </c>
    </row>
    <row r="134" spans="1:17" s="2" customFormat="1" x14ac:dyDescent="0.25">
      <c r="A134" s="2">
        <v>550</v>
      </c>
      <c r="B134" s="3" t="s">
        <v>219</v>
      </c>
      <c r="C134" s="3" t="s">
        <v>163</v>
      </c>
      <c r="D134" s="11">
        <v>869</v>
      </c>
      <c r="E134" s="11">
        <v>82</v>
      </c>
      <c r="F134" s="3">
        <v>22435.758423581436</v>
      </c>
      <c r="G134" s="3">
        <v>6730.7275270744312</v>
      </c>
      <c r="H134" s="3"/>
      <c r="I134" s="3"/>
      <c r="J134" s="3"/>
      <c r="K134" s="3">
        <v>1200</v>
      </c>
      <c r="M134" s="3">
        <v>15705.030896507003</v>
      </c>
      <c r="N134" s="3">
        <v>23635.758423581436</v>
      </c>
      <c r="O134" s="3">
        <v>7930.7275270744312</v>
      </c>
      <c r="P134" s="9">
        <f>O134*Summary!$B$29</f>
        <v>3669.3054620123003</v>
      </c>
      <c r="Q134" s="9">
        <f t="shared" si="17"/>
        <v>3669.31</v>
      </c>
    </row>
    <row r="135" spans="1:17" s="2" customFormat="1" x14ac:dyDescent="0.25">
      <c r="A135" s="2">
        <v>553</v>
      </c>
      <c r="B135" s="3" t="s">
        <v>202</v>
      </c>
      <c r="C135" s="3" t="s">
        <v>163</v>
      </c>
      <c r="D135" s="11">
        <v>869</v>
      </c>
      <c r="E135" s="11">
        <v>82</v>
      </c>
      <c r="F135" s="3">
        <v>46143.563648250027</v>
      </c>
      <c r="G135" s="3">
        <v>13843.069094475009</v>
      </c>
      <c r="H135" s="3"/>
      <c r="I135" s="3"/>
      <c r="J135" s="3"/>
      <c r="K135" s="3">
        <v>600</v>
      </c>
      <c r="M135" s="3">
        <v>32300.494553775017</v>
      </c>
      <c r="N135" s="3">
        <v>46743.563648250027</v>
      </c>
      <c r="O135" s="3">
        <v>14443.069094475009</v>
      </c>
      <c r="P135" s="9">
        <f>O135*Summary!$B$29</f>
        <v>6682.3670508987871</v>
      </c>
      <c r="Q135" s="9">
        <f t="shared" si="17"/>
        <v>6682.37</v>
      </c>
    </row>
    <row r="136" spans="1:17" s="2" customFormat="1" x14ac:dyDescent="0.25">
      <c r="A136" s="2">
        <v>561</v>
      </c>
      <c r="B136" s="3" t="s">
        <v>186</v>
      </c>
      <c r="C136" s="3" t="s">
        <v>163</v>
      </c>
      <c r="D136" s="11">
        <v>869</v>
      </c>
      <c r="E136" s="11">
        <v>82</v>
      </c>
      <c r="F136" s="3">
        <v>26125.624754894277</v>
      </c>
      <c r="G136" s="3">
        <v>5225.1249509788549</v>
      </c>
      <c r="H136" s="3"/>
      <c r="I136" s="3"/>
      <c r="J136" s="3"/>
      <c r="K136" s="3">
        <v>1200</v>
      </c>
      <c r="M136" s="3">
        <v>20900.499803915423</v>
      </c>
      <c r="N136" s="3">
        <v>27325.624754894277</v>
      </c>
      <c r="O136" s="3">
        <v>6425.1249509788549</v>
      </c>
      <c r="P136" s="9">
        <f>O136*Summary!$B$29</f>
        <v>2972.7091236275382</v>
      </c>
      <c r="Q136" s="9">
        <f t="shared" si="17"/>
        <v>2972.71</v>
      </c>
    </row>
    <row r="137" spans="1:17" s="2" customFormat="1" x14ac:dyDescent="0.25">
      <c r="A137" s="2">
        <v>564</v>
      </c>
      <c r="B137" s="3" t="s">
        <v>216</v>
      </c>
      <c r="C137" s="3" t="s">
        <v>163</v>
      </c>
      <c r="D137" s="11">
        <v>869</v>
      </c>
      <c r="E137" s="11">
        <v>82</v>
      </c>
      <c r="F137" s="3">
        <v>56749.523787697843</v>
      </c>
      <c r="G137" s="3">
        <v>19779.53332569425</v>
      </c>
      <c r="H137" s="3"/>
      <c r="I137" s="3"/>
      <c r="J137" s="3"/>
      <c r="K137" s="3">
        <v>600</v>
      </c>
      <c r="M137" s="3">
        <v>36969.990462003596</v>
      </c>
      <c r="N137" s="3">
        <v>57349.523787697843</v>
      </c>
      <c r="O137" s="3">
        <v>20379.53332569425</v>
      </c>
      <c r="P137" s="9">
        <f>O137*Summary!$B$29</f>
        <v>9428.98778074863</v>
      </c>
      <c r="Q137" s="9">
        <f t="shared" si="17"/>
        <v>9428.99</v>
      </c>
    </row>
    <row r="138" spans="1:17" s="2" customFormat="1" x14ac:dyDescent="0.25">
      <c r="A138" s="2">
        <v>592</v>
      </c>
      <c r="B138" s="3" t="s">
        <v>176</v>
      </c>
      <c r="C138" s="3" t="s">
        <v>163</v>
      </c>
      <c r="D138" s="11">
        <v>869</v>
      </c>
      <c r="E138" s="11">
        <v>82</v>
      </c>
      <c r="F138" s="3">
        <v>24370.985463338733</v>
      </c>
      <c r="G138" s="3">
        <v>4874.1970926677468</v>
      </c>
      <c r="H138" s="3"/>
      <c r="I138" s="3"/>
      <c r="J138" s="3"/>
      <c r="K138" s="3">
        <v>600</v>
      </c>
      <c r="M138" s="3">
        <v>19496.788370670987</v>
      </c>
      <c r="N138" s="3">
        <v>24970.985463338733</v>
      </c>
      <c r="O138" s="3">
        <v>5474.1970926677468</v>
      </c>
      <c r="P138" s="9">
        <f>O138*Summary!$B$29</f>
        <v>2532.743840169142</v>
      </c>
      <c r="Q138" s="9">
        <f t="shared" si="17"/>
        <v>2532.7399999999998</v>
      </c>
    </row>
    <row r="139" spans="1:17" s="2" customFormat="1" x14ac:dyDescent="0.25">
      <c r="A139" s="2">
        <v>593</v>
      </c>
      <c r="B139" s="3" t="s">
        <v>178</v>
      </c>
      <c r="C139" s="3" t="s">
        <v>163</v>
      </c>
      <c r="D139" s="11">
        <v>869</v>
      </c>
      <c r="E139" s="11">
        <v>82</v>
      </c>
      <c r="F139" s="3">
        <v>132613.15576859386</v>
      </c>
      <c r="G139" s="3">
        <v>42436.209845950034</v>
      </c>
      <c r="H139" s="3"/>
      <c r="I139" s="3"/>
      <c r="J139" s="3"/>
      <c r="K139" s="3">
        <v>1200</v>
      </c>
      <c r="M139" s="3">
        <v>90176.945922643834</v>
      </c>
      <c r="N139" s="3">
        <v>133813.15576859386</v>
      </c>
      <c r="O139" s="3">
        <v>43636.209845950034</v>
      </c>
      <c r="P139" s="9">
        <f>O139*Summary!$B$29</f>
        <v>20189.141864053436</v>
      </c>
      <c r="Q139" s="9">
        <f t="shared" si="17"/>
        <v>20189.14</v>
      </c>
    </row>
    <row r="140" spans="1:17" s="2" customFormat="1" x14ac:dyDescent="0.25">
      <c r="A140" s="2">
        <v>595</v>
      </c>
      <c r="B140" s="3" t="s">
        <v>180</v>
      </c>
      <c r="C140" s="3" t="s">
        <v>163</v>
      </c>
      <c r="D140" s="11">
        <v>869</v>
      </c>
      <c r="E140" s="11">
        <v>82</v>
      </c>
      <c r="F140" s="3">
        <v>99006.516333563879</v>
      </c>
      <c r="G140" s="3">
        <v>49503.25816678194</v>
      </c>
      <c r="H140" s="3"/>
      <c r="I140" s="3"/>
      <c r="J140" s="3"/>
      <c r="K140" s="3">
        <v>1200</v>
      </c>
      <c r="M140" s="3">
        <v>49503.25816678194</v>
      </c>
      <c r="N140" s="3">
        <v>100206.51633356388</v>
      </c>
      <c r="O140" s="3">
        <v>50703.25816678194</v>
      </c>
      <c r="P140" s="9">
        <f>O140*Summary!$B$29</f>
        <v>23458.849329781882</v>
      </c>
      <c r="Q140" s="9">
        <f t="shared" si="17"/>
        <v>23458.85</v>
      </c>
    </row>
    <row r="141" spans="1:17" s="2" customFormat="1" x14ac:dyDescent="0.25">
      <c r="A141" s="2">
        <v>599</v>
      </c>
      <c r="B141" s="3" t="s">
        <v>182</v>
      </c>
      <c r="C141" s="3" t="s">
        <v>163</v>
      </c>
      <c r="D141" s="11">
        <v>869</v>
      </c>
      <c r="E141" s="11">
        <v>82</v>
      </c>
      <c r="F141" s="3">
        <v>22431.817024315122</v>
      </c>
      <c r="G141" s="3">
        <v>6729.5451072945361</v>
      </c>
      <c r="H141" s="3"/>
      <c r="I141" s="3"/>
      <c r="J141" s="3"/>
      <c r="K141" s="3">
        <v>1200</v>
      </c>
      <c r="M141" s="3">
        <v>15702.271917020584</v>
      </c>
      <c r="N141" s="3">
        <v>23631.817024315122</v>
      </c>
      <c r="O141" s="3">
        <v>7929.5451072945361</v>
      </c>
      <c r="P141" s="9">
        <f>O141*Summary!$B$29</f>
        <v>3668.7583924853307</v>
      </c>
      <c r="Q141" s="9">
        <f t="shared" si="17"/>
        <v>3668.76</v>
      </c>
    </row>
    <row r="142" spans="1:17" s="2" customFormat="1" x14ac:dyDescent="0.25">
      <c r="A142" s="2">
        <v>600</v>
      </c>
      <c r="B142" s="3" t="s">
        <v>183</v>
      </c>
      <c r="C142" s="3" t="s">
        <v>163</v>
      </c>
      <c r="D142" s="11">
        <v>869</v>
      </c>
      <c r="E142" s="11">
        <v>82</v>
      </c>
      <c r="F142" s="3">
        <v>39336.59791385218</v>
      </c>
      <c r="G142" s="3">
        <v>15734.63916554087</v>
      </c>
      <c r="H142" s="3"/>
      <c r="I142" s="3"/>
      <c r="J142" s="3"/>
      <c r="K142" s="3">
        <v>1200</v>
      </c>
      <c r="M142" s="3">
        <v>23601.958748311306</v>
      </c>
      <c r="N142" s="3">
        <v>40536.59791385218</v>
      </c>
      <c r="O142" s="3">
        <v>16934.63916554087</v>
      </c>
      <c r="P142" s="9">
        <f>O142*Summary!$B$29</f>
        <v>7835.1404426888403</v>
      </c>
      <c r="Q142" s="9">
        <f t="shared" si="17"/>
        <v>7835.14</v>
      </c>
    </row>
    <row r="143" spans="1:17" s="2" customFormat="1" x14ac:dyDescent="0.25">
      <c r="A143" s="2">
        <v>601</v>
      </c>
      <c r="B143" s="3" t="s">
        <v>184</v>
      </c>
      <c r="C143" s="3" t="s">
        <v>163</v>
      </c>
      <c r="D143" s="11">
        <v>869</v>
      </c>
      <c r="E143" s="11">
        <v>82</v>
      </c>
      <c r="F143" s="3">
        <v>25419.875413542315</v>
      </c>
      <c r="G143" s="3">
        <v>7625.9626240626967</v>
      </c>
      <c r="H143" s="3"/>
      <c r="I143" s="3"/>
      <c r="J143" s="3"/>
      <c r="K143" s="3">
        <v>1200</v>
      </c>
      <c r="M143" s="3">
        <v>17793.912789479618</v>
      </c>
      <c r="N143" s="3">
        <v>26619.875413542315</v>
      </c>
      <c r="O143" s="3">
        <v>8825.9626240626967</v>
      </c>
      <c r="P143" s="9">
        <f>O143*Summary!$B$29</f>
        <v>4083.5034053850841</v>
      </c>
      <c r="Q143" s="9">
        <f t="shared" si="17"/>
        <v>4083.5</v>
      </c>
    </row>
    <row r="144" spans="1:17" s="2" customFormat="1" x14ac:dyDescent="0.25">
      <c r="A144" s="2">
        <v>627</v>
      </c>
      <c r="B144" s="3" t="s">
        <v>205</v>
      </c>
      <c r="C144" s="3" t="s">
        <v>163</v>
      </c>
      <c r="D144" s="11">
        <v>869</v>
      </c>
      <c r="E144" s="11">
        <v>82</v>
      </c>
      <c r="F144" s="3">
        <v>25419.875413542315</v>
      </c>
      <c r="G144" s="3">
        <v>5083.9750827084608</v>
      </c>
      <c r="H144" s="3"/>
      <c r="I144" s="3"/>
      <c r="J144" s="3"/>
      <c r="K144" s="3">
        <v>1200</v>
      </c>
      <c r="M144" s="3">
        <v>20335.900330833854</v>
      </c>
      <c r="N144" s="3">
        <v>26619.875413542315</v>
      </c>
      <c r="O144" s="3">
        <v>6283.9750827084608</v>
      </c>
      <c r="P144" s="9">
        <f>O144*Summary!$B$29</f>
        <v>2907.4033895900543</v>
      </c>
      <c r="Q144" s="9">
        <f t="shared" si="17"/>
        <v>2907.4</v>
      </c>
    </row>
    <row r="145" spans="1:17" s="2" customFormat="1" x14ac:dyDescent="0.25">
      <c r="A145" s="2">
        <v>628</v>
      </c>
      <c r="B145" s="3" t="s">
        <v>209</v>
      </c>
      <c r="C145" s="3" t="s">
        <v>163</v>
      </c>
      <c r="D145" s="11">
        <v>869</v>
      </c>
      <c r="E145" s="11">
        <v>82</v>
      </c>
      <c r="F145" s="3">
        <v>16020.593654128603</v>
      </c>
      <c r="G145" s="3">
        <v>3204.1187308257204</v>
      </c>
      <c r="H145" s="3"/>
      <c r="I145" s="3"/>
      <c r="J145" s="3"/>
      <c r="K145" s="3">
        <v>600</v>
      </c>
      <c r="M145" s="3">
        <v>12816.474923302883</v>
      </c>
      <c r="N145" s="3">
        <v>16620.593654128603</v>
      </c>
      <c r="O145" s="3">
        <v>3804.1187308257204</v>
      </c>
      <c r="P145" s="9">
        <f>O145*Summary!$B$29</f>
        <v>1760.0495779876151</v>
      </c>
      <c r="Q145" s="9">
        <f t="shared" si="17"/>
        <v>1760.05</v>
      </c>
    </row>
    <row r="146" spans="1:17" s="2" customFormat="1" x14ac:dyDescent="0.25">
      <c r="A146" s="2">
        <v>630</v>
      </c>
      <c r="B146" s="3" t="s">
        <v>210</v>
      </c>
      <c r="C146" s="3" t="s">
        <v>163</v>
      </c>
      <c r="D146" s="11">
        <v>869</v>
      </c>
      <c r="E146" s="11">
        <v>82</v>
      </c>
      <c r="F146" s="3">
        <v>22772.614055378741</v>
      </c>
      <c r="G146" s="3">
        <v>7870.8642166136233</v>
      </c>
      <c r="H146" s="3"/>
      <c r="I146" s="3"/>
      <c r="J146" s="3"/>
      <c r="K146" s="3">
        <v>1200</v>
      </c>
      <c r="M146" s="3">
        <v>14901.749838765116</v>
      </c>
      <c r="N146" s="3">
        <v>23972.614055378741</v>
      </c>
      <c r="O146" s="3">
        <v>9070.8642166136233</v>
      </c>
      <c r="P146" s="9">
        <f>O146*Summary!$B$29</f>
        <v>4196.8118941882694</v>
      </c>
      <c r="Q146" s="9">
        <f t="shared" si="17"/>
        <v>4196.8100000000004</v>
      </c>
    </row>
    <row r="147" spans="1:17" s="2" customFormat="1" x14ac:dyDescent="0.25">
      <c r="A147" s="2">
        <v>676</v>
      </c>
      <c r="B147" s="3" t="s">
        <v>166</v>
      </c>
      <c r="C147" s="3" t="s">
        <v>163</v>
      </c>
      <c r="D147" s="11">
        <v>869</v>
      </c>
      <c r="E147" s="11">
        <v>82</v>
      </c>
      <c r="F147" s="3">
        <v>54544.168485991766</v>
      </c>
      <c r="G147" s="3">
        <v>13090.600436638022</v>
      </c>
      <c r="H147" s="3"/>
      <c r="I147" s="3"/>
      <c r="J147" s="3"/>
      <c r="K147" s="3">
        <v>1200</v>
      </c>
      <c r="M147" s="3">
        <v>41453.568049353744</v>
      </c>
      <c r="N147" s="3">
        <v>55744.168485991766</v>
      </c>
      <c r="O147" s="3">
        <v>14290.600436638022</v>
      </c>
      <c r="P147" s="9">
        <f>O147*Summary!$B$29</f>
        <v>6611.8244585480797</v>
      </c>
      <c r="Q147" s="9">
        <f t="shared" si="17"/>
        <v>6611.82</v>
      </c>
    </row>
    <row r="148" spans="1:17" s="2" customFormat="1" x14ac:dyDescent="0.25">
      <c r="A148" s="2">
        <v>682</v>
      </c>
      <c r="B148" s="3" t="s">
        <v>212</v>
      </c>
      <c r="C148" s="3" t="s">
        <v>163</v>
      </c>
      <c r="D148" s="11">
        <v>869</v>
      </c>
      <c r="E148" s="11">
        <v>82</v>
      </c>
      <c r="F148" s="3">
        <v>59323.553029642222</v>
      </c>
      <c r="G148" s="3">
        <v>23729.421211856887</v>
      </c>
      <c r="H148" s="3"/>
      <c r="I148" s="3"/>
      <c r="J148" s="3"/>
      <c r="K148" s="3">
        <v>1200</v>
      </c>
      <c r="M148" s="3">
        <v>35594.131817785332</v>
      </c>
      <c r="N148" s="3">
        <v>60523.553029642222</v>
      </c>
      <c r="O148" s="3">
        <v>24929.421211856887</v>
      </c>
      <c r="P148" s="9">
        <f>O148*Summary!$B$29</f>
        <v>11534.081974849478</v>
      </c>
      <c r="Q148" s="9">
        <f t="shared" si="17"/>
        <v>11534.08</v>
      </c>
    </row>
    <row r="149" spans="1:17" s="2" customFormat="1" x14ac:dyDescent="0.25">
      <c r="A149" s="2">
        <v>690</v>
      </c>
      <c r="B149" s="3" t="s">
        <v>222</v>
      </c>
      <c r="C149" s="3" t="s">
        <v>163</v>
      </c>
      <c r="D149" s="11">
        <v>869</v>
      </c>
      <c r="E149" s="11">
        <v>82</v>
      </c>
      <c r="F149" s="3">
        <v>62078.741107306945</v>
      </c>
      <c r="G149" s="3">
        <v>22948.662209703565</v>
      </c>
      <c r="H149" s="3"/>
      <c r="I149" s="3"/>
      <c r="J149" s="3"/>
      <c r="K149" s="3">
        <v>1200</v>
      </c>
      <c r="M149" s="3">
        <v>39130.078897603373</v>
      </c>
      <c r="N149" s="3">
        <v>63278.741107306945</v>
      </c>
      <c r="O149" s="3">
        <v>24148.662209703565</v>
      </c>
      <c r="P149" s="9">
        <f>O149*Summary!$B$29</f>
        <v>11172.848625029266</v>
      </c>
      <c r="Q149" s="9">
        <f t="shared" si="17"/>
        <v>11172.85</v>
      </c>
    </row>
    <row r="150" spans="1:17" s="2" customFormat="1" x14ac:dyDescent="0.25">
      <c r="A150" s="2">
        <v>768</v>
      </c>
      <c r="B150" s="3" t="s">
        <v>189</v>
      </c>
      <c r="C150" s="3" t="s">
        <v>163</v>
      </c>
      <c r="D150" s="11">
        <v>869</v>
      </c>
      <c r="E150" s="11">
        <v>82</v>
      </c>
      <c r="F150" s="3">
        <v>28472.449333184177</v>
      </c>
      <c r="G150" s="3">
        <v>9965.357266614461</v>
      </c>
      <c r="H150" s="3"/>
      <c r="I150" s="3"/>
      <c r="J150" s="3"/>
      <c r="K150" s="3">
        <v>1200</v>
      </c>
      <c r="M150" s="3">
        <v>18507.092066569716</v>
      </c>
      <c r="N150" s="3">
        <v>29672.449333184177</v>
      </c>
      <c r="O150" s="3">
        <v>11165.357266614461</v>
      </c>
      <c r="P150" s="9">
        <f>O150*Summary!$B$29</f>
        <v>5165.8698730783753</v>
      </c>
      <c r="Q150" s="9">
        <f t="shared" si="17"/>
        <v>5165.87</v>
      </c>
    </row>
    <row r="151" spans="1:17" s="2" customFormat="1" x14ac:dyDescent="0.25">
      <c r="A151" s="2">
        <v>769</v>
      </c>
      <c r="B151" s="3" t="s">
        <v>200</v>
      </c>
      <c r="C151" s="3" t="s">
        <v>163</v>
      </c>
      <c r="D151" s="11">
        <v>869</v>
      </c>
      <c r="E151" s="11">
        <v>82</v>
      </c>
      <c r="F151" s="3">
        <v>34744.539318664334</v>
      </c>
      <c r="G151" s="3">
        <v>13897.815727465735</v>
      </c>
      <c r="H151" s="3"/>
      <c r="I151" s="3"/>
      <c r="J151" s="3"/>
      <c r="K151" s="3">
        <v>600</v>
      </c>
      <c r="M151" s="3">
        <v>20846.723591198599</v>
      </c>
      <c r="N151" s="3">
        <v>35344.539318664334</v>
      </c>
      <c r="O151" s="3">
        <v>14497.815727465735</v>
      </c>
      <c r="P151" s="9">
        <f>O151*Summary!$B$29</f>
        <v>6707.6966462951577</v>
      </c>
      <c r="Q151" s="9">
        <f t="shared" si="17"/>
        <v>6707.7</v>
      </c>
    </row>
    <row r="152" spans="1:17" s="2" customFormat="1" x14ac:dyDescent="0.25">
      <c r="A152" s="2">
        <v>771</v>
      </c>
      <c r="B152" s="3" t="s">
        <v>174</v>
      </c>
      <c r="C152" s="3" t="s">
        <v>163</v>
      </c>
      <c r="D152" s="11">
        <v>869</v>
      </c>
      <c r="E152" s="11">
        <v>82</v>
      </c>
      <c r="F152" s="3">
        <v>14078.200433887099</v>
      </c>
      <c r="G152" s="3">
        <v>4927.3701518604857</v>
      </c>
      <c r="H152" s="3"/>
      <c r="I152" s="3"/>
      <c r="J152" s="3"/>
      <c r="K152" s="3">
        <v>600</v>
      </c>
      <c r="M152" s="3">
        <v>9150.8302820266144</v>
      </c>
      <c r="N152" s="3">
        <v>14678.200433887099</v>
      </c>
      <c r="O152" s="3">
        <v>5527.3701518604857</v>
      </c>
      <c r="P152" s="9">
        <f>O152*Summary!$B$29</f>
        <v>2557.3453910182598</v>
      </c>
      <c r="Q152" s="9">
        <f t="shared" si="17"/>
        <v>2557.35</v>
      </c>
    </row>
    <row r="153" spans="1:17" s="2" customFormat="1" x14ac:dyDescent="0.25">
      <c r="A153" s="2">
        <v>801</v>
      </c>
      <c r="B153" s="3" t="s">
        <v>172</v>
      </c>
      <c r="C153" s="3" t="s">
        <v>163</v>
      </c>
      <c r="D153" s="11">
        <v>869</v>
      </c>
      <c r="E153" s="11">
        <v>82</v>
      </c>
      <c r="F153" s="3">
        <v>16020.593654128603</v>
      </c>
      <c r="G153" s="3">
        <v>3204.1187308257204</v>
      </c>
      <c r="H153" s="3"/>
      <c r="I153" s="3"/>
      <c r="J153" s="3"/>
      <c r="K153" s="3">
        <v>600</v>
      </c>
      <c r="M153" s="3">
        <v>12816.474923302883</v>
      </c>
      <c r="N153" s="3">
        <v>16620.593654128603</v>
      </c>
      <c r="O153" s="3">
        <v>3804.1187308257204</v>
      </c>
      <c r="P153" s="9">
        <f>O153*Summary!$B$29</f>
        <v>1760.0495779876151</v>
      </c>
      <c r="Q153" s="9">
        <f t="shared" si="17"/>
        <v>1760.05</v>
      </c>
    </row>
    <row r="154" spans="1:17" s="2" customFormat="1" x14ac:dyDescent="0.25">
      <c r="A154" s="2">
        <v>803</v>
      </c>
      <c r="B154" s="3" t="s">
        <v>224</v>
      </c>
      <c r="C154" s="3" t="s">
        <v>163</v>
      </c>
      <c r="D154" s="11">
        <v>869</v>
      </c>
      <c r="E154" s="11">
        <v>82</v>
      </c>
      <c r="F154" s="3">
        <v>31824.41034861025</v>
      </c>
      <c r="G154" s="3">
        <v>12729.7641394441</v>
      </c>
      <c r="H154" s="3"/>
      <c r="I154" s="3"/>
      <c r="J154" s="3"/>
      <c r="K154" s="3">
        <v>1200</v>
      </c>
      <c r="M154" s="3">
        <v>19094.646209166149</v>
      </c>
      <c r="N154" s="3">
        <v>33024.410348610254</v>
      </c>
      <c r="O154" s="3">
        <v>13929.7641394441</v>
      </c>
      <c r="P154" s="9">
        <f>O154*Summary!$B$29</f>
        <v>6444.8765219727875</v>
      </c>
      <c r="Q154" s="9">
        <f t="shared" si="17"/>
        <v>6444.88</v>
      </c>
    </row>
    <row r="155" spans="1:17" s="2" customFormat="1" x14ac:dyDescent="0.25">
      <c r="A155" s="2">
        <v>846</v>
      </c>
      <c r="B155" s="3" t="s">
        <v>171</v>
      </c>
      <c r="C155" s="3" t="s">
        <v>163</v>
      </c>
      <c r="D155" s="11">
        <v>869</v>
      </c>
      <c r="E155" s="11">
        <v>82</v>
      </c>
      <c r="F155" s="3">
        <v>30430.070686954587</v>
      </c>
      <c r="G155" s="3">
        <v>10346.224033564558</v>
      </c>
      <c r="H155" s="3"/>
      <c r="I155" s="3"/>
      <c r="J155" s="3"/>
      <c r="K155" s="3">
        <v>600</v>
      </c>
      <c r="M155" s="3">
        <v>20083.846653390028</v>
      </c>
      <c r="N155" s="3">
        <v>31030.070686954587</v>
      </c>
      <c r="O155" s="3">
        <v>10946.224033564558</v>
      </c>
      <c r="P155" s="9">
        <f>O155*Summary!$B$29</f>
        <v>5064.4836173794565</v>
      </c>
      <c r="Q155" s="9">
        <f t="shared" si="17"/>
        <v>5064.4799999999996</v>
      </c>
    </row>
    <row r="156" spans="1:17" s="2" customFormat="1" x14ac:dyDescent="0.25">
      <c r="A156" s="2">
        <v>850</v>
      </c>
      <c r="B156" s="3" t="s">
        <v>213</v>
      </c>
      <c r="C156" s="3" t="s">
        <v>163</v>
      </c>
      <c r="D156" s="11">
        <v>869</v>
      </c>
      <c r="E156" s="11">
        <v>82</v>
      </c>
      <c r="F156" s="3">
        <v>27823.651220624681</v>
      </c>
      <c r="G156" s="3">
        <v>8347.0953661874046</v>
      </c>
      <c r="H156" s="3"/>
      <c r="I156" s="3"/>
      <c r="J156" s="3"/>
      <c r="K156" s="3">
        <v>600</v>
      </c>
      <c r="M156" s="3">
        <v>19476.555854437276</v>
      </c>
      <c r="N156" s="3">
        <v>28423.651220624681</v>
      </c>
      <c r="O156" s="3">
        <v>8947.0953661874046</v>
      </c>
      <c r="P156" s="9">
        <f>O156*Summary!$B$29</f>
        <v>4139.5478263779059</v>
      </c>
      <c r="Q156" s="9">
        <f t="shared" si="17"/>
        <v>4139.55</v>
      </c>
    </row>
    <row r="157" spans="1:17" s="2" customFormat="1" x14ac:dyDescent="0.25">
      <c r="A157" s="2">
        <v>852</v>
      </c>
      <c r="B157" s="3" t="s">
        <v>173</v>
      </c>
      <c r="C157" s="3" t="s">
        <v>163</v>
      </c>
      <c r="D157" s="11">
        <v>869</v>
      </c>
      <c r="E157" s="11">
        <v>82</v>
      </c>
      <c r="F157" s="3">
        <v>31388.686669114199</v>
      </c>
      <c r="G157" s="3">
        <v>7847.1716672785469</v>
      </c>
      <c r="H157" s="3"/>
      <c r="I157" s="3"/>
      <c r="J157" s="3"/>
      <c r="K157" s="3">
        <v>1200</v>
      </c>
      <c r="M157" s="3">
        <v>23541.515001835651</v>
      </c>
      <c r="N157" s="3">
        <v>32588.686669114199</v>
      </c>
      <c r="O157" s="3">
        <v>9047.1716672785478</v>
      </c>
      <c r="P157" s="9">
        <f>O157*Summary!$B$29</f>
        <v>4185.8500750629237</v>
      </c>
      <c r="Q157" s="9">
        <f t="shared" si="17"/>
        <v>4185.8500000000004</v>
      </c>
    </row>
    <row r="158" spans="1:17" s="2" customFormat="1" x14ac:dyDescent="0.25">
      <c r="A158" s="2">
        <v>914</v>
      </c>
      <c r="B158" s="3" t="s">
        <v>218</v>
      </c>
      <c r="C158" s="3" t="s">
        <v>163</v>
      </c>
      <c r="D158" s="11">
        <v>869</v>
      </c>
      <c r="E158" s="11">
        <v>82</v>
      </c>
      <c r="F158" s="3">
        <v>23878.310555050215</v>
      </c>
      <c r="G158" s="3">
        <v>11939.155277525108</v>
      </c>
      <c r="H158" s="3"/>
      <c r="I158" s="3"/>
      <c r="J158" s="3"/>
      <c r="K158" s="3">
        <v>600</v>
      </c>
      <c r="M158" s="3">
        <v>11939.155277525108</v>
      </c>
      <c r="N158" s="3">
        <v>24478.310555050215</v>
      </c>
      <c r="O158" s="3">
        <v>12539.155277525108</v>
      </c>
      <c r="P158" s="9">
        <f>O158*Summary!$B$29</f>
        <v>5801.4842638044684</v>
      </c>
      <c r="Q158" s="9">
        <f t="shared" si="17"/>
        <v>5801.48</v>
      </c>
    </row>
    <row r="159" spans="1:17" s="2" customFormat="1" x14ac:dyDescent="0.25">
      <c r="A159" s="2">
        <v>2164</v>
      </c>
      <c r="B159" s="3" t="s">
        <v>179</v>
      </c>
      <c r="C159" s="3" t="s">
        <v>163</v>
      </c>
      <c r="D159" s="11">
        <v>869</v>
      </c>
      <c r="E159" s="11">
        <v>82</v>
      </c>
      <c r="F159" s="3">
        <v>18326.842741339307</v>
      </c>
      <c r="G159" s="3">
        <v>9086.0413706696545</v>
      </c>
      <c r="H159" s="3"/>
      <c r="I159" s="3"/>
      <c r="J159" s="3"/>
      <c r="K159" s="3">
        <v>600</v>
      </c>
      <c r="M159" s="3">
        <v>9240.8013706696547</v>
      </c>
      <c r="N159" s="3">
        <v>18926.842741339307</v>
      </c>
      <c r="O159" s="3">
        <v>9686.0413706696545</v>
      </c>
      <c r="P159" s="9">
        <f>O159*Summary!$B$29</f>
        <v>4481.4355789355959</v>
      </c>
      <c r="Q159" s="9">
        <f t="shared" si="17"/>
        <v>4481.4399999999996</v>
      </c>
    </row>
    <row r="160" spans="1:17" s="2" customFormat="1" x14ac:dyDescent="0.25">
      <c r="A160" s="2">
        <v>2171</v>
      </c>
      <c r="B160" s="3" t="s">
        <v>193</v>
      </c>
      <c r="C160" s="3" t="s">
        <v>163</v>
      </c>
      <c r="D160" s="11">
        <v>869</v>
      </c>
      <c r="E160" s="11">
        <v>82</v>
      </c>
      <c r="F160" s="3">
        <v>44533.392564650181</v>
      </c>
      <c r="G160" s="3">
        <v>19149.358802799579</v>
      </c>
      <c r="H160" s="3"/>
      <c r="I160" s="3"/>
      <c r="J160" s="3"/>
      <c r="K160" s="3">
        <v>1200</v>
      </c>
      <c r="M160" s="3">
        <v>25384.033761850602</v>
      </c>
      <c r="N160" s="3">
        <v>45733.392564650181</v>
      </c>
      <c r="O160" s="3">
        <v>20349.358802799579</v>
      </c>
      <c r="P160" s="9">
        <f>O160*Summary!$B$29</f>
        <v>9415.026950384321</v>
      </c>
      <c r="Q160" s="9">
        <f t="shared" si="17"/>
        <v>9415.0300000000007</v>
      </c>
    </row>
    <row r="161" spans="1:17" s="2" customFormat="1" x14ac:dyDescent="0.25">
      <c r="A161" s="2">
        <v>2176</v>
      </c>
      <c r="B161" s="3" t="s">
        <v>221</v>
      </c>
      <c r="C161" s="3" t="s">
        <v>163</v>
      </c>
      <c r="D161" s="11">
        <v>869</v>
      </c>
      <c r="E161" s="11">
        <v>82</v>
      </c>
      <c r="F161" s="3">
        <v>26707.160301186832</v>
      </c>
      <c r="G161" s="3">
        <v>8012.1480903560505</v>
      </c>
      <c r="H161" s="3"/>
      <c r="I161" s="3"/>
      <c r="J161" s="3"/>
      <c r="K161" s="3">
        <v>1200</v>
      </c>
      <c r="M161" s="3">
        <v>18695.012210830781</v>
      </c>
      <c r="N161" s="3">
        <v>27907.160301186832</v>
      </c>
      <c r="O161" s="3">
        <v>9212.1480903560514</v>
      </c>
      <c r="P161" s="9">
        <f>O161*Summary!$B$29</f>
        <v>4262.1796284658058</v>
      </c>
      <c r="Q161" s="9">
        <f t="shared" si="17"/>
        <v>4262.18</v>
      </c>
    </row>
    <row r="162" spans="1:17" s="2" customFormat="1" x14ac:dyDescent="0.25">
      <c r="A162" s="2">
        <v>2215</v>
      </c>
      <c r="B162" s="3" t="s">
        <v>203</v>
      </c>
      <c r="C162" s="3" t="s">
        <v>163</v>
      </c>
      <c r="D162" s="11">
        <v>869</v>
      </c>
      <c r="E162" s="11">
        <v>82</v>
      </c>
      <c r="F162" s="3">
        <v>20371.669524478446</v>
      </c>
      <c r="G162" s="3">
        <v>5092.9173811196115</v>
      </c>
      <c r="H162" s="3"/>
      <c r="I162" s="3"/>
      <c r="J162" s="3"/>
      <c r="K162" s="3">
        <v>600</v>
      </c>
      <c r="M162" s="3">
        <v>15278.752143358834</v>
      </c>
      <c r="N162" s="3">
        <v>20971.669524478446</v>
      </c>
      <c r="O162" s="3">
        <v>5692.9173811196115</v>
      </c>
      <c r="P162" s="9">
        <f>O162*Summary!$B$29</f>
        <v>2633.9390390118119</v>
      </c>
      <c r="Q162" s="9">
        <f t="shared" si="17"/>
        <v>2633.94</v>
      </c>
    </row>
    <row r="163" spans="1:17" s="2" customFormat="1" x14ac:dyDescent="0.25">
      <c r="A163" s="2">
        <v>2311</v>
      </c>
      <c r="B163" s="3" t="s">
        <v>175</v>
      </c>
      <c r="C163" s="3" t="s">
        <v>163</v>
      </c>
      <c r="D163" s="11">
        <v>869</v>
      </c>
      <c r="E163" s="11">
        <v>82</v>
      </c>
      <c r="F163" s="3">
        <v>70658.89788320307</v>
      </c>
      <c r="G163" s="3">
        <v>16958.135491968729</v>
      </c>
      <c r="H163" s="3"/>
      <c r="I163" s="3"/>
      <c r="J163" s="3"/>
      <c r="K163" s="3">
        <v>1200</v>
      </c>
      <c r="M163" s="3">
        <v>53700.762391234333</v>
      </c>
      <c r="N163" s="3">
        <v>71858.89788320307</v>
      </c>
      <c r="O163" s="3">
        <v>18158.135491968729</v>
      </c>
      <c r="P163" s="9">
        <f>O163*Summary!$B$29</f>
        <v>8401.2148334666836</v>
      </c>
      <c r="Q163" s="9">
        <f t="shared" si="17"/>
        <v>8401.2099999999991</v>
      </c>
    </row>
    <row r="164" spans="1:17" s="2" customFormat="1" x14ac:dyDescent="0.25">
      <c r="A164" s="2">
        <v>2358</v>
      </c>
      <c r="B164" s="3" t="s">
        <v>217</v>
      </c>
      <c r="C164" s="3" t="s">
        <v>163</v>
      </c>
      <c r="D164" s="11">
        <v>869</v>
      </c>
      <c r="E164" s="11">
        <v>82</v>
      </c>
      <c r="F164" s="3">
        <v>63968.193474132859</v>
      </c>
      <c r="G164" s="3">
        <v>15992.048368533215</v>
      </c>
      <c r="H164" s="3"/>
      <c r="I164" s="3"/>
      <c r="J164" s="3"/>
      <c r="K164" s="3">
        <v>1200</v>
      </c>
      <c r="M164" s="3">
        <v>47976.145105599644</v>
      </c>
      <c r="N164" s="3">
        <v>65168.193474132859</v>
      </c>
      <c r="O164" s="3">
        <v>17192.048368533215</v>
      </c>
      <c r="P164" s="9">
        <f>O164*Summary!$B$29</f>
        <v>7954.2358209233853</v>
      </c>
      <c r="Q164" s="9">
        <f t="shared" si="17"/>
        <v>7954.24</v>
      </c>
    </row>
    <row r="165" spans="1:17" s="2" customFormat="1" x14ac:dyDescent="0.25">
      <c r="A165" s="2">
        <v>2527</v>
      </c>
      <c r="B165" s="3" t="s">
        <v>204</v>
      </c>
      <c r="C165" s="3" t="s">
        <v>163</v>
      </c>
      <c r="D165" s="11">
        <v>869</v>
      </c>
      <c r="E165" s="11">
        <v>82</v>
      </c>
      <c r="F165" s="3">
        <v>27139.241172270089</v>
      </c>
      <c r="G165" s="3">
        <v>6513.4178813448207</v>
      </c>
      <c r="H165" s="3"/>
      <c r="I165" s="3"/>
      <c r="J165" s="3"/>
      <c r="K165" s="3">
        <v>600</v>
      </c>
      <c r="M165" s="3">
        <v>20625.823290925269</v>
      </c>
      <c r="N165" s="3">
        <v>27739.241172270089</v>
      </c>
      <c r="O165" s="3">
        <v>7113.4178813448207</v>
      </c>
      <c r="P165" s="9">
        <f>O165*Summary!$B$29</f>
        <v>3291.1612454832416</v>
      </c>
      <c r="Q165" s="9">
        <f t="shared" si="17"/>
        <v>3291.16</v>
      </c>
    </row>
    <row r="166" spans="1:17" s="2" customFormat="1" x14ac:dyDescent="0.25">
      <c r="A166" s="2">
        <v>2609</v>
      </c>
      <c r="B166" s="3" t="s">
        <v>225</v>
      </c>
      <c r="C166" s="3" t="s">
        <v>163</v>
      </c>
      <c r="D166" s="11">
        <v>869</v>
      </c>
      <c r="E166" s="11">
        <v>82</v>
      </c>
      <c r="F166" s="3">
        <v>22431.936460656529</v>
      </c>
      <c r="G166" s="3">
        <v>6729.5809381969602</v>
      </c>
      <c r="H166" s="3"/>
      <c r="I166" s="3"/>
      <c r="J166" s="3"/>
      <c r="K166" s="3">
        <v>1200</v>
      </c>
      <c r="M166" s="3">
        <v>15702.355522459569</v>
      </c>
      <c r="N166" s="3">
        <v>23631.936460656529</v>
      </c>
      <c r="O166" s="3">
        <v>7929.5809381969602</v>
      </c>
      <c r="P166" s="9">
        <f>O166*Summary!$B$29</f>
        <v>3668.7749703497857</v>
      </c>
      <c r="Q166" s="9">
        <f t="shared" si="17"/>
        <v>3668.77</v>
      </c>
    </row>
    <row r="167" spans="1:17" s="2" customFormat="1" x14ac:dyDescent="0.25">
      <c r="A167" s="2">
        <v>2683</v>
      </c>
      <c r="B167" s="3" t="s">
        <v>187</v>
      </c>
      <c r="C167" s="3" t="s">
        <v>163</v>
      </c>
      <c r="D167" s="11">
        <v>869</v>
      </c>
      <c r="E167" s="11">
        <v>82</v>
      </c>
      <c r="F167" s="3">
        <v>120518.85306207926</v>
      </c>
      <c r="G167" s="3">
        <v>36262.075918623785</v>
      </c>
      <c r="H167" s="3"/>
      <c r="I167" s="3"/>
      <c r="J167" s="3"/>
      <c r="K167" s="3">
        <v>1200</v>
      </c>
      <c r="M167" s="3">
        <v>84256.777143455474</v>
      </c>
      <c r="N167" s="3">
        <v>121718.85306207926</v>
      </c>
      <c r="O167" s="3">
        <v>37462.075918623785</v>
      </c>
      <c r="P167" s="9">
        <f>O167*Summary!$B$29</f>
        <v>17332.558623059049</v>
      </c>
      <c r="Q167" s="9">
        <f t="shared" si="17"/>
        <v>17332.560000000001</v>
      </c>
    </row>
    <row r="168" spans="1:17" s="2" customFormat="1" x14ac:dyDescent="0.25">
      <c r="A168" s="2">
        <v>2854</v>
      </c>
      <c r="B168" s="3" t="s">
        <v>164</v>
      </c>
      <c r="C168" s="3" t="s">
        <v>163</v>
      </c>
      <c r="D168" s="11">
        <v>869</v>
      </c>
      <c r="E168" s="11">
        <v>82</v>
      </c>
      <c r="F168" s="3">
        <v>27823.651220624681</v>
      </c>
      <c r="G168" s="3">
        <v>8625.331878393652</v>
      </c>
      <c r="H168" s="3"/>
      <c r="I168" s="3"/>
      <c r="J168" s="3"/>
      <c r="K168" s="3">
        <v>600</v>
      </c>
      <c r="M168" s="3">
        <v>19198.319342231029</v>
      </c>
      <c r="N168" s="3">
        <v>28423.651220624681</v>
      </c>
      <c r="O168" s="3">
        <v>9225.331878393652</v>
      </c>
      <c r="P168" s="9">
        <f>O168*Summary!$B$29</f>
        <v>4268.279364623836</v>
      </c>
      <c r="Q168" s="9">
        <f t="shared" si="17"/>
        <v>4268.28</v>
      </c>
    </row>
    <row r="169" spans="1:17" s="2" customFormat="1" x14ac:dyDescent="0.25">
      <c r="A169" s="2">
        <v>2856</v>
      </c>
      <c r="B169" s="3" t="s">
        <v>215</v>
      </c>
      <c r="C169" s="3" t="s">
        <v>163</v>
      </c>
      <c r="D169" s="11">
        <v>869</v>
      </c>
      <c r="E169" s="11">
        <v>82</v>
      </c>
      <c r="F169" s="3">
        <v>83451.963283590885</v>
      </c>
      <c r="G169" s="3">
        <v>29208.187149256813</v>
      </c>
      <c r="H169" s="3"/>
      <c r="I169" s="3"/>
      <c r="J169" s="3"/>
      <c r="K169" s="3">
        <v>1200</v>
      </c>
      <c r="M169" s="3">
        <v>54243.776134334075</v>
      </c>
      <c r="N169" s="3">
        <v>84651.963283590885</v>
      </c>
      <c r="O169" s="3">
        <v>30408.187149256813</v>
      </c>
      <c r="P169" s="9">
        <f>O169*Summary!$B$29</f>
        <v>14068.939679966525</v>
      </c>
      <c r="Q169" s="9">
        <f t="shared" si="17"/>
        <v>14068.94</v>
      </c>
    </row>
    <row r="170" spans="1:17" s="2" customFormat="1" x14ac:dyDescent="0.25">
      <c r="A170" s="2">
        <v>2888</v>
      </c>
      <c r="B170" s="3" t="s">
        <v>177</v>
      </c>
      <c r="C170" s="3" t="s">
        <v>163</v>
      </c>
      <c r="D170" s="11">
        <v>869</v>
      </c>
      <c r="E170" s="11">
        <v>82</v>
      </c>
      <c r="F170" s="3">
        <v>54504.416018728087</v>
      </c>
      <c r="G170" s="3">
        <v>17315.016486180262</v>
      </c>
      <c r="H170" s="3"/>
      <c r="I170" s="3"/>
      <c r="J170" s="3"/>
      <c r="K170" s="3">
        <v>600</v>
      </c>
      <c r="M170" s="3">
        <v>37189.399532547817</v>
      </c>
      <c r="N170" s="3">
        <v>55104.416018728087</v>
      </c>
      <c r="O170" s="3">
        <v>17915.016486180262</v>
      </c>
      <c r="P170" s="9">
        <f>O170*Summary!$B$29</f>
        <v>8288.7310931272023</v>
      </c>
      <c r="Q170" s="9">
        <f t="shared" si="17"/>
        <v>8288.73</v>
      </c>
    </row>
    <row r="171" spans="1:17" s="2" customFormat="1" x14ac:dyDescent="0.25">
      <c r="A171" s="2">
        <v>2889</v>
      </c>
      <c r="B171" s="3" t="s">
        <v>195</v>
      </c>
      <c r="C171" s="3" t="s">
        <v>163</v>
      </c>
      <c r="D171" s="11">
        <v>869</v>
      </c>
      <c r="E171" s="11">
        <v>82</v>
      </c>
      <c r="F171" s="3">
        <v>48101.334297447182</v>
      </c>
      <c r="G171" s="3">
        <v>16835.467004106515</v>
      </c>
      <c r="H171" s="3"/>
      <c r="I171" s="3"/>
      <c r="J171" s="3"/>
      <c r="K171" s="3">
        <v>600</v>
      </c>
      <c r="M171" s="15">
        <v>31265.867293340671</v>
      </c>
      <c r="N171" s="15">
        <v>48701.334297447182</v>
      </c>
      <c r="O171" s="15">
        <v>17435.467004106515</v>
      </c>
      <c r="P171" s="21">
        <f>O171*Summary!$B$29</f>
        <v>8066.8581908151136</v>
      </c>
      <c r="Q171" s="21">
        <f t="shared" si="17"/>
        <v>8066.86</v>
      </c>
    </row>
    <row r="172" spans="1:17" s="2" customFormat="1" x14ac:dyDescent="0.25">
      <c r="B172" s="3"/>
      <c r="C172" s="3"/>
      <c r="D172" s="11"/>
      <c r="E172" s="11"/>
      <c r="F172" s="3"/>
      <c r="G172" s="3"/>
      <c r="H172" s="3"/>
      <c r="I172" s="3"/>
      <c r="J172" s="3"/>
      <c r="K172" s="3"/>
      <c r="M172" s="13">
        <f>SUM(M109:M171)</f>
        <v>1805772.0809380214</v>
      </c>
      <c r="N172" s="13">
        <f t="shared" ref="N172:Q172" si="18">SUM(N109:N171)</f>
        <v>2685098.4840740641</v>
      </c>
      <c r="O172" s="13">
        <f t="shared" si="18"/>
        <v>879326.40313604323</v>
      </c>
      <c r="P172" s="13">
        <f t="shared" si="18"/>
        <v>406837.47649932752</v>
      </c>
      <c r="Q172" s="13">
        <f t="shared" si="18"/>
        <v>406837.46999999991</v>
      </c>
    </row>
    <row r="173" spans="1:17" s="2" customFormat="1" x14ac:dyDescent="0.25">
      <c r="B173" s="3"/>
      <c r="C173" s="3"/>
      <c r="D173" s="11"/>
      <c r="E173" s="11"/>
      <c r="F173" s="3"/>
      <c r="G173" s="3"/>
      <c r="H173" s="3"/>
      <c r="I173" s="3"/>
      <c r="J173" s="3"/>
      <c r="K173" s="3"/>
      <c r="M173" s="3"/>
      <c r="N173" s="3"/>
      <c r="O173" s="3"/>
    </row>
    <row r="174" spans="1:17" s="2" customFormat="1" x14ac:dyDescent="0.25">
      <c r="B174" s="3"/>
      <c r="C174" s="3"/>
      <c r="D174" s="11"/>
      <c r="E174" s="11"/>
      <c r="F174" s="3"/>
      <c r="G174" s="3"/>
      <c r="H174" s="3"/>
      <c r="I174" s="3"/>
      <c r="J174" s="3"/>
      <c r="K174" s="3"/>
      <c r="M174" s="3"/>
      <c r="N174" s="3"/>
      <c r="O174" s="3"/>
    </row>
    <row r="175" spans="1:17" s="2" customFormat="1" x14ac:dyDescent="0.25">
      <c r="A175" s="7">
        <v>640</v>
      </c>
      <c r="B175" s="2" t="s">
        <v>157</v>
      </c>
      <c r="C175" s="2" t="s">
        <v>136</v>
      </c>
      <c r="D175" s="7">
        <v>6082</v>
      </c>
      <c r="E175" s="7">
        <v>50</v>
      </c>
      <c r="F175" s="3">
        <v>17999.400000000001</v>
      </c>
      <c r="G175" s="3">
        <v>8399.7199999999993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9599.68</v>
      </c>
      <c r="N175" s="3">
        <v>17999.400000000001</v>
      </c>
      <c r="O175" s="3">
        <v>8399.7199999999993</v>
      </c>
      <c r="P175" s="9">
        <f>O175*Summary!$B$29</f>
        <v>3886.2939585497998</v>
      </c>
      <c r="Q175" s="9">
        <f t="shared" ref="Q175:Q177" si="19">ROUND(P175,2)</f>
        <v>3886.29</v>
      </c>
    </row>
    <row r="176" spans="1:17" s="2" customFormat="1" x14ac:dyDescent="0.25">
      <c r="A176" s="7">
        <v>2890</v>
      </c>
      <c r="B176" s="2" t="s">
        <v>138</v>
      </c>
      <c r="C176" s="2" t="s">
        <v>136</v>
      </c>
      <c r="D176" s="7">
        <v>6082</v>
      </c>
      <c r="E176" s="7">
        <v>50</v>
      </c>
      <c r="F176" s="3">
        <v>16200</v>
      </c>
      <c r="G176" s="3">
        <v>7560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8640</v>
      </c>
      <c r="N176" s="3">
        <v>16200</v>
      </c>
      <c r="O176" s="3">
        <v>7560</v>
      </c>
      <c r="P176" s="9">
        <f>O176*Summary!$B$29</f>
        <v>3497.7811554</v>
      </c>
      <c r="Q176" s="9">
        <f t="shared" si="19"/>
        <v>3497.78</v>
      </c>
    </row>
    <row r="177" spans="1:18" s="2" customFormat="1" x14ac:dyDescent="0.25">
      <c r="A177" s="7">
        <v>2897</v>
      </c>
      <c r="B177" s="2" t="s">
        <v>137</v>
      </c>
      <c r="C177" s="2" t="s">
        <v>136</v>
      </c>
      <c r="D177" s="7">
        <v>6082</v>
      </c>
      <c r="E177" s="7">
        <v>50</v>
      </c>
      <c r="F177" s="3">
        <v>16200</v>
      </c>
      <c r="G177" s="3">
        <v>7560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15">
        <v>8640</v>
      </c>
      <c r="N177" s="15">
        <v>16200</v>
      </c>
      <c r="O177" s="15">
        <v>7560</v>
      </c>
      <c r="P177" s="9">
        <f>O177*Summary!$B$29</f>
        <v>3497.7811554</v>
      </c>
      <c r="Q177" s="9">
        <f t="shared" si="19"/>
        <v>3497.78</v>
      </c>
    </row>
    <row r="178" spans="1:18" s="2" customFormat="1" x14ac:dyDescent="0.25">
      <c r="A178" s="7"/>
      <c r="D178" s="7"/>
      <c r="E178" s="7"/>
      <c r="F178" s="3"/>
      <c r="G178" s="3"/>
      <c r="H178" s="3"/>
      <c r="I178" s="3"/>
      <c r="J178" s="3"/>
      <c r="K178" s="3"/>
      <c r="L178" s="3"/>
      <c r="M178" s="13">
        <f>SUM(M175:M177)</f>
        <v>26879.68</v>
      </c>
      <c r="N178" s="13">
        <f t="shared" ref="N178:Q178" si="20">SUM(N175:N177)</f>
        <v>50399.4</v>
      </c>
      <c r="O178" s="13">
        <f t="shared" si="20"/>
        <v>23519.72</v>
      </c>
      <c r="P178" s="22">
        <f t="shared" si="20"/>
        <v>10881.856269349799</v>
      </c>
      <c r="Q178" s="22">
        <f t="shared" si="20"/>
        <v>10881.85</v>
      </c>
    </row>
    <row r="179" spans="1:18" s="2" customFormat="1" x14ac:dyDescent="0.25">
      <c r="A179" s="7"/>
      <c r="D179" s="7"/>
      <c r="E179" s="7"/>
      <c r="F179" s="3"/>
      <c r="G179" s="3"/>
      <c r="H179" s="3"/>
      <c r="I179" s="3"/>
      <c r="J179" s="3"/>
      <c r="K179" s="3"/>
      <c r="L179" s="3"/>
      <c r="M179" s="3"/>
      <c r="N179" s="3"/>
      <c r="O179" s="3"/>
      <c r="Q179" s="9"/>
    </row>
    <row r="180" spans="1:18" s="2" customFormat="1" x14ac:dyDescent="0.25">
      <c r="A180" s="7"/>
      <c r="D180" s="7"/>
      <c r="E180" s="7"/>
      <c r="F180" s="3"/>
      <c r="G180" s="3"/>
      <c r="H180" s="3"/>
      <c r="I180" s="3"/>
      <c r="J180" s="3"/>
      <c r="K180" s="3"/>
      <c r="L180" s="3"/>
      <c r="M180" s="3"/>
      <c r="N180" s="3"/>
      <c r="O180" s="3"/>
      <c r="Q180" s="9"/>
    </row>
    <row r="181" spans="1:18" s="2" customFormat="1" x14ac:dyDescent="0.25">
      <c r="A181" s="7">
        <v>1</v>
      </c>
      <c r="B181" s="2" t="s">
        <v>20</v>
      </c>
      <c r="C181" s="2" t="s">
        <v>19</v>
      </c>
      <c r="D181" s="7">
        <v>868</v>
      </c>
      <c r="E181" s="7">
        <v>82</v>
      </c>
      <c r="F181" s="3">
        <v>22413.72</v>
      </c>
      <c r="G181" s="3">
        <v>6462.97</v>
      </c>
      <c r="H181" s="3">
        <v>0</v>
      </c>
      <c r="I181" s="3">
        <v>0</v>
      </c>
      <c r="J181" s="3">
        <v>0</v>
      </c>
      <c r="K181" s="3">
        <v>2607</v>
      </c>
      <c r="L181" s="3">
        <v>0</v>
      </c>
      <c r="M181" s="3">
        <v>15950.75</v>
      </c>
      <c r="N181" s="3">
        <v>25020.720000000001</v>
      </c>
      <c r="O181" s="3">
        <v>9069.9699999999993</v>
      </c>
      <c r="P181" s="9">
        <f>O181*Summary!$B$29</f>
        <v>4196.3981674660499</v>
      </c>
      <c r="Q181" s="9">
        <f t="shared" ref="Q181:Q189" si="21">ROUND(P181,2)</f>
        <v>4196.3999999999996</v>
      </c>
    </row>
    <row r="182" spans="1:18" s="2" customFormat="1" x14ac:dyDescent="0.25">
      <c r="A182" s="7">
        <v>4</v>
      </c>
      <c r="B182" s="2" t="s">
        <v>102</v>
      </c>
      <c r="C182" s="2" t="s">
        <v>19</v>
      </c>
      <c r="D182" s="7">
        <v>868</v>
      </c>
      <c r="E182" s="7">
        <v>82</v>
      </c>
      <c r="F182" s="3">
        <v>7115.16</v>
      </c>
      <c r="G182" s="3">
        <v>1067.27</v>
      </c>
      <c r="H182" s="3">
        <v>0</v>
      </c>
      <c r="I182" s="3">
        <v>0</v>
      </c>
      <c r="J182" s="3">
        <v>0</v>
      </c>
      <c r="K182" s="3">
        <v>1123.57</v>
      </c>
      <c r="L182" s="3">
        <v>0</v>
      </c>
      <c r="M182" s="3">
        <v>6047.89</v>
      </c>
      <c r="N182" s="3">
        <v>8238.73</v>
      </c>
      <c r="O182" s="3">
        <v>2190.84</v>
      </c>
      <c r="P182" s="9">
        <f>O182*Summary!$B$29</f>
        <v>1013.6347707006</v>
      </c>
      <c r="Q182" s="9">
        <f t="shared" si="21"/>
        <v>1013.63</v>
      </c>
    </row>
    <row r="183" spans="1:18" s="2" customFormat="1" x14ac:dyDescent="0.25">
      <c r="A183" s="7">
        <v>91</v>
      </c>
      <c r="B183" s="2" t="s">
        <v>26</v>
      </c>
      <c r="C183" s="2" t="s">
        <v>19</v>
      </c>
      <c r="D183" s="7">
        <v>868</v>
      </c>
      <c r="E183" s="7">
        <v>82</v>
      </c>
      <c r="F183" s="3">
        <v>12184.77</v>
      </c>
      <c r="G183" s="3">
        <v>4641.67</v>
      </c>
      <c r="H183" s="3">
        <v>0</v>
      </c>
      <c r="I183" s="3">
        <v>0</v>
      </c>
      <c r="J183" s="3">
        <v>0</v>
      </c>
      <c r="K183" s="3">
        <v>1483.73</v>
      </c>
      <c r="L183" s="3">
        <v>0</v>
      </c>
      <c r="M183" s="3">
        <v>7543.1</v>
      </c>
      <c r="N183" s="3">
        <f>K183+F183</f>
        <v>13668.5</v>
      </c>
      <c r="O183" s="3">
        <f>K183+G183</f>
        <v>6125.4</v>
      </c>
      <c r="P183" s="9">
        <f>O183*Summary!$B$29</f>
        <v>2834.0355409109998</v>
      </c>
      <c r="Q183" s="9">
        <f t="shared" si="21"/>
        <v>2834.04</v>
      </c>
      <c r="R183" s="3"/>
    </row>
    <row r="184" spans="1:18" s="2" customFormat="1" x14ac:dyDescent="0.25">
      <c r="A184" s="7">
        <v>94</v>
      </c>
      <c r="B184" s="2" t="s">
        <v>49</v>
      </c>
      <c r="C184" s="2" t="s">
        <v>19</v>
      </c>
      <c r="D184" s="7">
        <v>868</v>
      </c>
      <c r="E184" s="7">
        <v>82</v>
      </c>
      <c r="F184" s="3">
        <v>46944</v>
      </c>
      <c r="G184" s="3">
        <v>19512</v>
      </c>
      <c r="H184" s="3">
        <v>0</v>
      </c>
      <c r="I184" s="3">
        <v>0</v>
      </c>
      <c r="J184" s="3">
        <v>0</v>
      </c>
      <c r="K184" s="3">
        <v>6108.13</v>
      </c>
      <c r="L184" s="3">
        <v>0</v>
      </c>
      <c r="M184" s="3">
        <v>27432</v>
      </c>
      <c r="N184" s="3">
        <v>53052.13</v>
      </c>
      <c r="O184" s="3">
        <v>25620.13</v>
      </c>
      <c r="P184" s="9">
        <f>O184*Summary!$B$29</f>
        <v>11853.651840330451</v>
      </c>
      <c r="Q184" s="9">
        <f t="shared" si="21"/>
        <v>11853.65</v>
      </c>
    </row>
    <row r="185" spans="1:18" s="2" customFormat="1" x14ac:dyDescent="0.25">
      <c r="A185" s="7">
        <v>95</v>
      </c>
      <c r="B185" s="2" t="s">
        <v>52</v>
      </c>
      <c r="C185" s="2" t="s">
        <v>19</v>
      </c>
      <c r="D185" s="7">
        <v>868</v>
      </c>
      <c r="E185" s="7">
        <v>82</v>
      </c>
      <c r="F185" s="3">
        <v>19564.8</v>
      </c>
      <c r="G185" s="3">
        <v>6973.2</v>
      </c>
      <c r="H185" s="3">
        <v>0</v>
      </c>
      <c r="I185" s="3">
        <v>0</v>
      </c>
      <c r="J185" s="3">
        <v>0</v>
      </c>
      <c r="K185" s="3">
        <v>915.72</v>
      </c>
      <c r="L185" s="3">
        <v>0</v>
      </c>
      <c r="M185" s="3">
        <v>12591.6</v>
      </c>
      <c r="N185" s="3">
        <v>20480.52</v>
      </c>
      <c r="O185" s="3">
        <v>7888.92</v>
      </c>
      <c r="P185" s="9">
        <f>O185*Summary!$B$29</f>
        <v>3649.9623958278003</v>
      </c>
      <c r="Q185" s="9">
        <f t="shared" si="21"/>
        <v>3649.96</v>
      </c>
    </row>
    <row r="186" spans="1:18" s="2" customFormat="1" x14ac:dyDescent="0.25">
      <c r="A186" s="7">
        <v>97</v>
      </c>
      <c r="B186" s="2" t="s">
        <v>110</v>
      </c>
      <c r="C186" s="2" t="s">
        <v>19</v>
      </c>
      <c r="D186" s="7">
        <v>868</v>
      </c>
      <c r="E186" s="7">
        <v>82</v>
      </c>
      <c r="F186" s="3">
        <v>13500</v>
      </c>
      <c r="G186" s="3">
        <v>4725</v>
      </c>
      <c r="H186" s="3">
        <v>0</v>
      </c>
      <c r="I186" s="3">
        <v>0</v>
      </c>
      <c r="J186" s="3">
        <v>0</v>
      </c>
      <c r="K186" s="3">
        <v>1911.89</v>
      </c>
      <c r="L186" s="3">
        <v>0</v>
      </c>
      <c r="M186" s="3">
        <v>8775</v>
      </c>
      <c r="N186" s="3">
        <v>15411.89</v>
      </c>
      <c r="O186" s="3">
        <v>6636.89</v>
      </c>
      <c r="P186" s="9">
        <f>O186*Summary!$B$29</f>
        <v>3070.68634556385</v>
      </c>
      <c r="Q186" s="9">
        <f t="shared" si="21"/>
        <v>3070.69</v>
      </c>
    </row>
    <row r="187" spans="1:18" s="2" customFormat="1" x14ac:dyDescent="0.25">
      <c r="A187" s="7">
        <v>99</v>
      </c>
      <c r="B187" s="2" t="s">
        <v>66</v>
      </c>
      <c r="C187" s="2" t="s">
        <v>19</v>
      </c>
      <c r="D187" s="7">
        <v>868</v>
      </c>
      <c r="E187" s="7">
        <v>82</v>
      </c>
      <c r="F187" s="3">
        <v>16607.400000000001</v>
      </c>
      <c r="G187" s="3">
        <v>8303.7000000000007</v>
      </c>
      <c r="H187" s="3">
        <v>0</v>
      </c>
      <c r="I187" s="3">
        <v>0</v>
      </c>
      <c r="J187" s="3">
        <v>0</v>
      </c>
      <c r="K187" s="3">
        <v>3108.12</v>
      </c>
      <c r="L187" s="3">
        <v>0</v>
      </c>
      <c r="M187" s="3">
        <v>8303.7000000000007</v>
      </c>
      <c r="N187" s="3">
        <v>19715.52</v>
      </c>
      <c r="O187" s="3">
        <v>11411.82</v>
      </c>
      <c r="P187" s="9">
        <f>O187*Summary!$B$29</f>
        <v>5279.9006540763003</v>
      </c>
      <c r="Q187" s="9">
        <f t="shared" si="21"/>
        <v>5279.9</v>
      </c>
    </row>
    <row r="188" spans="1:18" s="2" customFormat="1" x14ac:dyDescent="0.25">
      <c r="A188" s="7">
        <v>577</v>
      </c>
      <c r="B188" s="2" t="s">
        <v>326</v>
      </c>
      <c r="C188" s="2" t="s">
        <v>19</v>
      </c>
      <c r="D188" s="7">
        <v>868</v>
      </c>
      <c r="E188" s="7">
        <v>82</v>
      </c>
      <c r="F188" s="3">
        <v>15600</v>
      </c>
      <c r="G188" s="3">
        <v>3900</v>
      </c>
      <c r="H188" s="3"/>
      <c r="I188" s="3"/>
      <c r="J188" s="3"/>
      <c r="K188" s="3">
        <v>915.15</v>
      </c>
      <c r="L188" s="3"/>
      <c r="M188" s="3">
        <v>11700</v>
      </c>
      <c r="N188" s="3">
        <f>K188+F188</f>
        <v>16515.150000000001</v>
      </c>
      <c r="O188" s="3">
        <f>G188+K188</f>
        <v>4815.1499999999996</v>
      </c>
      <c r="P188" s="9">
        <f>O188*Summary!$B$29</f>
        <v>2227.8228743947498</v>
      </c>
      <c r="Q188" s="9">
        <f t="shared" si="21"/>
        <v>2227.8200000000002</v>
      </c>
    </row>
    <row r="189" spans="1:18" s="2" customFormat="1" x14ac:dyDescent="0.25">
      <c r="A189" s="7">
        <v>700</v>
      </c>
      <c r="B189" s="2" t="s">
        <v>76</v>
      </c>
      <c r="C189" s="2" t="s">
        <v>19</v>
      </c>
      <c r="D189" s="7">
        <v>868</v>
      </c>
      <c r="E189" s="7">
        <v>82</v>
      </c>
      <c r="F189" s="3">
        <v>6900</v>
      </c>
      <c r="G189" s="3">
        <v>4140</v>
      </c>
      <c r="H189" s="3">
        <v>0</v>
      </c>
      <c r="I189" s="3">
        <v>0</v>
      </c>
      <c r="J189" s="3">
        <v>0</v>
      </c>
      <c r="K189" s="3">
        <v>4167.8500000000004</v>
      </c>
      <c r="L189" s="3">
        <v>0</v>
      </c>
      <c r="M189" s="15">
        <v>2760</v>
      </c>
      <c r="N189" s="3">
        <f>K189+F189</f>
        <v>11067.85</v>
      </c>
      <c r="O189" s="15">
        <f>K189+G189</f>
        <v>8307.85</v>
      </c>
      <c r="P189" s="21">
        <f>O189*Summary!$B$29</f>
        <v>3843.7885148002501</v>
      </c>
      <c r="Q189" s="21">
        <f t="shared" si="21"/>
        <v>3843.79</v>
      </c>
      <c r="R189" s="3"/>
    </row>
    <row r="190" spans="1:18" s="2" customFormat="1" x14ac:dyDescent="0.25">
      <c r="A190" s="7"/>
      <c r="D190" s="7"/>
      <c r="E190" s="7"/>
      <c r="F190" s="3"/>
      <c r="G190" s="3"/>
      <c r="H190" s="3"/>
      <c r="I190" s="3"/>
      <c r="J190" s="3"/>
      <c r="K190" s="3"/>
      <c r="L190" s="3"/>
      <c r="M190" s="13">
        <f>SUM(M181:M189)</f>
        <v>101104.04</v>
      </c>
      <c r="N190" s="22">
        <f t="shared" ref="N190:Q190" si="22">SUM(N181:N189)</f>
        <v>183171.00999999998</v>
      </c>
      <c r="O190" s="13">
        <f t="shared" si="22"/>
        <v>82066.97</v>
      </c>
      <c r="P190" s="13">
        <f t="shared" si="22"/>
        <v>37969.88110407105</v>
      </c>
      <c r="Q190" s="13">
        <f t="shared" si="22"/>
        <v>37969.879999999997</v>
      </c>
    </row>
    <row r="191" spans="1:18" s="2" customFormat="1" x14ac:dyDescent="0.25">
      <c r="A191" s="7"/>
      <c r="D191" s="7"/>
      <c r="E191" s="7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8" s="2" customFormat="1" x14ac:dyDescent="0.25">
      <c r="A192" s="7"/>
      <c r="D192" s="7"/>
      <c r="E192" s="7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7" s="2" customFormat="1" x14ac:dyDescent="0.25">
      <c r="A193" s="7">
        <v>51</v>
      </c>
      <c r="B193" s="2" t="s">
        <v>69</v>
      </c>
      <c r="C193" s="2" t="s">
        <v>27</v>
      </c>
      <c r="D193" s="7">
        <v>867</v>
      </c>
      <c r="E193" s="7">
        <v>82</v>
      </c>
      <c r="F193" s="3">
        <v>30450</v>
      </c>
      <c r="G193" s="3">
        <v>15225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15225</v>
      </c>
      <c r="N193" s="3">
        <v>30450</v>
      </c>
      <c r="O193" s="3">
        <v>15225</v>
      </c>
      <c r="P193" s="9">
        <f>O193*Summary!$B$29</f>
        <v>7044.1426046249999</v>
      </c>
      <c r="Q193" s="9">
        <f t="shared" ref="Q193:Q213" si="23">ROUND(P193,2)</f>
        <v>7044.14</v>
      </c>
    </row>
    <row r="194" spans="1:17" s="2" customFormat="1" x14ac:dyDescent="0.25">
      <c r="A194" s="7">
        <v>181</v>
      </c>
      <c r="B194" s="2" t="s">
        <v>38</v>
      </c>
      <c r="C194" s="2" t="s">
        <v>27</v>
      </c>
      <c r="D194" s="7">
        <v>867</v>
      </c>
      <c r="E194" s="7">
        <v>82</v>
      </c>
      <c r="F194" s="3">
        <v>6000</v>
      </c>
      <c r="G194" s="3">
        <v>1740</v>
      </c>
      <c r="H194" s="3">
        <v>0</v>
      </c>
      <c r="I194" s="3">
        <v>0</v>
      </c>
      <c r="J194" s="3">
        <v>0</v>
      </c>
      <c r="K194" s="3">
        <v>4426.8</v>
      </c>
      <c r="L194" s="3">
        <v>0</v>
      </c>
      <c r="M194" s="3">
        <v>4260</v>
      </c>
      <c r="N194" s="3">
        <v>10426.799999999999</v>
      </c>
      <c r="O194" s="3">
        <v>6166.8</v>
      </c>
      <c r="P194" s="9">
        <f>O194*Summary!$B$29</f>
        <v>2853.190056762</v>
      </c>
      <c r="Q194" s="9">
        <f t="shared" si="23"/>
        <v>2853.19</v>
      </c>
    </row>
    <row r="195" spans="1:17" s="2" customFormat="1" x14ac:dyDescent="0.25">
      <c r="A195" s="7">
        <v>182</v>
      </c>
      <c r="B195" s="2" t="s">
        <v>53</v>
      </c>
      <c r="C195" s="2" t="s">
        <v>27</v>
      </c>
      <c r="D195" s="7">
        <v>867</v>
      </c>
      <c r="E195" s="7">
        <v>82</v>
      </c>
      <c r="F195" s="3">
        <v>29774.959999999999</v>
      </c>
      <c r="G195" s="3">
        <v>7443.74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22331.22</v>
      </c>
      <c r="N195" s="3">
        <v>29774.959999999999</v>
      </c>
      <c r="O195" s="3">
        <v>7443.74</v>
      </c>
      <c r="P195" s="9">
        <f>O195*Summary!$B$29</f>
        <v>3443.9912033991</v>
      </c>
      <c r="Q195" s="9">
        <f t="shared" si="23"/>
        <v>3443.99</v>
      </c>
    </row>
    <row r="196" spans="1:17" s="2" customFormat="1" x14ac:dyDescent="0.25">
      <c r="A196" s="7">
        <v>186</v>
      </c>
      <c r="B196" s="2" t="s">
        <v>125</v>
      </c>
      <c r="C196" s="2" t="s">
        <v>27</v>
      </c>
      <c r="D196" s="7">
        <v>867</v>
      </c>
      <c r="E196" s="7">
        <v>82</v>
      </c>
      <c r="F196" s="3">
        <v>24852.799999999999</v>
      </c>
      <c r="G196" s="3">
        <v>9941.1200000000008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14911.68</v>
      </c>
      <c r="N196" s="3">
        <v>24852.799999999999</v>
      </c>
      <c r="O196" s="3">
        <v>9941.1200000000008</v>
      </c>
      <c r="P196" s="9">
        <f>O196*Summary!$B$29</f>
        <v>4599.4526719007999</v>
      </c>
      <c r="Q196" s="9">
        <f t="shared" si="23"/>
        <v>4599.45</v>
      </c>
    </row>
    <row r="197" spans="1:17" s="2" customFormat="1" x14ac:dyDescent="0.25">
      <c r="A197" s="7">
        <v>463</v>
      </c>
      <c r="B197" s="2" t="s">
        <v>63</v>
      </c>
      <c r="C197" s="2" t="s">
        <v>27</v>
      </c>
      <c r="D197" s="7">
        <v>867</v>
      </c>
      <c r="E197" s="7">
        <v>82</v>
      </c>
      <c r="F197" s="3">
        <v>37363.4</v>
      </c>
      <c r="G197" s="3">
        <v>11978.04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25385.360000000001</v>
      </c>
      <c r="N197" s="3">
        <v>37363.4</v>
      </c>
      <c r="O197" s="3">
        <v>11978.04</v>
      </c>
      <c r="P197" s="9">
        <f>O197*Summary!$B$29</f>
        <v>5541.8733585486007</v>
      </c>
      <c r="Q197" s="9">
        <f t="shared" si="23"/>
        <v>5541.87</v>
      </c>
    </row>
    <row r="198" spans="1:17" s="2" customFormat="1" x14ac:dyDescent="0.25">
      <c r="A198" s="7">
        <v>465</v>
      </c>
      <c r="B198" s="2" t="s">
        <v>95</v>
      </c>
      <c r="C198" s="2" t="s">
        <v>27</v>
      </c>
      <c r="D198" s="7">
        <v>867</v>
      </c>
      <c r="E198" s="7">
        <v>82</v>
      </c>
      <c r="F198" s="3">
        <v>34279.199999999997</v>
      </c>
      <c r="G198" s="3">
        <v>13368.89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20910.310000000001</v>
      </c>
      <c r="N198" s="3">
        <v>34279.199999999997</v>
      </c>
      <c r="O198" s="3">
        <v>13368.89</v>
      </c>
      <c r="P198" s="9">
        <f>O198*Summary!$B$29</f>
        <v>6185.3771839438496</v>
      </c>
      <c r="Q198" s="9">
        <f t="shared" si="23"/>
        <v>6185.38</v>
      </c>
    </row>
    <row r="199" spans="1:17" s="2" customFormat="1" x14ac:dyDescent="0.25">
      <c r="A199" s="7">
        <v>466</v>
      </c>
      <c r="B199" s="2" t="s">
        <v>54</v>
      </c>
      <c r="C199" s="2" t="s">
        <v>27</v>
      </c>
      <c r="D199" s="7">
        <v>867</v>
      </c>
      <c r="E199" s="7">
        <v>82</v>
      </c>
      <c r="F199" s="3">
        <v>19320</v>
      </c>
      <c r="G199" s="3">
        <v>8694</v>
      </c>
      <c r="H199" s="3">
        <v>0</v>
      </c>
      <c r="I199" s="3">
        <v>0</v>
      </c>
      <c r="J199" s="3">
        <v>0</v>
      </c>
      <c r="K199" s="3">
        <v>2882.99</v>
      </c>
      <c r="L199" s="3">
        <v>0</v>
      </c>
      <c r="M199" s="3">
        <v>10626</v>
      </c>
      <c r="N199" s="3">
        <v>22202.99</v>
      </c>
      <c r="O199" s="3">
        <v>11576.99</v>
      </c>
      <c r="P199" s="9">
        <f>O199*Summary!$B$29</f>
        <v>5356.3197696103498</v>
      </c>
      <c r="Q199" s="9">
        <f t="shared" si="23"/>
        <v>5356.32</v>
      </c>
    </row>
    <row r="200" spans="1:17" s="2" customFormat="1" x14ac:dyDescent="0.25">
      <c r="A200" s="7">
        <v>726</v>
      </c>
      <c r="B200" s="2" t="s">
        <v>28</v>
      </c>
      <c r="C200" s="2" t="s">
        <v>27</v>
      </c>
      <c r="D200" s="7">
        <v>867</v>
      </c>
      <c r="E200" s="7">
        <v>82</v>
      </c>
      <c r="F200" s="3">
        <v>22800</v>
      </c>
      <c r="G200" s="3">
        <v>13224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9576</v>
      </c>
      <c r="N200" s="3">
        <v>22800</v>
      </c>
      <c r="O200" s="3">
        <v>13224</v>
      </c>
      <c r="P200" s="9">
        <f>O200*Summary!$B$29</f>
        <v>6118.3410051600003</v>
      </c>
      <c r="Q200" s="9">
        <f t="shared" si="23"/>
        <v>6118.34</v>
      </c>
    </row>
    <row r="201" spans="1:17" s="2" customFormat="1" x14ac:dyDescent="0.25">
      <c r="A201" s="7">
        <v>727</v>
      </c>
      <c r="B201" s="2" t="s">
        <v>34</v>
      </c>
      <c r="C201" s="2" t="s">
        <v>27</v>
      </c>
      <c r="D201" s="7">
        <v>867</v>
      </c>
      <c r="E201" s="7">
        <v>82</v>
      </c>
      <c r="F201" s="3">
        <v>20916</v>
      </c>
      <c r="G201" s="3">
        <v>12131.28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8784.7199999999993</v>
      </c>
      <c r="N201" s="3">
        <v>20916</v>
      </c>
      <c r="O201" s="3">
        <v>12131.28</v>
      </c>
      <c r="P201" s="9">
        <f>O201*Summary!$B$29</f>
        <v>5612.7728273652001</v>
      </c>
      <c r="Q201" s="9">
        <f t="shared" si="23"/>
        <v>5612.77</v>
      </c>
    </row>
    <row r="202" spans="1:17" s="2" customFormat="1" x14ac:dyDescent="0.25">
      <c r="A202" s="7">
        <v>728</v>
      </c>
      <c r="B202" s="2" t="s">
        <v>64</v>
      </c>
      <c r="C202" s="2" t="s">
        <v>27</v>
      </c>
      <c r="D202" s="7">
        <v>867</v>
      </c>
      <c r="E202" s="7">
        <v>82</v>
      </c>
      <c r="F202" s="3">
        <v>51108</v>
      </c>
      <c r="G202" s="3">
        <v>30153.72</v>
      </c>
      <c r="H202" s="3">
        <v>0</v>
      </c>
      <c r="I202" s="3">
        <v>0</v>
      </c>
      <c r="J202" s="3">
        <v>0</v>
      </c>
      <c r="K202" s="3">
        <v>0</v>
      </c>
      <c r="L202" s="3">
        <v>26496.84</v>
      </c>
      <c r="M202" s="3">
        <v>20954.28</v>
      </c>
      <c r="N202" s="3">
        <v>77604.84</v>
      </c>
      <c r="O202" s="3">
        <v>56650.559999999998</v>
      </c>
      <c r="P202" s="9">
        <f>O202*Summary!$B$29</f>
        <v>26210.484287150401</v>
      </c>
      <c r="Q202" s="9">
        <f t="shared" si="23"/>
        <v>26210.48</v>
      </c>
    </row>
    <row r="203" spans="1:17" s="2" customFormat="1" x14ac:dyDescent="0.25">
      <c r="A203" s="7">
        <v>739</v>
      </c>
      <c r="B203" s="2" t="s">
        <v>88</v>
      </c>
      <c r="C203" s="2" t="s">
        <v>27</v>
      </c>
      <c r="D203" s="7">
        <v>867</v>
      </c>
      <c r="E203" s="7">
        <v>82</v>
      </c>
      <c r="F203" s="3">
        <v>13957.73</v>
      </c>
      <c r="G203" s="3">
        <v>6978.86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6978.87</v>
      </c>
      <c r="N203" s="3">
        <v>13957.73</v>
      </c>
      <c r="O203" s="3">
        <v>6978.86</v>
      </c>
      <c r="P203" s="9">
        <f>O203*Summary!$B$29</f>
        <v>3228.9054225098998</v>
      </c>
      <c r="Q203" s="9">
        <f t="shared" si="23"/>
        <v>3228.91</v>
      </c>
    </row>
    <row r="204" spans="1:17" s="2" customFormat="1" x14ac:dyDescent="0.25">
      <c r="A204" s="7">
        <v>741</v>
      </c>
      <c r="B204" s="2" t="s">
        <v>124</v>
      </c>
      <c r="C204" s="2" t="s">
        <v>27</v>
      </c>
      <c r="D204" s="7">
        <v>867</v>
      </c>
      <c r="E204" s="7">
        <v>82</v>
      </c>
      <c r="F204" s="3">
        <v>39240</v>
      </c>
      <c r="G204" s="3">
        <v>13341.6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25898.400000000001</v>
      </c>
      <c r="N204" s="3">
        <v>39240</v>
      </c>
      <c r="O204" s="3">
        <v>13341.6</v>
      </c>
      <c r="P204" s="9">
        <f>O204*Summary!$B$29</f>
        <v>6172.7509342439998</v>
      </c>
      <c r="Q204" s="9">
        <f t="shared" si="23"/>
        <v>6172.75</v>
      </c>
    </row>
    <row r="205" spans="1:17" s="2" customFormat="1" x14ac:dyDescent="0.25">
      <c r="A205" s="7">
        <v>742</v>
      </c>
      <c r="B205" s="2" t="s">
        <v>148</v>
      </c>
      <c r="C205" s="2" t="s">
        <v>27</v>
      </c>
      <c r="D205" s="7">
        <v>867</v>
      </c>
      <c r="E205" s="7">
        <v>82</v>
      </c>
      <c r="F205" s="3">
        <v>22800</v>
      </c>
      <c r="G205" s="3">
        <v>9576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13224</v>
      </c>
      <c r="N205" s="3">
        <v>22800</v>
      </c>
      <c r="O205" s="3">
        <v>9576</v>
      </c>
      <c r="P205" s="9">
        <f>O205*Summary!$B$29</f>
        <v>4430.5227968400004</v>
      </c>
      <c r="Q205" s="9">
        <f t="shared" si="23"/>
        <v>4430.5200000000004</v>
      </c>
    </row>
    <row r="206" spans="1:17" s="2" customFormat="1" x14ac:dyDescent="0.25">
      <c r="A206" s="7">
        <v>748</v>
      </c>
      <c r="B206" s="2" t="s">
        <v>144</v>
      </c>
      <c r="C206" s="2" t="s">
        <v>27</v>
      </c>
      <c r="D206" s="7">
        <v>867</v>
      </c>
      <c r="E206" s="7">
        <v>82</v>
      </c>
      <c r="F206" s="3">
        <v>26267.4</v>
      </c>
      <c r="G206" s="3">
        <v>15760.44</v>
      </c>
      <c r="H206" s="3">
        <v>0</v>
      </c>
      <c r="I206" s="3">
        <v>0</v>
      </c>
      <c r="J206" s="3">
        <v>0</v>
      </c>
      <c r="K206" s="3">
        <v>8220.67</v>
      </c>
      <c r="L206" s="3">
        <v>0</v>
      </c>
      <c r="M206" s="3">
        <v>10506.96</v>
      </c>
      <c r="N206" s="3">
        <v>34488.07</v>
      </c>
      <c r="O206" s="3">
        <v>23981.11</v>
      </c>
      <c r="P206" s="9">
        <f>O206*Summary!$B$29</f>
        <v>11095.32733380615</v>
      </c>
      <c r="Q206" s="9">
        <f t="shared" si="23"/>
        <v>11095.33</v>
      </c>
    </row>
    <row r="207" spans="1:17" s="2" customFormat="1" x14ac:dyDescent="0.25">
      <c r="A207" s="7">
        <v>750</v>
      </c>
      <c r="B207" s="2" t="s">
        <v>141</v>
      </c>
      <c r="C207" s="2" t="s">
        <v>27</v>
      </c>
      <c r="D207" s="7">
        <v>867</v>
      </c>
      <c r="E207" s="7">
        <v>82</v>
      </c>
      <c r="F207" s="3">
        <v>49500</v>
      </c>
      <c r="G207" s="3">
        <v>23400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26100</v>
      </c>
      <c r="N207" s="3">
        <v>49500</v>
      </c>
      <c r="O207" s="3">
        <v>23400</v>
      </c>
      <c r="P207" s="9">
        <f>O207*Summary!$B$29</f>
        <v>10826.465480999999</v>
      </c>
      <c r="Q207" s="9">
        <f t="shared" si="23"/>
        <v>10826.47</v>
      </c>
    </row>
    <row r="208" spans="1:17" s="2" customFormat="1" x14ac:dyDescent="0.25">
      <c r="A208" s="7">
        <v>879</v>
      </c>
      <c r="B208" s="2" t="s">
        <v>58</v>
      </c>
      <c r="C208" s="2" t="s">
        <v>27</v>
      </c>
      <c r="D208" s="7">
        <v>867</v>
      </c>
      <c r="E208" s="7">
        <v>82</v>
      </c>
      <c r="F208" s="3">
        <v>32460</v>
      </c>
      <c r="G208" s="3">
        <v>19476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12984</v>
      </c>
      <c r="N208" s="3">
        <v>32460</v>
      </c>
      <c r="O208" s="3">
        <v>19476</v>
      </c>
      <c r="P208" s="9">
        <f>O208*Summary!$B$29</f>
        <v>9010.9505003400009</v>
      </c>
      <c r="Q208" s="9">
        <f t="shared" si="23"/>
        <v>9010.9500000000007</v>
      </c>
    </row>
    <row r="209" spans="1:17" s="2" customFormat="1" x14ac:dyDescent="0.25">
      <c r="A209" s="7">
        <v>881</v>
      </c>
      <c r="B209" s="2" t="s">
        <v>101</v>
      </c>
      <c r="C209" s="2" t="s">
        <v>27</v>
      </c>
      <c r="D209" s="7">
        <v>867</v>
      </c>
      <c r="E209" s="7">
        <v>82</v>
      </c>
      <c r="F209" s="3">
        <v>17544</v>
      </c>
      <c r="G209" s="3">
        <v>10526.4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7017.6</v>
      </c>
      <c r="N209" s="3">
        <v>17544</v>
      </c>
      <c r="O209" s="3">
        <v>10526.4</v>
      </c>
      <c r="P209" s="9">
        <f>O209*Summary!$B$29</f>
        <v>4870.2438563759997</v>
      </c>
      <c r="Q209" s="9">
        <f t="shared" si="23"/>
        <v>4870.24</v>
      </c>
    </row>
    <row r="210" spans="1:17" s="2" customFormat="1" x14ac:dyDescent="0.25">
      <c r="A210" s="7">
        <v>882</v>
      </c>
      <c r="B210" s="2" t="s">
        <v>109</v>
      </c>
      <c r="C210" s="2" t="s">
        <v>27</v>
      </c>
      <c r="D210" s="7">
        <v>867</v>
      </c>
      <c r="E210" s="7">
        <v>82</v>
      </c>
      <c r="F210" s="3">
        <v>18936</v>
      </c>
      <c r="G210" s="3">
        <v>10036.08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8899.92</v>
      </c>
      <c r="N210" s="3">
        <v>18936</v>
      </c>
      <c r="O210" s="3">
        <v>10036.08</v>
      </c>
      <c r="P210" s="9">
        <f>O210*Summary!$B$29</f>
        <v>4643.3877642972002</v>
      </c>
      <c r="Q210" s="9">
        <f t="shared" si="23"/>
        <v>4643.3900000000003</v>
      </c>
    </row>
    <row r="211" spans="1:17" s="2" customFormat="1" x14ac:dyDescent="0.25">
      <c r="A211" s="7">
        <v>883</v>
      </c>
      <c r="B211" s="2" t="s">
        <v>140</v>
      </c>
      <c r="C211" s="2" t="s">
        <v>27</v>
      </c>
      <c r="D211" s="7">
        <v>867</v>
      </c>
      <c r="E211" s="7">
        <v>82</v>
      </c>
      <c r="F211" s="3">
        <v>20832</v>
      </c>
      <c r="G211" s="3">
        <v>11040.96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9791.0400000000009</v>
      </c>
      <c r="N211" s="3">
        <v>20832</v>
      </c>
      <c r="O211" s="3">
        <v>11040.96</v>
      </c>
      <c r="P211" s="9">
        <f>O211*Summary!$B$29</f>
        <v>5108.3150562863993</v>
      </c>
      <c r="Q211" s="9">
        <f t="shared" si="23"/>
        <v>5108.32</v>
      </c>
    </row>
    <row r="212" spans="1:17" s="2" customFormat="1" x14ac:dyDescent="0.25">
      <c r="A212" s="7">
        <v>2174</v>
      </c>
      <c r="B212" s="2" t="s">
        <v>130</v>
      </c>
      <c r="C212" s="2" t="s">
        <v>27</v>
      </c>
      <c r="D212" s="7">
        <v>867</v>
      </c>
      <c r="E212" s="7">
        <v>82</v>
      </c>
      <c r="F212" s="3">
        <v>39108</v>
      </c>
      <c r="G212" s="3">
        <v>10096.68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29011.32</v>
      </c>
      <c r="N212" s="3">
        <v>39108</v>
      </c>
      <c r="O212" s="3">
        <v>10096.68</v>
      </c>
      <c r="P212" s="9">
        <f>O212*Summary!$B$29</f>
        <v>4671.4255338762005</v>
      </c>
      <c r="Q212" s="9">
        <f t="shared" si="23"/>
        <v>4671.43</v>
      </c>
    </row>
    <row r="213" spans="1:17" s="2" customFormat="1" x14ac:dyDescent="0.25">
      <c r="A213" s="7">
        <v>2687</v>
      </c>
      <c r="B213" s="2" t="s">
        <v>82</v>
      </c>
      <c r="C213" s="2" t="s">
        <v>27</v>
      </c>
      <c r="D213" s="7">
        <v>867</v>
      </c>
      <c r="E213" s="7">
        <v>82</v>
      </c>
      <c r="F213" s="3">
        <v>94755.35</v>
      </c>
      <c r="G213" s="3">
        <v>51167.89</v>
      </c>
      <c r="H213" s="3">
        <v>5000</v>
      </c>
      <c r="I213" s="3">
        <v>2300</v>
      </c>
      <c r="J213" s="3">
        <v>2700</v>
      </c>
      <c r="K213" s="3">
        <v>0</v>
      </c>
      <c r="L213" s="3">
        <v>0</v>
      </c>
      <c r="M213" s="15">
        <v>45887.460000000006</v>
      </c>
      <c r="N213" s="15">
        <v>99755.35</v>
      </c>
      <c r="O213" s="15">
        <v>53867.89</v>
      </c>
      <c r="P213" s="21">
        <f>O213*Summary!$B$29</f>
        <v>24923.02784697885</v>
      </c>
      <c r="Q213" s="21">
        <f t="shared" si="23"/>
        <v>24923.03</v>
      </c>
    </row>
    <row r="214" spans="1:17" s="2" customFormat="1" x14ac:dyDescent="0.25">
      <c r="A214" s="7"/>
      <c r="D214" s="7"/>
      <c r="E214" s="7"/>
      <c r="F214" s="3"/>
      <c r="G214" s="3"/>
      <c r="H214" s="3"/>
      <c r="I214" s="3"/>
      <c r="J214" s="3"/>
      <c r="K214" s="3"/>
      <c r="L214" s="3"/>
      <c r="M214" s="13">
        <f>SUM(M193:M213)</f>
        <v>349264.14</v>
      </c>
      <c r="N214" s="13">
        <f t="shared" ref="N214:Q214" si="24">SUM(N193:N213)</f>
        <v>699292.14</v>
      </c>
      <c r="O214" s="13">
        <f t="shared" si="24"/>
        <v>350028.00000000006</v>
      </c>
      <c r="P214" s="13">
        <f t="shared" si="24"/>
        <v>161947.26749502003</v>
      </c>
      <c r="Q214" s="13">
        <f t="shared" si="24"/>
        <v>161947.26999999999</v>
      </c>
    </row>
    <row r="215" spans="1:17" s="2" customFormat="1" x14ac:dyDescent="0.25">
      <c r="A215" s="7"/>
      <c r="D215" s="7"/>
      <c r="E215" s="7"/>
      <c r="F215" s="3"/>
      <c r="G215" s="3"/>
      <c r="H215" s="3"/>
      <c r="I215" s="3"/>
      <c r="J215" s="3"/>
      <c r="K215" s="3"/>
      <c r="L215" s="3"/>
      <c r="M215" s="3"/>
      <c r="N215" s="3"/>
      <c r="O215" s="3"/>
      <c r="Q215" s="9"/>
    </row>
    <row r="216" spans="1:17" s="2" customFormat="1" x14ac:dyDescent="0.25">
      <c r="A216" s="7"/>
      <c r="D216" s="7"/>
      <c r="E216" s="7"/>
      <c r="F216" s="3"/>
      <c r="G216" s="3"/>
      <c r="H216" s="3"/>
      <c r="I216" s="3"/>
      <c r="J216" s="3"/>
      <c r="K216" s="3"/>
      <c r="L216" s="3"/>
      <c r="M216" s="3"/>
      <c r="N216" s="3"/>
      <c r="O216" s="3"/>
      <c r="Q216" s="9"/>
    </row>
    <row r="217" spans="1:17" s="2" customFormat="1" x14ac:dyDescent="0.25">
      <c r="A217" s="7">
        <v>93</v>
      </c>
      <c r="B217" s="2" t="s">
        <v>45</v>
      </c>
      <c r="C217" s="2" t="s">
        <v>15</v>
      </c>
      <c r="D217" s="7">
        <v>927</v>
      </c>
      <c r="E217" s="7">
        <v>83</v>
      </c>
      <c r="F217" s="3">
        <v>21601.11</v>
      </c>
      <c r="G217" s="3">
        <v>7570.31</v>
      </c>
      <c r="H217" s="3">
        <v>0</v>
      </c>
      <c r="I217" s="3">
        <v>0</v>
      </c>
      <c r="J217" s="3">
        <v>0</v>
      </c>
      <c r="K217" s="3">
        <v>1183.92</v>
      </c>
      <c r="L217" s="3">
        <v>0</v>
      </c>
      <c r="M217" s="3">
        <v>14030.8</v>
      </c>
      <c r="N217" s="3">
        <v>22769.759999999998</v>
      </c>
      <c r="O217" s="3">
        <v>8738.9599999999991</v>
      </c>
      <c r="P217" s="9">
        <f>O217*Summary!$B$29</f>
        <v>4043.2499478563996</v>
      </c>
      <c r="Q217" s="9">
        <f t="shared" ref="Q217:Q233" si="25">ROUND(P217,2)</f>
        <v>4043.25</v>
      </c>
    </row>
    <row r="218" spans="1:17" s="2" customFormat="1" x14ac:dyDescent="0.25">
      <c r="A218" s="7">
        <v>100</v>
      </c>
      <c r="B218" s="2" t="s">
        <v>160</v>
      </c>
      <c r="C218" s="2" t="s">
        <v>15</v>
      </c>
      <c r="D218" s="7">
        <v>927</v>
      </c>
      <c r="E218" s="7">
        <v>83</v>
      </c>
      <c r="F218" s="3">
        <v>14816.28</v>
      </c>
      <c r="G218" s="3">
        <v>4450.6000000000004</v>
      </c>
      <c r="H218" s="3">
        <v>0</v>
      </c>
      <c r="I218" s="3">
        <v>0</v>
      </c>
      <c r="J218" s="3">
        <v>0</v>
      </c>
      <c r="K218" s="3">
        <v>646.29999999999995</v>
      </c>
      <c r="L218" s="3">
        <v>0</v>
      </c>
      <c r="M218" s="3">
        <v>10365.68</v>
      </c>
      <c r="N218" s="3">
        <v>15454.42</v>
      </c>
      <c r="O218" s="3">
        <v>5088.74</v>
      </c>
      <c r="P218" s="9">
        <f>O218*Summary!$B$29</f>
        <v>2354.4046133241</v>
      </c>
      <c r="Q218" s="9">
        <f t="shared" si="25"/>
        <v>2354.4</v>
      </c>
    </row>
    <row r="219" spans="1:17" s="2" customFormat="1" x14ac:dyDescent="0.25">
      <c r="A219" s="7">
        <v>166</v>
      </c>
      <c r="B219" s="2" t="s">
        <v>51</v>
      </c>
      <c r="C219" s="2" t="s">
        <v>15</v>
      </c>
      <c r="D219" s="7">
        <v>927</v>
      </c>
      <c r="E219" s="7">
        <v>83</v>
      </c>
      <c r="F219" s="3">
        <v>41777.730000000003</v>
      </c>
      <c r="G219" s="3">
        <v>16731.810000000001</v>
      </c>
      <c r="H219" s="3">
        <v>0</v>
      </c>
      <c r="I219" s="3">
        <v>0</v>
      </c>
      <c r="J219" s="3">
        <v>0</v>
      </c>
      <c r="K219" s="3">
        <v>2070.5700000000002</v>
      </c>
      <c r="L219" s="3">
        <v>0</v>
      </c>
      <c r="M219" s="3">
        <v>25045.919999999998</v>
      </c>
      <c r="N219" s="3">
        <v>43848.3</v>
      </c>
      <c r="O219" s="3">
        <v>18802.380000000005</v>
      </c>
      <c r="P219" s="9">
        <f>O219*Summary!$B$29</f>
        <v>8699.2870953267029</v>
      </c>
      <c r="Q219" s="9">
        <f t="shared" si="25"/>
        <v>8699.2900000000009</v>
      </c>
    </row>
    <row r="220" spans="1:17" s="2" customFormat="1" x14ac:dyDescent="0.25">
      <c r="A220" s="7">
        <v>361</v>
      </c>
      <c r="B220" s="2" t="s">
        <v>84</v>
      </c>
      <c r="C220" s="2" t="s">
        <v>15</v>
      </c>
      <c r="D220" s="7">
        <v>927</v>
      </c>
      <c r="E220" s="7">
        <v>83</v>
      </c>
      <c r="F220" s="3">
        <v>47260.02</v>
      </c>
      <c r="G220" s="3">
        <v>16566.240000000002</v>
      </c>
      <c r="H220" s="3">
        <v>0</v>
      </c>
      <c r="I220" s="3">
        <v>0</v>
      </c>
      <c r="J220" s="3">
        <v>0</v>
      </c>
      <c r="K220" s="3">
        <v>3520.07</v>
      </c>
      <c r="L220" s="3">
        <v>0</v>
      </c>
      <c r="M220" s="3">
        <v>30693.78</v>
      </c>
      <c r="N220" s="3">
        <v>50780.09</v>
      </c>
      <c r="O220" s="3">
        <v>20086.309999999998</v>
      </c>
      <c r="P220" s="9">
        <f>O220*Summary!$B$29</f>
        <v>9293.3223015241492</v>
      </c>
      <c r="Q220" s="9">
        <f t="shared" si="25"/>
        <v>9293.32</v>
      </c>
    </row>
    <row r="221" spans="1:17" s="2" customFormat="1" x14ac:dyDescent="0.25">
      <c r="A221" s="7">
        <v>362</v>
      </c>
      <c r="B221" s="2" t="s">
        <v>97</v>
      </c>
      <c r="C221" s="2" t="s">
        <v>15</v>
      </c>
      <c r="D221" s="7">
        <v>927</v>
      </c>
      <c r="E221" s="7">
        <v>83</v>
      </c>
      <c r="F221" s="3">
        <v>57502.2</v>
      </c>
      <c r="G221" s="3">
        <v>17823.79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39678.410000000003</v>
      </c>
      <c r="N221" s="3">
        <v>56683.44</v>
      </c>
      <c r="O221" s="3">
        <v>17714.759999999998</v>
      </c>
      <c r="P221" s="9">
        <f>O221*Summary!$B$29</f>
        <v>8196.0785318033995</v>
      </c>
      <c r="Q221" s="9">
        <f t="shared" si="25"/>
        <v>8196.08</v>
      </c>
    </row>
    <row r="222" spans="1:17" s="2" customFormat="1" x14ac:dyDescent="0.25">
      <c r="A222" s="7">
        <v>381</v>
      </c>
      <c r="B222" s="2" t="s">
        <v>91</v>
      </c>
      <c r="C222" s="2" t="s">
        <v>15</v>
      </c>
      <c r="D222" s="7">
        <v>927</v>
      </c>
      <c r="E222" s="7">
        <v>83</v>
      </c>
      <c r="F222" s="3">
        <v>61790.85</v>
      </c>
      <c r="G222" s="3">
        <v>22279.63</v>
      </c>
      <c r="H222" s="3">
        <v>0</v>
      </c>
      <c r="I222" s="3">
        <v>0</v>
      </c>
      <c r="J222" s="3">
        <v>0</v>
      </c>
      <c r="K222" s="3">
        <v>3949.49</v>
      </c>
      <c r="L222" s="3">
        <v>0</v>
      </c>
      <c r="M222" s="3">
        <v>39511.22</v>
      </c>
      <c r="N222" s="3">
        <v>65685.77</v>
      </c>
      <c r="O222" s="3">
        <v>26174.550000000003</v>
      </c>
      <c r="P222" s="9">
        <f>O222*Summary!$B$29</f>
        <v>12110.165045115751</v>
      </c>
      <c r="Q222" s="9">
        <f t="shared" si="25"/>
        <v>12110.17</v>
      </c>
    </row>
    <row r="223" spans="1:17" s="2" customFormat="1" x14ac:dyDescent="0.25">
      <c r="A223" s="7">
        <v>695</v>
      </c>
      <c r="B223" s="2" t="s">
        <v>48</v>
      </c>
      <c r="C223" s="2" t="s">
        <v>15</v>
      </c>
      <c r="D223" s="7">
        <v>927</v>
      </c>
      <c r="E223" s="7">
        <v>83</v>
      </c>
      <c r="F223" s="3">
        <v>40184</v>
      </c>
      <c r="G223" s="3">
        <v>9723.56</v>
      </c>
      <c r="H223" s="3">
        <v>0</v>
      </c>
      <c r="I223" s="3">
        <v>0</v>
      </c>
      <c r="J223" s="3">
        <v>0</v>
      </c>
      <c r="K223" s="3">
        <v>3862.67</v>
      </c>
      <c r="L223" s="3">
        <v>15054.19</v>
      </c>
      <c r="M223" s="3">
        <v>30460.44</v>
      </c>
      <c r="N223" s="3">
        <v>59100.86</v>
      </c>
      <c r="O223" s="3">
        <v>28560.93</v>
      </c>
      <c r="P223" s="9">
        <f>O223*Summary!$B$29</f>
        <v>13214.27020300245</v>
      </c>
      <c r="Q223" s="9">
        <f t="shared" si="25"/>
        <v>13214.27</v>
      </c>
    </row>
    <row r="224" spans="1:17" s="2" customFormat="1" x14ac:dyDescent="0.25">
      <c r="A224" s="7">
        <v>696</v>
      </c>
      <c r="B224" s="2" t="s">
        <v>65</v>
      </c>
      <c r="C224" s="2" t="s">
        <v>15</v>
      </c>
      <c r="D224" s="7">
        <v>927</v>
      </c>
      <c r="E224" s="7">
        <v>83</v>
      </c>
      <c r="F224" s="3">
        <v>26922.9</v>
      </c>
      <c r="G224" s="3">
        <v>9825.07</v>
      </c>
      <c r="H224" s="3">
        <v>0</v>
      </c>
      <c r="I224" s="3">
        <v>0</v>
      </c>
      <c r="J224" s="3">
        <v>0</v>
      </c>
      <c r="K224" s="3">
        <v>2091.62</v>
      </c>
      <c r="L224" s="3">
        <v>30000</v>
      </c>
      <c r="M224" s="3">
        <v>17097.830000000002</v>
      </c>
      <c r="N224" s="3">
        <v>58939.34</v>
      </c>
      <c r="O224" s="3">
        <v>49542.64</v>
      </c>
      <c r="P224" s="9">
        <f>O224*Summary!$B$29</f>
        <v>22921.866743487601</v>
      </c>
      <c r="Q224" s="9">
        <f t="shared" si="25"/>
        <v>22921.87</v>
      </c>
    </row>
    <row r="225" spans="1:17" s="2" customFormat="1" x14ac:dyDescent="0.25">
      <c r="A225" s="7">
        <v>701</v>
      </c>
      <c r="B225" s="2" t="s">
        <v>77</v>
      </c>
      <c r="C225" s="2" t="s">
        <v>15</v>
      </c>
      <c r="D225" s="7">
        <v>927</v>
      </c>
      <c r="E225" s="7">
        <v>83</v>
      </c>
      <c r="F225" s="3">
        <v>77651.37</v>
      </c>
      <c r="G225" s="3">
        <v>23343.18</v>
      </c>
      <c r="H225" s="3">
        <v>0</v>
      </c>
      <c r="I225" s="3">
        <v>0</v>
      </c>
      <c r="J225" s="3">
        <v>0</v>
      </c>
      <c r="K225" s="3">
        <v>5794.7</v>
      </c>
      <c r="L225" s="3">
        <v>0</v>
      </c>
      <c r="M225" s="3">
        <v>54308.19</v>
      </c>
      <c r="N225" s="3">
        <v>83446.070000000007</v>
      </c>
      <c r="O225" s="3">
        <v>29137.880000000005</v>
      </c>
      <c r="P225" s="9">
        <f>O225*Summary!$B$29</f>
        <v>13481.207350834202</v>
      </c>
      <c r="Q225" s="9">
        <f t="shared" si="25"/>
        <v>13481.21</v>
      </c>
    </row>
    <row r="226" spans="1:17" s="2" customFormat="1" x14ac:dyDescent="0.25">
      <c r="A226" s="7">
        <v>704</v>
      </c>
      <c r="B226" s="2" t="s">
        <v>133</v>
      </c>
      <c r="C226" s="2" t="s">
        <v>15</v>
      </c>
      <c r="D226" s="7">
        <v>927</v>
      </c>
      <c r="E226" s="7">
        <v>83</v>
      </c>
      <c r="F226" s="3">
        <v>56808.97</v>
      </c>
      <c r="G226" s="3">
        <v>30119.98</v>
      </c>
      <c r="H226" s="3">
        <v>0</v>
      </c>
      <c r="I226" s="3">
        <v>0</v>
      </c>
      <c r="J226" s="3">
        <v>0</v>
      </c>
      <c r="K226" s="3">
        <v>4553.59</v>
      </c>
      <c r="L226" s="3">
        <v>0</v>
      </c>
      <c r="M226" s="3">
        <v>26688.99</v>
      </c>
      <c r="N226" s="3">
        <v>61362.559999999998</v>
      </c>
      <c r="O226" s="3">
        <v>34673.569999999992</v>
      </c>
      <c r="P226" s="9">
        <f>O226*Summary!$B$29</f>
        <v>16042.402081540047</v>
      </c>
      <c r="Q226" s="9">
        <f t="shared" si="25"/>
        <v>16042.4</v>
      </c>
    </row>
    <row r="227" spans="1:17" s="2" customFormat="1" x14ac:dyDescent="0.25">
      <c r="A227" s="7">
        <v>706</v>
      </c>
      <c r="B227" s="2" t="s">
        <v>156</v>
      </c>
      <c r="C227" s="2" t="s">
        <v>15</v>
      </c>
      <c r="D227" s="7">
        <v>927</v>
      </c>
      <c r="E227" s="7">
        <v>83</v>
      </c>
      <c r="F227" s="3">
        <v>36697.050000000003</v>
      </c>
      <c r="G227" s="3">
        <v>11761.56</v>
      </c>
      <c r="H227" s="3">
        <v>0</v>
      </c>
      <c r="I227" s="3">
        <v>0</v>
      </c>
      <c r="J227" s="3">
        <v>0</v>
      </c>
      <c r="K227" s="3">
        <v>6626.31</v>
      </c>
      <c r="L227" s="3">
        <v>0</v>
      </c>
      <c r="M227" s="3">
        <v>24935.49</v>
      </c>
      <c r="N227" s="3">
        <v>43323.360000000001</v>
      </c>
      <c r="O227" s="3">
        <v>18387.87</v>
      </c>
      <c r="P227" s="9">
        <f>O227*Summary!$B$29</f>
        <v>8507.5059753895493</v>
      </c>
      <c r="Q227" s="9">
        <f t="shared" si="25"/>
        <v>8507.51</v>
      </c>
    </row>
    <row r="228" spans="1:17" s="2" customFormat="1" x14ac:dyDescent="0.25">
      <c r="A228" s="7">
        <v>707</v>
      </c>
      <c r="B228" s="2" t="s">
        <v>114</v>
      </c>
      <c r="C228" s="2" t="s">
        <v>15</v>
      </c>
      <c r="D228" s="7">
        <v>927</v>
      </c>
      <c r="E228" s="7">
        <v>83</v>
      </c>
      <c r="F228" s="3">
        <v>13636.02</v>
      </c>
      <c r="G228" s="3">
        <v>1369.7</v>
      </c>
      <c r="H228" s="3">
        <v>0</v>
      </c>
      <c r="I228" s="3">
        <v>0</v>
      </c>
      <c r="J228" s="3">
        <v>0</v>
      </c>
      <c r="K228" s="3">
        <v>1420.13</v>
      </c>
      <c r="L228" s="3">
        <v>0</v>
      </c>
      <c r="M228" s="3">
        <v>12266.32</v>
      </c>
      <c r="N228" s="3">
        <v>15056.15</v>
      </c>
      <c r="O228" s="3">
        <v>2789.83</v>
      </c>
      <c r="P228" s="9">
        <f>O228*Summary!$B$29</f>
        <v>1290.7691535409499</v>
      </c>
      <c r="Q228" s="9">
        <f t="shared" si="25"/>
        <v>1290.77</v>
      </c>
    </row>
    <row r="229" spans="1:17" s="2" customFormat="1" x14ac:dyDescent="0.25">
      <c r="A229" s="7">
        <v>709</v>
      </c>
      <c r="B229" s="2" t="s">
        <v>60</v>
      </c>
      <c r="C229" s="2" t="s">
        <v>15</v>
      </c>
      <c r="D229" s="7">
        <v>927</v>
      </c>
      <c r="E229" s="7">
        <v>83</v>
      </c>
      <c r="F229" s="3">
        <v>287233.26</v>
      </c>
      <c r="G229" s="3">
        <v>142260.66</v>
      </c>
      <c r="H229" s="3">
        <v>0</v>
      </c>
      <c r="I229" s="3">
        <v>0</v>
      </c>
      <c r="J229" s="3">
        <v>0</v>
      </c>
      <c r="K229" s="3">
        <v>965.88</v>
      </c>
      <c r="L229" s="3">
        <v>0</v>
      </c>
      <c r="M229" s="3">
        <v>144972.6</v>
      </c>
      <c r="N229" s="3">
        <v>288199.14</v>
      </c>
      <c r="O229" s="3">
        <v>143226.54</v>
      </c>
      <c r="P229" s="9">
        <f>O229*Summary!$B$29</f>
        <v>66266.546635601102</v>
      </c>
      <c r="Q229" s="9">
        <f t="shared" si="25"/>
        <v>66266.55</v>
      </c>
    </row>
    <row r="230" spans="1:17" s="2" customFormat="1" x14ac:dyDescent="0.25">
      <c r="A230" s="7">
        <v>712</v>
      </c>
      <c r="B230" s="2" t="s">
        <v>112</v>
      </c>
      <c r="C230" s="2" t="s">
        <v>15</v>
      </c>
      <c r="D230" s="7">
        <v>927</v>
      </c>
      <c r="E230" s="7">
        <v>83</v>
      </c>
      <c r="F230" s="3">
        <v>52919.49</v>
      </c>
      <c r="G230" s="3">
        <v>12733.95</v>
      </c>
      <c r="H230" s="3">
        <v>0</v>
      </c>
      <c r="I230" s="3">
        <v>0</v>
      </c>
      <c r="J230" s="3">
        <v>0</v>
      </c>
      <c r="K230" s="3">
        <v>1098.8900000000001</v>
      </c>
      <c r="L230" s="3">
        <v>0</v>
      </c>
      <c r="M230" s="3">
        <v>13699.83</v>
      </c>
      <c r="N230" s="3">
        <v>54984.26</v>
      </c>
      <c r="O230" s="3">
        <v>41284.43</v>
      </c>
      <c r="P230" s="9">
        <f>O230*Summary!$B$29</f>
        <v>19101.045140929949</v>
      </c>
      <c r="Q230" s="9">
        <f t="shared" si="25"/>
        <v>19101.05</v>
      </c>
    </row>
    <row r="231" spans="1:17" s="2" customFormat="1" x14ac:dyDescent="0.25">
      <c r="A231" s="7">
        <v>2142</v>
      </c>
      <c r="B231" s="2" t="s">
        <v>150</v>
      </c>
      <c r="C231" s="2" t="s">
        <v>15</v>
      </c>
      <c r="D231" s="7">
        <v>927</v>
      </c>
      <c r="E231" s="7">
        <v>83</v>
      </c>
      <c r="F231" s="3">
        <v>194552.34</v>
      </c>
      <c r="G231" s="3">
        <v>52544.58</v>
      </c>
      <c r="H231" s="3">
        <v>0</v>
      </c>
      <c r="I231" s="3">
        <v>0</v>
      </c>
      <c r="J231" s="3">
        <v>0</v>
      </c>
      <c r="K231" s="3">
        <v>10040.969999999999</v>
      </c>
      <c r="L231" s="3">
        <v>0</v>
      </c>
      <c r="M231" s="3">
        <v>142007.76</v>
      </c>
      <c r="N231" s="3">
        <v>204593.31</v>
      </c>
      <c r="O231" s="3">
        <v>62585.549999999988</v>
      </c>
      <c r="P231" s="9">
        <f>O231*Summary!$B$29</f>
        <v>28956.422935230745</v>
      </c>
      <c r="Q231" s="9">
        <f t="shared" si="25"/>
        <v>28956.42</v>
      </c>
    </row>
    <row r="232" spans="1:17" s="2" customFormat="1" x14ac:dyDescent="0.25">
      <c r="A232" s="7">
        <v>2154</v>
      </c>
      <c r="B232" s="2" t="s">
        <v>16</v>
      </c>
      <c r="C232" s="2" t="s">
        <v>15</v>
      </c>
      <c r="D232" s="7">
        <v>927</v>
      </c>
      <c r="E232" s="7">
        <v>83</v>
      </c>
      <c r="F232" s="3">
        <v>38846.85</v>
      </c>
      <c r="G232" s="3">
        <v>12840.91</v>
      </c>
      <c r="H232" s="3">
        <v>0</v>
      </c>
      <c r="I232" s="3">
        <v>0</v>
      </c>
      <c r="J232" s="3">
        <v>0</v>
      </c>
      <c r="K232" s="3">
        <v>5402.42</v>
      </c>
      <c r="L232" s="3">
        <v>0</v>
      </c>
      <c r="M232" s="3">
        <v>26005.94</v>
      </c>
      <c r="N232" s="3">
        <v>44169.27</v>
      </c>
      <c r="O232" s="3">
        <v>18163.329999999998</v>
      </c>
      <c r="P232" s="9">
        <f>O232*Summary!$B$29</f>
        <v>8403.6181737184488</v>
      </c>
      <c r="Q232" s="9">
        <f t="shared" si="25"/>
        <v>8403.6200000000008</v>
      </c>
    </row>
    <row r="233" spans="1:17" s="2" customFormat="1" x14ac:dyDescent="0.25">
      <c r="A233" s="7">
        <v>2711</v>
      </c>
      <c r="B233" s="2" t="s">
        <v>105</v>
      </c>
      <c r="C233" s="2" t="s">
        <v>15</v>
      </c>
      <c r="D233" s="7">
        <v>927</v>
      </c>
      <c r="E233" s="7">
        <v>83</v>
      </c>
      <c r="F233" s="3">
        <v>22649.37</v>
      </c>
      <c r="G233" s="3">
        <v>6800.84</v>
      </c>
      <c r="H233" s="3">
        <v>0</v>
      </c>
      <c r="I233" s="3">
        <v>0</v>
      </c>
      <c r="J233" s="3">
        <v>0</v>
      </c>
      <c r="K233" s="3">
        <v>4384.9399999999996</v>
      </c>
      <c r="L233" s="3">
        <v>0</v>
      </c>
      <c r="M233" s="15">
        <v>15848.53</v>
      </c>
      <c r="N233" s="15">
        <v>27034.31</v>
      </c>
      <c r="O233" s="15">
        <v>11185.78</v>
      </c>
      <c r="P233" s="21">
        <f>O233*Summary!$B$29</f>
        <v>5175.3188482077003</v>
      </c>
      <c r="Q233" s="21">
        <f t="shared" si="25"/>
        <v>5175.32</v>
      </c>
    </row>
    <row r="234" spans="1:17" s="2" customFormat="1" x14ac:dyDescent="0.25">
      <c r="A234" s="7"/>
      <c r="D234" s="7"/>
      <c r="E234" s="7"/>
      <c r="F234" s="3"/>
      <c r="G234" s="3"/>
      <c r="H234" s="3"/>
      <c r="I234" s="3"/>
      <c r="J234" s="3"/>
      <c r="K234" s="3"/>
      <c r="L234" s="3"/>
      <c r="M234" s="13">
        <f>SUM(M217:M233)</f>
        <v>667617.73</v>
      </c>
      <c r="N234" s="13">
        <f t="shared" ref="N234:Q234" si="26">SUM(N217:N233)</f>
        <v>1195430.4100000001</v>
      </c>
      <c r="O234" s="13">
        <f t="shared" si="26"/>
        <v>536144.05000000005</v>
      </c>
      <c r="P234" s="13">
        <f t="shared" si="26"/>
        <v>248057.48077643325</v>
      </c>
      <c r="Q234" s="13">
        <f t="shared" si="26"/>
        <v>248057.49999999994</v>
      </c>
    </row>
    <row r="235" spans="1:17" s="2" customFormat="1" x14ac:dyDescent="0.25">
      <c r="A235" s="7"/>
      <c r="D235" s="7"/>
      <c r="E235" s="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9"/>
      <c r="Q235" s="9"/>
    </row>
    <row r="236" spans="1:17" s="2" customFormat="1" x14ac:dyDescent="0.25">
      <c r="A236" s="7"/>
      <c r="D236" s="7"/>
      <c r="E236" s="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9"/>
      <c r="Q236" s="9"/>
    </row>
    <row r="237" spans="1:17" s="2" customFormat="1" x14ac:dyDescent="0.25">
      <c r="A237" s="6">
        <v>6</v>
      </c>
      <c r="B237" s="3" t="s">
        <v>315</v>
      </c>
      <c r="C237" s="3" t="s">
        <v>50</v>
      </c>
      <c r="D237" s="11">
        <v>925</v>
      </c>
      <c r="E237" s="11">
        <v>82</v>
      </c>
      <c r="F237" s="3">
        <v>11400</v>
      </c>
      <c r="G237" s="3">
        <v>4446</v>
      </c>
      <c r="H237" s="3">
        <v>0</v>
      </c>
      <c r="I237" s="3"/>
      <c r="J237" s="3">
        <v>0</v>
      </c>
      <c r="K237" s="3">
        <v>0</v>
      </c>
      <c r="L237" s="2">
        <v>0</v>
      </c>
      <c r="M237" s="3">
        <v>6954</v>
      </c>
      <c r="N237" s="2">
        <v>11400</v>
      </c>
      <c r="O237" s="3">
        <v>4446</v>
      </c>
      <c r="P237" s="9">
        <f>O237*Summary!$B$29</f>
        <v>2057.0284413899999</v>
      </c>
      <c r="Q237" s="9">
        <f t="shared" ref="Q237:Q274" si="27">ROUND(P237,2)</f>
        <v>2057.0300000000002</v>
      </c>
    </row>
    <row r="238" spans="1:17" s="2" customFormat="1" x14ac:dyDescent="0.25">
      <c r="A238" s="6">
        <v>11</v>
      </c>
      <c r="B238" s="3" t="s">
        <v>287</v>
      </c>
      <c r="C238" s="3" t="s">
        <v>50</v>
      </c>
      <c r="D238" s="11">
        <v>925</v>
      </c>
      <c r="E238" s="11">
        <v>82</v>
      </c>
      <c r="F238" s="3">
        <v>943815.6861563999</v>
      </c>
      <c r="G238" s="3">
        <v>471911.07115639991</v>
      </c>
      <c r="H238" s="3">
        <v>0</v>
      </c>
      <c r="I238" s="3"/>
      <c r="J238" s="3">
        <v>0</v>
      </c>
      <c r="K238" s="3">
        <v>0</v>
      </c>
      <c r="L238" s="2">
        <v>0</v>
      </c>
      <c r="M238" s="3">
        <v>471904.61499999999</v>
      </c>
      <c r="N238" s="2">
        <v>943815.6861563999</v>
      </c>
      <c r="O238" s="3">
        <v>471911.07115639991</v>
      </c>
      <c r="P238" s="9">
        <f>O238*Summary!$B$29</f>
        <v>218338.84281950849</v>
      </c>
      <c r="Q238" s="9">
        <f t="shared" si="27"/>
        <v>218338.84</v>
      </c>
    </row>
    <row r="239" spans="1:17" s="2" customFormat="1" x14ac:dyDescent="0.25">
      <c r="A239" s="6">
        <v>12</v>
      </c>
      <c r="B239" s="3" t="s">
        <v>292</v>
      </c>
      <c r="C239" s="3" t="s">
        <v>50</v>
      </c>
      <c r="D239" s="11">
        <v>925</v>
      </c>
      <c r="E239" s="11">
        <v>82</v>
      </c>
      <c r="F239" s="3">
        <v>35970</v>
      </c>
      <c r="G239" s="3">
        <v>21222.3</v>
      </c>
      <c r="H239" s="3">
        <v>0</v>
      </c>
      <c r="I239" s="3"/>
      <c r="J239" s="3">
        <v>0</v>
      </c>
      <c r="K239" s="3">
        <v>91471.613199999993</v>
      </c>
      <c r="L239" s="2">
        <v>7373.58</v>
      </c>
      <c r="M239" s="3">
        <v>14747.7</v>
      </c>
      <c r="N239" s="2">
        <v>134815.19319999998</v>
      </c>
      <c r="O239" s="3">
        <v>120067.4932</v>
      </c>
      <c r="P239" s="9">
        <f>O239*Summary!$B$29</f>
        <v>55551.56284273514</v>
      </c>
      <c r="Q239" s="9">
        <f t="shared" si="27"/>
        <v>55551.56</v>
      </c>
    </row>
    <row r="240" spans="1:17" s="2" customFormat="1" x14ac:dyDescent="0.25">
      <c r="A240" s="6">
        <v>13</v>
      </c>
      <c r="B240" s="3" t="s">
        <v>293</v>
      </c>
      <c r="C240" s="3" t="s">
        <v>50</v>
      </c>
      <c r="D240" s="11">
        <v>925</v>
      </c>
      <c r="E240" s="11">
        <v>82</v>
      </c>
      <c r="F240" s="3">
        <v>28560</v>
      </c>
      <c r="G240" s="3">
        <v>4855.2000000000007</v>
      </c>
      <c r="H240" s="3">
        <v>0</v>
      </c>
      <c r="I240" s="3"/>
      <c r="J240" s="3">
        <v>0</v>
      </c>
      <c r="K240" s="3">
        <v>0</v>
      </c>
      <c r="L240" s="2">
        <v>0</v>
      </c>
      <c r="M240" s="3">
        <v>23704.799999999999</v>
      </c>
      <c r="N240" s="2">
        <v>28560</v>
      </c>
      <c r="O240" s="3">
        <v>4855.2000000000007</v>
      </c>
      <c r="P240" s="9">
        <f>O240*Summary!$B$29</f>
        <v>2246.3527864680004</v>
      </c>
      <c r="Q240" s="9">
        <f t="shared" si="27"/>
        <v>2246.35</v>
      </c>
    </row>
    <row r="241" spans="1:17" s="2" customFormat="1" x14ac:dyDescent="0.25">
      <c r="A241" s="6">
        <v>14</v>
      </c>
      <c r="B241" s="3" t="s">
        <v>297</v>
      </c>
      <c r="C241" s="3" t="s">
        <v>50</v>
      </c>
      <c r="D241" s="11">
        <v>925</v>
      </c>
      <c r="E241" s="11">
        <v>82</v>
      </c>
      <c r="F241" s="3">
        <v>59760</v>
      </c>
      <c r="G241" s="3">
        <v>17651.04</v>
      </c>
      <c r="H241" s="3">
        <v>0</v>
      </c>
      <c r="I241" s="3"/>
      <c r="J241" s="3">
        <v>0</v>
      </c>
      <c r="K241" s="3">
        <v>15000</v>
      </c>
      <c r="L241" s="2">
        <v>0</v>
      </c>
      <c r="M241" s="3">
        <v>42108.959999999999</v>
      </c>
      <c r="N241" s="2">
        <v>74760</v>
      </c>
      <c r="O241" s="3">
        <v>32651.040000000001</v>
      </c>
      <c r="P241" s="9">
        <f>O241*Summary!$B$29</f>
        <v>15106.6392084936</v>
      </c>
      <c r="Q241" s="9">
        <f t="shared" si="27"/>
        <v>15106.64</v>
      </c>
    </row>
    <row r="242" spans="1:17" s="2" customFormat="1" x14ac:dyDescent="0.25">
      <c r="A242" s="6">
        <v>16</v>
      </c>
      <c r="B242" s="3" t="s">
        <v>317</v>
      </c>
      <c r="C242" s="3" t="s">
        <v>50</v>
      </c>
      <c r="D242" s="11">
        <v>925</v>
      </c>
      <c r="E242" s="11">
        <v>82</v>
      </c>
      <c r="F242" s="3">
        <v>112358</v>
      </c>
      <c r="G242" s="3">
        <v>52834.76</v>
      </c>
      <c r="H242" s="3">
        <v>0</v>
      </c>
      <c r="I242" s="3"/>
      <c r="J242" s="3">
        <v>0</v>
      </c>
      <c r="K242" s="3">
        <v>0</v>
      </c>
      <c r="L242" s="2">
        <v>0</v>
      </c>
      <c r="M242" s="3">
        <v>59523.24</v>
      </c>
      <c r="N242" s="2">
        <v>112358</v>
      </c>
      <c r="O242" s="3">
        <v>52834.76</v>
      </c>
      <c r="P242" s="9">
        <f>O242*Summary!$B$29</f>
        <v>24445.030142603402</v>
      </c>
      <c r="Q242" s="9">
        <f t="shared" si="27"/>
        <v>24445.03</v>
      </c>
    </row>
    <row r="243" spans="1:17" s="2" customFormat="1" x14ac:dyDescent="0.25">
      <c r="A243" s="6">
        <v>191</v>
      </c>
      <c r="B243" s="3" t="s">
        <v>291</v>
      </c>
      <c r="C243" s="3" t="s">
        <v>50</v>
      </c>
      <c r="D243" s="11">
        <v>925</v>
      </c>
      <c r="E243" s="11">
        <v>82</v>
      </c>
      <c r="F243" s="3">
        <v>41400</v>
      </c>
      <c r="G243" s="3">
        <v>19458</v>
      </c>
      <c r="H243" s="3">
        <v>0</v>
      </c>
      <c r="I243" s="3"/>
      <c r="J243" s="3">
        <v>0</v>
      </c>
      <c r="K243" s="3">
        <v>0</v>
      </c>
      <c r="L243" s="2">
        <v>12000</v>
      </c>
      <c r="M243" s="3">
        <v>21942</v>
      </c>
      <c r="N243" s="2">
        <v>53400</v>
      </c>
      <c r="O243" s="3">
        <v>31458</v>
      </c>
      <c r="P243" s="9">
        <f>O243*Summary!$B$29</f>
        <v>14554.65602997</v>
      </c>
      <c r="Q243" s="9">
        <f t="shared" si="27"/>
        <v>14554.66</v>
      </c>
    </row>
    <row r="244" spans="1:17" s="2" customFormat="1" x14ac:dyDescent="0.25">
      <c r="A244" s="6">
        <v>194</v>
      </c>
      <c r="B244" s="3" t="s">
        <v>303</v>
      </c>
      <c r="C244" s="3" t="s">
        <v>50</v>
      </c>
      <c r="D244" s="11">
        <v>925</v>
      </c>
      <c r="E244" s="11">
        <v>82</v>
      </c>
      <c r="F244" s="3">
        <v>75003.510000000009</v>
      </c>
      <c r="G244" s="3">
        <v>45020.207491647649</v>
      </c>
      <c r="H244" s="3">
        <v>0</v>
      </c>
      <c r="I244" s="3"/>
      <c r="J244" s="3">
        <v>0</v>
      </c>
      <c r="K244" s="3">
        <v>0</v>
      </c>
      <c r="L244" s="2">
        <v>18932.599999999999</v>
      </c>
      <c r="M244" s="3">
        <v>29983.302508352361</v>
      </c>
      <c r="N244" s="2">
        <v>93936.110000000015</v>
      </c>
      <c r="O244" s="3">
        <v>63952.807491647647</v>
      </c>
      <c r="P244" s="9">
        <f>O244*Summary!$B$29</f>
        <v>29589.01122740861</v>
      </c>
      <c r="Q244" s="9">
        <f t="shared" si="27"/>
        <v>29589.01</v>
      </c>
    </row>
    <row r="245" spans="1:17" s="2" customFormat="1" x14ac:dyDescent="0.25">
      <c r="A245" s="6">
        <v>196</v>
      </c>
      <c r="B245" s="3" t="s">
        <v>313</v>
      </c>
      <c r="C245" s="3" t="s">
        <v>50</v>
      </c>
      <c r="D245" s="11">
        <v>925</v>
      </c>
      <c r="E245" s="11">
        <v>82</v>
      </c>
      <c r="F245" s="3">
        <v>41478.270000000004</v>
      </c>
      <c r="G245" s="3">
        <v>23227.830000000005</v>
      </c>
      <c r="H245" s="3">
        <v>0</v>
      </c>
      <c r="I245" s="3"/>
      <c r="J245" s="3">
        <v>0</v>
      </c>
      <c r="K245" s="3">
        <v>30206.015999999996</v>
      </c>
      <c r="L245" s="2">
        <v>15161.48</v>
      </c>
      <c r="M245" s="3">
        <v>18250.439999999999</v>
      </c>
      <c r="N245" s="2">
        <v>86845.765999999989</v>
      </c>
      <c r="O245" s="3">
        <v>68595.326000000001</v>
      </c>
      <c r="P245" s="9">
        <f>O245*Summary!$B$29</f>
        <v>31736.962781920589</v>
      </c>
      <c r="Q245" s="9">
        <f t="shared" si="27"/>
        <v>31736.959999999999</v>
      </c>
    </row>
    <row r="246" spans="1:17" s="2" customFormat="1" x14ac:dyDescent="0.25">
      <c r="A246" s="6">
        <v>197</v>
      </c>
      <c r="B246" s="3" t="s">
        <v>323</v>
      </c>
      <c r="C246" s="3" t="s">
        <v>50</v>
      </c>
      <c r="D246" s="11">
        <v>925</v>
      </c>
      <c r="E246" s="11">
        <v>82</v>
      </c>
      <c r="F246" s="3">
        <v>113062</v>
      </c>
      <c r="G246" s="3">
        <v>47486.039999999994</v>
      </c>
      <c r="H246" s="3">
        <v>0</v>
      </c>
      <c r="I246" s="3"/>
      <c r="J246" s="3">
        <v>0</v>
      </c>
      <c r="K246" s="3">
        <v>0</v>
      </c>
      <c r="L246" s="2">
        <v>0</v>
      </c>
      <c r="M246" s="3">
        <v>65575.960000000006</v>
      </c>
      <c r="N246" s="2">
        <v>113062</v>
      </c>
      <c r="O246" s="3">
        <v>47486.039999999994</v>
      </c>
      <c r="P246" s="9">
        <f>O246*Summary!$B$29</f>
        <v>21970.340721768596</v>
      </c>
      <c r="Q246" s="9">
        <f t="shared" si="27"/>
        <v>21970.34</v>
      </c>
    </row>
    <row r="247" spans="1:17" s="2" customFormat="1" x14ac:dyDescent="0.25">
      <c r="A247" s="6">
        <v>199</v>
      </c>
      <c r="B247" s="3" t="s">
        <v>300</v>
      </c>
      <c r="C247" s="3" t="s">
        <v>50</v>
      </c>
      <c r="D247" s="11">
        <v>925</v>
      </c>
      <c r="E247" s="11">
        <v>82</v>
      </c>
      <c r="F247" s="3">
        <v>15063.6</v>
      </c>
      <c r="G247" s="3">
        <v>9094.8752097107536</v>
      </c>
      <c r="H247" s="3">
        <v>0</v>
      </c>
      <c r="I247" s="3"/>
      <c r="J247" s="3">
        <v>0</v>
      </c>
      <c r="K247" s="3">
        <v>0</v>
      </c>
      <c r="L247" s="2">
        <v>0</v>
      </c>
      <c r="M247" s="3">
        <v>5968.7247902892468</v>
      </c>
      <c r="N247" s="2">
        <v>15063.6</v>
      </c>
      <c r="O247" s="3">
        <v>9094.8752097107536</v>
      </c>
      <c r="P247" s="9">
        <f>O247*Summary!$B$29</f>
        <v>4207.9210475186374</v>
      </c>
      <c r="Q247" s="9">
        <f t="shared" si="27"/>
        <v>4207.92</v>
      </c>
    </row>
    <row r="248" spans="1:17" s="2" customFormat="1" x14ac:dyDescent="0.25">
      <c r="A248" s="6">
        <v>200</v>
      </c>
      <c r="B248" s="3" t="s">
        <v>298</v>
      </c>
      <c r="C248" s="3" t="s">
        <v>50</v>
      </c>
      <c r="D248" s="11">
        <v>925</v>
      </c>
      <c r="E248" s="11">
        <v>82</v>
      </c>
      <c r="F248" s="3">
        <v>87249.8</v>
      </c>
      <c r="G248" s="3">
        <v>50447.040000000008</v>
      </c>
      <c r="H248" s="3">
        <v>0</v>
      </c>
      <c r="I248" s="3"/>
      <c r="J248" s="3">
        <v>0</v>
      </c>
      <c r="K248" s="3">
        <v>0</v>
      </c>
      <c r="L248" s="2">
        <v>0</v>
      </c>
      <c r="M248" s="3">
        <v>36802.759999999995</v>
      </c>
      <c r="N248" s="2">
        <v>87249.8</v>
      </c>
      <c r="O248" s="3">
        <v>50447.040000000008</v>
      </c>
      <c r="P248" s="9">
        <f>O248*Summary!$B$29</f>
        <v>23340.305007633604</v>
      </c>
      <c r="Q248" s="9">
        <f t="shared" si="27"/>
        <v>23340.31</v>
      </c>
    </row>
    <row r="249" spans="1:17" s="2" customFormat="1" x14ac:dyDescent="0.25">
      <c r="A249" s="6">
        <v>270</v>
      </c>
      <c r="B249" s="3" t="s">
        <v>299</v>
      </c>
      <c r="C249" s="3" t="s">
        <v>50</v>
      </c>
      <c r="D249" s="11">
        <v>925</v>
      </c>
      <c r="E249" s="11">
        <v>82</v>
      </c>
      <c r="F249" s="3">
        <v>55620</v>
      </c>
      <c r="G249" s="3">
        <v>28922.400000000001</v>
      </c>
      <c r="H249" s="3">
        <v>0</v>
      </c>
      <c r="I249" s="3"/>
      <c r="J249" s="3">
        <v>0</v>
      </c>
      <c r="K249" s="3">
        <v>0</v>
      </c>
      <c r="L249" s="2">
        <v>44112.65</v>
      </c>
      <c r="M249" s="3">
        <v>26697.599999999999</v>
      </c>
      <c r="N249" s="2">
        <v>99732.65</v>
      </c>
      <c r="O249" s="3">
        <v>73035.05</v>
      </c>
      <c r="P249" s="9">
        <f>O249*Summary!$B$29</f>
        <v>33791.087509748249</v>
      </c>
      <c r="Q249" s="9">
        <f t="shared" si="27"/>
        <v>33791.089999999997</v>
      </c>
    </row>
    <row r="250" spans="1:17" s="2" customFormat="1" x14ac:dyDescent="0.25">
      <c r="A250" s="6">
        <v>271</v>
      </c>
      <c r="B250" s="3" t="s">
        <v>288</v>
      </c>
      <c r="C250" s="3" t="s">
        <v>50</v>
      </c>
      <c r="D250" s="11">
        <v>925</v>
      </c>
      <c r="E250" s="11">
        <v>82</v>
      </c>
      <c r="F250" s="3">
        <v>48600</v>
      </c>
      <c r="G250" s="3">
        <v>20412</v>
      </c>
      <c r="H250" s="3">
        <v>0</v>
      </c>
      <c r="I250" s="3"/>
      <c r="J250" s="3">
        <v>0</v>
      </c>
      <c r="K250" s="3">
        <v>0</v>
      </c>
      <c r="L250" s="2">
        <v>60239.01</v>
      </c>
      <c r="M250" s="3">
        <v>28188</v>
      </c>
      <c r="N250" s="2">
        <v>108839.01000000001</v>
      </c>
      <c r="O250" s="3">
        <v>80651.010000000009</v>
      </c>
      <c r="P250" s="9">
        <f>O250*Summary!$B$29</f>
        <v>37314.759648409658</v>
      </c>
      <c r="Q250" s="9">
        <f t="shared" si="27"/>
        <v>37314.76</v>
      </c>
    </row>
    <row r="251" spans="1:17" s="2" customFormat="1" x14ac:dyDescent="0.25">
      <c r="A251" s="6">
        <v>272</v>
      </c>
      <c r="B251" s="3" t="s">
        <v>294</v>
      </c>
      <c r="C251" s="3" t="s">
        <v>50</v>
      </c>
      <c r="D251" s="11">
        <v>925</v>
      </c>
      <c r="E251" s="11">
        <v>82</v>
      </c>
      <c r="F251" s="3">
        <v>101653.76999999999</v>
      </c>
      <c r="G251" s="3">
        <v>60827.609999999986</v>
      </c>
      <c r="H251" s="3">
        <v>0</v>
      </c>
      <c r="I251" s="3"/>
      <c r="J251" s="3">
        <v>0</v>
      </c>
      <c r="K251" s="3">
        <v>0</v>
      </c>
      <c r="L251" s="2">
        <v>0</v>
      </c>
      <c r="M251" s="3">
        <v>40826.160000000003</v>
      </c>
      <c r="N251" s="2">
        <v>101653.76999999999</v>
      </c>
      <c r="O251" s="3">
        <v>60827.609999999986</v>
      </c>
      <c r="P251" s="9">
        <f>O251*Summary!$B$29</f>
        <v>28143.077775928643</v>
      </c>
      <c r="Q251" s="9">
        <f t="shared" si="27"/>
        <v>28143.08</v>
      </c>
    </row>
    <row r="252" spans="1:17" s="2" customFormat="1" x14ac:dyDescent="0.25">
      <c r="A252" s="6">
        <v>273</v>
      </c>
      <c r="B252" s="3" t="s">
        <v>295</v>
      </c>
      <c r="C252" s="3" t="s">
        <v>50</v>
      </c>
      <c r="D252" s="11">
        <v>925</v>
      </c>
      <c r="E252" s="11">
        <v>82</v>
      </c>
      <c r="F252" s="3">
        <v>48300.800000000003</v>
      </c>
      <c r="G252" s="3">
        <v>33232.482000000004</v>
      </c>
      <c r="H252" s="3">
        <v>0</v>
      </c>
      <c r="I252" s="3"/>
      <c r="J252" s="3">
        <v>0</v>
      </c>
      <c r="K252" s="3">
        <v>39017.699999999997</v>
      </c>
      <c r="L252" s="2">
        <v>21123.68</v>
      </c>
      <c r="M252" s="3">
        <v>15068.317999999999</v>
      </c>
      <c r="N252" s="2">
        <v>108442.18</v>
      </c>
      <c r="O252" s="3">
        <v>93373.861999999994</v>
      </c>
      <c r="P252" s="9">
        <f>O252*Summary!$B$29</f>
        <v>43201.23477652383</v>
      </c>
      <c r="Q252" s="9">
        <f t="shared" si="27"/>
        <v>43201.23</v>
      </c>
    </row>
    <row r="253" spans="1:17" s="2" customFormat="1" x14ac:dyDescent="0.25">
      <c r="A253" s="6">
        <v>276</v>
      </c>
      <c r="B253" s="3" t="s">
        <v>305</v>
      </c>
      <c r="C253" s="3" t="s">
        <v>50</v>
      </c>
      <c r="D253" s="11">
        <v>925</v>
      </c>
      <c r="E253" s="11">
        <v>82</v>
      </c>
      <c r="F253" s="3">
        <v>88156.93</v>
      </c>
      <c r="G253" s="3">
        <v>54600.12999999999</v>
      </c>
      <c r="H253" s="3">
        <v>0</v>
      </c>
      <c r="I253" s="3"/>
      <c r="J253" s="3">
        <v>0</v>
      </c>
      <c r="K253" s="3">
        <v>0</v>
      </c>
      <c r="L253" s="2">
        <v>0</v>
      </c>
      <c r="M253" s="3">
        <v>33556.800000000003</v>
      </c>
      <c r="N253" s="2">
        <v>88156.93</v>
      </c>
      <c r="O253" s="3">
        <v>54600.12999999999</v>
      </c>
      <c r="P253" s="9">
        <f>O253*Summary!$B$29</f>
        <v>25261.812936030445</v>
      </c>
      <c r="Q253" s="9">
        <f t="shared" si="27"/>
        <v>25261.81</v>
      </c>
    </row>
    <row r="254" spans="1:17" s="2" customFormat="1" x14ac:dyDescent="0.25">
      <c r="A254" s="6">
        <v>277</v>
      </c>
      <c r="B254" s="3" t="s">
        <v>324</v>
      </c>
      <c r="C254" s="3" t="s">
        <v>50</v>
      </c>
      <c r="D254" s="11">
        <v>925</v>
      </c>
      <c r="E254" s="11">
        <v>82</v>
      </c>
      <c r="F254" s="3">
        <v>20500</v>
      </c>
      <c r="G254" s="3">
        <v>12300</v>
      </c>
      <c r="H254" s="3">
        <v>0</v>
      </c>
      <c r="I254" s="3"/>
      <c r="J254" s="3">
        <v>0</v>
      </c>
      <c r="K254" s="3">
        <v>0</v>
      </c>
      <c r="L254" s="2">
        <v>0</v>
      </c>
      <c r="M254" s="3">
        <v>8200</v>
      </c>
      <c r="N254" s="2">
        <v>20500</v>
      </c>
      <c r="O254" s="3">
        <v>12300</v>
      </c>
      <c r="P254" s="9">
        <f>O254*Summary!$B$29</f>
        <v>5690.8344195</v>
      </c>
      <c r="Q254" s="9">
        <f t="shared" si="27"/>
        <v>5690.83</v>
      </c>
    </row>
    <row r="255" spans="1:17" s="2" customFormat="1" x14ac:dyDescent="0.25">
      <c r="A255" s="6">
        <v>278</v>
      </c>
      <c r="B255" s="3" t="s">
        <v>309</v>
      </c>
      <c r="C255" s="3" t="s">
        <v>50</v>
      </c>
      <c r="D255" s="11">
        <v>925</v>
      </c>
      <c r="E255" s="11">
        <v>82</v>
      </c>
      <c r="F255" s="3">
        <v>3600</v>
      </c>
      <c r="G255" s="3">
        <v>3600</v>
      </c>
      <c r="H255" s="3">
        <v>0</v>
      </c>
      <c r="I255" s="3"/>
      <c r="J255" s="3">
        <v>0</v>
      </c>
      <c r="K255" s="3">
        <v>0</v>
      </c>
      <c r="L255" s="2">
        <v>0</v>
      </c>
      <c r="M255" s="3">
        <v>0</v>
      </c>
      <c r="N255" s="2">
        <v>3600</v>
      </c>
      <c r="O255" s="3">
        <v>3600</v>
      </c>
      <c r="P255" s="9">
        <f>O255*Summary!$B$29</f>
        <v>1665.6100739999999</v>
      </c>
      <c r="Q255" s="9">
        <f t="shared" si="27"/>
        <v>1665.61</v>
      </c>
    </row>
    <row r="256" spans="1:17" s="2" customFormat="1" x14ac:dyDescent="0.25">
      <c r="A256" s="6">
        <v>279</v>
      </c>
      <c r="B256" s="3" t="s">
        <v>310</v>
      </c>
      <c r="C256" s="3" t="s">
        <v>50</v>
      </c>
      <c r="D256" s="11">
        <v>925</v>
      </c>
      <c r="E256" s="11">
        <v>82</v>
      </c>
      <c r="F256" s="3">
        <v>107903.12</v>
      </c>
      <c r="G256" s="3">
        <v>46460.24</v>
      </c>
      <c r="H256" s="3">
        <v>0</v>
      </c>
      <c r="I256" s="3"/>
      <c r="J256" s="3">
        <v>0</v>
      </c>
      <c r="K256" s="3">
        <v>0</v>
      </c>
      <c r="L256" s="2">
        <v>0</v>
      </c>
      <c r="M256" s="3">
        <v>61442.879999999997</v>
      </c>
      <c r="N256" s="2">
        <v>107903.12</v>
      </c>
      <c r="O256" s="3">
        <v>46460.24</v>
      </c>
      <c r="P256" s="9">
        <f>O256*Summary!$B$29</f>
        <v>21495.734384571599</v>
      </c>
      <c r="Q256" s="9">
        <f t="shared" si="27"/>
        <v>21495.73</v>
      </c>
    </row>
    <row r="257" spans="1:17" s="2" customFormat="1" x14ac:dyDescent="0.25">
      <c r="A257" s="6">
        <v>280</v>
      </c>
      <c r="B257" s="3" t="s">
        <v>311</v>
      </c>
      <c r="C257" s="3" t="s">
        <v>50</v>
      </c>
      <c r="D257" s="11">
        <v>925</v>
      </c>
      <c r="E257" s="11">
        <v>82</v>
      </c>
      <c r="F257" s="3">
        <v>119624</v>
      </c>
      <c r="G257" s="3">
        <v>31102.239999999991</v>
      </c>
      <c r="H257" s="3">
        <v>0</v>
      </c>
      <c r="I257" s="3"/>
      <c r="J257" s="3">
        <v>0</v>
      </c>
      <c r="K257" s="3">
        <v>16986</v>
      </c>
      <c r="L257" s="2">
        <v>0</v>
      </c>
      <c r="M257" s="3">
        <v>88521.760000000009</v>
      </c>
      <c r="N257" s="2">
        <v>136610</v>
      </c>
      <c r="O257" s="3">
        <v>48088.239999999991</v>
      </c>
      <c r="P257" s="9">
        <f>O257*Summary!$B$29</f>
        <v>22248.960273591594</v>
      </c>
      <c r="Q257" s="9">
        <f t="shared" si="27"/>
        <v>22248.959999999999</v>
      </c>
    </row>
    <row r="258" spans="1:17" s="2" customFormat="1" x14ac:dyDescent="0.25">
      <c r="A258" s="6">
        <v>281</v>
      </c>
      <c r="B258" s="3" t="s">
        <v>312</v>
      </c>
      <c r="C258" s="3" t="s">
        <v>50</v>
      </c>
      <c r="D258" s="11">
        <v>925</v>
      </c>
      <c r="E258" s="11">
        <v>82</v>
      </c>
      <c r="F258" s="3">
        <v>37900</v>
      </c>
      <c r="G258" s="3">
        <v>15162.400000000001</v>
      </c>
      <c r="H258" s="3">
        <v>0</v>
      </c>
      <c r="I258" s="3"/>
      <c r="J258" s="3">
        <v>0</v>
      </c>
      <c r="K258" s="3">
        <v>0</v>
      </c>
      <c r="L258" s="2">
        <v>122420.96</v>
      </c>
      <c r="M258" s="3">
        <v>22737.599999999999</v>
      </c>
      <c r="N258" s="2">
        <v>160320.96000000002</v>
      </c>
      <c r="O258" s="3">
        <v>137583.36000000002</v>
      </c>
      <c r="P258" s="9">
        <f>O258*Summary!$B$29</f>
        <v>63655.61956410241</v>
      </c>
      <c r="Q258" s="9">
        <f t="shared" si="27"/>
        <v>63655.62</v>
      </c>
    </row>
    <row r="259" spans="1:17" s="2" customFormat="1" x14ac:dyDescent="0.25">
      <c r="A259" s="6">
        <v>282</v>
      </c>
      <c r="B259" s="3" t="s">
        <v>318</v>
      </c>
      <c r="C259" s="3" t="s">
        <v>50</v>
      </c>
      <c r="D259" s="11">
        <v>925</v>
      </c>
      <c r="E259" s="11">
        <v>82</v>
      </c>
      <c r="F259" s="3">
        <v>9900</v>
      </c>
      <c r="G259" s="3">
        <v>5940</v>
      </c>
      <c r="H259" s="3">
        <v>0</v>
      </c>
      <c r="I259" s="3"/>
      <c r="J259" s="3">
        <v>0</v>
      </c>
      <c r="K259" s="3">
        <v>0</v>
      </c>
      <c r="L259" s="2">
        <v>0</v>
      </c>
      <c r="M259" s="3">
        <v>3960</v>
      </c>
      <c r="N259" s="2">
        <v>9900</v>
      </c>
      <c r="O259" s="3">
        <v>5940</v>
      </c>
      <c r="P259" s="9">
        <f>O259*Summary!$B$29</f>
        <v>2748.2566221000002</v>
      </c>
      <c r="Q259" s="9">
        <f t="shared" si="27"/>
        <v>2748.26</v>
      </c>
    </row>
    <row r="260" spans="1:17" s="2" customFormat="1" x14ac:dyDescent="0.25">
      <c r="A260" s="6">
        <v>283</v>
      </c>
      <c r="B260" s="3" t="s">
        <v>319</v>
      </c>
      <c r="C260" s="3" t="s">
        <v>50</v>
      </c>
      <c r="D260" s="11">
        <v>925</v>
      </c>
      <c r="E260" s="11">
        <v>82</v>
      </c>
      <c r="F260" s="3">
        <v>36840</v>
      </c>
      <c r="G260" s="3">
        <v>17683.2</v>
      </c>
      <c r="H260" s="3">
        <v>0</v>
      </c>
      <c r="I260" s="3"/>
      <c r="J260" s="3">
        <v>0</v>
      </c>
      <c r="K260" s="3">
        <v>0</v>
      </c>
      <c r="L260" s="2">
        <v>21353.35</v>
      </c>
      <c r="M260" s="3">
        <v>19156.8</v>
      </c>
      <c r="N260" s="2">
        <v>58193.35</v>
      </c>
      <c r="O260" s="3">
        <v>39036.550000000003</v>
      </c>
      <c r="P260" s="9">
        <f>O260*Summary!$B$29</f>
        <v>18061.019703945753</v>
      </c>
      <c r="Q260" s="9">
        <f t="shared" si="27"/>
        <v>18061.02</v>
      </c>
    </row>
    <row r="261" spans="1:17" s="2" customFormat="1" x14ac:dyDescent="0.25">
      <c r="A261" s="6">
        <v>284</v>
      </c>
      <c r="B261" s="3" t="s">
        <v>322</v>
      </c>
      <c r="C261" s="3" t="s">
        <v>50</v>
      </c>
      <c r="D261" s="11">
        <v>925</v>
      </c>
      <c r="E261" s="11">
        <v>82</v>
      </c>
      <c r="F261" s="3">
        <v>117048</v>
      </c>
      <c r="G261" s="3">
        <v>67887.839999999997</v>
      </c>
      <c r="H261" s="3">
        <v>0</v>
      </c>
      <c r="I261" s="3"/>
      <c r="J261" s="3">
        <v>0</v>
      </c>
      <c r="K261" s="3">
        <v>0</v>
      </c>
      <c r="L261" s="2">
        <v>8842.89</v>
      </c>
      <c r="M261" s="3">
        <v>49160.160000000003</v>
      </c>
      <c r="N261" s="2">
        <v>125890.89</v>
      </c>
      <c r="O261" s="3">
        <v>76730.73</v>
      </c>
      <c r="P261" s="9">
        <f>O261*Summary!$B$29</f>
        <v>35500.96579815945</v>
      </c>
      <c r="Q261" s="9">
        <f t="shared" si="27"/>
        <v>35500.97</v>
      </c>
    </row>
    <row r="262" spans="1:17" s="2" customFormat="1" x14ac:dyDescent="0.25">
      <c r="A262" s="6">
        <v>286</v>
      </c>
      <c r="B262" s="3" t="s">
        <v>289</v>
      </c>
      <c r="C262" s="3" t="s">
        <v>50</v>
      </c>
      <c r="D262" s="11">
        <v>925</v>
      </c>
      <c r="E262" s="11">
        <v>82</v>
      </c>
      <c r="F262" s="3">
        <v>54179.740000000005</v>
      </c>
      <c r="G262" s="3">
        <v>14433.702563460793</v>
      </c>
      <c r="H262" s="3">
        <v>0</v>
      </c>
      <c r="I262" s="3"/>
      <c r="J262" s="3">
        <v>0</v>
      </c>
      <c r="K262" s="3">
        <v>0</v>
      </c>
      <c r="L262" s="2">
        <v>0</v>
      </c>
      <c r="M262" s="3">
        <v>39746.037436539213</v>
      </c>
      <c r="N262" s="2">
        <v>54179.740000000005</v>
      </c>
      <c r="O262" s="3">
        <v>14433.702563460793</v>
      </c>
      <c r="P262" s="9">
        <f>O262*Summary!$B$29</f>
        <v>6678.0334430055336</v>
      </c>
      <c r="Q262" s="9">
        <f t="shared" si="27"/>
        <v>6678.03</v>
      </c>
    </row>
    <row r="263" spans="1:17" s="2" customFormat="1" x14ac:dyDescent="0.25">
      <c r="A263" s="6">
        <v>621</v>
      </c>
      <c r="B263" s="3" t="s">
        <v>306</v>
      </c>
      <c r="C263" s="3" t="s">
        <v>50</v>
      </c>
      <c r="D263" s="11">
        <v>925</v>
      </c>
      <c r="E263" s="11">
        <v>82</v>
      </c>
      <c r="F263" s="3">
        <v>284178.96999999997</v>
      </c>
      <c r="G263" s="3">
        <v>145096.87999999998</v>
      </c>
      <c r="H263" s="3">
        <v>0</v>
      </c>
      <c r="I263" s="3"/>
      <c r="J263" s="3">
        <v>0</v>
      </c>
      <c r="K263" s="3">
        <v>0</v>
      </c>
      <c r="L263" s="2">
        <v>0</v>
      </c>
      <c r="M263" s="3">
        <v>139082.09</v>
      </c>
      <c r="N263" s="2">
        <v>284178.96999999997</v>
      </c>
      <c r="O263" s="3">
        <v>145096.87999999998</v>
      </c>
      <c r="P263" s="9">
        <f>O263*Summary!$B$29</f>
        <v>67131.895842769183</v>
      </c>
      <c r="Q263" s="9">
        <f t="shared" si="27"/>
        <v>67131.899999999994</v>
      </c>
    </row>
    <row r="264" spans="1:17" s="2" customFormat="1" x14ac:dyDescent="0.25">
      <c r="A264" s="6">
        <v>622</v>
      </c>
      <c r="B264" s="3" t="s">
        <v>308</v>
      </c>
      <c r="C264" s="3" t="s">
        <v>50</v>
      </c>
      <c r="D264" s="11">
        <v>925</v>
      </c>
      <c r="E264" s="11">
        <v>82</v>
      </c>
      <c r="F264" s="3">
        <v>218182.84</v>
      </c>
      <c r="G264" s="3">
        <v>84734.360000000015</v>
      </c>
      <c r="H264" s="3">
        <v>0</v>
      </c>
      <c r="I264" s="3"/>
      <c r="J264" s="3">
        <v>0</v>
      </c>
      <c r="K264" s="3">
        <v>0</v>
      </c>
      <c r="L264" s="2">
        <v>0</v>
      </c>
      <c r="M264" s="3">
        <v>133448.47999999998</v>
      </c>
      <c r="N264" s="2">
        <v>218182.84</v>
      </c>
      <c r="O264" s="3">
        <v>84734.360000000015</v>
      </c>
      <c r="P264" s="9">
        <f>O264*Summary!$B$29</f>
        <v>39204.001008317406</v>
      </c>
      <c r="Q264" s="9">
        <f t="shared" si="27"/>
        <v>39204</v>
      </c>
    </row>
    <row r="265" spans="1:17" s="2" customFormat="1" x14ac:dyDescent="0.25">
      <c r="A265" s="6">
        <v>623</v>
      </c>
      <c r="B265" s="3" t="s">
        <v>314</v>
      </c>
      <c r="C265" s="3" t="s">
        <v>50</v>
      </c>
      <c r="D265" s="11">
        <v>925</v>
      </c>
      <c r="E265" s="11">
        <v>82</v>
      </c>
      <c r="F265" s="3">
        <v>53709</v>
      </c>
      <c r="G265" s="3">
        <v>22542.12</v>
      </c>
      <c r="H265" s="3">
        <v>6240</v>
      </c>
      <c r="I265" s="3"/>
      <c r="J265" s="3">
        <v>2620.8000000000002</v>
      </c>
      <c r="K265" s="3">
        <v>0</v>
      </c>
      <c r="L265" s="2">
        <v>0</v>
      </c>
      <c r="M265" s="3">
        <v>34786.080000000002</v>
      </c>
      <c r="N265" s="2">
        <v>59949</v>
      </c>
      <c r="O265" s="3">
        <v>25162.92</v>
      </c>
      <c r="P265" s="9">
        <f>O265*Summary!$B$29</f>
        <v>11642.114734237799</v>
      </c>
      <c r="Q265" s="9">
        <f t="shared" si="27"/>
        <v>11642.11</v>
      </c>
    </row>
    <row r="266" spans="1:17" s="2" customFormat="1" x14ac:dyDescent="0.25">
      <c r="A266" s="6">
        <v>717</v>
      </c>
      <c r="B266" s="3" t="s">
        <v>301</v>
      </c>
      <c r="C266" s="3" t="s">
        <v>50</v>
      </c>
      <c r="D266" s="11">
        <v>925</v>
      </c>
      <c r="E266" s="11">
        <v>82</v>
      </c>
      <c r="F266" s="3">
        <v>29651</v>
      </c>
      <c r="G266" s="3">
        <v>15491</v>
      </c>
      <c r="H266" s="3">
        <v>0</v>
      </c>
      <c r="I266" s="3"/>
      <c r="J266" s="3">
        <v>0</v>
      </c>
      <c r="K266" s="3">
        <v>0</v>
      </c>
      <c r="L266" s="2">
        <v>0</v>
      </c>
      <c r="M266" s="3">
        <v>14160</v>
      </c>
      <c r="N266" s="2">
        <v>29651</v>
      </c>
      <c r="O266" s="3">
        <v>15491</v>
      </c>
      <c r="P266" s="9">
        <f>O266*Summary!$B$29</f>
        <v>7167.2126823150002</v>
      </c>
      <c r="Q266" s="9">
        <f t="shared" si="27"/>
        <v>7167.21</v>
      </c>
    </row>
    <row r="267" spans="1:17" s="2" customFormat="1" x14ac:dyDescent="0.25">
      <c r="A267" s="6">
        <v>721</v>
      </c>
      <c r="B267" s="3" t="s">
        <v>307</v>
      </c>
      <c r="C267" s="3" t="s">
        <v>50</v>
      </c>
      <c r="D267" s="11">
        <v>925</v>
      </c>
      <c r="E267" s="11">
        <v>82</v>
      </c>
      <c r="F267" s="3">
        <v>81881.39</v>
      </c>
      <c r="G267" s="3">
        <v>49128.834000000003</v>
      </c>
      <c r="H267" s="3">
        <v>0</v>
      </c>
      <c r="I267" s="3"/>
      <c r="J267" s="3">
        <v>0</v>
      </c>
      <c r="K267" s="3">
        <v>0</v>
      </c>
      <c r="L267" s="2">
        <v>0</v>
      </c>
      <c r="M267" s="3">
        <v>32752.556</v>
      </c>
      <c r="N267" s="2">
        <v>81881.39</v>
      </c>
      <c r="O267" s="3">
        <v>49128.834000000003</v>
      </c>
      <c r="P267" s="9">
        <f>O267*Summary!$B$29</f>
        <v>22730.411342853811</v>
      </c>
      <c r="Q267" s="9">
        <f t="shared" si="27"/>
        <v>22730.41</v>
      </c>
    </row>
    <row r="268" spans="1:17" s="2" customFormat="1" x14ac:dyDescent="0.25">
      <c r="A268" s="6">
        <v>831</v>
      </c>
      <c r="B268" s="3" t="s">
        <v>296</v>
      </c>
      <c r="C268" s="3" t="s">
        <v>50</v>
      </c>
      <c r="D268" s="11">
        <v>925</v>
      </c>
      <c r="E268" s="11">
        <v>82</v>
      </c>
      <c r="F268" s="3">
        <v>123649</v>
      </c>
      <c r="G268" s="3">
        <v>74066.2</v>
      </c>
      <c r="H268" s="3">
        <v>0</v>
      </c>
      <c r="I268" s="3"/>
      <c r="J268" s="3">
        <v>0</v>
      </c>
      <c r="K268" s="3">
        <v>0</v>
      </c>
      <c r="L268" s="2">
        <v>0</v>
      </c>
      <c r="M268" s="3">
        <v>49582.8</v>
      </c>
      <c r="N268" s="2">
        <v>123649</v>
      </c>
      <c r="O268" s="3">
        <v>74066.2</v>
      </c>
      <c r="P268" s="9">
        <f>O268*Summary!$B$29</f>
        <v>34268.169128583002</v>
      </c>
      <c r="Q268" s="9">
        <f t="shared" si="27"/>
        <v>34268.17</v>
      </c>
    </row>
    <row r="269" spans="1:17" s="2" customFormat="1" x14ac:dyDescent="0.25">
      <c r="A269" s="6">
        <v>832</v>
      </c>
      <c r="B269" s="3" t="s">
        <v>304</v>
      </c>
      <c r="C269" s="3" t="s">
        <v>50</v>
      </c>
      <c r="D269" s="11">
        <v>925</v>
      </c>
      <c r="E269" s="11">
        <v>82</v>
      </c>
      <c r="F269" s="3">
        <v>42732.81</v>
      </c>
      <c r="G269" s="3">
        <v>25857.609999999997</v>
      </c>
      <c r="H269" s="3">
        <v>0</v>
      </c>
      <c r="I269" s="3"/>
      <c r="J269" s="3">
        <v>0</v>
      </c>
      <c r="K269" s="3">
        <v>0</v>
      </c>
      <c r="L269" s="2">
        <v>0</v>
      </c>
      <c r="M269" s="3">
        <v>16875.2</v>
      </c>
      <c r="N269" s="2">
        <v>42732.81</v>
      </c>
      <c r="O269" s="3">
        <v>25857.609999999997</v>
      </c>
      <c r="P269" s="9">
        <f>O269*Summary!$B$29</f>
        <v>11963.526584878649</v>
      </c>
      <c r="Q269" s="9">
        <f t="shared" si="27"/>
        <v>11963.53</v>
      </c>
    </row>
    <row r="270" spans="1:17" s="2" customFormat="1" x14ac:dyDescent="0.25">
      <c r="A270" s="6">
        <v>833</v>
      </c>
      <c r="B270" s="3" t="s">
        <v>316</v>
      </c>
      <c r="C270" s="3" t="s">
        <v>50</v>
      </c>
      <c r="D270" s="11">
        <v>925</v>
      </c>
      <c r="E270" s="11">
        <v>82</v>
      </c>
      <c r="F270" s="3">
        <v>38500</v>
      </c>
      <c r="G270" s="3">
        <v>22372</v>
      </c>
      <c r="H270" s="3">
        <v>0</v>
      </c>
      <c r="I270" s="3"/>
      <c r="J270" s="3">
        <v>0</v>
      </c>
      <c r="K270" s="3">
        <v>0</v>
      </c>
      <c r="L270" s="2">
        <v>52162.66</v>
      </c>
      <c r="M270" s="3">
        <v>16128</v>
      </c>
      <c r="N270" s="2">
        <v>90662.66</v>
      </c>
      <c r="O270" s="3">
        <v>74534.66</v>
      </c>
      <c r="P270" s="9">
        <f>O270*Summary!$B$29</f>
        <v>34484.911266156902</v>
      </c>
      <c r="Q270" s="9">
        <f t="shared" si="27"/>
        <v>34484.910000000003</v>
      </c>
    </row>
    <row r="271" spans="1:17" s="2" customFormat="1" x14ac:dyDescent="0.25">
      <c r="A271" s="6">
        <v>834</v>
      </c>
      <c r="B271" s="3" t="s">
        <v>321</v>
      </c>
      <c r="C271" s="3" t="s">
        <v>50</v>
      </c>
      <c r="D271" s="11">
        <v>925</v>
      </c>
      <c r="E271" s="11">
        <v>82</v>
      </c>
      <c r="F271" s="3">
        <v>208700.08</v>
      </c>
      <c r="G271" s="3">
        <v>122138.07999999999</v>
      </c>
      <c r="H271" s="3">
        <v>0</v>
      </c>
      <c r="I271" s="3"/>
      <c r="J271" s="3">
        <v>0</v>
      </c>
      <c r="K271" s="3">
        <v>4800.5058374695182</v>
      </c>
      <c r="L271" s="2">
        <v>0</v>
      </c>
      <c r="M271" s="3">
        <v>86562</v>
      </c>
      <c r="N271" s="2">
        <v>213500.58583746949</v>
      </c>
      <c r="O271" s="3">
        <v>126938.58583746951</v>
      </c>
      <c r="P271" s="9">
        <f>O271*Summary!$B$29</f>
        <v>58730.607597278598</v>
      </c>
      <c r="Q271" s="9">
        <f t="shared" si="27"/>
        <v>58730.61</v>
      </c>
    </row>
    <row r="272" spans="1:17" s="2" customFormat="1" x14ac:dyDescent="0.25">
      <c r="A272" s="6">
        <v>877</v>
      </c>
      <c r="B272" s="3" t="s">
        <v>290</v>
      </c>
      <c r="C272" s="3" t="s">
        <v>50</v>
      </c>
      <c r="D272" s="11">
        <v>925</v>
      </c>
      <c r="E272" s="11">
        <v>82</v>
      </c>
      <c r="F272" s="3">
        <v>192381.24</v>
      </c>
      <c r="G272" s="3">
        <v>98405.380104067983</v>
      </c>
      <c r="H272" s="3">
        <v>0</v>
      </c>
      <c r="I272" s="3"/>
      <c r="J272" s="3">
        <v>0</v>
      </c>
      <c r="K272" s="3">
        <v>0</v>
      </c>
      <c r="L272" s="2">
        <v>0</v>
      </c>
      <c r="M272" s="3">
        <v>93975.859895932008</v>
      </c>
      <c r="N272" s="2">
        <v>192381.24</v>
      </c>
      <c r="O272" s="3">
        <v>98405.380104067983</v>
      </c>
      <c r="P272" s="9">
        <f>O272*Summary!$B$29</f>
        <v>45529.164565870778</v>
      </c>
      <c r="Q272" s="9">
        <f t="shared" si="27"/>
        <v>45529.16</v>
      </c>
    </row>
    <row r="273" spans="1:17" s="2" customFormat="1" x14ac:dyDescent="0.25">
      <c r="A273" s="6">
        <v>885</v>
      </c>
      <c r="B273" s="3" t="s">
        <v>320</v>
      </c>
      <c r="C273" s="3" t="s">
        <v>50</v>
      </c>
      <c r="D273" s="11">
        <v>925</v>
      </c>
      <c r="E273" s="11">
        <v>82</v>
      </c>
      <c r="F273" s="3">
        <v>96180</v>
      </c>
      <c r="G273" s="3">
        <v>57708</v>
      </c>
      <c r="H273" s="3">
        <v>0</v>
      </c>
      <c r="I273" s="3"/>
      <c r="J273" s="3">
        <v>0</v>
      </c>
      <c r="K273" s="3">
        <v>0</v>
      </c>
      <c r="L273" s="2">
        <v>2042.45</v>
      </c>
      <c r="M273" s="3">
        <v>38472</v>
      </c>
      <c r="N273" s="2">
        <v>98222.45</v>
      </c>
      <c r="O273" s="3">
        <v>59750.45</v>
      </c>
      <c r="P273" s="9">
        <f>O273*Summary!$B$29</f>
        <v>27644.708735009248</v>
      </c>
      <c r="Q273" s="9">
        <f t="shared" si="27"/>
        <v>27644.71</v>
      </c>
    </row>
    <row r="274" spans="1:17" s="2" customFormat="1" x14ac:dyDescent="0.25">
      <c r="A274" s="6">
        <v>4116</v>
      </c>
      <c r="B274" s="3" t="s">
        <v>302</v>
      </c>
      <c r="C274" s="3" t="s">
        <v>50</v>
      </c>
      <c r="D274" s="11">
        <v>925</v>
      </c>
      <c r="E274" s="11">
        <v>82</v>
      </c>
      <c r="F274" s="3">
        <v>15520</v>
      </c>
      <c r="G274" s="3">
        <v>9312</v>
      </c>
      <c r="H274" s="3">
        <v>0</v>
      </c>
      <c r="I274" s="3"/>
      <c r="J274" s="3">
        <v>0</v>
      </c>
      <c r="K274" s="3">
        <v>0</v>
      </c>
      <c r="L274" s="2">
        <v>0</v>
      </c>
      <c r="M274" s="15">
        <v>6208</v>
      </c>
      <c r="N274" s="16">
        <v>15520</v>
      </c>
      <c r="O274" s="15">
        <v>9312</v>
      </c>
      <c r="P274" s="21">
        <f>O274*Summary!$B$29</f>
        <v>4308.3780580800003</v>
      </c>
      <c r="Q274" s="21">
        <f t="shared" si="27"/>
        <v>4308.38</v>
      </c>
    </row>
    <row r="275" spans="1:17" s="2" customFormat="1" x14ac:dyDescent="0.25">
      <c r="A275" s="6"/>
      <c r="B275" s="3"/>
      <c r="C275" s="3"/>
      <c r="D275" s="11"/>
      <c r="E275" s="11"/>
      <c r="F275" s="3"/>
      <c r="G275" s="3"/>
      <c r="H275" s="3"/>
      <c r="I275" s="3"/>
      <c r="J275" s="3"/>
      <c r="K275" s="3"/>
      <c r="M275" s="13">
        <f>SUM(M237:M274)</f>
        <v>1896761.6836311133</v>
      </c>
      <c r="N275" s="13">
        <f t="shared" ref="N275:Q275" si="28">SUM(N237:N274)</f>
        <v>4389700.701193871</v>
      </c>
      <c r="O275" s="13">
        <f t="shared" si="28"/>
        <v>2492939.0175627572</v>
      </c>
      <c r="P275" s="13">
        <f t="shared" si="28"/>
        <v>1153406.7615333861</v>
      </c>
      <c r="Q275" s="13">
        <f t="shared" si="28"/>
        <v>1153406.7499999998</v>
      </c>
    </row>
    <row r="276" spans="1:17" s="2" customFormat="1" x14ac:dyDescent="0.25">
      <c r="A276" s="6"/>
      <c r="B276" s="3"/>
      <c r="C276" s="3"/>
      <c r="D276" s="11"/>
      <c r="E276" s="11"/>
      <c r="F276" s="3"/>
      <c r="G276" s="3"/>
      <c r="H276" s="3"/>
      <c r="I276" s="3"/>
      <c r="J276" s="3"/>
      <c r="K276" s="3"/>
      <c r="M276" s="3"/>
      <c r="O276" s="3"/>
    </row>
    <row r="277" spans="1:17" s="2" customFormat="1" x14ac:dyDescent="0.25">
      <c r="A277" s="6"/>
      <c r="B277" s="3"/>
      <c r="C277" s="3"/>
      <c r="D277" s="11"/>
      <c r="E277" s="11"/>
      <c r="F277" s="3"/>
      <c r="G277" s="3"/>
      <c r="H277" s="3"/>
      <c r="I277" s="3"/>
      <c r="J277" s="3"/>
      <c r="K277" s="3"/>
      <c r="M277" s="3"/>
      <c r="O277" s="3"/>
    </row>
    <row r="278" spans="1:17" s="2" customFormat="1" x14ac:dyDescent="0.25">
      <c r="A278" s="6">
        <v>81</v>
      </c>
      <c r="B278" s="3" t="s">
        <v>259</v>
      </c>
      <c r="C278" s="3" t="s">
        <v>255</v>
      </c>
      <c r="D278" s="11">
        <v>991</v>
      </c>
      <c r="E278" s="11">
        <v>83</v>
      </c>
      <c r="F278" s="3">
        <v>26280.36</v>
      </c>
      <c r="G278" s="3">
        <v>8672.52</v>
      </c>
      <c r="H278" s="3"/>
      <c r="I278" s="3"/>
      <c r="J278" s="3"/>
      <c r="K278" s="3">
        <v>9705.84</v>
      </c>
      <c r="M278" s="3">
        <v>17607.839999999997</v>
      </c>
      <c r="N278" s="2">
        <v>35986.199999999997</v>
      </c>
      <c r="O278" s="2">
        <v>18378.36</v>
      </c>
      <c r="P278" s="9">
        <f>O278*Summary!$B$29</f>
        <v>8503.1059887774009</v>
      </c>
      <c r="Q278" s="9">
        <f t="shared" ref="Q278:Q310" si="29">ROUND(P278,2)</f>
        <v>8503.11</v>
      </c>
    </row>
    <row r="279" spans="1:17" s="2" customFormat="1" x14ac:dyDescent="0.25">
      <c r="A279" s="6">
        <v>84</v>
      </c>
      <c r="B279" s="3" t="s">
        <v>278</v>
      </c>
      <c r="C279" s="3" t="s">
        <v>255</v>
      </c>
      <c r="D279" s="11">
        <v>991</v>
      </c>
      <c r="E279" s="11">
        <v>83</v>
      </c>
      <c r="F279" s="3">
        <v>32253.84</v>
      </c>
      <c r="G279" s="3">
        <v>10643.77</v>
      </c>
      <c r="H279" s="3"/>
      <c r="I279" s="3"/>
      <c r="J279" s="3"/>
      <c r="K279" s="3">
        <v>9705.84</v>
      </c>
      <c r="M279" s="3">
        <v>21610.07</v>
      </c>
      <c r="N279" s="2">
        <v>41959.68</v>
      </c>
      <c r="O279" s="2">
        <v>20349.61</v>
      </c>
      <c r="P279" s="9">
        <f>O279*Summary!$B$29</f>
        <v>9415.1431716586503</v>
      </c>
      <c r="Q279" s="9">
        <f t="shared" si="29"/>
        <v>9415.14</v>
      </c>
    </row>
    <row r="280" spans="1:17" s="2" customFormat="1" x14ac:dyDescent="0.25">
      <c r="A280" s="6">
        <v>85</v>
      </c>
      <c r="B280" s="3" t="s">
        <v>279</v>
      </c>
      <c r="C280" s="3" t="s">
        <v>255</v>
      </c>
      <c r="D280" s="11">
        <v>991</v>
      </c>
      <c r="E280" s="11">
        <v>83</v>
      </c>
      <c r="F280" s="3">
        <v>31408.2</v>
      </c>
      <c r="G280" s="3">
        <v>10364.709999999999</v>
      </c>
      <c r="H280" s="3"/>
      <c r="I280" s="3"/>
      <c r="J280" s="3"/>
      <c r="K280" s="3">
        <v>9705.84</v>
      </c>
      <c r="M280" s="3">
        <v>21043.49</v>
      </c>
      <c r="N280" s="2">
        <v>41114.04</v>
      </c>
      <c r="O280" s="2">
        <v>20070.55</v>
      </c>
      <c r="P280" s="9">
        <f>O280*Summary!$B$29</f>
        <v>9286.0306307557494</v>
      </c>
      <c r="Q280" s="9">
        <f t="shared" si="29"/>
        <v>9286.0300000000007</v>
      </c>
    </row>
    <row r="281" spans="1:17" s="2" customFormat="1" x14ac:dyDescent="0.25">
      <c r="A281" s="6">
        <v>173</v>
      </c>
      <c r="B281" s="3" t="s">
        <v>273</v>
      </c>
      <c r="C281" s="3" t="s">
        <v>255</v>
      </c>
      <c r="D281" s="11">
        <v>991</v>
      </c>
      <c r="E281" s="11">
        <v>83</v>
      </c>
      <c r="F281" s="3">
        <v>31977.53</v>
      </c>
      <c r="G281" s="3">
        <v>10396.939999999999</v>
      </c>
      <c r="H281" s="3"/>
      <c r="I281" s="3"/>
      <c r="J281" s="3"/>
      <c r="K281" s="3">
        <v>9705.84</v>
      </c>
      <c r="M281" s="3">
        <v>31286.429999999997</v>
      </c>
      <c r="N281" s="2">
        <v>41683.369999999995</v>
      </c>
      <c r="O281" s="2">
        <v>10396.939999999999</v>
      </c>
      <c r="P281" s="9">
        <f>O281*Summary!$B$29</f>
        <v>4810.3466674370993</v>
      </c>
      <c r="Q281" s="9">
        <f t="shared" si="29"/>
        <v>4810.3500000000004</v>
      </c>
    </row>
    <row r="282" spans="1:17" s="2" customFormat="1" x14ac:dyDescent="0.25">
      <c r="A282" s="6">
        <v>177</v>
      </c>
      <c r="B282" s="3" t="s">
        <v>282</v>
      </c>
      <c r="C282" s="3" t="s">
        <v>255</v>
      </c>
      <c r="D282" s="11">
        <v>991</v>
      </c>
      <c r="E282" s="11">
        <v>83</v>
      </c>
      <c r="F282" s="3">
        <v>34953.24</v>
      </c>
      <c r="G282" s="3">
        <v>11534.57</v>
      </c>
      <c r="H282" s="3"/>
      <c r="I282" s="3"/>
      <c r="J282" s="3"/>
      <c r="K282" s="3">
        <v>9705.84</v>
      </c>
      <c r="M282" s="3">
        <v>23418.670000000002</v>
      </c>
      <c r="N282" s="2">
        <v>44659.08</v>
      </c>
      <c r="O282" s="2">
        <v>21240.41</v>
      </c>
      <c r="P282" s="9">
        <f>O282*Summary!$B$29</f>
        <v>9827.2891310806499</v>
      </c>
      <c r="Q282" s="9">
        <f t="shared" si="29"/>
        <v>9827.2900000000009</v>
      </c>
    </row>
    <row r="283" spans="1:17" s="2" customFormat="1" x14ac:dyDescent="0.25">
      <c r="A283" s="6">
        <v>330</v>
      </c>
      <c r="B283" s="3" t="s">
        <v>280</v>
      </c>
      <c r="C283" s="3" t="s">
        <v>255</v>
      </c>
      <c r="D283" s="11">
        <v>991</v>
      </c>
      <c r="E283" s="11">
        <v>83</v>
      </c>
      <c r="F283" s="3">
        <v>52614.96</v>
      </c>
      <c r="G283" s="3">
        <v>17362.940000000002</v>
      </c>
      <c r="H283" s="3"/>
      <c r="I283" s="3"/>
      <c r="J283" s="3"/>
      <c r="K283" s="3">
        <v>9705.84</v>
      </c>
      <c r="M283" s="3">
        <v>35252.020000000004</v>
      </c>
      <c r="N283" s="2">
        <v>62320.800000000003</v>
      </c>
      <c r="O283" s="2">
        <v>27068.780000000002</v>
      </c>
      <c r="P283" s="9">
        <f>O283*Summary!$B$29</f>
        <v>12523.897960802702</v>
      </c>
      <c r="Q283" s="9">
        <f t="shared" si="29"/>
        <v>12523.9</v>
      </c>
    </row>
    <row r="284" spans="1:17" s="2" customFormat="1" x14ac:dyDescent="0.25">
      <c r="A284" s="6">
        <v>402</v>
      </c>
      <c r="B284" s="3" t="s">
        <v>265</v>
      </c>
      <c r="C284" s="3" t="s">
        <v>255</v>
      </c>
      <c r="D284" s="11">
        <v>991</v>
      </c>
      <c r="E284" s="11">
        <v>83</v>
      </c>
      <c r="F284" s="3">
        <v>26508</v>
      </c>
      <c r="G284" s="3">
        <v>8747.64</v>
      </c>
      <c r="H284" s="3"/>
      <c r="I284" s="3"/>
      <c r="J284" s="3"/>
      <c r="K284" s="3">
        <v>9705.84</v>
      </c>
      <c r="M284" s="3">
        <v>17760.359999999997</v>
      </c>
      <c r="N284" s="2">
        <v>36213.839999999997</v>
      </c>
      <c r="O284" s="2">
        <v>18453.48</v>
      </c>
      <c r="P284" s="9">
        <f>O284*Summary!$B$29</f>
        <v>8537.8617189882007</v>
      </c>
      <c r="Q284" s="9">
        <f t="shared" si="29"/>
        <v>8537.86</v>
      </c>
    </row>
    <row r="285" spans="1:17" s="2" customFormat="1" x14ac:dyDescent="0.25">
      <c r="A285" s="6">
        <v>403</v>
      </c>
      <c r="B285" s="3" t="s">
        <v>266</v>
      </c>
      <c r="C285" s="3" t="s">
        <v>255</v>
      </c>
      <c r="D285" s="11">
        <v>991</v>
      </c>
      <c r="E285" s="11">
        <v>83</v>
      </c>
      <c r="F285" s="3">
        <v>26562.240000000002</v>
      </c>
      <c r="G285" s="3">
        <v>8765.5400000000009</v>
      </c>
      <c r="H285" s="3"/>
      <c r="I285" s="3"/>
      <c r="J285" s="3"/>
      <c r="K285" s="3">
        <v>9705.84</v>
      </c>
      <c r="M285" s="3">
        <v>17796.7</v>
      </c>
      <c r="N285" s="2">
        <v>36268.080000000002</v>
      </c>
      <c r="O285" s="2">
        <v>18471.38</v>
      </c>
      <c r="P285" s="9">
        <f>O285*Summary!$B$29</f>
        <v>8546.1435024117</v>
      </c>
      <c r="Q285" s="9">
        <f t="shared" si="29"/>
        <v>8546.14</v>
      </c>
    </row>
    <row r="286" spans="1:17" s="2" customFormat="1" x14ac:dyDescent="0.25">
      <c r="A286" s="6">
        <v>404</v>
      </c>
      <c r="B286" s="3" t="s">
        <v>264</v>
      </c>
      <c r="C286" s="3" t="s">
        <v>255</v>
      </c>
      <c r="D286" s="11">
        <v>991</v>
      </c>
      <c r="E286" s="11">
        <v>83</v>
      </c>
      <c r="F286" s="3">
        <v>26497.200000000001</v>
      </c>
      <c r="G286" s="3">
        <v>8744.08</v>
      </c>
      <c r="H286" s="3"/>
      <c r="I286" s="3"/>
      <c r="J286" s="3"/>
      <c r="K286" s="3">
        <v>9705.84</v>
      </c>
      <c r="M286" s="3">
        <v>17753.120000000003</v>
      </c>
      <c r="N286" s="2">
        <v>36203.040000000001</v>
      </c>
      <c r="O286" s="2">
        <v>18449.919999999998</v>
      </c>
      <c r="P286" s="9">
        <f>O286*Summary!$B$29</f>
        <v>8536.2146156927993</v>
      </c>
      <c r="Q286" s="9">
        <f t="shared" si="29"/>
        <v>8536.2099999999991</v>
      </c>
    </row>
    <row r="287" spans="1:17" s="2" customFormat="1" x14ac:dyDescent="0.25">
      <c r="A287" s="6">
        <v>413</v>
      </c>
      <c r="B287" s="3" t="s">
        <v>269</v>
      </c>
      <c r="C287" s="3" t="s">
        <v>255</v>
      </c>
      <c r="D287" s="11">
        <v>991</v>
      </c>
      <c r="E287" s="11">
        <v>83</v>
      </c>
      <c r="F287" s="3">
        <v>81110.51999999999</v>
      </c>
      <c r="G287" s="3">
        <v>28062.47</v>
      </c>
      <c r="H287" s="3"/>
      <c r="I287" s="3"/>
      <c r="J287" s="3"/>
      <c r="K287" s="3">
        <v>9705.84</v>
      </c>
      <c r="M287" s="3">
        <v>62753.889999999985</v>
      </c>
      <c r="N287" s="2">
        <v>90816.359999999986</v>
      </c>
      <c r="O287" s="2">
        <v>28062.47</v>
      </c>
      <c r="P287" s="9">
        <f>O287*Summary!$B$29</f>
        <v>12983.647981478551</v>
      </c>
      <c r="Q287" s="9">
        <f t="shared" si="29"/>
        <v>12983.65</v>
      </c>
    </row>
    <row r="288" spans="1:17" s="2" customFormat="1" x14ac:dyDescent="0.25">
      <c r="A288" s="6">
        <v>414</v>
      </c>
      <c r="B288" s="3" t="s">
        <v>272</v>
      </c>
      <c r="C288" s="3" t="s">
        <v>255</v>
      </c>
      <c r="D288" s="11">
        <v>991</v>
      </c>
      <c r="E288" s="11">
        <v>83</v>
      </c>
      <c r="F288" s="3">
        <v>29467.68</v>
      </c>
      <c r="G288" s="3">
        <v>9724.33</v>
      </c>
      <c r="H288" s="3"/>
      <c r="I288" s="3"/>
      <c r="J288" s="3"/>
      <c r="K288" s="3">
        <v>9705.84</v>
      </c>
      <c r="M288" s="3">
        <v>19743.350000000006</v>
      </c>
      <c r="N288" s="2">
        <v>39173.520000000004</v>
      </c>
      <c r="O288" s="2">
        <v>19430.169999999998</v>
      </c>
      <c r="P288" s="9">
        <f>O288*Summary!$B$29</f>
        <v>8989.7463587590501</v>
      </c>
      <c r="Q288" s="9">
        <f t="shared" si="29"/>
        <v>8989.75</v>
      </c>
    </row>
    <row r="289" spans="1:17" s="2" customFormat="1" x14ac:dyDescent="0.25">
      <c r="A289" s="6">
        <v>415</v>
      </c>
      <c r="B289" s="3" t="s">
        <v>268</v>
      </c>
      <c r="C289" s="3" t="s">
        <v>255</v>
      </c>
      <c r="D289" s="11">
        <v>991</v>
      </c>
      <c r="E289" s="11">
        <v>83</v>
      </c>
      <c r="F289" s="3">
        <v>25749.119999999999</v>
      </c>
      <c r="G289" s="3">
        <v>8497.2099999999991</v>
      </c>
      <c r="H289" s="3"/>
      <c r="I289" s="3"/>
      <c r="J289" s="3"/>
      <c r="K289" s="3">
        <v>9705.84</v>
      </c>
      <c r="M289" s="3">
        <v>17251.91</v>
      </c>
      <c r="N289" s="2">
        <v>35454.959999999999</v>
      </c>
      <c r="O289" s="2">
        <v>18203.05</v>
      </c>
      <c r="P289" s="9">
        <f>O289*Summary!$B$29</f>
        <v>8421.9954048682503</v>
      </c>
      <c r="Q289" s="9">
        <f t="shared" si="29"/>
        <v>8422</v>
      </c>
    </row>
    <row r="290" spans="1:17" s="2" customFormat="1" x14ac:dyDescent="0.25">
      <c r="A290" s="6">
        <v>2904</v>
      </c>
      <c r="B290" s="3" t="s">
        <v>281</v>
      </c>
      <c r="C290" s="3" t="s">
        <v>255</v>
      </c>
      <c r="D290" s="11">
        <v>991</v>
      </c>
      <c r="E290" s="11">
        <v>83</v>
      </c>
      <c r="F290" s="3">
        <v>33280.32</v>
      </c>
      <c r="G290" s="3">
        <v>10948.98</v>
      </c>
      <c r="H290" s="3"/>
      <c r="I290" s="3"/>
      <c r="J290" s="3"/>
      <c r="K290" s="3">
        <v>9705.84</v>
      </c>
      <c r="M290" s="3">
        <v>32037.180000000004</v>
      </c>
      <c r="N290" s="2">
        <v>42986.16</v>
      </c>
      <c r="O290" s="2">
        <v>10948.98</v>
      </c>
      <c r="P290" s="9">
        <f>O290*Summary!$B$29</f>
        <v>5065.7587188956995</v>
      </c>
      <c r="Q290" s="9">
        <f t="shared" si="29"/>
        <v>5065.76</v>
      </c>
    </row>
    <row r="291" spans="1:17" s="2" customFormat="1" x14ac:dyDescent="0.25">
      <c r="A291" s="6">
        <v>505</v>
      </c>
      <c r="B291" s="3" t="s">
        <v>262</v>
      </c>
      <c r="C291" s="3" t="s">
        <v>255</v>
      </c>
      <c r="D291" s="11">
        <v>991</v>
      </c>
      <c r="E291" s="11">
        <v>83</v>
      </c>
      <c r="F291" s="3">
        <v>29760.36</v>
      </c>
      <c r="G291" s="3">
        <v>9820.92</v>
      </c>
      <c r="H291" s="3"/>
      <c r="I291" s="3"/>
      <c r="J291" s="3"/>
      <c r="K291" s="3">
        <v>9705.84</v>
      </c>
      <c r="M291" s="3">
        <v>19939.439999999995</v>
      </c>
      <c r="N291" s="2">
        <v>39466.199999999997</v>
      </c>
      <c r="O291" s="2">
        <v>19526.760000000002</v>
      </c>
      <c r="P291" s="9">
        <f>O291*Summary!$B$29</f>
        <v>9034.4356023834007</v>
      </c>
      <c r="Q291" s="9">
        <f t="shared" si="29"/>
        <v>9034.44</v>
      </c>
    </row>
    <row r="292" spans="1:17" s="2" customFormat="1" x14ac:dyDescent="0.25">
      <c r="A292" s="6">
        <v>511</v>
      </c>
      <c r="B292" s="3" t="s">
        <v>256</v>
      </c>
      <c r="C292" s="3" t="s">
        <v>255</v>
      </c>
      <c r="D292" s="11">
        <v>991</v>
      </c>
      <c r="E292" s="11">
        <v>83</v>
      </c>
      <c r="F292" s="3">
        <v>31505.759999999998</v>
      </c>
      <c r="G292" s="3">
        <v>10396.9</v>
      </c>
      <c r="H292" s="3"/>
      <c r="I292" s="3"/>
      <c r="J292" s="3"/>
      <c r="K292" s="3">
        <v>9705.84</v>
      </c>
      <c r="M292" s="3">
        <v>21108.86</v>
      </c>
      <c r="N292" s="2">
        <v>41211.599999999999</v>
      </c>
      <c r="O292" s="2">
        <v>20102.739999999998</v>
      </c>
      <c r="P292" s="9">
        <f>O292*Summary!$B$29</f>
        <v>9300.9239608340995</v>
      </c>
      <c r="Q292" s="9">
        <f t="shared" si="29"/>
        <v>9300.92</v>
      </c>
    </row>
    <row r="293" spans="1:17" s="2" customFormat="1" x14ac:dyDescent="0.25">
      <c r="A293" s="6">
        <v>513</v>
      </c>
      <c r="B293" s="3" t="s">
        <v>331</v>
      </c>
      <c r="C293" s="3" t="s">
        <v>255</v>
      </c>
      <c r="D293" s="11">
        <v>991</v>
      </c>
      <c r="E293" s="11">
        <v>83</v>
      </c>
      <c r="F293" s="3">
        <v>26182.799999999999</v>
      </c>
      <c r="G293" s="3">
        <v>8640.32</v>
      </c>
      <c r="H293" s="3"/>
      <c r="I293" s="3"/>
      <c r="J293" s="3"/>
      <c r="K293" s="3">
        <v>9705.84</v>
      </c>
      <c r="M293" s="3">
        <v>17542.48</v>
      </c>
      <c r="N293" s="2">
        <v>35888.639999999999</v>
      </c>
      <c r="O293" s="2">
        <v>18346.16</v>
      </c>
      <c r="P293" s="9">
        <f>O293*Summary!$B$29</f>
        <v>8488.2080320044006</v>
      </c>
      <c r="Q293" s="9">
        <f t="shared" si="29"/>
        <v>8488.2099999999991</v>
      </c>
    </row>
    <row r="294" spans="1:17" s="2" customFormat="1" x14ac:dyDescent="0.25">
      <c r="A294" s="6">
        <v>514</v>
      </c>
      <c r="B294" s="3" t="s">
        <v>261</v>
      </c>
      <c r="C294" s="3" t="s">
        <v>255</v>
      </c>
      <c r="D294" s="11">
        <v>991</v>
      </c>
      <c r="E294" s="11">
        <v>83</v>
      </c>
      <c r="F294" s="3">
        <v>26627.279999999999</v>
      </c>
      <c r="G294" s="3">
        <v>8787</v>
      </c>
      <c r="H294" s="3"/>
      <c r="I294" s="3"/>
      <c r="J294" s="3"/>
      <c r="K294" s="3">
        <v>9705.84</v>
      </c>
      <c r="M294" s="3">
        <v>17840.279999999995</v>
      </c>
      <c r="N294" s="2">
        <v>36333.119999999995</v>
      </c>
      <c r="O294" s="2">
        <v>18492.84</v>
      </c>
      <c r="P294" s="9">
        <f>O294*Summary!$B$29</f>
        <v>8556.0723891306006</v>
      </c>
      <c r="Q294" s="9">
        <f t="shared" si="29"/>
        <v>8556.07</v>
      </c>
    </row>
    <row r="295" spans="1:17" s="2" customFormat="1" x14ac:dyDescent="0.25">
      <c r="A295" s="6">
        <v>516</v>
      </c>
      <c r="B295" s="3" t="s">
        <v>332</v>
      </c>
      <c r="C295" s="3" t="s">
        <v>255</v>
      </c>
      <c r="D295" s="11">
        <v>991</v>
      </c>
      <c r="E295" s="11">
        <v>83</v>
      </c>
      <c r="F295" s="3">
        <v>26345.4</v>
      </c>
      <c r="G295" s="3">
        <v>8693.98</v>
      </c>
      <c r="H295" s="3"/>
      <c r="I295" s="3"/>
      <c r="J295" s="3"/>
      <c r="K295" s="3">
        <v>9705.84</v>
      </c>
      <c r="M295" s="3">
        <v>17651.420000000006</v>
      </c>
      <c r="N295" s="2">
        <v>36051.240000000005</v>
      </c>
      <c r="O295" s="2">
        <v>18399.82</v>
      </c>
      <c r="P295" s="9">
        <f>O295*Summary!$B$29</f>
        <v>8513.0348754962997</v>
      </c>
      <c r="Q295" s="9">
        <f t="shared" si="29"/>
        <v>8513.0300000000007</v>
      </c>
    </row>
    <row r="296" spans="1:17" s="2" customFormat="1" x14ac:dyDescent="0.25">
      <c r="A296" s="6">
        <v>518</v>
      </c>
      <c r="B296" s="3" t="s">
        <v>283</v>
      </c>
      <c r="C296" s="3" t="s">
        <v>255</v>
      </c>
      <c r="D296" s="11">
        <v>991</v>
      </c>
      <c r="E296" s="11">
        <v>83</v>
      </c>
      <c r="F296" s="3">
        <v>62673.84</v>
      </c>
      <c r="G296" s="3">
        <v>18594.37</v>
      </c>
      <c r="H296" s="3"/>
      <c r="I296" s="3"/>
      <c r="J296" s="3"/>
      <c r="K296" s="3">
        <v>9705.84</v>
      </c>
      <c r="M296" s="3">
        <v>44079.469999999994</v>
      </c>
      <c r="N296" s="2">
        <v>72379.679999999993</v>
      </c>
      <c r="O296" s="2">
        <v>28300.21</v>
      </c>
      <c r="P296" s="9">
        <f>O296*Summary!$B$29</f>
        <v>13093.643020087649</v>
      </c>
      <c r="Q296" s="9">
        <f t="shared" si="29"/>
        <v>13093.64</v>
      </c>
    </row>
    <row r="297" spans="1:17" s="2" customFormat="1" x14ac:dyDescent="0.25">
      <c r="A297" s="6">
        <v>581</v>
      </c>
      <c r="B297" s="3" t="s">
        <v>260</v>
      </c>
      <c r="C297" s="3" t="s">
        <v>255</v>
      </c>
      <c r="D297" s="11">
        <v>991</v>
      </c>
      <c r="E297" s="11">
        <v>83</v>
      </c>
      <c r="F297" s="3">
        <v>27613.8</v>
      </c>
      <c r="G297" s="3">
        <v>9112.5499999999993</v>
      </c>
      <c r="H297" s="3"/>
      <c r="I297" s="3"/>
      <c r="J297" s="3"/>
      <c r="K297" s="3">
        <v>9705.84</v>
      </c>
      <c r="M297" s="3">
        <v>18501.25</v>
      </c>
      <c r="N297" s="2">
        <v>37319.64</v>
      </c>
      <c r="O297" s="2">
        <v>18818.39</v>
      </c>
      <c r="P297" s="9">
        <f>O297*Summary!$B$29</f>
        <v>8706.694433461349</v>
      </c>
      <c r="Q297" s="9">
        <f t="shared" si="29"/>
        <v>8706.69</v>
      </c>
    </row>
    <row r="298" spans="1:17" s="2" customFormat="1" x14ac:dyDescent="0.25">
      <c r="A298" s="6">
        <v>635</v>
      </c>
      <c r="B298" s="3" t="s">
        <v>270</v>
      </c>
      <c r="C298" s="3" t="s">
        <v>255</v>
      </c>
      <c r="D298" s="11">
        <v>991</v>
      </c>
      <c r="E298" s="11">
        <v>83</v>
      </c>
      <c r="F298" s="3">
        <v>12744.48</v>
      </c>
      <c r="G298" s="3">
        <v>4205.68</v>
      </c>
      <c r="H298" s="3"/>
      <c r="I298" s="3"/>
      <c r="J298" s="3"/>
      <c r="K298" s="3">
        <v>4852.92</v>
      </c>
      <c r="M298" s="3">
        <v>8538.8000000000011</v>
      </c>
      <c r="N298" s="2">
        <v>17597.400000000001</v>
      </c>
      <c r="O298" s="2">
        <v>9058.6</v>
      </c>
      <c r="P298" s="9">
        <f>O298*Summary!$B$29</f>
        <v>4191.1376156490005</v>
      </c>
      <c r="Q298" s="9">
        <f t="shared" si="29"/>
        <v>4191.1400000000003</v>
      </c>
    </row>
    <row r="299" spans="1:17" s="2" customFormat="1" x14ac:dyDescent="0.25">
      <c r="A299" s="6">
        <v>671</v>
      </c>
      <c r="B299" s="3" t="s">
        <v>263</v>
      </c>
      <c r="C299" s="3" t="s">
        <v>255</v>
      </c>
      <c r="D299" s="11">
        <v>991</v>
      </c>
      <c r="E299" s="11">
        <v>83</v>
      </c>
      <c r="F299" s="3">
        <v>52582.32</v>
      </c>
      <c r="G299" s="3">
        <v>17352.169999999998</v>
      </c>
      <c r="H299" s="3"/>
      <c r="I299" s="3"/>
      <c r="J299" s="3"/>
      <c r="K299" s="3">
        <v>9705.84</v>
      </c>
      <c r="M299" s="3">
        <v>35230.150000000009</v>
      </c>
      <c r="N299" s="2">
        <v>62288.160000000003</v>
      </c>
      <c r="O299" s="2">
        <v>27058.01</v>
      </c>
      <c r="P299" s="9">
        <f>O299*Summary!$B$29</f>
        <v>12518.915010664648</v>
      </c>
      <c r="Q299" s="9">
        <f t="shared" si="29"/>
        <v>12518.92</v>
      </c>
    </row>
    <row r="300" spans="1:17" s="2" customFormat="1" x14ac:dyDescent="0.25">
      <c r="A300" s="6">
        <v>891</v>
      </c>
      <c r="B300" s="3" t="s">
        <v>257</v>
      </c>
      <c r="C300" s="3" t="s">
        <v>255</v>
      </c>
      <c r="D300" s="11">
        <v>991</v>
      </c>
      <c r="E300" s="11">
        <v>83</v>
      </c>
      <c r="F300" s="3">
        <v>30573.48</v>
      </c>
      <c r="G300" s="3">
        <v>10089.25</v>
      </c>
      <c r="H300" s="3"/>
      <c r="I300" s="3"/>
      <c r="J300" s="3"/>
      <c r="K300" s="3">
        <v>9705.84</v>
      </c>
      <c r="M300" s="3">
        <v>20484.23</v>
      </c>
      <c r="N300" s="2">
        <v>40279.32</v>
      </c>
      <c r="O300" s="2">
        <v>19795.09</v>
      </c>
      <c r="P300" s="9">
        <f>O300*Summary!$B$29</f>
        <v>9158.5836999268504</v>
      </c>
      <c r="Q300" s="9">
        <f t="shared" si="29"/>
        <v>9158.58</v>
      </c>
    </row>
    <row r="301" spans="1:17" s="2" customFormat="1" x14ac:dyDescent="0.25">
      <c r="A301" s="6">
        <v>2169</v>
      </c>
      <c r="B301" s="3" t="s">
        <v>274</v>
      </c>
      <c r="C301" s="3" t="s">
        <v>255</v>
      </c>
      <c r="D301" s="11">
        <v>991</v>
      </c>
      <c r="E301" s="11">
        <v>83</v>
      </c>
      <c r="F301" s="3">
        <v>32589.84</v>
      </c>
      <c r="G301" s="3">
        <v>10754.65</v>
      </c>
      <c r="H301" s="3"/>
      <c r="I301" s="3"/>
      <c r="J301" s="3"/>
      <c r="K301" s="3">
        <v>9705.84</v>
      </c>
      <c r="M301" s="3">
        <v>21835.190000000002</v>
      </c>
      <c r="N301" s="2">
        <v>42295.68</v>
      </c>
      <c r="O301" s="2">
        <v>20460.489999999998</v>
      </c>
      <c r="P301" s="9">
        <f>O301*Summary!$B$29</f>
        <v>9466.44396193785</v>
      </c>
      <c r="Q301" s="9">
        <f t="shared" si="29"/>
        <v>9466.44</v>
      </c>
    </row>
    <row r="302" spans="1:17" s="2" customFormat="1" x14ac:dyDescent="0.25">
      <c r="A302" s="6">
        <v>2184</v>
      </c>
      <c r="B302" s="3" t="s">
        <v>267</v>
      </c>
      <c r="C302" s="3" t="s">
        <v>255</v>
      </c>
      <c r="D302" s="11">
        <v>991</v>
      </c>
      <c r="E302" s="11">
        <v>83</v>
      </c>
      <c r="F302" s="3">
        <v>38794.080000000002</v>
      </c>
      <c r="G302" s="3">
        <v>13053.789999999999</v>
      </c>
      <c r="H302" s="3"/>
      <c r="I302" s="3"/>
      <c r="J302" s="3"/>
      <c r="K302" s="3">
        <v>9705.84</v>
      </c>
      <c r="M302" s="3">
        <v>35446.129999999997</v>
      </c>
      <c r="N302" s="2">
        <v>48499.92</v>
      </c>
      <c r="O302" s="2">
        <v>13053.789999999999</v>
      </c>
      <c r="P302" s="9">
        <f>O302*Summary!$B$29</f>
        <v>6039.5900355223494</v>
      </c>
      <c r="Q302" s="9">
        <f t="shared" si="29"/>
        <v>6039.59</v>
      </c>
    </row>
    <row r="303" spans="1:17" s="2" customFormat="1" x14ac:dyDescent="0.25">
      <c r="A303" s="6">
        <v>2689</v>
      </c>
      <c r="B303" s="3" t="s">
        <v>275</v>
      </c>
      <c r="C303" s="3" t="s">
        <v>255</v>
      </c>
      <c r="D303" s="11">
        <v>991</v>
      </c>
      <c r="E303" s="11">
        <v>83</v>
      </c>
      <c r="F303" s="3">
        <v>87089.73000000001</v>
      </c>
      <c r="G303" s="3">
        <v>29057.770000000004</v>
      </c>
      <c r="H303" s="3"/>
      <c r="I303" s="3"/>
      <c r="J303" s="3"/>
      <c r="K303" s="3">
        <v>9705.84</v>
      </c>
      <c r="M303" s="3">
        <v>58031.960000000006</v>
      </c>
      <c r="N303" s="2">
        <v>96795.57</v>
      </c>
      <c r="O303" s="2">
        <v>38763.61</v>
      </c>
      <c r="P303" s="9">
        <f>O303*Summary!$B$29</f>
        <v>17934.738700168651</v>
      </c>
      <c r="Q303" s="9">
        <f t="shared" si="29"/>
        <v>17934.740000000002</v>
      </c>
    </row>
    <row r="304" spans="1:17" s="2" customFormat="1" x14ac:dyDescent="0.25">
      <c r="A304" s="6">
        <v>2754</v>
      </c>
      <c r="B304" s="3" t="s">
        <v>258</v>
      </c>
      <c r="C304" s="3" t="s">
        <v>255</v>
      </c>
      <c r="D304" s="11">
        <v>991</v>
      </c>
      <c r="E304" s="11">
        <v>83</v>
      </c>
      <c r="F304" s="3">
        <v>53807.520000000004</v>
      </c>
      <c r="G304" s="3">
        <v>17756.48</v>
      </c>
      <c r="H304" s="3"/>
      <c r="I304" s="3"/>
      <c r="J304" s="3"/>
      <c r="K304" s="3">
        <v>9705.84</v>
      </c>
      <c r="M304" s="3">
        <v>45756.880000000005</v>
      </c>
      <c r="N304" s="2">
        <v>63513.36</v>
      </c>
      <c r="O304" s="2">
        <v>17756.48</v>
      </c>
      <c r="P304" s="9">
        <f>O304*Summary!$B$29</f>
        <v>8215.3811018832002</v>
      </c>
      <c r="Q304" s="9">
        <f t="shared" si="29"/>
        <v>8215.3799999999992</v>
      </c>
    </row>
    <row r="305" spans="1:17" s="2" customFormat="1" x14ac:dyDescent="0.25">
      <c r="A305" s="6">
        <v>2884</v>
      </c>
      <c r="B305" s="3" t="s">
        <v>276</v>
      </c>
      <c r="C305" s="3" t="s">
        <v>255</v>
      </c>
      <c r="D305" s="11">
        <v>991</v>
      </c>
      <c r="E305" s="11">
        <v>83</v>
      </c>
      <c r="F305" s="3">
        <v>54588</v>
      </c>
      <c r="G305" s="3">
        <v>18014.04</v>
      </c>
      <c r="H305" s="3"/>
      <c r="I305" s="3"/>
      <c r="J305" s="3"/>
      <c r="K305" s="3">
        <v>9705.84</v>
      </c>
      <c r="M305" s="3">
        <v>36573.959999999992</v>
      </c>
      <c r="N305" s="2">
        <v>64293.84</v>
      </c>
      <c r="O305" s="2">
        <v>27719.88</v>
      </c>
      <c r="P305" s="9">
        <f>O305*Summary!$B$29</f>
        <v>12825.142049464201</v>
      </c>
      <c r="Q305" s="9">
        <f t="shared" si="29"/>
        <v>12825.14</v>
      </c>
    </row>
    <row r="306" spans="1:17" s="2" customFormat="1" x14ac:dyDescent="0.25">
      <c r="A306" s="6">
        <v>2895</v>
      </c>
      <c r="B306" s="3" t="s">
        <v>285</v>
      </c>
      <c r="C306" s="3" t="s">
        <v>255</v>
      </c>
      <c r="D306" s="11">
        <v>991</v>
      </c>
      <c r="E306" s="11">
        <v>83</v>
      </c>
      <c r="F306" s="3">
        <v>92279.040000000008</v>
      </c>
      <c r="G306" s="3">
        <v>33954.633600000001</v>
      </c>
      <c r="H306" s="3"/>
      <c r="I306" s="3"/>
      <c r="J306" s="3"/>
      <c r="K306" s="3">
        <v>9705.84</v>
      </c>
      <c r="M306" s="3">
        <v>58324.406400000007</v>
      </c>
      <c r="N306" s="2">
        <v>101984.88</v>
      </c>
      <c r="O306" s="2">
        <v>43660.473599999998</v>
      </c>
      <c r="P306" s="9">
        <f>O306*Summary!$B$29</f>
        <v>20200.367962158623</v>
      </c>
      <c r="Q306" s="9">
        <f t="shared" si="29"/>
        <v>20200.37</v>
      </c>
    </row>
    <row r="307" spans="1:17" s="2" customFormat="1" x14ac:dyDescent="0.25">
      <c r="A307" s="6">
        <v>2898</v>
      </c>
      <c r="B307" s="3" t="s">
        <v>284</v>
      </c>
      <c r="C307" s="3" t="s">
        <v>255</v>
      </c>
      <c r="D307" s="11">
        <v>991</v>
      </c>
      <c r="E307" s="11">
        <v>83</v>
      </c>
      <c r="F307" s="3">
        <v>55422.84</v>
      </c>
      <c r="G307" s="3">
        <v>18289.54</v>
      </c>
      <c r="H307" s="3"/>
      <c r="I307" s="3"/>
      <c r="J307" s="3"/>
      <c r="K307" s="3">
        <v>9705.84</v>
      </c>
      <c r="M307" s="3">
        <v>37133.299999999988</v>
      </c>
      <c r="N307" s="2">
        <v>65128.679999999993</v>
      </c>
      <c r="O307" s="2">
        <v>27995.38</v>
      </c>
      <c r="P307" s="9">
        <f>O307*Summary!$B$29</f>
        <v>12952.6074870717</v>
      </c>
      <c r="Q307" s="9">
        <f t="shared" si="29"/>
        <v>12952.61</v>
      </c>
    </row>
    <row r="308" spans="1:17" s="2" customFormat="1" x14ac:dyDescent="0.25">
      <c r="A308" s="6">
        <v>2902</v>
      </c>
      <c r="B308" s="3" t="s">
        <v>277</v>
      </c>
      <c r="C308" s="3" t="s">
        <v>255</v>
      </c>
      <c r="D308" s="11">
        <v>991</v>
      </c>
      <c r="E308" s="11">
        <v>83</v>
      </c>
      <c r="F308" s="3">
        <v>80185.320000000007</v>
      </c>
      <c r="G308" s="3">
        <v>26461.160000000003</v>
      </c>
      <c r="H308" s="3"/>
      <c r="I308" s="3"/>
      <c r="J308" s="3"/>
      <c r="K308" s="3">
        <v>9705.84</v>
      </c>
      <c r="M308" s="3">
        <v>53724.160000000003</v>
      </c>
      <c r="N308" s="2">
        <v>89891.16</v>
      </c>
      <c r="O308" s="2">
        <v>36167</v>
      </c>
      <c r="P308" s="9">
        <f>O308*Summary!$B$29</f>
        <v>16733.366540654999</v>
      </c>
      <c r="Q308" s="9">
        <f t="shared" si="29"/>
        <v>16733.37</v>
      </c>
    </row>
    <row r="309" spans="1:17" s="2" customFormat="1" x14ac:dyDescent="0.25">
      <c r="A309" s="6">
        <v>4026</v>
      </c>
      <c r="B309" s="3" t="s">
        <v>286</v>
      </c>
      <c r="C309" s="3" t="s">
        <v>255</v>
      </c>
      <c r="D309" s="11">
        <v>991</v>
      </c>
      <c r="E309" s="11">
        <v>83</v>
      </c>
      <c r="F309" s="3">
        <v>5444.4</v>
      </c>
      <c r="G309" s="3">
        <v>1088.8800000000001</v>
      </c>
      <c r="H309" s="3"/>
      <c r="I309" s="3"/>
      <c r="J309" s="3"/>
      <c r="K309" s="3"/>
      <c r="M309" s="3">
        <v>4355.5199999999995</v>
      </c>
      <c r="N309" s="2">
        <v>5444.4</v>
      </c>
      <c r="O309" s="3">
        <v>1088.8800000000001</v>
      </c>
      <c r="P309" s="9">
        <f>O309*Summary!$B$29</f>
        <v>503.79152704920006</v>
      </c>
      <c r="Q309" s="9">
        <f t="shared" si="29"/>
        <v>503.79</v>
      </c>
    </row>
    <row r="310" spans="1:17" s="2" customFormat="1" x14ac:dyDescent="0.25">
      <c r="A310" s="6">
        <v>4138</v>
      </c>
      <c r="B310" s="3" t="s">
        <v>271</v>
      </c>
      <c r="C310" s="3" t="s">
        <v>255</v>
      </c>
      <c r="D310" s="11">
        <v>991</v>
      </c>
      <c r="E310" s="11">
        <v>83</v>
      </c>
      <c r="F310" s="3">
        <v>12744.48</v>
      </c>
      <c r="G310" s="3">
        <v>4205.68</v>
      </c>
      <c r="H310" s="3"/>
      <c r="I310" s="3"/>
      <c r="J310" s="3"/>
      <c r="K310" s="3">
        <v>4852.92</v>
      </c>
      <c r="M310" s="15">
        <v>8538.8000000000011</v>
      </c>
      <c r="N310" s="16">
        <v>17597.400000000001</v>
      </c>
      <c r="O310" s="16">
        <v>9058.6</v>
      </c>
      <c r="P310" s="9">
        <f>O310*Summary!$B$29</f>
        <v>4191.1376156490005</v>
      </c>
      <c r="Q310" s="9">
        <f t="shared" si="29"/>
        <v>4191.1400000000003</v>
      </c>
    </row>
    <row r="311" spans="1:17" s="2" customFormat="1" x14ac:dyDescent="0.25">
      <c r="A311" s="6"/>
      <c r="B311" s="3"/>
      <c r="C311" s="3"/>
      <c r="D311" s="11"/>
      <c r="E311" s="11"/>
      <c r="F311" s="3"/>
      <c r="G311" s="3"/>
      <c r="H311" s="3"/>
      <c r="I311" s="3"/>
      <c r="J311" s="3"/>
      <c r="K311" s="3"/>
      <c r="M311" s="13">
        <f>SUM(M278:M310)</f>
        <v>915951.71639999992</v>
      </c>
      <c r="N311" s="13">
        <f t="shared" ref="N311:Q311" si="30">SUM(N278:N310)</f>
        <v>1599099.02</v>
      </c>
      <c r="O311" s="13">
        <f t="shared" si="30"/>
        <v>683147.30359999998</v>
      </c>
      <c r="P311" s="22">
        <f t="shared" si="30"/>
        <v>316071.39747280453</v>
      </c>
      <c r="Q311" s="22">
        <f t="shared" si="30"/>
        <v>316071.39999999997</v>
      </c>
    </row>
    <row r="312" spans="1:17" s="2" customFormat="1" x14ac:dyDescent="0.25">
      <c r="A312" s="6"/>
      <c r="B312" s="3"/>
      <c r="C312" s="3"/>
      <c r="D312" s="11"/>
      <c r="E312" s="11"/>
      <c r="F312" s="3"/>
      <c r="G312" s="3"/>
      <c r="H312" s="3"/>
      <c r="I312" s="3"/>
      <c r="J312" s="3"/>
      <c r="K312" s="3"/>
      <c r="M312" s="3"/>
      <c r="P312" s="9"/>
    </row>
    <row r="313" spans="1:17" s="2" customFormat="1" x14ac:dyDescent="0.25">
      <c r="A313" s="6"/>
      <c r="B313" s="3"/>
      <c r="C313" s="3"/>
      <c r="D313" s="11"/>
      <c r="E313" s="11"/>
      <c r="F313" s="3"/>
      <c r="G313" s="3"/>
      <c r="H313" s="3"/>
      <c r="I313" s="3"/>
      <c r="J313" s="3"/>
      <c r="K313" s="3"/>
      <c r="M313" s="3"/>
      <c r="P313" s="9"/>
    </row>
    <row r="314" spans="1:17" s="2" customFormat="1" x14ac:dyDescent="0.25">
      <c r="A314" s="6">
        <v>75</v>
      </c>
      <c r="B314" s="3" t="s">
        <v>248</v>
      </c>
      <c r="C314" s="3" t="s">
        <v>226</v>
      </c>
      <c r="D314" s="12">
        <v>6036</v>
      </c>
      <c r="E314" s="11">
        <v>50</v>
      </c>
      <c r="F314" s="3">
        <v>25906.350000000006</v>
      </c>
      <c r="G314" s="3">
        <v>11600.910000000005</v>
      </c>
      <c r="H314" s="3">
        <v>0</v>
      </c>
      <c r="I314" s="3"/>
      <c r="J314" s="3">
        <v>0</v>
      </c>
      <c r="K314" s="3">
        <v>11130</v>
      </c>
      <c r="L314" s="3">
        <v>5320</v>
      </c>
      <c r="M314" s="3">
        <v>14305.44</v>
      </c>
      <c r="N314" s="2">
        <v>42356.350000000006</v>
      </c>
      <c r="O314" s="2">
        <v>28050.910000000003</v>
      </c>
      <c r="P314" s="9">
        <f>O314*Summary!$B$29</f>
        <v>12978.299522463152</v>
      </c>
      <c r="Q314" s="9">
        <f t="shared" ref="Q314:Q341" si="31">ROUND(P314,2)</f>
        <v>12978.3</v>
      </c>
    </row>
    <row r="315" spans="1:17" s="2" customFormat="1" x14ac:dyDescent="0.25">
      <c r="A315" s="6">
        <v>77</v>
      </c>
      <c r="B315" s="3" t="s">
        <v>240</v>
      </c>
      <c r="C315" s="3" t="s">
        <v>226</v>
      </c>
      <c r="D315" s="12">
        <v>6036</v>
      </c>
      <c r="E315" s="11">
        <v>50</v>
      </c>
      <c r="F315" s="3">
        <v>158264.68000000011</v>
      </c>
      <c r="G315" s="3">
        <v>71316.410000000105</v>
      </c>
      <c r="H315" s="3">
        <v>205</v>
      </c>
      <c r="I315" s="3"/>
      <c r="J315" s="3">
        <v>82</v>
      </c>
      <c r="K315" s="3">
        <v>8130</v>
      </c>
      <c r="L315" s="3">
        <v>0</v>
      </c>
      <c r="M315" s="3">
        <v>87071.27</v>
      </c>
      <c r="N315" s="2">
        <v>166599.68000000011</v>
      </c>
      <c r="O315" s="2">
        <v>79528.410000000105</v>
      </c>
      <c r="P315" s="9">
        <f>O315*Summary!$B$29</f>
        <v>36795.366907000702</v>
      </c>
      <c r="Q315" s="9">
        <f t="shared" si="31"/>
        <v>36795.370000000003</v>
      </c>
    </row>
    <row r="316" spans="1:17" s="2" customFormat="1" x14ac:dyDescent="0.25">
      <c r="A316" s="6">
        <v>88</v>
      </c>
      <c r="B316" s="3" t="s">
        <v>244</v>
      </c>
      <c r="C316" s="3" t="s">
        <v>226</v>
      </c>
      <c r="D316" s="12">
        <v>6036</v>
      </c>
      <c r="E316" s="11">
        <v>50</v>
      </c>
      <c r="F316" s="3">
        <v>50129.650000000009</v>
      </c>
      <c r="G316" s="3">
        <v>22869.610000000008</v>
      </c>
      <c r="H316" s="3">
        <v>25</v>
      </c>
      <c r="I316" s="3"/>
      <c r="J316" s="3">
        <v>10</v>
      </c>
      <c r="K316" s="3">
        <v>22260</v>
      </c>
      <c r="L316" s="3">
        <v>10640</v>
      </c>
      <c r="M316" s="3">
        <v>27275.040000000001</v>
      </c>
      <c r="N316" s="2">
        <v>83054.650000000009</v>
      </c>
      <c r="O316" s="2">
        <v>55779.610000000008</v>
      </c>
      <c r="P316" s="9">
        <f>O316*Summary!$B$29</f>
        <v>25807.522316608654</v>
      </c>
      <c r="Q316" s="9">
        <f t="shared" si="31"/>
        <v>25807.52</v>
      </c>
    </row>
    <row r="317" spans="1:17" s="2" customFormat="1" x14ac:dyDescent="0.25">
      <c r="A317" s="6">
        <v>242</v>
      </c>
      <c r="B317" s="3" t="s">
        <v>227</v>
      </c>
      <c r="C317" s="3" t="s">
        <v>226</v>
      </c>
      <c r="D317" s="12">
        <v>6036</v>
      </c>
      <c r="E317" s="11">
        <v>50</v>
      </c>
      <c r="F317" s="3">
        <v>28791.309999999998</v>
      </c>
      <c r="G317" s="3">
        <v>12929.449999999997</v>
      </c>
      <c r="H317" s="3">
        <v>50</v>
      </c>
      <c r="I317" s="3"/>
      <c r="J317" s="3">
        <v>20</v>
      </c>
      <c r="K317" s="3">
        <v>11130</v>
      </c>
      <c r="L317" s="3">
        <v>5320</v>
      </c>
      <c r="M317" s="3">
        <v>15891.86</v>
      </c>
      <c r="N317" s="2">
        <v>45291.31</v>
      </c>
      <c r="O317" s="2">
        <v>29399.449999999997</v>
      </c>
      <c r="P317" s="9">
        <f>O317*Summary!$B$29</f>
        <v>13602.227802794248</v>
      </c>
      <c r="Q317" s="9">
        <f t="shared" si="31"/>
        <v>13602.23</v>
      </c>
    </row>
    <row r="318" spans="1:17" s="2" customFormat="1" x14ac:dyDescent="0.25">
      <c r="A318" s="6">
        <v>391</v>
      </c>
      <c r="B318" s="3" t="s">
        <v>230</v>
      </c>
      <c r="C318" s="3" t="s">
        <v>226</v>
      </c>
      <c r="D318" s="12">
        <v>6036</v>
      </c>
      <c r="E318" s="11">
        <v>50</v>
      </c>
      <c r="F318" s="3">
        <v>20553.440000000013</v>
      </c>
      <c r="G318" s="3">
        <v>9233.1700000000128</v>
      </c>
      <c r="H318" s="3">
        <v>0</v>
      </c>
      <c r="I318" s="3"/>
      <c r="J318" s="3">
        <v>0</v>
      </c>
      <c r="K318" s="3">
        <v>11130</v>
      </c>
      <c r="L318" s="3">
        <v>5320</v>
      </c>
      <c r="M318" s="3">
        <v>11320.27</v>
      </c>
      <c r="N318" s="2">
        <v>37003.440000000017</v>
      </c>
      <c r="O318" s="2">
        <v>25683.170000000013</v>
      </c>
      <c r="P318" s="9">
        <f>O318*Summary!$B$29</f>
        <v>11882.818523404056</v>
      </c>
      <c r="Q318" s="9">
        <f t="shared" si="31"/>
        <v>11882.82</v>
      </c>
    </row>
    <row r="319" spans="1:17" s="2" customFormat="1" x14ac:dyDescent="0.25">
      <c r="A319" s="6">
        <v>392</v>
      </c>
      <c r="B319" s="3" t="s">
        <v>237</v>
      </c>
      <c r="C319" s="3" t="s">
        <v>226</v>
      </c>
      <c r="D319" s="12">
        <v>6036</v>
      </c>
      <c r="E319" s="11">
        <v>50</v>
      </c>
      <c r="F319" s="3">
        <v>42393.36</v>
      </c>
      <c r="G319" s="3">
        <v>15512.61</v>
      </c>
      <c r="H319" s="3">
        <v>0</v>
      </c>
      <c r="I319" s="3"/>
      <c r="J319" s="3">
        <v>0</v>
      </c>
      <c r="K319" s="3">
        <v>11130</v>
      </c>
      <c r="L319" s="3">
        <v>5320</v>
      </c>
      <c r="M319" s="3">
        <v>26880.75</v>
      </c>
      <c r="N319" s="2">
        <v>58843.360000000001</v>
      </c>
      <c r="O319" s="2">
        <v>31962.61</v>
      </c>
      <c r="P319" s="9">
        <f>O319*Summary!$B$29</f>
        <v>14788.123668703651</v>
      </c>
      <c r="Q319" s="9">
        <f t="shared" si="31"/>
        <v>14788.12</v>
      </c>
    </row>
    <row r="320" spans="1:17" s="2" customFormat="1" x14ac:dyDescent="0.25">
      <c r="A320" s="6">
        <v>394</v>
      </c>
      <c r="B320" s="3" t="s">
        <v>243</v>
      </c>
      <c r="C320" s="3" t="s">
        <v>226</v>
      </c>
      <c r="D320" s="12">
        <v>6036</v>
      </c>
      <c r="E320" s="11">
        <v>50</v>
      </c>
      <c r="F320" s="3">
        <v>50171.83</v>
      </c>
      <c r="G320" s="3">
        <v>22515.97</v>
      </c>
      <c r="H320" s="3">
        <v>0</v>
      </c>
      <c r="I320" s="3"/>
      <c r="J320" s="3">
        <v>0</v>
      </c>
      <c r="K320" s="3">
        <v>11130</v>
      </c>
      <c r="L320" s="3">
        <v>5320</v>
      </c>
      <c r="M320" s="3">
        <v>27655.86</v>
      </c>
      <c r="N320" s="2">
        <v>66621.83</v>
      </c>
      <c r="O320" s="2">
        <v>38965.97</v>
      </c>
      <c r="P320" s="9">
        <f>O320*Summary!$B$29</f>
        <v>18028.364493106052</v>
      </c>
      <c r="Q320" s="9">
        <f t="shared" si="31"/>
        <v>18028.36</v>
      </c>
    </row>
    <row r="321" spans="1:17" s="2" customFormat="1" x14ac:dyDescent="0.25">
      <c r="A321" s="6">
        <v>458</v>
      </c>
      <c r="B321" s="3" t="s">
        <v>251</v>
      </c>
      <c r="C321" s="3" t="s">
        <v>226</v>
      </c>
      <c r="D321" s="12">
        <v>6036</v>
      </c>
      <c r="E321" s="11">
        <v>50</v>
      </c>
      <c r="F321" s="3">
        <v>31105.25</v>
      </c>
      <c r="G321" s="3">
        <v>11870.469999999998</v>
      </c>
      <c r="H321" s="3">
        <v>0</v>
      </c>
      <c r="I321" s="3"/>
      <c r="J321" s="3">
        <v>0</v>
      </c>
      <c r="K321" s="3">
        <v>11130</v>
      </c>
      <c r="L321" s="3">
        <v>2260</v>
      </c>
      <c r="M321" s="3">
        <v>19234.780000000002</v>
      </c>
      <c r="N321" s="2">
        <v>44495.25</v>
      </c>
      <c r="O321" s="2">
        <v>25260.469999999998</v>
      </c>
      <c r="P321" s="9">
        <f>O321*Summary!$B$29</f>
        <v>11687.248140548549</v>
      </c>
      <c r="Q321" s="9">
        <f t="shared" si="31"/>
        <v>11687.25</v>
      </c>
    </row>
    <row r="322" spans="1:17" s="2" customFormat="1" x14ac:dyDescent="0.25">
      <c r="A322" s="6">
        <v>507</v>
      </c>
      <c r="B322" s="3" t="s">
        <v>245</v>
      </c>
      <c r="C322" s="3" t="s">
        <v>226</v>
      </c>
      <c r="D322" s="12">
        <v>6036</v>
      </c>
      <c r="E322" s="11">
        <v>50</v>
      </c>
      <c r="F322" s="3">
        <v>26227.149999999994</v>
      </c>
      <c r="G322" s="3">
        <v>11764.159999999994</v>
      </c>
      <c r="H322" s="3">
        <v>2374.5</v>
      </c>
      <c r="I322" s="3"/>
      <c r="J322" s="3">
        <v>949.8</v>
      </c>
      <c r="K322" s="3">
        <v>11130</v>
      </c>
      <c r="L322" s="3">
        <v>5320</v>
      </c>
      <c r="M322" s="3">
        <v>15887.69</v>
      </c>
      <c r="N322" s="2">
        <v>45051.649999999994</v>
      </c>
      <c r="O322" s="2">
        <v>29163.959999999992</v>
      </c>
      <c r="P322" s="9">
        <f>O322*Summary!$B$29</f>
        <v>13493.273770481397</v>
      </c>
      <c r="Q322" s="9">
        <f t="shared" si="31"/>
        <v>13493.27</v>
      </c>
    </row>
    <row r="323" spans="1:17" s="2" customFormat="1" x14ac:dyDescent="0.25">
      <c r="A323" s="6">
        <v>508</v>
      </c>
      <c r="B323" s="3" t="s">
        <v>250</v>
      </c>
      <c r="C323" s="3" t="s">
        <v>226</v>
      </c>
      <c r="D323" s="12">
        <v>6036</v>
      </c>
      <c r="E323" s="11">
        <v>50</v>
      </c>
      <c r="F323" s="3">
        <v>29409.279999999999</v>
      </c>
      <c r="G323" s="3">
        <v>14791.720000000001</v>
      </c>
      <c r="H323" s="3">
        <v>0</v>
      </c>
      <c r="I323" s="3"/>
      <c r="J323" s="3">
        <v>0</v>
      </c>
      <c r="K323" s="3">
        <v>11130</v>
      </c>
      <c r="L323" s="3">
        <v>5320</v>
      </c>
      <c r="M323" s="3">
        <v>14617.56</v>
      </c>
      <c r="N323" s="2">
        <v>45859.28</v>
      </c>
      <c r="O323" s="2">
        <v>31241.72</v>
      </c>
      <c r="P323" s="9">
        <f>O323*Summary!$B$29</f>
        <v>14454.5898780798</v>
      </c>
      <c r="Q323" s="9">
        <f t="shared" si="31"/>
        <v>14454.59</v>
      </c>
    </row>
    <row r="324" spans="1:17" s="2" customFormat="1" x14ac:dyDescent="0.25">
      <c r="A324" s="6">
        <v>716</v>
      </c>
      <c r="B324" s="3" t="s">
        <v>228</v>
      </c>
      <c r="C324" s="3" t="s">
        <v>226</v>
      </c>
      <c r="D324" s="12">
        <v>6036</v>
      </c>
      <c r="E324" s="11">
        <v>50</v>
      </c>
      <c r="F324" s="3">
        <v>20511.21</v>
      </c>
      <c r="G324" s="3">
        <v>18308.16</v>
      </c>
      <c r="H324" s="3">
        <v>0</v>
      </c>
      <c r="I324" s="3"/>
      <c r="J324" s="3">
        <v>0</v>
      </c>
      <c r="K324" s="3">
        <v>8130</v>
      </c>
      <c r="L324" s="3">
        <v>2260</v>
      </c>
      <c r="M324" s="3">
        <v>11295.89</v>
      </c>
      <c r="N324" s="2">
        <v>30901.21</v>
      </c>
      <c r="O324" s="2">
        <v>28698.16</v>
      </c>
      <c r="P324" s="9">
        <f>O324*Summary!$B$29</f>
        <v>13277.762333684401</v>
      </c>
      <c r="Q324" s="9">
        <f t="shared" si="31"/>
        <v>13277.76</v>
      </c>
    </row>
    <row r="325" spans="1:17" s="2" customFormat="1" x14ac:dyDescent="0.25">
      <c r="A325" s="6">
        <v>829</v>
      </c>
      <c r="B325" s="3" t="s">
        <v>253</v>
      </c>
      <c r="C325" s="3" t="s">
        <v>226</v>
      </c>
      <c r="D325" s="12">
        <v>6036</v>
      </c>
      <c r="E325" s="11">
        <v>50</v>
      </c>
      <c r="F325" s="3">
        <v>39287.859999999993</v>
      </c>
      <c r="G325" s="3">
        <v>21846.089999999989</v>
      </c>
      <c r="H325" s="3">
        <v>2926.65</v>
      </c>
      <c r="I325" s="3"/>
      <c r="J325" s="3">
        <v>1170.6600000000001</v>
      </c>
      <c r="K325" s="3">
        <v>11130</v>
      </c>
      <c r="L325" s="3">
        <v>5320</v>
      </c>
      <c r="M325" s="3">
        <v>19197.8128</v>
      </c>
      <c r="N325" s="2">
        <v>58664.509999999995</v>
      </c>
      <c r="O325" s="2">
        <v>39466.749999999985</v>
      </c>
      <c r="P325" s="9">
        <f>O325*Summary!$B$29</f>
        <v>18260.060107788744</v>
      </c>
      <c r="Q325" s="9">
        <f t="shared" si="31"/>
        <v>18260.060000000001</v>
      </c>
    </row>
    <row r="326" spans="1:17" s="2" customFormat="1" x14ac:dyDescent="0.25">
      <c r="A326" s="6">
        <v>837</v>
      </c>
      <c r="B326" s="3" t="s">
        <v>239</v>
      </c>
      <c r="C326" s="3" t="s">
        <v>226</v>
      </c>
      <c r="D326" s="12">
        <v>6036</v>
      </c>
      <c r="E326" s="11">
        <v>50</v>
      </c>
      <c r="F326" s="3">
        <v>20912.829999999998</v>
      </c>
      <c r="G326" s="3">
        <v>9366.5799999999981</v>
      </c>
      <c r="H326" s="3">
        <v>0</v>
      </c>
      <c r="I326" s="3"/>
      <c r="J326" s="3">
        <v>0</v>
      </c>
      <c r="K326" s="3">
        <v>11130</v>
      </c>
      <c r="L326" s="3">
        <v>2260</v>
      </c>
      <c r="M326" s="3">
        <v>11546.25</v>
      </c>
      <c r="N326" s="2">
        <v>34302.83</v>
      </c>
      <c r="O326" s="2">
        <v>22756.579999999998</v>
      </c>
      <c r="P326" s="9">
        <f>O326*Summary!$B$29</f>
        <v>10528.774693829699</v>
      </c>
      <c r="Q326" s="9">
        <f t="shared" si="31"/>
        <v>10528.77</v>
      </c>
    </row>
    <row r="327" spans="1:17" s="2" customFormat="1" x14ac:dyDescent="0.25">
      <c r="A327" s="6">
        <v>840</v>
      </c>
      <c r="B327" s="3" t="s">
        <v>249</v>
      </c>
      <c r="C327" s="3" t="s">
        <v>226</v>
      </c>
      <c r="D327" s="12">
        <v>6036</v>
      </c>
      <c r="E327" s="11">
        <v>50</v>
      </c>
      <c r="F327" s="3">
        <v>34308.36</v>
      </c>
      <c r="G327" s="3">
        <v>15388.21</v>
      </c>
      <c r="H327" s="3">
        <v>0</v>
      </c>
      <c r="I327" s="3"/>
      <c r="J327" s="3">
        <v>0</v>
      </c>
      <c r="K327" s="3">
        <v>11130</v>
      </c>
      <c r="L327" s="3">
        <v>5320</v>
      </c>
      <c r="M327" s="3">
        <v>18920.150000000001</v>
      </c>
      <c r="N327" s="2">
        <v>50758.36</v>
      </c>
      <c r="O327" s="2">
        <v>31838.21</v>
      </c>
      <c r="P327" s="9">
        <f>O327*Summary!$B$29</f>
        <v>14730.56758725765</v>
      </c>
      <c r="Q327" s="9">
        <f t="shared" si="31"/>
        <v>14730.57</v>
      </c>
    </row>
    <row r="328" spans="1:17" s="2" customFormat="1" x14ac:dyDescent="0.25">
      <c r="A328" s="6">
        <v>2071</v>
      </c>
      <c r="B328" s="3" t="s">
        <v>236</v>
      </c>
      <c r="C328" s="3" t="s">
        <v>226</v>
      </c>
      <c r="D328" s="12">
        <v>6036</v>
      </c>
      <c r="E328" s="11">
        <v>50</v>
      </c>
      <c r="F328" s="3">
        <v>46026.17</v>
      </c>
      <c r="G328" s="3">
        <v>34769</v>
      </c>
      <c r="H328" s="3">
        <v>0</v>
      </c>
      <c r="I328" s="3"/>
      <c r="J328" s="3">
        <v>0</v>
      </c>
      <c r="K328" s="3">
        <v>11130</v>
      </c>
      <c r="L328" s="3">
        <v>5320</v>
      </c>
      <c r="M328" s="3">
        <v>11257.170000000002</v>
      </c>
      <c r="N328" s="2">
        <v>62476.17</v>
      </c>
      <c r="O328" s="2">
        <v>51219</v>
      </c>
      <c r="P328" s="9">
        <f>O328*Summary!$B$29</f>
        <v>23697.467327834998</v>
      </c>
      <c r="Q328" s="9">
        <f t="shared" si="31"/>
        <v>23697.47</v>
      </c>
    </row>
    <row r="329" spans="1:17" s="2" customFormat="1" x14ac:dyDescent="0.25">
      <c r="A329" s="6">
        <v>2134</v>
      </c>
      <c r="B329" s="3" t="s">
        <v>252</v>
      </c>
      <c r="C329" s="3" t="s">
        <v>226</v>
      </c>
      <c r="D329" s="12">
        <v>6036</v>
      </c>
      <c r="E329" s="11">
        <v>50</v>
      </c>
      <c r="F329" s="3">
        <v>40465.369999999995</v>
      </c>
      <c r="G329" s="3">
        <v>18102.831999999995</v>
      </c>
      <c r="H329" s="3">
        <v>1134.8699999999999</v>
      </c>
      <c r="I329" s="3"/>
      <c r="J329" s="3">
        <v>453.94799999999998</v>
      </c>
      <c r="K329" s="3">
        <v>11130</v>
      </c>
      <c r="L329" s="3">
        <v>5320</v>
      </c>
      <c r="M329" s="3">
        <v>23043.46</v>
      </c>
      <c r="N329" s="2">
        <v>58050.239999999998</v>
      </c>
      <c r="O329" s="2">
        <v>35006.78</v>
      </c>
      <c r="P329" s="9">
        <f>O329*Summary!$B$29</f>
        <v>16196.568173972699</v>
      </c>
      <c r="Q329" s="9">
        <f t="shared" si="31"/>
        <v>16196.57</v>
      </c>
    </row>
    <row r="330" spans="1:17" s="2" customFormat="1" x14ac:dyDescent="0.25">
      <c r="A330" s="6">
        <v>2135</v>
      </c>
      <c r="B330" s="3" t="s">
        <v>241</v>
      </c>
      <c r="C330" s="3" t="s">
        <v>226</v>
      </c>
      <c r="D330" s="12">
        <v>6036</v>
      </c>
      <c r="E330" s="11">
        <v>50</v>
      </c>
      <c r="F330" s="3">
        <v>43392.97</v>
      </c>
      <c r="G330" s="3">
        <v>18742.640000000003</v>
      </c>
      <c r="H330" s="3">
        <v>2278.8000000000002</v>
      </c>
      <c r="I330" s="3"/>
      <c r="J330" s="3">
        <v>911.52000000000021</v>
      </c>
      <c r="K330" s="3">
        <v>11130</v>
      </c>
      <c r="L330" s="3">
        <v>2260</v>
      </c>
      <c r="M330" s="3">
        <v>26017.609999999997</v>
      </c>
      <c r="N330" s="2">
        <v>59061.770000000004</v>
      </c>
      <c r="O330" s="2">
        <v>33044.160000000003</v>
      </c>
      <c r="P330" s="9">
        <f>O330*Summary!$B$29</f>
        <v>15288.523828574402</v>
      </c>
      <c r="Q330" s="9">
        <f t="shared" si="31"/>
        <v>15288.52</v>
      </c>
    </row>
    <row r="331" spans="1:17" s="2" customFormat="1" x14ac:dyDescent="0.25">
      <c r="A331" s="6">
        <v>2143</v>
      </c>
      <c r="B331" s="3" t="s">
        <v>254</v>
      </c>
      <c r="C331" s="3" t="s">
        <v>226</v>
      </c>
      <c r="D331" s="12">
        <v>6036</v>
      </c>
      <c r="E331" s="11">
        <v>50</v>
      </c>
      <c r="F331" s="3">
        <v>23772.560000000001</v>
      </c>
      <c r="G331" s="3">
        <v>10632.119999999997</v>
      </c>
      <c r="H331" s="3">
        <v>0</v>
      </c>
      <c r="I331" s="3"/>
      <c r="J331" s="3">
        <v>0</v>
      </c>
      <c r="K331" s="3">
        <v>11130</v>
      </c>
      <c r="L331" s="3">
        <v>2260</v>
      </c>
      <c r="M331" s="3">
        <v>13140.44</v>
      </c>
      <c r="N331" s="2">
        <v>37162.559999999998</v>
      </c>
      <c r="O331" s="2">
        <v>24022.119999999995</v>
      </c>
      <c r="P331" s="9">
        <f>O331*Summary!$B$29</f>
        <v>11114.301408565798</v>
      </c>
      <c r="Q331" s="9">
        <f t="shared" si="31"/>
        <v>11114.3</v>
      </c>
    </row>
    <row r="332" spans="1:17" s="2" customFormat="1" x14ac:dyDescent="0.25">
      <c r="A332" s="6">
        <v>2168</v>
      </c>
      <c r="B332" s="3" t="s">
        <v>246</v>
      </c>
      <c r="C332" s="3" t="s">
        <v>226</v>
      </c>
      <c r="D332" s="12">
        <v>6036</v>
      </c>
      <c r="E332" s="11">
        <v>50</v>
      </c>
      <c r="F332" s="3">
        <v>51083.90999999996</v>
      </c>
      <c r="G332" s="3">
        <v>18370.573999999957</v>
      </c>
      <c r="H332" s="3">
        <v>1663.74</v>
      </c>
      <c r="I332" s="3"/>
      <c r="J332" s="3">
        <v>665.49600000000009</v>
      </c>
      <c r="K332" s="3">
        <v>11130</v>
      </c>
      <c r="L332" s="3">
        <v>5320</v>
      </c>
      <c r="M332" s="3">
        <v>33711.58</v>
      </c>
      <c r="N332" s="2">
        <v>69197.649999999965</v>
      </c>
      <c r="O332" s="2">
        <v>35486.069999999956</v>
      </c>
      <c r="P332" s="9">
        <f>O332*Summary!$B$29</f>
        <v>16418.321021852531</v>
      </c>
      <c r="Q332" s="9">
        <f t="shared" si="31"/>
        <v>16418.32</v>
      </c>
    </row>
    <row r="333" spans="1:17" s="2" customFormat="1" x14ac:dyDescent="0.25">
      <c r="A333" s="6">
        <v>2310</v>
      </c>
      <c r="B333" s="3" t="s">
        <v>247</v>
      </c>
      <c r="C333" s="3" t="s">
        <v>226</v>
      </c>
      <c r="D333" s="12">
        <v>6036</v>
      </c>
      <c r="E333" s="11">
        <v>50</v>
      </c>
      <c r="F333" s="3">
        <v>82050.47</v>
      </c>
      <c r="G333" s="3">
        <v>31547.420000000006</v>
      </c>
      <c r="H333" s="3">
        <v>0</v>
      </c>
      <c r="I333" s="3"/>
      <c r="J333" s="3">
        <v>0</v>
      </c>
      <c r="K333" s="3">
        <v>11130</v>
      </c>
      <c r="L333" s="3">
        <v>5320</v>
      </c>
      <c r="M333" s="3">
        <v>50503.05</v>
      </c>
      <c r="N333" s="2">
        <v>98500.47</v>
      </c>
      <c r="O333" s="2">
        <v>47997.420000000006</v>
      </c>
      <c r="P333" s="9">
        <f>O333*Summary!$B$29</f>
        <v>22206.940632780304</v>
      </c>
      <c r="Q333" s="9">
        <f t="shared" si="31"/>
        <v>22206.94</v>
      </c>
    </row>
    <row r="334" spans="1:17" s="2" customFormat="1" x14ac:dyDescent="0.25">
      <c r="A334" s="6">
        <v>2365</v>
      </c>
      <c r="B334" s="3" t="s">
        <v>232</v>
      </c>
      <c r="C334" s="3" t="s">
        <v>226</v>
      </c>
      <c r="D334" s="12">
        <v>6036</v>
      </c>
      <c r="E334" s="11">
        <v>50</v>
      </c>
      <c r="F334" s="3">
        <v>53212.7</v>
      </c>
      <c r="G334" s="3">
        <v>20294.09</v>
      </c>
      <c r="H334" s="3">
        <v>0</v>
      </c>
      <c r="I334" s="3"/>
      <c r="J334" s="3">
        <v>0</v>
      </c>
      <c r="K334" s="3">
        <v>11130</v>
      </c>
      <c r="L334" s="3">
        <v>5320</v>
      </c>
      <c r="M334" s="3">
        <v>32918.61</v>
      </c>
      <c r="N334" s="2">
        <v>69662.7</v>
      </c>
      <c r="O334" s="2">
        <v>36744.089999999997</v>
      </c>
      <c r="P334" s="9">
        <f>O334*Summary!$B$29</f>
        <v>17000.368462211849</v>
      </c>
      <c r="Q334" s="9">
        <f t="shared" si="31"/>
        <v>17000.37</v>
      </c>
    </row>
    <row r="335" spans="1:17" s="2" customFormat="1" x14ac:dyDescent="0.25">
      <c r="A335" s="6">
        <v>2397</v>
      </c>
      <c r="B335" s="3" t="s">
        <v>238</v>
      </c>
      <c r="C335" s="3" t="s">
        <v>226</v>
      </c>
      <c r="D335" s="12">
        <v>6036</v>
      </c>
      <c r="E335" s="11">
        <v>50</v>
      </c>
      <c r="F335" s="3">
        <v>53437.660000000011</v>
      </c>
      <c r="G335" s="3">
        <v>21682.810000000009</v>
      </c>
      <c r="H335" s="3">
        <v>0</v>
      </c>
      <c r="I335" s="3"/>
      <c r="J335" s="3">
        <v>0</v>
      </c>
      <c r="K335" s="3">
        <v>11130</v>
      </c>
      <c r="L335" s="3">
        <v>5320</v>
      </c>
      <c r="M335" s="3">
        <v>31754.850000000002</v>
      </c>
      <c r="N335" s="2">
        <v>69887.66</v>
      </c>
      <c r="O335" s="2">
        <v>38132.810000000012</v>
      </c>
      <c r="P335" s="9">
        <f>O335*Summary!$B$29</f>
        <v>17642.886801646655</v>
      </c>
      <c r="Q335" s="9">
        <f t="shared" si="31"/>
        <v>17642.89</v>
      </c>
    </row>
    <row r="336" spans="1:17" s="2" customFormat="1" x14ac:dyDescent="0.25">
      <c r="A336" s="6">
        <v>2448</v>
      </c>
      <c r="B336" s="3" t="s">
        <v>242</v>
      </c>
      <c r="C336" s="3" t="s">
        <v>226</v>
      </c>
      <c r="D336" s="12">
        <v>6036</v>
      </c>
      <c r="E336" s="11">
        <v>50</v>
      </c>
      <c r="F336" s="3">
        <v>41569.949999999997</v>
      </c>
      <c r="G336" s="3">
        <v>18727.279999999995</v>
      </c>
      <c r="H336" s="3">
        <v>0</v>
      </c>
      <c r="I336" s="3"/>
      <c r="J336" s="3">
        <v>0</v>
      </c>
      <c r="K336" s="3">
        <v>11130</v>
      </c>
      <c r="L336" s="3">
        <v>2260</v>
      </c>
      <c r="M336" s="3">
        <v>22842.67</v>
      </c>
      <c r="N336" s="2">
        <v>54959.95</v>
      </c>
      <c r="O336" s="2">
        <v>32117.279999999995</v>
      </c>
      <c r="P336" s="9">
        <f>O336*Summary!$B$29</f>
        <v>14859.684754855198</v>
      </c>
      <c r="Q336" s="9">
        <f t="shared" si="31"/>
        <v>14859.68</v>
      </c>
    </row>
    <row r="337" spans="1:17" s="2" customFormat="1" x14ac:dyDescent="0.25">
      <c r="A337" s="6">
        <v>2536</v>
      </c>
      <c r="B337" s="3" t="s">
        <v>233</v>
      </c>
      <c r="C337" s="3" t="s">
        <v>226</v>
      </c>
      <c r="D337" s="12">
        <v>6036</v>
      </c>
      <c r="E337" s="11">
        <v>50</v>
      </c>
      <c r="F337" s="3">
        <v>40795.280000000006</v>
      </c>
      <c r="G337" s="3">
        <v>18567.160000000003</v>
      </c>
      <c r="H337" s="3">
        <v>0</v>
      </c>
      <c r="I337" s="3"/>
      <c r="J337" s="3">
        <v>0</v>
      </c>
      <c r="K337" s="3">
        <v>11130</v>
      </c>
      <c r="L337" s="3">
        <v>5320</v>
      </c>
      <c r="M337" s="3">
        <v>22228.120000000003</v>
      </c>
      <c r="N337" s="2">
        <v>57245.280000000006</v>
      </c>
      <c r="O337" s="2">
        <v>35017.160000000003</v>
      </c>
      <c r="P337" s="9">
        <f>O337*Summary!$B$29</f>
        <v>16201.370683019402</v>
      </c>
      <c r="Q337" s="9">
        <f t="shared" si="31"/>
        <v>16201.37</v>
      </c>
    </row>
    <row r="338" spans="1:17" s="2" customFormat="1" x14ac:dyDescent="0.25">
      <c r="A338" s="6">
        <v>2752</v>
      </c>
      <c r="B338" s="3" t="s">
        <v>231</v>
      </c>
      <c r="C338" s="3" t="s">
        <v>226</v>
      </c>
      <c r="D338" s="12">
        <v>6036</v>
      </c>
      <c r="E338" s="11">
        <v>50</v>
      </c>
      <c r="F338" s="3">
        <v>44772.11</v>
      </c>
      <c r="G338" s="3">
        <v>17003.090000000004</v>
      </c>
      <c r="H338" s="3">
        <v>0</v>
      </c>
      <c r="I338" s="3"/>
      <c r="J338" s="3">
        <v>0</v>
      </c>
      <c r="K338" s="3">
        <v>11130</v>
      </c>
      <c r="L338" s="3">
        <v>5320</v>
      </c>
      <c r="M338" s="3">
        <v>27769.02</v>
      </c>
      <c r="N338" s="2">
        <v>61222.11</v>
      </c>
      <c r="O338" s="2">
        <v>33453.090000000004</v>
      </c>
      <c r="P338" s="9">
        <f>O338*Summary!$B$29</f>
        <v>15477.723252896853</v>
      </c>
      <c r="Q338" s="9">
        <f t="shared" si="31"/>
        <v>15477.72</v>
      </c>
    </row>
    <row r="339" spans="1:17" s="2" customFormat="1" x14ac:dyDescent="0.25">
      <c r="A339" s="6">
        <v>2835</v>
      </c>
      <c r="B339" s="3" t="s">
        <v>235</v>
      </c>
      <c r="C339" s="3" t="s">
        <v>226</v>
      </c>
      <c r="D339" s="12">
        <v>6036</v>
      </c>
      <c r="E339" s="11">
        <v>50</v>
      </c>
      <c r="F339" s="3">
        <v>43055.810000000012</v>
      </c>
      <c r="G339" s="3">
        <v>16025.630000000012</v>
      </c>
      <c r="H339" s="3">
        <v>0</v>
      </c>
      <c r="I339" s="3"/>
      <c r="J339" s="3">
        <v>0</v>
      </c>
      <c r="K339" s="3">
        <v>11130</v>
      </c>
      <c r="L339" s="3">
        <v>5320</v>
      </c>
      <c r="M339" s="3">
        <v>27030.18</v>
      </c>
      <c r="N339" s="2">
        <v>59505.810000000012</v>
      </c>
      <c r="O339" s="2">
        <v>32475.630000000012</v>
      </c>
      <c r="P339" s="9">
        <f>O339*Summary!$B$29</f>
        <v>15025.482357637955</v>
      </c>
      <c r="Q339" s="9">
        <f t="shared" si="31"/>
        <v>15025.48</v>
      </c>
    </row>
    <row r="340" spans="1:17" s="2" customFormat="1" x14ac:dyDescent="0.25">
      <c r="A340" s="6">
        <v>2860</v>
      </c>
      <c r="B340" s="3" t="s">
        <v>229</v>
      </c>
      <c r="C340" s="3" t="s">
        <v>226</v>
      </c>
      <c r="D340" s="12">
        <v>6036</v>
      </c>
      <c r="E340" s="11">
        <v>50</v>
      </c>
      <c r="F340" s="3">
        <v>43164.820000000007</v>
      </c>
      <c r="G340" s="3">
        <v>18033.230000000003</v>
      </c>
      <c r="H340" s="3">
        <v>0</v>
      </c>
      <c r="I340" s="3"/>
      <c r="J340" s="3">
        <v>0</v>
      </c>
      <c r="K340" s="3">
        <v>11130</v>
      </c>
      <c r="L340" s="3">
        <v>5320</v>
      </c>
      <c r="M340" s="3">
        <v>25131.590000000004</v>
      </c>
      <c r="N340" s="2">
        <v>59614.820000000007</v>
      </c>
      <c r="O340" s="2">
        <v>34483.230000000003</v>
      </c>
      <c r="P340" s="9">
        <f>O340*Summary!$B$29</f>
        <v>15954.337575571952</v>
      </c>
      <c r="Q340" s="9">
        <f t="shared" si="31"/>
        <v>15954.34</v>
      </c>
    </row>
    <row r="341" spans="1:17" s="2" customFormat="1" x14ac:dyDescent="0.25">
      <c r="A341" s="6">
        <v>2886</v>
      </c>
      <c r="B341" s="3" t="s">
        <v>234</v>
      </c>
      <c r="C341" s="3" t="s">
        <v>226</v>
      </c>
      <c r="D341" s="12">
        <v>6036</v>
      </c>
      <c r="E341" s="11">
        <v>50</v>
      </c>
      <c r="F341" s="3">
        <v>20471.57</v>
      </c>
      <c r="G341" s="3">
        <v>8115.7599999999984</v>
      </c>
      <c r="H341" s="3">
        <v>0</v>
      </c>
      <c r="I341" s="3"/>
      <c r="J341" s="3">
        <v>0</v>
      </c>
      <c r="K341" s="3">
        <v>8130</v>
      </c>
      <c r="L341" s="3">
        <v>3060</v>
      </c>
      <c r="M341" s="15">
        <v>12355.81</v>
      </c>
      <c r="N341" s="16">
        <v>31661.57</v>
      </c>
      <c r="O341" s="16">
        <v>19305.759999999998</v>
      </c>
      <c r="P341" s="9">
        <f>O341*Summary!$B$29</f>
        <v>8932.1856506183994</v>
      </c>
      <c r="Q341" s="9">
        <f t="shared" si="31"/>
        <v>8932.19</v>
      </c>
    </row>
    <row r="342" spans="1:17" s="2" customFormat="1" x14ac:dyDescent="0.25">
      <c r="A342" s="6"/>
      <c r="B342" s="3"/>
      <c r="C342" s="3"/>
      <c r="D342" s="12"/>
      <c r="E342" s="11"/>
      <c r="F342" s="3"/>
      <c r="G342" s="3"/>
      <c r="H342" s="3"/>
      <c r="I342" s="3"/>
      <c r="J342" s="3"/>
      <c r="K342" s="3"/>
      <c r="L342" s="3"/>
      <c r="M342" s="13">
        <f>SUM(M314:M341)</f>
        <v>680804.78280000016</v>
      </c>
      <c r="N342" s="13">
        <f t="shared" ref="N342:Q342" si="32">SUM(N314:N341)</f>
        <v>1658012.4700000002</v>
      </c>
      <c r="O342" s="13">
        <f t="shared" si="32"/>
        <v>986300.58000000007</v>
      </c>
      <c r="P342" s="22">
        <f t="shared" si="32"/>
        <v>456331.16167778982</v>
      </c>
      <c r="Q342" s="22">
        <f t="shared" si="32"/>
        <v>456331.14999999997</v>
      </c>
    </row>
    <row r="343" spans="1:17" s="2" customFormat="1" x14ac:dyDescent="0.25">
      <c r="A343" s="6"/>
      <c r="B343" s="3"/>
      <c r="C343" s="3"/>
      <c r="D343" s="12"/>
      <c r="E343" s="11"/>
      <c r="F343" s="3"/>
      <c r="G343" s="3"/>
      <c r="H343" s="3"/>
      <c r="I343" s="3"/>
      <c r="J343" s="3"/>
      <c r="K343" s="3"/>
      <c r="L343" s="3"/>
      <c r="M343" s="3"/>
    </row>
    <row r="344" spans="1:17" s="2" customFormat="1" x14ac:dyDescent="0.25">
      <c r="A344" s="6"/>
      <c r="B344" s="3"/>
      <c r="C344" s="3"/>
      <c r="D344" s="12"/>
      <c r="E344" s="11"/>
      <c r="F344" s="3"/>
      <c r="G344" s="3"/>
      <c r="H344" s="3"/>
      <c r="I344" s="3"/>
      <c r="J344" s="3"/>
      <c r="K344" s="3"/>
      <c r="L344" s="3"/>
      <c r="M344" s="3"/>
    </row>
    <row r="345" spans="1:17" s="2" customFormat="1" x14ac:dyDescent="0.25">
      <c r="A345" s="7">
        <v>253</v>
      </c>
      <c r="B345" s="2" t="s">
        <v>72</v>
      </c>
      <c r="C345" s="2" t="s">
        <v>71</v>
      </c>
      <c r="D345" s="7">
        <v>6048</v>
      </c>
      <c r="E345" s="7">
        <v>50</v>
      </c>
      <c r="F345" s="3">
        <v>90871.71</v>
      </c>
      <c r="G345" s="3">
        <v>36362.980000000003</v>
      </c>
      <c r="H345" s="3">
        <v>0</v>
      </c>
      <c r="I345" s="3">
        <v>0</v>
      </c>
      <c r="J345" s="3">
        <v>0</v>
      </c>
      <c r="K345" s="3">
        <v>3000</v>
      </c>
      <c r="L345" s="3">
        <v>8190</v>
      </c>
      <c r="M345" s="3">
        <v>54508.73</v>
      </c>
      <c r="N345" s="3">
        <v>102061.71</v>
      </c>
      <c r="O345" s="3">
        <v>47552.98</v>
      </c>
      <c r="P345" s="9">
        <f>O345*Summary!$B$29</f>
        <v>22001.3118157557</v>
      </c>
      <c r="Q345" s="9">
        <f t="shared" ref="Q345:Q347" si="33">ROUND(P345,2)</f>
        <v>22001.31</v>
      </c>
    </row>
    <row r="346" spans="1:17" s="2" customFormat="1" x14ac:dyDescent="0.25">
      <c r="A346" s="7">
        <v>2172</v>
      </c>
      <c r="B346" s="2" t="s">
        <v>86</v>
      </c>
      <c r="C346" s="2" t="s">
        <v>71</v>
      </c>
      <c r="D346" s="7">
        <v>6048</v>
      </c>
      <c r="E346" s="7">
        <v>50</v>
      </c>
      <c r="F346" s="3">
        <v>96000</v>
      </c>
      <c r="G346" s="3">
        <v>44160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51840</v>
      </c>
      <c r="N346" s="3">
        <v>96000</v>
      </c>
      <c r="O346" s="3">
        <v>44160</v>
      </c>
      <c r="P346" s="9">
        <f>O346*Summary!$B$29</f>
        <v>20431.483574400001</v>
      </c>
      <c r="Q346" s="9">
        <f t="shared" si="33"/>
        <v>20431.48</v>
      </c>
    </row>
    <row r="347" spans="1:17" s="2" customFormat="1" x14ac:dyDescent="0.25">
      <c r="A347" s="7">
        <v>2805</v>
      </c>
      <c r="B347" s="2" t="s">
        <v>162</v>
      </c>
      <c r="C347" s="2" t="s">
        <v>71</v>
      </c>
      <c r="D347" s="7">
        <v>6048</v>
      </c>
      <c r="E347" s="7">
        <v>50</v>
      </c>
      <c r="F347" s="3">
        <v>92400</v>
      </c>
      <c r="G347" s="3">
        <v>39712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15">
        <v>52688</v>
      </c>
      <c r="N347" s="15">
        <v>92400</v>
      </c>
      <c r="O347" s="15">
        <v>39712</v>
      </c>
      <c r="P347" s="9">
        <f>O347*Summary!$B$29</f>
        <v>18373.529794080001</v>
      </c>
      <c r="Q347" s="9">
        <f t="shared" si="33"/>
        <v>18373.53</v>
      </c>
    </row>
    <row r="348" spans="1:17" s="2" customFormat="1" x14ac:dyDescent="0.25">
      <c r="A348" s="7"/>
      <c r="D348" s="7"/>
      <c r="E348" s="7"/>
      <c r="F348" s="3"/>
      <c r="G348" s="3"/>
      <c r="H348" s="3"/>
      <c r="I348" s="3"/>
      <c r="J348" s="3"/>
      <c r="K348" s="3"/>
      <c r="L348" s="3"/>
      <c r="M348" s="13">
        <f>SUM(M345:M347)</f>
        <v>159036.73000000001</v>
      </c>
      <c r="N348" s="13">
        <f t="shared" ref="N348:Q348" si="34">SUM(N345:N347)</f>
        <v>290461.71000000002</v>
      </c>
      <c r="O348" s="13">
        <f t="shared" si="34"/>
        <v>131424.98000000001</v>
      </c>
      <c r="P348" s="22">
        <f t="shared" si="34"/>
        <v>60806.325184235706</v>
      </c>
      <c r="Q348" s="22">
        <f t="shared" si="34"/>
        <v>60806.32</v>
      </c>
    </row>
    <row r="349" spans="1:17" s="2" customFormat="1" x14ac:dyDescent="0.25">
      <c r="A349" s="7"/>
      <c r="D349" s="7"/>
      <c r="E349" s="7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7" s="2" customFormat="1" x14ac:dyDescent="0.25">
      <c r="A350" s="7"/>
      <c r="D350" s="7"/>
      <c r="E350" s="7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7" s="2" customFormat="1" x14ac:dyDescent="0.25">
      <c r="A351" s="7">
        <v>720</v>
      </c>
      <c r="B351" s="2" t="s">
        <v>327</v>
      </c>
      <c r="C351" s="2" t="s">
        <v>329</v>
      </c>
      <c r="D351" s="7">
        <v>6081</v>
      </c>
      <c r="E351" s="7">
        <v>50</v>
      </c>
      <c r="F351" s="3">
        <v>30604</v>
      </c>
      <c r="G351" s="3">
        <v>12759.5</v>
      </c>
      <c r="H351" s="3"/>
      <c r="I351" s="3"/>
      <c r="J351" s="3"/>
      <c r="K351" s="3"/>
      <c r="L351" s="3"/>
      <c r="M351" s="3">
        <f>N351-O351</f>
        <v>17844.5</v>
      </c>
      <c r="N351" s="3">
        <v>30604</v>
      </c>
      <c r="O351" s="3">
        <v>12759.5</v>
      </c>
      <c r="P351" s="9">
        <f>O351*Summary!$B$29</f>
        <v>5903.4310386674997</v>
      </c>
      <c r="Q351" s="9">
        <f t="shared" ref="Q351:Q352" si="35">ROUND(P351,2)</f>
        <v>5903.43</v>
      </c>
    </row>
    <row r="352" spans="1:17" s="2" customFormat="1" x14ac:dyDescent="0.25">
      <c r="A352" s="7">
        <v>719</v>
      </c>
      <c r="B352" s="2" t="s">
        <v>328</v>
      </c>
      <c r="C352" s="2" t="s">
        <v>329</v>
      </c>
      <c r="D352" s="7">
        <v>6081</v>
      </c>
      <c r="E352" s="7">
        <v>50</v>
      </c>
      <c r="F352" s="3">
        <v>30604</v>
      </c>
      <c r="G352" s="3">
        <v>12759.5</v>
      </c>
      <c r="H352" s="3"/>
      <c r="I352" s="3"/>
      <c r="J352" s="3"/>
      <c r="K352" s="3"/>
      <c r="L352" s="3"/>
      <c r="M352" s="15">
        <f>N352-O352</f>
        <v>17844.5</v>
      </c>
      <c r="N352" s="15">
        <v>30604</v>
      </c>
      <c r="O352" s="15">
        <v>12759.5</v>
      </c>
      <c r="P352" s="9">
        <f>O352*Summary!$B$29</f>
        <v>5903.4310386674997</v>
      </c>
      <c r="Q352" s="9">
        <f t="shared" si="35"/>
        <v>5903.43</v>
      </c>
    </row>
    <row r="353" spans="13:17" x14ac:dyDescent="0.25">
      <c r="M353" s="17">
        <f>SUM(M351:M352)</f>
        <v>35689</v>
      </c>
      <c r="N353" s="17">
        <f t="shared" ref="N353:Q353" si="36">SUM(N351:N352)</f>
        <v>61208</v>
      </c>
      <c r="O353" s="17">
        <f t="shared" si="36"/>
        <v>25519</v>
      </c>
      <c r="P353" s="25">
        <f t="shared" si="36"/>
        <v>11806.862077334999</v>
      </c>
      <c r="Q353" s="25">
        <f t="shared" si="36"/>
        <v>11806.86</v>
      </c>
    </row>
  </sheetData>
  <sortState ref="A150:O158">
    <sortCondition ref="A150:A15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Schools by Cluster Group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Kubesh, Chris</dc:creator>
  <cp:lastModifiedBy>Kostelecky, Teri</cp:lastModifiedBy>
  <cp:lastPrinted>2012-05-16T19:04:13Z</cp:lastPrinted>
  <dcterms:created xsi:type="dcterms:W3CDTF">2012-04-09T15:08:52Z</dcterms:created>
  <dcterms:modified xsi:type="dcterms:W3CDTF">2012-05-24T19:09:55Z</dcterms:modified>
</cp:coreProperties>
</file>