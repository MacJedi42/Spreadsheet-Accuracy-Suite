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2" yWindow="55" windowWidth="15175" windowHeight="9349"/>
  </bookViews>
  <sheets>
    <sheet name="Districts" sheetId="1" r:id="rId1"/>
    <sheet name="Report" sheetId="9" r:id="rId2"/>
    <sheet name="Consolidate 2903 2904" sheetId="11" r:id="rId3"/>
    <sheet name="Consolidate 2887" sheetId="13" r:id="rId4"/>
    <sheet name="Email" sheetId="3" r:id="rId5"/>
    <sheet name="ConsolidateFY07" sheetId="6" r:id="rId6"/>
    <sheet name="Law" sheetId="4" r:id="rId7"/>
    <sheet name="Minneapolis" sheetId="7" r:id="rId8"/>
    <sheet name="TRA" sheetId="12" r:id="rId9"/>
    <sheet name="Changes" sheetId="14" r:id="rId10"/>
    <sheet name="Salaries 2011" sheetId="15" r:id="rId11"/>
  </sheets>
  <definedNames>
    <definedName name="Inputall">Districts!$A$18:$T$355</definedName>
    <definedName name="_xlnm.Print_Area" localSheetId="3">'Consolidate 2887'!$A$1:$G$90</definedName>
    <definedName name="_xlnm.Print_Area" localSheetId="5">ConsolidateFY07!$A$1:$R$44</definedName>
    <definedName name="_xlnm.Print_Area" localSheetId="0">Districts!$A$16:$V$355</definedName>
    <definedName name="_xlnm.Print_Area" localSheetId="6">Law!$A$1:$A$93</definedName>
    <definedName name="_xlnm.Print_Area" localSheetId="1">Report!$A$3:$E$24</definedName>
    <definedName name="_xlnm.Print_Titles" localSheetId="0">Districts!$1:$15</definedName>
  </definedNames>
  <calcPr calcId="145621"/>
</workbook>
</file>

<file path=xl/calcChain.xml><?xml version="1.0" encoding="utf-8"?>
<calcChain xmlns="http://schemas.openxmlformats.org/spreadsheetml/2006/main">
  <c r="H341" i="1" l="1"/>
  <c r="H319" i="1"/>
  <c r="H298" i="1"/>
  <c r="E33" i="13"/>
  <c r="D33" i="13"/>
  <c r="E32" i="13"/>
  <c r="F32" i="13"/>
  <c r="F33" i="13" s="1"/>
  <c r="D32" i="13"/>
  <c r="G33" i="13" l="1"/>
  <c r="G32" i="13"/>
  <c r="W14" i="1"/>
  <c r="V14" i="1"/>
  <c r="U14" i="1"/>
  <c r="T14" i="1"/>
  <c r="S14" i="1"/>
  <c r="S19" i="1"/>
  <c r="T19" i="1"/>
  <c r="U19" i="1"/>
  <c r="V19" i="1"/>
  <c r="W19" i="1"/>
  <c r="S20" i="1"/>
  <c r="T20" i="1"/>
  <c r="W20" i="1" s="1"/>
  <c r="U20" i="1"/>
  <c r="V20" i="1"/>
  <c r="S21" i="1"/>
  <c r="T21" i="1"/>
  <c r="U21" i="1"/>
  <c r="V21" i="1"/>
  <c r="W21" i="1"/>
  <c r="S22" i="1"/>
  <c r="T22" i="1"/>
  <c r="W22" i="1" s="1"/>
  <c r="U22" i="1"/>
  <c r="V22" i="1"/>
  <c r="S23" i="1"/>
  <c r="T23" i="1"/>
  <c r="U23" i="1"/>
  <c r="V23" i="1"/>
  <c r="W23" i="1"/>
  <c r="S24" i="1"/>
  <c r="T24" i="1"/>
  <c r="W24" i="1" s="1"/>
  <c r="U24" i="1"/>
  <c r="V24" i="1"/>
  <c r="S25" i="1"/>
  <c r="T25" i="1"/>
  <c r="U25" i="1"/>
  <c r="V25" i="1"/>
  <c r="W25" i="1"/>
  <c r="S26" i="1"/>
  <c r="T26" i="1"/>
  <c r="W26" i="1" s="1"/>
  <c r="U26" i="1"/>
  <c r="V26" i="1"/>
  <c r="S27" i="1"/>
  <c r="T27" i="1"/>
  <c r="U27" i="1"/>
  <c r="V27" i="1"/>
  <c r="W27" i="1"/>
  <c r="S28" i="1"/>
  <c r="T28" i="1"/>
  <c r="W28" i="1" s="1"/>
  <c r="U28" i="1"/>
  <c r="V28" i="1"/>
  <c r="S29" i="1"/>
  <c r="T29" i="1"/>
  <c r="U29" i="1"/>
  <c r="V29" i="1"/>
  <c r="W29" i="1"/>
  <c r="S30" i="1"/>
  <c r="T30" i="1"/>
  <c r="W30" i="1" s="1"/>
  <c r="U30" i="1"/>
  <c r="V30" i="1"/>
  <c r="S31" i="1"/>
  <c r="T31" i="1"/>
  <c r="U31" i="1"/>
  <c r="V31" i="1"/>
  <c r="W31" i="1"/>
  <c r="S32" i="1"/>
  <c r="T32" i="1"/>
  <c r="W32" i="1" s="1"/>
  <c r="U32" i="1"/>
  <c r="V32" i="1"/>
  <c r="S33" i="1"/>
  <c r="T33" i="1"/>
  <c r="U33" i="1"/>
  <c r="V33" i="1"/>
  <c r="W33" i="1"/>
  <c r="S34" i="1"/>
  <c r="T34" i="1"/>
  <c r="W34" i="1" s="1"/>
  <c r="U34" i="1"/>
  <c r="V34" i="1"/>
  <c r="S35" i="1"/>
  <c r="T35" i="1"/>
  <c r="U35" i="1"/>
  <c r="V35" i="1"/>
  <c r="W35" i="1"/>
  <c r="S36" i="1"/>
  <c r="T36" i="1"/>
  <c r="W36" i="1" s="1"/>
  <c r="U36" i="1"/>
  <c r="V36" i="1"/>
  <c r="S37" i="1"/>
  <c r="T37" i="1"/>
  <c r="U37" i="1"/>
  <c r="V37" i="1"/>
  <c r="W37" i="1"/>
  <c r="S38" i="1"/>
  <c r="T38" i="1"/>
  <c r="W38" i="1" s="1"/>
  <c r="U38" i="1"/>
  <c r="V38" i="1"/>
  <c r="S39" i="1"/>
  <c r="T39" i="1"/>
  <c r="U39" i="1"/>
  <c r="V39" i="1"/>
  <c r="W39" i="1"/>
  <c r="S40" i="1"/>
  <c r="T40" i="1"/>
  <c r="W40" i="1" s="1"/>
  <c r="U40" i="1"/>
  <c r="V40" i="1"/>
  <c r="S41" i="1"/>
  <c r="T41" i="1"/>
  <c r="U41" i="1"/>
  <c r="V41" i="1"/>
  <c r="W41" i="1"/>
  <c r="S42" i="1"/>
  <c r="T42" i="1"/>
  <c r="W42" i="1" s="1"/>
  <c r="U42" i="1"/>
  <c r="V42" i="1"/>
  <c r="S43" i="1"/>
  <c r="T43" i="1"/>
  <c r="U43" i="1"/>
  <c r="V43" i="1"/>
  <c r="W43" i="1"/>
  <c r="S44" i="1"/>
  <c r="T44" i="1"/>
  <c r="W44" i="1" s="1"/>
  <c r="U44" i="1"/>
  <c r="V44" i="1"/>
  <c r="S45" i="1"/>
  <c r="T45" i="1"/>
  <c r="U45" i="1"/>
  <c r="V45" i="1"/>
  <c r="W45" i="1"/>
  <c r="S46" i="1"/>
  <c r="T46" i="1"/>
  <c r="W46" i="1" s="1"/>
  <c r="U46" i="1"/>
  <c r="V46" i="1"/>
  <c r="S47" i="1"/>
  <c r="T47" i="1"/>
  <c r="U47" i="1"/>
  <c r="V47" i="1"/>
  <c r="W47" i="1"/>
  <c r="S48" i="1"/>
  <c r="T48" i="1"/>
  <c r="W48" i="1" s="1"/>
  <c r="U48" i="1"/>
  <c r="V48" i="1"/>
  <c r="S49" i="1"/>
  <c r="T49" i="1"/>
  <c r="U49" i="1"/>
  <c r="V49" i="1"/>
  <c r="W49" i="1"/>
  <c r="S50" i="1"/>
  <c r="T50" i="1"/>
  <c r="W50" i="1" s="1"/>
  <c r="U50" i="1"/>
  <c r="V50" i="1"/>
  <c r="S51" i="1"/>
  <c r="T51" i="1"/>
  <c r="U51" i="1"/>
  <c r="V51" i="1"/>
  <c r="W51" i="1"/>
  <c r="S52" i="1"/>
  <c r="T52" i="1"/>
  <c r="W52" i="1" s="1"/>
  <c r="U52" i="1"/>
  <c r="V52" i="1"/>
  <c r="S53" i="1"/>
  <c r="T53" i="1"/>
  <c r="U53" i="1"/>
  <c r="V53" i="1"/>
  <c r="W53" i="1"/>
  <c r="S54" i="1"/>
  <c r="T54" i="1"/>
  <c r="W54" i="1" s="1"/>
  <c r="U54" i="1"/>
  <c r="V54" i="1"/>
  <c r="S55" i="1"/>
  <c r="T55" i="1"/>
  <c r="U55" i="1"/>
  <c r="V55" i="1"/>
  <c r="W55" i="1"/>
  <c r="S56" i="1"/>
  <c r="T56" i="1"/>
  <c r="W56" i="1" s="1"/>
  <c r="U56" i="1"/>
  <c r="V56" i="1"/>
  <c r="S57" i="1"/>
  <c r="T57" i="1"/>
  <c r="U57" i="1"/>
  <c r="V57" i="1"/>
  <c r="W57" i="1"/>
  <c r="S58" i="1"/>
  <c r="T58" i="1"/>
  <c r="W58" i="1" s="1"/>
  <c r="U58" i="1"/>
  <c r="V58" i="1"/>
  <c r="S59" i="1"/>
  <c r="T59" i="1"/>
  <c r="U59" i="1"/>
  <c r="V59" i="1"/>
  <c r="W59" i="1"/>
  <c r="S60" i="1"/>
  <c r="T60" i="1"/>
  <c r="W60" i="1" s="1"/>
  <c r="U60" i="1"/>
  <c r="V60" i="1"/>
  <c r="S61" i="1"/>
  <c r="T61" i="1"/>
  <c r="U61" i="1"/>
  <c r="V61" i="1"/>
  <c r="W61" i="1"/>
  <c r="S62" i="1"/>
  <c r="T62" i="1"/>
  <c r="W62" i="1" s="1"/>
  <c r="U62" i="1"/>
  <c r="V62" i="1"/>
  <c r="S63" i="1"/>
  <c r="T63" i="1"/>
  <c r="U63" i="1"/>
  <c r="V63" i="1"/>
  <c r="W63" i="1"/>
  <c r="S64" i="1"/>
  <c r="T64" i="1"/>
  <c r="W64" i="1" s="1"/>
  <c r="U64" i="1"/>
  <c r="V64" i="1"/>
  <c r="S65" i="1"/>
  <c r="T65" i="1"/>
  <c r="U65" i="1"/>
  <c r="V65" i="1"/>
  <c r="W65" i="1"/>
  <c r="S66" i="1"/>
  <c r="T66" i="1"/>
  <c r="W66" i="1" s="1"/>
  <c r="U66" i="1"/>
  <c r="V66" i="1"/>
  <c r="S67" i="1"/>
  <c r="T67" i="1"/>
  <c r="U67" i="1"/>
  <c r="V67" i="1"/>
  <c r="W67" i="1"/>
  <c r="S68" i="1"/>
  <c r="T68" i="1"/>
  <c r="W68" i="1" s="1"/>
  <c r="U68" i="1"/>
  <c r="V68" i="1"/>
  <c r="S69" i="1"/>
  <c r="T69" i="1"/>
  <c r="U69" i="1"/>
  <c r="V69" i="1"/>
  <c r="W69" i="1"/>
  <c r="S70" i="1"/>
  <c r="T70" i="1"/>
  <c r="W70" i="1" s="1"/>
  <c r="U70" i="1"/>
  <c r="V70" i="1"/>
  <c r="S71" i="1"/>
  <c r="T71" i="1"/>
  <c r="U71" i="1"/>
  <c r="V71" i="1"/>
  <c r="W71" i="1"/>
  <c r="S72" i="1"/>
  <c r="T72" i="1"/>
  <c r="W72" i="1" s="1"/>
  <c r="U72" i="1"/>
  <c r="V72" i="1"/>
  <c r="S73" i="1"/>
  <c r="T73" i="1"/>
  <c r="U73" i="1"/>
  <c r="V73" i="1"/>
  <c r="W73" i="1"/>
  <c r="S74" i="1"/>
  <c r="T74" i="1"/>
  <c r="W74" i="1" s="1"/>
  <c r="U74" i="1"/>
  <c r="V74" i="1"/>
  <c r="S75" i="1"/>
  <c r="T75" i="1"/>
  <c r="U75" i="1"/>
  <c r="V75" i="1"/>
  <c r="W75" i="1"/>
  <c r="S76" i="1"/>
  <c r="T76" i="1"/>
  <c r="W76" i="1" s="1"/>
  <c r="U76" i="1"/>
  <c r="V76" i="1"/>
  <c r="S77" i="1"/>
  <c r="T77" i="1"/>
  <c r="U77" i="1"/>
  <c r="V77" i="1"/>
  <c r="W77" i="1"/>
  <c r="S78" i="1"/>
  <c r="T78" i="1"/>
  <c r="W78" i="1" s="1"/>
  <c r="U78" i="1"/>
  <c r="V78" i="1"/>
  <c r="S79" i="1"/>
  <c r="T79" i="1"/>
  <c r="U79" i="1"/>
  <c r="V79" i="1"/>
  <c r="W79" i="1"/>
  <c r="S80" i="1"/>
  <c r="T80" i="1"/>
  <c r="W80" i="1" s="1"/>
  <c r="U80" i="1"/>
  <c r="V80" i="1"/>
  <c r="S81" i="1"/>
  <c r="T81" i="1"/>
  <c r="U81" i="1"/>
  <c r="V81" i="1"/>
  <c r="W81" i="1"/>
  <c r="S82" i="1"/>
  <c r="T82" i="1"/>
  <c r="W82" i="1" s="1"/>
  <c r="U82" i="1"/>
  <c r="V82" i="1"/>
  <c r="S83" i="1"/>
  <c r="T83" i="1"/>
  <c r="U83" i="1"/>
  <c r="V83" i="1"/>
  <c r="W83" i="1"/>
  <c r="S84" i="1"/>
  <c r="T84" i="1"/>
  <c r="W84" i="1" s="1"/>
  <c r="U84" i="1"/>
  <c r="V84" i="1"/>
  <c r="S85" i="1"/>
  <c r="T85" i="1"/>
  <c r="U85" i="1"/>
  <c r="V85" i="1"/>
  <c r="W85" i="1"/>
  <c r="S86" i="1"/>
  <c r="T86" i="1"/>
  <c r="W86" i="1" s="1"/>
  <c r="U86" i="1"/>
  <c r="V86" i="1"/>
  <c r="S87" i="1"/>
  <c r="T87" i="1"/>
  <c r="U87" i="1"/>
  <c r="V87" i="1"/>
  <c r="W87" i="1"/>
  <c r="S88" i="1"/>
  <c r="T88" i="1"/>
  <c r="W88" i="1" s="1"/>
  <c r="U88" i="1"/>
  <c r="V88" i="1"/>
  <c r="S89" i="1"/>
  <c r="T89" i="1"/>
  <c r="U89" i="1"/>
  <c r="V89" i="1"/>
  <c r="W89" i="1"/>
  <c r="S90" i="1"/>
  <c r="T90" i="1"/>
  <c r="W90" i="1" s="1"/>
  <c r="U90" i="1"/>
  <c r="V90" i="1"/>
  <c r="S91" i="1"/>
  <c r="T91" i="1"/>
  <c r="U91" i="1"/>
  <c r="V91" i="1"/>
  <c r="W91" i="1"/>
  <c r="S92" i="1"/>
  <c r="T92" i="1"/>
  <c r="W92" i="1" s="1"/>
  <c r="U92" i="1"/>
  <c r="V92" i="1"/>
  <c r="S93" i="1"/>
  <c r="T93" i="1"/>
  <c r="U93" i="1"/>
  <c r="V93" i="1"/>
  <c r="W93" i="1"/>
  <c r="S94" i="1"/>
  <c r="T94" i="1"/>
  <c r="W94" i="1" s="1"/>
  <c r="U94" i="1"/>
  <c r="V94" i="1"/>
  <c r="S95" i="1"/>
  <c r="T95" i="1"/>
  <c r="U95" i="1"/>
  <c r="V95" i="1"/>
  <c r="W95" i="1"/>
  <c r="S96" i="1"/>
  <c r="T96" i="1"/>
  <c r="W96" i="1" s="1"/>
  <c r="U96" i="1"/>
  <c r="V96" i="1"/>
  <c r="S97" i="1"/>
  <c r="T97" i="1"/>
  <c r="U97" i="1"/>
  <c r="V97" i="1"/>
  <c r="W97" i="1"/>
  <c r="S98" i="1"/>
  <c r="T98" i="1"/>
  <c r="W98" i="1" s="1"/>
  <c r="U98" i="1"/>
  <c r="V98" i="1"/>
  <c r="S99" i="1"/>
  <c r="T99" i="1"/>
  <c r="U99" i="1"/>
  <c r="V99" i="1"/>
  <c r="W99" i="1"/>
  <c r="S100" i="1"/>
  <c r="T100" i="1"/>
  <c r="W100" i="1" s="1"/>
  <c r="U100" i="1"/>
  <c r="V100" i="1"/>
  <c r="S101" i="1"/>
  <c r="T101" i="1"/>
  <c r="U101" i="1"/>
  <c r="V101" i="1"/>
  <c r="W101" i="1"/>
  <c r="S102" i="1"/>
  <c r="T102" i="1"/>
  <c r="W102" i="1" s="1"/>
  <c r="U102" i="1"/>
  <c r="V102" i="1"/>
  <c r="S103" i="1"/>
  <c r="T103" i="1"/>
  <c r="U103" i="1"/>
  <c r="V103" i="1"/>
  <c r="W103" i="1"/>
  <c r="S104" i="1"/>
  <c r="T104" i="1"/>
  <c r="W104" i="1" s="1"/>
  <c r="U104" i="1"/>
  <c r="V104" i="1"/>
  <c r="S105" i="1"/>
  <c r="T105" i="1"/>
  <c r="U105" i="1"/>
  <c r="V105" i="1"/>
  <c r="W105" i="1"/>
  <c r="S106" i="1"/>
  <c r="T106" i="1"/>
  <c r="W106" i="1" s="1"/>
  <c r="U106" i="1"/>
  <c r="V106" i="1"/>
  <c r="S107" i="1"/>
  <c r="T107" i="1"/>
  <c r="U107" i="1"/>
  <c r="V107" i="1"/>
  <c r="W107" i="1"/>
  <c r="S108" i="1"/>
  <c r="T108" i="1"/>
  <c r="W108" i="1" s="1"/>
  <c r="U108" i="1"/>
  <c r="V108" i="1"/>
  <c r="S109" i="1"/>
  <c r="T109" i="1"/>
  <c r="U109" i="1"/>
  <c r="V109" i="1"/>
  <c r="W109" i="1"/>
  <c r="S110" i="1"/>
  <c r="T110" i="1"/>
  <c r="W110" i="1" s="1"/>
  <c r="U110" i="1"/>
  <c r="V110" i="1"/>
  <c r="S111" i="1"/>
  <c r="T111" i="1"/>
  <c r="U111" i="1"/>
  <c r="V111" i="1"/>
  <c r="W111" i="1"/>
  <c r="S112" i="1"/>
  <c r="T112" i="1"/>
  <c r="W112" i="1" s="1"/>
  <c r="U112" i="1"/>
  <c r="V112" i="1"/>
  <c r="S113" i="1"/>
  <c r="T113" i="1"/>
  <c r="U113" i="1"/>
  <c r="V113" i="1"/>
  <c r="W113" i="1"/>
  <c r="S114" i="1"/>
  <c r="T114" i="1"/>
  <c r="W114" i="1" s="1"/>
  <c r="U114" i="1"/>
  <c r="V114" i="1"/>
  <c r="S115" i="1"/>
  <c r="T115" i="1"/>
  <c r="U115" i="1"/>
  <c r="V115" i="1"/>
  <c r="W115" i="1"/>
  <c r="S116" i="1"/>
  <c r="T116" i="1"/>
  <c r="W116" i="1" s="1"/>
  <c r="U116" i="1"/>
  <c r="V116" i="1"/>
  <c r="S117" i="1"/>
  <c r="T117" i="1"/>
  <c r="U117" i="1"/>
  <c r="V117" i="1"/>
  <c r="W117" i="1"/>
  <c r="S118" i="1"/>
  <c r="T118" i="1"/>
  <c r="W118" i="1" s="1"/>
  <c r="U118" i="1"/>
  <c r="V118" i="1"/>
  <c r="S119" i="1"/>
  <c r="T119" i="1"/>
  <c r="U119" i="1"/>
  <c r="V119" i="1"/>
  <c r="W119" i="1"/>
  <c r="S120" i="1"/>
  <c r="T120" i="1"/>
  <c r="W120" i="1" s="1"/>
  <c r="U120" i="1"/>
  <c r="V120" i="1"/>
  <c r="S121" i="1"/>
  <c r="T121" i="1"/>
  <c r="U121" i="1"/>
  <c r="V121" i="1"/>
  <c r="W121" i="1"/>
  <c r="S122" i="1"/>
  <c r="T122" i="1"/>
  <c r="W122" i="1" s="1"/>
  <c r="U122" i="1"/>
  <c r="V122" i="1"/>
  <c r="S123" i="1"/>
  <c r="T123" i="1"/>
  <c r="U123" i="1"/>
  <c r="V123" i="1"/>
  <c r="W123" i="1"/>
  <c r="S124" i="1"/>
  <c r="T124" i="1"/>
  <c r="W124" i="1" s="1"/>
  <c r="U124" i="1"/>
  <c r="V124" i="1"/>
  <c r="S125" i="1"/>
  <c r="T125" i="1"/>
  <c r="U125" i="1"/>
  <c r="V125" i="1"/>
  <c r="W125" i="1"/>
  <c r="S126" i="1"/>
  <c r="T126" i="1"/>
  <c r="W126" i="1" s="1"/>
  <c r="U126" i="1"/>
  <c r="V126" i="1"/>
  <c r="S127" i="1"/>
  <c r="T127" i="1"/>
  <c r="U127" i="1"/>
  <c r="V127" i="1"/>
  <c r="W127" i="1"/>
  <c r="S128" i="1"/>
  <c r="T128" i="1"/>
  <c r="W128" i="1" s="1"/>
  <c r="U128" i="1"/>
  <c r="V128" i="1"/>
  <c r="S129" i="1"/>
  <c r="T129" i="1"/>
  <c r="U129" i="1"/>
  <c r="V129" i="1"/>
  <c r="W129" i="1"/>
  <c r="S130" i="1"/>
  <c r="T130" i="1"/>
  <c r="W130" i="1" s="1"/>
  <c r="U130" i="1"/>
  <c r="V130" i="1"/>
  <c r="S131" i="1"/>
  <c r="T131" i="1"/>
  <c r="U131" i="1"/>
  <c r="V131" i="1"/>
  <c r="W131" i="1"/>
  <c r="S132" i="1"/>
  <c r="T132" i="1"/>
  <c r="W132" i="1" s="1"/>
  <c r="U132" i="1"/>
  <c r="V132" i="1"/>
  <c r="S133" i="1"/>
  <c r="T133" i="1"/>
  <c r="U133" i="1"/>
  <c r="V133" i="1"/>
  <c r="W133" i="1"/>
  <c r="S134" i="1"/>
  <c r="T134" i="1"/>
  <c r="W134" i="1" s="1"/>
  <c r="U134" i="1"/>
  <c r="V134" i="1"/>
  <c r="S135" i="1"/>
  <c r="T135" i="1"/>
  <c r="U135" i="1"/>
  <c r="V135" i="1"/>
  <c r="W135" i="1"/>
  <c r="S136" i="1"/>
  <c r="T136" i="1"/>
  <c r="W136" i="1" s="1"/>
  <c r="U136" i="1"/>
  <c r="V136" i="1"/>
  <c r="S137" i="1"/>
  <c r="T137" i="1"/>
  <c r="U137" i="1"/>
  <c r="V137" i="1"/>
  <c r="W137" i="1"/>
  <c r="S138" i="1"/>
  <c r="T138" i="1"/>
  <c r="W138" i="1" s="1"/>
  <c r="U138" i="1"/>
  <c r="V138" i="1"/>
  <c r="S139" i="1"/>
  <c r="T139" i="1"/>
  <c r="U139" i="1"/>
  <c r="V139" i="1"/>
  <c r="W139" i="1"/>
  <c r="S140" i="1"/>
  <c r="T140" i="1"/>
  <c r="W140" i="1" s="1"/>
  <c r="U140" i="1"/>
  <c r="V140" i="1"/>
  <c r="S141" i="1"/>
  <c r="T141" i="1"/>
  <c r="U141" i="1"/>
  <c r="V141" i="1"/>
  <c r="W141" i="1"/>
  <c r="S142" i="1"/>
  <c r="T142" i="1"/>
  <c r="W142" i="1" s="1"/>
  <c r="U142" i="1"/>
  <c r="V142" i="1"/>
  <c r="S143" i="1"/>
  <c r="T143" i="1"/>
  <c r="U143" i="1"/>
  <c r="V143" i="1"/>
  <c r="W143" i="1"/>
  <c r="S144" i="1"/>
  <c r="T144" i="1"/>
  <c r="W144" i="1" s="1"/>
  <c r="U144" i="1"/>
  <c r="V144" i="1"/>
  <c r="S145" i="1"/>
  <c r="T145" i="1"/>
  <c r="U145" i="1"/>
  <c r="V145" i="1"/>
  <c r="W145" i="1"/>
  <c r="S146" i="1"/>
  <c r="T146" i="1"/>
  <c r="W146" i="1" s="1"/>
  <c r="U146" i="1"/>
  <c r="V146" i="1"/>
  <c r="S147" i="1"/>
  <c r="T147" i="1"/>
  <c r="U147" i="1"/>
  <c r="V147" i="1"/>
  <c r="W147" i="1"/>
  <c r="S148" i="1"/>
  <c r="T148" i="1"/>
  <c r="W148" i="1" s="1"/>
  <c r="U148" i="1"/>
  <c r="V148" i="1"/>
  <c r="S149" i="1"/>
  <c r="T149" i="1"/>
  <c r="U149" i="1"/>
  <c r="V149" i="1"/>
  <c r="W149" i="1"/>
  <c r="S150" i="1"/>
  <c r="T150" i="1"/>
  <c r="W150" i="1" s="1"/>
  <c r="U150" i="1"/>
  <c r="V150" i="1"/>
  <c r="S151" i="1"/>
  <c r="T151" i="1"/>
  <c r="U151" i="1"/>
  <c r="V151" i="1"/>
  <c r="W151" i="1"/>
  <c r="S152" i="1"/>
  <c r="T152" i="1"/>
  <c r="W152" i="1" s="1"/>
  <c r="U152" i="1"/>
  <c r="V152" i="1"/>
  <c r="S153" i="1"/>
  <c r="T153" i="1"/>
  <c r="U153" i="1"/>
  <c r="V153" i="1"/>
  <c r="W153" i="1"/>
  <c r="S154" i="1"/>
  <c r="T154" i="1"/>
  <c r="W154" i="1" s="1"/>
  <c r="U154" i="1"/>
  <c r="V154" i="1"/>
  <c r="S155" i="1"/>
  <c r="T155" i="1"/>
  <c r="U155" i="1"/>
  <c r="V155" i="1"/>
  <c r="W155" i="1"/>
  <c r="S156" i="1"/>
  <c r="T156" i="1"/>
  <c r="W156" i="1" s="1"/>
  <c r="U156" i="1"/>
  <c r="V156" i="1"/>
  <c r="S157" i="1"/>
  <c r="T157" i="1"/>
  <c r="U157" i="1"/>
  <c r="V157" i="1"/>
  <c r="W157" i="1"/>
  <c r="S158" i="1"/>
  <c r="T158" i="1"/>
  <c r="U158" i="1"/>
  <c r="V158" i="1"/>
  <c r="S159" i="1"/>
  <c r="T159" i="1"/>
  <c r="U159" i="1"/>
  <c r="V159" i="1"/>
  <c r="W159" i="1"/>
  <c r="S160" i="1"/>
  <c r="T160" i="1"/>
  <c r="U160" i="1"/>
  <c r="V160" i="1"/>
  <c r="S161" i="1"/>
  <c r="T161" i="1"/>
  <c r="U161" i="1"/>
  <c r="V161" i="1"/>
  <c r="W161" i="1"/>
  <c r="S162" i="1"/>
  <c r="T162" i="1"/>
  <c r="U162" i="1"/>
  <c r="V162" i="1"/>
  <c r="S163" i="1"/>
  <c r="T163" i="1"/>
  <c r="U163" i="1"/>
  <c r="V163" i="1"/>
  <c r="W163" i="1"/>
  <c r="S164" i="1"/>
  <c r="T164" i="1"/>
  <c r="U164" i="1"/>
  <c r="V164" i="1"/>
  <c r="S165" i="1"/>
  <c r="T165" i="1"/>
  <c r="U165" i="1"/>
  <c r="V165" i="1"/>
  <c r="W165" i="1"/>
  <c r="S166" i="1"/>
  <c r="T166" i="1"/>
  <c r="U166" i="1"/>
  <c r="V166" i="1"/>
  <c r="S167" i="1"/>
  <c r="T167" i="1"/>
  <c r="U167" i="1"/>
  <c r="V167" i="1"/>
  <c r="W167" i="1"/>
  <c r="S168" i="1"/>
  <c r="T168" i="1"/>
  <c r="U168" i="1"/>
  <c r="V168" i="1"/>
  <c r="S169" i="1"/>
  <c r="T169" i="1"/>
  <c r="U169" i="1"/>
  <c r="V169" i="1"/>
  <c r="W169" i="1"/>
  <c r="S170" i="1"/>
  <c r="T170" i="1"/>
  <c r="U170" i="1"/>
  <c r="V170" i="1"/>
  <c r="S171" i="1"/>
  <c r="T171" i="1"/>
  <c r="U171" i="1"/>
  <c r="V171" i="1"/>
  <c r="W171" i="1"/>
  <c r="S172" i="1"/>
  <c r="T172" i="1"/>
  <c r="U172" i="1"/>
  <c r="V172" i="1"/>
  <c r="S173" i="1"/>
  <c r="T173" i="1"/>
  <c r="U173" i="1"/>
  <c r="V173" i="1"/>
  <c r="W173" i="1"/>
  <c r="S174" i="1"/>
  <c r="T174" i="1"/>
  <c r="U174" i="1"/>
  <c r="V174" i="1"/>
  <c r="S175" i="1"/>
  <c r="T175" i="1"/>
  <c r="U175" i="1"/>
  <c r="V175" i="1"/>
  <c r="W175" i="1"/>
  <c r="S176" i="1"/>
  <c r="T176" i="1"/>
  <c r="U176" i="1"/>
  <c r="V176" i="1"/>
  <c r="S177" i="1"/>
  <c r="T177" i="1"/>
  <c r="U177" i="1"/>
  <c r="V177" i="1"/>
  <c r="W177" i="1"/>
  <c r="S178" i="1"/>
  <c r="T178" i="1"/>
  <c r="U178" i="1"/>
  <c r="V178" i="1"/>
  <c r="S179" i="1"/>
  <c r="T179" i="1"/>
  <c r="U179" i="1"/>
  <c r="V179" i="1"/>
  <c r="W179" i="1"/>
  <c r="S180" i="1"/>
  <c r="T180" i="1"/>
  <c r="U180" i="1"/>
  <c r="V180" i="1"/>
  <c r="S181" i="1"/>
  <c r="T181" i="1"/>
  <c r="U181" i="1"/>
  <c r="V181" i="1"/>
  <c r="W181" i="1"/>
  <c r="S182" i="1"/>
  <c r="T182" i="1"/>
  <c r="U182" i="1"/>
  <c r="V182" i="1"/>
  <c r="S183" i="1"/>
  <c r="T183" i="1"/>
  <c r="U183" i="1"/>
  <c r="V183" i="1"/>
  <c r="W183" i="1"/>
  <c r="S184" i="1"/>
  <c r="T184" i="1"/>
  <c r="U184" i="1"/>
  <c r="V184" i="1"/>
  <c r="S185" i="1"/>
  <c r="T185" i="1"/>
  <c r="U185" i="1"/>
  <c r="V185" i="1"/>
  <c r="W185" i="1"/>
  <c r="S186" i="1"/>
  <c r="T186" i="1"/>
  <c r="U186" i="1"/>
  <c r="V186" i="1"/>
  <c r="S187" i="1"/>
  <c r="T187" i="1"/>
  <c r="U187" i="1"/>
  <c r="V187" i="1"/>
  <c r="W187" i="1"/>
  <c r="S188" i="1"/>
  <c r="T188" i="1"/>
  <c r="U188" i="1"/>
  <c r="V188" i="1"/>
  <c r="S189" i="1"/>
  <c r="T189" i="1"/>
  <c r="W189" i="1" s="1"/>
  <c r="U189" i="1"/>
  <c r="V189" i="1"/>
  <c r="S190" i="1"/>
  <c r="T190" i="1"/>
  <c r="U190" i="1"/>
  <c r="V190" i="1"/>
  <c r="W190" i="1"/>
  <c r="S191" i="1"/>
  <c r="T191" i="1"/>
  <c r="W191" i="1" s="1"/>
  <c r="U191" i="1"/>
  <c r="V191" i="1"/>
  <c r="S192" i="1"/>
  <c r="T192" i="1"/>
  <c r="U192" i="1"/>
  <c r="V192" i="1"/>
  <c r="W192" i="1"/>
  <c r="S193" i="1"/>
  <c r="T193" i="1"/>
  <c r="W193" i="1" s="1"/>
  <c r="U193" i="1"/>
  <c r="V193" i="1"/>
  <c r="S194" i="1"/>
  <c r="T194" i="1"/>
  <c r="U194" i="1"/>
  <c r="V194" i="1"/>
  <c r="W194" i="1"/>
  <c r="S195" i="1"/>
  <c r="T195" i="1"/>
  <c r="W195" i="1" s="1"/>
  <c r="U195" i="1"/>
  <c r="V195" i="1"/>
  <c r="S196" i="1"/>
  <c r="T196" i="1"/>
  <c r="U196" i="1"/>
  <c r="V196" i="1"/>
  <c r="W196" i="1"/>
  <c r="S197" i="1"/>
  <c r="T197" i="1"/>
  <c r="W197" i="1" s="1"/>
  <c r="U197" i="1"/>
  <c r="V197" i="1"/>
  <c r="S198" i="1"/>
  <c r="T198" i="1"/>
  <c r="U198" i="1"/>
  <c r="V198" i="1"/>
  <c r="W198" i="1"/>
  <c r="S199" i="1"/>
  <c r="T199" i="1"/>
  <c r="W199" i="1" s="1"/>
  <c r="U199" i="1"/>
  <c r="V199" i="1"/>
  <c r="S200" i="1"/>
  <c r="T200" i="1"/>
  <c r="U200" i="1"/>
  <c r="V200" i="1"/>
  <c r="W200" i="1"/>
  <c r="S201" i="1"/>
  <c r="T201" i="1"/>
  <c r="W201" i="1" s="1"/>
  <c r="U201" i="1"/>
  <c r="V201" i="1"/>
  <c r="S202" i="1"/>
  <c r="T202" i="1"/>
  <c r="U202" i="1"/>
  <c r="V202" i="1"/>
  <c r="W202" i="1"/>
  <c r="S203" i="1"/>
  <c r="T203" i="1"/>
  <c r="W203" i="1" s="1"/>
  <c r="U203" i="1"/>
  <c r="V203" i="1"/>
  <c r="S204" i="1"/>
  <c r="T204" i="1"/>
  <c r="U204" i="1"/>
  <c r="V204" i="1"/>
  <c r="W204" i="1"/>
  <c r="S205" i="1"/>
  <c r="T205" i="1"/>
  <c r="W205" i="1" s="1"/>
  <c r="U205" i="1"/>
  <c r="V205" i="1"/>
  <c r="S206" i="1"/>
  <c r="T206" i="1"/>
  <c r="U206" i="1"/>
  <c r="V206" i="1"/>
  <c r="W206" i="1"/>
  <c r="S207" i="1"/>
  <c r="T207" i="1"/>
  <c r="W207" i="1" s="1"/>
  <c r="U207" i="1"/>
  <c r="V207" i="1"/>
  <c r="S208" i="1"/>
  <c r="T208" i="1"/>
  <c r="U208" i="1"/>
  <c r="V208" i="1"/>
  <c r="W208" i="1"/>
  <c r="S209" i="1"/>
  <c r="T209" i="1"/>
  <c r="W209" i="1" s="1"/>
  <c r="U209" i="1"/>
  <c r="V209" i="1"/>
  <c r="S210" i="1"/>
  <c r="T210" i="1"/>
  <c r="U210" i="1"/>
  <c r="V210" i="1"/>
  <c r="W210" i="1"/>
  <c r="S211" i="1"/>
  <c r="T211" i="1"/>
  <c r="W211" i="1" s="1"/>
  <c r="U211" i="1"/>
  <c r="V211" i="1"/>
  <c r="S212" i="1"/>
  <c r="T212" i="1"/>
  <c r="U212" i="1"/>
  <c r="V212" i="1"/>
  <c r="W212" i="1"/>
  <c r="S213" i="1"/>
  <c r="T213" i="1"/>
  <c r="W213" i="1" s="1"/>
  <c r="U213" i="1"/>
  <c r="V213" i="1"/>
  <c r="S214" i="1"/>
  <c r="T214" i="1"/>
  <c r="U214" i="1"/>
  <c r="V214" i="1"/>
  <c r="W214" i="1"/>
  <c r="S215" i="1"/>
  <c r="T215" i="1"/>
  <c r="W215" i="1" s="1"/>
  <c r="U215" i="1"/>
  <c r="V215" i="1"/>
  <c r="S216" i="1"/>
  <c r="T216" i="1"/>
  <c r="U216" i="1"/>
  <c r="V216" i="1"/>
  <c r="W216" i="1"/>
  <c r="S217" i="1"/>
  <c r="T217" i="1"/>
  <c r="W217" i="1" s="1"/>
  <c r="U217" i="1"/>
  <c r="V217" i="1"/>
  <c r="S218" i="1"/>
  <c r="T218" i="1"/>
  <c r="U218" i="1"/>
  <c r="V218" i="1"/>
  <c r="W218" i="1"/>
  <c r="S219" i="1"/>
  <c r="T219" i="1"/>
  <c r="W219" i="1" s="1"/>
  <c r="U219" i="1"/>
  <c r="V219" i="1"/>
  <c r="S220" i="1"/>
  <c r="T220" i="1"/>
  <c r="U220" i="1"/>
  <c r="V220" i="1"/>
  <c r="W220" i="1"/>
  <c r="S221" i="1"/>
  <c r="T221" i="1"/>
  <c r="W221" i="1" s="1"/>
  <c r="U221" i="1"/>
  <c r="V221" i="1"/>
  <c r="S222" i="1"/>
  <c r="T222" i="1"/>
  <c r="U222" i="1"/>
  <c r="V222" i="1"/>
  <c r="W222" i="1"/>
  <c r="S223" i="1"/>
  <c r="T223" i="1"/>
  <c r="W223" i="1" s="1"/>
  <c r="U223" i="1"/>
  <c r="V223" i="1"/>
  <c r="S224" i="1"/>
  <c r="T224" i="1"/>
  <c r="U224" i="1"/>
  <c r="V224" i="1"/>
  <c r="W224" i="1"/>
  <c r="S225" i="1"/>
  <c r="T225" i="1"/>
  <c r="W225" i="1" s="1"/>
  <c r="U225" i="1"/>
  <c r="V225" i="1"/>
  <c r="S226" i="1"/>
  <c r="T226" i="1"/>
  <c r="U226" i="1"/>
  <c r="V226" i="1"/>
  <c r="W226" i="1"/>
  <c r="S227" i="1"/>
  <c r="T227" i="1"/>
  <c r="W227" i="1" s="1"/>
  <c r="U227" i="1"/>
  <c r="V227" i="1"/>
  <c r="S228" i="1"/>
  <c r="T228" i="1"/>
  <c r="U228" i="1"/>
  <c r="V228" i="1"/>
  <c r="W228" i="1"/>
  <c r="S229" i="1"/>
  <c r="T229" i="1"/>
  <c r="W229" i="1" s="1"/>
  <c r="U229" i="1"/>
  <c r="V229" i="1"/>
  <c r="S230" i="1"/>
  <c r="T230" i="1"/>
  <c r="U230" i="1"/>
  <c r="V230" i="1"/>
  <c r="W230" i="1"/>
  <c r="S231" i="1"/>
  <c r="T231" i="1"/>
  <c r="W231" i="1" s="1"/>
  <c r="U231" i="1"/>
  <c r="V231" i="1"/>
  <c r="S232" i="1"/>
  <c r="T232" i="1"/>
  <c r="U232" i="1"/>
  <c r="V232" i="1"/>
  <c r="W232" i="1"/>
  <c r="S233" i="1"/>
  <c r="T233" i="1"/>
  <c r="W233" i="1" s="1"/>
  <c r="U233" i="1"/>
  <c r="V233" i="1"/>
  <c r="S234" i="1"/>
  <c r="T234" i="1"/>
  <c r="U234" i="1"/>
  <c r="V234" i="1"/>
  <c r="W234" i="1"/>
  <c r="S235" i="1"/>
  <c r="T235" i="1"/>
  <c r="W235" i="1" s="1"/>
  <c r="U235" i="1"/>
  <c r="V235" i="1"/>
  <c r="S236" i="1"/>
  <c r="T236" i="1"/>
  <c r="U236" i="1"/>
  <c r="V236" i="1"/>
  <c r="W236" i="1"/>
  <c r="S237" i="1"/>
  <c r="T237" i="1"/>
  <c r="W237" i="1" s="1"/>
  <c r="U237" i="1"/>
  <c r="V237" i="1"/>
  <c r="S238" i="1"/>
  <c r="T238" i="1"/>
  <c r="U238" i="1"/>
  <c r="V238" i="1"/>
  <c r="W238" i="1"/>
  <c r="S239" i="1"/>
  <c r="T239" i="1"/>
  <c r="W239" i="1" s="1"/>
  <c r="U239" i="1"/>
  <c r="V239" i="1"/>
  <c r="S240" i="1"/>
  <c r="T240" i="1"/>
  <c r="U240" i="1"/>
  <c r="V240" i="1"/>
  <c r="W240" i="1"/>
  <c r="S241" i="1"/>
  <c r="T241" i="1"/>
  <c r="W241" i="1" s="1"/>
  <c r="U241" i="1"/>
  <c r="V241" i="1"/>
  <c r="S242" i="1"/>
  <c r="T242" i="1"/>
  <c r="U242" i="1"/>
  <c r="V242" i="1"/>
  <c r="W242" i="1"/>
  <c r="S243" i="1"/>
  <c r="T243" i="1"/>
  <c r="W243" i="1" s="1"/>
  <c r="U243" i="1"/>
  <c r="V243" i="1"/>
  <c r="S244" i="1"/>
  <c r="T244" i="1"/>
  <c r="U244" i="1"/>
  <c r="V244" i="1"/>
  <c r="W244" i="1"/>
  <c r="S245" i="1"/>
  <c r="T245" i="1"/>
  <c r="W245" i="1" s="1"/>
  <c r="U245" i="1"/>
  <c r="V245" i="1"/>
  <c r="S246" i="1"/>
  <c r="T246" i="1"/>
  <c r="U246" i="1"/>
  <c r="V246" i="1"/>
  <c r="W246" i="1"/>
  <c r="S247" i="1"/>
  <c r="T247" i="1"/>
  <c r="W247" i="1" s="1"/>
  <c r="U247" i="1"/>
  <c r="V247" i="1"/>
  <c r="S248" i="1"/>
  <c r="T248" i="1"/>
  <c r="U248" i="1"/>
  <c r="V248" i="1"/>
  <c r="W248" i="1"/>
  <c r="S249" i="1"/>
  <c r="T249" i="1"/>
  <c r="W249" i="1" s="1"/>
  <c r="U249" i="1"/>
  <c r="V249" i="1"/>
  <c r="S250" i="1"/>
  <c r="T250" i="1"/>
  <c r="U250" i="1"/>
  <c r="V250" i="1"/>
  <c r="W250" i="1"/>
  <c r="S251" i="1"/>
  <c r="T251" i="1"/>
  <c r="W251" i="1" s="1"/>
  <c r="U251" i="1"/>
  <c r="V251" i="1"/>
  <c r="S252" i="1"/>
  <c r="T252" i="1"/>
  <c r="U252" i="1"/>
  <c r="V252" i="1"/>
  <c r="W252" i="1"/>
  <c r="S253" i="1"/>
  <c r="T253" i="1"/>
  <c r="W253" i="1" s="1"/>
  <c r="U253" i="1"/>
  <c r="V253" i="1"/>
  <c r="S254" i="1"/>
  <c r="T254" i="1"/>
  <c r="U254" i="1"/>
  <c r="V254" i="1"/>
  <c r="W254" i="1"/>
  <c r="S255" i="1"/>
  <c r="T255" i="1"/>
  <c r="W255" i="1" s="1"/>
  <c r="U255" i="1"/>
  <c r="V255" i="1"/>
  <c r="S256" i="1"/>
  <c r="T256" i="1"/>
  <c r="U256" i="1"/>
  <c r="V256" i="1"/>
  <c r="W256" i="1"/>
  <c r="S257" i="1"/>
  <c r="T257" i="1"/>
  <c r="W257" i="1" s="1"/>
  <c r="U257" i="1"/>
  <c r="V257" i="1"/>
  <c r="S258" i="1"/>
  <c r="T258" i="1"/>
  <c r="U258" i="1"/>
  <c r="V258" i="1"/>
  <c r="W258" i="1"/>
  <c r="S259" i="1"/>
  <c r="T259" i="1"/>
  <c r="W259" i="1" s="1"/>
  <c r="U259" i="1"/>
  <c r="V259" i="1"/>
  <c r="S260" i="1"/>
  <c r="T260" i="1"/>
  <c r="U260" i="1"/>
  <c r="V260" i="1"/>
  <c r="W260" i="1"/>
  <c r="S261" i="1"/>
  <c r="T261" i="1"/>
  <c r="W261" i="1" s="1"/>
  <c r="U261" i="1"/>
  <c r="V261" i="1"/>
  <c r="S262" i="1"/>
  <c r="T262" i="1"/>
  <c r="U262" i="1"/>
  <c r="V262" i="1"/>
  <c r="W262" i="1"/>
  <c r="S263" i="1"/>
  <c r="T263" i="1"/>
  <c r="W263" i="1" s="1"/>
  <c r="U263" i="1"/>
  <c r="V263" i="1"/>
  <c r="S264" i="1"/>
  <c r="T264" i="1"/>
  <c r="U264" i="1"/>
  <c r="V264" i="1"/>
  <c r="W264" i="1"/>
  <c r="S265" i="1"/>
  <c r="T265" i="1"/>
  <c r="W265" i="1" s="1"/>
  <c r="U265" i="1"/>
  <c r="V265" i="1"/>
  <c r="S266" i="1"/>
  <c r="T266" i="1"/>
  <c r="U266" i="1"/>
  <c r="V266" i="1"/>
  <c r="W266" i="1"/>
  <c r="S267" i="1"/>
  <c r="T267" i="1"/>
  <c r="W267" i="1" s="1"/>
  <c r="U267" i="1"/>
  <c r="V267" i="1"/>
  <c r="S268" i="1"/>
  <c r="T268" i="1"/>
  <c r="U268" i="1"/>
  <c r="V268" i="1"/>
  <c r="W268" i="1"/>
  <c r="S269" i="1"/>
  <c r="T269" i="1"/>
  <c r="W269" i="1" s="1"/>
  <c r="U269" i="1"/>
  <c r="V269" i="1"/>
  <c r="S270" i="1"/>
  <c r="T270" i="1"/>
  <c r="U270" i="1"/>
  <c r="V270" i="1"/>
  <c r="W270" i="1"/>
  <c r="S271" i="1"/>
  <c r="T271" i="1"/>
  <c r="W271" i="1" s="1"/>
  <c r="U271" i="1"/>
  <c r="V271" i="1"/>
  <c r="S272" i="1"/>
  <c r="T272" i="1"/>
  <c r="U272" i="1"/>
  <c r="V272" i="1"/>
  <c r="W272" i="1"/>
  <c r="S273" i="1"/>
  <c r="T273" i="1"/>
  <c r="W273" i="1" s="1"/>
  <c r="U273" i="1"/>
  <c r="V273" i="1"/>
  <c r="S274" i="1"/>
  <c r="T274" i="1"/>
  <c r="U274" i="1"/>
  <c r="V274" i="1"/>
  <c r="W274" i="1"/>
  <c r="S275" i="1"/>
  <c r="T275" i="1"/>
  <c r="W275" i="1" s="1"/>
  <c r="U275" i="1"/>
  <c r="V275" i="1"/>
  <c r="S276" i="1"/>
  <c r="T276" i="1"/>
  <c r="U276" i="1"/>
  <c r="V276" i="1"/>
  <c r="W276" i="1"/>
  <c r="S277" i="1"/>
  <c r="T277" i="1"/>
  <c r="W277" i="1" s="1"/>
  <c r="U277" i="1"/>
  <c r="V277" i="1"/>
  <c r="S278" i="1"/>
  <c r="T278" i="1"/>
  <c r="U278" i="1"/>
  <c r="V278" i="1"/>
  <c r="W278" i="1"/>
  <c r="S279" i="1"/>
  <c r="T279" i="1"/>
  <c r="W279" i="1" s="1"/>
  <c r="U279" i="1"/>
  <c r="V279" i="1"/>
  <c r="S280" i="1"/>
  <c r="T280" i="1"/>
  <c r="U280" i="1"/>
  <c r="V280" i="1"/>
  <c r="W280" i="1"/>
  <c r="S281" i="1"/>
  <c r="T281" i="1"/>
  <c r="W281" i="1" s="1"/>
  <c r="U281" i="1"/>
  <c r="V281" i="1"/>
  <c r="S282" i="1"/>
  <c r="T282" i="1"/>
  <c r="U282" i="1"/>
  <c r="V282" i="1"/>
  <c r="W282" i="1"/>
  <c r="S283" i="1"/>
  <c r="T283" i="1"/>
  <c r="W283" i="1" s="1"/>
  <c r="U283" i="1"/>
  <c r="V283" i="1"/>
  <c r="S284" i="1"/>
  <c r="T284" i="1"/>
  <c r="U284" i="1"/>
  <c r="V284" i="1"/>
  <c r="W284" i="1"/>
  <c r="S285" i="1"/>
  <c r="T285" i="1"/>
  <c r="W285" i="1" s="1"/>
  <c r="U285" i="1"/>
  <c r="V285" i="1"/>
  <c r="S286" i="1"/>
  <c r="T286" i="1"/>
  <c r="U286" i="1"/>
  <c r="V286" i="1"/>
  <c r="W286" i="1"/>
  <c r="S287" i="1"/>
  <c r="T287" i="1"/>
  <c r="W287" i="1" s="1"/>
  <c r="U287" i="1"/>
  <c r="V287" i="1"/>
  <c r="S288" i="1"/>
  <c r="T288" i="1"/>
  <c r="U288" i="1"/>
  <c r="V288" i="1"/>
  <c r="W288" i="1"/>
  <c r="S289" i="1"/>
  <c r="T289" i="1"/>
  <c r="W289" i="1" s="1"/>
  <c r="U289" i="1"/>
  <c r="V289" i="1"/>
  <c r="S290" i="1"/>
  <c r="T290" i="1"/>
  <c r="U290" i="1"/>
  <c r="V290" i="1"/>
  <c r="W290" i="1"/>
  <c r="S291" i="1"/>
  <c r="T291" i="1"/>
  <c r="W291" i="1" s="1"/>
  <c r="U291" i="1"/>
  <c r="V291" i="1"/>
  <c r="S292" i="1"/>
  <c r="T292" i="1"/>
  <c r="U292" i="1"/>
  <c r="V292" i="1"/>
  <c r="W292" i="1"/>
  <c r="S293" i="1"/>
  <c r="T293" i="1"/>
  <c r="W293" i="1" s="1"/>
  <c r="U293" i="1"/>
  <c r="V293" i="1"/>
  <c r="S294" i="1"/>
  <c r="T294" i="1"/>
  <c r="U294" i="1"/>
  <c r="V294" i="1"/>
  <c r="W294" i="1"/>
  <c r="S295" i="1"/>
  <c r="T295" i="1"/>
  <c r="W295" i="1" s="1"/>
  <c r="U295" i="1"/>
  <c r="V295" i="1"/>
  <c r="S296" i="1"/>
  <c r="T296" i="1"/>
  <c r="U296" i="1"/>
  <c r="V296" i="1"/>
  <c r="W296" i="1"/>
  <c r="S297" i="1"/>
  <c r="T297" i="1"/>
  <c r="W297" i="1" s="1"/>
  <c r="U297" i="1"/>
  <c r="V297" i="1"/>
  <c r="V298" i="1"/>
  <c r="V16" i="1" s="1"/>
  <c r="S299" i="1"/>
  <c r="T299" i="1"/>
  <c r="W299" i="1" s="1"/>
  <c r="U299" i="1"/>
  <c r="V299" i="1"/>
  <c r="S300" i="1"/>
  <c r="T300" i="1"/>
  <c r="U300" i="1"/>
  <c r="V300" i="1"/>
  <c r="W300" i="1"/>
  <c r="S301" i="1"/>
  <c r="T301" i="1"/>
  <c r="W301" i="1" s="1"/>
  <c r="U301" i="1"/>
  <c r="V301" i="1"/>
  <c r="S302" i="1"/>
  <c r="T302" i="1"/>
  <c r="U302" i="1"/>
  <c r="V302" i="1"/>
  <c r="W302" i="1"/>
  <c r="S303" i="1"/>
  <c r="T303" i="1"/>
  <c r="W303" i="1" s="1"/>
  <c r="U303" i="1"/>
  <c r="V303" i="1"/>
  <c r="S304" i="1"/>
  <c r="T304" i="1"/>
  <c r="U304" i="1"/>
  <c r="V304" i="1"/>
  <c r="W304" i="1"/>
  <c r="S305" i="1"/>
  <c r="T305" i="1"/>
  <c r="W305" i="1" s="1"/>
  <c r="U305" i="1"/>
  <c r="V305" i="1"/>
  <c r="S306" i="1"/>
  <c r="T306" i="1"/>
  <c r="U306" i="1"/>
  <c r="V306" i="1"/>
  <c r="W306" i="1"/>
  <c r="S307" i="1"/>
  <c r="T307" i="1"/>
  <c r="W307" i="1" s="1"/>
  <c r="U307" i="1"/>
  <c r="V307" i="1"/>
  <c r="S308" i="1"/>
  <c r="T308" i="1"/>
  <c r="U308" i="1"/>
  <c r="V308" i="1"/>
  <c r="W308" i="1"/>
  <c r="S309" i="1"/>
  <c r="T309" i="1"/>
  <c r="W309" i="1" s="1"/>
  <c r="U309" i="1"/>
  <c r="V309" i="1"/>
  <c r="S310" i="1"/>
  <c r="T310" i="1"/>
  <c r="U310" i="1"/>
  <c r="V310" i="1"/>
  <c r="W310" i="1"/>
  <c r="S311" i="1"/>
  <c r="T311" i="1"/>
  <c r="W311" i="1" s="1"/>
  <c r="U311" i="1"/>
  <c r="V311" i="1"/>
  <c r="S312" i="1"/>
  <c r="T312" i="1"/>
  <c r="U312" i="1"/>
  <c r="V312" i="1"/>
  <c r="W312" i="1"/>
  <c r="S313" i="1"/>
  <c r="T313" i="1"/>
  <c r="W313" i="1" s="1"/>
  <c r="U313" i="1"/>
  <c r="V313" i="1"/>
  <c r="S314" i="1"/>
  <c r="T314" i="1"/>
  <c r="U314" i="1"/>
  <c r="V314" i="1"/>
  <c r="W314" i="1"/>
  <c r="S315" i="1"/>
  <c r="T315" i="1"/>
  <c r="W315" i="1" s="1"/>
  <c r="U315" i="1"/>
  <c r="V315" i="1"/>
  <c r="S316" i="1"/>
  <c r="T316" i="1"/>
  <c r="U316" i="1"/>
  <c r="V316" i="1"/>
  <c r="W316" i="1"/>
  <c r="S317" i="1"/>
  <c r="T317" i="1"/>
  <c r="W317" i="1" s="1"/>
  <c r="U317" i="1"/>
  <c r="V317" i="1"/>
  <c r="S318" i="1"/>
  <c r="T318" i="1"/>
  <c r="U318" i="1"/>
  <c r="V318" i="1"/>
  <c r="W318" i="1"/>
  <c r="V319" i="1"/>
  <c r="S320" i="1"/>
  <c r="T320" i="1"/>
  <c r="U320" i="1"/>
  <c r="V320" i="1"/>
  <c r="W320" i="1"/>
  <c r="S321" i="1"/>
  <c r="T321" i="1"/>
  <c r="W321" i="1" s="1"/>
  <c r="U321" i="1"/>
  <c r="V321" i="1"/>
  <c r="S322" i="1"/>
  <c r="T322" i="1"/>
  <c r="U322" i="1"/>
  <c r="V322" i="1"/>
  <c r="W322" i="1"/>
  <c r="S323" i="1"/>
  <c r="T323" i="1"/>
  <c r="W323" i="1" s="1"/>
  <c r="U323" i="1"/>
  <c r="V323" i="1"/>
  <c r="S324" i="1"/>
  <c r="T324" i="1"/>
  <c r="U324" i="1"/>
  <c r="V324" i="1"/>
  <c r="W324" i="1"/>
  <c r="S325" i="1"/>
  <c r="T325" i="1"/>
  <c r="W325" i="1" s="1"/>
  <c r="U325" i="1"/>
  <c r="V325" i="1"/>
  <c r="S326" i="1"/>
  <c r="T326" i="1"/>
  <c r="U326" i="1"/>
  <c r="V326" i="1"/>
  <c r="W326" i="1"/>
  <c r="S327" i="1"/>
  <c r="T327" i="1"/>
  <c r="W327" i="1" s="1"/>
  <c r="U327" i="1"/>
  <c r="V327" i="1"/>
  <c r="S328" i="1"/>
  <c r="T328" i="1"/>
  <c r="U328" i="1"/>
  <c r="V328" i="1"/>
  <c r="W328" i="1"/>
  <c r="S329" i="1"/>
  <c r="T329" i="1"/>
  <c r="W329" i="1" s="1"/>
  <c r="U329" i="1"/>
  <c r="V329" i="1"/>
  <c r="S330" i="1"/>
  <c r="T330" i="1"/>
  <c r="U330" i="1"/>
  <c r="V330" i="1"/>
  <c r="W330" i="1"/>
  <c r="S331" i="1"/>
  <c r="T331" i="1"/>
  <c r="W331" i="1" s="1"/>
  <c r="U331" i="1"/>
  <c r="V331" i="1"/>
  <c r="S332" i="1"/>
  <c r="T332" i="1"/>
  <c r="U332" i="1"/>
  <c r="V332" i="1"/>
  <c r="W332" i="1"/>
  <c r="S333" i="1"/>
  <c r="T333" i="1"/>
  <c r="W333" i="1" s="1"/>
  <c r="U333" i="1"/>
  <c r="V333" i="1"/>
  <c r="S334" i="1"/>
  <c r="T334" i="1"/>
  <c r="U334" i="1"/>
  <c r="V334" i="1"/>
  <c r="W334" i="1"/>
  <c r="S335" i="1"/>
  <c r="T335" i="1"/>
  <c r="W335" i="1" s="1"/>
  <c r="U335" i="1"/>
  <c r="V335" i="1"/>
  <c r="S336" i="1"/>
  <c r="T336" i="1"/>
  <c r="U336" i="1"/>
  <c r="V336" i="1"/>
  <c r="W336" i="1"/>
  <c r="S337" i="1"/>
  <c r="T337" i="1"/>
  <c r="W337" i="1" s="1"/>
  <c r="U337" i="1"/>
  <c r="V337" i="1"/>
  <c r="S338" i="1"/>
  <c r="T338" i="1"/>
  <c r="U338" i="1"/>
  <c r="V338" i="1"/>
  <c r="W338" i="1"/>
  <c r="S339" i="1"/>
  <c r="T339" i="1"/>
  <c r="W339" i="1" s="1"/>
  <c r="U339" i="1"/>
  <c r="V339" i="1"/>
  <c r="S340" i="1"/>
  <c r="T340" i="1"/>
  <c r="U340" i="1"/>
  <c r="V340" i="1"/>
  <c r="W340" i="1"/>
  <c r="V341" i="1"/>
  <c r="S342" i="1"/>
  <c r="T342" i="1"/>
  <c r="U342" i="1"/>
  <c r="V342" i="1"/>
  <c r="W342" i="1"/>
  <c r="S343" i="1"/>
  <c r="T343" i="1"/>
  <c r="W343" i="1" s="1"/>
  <c r="U343" i="1"/>
  <c r="V343" i="1"/>
  <c r="S344" i="1"/>
  <c r="T344" i="1"/>
  <c r="U344" i="1"/>
  <c r="V344" i="1"/>
  <c r="W344" i="1"/>
  <c r="S345" i="1"/>
  <c r="T345" i="1"/>
  <c r="W345" i="1" s="1"/>
  <c r="U345" i="1"/>
  <c r="V345" i="1"/>
  <c r="S346" i="1"/>
  <c r="T346" i="1"/>
  <c r="U346" i="1"/>
  <c r="V346" i="1"/>
  <c r="W346" i="1"/>
  <c r="S347" i="1"/>
  <c r="T347" i="1"/>
  <c r="W347" i="1" s="1"/>
  <c r="U347" i="1"/>
  <c r="V347" i="1"/>
  <c r="S348" i="1"/>
  <c r="T348" i="1"/>
  <c r="U348" i="1"/>
  <c r="V348" i="1"/>
  <c r="W348" i="1"/>
  <c r="S349" i="1"/>
  <c r="T349" i="1"/>
  <c r="W349" i="1" s="1"/>
  <c r="U349" i="1"/>
  <c r="V349" i="1"/>
  <c r="S350" i="1"/>
  <c r="T350" i="1"/>
  <c r="U350" i="1"/>
  <c r="V350" i="1"/>
  <c r="W350" i="1"/>
  <c r="S351" i="1"/>
  <c r="T351" i="1"/>
  <c r="W351" i="1" s="1"/>
  <c r="U351" i="1"/>
  <c r="V351" i="1"/>
  <c r="S352" i="1"/>
  <c r="T352" i="1"/>
  <c r="U352" i="1"/>
  <c r="V352" i="1"/>
  <c r="W352" i="1"/>
  <c r="S353" i="1"/>
  <c r="T353" i="1"/>
  <c r="W353" i="1" s="1"/>
  <c r="U353" i="1"/>
  <c r="V353" i="1"/>
  <c r="S354" i="1"/>
  <c r="T354" i="1"/>
  <c r="U354" i="1"/>
  <c r="V354" i="1"/>
  <c r="W354" i="1"/>
  <c r="W18" i="1"/>
  <c r="V18" i="1"/>
  <c r="U18" i="1"/>
  <c r="T18" i="1"/>
  <c r="S18" i="1"/>
  <c r="W186" i="1" l="1"/>
  <c r="W182" i="1"/>
  <c r="W178" i="1"/>
  <c r="W174" i="1"/>
  <c r="W170" i="1"/>
  <c r="W166" i="1"/>
  <c r="W162" i="1"/>
  <c r="W158" i="1"/>
  <c r="W188" i="1"/>
  <c r="W184" i="1"/>
  <c r="W180" i="1"/>
  <c r="W176" i="1"/>
  <c r="W172" i="1"/>
  <c r="W168" i="1"/>
  <c r="W164" i="1"/>
  <c r="W160" i="1"/>
  <c r="M4" i="1"/>
  <c r="N4" i="1" s="1"/>
  <c r="O4" i="1" s="1"/>
  <c r="P4" i="1" s="1"/>
  <c r="Q4" i="1" s="1"/>
  <c r="R4" i="1" s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18" i="1"/>
  <c r="N14" i="1"/>
  <c r="M16" i="1"/>
  <c r="E580" i="15" l="1"/>
  <c r="D580" i="15"/>
  <c r="C580" i="15"/>
  <c r="K16" i="1" l="1"/>
  <c r="E45" i="13"/>
  <c r="E50" i="13" s="1"/>
  <c r="P319" i="1" s="1"/>
  <c r="U319" i="1" s="1"/>
  <c r="D45" i="13"/>
  <c r="D50" i="13" s="1"/>
  <c r="E44" i="13"/>
  <c r="E49" i="13" s="1"/>
  <c r="O319" i="1" s="1"/>
  <c r="T319" i="1" s="1"/>
  <c r="D44" i="13"/>
  <c r="D49" i="13" s="1"/>
  <c r="E29" i="13"/>
  <c r="F29" i="13"/>
  <c r="D29" i="13"/>
  <c r="A15" i="13"/>
  <c r="G22" i="13"/>
  <c r="G11" i="13"/>
  <c r="O298" i="1" l="1"/>
  <c r="T298" i="1" s="1"/>
  <c r="P298" i="1"/>
  <c r="U298" i="1" s="1"/>
  <c r="F44" i="13"/>
  <c r="F49" i="13" s="1"/>
  <c r="O341" i="1" s="1"/>
  <c r="T341" i="1" s="1"/>
  <c r="F45" i="13"/>
  <c r="F50" i="13" s="1"/>
  <c r="P341" i="1" s="1"/>
  <c r="U341" i="1" s="1"/>
  <c r="G44" i="13"/>
  <c r="G45" i="13"/>
  <c r="G29" i="13"/>
  <c r="L24" i="14"/>
  <c r="O24" i="14" s="1"/>
  <c r="P24" i="14" s="1"/>
  <c r="R24" i="14" s="1"/>
  <c r="L23" i="14"/>
  <c r="O23" i="14" s="1"/>
  <c r="P23" i="14" s="1"/>
  <c r="R23" i="14" s="1"/>
  <c r="L22" i="14"/>
  <c r="O22" i="14" s="1"/>
  <c r="P22" i="14" s="1"/>
  <c r="R22" i="14" s="1"/>
  <c r="L21" i="14"/>
  <c r="O21" i="14" s="1"/>
  <c r="P21" i="14" s="1"/>
  <c r="R21" i="14" s="1"/>
  <c r="L20" i="14"/>
  <c r="O20" i="14" s="1"/>
  <c r="P20" i="14" s="1"/>
  <c r="R20" i="14" s="1"/>
  <c r="L19" i="14"/>
  <c r="O19" i="14" s="1"/>
  <c r="P19" i="14" s="1"/>
  <c r="R19" i="14" s="1"/>
  <c r="L18" i="14"/>
  <c r="O18" i="14" s="1"/>
  <c r="P18" i="14" s="1"/>
  <c r="R18" i="14" s="1"/>
  <c r="L17" i="14"/>
  <c r="O17" i="14" s="1"/>
  <c r="P17" i="14" s="1"/>
  <c r="R17" i="14" s="1"/>
  <c r="L16" i="14"/>
  <c r="O16" i="14" s="1"/>
  <c r="P16" i="14" s="1"/>
  <c r="R16" i="14" s="1"/>
  <c r="L15" i="14"/>
  <c r="O15" i="14" s="1"/>
  <c r="P15" i="14" s="1"/>
  <c r="R15" i="14" s="1"/>
  <c r="L14" i="14"/>
  <c r="O14" i="14" s="1"/>
  <c r="P14" i="14" s="1"/>
  <c r="R14" i="14" s="1"/>
  <c r="P12" i="14"/>
  <c r="O12" i="14"/>
  <c r="L12" i="14"/>
  <c r="P11" i="14"/>
  <c r="O11" i="14"/>
  <c r="C13" i="9"/>
  <c r="N28" i="14"/>
  <c r="N26" i="14"/>
  <c r="G40" i="13"/>
  <c r="M28" i="14"/>
  <c r="M26" i="14"/>
  <c r="G39" i="13"/>
  <c r="G16" i="13"/>
  <c r="G17" i="13"/>
  <c r="G18" i="13"/>
  <c r="G19" i="13"/>
  <c r="G20" i="13"/>
  <c r="G21" i="13"/>
  <c r="G15" i="13"/>
  <c r="G8" i="13"/>
  <c r="C26" i="13"/>
  <c r="F10" i="12"/>
  <c r="E10" i="12"/>
  <c r="D10" i="12"/>
  <c r="F9" i="12"/>
  <c r="E9" i="12"/>
  <c r="D9" i="12"/>
  <c r="F8" i="12"/>
  <c r="E8" i="12"/>
  <c r="D8" i="12"/>
  <c r="F6" i="12"/>
  <c r="E6" i="12"/>
  <c r="D6" i="12"/>
  <c r="T16" i="1" l="1"/>
  <c r="G49" i="13"/>
  <c r="U16" i="1"/>
  <c r="G50" i="13"/>
  <c r="G26" i="13"/>
  <c r="E27" i="13"/>
  <c r="E30" i="13" s="1"/>
  <c r="D319" i="1" s="1"/>
  <c r="N319" i="1" s="1"/>
  <c r="S319" i="1" s="1"/>
  <c r="W319" i="1" s="1"/>
  <c r="D27" i="13"/>
  <c r="M27" i="14"/>
  <c r="N27" i="14"/>
  <c r="A16" i="13"/>
  <c r="A17" i="13" s="1"/>
  <c r="A18" i="13" s="1"/>
  <c r="A19" i="13" s="1"/>
  <c r="D45" i="11"/>
  <c r="E49" i="11" s="1"/>
  <c r="C45" i="11"/>
  <c r="E48" i="11" s="1"/>
  <c r="E42" i="11"/>
  <c r="E41" i="11"/>
  <c r="E40" i="11"/>
  <c r="E39" i="11"/>
  <c r="E38" i="11"/>
  <c r="E37" i="11"/>
  <c r="E36" i="11"/>
  <c r="E34" i="11"/>
  <c r="E33" i="11"/>
  <c r="E6" i="11"/>
  <c r="E5" i="11"/>
  <c r="A6" i="11"/>
  <c r="A8" i="11" s="1"/>
  <c r="E9" i="11"/>
  <c r="E10" i="11"/>
  <c r="E11" i="11"/>
  <c r="E12" i="11"/>
  <c r="E13" i="11"/>
  <c r="E14" i="11"/>
  <c r="E8" i="11"/>
  <c r="D17" i="11"/>
  <c r="E21" i="11" s="1"/>
  <c r="C17" i="11"/>
  <c r="E20" i="11" s="1"/>
  <c r="A20" i="13" l="1"/>
  <c r="A21" i="13" s="1"/>
  <c r="B26" i="13" s="1"/>
  <c r="E18" i="11"/>
  <c r="E24" i="11" s="1"/>
  <c r="P353" i="1"/>
  <c r="N30" i="14"/>
  <c r="E22" i="11"/>
  <c r="M30" i="14"/>
  <c r="O353" i="1"/>
  <c r="O354" i="1"/>
  <c r="M31" i="14"/>
  <c r="N31" i="14"/>
  <c r="P354" i="1"/>
  <c r="F27" i="13"/>
  <c r="F30" i="13" s="1"/>
  <c r="D341" i="1" s="1"/>
  <c r="N341" i="1" s="1"/>
  <c r="S341" i="1" s="1"/>
  <c r="W341" i="1" s="1"/>
  <c r="D30" i="13"/>
  <c r="D298" i="1" s="1"/>
  <c r="N298" i="1" s="1"/>
  <c r="S298" i="1" s="1"/>
  <c r="A22" i="13"/>
  <c r="E46" i="11"/>
  <c r="E52" i="11" s="1"/>
  <c r="E50" i="11"/>
  <c r="E54" i="11" s="1"/>
  <c r="A9" i="11"/>
  <c r="A10" i="11" s="1"/>
  <c r="A11" i="11" s="1"/>
  <c r="A12" i="11" s="1"/>
  <c r="A13" i="11" s="1"/>
  <c r="A14" i="11" s="1"/>
  <c r="B17" i="11" s="1"/>
  <c r="W298" i="1" l="1"/>
  <c r="W16" i="1" s="1"/>
  <c r="S16" i="1"/>
  <c r="K31" i="14"/>
  <c r="L31" i="14" s="1"/>
  <c r="O31" i="14" s="1"/>
  <c r="P31" i="14" s="1"/>
  <c r="E26" i="11"/>
  <c r="G27" i="13"/>
  <c r="G30" i="13"/>
  <c r="A26" i="13"/>
  <c r="B27" i="13" s="1"/>
  <c r="B29" i="13"/>
  <c r="A27" i="13"/>
  <c r="A15" i="11"/>
  <c r="I16" i="1"/>
  <c r="J16" i="1"/>
  <c r="O16" i="1"/>
  <c r="P16" i="1"/>
  <c r="R14" i="1"/>
  <c r="R13" i="1"/>
  <c r="Q13" i="1"/>
  <c r="Q14" i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18" i="1"/>
  <c r="R18" i="1" s="1"/>
  <c r="K30" i="14" l="1"/>
  <c r="L30" i="14" s="1"/>
  <c r="O30" i="14" s="1"/>
  <c r="P30" i="14" s="1"/>
  <c r="A29" i="13"/>
  <c r="A17" i="11"/>
  <c r="B18" i="11"/>
  <c r="C7" i="9"/>
  <c r="C8" i="9"/>
  <c r="C9" i="9"/>
  <c r="C10" i="9"/>
  <c r="C22" i="9" s="1"/>
  <c r="C11" i="9"/>
  <c r="C12" i="9"/>
  <c r="C6" i="9"/>
  <c r="A7" i="9"/>
  <c r="A8" i="9" s="1"/>
  <c r="A9" i="9" s="1"/>
  <c r="A10" i="9" s="1"/>
  <c r="A4" i="9"/>
  <c r="B4" i="1"/>
  <c r="C4" i="1" s="1"/>
  <c r="D4" i="1" s="1"/>
  <c r="E4" i="1" s="1"/>
  <c r="F4" i="1" s="1"/>
  <c r="G4" i="1" s="1"/>
  <c r="H4" i="1" s="1"/>
  <c r="I4" i="1" s="1"/>
  <c r="J4" i="1" s="1"/>
  <c r="L28" i="6"/>
  <c r="L29" i="6"/>
  <c r="L37" i="6"/>
  <c r="Q37" i="6" s="1"/>
  <c r="L38" i="6"/>
  <c r="L39" i="6"/>
  <c r="Q39" i="6" s="1"/>
  <c r="Q38" i="6"/>
  <c r="Q28" i="6"/>
  <c r="Q30" i="6" s="1"/>
  <c r="Q29" i="6"/>
  <c r="J37" i="6"/>
  <c r="J38" i="6"/>
  <c r="J39" i="6"/>
  <c r="K37" i="6"/>
  <c r="K38" i="6"/>
  <c r="P38" i="6" s="1"/>
  <c r="K39" i="6"/>
  <c r="I37" i="6"/>
  <c r="O37" i="6" s="1"/>
  <c r="I38" i="6"/>
  <c r="I39" i="6"/>
  <c r="O39" i="6" s="1"/>
  <c r="J28" i="6"/>
  <c r="J29" i="6"/>
  <c r="J30" i="6" s="1"/>
  <c r="K28" i="6"/>
  <c r="K29" i="6"/>
  <c r="P29" i="6" s="1"/>
  <c r="I28" i="6"/>
  <c r="O28" i="6" s="1"/>
  <c r="I29" i="6"/>
  <c r="I30" i="6" s="1"/>
  <c r="D40" i="6"/>
  <c r="D41" i="6" s="1"/>
  <c r="E40" i="6"/>
  <c r="E41" i="6" s="1"/>
  <c r="F40" i="6"/>
  <c r="F41" i="6" s="1"/>
  <c r="G40" i="6"/>
  <c r="G41" i="6" s="1"/>
  <c r="M40" i="6"/>
  <c r="M41" i="6" s="1"/>
  <c r="N40" i="6"/>
  <c r="N41" i="6" s="1"/>
  <c r="P39" i="6"/>
  <c r="O38" i="6"/>
  <c r="D30" i="6"/>
  <c r="D31" i="6" s="1"/>
  <c r="E30" i="6"/>
  <c r="E31" i="6" s="1"/>
  <c r="F30" i="6"/>
  <c r="F31" i="6" s="1"/>
  <c r="G30" i="6"/>
  <c r="G31" i="6" s="1"/>
  <c r="M30" i="6"/>
  <c r="M31" i="6" s="1"/>
  <c r="N30" i="6"/>
  <c r="N31" i="6" s="1"/>
  <c r="P28" i="6"/>
  <c r="O29" i="6"/>
  <c r="Q24" i="6"/>
  <c r="P24" i="6"/>
  <c r="O24" i="6"/>
  <c r="L24" i="6"/>
  <c r="K24" i="6"/>
  <c r="J24" i="6"/>
  <c r="I24" i="6"/>
  <c r="R23" i="6"/>
  <c r="Q23" i="6"/>
  <c r="P23" i="6"/>
  <c r="O23" i="6"/>
  <c r="R22" i="6"/>
  <c r="E16" i="1"/>
  <c r="D16" i="1"/>
  <c r="H16" i="1"/>
  <c r="G16" i="1"/>
  <c r="F16" i="1"/>
  <c r="K4" i="1" l="1"/>
  <c r="L4" i="1" s="1"/>
  <c r="L30" i="6"/>
  <c r="P30" i="6"/>
  <c r="B30" i="13"/>
  <c r="A30" i="13"/>
  <c r="A32" i="13" s="1"/>
  <c r="C14" i="9"/>
  <c r="C21" i="9" s="1"/>
  <c r="B21" i="11"/>
  <c r="A18" i="11"/>
  <c r="B20" i="11"/>
  <c r="Q354" i="1"/>
  <c r="R354" i="1" s="1"/>
  <c r="O40" i="6"/>
  <c r="O30" i="6"/>
  <c r="K30" i="6"/>
  <c r="Q40" i="6"/>
  <c r="L40" i="6"/>
  <c r="L41" i="6"/>
  <c r="Q41" i="6" s="1"/>
  <c r="L31" i="6"/>
  <c r="Q31" i="6" s="1"/>
  <c r="R31" i="6" s="1"/>
  <c r="K31" i="6"/>
  <c r="P31" i="6" s="1"/>
  <c r="P32" i="6" s="1"/>
  <c r="J31" i="6"/>
  <c r="K41" i="6"/>
  <c r="P41" i="6" s="1"/>
  <c r="J41" i="6"/>
  <c r="K40" i="6"/>
  <c r="P37" i="6"/>
  <c r="P40" i="6" s="1"/>
  <c r="A11" i="9"/>
  <c r="A12" i="9" s="1"/>
  <c r="A13" i="9" s="1"/>
  <c r="A14" i="9" s="1"/>
  <c r="A16" i="9" s="1"/>
  <c r="B22" i="9"/>
  <c r="I40" i="6"/>
  <c r="J40" i="6"/>
  <c r="I31" i="6"/>
  <c r="O31" i="6" s="1"/>
  <c r="Q32" i="6"/>
  <c r="I41" i="6"/>
  <c r="O41" i="6" s="1"/>
  <c r="O42" i="6" s="1"/>
  <c r="A33" i="13" l="1"/>
  <c r="A39" i="13" s="1"/>
  <c r="A40" i="13" s="1"/>
  <c r="B33" i="13"/>
  <c r="O32" i="6"/>
  <c r="B14" i="9"/>
  <c r="Q353" i="1"/>
  <c r="B24" i="11"/>
  <c r="A20" i="11"/>
  <c r="R41" i="6"/>
  <c r="Q42" i="6"/>
  <c r="P42" i="6"/>
  <c r="A44" i="13" l="1"/>
  <c r="R353" i="1"/>
  <c r="A21" i="11"/>
  <c r="A22" i="11" s="1"/>
  <c r="B22" i="11"/>
  <c r="A17" i="9"/>
  <c r="A19" i="9" s="1"/>
  <c r="B20" i="9"/>
  <c r="A45" i="13" l="1"/>
  <c r="B49" i="13"/>
  <c r="A24" i="11"/>
  <c r="A26" i="11" s="1"/>
  <c r="A33" i="11" s="1"/>
  <c r="A34" i="11" s="1"/>
  <c r="A36" i="11" s="1"/>
  <c r="B19" i="9"/>
  <c r="A37" i="11" l="1"/>
  <c r="A38" i="11" s="1"/>
  <c r="A39" i="11" s="1"/>
  <c r="A40" i="11" s="1"/>
  <c r="A41" i="11" s="1"/>
  <c r="A42" i="11" s="1"/>
  <c r="A43" i="11" s="1"/>
  <c r="A45" i="11" s="1"/>
  <c r="B45" i="11"/>
  <c r="A49" i="13"/>
  <c r="A50" i="13" s="1"/>
  <c r="B50" i="13"/>
  <c r="B26" i="11"/>
  <c r="B21" i="9"/>
  <c r="B48" i="11" l="1"/>
  <c r="B49" i="11"/>
  <c r="A46" i="11"/>
  <c r="B46" i="11"/>
  <c r="A20" i="9"/>
  <c r="A21" i="9" s="1"/>
  <c r="A22" i="9" s="1"/>
  <c r="A24" i="9" s="1"/>
  <c r="A48" i="11" l="1"/>
  <c r="B52" i="11"/>
  <c r="B24" i="9"/>
  <c r="Q341" i="1"/>
  <c r="R341" i="1" s="1"/>
  <c r="K28" i="14"/>
  <c r="L28" i="14" s="1"/>
  <c r="O28" i="14" s="1"/>
  <c r="P28" i="14" s="1"/>
  <c r="R28" i="14" s="1"/>
  <c r="K26" i="14"/>
  <c r="L26" i="14" s="1"/>
  <c r="O26" i="14" s="1"/>
  <c r="P26" i="14" s="1"/>
  <c r="R26" i="14" s="1"/>
  <c r="L16" i="1"/>
  <c r="K27" i="14"/>
  <c r="L27" i="14" s="1"/>
  <c r="O27" i="14" s="1"/>
  <c r="P27" i="14" s="1"/>
  <c r="R27" i="14" s="1"/>
  <c r="C16" i="9" l="1"/>
  <c r="C20" i="9" s="1"/>
  <c r="C17" i="9"/>
  <c r="C19" i="9" s="1"/>
  <c r="A49" i="11"/>
  <c r="A50" i="11" s="1"/>
  <c r="Q319" i="1"/>
  <c r="R319" i="1" s="1"/>
  <c r="Q298" i="1"/>
  <c r="C24" i="9" l="1"/>
  <c r="A52" i="11"/>
  <c r="A54" i="11" s="1"/>
  <c r="B50" i="11"/>
  <c r="Q16" i="1"/>
  <c r="R298" i="1"/>
  <c r="N16" i="1"/>
  <c r="B54" i="11" l="1"/>
  <c r="R16" i="1"/>
</calcChain>
</file>

<file path=xl/sharedStrings.xml><?xml version="1.0" encoding="utf-8"?>
<sst xmlns="http://schemas.openxmlformats.org/spreadsheetml/2006/main" count="2099" uniqueCount="1657">
  <si>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</si>
  <si>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</si>
  <si>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</si>
  <si>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</si>
  <si>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</si>
  <si>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</si>
  <si>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</si>
  <si>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</si>
  <si>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</si>
  <si>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</si>
  <si>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</si>
  <si>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</si>
  <si>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</si>
  <si>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</si>
  <si>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</si>
  <si>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</si>
  <si>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</si>
  <si>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</si>
  <si>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</t>
  </si>
  <si>
    <t>FOLEY</t>
  </si>
  <si>
    <t>ORTONVILLE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</si>
  <si>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</si>
  <si>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</si>
  <si>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</si>
  <si>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</si>
  <si>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</si>
  <si>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</si>
  <si>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</si>
  <si>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</si>
  <si>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</si>
  <si>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MOOSE LAKE</t>
  </si>
  <si>
    <t>ESKO</t>
  </si>
  <si>
    <t>WRENSHALL</t>
  </si>
  <si>
    <t>NORWOOD</t>
  </si>
  <si>
    <t>WACONIA</t>
  </si>
  <si>
    <t>WATERTOWN-MAYER</t>
  </si>
  <si>
    <t>CHASKA</t>
  </si>
  <si>
    <t>PILLAGER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</si>
  <si>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</si>
  <si>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</si>
  <si>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</si>
  <si>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</si>
  <si>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</si>
  <si>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</si>
  <si>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</si>
  <si>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</si>
  <si>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</si>
  <si>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</si>
  <si>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</si>
  <si>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PEQUOT LAKES</t>
  </si>
  <si>
    <t>BURNSVILLE</t>
  </si>
  <si>
    <t>FARMINGTON</t>
  </si>
  <si>
    <t>LAKEVILLE</t>
  </si>
  <si>
    <t>RANDOLPH</t>
  </si>
  <si>
    <t>INVER GROVE</t>
  </si>
  <si>
    <t>HASTINGS</t>
  </si>
  <si>
    <t>HAYFIELD</t>
  </si>
  <si>
    <t>ALEXANDRIA</t>
  </si>
  <si>
    <t>BRANDON</t>
  </si>
  <si>
    <t>EVANSVILLE</t>
  </si>
  <si>
    <t>OSAKIS</t>
  </si>
  <si>
    <t>CHATFIELD</t>
  </si>
  <si>
    <t>LANESBORO</t>
  </si>
  <si>
    <t>MABEL-CANTON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</si>
  <si>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</si>
  <si>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</si>
  <si>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</si>
  <si>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</si>
  <si>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</si>
  <si>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</si>
  <si>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</si>
  <si>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</si>
  <si>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</si>
  <si>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</si>
  <si>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</si>
  <si>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</si>
  <si>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</si>
  <si>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</si>
  <si>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</si>
  <si>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</si>
  <si>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</si>
  <si>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</si>
  <si>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LOUIS PARK</t>
  </si>
  <si>
    <t>WAYZATA</t>
  </si>
  <si>
    <t>BROOKLYN CENTER</t>
  </si>
  <si>
    <t>HOUSTON</t>
  </si>
  <si>
    <t>SPRING GROVE</t>
  </si>
  <si>
    <t>CALEDONIA</t>
  </si>
  <si>
    <t>LAPORTE</t>
  </si>
  <si>
    <t>NEVIS</t>
  </si>
  <si>
    <t>PARK RAPIDS</t>
  </si>
  <si>
    <t>BRAHAM</t>
  </si>
  <si>
    <t>GREENWAY</t>
  </si>
  <si>
    <t>DEER RIVER</t>
  </si>
  <si>
    <t>GRAND RAPIDS</t>
  </si>
  <si>
    <t>FRANCONIA</t>
  </si>
  <si>
    <t>MORA</t>
  </si>
  <si>
    <t>OGILVIE</t>
  </si>
  <si>
    <t>WILLMAR</t>
  </si>
  <si>
    <t>LANCASTER</t>
  </si>
  <si>
    <t>BELLINGHAM</t>
  </si>
  <si>
    <t>LAKE SUPERIOR</t>
  </si>
  <si>
    <t>CLEVELAND</t>
  </si>
  <si>
    <t>LECENTER</t>
  </si>
  <si>
    <t>HENDRICKS</t>
  </si>
  <si>
    <t>IVANHOE</t>
  </si>
  <si>
    <t>LAKE BENTON</t>
  </si>
  <si>
    <t>TYLER</t>
  </si>
  <si>
    <t>BALATON</t>
  </si>
  <si>
    <t>MARSHALL</t>
  </si>
  <si>
    <t>MINNEOTA</t>
  </si>
  <si>
    <t>LYND</t>
  </si>
  <si>
    <t>TRACY</t>
  </si>
  <si>
    <t>RUSSELL</t>
  </si>
  <si>
    <t>HUTCHINSON</t>
  </si>
  <si>
    <t>LESTER PRAIRIE</t>
  </si>
  <si>
    <t>MAHNOMEN</t>
  </si>
  <si>
    <t>WAUBUN</t>
  </si>
  <si>
    <t>GRYGLA</t>
  </si>
  <si>
    <t>TRUMAN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</si>
  <si>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</si>
  <si>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</si>
  <si>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</si>
  <si>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</si>
  <si>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</si>
  <si>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</si>
  <si>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</si>
  <si>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</si>
  <si>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</si>
  <si>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</si>
  <si>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</si>
  <si>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</si>
  <si>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</si>
  <si>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</t>
  </si>
  <si>
    <t>SOUTHLAND</t>
  </si>
  <si>
    <t>FULDA</t>
  </si>
  <si>
    <t>NICOLLET</t>
  </si>
  <si>
    <t>ST. PETER</t>
  </si>
  <si>
    <t>ADRIAN</t>
  </si>
  <si>
    <t>BREWSTER</t>
  </si>
  <si>
    <t>ELLSWORTH</t>
  </si>
  <si>
    <t>ROUND LAKE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</si>
  <si>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</si>
  <si>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</si>
  <si>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</si>
  <si>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</si>
  <si>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</si>
  <si>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</si>
  <si>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</si>
  <si>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</si>
  <si>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</si>
  <si>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</si>
  <si>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</si>
  <si>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</si>
  <si>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</si>
  <si>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</si>
  <si>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WILLOW RIVER</t>
  </si>
  <si>
    <t>PINE CITY</t>
  </si>
  <si>
    <t>EDGERTON</t>
  </si>
  <si>
    <t>RUTHTON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</si>
  <si>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</si>
  <si>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</si>
  <si>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</si>
  <si>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</si>
  <si>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</si>
  <si>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</si>
  <si>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</si>
  <si>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</t>
  </si>
  <si>
    <t>ROSEVILLE</t>
  </si>
  <si>
    <t>WHITE BEAR LAKE</t>
  </si>
  <si>
    <t>ST. PAUL</t>
  </si>
  <si>
    <t>OKLEE</t>
  </si>
  <si>
    <t>PLUMMER</t>
  </si>
  <si>
    <t>RED LAKE FALLS</t>
  </si>
  <si>
    <t>MILROY</t>
  </si>
  <si>
    <t>WABASSO</t>
  </si>
  <si>
    <t>FARIBAULT</t>
  </si>
  <si>
    <t>NORTHFIELD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</si>
  <si>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</si>
  <si>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</si>
  <si>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</si>
  <si>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</si>
  <si>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</si>
  <si>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</si>
  <si>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</si>
  <si>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</si>
  <si>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</si>
  <si>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</si>
  <si>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</si>
  <si>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</si>
  <si>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BELLE PLAINE</t>
  </si>
  <si>
    <t>JORDAN</t>
  </si>
  <si>
    <t>PRIOR LAKE</t>
  </si>
  <si>
    <t>SHAKOPEE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</si>
  <si>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</si>
  <si>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</si>
  <si>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</si>
  <si>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</si>
  <si>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</si>
  <si>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</si>
  <si>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</si>
  <si>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</si>
  <si>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</si>
  <si>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</si>
  <si>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</t>
  </si>
  <si>
    <t>BLOOMING PRAIRIE</t>
  </si>
  <si>
    <t>OWATONNA</t>
  </si>
  <si>
    <t>MEDFORD</t>
  </si>
  <si>
    <t>HANCOCK</t>
  </si>
  <si>
    <t>MORRIS</t>
  </si>
  <si>
    <t>CHOKIO-ALBERTA</t>
  </si>
  <si>
    <t>BENSON</t>
  </si>
  <si>
    <t>BERTHA-HEWITT</t>
  </si>
  <si>
    <t>BROWERVILLE</t>
  </si>
  <si>
    <t>BROWNS VALLEY</t>
  </si>
  <si>
    <t>ELGIN-MILLVILLE</t>
  </si>
  <si>
    <t>PLAINVIEW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</si>
  <si>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</si>
  <si>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</si>
  <si>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</si>
  <si>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</si>
  <si>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</si>
  <si>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</si>
  <si>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</si>
  <si>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</si>
  <si>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STILLWATER</t>
  </si>
  <si>
    <t>BUTTERFIELD</t>
  </si>
  <si>
    <t>MADELIA</t>
  </si>
  <si>
    <t>ST. JAMES</t>
  </si>
  <si>
    <t>BRECKENRIDGE</t>
  </si>
  <si>
    <t>ROTHSAY</t>
  </si>
  <si>
    <t>CAMPBELL-TINTAH</t>
  </si>
  <si>
    <t>ST. CHARLES</t>
  </si>
  <si>
    <t>ANNANDALE</t>
  </si>
  <si>
    <t>BUFFALO</t>
  </si>
  <si>
    <t>DELANO</t>
  </si>
  <si>
    <t>MAPLE LAKE</t>
  </si>
  <si>
    <t>MONTICELLO</t>
  </si>
  <si>
    <t>ROCKFORD</t>
  </si>
  <si>
    <t>CANBY</t>
  </si>
  <si>
    <t>CAMBRIDGE-ISANTI</t>
  </si>
  <si>
    <t>MILACA</t>
  </si>
  <si>
    <t>ULEN-HITTERDAL</t>
  </si>
  <si>
    <t>TRITON</t>
  </si>
  <si>
    <t>UNITED SOUTH CENTRAL</t>
  </si>
  <si>
    <t>MAPLE RIVER</t>
  </si>
  <si>
    <t>KINGSLAND</t>
  </si>
  <si>
    <t>ST. LOUIS COUNTY</t>
  </si>
  <si>
    <t>WATERVILLE-ELYSIAN-MORRISTOWN</t>
  </si>
  <si>
    <t>MINNEWASKA</t>
  </si>
  <si>
    <t>EVELETH-GILBERT</t>
  </si>
  <si>
    <t>WADENA-DEER CREEK</t>
  </si>
  <si>
    <t>BUFFALO LAKE-HECTOR</t>
  </si>
  <si>
    <t>LAKEVIEW</t>
  </si>
  <si>
    <t>STAPLES-MOTLEY</t>
  </si>
  <si>
    <t>KITTSON CENTRAL</t>
  </si>
  <si>
    <t>KENYON-WANAMINGO</t>
  </si>
  <si>
    <t>LUVERNE</t>
  </si>
  <si>
    <t>YELLOW MEDICINE EAST</t>
  </si>
  <si>
    <t>NORMAN COUNTY EAST</t>
  </si>
  <si>
    <t>SIBLEY EAST</t>
  </si>
  <si>
    <t>CLEARBROOK-GONVICK</t>
  </si>
  <si>
    <t>WEST CENTRAL AREA</t>
  </si>
  <si>
    <t>G.F.W.</t>
  </si>
  <si>
    <t>A.C.G.C.</t>
  </si>
  <si>
    <t>WIN-E-MAC</t>
  </si>
  <si>
    <t>HOWARD LAKE-WAVERLY-WINSTED</t>
  </si>
  <si>
    <t>MESABI EAST</t>
  </si>
  <si>
    <t>FAIRMONT AREA SCHOOLS</t>
  </si>
  <si>
    <t>CEDAR MOUNTAIN</t>
  </si>
  <si>
    <t>ZUMBROTA-MAZEPPA</t>
  </si>
  <si>
    <t>ADA-BORUP</t>
  </si>
  <si>
    <t>GLENCOE-SILVER LAKE</t>
  </si>
  <si>
    <t>RED ROCK CENTRAL</t>
  </si>
  <si>
    <t>GLENVILLE-EMMONS</t>
  </si>
  <si>
    <t>CLINTON-GRACEVILLE-BEARDSLEY</t>
  </si>
  <si>
    <t>JACKSON COUNTY CENTRAL</t>
  </si>
  <si>
    <t>FY 1997</t>
  </si>
  <si>
    <t>FY 2004</t>
  </si>
  <si>
    <t>TRA</t>
  </si>
  <si>
    <t>SALARIES</t>
  </si>
  <si>
    <t>BASIC</t>
  </si>
  <si>
    <t>+COORD</t>
  </si>
  <si>
    <t>ACTUAL</t>
  </si>
  <si>
    <t>A</t>
  </si>
  <si>
    <t>B</t>
  </si>
  <si>
    <t>C</t>
  </si>
  <si>
    <t>D</t>
  </si>
  <si>
    <t>E</t>
  </si>
  <si>
    <t>F</t>
  </si>
  <si>
    <t>G</t>
  </si>
  <si>
    <t>H</t>
  </si>
  <si>
    <t>FY 2005</t>
  </si>
  <si>
    <t>FY 2006</t>
  </si>
  <si>
    <t>FY 2007</t>
  </si>
  <si>
    <t>FY 2008</t>
  </si>
  <si>
    <t>PENSION</t>
  </si>
  <si>
    <t>OLD LAW</t>
  </si>
  <si>
    <t xml:space="preserve">(Karen.Williamson@state.mn.us or 651-296-4539) ON JULY 25, 2006 </t>
  </si>
  <si>
    <t>Bob -</t>
  </si>
  <si>
    <t>Attached is an Excel spreadsheet for the school districts' salary totals for the 2004-05 school</t>
  </si>
  <si>
    <t>year.  We are providing two lists: one by paid, which means the salary amount that was actually</t>
  </si>
  <si>
    <t>paid to our members in those school districts during the time period of July 1, 2004 through</t>
  </si>
  <si>
    <t>June 30, 2005 and the second by 'earned,' which means the salary that was earned by the</t>
  </si>
  <si>
    <t>teachers during the time period July 1, 2004 through June 30, 2005, salary could have been paid</t>
  </si>
  <si>
    <t>during July, August and early September, 2005 for the prior school year.</t>
  </si>
  <si>
    <t>The salary totals reported for 1996-97 and for 2003-04 were on a 'paid' basis.  When the salary</t>
  </si>
  <si>
    <t>totals are available for the 2005-06 school year, we will forward information to you.  If you wish just</t>
  </si>
  <si>
    <t>the paid total salary amounts, please advise. These amounts will be available much sooner than the</t>
  </si>
  <si>
    <t>earned salary totals; we are anticipating around mid-August.</t>
  </si>
  <si>
    <t>Please note also that the teachers and salary reported by the school districts to our</t>
  </si>
  <si>
    <t>Association are defined by Minnesota Statute in section 354.05.  There may be payments that are</t>
  </si>
  <si>
    <t>made that are not TRA eligible for pension purposes.</t>
  </si>
  <si>
    <t>If you have any questions, please contact me.</t>
  </si>
  <si>
    <t>Karen -</t>
  </si>
  <si>
    <t>Karen Williamson</t>
  </si>
  <si>
    <t>Assistant Executive Director, Operations</t>
  </si>
  <si>
    <t>Minnesota Teachers Retirement Association</t>
  </si>
  <si>
    <t>60 Empire Drive, Suite 400</t>
  </si>
  <si>
    <t>St Paul, MN 55103</t>
  </si>
  <si>
    <t>Phone 651.296.4539</t>
  </si>
  <si>
    <t>SENT BY KAREN WILLIAMSON OF TRA</t>
  </si>
  <si>
    <t>Karen.Williamson@state.mn.us</t>
  </si>
  <si>
    <t>I</t>
  </si>
  <si>
    <t>J</t>
  </si>
  <si>
    <t>K</t>
  </si>
  <si>
    <t>L</t>
  </si>
  <si>
    <t>M</t>
  </si>
  <si>
    <t>N</t>
  </si>
  <si>
    <t>O</t>
  </si>
  <si>
    <t>REDUCT</t>
  </si>
  <si>
    <t>= .0234</t>
  </si>
  <si>
    <t>= MIN OF</t>
  </si>
  <si>
    <t>PERA</t>
  </si>
  <si>
    <t>ADJUST</t>
  </si>
  <si>
    <t>TOTAL, TYPES 1,2,3</t>
  </si>
  <si>
    <t>CROMWELL</t>
  </si>
  <si>
    <t>WALKER-AKELEY</t>
  </si>
  <si>
    <t>CASS LAKE</t>
  </si>
  <si>
    <t>REMER</t>
  </si>
  <si>
    <t>CROSBY</t>
  </si>
  <si>
    <t>ROSEMOUNT-APPLE</t>
  </si>
  <si>
    <t>WEST ST. PAUL</t>
  </si>
  <si>
    <t>KASSON-MANTORVIL</t>
  </si>
  <si>
    <t>RUSHFORD-PETERSO</t>
  </si>
  <si>
    <t>ST. ANTHONY-NEW</t>
  </si>
  <si>
    <t>LACRESCENT</t>
  </si>
  <si>
    <t>NASHWAUK-KEEWATI</t>
  </si>
  <si>
    <t>HERON LAKE-OKABE</t>
  </si>
  <si>
    <t>NEW LONDON-SPICE</t>
  </si>
  <si>
    <t>INTERNATIONAL FA</t>
  </si>
  <si>
    <t>LITTLEFORK-BIG F</t>
  </si>
  <si>
    <t>SOUTH KOOCHICHIN</t>
  </si>
  <si>
    <t>DAWSON</t>
  </si>
  <si>
    <t>LAKE OF THE WOOD</t>
  </si>
  <si>
    <t>MONTGOMERY</t>
  </si>
  <si>
    <t>NEWFOLDEN</t>
  </si>
  <si>
    <t>EDEN VALLEY</t>
  </si>
  <si>
    <t>THIEF RIVER FALL</t>
  </si>
  <si>
    <t>NORTH ST. PAUL-M</t>
  </si>
  <si>
    <t>HILLS-BEAVER CRE</t>
  </si>
  <si>
    <t>MOUNTAIN IRON-BU</t>
  </si>
  <si>
    <t>NEW PRAGUE</t>
  </si>
  <si>
    <t>COLD SPRING</t>
  </si>
  <si>
    <t>KERKHOVEN-MURDOC</t>
  </si>
  <si>
    <t>WHEATON</t>
  </si>
  <si>
    <t>WABASHA</t>
  </si>
  <si>
    <t>SOUTH WASHINGTON</t>
  </si>
  <si>
    <t>LEWISTON</t>
  </si>
  <si>
    <t>WINONA</t>
  </si>
  <si>
    <t>ST. MICHAEL-ALBE</t>
  </si>
  <si>
    <t>LAKE CRYSTAL-WEL</t>
  </si>
  <si>
    <t>CHISAGO LAKES AREA</t>
  </si>
  <si>
    <t>DILWORTH-GLYNDON</t>
  </si>
  <si>
    <t>HINCKLEY-FINLAYS</t>
  </si>
  <si>
    <t>NRHEG</t>
  </si>
  <si>
    <t>MURRAY COUNTY</t>
  </si>
  <si>
    <t>PINE RIVER-BACKU</t>
  </si>
  <si>
    <t>WARREN-ALVARADO-</t>
  </si>
  <si>
    <t>MACCRAY</t>
  </si>
  <si>
    <t>FILMORE CENTRAL</t>
  </si>
  <si>
    <t>KARLSTAD-STRANDQ</t>
  </si>
  <si>
    <t>BELGRADE-BROOTEN-ELR</t>
  </si>
  <si>
    <t>LESUEUR-HENDERSO</t>
  </si>
  <si>
    <t>MARTIN COUNTY</t>
  </si>
  <si>
    <t>HALSTAD-HENDRUM</t>
  </si>
  <si>
    <t>OLIVIA-BIRD ISLA</t>
  </si>
  <si>
    <t>GRANADA HUNTLEY-</t>
  </si>
  <si>
    <t>SANDSTONE-ASKOV</t>
  </si>
  <si>
    <t>GREENBUSH-MIDDLE RIV</t>
  </si>
  <si>
    <t>PIPESTONE-JASPER</t>
  </si>
  <si>
    <t>LONG PRAIRIE-GREY EA</t>
  </si>
  <si>
    <t>EAGLE BEND-CLARISSA</t>
  </si>
  <si>
    <t>JANESVILLE-WALDO</t>
  </si>
  <si>
    <t>MADISON-MARIETTA-LACQUI PARLE-A.M.M.M.</t>
  </si>
  <si>
    <t>STEPHEN-ARGYLE</t>
  </si>
  <si>
    <t>BLUE EARTH-DELAVAN-ELMORE</t>
  </si>
  <si>
    <t>LAKE PARK-AUDUBON</t>
  </si>
  <si>
    <t>DRSH</t>
  </si>
  <si>
    <t>REDWOOD AREA SCHOOLS</t>
  </si>
  <si>
    <t>WESTBROOK-WALNUT GROVE</t>
  </si>
  <si>
    <t>127A.50, Minnesota Statutes 2006</t>
  </si>
  <si>
    <t>Copyright © 2006 by the Office of Revisor of Statutes, State of Minnesota.</t>
  </si>
  <si>
    <t xml:space="preserve">127A.50 AID ADJUSTMENTS DUE TO CHANGES IN EMPLOYER RETIREMENT </t>
  </si>
  <si>
    <t>CONTRIBUTION RATES.</t>
  </si>
  <si>
    <r>
      <t xml:space="preserve">    Subdivision 1. </t>
    </r>
    <r>
      <rPr>
        <b/>
        <sz val="11"/>
        <rFont val="Times New Roman"/>
        <family val="1"/>
      </rPr>
      <t>Aid adjustment.</t>
    </r>
    <r>
      <rPr>
        <sz val="11"/>
        <rFont val="Times New Roman"/>
        <family val="1"/>
      </rPr>
      <t xml:space="preserve"> Beginning in fiscal year 1998 and each year thereafter,</t>
    </r>
  </si>
  <si>
    <t>the commissioner of education shall adjust state aid payments to school operating funds for</t>
  </si>
  <si>
    <t>Independent School District No. 625 and Independent School District No. 709 by the net amount</t>
  </si>
  <si>
    <t>of clauses (1) and (2), for Special School District No. 1 by the net amount of clauses (1), (2), and</t>
  </si>
  <si>
    <t>(4), and for all other districts, including charter schools, but excluding any education organizations</t>
  </si>
  <si>
    <t>that are prohibited from receiving direct state aids under section 123A.26 or 125A.75, subdivision</t>
  </si>
  <si>
    <t>7 , by the net amount of clauses (1), (2), (3), and (4):</t>
  </si>
  <si>
    <t>(1) a decrease equal to each district's share of the fiscal year 1997 adjustment effected under</t>
  </si>
  <si>
    <t>Minnesota Statutes 1996, section 124.2139;</t>
  </si>
  <si>
    <t>(2) an increase equal to one percent of the salaries paid to members of the general plan of the</t>
  </si>
  <si>
    <t>Public Employees Retirement Association in fiscal year 1997, multiplied by 0.35 for fiscal year</t>
  </si>
  <si>
    <t>1998 and 0.70 each year thereafter;</t>
  </si>
  <si>
    <t>(3) a decrease equal to 2.34 percent of the salaries paid to members of the Teachers</t>
  </si>
  <si>
    <t>Retirement Association in fiscal year 1997; and</t>
  </si>
  <si>
    <t>(4) an increase equal to 0.5 percent of the salaries paid to members of the Teachers</t>
  </si>
  <si>
    <t>Retirement Association in fiscal year 2007.</t>
  </si>
  <si>
    <r>
      <t xml:space="preserve">    Subd. 2. </t>
    </r>
    <r>
      <rPr>
        <b/>
        <sz val="11"/>
        <rFont val="Times New Roman"/>
        <family val="1"/>
      </rPr>
      <t>Appropriation.</t>
    </r>
    <r>
      <rPr>
        <sz val="11"/>
        <rFont val="Times New Roman"/>
        <family val="1"/>
      </rPr>
      <t xml:space="preserve"> The amounts necessary to pay any positive net adjustments</t>
    </r>
  </si>
  <si>
    <t>under this section to any school district are appropriated annually from the general fund to the</t>
  </si>
  <si>
    <t>commissioner of education.</t>
  </si>
  <si>
    <r>
      <t xml:space="preserve">    Subd. 3. </t>
    </r>
    <r>
      <rPr>
        <b/>
        <sz val="11"/>
        <rFont val="Times New Roman"/>
        <family val="1"/>
      </rPr>
      <t>Limits on adjustments and potential reductions.</t>
    </r>
    <r>
      <rPr>
        <sz val="11"/>
        <rFont val="Times New Roman"/>
        <family val="1"/>
      </rPr>
      <t xml:space="preserve"> Increases to any school districts</t>
    </r>
  </si>
  <si>
    <t>under subdivision 1, clause (2), and decreases under subdivision 1, clauses (1) and (3), are limited</t>
  </si>
  <si>
    <t>to the fiscal year 1999 amounts. The commissioner of education may permanently reduce the</t>
  </si>
  <si>
    <t>adjustments to school districts under subdivision 1, clauses (1) and (2), in the same manner as</t>
  </si>
  <si>
    <t>prescribed for nonschool jurisdictions under section 273.1385, subdivision 2. The commissioner</t>
  </si>
  <si>
    <t>may, from time to time, require that the most recent fiscal year payroll information be certified</t>
  </si>
  <si>
    <t>by the executive director of the Teachers Retirement Association. For any school district where</t>
  </si>
  <si>
    <t>the newly certified Teachers Retirement Association payroll is significantly lower than the fiscal</t>
  </si>
  <si>
    <t>1997 amount as determined by the commissioner, the commissioner shall recalculate the lower</t>
  </si>
  <si>
    <t>reduction under subdivision 1, clause (3), and shall permanently reduce the adjustment amount</t>
  </si>
  <si>
    <t>in subsequent years.</t>
  </si>
  <si>
    <r>
      <t xml:space="preserve">    Subd. 4. </t>
    </r>
    <r>
      <rPr>
        <b/>
        <sz val="11"/>
        <rFont val="Times New Roman"/>
        <family val="1"/>
      </rPr>
      <t>Effect of reorganizations.</t>
    </r>
    <r>
      <rPr>
        <sz val="11"/>
        <rFont val="Times New Roman"/>
        <family val="1"/>
      </rPr>
      <t xml:space="preserve"> The commissioner of education shall reapportion the aid</t>
    </r>
  </si>
  <si>
    <t>adjustments to school districts under this section to account for significant changes in boundaries</t>
  </si>
  <si>
    <t>or consolidations, as determined by the commissioner. If a school district is dissolved, or a school</t>
  </si>
  <si>
    <t>district function thereof is assumed by either the state or a nonpublic organization, adjustments for</t>
  </si>
  <si>
    <t>all or the appropriate fraction of the total payroll under this section must terminate.</t>
  </si>
  <si>
    <r>
      <t xml:space="preserve">    Subd. 5. </t>
    </r>
    <r>
      <rPr>
        <b/>
        <sz val="11"/>
        <rFont val="Times New Roman"/>
        <family val="1"/>
      </rPr>
      <t>Adjustment termination.</t>
    </r>
    <r>
      <rPr>
        <sz val="11"/>
        <rFont val="Times New Roman"/>
        <family val="1"/>
      </rPr>
      <t xml:space="preserve"> All adjustments under this section terminate on June</t>
    </r>
  </si>
  <si>
    <t>30, 2020.</t>
  </si>
  <si>
    <r>
      <t xml:space="preserve">History: </t>
    </r>
    <r>
      <rPr>
        <i/>
        <sz val="11"/>
        <rFont val="Times New Roman"/>
        <family val="1"/>
      </rPr>
      <t>1997 c 233 art 1 s 14; 1998 c 397 art 4 s 51; art 11 s 3; 1Sp2001 c 6 art 1 s 40;</t>
    </r>
  </si>
  <si>
    <t>2003 c 130 s 12; 2006 c 277 art 3 s 1</t>
  </si>
  <si>
    <t>NOTE: The amendment to subdivision 1 by Laws 2006, chapter 277, article 3, section 1,</t>
  </si>
  <si>
    <t>is effective for revenue for fiscal year 2008. Laws 2006, chapter 277, article 3, section 1, the</t>
  </si>
  <si>
    <t>effective date.</t>
  </si>
  <si>
    <t>273.1385, Minnesota Statutes 2006</t>
  </si>
  <si>
    <t xml:space="preserve">273.1385 AID FOR PUBLIC EMPLOYEES RETIREMENT ASSOCIATION EMPLOYER </t>
  </si>
  <si>
    <t>CONTRIBUTION RATE INCREASE.</t>
  </si>
  <si>
    <r>
      <t xml:space="preserve">    Subdivision 1. </t>
    </r>
    <r>
      <rPr>
        <b/>
        <sz val="11"/>
        <rFont val="Times New Roman"/>
        <family val="1"/>
      </rPr>
      <t>Aid to offset rate increase.</t>
    </r>
    <r>
      <rPr>
        <sz val="11"/>
        <rFont val="Times New Roman"/>
        <family val="1"/>
      </rPr>
      <t xml:space="preserve"> Beginning with the December 26, 1997, payment,</t>
    </r>
  </si>
  <si>
    <t>and according to the schedule for payment of local aid under section 477A.015 thereafter, the</t>
  </si>
  <si>
    <t>commissioner of revenue shall pay to each city, county, town, and other nonschool jurisdiction an</t>
  </si>
  <si>
    <t>amount equal to 0.35 percent of the fiscal year 1997 payroll for employees who were members</t>
  </si>
  <si>
    <t>of the general plan of the Public Employees Retirement Association. Except for the December</t>
  </si>
  <si>
    <t>1997 distribution under this section, the amount of aid must be certified before September 1 of the</t>
  </si>
  <si>
    <t>year preceding the distribution year to the affected local government. The executive director of</t>
  </si>
  <si>
    <t>the Public Employees Retirement Association shall certify the general plan fiscal year covered</t>
  </si>
  <si>
    <t>payroll and other information requested by the commissioner of revenue, on or before August 1,</t>
  </si>
  <si>
    <t>1997, and in subsequent years where necessary, in order to facilitate administration of this section.</t>
  </si>
  <si>
    <t>The amount necessary to make these aid payments is appropriated annually from the general fund</t>
  </si>
  <si>
    <t>to the commissioner of revenue. Expenditures under this section are estimated to be $7,942,500</t>
  </si>
  <si>
    <t>in fiscal year 1998, and $15,885,000 in each subsequent fiscal year, less any future reductions</t>
  </si>
  <si>
    <t>under subdivision 2.</t>
  </si>
  <si>
    <r>
      <t xml:space="preserve">    Subd. 2. </t>
    </r>
    <r>
      <rPr>
        <b/>
        <sz val="11"/>
        <rFont val="Times New Roman"/>
        <family val="1"/>
      </rPr>
      <t>Limit on aid and potential future permanent aid reductions.</t>
    </r>
    <r>
      <rPr>
        <sz val="11"/>
        <rFont val="Times New Roman"/>
        <family val="1"/>
      </rPr>
      <t xml:space="preserve"> (a) The aid amount</t>
    </r>
  </si>
  <si>
    <t>received by any jurisdiction in fiscal year 2000 or any year thereafter may not exceed the amount</t>
  </si>
  <si>
    <t>it received in fiscal year 1999. The commissioner may, from time to time, request the most recent</t>
  </si>
  <si>
    <t>fiscal year payroll information by jurisdiction to be certified by the executive director of the</t>
  </si>
  <si>
    <t>Public Employees Retirement Association. For any jurisdiction where newly certified public</t>
  </si>
  <si>
    <t>employees retirement association general plan payroll is significantly lower than the fiscal 1997</t>
  </si>
  <si>
    <t>amount, as determined by the commissioner, the commissioner shall recalculate the aid amount</t>
  </si>
  <si>
    <t>based on the most recent fiscal year payroll information, certify the recalculated aid amount for</t>
  </si>
  <si>
    <t>the next distribution year, and permanently reduce the aid amount to that jurisdiction.</t>
  </si>
  <si>
    <t>(b) Aid to a jurisdiction must not be reduced under this section due to a transfer of an</t>
  </si>
  <si>
    <t>employee from the general plan of the Public Employees Retirement Association to the</t>
  </si>
  <si>
    <t>local government correctional service plan administered by the Public Employees Retirement</t>
  </si>
  <si>
    <t>Association. The executive director of the Public Employees Retirement Association must</t>
  </si>
  <si>
    <t>provide the commissioner of revenue with any information requested by the commissioner to</t>
  </si>
  <si>
    <t>administer this paragraph.</t>
  </si>
  <si>
    <r>
      <t xml:space="preserve">    Subd. 3. </t>
    </r>
    <r>
      <rPr>
        <b/>
        <sz val="11"/>
        <rFont val="Times New Roman"/>
        <family val="1"/>
      </rPr>
      <t>Effect of reorganizations.</t>
    </r>
    <r>
      <rPr>
        <sz val="11"/>
        <rFont val="Times New Roman"/>
        <family val="1"/>
      </rPr>
      <t xml:space="preserve"> The commissioner of revenue may adjust the aid</t>
    </r>
  </si>
  <si>
    <t>amounts for separate jurisdictions to account for significant changes in boundaries or in the</t>
  </si>
  <si>
    <t>form of government, as determined by the commissioner. If a local government function and</t>
  </si>
  <si>
    <t>the associated Public Employees Retirement Association general plan payroll is assumed by</t>
  </si>
  <si>
    <t>either the state, or a nonpublic organization, the aid amounts attributable to the function under</t>
  </si>
  <si>
    <t>this section must terminate.</t>
  </si>
  <si>
    <r>
      <t xml:space="preserve">    Subd. 4. </t>
    </r>
    <r>
      <rPr>
        <b/>
        <sz val="11"/>
        <rFont val="Times New Roman"/>
        <family val="1"/>
      </rPr>
      <t>Aid termination.</t>
    </r>
    <r>
      <rPr>
        <sz val="11"/>
        <rFont val="Times New Roman"/>
        <family val="1"/>
      </rPr>
      <t xml:space="preserve"> The aid provided under this section terminates on June 30, 2020.</t>
    </r>
  </si>
  <si>
    <r>
      <t xml:space="preserve">History: </t>
    </r>
    <r>
      <rPr>
        <i/>
        <sz val="11"/>
        <rFont val="Times New Roman"/>
        <family val="1"/>
      </rPr>
      <t>1997 c 233 art 1 s 15; 1999 c 222 art 2 s 3</t>
    </r>
  </si>
  <si>
    <t>PENSION0508_20070514</t>
  </si>
  <si>
    <t>PLAINVIEW-ELGIN-MILLVILLE</t>
  </si>
  <si>
    <t>RUSSELL-TYLER-RUTHTON</t>
  </si>
  <si>
    <t>CALCULATIONS FOR DISTRICTS OPENING IN FY 2007:</t>
  </si>
  <si>
    <t>For FY 2007, the primary salary basis is the least salary total from the years FY 1997, FY 2004, FY 2005, FY 2006, and FY 2007.</t>
  </si>
  <si>
    <t>Districts #2899 and #2902 both opened in FY 2007.  For these new districts, the "least of" salary basis may apply to</t>
  </si>
  <si>
    <t>one or more of the previous districts, but not for the new districts when dealt with as single entities.</t>
  </si>
  <si>
    <t>We don't want to punish districts for consolidating.  Therefore, we will ensure new districts of their former "least of" benefit</t>
  </si>
  <si>
    <t>Here are the details:</t>
  </si>
  <si>
    <t>by basing their "least of" salary totals on their prior district structures.</t>
  </si>
  <si>
    <t>Values in the yellow cells are used in the "Districts" worksheet.</t>
  </si>
  <si>
    <t>AS SINGLE DISTRICT</t>
  </si>
  <si>
    <t>DIFFERENCE</t>
  </si>
  <si>
    <t>N/A</t>
  </si>
  <si>
    <t>SUM OF  SEPARATE</t>
  </si>
  <si>
    <t>RESOLUTION:  WE ARE CALCULATION THE ADJUSTMENT FOR NEWLY CONSOLIDATED DISTRICTS AS IF THEY HAD ALWAYS BEEN SINGLE ENTITIES.</t>
  </si>
  <si>
    <t>THIS IS BASED ON A CONVERSATION WITH TOM MELCHER THAT TOOK PLACE ON OCTOBER 24, 2007.</t>
  </si>
  <si>
    <t>From: Marjorie Rolland [mailto:Marjorie.Rolland@mpls.k12.mn.us]</t>
  </si>
  <si>
    <t>Sent: Wednesday, February 06, 2008 4:04 PM</t>
  </si>
  <si>
    <t>To: Bob.Porter@state.mn.us</t>
  </si>
  <si>
    <t>Subject: Salary Exp</t>
  </si>
  <si>
    <t xml:space="preserve">Bob – </t>
  </si>
  <si>
    <t>Actual salary expense for 2007 (TRA eligible)  $197,593,500.  Yes, I know it</t>
  </si>
  <si>
    <t xml:space="preserve">is lower than the 2005 figure but not sure where the 2005 figure came from.  </t>
  </si>
  <si>
    <t>Marjorie Rolland</t>
  </si>
  <si>
    <t>Finance Department</t>
  </si>
  <si>
    <t>Minneapolis Public Schools</t>
  </si>
  <si>
    <t>612-668-0411</t>
  </si>
  <si>
    <t>INITIAL</t>
  </si>
  <si>
    <t>REVISED</t>
  </si>
  <si>
    <t>Note that this applies only to the FY 1997</t>
  </si>
  <si>
    <t>base salary total, and not to the FY 2007</t>
  </si>
  <si>
    <t>salary total.</t>
  </si>
  <si>
    <t>Actual TRA salaries, basic + coordinated, FY 1997</t>
  </si>
  <si>
    <t>Actual TRA salaries, basic + coordinated, FY 2004</t>
  </si>
  <si>
    <t>Actual TRA salaries, basic + coordinated, FY 2005</t>
  </si>
  <si>
    <t>Actual TRA salaries, basic + coordinated, FY 2006</t>
  </si>
  <si>
    <t>Actual TRA salaries, basic + coordinated, FY 2007</t>
  </si>
  <si>
    <t>Actual TRA salaries, basic + coordinated, FY 2008</t>
  </si>
  <si>
    <t>PERA salaries, FY 1997</t>
  </si>
  <si>
    <t>Old law PERA adjustment</t>
  </si>
  <si>
    <t>Notes</t>
  </si>
  <si>
    <t>FY 2009</t>
  </si>
  <si>
    <t>Actual TRA salaries, basic + coordinated, FY 2009</t>
  </si>
  <si>
    <t>TRACY-BALATON</t>
  </si>
  <si>
    <t>FY 2010</t>
  </si>
  <si>
    <t>TOTAL</t>
  </si>
  <si>
    <t>TRA basic + coordinated salaries, FY 1997</t>
  </si>
  <si>
    <t>TRA basic + coordinated salaries, FY 2004</t>
  </si>
  <si>
    <t>TRA basic + coordinated salaries, FY 2005</t>
  </si>
  <si>
    <t>TRA basic + coordinated salaries, FY 2006</t>
  </si>
  <si>
    <t>TRA basic + coordinated salaries, FY 2007</t>
  </si>
  <si>
    <t>TRA basic + coordinated salaries, FY 2008</t>
  </si>
  <si>
    <t>TRA basic + coordinated salaries, FY 2009</t>
  </si>
  <si>
    <t>TRA basic + coordinated salaries, FY 2010</t>
  </si>
  <si>
    <t>n/a</t>
  </si>
  <si>
    <t>sum of separate districts</t>
  </si>
  <si>
    <t>total for new district</t>
  </si>
  <si>
    <t>PERA adjustment, old law</t>
  </si>
  <si>
    <t>Salary</t>
  </si>
  <si>
    <t>Deduction</t>
  </si>
  <si>
    <t>Contribution</t>
  </si>
  <si>
    <t>DISTRICTS</t>
  </si>
  <si>
    <t>CHARTERS</t>
  </si>
  <si>
    <t>OTHERS</t>
  </si>
  <si>
    <t>AITKIN PUBLIC SCHOOL DISTRICT</t>
  </si>
  <si>
    <t>MINNEAPOLIS PUBLIC SCHOOL DIST.</t>
  </si>
  <si>
    <t>HILL CITY PUBLIC SCHOOL DISTRICT</t>
  </si>
  <si>
    <t>MCGREGOR PUBLIC SCHOOL DISTRICT</t>
  </si>
  <si>
    <t>SOUTH ST. PAUL PUBLIC SCHOOL DIST.</t>
  </si>
  <si>
    <t>ANOKA-HENNEPIN PUBLIC SCHOOL DIST.</t>
  </si>
  <si>
    <t>CENTENNIAL PUBLIC SCHOOL DISTRICT</t>
  </si>
  <si>
    <t>COLUMBIA HEIGHTS PUBLIC SCHOOL DIST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</si>
  <si>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</si>
  <si>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</si>
  <si>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</si>
  <si>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</si>
  <si>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</si>
  <si>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</si>
  <si>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</si>
  <si>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</si>
  <si>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</si>
  <si>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</si>
  <si>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SAUK RAPIDS PUBLIC SCHOOL DISTRICT</t>
  </si>
  <si>
    <t>FOLEY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</si>
  <si>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</si>
  <si>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</si>
  <si>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</si>
  <si>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</si>
  <si>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</si>
  <si>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</si>
  <si>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</si>
  <si>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</si>
  <si>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</si>
  <si>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</si>
  <si>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</si>
  <si>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</si>
  <si>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</si>
  <si>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NORWOOD PUBLIC SCHOOL DISTRICT</t>
  </si>
  <si>
    <t>WACONIA PUBLIC SCHOOL DISTRICT</t>
  </si>
  <si>
    <t>WATERTOWN-MAYER PUBLIC SCHOOL DIST.</t>
  </si>
  <si>
    <t>EASTERN CARVER COUNTY PUBLIC SCHOOL</t>
  </si>
  <si>
    <t>WALKER-HACKENSACK-AKELEY SCHL. DIST</t>
  </si>
  <si>
    <t>CASS LAKE-BENA PUBLIC SCHOOLS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</si>
  <si>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</si>
  <si>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</si>
  <si>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</si>
  <si>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</si>
  <si>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</si>
  <si>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</si>
  <si>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</si>
  <si>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</si>
  <si>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</si>
  <si>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</si>
  <si>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</si>
  <si>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</si>
  <si>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</si>
  <si>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</si>
  <si>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</si>
  <si>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</si>
  <si>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</si>
  <si>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</si>
  <si>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</si>
  <si>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</si>
  <si>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</si>
  <si>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</si>
  <si>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</si>
  <si>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</si>
  <si>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KASSON-MANTORVILLE SCHOOL DISTRICT</t>
  </si>
  <si>
    <t>ALEXANDRIA PUBLIC SCHOOL DISTRICT</t>
  </si>
  <si>
    <t>BRANDON PUBLIC SCHOOL DISTRICT</t>
  </si>
  <si>
    <t>EVANSVILLE PUBLIC SCHOOL DISTRICT</t>
  </si>
  <si>
    <t>OSAKIS PUBLIC SCHOOL DISTRICT</t>
  </si>
  <si>
    <t>CHATFIELD PUBLIC SCHOOLS</t>
  </si>
  <si>
    <t>LANESBORO PUBLIC SCHOOL DISTRICT</t>
  </si>
  <si>
    <t>MABEL-CANTON PUBLIC SCHOOL DIST.</t>
  </si>
  <si>
    <t>RUSHFORD-PETERSON PUBLIC SCHOOLS</t>
  </si>
  <si>
    <t>ALBERT LEA PUBLIC SCHOOL DISTRICT</t>
  </si>
  <si>
    <t>ALDEN-CONGER PUBLIC SCHOOL DISTRICT</t>
  </si>
  <si>
    <t>CANNON FALLS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</si>
  <si>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</si>
  <si>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</si>
  <si>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</si>
  <si>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</si>
  <si>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</si>
  <si>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</si>
  <si>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</si>
  <si>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</si>
  <si>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</si>
  <si>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</si>
  <si>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</si>
  <si>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</si>
  <si>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</si>
  <si>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</si>
  <si>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</si>
  <si>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</si>
  <si>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</si>
  <si>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</si>
  <si>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</si>
  <si>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</si>
  <si>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</si>
  <si>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</si>
  <si>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LACRESCENT-HOKAH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</si>
  <si>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</si>
  <si>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</si>
  <si>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</si>
  <si>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</si>
  <si>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</si>
  <si>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</si>
  <si>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GRAND RAPIDS PUBLIC SCHOOL DISTRICT</t>
  </si>
  <si>
    <t>NASHWAUK-KEEWATIN SCHOOL DISTRICT</t>
  </si>
  <si>
    <t>FRANCONIA PUBLIC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</si>
  <si>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</si>
  <si>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</si>
  <si>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</si>
  <si>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</si>
  <si>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</si>
  <si>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</si>
  <si>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INTERNATIONAL FALLS SCHOOL DISTRICT</t>
  </si>
  <si>
    <t>LITTLEFORK-BIG FALLS SCHOOL DIST.</t>
  </si>
  <si>
    <t>SOUTH KOOCHICHING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</si>
  <si>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</si>
  <si>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</si>
  <si>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</si>
  <si>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</si>
  <si>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LECENTER PUBLIC SCHOOL DISTRICT</t>
  </si>
  <si>
    <t>MONTGOMERY-LONSDALE SCHOOL DISTRICT</t>
  </si>
  <si>
    <t>HENDRICKS PUBLIC SCHOOL DISTRICT</t>
  </si>
  <si>
    <t>IVANHOE PUBLIC SCHOOL DISTRICT</t>
  </si>
  <si>
    <t>LAKE BENTON PUBLIC SCHOOL DISTRICT</t>
  </si>
  <si>
    <t>MARSHALL PUBLIC SCHOOL DISTRICT</t>
  </si>
  <si>
    <t>MINNEOTA PUBLIC SCHOOL DISTRICT</t>
  </si>
  <si>
    <t>LYND PUBLIC SCHOOL DISTRICT</t>
  </si>
  <si>
    <t>HUTCHINSON PUBLIC SCHOOL DISTRICT</t>
  </si>
  <si>
    <t>LESTER PRAIRIE PUBLIC SCHOOL DIST.</t>
  </si>
  <si>
    <t>MAHNOMEN PUBLIC SCHOOL DISTRICT</t>
  </si>
  <si>
    <t>WAUBUN PUBLIC SCHOOL DISTRICT</t>
  </si>
  <si>
    <t>MARSHALL COUNTY CENTRAL SCHOOLS</t>
  </si>
  <si>
    <t>GRYGLA PUBLIC SCHOOL DISTRICT</t>
  </si>
  <si>
    <t>TRUMAN PUBLIC SCHOOL DISTRICT</t>
  </si>
  <si>
    <t>EDEN VALLEY-WATKINS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</si>
  <si>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</si>
  <si>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</si>
  <si>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</si>
  <si>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</si>
  <si>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</si>
  <si>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LITTLE FALLS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</si>
  <si>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</si>
  <si>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</si>
  <si>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</si>
  <si>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</si>
  <si>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</si>
  <si>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GRAND MEADOW PUBLIC SCHOOL DISTRICT</t>
  </si>
  <si>
    <t>LYLE PUBLIC SCHOOL DISTRICT</t>
  </si>
  <si>
    <t>LEROY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</si>
  <si>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</si>
  <si>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</si>
  <si>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</si>
  <si>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</si>
  <si>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</si>
  <si>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</si>
  <si>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</si>
  <si>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</si>
  <si>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</si>
  <si>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</si>
  <si>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</si>
  <si>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</si>
  <si>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</si>
  <si>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</si>
  <si>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</si>
  <si>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 PUBLIC SCHOOL DISTRICT</t>
  </si>
  <si>
    <t>PARKERS PRAIRIE PUBLIC SCHOOL DIST.</t>
  </si>
  <si>
    <t>PELICAN RAPIDS PUBLIC SCHOOL DIST.</t>
  </si>
  <si>
    <t>PERHAM PUBLIC SCHOOL DISTRICT</t>
  </si>
  <si>
    <t>UNDERWOOD PUBLIC SCHOOL DISTRICT</t>
  </si>
  <si>
    <t>NEW YORK MILLS PUBLIC SCHOOL DIST.</t>
  </si>
  <si>
    <t>GOODRIDGE PUBLIC SCHOOL DISTRICT</t>
  </si>
  <si>
    <t>THIEF RIVER FALLS SCHOOL DISTRICT</t>
  </si>
  <si>
    <t>WILLOW RIVER PUBLIC SCHOOL DISTRICT</t>
  </si>
  <si>
    <t>PINE CITY PUBLIC SCHOOL DISTRICT</t>
  </si>
  <si>
    <t>EDGERTON PUBLIC SCHOOL DISTRICT</t>
  </si>
  <si>
    <t>CLIMAX PUBLIC SCHOOL DISTRICT</t>
  </si>
  <si>
    <t>CROOKSTON PUBLIC SCHOOL DISTRICT</t>
  </si>
  <si>
    <t>EAST GRAND FORKS PUBLIC SCHOOL DIST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</si>
  <si>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</si>
  <si>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</si>
  <si>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</si>
  <si>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</si>
  <si>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</si>
  <si>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</si>
  <si>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</si>
  <si>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</si>
  <si>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</si>
  <si>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 PUBLIC SCHOOL DISTRICT</t>
  </si>
  <si>
    <t>PLUMMER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</si>
  <si>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</si>
  <si>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</si>
  <si>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</si>
  <si>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</si>
  <si>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</si>
  <si>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</si>
  <si>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</si>
  <si>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</si>
  <si>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</si>
  <si>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</si>
  <si>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</si>
  <si>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</si>
  <si>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</si>
  <si>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</si>
  <si>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</si>
  <si>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</si>
  <si>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</si>
  <si>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</si>
  <si>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</si>
  <si>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</si>
  <si>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</si>
  <si>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</si>
  <si>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</si>
  <si>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</si>
  <si>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</si>
  <si>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</si>
  <si>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</si>
  <si>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</si>
  <si>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</si>
  <si>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</si>
  <si>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</si>
  <si>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</si>
  <si>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</si>
  <si>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</si>
  <si>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SARTELL-ST. STEPHEN SCHOOL DISTRICT</t>
  </si>
  <si>
    <t>ROCORI PUBLIC SCHOOL DISTRICT</t>
  </si>
  <si>
    <t>BLOOMING PRAIRIE PUBLIC SCHOOL DIST</t>
  </si>
  <si>
    <t>OWATONNA PUBLIC SCHOOL DISTRICT</t>
  </si>
  <si>
    <t>MEDFORD PUBLIC SCHOOL DISTRICT</t>
  </si>
  <si>
    <t>HANCOCK PUBLIC SCHOOL DISTRICT</t>
  </si>
  <si>
    <t>MORRIS PUBLIC SCHOOL DISTRICT</t>
  </si>
  <si>
    <t>CHOKIO-ALBERTA PUBLIC SCHOOL DIST.</t>
  </si>
  <si>
    <t>KERKHOVEN-MURDOCK-SUNBURG</t>
  </si>
  <si>
    <t>BENSON PUBLIC SCHOOL DISTRICT</t>
  </si>
  <si>
    <t>BERTHA-HEWITT PUBLIC SCHOOL DIST.</t>
  </si>
  <si>
    <t>BROWERVILLE PUBLIC SCHOOL DISTRICT</t>
  </si>
  <si>
    <t>BROWNS VALLEY PUBLIC SCHOOL DIST.</t>
  </si>
  <si>
    <t>WHEATON AREA PUBLIC SCHOOL DISTRICT</t>
  </si>
  <si>
    <t>WABASHA-KELLOGG PUBLIC SCHOOL DIST.</t>
  </si>
  <si>
    <t>LAKE CITY PUBLIC SCHOOL DISTRICT</t>
  </si>
  <si>
    <t>PRINSBURG PUBLIC SCHOOL DISTRICT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</si>
  <si>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</si>
  <si>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</si>
  <si>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</si>
  <si>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</si>
  <si>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</si>
  <si>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</si>
  <si>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</si>
  <si>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</si>
  <si>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</si>
  <si>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</si>
  <si>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</si>
  <si>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 PUBLIC SCHOOL DISTRICT</t>
  </si>
  <si>
    <t>ROTHSAY PUBLIC SCHOOL DISTRICT</t>
  </si>
  <si>
    <t>CAMPBELL-TINTAH PUBLIC SCHOOL DIST.</t>
  </si>
  <si>
    <t>LEWISTON-ALTURA PUBLIC SCHOOL DIST.</t>
  </si>
  <si>
    <t>ST. CHARLES PUBLIC SCHOOL DISTRICT</t>
  </si>
  <si>
    <t>WINONA AREA PUBLIC SCHOOL DISTRICT</t>
  </si>
  <si>
    <t>ANNANDALE PUBLIC SCHOOL DISTRICT</t>
  </si>
  <si>
    <t>BUFFALO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</si>
  <si>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</si>
  <si>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</si>
  <si>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</si>
  <si>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</si>
  <si>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ST. MICHAEL-ALBERTVILLE SCHOOL DIST</t>
  </si>
  <si>
    <t>CANBY PUBLIC SCHOOL DISTRICT</t>
  </si>
  <si>
    <t>CAMBRIDGE-ISANTI PUBLIC SCHOOL DIST</t>
  </si>
  <si>
    <t>MILACA PUBLIC SCHOOL DISTRICT</t>
  </si>
  <si>
    <t>ULEN-HITTERDAL PUBLIC SCHOOL DIST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</si>
  <si>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</si>
  <si>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</si>
  <si>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</si>
  <si>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</si>
  <si>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</si>
  <si>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</si>
  <si>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CHISAGO LAKES SCHOOL DISTRICT</t>
  </si>
  <si>
    <t>MINNEWASKA SCHOOL DISTRICT</t>
  </si>
  <si>
    <t>EVELETH-GILBERT SCHOOL DISTRICT</t>
  </si>
  <si>
    <t>WADENA-DEER CREEK SCHOOL DISTRICT</t>
  </si>
  <si>
    <t>BUFFALO LAKE-HECTOR SCHOOL DISTRICT</t>
  </si>
  <si>
    <t>DILWORTH-GLYNDON-FELTON</t>
  </si>
  <si>
    <t>HINCKLEY-FINLAYSON SCHOOL DISTRICT</t>
  </si>
  <si>
    <t>LAKEVIEW SCHOOL DISTRICT</t>
  </si>
  <si>
    <t>NRHEG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</si>
  <si>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</si>
  <si>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</si>
  <si>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</si>
  <si>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</si>
  <si>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</si>
  <si>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</si>
  <si>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</si>
  <si>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</si>
  <si>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FILLMORE CENTRAL</t>
  </si>
  <si>
    <t>NORMAN COUNTY EAST SCHOOL DISTRICT</t>
  </si>
  <si>
    <t>SIBLEY EAST SCHOOL DISTRICT</t>
  </si>
  <si>
    <t>CLEARBROOK-GONVICK SCHOOL DISTRICT</t>
  </si>
  <si>
    <t>TRI-COUNTY SCHOOL DISTRICT</t>
  </si>
  <si>
    <t>BELGRADE-BROOTEN-ELROSA SCHOOL DIST</t>
  </si>
  <si>
    <t>LESUEUR-HENDERSON SCHOOL DISTRICT</t>
  </si>
  <si>
    <t>MARTIN COUNTY WEST SCHOOL DISTRICT</t>
  </si>
  <si>
    <t>NORMAN COUNTY WEST SCHOOL DISTRICT</t>
  </si>
  <si>
    <t>BIRD ISLAND-OLIVIA-LAKE LILLIAN</t>
  </si>
  <si>
    <t>GRANADA HUNTLEY-EAST CHAIN</t>
  </si>
  <si>
    <t>EAST CENTRAL SCHOOL DISTRICT</t>
  </si>
  <si>
    <t>WIN-E-MAC SCHOOL DISTRICT</t>
  </si>
  <si>
    <t>GREENBUSH-MIDDLE RIVER SCHOOL DIST.</t>
  </si>
  <si>
    <t>PIPESTONE AREA SCHOOL DISTRICT</t>
  </si>
  <si>
    <t>MESABI EAST SCHOOL DISTRICT</t>
  </si>
  <si>
    <t>FAIRMONT AREA SCHOOL DISTRICT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</si>
  <si>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</si>
  <si>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</si>
  <si>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</si>
  <si>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</si>
  <si>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JANESVILLE-WALDORF-PEMBERTON</t>
  </si>
  <si>
    <t>LAC QUI PARLE VALLEY SCHOOL DIST.</t>
  </si>
  <si>
    <t>ADA-BORUP PUBLIC SCHOOL DISTRICT</t>
  </si>
  <si>
    <t>STEPHEN-ARGYLE CENTRAL SCHOOLS</t>
  </si>
  <si>
    <t>GLENCOE-SILVER LAKE SCHOOL DISTRICT</t>
  </si>
  <si>
    <t>BLUE EARTH AREA PUBLIC SCHOOL</t>
  </si>
  <si>
    <t>RED ROCK CENTRAL SCHOOL DISTRICT</t>
  </si>
  <si>
    <t>GLENVILLE-EMMONS SCHOOL DISTRICT</t>
  </si>
  <si>
    <t>LAKE PARK AUDUBON SCHOOL DISTRICT</t>
  </si>
  <si>
    <t>RENVILLE COUNTY WEST SCHOOL DIST.</t>
  </si>
  <si>
    <t>JACKSON COUNTY CENTRAL SCHOOL DIST.</t>
  </si>
  <si>
    <t>REDWOOD AREA SCHOOL DISTRICT</t>
  </si>
  <si>
    <t>WESTBROOK-WALNUT GROVE SCHOOLS</t>
  </si>
  <si>
    <t>RTR PUBLIC SCHOOLS</t>
  </si>
  <si>
    <t>ORTONVILLE-BELLINGHAM PUBLIC SCHOOL</t>
  </si>
  <si>
    <t>TRACY AREA PUBLIC SCHOOL DISTRICT</t>
  </si>
  <si>
    <t>CITY ACADEMY</t>
  </si>
  <si>
    <t>BLUFFVIEW MONTESSORI</t>
  </si>
  <si>
    <t>NEW HEIGHTS SCHOOL, INC.</t>
  </si>
  <si>
    <t>CEDAR RIVERSIDE COMMUNITY SCHOOL</t>
  </si>
  <si>
    <t>METRO DEAF SCH &amp; MN NORTH STAR ACAD</t>
  </si>
  <si>
    <t>SKILLS FOR TOMORROW CHARTER SCHOOL</t>
  </si>
  <si>
    <t>MINNESOTA NEW COUNTRY SCHOOL</t>
  </si>
  <si>
    <t>PACT CHARTER SCHOOL</t>
  </si>
  <si>
    <t>NEW VISIONS CHARTER SCHOOL</t>
  </si>
  <si>
    <t>EMILY CHARTER SCHOOL</t>
  </si>
  <si>
    <t>COMMUNITY OF PEACE ACADEMY</t>
  </si>
  <si>
    <t>WORLD LEARNER CHARTER SCHOOL</t>
  </si>
  <si>
    <t>MINNESOTA TRANSITIONS CHARTER SCH</t>
  </si>
  <si>
    <t>ACHIEVE LANGUAGE ACADEMY</t>
  </si>
  <si>
    <t>DULUTH PUBLIC SCHOOLS ACADEMY</t>
  </si>
  <si>
    <t>CYBER VILLAGE ACADEMY</t>
  </si>
  <si>
    <t>E.C.H.O. CHARTER SCHOOL</t>
  </si>
  <si>
    <t>HIGHER GROUND ACADEMY</t>
  </si>
  <si>
    <t>ECI' NOMPA WOONSPE</t>
  </si>
  <si>
    <t>NEW SPIRIT SCHOOL</t>
  </si>
  <si>
    <t>ODYSSEY ACADEMY</t>
  </si>
  <si>
    <t>JENNINGS COMMUNITY LEARNING CENTER</t>
  </si>
  <si>
    <t>HARVEST PREP SCHOOL/SEED ACADEMY</t>
  </si>
  <si>
    <t>CONCORDIA CREATIVE LEARNING ACADEMY</t>
  </si>
  <si>
    <t>FACE TO FACE ACADEMY</t>
  </si>
  <si>
    <t>SOJOURNER TRUTH ACADEMY</t>
  </si>
  <si>
    <t>HIGH SCHOOL FOR RECORDING ARTS</t>
  </si>
  <si>
    <t>TWIN CITIES ACADEMY</t>
  </si>
  <si>
    <t>MATH &amp; SCIENCE ACADEMY</t>
  </si>
  <si>
    <t>HEART OF THE EARTH CHARTER</t>
  </si>
  <si>
    <t>LAKES AREA CHARTER SCHOOL</t>
  </si>
  <si>
    <t>LAKE SUPERIOR HIGH SCHOOL</t>
  </si>
  <si>
    <t>GREAT RIVER EDUCATION CENTER</t>
  </si>
  <si>
    <t>NORTHWEST PASSAGE HIGH SCHOOL</t>
  </si>
  <si>
    <t>LAFAYETTE PUBLIC CHARTER SCHOOL</t>
  </si>
  <si>
    <t>FOUR DIRECTIONS CHARTER SCHOOLS</t>
  </si>
  <si>
    <t>NORTH LAKES ACADEMY</t>
  </si>
  <si>
    <t>LACRESCENT MONTESSORI ACADEMY</t>
  </si>
  <si>
    <t>NERSTRAND CHARTER SCHOOL</t>
  </si>
  <si>
    <t>ROCHESTER OFF-CAMPUS CHARTER HIGH</t>
  </si>
  <si>
    <t>EL COLEGIO CHARTER SCHOOL</t>
  </si>
  <si>
    <t>SCHOOLCRAFT LEARNING COMMUNITY CHTR</t>
  </si>
  <si>
    <t>CROSSLAKE COMMUNITY CHARTER SCHOOL</t>
  </si>
  <si>
    <t>STUDIO ACADEMY CHARTER SCHOOL</t>
  </si>
  <si>
    <t>RIVERWAY LEARNING COMMUNITY CHTR</t>
  </si>
  <si>
    <t>RIVERBEND ACADEMY</t>
  </si>
  <si>
    <t>AURORA CHARTER SCHOOL</t>
  </si>
  <si>
    <t>EXCELL ACADEMY CHARTER</t>
  </si>
  <si>
    <t>HOPE COMMUNITY ACADEMY</t>
  </si>
  <si>
    <t>YANKTON COUNTRY CHARTER SCHOOL</t>
  </si>
  <si>
    <t>ACADEMIA CESAR CHAVEZ CHARTER SCH.</t>
  </si>
  <si>
    <t>AFSA HIGH SCHOOL</t>
  </si>
  <si>
    <t>AVALON SCHOOL</t>
  </si>
  <si>
    <t>TWIN CITIES INTERNATIONAL ELEM SCH.</t>
  </si>
  <si>
    <t>MN INTERNATIONAL MIDDLE CHARTER</t>
  </si>
  <si>
    <t>FRIENDSHIP ACDMY OF FINE ARTS CHTR.</t>
  </si>
  <si>
    <t>PILLAGER AREA CHARTER SCHOOL</t>
  </si>
  <si>
    <t>DISCOVERY PUBLIC SCHOOL FARIBAULT</t>
  </si>
  <si>
    <t>BLUESKY CHARTER SCHOOL</t>
  </si>
  <si>
    <t>RIDGEWAY COMMUNITY SCHOOL</t>
  </si>
  <si>
    <t>NORTH SHORE COMMUNITY SCHOOL</t>
  </si>
  <si>
    <t>HARBOR CITY INTERNATIONAL CHARTER</t>
  </si>
  <si>
    <t>WOODSON INSTITUTE FOR EXCELLENCE CH</t>
  </si>
  <si>
    <t>SAGE ACADEMY CHARTER SCHOOL</t>
  </si>
  <si>
    <t>URBAN ACADEMY CHARTER SCHOOL</t>
  </si>
  <si>
    <t>NEW CITY SCHOOL</t>
  </si>
  <si>
    <t>PRAIRIE CREEK COMMUNITY SCHOOL</t>
  </si>
  <si>
    <t>ARTECH</t>
  </si>
  <si>
    <t>WATERSHED HIGH SCHOOL</t>
  </si>
  <si>
    <t>NEW CENTURY CHARTER SCHOOL</t>
  </si>
  <si>
    <t>TRIO WOLF CREEK DISTANCE LEARNING</t>
  </si>
  <si>
    <t>PARTNERSHIP ACADEMY, INC.</t>
  </si>
  <si>
    <t>NOVA CLASSICAL ACADEMY</t>
  </si>
  <si>
    <t>TAREK IBN ZIYAD ACADEMY</t>
  </si>
  <si>
    <t>GREAT EXPECTATIONS</t>
  </si>
  <si>
    <t>MINNESOTA NORTH STAR ACADEMY</t>
  </si>
  <si>
    <t>MINNESOTA INTERNSHIP CENTER</t>
  </si>
  <si>
    <t>HMONG COLLEGE PREP ACADEMY</t>
  </si>
  <si>
    <t>PALADIN ACADEMY</t>
  </si>
  <si>
    <t>GREAT RIVER SCHOOL</t>
  </si>
  <si>
    <t>TREKNORTH HIGH SCHOOL</t>
  </si>
  <si>
    <t>VOYAGEURS EXPEDITIONARY</t>
  </si>
  <si>
    <t>GENERAL JOHN VESSEY JR LEADERSHIP</t>
  </si>
  <si>
    <t>SOBRIETY HIGH</t>
  </si>
  <si>
    <t>MAIN STREET SCHOOL PERFORMING ARTS</t>
  </si>
  <si>
    <t>AUGSBURG FAIRVIEW ACADEMY</t>
  </si>
  <si>
    <t>ST PAUL CONSERVATORY PERFORMING ART</t>
  </si>
  <si>
    <t>FRASER ACADEMY</t>
  </si>
  <si>
    <t>PRESTIGE ACADEMY CHARTER SCHOOL</t>
  </si>
  <si>
    <t>MINNEAPOLIS ACADEMY CHARTER SCHOOL</t>
  </si>
  <si>
    <t>LAKES INTERNATIONAL LANGUAGE ADMY</t>
  </si>
  <si>
    <t>KALEIDOSCOPE CHARTER SCHOOL</t>
  </si>
  <si>
    <t>RIVER HEIGHTS CHARTER SCHOOL</t>
  </si>
  <si>
    <t>ST. CROIX PREPARATORY ACADEMY</t>
  </si>
  <si>
    <t>UBAH MEDICAL ACADEMY CHARTER SCHOOL</t>
  </si>
  <si>
    <t>EAGLE RIDGE ACADEMY CHARTER SCHOOL</t>
  </si>
  <si>
    <t>DAKOTA AREA COMMUNITY CHARTER SCH</t>
  </si>
  <si>
    <t>BEACON ACADEMY</t>
  </si>
  <si>
    <t>WORTHINGTON AREA LANGUAGE ACADEMY</t>
  </si>
  <si>
    <t>PRAIRIE SEEDS ACADEMY</t>
  </si>
  <si>
    <t>TEAM ACADEMY</t>
  </si>
  <si>
    <t>LIGHTHOUSE ACADEMY OF NATIONS</t>
  </si>
  <si>
    <t>TWIN CITIES ACADEMY HIGH SCHOOL</t>
  </si>
  <si>
    <t>BEACON PREPARATORY SCHOOL</t>
  </si>
  <si>
    <t>ROCHESTER MATH &amp; SCIENCE ACADEMY</t>
  </si>
  <si>
    <t>SOUL ACADEMY CHARTER SCHOOL</t>
  </si>
  <si>
    <t>SWAN RIVER MONTESSORI CHARTER SCH</t>
  </si>
  <si>
    <t>MILROY AREA CHARTER SCHOOL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</si>
  <si>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</si>
  <si>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</si>
  <si>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</si>
  <si>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</si>
  <si>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</si>
  <si>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GREEN ISLE COMMUNITY SCHOOL</t>
  </si>
  <si>
    <t>BIRCH GROVE COMMUNITY SCHOOL</t>
  </si>
  <si>
    <t>NORTHERN LIGHTS COMMUNITY SCHOOL</t>
  </si>
  <si>
    <t>ACADEMY OF BIOSCIENCES</t>
  </si>
  <si>
    <t>CYGNUS ACADEMY</t>
  </si>
  <si>
    <t>MINNESOTA ONLINE HIGH SCHOOL</t>
  </si>
  <si>
    <t>EDVISIONS OFF CAMPUS SCHOOL</t>
  </si>
  <si>
    <t>TWIN CITIES GERMAN IMMERSION CHRTR</t>
  </si>
  <si>
    <t>DUGSI ACADEMY</t>
  </si>
  <si>
    <t>RECOVERY SCHOOL OF SOUTHERN MN</t>
  </si>
  <si>
    <t>NAYTAHWAUSH COMMUNITY SCHOOL</t>
  </si>
  <si>
    <t>NEW SALEM ACADEMY</t>
  </si>
  <si>
    <t>DAKOTA ACADEMY</t>
  </si>
  <si>
    <t>SEVEN HILLS CLASSICAL ACADEMY</t>
  </si>
  <si>
    <t>SPECTRUM HIGH SCHOOL</t>
  </si>
  <si>
    <t>NEW DISCOVERIES MONTESSORI ACADEMY</t>
  </si>
  <si>
    <t>SOUTHSIDE FAMILY CHARTER SCHOOL</t>
  </si>
  <si>
    <t>LEARNING FOR LEADERSHIP CHARTER</t>
  </si>
  <si>
    <t>LAURA JEFFREY ACADEMY CHARTER</t>
  </si>
  <si>
    <t>ELOM INTERNATIONAL SCHOOL</t>
  </si>
  <si>
    <t>EAST RANGE ACADEMY OF TECH &amp;SCIENCE</t>
  </si>
  <si>
    <t>INTERNATIONAL SPANISH LANGUAGE ACAD</t>
  </si>
  <si>
    <t>GLACIAL HILLS ELEMENTARY</t>
  </si>
  <si>
    <t>STONEBRIDGE COMMUNITY SCHOOL</t>
  </si>
  <si>
    <t>HIAWATHA LEADERSHIP ACADEMY</t>
  </si>
  <si>
    <t>NOBLE ACADEMY</t>
  </si>
  <si>
    <t>CLARKFIELD CHARTER SCHOOL</t>
  </si>
  <si>
    <t>DUNWOODY ACADEMY</t>
  </si>
  <si>
    <t>PINE GROVE LEADERSHIP ACADEMY</t>
  </si>
  <si>
    <t>LONG TIENG ACADEMY</t>
  </si>
  <si>
    <t>WAYNEWOOD SCHOOL OF HOPE</t>
  </si>
  <si>
    <t>MINISINAAKWAANG LEADERSHIP ACADEMY</t>
  </si>
  <si>
    <t>LINCOLN INTERNATIONAL SCHOOL</t>
  </si>
  <si>
    <t>EMILY O. GOODRIDGE-GREY ACCELERATED</t>
  </si>
  <si>
    <t>COMMUNITY SCHOOL OF EXCELLENCE</t>
  </si>
  <si>
    <t>QUEST ACADEMY</t>
  </si>
  <si>
    <t>LIONSGATE ACADEMY</t>
  </si>
  <si>
    <t>ASPEN ACADEMY</t>
  </si>
  <si>
    <t>DAVINCI ACADEMY</t>
  </si>
  <si>
    <t>GLOBAL ACADEMY</t>
  </si>
  <si>
    <t>MICHAEL FROME ACADEMY</t>
  </si>
  <si>
    <t>COLOGNE ACADEMY</t>
  </si>
  <si>
    <t>BRIGHT WATER ELEMENTARY</t>
  </si>
  <si>
    <t>RIVER'S EDGE ACADEMY</t>
  </si>
  <si>
    <t>KIPP MINNESOTA CHARTER SCHOOL</t>
  </si>
  <si>
    <t>BEST ACADEMY</t>
  </si>
  <si>
    <t>COLLEGE PREPARATORY ELEMENTARY</t>
  </si>
  <si>
    <t>CANNON RIVER STEM SCHOOL</t>
  </si>
  <si>
    <t>OSHKI OGIMAAG CHARTER SCHOOL</t>
  </si>
  <si>
    <t>RICHARD ALLEN MATH&amp;SCIENCE ACADEMY</t>
  </si>
  <si>
    <t>Central MN ERDC  # 246</t>
  </si>
  <si>
    <t>Interm School District #287</t>
  </si>
  <si>
    <t>Northwest Reg Intrdst Council # 382</t>
  </si>
  <si>
    <t>Lake Agassiz Spec Ed Coop # 397</t>
  </si>
  <si>
    <t>Midwest Spec Ed Coop # 398</t>
  </si>
  <si>
    <t>NE Metro Interm School Dist #916</t>
  </si>
  <si>
    <t>Interm School District #917</t>
  </si>
  <si>
    <t>Metro ECSU # 920</t>
  </si>
  <si>
    <t>South Central Serv Coop # 922</t>
  </si>
  <si>
    <t>Resource Training and Solutions # 923</t>
  </si>
  <si>
    <t>North Central Service Coop # 924</t>
  </si>
  <si>
    <t>TIES # 925</t>
  </si>
  <si>
    <t>Lakes Country Serv Coop # 926</t>
  </si>
  <si>
    <t>Northeast Service Coop # 927</t>
  </si>
  <si>
    <t>Northwest MN Service Co-op # 928</t>
  </si>
  <si>
    <t>Carver Scott Educ Cooperative # 930</t>
  </si>
  <si>
    <t>Fergus Falls Spec Ed Coop # 935</t>
  </si>
  <si>
    <t>Meeker &amp; Wright Spec Ed Coop #938</t>
  </si>
  <si>
    <t>Wright Technical Ctr # 966</t>
  </si>
  <si>
    <t>MN Valley Coop Ctr #978</t>
  </si>
  <si>
    <t>Pine to Prairie Coop Ctr # 985</t>
  </si>
  <si>
    <t>SW/W Central Service Cooperative # 991</t>
  </si>
  <si>
    <t>MN River Valley Spec Ed Coop # 993</t>
  </si>
  <si>
    <t>Area Special Educ Coop  # 997</t>
  </si>
  <si>
    <t>Bemidji Reg Interdist Council # 998</t>
  </si>
  <si>
    <t>MN Family Career &amp; Comm Leaders of Amer</t>
  </si>
  <si>
    <t>MN Business Professionals of America</t>
  </si>
  <si>
    <t>SkillsUSA Minnesota</t>
  </si>
  <si>
    <t>MN Delta Epsilon / DECA</t>
  </si>
  <si>
    <t>Freshwater Education Dist # 6004</t>
  </si>
  <si>
    <t>Zumbro Education District # 6012</t>
  </si>
  <si>
    <t>Hiawatha Valley Ed Dist # 6013</t>
  </si>
  <si>
    <t>Runestone Area Education Dist # 6014</t>
  </si>
  <si>
    <t>W Central Education Dist # 6026</t>
  </si>
  <si>
    <t>MN Valley Educ Dist # 6027</t>
  </si>
  <si>
    <t>Riverbend Educational Dist # 6049</t>
  </si>
  <si>
    <t>Goodhue County Ed Dist # 6051</t>
  </si>
  <si>
    <t>Tri District 6067 School</t>
  </si>
  <si>
    <t>WMEP Joint Power School District</t>
  </si>
  <si>
    <t>Itasca Area Schools Collaborative</t>
  </si>
  <si>
    <t>Northland Learning Center - ISD # 6076</t>
  </si>
  <si>
    <t>Northwest Suburban ISD 6078</t>
  </si>
  <si>
    <t>Minnesota's Digital Academy</t>
  </si>
  <si>
    <t>Benton-Stearns Educ Dist # 6383</t>
  </si>
  <si>
    <t>Midstate Educational Dist # 6979</t>
  </si>
  <si>
    <t>Dept of Education</t>
  </si>
  <si>
    <t>Teachers Retirement Association</t>
  </si>
  <si>
    <t>Perpich Center for Arts Education</t>
  </si>
  <si>
    <t>Minnesota State Academies</t>
  </si>
  <si>
    <t>MN Assoc of Secondary School Principals</t>
  </si>
  <si>
    <t>Education Minnesota 09700004</t>
  </si>
  <si>
    <t>MnSCU Office of the Chancellor 101-11</t>
  </si>
  <si>
    <t>Bemidji State Univ 101-12</t>
  </si>
  <si>
    <t>Minnesota State Univ, Mankato 101-13</t>
  </si>
  <si>
    <t>Minnesota St. University Moorhead 101-14</t>
  </si>
  <si>
    <t>St Cloud State Univ 101-15</t>
  </si>
  <si>
    <t>Southwest Minnesota State Univ 101-16</t>
  </si>
  <si>
    <t>Winona State Univ 101-17</t>
  </si>
  <si>
    <t>Metropolitan State Univ 101-18</t>
  </si>
  <si>
    <t>Alexandria Tech College 101-20</t>
  </si>
  <si>
    <t>Anoka Technical College 101-21</t>
  </si>
  <si>
    <t>Central Lakes College 101-22</t>
  </si>
  <si>
    <t>Dakota County Tech College 101-23</t>
  </si>
  <si>
    <t>Lake Superior College 101-24</t>
  </si>
  <si>
    <t>Hennepin Tech College 101-25</t>
  </si>
  <si>
    <t>Ridgewater College 101-26</t>
  </si>
  <si>
    <t>Minneapolis Comm &amp; Tech College 101-27</t>
  </si>
  <si>
    <t>Century Comm and Tech College 101-28</t>
  </si>
  <si>
    <t>Northwest Tech College - Bemidj 101-29</t>
  </si>
  <si>
    <t>Pine Tech College 101-30</t>
  </si>
  <si>
    <t>Mesabi Range Comm &amp; Tech College 101-31</t>
  </si>
  <si>
    <t>Hibbing Comm College 101-32</t>
  </si>
  <si>
    <t>Minnesota State College-SE Tech 101-33</t>
  </si>
  <si>
    <t>Riverland Community College 101-34</t>
  </si>
  <si>
    <t>South Central College 101-35</t>
  </si>
  <si>
    <t>Minnesota West Comm &amp;Tech College 101-36</t>
  </si>
  <si>
    <t>St Cloud Tech College 101-37</t>
  </si>
  <si>
    <t>St Paul College 101-38</t>
  </si>
  <si>
    <t>Northeast Service Unit 101-39</t>
  </si>
  <si>
    <t>Fond duLac Tribal and Comm College101-40</t>
  </si>
  <si>
    <t>North Hennepin Comm College 101-41</t>
  </si>
  <si>
    <t>Northland Community &amp;Tech College 101-42</t>
  </si>
  <si>
    <t>Normandale Community College 101-43</t>
  </si>
  <si>
    <t>Inver Hills Community College 101-44</t>
  </si>
  <si>
    <t>Itasca Community College 101-45</t>
  </si>
  <si>
    <t>Rainy River Community College 101-46</t>
  </si>
  <si>
    <t>Rochester Comm &amp; Tech College 101-48</t>
  </si>
  <si>
    <t>Anoka-Ramsey Comm College 101-49</t>
  </si>
  <si>
    <t>Vermilion Comm College 101-50</t>
  </si>
  <si>
    <t>MN State Comm and Tech College 101-51</t>
  </si>
  <si>
    <t>FY 2010 Salaries for Pension Adjustment from Karen Williamson of TRA</t>
  </si>
  <si>
    <t>Received October 13, 2010</t>
  </si>
  <si>
    <t>MCLEOD WEST</t>
  </si>
  <si>
    <t>BUFFALO LAKE</t>
  </si>
  <si>
    <t>GLENCOE-S LAKE</t>
  </si>
  <si>
    <t>Actual TRA salaries, basic + coordinated, FY 2010</t>
  </si>
  <si>
    <t>CHANGE</t>
  </si>
  <si>
    <t>ChAnges From FY 2009 to FY 2010</t>
  </si>
  <si>
    <t>The salary basis should not</t>
  </si>
  <si>
    <t>be more for the new districts</t>
  </si>
  <si>
    <t>than it was in total for</t>
  </si>
  <si>
    <t>for old districts.</t>
  </si>
  <si>
    <t>Consolidation: Districts Affected by McLeod West 2887</t>
  </si>
  <si>
    <t>Total</t>
  </si>
  <si>
    <t>Portions for distributing Mcleod West values</t>
  </si>
  <si>
    <t>Distributing the McLeod West values:</t>
  </si>
  <si>
    <t>Salary totals before adjusting for consolidation:</t>
  </si>
  <si>
    <t>PERA:</t>
  </si>
  <si>
    <t>Not adjusted for consolidation:</t>
  </si>
  <si>
    <t>Adjusted for consolidation:</t>
  </si>
  <si>
    <t>FY 2011 Pension Adjustment</t>
  </si>
  <si>
    <t>FY 2011</t>
  </si>
  <si>
    <t>P</t>
  </si>
  <si>
    <t>TRA Org ID</t>
  </si>
  <si>
    <t>Name</t>
  </si>
  <si>
    <t>Aitkin - ISD #1</t>
  </si>
  <si>
    <t>Hill City - ISD #2</t>
  </si>
  <si>
    <t>McGregor - ISD #4</t>
  </si>
  <si>
    <t>South St Paul Special School Dist #6</t>
  </si>
  <si>
    <t>Anoka-Hennepin - ISD #11</t>
  </si>
  <si>
    <t>Centennial - ISD #12</t>
  </si>
  <si>
    <t>Columbia Heights - ISD #13</t>
  </si>
  <si>
    <t>Fridley - ISD #14</t>
  </si>
  <si>
    <t>St Francis - ISD #15</t>
  </si>
  <si>
    <t>Spring Lake Park - ISD #16</t>
  </si>
  <si>
    <t>Detroit Lakes - ISD #22</t>
  </si>
  <si>
    <t>Frazee-Vergas Public Schools</t>
  </si>
  <si>
    <t>Bemidji - ISD #31</t>
  </si>
  <si>
    <t>Blackduck - ISD #32</t>
  </si>
  <si>
    <t>Kelliher - ISD #36</t>
  </si>
  <si>
    <t>Red Lake - ISD #38</t>
  </si>
  <si>
    <t>Sauk Rapids - ISD #47</t>
  </si>
  <si>
    <t>Foley - ISD #51</t>
  </si>
  <si>
    <t>St Clair - ISD #75</t>
  </si>
  <si>
    <t>Mankato - ISD #77</t>
  </si>
  <si>
    <t>Comfrey Public School ISD #81</t>
  </si>
  <si>
    <t>Sleepy Eye - ISD #84</t>
  </si>
  <si>
    <t>Springfield - ISD #85</t>
  </si>
  <si>
    <t>New Ulm - ISD #88</t>
  </si>
  <si>
    <t>Barnum - ISD #91</t>
  </si>
  <si>
    <t>Carlton - ISD #93</t>
  </si>
  <si>
    <t>Cloquet - ISD #94</t>
  </si>
  <si>
    <t>Cromwell - ISD #95</t>
  </si>
  <si>
    <t>Moose Lake - ISD #97</t>
  </si>
  <si>
    <t>Esko - ISD #99</t>
  </si>
  <si>
    <t>Wrenshall - ISD #100</t>
  </si>
  <si>
    <t>Norwood Young America - ISD #108</t>
  </si>
  <si>
    <t>Waconia - ISD #110</t>
  </si>
  <si>
    <t>Watertown-Mayer - ISD #111</t>
  </si>
  <si>
    <t>Eastern Carver County Schools - ISD #112</t>
  </si>
  <si>
    <t>Walker-Hackensack - ISD #113</t>
  </si>
  <si>
    <t>Cass Lake - ISD #115</t>
  </si>
  <si>
    <t>Pillager - ISD #116</t>
  </si>
  <si>
    <t>Northland Community Schools - ISD # 118</t>
  </si>
  <si>
    <t>Montevideo - ISD #129</t>
  </si>
  <si>
    <t>North Branch - ISD #138</t>
  </si>
  <si>
    <t>Rush City - ISD #139</t>
  </si>
  <si>
    <t>Barnesville - ISD #146</t>
  </si>
  <si>
    <t>Hawley - ISD #150</t>
  </si>
  <si>
    <t>Moorhead - ISD #152</t>
  </si>
  <si>
    <t>Bagley - ISD #162</t>
  </si>
  <si>
    <t>Cook County - ISD #166</t>
  </si>
  <si>
    <t>Mountain Lake - ISD #173</t>
  </si>
  <si>
    <t>Windom - ISD #177</t>
  </si>
  <si>
    <t>Brainerd - ISD #181</t>
  </si>
  <si>
    <t>Crosby-Ironton - ISD #182</t>
  </si>
  <si>
    <t>Pequot Lakes - ISD #186</t>
  </si>
  <si>
    <t>Burnsville - ISD #191</t>
  </si>
  <si>
    <t>Farmington - ISD #192</t>
  </si>
  <si>
    <t>Lakeville - ISD #194</t>
  </si>
  <si>
    <t>Randolph - ISD #195</t>
  </si>
  <si>
    <t>Rosemount-Apple Valley-Eagan - ISD #196</t>
  </si>
  <si>
    <t>West St Paul - ISD #197</t>
  </si>
  <si>
    <t>Inver Grove Heights - ISD #199</t>
  </si>
  <si>
    <t>Hastings - ISD #200</t>
  </si>
  <si>
    <t>Hayfield - ISD #203</t>
  </si>
  <si>
    <t>Kasson-Mantorville - ISD #204</t>
  </si>
  <si>
    <t>Alexandria - ISD #206</t>
  </si>
  <si>
    <t>Brandon - ISD #207</t>
  </si>
  <si>
    <t>Evansville - ISD #208</t>
  </si>
  <si>
    <t>Osakis - ISD #213</t>
  </si>
  <si>
    <t>Chatfield - ISD #227</t>
  </si>
  <si>
    <t>Lanesboro - ISD #229</t>
  </si>
  <si>
    <t>Mabel-Canton - ISD #238</t>
  </si>
  <si>
    <t>Rushford - ISD #239</t>
  </si>
  <si>
    <t>Albert Lea - ISD #241</t>
  </si>
  <si>
    <t>Alden - ISD #242</t>
  </si>
  <si>
    <t>Cannon Falls - ISD #252</t>
  </si>
  <si>
    <t>Goodhue - ISD #253</t>
  </si>
  <si>
    <t>Pine Island - ISD #255</t>
  </si>
  <si>
    <t>Red Wing - ISD #256</t>
  </si>
  <si>
    <t>Ashby - ISD #261</t>
  </si>
  <si>
    <t>Herman - ISD #264</t>
  </si>
  <si>
    <t>Hopkins - ISD #270</t>
  </si>
  <si>
    <t>Bloomington - ISD #271</t>
  </si>
  <si>
    <t>Eden Prairie - ISD #272</t>
  </si>
  <si>
    <t>Edina - ISD #273</t>
  </si>
  <si>
    <t>Minnetonka - ISD #276</t>
  </si>
  <si>
    <t>Westonka - ISD #277</t>
  </si>
  <si>
    <t>Orono - ISD #278</t>
  </si>
  <si>
    <t>Osseo - ISD #279</t>
  </si>
  <si>
    <t>Richfield - ISD #280</t>
  </si>
  <si>
    <t>Robbinsdale - ISD #281</t>
  </si>
  <si>
    <t>St Anthony - ISD #282</t>
  </si>
  <si>
    <t>St Louis Park - ISD #283</t>
  </si>
  <si>
    <t>Wayzata - ISD #284</t>
  </si>
  <si>
    <t>Brooklyn Center - ISD #286</t>
  </si>
  <si>
    <t>Houston - ISD #294</t>
  </si>
  <si>
    <t>Spring Grove - ISD #297</t>
  </si>
  <si>
    <t>Caledonia - ISD #299</t>
  </si>
  <si>
    <t>LaCrescent - ISD #300</t>
  </si>
  <si>
    <t>Laporte - ISD #306</t>
  </si>
  <si>
    <t>Nevis - ISD #308</t>
  </si>
  <si>
    <t>Park Rapids - ISD #309</t>
  </si>
  <si>
    <t>Braham - ISD #314</t>
  </si>
  <si>
    <t>Greenway Schools - ISD #316</t>
  </si>
  <si>
    <t>Deer River - ISD #317</t>
  </si>
  <si>
    <t>Grand Rapids - ISD #318</t>
  </si>
  <si>
    <t>Nashwauk-Keewatin - ISD #319</t>
  </si>
  <si>
    <t>Heron Lake-Okabena - ISD #330</t>
  </si>
  <si>
    <t>Mora - ISD #332</t>
  </si>
  <si>
    <t>Ogilvie - ISD #333</t>
  </si>
  <si>
    <t>New London-Spicer - ISD #345</t>
  </si>
  <si>
    <t>Willmar - ISD #347</t>
  </si>
  <si>
    <t>Lancaster - ISD #356</t>
  </si>
  <si>
    <t>International Falls - ISD #361</t>
  </si>
  <si>
    <t>Littlefork - Big Falls - ISD #362</t>
  </si>
  <si>
    <t>So Koochiching-Rainy River - ISD #363</t>
  </si>
  <si>
    <t>Dawson - ISD #378</t>
  </si>
  <si>
    <t>Lake Superior - ISD #381</t>
  </si>
  <si>
    <t>Lake of the Woods - ISD #390</t>
  </si>
  <si>
    <t>Cleveland - ISD #391</t>
  </si>
  <si>
    <t>Le Center - ISD #392</t>
  </si>
  <si>
    <t>Montgomery - Lonsdale - ISD #394</t>
  </si>
  <si>
    <t>Hendricks - ISD #402</t>
  </si>
  <si>
    <t>Ivanhoe - ISD #403</t>
  </si>
  <si>
    <t>Lake Benton - ISD #404</t>
  </si>
  <si>
    <t>Marshall - ISD #413</t>
  </si>
  <si>
    <t>Minneota - ISD #414</t>
  </si>
  <si>
    <t>Lynd - ISD #415</t>
  </si>
  <si>
    <t>Hutchinson - ISD #423</t>
  </si>
  <si>
    <t>Lester Prairie - ISD #424</t>
  </si>
  <si>
    <t>Mahnomen - ISD #432</t>
  </si>
  <si>
    <t>Waubun - ISD #435</t>
  </si>
  <si>
    <t>Marshall County Central - ISD #441</t>
  </si>
  <si>
    <t>Grygla - ISD #447</t>
  </si>
  <si>
    <t>Truman - ISD #458</t>
  </si>
  <si>
    <t>Eden Valley - Watkins - ISD #463</t>
  </si>
  <si>
    <t>Litchfield - ISD #465</t>
  </si>
  <si>
    <t>Dassel-Cokato - ISD #466</t>
  </si>
  <si>
    <t>Isle - ISD #473</t>
  </si>
  <si>
    <t>Princeton - ISD #477</t>
  </si>
  <si>
    <t>Onamia - ISD #480</t>
  </si>
  <si>
    <t>Little Falls - ISD #482</t>
  </si>
  <si>
    <t>Pierz - ISD #484</t>
  </si>
  <si>
    <t>Royalton - ISD #485</t>
  </si>
  <si>
    <t>Swanville - ISD #486</t>
  </si>
  <si>
    <t>Upsala - ISD #487</t>
  </si>
  <si>
    <t>Austin - ISD #492</t>
  </si>
  <si>
    <t>Grand Meadow - ISD #495</t>
  </si>
  <si>
    <t>Lyle - ISD #497</t>
  </si>
  <si>
    <t>LeRoy - ISD #499</t>
  </si>
  <si>
    <t>Southland - ISD #500</t>
  </si>
  <si>
    <t>Fulda - ISD #505</t>
  </si>
  <si>
    <t>Nicollet - ISD #507</t>
  </si>
  <si>
    <t>St Peter - ISD #508</t>
  </si>
  <si>
    <t>Adrian - ISD #511</t>
  </si>
  <si>
    <t>Brewster - ISD #513</t>
  </si>
  <si>
    <t>Ellsworth - ISD #514</t>
  </si>
  <si>
    <t>Round Lake - ISD #516</t>
  </si>
  <si>
    <t>Worthington - ISD #518</t>
  </si>
  <si>
    <t>Byron - ISD #531</t>
  </si>
  <si>
    <t>Dover-Eyota - ISD #533</t>
  </si>
  <si>
    <t>Stewartville - ISD #534</t>
  </si>
  <si>
    <t>Rochester - ISD #535</t>
  </si>
  <si>
    <t>Battle Lake Public Schools - ISD # 542</t>
  </si>
  <si>
    <t>Fergus Falls - ISD #544</t>
  </si>
  <si>
    <t>Henning - ISD #545</t>
  </si>
  <si>
    <t>Parkers Prairie - ISD #547</t>
  </si>
  <si>
    <t>Pelican Rapids - ISD #548</t>
  </si>
  <si>
    <t>Perham - ISD #549</t>
  </si>
  <si>
    <t>Underwood - ISD #550</t>
  </si>
  <si>
    <t>New York Mills - ISD #553</t>
  </si>
  <si>
    <t>Goodridge - ISD #561</t>
  </si>
  <si>
    <t>Thief River Falls Public Schools # 564</t>
  </si>
  <si>
    <t>Willow River - ISD #577</t>
  </si>
  <si>
    <t>Pine City - ISD #578</t>
  </si>
  <si>
    <t>Edgerton - ISD #581</t>
  </si>
  <si>
    <t>Climax - ISD #592</t>
  </si>
  <si>
    <t>Crookston - ISD #593</t>
  </si>
  <si>
    <t>East Grand Forks - ISD #595</t>
  </si>
  <si>
    <t>Fertile-Beltrami - ISD #599</t>
  </si>
  <si>
    <t>Fisher - ISD #600</t>
  </si>
  <si>
    <t>Fosston - ISD #601</t>
  </si>
  <si>
    <t>Cyrus - ISD #611</t>
  </si>
  <si>
    <t>Mounds View - ISD #621</t>
  </si>
  <si>
    <t>North St Paul-Maplewood - ISD #622</t>
  </si>
  <si>
    <t>Roseville - ISD #623</t>
  </si>
  <si>
    <t>White Bear Lake - ISD #624</t>
  </si>
  <si>
    <t>Oklee - ISD #627</t>
  </si>
  <si>
    <t>Plummer - ISD #628</t>
  </si>
  <si>
    <t>Red Lake Falls - ISD #630</t>
  </si>
  <si>
    <t>Milroy - ISD #635</t>
  </si>
  <si>
    <t>Wabasso - ISD #640</t>
  </si>
  <si>
    <t>Faribault - ISD #656</t>
  </si>
  <si>
    <t>Northfield - ISD #659</t>
  </si>
  <si>
    <t>Hills-Beaver Creek - ISD #671</t>
  </si>
  <si>
    <t>Badger - ISD #676</t>
  </si>
  <si>
    <t>Roseau - ISD #682</t>
  </si>
  <si>
    <t>Warroad - ISD #690</t>
  </si>
  <si>
    <t>Chisholm - ISD #695</t>
  </si>
  <si>
    <t>Ely - ISD #696</t>
  </si>
  <si>
    <t>Floodwood - ISD #698</t>
  </si>
  <si>
    <t>Hermantown - ISD #700</t>
  </si>
  <si>
    <t>Hibbing - ISD #701</t>
  </si>
  <si>
    <t>Proctor - ISD #704</t>
  </si>
  <si>
    <t>Virginia - ISD #706</t>
  </si>
  <si>
    <t>Nett Lake - ISD #707</t>
  </si>
  <si>
    <t>Mountain Iron-Buhl - ISD #712</t>
  </si>
  <si>
    <t>Belle Plaine - ISD #716</t>
  </si>
  <si>
    <t>Jordan - ISD #717</t>
  </si>
  <si>
    <t>Prior Lake - ISD #719</t>
  </si>
  <si>
    <t>Shakopee - ISD #720</t>
  </si>
  <si>
    <t>New Prague - ISD #721</t>
  </si>
  <si>
    <t>Becker - ISD #726</t>
  </si>
  <si>
    <t>Big Lake - ISD #727</t>
  </si>
  <si>
    <t>Elk River - ISD #728</t>
  </si>
  <si>
    <t>Holdingford - ISD #738</t>
  </si>
  <si>
    <t>Kimball - ISD #739</t>
  </si>
  <si>
    <t>Melrose - ISD #740</t>
  </si>
  <si>
    <t>Paynesville - ISD #741</t>
  </si>
  <si>
    <t>St Cloud - ISD #742</t>
  </si>
  <si>
    <t>Sauk Centre - ISD #743</t>
  </si>
  <si>
    <t>Albany - ISD #745</t>
  </si>
  <si>
    <t>Sartell - ISD #748</t>
  </si>
  <si>
    <t>Rocori - ISD #750</t>
  </si>
  <si>
    <t>Blooming Prairie - ISD #756</t>
  </si>
  <si>
    <t>Owatonna - ISD #761</t>
  </si>
  <si>
    <t>Medford - ISD #763</t>
  </si>
  <si>
    <t>Hancock - ISD #768</t>
  </si>
  <si>
    <t>Morris - ISD #769</t>
  </si>
  <si>
    <t>Chokio-Alberta - ISD #771</t>
  </si>
  <si>
    <t>Kerkhoven-Murdock-Sunburg - ISD #775</t>
  </si>
  <si>
    <t>Benson - ISD #777</t>
  </si>
  <si>
    <t>Bertha-Hewitt - ISD #786</t>
  </si>
  <si>
    <t>Browerville - ISD #787</t>
  </si>
  <si>
    <t>Browns Valley - ISD #801</t>
  </si>
  <si>
    <t>Wheaton - ISD #803</t>
  </si>
  <si>
    <t>Wabasha-Kellogg - ISD #811</t>
  </si>
  <si>
    <t>Lake City - ISD #813</t>
  </si>
  <si>
    <t>Prinsburg - ISD #815</t>
  </si>
  <si>
    <t>Verndale - ISD #818</t>
  </si>
  <si>
    <t>Sebeka - ISD #820</t>
  </si>
  <si>
    <t>Menahga - ISD #821</t>
  </si>
  <si>
    <t>Waseca - ISD #829</t>
  </si>
  <si>
    <t>Forest Lake - ISD #831</t>
  </si>
  <si>
    <t>Mahtomedi - ISD #832</t>
  </si>
  <si>
    <t>South Washington County - ISD #833</t>
  </si>
  <si>
    <t>Stillwater - ISD #834</t>
  </si>
  <si>
    <t>Butterfield - ISD #836</t>
  </si>
  <si>
    <t>Madelia - ISD #837</t>
  </si>
  <si>
    <t>St James - ISD #840</t>
  </si>
  <si>
    <t>Breckenridge - ISD #846</t>
  </si>
  <si>
    <t>Rothsay - ISD #850</t>
  </si>
  <si>
    <t>Campbell-Tintah - ISD #852</t>
  </si>
  <si>
    <t>Lewiston - ISD #857</t>
  </si>
  <si>
    <t>St Charles - ISD #858</t>
  </si>
  <si>
    <t>Winona Area Public Schools - ISD #861</t>
  </si>
  <si>
    <t>Annandale - ISD #876</t>
  </si>
  <si>
    <t>Buffalo - ISD #877</t>
  </si>
  <si>
    <t>Delano - ISD #879</t>
  </si>
  <si>
    <t>Maple Lake - ISD #881</t>
  </si>
  <si>
    <t>Monticello - ISD #882</t>
  </si>
  <si>
    <t>Rockford - ISD #883</t>
  </si>
  <si>
    <t>St Michael - ISD #885</t>
  </si>
  <si>
    <t>Canby - ISD #891</t>
  </si>
  <si>
    <t>Cambridge-Isanti - ISD #911</t>
  </si>
  <si>
    <t>Milaca - ISD #912</t>
  </si>
  <si>
    <t>Ulen - Hitterdal -ISD #914</t>
  </si>
  <si>
    <t>Lake Crystal-Wellcome Memorial ISD #2071</t>
  </si>
  <si>
    <t>Triton Schools - ISD #2125</t>
  </si>
  <si>
    <t>United South Central - ISD #2134</t>
  </si>
  <si>
    <t>Maple River - ISD #2135</t>
  </si>
  <si>
    <t>Kingsland - ISD #2137</t>
  </si>
  <si>
    <t>St Louis County Schools - ISD # 2142</t>
  </si>
  <si>
    <t>Waterville-Elysian-Morristown ISD #2143</t>
  </si>
  <si>
    <t>Chisago Lakes Area - ISD #2144</t>
  </si>
  <si>
    <t>Minnewaska Area - ISD #2149</t>
  </si>
  <si>
    <t>Eveleth-Gilbert - ISD #2154</t>
  </si>
  <si>
    <t>Wadena-Deer Creek - ISD #2155</t>
  </si>
  <si>
    <t>Buffalo Lake-Hector - ISD #2159</t>
  </si>
  <si>
    <t>Dilworth-Glyndon-Felton - ISD #2164</t>
  </si>
  <si>
    <t>Hinckley-Finlayson - ISD #2165</t>
  </si>
  <si>
    <t>Lakeview - ISD #2167</t>
  </si>
  <si>
    <t>NRHEG - ISD #2168</t>
  </si>
  <si>
    <t>Murray County Central - ISD #2169</t>
  </si>
  <si>
    <t>Staples-Motley - ISD #2170</t>
  </si>
  <si>
    <t>Kittson Central - ISD #2171</t>
  </si>
  <si>
    <t>Kenyon-Wanamingo - ISD #2172</t>
  </si>
  <si>
    <t>Pine River-Backus - ISD #2174</t>
  </si>
  <si>
    <t>Warren-Alvarado-Oslo - ISD #2176</t>
  </si>
  <si>
    <t>MACCRAY - ISD #2180</t>
  </si>
  <si>
    <t>Luverne - ISD #2184</t>
  </si>
  <si>
    <t>Yellow Medicine East - ISD #2190</t>
  </si>
  <si>
    <t>Fillmore Central - ISD #2198</t>
  </si>
  <si>
    <t>Norman County East - ISD #2215</t>
  </si>
  <si>
    <t>Sibley East - ISD #2310</t>
  </si>
  <si>
    <t>Clearbrook-Gonvick - ISD #2311</t>
  </si>
  <si>
    <t>West Central Area - ISD #2342</t>
  </si>
  <si>
    <t>Tri-County - ISD #2358</t>
  </si>
  <si>
    <t>Belgrade-Brooten-Elrosa - ISD #2364</t>
  </si>
  <si>
    <t>Gibbon-Fairfax-Winthrop - ISD #2365</t>
  </si>
  <si>
    <t>Atwater-Cosmos-Grove City - ISD #2396</t>
  </si>
  <si>
    <t>Le Sueur-Henderson - ISD #2397</t>
  </si>
  <si>
    <t>Martin County West - ISD #2448</t>
  </si>
  <si>
    <t>Norman County West - ISD #2527</t>
  </si>
  <si>
    <t>BOLD - ISD #2534</t>
  </si>
  <si>
    <t>Granada-Huntley-E Chain - ISD #2536</t>
  </si>
  <si>
    <t>East Central - ISD #2580</t>
  </si>
  <si>
    <t>Win-E-Mac - ISD #2609</t>
  </si>
  <si>
    <t>Greenbush-Middle River - ISD #2683</t>
  </si>
  <si>
    <t>Howard Lake-Waverly-Winsted - ISD #2687</t>
  </si>
  <si>
    <t>Pipestone Area Schools - ISD #2689</t>
  </si>
  <si>
    <t>Mesabi East - ISD #2711</t>
  </si>
  <si>
    <t>Fairmont-Ceylon - ISD #2752</t>
  </si>
  <si>
    <t>Long Prairie-Grey Eagle - ISD #2753</t>
  </si>
  <si>
    <t>Cedar Mountain - ISD #2754</t>
  </si>
  <si>
    <t>Eagle Valley - ISD #2759</t>
  </si>
  <si>
    <t>Zumbrota-Mazeppa - ISD #2805</t>
  </si>
  <si>
    <t>Janesville-Waldorf-Pemberton - ISD #2835</t>
  </si>
  <si>
    <t>Lac qui Parle Valley - ISD #2853</t>
  </si>
  <si>
    <t>Ada-Borup - ISD #2854</t>
  </si>
  <si>
    <t>Stephen-Argyle - ISD #2856</t>
  </si>
  <si>
    <t>Glencoe-Silver Lake - ISD #2859</t>
  </si>
  <si>
    <t>Blue Earth Area Public Schools  # 2860</t>
  </si>
  <si>
    <t>Red Rock Central - ISD #2884</t>
  </si>
  <si>
    <t>Glenville-Emmons - ISD #2886</t>
  </si>
  <si>
    <t>Clinton-Graceville-Beardsley - ISD #2888</t>
  </si>
  <si>
    <t>Lake Park-Audubon District - ISD #2889</t>
  </si>
  <si>
    <t>Renville County West - ISD #2890</t>
  </si>
  <si>
    <t>Jackson County Central Schools ISD #2895</t>
  </si>
  <si>
    <t>Redwood Area Schools - ISD # 2897</t>
  </si>
  <si>
    <t>Westbrook-Walnut Grove Public School2898</t>
  </si>
  <si>
    <t>Plainview-Elgin-Millville ISD #2899</t>
  </si>
  <si>
    <t>RTR Public School</t>
  </si>
  <si>
    <t>Ortonville Public School</t>
  </si>
  <si>
    <t>Tracy Area School District</t>
  </si>
  <si>
    <t>Pine Point - ISD #3333</t>
  </si>
  <si>
    <t>City Academy</t>
  </si>
  <si>
    <t>Bluffview Montessori</t>
  </si>
  <si>
    <t>New Heights School</t>
  </si>
  <si>
    <t>Cedar-Riverside Community School</t>
  </si>
  <si>
    <t>Metro Deaf School</t>
  </si>
  <si>
    <t>New Country Charter School</t>
  </si>
  <si>
    <t>PACT Charter School</t>
  </si>
  <si>
    <t>New Visions School</t>
  </si>
  <si>
    <t>Emily Charter School</t>
  </si>
  <si>
    <t>Community of Peace</t>
  </si>
  <si>
    <t>World Learner School</t>
  </si>
  <si>
    <t>MN Transitions Charter School</t>
  </si>
  <si>
    <t>Achieve Language Academy</t>
  </si>
  <si>
    <t>Duluth Edison Charter School</t>
  </si>
  <si>
    <t>Cyber Village Academy</t>
  </si>
  <si>
    <t>ECHO Charter School</t>
  </si>
  <si>
    <t>Higher Ground</t>
  </si>
  <si>
    <t>St Paul City School</t>
  </si>
  <si>
    <t>Odyssey Academy</t>
  </si>
  <si>
    <t>Jennings Experiential High School</t>
  </si>
  <si>
    <t>Harvest Preparatory Academy</t>
  </si>
  <si>
    <t>Concordia Creative Learning Academy</t>
  </si>
  <si>
    <t>Face to Face Academy</t>
  </si>
  <si>
    <t>Sojourner Truth Academy</t>
  </si>
  <si>
    <t>High School for Recording Arts</t>
  </si>
  <si>
    <t>Twin Cities Academy</t>
  </si>
  <si>
    <t>Math &amp; Science Academy</t>
  </si>
  <si>
    <t>Lakes Area Charter School</t>
  </si>
  <si>
    <t>Lake Superior High School</t>
  </si>
  <si>
    <t>Great River Education Center</t>
  </si>
  <si>
    <t>Northwest Passage High School</t>
  </si>
  <si>
    <t>Lafayette Charter School</t>
  </si>
  <si>
    <t>Four Directions Charter School</t>
  </si>
  <si>
    <t>North Lakes Academy</t>
  </si>
  <si>
    <t>LaCrescent Montessori Academy</t>
  </si>
  <si>
    <t>Nerstrand Elementary School</t>
  </si>
  <si>
    <t>Rochester Off-Campus Charter HS</t>
  </si>
  <si>
    <t>El Colegio Charter School</t>
  </si>
  <si>
    <t>Schoolcraft Learning Community</t>
  </si>
  <si>
    <t>Crosslake Community School</t>
  </si>
  <si>
    <t>Studio Academy</t>
  </si>
  <si>
    <t>Riverway Learning Community</t>
  </si>
  <si>
    <t>Riverbend  Academy</t>
  </si>
  <si>
    <t>Aurora Charter School</t>
  </si>
  <si>
    <t>Excell Academy for Higher Learning</t>
  </si>
  <si>
    <t>HOPE Community Academy</t>
  </si>
  <si>
    <t>Academia Cesar Chavez</t>
  </si>
  <si>
    <t>AFSA High School</t>
  </si>
  <si>
    <t>Avalon School</t>
  </si>
  <si>
    <t>Twin Cities International Elem. School</t>
  </si>
  <si>
    <t>MN International Middle School</t>
  </si>
  <si>
    <t>Friendship Academy of Fine Arts</t>
  </si>
  <si>
    <t>Pillager Area Charter School</t>
  </si>
  <si>
    <t>Discovery Public School of Faribault</t>
  </si>
  <si>
    <t>BlueSky Charter School</t>
  </si>
  <si>
    <t>Ridgeway Community School</t>
  </si>
  <si>
    <t>North Shore Community School</t>
  </si>
  <si>
    <t>Harbor City International</t>
  </si>
  <si>
    <t>Woodson Institute for Student Excellence</t>
  </si>
  <si>
    <t>SAGE Academy</t>
  </si>
  <si>
    <t>Urban Academy</t>
  </si>
  <si>
    <t>New City School</t>
  </si>
  <si>
    <t>Prairie Creek Community School</t>
  </si>
  <si>
    <t>ARTECH Northfield School of Arts &amp; Tech.</t>
  </si>
  <si>
    <t>Watershed High School</t>
  </si>
  <si>
    <t>New Century Charter School</t>
  </si>
  <si>
    <t>Trio Wolf Creek Distance Learning</t>
  </si>
  <si>
    <t>Partnership Academy, Inc.</t>
  </si>
  <si>
    <t>Nova Classical Academy</t>
  </si>
  <si>
    <t>Tarek Ibn Ziyad Academy</t>
  </si>
  <si>
    <t>Great Expectations School</t>
  </si>
  <si>
    <t>Mn Internship Center</t>
  </si>
  <si>
    <t>Hmong Academy</t>
  </si>
  <si>
    <t>Liberty High School</t>
  </si>
  <si>
    <t>Great River School</t>
  </si>
  <si>
    <t>Trek North High School</t>
  </si>
  <si>
    <t>Voyageurs Expeditionary School</t>
  </si>
  <si>
    <t>Gen. John Vessey Leadership Academy</t>
  </si>
  <si>
    <t>Sobriety High Charter School</t>
  </si>
  <si>
    <t>Main Street School of Performing Arts</t>
  </si>
  <si>
    <t>Augsburg Academy for Health Careers</t>
  </si>
  <si>
    <t>St Paul Conservatory for Performing Arts</t>
  </si>
  <si>
    <t>Fraser Academy</t>
  </si>
  <si>
    <t>Prestige Academy</t>
  </si>
  <si>
    <t>Minneapolis Academy</t>
  </si>
  <si>
    <t>Lakes International Language Academy</t>
  </si>
  <si>
    <t>Kaleidoscope Charter School</t>
  </si>
  <si>
    <t>Academic Arts High School</t>
  </si>
  <si>
    <t>St Croix Preparatory School</t>
  </si>
  <si>
    <t>UBAH Medical Academy</t>
  </si>
  <si>
    <t>Eagle Ridge Academy</t>
  </si>
  <si>
    <t>Dakota Area Community School</t>
  </si>
  <si>
    <t>Beacon Academy</t>
  </si>
  <si>
    <t>Worthington Area Language Academy</t>
  </si>
  <si>
    <t>Prairie Seeds Academy</t>
  </si>
  <si>
    <t>TEAM Academy</t>
  </si>
  <si>
    <t>Lighthouse Academy of Nations</t>
  </si>
  <si>
    <t>Twin Cities Academy High School</t>
  </si>
  <si>
    <t>Beacon Preparatory School</t>
  </si>
  <si>
    <t>Rochester Math and Science Academy</t>
  </si>
  <si>
    <t>Swan River Montessori</t>
  </si>
  <si>
    <t>MILROY Area Charter School</t>
  </si>
  <si>
    <t>LoveWorks Academy</t>
  </si>
  <si>
    <t>Yinghua Academy</t>
  </si>
  <si>
    <t>Paideia Academy</t>
  </si>
  <si>
    <t>Stride Academy</t>
  </si>
  <si>
    <t>New Millennium Academy</t>
  </si>
  <si>
    <t>Green Isle Community School</t>
  </si>
  <si>
    <t>Birch Grove Charter School</t>
  </si>
  <si>
    <t>Northern Lights Community School</t>
  </si>
  <si>
    <t>Cygnus Academy</t>
  </si>
  <si>
    <t>Minnesota Online High School</t>
  </si>
  <si>
    <t>EdVisions Off-Campus Charter School</t>
  </si>
  <si>
    <t>Twin Cities German Immersion School</t>
  </si>
  <si>
    <t>Dugsi Academy</t>
  </si>
  <si>
    <t>Naytahwaush Community School</t>
  </si>
  <si>
    <t>Seven Hills Classical</t>
  </si>
  <si>
    <t>Spectrum HS</t>
  </si>
  <si>
    <t>New Discoveries Montessori Academy</t>
  </si>
  <si>
    <t>Southside Family Charter School</t>
  </si>
  <si>
    <t>Learning for Leadership CS</t>
  </si>
  <si>
    <t>Laura Jeffrey Academy</t>
  </si>
  <si>
    <t>East Range Academy of Tech and Science</t>
  </si>
  <si>
    <t>International Spanish Language Academy</t>
  </si>
  <si>
    <t>Glacial Hills Elementary School</t>
  </si>
  <si>
    <t>Stonebridge Community School</t>
  </si>
  <si>
    <t>Hiawatha Leadership Academy</t>
  </si>
  <si>
    <t>Noble Academy</t>
  </si>
  <si>
    <t>Clarkfield Area Charter School</t>
  </si>
  <si>
    <t>Metro Tech Career Academy</t>
  </si>
  <si>
    <t>Pine Grove Leadership Academy</t>
  </si>
  <si>
    <t>Long Tieng Academy</t>
  </si>
  <si>
    <t>Minisinaakwaang Leadership Academy</t>
  </si>
  <si>
    <t>Lincoln International Charter School</t>
  </si>
  <si>
    <t>Emily O. Goodridge Grey Accelerated C.S.</t>
  </si>
  <si>
    <t>Community School of Excellence</t>
  </si>
  <si>
    <t>Quest Academy</t>
  </si>
  <si>
    <t>Lionsgate Academy</t>
  </si>
  <si>
    <t>Aspen Academy</t>
  </si>
  <si>
    <t>DaVinci Academy of Art and Science</t>
  </si>
  <si>
    <t>Global Academy, Inc.</t>
  </si>
  <si>
    <t>Natural Science Academy</t>
  </si>
  <si>
    <t>Cologne Academy</t>
  </si>
  <si>
    <t>Bright Water Elementary Charter School</t>
  </si>
  <si>
    <t>River's Edge Academy</t>
  </si>
  <si>
    <t>KIPP Minnesota</t>
  </si>
  <si>
    <t>Best Academy</t>
  </si>
  <si>
    <t>College Prep Elementary</t>
  </si>
  <si>
    <t>Cannon River STEM School</t>
  </si>
  <si>
    <t>Oshki Ogimaag Charter School</t>
  </si>
  <si>
    <t>Richard Allen Math &amp; Science Academy</t>
  </si>
  <si>
    <t>Academy of North Minneapolis</t>
  </si>
  <si>
    <t>MCF-Red Wing</t>
  </si>
  <si>
    <t>S0001</t>
  </si>
  <si>
    <t>Minneapolis - Special School Dist #1</t>
  </si>
  <si>
    <t>FY 2012</t>
  </si>
  <si>
    <t>Q</t>
  </si>
  <si>
    <t>FY 2012 PENSION REDUCTIONS BASED ON PAID SALARIES</t>
  </si>
  <si>
    <t>R</t>
  </si>
  <si>
    <t>S</t>
  </si>
  <si>
    <t>T</t>
  </si>
  <si>
    <t>Adjustment</t>
  </si>
  <si>
    <t>FY 1997 salary totals adjusted for consolidation:</t>
  </si>
  <si>
    <t>Share of #2887's FY 2007 salaries</t>
  </si>
  <si>
    <t>based on FY 2009 AMCPU: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</si>
</sst>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_)"/>
    <numFmt numFmtId="166" formatCode="#,##0.0000"/>
    <numFmt numFmtId="167" formatCode="00000"/>
    <numFmt numFmtId="168" formatCode="&quot;$&quot;#,##0.00"/>
  </numFmts>
  <fonts count="14" x14ac:knownFonts="1">
    <font>
      <sz val="10"/>
      <name val="Arial"/>
    </font>
    <font>
      <sz val="10"/>
      <name val="Arial"/>
      <family val="2"/>
    </font>
    <font>
      <sz val="10"/>
      <name val="Courier New"/>
      <family val="3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0"/>
      <name val="Arial"/>
      <family val="2"/>
    </font>
    <font>
      <sz val="11"/>
      <color indexed="10"/>
      <name val="Times New Roman"/>
      <family val="1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2" fillId="4" borderId="0" applyNumberFormat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quotePrefix="1"/>
    <xf numFmtId="39" fontId="0" fillId="0" borderId="0" xfId="0" applyNumberFormat="1" applyProtection="1"/>
    <xf numFmtId="164" fontId="0" fillId="0" borderId="0" xfId="0" applyNumberFormat="1" applyProtection="1"/>
    <xf numFmtId="3" fontId="0" fillId="0" borderId="0" xfId="0" applyNumberFormat="1" applyBorder="1"/>
    <xf numFmtId="3" fontId="0" fillId="0" borderId="0" xfId="0" applyNumberFormat="1" applyProtection="1"/>
    <xf numFmtId="3" fontId="0" fillId="0" borderId="0" xfId="0" applyNumberFormat="1"/>
    <xf numFmtId="1" fontId="1" fillId="0" borderId="0" xfId="0" applyNumberFormat="1" applyFont="1" applyAlignment="1">
      <alignment horizontal="right"/>
    </xf>
    <xf numFmtId="3" fontId="0" fillId="0" borderId="0" xfId="0" applyNumberFormat="1" applyAlignment="1" applyProtection="1">
      <alignment horizontal="right"/>
      <protection locked="0"/>
    </xf>
    <xf numFmtId="0" fontId="2" fillId="0" borderId="0" xfId="0" applyFont="1"/>
    <xf numFmtId="0" fontId="3" fillId="0" borderId="0" xfId="1" applyAlignment="1" applyProtection="1"/>
    <xf numFmtId="3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 applyProtection="1">
      <alignment horizontal="left"/>
    </xf>
    <xf numFmtId="0" fontId="1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1" applyAlignment="1" applyProtection="1">
      <alignment horizontal="left"/>
    </xf>
    <xf numFmtId="0" fontId="9" fillId="0" borderId="0" xfId="0" applyFont="1" applyAlignment="1">
      <alignment horizontal="left"/>
    </xf>
    <xf numFmtId="1" fontId="0" fillId="0" borderId="0" xfId="0" applyNumberFormat="1" applyProtection="1"/>
    <xf numFmtId="165" fontId="0" fillId="0" borderId="0" xfId="0" applyNumberFormat="1" applyAlignment="1" applyProtection="1">
      <alignment horizontal="left"/>
    </xf>
    <xf numFmtId="3" fontId="0" fillId="2" borderId="1" xfId="0" applyNumberFormat="1" applyFill="1" applyBorder="1"/>
    <xf numFmtId="3" fontId="0" fillId="2" borderId="2" xfId="0" applyNumberFormat="1" applyFill="1" applyBorder="1"/>
    <xf numFmtId="3" fontId="0" fillId="2" borderId="3" xfId="0" applyNumberFormat="1" applyFill="1" applyBorder="1"/>
    <xf numFmtId="0" fontId="10" fillId="0" borderId="0" xfId="0" applyFont="1"/>
    <xf numFmtId="3" fontId="0" fillId="0" borderId="0" xfId="0" applyNumberFormat="1" applyFill="1"/>
    <xf numFmtId="3" fontId="0" fillId="0" borderId="0" xfId="0" applyNumberFormat="1" applyFill="1" applyBorder="1"/>
    <xf numFmtId="0" fontId="1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0" fillId="0" borderId="0" xfId="0" applyNumberFormat="1" applyFill="1" applyBorder="1"/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Fill="1"/>
    <xf numFmtId="164" fontId="0" fillId="0" borderId="0" xfId="0" applyNumberFormat="1" applyAlignment="1">
      <alignment horizontal="right"/>
    </xf>
    <xf numFmtId="164" fontId="0" fillId="3" borderId="0" xfId="0" applyNumberFormat="1" applyFill="1"/>
    <xf numFmtId="164" fontId="0" fillId="0" borderId="0" xfId="0" applyNumberFormat="1"/>
    <xf numFmtId="3" fontId="0" fillId="0" borderId="0" xfId="0" applyNumberFormat="1" applyAlignment="1" applyProtection="1">
      <alignment horizontal="right"/>
    </xf>
    <xf numFmtId="3" fontId="0" fillId="0" borderId="0" xfId="0" applyNumberForma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right"/>
    </xf>
    <xf numFmtId="167" fontId="10" fillId="5" borderId="4" xfId="0" applyNumberFormat="1" applyFont="1" applyFill="1" applyBorder="1" applyAlignment="1">
      <alignment horizontal="right"/>
    </xf>
    <xf numFmtId="0" fontId="10" fillId="5" borderId="5" xfId="0" applyFont="1" applyFill="1" applyBorder="1"/>
    <xf numFmtId="168" fontId="10" fillId="5" borderId="5" xfId="0" applyNumberFormat="1" applyFont="1" applyFill="1" applyBorder="1"/>
    <xf numFmtId="168" fontId="10" fillId="5" borderId="6" xfId="0" applyNumberFormat="1" applyFont="1" applyFill="1" applyBorder="1"/>
    <xf numFmtId="167" fontId="10" fillId="5" borderId="0" xfId="0" applyNumberFormat="1" applyFont="1" applyFill="1" applyBorder="1" applyAlignment="1">
      <alignment horizontal="right"/>
    </xf>
    <xf numFmtId="1" fontId="0" fillId="0" borderId="0" xfId="0" applyNumberFormat="1" applyFill="1" applyBorder="1"/>
    <xf numFmtId="0" fontId="0" fillId="0" borderId="7" xfId="0" applyBorder="1"/>
    <xf numFmtId="168" fontId="0" fillId="0" borderId="7" xfId="0" applyNumberFormat="1" applyBorder="1"/>
    <xf numFmtId="168" fontId="0" fillId="0" borderId="8" xfId="0" applyNumberFormat="1" applyBorder="1"/>
    <xf numFmtId="0" fontId="0" fillId="0" borderId="9" xfId="0" applyBorder="1"/>
    <xf numFmtId="168" fontId="0" fillId="0" borderId="9" xfId="0" applyNumberFormat="1" applyBorder="1"/>
    <xf numFmtId="168" fontId="0" fillId="0" borderId="10" xfId="0" applyNumberFormat="1" applyBorder="1"/>
    <xf numFmtId="168" fontId="13" fillId="4" borderId="11" xfId="2" applyNumberFormat="1" applyFont="1" applyBorder="1"/>
    <xf numFmtId="4" fontId="0" fillId="0" borderId="0" xfId="0" applyNumberFormat="1" applyAlignment="1">
      <alignment horizontal="left"/>
    </xf>
    <xf numFmtId="0" fontId="1" fillId="0" borderId="0" xfId="0" quotePrefix="1" applyFont="1" applyAlignment="1">
      <alignment horizontal="left"/>
    </xf>
    <xf numFmtId="0" fontId="13" fillId="4" borderId="1" xfId="2" applyFont="1" applyBorder="1" applyAlignment="1"/>
    <xf numFmtId="0" fontId="13" fillId="4" borderId="3" xfId="2" applyFont="1" applyBorder="1" applyAlignment="1"/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Karen.Williamson@state.mn.u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ros.leg.mn/bin/getpub.php?type=s&amp;num=273.1385&amp;year=2006" TargetMode="External"/><Relationship Id="rId2" Type="http://schemas.openxmlformats.org/officeDocument/2006/relationships/hyperlink" Target="http://ros.leg.mn/bin/getpub.php?type=s&amp;num=124.2139&amp;year=2006" TargetMode="External"/><Relationship Id="rId1" Type="http://schemas.openxmlformats.org/officeDocument/2006/relationships/hyperlink" Target="http://ros.leg.mn/bin/getpub.php?type=s&amp;num=123A.26&amp;year=2006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://ros.leg.mn/bin/getpub.php?type=s&amp;num=477A.015&amp;year=2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395"/>
  <sheetViews>
    <sheetView tabSelected="1" zoomScale="75" zoomScaleNormal="75" workbookViewId="0">
      <pane xSplit="3" ySplit="15" topLeftCell="D16" activePane="bottomRight" state="frozen"/>
      <selection pane="topRight" activeCell="D1" sqref="D1"/>
      <selection pane="bottomLeft" activeCell="A16" sqref="A16"/>
      <selection pane="bottomRight" activeCell="D16" sqref="D16"/>
    </sheetView>
  </sheetViews>
  <sheetFormatPr defaultRowHeight="12.75" x14ac:dyDescent="0.25"/>
  <cols>
    <col min="1" max="1" width="7.59765625" customWidth="1"/>
    <col min="2" max="2" width="4.09765625" customWidth="1"/>
    <col min="3" max="3" width="18.69921875" customWidth="1"/>
    <col min="4" max="18" width="14.69921875" customWidth="1"/>
    <col min="19" max="23" width="12.69921875" customWidth="1"/>
    <col min="24" max="24" width="12.69921875" style="11" customWidth="1"/>
    <col min="25" max="25" width="12.69921875" style="21" customWidth="1"/>
    <col min="26" max="30" width="12.69921875" customWidth="1"/>
  </cols>
  <sheetData>
    <row r="1" spans="1:27" s="1" customFormat="1" x14ac:dyDescent="0.25">
      <c r="A1" s="19" t="s">
        <v>1649</v>
      </c>
      <c r="B1"/>
      <c r="C1"/>
      <c r="D1"/>
      <c r="E1"/>
      <c r="F1"/>
      <c r="G1" s="19"/>
      <c r="N1"/>
      <c r="O1"/>
      <c r="P1"/>
      <c r="Q1"/>
      <c r="T1" s="36"/>
      <c r="X1" s="16"/>
      <c r="Y1" s="21"/>
    </row>
    <row r="2" spans="1:27" s="1" customFormat="1" x14ac:dyDescent="0.25">
      <c r="A2"/>
      <c r="B2"/>
      <c r="C2"/>
      <c r="D2"/>
      <c r="E2"/>
      <c r="F2"/>
      <c r="G2"/>
      <c r="J2" s="3"/>
      <c r="K2" s="3"/>
      <c r="N2"/>
      <c r="O2"/>
      <c r="P2"/>
      <c r="Q2"/>
      <c r="T2" s="5"/>
      <c r="X2" s="16"/>
      <c r="Y2" s="21"/>
    </row>
    <row r="3" spans="1:27" s="1" customFormat="1" x14ac:dyDescent="0.25">
      <c r="A3"/>
      <c r="B3"/>
      <c r="C3"/>
      <c r="D3"/>
      <c r="E3"/>
      <c r="F3"/>
      <c r="G3"/>
      <c r="N3"/>
      <c r="O3"/>
      <c r="P3"/>
      <c r="Q3"/>
      <c r="R3" s="5"/>
      <c r="S3" s="5"/>
      <c r="X3" s="16"/>
      <c r="Y3" s="21"/>
    </row>
    <row r="4" spans="1:27" s="1" customFormat="1" x14ac:dyDescent="0.25">
      <c r="A4" s="19">
        <v>1</v>
      </c>
      <c r="B4">
        <f>A4+1</f>
        <v>2</v>
      </c>
      <c r="C4">
        <f t="shared" ref="C4:E4" si="0">B4+1</f>
        <v>3</v>
      </c>
      <c r="D4">
        <f t="shared" si="0"/>
        <v>4</v>
      </c>
      <c r="E4">
        <f t="shared" si="0"/>
        <v>5</v>
      </c>
      <c r="F4">
        <f t="shared" ref="F4" si="1">E4+1</f>
        <v>6</v>
      </c>
      <c r="G4">
        <f t="shared" ref="G4" si="2">F4+1</f>
        <v>7</v>
      </c>
      <c r="H4">
        <f t="shared" ref="H4" si="3">G4+1</f>
        <v>8</v>
      </c>
      <c r="I4">
        <f t="shared" ref="I4" si="4">H4+1</f>
        <v>9</v>
      </c>
      <c r="J4">
        <f t="shared" ref="J4" si="5">I4+1</f>
        <v>10</v>
      </c>
      <c r="K4">
        <f t="shared" ref="K4" si="6">J4+1</f>
        <v>11</v>
      </c>
      <c r="L4">
        <f t="shared" ref="L4" si="7">K4+1</f>
        <v>12</v>
      </c>
      <c r="M4">
        <f t="shared" ref="M4" si="8">L4+1</f>
        <v>13</v>
      </c>
      <c r="N4">
        <f t="shared" ref="N4" si="9">M4+1</f>
        <v>14</v>
      </c>
      <c r="O4">
        <f t="shared" ref="O4" si="10">N4+1</f>
        <v>15</v>
      </c>
      <c r="P4">
        <f t="shared" ref="P4" si="11">O4+1</f>
        <v>16</v>
      </c>
      <c r="Q4">
        <f t="shared" ref="Q4" si="12">P4+1</f>
        <v>17</v>
      </c>
      <c r="R4">
        <f t="shared" ref="R4" si="13">Q4+1</f>
        <v>18</v>
      </c>
      <c r="S4"/>
      <c r="T4"/>
      <c r="U4"/>
      <c r="X4" s="16"/>
      <c r="Y4" s="21"/>
    </row>
    <row r="5" spans="1:27" s="1" customFormat="1" x14ac:dyDescent="0.25">
      <c r="A5" s="19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X5" s="16"/>
      <c r="Y5" s="21"/>
    </row>
    <row r="6" spans="1:27" s="1" customFormat="1" x14ac:dyDescent="0.25">
      <c r="A6"/>
      <c r="B6"/>
      <c r="C6"/>
      <c r="D6" s="1" t="s">
        <v>284</v>
      </c>
      <c r="E6" s="1" t="s">
        <v>285</v>
      </c>
      <c r="F6" s="1" t="s">
        <v>286</v>
      </c>
      <c r="G6" s="1" t="s">
        <v>287</v>
      </c>
      <c r="H6" s="1" t="s">
        <v>288</v>
      </c>
      <c r="I6" s="1" t="s">
        <v>289</v>
      </c>
      <c r="J6" s="1" t="s">
        <v>290</v>
      </c>
      <c r="K6" s="36" t="s">
        <v>291</v>
      </c>
      <c r="L6" s="36" t="s">
        <v>323</v>
      </c>
      <c r="M6" s="36" t="s">
        <v>324</v>
      </c>
      <c r="N6" s="36" t="s">
        <v>325</v>
      </c>
      <c r="O6" s="36" t="s">
        <v>326</v>
      </c>
      <c r="P6" s="36" t="s">
        <v>327</v>
      </c>
      <c r="Q6" s="36" t="s">
        <v>328</v>
      </c>
      <c r="R6" s="36" t="s">
        <v>329</v>
      </c>
      <c r="S6" s="36" t="s">
        <v>1156</v>
      </c>
      <c r="T6" s="36" t="s">
        <v>1648</v>
      </c>
      <c r="U6" s="1" t="s">
        <v>1650</v>
      </c>
      <c r="V6" s="1" t="s">
        <v>1651</v>
      </c>
      <c r="W6" s="1" t="s">
        <v>1652</v>
      </c>
      <c r="X6" s="16"/>
      <c r="Y6" s="21"/>
    </row>
    <row r="7" spans="1:27" s="1" customFormat="1" x14ac:dyDescent="0.25">
      <c r="A7"/>
      <c r="B7"/>
      <c r="C7"/>
      <c r="X7" s="16"/>
      <c r="Y7" s="21"/>
    </row>
    <row r="8" spans="1:27" s="1" customFormat="1" x14ac:dyDescent="0.25">
      <c r="A8"/>
      <c r="B8"/>
      <c r="C8"/>
      <c r="Q8" s="36" t="s">
        <v>1647</v>
      </c>
      <c r="R8" s="36" t="s">
        <v>1647</v>
      </c>
      <c r="S8" s="16"/>
      <c r="V8" s="66"/>
      <c r="X8" s="16"/>
      <c r="Y8" s="21"/>
    </row>
    <row r="9" spans="1:27" s="1" customFormat="1" x14ac:dyDescent="0.25">
      <c r="A9"/>
      <c r="B9"/>
      <c r="C9"/>
      <c r="D9" s="1" t="s">
        <v>283</v>
      </c>
      <c r="E9" s="1" t="s">
        <v>283</v>
      </c>
      <c r="F9" s="1" t="s">
        <v>283</v>
      </c>
      <c r="G9" s="1" t="s">
        <v>283</v>
      </c>
      <c r="H9" s="1" t="s">
        <v>283</v>
      </c>
      <c r="I9" s="1" t="s">
        <v>283</v>
      </c>
      <c r="J9" s="1" t="s">
        <v>283</v>
      </c>
      <c r="K9" s="1" t="s">
        <v>283</v>
      </c>
      <c r="L9" s="1" t="s">
        <v>283</v>
      </c>
      <c r="M9" s="1" t="s">
        <v>283</v>
      </c>
      <c r="N9"/>
      <c r="Q9" s="1" t="s">
        <v>296</v>
      </c>
      <c r="R9" s="1" t="s">
        <v>296</v>
      </c>
      <c r="S9" s="16"/>
      <c r="X9" s="16"/>
      <c r="Y9" s="21"/>
    </row>
    <row r="10" spans="1:27" s="1" customFormat="1" x14ac:dyDescent="0.25">
      <c r="A10"/>
      <c r="B10"/>
      <c r="C10"/>
      <c r="D10" s="1" t="s">
        <v>277</v>
      </c>
      <c r="E10" s="1" t="s">
        <v>278</v>
      </c>
      <c r="F10" s="1" t="s">
        <v>292</v>
      </c>
      <c r="G10" s="1" t="s">
        <v>293</v>
      </c>
      <c r="H10" s="1" t="s">
        <v>294</v>
      </c>
      <c r="I10" s="1" t="s">
        <v>295</v>
      </c>
      <c r="J10" s="1" t="s">
        <v>529</v>
      </c>
      <c r="K10" s="36" t="s">
        <v>532</v>
      </c>
      <c r="L10" s="36" t="s">
        <v>1155</v>
      </c>
      <c r="M10" s="36" t="s">
        <v>1647</v>
      </c>
      <c r="Q10" s="1" t="s">
        <v>330</v>
      </c>
      <c r="R10" s="1" t="s">
        <v>330</v>
      </c>
      <c r="T10" s="36"/>
      <c r="X10" s="16"/>
      <c r="Y10" s="21"/>
    </row>
    <row r="11" spans="1:27" s="1" customFormat="1" x14ac:dyDescent="0.25">
      <c r="A11"/>
      <c r="B11"/>
      <c r="C11"/>
      <c r="D11" s="1" t="s">
        <v>279</v>
      </c>
      <c r="E11" s="1" t="s">
        <v>279</v>
      </c>
      <c r="F11" s="1" t="s">
        <v>279</v>
      </c>
      <c r="G11" s="1" t="s">
        <v>279</v>
      </c>
      <c r="H11" s="1" t="s">
        <v>279</v>
      </c>
      <c r="I11" s="1" t="s">
        <v>279</v>
      </c>
      <c r="J11" s="1" t="s">
        <v>279</v>
      </c>
      <c r="K11" s="1" t="s">
        <v>279</v>
      </c>
      <c r="L11" s="1" t="s">
        <v>279</v>
      </c>
      <c r="M11" s="1" t="s">
        <v>279</v>
      </c>
      <c r="O11"/>
      <c r="P11"/>
      <c r="Q11" s="1" t="s">
        <v>515</v>
      </c>
      <c r="R11" s="1" t="s">
        <v>516</v>
      </c>
      <c r="T11" s="36"/>
      <c r="X11" s="16"/>
      <c r="Y11" s="21"/>
    </row>
    <row r="12" spans="1:27" s="1" customFormat="1" x14ac:dyDescent="0.25">
      <c r="A12"/>
      <c r="B12"/>
      <c r="C12"/>
      <c r="D12" s="1" t="s">
        <v>280</v>
      </c>
      <c r="E12" s="1" t="s">
        <v>280</v>
      </c>
      <c r="F12" s="1" t="s">
        <v>280</v>
      </c>
      <c r="G12" s="1" t="s">
        <v>280</v>
      </c>
      <c r="H12" s="1" t="s">
        <v>280</v>
      </c>
      <c r="I12" s="1" t="s">
        <v>280</v>
      </c>
      <c r="J12" s="1" t="s">
        <v>280</v>
      </c>
      <c r="K12" s="1" t="s">
        <v>280</v>
      </c>
      <c r="L12" s="1" t="s">
        <v>280</v>
      </c>
      <c r="M12" s="1" t="s">
        <v>280</v>
      </c>
      <c r="O12" s="1" t="s">
        <v>277</v>
      </c>
      <c r="P12" s="1" t="s">
        <v>297</v>
      </c>
      <c r="Q12" s="2" t="s">
        <v>331</v>
      </c>
      <c r="S12" s="36"/>
      <c r="T12" s="36"/>
      <c r="X12" s="16"/>
      <c r="Y12" s="21"/>
    </row>
    <row r="13" spans="1:27" s="1" customFormat="1" x14ac:dyDescent="0.25">
      <c r="A13"/>
      <c r="B13"/>
      <c r="C13"/>
      <c r="D13" s="1" t="s">
        <v>281</v>
      </c>
      <c r="E13" s="1" t="s">
        <v>281</v>
      </c>
      <c r="F13" s="1" t="s">
        <v>281</v>
      </c>
      <c r="G13" s="1" t="s">
        <v>281</v>
      </c>
      <c r="H13" s="1" t="s">
        <v>281</v>
      </c>
      <c r="I13" s="1" t="s">
        <v>281</v>
      </c>
      <c r="J13" s="1" t="s">
        <v>281</v>
      </c>
      <c r="K13" s="1" t="s">
        <v>281</v>
      </c>
      <c r="L13" s="1" t="s">
        <v>281</v>
      </c>
      <c r="M13" s="1" t="s">
        <v>281</v>
      </c>
      <c r="N13" s="2" t="s">
        <v>332</v>
      </c>
      <c r="O13" s="1" t="s">
        <v>333</v>
      </c>
      <c r="P13" s="1" t="s">
        <v>333</v>
      </c>
      <c r="Q13" s="1" t="str">
        <f>+"X "&amp;+N6</f>
        <v>X K</v>
      </c>
      <c r="R13" s="1" t="str">
        <f>+"= "&amp;+Q6</f>
        <v>= N</v>
      </c>
      <c r="T13" s="36"/>
      <c r="W13" s="1" t="s">
        <v>1653</v>
      </c>
      <c r="X13" s="16"/>
      <c r="Y13" s="21"/>
    </row>
    <row r="14" spans="1:27" s="1" customFormat="1" x14ac:dyDescent="0.25">
      <c r="A14"/>
      <c r="B14"/>
      <c r="C14"/>
      <c r="D14" s="2" t="s">
        <v>282</v>
      </c>
      <c r="E14" s="2" t="s">
        <v>282</v>
      </c>
      <c r="F14" s="2" t="s">
        <v>282</v>
      </c>
      <c r="G14" s="2" t="s">
        <v>282</v>
      </c>
      <c r="H14" s="2" t="s">
        <v>282</v>
      </c>
      <c r="I14" s="2" t="s">
        <v>282</v>
      </c>
      <c r="J14" s="2" t="s">
        <v>282</v>
      </c>
      <c r="K14" s="2" t="s">
        <v>282</v>
      </c>
      <c r="L14" s="2" t="s">
        <v>282</v>
      </c>
      <c r="M14" s="2" t="s">
        <v>282</v>
      </c>
      <c r="N14" s="2" t="str">
        <f>+D6&amp;" TO "&amp;+M6</f>
        <v>A TO J</v>
      </c>
      <c r="O14" s="1" t="s">
        <v>280</v>
      </c>
      <c r="P14" s="1" t="s">
        <v>334</v>
      </c>
      <c r="Q14" s="1" t="str">
        <f>+"-.007*"&amp;+$O6&amp;"-"&amp;+$P6</f>
        <v>-.007*L-M</v>
      </c>
      <c r="R14" s="1" t="str">
        <f>+"- .005 X "&amp;+H6</f>
        <v>- .005 X E</v>
      </c>
      <c r="S14" s="1" t="str">
        <f>+"= .0234 X "&amp;+N6</f>
        <v>= .0234 X K</v>
      </c>
      <c r="T14" s="36" t="str">
        <f>+"= .007 X "&amp;+O6</f>
        <v>= .007 X L</v>
      </c>
      <c r="U14" s="36" t="str">
        <f>+"= "&amp;+P6</f>
        <v>= M</v>
      </c>
      <c r="V14" s="1" t="str">
        <f>+"= .005 X "&amp;+H6</f>
        <v>= .005 X E</v>
      </c>
      <c r="W14" s="1" t="str">
        <f>+"= "&amp;+S6&amp;"-"&amp;+T6&amp;"-"&amp;+U6&amp;"-"&amp;+V6</f>
        <v>= P-Q-R-S</v>
      </c>
      <c r="X14" s="16"/>
      <c r="Y14" s="21"/>
    </row>
    <row r="15" spans="1:27" s="1" customFormat="1" x14ac:dyDescent="0.25">
      <c r="A15"/>
      <c r="B15"/>
      <c r="C15"/>
      <c r="D15" s="11"/>
      <c r="E15" s="11"/>
      <c r="F15" s="11"/>
      <c r="G15"/>
      <c r="H15"/>
      <c r="I15"/>
      <c r="J15"/>
      <c r="K15"/>
      <c r="L15"/>
      <c r="M15"/>
      <c r="N15"/>
      <c r="O15"/>
      <c r="P15"/>
      <c r="Q15" s="4"/>
      <c r="R15" s="4"/>
      <c r="X15" s="16"/>
      <c r="Y15" s="21"/>
    </row>
    <row r="16" spans="1:27" x14ac:dyDescent="0.25">
      <c r="C16" t="s">
        <v>335</v>
      </c>
      <c r="D16" s="16">
        <f t="shared" ref="D16:W16" si="14">SUM(D18:D356)</f>
        <v>2062226441.1199989</v>
      </c>
      <c r="E16" s="16">
        <f t="shared" si="14"/>
        <v>2705268368.3999991</v>
      </c>
      <c r="F16" s="16">
        <f t="shared" si="14"/>
        <v>2790121876.1699982</v>
      </c>
      <c r="G16" s="16">
        <f t="shared" si="14"/>
        <v>2860690393.8299994</v>
      </c>
      <c r="H16" s="16">
        <f t="shared" si="14"/>
        <v>3194364185.7900023</v>
      </c>
      <c r="I16" s="16">
        <f t="shared" si="14"/>
        <v>3258513823.1600022</v>
      </c>
      <c r="J16" s="16">
        <f t="shared" si="14"/>
        <v>3411590092.5599999</v>
      </c>
      <c r="K16" s="16">
        <f t="shared" ref="K16" si="15">SUM(K18:K356)</f>
        <v>3445694473.6000009</v>
      </c>
      <c r="L16" s="16">
        <f t="shared" si="14"/>
        <v>3448929524.6599984</v>
      </c>
      <c r="M16" s="16">
        <f t="shared" si="14"/>
        <v>3521644698.2499981</v>
      </c>
      <c r="N16" s="16">
        <f t="shared" si="14"/>
        <v>2043300412.3599994</v>
      </c>
      <c r="O16" s="16">
        <f t="shared" si="14"/>
        <v>757404179</v>
      </c>
      <c r="P16" s="16">
        <f t="shared" si="14"/>
        <v>-2944637.370000002</v>
      </c>
      <c r="Q16" s="16">
        <f t="shared" si="14"/>
        <v>45456037.539999947</v>
      </c>
      <c r="R16" s="16">
        <f t="shared" si="14"/>
        <v>29484216.549999975</v>
      </c>
      <c r="S16" s="16">
        <f t="shared" si="14"/>
        <v>47813229.649223976</v>
      </c>
      <c r="T16" s="16">
        <f t="shared" si="14"/>
        <v>5301829.2529999996</v>
      </c>
      <c r="U16" s="16">
        <f t="shared" si="14"/>
        <v>-2944637.370000002</v>
      </c>
      <c r="V16" s="16">
        <f t="shared" si="14"/>
        <v>15971820.928949988</v>
      </c>
      <c r="W16" s="16">
        <f t="shared" si="14"/>
        <v>29484216.837274007</v>
      </c>
      <c r="Y16" s="65"/>
      <c r="AA16" s="11"/>
    </row>
    <row r="17" spans="1:79" x14ac:dyDescent="0.25">
      <c r="E17" s="17"/>
      <c r="F17" s="17"/>
      <c r="G17" s="17"/>
      <c r="H17" s="16"/>
      <c r="I17" s="16"/>
      <c r="J17" s="16"/>
      <c r="K17" s="16"/>
      <c r="L17" s="16"/>
      <c r="M17" s="16"/>
      <c r="N17" s="16"/>
      <c r="Q17" s="4"/>
      <c r="R17" s="4"/>
      <c r="S17" s="11"/>
      <c r="T17" s="11"/>
      <c r="U17" s="11"/>
      <c r="V17" s="3"/>
      <c r="W17" s="3"/>
      <c r="X17" s="9"/>
      <c r="Y17" s="65"/>
      <c r="Z17" s="10"/>
      <c r="AA17" s="3"/>
      <c r="AB17" s="11"/>
      <c r="AC17" s="12"/>
      <c r="AD17" s="13"/>
      <c r="AE17" s="11"/>
      <c r="AF17" s="11"/>
      <c r="AG17" s="11"/>
      <c r="AH17" s="3"/>
      <c r="AI17" s="9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8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</row>
    <row r="18" spans="1:79" x14ac:dyDescent="0.25">
      <c r="A18" s="27">
        <v>1</v>
      </c>
      <c r="B18" s="27">
        <v>1</v>
      </c>
      <c r="C18" s="18" t="s">
        <v>0</v>
      </c>
      <c r="D18" s="11">
        <v>3647845.6</v>
      </c>
      <c r="E18" s="16">
        <v>4885983.7</v>
      </c>
      <c r="F18" s="11">
        <v>4798162.7</v>
      </c>
      <c r="G18" s="11">
        <v>4807053.7699999996</v>
      </c>
      <c r="H18" s="11">
        <v>4599241.4800000004</v>
      </c>
      <c r="I18" s="11">
        <v>4619045.79</v>
      </c>
      <c r="J18" s="11">
        <v>4742971.71</v>
      </c>
      <c r="K18" s="11">
        <v>4816898.8600000003</v>
      </c>
      <c r="L18" s="11">
        <v>4528039.3600000003</v>
      </c>
      <c r="M18" s="11">
        <v>4501522.66</v>
      </c>
      <c r="N18" s="11">
        <f>MIN(D18:M18)</f>
        <v>3647845.6</v>
      </c>
      <c r="O18" s="11">
        <v>1166307</v>
      </c>
      <c r="P18" s="11">
        <v>-6434.05</v>
      </c>
      <c r="Q18" s="11">
        <f t="shared" ref="Q18:Q81" si="16">ROUND(0.0234*N18,2)-ROUND(0.007*O18,2)-P18</f>
        <v>83629.490000000005</v>
      </c>
      <c r="R18" s="11">
        <f t="shared" ref="R18:R81" si="17">ROUND(Q18-0.005*H18,2)</f>
        <v>60633.279999999999</v>
      </c>
      <c r="S18" s="11">
        <f>0.0234*N18</f>
        <v>85359.587039999999</v>
      </c>
      <c r="T18" s="10">
        <f>0.007*O18</f>
        <v>8164.1490000000003</v>
      </c>
      <c r="U18" s="10">
        <f>P18</f>
        <v>-6434.05</v>
      </c>
      <c r="V18" s="27">
        <f>0.005*H18</f>
        <v>22996.207400000003</v>
      </c>
      <c r="W18" s="48">
        <f>S18-T18-U18-V18</f>
        <v>60633.280639999997</v>
      </c>
      <c r="X18" s="27"/>
      <c r="Y18" s="49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8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</row>
    <row r="19" spans="1:79" x14ac:dyDescent="0.25">
      <c r="A19" s="27">
        <v>1.2</v>
      </c>
      <c r="B19" s="27">
        <v>3</v>
      </c>
      <c r="C19" s="18" t="s">
        <v>1</v>
      </c>
      <c r="D19" s="11">
        <v>0</v>
      </c>
      <c r="E19" s="16">
        <v>0</v>
      </c>
      <c r="F19" s="11">
        <v>0</v>
      </c>
      <c r="G19" s="11">
        <v>0</v>
      </c>
      <c r="H19" s="11">
        <v>197593500</v>
      </c>
      <c r="I19" s="33">
        <v>176076886.47</v>
      </c>
      <c r="J19" s="11">
        <v>215105299.12</v>
      </c>
      <c r="K19" s="11">
        <v>218893323.34</v>
      </c>
      <c r="L19" s="11">
        <v>224482688.81</v>
      </c>
      <c r="M19" s="11">
        <v>229695000.91</v>
      </c>
      <c r="N19" s="11">
        <f t="shared" ref="N19:N82" si="18">MIN(D19:M19)</f>
        <v>0</v>
      </c>
      <c r="O19" s="11">
        <v>65485910</v>
      </c>
      <c r="P19" s="11">
        <v>-105933.19</v>
      </c>
      <c r="Q19" s="11">
        <f t="shared" si="16"/>
        <v>-352468.18</v>
      </c>
      <c r="R19" s="11">
        <f t="shared" si="17"/>
        <v>-1340435.68</v>
      </c>
      <c r="S19" s="11">
        <f t="shared" ref="S19:S82" si="19">0.0234*N19</f>
        <v>0</v>
      </c>
      <c r="T19" s="10">
        <f t="shared" ref="T19:T82" si="20">0.007*O19</f>
        <v>458401.37</v>
      </c>
      <c r="U19" s="10">
        <f t="shared" ref="U19:U82" si="21">P19</f>
        <v>-105933.19</v>
      </c>
      <c r="V19" s="27">
        <f t="shared" ref="V19:V82" si="22">0.005*H19</f>
        <v>987967.5</v>
      </c>
      <c r="W19" s="48">
        <f t="shared" ref="W19:W82" si="23">S19-T19-U19-V19</f>
        <v>-1340435.68</v>
      </c>
      <c r="Z19" s="11"/>
      <c r="AA19" s="11"/>
      <c r="AB19" s="11"/>
      <c r="AC19" s="33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8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</row>
    <row r="20" spans="1:79" x14ac:dyDescent="0.25">
      <c r="A20" s="27">
        <v>2</v>
      </c>
      <c r="B20" s="27">
        <v>1</v>
      </c>
      <c r="C20" s="18" t="s">
        <v>2</v>
      </c>
      <c r="D20" s="11">
        <v>1223765.76</v>
      </c>
      <c r="E20" s="16">
        <v>1627340.47</v>
      </c>
      <c r="F20" s="11">
        <v>1609375.68</v>
      </c>
      <c r="G20" s="11">
        <v>1572961.81</v>
      </c>
      <c r="H20" s="11">
        <v>1606309.13</v>
      </c>
      <c r="I20" s="11">
        <v>1673129.23</v>
      </c>
      <c r="J20" s="11">
        <v>1780829.07</v>
      </c>
      <c r="K20" s="11">
        <v>1789667.59</v>
      </c>
      <c r="L20" s="11">
        <v>1695387.96</v>
      </c>
      <c r="M20" s="11">
        <v>1669105.75</v>
      </c>
      <c r="N20" s="11">
        <f t="shared" si="18"/>
        <v>1223765.76</v>
      </c>
      <c r="O20" s="11">
        <v>248322</v>
      </c>
      <c r="P20" s="11">
        <v>-1400.81</v>
      </c>
      <c r="Q20" s="11">
        <f t="shared" si="16"/>
        <v>28298.68</v>
      </c>
      <c r="R20" s="11">
        <f t="shared" si="17"/>
        <v>20267.13</v>
      </c>
      <c r="S20" s="11">
        <f t="shared" si="19"/>
        <v>28636.118784000002</v>
      </c>
      <c r="T20" s="10">
        <f t="shared" si="20"/>
        <v>1738.2540000000001</v>
      </c>
      <c r="U20" s="10">
        <f t="shared" si="21"/>
        <v>-1400.81</v>
      </c>
      <c r="V20" s="27">
        <f t="shared" si="22"/>
        <v>8031.54565</v>
      </c>
      <c r="W20" s="48">
        <f t="shared" si="23"/>
        <v>20267.129134000003</v>
      </c>
      <c r="X20" s="27"/>
      <c r="Y20" s="49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8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</row>
    <row r="21" spans="1:79" x14ac:dyDescent="0.25">
      <c r="A21" s="27">
        <v>4</v>
      </c>
      <c r="B21" s="27">
        <v>1</v>
      </c>
      <c r="C21" s="18" t="s">
        <v>3</v>
      </c>
      <c r="D21" s="11">
        <v>1846090.43</v>
      </c>
      <c r="E21" s="16">
        <v>2456679.5499999998</v>
      </c>
      <c r="F21" s="11">
        <v>2432200.7599999998</v>
      </c>
      <c r="G21" s="11">
        <v>2302948.54</v>
      </c>
      <c r="H21" s="11">
        <v>2240887.66</v>
      </c>
      <c r="I21" s="11">
        <v>2004998.74</v>
      </c>
      <c r="J21" s="11">
        <v>1948443.4</v>
      </c>
      <c r="K21" s="11">
        <v>1952577.73</v>
      </c>
      <c r="L21" s="11">
        <v>2035336.2</v>
      </c>
      <c r="M21" s="11">
        <v>1912764.28</v>
      </c>
      <c r="N21" s="11">
        <f t="shared" si="18"/>
        <v>1846090.43</v>
      </c>
      <c r="O21" s="11">
        <v>621370</v>
      </c>
      <c r="P21" s="11">
        <v>-4027.95</v>
      </c>
      <c r="Q21" s="11">
        <f t="shared" si="16"/>
        <v>42876.87999999999</v>
      </c>
      <c r="R21" s="11">
        <f t="shared" si="17"/>
        <v>31672.44</v>
      </c>
      <c r="S21" s="11">
        <f t="shared" si="19"/>
        <v>43198.516062000002</v>
      </c>
      <c r="T21" s="10">
        <f t="shared" si="20"/>
        <v>4349.59</v>
      </c>
      <c r="U21" s="10">
        <f t="shared" si="21"/>
        <v>-4027.95</v>
      </c>
      <c r="V21" s="27">
        <f t="shared" si="22"/>
        <v>11204.438300000002</v>
      </c>
      <c r="W21" s="48">
        <f t="shared" si="23"/>
        <v>31672.437761999994</v>
      </c>
      <c r="X21" s="27"/>
      <c r="Y21" s="49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8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</row>
    <row r="22" spans="1:79" x14ac:dyDescent="0.25">
      <c r="A22" s="27">
        <v>6</v>
      </c>
      <c r="B22" s="27">
        <v>3</v>
      </c>
      <c r="C22" s="18" t="s">
        <v>4</v>
      </c>
      <c r="D22" s="11">
        <v>9238989.7799999993</v>
      </c>
      <c r="E22" s="16">
        <v>11110589.57</v>
      </c>
      <c r="F22" s="11">
        <v>12230695.449999999</v>
      </c>
      <c r="G22" s="11">
        <v>13210124.58</v>
      </c>
      <c r="H22" s="11">
        <v>14633927.68</v>
      </c>
      <c r="I22" s="11">
        <v>15690590.49</v>
      </c>
      <c r="J22" s="11">
        <v>14327011.5</v>
      </c>
      <c r="K22" s="11">
        <v>15816431.039999999</v>
      </c>
      <c r="L22" s="11">
        <v>16370856.199999999</v>
      </c>
      <c r="M22" s="11">
        <v>16269959.710000001</v>
      </c>
      <c r="N22" s="11">
        <f t="shared" si="18"/>
        <v>9238989.7799999993</v>
      </c>
      <c r="O22" s="11">
        <v>3949823</v>
      </c>
      <c r="P22" s="11">
        <v>-14381.23</v>
      </c>
      <c r="Q22" s="11">
        <f t="shared" si="16"/>
        <v>202924.83</v>
      </c>
      <c r="R22" s="11">
        <f t="shared" si="17"/>
        <v>129755.19</v>
      </c>
      <c r="S22" s="11">
        <f t="shared" si="19"/>
        <v>216192.36085199998</v>
      </c>
      <c r="T22" s="10">
        <f t="shared" si="20"/>
        <v>27648.761000000002</v>
      </c>
      <c r="U22" s="10">
        <f t="shared" si="21"/>
        <v>-14381.23</v>
      </c>
      <c r="V22" s="27">
        <f t="shared" si="22"/>
        <v>73169.638399999996</v>
      </c>
      <c r="W22" s="48">
        <f t="shared" si="23"/>
        <v>129755.191452</v>
      </c>
      <c r="X22" s="27"/>
      <c r="Y22" s="49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8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</row>
    <row r="23" spans="1:79" x14ac:dyDescent="0.25">
      <c r="A23" s="27">
        <v>11</v>
      </c>
      <c r="B23" s="27">
        <v>1</v>
      </c>
      <c r="C23" s="18" t="s">
        <v>5</v>
      </c>
      <c r="D23" s="11">
        <v>113681761.54000001</v>
      </c>
      <c r="E23" s="16">
        <v>161417497.38</v>
      </c>
      <c r="F23" s="11">
        <v>168336679.27000001</v>
      </c>
      <c r="G23" s="11">
        <v>179730827.19999999</v>
      </c>
      <c r="H23" s="11">
        <v>186309803.19999999</v>
      </c>
      <c r="I23" s="11">
        <v>190555129.62</v>
      </c>
      <c r="J23" s="11">
        <v>198063256.65000001</v>
      </c>
      <c r="K23" s="11">
        <v>194858440.78999999</v>
      </c>
      <c r="L23" s="11">
        <v>188502423.13</v>
      </c>
      <c r="M23" s="11">
        <v>189632798.61000001</v>
      </c>
      <c r="N23" s="11">
        <f t="shared" si="18"/>
        <v>113681761.54000001</v>
      </c>
      <c r="O23" s="11">
        <v>33786411</v>
      </c>
      <c r="P23" s="11">
        <v>-124260.58</v>
      </c>
      <c r="Q23" s="11">
        <f t="shared" si="16"/>
        <v>2547908.9200000004</v>
      </c>
      <c r="R23" s="11">
        <f t="shared" si="17"/>
        <v>1616359.9</v>
      </c>
      <c r="S23" s="11">
        <f t="shared" si="19"/>
        <v>2660153.220036</v>
      </c>
      <c r="T23" s="10">
        <f t="shared" si="20"/>
        <v>236504.87700000001</v>
      </c>
      <c r="U23" s="10">
        <f t="shared" si="21"/>
        <v>-124260.58</v>
      </c>
      <c r="V23" s="27">
        <f t="shared" si="22"/>
        <v>931549.01599999995</v>
      </c>
      <c r="W23" s="48">
        <f t="shared" si="23"/>
        <v>1616359.9070360004</v>
      </c>
      <c r="X23" s="27"/>
      <c r="Y23" s="49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8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</row>
    <row r="24" spans="1:79" x14ac:dyDescent="0.25">
      <c r="A24" s="27">
        <v>12</v>
      </c>
      <c r="B24" s="27">
        <v>1</v>
      </c>
      <c r="C24" s="18" t="s">
        <v>6</v>
      </c>
      <c r="D24" s="11">
        <v>17493477.300000001</v>
      </c>
      <c r="E24" s="16">
        <v>24105375.09</v>
      </c>
      <c r="F24" s="11">
        <v>23716421.539999999</v>
      </c>
      <c r="G24" s="11">
        <v>24262660.109999999</v>
      </c>
      <c r="H24" s="11">
        <v>27065662.73</v>
      </c>
      <c r="I24" s="11">
        <v>28721693.559999999</v>
      </c>
      <c r="J24" s="11">
        <v>29561007.789999999</v>
      </c>
      <c r="K24" s="11">
        <v>30192260.670000002</v>
      </c>
      <c r="L24" s="11">
        <v>28665360.199999999</v>
      </c>
      <c r="M24" s="11">
        <v>27148643.219999999</v>
      </c>
      <c r="N24" s="11">
        <f t="shared" si="18"/>
        <v>17493477.300000001</v>
      </c>
      <c r="O24" s="11">
        <v>4365753</v>
      </c>
      <c r="P24" s="11">
        <v>-10737.83</v>
      </c>
      <c r="Q24" s="11">
        <f t="shared" si="16"/>
        <v>389524.93</v>
      </c>
      <c r="R24" s="11">
        <f t="shared" si="17"/>
        <v>254196.62</v>
      </c>
      <c r="S24" s="11">
        <f t="shared" si="19"/>
        <v>409347.36882000003</v>
      </c>
      <c r="T24" s="10">
        <f t="shared" si="20"/>
        <v>30560.271000000001</v>
      </c>
      <c r="U24" s="10">
        <f t="shared" si="21"/>
        <v>-10737.83</v>
      </c>
      <c r="V24" s="27">
        <f t="shared" si="22"/>
        <v>135328.31365</v>
      </c>
      <c r="W24" s="48">
        <f t="shared" si="23"/>
        <v>254196.61417000004</v>
      </c>
      <c r="X24" s="27"/>
      <c r="Y24" s="49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8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</row>
    <row r="25" spans="1:79" x14ac:dyDescent="0.25">
      <c r="A25" s="27">
        <v>13</v>
      </c>
      <c r="B25" s="27">
        <v>1</v>
      </c>
      <c r="C25" s="18" t="s">
        <v>7</v>
      </c>
      <c r="D25" s="11">
        <v>9519853.7599999998</v>
      </c>
      <c r="E25" s="16">
        <v>10239104.57</v>
      </c>
      <c r="F25" s="11">
        <v>10758696.890000001</v>
      </c>
      <c r="G25" s="11">
        <v>11396853.59</v>
      </c>
      <c r="H25" s="11">
        <v>12611326.609999999</v>
      </c>
      <c r="I25" s="11">
        <v>13636045.07</v>
      </c>
      <c r="J25" s="11">
        <v>14076938.77</v>
      </c>
      <c r="K25" s="11">
        <v>12373432.16</v>
      </c>
      <c r="L25" s="11">
        <v>14056601.560000001</v>
      </c>
      <c r="M25" s="11">
        <v>15832980.07</v>
      </c>
      <c r="N25" s="11">
        <f t="shared" si="18"/>
        <v>9519853.7599999998</v>
      </c>
      <c r="O25" s="11">
        <v>3579846</v>
      </c>
      <c r="P25" s="11">
        <v>-13109.75</v>
      </c>
      <c r="Q25" s="11">
        <f t="shared" si="16"/>
        <v>210815.40999999997</v>
      </c>
      <c r="R25" s="11">
        <f t="shared" si="17"/>
        <v>147758.78</v>
      </c>
      <c r="S25" s="11">
        <f t="shared" si="19"/>
        <v>222764.577984</v>
      </c>
      <c r="T25" s="10">
        <f t="shared" si="20"/>
        <v>25058.922000000002</v>
      </c>
      <c r="U25" s="10">
        <f t="shared" si="21"/>
        <v>-13109.75</v>
      </c>
      <c r="V25" s="27">
        <f t="shared" si="22"/>
        <v>63056.633049999997</v>
      </c>
      <c r="W25" s="48">
        <f t="shared" si="23"/>
        <v>147758.77293400001</v>
      </c>
      <c r="X25" s="27"/>
      <c r="Y25" s="49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8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</row>
    <row r="26" spans="1:79" x14ac:dyDescent="0.25">
      <c r="A26" s="27">
        <v>14</v>
      </c>
      <c r="B26" s="27">
        <v>1</v>
      </c>
      <c r="C26" s="18" t="s">
        <v>8</v>
      </c>
      <c r="D26" s="11">
        <v>9244265.6899999995</v>
      </c>
      <c r="E26" s="16">
        <v>10639738.880000001</v>
      </c>
      <c r="F26" s="11">
        <v>10433024.779999999</v>
      </c>
      <c r="G26" s="11">
        <v>11736804.529999999</v>
      </c>
      <c r="H26" s="11">
        <v>11875701.140000001</v>
      </c>
      <c r="I26" s="11">
        <v>12693423.15</v>
      </c>
      <c r="J26" s="11">
        <v>13904463.439999999</v>
      </c>
      <c r="K26" s="11">
        <v>13907138.789999999</v>
      </c>
      <c r="L26" s="11">
        <v>14166647.289999999</v>
      </c>
      <c r="M26" s="11">
        <v>14744056.23</v>
      </c>
      <c r="N26" s="11">
        <f t="shared" si="18"/>
        <v>9244265.6899999995</v>
      </c>
      <c r="O26" s="11">
        <v>2793718</v>
      </c>
      <c r="P26" s="11">
        <v>-9074.5400000000009</v>
      </c>
      <c r="Q26" s="11">
        <f t="shared" si="16"/>
        <v>205834.33000000002</v>
      </c>
      <c r="R26" s="11">
        <f t="shared" si="17"/>
        <v>146455.82</v>
      </c>
      <c r="S26" s="11">
        <f t="shared" si="19"/>
        <v>216315.81714599999</v>
      </c>
      <c r="T26" s="10">
        <f t="shared" si="20"/>
        <v>19556.026000000002</v>
      </c>
      <c r="U26" s="10">
        <f t="shared" si="21"/>
        <v>-9074.5400000000009</v>
      </c>
      <c r="V26" s="27">
        <f t="shared" si="22"/>
        <v>59378.505700000002</v>
      </c>
      <c r="W26" s="48">
        <f t="shared" si="23"/>
        <v>146455.82544599997</v>
      </c>
      <c r="X26" s="27"/>
      <c r="Y26" s="49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8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</row>
    <row r="27" spans="1:79" x14ac:dyDescent="0.25">
      <c r="A27" s="27">
        <v>15</v>
      </c>
      <c r="B27" s="27">
        <v>1</v>
      </c>
      <c r="C27" s="18" t="s">
        <v>9</v>
      </c>
      <c r="D27" s="11">
        <v>15225184.57</v>
      </c>
      <c r="E27" s="16">
        <v>20289692.510000002</v>
      </c>
      <c r="F27" s="11">
        <v>20951666.059999999</v>
      </c>
      <c r="G27" s="11">
        <v>22286378.510000002</v>
      </c>
      <c r="H27" s="11">
        <v>24417098.219999999</v>
      </c>
      <c r="I27" s="11">
        <v>26021613.129999999</v>
      </c>
      <c r="J27" s="11">
        <v>25689420.309999999</v>
      </c>
      <c r="K27" s="11">
        <v>25063659.760000002</v>
      </c>
      <c r="L27" s="11">
        <v>24948636.760000002</v>
      </c>
      <c r="M27" s="11">
        <v>23951523.550000001</v>
      </c>
      <c r="N27" s="11">
        <f t="shared" si="18"/>
        <v>15225184.57</v>
      </c>
      <c r="O27" s="11">
        <v>6145390</v>
      </c>
      <c r="P27" s="11">
        <v>-19213.53</v>
      </c>
      <c r="Q27" s="11">
        <f t="shared" si="16"/>
        <v>332465.12</v>
      </c>
      <c r="R27" s="11">
        <f t="shared" si="17"/>
        <v>210379.63</v>
      </c>
      <c r="S27" s="11">
        <f t="shared" si="19"/>
        <v>356269.31893800001</v>
      </c>
      <c r="T27" s="10">
        <f t="shared" si="20"/>
        <v>43017.73</v>
      </c>
      <c r="U27" s="10">
        <f t="shared" si="21"/>
        <v>-19213.53</v>
      </c>
      <c r="V27" s="27">
        <f t="shared" si="22"/>
        <v>122085.4911</v>
      </c>
      <c r="W27" s="48">
        <f t="shared" si="23"/>
        <v>210379.62783800007</v>
      </c>
      <c r="X27" s="27"/>
      <c r="Y27" s="49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8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</row>
    <row r="28" spans="1:79" x14ac:dyDescent="0.25">
      <c r="A28" s="27">
        <v>16</v>
      </c>
      <c r="B28" s="27">
        <v>1</v>
      </c>
      <c r="C28" s="18" t="s">
        <v>10</v>
      </c>
      <c r="D28" s="11">
        <v>11770914.050000001</v>
      </c>
      <c r="E28" s="16">
        <v>14553558.5</v>
      </c>
      <c r="F28" s="11">
        <v>15685825.890000001</v>
      </c>
      <c r="G28" s="11">
        <v>17136862.190000001</v>
      </c>
      <c r="H28" s="11">
        <v>18133714.260000002</v>
      </c>
      <c r="I28" s="11">
        <v>19271199.780000001</v>
      </c>
      <c r="J28" s="11">
        <v>20036070.27</v>
      </c>
      <c r="K28" s="11">
        <v>20324370.48</v>
      </c>
      <c r="L28" s="11">
        <v>20549942.510000002</v>
      </c>
      <c r="M28" s="11">
        <v>20562134.989999998</v>
      </c>
      <c r="N28" s="11">
        <f t="shared" si="18"/>
        <v>11770914.050000001</v>
      </c>
      <c r="O28" s="11">
        <v>4276269</v>
      </c>
      <c r="P28" s="11">
        <v>-17891.84</v>
      </c>
      <c r="Q28" s="11">
        <f t="shared" si="16"/>
        <v>263397.35000000003</v>
      </c>
      <c r="R28" s="11">
        <f t="shared" si="17"/>
        <v>172728.78</v>
      </c>
      <c r="S28" s="11">
        <f t="shared" si="19"/>
        <v>275439.38877000002</v>
      </c>
      <c r="T28" s="10">
        <f t="shared" si="20"/>
        <v>29933.883000000002</v>
      </c>
      <c r="U28" s="10">
        <f t="shared" si="21"/>
        <v>-17891.84</v>
      </c>
      <c r="V28" s="27">
        <f t="shared" si="22"/>
        <v>90668.571300000011</v>
      </c>
      <c r="W28" s="48">
        <f t="shared" si="23"/>
        <v>172728.77447</v>
      </c>
      <c r="X28" s="27"/>
      <c r="Y28" s="49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8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</row>
    <row r="29" spans="1:79" x14ac:dyDescent="0.25">
      <c r="A29" s="27">
        <v>22</v>
      </c>
      <c r="B29" s="27">
        <v>1</v>
      </c>
      <c r="C29" s="18" t="s">
        <v>11</v>
      </c>
      <c r="D29" s="11">
        <v>9183161.5099999998</v>
      </c>
      <c r="E29" s="16">
        <v>11394482.640000001</v>
      </c>
      <c r="F29" s="11">
        <v>11294660.640000001</v>
      </c>
      <c r="G29" s="11">
        <v>11008753.439999999</v>
      </c>
      <c r="H29" s="11">
        <v>11546778.49</v>
      </c>
      <c r="I29" s="11">
        <v>11807377.970000001</v>
      </c>
      <c r="J29" s="11">
        <v>12626711.18</v>
      </c>
      <c r="K29" s="11">
        <v>12980364.67</v>
      </c>
      <c r="L29" s="11">
        <v>13132844.35</v>
      </c>
      <c r="M29" s="11">
        <v>13674265.24</v>
      </c>
      <c r="N29" s="11">
        <f t="shared" si="18"/>
        <v>9183161.5099999998</v>
      </c>
      <c r="O29" s="11">
        <v>2157218</v>
      </c>
      <c r="P29" s="11">
        <v>-9224.11</v>
      </c>
      <c r="Q29" s="11">
        <f t="shared" si="16"/>
        <v>209009.56</v>
      </c>
      <c r="R29" s="11">
        <f t="shared" si="17"/>
        <v>151275.67000000001</v>
      </c>
      <c r="S29" s="11">
        <f t="shared" si="19"/>
        <v>214885.979334</v>
      </c>
      <c r="T29" s="10">
        <f t="shared" si="20"/>
        <v>15100.526</v>
      </c>
      <c r="U29" s="10">
        <f t="shared" si="21"/>
        <v>-9224.11</v>
      </c>
      <c r="V29" s="27">
        <f t="shared" si="22"/>
        <v>57733.892449999999</v>
      </c>
      <c r="W29" s="48">
        <f t="shared" si="23"/>
        <v>151275.67088400002</v>
      </c>
      <c r="X29" s="27"/>
      <c r="Y29" s="49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8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</row>
    <row r="30" spans="1:79" x14ac:dyDescent="0.25">
      <c r="A30" s="27">
        <v>23</v>
      </c>
      <c r="B30" s="27">
        <v>1</v>
      </c>
      <c r="C30" s="18" t="s">
        <v>12</v>
      </c>
      <c r="D30" s="11">
        <v>3755791.67</v>
      </c>
      <c r="E30" s="16">
        <v>4602769.09</v>
      </c>
      <c r="F30" s="11">
        <v>4498788.9000000004</v>
      </c>
      <c r="G30" s="11">
        <v>4398059.42</v>
      </c>
      <c r="H30" s="11">
        <v>4377199.75</v>
      </c>
      <c r="I30" s="11">
        <v>3785009.44</v>
      </c>
      <c r="J30" s="11">
        <v>3833584.26</v>
      </c>
      <c r="K30" s="11">
        <v>3864488.18</v>
      </c>
      <c r="L30" s="11">
        <v>3830418.98</v>
      </c>
      <c r="M30" s="11">
        <v>3211246.9</v>
      </c>
      <c r="N30" s="11">
        <f t="shared" si="18"/>
        <v>3211246.9</v>
      </c>
      <c r="O30" s="11">
        <v>691749</v>
      </c>
      <c r="P30" s="11">
        <v>-3518.98</v>
      </c>
      <c r="Q30" s="11">
        <f t="shared" si="16"/>
        <v>73819.919999999984</v>
      </c>
      <c r="R30" s="11">
        <f t="shared" si="17"/>
        <v>51933.919999999998</v>
      </c>
      <c r="S30" s="11">
        <f t="shared" si="19"/>
        <v>75143.177460000006</v>
      </c>
      <c r="T30" s="10">
        <f t="shared" si="20"/>
        <v>4842.2430000000004</v>
      </c>
      <c r="U30" s="10">
        <f t="shared" si="21"/>
        <v>-3518.98</v>
      </c>
      <c r="V30" s="27">
        <f t="shared" si="22"/>
        <v>21885.998749999999</v>
      </c>
      <c r="W30" s="48">
        <f t="shared" si="23"/>
        <v>51933.915710000001</v>
      </c>
      <c r="X30" s="27"/>
      <c r="Y30" s="49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8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</row>
    <row r="31" spans="1:79" x14ac:dyDescent="0.25">
      <c r="A31" s="27">
        <v>25</v>
      </c>
      <c r="B31" s="27">
        <v>1</v>
      </c>
      <c r="C31" s="18" t="s">
        <v>13</v>
      </c>
      <c r="D31" s="11">
        <v>238101.2</v>
      </c>
      <c r="E31" s="16">
        <v>486618.96</v>
      </c>
      <c r="F31" s="11">
        <v>642402.14</v>
      </c>
      <c r="G31" s="11">
        <v>751461.96</v>
      </c>
      <c r="H31" s="11">
        <v>760073.69</v>
      </c>
      <c r="I31" s="34">
        <v>728248.43</v>
      </c>
      <c r="J31" s="11">
        <v>744834.6</v>
      </c>
      <c r="K31" s="11">
        <v>635495.37</v>
      </c>
      <c r="L31" s="11">
        <v>670879.46</v>
      </c>
      <c r="M31" s="11">
        <v>589764.37</v>
      </c>
      <c r="N31" s="11">
        <f t="shared" si="18"/>
        <v>238101.2</v>
      </c>
      <c r="O31" s="11">
        <v>0</v>
      </c>
      <c r="P31" s="11">
        <v>0</v>
      </c>
      <c r="Q31" s="11">
        <f t="shared" si="16"/>
        <v>5571.57</v>
      </c>
      <c r="R31" s="11">
        <f t="shared" si="17"/>
        <v>1771.2</v>
      </c>
      <c r="S31" s="11">
        <f t="shared" si="19"/>
        <v>5571.56808</v>
      </c>
      <c r="T31" s="10">
        <f t="shared" si="20"/>
        <v>0</v>
      </c>
      <c r="U31" s="10">
        <f t="shared" si="21"/>
        <v>0</v>
      </c>
      <c r="V31" s="27">
        <f t="shared" si="22"/>
        <v>3800.3684499999999</v>
      </c>
      <c r="W31" s="48">
        <f t="shared" si="23"/>
        <v>1771.1996300000001</v>
      </c>
      <c r="Y31" s="65"/>
      <c r="Z31" s="10"/>
      <c r="AA31" s="11"/>
      <c r="AB31" s="11"/>
      <c r="AC31" s="34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8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</row>
    <row r="32" spans="1:79" x14ac:dyDescent="0.25">
      <c r="A32" s="27">
        <v>31</v>
      </c>
      <c r="B32" s="27">
        <v>1</v>
      </c>
      <c r="C32" s="18" t="s">
        <v>14</v>
      </c>
      <c r="D32" s="11">
        <v>15893261.289999999</v>
      </c>
      <c r="E32" s="16">
        <v>18600979.449999999</v>
      </c>
      <c r="F32" s="11">
        <v>20270280.129999999</v>
      </c>
      <c r="G32" s="11">
        <v>19984020.789999999</v>
      </c>
      <c r="H32" s="11">
        <v>20730993.809999999</v>
      </c>
      <c r="I32" s="11">
        <v>21286414.510000002</v>
      </c>
      <c r="J32" s="11">
        <v>21658888.43</v>
      </c>
      <c r="K32" s="11">
        <v>20990297.52</v>
      </c>
      <c r="L32" s="11">
        <v>21306533.390000001</v>
      </c>
      <c r="M32" s="11">
        <v>22156243.510000002</v>
      </c>
      <c r="N32" s="11">
        <f t="shared" si="18"/>
        <v>15893261.289999999</v>
      </c>
      <c r="O32" s="11">
        <v>6453128</v>
      </c>
      <c r="P32" s="11">
        <v>-22412.75</v>
      </c>
      <c r="Q32" s="11">
        <f t="shared" si="16"/>
        <v>349143.16</v>
      </c>
      <c r="R32" s="11">
        <f t="shared" si="17"/>
        <v>245488.19</v>
      </c>
      <c r="S32" s="11">
        <f t="shared" si="19"/>
        <v>371902.31418599997</v>
      </c>
      <c r="T32" s="10">
        <f t="shared" si="20"/>
        <v>45171.896000000001</v>
      </c>
      <c r="U32" s="10">
        <f t="shared" si="21"/>
        <v>-22412.75</v>
      </c>
      <c r="V32" s="27">
        <f t="shared" si="22"/>
        <v>103654.96905</v>
      </c>
      <c r="W32" s="48">
        <f t="shared" si="23"/>
        <v>245488.19913599995</v>
      </c>
      <c r="X32" s="27"/>
      <c r="Y32" s="49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8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</row>
    <row r="33" spans="1:79" x14ac:dyDescent="0.25">
      <c r="A33" s="27">
        <v>32</v>
      </c>
      <c r="B33" s="27">
        <v>1</v>
      </c>
      <c r="C33" s="18" t="s">
        <v>15</v>
      </c>
      <c r="D33" s="11">
        <v>2582175.69</v>
      </c>
      <c r="E33" s="16">
        <v>2518713.3199999998</v>
      </c>
      <c r="F33" s="11">
        <v>2881728.32</v>
      </c>
      <c r="G33" s="11">
        <v>2600287.06</v>
      </c>
      <c r="H33" s="11">
        <v>2464802.9300000002</v>
      </c>
      <c r="I33" s="11">
        <v>2437036.35</v>
      </c>
      <c r="J33" s="11">
        <v>2593183.23</v>
      </c>
      <c r="K33" s="11">
        <v>2554306.46</v>
      </c>
      <c r="L33" s="11">
        <v>2467731.1</v>
      </c>
      <c r="M33" s="11">
        <v>2399491.7599999998</v>
      </c>
      <c r="N33" s="11">
        <f t="shared" si="18"/>
        <v>2399491.7599999998</v>
      </c>
      <c r="O33" s="11">
        <v>800283</v>
      </c>
      <c r="P33" s="11">
        <v>-3312.97</v>
      </c>
      <c r="Q33" s="11">
        <f t="shared" si="16"/>
        <v>53859.100000000006</v>
      </c>
      <c r="R33" s="11">
        <f t="shared" si="17"/>
        <v>41535.089999999997</v>
      </c>
      <c r="S33" s="11">
        <f t="shared" si="19"/>
        <v>56148.107183999993</v>
      </c>
      <c r="T33" s="10">
        <f t="shared" si="20"/>
        <v>5601.9809999999998</v>
      </c>
      <c r="U33" s="10">
        <f t="shared" si="21"/>
        <v>-3312.97</v>
      </c>
      <c r="V33" s="27">
        <f t="shared" si="22"/>
        <v>12324.014650000001</v>
      </c>
      <c r="W33" s="48">
        <f t="shared" si="23"/>
        <v>41535.081533999997</v>
      </c>
      <c r="X33" s="27"/>
      <c r="Y33" s="49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8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</row>
    <row r="34" spans="1:79" x14ac:dyDescent="0.25">
      <c r="A34" s="27">
        <v>36</v>
      </c>
      <c r="B34" s="27">
        <v>1</v>
      </c>
      <c r="C34" s="18" t="s">
        <v>16</v>
      </c>
      <c r="D34" s="11">
        <v>905150.35</v>
      </c>
      <c r="E34" s="16">
        <v>1296300.93</v>
      </c>
      <c r="F34" s="11">
        <v>1308719.26</v>
      </c>
      <c r="G34" s="11">
        <v>1395115.47</v>
      </c>
      <c r="H34" s="11">
        <v>1442765.09</v>
      </c>
      <c r="I34" s="11">
        <v>1466697.06</v>
      </c>
      <c r="J34" s="11">
        <v>1557098.29</v>
      </c>
      <c r="K34" s="11">
        <v>1527783.41</v>
      </c>
      <c r="L34" s="11">
        <v>1415825.92</v>
      </c>
      <c r="M34" s="11">
        <v>1408484.81</v>
      </c>
      <c r="N34" s="11">
        <f t="shared" si="18"/>
        <v>905150.35</v>
      </c>
      <c r="O34" s="11">
        <v>335697</v>
      </c>
      <c r="P34" s="11">
        <v>-1232.5999999999999</v>
      </c>
      <c r="Q34" s="11">
        <f t="shared" si="16"/>
        <v>20063.239999999998</v>
      </c>
      <c r="R34" s="11">
        <f t="shared" si="17"/>
        <v>12849.41</v>
      </c>
      <c r="S34" s="11">
        <f t="shared" si="19"/>
        <v>21180.518189999999</v>
      </c>
      <c r="T34" s="10">
        <f t="shared" si="20"/>
        <v>2349.8789999999999</v>
      </c>
      <c r="U34" s="10">
        <f t="shared" si="21"/>
        <v>-1232.5999999999999</v>
      </c>
      <c r="V34" s="27">
        <f t="shared" si="22"/>
        <v>7213.8254500000003</v>
      </c>
      <c r="W34" s="48">
        <f t="shared" si="23"/>
        <v>12849.413739999996</v>
      </c>
      <c r="X34" s="27"/>
      <c r="Y34" s="49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8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</row>
    <row r="35" spans="1:79" x14ac:dyDescent="0.25">
      <c r="A35" s="27">
        <v>38</v>
      </c>
      <c r="B35" s="27">
        <v>1</v>
      </c>
      <c r="C35" s="18" t="s">
        <v>17</v>
      </c>
      <c r="D35" s="11">
        <v>4229467.92</v>
      </c>
      <c r="E35" s="16">
        <v>7797510.75</v>
      </c>
      <c r="F35" s="11">
        <v>8533221.3000000007</v>
      </c>
      <c r="G35" s="11">
        <v>8319460.5499999998</v>
      </c>
      <c r="H35" s="11">
        <v>8318505.0499999998</v>
      </c>
      <c r="I35" s="11">
        <v>8837622.3599999994</v>
      </c>
      <c r="J35" s="11">
        <v>9273666.7200000007</v>
      </c>
      <c r="K35" s="11">
        <v>9399820.6600000001</v>
      </c>
      <c r="L35" s="11">
        <v>8862702.6699999999</v>
      </c>
      <c r="M35" s="11">
        <v>9972292.4900000002</v>
      </c>
      <c r="N35" s="11">
        <f t="shared" si="18"/>
        <v>4229467.92</v>
      </c>
      <c r="O35" s="11">
        <v>1601788</v>
      </c>
      <c r="P35" s="11">
        <v>-927.35</v>
      </c>
      <c r="Q35" s="11">
        <f t="shared" si="16"/>
        <v>88684.38</v>
      </c>
      <c r="R35" s="11">
        <f t="shared" si="17"/>
        <v>47091.85</v>
      </c>
      <c r="S35" s="11">
        <f t="shared" si="19"/>
        <v>98969.549328000008</v>
      </c>
      <c r="T35" s="10">
        <f t="shared" si="20"/>
        <v>11212.516</v>
      </c>
      <c r="U35" s="10">
        <f t="shared" si="21"/>
        <v>-927.35</v>
      </c>
      <c r="V35" s="27">
        <f t="shared" si="22"/>
        <v>41592.525249999999</v>
      </c>
      <c r="W35" s="48">
        <f t="shared" si="23"/>
        <v>47091.858078000012</v>
      </c>
      <c r="X35" s="27"/>
      <c r="Y35" s="49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8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</row>
    <row r="36" spans="1:79" x14ac:dyDescent="0.25">
      <c r="A36" s="27">
        <v>47</v>
      </c>
      <c r="B36" s="27">
        <v>1</v>
      </c>
      <c r="C36" s="18" t="s">
        <v>18</v>
      </c>
      <c r="D36" s="11">
        <v>7484163.5599999996</v>
      </c>
      <c r="E36" s="16">
        <v>13283656.35</v>
      </c>
      <c r="F36" s="11">
        <v>13810491.42</v>
      </c>
      <c r="G36" s="11">
        <v>14432586.84</v>
      </c>
      <c r="H36" s="11">
        <v>14980913.33</v>
      </c>
      <c r="I36" s="11">
        <v>14624520.5</v>
      </c>
      <c r="J36" s="11">
        <v>14981768.050000001</v>
      </c>
      <c r="K36" s="11">
        <v>15190575.35</v>
      </c>
      <c r="L36" s="11">
        <v>15392406</v>
      </c>
      <c r="M36" s="11">
        <v>15401112.5</v>
      </c>
      <c r="N36" s="11">
        <f t="shared" si="18"/>
        <v>7484163.5599999996</v>
      </c>
      <c r="O36" s="11">
        <v>2162978</v>
      </c>
      <c r="P36" s="11">
        <v>-6956.03</v>
      </c>
      <c r="Q36" s="11">
        <f t="shared" si="16"/>
        <v>166944.60999999999</v>
      </c>
      <c r="R36" s="11">
        <f t="shared" si="17"/>
        <v>92040.04</v>
      </c>
      <c r="S36" s="11">
        <f t="shared" si="19"/>
        <v>175129.42730399998</v>
      </c>
      <c r="T36" s="10">
        <f t="shared" si="20"/>
        <v>15140.846</v>
      </c>
      <c r="U36" s="10">
        <f t="shared" si="21"/>
        <v>-6956.03</v>
      </c>
      <c r="V36" s="27">
        <f t="shared" si="22"/>
        <v>74904.566650000008</v>
      </c>
      <c r="W36" s="48">
        <f t="shared" si="23"/>
        <v>92040.044653999983</v>
      </c>
      <c r="X36" s="27"/>
      <c r="Y36" s="49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8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</row>
    <row r="37" spans="1:79" x14ac:dyDescent="0.25">
      <c r="A37" s="27">
        <v>51</v>
      </c>
      <c r="B37" s="27">
        <v>1</v>
      </c>
      <c r="C37" s="18" t="s">
        <v>19</v>
      </c>
      <c r="D37" s="11">
        <v>4879569.55</v>
      </c>
      <c r="E37" s="16">
        <v>5737129.75</v>
      </c>
      <c r="F37" s="11">
        <v>5838225.1399999997</v>
      </c>
      <c r="G37" s="11">
        <v>5933128.5099999998</v>
      </c>
      <c r="H37" s="11">
        <v>6361856.5700000003</v>
      </c>
      <c r="I37" s="11">
        <v>6336255.6699999999</v>
      </c>
      <c r="J37" s="11">
        <v>6607275.3600000003</v>
      </c>
      <c r="K37" s="11">
        <v>6715314.4500000002</v>
      </c>
      <c r="L37" s="11">
        <v>6791048.6299999999</v>
      </c>
      <c r="M37" s="11">
        <v>7138225.4500000002</v>
      </c>
      <c r="N37" s="11">
        <f t="shared" si="18"/>
        <v>4879569.55</v>
      </c>
      <c r="O37" s="11">
        <v>1455300</v>
      </c>
      <c r="P37" s="11">
        <v>-6964.15</v>
      </c>
      <c r="Q37" s="11">
        <f t="shared" si="16"/>
        <v>110958.97999999998</v>
      </c>
      <c r="R37" s="11">
        <f t="shared" si="17"/>
        <v>79149.7</v>
      </c>
      <c r="S37" s="11">
        <f t="shared" si="19"/>
        <v>114181.92747</v>
      </c>
      <c r="T37" s="10">
        <f t="shared" si="20"/>
        <v>10187.1</v>
      </c>
      <c r="U37" s="10">
        <f t="shared" si="21"/>
        <v>-6964.15</v>
      </c>
      <c r="V37" s="27">
        <f t="shared" si="22"/>
        <v>31809.282850000003</v>
      </c>
      <c r="W37" s="48">
        <f t="shared" si="23"/>
        <v>79149.69461999998</v>
      </c>
      <c r="X37" s="27"/>
      <c r="Y37" s="49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8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</row>
    <row r="38" spans="1:79" x14ac:dyDescent="0.25">
      <c r="A38" s="27">
        <v>75</v>
      </c>
      <c r="B38" s="27">
        <v>1</v>
      </c>
      <c r="C38" s="18" t="s">
        <v>21</v>
      </c>
      <c r="D38" s="11">
        <v>1611239.9</v>
      </c>
      <c r="E38" s="16">
        <v>2139452</v>
      </c>
      <c r="F38" s="11">
        <v>2447334.25</v>
      </c>
      <c r="G38" s="11">
        <v>2410451.73</v>
      </c>
      <c r="H38" s="11">
        <v>2322910.0299999998</v>
      </c>
      <c r="I38" s="11">
        <v>2415262.19</v>
      </c>
      <c r="J38" s="11">
        <v>2226601.37</v>
      </c>
      <c r="K38" s="11">
        <v>2301546.41</v>
      </c>
      <c r="L38" s="11">
        <v>2251154.94</v>
      </c>
      <c r="M38" s="11">
        <v>2258829.88</v>
      </c>
      <c r="N38" s="11">
        <f t="shared" si="18"/>
        <v>1611239.9</v>
      </c>
      <c r="O38" s="11">
        <v>540284</v>
      </c>
      <c r="P38" s="11">
        <v>-1625.76</v>
      </c>
      <c r="Q38" s="11">
        <f t="shared" si="16"/>
        <v>35546.780000000006</v>
      </c>
      <c r="R38" s="11">
        <f t="shared" si="17"/>
        <v>23932.23</v>
      </c>
      <c r="S38" s="11">
        <f t="shared" si="19"/>
        <v>37703.013659999997</v>
      </c>
      <c r="T38" s="10">
        <f t="shared" si="20"/>
        <v>3781.9880000000003</v>
      </c>
      <c r="U38" s="10">
        <f t="shared" si="21"/>
        <v>-1625.76</v>
      </c>
      <c r="V38" s="27">
        <f t="shared" si="22"/>
        <v>11614.550149999999</v>
      </c>
      <c r="W38" s="48">
        <f t="shared" si="23"/>
        <v>23932.235510000002</v>
      </c>
      <c r="X38" s="27"/>
      <c r="Y38" s="49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8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</row>
    <row r="39" spans="1:79" x14ac:dyDescent="0.25">
      <c r="A39" s="27">
        <v>77</v>
      </c>
      <c r="B39" s="27">
        <v>1</v>
      </c>
      <c r="C39" s="18" t="s">
        <v>22</v>
      </c>
      <c r="D39" s="11">
        <v>20760150.300000001</v>
      </c>
      <c r="E39" s="16">
        <v>26922655.739999998</v>
      </c>
      <c r="F39" s="11">
        <v>27360270.32</v>
      </c>
      <c r="G39" s="11">
        <v>28559066.640000001</v>
      </c>
      <c r="H39" s="11">
        <v>30525954.010000002</v>
      </c>
      <c r="I39" s="11">
        <v>31949568.91</v>
      </c>
      <c r="J39" s="11">
        <v>34163901.609999999</v>
      </c>
      <c r="K39" s="11">
        <v>32552975.940000001</v>
      </c>
      <c r="L39" s="11">
        <v>33573175.240000002</v>
      </c>
      <c r="M39" s="11">
        <v>35073934.560000002</v>
      </c>
      <c r="N39" s="11">
        <f t="shared" si="18"/>
        <v>20760150.300000001</v>
      </c>
      <c r="O39" s="11">
        <v>5908337</v>
      </c>
      <c r="P39" s="11">
        <v>-19008.18</v>
      </c>
      <c r="Q39" s="11">
        <f t="shared" si="16"/>
        <v>463437.34</v>
      </c>
      <c r="R39" s="11">
        <f t="shared" si="17"/>
        <v>310807.57</v>
      </c>
      <c r="S39" s="11">
        <f t="shared" si="19"/>
        <v>485787.51702000003</v>
      </c>
      <c r="T39" s="10">
        <f t="shared" si="20"/>
        <v>41358.359000000004</v>
      </c>
      <c r="U39" s="10">
        <f t="shared" si="21"/>
        <v>-19008.18</v>
      </c>
      <c r="V39" s="27">
        <f t="shared" si="22"/>
        <v>152629.77005000002</v>
      </c>
      <c r="W39" s="48">
        <f t="shared" si="23"/>
        <v>310807.56796999997</v>
      </c>
      <c r="X39" s="27"/>
      <c r="Y39" s="49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8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</row>
    <row r="40" spans="1:79" x14ac:dyDescent="0.25">
      <c r="A40" s="27">
        <v>81</v>
      </c>
      <c r="B40" s="27">
        <v>1</v>
      </c>
      <c r="C40" s="18" t="s">
        <v>23</v>
      </c>
      <c r="D40" s="11">
        <v>675289.94</v>
      </c>
      <c r="E40" s="16">
        <v>840676.32</v>
      </c>
      <c r="F40" s="11">
        <v>816327.64</v>
      </c>
      <c r="G40" s="11">
        <v>757150.85</v>
      </c>
      <c r="H40" s="11">
        <v>803337.51</v>
      </c>
      <c r="I40" s="11">
        <v>702559.68</v>
      </c>
      <c r="J40" s="11">
        <v>824657.21</v>
      </c>
      <c r="K40" s="11">
        <v>851977.87</v>
      </c>
      <c r="L40" s="11">
        <v>727425.12</v>
      </c>
      <c r="M40" s="11">
        <v>902675.62</v>
      </c>
      <c r="N40" s="11">
        <f t="shared" si="18"/>
        <v>675289.94</v>
      </c>
      <c r="O40" s="11">
        <v>143818</v>
      </c>
      <c r="P40" s="11">
        <v>-1024.01</v>
      </c>
      <c r="Q40" s="11">
        <f t="shared" si="16"/>
        <v>15819.060000000001</v>
      </c>
      <c r="R40" s="11">
        <f t="shared" si="17"/>
        <v>11802.37</v>
      </c>
      <c r="S40" s="11">
        <f t="shared" si="19"/>
        <v>15801.784596</v>
      </c>
      <c r="T40" s="10">
        <f t="shared" si="20"/>
        <v>1006.726</v>
      </c>
      <c r="U40" s="10">
        <f t="shared" si="21"/>
        <v>-1024.01</v>
      </c>
      <c r="V40" s="27">
        <f t="shared" si="22"/>
        <v>4016.6875500000001</v>
      </c>
      <c r="W40" s="48">
        <f t="shared" si="23"/>
        <v>11802.381045999999</v>
      </c>
      <c r="X40" s="27"/>
      <c r="Y40" s="49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8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</row>
    <row r="41" spans="1:79" x14ac:dyDescent="0.25">
      <c r="A41" s="27">
        <v>84</v>
      </c>
      <c r="B41" s="27">
        <v>1</v>
      </c>
      <c r="C41" s="18" t="s">
        <v>24</v>
      </c>
      <c r="D41" s="11">
        <v>1925717.94</v>
      </c>
      <c r="E41" s="16">
        <v>2474503.06</v>
      </c>
      <c r="F41" s="11">
        <v>2448941.9500000002</v>
      </c>
      <c r="G41" s="11">
        <v>2693597.77</v>
      </c>
      <c r="H41" s="11">
        <v>2748700.13</v>
      </c>
      <c r="I41" s="11">
        <v>2823405.38</v>
      </c>
      <c r="J41" s="11">
        <v>2884958.92</v>
      </c>
      <c r="K41" s="11">
        <v>2722134.69</v>
      </c>
      <c r="L41" s="11">
        <v>2584217.96</v>
      </c>
      <c r="M41" s="11">
        <v>2664252.62</v>
      </c>
      <c r="N41" s="11">
        <f t="shared" si="18"/>
        <v>1925717.94</v>
      </c>
      <c r="O41" s="11">
        <v>496477</v>
      </c>
      <c r="P41" s="11">
        <v>-2644.08</v>
      </c>
      <c r="Q41" s="11">
        <f t="shared" si="16"/>
        <v>44230.540000000008</v>
      </c>
      <c r="R41" s="11">
        <f t="shared" si="17"/>
        <v>30487.040000000001</v>
      </c>
      <c r="S41" s="11">
        <f t="shared" si="19"/>
        <v>45061.799795999999</v>
      </c>
      <c r="T41" s="10">
        <f t="shared" si="20"/>
        <v>3475.3389999999999</v>
      </c>
      <c r="U41" s="10">
        <f t="shared" si="21"/>
        <v>-2644.08</v>
      </c>
      <c r="V41" s="27">
        <f t="shared" si="22"/>
        <v>13743.50065</v>
      </c>
      <c r="W41" s="48">
        <f t="shared" si="23"/>
        <v>30487.040145999999</v>
      </c>
      <c r="X41" s="27"/>
      <c r="Y41" s="49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8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</row>
    <row r="42" spans="1:79" x14ac:dyDescent="0.25">
      <c r="A42" s="27">
        <v>85</v>
      </c>
      <c r="B42" s="27">
        <v>1</v>
      </c>
      <c r="C42" s="18" t="s">
        <v>25</v>
      </c>
      <c r="D42" s="11">
        <v>2077339.66</v>
      </c>
      <c r="E42" s="16">
        <v>1924854.81</v>
      </c>
      <c r="F42" s="11">
        <v>2268463.5</v>
      </c>
      <c r="G42" s="11">
        <v>2263103.11</v>
      </c>
      <c r="H42" s="11">
        <v>2226336.5099999998</v>
      </c>
      <c r="I42" s="11">
        <v>2285304.85</v>
      </c>
      <c r="J42" s="11">
        <v>2443151.77</v>
      </c>
      <c r="K42" s="11">
        <v>2360842.7799999998</v>
      </c>
      <c r="L42" s="11">
        <v>2360612.66</v>
      </c>
      <c r="M42" s="11">
        <v>2467994.25</v>
      </c>
      <c r="N42" s="11">
        <f t="shared" si="18"/>
        <v>1924854.81</v>
      </c>
      <c r="O42" s="11">
        <v>340567</v>
      </c>
      <c r="P42" s="11">
        <v>-1518.76</v>
      </c>
      <c r="Q42" s="11">
        <f t="shared" si="16"/>
        <v>44176.39</v>
      </c>
      <c r="R42" s="11">
        <f t="shared" si="17"/>
        <v>33044.71</v>
      </c>
      <c r="S42" s="11">
        <f t="shared" si="19"/>
        <v>45041.602554000005</v>
      </c>
      <c r="T42" s="10">
        <f t="shared" si="20"/>
        <v>2383.9690000000001</v>
      </c>
      <c r="U42" s="10">
        <f t="shared" si="21"/>
        <v>-1518.76</v>
      </c>
      <c r="V42" s="27">
        <f t="shared" si="22"/>
        <v>11131.68255</v>
      </c>
      <c r="W42" s="48">
        <f t="shared" si="23"/>
        <v>33044.711004000012</v>
      </c>
      <c r="X42" s="27"/>
      <c r="Y42" s="49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8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</row>
    <row r="43" spans="1:79" x14ac:dyDescent="0.25">
      <c r="A43" s="27">
        <v>88</v>
      </c>
      <c r="B43" s="27">
        <v>1</v>
      </c>
      <c r="C43" s="18" t="s">
        <v>26</v>
      </c>
      <c r="D43" s="11">
        <v>7978946.8700000001</v>
      </c>
      <c r="E43" s="16">
        <v>8932173.1300000008</v>
      </c>
      <c r="F43" s="11">
        <v>8610137.6799999997</v>
      </c>
      <c r="G43" s="11">
        <v>8392150.2699999996</v>
      </c>
      <c r="H43" s="11">
        <v>8103161.7599999998</v>
      </c>
      <c r="I43" s="11">
        <v>7867026.9699999997</v>
      </c>
      <c r="J43" s="11">
        <v>8398529.1500000004</v>
      </c>
      <c r="K43" s="11">
        <v>8533016.1600000001</v>
      </c>
      <c r="L43" s="11">
        <v>8359675.2599999998</v>
      </c>
      <c r="M43" s="11">
        <v>8155156.3300000001</v>
      </c>
      <c r="N43" s="11">
        <f t="shared" si="18"/>
        <v>7867026.9699999997</v>
      </c>
      <c r="O43" s="11">
        <v>1784945</v>
      </c>
      <c r="P43" s="11">
        <v>-11027.36</v>
      </c>
      <c r="Q43" s="11">
        <f t="shared" si="16"/>
        <v>182621.16999999998</v>
      </c>
      <c r="R43" s="11">
        <f t="shared" si="17"/>
        <v>142105.35999999999</v>
      </c>
      <c r="S43" s="11">
        <f t="shared" si="19"/>
        <v>184088.431098</v>
      </c>
      <c r="T43" s="10">
        <f t="shared" si="20"/>
        <v>12494.615</v>
      </c>
      <c r="U43" s="10">
        <f t="shared" si="21"/>
        <v>-11027.36</v>
      </c>
      <c r="V43" s="27">
        <f t="shared" si="22"/>
        <v>40515.808799999999</v>
      </c>
      <c r="W43" s="48">
        <f t="shared" si="23"/>
        <v>142105.36729800003</v>
      </c>
      <c r="X43" s="27"/>
      <c r="Y43" s="49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8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</row>
    <row r="44" spans="1:79" x14ac:dyDescent="0.25">
      <c r="A44" s="27">
        <v>91</v>
      </c>
      <c r="B44" s="27">
        <v>1</v>
      </c>
      <c r="C44" s="18" t="s">
        <v>27</v>
      </c>
      <c r="D44" s="11">
        <v>2099236.94</v>
      </c>
      <c r="E44" s="16">
        <v>2408197.2400000002</v>
      </c>
      <c r="F44" s="11">
        <v>2304115.73</v>
      </c>
      <c r="G44" s="11">
        <v>2423743.9700000002</v>
      </c>
      <c r="H44" s="11">
        <v>2548859.19</v>
      </c>
      <c r="I44" s="11">
        <v>2684203.15</v>
      </c>
      <c r="J44" s="11">
        <v>3057431.81</v>
      </c>
      <c r="K44" s="11">
        <v>3223726.76</v>
      </c>
      <c r="L44" s="11">
        <v>3413625.76</v>
      </c>
      <c r="M44" s="11">
        <v>3489991.26</v>
      </c>
      <c r="N44" s="11">
        <f t="shared" si="18"/>
        <v>2099236.94</v>
      </c>
      <c r="O44" s="11">
        <v>551820</v>
      </c>
      <c r="P44" s="11">
        <v>-3425.51</v>
      </c>
      <c r="Q44" s="11">
        <f t="shared" si="16"/>
        <v>48684.91</v>
      </c>
      <c r="R44" s="11">
        <f t="shared" si="17"/>
        <v>35940.61</v>
      </c>
      <c r="S44" s="11">
        <f t="shared" si="19"/>
        <v>49122.144396000003</v>
      </c>
      <c r="T44" s="10">
        <f t="shared" si="20"/>
        <v>3862.7400000000002</v>
      </c>
      <c r="U44" s="10">
        <f t="shared" si="21"/>
        <v>-3425.51</v>
      </c>
      <c r="V44" s="27">
        <f t="shared" si="22"/>
        <v>12744.29595</v>
      </c>
      <c r="W44" s="48">
        <f t="shared" si="23"/>
        <v>35940.618446000008</v>
      </c>
      <c r="X44" s="27"/>
      <c r="Y44" s="49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8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</row>
    <row r="45" spans="1:79" x14ac:dyDescent="0.25">
      <c r="A45" s="27">
        <v>93</v>
      </c>
      <c r="B45" s="27">
        <v>1</v>
      </c>
      <c r="C45" s="18" t="s">
        <v>28</v>
      </c>
      <c r="D45" s="11">
        <v>1993973.31</v>
      </c>
      <c r="E45" s="16">
        <v>2374398.9500000002</v>
      </c>
      <c r="F45" s="11">
        <v>2293485.15</v>
      </c>
      <c r="G45" s="11">
        <v>2430849.7200000002</v>
      </c>
      <c r="H45" s="11">
        <v>2473989.81</v>
      </c>
      <c r="I45" s="11">
        <v>2576532.7400000002</v>
      </c>
      <c r="J45" s="11">
        <v>2668098.48</v>
      </c>
      <c r="K45" s="11">
        <v>2381992.7400000002</v>
      </c>
      <c r="L45" s="11">
        <v>2331575.4300000002</v>
      </c>
      <c r="M45" s="11">
        <v>2181611.9900000002</v>
      </c>
      <c r="N45" s="11">
        <f t="shared" si="18"/>
        <v>1993973.31</v>
      </c>
      <c r="O45" s="11">
        <v>694728</v>
      </c>
      <c r="P45" s="11">
        <v>-5070.66</v>
      </c>
      <c r="Q45" s="11">
        <f t="shared" si="16"/>
        <v>46866.540000000008</v>
      </c>
      <c r="R45" s="11">
        <f t="shared" si="17"/>
        <v>34496.589999999997</v>
      </c>
      <c r="S45" s="11">
        <f t="shared" si="19"/>
        <v>46658.975453999999</v>
      </c>
      <c r="T45" s="10">
        <f t="shared" si="20"/>
        <v>4863.0960000000005</v>
      </c>
      <c r="U45" s="10">
        <f t="shared" si="21"/>
        <v>-5070.66</v>
      </c>
      <c r="V45" s="27">
        <f t="shared" si="22"/>
        <v>12369.949050000001</v>
      </c>
      <c r="W45" s="48">
        <f t="shared" si="23"/>
        <v>34496.590403999995</v>
      </c>
      <c r="X45" s="27"/>
      <c r="Y45" s="49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8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</row>
    <row r="46" spans="1:79" x14ac:dyDescent="0.25">
      <c r="A46" s="27">
        <v>94</v>
      </c>
      <c r="B46" s="27">
        <v>1</v>
      </c>
      <c r="C46" s="18" t="s">
        <v>29</v>
      </c>
      <c r="D46" s="11">
        <v>7562487.7999999998</v>
      </c>
      <c r="E46" s="16">
        <v>8408875.6500000004</v>
      </c>
      <c r="F46" s="11">
        <v>9050789.7899999991</v>
      </c>
      <c r="G46" s="11">
        <v>9314518.8100000005</v>
      </c>
      <c r="H46" s="11">
        <v>9496600.9299999997</v>
      </c>
      <c r="I46" s="11">
        <v>9483453.3499999996</v>
      </c>
      <c r="J46" s="11">
        <v>10445557.060000001</v>
      </c>
      <c r="K46" s="11">
        <v>10819001.01</v>
      </c>
      <c r="L46" s="11">
        <v>10914997.039999999</v>
      </c>
      <c r="M46" s="11">
        <v>11164303.48</v>
      </c>
      <c r="N46" s="11">
        <f t="shared" si="18"/>
        <v>7562487.7999999998</v>
      </c>
      <c r="O46" s="11">
        <v>2413331</v>
      </c>
      <c r="P46" s="11">
        <v>-8087.59</v>
      </c>
      <c r="Q46" s="11">
        <f t="shared" si="16"/>
        <v>168156.47999999998</v>
      </c>
      <c r="R46" s="11">
        <f t="shared" si="17"/>
        <v>120673.48</v>
      </c>
      <c r="S46" s="11">
        <f t="shared" si="19"/>
        <v>176962.21452000001</v>
      </c>
      <c r="T46" s="10">
        <f t="shared" si="20"/>
        <v>16893.316999999999</v>
      </c>
      <c r="U46" s="10">
        <f t="shared" si="21"/>
        <v>-8087.59</v>
      </c>
      <c r="V46" s="27">
        <f t="shared" si="22"/>
        <v>47483.004650000003</v>
      </c>
      <c r="W46" s="48">
        <f t="shared" si="23"/>
        <v>120673.48286999999</v>
      </c>
      <c r="X46" s="27"/>
      <c r="Y46" s="49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8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</row>
    <row r="47" spans="1:79" x14ac:dyDescent="0.25">
      <c r="A47" s="27">
        <v>95</v>
      </c>
      <c r="B47" s="27">
        <v>1</v>
      </c>
      <c r="C47" s="18" t="s">
        <v>336</v>
      </c>
      <c r="D47" s="11">
        <v>830088.67</v>
      </c>
      <c r="E47" s="16">
        <v>1275458.45</v>
      </c>
      <c r="F47" s="11">
        <v>1360071.72</v>
      </c>
      <c r="G47" s="11">
        <v>1377719.66</v>
      </c>
      <c r="H47" s="11">
        <v>1412350.38</v>
      </c>
      <c r="I47" s="11">
        <v>1476205.01</v>
      </c>
      <c r="J47" s="11">
        <v>1498687.09</v>
      </c>
      <c r="K47" s="11">
        <v>1544920.86</v>
      </c>
      <c r="L47" s="11">
        <v>1468504.34</v>
      </c>
      <c r="M47" s="11">
        <v>1581360.81</v>
      </c>
      <c r="N47" s="11">
        <f t="shared" si="18"/>
        <v>830088.67</v>
      </c>
      <c r="O47" s="11">
        <v>293925</v>
      </c>
      <c r="P47" s="11">
        <v>-1732.09</v>
      </c>
      <c r="Q47" s="11">
        <f t="shared" si="16"/>
        <v>19098.68</v>
      </c>
      <c r="R47" s="11">
        <f t="shared" si="17"/>
        <v>12036.93</v>
      </c>
      <c r="S47" s="11">
        <f t="shared" si="19"/>
        <v>19424.074878000003</v>
      </c>
      <c r="T47" s="10">
        <f t="shared" si="20"/>
        <v>2057.4749999999999</v>
      </c>
      <c r="U47" s="10">
        <f t="shared" si="21"/>
        <v>-1732.09</v>
      </c>
      <c r="V47" s="27">
        <f t="shared" si="22"/>
        <v>7061.7518999999993</v>
      </c>
      <c r="W47" s="48">
        <f t="shared" si="23"/>
        <v>12036.937978000005</v>
      </c>
      <c r="X47" s="27"/>
      <c r="Y47" s="49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8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</row>
    <row r="48" spans="1:79" x14ac:dyDescent="0.25">
      <c r="A48" s="27">
        <v>97</v>
      </c>
      <c r="B48" s="27">
        <v>1</v>
      </c>
      <c r="C48" s="18" t="s">
        <v>30</v>
      </c>
      <c r="D48" s="11">
        <v>2385003.37</v>
      </c>
      <c r="E48" s="16">
        <v>2862739.6</v>
      </c>
      <c r="F48" s="11">
        <v>3073811.51</v>
      </c>
      <c r="G48" s="11">
        <v>2994229.87</v>
      </c>
      <c r="H48" s="11">
        <v>3054558.78</v>
      </c>
      <c r="I48" s="11">
        <v>2928613.63</v>
      </c>
      <c r="J48" s="11">
        <v>2866714.77</v>
      </c>
      <c r="K48" s="11">
        <v>2916289.53</v>
      </c>
      <c r="L48" s="11">
        <v>2885960.68</v>
      </c>
      <c r="M48" s="11">
        <v>2994485.79</v>
      </c>
      <c r="N48" s="11">
        <f t="shared" si="18"/>
        <v>2385003.37</v>
      </c>
      <c r="O48" s="11">
        <v>698535</v>
      </c>
      <c r="P48" s="11">
        <v>-2787.6</v>
      </c>
      <c r="Q48" s="11">
        <f t="shared" si="16"/>
        <v>53706.93</v>
      </c>
      <c r="R48" s="11">
        <f t="shared" si="17"/>
        <v>38434.14</v>
      </c>
      <c r="S48" s="11">
        <f t="shared" si="19"/>
        <v>55809.078858000001</v>
      </c>
      <c r="T48" s="10">
        <f t="shared" si="20"/>
        <v>4889.7449999999999</v>
      </c>
      <c r="U48" s="10">
        <f t="shared" si="21"/>
        <v>-2787.6</v>
      </c>
      <c r="V48" s="27">
        <f t="shared" si="22"/>
        <v>15272.793899999999</v>
      </c>
      <c r="W48" s="48">
        <f t="shared" si="23"/>
        <v>38434.139958</v>
      </c>
      <c r="X48" s="27"/>
      <c r="Y48" s="49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8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</row>
    <row r="49" spans="1:79" x14ac:dyDescent="0.25">
      <c r="A49" s="27">
        <v>99</v>
      </c>
      <c r="B49" s="27">
        <v>1</v>
      </c>
      <c r="C49" s="18" t="s">
        <v>31</v>
      </c>
      <c r="D49" s="11">
        <v>2993425.7</v>
      </c>
      <c r="E49" s="16">
        <v>3626465.26</v>
      </c>
      <c r="F49" s="11">
        <v>3804825.33</v>
      </c>
      <c r="G49" s="11">
        <v>4073287.62</v>
      </c>
      <c r="H49" s="11">
        <v>4156770.06</v>
      </c>
      <c r="I49" s="11">
        <v>4273322.3</v>
      </c>
      <c r="J49" s="11">
        <v>4404061.43</v>
      </c>
      <c r="K49" s="11">
        <v>4565564.5</v>
      </c>
      <c r="L49" s="11">
        <v>4689520.99</v>
      </c>
      <c r="M49" s="11">
        <v>4752394.54</v>
      </c>
      <c r="N49" s="11">
        <f t="shared" si="18"/>
        <v>2993425.7</v>
      </c>
      <c r="O49" s="11">
        <v>687045</v>
      </c>
      <c r="P49" s="11">
        <v>-3779.75</v>
      </c>
      <c r="Q49" s="11">
        <f t="shared" si="16"/>
        <v>69016.59</v>
      </c>
      <c r="R49" s="11">
        <f t="shared" si="17"/>
        <v>48232.74</v>
      </c>
      <c r="S49" s="11">
        <f t="shared" si="19"/>
        <v>70046.161380000005</v>
      </c>
      <c r="T49" s="10">
        <f t="shared" si="20"/>
        <v>4809.3150000000005</v>
      </c>
      <c r="U49" s="10">
        <f t="shared" si="21"/>
        <v>-3779.75</v>
      </c>
      <c r="V49" s="27">
        <f t="shared" si="22"/>
        <v>20783.850300000002</v>
      </c>
      <c r="W49" s="48">
        <f t="shared" si="23"/>
        <v>48232.746079999997</v>
      </c>
      <c r="X49" s="27"/>
      <c r="Y49" s="49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8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</row>
    <row r="50" spans="1:79" x14ac:dyDescent="0.25">
      <c r="A50" s="27">
        <v>100</v>
      </c>
      <c r="B50" s="27">
        <v>1</v>
      </c>
      <c r="C50" s="18" t="s">
        <v>32</v>
      </c>
      <c r="D50" s="11">
        <v>1163774.96</v>
      </c>
      <c r="E50" s="16">
        <v>1227881.31</v>
      </c>
      <c r="F50" s="11">
        <v>1358810.91</v>
      </c>
      <c r="G50" s="11">
        <v>1391417.63</v>
      </c>
      <c r="H50" s="11">
        <v>1354261.59</v>
      </c>
      <c r="I50" s="11">
        <v>1287239.49</v>
      </c>
      <c r="J50" s="11">
        <v>1398107.91</v>
      </c>
      <c r="K50" s="11">
        <v>1306282.56</v>
      </c>
      <c r="L50" s="11">
        <v>1376510.25</v>
      </c>
      <c r="M50" s="11">
        <v>1507714.44</v>
      </c>
      <c r="N50" s="11">
        <f t="shared" si="18"/>
        <v>1163774.96</v>
      </c>
      <c r="O50" s="11">
        <v>373853</v>
      </c>
      <c r="P50" s="11">
        <v>-2102.2199999999998</v>
      </c>
      <c r="Q50" s="11">
        <f t="shared" si="16"/>
        <v>26717.58</v>
      </c>
      <c r="R50" s="11">
        <f t="shared" si="17"/>
        <v>19946.27</v>
      </c>
      <c r="S50" s="11">
        <f t="shared" si="19"/>
        <v>27232.334063999999</v>
      </c>
      <c r="T50" s="10">
        <f t="shared" si="20"/>
        <v>2616.971</v>
      </c>
      <c r="U50" s="10">
        <f t="shared" si="21"/>
        <v>-2102.2199999999998</v>
      </c>
      <c r="V50" s="27">
        <f t="shared" si="22"/>
        <v>6771.3079500000003</v>
      </c>
      <c r="W50" s="48">
        <f t="shared" si="23"/>
        <v>19946.275113999996</v>
      </c>
      <c r="X50" s="27"/>
      <c r="Y50" s="49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8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</row>
    <row r="51" spans="1:79" x14ac:dyDescent="0.25">
      <c r="A51" s="27">
        <v>108</v>
      </c>
      <c r="B51" s="27">
        <v>1</v>
      </c>
      <c r="C51" s="18" t="s">
        <v>33</v>
      </c>
      <c r="D51" s="11">
        <v>3398106.96</v>
      </c>
      <c r="E51" s="16">
        <v>3823673.07</v>
      </c>
      <c r="F51" s="11">
        <v>3784289.96</v>
      </c>
      <c r="G51" s="11">
        <v>3697270.55</v>
      </c>
      <c r="H51" s="11">
        <v>3952180.11</v>
      </c>
      <c r="I51" s="11">
        <v>4150122.56</v>
      </c>
      <c r="J51" s="11">
        <v>4325557.28</v>
      </c>
      <c r="K51" s="11">
        <v>4404406.38</v>
      </c>
      <c r="L51" s="11">
        <v>4394843.0599999996</v>
      </c>
      <c r="M51" s="11">
        <v>4494784.2300000004</v>
      </c>
      <c r="N51" s="11">
        <f t="shared" si="18"/>
        <v>3398106.96</v>
      </c>
      <c r="O51" s="11">
        <v>902779</v>
      </c>
      <c r="P51" s="11">
        <v>-3660.18</v>
      </c>
      <c r="Q51" s="11">
        <f t="shared" si="16"/>
        <v>76856.429999999993</v>
      </c>
      <c r="R51" s="11">
        <f t="shared" si="17"/>
        <v>57095.53</v>
      </c>
      <c r="S51" s="11">
        <f t="shared" si="19"/>
        <v>79515.702864000006</v>
      </c>
      <c r="T51" s="10">
        <f t="shared" si="20"/>
        <v>6319.4530000000004</v>
      </c>
      <c r="U51" s="10">
        <f t="shared" si="21"/>
        <v>-3660.18</v>
      </c>
      <c r="V51" s="27">
        <f t="shared" si="22"/>
        <v>19760.900549999998</v>
      </c>
      <c r="W51" s="48">
        <f t="shared" si="23"/>
        <v>57095.529314000007</v>
      </c>
      <c r="X51" s="27"/>
      <c r="Y51" s="49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8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</row>
    <row r="52" spans="1:79" x14ac:dyDescent="0.25">
      <c r="A52" s="27">
        <v>110</v>
      </c>
      <c r="B52" s="27">
        <v>1</v>
      </c>
      <c r="C52" s="18" t="s">
        <v>34</v>
      </c>
      <c r="D52" s="11">
        <v>4506042.67</v>
      </c>
      <c r="E52" s="16">
        <v>7351904.75</v>
      </c>
      <c r="F52" s="11">
        <v>7560666.3200000003</v>
      </c>
      <c r="G52" s="11">
        <v>8119235.4000000004</v>
      </c>
      <c r="H52" s="11">
        <v>9156911.6400000006</v>
      </c>
      <c r="I52" s="11">
        <v>10112010.76</v>
      </c>
      <c r="J52" s="11">
        <v>11040310.630000001</v>
      </c>
      <c r="K52" s="11">
        <v>11743513.01</v>
      </c>
      <c r="L52" s="11">
        <v>12420683.050000001</v>
      </c>
      <c r="M52" s="11">
        <v>13489266.470000001</v>
      </c>
      <c r="N52" s="11">
        <f t="shared" si="18"/>
        <v>4506042.67</v>
      </c>
      <c r="O52" s="11">
        <v>1453409</v>
      </c>
      <c r="P52" s="11">
        <v>-3122.6</v>
      </c>
      <c r="Q52" s="11">
        <f t="shared" si="16"/>
        <v>98390.14</v>
      </c>
      <c r="R52" s="11">
        <f t="shared" si="17"/>
        <v>52605.58</v>
      </c>
      <c r="S52" s="11">
        <f t="shared" si="19"/>
        <v>105441.398478</v>
      </c>
      <c r="T52" s="10">
        <f t="shared" si="20"/>
        <v>10173.862999999999</v>
      </c>
      <c r="U52" s="10">
        <f t="shared" si="21"/>
        <v>-3122.6</v>
      </c>
      <c r="V52" s="27">
        <f t="shared" si="22"/>
        <v>45784.558200000007</v>
      </c>
      <c r="W52" s="48">
        <f t="shared" si="23"/>
        <v>52605.577278000004</v>
      </c>
      <c r="X52" s="27"/>
      <c r="Y52" s="49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8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</row>
    <row r="53" spans="1:79" x14ac:dyDescent="0.25">
      <c r="A53" s="27">
        <v>111</v>
      </c>
      <c r="B53" s="27">
        <v>1</v>
      </c>
      <c r="C53" s="18" t="s">
        <v>35</v>
      </c>
      <c r="D53" s="11">
        <v>3615538.73</v>
      </c>
      <c r="E53" s="16">
        <v>5134472.49</v>
      </c>
      <c r="F53" s="11">
        <v>5371291.0999999996</v>
      </c>
      <c r="G53" s="11">
        <v>5906630.3300000001</v>
      </c>
      <c r="H53" s="11">
        <v>6000033.96</v>
      </c>
      <c r="I53" s="11">
        <v>6380474.4299999997</v>
      </c>
      <c r="J53" s="11">
        <v>6717499.21</v>
      </c>
      <c r="K53" s="11">
        <v>6256168.8899999997</v>
      </c>
      <c r="L53" s="11">
        <v>6413997.9299999997</v>
      </c>
      <c r="M53" s="11">
        <v>6500519.7800000003</v>
      </c>
      <c r="N53" s="11">
        <f t="shared" si="18"/>
        <v>3615538.73</v>
      </c>
      <c r="O53" s="11">
        <v>833381</v>
      </c>
      <c r="P53" s="11">
        <v>-2764.6</v>
      </c>
      <c r="Q53" s="11">
        <f t="shared" si="16"/>
        <v>81534.540000000008</v>
      </c>
      <c r="R53" s="11">
        <f t="shared" si="17"/>
        <v>51534.37</v>
      </c>
      <c r="S53" s="11">
        <f t="shared" si="19"/>
        <v>84603.606282000008</v>
      </c>
      <c r="T53" s="10">
        <f t="shared" si="20"/>
        <v>5833.6670000000004</v>
      </c>
      <c r="U53" s="10">
        <f t="shared" si="21"/>
        <v>-2764.6</v>
      </c>
      <c r="V53" s="27">
        <f t="shared" si="22"/>
        <v>30000.1698</v>
      </c>
      <c r="W53" s="48">
        <f t="shared" si="23"/>
        <v>51534.369482000009</v>
      </c>
      <c r="X53" s="27"/>
      <c r="Y53" s="49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8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</row>
    <row r="54" spans="1:79" x14ac:dyDescent="0.25">
      <c r="A54" s="27">
        <v>112</v>
      </c>
      <c r="B54" s="27">
        <v>1</v>
      </c>
      <c r="C54" s="18" t="s">
        <v>36</v>
      </c>
      <c r="D54" s="11">
        <v>15878561.27</v>
      </c>
      <c r="E54" s="16">
        <v>29510981.02</v>
      </c>
      <c r="F54" s="11">
        <v>30887117.879999999</v>
      </c>
      <c r="G54" s="11">
        <v>33865184.479999997</v>
      </c>
      <c r="H54" s="11">
        <v>36539738.789999999</v>
      </c>
      <c r="I54" s="11">
        <v>39103895.609999999</v>
      </c>
      <c r="J54" s="11">
        <v>41968460.079999998</v>
      </c>
      <c r="K54" s="11">
        <v>41977903.119999997</v>
      </c>
      <c r="L54" s="11">
        <v>42906701.060000002</v>
      </c>
      <c r="M54" s="11">
        <v>42215080.170000002</v>
      </c>
      <c r="N54" s="11">
        <f t="shared" si="18"/>
        <v>15878561.27</v>
      </c>
      <c r="O54" s="11">
        <v>4365556</v>
      </c>
      <c r="P54" s="11">
        <v>-11332.05</v>
      </c>
      <c r="Q54" s="11">
        <f t="shared" si="16"/>
        <v>352331.49</v>
      </c>
      <c r="R54" s="11">
        <f t="shared" si="17"/>
        <v>169632.8</v>
      </c>
      <c r="S54" s="11">
        <f t="shared" si="19"/>
        <v>371558.33371799998</v>
      </c>
      <c r="T54" s="10">
        <f t="shared" si="20"/>
        <v>30558.892</v>
      </c>
      <c r="U54" s="10">
        <f t="shared" si="21"/>
        <v>-11332.05</v>
      </c>
      <c r="V54" s="27">
        <f t="shared" si="22"/>
        <v>182698.69394999999</v>
      </c>
      <c r="W54" s="48">
        <f t="shared" si="23"/>
        <v>169632.79776799999</v>
      </c>
      <c r="X54" s="27"/>
      <c r="Y54" s="49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8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</row>
    <row r="55" spans="1:79" x14ac:dyDescent="0.25">
      <c r="A55" s="27">
        <v>113</v>
      </c>
      <c r="B55" s="27">
        <v>1</v>
      </c>
      <c r="C55" s="18" t="s">
        <v>337</v>
      </c>
      <c r="D55" s="11">
        <v>3151825.25</v>
      </c>
      <c r="E55" s="16">
        <v>4304279.13</v>
      </c>
      <c r="F55" s="11">
        <v>4548333.62</v>
      </c>
      <c r="G55" s="11">
        <v>4479454.54</v>
      </c>
      <c r="H55" s="11">
        <v>4659517.3499999996</v>
      </c>
      <c r="I55" s="11">
        <v>4002079.27</v>
      </c>
      <c r="J55" s="11">
        <v>3876761.3</v>
      </c>
      <c r="K55" s="11">
        <v>3810582.18</v>
      </c>
      <c r="L55" s="11">
        <v>3581513.54</v>
      </c>
      <c r="M55" s="11">
        <v>3623739.64</v>
      </c>
      <c r="N55" s="11">
        <f t="shared" si="18"/>
        <v>3151825.25</v>
      </c>
      <c r="O55" s="11">
        <v>1065886</v>
      </c>
      <c r="P55" s="11">
        <v>-5505.71</v>
      </c>
      <c r="Q55" s="11">
        <f t="shared" si="16"/>
        <v>71797.220000000016</v>
      </c>
      <c r="R55" s="11">
        <f t="shared" si="17"/>
        <v>48499.63</v>
      </c>
      <c r="S55" s="11">
        <f t="shared" si="19"/>
        <v>73752.710850000003</v>
      </c>
      <c r="T55" s="10">
        <f t="shared" si="20"/>
        <v>7461.2020000000002</v>
      </c>
      <c r="U55" s="10">
        <f t="shared" si="21"/>
        <v>-5505.71</v>
      </c>
      <c r="V55" s="27">
        <f t="shared" si="22"/>
        <v>23297.586749999999</v>
      </c>
      <c r="W55" s="48">
        <f t="shared" si="23"/>
        <v>48499.632100000003</v>
      </c>
      <c r="X55" s="27"/>
      <c r="Y55" s="49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8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</row>
    <row r="56" spans="1:79" x14ac:dyDescent="0.25">
      <c r="A56" s="27">
        <v>115</v>
      </c>
      <c r="B56" s="27">
        <v>1</v>
      </c>
      <c r="C56" s="18" t="s">
        <v>338</v>
      </c>
      <c r="D56" s="11">
        <v>3346228.67</v>
      </c>
      <c r="E56" s="16">
        <v>5062575.16</v>
      </c>
      <c r="F56" s="11">
        <v>5364128.38</v>
      </c>
      <c r="G56" s="11">
        <v>5845217.3499999996</v>
      </c>
      <c r="H56" s="11">
        <v>5883797.6200000001</v>
      </c>
      <c r="I56" s="11">
        <v>5803692.79</v>
      </c>
      <c r="J56" s="11">
        <v>5962519.2300000004</v>
      </c>
      <c r="K56" s="11">
        <v>6415177.3700000001</v>
      </c>
      <c r="L56" s="11">
        <v>6588644.6100000003</v>
      </c>
      <c r="M56" s="11">
        <v>6591328.4800000004</v>
      </c>
      <c r="N56" s="11">
        <f t="shared" si="18"/>
        <v>3346228.67</v>
      </c>
      <c r="O56" s="11">
        <v>1139314</v>
      </c>
      <c r="P56" s="11">
        <v>-4774.37</v>
      </c>
      <c r="Q56" s="11">
        <f t="shared" si="16"/>
        <v>75100.92</v>
      </c>
      <c r="R56" s="11">
        <f t="shared" si="17"/>
        <v>45681.93</v>
      </c>
      <c r="S56" s="11">
        <f t="shared" si="19"/>
        <v>78301.750878000006</v>
      </c>
      <c r="T56" s="10">
        <f t="shared" si="20"/>
        <v>7975.1980000000003</v>
      </c>
      <c r="U56" s="10">
        <f t="shared" si="21"/>
        <v>-4774.37</v>
      </c>
      <c r="V56" s="27">
        <f t="shared" si="22"/>
        <v>29418.988100000002</v>
      </c>
      <c r="W56" s="48">
        <f t="shared" si="23"/>
        <v>45681.934777999995</v>
      </c>
      <c r="X56" s="27"/>
      <c r="Y56" s="49"/>
      <c r="Z56" s="11"/>
      <c r="AA56" s="11"/>
      <c r="AB56" s="11"/>
      <c r="AC56" s="34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8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</row>
    <row r="57" spans="1:79" x14ac:dyDescent="0.25">
      <c r="A57" s="27">
        <v>116</v>
      </c>
      <c r="B57" s="27">
        <v>1</v>
      </c>
      <c r="C57" s="18" t="s">
        <v>37</v>
      </c>
      <c r="D57" s="11">
        <v>1768164.7</v>
      </c>
      <c r="E57" s="16">
        <v>2496024.33</v>
      </c>
      <c r="F57" s="11">
        <v>2680596.73</v>
      </c>
      <c r="G57" s="11">
        <v>2711440.86</v>
      </c>
      <c r="H57" s="11">
        <v>2845216.85</v>
      </c>
      <c r="I57" s="34">
        <v>3082587.93</v>
      </c>
      <c r="J57" s="11">
        <v>3313707.24</v>
      </c>
      <c r="K57" s="11">
        <v>3342075.92</v>
      </c>
      <c r="L57" s="11">
        <v>3332455.89</v>
      </c>
      <c r="M57" s="11">
        <v>3562375.29</v>
      </c>
      <c r="N57" s="11">
        <f t="shared" si="18"/>
        <v>1768164.7</v>
      </c>
      <c r="O57" s="11">
        <v>461253</v>
      </c>
      <c r="P57" s="11">
        <v>-1121.92</v>
      </c>
      <c r="Q57" s="11">
        <f t="shared" si="16"/>
        <v>39268.200000000004</v>
      </c>
      <c r="R57" s="11">
        <f t="shared" si="17"/>
        <v>25042.12</v>
      </c>
      <c r="S57" s="11">
        <f t="shared" si="19"/>
        <v>41375.053979999997</v>
      </c>
      <c r="T57" s="10">
        <f t="shared" si="20"/>
        <v>3228.7710000000002</v>
      </c>
      <c r="U57" s="10">
        <f t="shared" si="21"/>
        <v>-1121.92</v>
      </c>
      <c r="V57" s="27">
        <f t="shared" si="22"/>
        <v>14226.08425</v>
      </c>
      <c r="W57" s="48">
        <f t="shared" si="23"/>
        <v>25042.118729999995</v>
      </c>
      <c r="X57" s="27"/>
      <c r="Y57" s="49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8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</row>
    <row r="58" spans="1:79" x14ac:dyDescent="0.25">
      <c r="A58" s="27">
        <v>118</v>
      </c>
      <c r="B58" s="27">
        <v>1</v>
      </c>
      <c r="C58" s="18" t="s">
        <v>339</v>
      </c>
      <c r="D58" s="11">
        <v>2022763.75</v>
      </c>
      <c r="E58" s="16">
        <v>2864365.83</v>
      </c>
      <c r="F58" s="11">
        <v>2953932.07</v>
      </c>
      <c r="G58" s="11">
        <v>2932182.06</v>
      </c>
      <c r="H58" s="11">
        <v>3050175.9</v>
      </c>
      <c r="I58" s="11">
        <v>3048018.69</v>
      </c>
      <c r="J58" s="11">
        <v>3217172.26</v>
      </c>
      <c r="K58" s="11">
        <v>3059750.3</v>
      </c>
      <c r="L58" s="11">
        <v>2601041.63</v>
      </c>
      <c r="M58" s="11">
        <v>2330776.2200000002</v>
      </c>
      <c r="N58" s="11">
        <f t="shared" si="18"/>
        <v>2022763.75</v>
      </c>
      <c r="O58" s="11">
        <v>747502</v>
      </c>
      <c r="P58" s="11">
        <v>-3278.23</v>
      </c>
      <c r="Q58" s="11">
        <f t="shared" si="16"/>
        <v>45378.39</v>
      </c>
      <c r="R58" s="11">
        <f t="shared" si="17"/>
        <v>30127.51</v>
      </c>
      <c r="S58" s="11">
        <f t="shared" si="19"/>
        <v>47332.671750000001</v>
      </c>
      <c r="T58" s="10">
        <f t="shared" si="20"/>
        <v>5232.5140000000001</v>
      </c>
      <c r="U58" s="10">
        <f t="shared" si="21"/>
        <v>-3278.23</v>
      </c>
      <c r="V58" s="27">
        <f t="shared" si="22"/>
        <v>15250.879499999999</v>
      </c>
      <c r="W58" s="48">
        <f t="shared" si="23"/>
        <v>30127.508250000003</v>
      </c>
      <c r="X58" s="27"/>
      <c r="Y58" s="49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8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</row>
    <row r="59" spans="1:79" x14ac:dyDescent="0.25">
      <c r="A59" s="27">
        <v>129</v>
      </c>
      <c r="B59" s="27">
        <v>1</v>
      </c>
      <c r="C59" s="18" t="s">
        <v>38</v>
      </c>
      <c r="D59" s="11">
        <v>4930721.28</v>
      </c>
      <c r="E59" s="16">
        <v>6862062.5499999998</v>
      </c>
      <c r="F59" s="11">
        <v>6918606.0099999998</v>
      </c>
      <c r="G59" s="11">
        <v>7131972.5099999998</v>
      </c>
      <c r="H59" s="11">
        <v>7183101.5700000003</v>
      </c>
      <c r="I59" s="11">
        <v>7362899.0999999996</v>
      </c>
      <c r="J59" s="11">
        <v>7040993.21</v>
      </c>
      <c r="K59" s="11">
        <v>6923380.8700000001</v>
      </c>
      <c r="L59" s="11">
        <v>6558648.9800000004</v>
      </c>
      <c r="M59" s="11">
        <v>7132817.3700000001</v>
      </c>
      <c r="N59" s="11">
        <f t="shared" si="18"/>
        <v>4930721.28</v>
      </c>
      <c r="O59" s="11">
        <v>1375815</v>
      </c>
      <c r="P59" s="11">
        <v>-5774.77</v>
      </c>
      <c r="Q59" s="11">
        <f t="shared" si="16"/>
        <v>111522.94000000002</v>
      </c>
      <c r="R59" s="11">
        <f t="shared" si="17"/>
        <v>75607.429999999993</v>
      </c>
      <c r="S59" s="11">
        <f t="shared" si="19"/>
        <v>115378.87795200001</v>
      </c>
      <c r="T59" s="10">
        <f t="shared" si="20"/>
        <v>9630.7049999999999</v>
      </c>
      <c r="U59" s="10">
        <f t="shared" si="21"/>
        <v>-5774.77</v>
      </c>
      <c r="V59" s="27">
        <f t="shared" si="22"/>
        <v>35915.507850000002</v>
      </c>
      <c r="W59" s="48">
        <f t="shared" si="23"/>
        <v>75607.435102000018</v>
      </c>
      <c r="X59" s="27"/>
      <c r="Y59" s="49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8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</row>
    <row r="60" spans="1:79" x14ac:dyDescent="0.25">
      <c r="A60" s="27">
        <v>138</v>
      </c>
      <c r="B60" s="27">
        <v>1</v>
      </c>
      <c r="C60" s="18" t="s">
        <v>39</v>
      </c>
      <c r="D60" s="11">
        <v>8137027.0099999998</v>
      </c>
      <c r="E60" s="16">
        <v>12307065.050000001</v>
      </c>
      <c r="F60" s="11">
        <v>12383328.85</v>
      </c>
      <c r="G60" s="11">
        <v>13608092.560000001</v>
      </c>
      <c r="H60" s="11">
        <v>13328676.49</v>
      </c>
      <c r="I60" s="11">
        <v>13717092.890000001</v>
      </c>
      <c r="J60" s="11">
        <v>13869221.550000001</v>
      </c>
      <c r="K60" s="11">
        <v>12608081.58</v>
      </c>
      <c r="L60" s="11">
        <v>12669280.449999999</v>
      </c>
      <c r="M60" s="11">
        <v>12721445.960000001</v>
      </c>
      <c r="N60" s="11">
        <f t="shared" si="18"/>
        <v>8137027.0099999998</v>
      </c>
      <c r="O60" s="11">
        <v>3150256</v>
      </c>
      <c r="P60" s="11">
        <v>-10363.02</v>
      </c>
      <c r="Q60" s="11">
        <f t="shared" si="16"/>
        <v>178717.65999999997</v>
      </c>
      <c r="R60" s="11">
        <f t="shared" si="17"/>
        <v>112074.28</v>
      </c>
      <c r="S60" s="11">
        <f t="shared" si="19"/>
        <v>190406.432034</v>
      </c>
      <c r="T60" s="10">
        <f t="shared" si="20"/>
        <v>22051.792000000001</v>
      </c>
      <c r="U60" s="10">
        <f t="shared" si="21"/>
        <v>-10363.02</v>
      </c>
      <c r="V60" s="27">
        <f t="shared" si="22"/>
        <v>66643.382450000005</v>
      </c>
      <c r="W60" s="48">
        <f t="shared" si="23"/>
        <v>112074.27758399997</v>
      </c>
      <c r="X60" s="27"/>
      <c r="Y60" s="49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8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</row>
    <row r="61" spans="1:79" x14ac:dyDescent="0.25">
      <c r="A61" s="27">
        <v>139</v>
      </c>
      <c r="B61" s="27">
        <v>1</v>
      </c>
      <c r="C61" s="18" t="s">
        <v>40</v>
      </c>
      <c r="D61" s="11">
        <v>2687311.01</v>
      </c>
      <c r="E61" s="16">
        <v>4057880.45</v>
      </c>
      <c r="F61" s="11">
        <v>3840256.16</v>
      </c>
      <c r="G61" s="11">
        <v>4541463.67</v>
      </c>
      <c r="H61" s="11">
        <v>4080821.19</v>
      </c>
      <c r="I61" s="11">
        <v>4368004.3099999996</v>
      </c>
      <c r="J61" s="11">
        <v>4491611.34</v>
      </c>
      <c r="K61" s="11">
        <v>4639445.5599999996</v>
      </c>
      <c r="L61" s="11">
        <v>4586305.42</v>
      </c>
      <c r="M61" s="11">
        <v>5118654.1900000004</v>
      </c>
      <c r="N61" s="11">
        <f t="shared" si="18"/>
        <v>2687311.01</v>
      </c>
      <c r="O61" s="11">
        <v>758220</v>
      </c>
      <c r="P61" s="11">
        <v>-2157.36</v>
      </c>
      <c r="Q61" s="11">
        <f t="shared" si="16"/>
        <v>59732.9</v>
      </c>
      <c r="R61" s="11">
        <f t="shared" si="17"/>
        <v>39328.79</v>
      </c>
      <c r="S61" s="11">
        <f t="shared" si="19"/>
        <v>62883.077633999994</v>
      </c>
      <c r="T61" s="10">
        <f t="shared" si="20"/>
        <v>5307.54</v>
      </c>
      <c r="U61" s="10">
        <f t="shared" si="21"/>
        <v>-2157.36</v>
      </c>
      <c r="V61" s="27">
        <f t="shared" si="22"/>
        <v>20404.105950000001</v>
      </c>
      <c r="W61" s="48">
        <f t="shared" si="23"/>
        <v>39328.791683999996</v>
      </c>
      <c r="X61" s="27"/>
      <c r="Y61" s="49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8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</row>
    <row r="62" spans="1:79" x14ac:dyDescent="0.25">
      <c r="A62" s="27">
        <v>146</v>
      </c>
      <c r="B62" s="27">
        <v>1</v>
      </c>
      <c r="C62" s="18" t="s">
        <v>41</v>
      </c>
      <c r="D62" s="11">
        <v>2360200.11</v>
      </c>
      <c r="E62" s="16">
        <v>2408975.7799999998</v>
      </c>
      <c r="F62" s="11">
        <v>2617841.33</v>
      </c>
      <c r="G62" s="11">
        <v>2604194.33</v>
      </c>
      <c r="H62" s="11">
        <v>2895763.34</v>
      </c>
      <c r="I62" s="11">
        <v>3104581.71</v>
      </c>
      <c r="J62" s="11">
        <v>3126265.67</v>
      </c>
      <c r="K62" s="11">
        <v>3011747.91</v>
      </c>
      <c r="L62" s="11">
        <v>3020951.07</v>
      </c>
      <c r="M62" s="11">
        <v>3160424.39</v>
      </c>
      <c r="N62" s="11">
        <f t="shared" si="18"/>
        <v>2360200.11</v>
      </c>
      <c r="O62" s="11">
        <v>497093</v>
      </c>
      <c r="P62" s="11">
        <v>-3122.27</v>
      </c>
      <c r="Q62" s="11">
        <f t="shared" si="16"/>
        <v>54871.299999999996</v>
      </c>
      <c r="R62" s="11">
        <f t="shared" si="17"/>
        <v>40392.480000000003</v>
      </c>
      <c r="S62" s="11">
        <f t="shared" si="19"/>
        <v>55228.682573999999</v>
      </c>
      <c r="T62" s="10">
        <f t="shared" si="20"/>
        <v>3479.6510000000003</v>
      </c>
      <c r="U62" s="10">
        <f t="shared" si="21"/>
        <v>-3122.27</v>
      </c>
      <c r="V62" s="27">
        <f t="shared" si="22"/>
        <v>14478.816699999999</v>
      </c>
      <c r="W62" s="48">
        <f t="shared" si="23"/>
        <v>40392.484874000002</v>
      </c>
      <c r="X62" s="27"/>
      <c r="Y62" s="49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8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</row>
    <row r="63" spans="1:79" x14ac:dyDescent="0.25">
      <c r="A63" s="27">
        <v>150</v>
      </c>
      <c r="B63" s="27">
        <v>1</v>
      </c>
      <c r="C63" s="18" t="s">
        <v>42</v>
      </c>
      <c r="D63" s="11">
        <v>2290032.52</v>
      </c>
      <c r="E63" s="16">
        <v>3290495.32</v>
      </c>
      <c r="F63" s="11">
        <v>3270889.28</v>
      </c>
      <c r="G63" s="11">
        <v>3418836.56</v>
      </c>
      <c r="H63" s="11">
        <v>3567330.16</v>
      </c>
      <c r="I63" s="11">
        <v>3708781.79</v>
      </c>
      <c r="J63" s="11">
        <v>3716574.93</v>
      </c>
      <c r="K63" s="11">
        <v>3674273.09</v>
      </c>
      <c r="L63" s="11">
        <v>3725868.17</v>
      </c>
      <c r="M63" s="11">
        <v>3862604.23</v>
      </c>
      <c r="N63" s="11">
        <f t="shared" si="18"/>
        <v>2290032.52</v>
      </c>
      <c r="O63" s="11">
        <v>489956</v>
      </c>
      <c r="P63" s="11">
        <v>-1845.7</v>
      </c>
      <c r="Q63" s="11">
        <f t="shared" si="16"/>
        <v>52002.77</v>
      </c>
      <c r="R63" s="11">
        <f t="shared" si="17"/>
        <v>34166.120000000003</v>
      </c>
      <c r="S63" s="11">
        <f t="shared" si="19"/>
        <v>53586.760968000002</v>
      </c>
      <c r="T63" s="10">
        <f t="shared" si="20"/>
        <v>3429.692</v>
      </c>
      <c r="U63" s="10">
        <f t="shared" si="21"/>
        <v>-1845.7</v>
      </c>
      <c r="V63" s="27">
        <f t="shared" si="22"/>
        <v>17836.650799999999</v>
      </c>
      <c r="W63" s="48">
        <f t="shared" si="23"/>
        <v>34166.118168000001</v>
      </c>
      <c r="X63" s="27"/>
      <c r="Y63" s="49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8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</row>
    <row r="64" spans="1:79" x14ac:dyDescent="0.25">
      <c r="A64" s="27">
        <v>152</v>
      </c>
      <c r="B64" s="27">
        <v>1</v>
      </c>
      <c r="C64" s="18" t="s">
        <v>43</v>
      </c>
      <c r="D64" s="11">
        <v>18100412.329999998</v>
      </c>
      <c r="E64" s="16">
        <v>21740272.600000001</v>
      </c>
      <c r="F64" s="11">
        <v>21996460.609999999</v>
      </c>
      <c r="G64" s="11">
        <v>23081230.789999999</v>
      </c>
      <c r="H64" s="11">
        <v>23828724.09</v>
      </c>
      <c r="I64" s="11">
        <v>24315153.289999999</v>
      </c>
      <c r="J64" s="11">
        <v>25110239.91</v>
      </c>
      <c r="K64" s="11">
        <v>23747047.370000001</v>
      </c>
      <c r="L64" s="11">
        <v>23919483.82</v>
      </c>
      <c r="M64" s="11">
        <v>24446457.109999999</v>
      </c>
      <c r="N64" s="11">
        <f t="shared" si="18"/>
        <v>18100412.329999998</v>
      </c>
      <c r="O64" s="11">
        <v>4773233</v>
      </c>
      <c r="P64" s="11">
        <v>-11906.28</v>
      </c>
      <c r="Q64" s="11">
        <f t="shared" si="16"/>
        <v>402043.30000000005</v>
      </c>
      <c r="R64" s="11">
        <f t="shared" si="17"/>
        <v>282899.68</v>
      </c>
      <c r="S64" s="11">
        <f t="shared" si="19"/>
        <v>423549.64852199994</v>
      </c>
      <c r="T64" s="10">
        <f t="shared" si="20"/>
        <v>33412.631000000001</v>
      </c>
      <c r="U64" s="10">
        <f t="shared" si="21"/>
        <v>-11906.28</v>
      </c>
      <c r="V64" s="27">
        <f t="shared" si="22"/>
        <v>119143.62045</v>
      </c>
      <c r="W64" s="48">
        <f t="shared" si="23"/>
        <v>282899.67707199999</v>
      </c>
      <c r="X64" s="27"/>
      <c r="Y64" s="49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8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</row>
    <row r="65" spans="1:79" x14ac:dyDescent="0.25">
      <c r="A65" s="27">
        <v>162</v>
      </c>
      <c r="B65" s="27">
        <v>1</v>
      </c>
      <c r="C65" s="18" t="s">
        <v>44</v>
      </c>
      <c r="D65" s="11">
        <v>3596109.77</v>
      </c>
      <c r="E65" s="16">
        <v>4220853.72</v>
      </c>
      <c r="F65" s="11">
        <v>4296824.82</v>
      </c>
      <c r="G65" s="11">
        <v>4026139.52</v>
      </c>
      <c r="H65" s="11">
        <v>4087427.79</v>
      </c>
      <c r="I65" s="11">
        <v>4127067.38</v>
      </c>
      <c r="J65" s="11">
        <v>4253285.2300000004</v>
      </c>
      <c r="K65" s="11">
        <v>4101048.63</v>
      </c>
      <c r="L65" s="11">
        <v>4079809.9</v>
      </c>
      <c r="M65" s="11">
        <v>4059118.46</v>
      </c>
      <c r="N65" s="11">
        <f t="shared" si="18"/>
        <v>3596109.77</v>
      </c>
      <c r="O65" s="11">
        <v>1033522</v>
      </c>
      <c r="P65" s="11">
        <v>-6290.18</v>
      </c>
      <c r="Q65" s="11">
        <f t="shared" si="16"/>
        <v>83204.5</v>
      </c>
      <c r="R65" s="11">
        <f t="shared" si="17"/>
        <v>62767.360000000001</v>
      </c>
      <c r="S65" s="11">
        <f t="shared" si="19"/>
        <v>84148.968617999999</v>
      </c>
      <c r="T65" s="10">
        <f t="shared" si="20"/>
        <v>7234.6540000000005</v>
      </c>
      <c r="U65" s="10">
        <f t="shared" si="21"/>
        <v>-6290.18</v>
      </c>
      <c r="V65" s="27">
        <f t="shared" si="22"/>
        <v>20437.13895</v>
      </c>
      <c r="W65" s="48">
        <f t="shared" si="23"/>
        <v>62767.355667999997</v>
      </c>
      <c r="X65" s="27"/>
      <c r="Y65" s="49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8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</row>
    <row r="66" spans="1:79" x14ac:dyDescent="0.25">
      <c r="A66" s="27">
        <v>166</v>
      </c>
      <c r="B66" s="27">
        <v>1</v>
      </c>
      <c r="C66" s="18" t="s">
        <v>45</v>
      </c>
      <c r="D66" s="11">
        <v>2167565.19</v>
      </c>
      <c r="E66" s="16">
        <v>2426947.12</v>
      </c>
      <c r="F66" s="11">
        <v>2654291.3199999998</v>
      </c>
      <c r="G66" s="11">
        <v>2650898.52</v>
      </c>
      <c r="H66" s="11">
        <v>2603682</v>
      </c>
      <c r="I66" s="11">
        <v>2533009.34</v>
      </c>
      <c r="J66" s="11">
        <v>2680179.86</v>
      </c>
      <c r="K66" s="11">
        <v>2470084.15</v>
      </c>
      <c r="L66" s="11">
        <v>2333707.8199999998</v>
      </c>
      <c r="M66" s="11">
        <v>2397557.75</v>
      </c>
      <c r="N66" s="11">
        <f t="shared" si="18"/>
        <v>2167565.19</v>
      </c>
      <c r="O66" s="11">
        <v>730983</v>
      </c>
      <c r="P66" s="11">
        <v>-5978.81</v>
      </c>
      <c r="Q66" s="11">
        <f t="shared" si="16"/>
        <v>51582.96</v>
      </c>
      <c r="R66" s="11">
        <f t="shared" si="17"/>
        <v>38564.550000000003</v>
      </c>
      <c r="S66" s="11">
        <f t="shared" si="19"/>
        <v>50721.025446</v>
      </c>
      <c r="T66" s="10">
        <f t="shared" si="20"/>
        <v>5116.8810000000003</v>
      </c>
      <c r="U66" s="10">
        <f t="shared" si="21"/>
        <v>-5978.81</v>
      </c>
      <c r="V66" s="27">
        <f t="shared" si="22"/>
        <v>13018.41</v>
      </c>
      <c r="W66" s="48">
        <f t="shared" si="23"/>
        <v>38564.544446</v>
      </c>
      <c r="X66" s="27"/>
      <c r="Y66" s="49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8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</row>
    <row r="67" spans="1:79" x14ac:dyDescent="0.25">
      <c r="A67" s="27">
        <v>173</v>
      </c>
      <c r="B67" s="27">
        <v>1</v>
      </c>
      <c r="C67" s="18" t="s">
        <v>46</v>
      </c>
      <c r="D67" s="11">
        <v>1719218.91</v>
      </c>
      <c r="E67" s="16">
        <v>2079253.77</v>
      </c>
      <c r="F67" s="11">
        <v>2197993.94</v>
      </c>
      <c r="G67" s="11">
        <v>2251887.36</v>
      </c>
      <c r="H67" s="11">
        <v>2243483.0499999998</v>
      </c>
      <c r="I67" s="11">
        <v>2301105.15</v>
      </c>
      <c r="J67" s="11">
        <v>2342738.67</v>
      </c>
      <c r="K67" s="11">
        <v>2369819.67</v>
      </c>
      <c r="L67" s="11">
        <v>2325508.21</v>
      </c>
      <c r="M67" s="11">
        <v>2379070.31</v>
      </c>
      <c r="N67" s="11">
        <f t="shared" si="18"/>
        <v>1719218.91</v>
      </c>
      <c r="O67" s="11">
        <v>484444</v>
      </c>
      <c r="P67" s="11">
        <v>-1900.14</v>
      </c>
      <c r="Q67" s="11">
        <f t="shared" si="16"/>
        <v>38738.75</v>
      </c>
      <c r="R67" s="11">
        <f t="shared" si="17"/>
        <v>27521.33</v>
      </c>
      <c r="S67" s="11">
        <f t="shared" si="19"/>
        <v>40229.722494000001</v>
      </c>
      <c r="T67" s="10">
        <f t="shared" si="20"/>
        <v>3391.1080000000002</v>
      </c>
      <c r="U67" s="10">
        <f t="shared" si="21"/>
        <v>-1900.14</v>
      </c>
      <c r="V67" s="27">
        <f t="shared" si="22"/>
        <v>11217.41525</v>
      </c>
      <c r="W67" s="48">
        <f t="shared" si="23"/>
        <v>27521.339244000003</v>
      </c>
      <c r="X67" s="27"/>
      <c r="Y67" s="49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8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</row>
    <row r="68" spans="1:79" x14ac:dyDescent="0.25">
      <c r="A68" s="27">
        <v>177</v>
      </c>
      <c r="B68" s="27">
        <v>1</v>
      </c>
      <c r="C68" s="18" t="s">
        <v>47</v>
      </c>
      <c r="D68" s="11">
        <v>3876410.47</v>
      </c>
      <c r="E68" s="16">
        <v>4010867.4</v>
      </c>
      <c r="F68" s="11">
        <v>4106246.28</v>
      </c>
      <c r="G68" s="11">
        <v>4051030.78</v>
      </c>
      <c r="H68" s="11">
        <v>4044369.97</v>
      </c>
      <c r="I68" s="11">
        <v>3908277.93</v>
      </c>
      <c r="J68" s="11">
        <v>4199126.6500000004</v>
      </c>
      <c r="K68" s="11">
        <v>4338425.26</v>
      </c>
      <c r="L68" s="11">
        <v>4336755.99</v>
      </c>
      <c r="M68" s="11">
        <v>4467018.54</v>
      </c>
      <c r="N68" s="11">
        <f t="shared" si="18"/>
        <v>3876410.47</v>
      </c>
      <c r="O68" s="11">
        <v>1131542</v>
      </c>
      <c r="P68" s="11">
        <v>-7923.73</v>
      </c>
      <c r="Q68" s="11">
        <f t="shared" si="16"/>
        <v>90710.94</v>
      </c>
      <c r="R68" s="11">
        <f t="shared" si="17"/>
        <v>70489.09</v>
      </c>
      <c r="S68" s="11">
        <f t="shared" si="19"/>
        <v>90708.004998000004</v>
      </c>
      <c r="T68" s="10">
        <f t="shared" si="20"/>
        <v>7920.7939999999999</v>
      </c>
      <c r="U68" s="10">
        <f t="shared" si="21"/>
        <v>-7923.73</v>
      </c>
      <c r="V68" s="27">
        <f t="shared" si="22"/>
        <v>20221.849850000002</v>
      </c>
      <c r="W68" s="48">
        <f t="shared" si="23"/>
        <v>70489.091148000007</v>
      </c>
      <c r="X68" s="27"/>
      <c r="Y68" s="49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8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</row>
    <row r="69" spans="1:79" x14ac:dyDescent="0.25">
      <c r="A69" s="27">
        <v>181</v>
      </c>
      <c r="B69" s="27">
        <v>1</v>
      </c>
      <c r="C69" s="18" t="s">
        <v>48</v>
      </c>
      <c r="D69" s="11">
        <v>20582212.830000002</v>
      </c>
      <c r="E69" s="16">
        <v>28350414.329999998</v>
      </c>
      <c r="F69" s="11">
        <v>28427899.09</v>
      </c>
      <c r="G69" s="11">
        <v>28758680.940000001</v>
      </c>
      <c r="H69" s="11">
        <v>29513074.920000002</v>
      </c>
      <c r="I69" s="11">
        <v>29726454.210000001</v>
      </c>
      <c r="J69" s="11">
        <v>28742409.48</v>
      </c>
      <c r="K69" s="11">
        <v>29874305.969999999</v>
      </c>
      <c r="L69" s="11">
        <v>29709282.75</v>
      </c>
      <c r="M69" s="11">
        <v>29877033.440000001</v>
      </c>
      <c r="N69" s="11">
        <f t="shared" si="18"/>
        <v>20582212.830000002</v>
      </c>
      <c r="O69" s="11">
        <v>5296407</v>
      </c>
      <c r="P69" s="11">
        <v>-20275.45</v>
      </c>
      <c r="Q69" s="11">
        <f t="shared" si="16"/>
        <v>464824.38000000006</v>
      </c>
      <c r="R69" s="11">
        <f t="shared" si="17"/>
        <v>317259.01</v>
      </c>
      <c r="S69" s="11">
        <f t="shared" si="19"/>
        <v>481623.78022200003</v>
      </c>
      <c r="T69" s="10">
        <f t="shared" si="20"/>
        <v>37074.849000000002</v>
      </c>
      <c r="U69" s="10">
        <f t="shared" si="21"/>
        <v>-20275.45</v>
      </c>
      <c r="V69" s="27">
        <f t="shared" si="22"/>
        <v>147565.37460000001</v>
      </c>
      <c r="W69" s="48">
        <f t="shared" si="23"/>
        <v>317259.00662200002</v>
      </c>
      <c r="X69" s="27"/>
      <c r="Y69" s="49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8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</row>
    <row r="70" spans="1:79" x14ac:dyDescent="0.25">
      <c r="A70" s="27">
        <v>182</v>
      </c>
      <c r="B70" s="27">
        <v>1</v>
      </c>
      <c r="C70" s="18" t="s">
        <v>340</v>
      </c>
      <c r="D70" s="11">
        <v>4703742.6100000003</v>
      </c>
      <c r="E70" s="16">
        <v>4859094.51</v>
      </c>
      <c r="F70" s="11">
        <v>4954744.72</v>
      </c>
      <c r="G70" s="11">
        <v>4801402.7699999996</v>
      </c>
      <c r="H70" s="11">
        <v>4909397.07</v>
      </c>
      <c r="I70" s="11">
        <v>4431599.83</v>
      </c>
      <c r="J70" s="11">
        <v>4348520.28</v>
      </c>
      <c r="K70" s="11">
        <v>4533409.5199999996</v>
      </c>
      <c r="L70" s="11">
        <v>4611591.7699999996</v>
      </c>
      <c r="M70" s="11">
        <v>4712489.3600000003</v>
      </c>
      <c r="N70" s="11">
        <f t="shared" si="18"/>
        <v>4348520.28</v>
      </c>
      <c r="O70" s="11">
        <v>1019604</v>
      </c>
      <c r="P70" s="11">
        <v>-5866.45</v>
      </c>
      <c r="Q70" s="11">
        <f t="shared" si="16"/>
        <v>100484.59</v>
      </c>
      <c r="R70" s="11">
        <f t="shared" si="17"/>
        <v>75937.600000000006</v>
      </c>
      <c r="S70" s="11">
        <f t="shared" si="19"/>
        <v>101755.37455200001</v>
      </c>
      <c r="T70" s="10">
        <f t="shared" si="20"/>
        <v>7137.2280000000001</v>
      </c>
      <c r="U70" s="10">
        <f t="shared" si="21"/>
        <v>-5866.45</v>
      </c>
      <c r="V70" s="27">
        <f t="shared" si="22"/>
        <v>24546.985350000003</v>
      </c>
      <c r="W70" s="48">
        <f t="shared" si="23"/>
        <v>75937.611202</v>
      </c>
      <c r="X70" s="27"/>
      <c r="Y70" s="49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8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</row>
    <row r="71" spans="1:79" x14ac:dyDescent="0.25">
      <c r="A71" s="27">
        <v>186</v>
      </c>
      <c r="B71" s="27">
        <v>1</v>
      </c>
      <c r="C71" s="18" t="s">
        <v>49</v>
      </c>
      <c r="D71" s="11">
        <v>2729597.65</v>
      </c>
      <c r="E71" s="16">
        <v>4790506.38</v>
      </c>
      <c r="F71" s="11">
        <v>5100411.54</v>
      </c>
      <c r="G71" s="11">
        <v>5026893.24</v>
      </c>
      <c r="H71" s="11">
        <v>5714055.6699999999</v>
      </c>
      <c r="I71" s="11">
        <v>5937093.5800000001</v>
      </c>
      <c r="J71" s="11">
        <v>6248803.54</v>
      </c>
      <c r="K71" s="11">
        <v>6194448.4199999999</v>
      </c>
      <c r="L71" s="11">
        <v>6110614.8099999996</v>
      </c>
      <c r="M71" s="11">
        <v>6222803.3499999996</v>
      </c>
      <c r="N71" s="11">
        <f t="shared" si="18"/>
        <v>2729597.65</v>
      </c>
      <c r="O71" s="11">
        <v>920599</v>
      </c>
      <c r="P71" s="11">
        <v>-3434.97</v>
      </c>
      <c r="Q71" s="11">
        <f t="shared" si="16"/>
        <v>60863.369999999995</v>
      </c>
      <c r="R71" s="11">
        <f t="shared" si="17"/>
        <v>32293.09</v>
      </c>
      <c r="S71" s="11">
        <f t="shared" si="19"/>
        <v>63872.585010000003</v>
      </c>
      <c r="T71" s="10">
        <f t="shared" si="20"/>
        <v>6444.1930000000002</v>
      </c>
      <c r="U71" s="10">
        <f t="shared" si="21"/>
        <v>-3434.97</v>
      </c>
      <c r="V71" s="27">
        <f t="shared" si="22"/>
        <v>28570.278350000001</v>
      </c>
      <c r="W71" s="48">
        <f t="shared" si="23"/>
        <v>32293.083660000004</v>
      </c>
      <c r="X71" s="27"/>
      <c r="Y71" s="49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8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</row>
    <row r="72" spans="1:79" x14ac:dyDescent="0.25">
      <c r="A72" s="27">
        <v>191</v>
      </c>
      <c r="B72" s="27">
        <v>1</v>
      </c>
      <c r="C72" s="18" t="s">
        <v>50</v>
      </c>
      <c r="D72" s="11">
        <v>36336254.850000001</v>
      </c>
      <c r="E72" s="16">
        <v>46685171.659999996</v>
      </c>
      <c r="F72" s="11">
        <v>46093451.920000002</v>
      </c>
      <c r="G72" s="11">
        <v>46372195.340000004</v>
      </c>
      <c r="H72" s="11">
        <v>48722228.140000001</v>
      </c>
      <c r="I72" s="11">
        <v>47932885.210000001</v>
      </c>
      <c r="J72" s="11">
        <v>50684842.030000001</v>
      </c>
      <c r="K72" s="11">
        <v>51274808.75</v>
      </c>
      <c r="L72" s="11">
        <v>55506785.890000001</v>
      </c>
      <c r="M72" s="11">
        <v>49578226.469999999</v>
      </c>
      <c r="N72" s="11">
        <f t="shared" si="18"/>
        <v>36336254.850000001</v>
      </c>
      <c r="O72" s="11">
        <v>13313925</v>
      </c>
      <c r="P72" s="11">
        <v>-39161.089999999997</v>
      </c>
      <c r="Q72" s="11">
        <f t="shared" si="16"/>
        <v>796231.97</v>
      </c>
      <c r="R72" s="11">
        <f t="shared" si="17"/>
        <v>552620.82999999996</v>
      </c>
      <c r="S72" s="11">
        <f t="shared" si="19"/>
        <v>850268.36349000002</v>
      </c>
      <c r="T72" s="10">
        <f t="shared" si="20"/>
        <v>93197.475000000006</v>
      </c>
      <c r="U72" s="10">
        <f t="shared" si="21"/>
        <v>-39161.089999999997</v>
      </c>
      <c r="V72" s="27">
        <f t="shared" si="22"/>
        <v>243611.14070000002</v>
      </c>
      <c r="W72" s="48">
        <f t="shared" si="23"/>
        <v>552620.83779000002</v>
      </c>
      <c r="X72" s="27"/>
      <c r="Y72" s="49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8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</row>
    <row r="73" spans="1:79" x14ac:dyDescent="0.25">
      <c r="A73" s="27">
        <v>192</v>
      </c>
      <c r="B73" s="27">
        <v>1</v>
      </c>
      <c r="C73" s="18" t="s">
        <v>51</v>
      </c>
      <c r="D73" s="11">
        <v>9667036.1199999992</v>
      </c>
      <c r="E73" s="16">
        <v>15477965.539999999</v>
      </c>
      <c r="F73" s="11">
        <v>19517979.780000001</v>
      </c>
      <c r="G73" s="11">
        <v>21278334.59</v>
      </c>
      <c r="H73" s="11">
        <v>23560554.210000001</v>
      </c>
      <c r="I73" s="11">
        <v>24685138.449999999</v>
      </c>
      <c r="J73" s="11">
        <v>27043617.649999999</v>
      </c>
      <c r="K73" s="11">
        <v>28633663.899999999</v>
      </c>
      <c r="L73" s="11">
        <v>29160157.66</v>
      </c>
      <c r="M73" s="11">
        <v>29821038.77</v>
      </c>
      <c r="N73" s="11">
        <f t="shared" si="18"/>
        <v>9667036.1199999992</v>
      </c>
      <c r="O73" s="11">
        <v>2768085</v>
      </c>
      <c r="P73" s="11">
        <v>-5705.3</v>
      </c>
      <c r="Q73" s="11">
        <f t="shared" si="16"/>
        <v>212537.34999999998</v>
      </c>
      <c r="R73" s="11">
        <f t="shared" si="17"/>
        <v>94734.58</v>
      </c>
      <c r="S73" s="11">
        <f t="shared" si="19"/>
        <v>226208.645208</v>
      </c>
      <c r="T73" s="10">
        <f t="shared" si="20"/>
        <v>19376.595000000001</v>
      </c>
      <c r="U73" s="10">
        <f t="shared" si="21"/>
        <v>-5705.3</v>
      </c>
      <c r="V73" s="27">
        <f t="shared" si="22"/>
        <v>117802.77105000001</v>
      </c>
      <c r="W73" s="48">
        <f t="shared" si="23"/>
        <v>94734.579157999979</v>
      </c>
      <c r="X73" s="27"/>
      <c r="Y73" s="49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8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</row>
    <row r="74" spans="1:79" x14ac:dyDescent="0.25">
      <c r="A74" s="27">
        <v>194</v>
      </c>
      <c r="B74" s="27">
        <v>1</v>
      </c>
      <c r="C74" s="18" t="s">
        <v>52</v>
      </c>
      <c r="D74" s="11">
        <v>20795780.449999999</v>
      </c>
      <c r="E74" s="16">
        <v>38439122.079999998</v>
      </c>
      <c r="F74" s="11">
        <v>41299836.310000002</v>
      </c>
      <c r="G74" s="11">
        <v>45334447.18</v>
      </c>
      <c r="H74" s="11">
        <v>47656770.869999997</v>
      </c>
      <c r="I74" s="11">
        <v>47000730.890000001</v>
      </c>
      <c r="J74" s="11">
        <v>49653089.280000001</v>
      </c>
      <c r="K74" s="11">
        <v>50263128.82</v>
      </c>
      <c r="L74" s="11">
        <v>51061650.590000004</v>
      </c>
      <c r="M74" s="11">
        <v>47728203.539999999</v>
      </c>
      <c r="N74" s="11">
        <f t="shared" si="18"/>
        <v>20795780.449999999</v>
      </c>
      <c r="O74" s="11">
        <v>5830709</v>
      </c>
      <c r="P74" s="11">
        <v>-11357.73</v>
      </c>
      <c r="Q74" s="11">
        <f t="shared" si="16"/>
        <v>457164.02999999997</v>
      </c>
      <c r="R74" s="11">
        <f t="shared" si="17"/>
        <v>218880.18</v>
      </c>
      <c r="S74" s="11">
        <f t="shared" si="19"/>
        <v>486621.26253000001</v>
      </c>
      <c r="T74" s="10">
        <f t="shared" si="20"/>
        <v>40814.963000000003</v>
      </c>
      <c r="U74" s="10">
        <f t="shared" si="21"/>
        <v>-11357.73</v>
      </c>
      <c r="V74" s="27">
        <f t="shared" si="22"/>
        <v>238283.85434999998</v>
      </c>
      <c r="W74" s="48">
        <f t="shared" si="23"/>
        <v>218880.17518000002</v>
      </c>
      <c r="X74" s="27"/>
      <c r="Y74" s="49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8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</row>
    <row r="75" spans="1:79" x14ac:dyDescent="0.25">
      <c r="A75" s="27">
        <v>195</v>
      </c>
      <c r="B75" s="27">
        <v>1</v>
      </c>
      <c r="C75" s="18" t="s">
        <v>53</v>
      </c>
      <c r="D75" s="11">
        <v>1558709.81</v>
      </c>
      <c r="E75" s="16">
        <v>1722117.43</v>
      </c>
      <c r="F75" s="11">
        <v>1853867.99</v>
      </c>
      <c r="G75" s="11">
        <v>1872872.7</v>
      </c>
      <c r="H75" s="11">
        <v>1889068.32</v>
      </c>
      <c r="I75" s="11">
        <v>1931855.99</v>
      </c>
      <c r="J75" s="11">
        <v>1954038.79</v>
      </c>
      <c r="K75" s="11">
        <v>2065110.65</v>
      </c>
      <c r="L75" s="11">
        <v>2116768.6800000002</v>
      </c>
      <c r="M75" s="11">
        <v>2321403.5699999998</v>
      </c>
      <c r="N75" s="11">
        <f t="shared" si="18"/>
        <v>1558709.81</v>
      </c>
      <c r="O75" s="11">
        <v>311985</v>
      </c>
      <c r="P75" s="11">
        <v>-1894.42</v>
      </c>
      <c r="Q75" s="11">
        <f t="shared" si="16"/>
        <v>36184.329999999994</v>
      </c>
      <c r="R75" s="11">
        <f t="shared" si="17"/>
        <v>26738.99</v>
      </c>
      <c r="S75" s="11">
        <f t="shared" si="19"/>
        <v>36473.809553999999</v>
      </c>
      <c r="T75" s="10">
        <f t="shared" si="20"/>
        <v>2183.895</v>
      </c>
      <c r="U75" s="10">
        <f t="shared" si="21"/>
        <v>-1894.42</v>
      </c>
      <c r="V75" s="27">
        <f t="shared" si="22"/>
        <v>9445.3415999999997</v>
      </c>
      <c r="W75" s="48">
        <f t="shared" si="23"/>
        <v>26738.992954000001</v>
      </c>
      <c r="X75" s="27"/>
      <c r="Y75" s="49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8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</row>
    <row r="76" spans="1:79" x14ac:dyDescent="0.25">
      <c r="A76" s="27">
        <v>196</v>
      </c>
      <c r="B76" s="27">
        <v>1</v>
      </c>
      <c r="C76" s="18" t="s">
        <v>341</v>
      </c>
      <c r="D76" s="11">
        <v>72307554.060000002</v>
      </c>
      <c r="E76" s="16">
        <v>119866519.33</v>
      </c>
      <c r="F76" s="11">
        <v>122610343.70999999</v>
      </c>
      <c r="G76" s="11">
        <v>128072130.5</v>
      </c>
      <c r="H76" s="11">
        <v>134589622.80000001</v>
      </c>
      <c r="I76" s="11">
        <v>142770809.78</v>
      </c>
      <c r="J76" s="11">
        <v>149821657.06</v>
      </c>
      <c r="K76" s="11">
        <v>153237118.88999999</v>
      </c>
      <c r="L76" s="11">
        <v>149622209.65000001</v>
      </c>
      <c r="M76" s="11">
        <v>148172336.13</v>
      </c>
      <c r="N76" s="11">
        <f t="shared" si="18"/>
        <v>72307554.060000002</v>
      </c>
      <c r="O76" s="11">
        <v>20139827</v>
      </c>
      <c r="P76" s="11">
        <v>-58533.45</v>
      </c>
      <c r="Q76" s="11">
        <f t="shared" si="16"/>
        <v>1609551.43</v>
      </c>
      <c r="R76" s="11">
        <f t="shared" si="17"/>
        <v>936603.32</v>
      </c>
      <c r="S76" s="11">
        <f t="shared" si="19"/>
        <v>1691996.7650040002</v>
      </c>
      <c r="T76" s="10">
        <f t="shared" si="20"/>
        <v>140978.78899999999</v>
      </c>
      <c r="U76" s="10">
        <f t="shared" si="21"/>
        <v>-58533.45</v>
      </c>
      <c r="V76" s="27">
        <f t="shared" si="22"/>
        <v>672948.11400000006</v>
      </c>
      <c r="W76" s="48">
        <f t="shared" si="23"/>
        <v>936603.31200400018</v>
      </c>
      <c r="X76" s="27"/>
      <c r="Y76" s="49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8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</row>
    <row r="77" spans="1:79" x14ac:dyDescent="0.25">
      <c r="A77" s="27">
        <v>197</v>
      </c>
      <c r="B77" s="27">
        <v>1</v>
      </c>
      <c r="C77" s="18" t="s">
        <v>342</v>
      </c>
      <c r="D77" s="11">
        <v>15020454.4</v>
      </c>
      <c r="E77" s="16">
        <v>19901675.920000002</v>
      </c>
      <c r="F77" s="11">
        <v>20698206.59</v>
      </c>
      <c r="G77" s="11">
        <v>21234356.739999998</v>
      </c>
      <c r="H77" s="11">
        <v>21492452.140000001</v>
      </c>
      <c r="I77" s="11">
        <v>21746036.109999999</v>
      </c>
      <c r="J77" s="11">
        <v>22231651.43</v>
      </c>
      <c r="K77" s="11">
        <v>22125422.170000002</v>
      </c>
      <c r="L77" s="11">
        <v>22417601.23</v>
      </c>
      <c r="M77" s="11">
        <v>22584336.739999998</v>
      </c>
      <c r="N77" s="11">
        <f t="shared" si="18"/>
        <v>15020454.4</v>
      </c>
      <c r="O77" s="11">
        <v>6123125</v>
      </c>
      <c r="P77" s="11">
        <v>-19326.95</v>
      </c>
      <c r="Q77" s="11">
        <f t="shared" si="16"/>
        <v>327943.7</v>
      </c>
      <c r="R77" s="11">
        <f t="shared" si="17"/>
        <v>220481.44</v>
      </c>
      <c r="S77" s="11">
        <f t="shared" si="19"/>
        <v>351478.63296000002</v>
      </c>
      <c r="T77" s="10">
        <f t="shared" si="20"/>
        <v>42861.875</v>
      </c>
      <c r="U77" s="10">
        <f t="shared" si="21"/>
        <v>-19326.95</v>
      </c>
      <c r="V77" s="27">
        <f t="shared" si="22"/>
        <v>107462.2607</v>
      </c>
      <c r="W77" s="48">
        <f t="shared" si="23"/>
        <v>220481.44726000004</v>
      </c>
      <c r="X77" s="27"/>
      <c r="Y77" s="49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8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</row>
    <row r="78" spans="1:79" x14ac:dyDescent="0.25">
      <c r="A78" s="27">
        <v>199</v>
      </c>
      <c r="B78" s="27">
        <v>1</v>
      </c>
      <c r="C78" s="18" t="s">
        <v>54</v>
      </c>
      <c r="D78" s="11">
        <v>12657515.16</v>
      </c>
      <c r="E78" s="16">
        <v>15068334.17</v>
      </c>
      <c r="F78" s="11">
        <v>16238395.49</v>
      </c>
      <c r="G78" s="11">
        <v>16250087.369999999</v>
      </c>
      <c r="H78" s="11">
        <v>16512871.34</v>
      </c>
      <c r="I78" s="11">
        <v>16792360.239999998</v>
      </c>
      <c r="J78" s="11">
        <v>17162356.010000002</v>
      </c>
      <c r="K78" s="11">
        <v>17030408.469999999</v>
      </c>
      <c r="L78" s="11">
        <v>16758090.41</v>
      </c>
      <c r="M78" s="11">
        <v>17002629.809999999</v>
      </c>
      <c r="N78" s="11">
        <f t="shared" si="18"/>
        <v>12657515.16</v>
      </c>
      <c r="O78" s="11">
        <v>4044610</v>
      </c>
      <c r="P78" s="11">
        <v>-12659.39</v>
      </c>
      <c r="Q78" s="11">
        <f t="shared" si="16"/>
        <v>280532.96999999997</v>
      </c>
      <c r="R78" s="11">
        <f t="shared" si="17"/>
        <v>197968.61</v>
      </c>
      <c r="S78" s="11">
        <f t="shared" si="19"/>
        <v>296185.85474400001</v>
      </c>
      <c r="T78" s="10">
        <f t="shared" si="20"/>
        <v>28312.27</v>
      </c>
      <c r="U78" s="10">
        <f t="shared" si="21"/>
        <v>-12659.39</v>
      </c>
      <c r="V78" s="27">
        <f t="shared" si="22"/>
        <v>82564.356700000004</v>
      </c>
      <c r="W78" s="48">
        <f t="shared" si="23"/>
        <v>197968.618044</v>
      </c>
      <c r="X78" s="27"/>
      <c r="Y78" s="49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8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</row>
    <row r="79" spans="1:79" x14ac:dyDescent="0.25">
      <c r="A79" s="27">
        <v>200</v>
      </c>
      <c r="B79" s="27">
        <v>1</v>
      </c>
      <c r="C79" s="18" t="s">
        <v>55</v>
      </c>
      <c r="D79" s="11">
        <v>14607148.890000001</v>
      </c>
      <c r="E79" s="16">
        <v>18438167.77</v>
      </c>
      <c r="F79" s="11">
        <v>18496323.559999999</v>
      </c>
      <c r="G79" s="11">
        <v>18176077.5</v>
      </c>
      <c r="H79" s="11">
        <v>17883905.550000001</v>
      </c>
      <c r="I79" s="11">
        <v>19792785.210000001</v>
      </c>
      <c r="J79" s="11">
        <v>20511070.23</v>
      </c>
      <c r="K79" s="11">
        <v>20914427.41</v>
      </c>
      <c r="L79" s="11">
        <v>20822882.379999999</v>
      </c>
      <c r="M79" s="11">
        <v>21525408.609999999</v>
      </c>
      <c r="N79" s="11">
        <f t="shared" si="18"/>
        <v>14607148.890000001</v>
      </c>
      <c r="O79" s="11">
        <v>3850775</v>
      </c>
      <c r="P79" s="11">
        <v>-14941.46</v>
      </c>
      <c r="Q79" s="11">
        <f t="shared" si="16"/>
        <v>329793.31000000006</v>
      </c>
      <c r="R79" s="11">
        <f t="shared" si="17"/>
        <v>240373.78</v>
      </c>
      <c r="S79" s="11">
        <f t="shared" si="19"/>
        <v>341807.28402600001</v>
      </c>
      <c r="T79" s="10">
        <f t="shared" si="20"/>
        <v>26955.424999999999</v>
      </c>
      <c r="U79" s="10">
        <f t="shared" si="21"/>
        <v>-14941.46</v>
      </c>
      <c r="V79" s="27">
        <f t="shared" si="22"/>
        <v>89419.527750000008</v>
      </c>
      <c r="W79" s="48">
        <f t="shared" si="23"/>
        <v>240373.79127600003</v>
      </c>
      <c r="X79" s="27"/>
      <c r="Y79" s="49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8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</row>
    <row r="80" spans="1:79" x14ac:dyDescent="0.25">
      <c r="A80" s="27">
        <v>203</v>
      </c>
      <c r="B80" s="27">
        <v>1</v>
      </c>
      <c r="C80" s="18" t="s">
        <v>56</v>
      </c>
      <c r="D80" s="11">
        <v>2619655.4300000002</v>
      </c>
      <c r="E80" s="16">
        <v>3097301.37</v>
      </c>
      <c r="F80" s="11">
        <v>3102358.77</v>
      </c>
      <c r="G80" s="11">
        <v>3171162.04</v>
      </c>
      <c r="H80" s="11">
        <v>3271088.63</v>
      </c>
      <c r="I80" s="11">
        <v>3361540.92</v>
      </c>
      <c r="J80" s="11">
        <v>3435099.7</v>
      </c>
      <c r="K80" s="11">
        <v>3391238.52</v>
      </c>
      <c r="L80" s="11">
        <v>3335558.09</v>
      </c>
      <c r="M80" s="11">
        <v>3376951.47</v>
      </c>
      <c r="N80" s="11">
        <f t="shared" si="18"/>
        <v>2619655.4300000002</v>
      </c>
      <c r="O80" s="11">
        <v>482199</v>
      </c>
      <c r="P80" s="11">
        <v>-1934.48</v>
      </c>
      <c r="Q80" s="11">
        <f t="shared" si="16"/>
        <v>59859.030000000006</v>
      </c>
      <c r="R80" s="11">
        <f t="shared" si="17"/>
        <v>43503.59</v>
      </c>
      <c r="S80" s="11">
        <f t="shared" si="19"/>
        <v>61299.937062000005</v>
      </c>
      <c r="T80" s="10">
        <f t="shared" si="20"/>
        <v>3375.393</v>
      </c>
      <c r="U80" s="10">
        <f t="shared" si="21"/>
        <v>-1934.48</v>
      </c>
      <c r="V80" s="27">
        <f t="shared" si="22"/>
        <v>16355.443149999999</v>
      </c>
      <c r="W80" s="48">
        <f t="shared" si="23"/>
        <v>43503.580912000005</v>
      </c>
      <c r="X80" s="27"/>
      <c r="Y80" s="49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8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</row>
    <row r="81" spans="1:79" x14ac:dyDescent="0.25">
      <c r="A81" s="27">
        <v>204</v>
      </c>
      <c r="B81" s="27">
        <v>1</v>
      </c>
      <c r="C81" s="18" t="s">
        <v>343</v>
      </c>
      <c r="D81" s="11">
        <v>4155872.68</v>
      </c>
      <c r="E81" s="16">
        <v>6009216.5899999999</v>
      </c>
      <c r="F81" s="11">
        <v>6174407.1799999997</v>
      </c>
      <c r="G81" s="11">
        <v>5747327.3700000001</v>
      </c>
      <c r="H81" s="11">
        <v>6562678.6399999997</v>
      </c>
      <c r="I81" s="11">
        <v>7069696.1699999999</v>
      </c>
      <c r="J81" s="11">
        <v>7597094.0700000003</v>
      </c>
      <c r="K81" s="11">
        <v>7878656.1100000003</v>
      </c>
      <c r="L81" s="11">
        <v>7841789.1100000003</v>
      </c>
      <c r="M81" s="11">
        <v>7982094.0999999996</v>
      </c>
      <c r="N81" s="11">
        <f t="shared" si="18"/>
        <v>4155872.68</v>
      </c>
      <c r="O81" s="11">
        <v>1081584</v>
      </c>
      <c r="P81" s="11">
        <v>-3752.46</v>
      </c>
      <c r="Q81" s="11">
        <f t="shared" si="16"/>
        <v>93428.790000000008</v>
      </c>
      <c r="R81" s="11">
        <f t="shared" si="17"/>
        <v>60615.4</v>
      </c>
      <c r="S81" s="11">
        <f t="shared" si="19"/>
        <v>97247.420712000006</v>
      </c>
      <c r="T81" s="10">
        <f t="shared" si="20"/>
        <v>7571.0879999999997</v>
      </c>
      <c r="U81" s="10">
        <f t="shared" si="21"/>
        <v>-3752.46</v>
      </c>
      <c r="V81" s="27">
        <f t="shared" si="22"/>
        <v>32813.393199999999</v>
      </c>
      <c r="W81" s="48">
        <f t="shared" si="23"/>
        <v>60615.399512000011</v>
      </c>
      <c r="X81" s="27"/>
      <c r="Y81" s="49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8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</row>
    <row r="82" spans="1:79" x14ac:dyDescent="0.25">
      <c r="A82" s="27">
        <v>206</v>
      </c>
      <c r="B82" s="27">
        <v>1</v>
      </c>
      <c r="C82" s="18" t="s">
        <v>57</v>
      </c>
      <c r="D82" s="11">
        <v>10345188.85</v>
      </c>
      <c r="E82" s="16">
        <v>16215565.210000001</v>
      </c>
      <c r="F82" s="11">
        <v>16585590.84</v>
      </c>
      <c r="G82" s="11">
        <v>17732566.850000001</v>
      </c>
      <c r="H82" s="11">
        <v>18172375.550000001</v>
      </c>
      <c r="I82" s="11">
        <v>18473587.600000001</v>
      </c>
      <c r="J82" s="11">
        <v>18503156.629999999</v>
      </c>
      <c r="K82" s="11">
        <v>19171240.620000001</v>
      </c>
      <c r="L82" s="11">
        <v>18622779.039999999</v>
      </c>
      <c r="M82" s="11">
        <v>18797290.550000001</v>
      </c>
      <c r="N82" s="11">
        <f t="shared" si="18"/>
        <v>10345188.85</v>
      </c>
      <c r="O82" s="11">
        <v>3247636</v>
      </c>
      <c r="P82" s="11">
        <v>-15831.93</v>
      </c>
      <c r="Q82" s="11">
        <f t="shared" ref="Q82:Q145" si="24">ROUND(0.0234*N82,2)-ROUND(0.007*O82,2)-P82</f>
        <v>235175.9</v>
      </c>
      <c r="R82" s="11">
        <f t="shared" ref="R82:R145" si="25">ROUND(Q82-0.005*H82,2)</f>
        <v>144314.01999999999</v>
      </c>
      <c r="S82" s="11">
        <f t="shared" si="19"/>
        <v>242077.41909000001</v>
      </c>
      <c r="T82" s="10">
        <f t="shared" si="20"/>
        <v>22733.452000000001</v>
      </c>
      <c r="U82" s="10">
        <f t="shared" si="21"/>
        <v>-15831.93</v>
      </c>
      <c r="V82" s="27">
        <f t="shared" si="22"/>
        <v>90861.87775</v>
      </c>
      <c r="W82" s="48">
        <f t="shared" si="23"/>
        <v>144314.01934</v>
      </c>
      <c r="X82" s="27"/>
      <c r="Y82" s="49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8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</row>
    <row r="83" spans="1:79" x14ac:dyDescent="0.25">
      <c r="A83" s="27">
        <v>207</v>
      </c>
      <c r="B83" s="27">
        <v>1</v>
      </c>
      <c r="C83" s="18" t="s">
        <v>58</v>
      </c>
      <c r="D83" s="11">
        <v>912881.06</v>
      </c>
      <c r="E83" s="16">
        <v>1087789.47</v>
      </c>
      <c r="F83" s="11">
        <v>1123912.0900000001</v>
      </c>
      <c r="G83" s="11">
        <v>1104044.49</v>
      </c>
      <c r="H83" s="11">
        <v>1223270.3500000001</v>
      </c>
      <c r="I83" s="11">
        <v>1180994.97</v>
      </c>
      <c r="J83" s="11">
        <v>1241755.3799999999</v>
      </c>
      <c r="K83" s="11">
        <v>1172670.45</v>
      </c>
      <c r="L83" s="11">
        <v>983468.31</v>
      </c>
      <c r="M83" s="11">
        <v>1150541.77</v>
      </c>
      <c r="N83" s="11">
        <f t="shared" ref="N83:N146" si="26">MIN(D83:M83)</f>
        <v>912881.06</v>
      </c>
      <c r="O83" s="11">
        <v>152340</v>
      </c>
      <c r="P83" s="11">
        <v>-685.63</v>
      </c>
      <c r="Q83" s="11">
        <f t="shared" si="24"/>
        <v>20980.67</v>
      </c>
      <c r="R83" s="11">
        <f t="shared" si="25"/>
        <v>14864.32</v>
      </c>
      <c r="S83" s="11">
        <f t="shared" ref="S83:S146" si="27">0.0234*N83</f>
        <v>21361.416804</v>
      </c>
      <c r="T83" s="10">
        <f t="shared" ref="T83:T146" si="28">0.007*O83</f>
        <v>1066.3800000000001</v>
      </c>
      <c r="U83" s="10">
        <f t="shared" ref="U83:U146" si="29">P83</f>
        <v>-685.63</v>
      </c>
      <c r="V83" s="27">
        <f t="shared" ref="V83:V146" si="30">0.005*H83</f>
        <v>6116.3517500000007</v>
      </c>
      <c r="W83" s="48">
        <f t="shared" ref="W83:W146" si="31">S83-T83-U83-V83</f>
        <v>14864.315053999999</v>
      </c>
      <c r="X83" s="27"/>
      <c r="Y83" s="49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8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</row>
    <row r="84" spans="1:79" x14ac:dyDescent="0.25">
      <c r="A84" s="27">
        <v>208</v>
      </c>
      <c r="B84" s="27">
        <v>1</v>
      </c>
      <c r="C84" s="18" t="s">
        <v>59</v>
      </c>
      <c r="D84" s="11">
        <v>649751.63</v>
      </c>
      <c r="E84" s="16">
        <v>890420.23</v>
      </c>
      <c r="F84" s="11">
        <v>808062.24</v>
      </c>
      <c r="G84" s="11">
        <v>784901.14</v>
      </c>
      <c r="H84" s="11">
        <v>779654.43</v>
      </c>
      <c r="I84" s="11">
        <v>797836.72</v>
      </c>
      <c r="J84" s="11">
        <v>757508.36</v>
      </c>
      <c r="K84" s="11">
        <v>813041.89</v>
      </c>
      <c r="L84" s="11">
        <v>654084.91</v>
      </c>
      <c r="M84" s="11">
        <v>693349.37</v>
      </c>
      <c r="N84" s="11">
        <f t="shared" si="26"/>
        <v>649751.63</v>
      </c>
      <c r="O84" s="11">
        <v>195964</v>
      </c>
      <c r="P84" s="11">
        <v>-856.9</v>
      </c>
      <c r="Q84" s="11">
        <f t="shared" si="24"/>
        <v>14689.34</v>
      </c>
      <c r="R84" s="11">
        <f t="shared" si="25"/>
        <v>10791.07</v>
      </c>
      <c r="S84" s="11">
        <f t="shared" si="27"/>
        <v>15204.188142000001</v>
      </c>
      <c r="T84" s="10">
        <f t="shared" si="28"/>
        <v>1371.748</v>
      </c>
      <c r="U84" s="10">
        <f t="shared" si="29"/>
        <v>-856.9</v>
      </c>
      <c r="V84" s="27">
        <f t="shared" si="30"/>
        <v>3898.2721500000002</v>
      </c>
      <c r="W84" s="48">
        <f t="shared" si="31"/>
        <v>10791.067992</v>
      </c>
      <c r="X84" s="27"/>
      <c r="Y84" s="49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8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</row>
    <row r="85" spans="1:79" x14ac:dyDescent="0.25">
      <c r="A85" s="27">
        <v>213</v>
      </c>
      <c r="B85" s="27">
        <v>1</v>
      </c>
      <c r="C85" s="18" t="s">
        <v>60</v>
      </c>
      <c r="D85" s="11">
        <v>1436573.36</v>
      </c>
      <c r="E85" s="16">
        <v>2263194.4900000002</v>
      </c>
      <c r="F85" s="11">
        <v>2243301.85</v>
      </c>
      <c r="G85" s="11">
        <v>2350708.33</v>
      </c>
      <c r="H85" s="11">
        <v>2358934.5</v>
      </c>
      <c r="I85" s="11">
        <v>2654113.2000000002</v>
      </c>
      <c r="J85" s="11">
        <v>2834825.16</v>
      </c>
      <c r="K85" s="11">
        <v>2962279.17</v>
      </c>
      <c r="L85" s="11">
        <v>3045720.54</v>
      </c>
      <c r="M85" s="11">
        <v>3118483.97</v>
      </c>
      <c r="N85" s="11">
        <f t="shared" si="26"/>
        <v>1436573.36</v>
      </c>
      <c r="O85" s="11">
        <v>381087</v>
      </c>
      <c r="P85" s="11">
        <v>-2570.2199999999998</v>
      </c>
      <c r="Q85" s="11">
        <f t="shared" si="24"/>
        <v>33518.43</v>
      </c>
      <c r="R85" s="11">
        <f t="shared" si="25"/>
        <v>21723.759999999998</v>
      </c>
      <c r="S85" s="11">
        <f t="shared" si="27"/>
        <v>33615.816624000006</v>
      </c>
      <c r="T85" s="10">
        <f t="shared" si="28"/>
        <v>2667.6089999999999</v>
      </c>
      <c r="U85" s="10">
        <f t="shared" si="29"/>
        <v>-2570.2199999999998</v>
      </c>
      <c r="V85" s="27">
        <f t="shared" si="30"/>
        <v>11794.672500000001</v>
      </c>
      <c r="W85" s="48">
        <f t="shared" si="31"/>
        <v>21723.755124000003</v>
      </c>
      <c r="X85" s="27"/>
      <c r="Y85" s="49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8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</row>
    <row r="86" spans="1:79" x14ac:dyDescent="0.25">
      <c r="A86" s="27">
        <v>227</v>
      </c>
      <c r="B86" s="27">
        <v>1</v>
      </c>
      <c r="C86" s="18" t="s">
        <v>61</v>
      </c>
      <c r="D86" s="11">
        <v>2304491.2799999998</v>
      </c>
      <c r="E86" s="16">
        <v>2981317.33</v>
      </c>
      <c r="F86" s="11">
        <v>2996769.1</v>
      </c>
      <c r="G86" s="11">
        <v>3163302.62</v>
      </c>
      <c r="H86" s="11">
        <v>3255470.36</v>
      </c>
      <c r="I86" s="11">
        <v>3309285.32</v>
      </c>
      <c r="J86" s="11">
        <v>3498338.4</v>
      </c>
      <c r="K86" s="11">
        <v>3505787.76</v>
      </c>
      <c r="L86" s="11">
        <v>3237387.28</v>
      </c>
      <c r="M86" s="11">
        <v>3258688.6</v>
      </c>
      <c r="N86" s="11">
        <f t="shared" si="26"/>
        <v>2304491.2799999998</v>
      </c>
      <c r="O86" s="11">
        <v>536076</v>
      </c>
      <c r="P86" s="11">
        <v>-1780.04</v>
      </c>
      <c r="Q86" s="11">
        <f t="shared" si="24"/>
        <v>51952.61</v>
      </c>
      <c r="R86" s="11">
        <f t="shared" si="25"/>
        <v>35675.26</v>
      </c>
      <c r="S86" s="11">
        <f t="shared" si="27"/>
        <v>53925.095951999996</v>
      </c>
      <c r="T86" s="10">
        <f t="shared" si="28"/>
        <v>3752.5320000000002</v>
      </c>
      <c r="U86" s="10">
        <f t="shared" si="29"/>
        <v>-1780.04</v>
      </c>
      <c r="V86" s="27">
        <f t="shared" si="30"/>
        <v>16277.3518</v>
      </c>
      <c r="W86" s="48">
        <f t="shared" si="31"/>
        <v>35675.252152000001</v>
      </c>
      <c r="X86" s="27"/>
      <c r="Y86" s="49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8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</row>
    <row r="87" spans="1:79" x14ac:dyDescent="0.25">
      <c r="A87" s="27">
        <v>229</v>
      </c>
      <c r="B87" s="27">
        <v>1</v>
      </c>
      <c r="C87" s="18" t="s">
        <v>62</v>
      </c>
      <c r="D87" s="11">
        <v>1155852.45</v>
      </c>
      <c r="E87" s="16">
        <v>1394407.89</v>
      </c>
      <c r="F87" s="11">
        <v>1201335.19</v>
      </c>
      <c r="G87" s="11">
        <v>1256471.6100000001</v>
      </c>
      <c r="H87" s="11">
        <v>1387454.13</v>
      </c>
      <c r="I87" s="11">
        <v>1336840.69</v>
      </c>
      <c r="J87" s="11">
        <v>1430195.71</v>
      </c>
      <c r="K87" s="11">
        <v>1510601.36</v>
      </c>
      <c r="L87" s="11">
        <v>1524327.33</v>
      </c>
      <c r="M87" s="11">
        <v>1609907.28</v>
      </c>
      <c r="N87" s="11">
        <f t="shared" si="26"/>
        <v>1155852.45</v>
      </c>
      <c r="O87" s="11">
        <v>264863</v>
      </c>
      <c r="P87" s="11">
        <v>-1759.1</v>
      </c>
      <c r="Q87" s="11">
        <f t="shared" si="24"/>
        <v>26952.01</v>
      </c>
      <c r="R87" s="11">
        <f t="shared" si="25"/>
        <v>20014.740000000002</v>
      </c>
      <c r="S87" s="11">
        <f t="shared" si="27"/>
        <v>27046.947329999999</v>
      </c>
      <c r="T87" s="10">
        <f t="shared" si="28"/>
        <v>1854.0409999999999</v>
      </c>
      <c r="U87" s="10">
        <f t="shared" si="29"/>
        <v>-1759.1</v>
      </c>
      <c r="V87" s="27">
        <f t="shared" si="30"/>
        <v>6937.2706499999995</v>
      </c>
      <c r="W87" s="48">
        <f t="shared" si="31"/>
        <v>20014.735679999998</v>
      </c>
      <c r="X87" s="27"/>
      <c r="Y87" s="49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8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</row>
    <row r="88" spans="1:79" x14ac:dyDescent="0.25">
      <c r="A88" s="27">
        <v>238</v>
      </c>
      <c r="B88" s="27">
        <v>1</v>
      </c>
      <c r="C88" s="18" t="s">
        <v>63</v>
      </c>
      <c r="D88" s="11">
        <v>1193528.5</v>
      </c>
      <c r="E88" s="16">
        <v>1373765.38</v>
      </c>
      <c r="F88" s="11">
        <v>1324976.33</v>
      </c>
      <c r="G88" s="11">
        <v>1261178.8899999999</v>
      </c>
      <c r="H88" s="11">
        <v>1156332.42</v>
      </c>
      <c r="I88" s="11">
        <v>1415020.39</v>
      </c>
      <c r="J88" s="11">
        <v>1549567.11</v>
      </c>
      <c r="K88" s="11">
        <v>1488769.3</v>
      </c>
      <c r="L88" s="11">
        <v>1322327.2</v>
      </c>
      <c r="M88" s="11">
        <v>1345416.73</v>
      </c>
      <c r="N88" s="11">
        <f t="shared" si="26"/>
        <v>1156332.42</v>
      </c>
      <c r="O88" s="11">
        <v>328511</v>
      </c>
      <c r="P88" s="11">
        <v>-1451.16</v>
      </c>
      <c r="Q88" s="11">
        <f t="shared" si="24"/>
        <v>26209.759999999998</v>
      </c>
      <c r="R88" s="11">
        <f t="shared" si="25"/>
        <v>20428.099999999999</v>
      </c>
      <c r="S88" s="11">
        <f t="shared" si="27"/>
        <v>27058.178627999998</v>
      </c>
      <c r="T88" s="10">
        <f t="shared" si="28"/>
        <v>2299.5770000000002</v>
      </c>
      <c r="U88" s="10">
        <f t="shared" si="29"/>
        <v>-1451.16</v>
      </c>
      <c r="V88" s="27">
        <f t="shared" si="30"/>
        <v>5781.6620999999996</v>
      </c>
      <c r="W88" s="48">
        <f t="shared" si="31"/>
        <v>20428.099527999999</v>
      </c>
      <c r="X88" s="27"/>
      <c r="Y88" s="49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8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</row>
    <row r="89" spans="1:79" x14ac:dyDescent="0.25">
      <c r="A89" s="27">
        <v>239</v>
      </c>
      <c r="B89" s="27">
        <v>1</v>
      </c>
      <c r="C89" s="18" t="s">
        <v>344</v>
      </c>
      <c r="D89" s="11">
        <v>2167096.98</v>
      </c>
      <c r="E89" s="16">
        <v>2482313.61</v>
      </c>
      <c r="F89" s="11">
        <v>2529878.71</v>
      </c>
      <c r="G89" s="11">
        <v>2641859.0299999998</v>
      </c>
      <c r="H89" s="11">
        <v>2756316.15</v>
      </c>
      <c r="I89" s="11">
        <v>2881975.14</v>
      </c>
      <c r="J89" s="11">
        <v>2929357.6</v>
      </c>
      <c r="K89" s="11">
        <v>2930685.35</v>
      </c>
      <c r="L89" s="11">
        <v>3030700.27</v>
      </c>
      <c r="M89" s="11">
        <v>3103819.67</v>
      </c>
      <c r="N89" s="11">
        <f t="shared" si="26"/>
        <v>2167096.98</v>
      </c>
      <c r="O89" s="11">
        <v>565062</v>
      </c>
      <c r="P89" s="11">
        <v>-2397.19</v>
      </c>
      <c r="Q89" s="11">
        <f t="shared" si="24"/>
        <v>49151.83</v>
      </c>
      <c r="R89" s="11">
        <f t="shared" si="25"/>
        <v>35370.25</v>
      </c>
      <c r="S89" s="11">
        <f t="shared" si="27"/>
        <v>50710.069331999999</v>
      </c>
      <c r="T89" s="10">
        <f t="shared" si="28"/>
        <v>3955.4340000000002</v>
      </c>
      <c r="U89" s="10">
        <f t="shared" si="29"/>
        <v>-2397.19</v>
      </c>
      <c r="V89" s="27">
        <f t="shared" si="30"/>
        <v>13781.580749999999</v>
      </c>
      <c r="W89" s="48">
        <f t="shared" si="31"/>
        <v>35370.244581999999</v>
      </c>
      <c r="X89" s="27"/>
      <c r="Y89" s="49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8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</row>
    <row r="90" spans="1:79" x14ac:dyDescent="0.25">
      <c r="A90" s="27">
        <v>241</v>
      </c>
      <c r="B90" s="27">
        <v>1</v>
      </c>
      <c r="C90" s="18" t="s">
        <v>64</v>
      </c>
      <c r="D90" s="11">
        <v>12158413.67</v>
      </c>
      <c r="E90" s="16">
        <v>14164845.48</v>
      </c>
      <c r="F90" s="11">
        <v>14006207.539999999</v>
      </c>
      <c r="G90" s="11">
        <v>14080943.800000001</v>
      </c>
      <c r="H90" s="11">
        <v>15251418.93</v>
      </c>
      <c r="I90" s="11">
        <v>15066937.48</v>
      </c>
      <c r="J90" s="11">
        <v>15665676.640000001</v>
      </c>
      <c r="K90" s="11">
        <v>15878913.98</v>
      </c>
      <c r="L90" s="11">
        <v>16274056.91</v>
      </c>
      <c r="M90" s="11">
        <v>17094122.390000001</v>
      </c>
      <c r="N90" s="11">
        <f t="shared" si="26"/>
        <v>12158413.67</v>
      </c>
      <c r="O90" s="11">
        <v>2691819</v>
      </c>
      <c r="P90" s="11">
        <v>-16842.47</v>
      </c>
      <c r="Q90" s="11">
        <f t="shared" si="24"/>
        <v>282506.62</v>
      </c>
      <c r="R90" s="11">
        <f t="shared" si="25"/>
        <v>206249.53</v>
      </c>
      <c r="S90" s="11">
        <f t="shared" si="27"/>
        <v>284506.87987800001</v>
      </c>
      <c r="T90" s="10">
        <f t="shared" si="28"/>
        <v>18842.733</v>
      </c>
      <c r="U90" s="10">
        <f t="shared" si="29"/>
        <v>-16842.47</v>
      </c>
      <c r="V90" s="27">
        <f t="shared" si="30"/>
        <v>76257.094649999999</v>
      </c>
      <c r="W90" s="48">
        <f t="shared" si="31"/>
        <v>206249.52222799999</v>
      </c>
      <c r="X90" s="27"/>
      <c r="Y90" s="49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8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</row>
    <row r="91" spans="1:79" x14ac:dyDescent="0.25">
      <c r="A91" s="27">
        <v>242</v>
      </c>
      <c r="B91" s="27">
        <v>1</v>
      </c>
      <c r="C91" s="18" t="s">
        <v>65</v>
      </c>
      <c r="D91" s="11">
        <v>1045532.41</v>
      </c>
      <c r="E91" s="16">
        <v>1559685.4</v>
      </c>
      <c r="F91" s="11">
        <v>1551293.8</v>
      </c>
      <c r="G91" s="11">
        <v>1636175.4</v>
      </c>
      <c r="H91" s="11">
        <v>1853369.99</v>
      </c>
      <c r="I91" s="11">
        <v>1931725.96</v>
      </c>
      <c r="J91" s="11">
        <v>2061233.11</v>
      </c>
      <c r="K91" s="11">
        <v>2114348.0099999998</v>
      </c>
      <c r="L91" s="11">
        <v>2086750.61</v>
      </c>
      <c r="M91" s="11">
        <v>2224608.0499999998</v>
      </c>
      <c r="N91" s="11">
        <f t="shared" si="26"/>
        <v>1045532.41</v>
      </c>
      <c r="O91" s="11">
        <v>227990</v>
      </c>
      <c r="P91" s="11">
        <v>-1091.29</v>
      </c>
      <c r="Q91" s="11">
        <f t="shared" si="24"/>
        <v>23960.82</v>
      </c>
      <c r="R91" s="11">
        <f t="shared" si="25"/>
        <v>14693.97</v>
      </c>
      <c r="S91" s="11">
        <f t="shared" si="27"/>
        <v>24465.458394000001</v>
      </c>
      <c r="T91" s="10">
        <f t="shared" si="28"/>
        <v>1595.93</v>
      </c>
      <c r="U91" s="10">
        <f t="shared" si="29"/>
        <v>-1091.29</v>
      </c>
      <c r="V91" s="27">
        <f t="shared" si="30"/>
        <v>9266.8499499999998</v>
      </c>
      <c r="W91" s="48">
        <f t="shared" si="31"/>
        <v>14693.968444000002</v>
      </c>
      <c r="X91" s="27"/>
      <c r="Y91" s="49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8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</row>
    <row r="92" spans="1:79" x14ac:dyDescent="0.25">
      <c r="A92" s="27">
        <v>252</v>
      </c>
      <c r="B92" s="27">
        <v>1</v>
      </c>
      <c r="C92" s="18" t="s">
        <v>66</v>
      </c>
      <c r="D92" s="11">
        <v>3940033.47</v>
      </c>
      <c r="E92" s="16">
        <v>4799261.62</v>
      </c>
      <c r="F92" s="11">
        <v>4817127.1100000003</v>
      </c>
      <c r="G92" s="11">
        <v>4780552.4800000004</v>
      </c>
      <c r="H92" s="11">
        <v>4781923.2300000004</v>
      </c>
      <c r="I92" s="11">
        <v>4785017.41</v>
      </c>
      <c r="J92" s="11">
        <v>4897430.1100000003</v>
      </c>
      <c r="K92" s="11">
        <v>4905534.21</v>
      </c>
      <c r="L92" s="11">
        <v>4731982.4000000004</v>
      </c>
      <c r="M92" s="11">
        <v>4595764.22</v>
      </c>
      <c r="N92" s="11">
        <f t="shared" si="26"/>
        <v>3940033.47</v>
      </c>
      <c r="O92" s="11">
        <v>1149977</v>
      </c>
      <c r="P92" s="11">
        <v>-4829.16</v>
      </c>
      <c r="Q92" s="11">
        <f t="shared" si="24"/>
        <v>88976.1</v>
      </c>
      <c r="R92" s="11">
        <f t="shared" si="25"/>
        <v>65066.48</v>
      </c>
      <c r="S92" s="11">
        <f t="shared" si="27"/>
        <v>92196.783198000005</v>
      </c>
      <c r="T92" s="10">
        <f t="shared" si="28"/>
        <v>8049.8389999999999</v>
      </c>
      <c r="U92" s="10">
        <f t="shared" si="29"/>
        <v>-4829.16</v>
      </c>
      <c r="V92" s="27">
        <f t="shared" si="30"/>
        <v>23909.616150000002</v>
      </c>
      <c r="W92" s="48">
        <f t="shared" si="31"/>
        <v>65066.488048000014</v>
      </c>
      <c r="X92" s="27"/>
      <c r="Y92" s="49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8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</row>
    <row r="93" spans="1:79" x14ac:dyDescent="0.25">
      <c r="A93" s="27">
        <v>253</v>
      </c>
      <c r="B93" s="27">
        <v>1</v>
      </c>
      <c r="C93" s="18" t="s">
        <v>67</v>
      </c>
      <c r="D93" s="11">
        <v>1449064.98</v>
      </c>
      <c r="E93" s="16">
        <v>1968125.97</v>
      </c>
      <c r="F93" s="11">
        <v>2115339.29</v>
      </c>
      <c r="G93" s="11">
        <v>2116630.81</v>
      </c>
      <c r="H93" s="11">
        <v>2195076.1</v>
      </c>
      <c r="I93" s="11">
        <v>2378658.08</v>
      </c>
      <c r="J93" s="11">
        <v>2524472.9</v>
      </c>
      <c r="K93" s="11">
        <v>2468394.79</v>
      </c>
      <c r="L93" s="11">
        <v>2405371.41</v>
      </c>
      <c r="M93" s="11">
        <v>2400050.06</v>
      </c>
      <c r="N93" s="11">
        <f t="shared" si="26"/>
        <v>1449064.98</v>
      </c>
      <c r="O93" s="11">
        <v>263664</v>
      </c>
      <c r="P93" s="11">
        <v>-1774.24</v>
      </c>
      <c r="Q93" s="11">
        <f t="shared" si="24"/>
        <v>33836.71</v>
      </c>
      <c r="R93" s="11">
        <f t="shared" si="25"/>
        <v>22861.33</v>
      </c>
      <c r="S93" s="11">
        <f t="shared" si="27"/>
        <v>33908.120532000001</v>
      </c>
      <c r="T93" s="10">
        <f t="shared" si="28"/>
        <v>1845.6480000000001</v>
      </c>
      <c r="U93" s="10">
        <f t="shared" si="29"/>
        <v>-1774.24</v>
      </c>
      <c r="V93" s="27">
        <f t="shared" si="30"/>
        <v>10975.380500000001</v>
      </c>
      <c r="W93" s="48">
        <f t="shared" si="31"/>
        <v>22861.332031999998</v>
      </c>
      <c r="X93" s="27"/>
      <c r="Y93" s="49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8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</row>
    <row r="94" spans="1:79" x14ac:dyDescent="0.25">
      <c r="A94" s="27">
        <v>255</v>
      </c>
      <c r="B94" s="27">
        <v>1</v>
      </c>
      <c r="C94" s="18" t="s">
        <v>68</v>
      </c>
      <c r="D94" s="11">
        <v>3155215.71</v>
      </c>
      <c r="E94" s="16">
        <v>4319741.87</v>
      </c>
      <c r="F94" s="11">
        <v>4435363.9800000004</v>
      </c>
      <c r="G94" s="11">
        <v>4505819.87</v>
      </c>
      <c r="H94" s="11">
        <v>4910447.82</v>
      </c>
      <c r="I94" s="11">
        <v>4932275.8499999996</v>
      </c>
      <c r="J94" s="11">
        <v>4989138.16</v>
      </c>
      <c r="K94" s="11">
        <v>4813850.22</v>
      </c>
      <c r="L94" s="11">
        <v>4705140.1100000003</v>
      </c>
      <c r="M94" s="11">
        <v>4903654.59</v>
      </c>
      <c r="N94" s="11">
        <f t="shared" si="26"/>
        <v>3155215.71</v>
      </c>
      <c r="O94" s="11">
        <v>662375</v>
      </c>
      <c r="P94" s="11">
        <v>-2422.34</v>
      </c>
      <c r="Q94" s="11">
        <f t="shared" si="24"/>
        <v>71617.759999999995</v>
      </c>
      <c r="R94" s="11">
        <f t="shared" si="25"/>
        <v>47065.52</v>
      </c>
      <c r="S94" s="11">
        <f t="shared" si="27"/>
        <v>73832.047613999996</v>
      </c>
      <c r="T94" s="10">
        <f t="shared" si="28"/>
        <v>4636.625</v>
      </c>
      <c r="U94" s="10">
        <f t="shared" si="29"/>
        <v>-2422.34</v>
      </c>
      <c r="V94" s="27">
        <f t="shared" si="30"/>
        <v>24552.239100000003</v>
      </c>
      <c r="W94" s="48">
        <f t="shared" si="31"/>
        <v>47065.523513999986</v>
      </c>
      <c r="X94" s="27"/>
      <c r="Y94" s="49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8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</row>
    <row r="95" spans="1:79" x14ac:dyDescent="0.25">
      <c r="A95" s="27">
        <v>256</v>
      </c>
      <c r="B95" s="27">
        <v>1</v>
      </c>
      <c r="C95" s="18" t="s">
        <v>69</v>
      </c>
      <c r="D95" s="11">
        <v>10942582.26</v>
      </c>
      <c r="E95" s="16">
        <v>11557575.880000001</v>
      </c>
      <c r="F95" s="11">
        <v>10875108.800000001</v>
      </c>
      <c r="G95" s="11">
        <v>11255460.25</v>
      </c>
      <c r="H95" s="11">
        <v>11659505.630000001</v>
      </c>
      <c r="I95" s="11">
        <v>11641473.42</v>
      </c>
      <c r="J95" s="11">
        <v>11554786.810000001</v>
      </c>
      <c r="K95" s="11">
        <v>11423572.890000001</v>
      </c>
      <c r="L95" s="11">
        <v>11721488.810000001</v>
      </c>
      <c r="M95" s="11">
        <v>11858814.449999999</v>
      </c>
      <c r="N95" s="11">
        <f t="shared" si="26"/>
        <v>10875108.800000001</v>
      </c>
      <c r="O95" s="11">
        <v>3366870</v>
      </c>
      <c r="P95" s="11">
        <v>-13120.64</v>
      </c>
      <c r="Q95" s="11">
        <f t="shared" si="24"/>
        <v>244030.09999999998</v>
      </c>
      <c r="R95" s="11">
        <f t="shared" si="25"/>
        <v>185732.57</v>
      </c>
      <c r="S95" s="11">
        <f t="shared" si="27"/>
        <v>254477.54592000003</v>
      </c>
      <c r="T95" s="10">
        <f t="shared" si="28"/>
        <v>23568.09</v>
      </c>
      <c r="U95" s="10">
        <f t="shared" si="29"/>
        <v>-13120.64</v>
      </c>
      <c r="V95" s="27">
        <f t="shared" si="30"/>
        <v>58297.528150000006</v>
      </c>
      <c r="W95" s="48">
        <f t="shared" si="31"/>
        <v>185732.56777000005</v>
      </c>
      <c r="X95" s="27"/>
      <c r="Y95" s="49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8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</row>
    <row r="96" spans="1:79" x14ac:dyDescent="0.25">
      <c r="A96" s="27">
        <v>261</v>
      </c>
      <c r="B96" s="27">
        <v>1</v>
      </c>
      <c r="C96" s="18" t="s">
        <v>70</v>
      </c>
      <c r="D96" s="11">
        <v>740813.83</v>
      </c>
      <c r="E96" s="16">
        <v>1028553.95</v>
      </c>
      <c r="F96" s="11">
        <v>1047670.47</v>
      </c>
      <c r="G96" s="11">
        <v>1025187.31</v>
      </c>
      <c r="H96" s="11">
        <v>1052088.49</v>
      </c>
      <c r="I96" s="11">
        <v>1068558.52</v>
      </c>
      <c r="J96" s="11">
        <v>1187314.17</v>
      </c>
      <c r="K96" s="11">
        <v>1112662.83</v>
      </c>
      <c r="L96" s="11">
        <v>1018463.82</v>
      </c>
      <c r="M96" s="11">
        <v>1085067.06</v>
      </c>
      <c r="N96" s="11">
        <f t="shared" si="26"/>
        <v>740813.83</v>
      </c>
      <c r="O96" s="11">
        <v>177022</v>
      </c>
      <c r="P96" s="11">
        <v>-1298.03</v>
      </c>
      <c r="Q96" s="11">
        <f t="shared" si="24"/>
        <v>17393.920000000002</v>
      </c>
      <c r="R96" s="11">
        <f t="shared" si="25"/>
        <v>12133.48</v>
      </c>
      <c r="S96" s="11">
        <f t="shared" si="27"/>
        <v>17335.043622000001</v>
      </c>
      <c r="T96" s="10">
        <f t="shared" si="28"/>
        <v>1239.154</v>
      </c>
      <c r="U96" s="10">
        <f t="shared" si="29"/>
        <v>-1298.03</v>
      </c>
      <c r="V96" s="27">
        <f t="shared" si="30"/>
        <v>5260.4424500000005</v>
      </c>
      <c r="W96" s="48">
        <f t="shared" si="31"/>
        <v>12133.477172000001</v>
      </c>
      <c r="X96" s="27"/>
      <c r="Y96" s="49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8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</row>
    <row r="97" spans="1:79" x14ac:dyDescent="0.25">
      <c r="A97" s="27">
        <v>264</v>
      </c>
      <c r="B97" s="27">
        <v>1</v>
      </c>
      <c r="C97" s="18" t="s">
        <v>71</v>
      </c>
      <c r="D97" s="11">
        <v>725430.9</v>
      </c>
      <c r="E97" s="16">
        <v>760676.63</v>
      </c>
      <c r="F97" s="11">
        <v>698803.01</v>
      </c>
      <c r="G97" s="11">
        <v>621772.36</v>
      </c>
      <c r="H97" s="11">
        <v>623672.86</v>
      </c>
      <c r="I97" s="11">
        <v>595028.36</v>
      </c>
      <c r="J97" s="11">
        <v>949073.52</v>
      </c>
      <c r="K97" s="11">
        <v>782929.34</v>
      </c>
      <c r="L97" s="11">
        <v>708827.67</v>
      </c>
      <c r="M97" s="11">
        <v>701396.08</v>
      </c>
      <c r="N97" s="11">
        <f t="shared" si="26"/>
        <v>595028.36</v>
      </c>
      <c r="O97" s="11">
        <v>210618</v>
      </c>
      <c r="P97" s="11">
        <v>-1068.03</v>
      </c>
      <c r="Q97" s="11">
        <f t="shared" si="24"/>
        <v>13517.36</v>
      </c>
      <c r="R97" s="11">
        <f t="shared" si="25"/>
        <v>10399</v>
      </c>
      <c r="S97" s="11">
        <f t="shared" si="27"/>
        <v>13923.663624000001</v>
      </c>
      <c r="T97" s="10">
        <f t="shared" si="28"/>
        <v>1474.326</v>
      </c>
      <c r="U97" s="10">
        <f t="shared" si="29"/>
        <v>-1068.03</v>
      </c>
      <c r="V97" s="27">
        <f t="shared" si="30"/>
        <v>3118.3643000000002</v>
      </c>
      <c r="W97" s="48">
        <f t="shared" si="31"/>
        <v>10399.003324000001</v>
      </c>
      <c r="X97" s="27"/>
      <c r="Y97" s="49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8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</row>
    <row r="98" spans="1:79" x14ac:dyDescent="0.25">
      <c r="A98" s="27">
        <v>270</v>
      </c>
      <c r="B98" s="27">
        <v>1</v>
      </c>
      <c r="C98" s="18" t="s">
        <v>72</v>
      </c>
      <c r="D98" s="11">
        <v>31473852.239999998</v>
      </c>
      <c r="E98" s="16">
        <v>40959655.240000002</v>
      </c>
      <c r="F98" s="11">
        <v>40114458.289999999</v>
      </c>
      <c r="G98" s="11">
        <v>41655495.350000001</v>
      </c>
      <c r="H98" s="11">
        <v>40995095.68</v>
      </c>
      <c r="I98" s="11">
        <v>40080815.130000003</v>
      </c>
      <c r="J98" s="11">
        <v>41550591.890000001</v>
      </c>
      <c r="K98" s="11">
        <v>41969014.049999997</v>
      </c>
      <c r="L98" s="11">
        <v>42055325.399999999</v>
      </c>
      <c r="M98" s="11">
        <v>42383001.799999997</v>
      </c>
      <c r="N98" s="11">
        <f t="shared" si="26"/>
        <v>31473852.239999998</v>
      </c>
      <c r="O98" s="11">
        <v>10755026</v>
      </c>
      <c r="P98" s="11">
        <v>-42136.82</v>
      </c>
      <c r="Q98" s="11">
        <f t="shared" si="24"/>
        <v>703339.77999999991</v>
      </c>
      <c r="R98" s="11">
        <f t="shared" si="25"/>
        <v>498364.3</v>
      </c>
      <c r="S98" s="11">
        <f t="shared" si="27"/>
        <v>736488.14241600002</v>
      </c>
      <c r="T98" s="10">
        <f t="shared" si="28"/>
        <v>75285.182000000001</v>
      </c>
      <c r="U98" s="10">
        <f t="shared" si="29"/>
        <v>-42136.82</v>
      </c>
      <c r="V98" s="27">
        <f t="shared" si="30"/>
        <v>204975.47839999999</v>
      </c>
      <c r="W98" s="48">
        <f t="shared" si="31"/>
        <v>498364.30201599991</v>
      </c>
      <c r="X98" s="27"/>
      <c r="Y98" s="49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8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</row>
    <row r="99" spans="1:79" x14ac:dyDescent="0.25">
      <c r="A99" s="27">
        <v>271</v>
      </c>
      <c r="B99" s="27">
        <v>1</v>
      </c>
      <c r="C99" s="18" t="s">
        <v>73</v>
      </c>
      <c r="D99" s="11">
        <v>36142001.43</v>
      </c>
      <c r="E99" s="16">
        <v>42371053.409999996</v>
      </c>
      <c r="F99" s="11">
        <v>45934373.57</v>
      </c>
      <c r="G99" s="11">
        <v>45866098.140000001</v>
      </c>
      <c r="H99" s="11">
        <v>48253921.039999999</v>
      </c>
      <c r="I99" s="11">
        <v>49565562.240000002</v>
      </c>
      <c r="J99" s="11">
        <v>54265464.659999996</v>
      </c>
      <c r="K99" s="11">
        <v>54296969.310000002</v>
      </c>
      <c r="L99" s="11">
        <v>55902900.719999999</v>
      </c>
      <c r="M99" s="11">
        <v>57228112.859999999</v>
      </c>
      <c r="N99" s="11">
        <f t="shared" si="26"/>
        <v>36142001.43</v>
      </c>
      <c r="O99" s="11">
        <v>12873059</v>
      </c>
      <c r="P99" s="11">
        <v>-53708.01</v>
      </c>
      <c r="Q99" s="11">
        <f t="shared" si="24"/>
        <v>809319.42999999993</v>
      </c>
      <c r="R99" s="11">
        <f t="shared" si="25"/>
        <v>568049.81999999995</v>
      </c>
      <c r="S99" s="11">
        <f t="shared" si="27"/>
        <v>845722.83346200001</v>
      </c>
      <c r="T99" s="10">
        <f t="shared" si="28"/>
        <v>90111.413</v>
      </c>
      <c r="U99" s="10">
        <f t="shared" si="29"/>
        <v>-53708.01</v>
      </c>
      <c r="V99" s="27">
        <f t="shared" si="30"/>
        <v>241269.60519999999</v>
      </c>
      <c r="W99" s="48">
        <f t="shared" si="31"/>
        <v>568049.82526199997</v>
      </c>
      <c r="X99" s="27"/>
      <c r="Y99" s="49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8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</row>
    <row r="100" spans="1:79" x14ac:dyDescent="0.25">
      <c r="A100" s="27">
        <v>272</v>
      </c>
      <c r="B100" s="27">
        <v>1</v>
      </c>
      <c r="C100" s="18" t="s">
        <v>74</v>
      </c>
      <c r="D100" s="11">
        <v>27102796.690000001</v>
      </c>
      <c r="E100" s="16">
        <v>38224303.479999997</v>
      </c>
      <c r="F100" s="11">
        <v>38743259.740000002</v>
      </c>
      <c r="G100" s="11">
        <v>38946890.689999998</v>
      </c>
      <c r="H100" s="11">
        <v>44019371.240000002</v>
      </c>
      <c r="I100" s="11">
        <v>47292963.520000003</v>
      </c>
      <c r="J100" s="11">
        <v>50584311.740000002</v>
      </c>
      <c r="K100" s="11">
        <v>50773032.299999997</v>
      </c>
      <c r="L100" s="11">
        <v>49414284.899999999</v>
      </c>
      <c r="M100" s="11">
        <v>51094132.530000001</v>
      </c>
      <c r="N100" s="11">
        <f t="shared" si="26"/>
        <v>27102796.690000001</v>
      </c>
      <c r="O100" s="11">
        <v>9246193</v>
      </c>
      <c r="P100" s="11">
        <v>-24359.96</v>
      </c>
      <c r="Q100" s="11">
        <f t="shared" si="24"/>
        <v>593842.04999999993</v>
      </c>
      <c r="R100" s="11">
        <f t="shared" si="25"/>
        <v>373745.19</v>
      </c>
      <c r="S100" s="11">
        <f t="shared" si="27"/>
        <v>634205.44254600001</v>
      </c>
      <c r="T100" s="10">
        <f t="shared" si="28"/>
        <v>64723.351000000002</v>
      </c>
      <c r="U100" s="10">
        <f t="shared" si="29"/>
        <v>-24359.96</v>
      </c>
      <c r="V100" s="27">
        <f t="shared" si="30"/>
        <v>220096.85620000001</v>
      </c>
      <c r="W100" s="48">
        <f t="shared" si="31"/>
        <v>373745.19534599991</v>
      </c>
      <c r="X100" s="27"/>
      <c r="Y100" s="49"/>
      <c r="Z100" s="11"/>
      <c r="AA100" s="11"/>
      <c r="AB100" s="11"/>
      <c r="AC100" s="33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8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</row>
    <row r="101" spans="1:79" x14ac:dyDescent="0.25">
      <c r="A101" s="27">
        <v>273</v>
      </c>
      <c r="B101" s="27">
        <v>1</v>
      </c>
      <c r="C101" s="18" t="s">
        <v>75</v>
      </c>
      <c r="D101" s="11">
        <v>20264175.969999999</v>
      </c>
      <c r="E101" s="16">
        <v>28959264.530000001</v>
      </c>
      <c r="F101" s="11">
        <v>30279430.93</v>
      </c>
      <c r="G101" s="11">
        <v>31768081.530000001</v>
      </c>
      <c r="H101" s="11">
        <v>34017921.140000001</v>
      </c>
      <c r="I101" s="33">
        <v>35293373.299999997</v>
      </c>
      <c r="J101" s="11">
        <v>38898881.740000002</v>
      </c>
      <c r="K101" s="11">
        <v>40335142.299999997</v>
      </c>
      <c r="L101" s="11">
        <v>41643572.030000001</v>
      </c>
      <c r="M101" s="11">
        <v>42849702.549999997</v>
      </c>
      <c r="N101" s="11">
        <f t="shared" si="26"/>
        <v>20264175.969999999</v>
      </c>
      <c r="O101" s="11">
        <v>8107079</v>
      </c>
      <c r="P101" s="11">
        <v>-37811.58</v>
      </c>
      <c r="Q101" s="11">
        <f t="shared" si="24"/>
        <v>455243.75</v>
      </c>
      <c r="R101" s="11">
        <f t="shared" si="25"/>
        <v>285154.14</v>
      </c>
      <c r="S101" s="11">
        <f t="shared" si="27"/>
        <v>474181.71769799996</v>
      </c>
      <c r="T101" s="10">
        <f t="shared" si="28"/>
        <v>56749.553</v>
      </c>
      <c r="U101" s="10">
        <f t="shared" si="29"/>
        <v>-37811.58</v>
      </c>
      <c r="V101" s="27">
        <f t="shared" si="30"/>
        <v>170089.60570000001</v>
      </c>
      <c r="W101" s="48">
        <f t="shared" si="31"/>
        <v>285154.13899799995</v>
      </c>
      <c r="X101" s="27"/>
      <c r="Y101" s="49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8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</row>
    <row r="102" spans="1:79" x14ac:dyDescent="0.25">
      <c r="A102" s="27">
        <v>276</v>
      </c>
      <c r="B102" s="27">
        <v>1</v>
      </c>
      <c r="C102" s="18" t="s">
        <v>76</v>
      </c>
      <c r="D102" s="11">
        <v>23745416.109999999</v>
      </c>
      <c r="E102" s="16">
        <v>32460459.5</v>
      </c>
      <c r="F102" s="11">
        <v>32614689.52</v>
      </c>
      <c r="G102" s="11">
        <v>33023244.550000001</v>
      </c>
      <c r="H102" s="11">
        <v>36329518.670000002</v>
      </c>
      <c r="I102" s="11">
        <v>38279902.109999999</v>
      </c>
      <c r="J102" s="11">
        <v>41046730.880000003</v>
      </c>
      <c r="K102" s="11">
        <v>42745175.079999998</v>
      </c>
      <c r="L102" s="11">
        <v>45499784.43</v>
      </c>
      <c r="M102" s="11">
        <v>48718848.049999997</v>
      </c>
      <c r="N102" s="11">
        <f t="shared" si="26"/>
        <v>23745416.109999999</v>
      </c>
      <c r="O102" s="11">
        <v>7585277</v>
      </c>
      <c r="P102" s="11">
        <v>-26220.38</v>
      </c>
      <c r="Q102" s="11">
        <f t="shared" si="24"/>
        <v>528766.17999999993</v>
      </c>
      <c r="R102" s="11">
        <f t="shared" si="25"/>
        <v>347118.59</v>
      </c>
      <c r="S102" s="11">
        <f t="shared" si="27"/>
        <v>555642.736974</v>
      </c>
      <c r="T102" s="10">
        <f t="shared" si="28"/>
        <v>53096.938999999998</v>
      </c>
      <c r="U102" s="10">
        <f t="shared" si="29"/>
        <v>-26220.38</v>
      </c>
      <c r="V102" s="27">
        <f t="shared" si="30"/>
        <v>181647.59335000001</v>
      </c>
      <c r="W102" s="48">
        <f t="shared" si="31"/>
        <v>347118.58462400001</v>
      </c>
      <c r="X102" s="27"/>
      <c r="Y102" s="49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8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</row>
    <row r="103" spans="1:79" x14ac:dyDescent="0.25">
      <c r="A103" s="27">
        <v>277</v>
      </c>
      <c r="B103" s="27">
        <v>1</v>
      </c>
      <c r="C103" s="18" t="s">
        <v>77</v>
      </c>
      <c r="D103" s="11">
        <v>7086195.6900000004</v>
      </c>
      <c r="E103" s="16">
        <v>9055677.2699999996</v>
      </c>
      <c r="F103" s="11">
        <v>9172621.2400000002</v>
      </c>
      <c r="G103" s="11">
        <v>9469870.5</v>
      </c>
      <c r="H103" s="11">
        <v>10062767.560000001</v>
      </c>
      <c r="I103" s="11">
        <v>10003567.380000001</v>
      </c>
      <c r="J103" s="11">
        <v>10226688.48</v>
      </c>
      <c r="K103" s="11">
        <v>10635563.050000001</v>
      </c>
      <c r="L103" s="11">
        <v>10810720.73</v>
      </c>
      <c r="M103" s="11">
        <v>11172071.449999999</v>
      </c>
      <c r="N103" s="11">
        <f t="shared" si="26"/>
        <v>7086195.6900000004</v>
      </c>
      <c r="O103" s="11">
        <v>2492411</v>
      </c>
      <c r="P103" s="11">
        <v>-18999.53</v>
      </c>
      <c r="Q103" s="11">
        <f t="shared" si="24"/>
        <v>167369.63</v>
      </c>
      <c r="R103" s="11">
        <f t="shared" si="25"/>
        <v>117055.79</v>
      </c>
      <c r="S103" s="11">
        <f t="shared" si="27"/>
        <v>165816.97914600003</v>
      </c>
      <c r="T103" s="10">
        <f t="shared" si="28"/>
        <v>17446.877</v>
      </c>
      <c r="U103" s="10">
        <f t="shared" si="29"/>
        <v>-18999.53</v>
      </c>
      <c r="V103" s="27">
        <f t="shared" si="30"/>
        <v>50313.837800000001</v>
      </c>
      <c r="W103" s="48">
        <f t="shared" si="31"/>
        <v>117055.79434600001</v>
      </c>
      <c r="X103" s="27"/>
      <c r="Y103" s="49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8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</row>
    <row r="104" spans="1:79" x14ac:dyDescent="0.25">
      <c r="A104" s="27">
        <v>278</v>
      </c>
      <c r="B104" s="27">
        <v>1</v>
      </c>
      <c r="C104" s="18" t="s">
        <v>78</v>
      </c>
      <c r="D104" s="11">
        <v>8413033.9900000002</v>
      </c>
      <c r="E104" s="16">
        <v>9928946.5399999991</v>
      </c>
      <c r="F104" s="11">
        <v>9878125.3100000005</v>
      </c>
      <c r="G104" s="11">
        <v>10327615.68</v>
      </c>
      <c r="H104" s="11">
        <v>11287773.140000001</v>
      </c>
      <c r="I104" s="11">
        <v>12095866.52</v>
      </c>
      <c r="J104" s="11">
        <v>12893548.75</v>
      </c>
      <c r="K104" s="11">
        <v>13578324.25</v>
      </c>
      <c r="L104" s="11">
        <v>13918981.470000001</v>
      </c>
      <c r="M104" s="11">
        <v>13753472.390000001</v>
      </c>
      <c r="N104" s="11">
        <f t="shared" si="26"/>
        <v>8413033.9900000002</v>
      </c>
      <c r="O104" s="11">
        <v>2182355</v>
      </c>
      <c r="P104" s="11">
        <v>-8838.0300000000007</v>
      </c>
      <c r="Q104" s="11">
        <f t="shared" si="24"/>
        <v>190426.54</v>
      </c>
      <c r="R104" s="11">
        <f t="shared" si="25"/>
        <v>133987.67000000001</v>
      </c>
      <c r="S104" s="11">
        <f t="shared" si="27"/>
        <v>196864.99536600002</v>
      </c>
      <c r="T104" s="10">
        <f t="shared" si="28"/>
        <v>15276.485000000001</v>
      </c>
      <c r="U104" s="10">
        <f t="shared" si="29"/>
        <v>-8838.0300000000007</v>
      </c>
      <c r="V104" s="27">
        <f t="shared" si="30"/>
        <v>56438.865700000002</v>
      </c>
      <c r="W104" s="48">
        <f t="shared" si="31"/>
        <v>133987.67466600001</v>
      </c>
      <c r="X104" s="27"/>
      <c r="Y104" s="49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8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</row>
    <row r="105" spans="1:79" x14ac:dyDescent="0.25">
      <c r="A105" s="27">
        <v>279</v>
      </c>
      <c r="B105" s="27">
        <v>1</v>
      </c>
      <c r="C105" s="18" t="s">
        <v>79</v>
      </c>
      <c r="D105" s="11">
        <v>64068241.859999999</v>
      </c>
      <c r="E105" s="16">
        <v>88714326.159999996</v>
      </c>
      <c r="F105" s="11">
        <v>91908865.180000007</v>
      </c>
      <c r="G105" s="11">
        <v>97782508.269999996</v>
      </c>
      <c r="H105" s="11">
        <v>108712433.40000001</v>
      </c>
      <c r="I105" s="11">
        <v>110833289.97</v>
      </c>
      <c r="J105" s="11">
        <v>106349388.29000001</v>
      </c>
      <c r="K105" s="11">
        <v>108882673.39</v>
      </c>
      <c r="L105" s="11">
        <v>109057944.41</v>
      </c>
      <c r="M105" s="11">
        <v>112658716.11</v>
      </c>
      <c r="N105" s="11">
        <f t="shared" si="26"/>
        <v>64068241.859999999</v>
      </c>
      <c r="O105" s="11">
        <v>19565065</v>
      </c>
      <c r="P105" s="11">
        <v>-68546.679999999993</v>
      </c>
      <c r="Q105" s="11">
        <f t="shared" si="24"/>
        <v>1430788.08</v>
      </c>
      <c r="R105" s="11">
        <f t="shared" si="25"/>
        <v>887225.91</v>
      </c>
      <c r="S105" s="11">
        <f t="shared" si="27"/>
        <v>1499196.859524</v>
      </c>
      <c r="T105" s="10">
        <f t="shared" si="28"/>
        <v>136955.45500000002</v>
      </c>
      <c r="U105" s="10">
        <f t="shared" si="29"/>
        <v>-68546.679999999993</v>
      </c>
      <c r="V105" s="27">
        <f t="shared" si="30"/>
        <v>543562.16700000002</v>
      </c>
      <c r="W105" s="48">
        <f t="shared" si="31"/>
        <v>887225.91752399981</v>
      </c>
      <c r="X105" s="27"/>
      <c r="Y105" s="49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8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</row>
    <row r="106" spans="1:79" x14ac:dyDescent="0.25">
      <c r="A106" s="27">
        <v>280</v>
      </c>
      <c r="B106" s="27">
        <v>1</v>
      </c>
      <c r="C106" s="18" t="s">
        <v>80</v>
      </c>
      <c r="D106" s="11">
        <v>14200652.450000001</v>
      </c>
      <c r="E106" s="16">
        <v>16520043.449999999</v>
      </c>
      <c r="F106" s="11">
        <v>16660309.35</v>
      </c>
      <c r="G106" s="11">
        <v>17501868.190000001</v>
      </c>
      <c r="H106" s="11">
        <v>18958304.739999998</v>
      </c>
      <c r="I106" s="11">
        <v>20107156.949999999</v>
      </c>
      <c r="J106" s="11">
        <v>21136201.789999999</v>
      </c>
      <c r="K106" s="11">
        <v>22048121.73</v>
      </c>
      <c r="L106" s="11">
        <v>22375309.27</v>
      </c>
      <c r="M106" s="11">
        <v>22786755.260000002</v>
      </c>
      <c r="N106" s="11">
        <f t="shared" si="26"/>
        <v>14200652.450000001</v>
      </c>
      <c r="O106" s="11">
        <v>4396515</v>
      </c>
      <c r="P106" s="11">
        <v>-22368.22</v>
      </c>
      <c r="Q106" s="11">
        <f t="shared" si="24"/>
        <v>323887.88</v>
      </c>
      <c r="R106" s="11">
        <f t="shared" si="25"/>
        <v>229096.36</v>
      </c>
      <c r="S106" s="11">
        <f t="shared" si="27"/>
        <v>332295.26733000006</v>
      </c>
      <c r="T106" s="10">
        <f t="shared" si="28"/>
        <v>30775.605</v>
      </c>
      <c r="U106" s="10">
        <f t="shared" si="29"/>
        <v>-22368.22</v>
      </c>
      <c r="V106" s="27">
        <f t="shared" si="30"/>
        <v>94791.523699999991</v>
      </c>
      <c r="W106" s="48">
        <f t="shared" si="31"/>
        <v>229096.35863000006</v>
      </c>
      <c r="X106" s="27"/>
      <c r="Y106" s="49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8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</row>
    <row r="107" spans="1:79" x14ac:dyDescent="0.25">
      <c r="A107" s="27">
        <v>281</v>
      </c>
      <c r="B107" s="27">
        <v>1</v>
      </c>
      <c r="C107" s="18" t="s">
        <v>81</v>
      </c>
      <c r="D107" s="11">
        <v>46057157.619999997</v>
      </c>
      <c r="E107" s="16">
        <v>54893674.869999997</v>
      </c>
      <c r="F107" s="11">
        <v>55057307.229999997</v>
      </c>
      <c r="G107" s="11">
        <v>55578499.740000002</v>
      </c>
      <c r="H107" s="11">
        <v>59089759.520000003</v>
      </c>
      <c r="I107" s="11">
        <v>59231083.759999998</v>
      </c>
      <c r="J107" s="11">
        <v>58432737.289999999</v>
      </c>
      <c r="K107" s="11">
        <v>60055687.850000001</v>
      </c>
      <c r="L107" s="11">
        <v>58529188.140000001</v>
      </c>
      <c r="M107" s="11">
        <v>61483406.710000001</v>
      </c>
      <c r="N107" s="11">
        <f t="shared" si="26"/>
        <v>46057157.619999997</v>
      </c>
      <c r="O107" s="11">
        <v>17231795</v>
      </c>
      <c r="P107" s="11">
        <v>-84067.73</v>
      </c>
      <c r="Q107" s="11">
        <f t="shared" si="24"/>
        <v>1041182.6499999999</v>
      </c>
      <c r="R107" s="11">
        <f t="shared" si="25"/>
        <v>745733.85</v>
      </c>
      <c r="S107" s="11">
        <f t="shared" si="27"/>
        <v>1077737.4883079999</v>
      </c>
      <c r="T107" s="10">
        <f t="shared" si="28"/>
        <v>120622.565</v>
      </c>
      <c r="U107" s="10">
        <f t="shared" si="29"/>
        <v>-84067.73</v>
      </c>
      <c r="V107" s="27">
        <f t="shared" si="30"/>
        <v>295448.79760000005</v>
      </c>
      <c r="W107" s="48">
        <f t="shared" si="31"/>
        <v>745733.8557079999</v>
      </c>
      <c r="X107" s="27"/>
      <c r="Y107" s="49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8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</row>
    <row r="108" spans="1:79" x14ac:dyDescent="0.25">
      <c r="A108" s="27">
        <v>282</v>
      </c>
      <c r="B108" s="27">
        <v>1</v>
      </c>
      <c r="C108" s="18" t="s">
        <v>345</v>
      </c>
      <c r="D108" s="11">
        <v>4254241.53</v>
      </c>
      <c r="E108" s="16">
        <v>5983541.7699999996</v>
      </c>
      <c r="F108" s="11">
        <v>6097376.8799999999</v>
      </c>
      <c r="G108" s="11">
        <v>6269376.46</v>
      </c>
      <c r="H108" s="11">
        <v>6830026.6399999997</v>
      </c>
      <c r="I108" s="11">
        <v>7091416.0099999998</v>
      </c>
      <c r="J108" s="11">
        <v>6768941.3700000001</v>
      </c>
      <c r="K108" s="11">
        <v>7684602.2000000002</v>
      </c>
      <c r="L108" s="11">
        <v>7889193.1600000001</v>
      </c>
      <c r="M108" s="11">
        <v>8061904.5</v>
      </c>
      <c r="N108" s="11">
        <f t="shared" si="26"/>
        <v>4254241.53</v>
      </c>
      <c r="O108" s="11">
        <v>1395087</v>
      </c>
      <c r="P108" s="11">
        <v>-7505.01</v>
      </c>
      <c r="Q108" s="11">
        <f t="shared" si="24"/>
        <v>97288.65</v>
      </c>
      <c r="R108" s="11">
        <f t="shared" si="25"/>
        <v>63138.52</v>
      </c>
      <c r="S108" s="11">
        <f t="shared" si="27"/>
        <v>99549.251802000013</v>
      </c>
      <c r="T108" s="10">
        <f t="shared" si="28"/>
        <v>9765.6090000000004</v>
      </c>
      <c r="U108" s="10">
        <f t="shared" si="29"/>
        <v>-7505.01</v>
      </c>
      <c r="V108" s="27">
        <f t="shared" si="30"/>
        <v>34150.133199999997</v>
      </c>
      <c r="W108" s="48">
        <f t="shared" si="31"/>
        <v>63138.519602000015</v>
      </c>
      <c r="X108" s="27"/>
      <c r="Y108" s="49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8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</row>
    <row r="109" spans="1:79" x14ac:dyDescent="0.25">
      <c r="A109" s="27">
        <v>283</v>
      </c>
      <c r="B109" s="27">
        <v>1</v>
      </c>
      <c r="C109" s="18" t="s">
        <v>82</v>
      </c>
      <c r="D109" s="11">
        <v>14299517.77</v>
      </c>
      <c r="E109" s="16">
        <v>20339366.460000001</v>
      </c>
      <c r="F109" s="11">
        <v>19762351.710000001</v>
      </c>
      <c r="G109" s="11">
        <v>15522867.140000001</v>
      </c>
      <c r="H109" s="11">
        <v>22058908.739999998</v>
      </c>
      <c r="I109" s="11">
        <v>22615627.739999998</v>
      </c>
      <c r="J109" s="11">
        <v>23047972.949999999</v>
      </c>
      <c r="K109" s="11">
        <v>23460307.719999999</v>
      </c>
      <c r="L109" s="11">
        <v>23314581.219999999</v>
      </c>
      <c r="M109" s="11">
        <v>23641696.420000002</v>
      </c>
      <c r="N109" s="11">
        <f t="shared" si="26"/>
        <v>14299517.77</v>
      </c>
      <c r="O109" s="11">
        <v>7065601</v>
      </c>
      <c r="P109" s="11">
        <v>-29090.97</v>
      </c>
      <c r="Q109" s="11">
        <f t="shared" si="24"/>
        <v>314240.48</v>
      </c>
      <c r="R109" s="11">
        <f t="shared" si="25"/>
        <v>203945.94</v>
      </c>
      <c r="S109" s="11">
        <f t="shared" si="27"/>
        <v>334608.71581800003</v>
      </c>
      <c r="T109" s="10">
        <f t="shared" si="28"/>
        <v>49459.207000000002</v>
      </c>
      <c r="U109" s="10">
        <f t="shared" si="29"/>
        <v>-29090.97</v>
      </c>
      <c r="V109" s="27">
        <f t="shared" si="30"/>
        <v>110294.54369999999</v>
      </c>
      <c r="W109" s="48">
        <f t="shared" si="31"/>
        <v>203945.93511800008</v>
      </c>
      <c r="X109" s="27"/>
      <c r="Y109" s="49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8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</row>
    <row r="110" spans="1:79" x14ac:dyDescent="0.25">
      <c r="A110" s="27">
        <v>284</v>
      </c>
      <c r="B110" s="27">
        <v>1</v>
      </c>
      <c r="C110" s="18" t="s">
        <v>83</v>
      </c>
      <c r="D110" s="11">
        <v>23587006.550000001</v>
      </c>
      <c r="E110" s="16">
        <v>33783287.659999996</v>
      </c>
      <c r="F110" s="11">
        <v>34422983.100000001</v>
      </c>
      <c r="G110" s="11">
        <v>36301035.219999999</v>
      </c>
      <c r="H110" s="11">
        <v>42444892.740000002</v>
      </c>
      <c r="I110" s="11">
        <v>45081629.100000001</v>
      </c>
      <c r="J110" s="11">
        <v>47514437.609999999</v>
      </c>
      <c r="K110" s="11">
        <v>49835154.18</v>
      </c>
      <c r="L110" s="11">
        <v>51816125.149999999</v>
      </c>
      <c r="M110" s="11">
        <v>54070190.280000001</v>
      </c>
      <c r="N110" s="11">
        <f t="shared" si="26"/>
        <v>23587006.550000001</v>
      </c>
      <c r="O110" s="11">
        <v>8421548</v>
      </c>
      <c r="P110" s="11">
        <v>-26780.5</v>
      </c>
      <c r="Q110" s="11">
        <f t="shared" si="24"/>
        <v>519765.61</v>
      </c>
      <c r="R110" s="11">
        <f t="shared" si="25"/>
        <v>307541.15000000002</v>
      </c>
      <c r="S110" s="11">
        <f t="shared" si="27"/>
        <v>551935.95327000006</v>
      </c>
      <c r="T110" s="10">
        <f t="shared" si="28"/>
        <v>58950.836000000003</v>
      </c>
      <c r="U110" s="10">
        <f t="shared" si="29"/>
        <v>-26780.5</v>
      </c>
      <c r="V110" s="27">
        <f t="shared" si="30"/>
        <v>212224.46370000002</v>
      </c>
      <c r="W110" s="48">
        <f t="shared" si="31"/>
        <v>307541.15357000002</v>
      </c>
      <c r="X110" s="27"/>
      <c r="Y110" s="49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8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</row>
    <row r="111" spans="1:79" x14ac:dyDescent="0.25">
      <c r="A111" s="27">
        <v>286</v>
      </c>
      <c r="B111" s="27">
        <v>1</v>
      </c>
      <c r="C111" s="18" t="s">
        <v>84</v>
      </c>
      <c r="D111" s="11">
        <v>4318027.79</v>
      </c>
      <c r="E111" s="16">
        <v>6671304.2199999997</v>
      </c>
      <c r="F111" s="11">
        <v>7284549.7199999997</v>
      </c>
      <c r="G111" s="11">
        <v>7389463.6399999997</v>
      </c>
      <c r="H111" s="11">
        <v>7427965.3600000003</v>
      </c>
      <c r="I111" s="11">
        <v>8052970.1299999999</v>
      </c>
      <c r="J111" s="11">
        <v>8271351.8499999996</v>
      </c>
      <c r="K111" s="11">
        <v>9172230.7799999993</v>
      </c>
      <c r="L111" s="11">
        <v>9904385.5399999991</v>
      </c>
      <c r="M111" s="11">
        <v>9647717.4800000004</v>
      </c>
      <c r="N111" s="11">
        <f t="shared" si="26"/>
        <v>4318027.79</v>
      </c>
      <c r="O111" s="11">
        <v>1734609</v>
      </c>
      <c r="P111" s="11">
        <v>-4477.29</v>
      </c>
      <c r="Q111" s="11">
        <f t="shared" si="24"/>
        <v>93376.88</v>
      </c>
      <c r="R111" s="11">
        <f t="shared" si="25"/>
        <v>56237.05</v>
      </c>
      <c r="S111" s="11">
        <f t="shared" si="27"/>
        <v>101041.850286</v>
      </c>
      <c r="T111" s="10">
        <f t="shared" si="28"/>
        <v>12142.263000000001</v>
      </c>
      <c r="U111" s="10">
        <f t="shared" si="29"/>
        <v>-4477.29</v>
      </c>
      <c r="V111" s="27">
        <f t="shared" si="30"/>
        <v>37139.826800000003</v>
      </c>
      <c r="W111" s="48">
        <f t="shared" si="31"/>
        <v>56237.050485999986</v>
      </c>
      <c r="X111" s="27"/>
      <c r="Y111" s="49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8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</row>
    <row r="112" spans="1:79" x14ac:dyDescent="0.25">
      <c r="A112" s="27">
        <v>294</v>
      </c>
      <c r="B112" s="27">
        <v>1</v>
      </c>
      <c r="C112" s="18" t="s">
        <v>85</v>
      </c>
      <c r="D112" s="11">
        <v>1433784.67</v>
      </c>
      <c r="E112" s="16">
        <v>2116625.4900000002</v>
      </c>
      <c r="F112" s="11">
        <v>2686601.25</v>
      </c>
      <c r="G112" s="11">
        <v>2925511.83</v>
      </c>
      <c r="H112" s="11">
        <v>3110693.98</v>
      </c>
      <c r="I112" s="11">
        <v>3711413.92</v>
      </c>
      <c r="J112" s="11">
        <v>4263805.2699999996</v>
      </c>
      <c r="K112" s="11">
        <v>4587341.5199999996</v>
      </c>
      <c r="L112" s="11">
        <v>4876521.41</v>
      </c>
      <c r="M112" s="11">
        <v>5576704.1900000004</v>
      </c>
      <c r="N112" s="11">
        <f t="shared" si="26"/>
        <v>1433784.67</v>
      </c>
      <c r="O112" s="11">
        <v>362317</v>
      </c>
      <c r="P112" s="11">
        <v>-1921.27</v>
      </c>
      <c r="Q112" s="11">
        <f t="shared" si="24"/>
        <v>32935.609999999993</v>
      </c>
      <c r="R112" s="11">
        <f t="shared" si="25"/>
        <v>17382.14</v>
      </c>
      <c r="S112" s="11">
        <f t="shared" si="27"/>
        <v>33550.561278000001</v>
      </c>
      <c r="T112" s="10">
        <f t="shared" si="28"/>
        <v>2536.2190000000001</v>
      </c>
      <c r="U112" s="10">
        <f t="shared" si="29"/>
        <v>-1921.27</v>
      </c>
      <c r="V112" s="27">
        <f t="shared" si="30"/>
        <v>15553.4699</v>
      </c>
      <c r="W112" s="48">
        <f t="shared" si="31"/>
        <v>17382.142378</v>
      </c>
      <c r="X112" s="27"/>
      <c r="Y112" s="49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8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</row>
    <row r="113" spans="1:79" x14ac:dyDescent="0.25">
      <c r="A113" s="27">
        <v>297</v>
      </c>
      <c r="B113" s="27">
        <v>1</v>
      </c>
      <c r="C113" s="18" t="s">
        <v>86</v>
      </c>
      <c r="D113" s="11">
        <v>1311719.67</v>
      </c>
      <c r="E113" s="16">
        <v>1487655.53</v>
      </c>
      <c r="F113" s="11">
        <v>1482958.06</v>
      </c>
      <c r="G113" s="11">
        <v>1540632.78</v>
      </c>
      <c r="H113" s="11">
        <v>1560257.72</v>
      </c>
      <c r="I113" s="11">
        <v>1570034.76</v>
      </c>
      <c r="J113" s="11">
        <v>1562879</v>
      </c>
      <c r="K113" s="11">
        <v>1244058.6599999999</v>
      </c>
      <c r="L113" s="11">
        <v>1420670.06</v>
      </c>
      <c r="M113" s="11">
        <v>1435385.59</v>
      </c>
      <c r="N113" s="11">
        <f t="shared" si="26"/>
        <v>1244058.6599999999</v>
      </c>
      <c r="O113" s="11">
        <v>280473</v>
      </c>
      <c r="P113" s="11">
        <v>-1441.27</v>
      </c>
      <c r="Q113" s="11">
        <f t="shared" si="24"/>
        <v>28588.93</v>
      </c>
      <c r="R113" s="11">
        <f t="shared" si="25"/>
        <v>20787.64</v>
      </c>
      <c r="S113" s="11">
        <f t="shared" si="27"/>
        <v>29110.972643999998</v>
      </c>
      <c r="T113" s="10">
        <f t="shared" si="28"/>
        <v>1963.3110000000001</v>
      </c>
      <c r="U113" s="10">
        <f t="shared" si="29"/>
        <v>-1441.27</v>
      </c>
      <c r="V113" s="27">
        <f t="shared" si="30"/>
        <v>7801.2885999999999</v>
      </c>
      <c r="W113" s="48">
        <f t="shared" si="31"/>
        <v>20787.643043999997</v>
      </c>
      <c r="X113" s="27"/>
      <c r="Y113" s="49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8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</row>
    <row r="114" spans="1:79" x14ac:dyDescent="0.25">
      <c r="A114" s="27">
        <v>299</v>
      </c>
      <c r="B114" s="27">
        <v>1</v>
      </c>
      <c r="C114" s="18" t="s">
        <v>87</v>
      </c>
      <c r="D114" s="11">
        <v>2783014.25</v>
      </c>
      <c r="E114" s="16">
        <v>3761815.76</v>
      </c>
      <c r="F114" s="11">
        <v>3655253.9</v>
      </c>
      <c r="G114" s="11">
        <v>3624574.79</v>
      </c>
      <c r="H114" s="11">
        <v>3689300</v>
      </c>
      <c r="I114" s="11">
        <v>3781185.87</v>
      </c>
      <c r="J114" s="11">
        <v>3776626.53</v>
      </c>
      <c r="K114" s="11">
        <v>3548580.26</v>
      </c>
      <c r="L114" s="11">
        <v>3107428.68</v>
      </c>
      <c r="M114" s="11">
        <v>3068126.86</v>
      </c>
      <c r="N114" s="11">
        <f t="shared" si="26"/>
        <v>2783014.25</v>
      </c>
      <c r="O114" s="11">
        <v>653877</v>
      </c>
      <c r="P114" s="11">
        <v>-2882.8</v>
      </c>
      <c r="Q114" s="11">
        <f t="shared" si="24"/>
        <v>63428.19</v>
      </c>
      <c r="R114" s="11">
        <f t="shared" si="25"/>
        <v>44981.69</v>
      </c>
      <c r="S114" s="11">
        <f t="shared" si="27"/>
        <v>65122.533450000003</v>
      </c>
      <c r="T114" s="10">
        <f t="shared" si="28"/>
        <v>4577.1390000000001</v>
      </c>
      <c r="U114" s="10">
        <f t="shared" si="29"/>
        <v>-2882.8</v>
      </c>
      <c r="V114" s="27">
        <f t="shared" si="30"/>
        <v>18446.5</v>
      </c>
      <c r="W114" s="48">
        <f t="shared" si="31"/>
        <v>44981.694450000003</v>
      </c>
      <c r="X114" s="27"/>
      <c r="Y114" s="49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8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</row>
    <row r="115" spans="1:79" x14ac:dyDescent="0.25">
      <c r="A115" s="27">
        <v>300</v>
      </c>
      <c r="B115" s="27">
        <v>1</v>
      </c>
      <c r="C115" s="18" t="s">
        <v>346</v>
      </c>
      <c r="D115" s="11">
        <v>4180986.69</v>
      </c>
      <c r="E115" s="16">
        <v>4985100.83</v>
      </c>
      <c r="F115" s="11">
        <v>4766699.95</v>
      </c>
      <c r="G115" s="11">
        <v>5001215.6100000003</v>
      </c>
      <c r="H115" s="11">
        <v>5493907.2800000003</v>
      </c>
      <c r="I115" s="11">
        <v>6004077.79</v>
      </c>
      <c r="J115" s="11">
        <v>5962818.6900000004</v>
      </c>
      <c r="K115" s="11">
        <v>4938665.8499999996</v>
      </c>
      <c r="L115" s="11">
        <v>5310711.4400000004</v>
      </c>
      <c r="M115" s="11">
        <v>5285606.25</v>
      </c>
      <c r="N115" s="11">
        <f t="shared" si="26"/>
        <v>4180986.69</v>
      </c>
      <c r="O115" s="11">
        <v>1053026</v>
      </c>
      <c r="P115" s="11">
        <v>-3417.15</v>
      </c>
      <c r="Q115" s="11">
        <f t="shared" si="24"/>
        <v>93881.06</v>
      </c>
      <c r="R115" s="11">
        <f t="shared" si="25"/>
        <v>66411.520000000004</v>
      </c>
      <c r="S115" s="11">
        <f t="shared" si="27"/>
        <v>97835.088545999999</v>
      </c>
      <c r="T115" s="10">
        <f t="shared" si="28"/>
        <v>7371.1819999999998</v>
      </c>
      <c r="U115" s="10">
        <f t="shared" si="29"/>
        <v>-3417.15</v>
      </c>
      <c r="V115" s="27">
        <f t="shared" si="30"/>
        <v>27469.536400000001</v>
      </c>
      <c r="W115" s="48">
        <f t="shared" si="31"/>
        <v>66411.520145999995</v>
      </c>
      <c r="X115" s="27"/>
      <c r="Y115" s="49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8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</row>
    <row r="116" spans="1:79" x14ac:dyDescent="0.25">
      <c r="A116" s="27">
        <v>306</v>
      </c>
      <c r="B116" s="27">
        <v>1</v>
      </c>
      <c r="C116" s="18" t="s">
        <v>88</v>
      </c>
      <c r="D116" s="11">
        <v>834791.44</v>
      </c>
      <c r="E116" s="16">
        <v>1185358.6200000001</v>
      </c>
      <c r="F116" s="11">
        <v>1100934.6299999999</v>
      </c>
      <c r="G116" s="11">
        <v>988856.41</v>
      </c>
      <c r="H116" s="11">
        <v>922769.08</v>
      </c>
      <c r="I116" s="11">
        <v>970101.64</v>
      </c>
      <c r="J116" s="11">
        <v>1086551.6499999999</v>
      </c>
      <c r="K116" s="11">
        <v>1114321.1599999999</v>
      </c>
      <c r="L116" s="11">
        <v>1107994.96</v>
      </c>
      <c r="M116" s="11">
        <v>1096258.52</v>
      </c>
      <c r="N116" s="11">
        <f t="shared" si="26"/>
        <v>834791.44</v>
      </c>
      <c r="O116" s="11">
        <v>366052</v>
      </c>
      <c r="P116" s="11">
        <v>-1382.69</v>
      </c>
      <c r="Q116" s="11">
        <f t="shared" si="24"/>
        <v>18354.449999999997</v>
      </c>
      <c r="R116" s="11">
        <f t="shared" si="25"/>
        <v>13740.6</v>
      </c>
      <c r="S116" s="11">
        <f t="shared" si="27"/>
        <v>19534.119695999998</v>
      </c>
      <c r="T116" s="10">
        <f t="shared" si="28"/>
        <v>2562.364</v>
      </c>
      <c r="U116" s="10">
        <f t="shared" si="29"/>
        <v>-1382.69</v>
      </c>
      <c r="V116" s="27">
        <f t="shared" si="30"/>
        <v>4613.8454000000002</v>
      </c>
      <c r="W116" s="48">
        <f t="shared" si="31"/>
        <v>13740.600295999995</v>
      </c>
      <c r="X116" s="27"/>
      <c r="Y116" s="49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8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</row>
    <row r="117" spans="1:79" x14ac:dyDescent="0.25">
      <c r="A117" s="27">
        <v>308</v>
      </c>
      <c r="B117" s="27">
        <v>1</v>
      </c>
      <c r="C117" s="18" t="s">
        <v>89</v>
      </c>
      <c r="D117" s="11">
        <v>1090919.1000000001</v>
      </c>
      <c r="E117" s="16">
        <v>1902502.06</v>
      </c>
      <c r="F117" s="11">
        <v>2115963.81</v>
      </c>
      <c r="G117" s="11">
        <v>2101820.69</v>
      </c>
      <c r="H117" s="11">
        <v>2068209.21</v>
      </c>
      <c r="I117" s="11">
        <v>2158749.58</v>
      </c>
      <c r="J117" s="11">
        <v>2256481.71</v>
      </c>
      <c r="K117" s="11">
        <v>2292942.38</v>
      </c>
      <c r="L117" s="11">
        <v>2170863.52</v>
      </c>
      <c r="M117" s="11">
        <v>2268943.63</v>
      </c>
      <c r="N117" s="11">
        <f t="shared" si="26"/>
        <v>1090919.1000000001</v>
      </c>
      <c r="O117" s="11">
        <v>368180</v>
      </c>
      <c r="P117" s="11">
        <v>-1286.1400000000001</v>
      </c>
      <c r="Q117" s="11">
        <f t="shared" si="24"/>
        <v>24236.39</v>
      </c>
      <c r="R117" s="11">
        <f t="shared" si="25"/>
        <v>13895.34</v>
      </c>
      <c r="S117" s="11">
        <f t="shared" si="27"/>
        <v>25527.506940000003</v>
      </c>
      <c r="T117" s="10">
        <f t="shared" si="28"/>
        <v>2577.2600000000002</v>
      </c>
      <c r="U117" s="10">
        <f t="shared" si="29"/>
        <v>-1286.1400000000001</v>
      </c>
      <c r="V117" s="27">
        <f t="shared" si="30"/>
        <v>10341.046050000001</v>
      </c>
      <c r="W117" s="48">
        <f t="shared" si="31"/>
        <v>13895.340890000003</v>
      </c>
      <c r="X117" s="27"/>
      <c r="Y117" s="49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8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</row>
    <row r="118" spans="1:79" x14ac:dyDescent="0.25">
      <c r="A118" s="27">
        <v>309</v>
      </c>
      <c r="B118" s="27">
        <v>1</v>
      </c>
      <c r="C118" s="18" t="s">
        <v>90</v>
      </c>
      <c r="D118" s="11">
        <v>5716287.1299999999</v>
      </c>
      <c r="E118" s="16">
        <v>6323221.8700000001</v>
      </c>
      <c r="F118" s="11">
        <v>6186111.4699999997</v>
      </c>
      <c r="G118" s="11">
        <v>6153386.6500000004</v>
      </c>
      <c r="H118" s="11">
        <v>5993498.8600000003</v>
      </c>
      <c r="I118" s="11">
        <v>6279308.8899999997</v>
      </c>
      <c r="J118" s="11">
        <v>6850186.7800000003</v>
      </c>
      <c r="K118" s="11">
        <v>6628722.6500000004</v>
      </c>
      <c r="L118" s="11">
        <v>6241860.9400000004</v>
      </c>
      <c r="M118" s="11">
        <v>6561424.1600000001</v>
      </c>
      <c r="N118" s="11">
        <f t="shared" si="26"/>
        <v>5716287.1299999999</v>
      </c>
      <c r="O118" s="11">
        <v>1536744</v>
      </c>
      <c r="P118" s="11">
        <v>-9388.17</v>
      </c>
      <c r="Q118" s="11">
        <f t="shared" si="24"/>
        <v>132392.08000000002</v>
      </c>
      <c r="R118" s="11">
        <f t="shared" si="25"/>
        <v>102424.59</v>
      </c>
      <c r="S118" s="11">
        <f t="shared" si="27"/>
        <v>133761.118842</v>
      </c>
      <c r="T118" s="10">
        <f t="shared" si="28"/>
        <v>10757.208000000001</v>
      </c>
      <c r="U118" s="10">
        <f t="shared" si="29"/>
        <v>-9388.17</v>
      </c>
      <c r="V118" s="27">
        <f t="shared" si="30"/>
        <v>29967.494300000002</v>
      </c>
      <c r="W118" s="48">
        <f t="shared" si="31"/>
        <v>102424.58654199999</v>
      </c>
      <c r="X118" s="27"/>
      <c r="Y118" s="49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8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</row>
    <row r="119" spans="1:79" x14ac:dyDescent="0.25">
      <c r="A119" s="27">
        <v>314</v>
      </c>
      <c r="B119" s="27">
        <v>1</v>
      </c>
      <c r="C119" s="18" t="s">
        <v>91</v>
      </c>
      <c r="D119" s="11">
        <v>2770170.91</v>
      </c>
      <c r="E119" s="16">
        <v>3019748.3</v>
      </c>
      <c r="F119" s="11">
        <v>3244832.99</v>
      </c>
      <c r="G119" s="11">
        <v>3356436.5</v>
      </c>
      <c r="H119" s="11">
        <v>3450521.23</v>
      </c>
      <c r="I119" s="11">
        <v>3439836.18</v>
      </c>
      <c r="J119" s="11">
        <v>3469489.44</v>
      </c>
      <c r="K119" s="11">
        <v>3369992.77</v>
      </c>
      <c r="L119" s="11">
        <v>3459832.94</v>
      </c>
      <c r="M119" s="11">
        <v>3735389.15</v>
      </c>
      <c r="N119" s="11">
        <f t="shared" si="26"/>
        <v>2770170.91</v>
      </c>
      <c r="O119" s="11">
        <v>739840</v>
      </c>
      <c r="P119" s="11">
        <v>-3285.84</v>
      </c>
      <c r="Q119" s="11">
        <f t="shared" si="24"/>
        <v>62928.960000000006</v>
      </c>
      <c r="R119" s="11">
        <f t="shared" si="25"/>
        <v>45676.35</v>
      </c>
      <c r="S119" s="11">
        <f t="shared" si="27"/>
        <v>64821.999294000008</v>
      </c>
      <c r="T119" s="10">
        <f t="shared" si="28"/>
        <v>5178.88</v>
      </c>
      <c r="U119" s="10">
        <f t="shared" si="29"/>
        <v>-3285.84</v>
      </c>
      <c r="V119" s="27">
        <f t="shared" si="30"/>
        <v>17252.60615</v>
      </c>
      <c r="W119" s="48">
        <f t="shared" si="31"/>
        <v>45676.353144000015</v>
      </c>
      <c r="X119" s="27"/>
      <c r="Y119" s="49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8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</row>
    <row r="120" spans="1:79" x14ac:dyDescent="0.25">
      <c r="A120" s="27">
        <v>316</v>
      </c>
      <c r="B120" s="27">
        <v>1</v>
      </c>
      <c r="C120" s="18" t="s">
        <v>92</v>
      </c>
      <c r="D120" s="11">
        <v>5044104.84</v>
      </c>
      <c r="E120" s="16">
        <v>4920652.34</v>
      </c>
      <c r="F120" s="11">
        <v>5001465.28</v>
      </c>
      <c r="G120" s="11">
        <v>5078651.91</v>
      </c>
      <c r="H120" s="11">
        <v>4420992.5999999996</v>
      </c>
      <c r="I120" s="11">
        <v>4385443.25</v>
      </c>
      <c r="J120" s="11">
        <v>4577652.21</v>
      </c>
      <c r="K120" s="11">
        <v>4169649.3</v>
      </c>
      <c r="L120" s="11">
        <v>4071984.62</v>
      </c>
      <c r="M120" s="11">
        <v>3968387.85</v>
      </c>
      <c r="N120" s="11">
        <f t="shared" si="26"/>
        <v>3968387.85</v>
      </c>
      <c r="O120" s="11">
        <v>1687703</v>
      </c>
      <c r="P120" s="11">
        <v>-8305.7999999999993</v>
      </c>
      <c r="Q120" s="11">
        <f t="shared" si="24"/>
        <v>89352.16</v>
      </c>
      <c r="R120" s="11">
        <f t="shared" si="25"/>
        <v>67247.199999999997</v>
      </c>
      <c r="S120" s="11">
        <f t="shared" si="27"/>
        <v>92860.275690000009</v>
      </c>
      <c r="T120" s="10">
        <f t="shared" si="28"/>
        <v>11813.921</v>
      </c>
      <c r="U120" s="10">
        <f t="shared" si="29"/>
        <v>-8305.7999999999993</v>
      </c>
      <c r="V120" s="27">
        <f t="shared" si="30"/>
        <v>22104.963</v>
      </c>
      <c r="W120" s="48">
        <f t="shared" si="31"/>
        <v>67247.191690000007</v>
      </c>
      <c r="X120" s="27"/>
      <c r="Y120" s="49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8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</row>
    <row r="121" spans="1:79" x14ac:dyDescent="0.25">
      <c r="A121" s="27">
        <v>317</v>
      </c>
      <c r="B121" s="27">
        <v>1</v>
      </c>
      <c r="C121" s="18" t="s">
        <v>93</v>
      </c>
      <c r="D121" s="11">
        <v>3475150.04</v>
      </c>
      <c r="E121" s="16">
        <v>4265685.87</v>
      </c>
      <c r="F121" s="11">
        <v>4235915.95</v>
      </c>
      <c r="G121" s="11">
        <v>4171365.5</v>
      </c>
      <c r="H121" s="11">
        <v>3951056.53</v>
      </c>
      <c r="I121" s="11">
        <v>4135398.39</v>
      </c>
      <c r="J121" s="11">
        <v>4212057.42</v>
      </c>
      <c r="K121" s="11">
        <v>4095926.64</v>
      </c>
      <c r="L121" s="11">
        <v>4138704.93</v>
      </c>
      <c r="M121" s="11">
        <v>4338076.1100000003</v>
      </c>
      <c r="N121" s="11">
        <f t="shared" si="26"/>
        <v>3475150.04</v>
      </c>
      <c r="O121" s="11">
        <v>1045556</v>
      </c>
      <c r="P121" s="11">
        <v>-7753.43</v>
      </c>
      <c r="Q121" s="11">
        <f t="shared" si="24"/>
        <v>81753.049999999988</v>
      </c>
      <c r="R121" s="11">
        <f t="shared" si="25"/>
        <v>61997.77</v>
      </c>
      <c r="S121" s="11">
        <f t="shared" si="27"/>
        <v>81318.510936000006</v>
      </c>
      <c r="T121" s="10">
        <f t="shared" si="28"/>
        <v>7318.8919999999998</v>
      </c>
      <c r="U121" s="10">
        <f t="shared" si="29"/>
        <v>-7753.43</v>
      </c>
      <c r="V121" s="27">
        <f t="shared" si="30"/>
        <v>19755.282650000001</v>
      </c>
      <c r="W121" s="48">
        <f t="shared" si="31"/>
        <v>61997.766286000005</v>
      </c>
      <c r="X121" s="27"/>
      <c r="Y121" s="49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8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</row>
    <row r="122" spans="1:79" x14ac:dyDescent="0.25">
      <c r="A122" s="27">
        <v>318</v>
      </c>
      <c r="B122" s="27">
        <v>1</v>
      </c>
      <c r="C122" s="18" t="s">
        <v>94</v>
      </c>
      <c r="D122" s="11">
        <v>15084900.99</v>
      </c>
      <c r="E122" s="16">
        <v>15742121.48</v>
      </c>
      <c r="F122" s="11">
        <v>15368425.35</v>
      </c>
      <c r="G122" s="11">
        <v>14994866.939999999</v>
      </c>
      <c r="H122" s="11">
        <v>15160877.560000001</v>
      </c>
      <c r="I122" s="11">
        <v>15768251.65</v>
      </c>
      <c r="J122" s="11">
        <v>15841809.119999999</v>
      </c>
      <c r="K122" s="11">
        <v>15432581.02</v>
      </c>
      <c r="L122" s="11">
        <v>15651507.91</v>
      </c>
      <c r="M122" s="11">
        <v>15910580.07</v>
      </c>
      <c r="N122" s="11">
        <f t="shared" si="26"/>
        <v>14994866.939999999</v>
      </c>
      <c r="O122" s="11">
        <v>4627341</v>
      </c>
      <c r="P122" s="11">
        <v>-21529.47</v>
      </c>
      <c r="Q122" s="11">
        <f t="shared" si="24"/>
        <v>340017.97</v>
      </c>
      <c r="R122" s="11">
        <f t="shared" si="25"/>
        <v>264213.58</v>
      </c>
      <c r="S122" s="11">
        <f t="shared" si="27"/>
        <v>350879.88639599999</v>
      </c>
      <c r="T122" s="10">
        <f t="shared" si="28"/>
        <v>32391.387000000002</v>
      </c>
      <c r="U122" s="10">
        <f t="shared" si="29"/>
        <v>-21529.47</v>
      </c>
      <c r="V122" s="27">
        <f t="shared" si="30"/>
        <v>75804.387800000011</v>
      </c>
      <c r="W122" s="48">
        <f t="shared" si="31"/>
        <v>264213.581596</v>
      </c>
      <c r="X122" s="27"/>
      <c r="Y122" s="49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8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</row>
    <row r="123" spans="1:79" x14ac:dyDescent="0.25">
      <c r="A123" s="27">
        <v>319</v>
      </c>
      <c r="B123" s="27">
        <v>1</v>
      </c>
      <c r="C123" s="18" t="s">
        <v>347</v>
      </c>
      <c r="D123" s="11">
        <v>1875635.71</v>
      </c>
      <c r="E123" s="16">
        <v>2433388.14</v>
      </c>
      <c r="F123" s="11">
        <v>2458266.6800000002</v>
      </c>
      <c r="G123" s="11">
        <v>2604703.34</v>
      </c>
      <c r="H123" s="11">
        <v>2734470.33</v>
      </c>
      <c r="I123" s="11">
        <v>2793810.05</v>
      </c>
      <c r="J123" s="11">
        <v>2789544.23</v>
      </c>
      <c r="K123" s="11">
        <v>2435004.33</v>
      </c>
      <c r="L123" s="11">
        <v>2459496.88</v>
      </c>
      <c r="M123" s="11">
        <v>2412556.92</v>
      </c>
      <c r="N123" s="11">
        <f t="shared" si="26"/>
        <v>1875635.71</v>
      </c>
      <c r="O123" s="11">
        <v>447069</v>
      </c>
      <c r="P123" s="11">
        <v>-3663.68</v>
      </c>
      <c r="Q123" s="11">
        <f t="shared" si="24"/>
        <v>44424.079999999994</v>
      </c>
      <c r="R123" s="11">
        <f t="shared" si="25"/>
        <v>30751.73</v>
      </c>
      <c r="S123" s="11">
        <f t="shared" si="27"/>
        <v>43889.875613999997</v>
      </c>
      <c r="T123" s="10">
        <f t="shared" si="28"/>
        <v>3129.4830000000002</v>
      </c>
      <c r="U123" s="10">
        <f t="shared" si="29"/>
        <v>-3663.68</v>
      </c>
      <c r="V123" s="27">
        <f t="shared" si="30"/>
        <v>13672.351650000001</v>
      </c>
      <c r="W123" s="48">
        <f t="shared" si="31"/>
        <v>30751.720963999996</v>
      </c>
      <c r="X123" s="27"/>
      <c r="Y123" s="49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8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</row>
    <row r="124" spans="1:79" x14ac:dyDescent="0.25">
      <c r="A124" s="27">
        <v>323</v>
      </c>
      <c r="B124" s="27">
        <v>2</v>
      </c>
      <c r="C124" s="18" t="s">
        <v>95</v>
      </c>
      <c r="D124" s="11">
        <v>0</v>
      </c>
      <c r="E124" s="16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f t="shared" si="26"/>
        <v>0</v>
      </c>
      <c r="O124" s="11">
        <v>0</v>
      </c>
      <c r="P124" s="11">
        <v>0</v>
      </c>
      <c r="Q124" s="11">
        <f t="shared" si="24"/>
        <v>0</v>
      </c>
      <c r="R124" s="11">
        <f t="shared" si="25"/>
        <v>0</v>
      </c>
      <c r="S124" s="11">
        <f t="shared" si="27"/>
        <v>0</v>
      </c>
      <c r="T124" s="10">
        <f t="shared" si="28"/>
        <v>0</v>
      </c>
      <c r="U124" s="10">
        <f t="shared" si="29"/>
        <v>0</v>
      </c>
      <c r="V124" s="27">
        <f t="shared" si="30"/>
        <v>0</v>
      </c>
      <c r="W124" s="48">
        <f t="shared" si="31"/>
        <v>0</v>
      </c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8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</row>
    <row r="125" spans="1:79" x14ac:dyDescent="0.25">
      <c r="A125" s="27">
        <v>330</v>
      </c>
      <c r="B125" s="27">
        <v>1</v>
      </c>
      <c r="C125" s="18" t="s">
        <v>348</v>
      </c>
      <c r="D125" s="11">
        <v>1240442.93</v>
      </c>
      <c r="E125" s="16">
        <v>1340342</v>
      </c>
      <c r="F125" s="11">
        <v>1381047.57</v>
      </c>
      <c r="G125" s="11">
        <v>1423124.91</v>
      </c>
      <c r="H125" s="11">
        <v>1281566.54</v>
      </c>
      <c r="I125" s="11">
        <v>1418055.95</v>
      </c>
      <c r="J125" s="11">
        <v>1516121.73</v>
      </c>
      <c r="K125" s="11">
        <v>1532816.48</v>
      </c>
      <c r="L125" s="11">
        <v>1554804.42</v>
      </c>
      <c r="M125" s="11">
        <v>1562171.08</v>
      </c>
      <c r="N125" s="11">
        <f t="shared" si="26"/>
        <v>1240442.93</v>
      </c>
      <c r="O125" s="11">
        <v>261260</v>
      </c>
      <c r="P125" s="11">
        <v>-1371.49</v>
      </c>
      <c r="Q125" s="11">
        <f t="shared" si="24"/>
        <v>28569.030000000002</v>
      </c>
      <c r="R125" s="11">
        <f t="shared" si="25"/>
        <v>22161.200000000001</v>
      </c>
      <c r="S125" s="11">
        <f t="shared" si="27"/>
        <v>29026.364561999999</v>
      </c>
      <c r="T125" s="10">
        <f t="shared" si="28"/>
        <v>1828.82</v>
      </c>
      <c r="U125" s="10">
        <f t="shared" si="29"/>
        <v>-1371.49</v>
      </c>
      <c r="V125" s="27">
        <f t="shared" si="30"/>
        <v>6407.8326999999999</v>
      </c>
      <c r="W125" s="48">
        <f t="shared" si="31"/>
        <v>22161.201862000002</v>
      </c>
      <c r="X125" s="27"/>
      <c r="Y125" s="49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8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</row>
    <row r="126" spans="1:79" x14ac:dyDescent="0.25">
      <c r="A126" s="27">
        <v>332</v>
      </c>
      <c r="B126" s="27">
        <v>1</v>
      </c>
      <c r="C126" s="18" t="s">
        <v>96</v>
      </c>
      <c r="D126" s="11">
        <v>5132662</v>
      </c>
      <c r="E126" s="16">
        <v>6933388.7999999998</v>
      </c>
      <c r="F126" s="11">
        <v>7132639.4699999997</v>
      </c>
      <c r="G126" s="11">
        <v>7251154.7999999998</v>
      </c>
      <c r="H126" s="11">
        <v>7408268.79</v>
      </c>
      <c r="I126" s="11">
        <v>7630002.8300000001</v>
      </c>
      <c r="J126" s="11">
        <v>7716425.1299999999</v>
      </c>
      <c r="K126" s="11">
        <v>7582515</v>
      </c>
      <c r="L126" s="11">
        <v>7410409.0199999996</v>
      </c>
      <c r="M126" s="11">
        <v>7423025.6600000001</v>
      </c>
      <c r="N126" s="11">
        <f t="shared" si="26"/>
        <v>5132662</v>
      </c>
      <c r="O126" s="11">
        <v>1380402</v>
      </c>
      <c r="P126" s="11">
        <v>-6788.48</v>
      </c>
      <c r="Q126" s="11">
        <f t="shared" si="24"/>
        <v>117229.95999999999</v>
      </c>
      <c r="R126" s="11">
        <f t="shared" si="25"/>
        <v>80188.62</v>
      </c>
      <c r="S126" s="11">
        <f t="shared" si="27"/>
        <v>120104.2908</v>
      </c>
      <c r="T126" s="10">
        <f t="shared" si="28"/>
        <v>9662.8140000000003</v>
      </c>
      <c r="U126" s="10">
        <f t="shared" si="29"/>
        <v>-6788.48</v>
      </c>
      <c r="V126" s="27">
        <f t="shared" si="30"/>
        <v>37041.343950000002</v>
      </c>
      <c r="W126" s="48">
        <f t="shared" si="31"/>
        <v>80188.612850000005</v>
      </c>
      <c r="X126" s="27"/>
      <c r="Y126" s="49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</row>
    <row r="127" spans="1:79" x14ac:dyDescent="0.25">
      <c r="A127" s="27">
        <v>333</v>
      </c>
      <c r="B127" s="27">
        <v>1</v>
      </c>
      <c r="C127" s="18" t="s">
        <v>97</v>
      </c>
      <c r="D127" s="11">
        <v>2139217.56</v>
      </c>
      <c r="E127" s="16">
        <v>2506464.0099999998</v>
      </c>
      <c r="F127" s="11">
        <v>2577161.73</v>
      </c>
      <c r="G127" s="11">
        <v>2796479.22</v>
      </c>
      <c r="H127" s="11">
        <v>2678680.64</v>
      </c>
      <c r="I127" s="11">
        <v>2690994.31</v>
      </c>
      <c r="J127" s="11">
        <v>2756890.19</v>
      </c>
      <c r="K127" s="11">
        <v>2634078.75</v>
      </c>
      <c r="L127" s="11">
        <v>2404778.31</v>
      </c>
      <c r="M127" s="11">
        <v>2442252</v>
      </c>
      <c r="N127" s="11">
        <f t="shared" si="26"/>
        <v>2139217.56</v>
      </c>
      <c r="O127" s="11">
        <v>655053</v>
      </c>
      <c r="P127" s="11">
        <v>-1906.93</v>
      </c>
      <c r="Q127" s="11">
        <f t="shared" si="24"/>
        <v>47379.25</v>
      </c>
      <c r="R127" s="11">
        <f t="shared" si="25"/>
        <v>33985.85</v>
      </c>
      <c r="S127" s="11">
        <f t="shared" si="27"/>
        <v>50057.690904000003</v>
      </c>
      <c r="T127" s="10">
        <f t="shared" si="28"/>
        <v>4585.3710000000001</v>
      </c>
      <c r="U127" s="10">
        <f t="shared" si="29"/>
        <v>-1906.93</v>
      </c>
      <c r="V127" s="27">
        <f t="shared" si="30"/>
        <v>13393.403200000001</v>
      </c>
      <c r="W127" s="48">
        <f t="shared" si="31"/>
        <v>33985.846704000003</v>
      </c>
      <c r="X127" s="27"/>
      <c r="Y127" s="49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8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</row>
    <row r="128" spans="1:79" x14ac:dyDescent="0.25">
      <c r="A128" s="27">
        <v>345</v>
      </c>
      <c r="B128" s="27">
        <v>1</v>
      </c>
      <c r="C128" s="18" t="s">
        <v>349</v>
      </c>
      <c r="D128" s="11">
        <v>4845256.38</v>
      </c>
      <c r="E128" s="16">
        <v>6313327.1600000001</v>
      </c>
      <c r="F128" s="11">
        <v>6304860.5899999999</v>
      </c>
      <c r="G128" s="11">
        <v>6474743.96</v>
      </c>
      <c r="H128" s="11">
        <v>6686002.6399999997</v>
      </c>
      <c r="I128" s="11">
        <v>6759145.1799999997</v>
      </c>
      <c r="J128" s="11">
        <v>6667844.5899999999</v>
      </c>
      <c r="K128" s="11">
        <v>6524446.46</v>
      </c>
      <c r="L128" s="11">
        <v>6236876.1699999999</v>
      </c>
      <c r="M128" s="11">
        <v>6394458.9900000002</v>
      </c>
      <c r="N128" s="11">
        <f t="shared" si="26"/>
        <v>4845256.38</v>
      </c>
      <c r="O128" s="11">
        <v>1025650</v>
      </c>
      <c r="P128" s="11">
        <v>-3210.58</v>
      </c>
      <c r="Q128" s="11">
        <f t="shared" si="24"/>
        <v>109410.03</v>
      </c>
      <c r="R128" s="11">
        <f t="shared" si="25"/>
        <v>75980.02</v>
      </c>
      <c r="S128" s="11">
        <f t="shared" si="27"/>
        <v>113378.99929200001</v>
      </c>
      <c r="T128" s="10">
        <f t="shared" si="28"/>
        <v>7179.55</v>
      </c>
      <c r="U128" s="10">
        <f t="shared" si="29"/>
        <v>-3210.58</v>
      </c>
      <c r="V128" s="27">
        <f t="shared" si="30"/>
        <v>33430.013200000001</v>
      </c>
      <c r="W128" s="48">
        <f t="shared" si="31"/>
        <v>75980.016092000005</v>
      </c>
      <c r="X128" s="27"/>
      <c r="Y128" s="49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8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</row>
    <row r="129" spans="1:79" x14ac:dyDescent="0.25">
      <c r="A129" s="27">
        <v>347</v>
      </c>
      <c r="B129" s="27">
        <v>1</v>
      </c>
      <c r="C129" s="18" t="s">
        <v>98</v>
      </c>
      <c r="D129" s="11">
        <v>16500315.859999999</v>
      </c>
      <c r="E129" s="16">
        <v>17757473.190000001</v>
      </c>
      <c r="F129" s="11">
        <v>18515469.449999999</v>
      </c>
      <c r="G129" s="11">
        <v>18591309.050000001</v>
      </c>
      <c r="H129" s="11">
        <v>18663013.149999999</v>
      </c>
      <c r="I129" s="11">
        <v>19715312.07</v>
      </c>
      <c r="J129" s="11">
        <v>19737824.48</v>
      </c>
      <c r="K129" s="11">
        <v>18901753</v>
      </c>
      <c r="L129" s="11">
        <v>18868038.760000002</v>
      </c>
      <c r="M129" s="11">
        <v>18719192.530000001</v>
      </c>
      <c r="N129" s="11">
        <f t="shared" si="26"/>
        <v>16500315.859999999</v>
      </c>
      <c r="O129" s="11">
        <v>3673999</v>
      </c>
      <c r="P129" s="11">
        <v>-14152.48</v>
      </c>
      <c r="Q129" s="11">
        <f t="shared" si="24"/>
        <v>374541.88</v>
      </c>
      <c r="R129" s="11">
        <f t="shared" si="25"/>
        <v>281226.81</v>
      </c>
      <c r="S129" s="11">
        <f t="shared" si="27"/>
        <v>386107.39112400002</v>
      </c>
      <c r="T129" s="10">
        <f t="shared" si="28"/>
        <v>25717.993000000002</v>
      </c>
      <c r="U129" s="10">
        <f t="shared" si="29"/>
        <v>-14152.48</v>
      </c>
      <c r="V129" s="27">
        <f t="shared" si="30"/>
        <v>93315.065749999994</v>
      </c>
      <c r="W129" s="48">
        <f t="shared" si="31"/>
        <v>281226.81237399997</v>
      </c>
      <c r="X129" s="27"/>
      <c r="Y129" s="49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8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</row>
    <row r="130" spans="1:79" x14ac:dyDescent="0.25">
      <c r="A130" s="27">
        <v>356</v>
      </c>
      <c r="B130" s="27">
        <v>1</v>
      </c>
      <c r="C130" s="18" t="s">
        <v>99</v>
      </c>
      <c r="D130" s="11">
        <v>630220.59</v>
      </c>
      <c r="E130" s="16">
        <v>881240.02</v>
      </c>
      <c r="F130" s="11">
        <v>861260.34</v>
      </c>
      <c r="G130" s="11">
        <v>865980.5</v>
      </c>
      <c r="H130" s="11">
        <v>901384.13</v>
      </c>
      <c r="I130" s="11">
        <v>958556.49</v>
      </c>
      <c r="J130" s="11">
        <v>974285.17</v>
      </c>
      <c r="K130" s="11">
        <v>996677.95</v>
      </c>
      <c r="L130" s="11">
        <v>956126.96</v>
      </c>
      <c r="M130" s="11">
        <v>961030.25</v>
      </c>
      <c r="N130" s="11">
        <f t="shared" si="26"/>
        <v>630220.59</v>
      </c>
      <c r="O130" s="11">
        <v>187263</v>
      </c>
      <c r="P130" s="11">
        <v>-921.41</v>
      </c>
      <c r="Q130" s="11">
        <f t="shared" si="24"/>
        <v>14357.73</v>
      </c>
      <c r="R130" s="11">
        <f t="shared" si="25"/>
        <v>9850.81</v>
      </c>
      <c r="S130" s="11">
        <f t="shared" si="27"/>
        <v>14747.161806</v>
      </c>
      <c r="T130" s="10">
        <f t="shared" si="28"/>
        <v>1310.8410000000001</v>
      </c>
      <c r="U130" s="10">
        <f t="shared" si="29"/>
        <v>-921.41</v>
      </c>
      <c r="V130" s="27">
        <f t="shared" si="30"/>
        <v>4506.92065</v>
      </c>
      <c r="W130" s="48">
        <f t="shared" si="31"/>
        <v>9850.8101559999996</v>
      </c>
      <c r="X130" s="27"/>
      <c r="Y130" s="49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8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</row>
    <row r="131" spans="1:79" x14ac:dyDescent="0.25">
      <c r="A131" s="27">
        <v>361</v>
      </c>
      <c r="B131" s="27">
        <v>1</v>
      </c>
      <c r="C131" s="18" t="s">
        <v>350</v>
      </c>
      <c r="D131" s="11">
        <v>5049199.45</v>
      </c>
      <c r="E131" s="16">
        <v>5312395.03</v>
      </c>
      <c r="F131" s="11">
        <v>5165254.04</v>
      </c>
      <c r="G131" s="11">
        <v>5266779.2300000004</v>
      </c>
      <c r="H131" s="11">
        <v>5502446.9299999997</v>
      </c>
      <c r="I131" s="11">
        <v>5373725.1699999999</v>
      </c>
      <c r="J131" s="11">
        <v>5218599.93</v>
      </c>
      <c r="K131" s="11">
        <v>5365168.9000000004</v>
      </c>
      <c r="L131" s="11">
        <v>4966647.8499999996</v>
      </c>
      <c r="M131" s="11">
        <v>4436418.99</v>
      </c>
      <c r="N131" s="11">
        <f t="shared" si="26"/>
        <v>4436418.99</v>
      </c>
      <c r="O131" s="11">
        <v>1857225</v>
      </c>
      <c r="P131" s="11">
        <v>-11521.82</v>
      </c>
      <c r="Q131" s="11">
        <f t="shared" si="24"/>
        <v>102333.44</v>
      </c>
      <c r="R131" s="11">
        <f t="shared" si="25"/>
        <v>74821.210000000006</v>
      </c>
      <c r="S131" s="11">
        <f t="shared" si="27"/>
        <v>103812.20436600001</v>
      </c>
      <c r="T131" s="10">
        <f t="shared" si="28"/>
        <v>13000.575000000001</v>
      </c>
      <c r="U131" s="10">
        <f t="shared" si="29"/>
        <v>-11521.82</v>
      </c>
      <c r="V131" s="27">
        <f t="shared" si="30"/>
        <v>27512.234649999999</v>
      </c>
      <c r="W131" s="48">
        <f t="shared" si="31"/>
        <v>74821.214716000017</v>
      </c>
      <c r="X131" s="27"/>
      <c r="Y131" s="49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8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</row>
    <row r="132" spans="1:79" x14ac:dyDescent="0.25">
      <c r="A132" s="27">
        <v>362</v>
      </c>
      <c r="B132" s="27">
        <v>1</v>
      </c>
      <c r="C132" s="18" t="s">
        <v>351</v>
      </c>
      <c r="D132" s="11">
        <v>1021401.62</v>
      </c>
      <c r="E132" s="16">
        <v>1189716.78</v>
      </c>
      <c r="F132" s="11">
        <v>1139961.31</v>
      </c>
      <c r="G132" s="11">
        <v>1214526.2</v>
      </c>
      <c r="H132" s="11">
        <v>1239985.67</v>
      </c>
      <c r="I132" s="11">
        <v>1293331.98</v>
      </c>
      <c r="J132" s="11">
        <v>1308897.42</v>
      </c>
      <c r="K132" s="11">
        <v>1340794.76</v>
      </c>
      <c r="L132" s="11">
        <v>1357706.35</v>
      </c>
      <c r="M132" s="11">
        <v>1436289.77</v>
      </c>
      <c r="N132" s="11">
        <f t="shared" si="26"/>
        <v>1021401.62</v>
      </c>
      <c r="O132" s="11">
        <v>309721</v>
      </c>
      <c r="P132" s="11">
        <v>-2671.28</v>
      </c>
      <c r="Q132" s="11">
        <f t="shared" si="24"/>
        <v>24404.03</v>
      </c>
      <c r="R132" s="11">
        <f t="shared" si="25"/>
        <v>18204.099999999999</v>
      </c>
      <c r="S132" s="11">
        <f t="shared" si="27"/>
        <v>23900.797908</v>
      </c>
      <c r="T132" s="10">
        <f t="shared" si="28"/>
        <v>2168.047</v>
      </c>
      <c r="U132" s="10">
        <f t="shared" si="29"/>
        <v>-2671.28</v>
      </c>
      <c r="V132" s="27">
        <f t="shared" si="30"/>
        <v>6199.9283500000001</v>
      </c>
      <c r="W132" s="48">
        <f t="shared" si="31"/>
        <v>18204.102557999999</v>
      </c>
      <c r="X132" s="27"/>
      <c r="Y132" s="49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8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</row>
    <row r="133" spans="1:79" x14ac:dyDescent="0.25">
      <c r="A133" s="27">
        <v>363</v>
      </c>
      <c r="B133" s="27">
        <v>1</v>
      </c>
      <c r="C133" s="18" t="s">
        <v>352</v>
      </c>
      <c r="D133" s="11">
        <v>1625104.99</v>
      </c>
      <c r="E133" s="16">
        <v>2196443.21</v>
      </c>
      <c r="F133" s="11">
        <v>2236669.04</v>
      </c>
      <c r="G133" s="11">
        <v>2356544.69</v>
      </c>
      <c r="H133" s="11">
        <v>2346790.8199999998</v>
      </c>
      <c r="I133" s="11">
        <v>2450134.75</v>
      </c>
      <c r="J133" s="11">
        <v>2523436.86</v>
      </c>
      <c r="K133" s="11">
        <v>2472077</v>
      </c>
      <c r="L133" s="11">
        <v>2163949.27</v>
      </c>
      <c r="M133" s="11">
        <v>2387524.96</v>
      </c>
      <c r="N133" s="11">
        <f t="shared" si="26"/>
        <v>1625104.99</v>
      </c>
      <c r="O133" s="11">
        <v>437376</v>
      </c>
      <c r="P133" s="11">
        <v>-2124.23</v>
      </c>
      <c r="Q133" s="11">
        <f t="shared" si="24"/>
        <v>37090.060000000005</v>
      </c>
      <c r="R133" s="11">
        <f t="shared" si="25"/>
        <v>25356.11</v>
      </c>
      <c r="S133" s="11">
        <f t="shared" si="27"/>
        <v>38027.456766000003</v>
      </c>
      <c r="T133" s="10">
        <f t="shared" si="28"/>
        <v>3061.6320000000001</v>
      </c>
      <c r="U133" s="10">
        <f t="shared" si="29"/>
        <v>-2124.23</v>
      </c>
      <c r="V133" s="27">
        <f t="shared" si="30"/>
        <v>11733.954099999999</v>
      </c>
      <c r="W133" s="48">
        <f t="shared" si="31"/>
        <v>25356.100666000009</v>
      </c>
      <c r="X133" s="27"/>
      <c r="Y133" s="49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8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</row>
    <row r="134" spans="1:79" x14ac:dyDescent="0.25">
      <c r="A134" s="27">
        <v>378</v>
      </c>
      <c r="B134" s="27">
        <v>1</v>
      </c>
      <c r="C134" s="18" t="s">
        <v>353</v>
      </c>
      <c r="D134" s="11">
        <v>2025543.65</v>
      </c>
      <c r="E134" s="16">
        <v>2347629.94</v>
      </c>
      <c r="F134" s="11">
        <v>2358543.7799999998</v>
      </c>
      <c r="G134" s="11">
        <v>2386701.58</v>
      </c>
      <c r="H134" s="11">
        <v>2474753.69</v>
      </c>
      <c r="I134" s="11">
        <v>2500174.71</v>
      </c>
      <c r="J134" s="11">
        <v>2623964.9700000002</v>
      </c>
      <c r="K134" s="11">
        <v>2560419.54</v>
      </c>
      <c r="L134" s="11">
        <v>2375501.2599999998</v>
      </c>
      <c r="M134" s="11">
        <v>2400100.7400000002</v>
      </c>
      <c r="N134" s="11">
        <f t="shared" si="26"/>
        <v>2025543.65</v>
      </c>
      <c r="O134" s="11">
        <v>515816</v>
      </c>
      <c r="P134" s="11">
        <v>-3730.44</v>
      </c>
      <c r="Q134" s="11">
        <f t="shared" si="24"/>
        <v>47517.450000000004</v>
      </c>
      <c r="R134" s="11">
        <f t="shared" si="25"/>
        <v>35143.68</v>
      </c>
      <c r="S134" s="11">
        <f t="shared" si="27"/>
        <v>47397.721409999998</v>
      </c>
      <c r="T134" s="10">
        <f t="shared" si="28"/>
        <v>3610.712</v>
      </c>
      <c r="U134" s="10">
        <f t="shared" si="29"/>
        <v>-3730.44</v>
      </c>
      <c r="V134" s="27">
        <f t="shared" si="30"/>
        <v>12373.76845</v>
      </c>
      <c r="W134" s="48">
        <f t="shared" si="31"/>
        <v>35143.680959999998</v>
      </c>
      <c r="X134" s="27"/>
      <c r="Y134" s="49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8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</row>
    <row r="135" spans="1:79" x14ac:dyDescent="0.25">
      <c r="A135" s="27">
        <v>381</v>
      </c>
      <c r="B135" s="27">
        <v>1</v>
      </c>
      <c r="C135" s="18" t="s">
        <v>101</v>
      </c>
      <c r="D135" s="11">
        <v>5879756.6500000004</v>
      </c>
      <c r="E135" s="16">
        <v>6514807.9699999997</v>
      </c>
      <c r="F135" s="11">
        <v>6714186.8600000003</v>
      </c>
      <c r="G135" s="11">
        <v>6520504.6900000004</v>
      </c>
      <c r="H135" s="11">
        <v>6491434.5099999998</v>
      </c>
      <c r="I135" s="11">
        <v>6126198.8899999997</v>
      </c>
      <c r="J135" s="11">
        <v>6277339.2300000004</v>
      </c>
      <c r="K135" s="11">
        <v>6516663.5899999999</v>
      </c>
      <c r="L135" s="11">
        <v>6450243</v>
      </c>
      <c r="M135" s="11">
        <v>6389171.1900000004</v>
      </c>
      <c r="N135" s="11">
        <f t="shared" si="26"/>
        <v>5879756.6500000004</v>
      </c>
      <c r="O135" s="11">
        <v>1900236</v>
      </c>
      <c r="P135" s="11">
        <v>-10112.19</v>
      </c>
      <c r="Q135" s="11">
        <f t="shared" si="24"/>
        <v>134396.85</v>
      </c>
      <c r="R135" s="11">
        <f t="shared" si="25"/>
        <v>101939.68</v>
      </c>
      <c r="S135" s="11">
        <f t="shared" si="27"/>
        <v>137586.30561000001</v>
      </c>
      <c r="T135" s="10">
        <f t="shared" si="28"/>
        <v>13301.652</v>
      </c>
      <c r="U135" s="10">
        <f t="shared" si="29"/>
        <v>-10112.19</v>
      </c>
      <c r="V135" s="27">
        <f t="shared" si="30"/>
        <v>32457.172549999999</v>
      </c>
      <c r="W135" s="48">
        <f t="shared" si="31"/>
        <v>101939.67106000001</v>
      </c>
      <c r="X135" s="27"/>
      <c r="Y135" s="49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8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</row>
    <row r="136" spans="1:79" x14ac:dyDescent="0.25">
      <c r="A136" s="27">
        <v>390</v>
      </c>
      <c r="B136" s="27">
        <v>1</v>
      </c>
      <c r="C136" s="18" t="s">
        <v>354</v>
      </c>
      <c r="D136" s="11">
        <v>2206466.11</v>
      </c>
      <c r="E136" s="16">
        <v>2303200.66</v>
      </c>
      <c r="F136" s="11">
        <v>2482666.65</v>
      </c>
      <c r="G136" s="11">
        <v>2401073.75</v>
      </c>
      <c r="H136" s="11">
        <v>2412664.25</v>
      </c>
      <c r="I136" s="11">
        <v>2282326.0499999998</v>
      </c>
      <c r="J136" s="11">
        <v>2416278.7999999998</v>
      </c>
      <c r="K136" s="11">
        <v>2312198.7200000002</v>
      </c>
      <c r="L136" s="11">
        <v>2343373.52</v>
      </c>
      <c r="M136" s="11">
        <v>2398103.94</v>
      </c>
      <c r="N136" s="11">
        <f t="shared" si="26"/>
        <v>2206466.11</v>
      </c>
      <c r="O136" s="11">
        <v>716796</v>
      </c>
      <c r="P136" s="11">
        <v>-2976.65</v>
      </c>
      <c r="Q136" s="11">
        <f t="shared" si="24"/>
        <v>49590.39</v>
      </c>
      <c r="R136" s="11">
        <f t="shared" si="25"/>
        <v>37527.07</v>
      </c>
      <c r="S136" s="11">
        <f t="shared" si="27"/>
        <v>51631.306973999999</v>
      </c>
      <c r="T136" s="10">
        <f t="shared" si="28"/>
        <v>5017.5720000000001</v>
      </c>
      <c r="U136" s="10">
        <f t="shared" si="29"/>
        <v>-2976.65</v>
      </c>
      <c r="V136" s="27">
        <f t="shared" si="30"/>
        <v>12063.321250000001</v>
      </c>
      <c r="W136" s="48">
        <f t="shared" si="31"/>
        <v>37527.063724</v>
      </c>
      <c r="X136" s="27"/>
      <c r="Y136" s="49"/>
      <c r="Z136" s="11"/>
      <c r="AA136" s="11"/>
      <c r="AB136" s="11"/>
      <c r="AC136" s="33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8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</row>
    <row r="137" spans="1:79" x14ac:dyDescent="0.25">
      <c r="A137" s="27">
        <v>391</v>
      </c>
      <c r="B137" s="27">
        <v>1</v>
      </c>
      <c r="C137" s="18" t="s">
        <v>102</v>
      </c>
      <c r="D137" s="11">
        <v>1254661.25</v>
      </c>
      <c r="E137" s="16">
        <v>1487513</v>
      </c>
      <c r="F137" s="11">
        <v>1477678.38</v>
      </c>
      <c r="G137" s="11">
        <v>1451129.01</v>
      </c>
      <c r="H137" s="11">
        <v>1478043.45</v>
      </c>
      <c r="I137" s="11">
        <v>1545400.91</v>
      </c>
      <c r="J137" s="11">
        <v>1714480.14</v>
      </c>
      <c r="K137" s="11">
        <v>1627362.39</v>
      </c>
      <c r="L137" s="11">
        <v>1665023.59</v>
      </c>
      <c r="M137" s="11">
        <v>1677520.62</v>
      </c>
      <c r="N137" s="11">
        <f t="shared" si="26"/>
        <v>1254661.25</v>
      </c>
      <c r="O137" s="11">
        <v>363357</v>
      </c>
      <c r="P137" s="11">
        <v>-1643.88</v>
      </c>
      <c r="Q137" s="11">
        <f t="shared" si="24"/>
        <v>28459.45</v>
      </c>
      <c r="R137" s="11">
        <f t="shared" si="25"/>
        <v>21069.23</v>
      </c>
      <c r="S137" s="11">
        <f t="shared" si="27"/>
        <v>29359.073250000001</v>
      </c>
      <c r="T137" s="10">
        <f t="shared" si="28"/>
        <v>2543.4990000000003</v>
      </c>
      <c r="U137" s="10">
        <f t="shared" si="29"/>
        <v>-1643.88</v>
      </c>
      <c r="V137" s="27">
        <f t="shared" si="30"/>
        <v>7390.2172499999997</v>
      </c>
      <c r="W137" s="48">
        <f t="shared" si="31"/>
        <v>21069.237000000001</v>
      </c>
      <c r="X137" s="27"/>
      <c r="Y137" s="49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8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</row>
    <row r="138" spans="1:79" x14ac:dyDescent="0.25">
      <c r="A138" s="27">
        <v>392</v>
      </c>
      <c r="B138" s="27">
        <v>1</v>
      </c>
      <c r="C138" s="18" t="s">
        <v>103</v>
      </c>
      <c r="D138" s="11">
        <v>2119659.98</v>
      </c>
      <c r="E138" s="16">
        <v>2146807.7599999998</v>
      </c>
      <c r="F138" s="11">
        <v>2121439.25</v>
      </c>
      <c r="G138" s="11">
        <v>2191652.9900000002</v>
      </c>
      <c r="H138" s="11">
        <v>2298969.41</v>
      </c>
      <c r="I138" s="33">
        <v>2342913.94</v>
      </c>
      <c r="J138" s="11">
        <v>2497407.42</v>
      </c>
      <c r="K138" s="11">
        <v>2605076.9900000002</v>
      </c>
      <c r="L138" s="11">
        <v>2558961.89</v>
      </c>
      <c r="M138" s="11">
        <v>2301580.31</v>
      </c>
      <c r="N138" s="11">
        <f t="shared" si="26"/>
        <v>2119659.98</v>
      </c>
      <c r="O138" s="11">
        <v>551838</v>
      </c>
      <c r="P138" s="11">
        <v>-2219.48</v>
      </c>
      <c r="Q138" s="11">
        <f t="shared" si="24"/>
        <v>47956.65</v>
      </c>
      <c r="R138" s="11">
        <f t="shared" si="25"/>
        <v>36461.800000000003</v>
      </c>
      <c r="S138" s="11">
        <f t="shared" si="27"/>
        <v>49600.043532000003</v>
      </c>
      <c r="T138" s="10">
        <f t="shared" si="28"/>
        <v>3862.866</v>
      </c>
      <c r="U138" s="10">
        <f t="shared" si="29"/>
        <v>-2219.48</v>
      </c>
      <c r="V138" s="27">
        <f t="shared" si="30"/>
        <v>11494.84705</v>
      </c>
      <c r="W138" s="48">
        <f t="shared" si="31"/>
        <v>36461.810482000001</v>
      </c>
      <c r="X138" s="27"/>
      <c r="Y138" s="49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8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</row>
    <row r="139" spans="1:79" x14ac:dyDescent="0.25">
      <c r="A139" s="27">
        <v>394</v>
      </c>
      <c r="B139" s="27">
        <v>1</v>
      </c>
      <c r="C139" s="18" t="s">
        <v>355</v>
      </c>
      <c r="D139" s="11">
        <v>2739666.63</v>
      </c>
      <c r="E139" s="16">
        <v>3663965.23</v>
      </c>
      <c r="F139" s="11">
        <v>3616476.1</v>
      </c>
      <c r="G139" s="11">
        <v>3608804.41</v>
      </c>
      <c r="H139" s="11">
        <v>3953050.14</v>
      </c>
      <c r="I139" s="11">
        <v>4169378.98</v>
      </c>
      <c r="J139" s="11">
        <v>4050406.73</v>
      </c>
      <c r="K139" s="11">
        <v>4051767.94</v>
      </c>
      <c r="L139" s="11">
        <v>4064417.86</v>
      </c>
      <c r="M139" s="11">
        <v>4117174.92</v>
      </c>
      <c r="N139" s="11">
        <f t="shared" si="26"/>
        <v>2739666.63</v>
      </c>
      <c r="O139" s="11">
        <v>595480</v>
      </c>
      <c r="P139" s="11">
        <v>-3609.65</v>
      </c>
      <c r="Q139" s="11">
        <f t="shared" si="24"/>
        <v>63549.49</v>
      </c>
      <c r="R139" s="11">
        <f t="shared" si="25"/>
        <v>43784.24</v>
      </c>
      <c r="S139" s="11">
        <f t="shared" si="27"/>
        <v>64108.199141999998</v>
      </c>
      <c r="T139" s="10">
        <f t="shared" si="28"/>
        <v>4168.3599999999997</v>
      </c>
      <c r="U139" s="10">
        <f t="shared" si="29"/>
        <v>-3609.65</v>
      </c>
      <c r="V139" s="27">
        <f t="shared" si="30"/>
        <v>19765.250700000001</v>
      </c>
      <c r="W139" s="48">
        <f t="shared" si="31"/>
        <v>43784.238442000002</v>
      </c>
      <c r="X139" s="27"/>
      <c r="Y139" s="49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8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</row>
    <row r="140" spans="1:79" x14ac:dyDescent="0.25">
      <c r="A140" s="27">
        <v>402</v>
      </c>
      <c r="B140" s="27">
        <v>1</v>
      </c>
      <c r="C140" s="18" t="s">
        <v>104</v>
      </c>
      <c r="D140" s="11">
        <v>572317.39</v>
      </c>
      <c r="E140" s="16">
        <v>614991.43000000005</v>
      </c>
      <c r="F140" s="11">
        <v>579901.05000000005</v>
      </c>
      <c r="G140" s="11">
        <v>589948.34</v>
      </c>
      <c r="H140" s="11">
        <v>482265.9</v>
      </c>
      <c r="I140" s="11">
        <v>479929.23</v>
      </c>
      <c r="J140" s="11">
        <v>469159.87</v>
      </c>
      <c r="K140" s="11">
        <v>515918.02</v>
      </c>
      <c r="L140" s="11">
        <v>553003.82999999996</v>
      </c>
      <c r="M140" s="11">
        <v>642170.84</v>
      </c>
      <c r="N140" s="11">
        <f t="shared" si="26"/>
        <v>469159.87</v>
      </c>
      <c r="O140" s="11">
        <v>224089</v>
      </c>
      <c r="P140" s="11">
        <v>-968.34</v>
      </c>
      <c r="Q140" s="11">
        <f t="shared" si="24"/>
        <v>10378.060000000001</v>
      </c>
      <c r="R140" s="11">
        <f t="shared" si="25"/>
        <v>7966.73</v>
      </c>
      <c r="S140" s="11">
        <f t="shared" si="27"/>
        <v>10978.340958000001</v>
      </c>
      <c r="T140" s="10">
        <f t="shared" si="28"/>
        <v>1568.623</v>
      </c>
      <c r="U140" s="10">
        <f t="shared" si="29"/>
        <v>-968.34</v>
      </c>
      <c r="V140" s="27">
        <f t="shared" si="30"/>
        <v>2411.3295000000003</v>
      </c>
      <c r="W140" s="48">
        <f t="shared" si="31"/>
        <v>7966.7284580000014</v>
      </c>
      <c r="X140" s="27"/>
      <c r="Y140" s="49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8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</row>
    <row r="141" spans="1:79" x14ac:dyDescent="0.25">
      <c r="A141" s="27">
        <v>403</v>
      </c>
      <c r="B141" s="27">
        <v>1</v>
      </c>
      <c r="C141" s="18" t="s">
        <v>105</v>
      </c>
      <c r="D141" s="11">
        <v>813535.07</v>
      </c>
      <c r="E141" s="16">
        <v>920903.32</v>
      </c>
      <c r="F141" s="11">
        <v>949938.62</v>
      </c>
      <c r="G141" s="11">
        <v>904121.07</v>
      </c>
      <c r="H141" s="11">
        <v>887322.54</v>
      </c>
      <c r="I141" s="11">
        <v>810548.34</v>
      </c>
      <c r="J141" s="11">
        <v>833050.73</v>
      </c>
      <c r="K141" s="11">
        <v>826775.8</v>
      </c>
      <c r="L141" s="11">
        <v>654334.29</v>
      </c>
      <c r="M141" s="11">
        <v>883638.51</v>
      </c>
      <c r="N141" s="11">
        <f t="shared" si="26"/>
        <v>654334.29</v>
      </c>
      <c r="O141" s="11">
        <v>187137</v>
      </c>
      <c r="P141" s="11">
        <v>-443.3</v>
      </c>
      <c r="Q141" s="11">
        <f t="shared" si="24"/>
        <v>14444.759999999998</v>
      </c>
      <c r="R141" s="11">
        <f t="shared" si="25"/>
        <v>10008.15</v>
      </c>
      <c r="S141" s="11">
        <f t="shared" si="27"/>
        <v>15311.422386000002</v>
      </c>
      <c r="T141" s="10">
        <f t="shared" si="28"/>
        <v>1309.9590000000001</v>
      </c>
      <c r="U141" s="10">
        <f t="shared" si="29"/>
        <v>-443.3</v>
      </c>
      <c r="V141" s="27">
        <f t="shared" si="30"/>
        <v>4436.6127000000006</v>
      </c>
      <c r="W141" s="48">
        <f t="shared" si="31"/>
        <v>10008.150686000001</v>
      </c>
      <c r="X141" s="27"/>
      <c r="Y141" s="49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8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</row>
    <row r="142" spans="1:79" x14ac:dyDescent="0.25">
      <c r="A142" s="27">
        <v>404</v>
      </c>
      <c r="B142" s="27">
        <v>1</v>
      </c>
      <c r="C142" s="18" t="s">
        <v>106</v>
      </c>
      <c r="D142" s="11">
        <v>816057.04</v>
      </c>
      <c r="E142" s="16">
        <v>709110.87</v>
      </c>
      <c r="F142" s="11">
        <v>706180.28</v>
      </c>
      <c r="G142" s="11">
        <v>1052429.03</v>
      </c>
      <c r="H142" s="11">
        <v>788515.83999999997</v>
      </c>
      <c r="I142" s="11">
        <v>682913.97</v>
      </c>
      <c r="J142" s="11">
        <v>563489.85</v>
      </c>
      <c r="K142" s="11">
        <v>523045.88</v>
      </c>
      <c r="L142" s="11">
        <v>545252.81999999995</v>
      </c>
      <c r="M142" s="11">
        <v>594470.30000000005</v>
      </c>
      <c r="N142" s="11">
        <f t="shared" si="26"/>
        <v>523045.88</v>
      </c>
      <c r="O142" s="11">
        <v>154184</v>
      </c>
      <c r="P142" s="11">
        <v>-747</v>
      </c>
      <c r="Q142" s="11">
        <f t="shared" si="24"/>
        <v>11906.98</v>
      </c>
      <c r="R142" s="11">
        <f t="shared" si="25"/>
        <v>7964.4</v>
      </c>
      <c r="S142" s="11">
        <f t="shared" si="27"/>
        <v>12239.273592</v>
      </c>
      <c r="T142" s="10">
        <f t="shared" si="28"/>
        <v>1079.288</v>
      </c>
      <c r="U142" s="10">
        <f t="shared" si="29"/>
        <v>-747</v>
      </c>
      <c r="V142" s="27">
        <f t="shared" si="30"/>
        <v>3942.5792000000001</v>
      </c>
      <c r="W142" s="48">
        <f t="shared" si="31"/>
        <v>7964.406391999999</v>
      </c>
      <c r="X142" s="27"/>
      <c r="Y142" s="49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8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</row>
    <row r="143" spans="1:79" x14ac:dyDescent="0.25">
      <c r="A143" s="27">
        <v>413</v>
      </c>
      <c r="B143" s="27">
        <v>1</v>
      </c>
      <c r="C143" s="18" t="s">
        <v>109</v>
      </c>
      <c r="D143" s="11">
        <v>6154094.0599999996</v>
      </c>
      <c r="E143" s="16">
        <v>8532608.7300000004</v>
      </c>
      <c r="F143" s="11">
        <v>8659212.7400000002</v>
      </c>
      <c r="G143" s="11">
        <v>8842919.8900000006</v>
      </c>
      <c r="H143" s="11">
        <v>9137426.6400000006</v>
      </c>
      <c r="I143" s="11">
        <v>9528352.9299999997</v>
      </c>
      <c r="J143" s="11">
        <v>10307030.98</v>
      </c>
      <c r="K143" s="11">
        <v>10395933.49</v>
      </c>
      <c r="L143" s="11">
        <v>10297109.52</v>
      </c>
      <c r="M143" s="11">
        <v>10427940.470000001</v>
      </c>
      <c r="N143" s="11">
        <f t="shared" si="26"/>
        <v>6154094.0599999996</v>
      </c>
      <c r="O143" s="11">
        <v>1695082</v>
      </c>
      <c r="P143" s="11">
        <v>-6311.74</v>
      </c>
      <c r="Q143" s="11">
        <f t="shared" si="24"/>
        <v>138451.96999999997</v>
      </c>
      <c r="R143" s="11">
        <f t="shared" si="25"/>
        <v>92764.84</v>
      </c>
      <c r="S143" s="11">
        <f t="shared" si="27"/>
        <v>144005.80100400001</v>
      </c>
      <c r="T143" s="10">
        <f t="shared" si="28"/>
        <v>11865.574000000001</v>
      </c>
      <c r="U143" s="10">
        <f t="shared" si="29"/>
        <v>-6311.74</v>
      </c>
      <c r="V143" s="27">
        <f t="shared" si="30"/>
        <v>45687.133200000004</v>
      </c>
      <c r="W143" s="48">
        <f t="shared" si="31"/>
        <v>92764.833803999994</v>
      </c>
      <c r="X143" s="27"/>
      <c r="Y143" s="49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8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</row>
    <row r="144" spans="1:79" x14ac:dyDescent="0.25">
      <c r="A144" s="27">
        <v>414</v>
      </c>
      <c r="B144" s="27">
        <v>1</v>
      </c>
      <c r="C144" s="18" t="s">
        <v>110</v>
      </c>
      <c r="D144" s="11">
        <v>1425287.83</v>
      </c>
      <c r="E144" s="16">
        <v>1703242.03</v>
      </c>
      <c r="F144" s="11">
        <v>1933052.71</v>
      </c>
      <c r="G144" s="11">
        <v>1906876.03</v>
      </c>
      <c r="H144" s="11">
        <v>1916933.85</v>
      </c>
      <c r="I144" s="11">
        <v>1988655.67</v>
      </c>
      <c r="J144" s="11">
        <v>2022426.66</v>
      </c>
      <c r="K144" s="11">
        <v>2156537.9</v>
      </c>
      <c r="L144" s="11">
        <v>2026469.28</v>
      </c>
      <c r="M144" s="11">
        <v>2319518.1</v>
      </c>
      <c r="N144" s="11">
        <f t="shared" si="26"/>
        <v>1425287.83</v>
      </c>
      <c r="O144" s="11">
        <v>398015</v>
      </c>
      <c r="P144" s="11">
        <v>-1611.02</v>
      </c>
      <c r="Q144" s="11">
        <f t="shared" si="24"/>
        <v>32176.649999999998</v>
      </c>
      <c r="R144" s="11">
        <f t="shared" si="25"/>
        <v>22591.98</v>
      </c>
      <c r="S144" s="11">
        <f t="shared" si="27"/>
        <v>33351.735222000003</v>
      </c>
      <c r="T144" s="10">
        <f t="shared" si="28"/>
        <v>2786.105</v>
      </c>
      <c r="U144" s="10">
        <f t="shared" si="29"/>
        <v>-1611.02</v>
      </c>
      <c r="V144" s="27">
        <f t="shared" si="30"/>
        <v>9584.6692500000008</v>
      </c>
      <c r="W144" s="48">
        <f t="shared" si="31"/>
        <v>22591.980972000005</v>
      </c>
      <c r="X144" s="27"/>
      <c r="Y144" s="49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8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</row>
    <row r="145" spans="1:79" x14ac:dyDescent="0.25">
      <c r="A145" s="27">
        <v>415</v>
      </c>
      <c r="B145" s="27">
        <v>1</v>
      </c>
      <c r="C145" s="18" t="s">
        <v>111</v>
      </c>
      <c r="D145" s="11">
        <v>271886.59000000003</v>
      </c>
      <c r="E145" s="16">
        <v>472045.28</v>
      </c>
      <c r="F145" s="11">
        <v>415881.66</v>
      </c>
      <c r="G145" s="11">
        <v>594342.59</v>
      </c>
      <c r="H145" s="11">
        <v>691170.22</v>
      </c>
      <c r="I145" s="11">
        <v>650486.80000000005</v>
      </c>
      <c r="J145" s="11">
        <v>665372.12</v>
      </c>
      <c r="K145" s="11">
        <v>730051.87</v>
      </c>
      <c r="L145" s="11">
        <v>808912.74</v>
      </c>
      <c r="M145" s="11">
        <v>818343.18</v>
      </c>
      <c r="N145" s="11">
        <f t="shared" si="26"/>
        <v>271886.59000000003</v>
      </c>
      <c r="O145" s="11">
        <v>100482</v>
      </c>
      <c r="P145" s="11">
        <v>-475.89</v>
      </c>
      <c r="Q145" s="11">
        <f t="shared" si="24"/>
        <v>6134.67</v>
      </c>
      <c r="R145" s="11">
        <f t="shared" si="25"/>
        <v>2678.82</v>
      </c>
      <c r="S145" s="11">
        <f t="shared" si="27"/>
        <v>6362.1462060000003</v>
      </c>
      <c r="T145" s="10">
        <f t="shared" si="28"/>
        <v>703.37400000000002</v>
      </c>
      <c r="U145" s="10">
        <f t="shared" si="29"/>
        <v>-475.89</v>
      </c>
      <c r="V145" s="27">
        <f t="shared" si="30"/>
        <v>3455.8510999999999</v>
      </c>
      <c r="W145" s="48">
        <f t="shared" si="31"/>
        <v>2678.811106000001</v>
      </c>
      <c r="X145" s="27"/>
      <c r="Y145" s="49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8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</row>
    <row r="146" spans="1:79" x14ac:dyDescent="0.25">
      <c r="A146" s="27">
        <v>423</v>
      </c>
      <c r="B146" s="27">
        <v>1</v>
      </c>
      <c r="C146" s="18" t="s">
        <v>114</v>
      </c>
      <c r="D146" s="11">
        <v>7356461.1600000001</v>
      </c>
      <c r="E146" s="16">
        <v>10233847.25</v>
      </c>
      <c r="F146" s="11">
        <v>10199562.939999999</v>
      </c>
      <c r="G146" s="11">
        <v>10484378.65</v>
      </c>
      <c r="H146" s="11">
        <v>10545387.609999999</v>
      </c>
      <c r="I146" s="11">
        <v>10488805.25</v>
      </c>
      <c r="J146" s="11">
        <v>11043611.529999999</v>
      </c>
      <c r="K146" s="11">
        <v>11436924.33</v>
      </c>
      <c r="L146" s="11">
        <v>11807430.560000001</v>
      </c>
      <c r="M146" s="11">
        <v>11861164.27</v>
      </c>
      <c r="N146" s="11">
        <f t="shared" si="26"/>
        <v>7356461.1600000001</v>
      </c>
      <c r="O146" s="11">
        <v>1975840</v>
      </c>
      <c r="P146" s="11">
        <v>-7608.47</v>
      </c>
      <c r="Q146" s="11">
        <f t="shared" ref="Q146:Q209" si="32">ROUND(0.0234*N146,2)-ROUND(0.007*O146,2)-P146</f>
        <v>165918.78</v>
      </c>
      <c r="R146" s="11">
        <f t="shared" ref="R146:R209" si="33">ROUND(Q146-0.005*H146,2)</f>
        <v>113191.84</v>
      </c>
      <c r="S146" s="11">
        <f t="shared" si="27"/>
        <v>172141.19114400001</v>
      </c>
      <c r="T146" s="10">
        <f t="shared" si="28"/>
        <v>13830.880000000001</v>
      </c>
      <c r="U146" s="10">
        <f t="shared" si="29"/>
        <v>-7608.47</v>
      </c>
      <c r="V146" s="27">
        <f t="shared" si="30"/>
        <v>52726.938049999997</v>
      </c>
      <c r="W146" s="48">
        <f t="shared" si="31"/>
        <v>113191.84309400001</v>
      </c>
      <c r="X146" s="27"/>
      <c r="Y146" s="49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8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</row>
    <row r="147" spans="1:79" x14ac:dyDescent="0.25">
      <c r="A147" s="27">
        <v>424</v>
      </c>
      <c r="B147" s="27">
        <v>1</v>
      </c>
      <c r="C147" s="18" t="s">
        <v>115</v>
      </c>
      <c r="D147" s="11">
        <v>1184127.17</v>
      </c>
      <c r="E147" s="16">
        <v>1714007.35</v>
      </c>
      <c r="F147" s="11">
        <v>1764269.51</v>
      </c>
      <c r="G147" s="11">
        <v>1646335.51</v>
      </c>
      <c r="H147" s="11">
        <v>1657158.84</v>
      </c>
      <c r="I147" s="11">
        <v>1656606.94</v>
      </c>
      <c r="J147" s="11">
        <v>1754263</v>
      </c>
      <c r="K147" s="11">
        <v>1584536.73</v>
      </c>
      <c r="L147" s="11">
        <v>1460233.71</v>
      </c>
      <c r="M147" s="11">
        <v>1573406.12</v>
      </c>
      <c r="N147" s="11">
        <f t="shared" ref="N147:N210" si="34">MIN(D147:M147)</f>
        <v>1184127.17</v>
      </c>
      <c r="O147" s="11">
        <v>294137</v>
      </c>
      <c r="P147" s="11">
        <v>-547.42999999999995</v>
      </c>
      <c r="Q147" s="11">
        <f t="shared" si="32"/>
        <v>26197.050000000003</v>
      </c>
      <c r="R147" s="11">
        <f t="shared" si="33"/>
        <v>17911.259999999998</v>
      </c>
      <c r="S147" s="11">
        <f t="shared" ref="S147:S210" si="35">0.0234*N147</f>
        <v>27708.575777999999</v>
      </c>
      <c r="T147" s="10">
        <f t="shared" ref="T147:T210" si="36">0.007*O147</f>
        <v>2058.9589999999998</v>
      </c>
      <c r="U147" s="10">
        <f t="shared" ref="U147:U210" si="37">P147</f>
        <v>-547.42999999999995</v>
      </c>
      <c r="V147" s="27">
        <f t="shared" ref="V147:V210" si="38">0.005*H147</f>
        <v>8285.7942000000003</v>
      </c>
      <c r="W147" s="48">
        <f t="shared" ref="W147:W210" si="39">S147-T147-U147-V147</f>
        <v>17911.252578</v>
      </c>
      <c r="X147" s="27"/>
      <c r="Y147" s="49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8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</row>
    <row r="148" spans="1:79" x14ac:dyDescent="0.25">
      <c r="A148" s="27">
        <v>432</v>
      </c>
      <c r="B148" s="27">
        <v>1</v>
      </c>
      <c r="C148" s="18" t="s">
        <v>116</v>
      </c>
      <c r="D148" s="11">
        <v>2838284.75</v>
      </c>
      <c r="E148" s="16">
        <v>3440188.17</v>
      </c>
      <c r="F148" s="11">
        <v>3625614.4</v>
      </c>
      <c r="G148" s="11">
        <v>3391001</v>
      </c>
      <c r="H148" s="11">
        <v>3152213.52</v>
      </c>
      <c r="I148" s="11">
        <v>3511752.49</v>
      </c>
      <c r="J148" s="11">
        <v>3453945.3</v>
      </c>
      <c r="K148" s="11">
        <v>3397180.43</v>
      </c>
      <c r="L148" s="11">
        <v>3090163.15</v>
      </c>
      <c r="M148" s="11">
        <v>3116860.9</v>
      </c>
      <c r="N148" s="11">
        <f t="shared" si="34"/>
        <v>2838284.75</v>
      </c>
      <c r="O148" s="11">
        <v>707746</v>
      </c>
      <c r="P148" s="11">
        <v>-2696.29</v>
      </c>
      <c r="Q148" s="11">
        <f t="shared" si="32"/>
        <v>64157.93</v>
      </c>
      <c r="R148" s="11">
        <f t="shared" si="33"/>
        <v>48396.86</v>
      </c>
      <c r="S148" s="11">
        <f t="shared" si="35"/>
        <v>66415.863150000005</v>
      </c>
      <c r="T148" s="10">
        <f t="shared" si="36"/>
        <v>4954.2219999999998</v>
      </c>
      <c r="U148" s="10">
        <f t="shared" si="37"/>
        <v>-2696.29</v>
      </c>
      <c r="V148" s="27">
        <f t="shared" si="38"/>
        <v>15761.0676</v>
      </c>
      <c r="W148" s="48">
        <f t="shared" si="39"/>
        <v>48396.863550000002</v>
      </c>
      <c r="X148" s="27"/>
      <c r="Y148" s="49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8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</row>
    <row r="149" spans="1:79" x14ac:dyDescent="0.25">
      <c r="A149" s="27">
        <v>435</v>
      </c>
      <c r="B149" s="27">
        <v>1</v>
      </c>
      <c r="C149" s="18" t="s">
        <v>117</v>
      </c>
      <c r="D149" s="11">
        <v>1864105.44</v>
      </c>
      <c r="E149" s="16">
        <v>2731682.08</v>
      </c>
      <c r="F149" s="11">
        <v>2682618.02</v>
      </c>
      <c r="G149" s="11">
        <v>2640937.0299999998</v>
      </c>
      <c r="H149" s="11">
        <v>2814113.81</v>
      </c>
      <c r="I149" s="11">
        <v>2806416.53</v>
      </c>
      <c r="J149" s="11">
        <v>2797407.12</v>
      </c>
      <c r="K149" s="11">
        <v>2784187.7</v>
      </c>
      <c r="L149" s="11">
        <v>3036364.3</v>
      </c>
      <c r="M149" s="11">
        <v>3190845.07</v>
      </c>
      <c r="N149" s="11">
        <f t="shared" si="34"/>
        <v>1864105.44</v>
      </c>
      <c r="O149" s="11">
        <v>449762</v>
      </c>
      <c r="P149" s="11">
        <v>-2461.5</v>
      </c>
      <c r="Q149" s="11">
        <f t="shared" si="32"/>
        <v>42933.24</v>
      </c>
      <c r="R149" s="11">
        <f t="shared" si="33"/>
        <v>28862.67</v>
      </c>
      <c r="S149" s="11">
        <f t="shared" si="35"/>
        <v>43620.067296000001</v>
      </c>
      <c r="T149" s="10">
        <f t="shared" si="36"/>
        <v>3148.3340000000003</v>
      </c>
      <c r="U149" s="10">
        <f t="shared" si="37"/>
        <v>-2461.5</v>
      </c>
      <c r="V149" s="27">
        <f t="shared" si="38"/>
        <v>14070.56905</v>
      </c>
      <c r="W149" s="48">
        <f t="shared" si="39"/>
        <v>28862.664246</v>
      </c>
      <c r="X149" s="27"/>
      <c r="Y149" s="49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8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</row>
    <row r="150" spans="1:79" x14ac:dyDescent="0.25">
      <c r="A150" s="27">
        <v>441</v>
      </c>
      <c r="B150" s="27">
        <v>1</v>
      </c>
      <c r="C150" s="18" t="s">
        <v>356</v>
      </c>
      <c r="D150" s="11">
        <v>1251319.8600000001</v>
      </c>
      <c r="E150" s="16">
        <v>1677961.07</v>
      </c>
      <c r="F150" s="11">
        <v>1652494.31</v>
      </c>
      <c r="G150" s="11">
        <v>1736632.03</v>
      </c>
      <c r="H150" s="11">
        <v>1680492.82</v>
      </c>
      <c r="I150" s="11">
        <v>1637149.11</v>
      </c>
      <c r="J150" s="11">
        <v>1848231.27</v>
      </c>
      <c r="K150" s="11">
        <v>1936552.68</v>
      </c>
      <c r="L150" s="11">
        <v>1843912.92</v>
      </c>
      <c r="M150" s="11">
        <v>1885249.5</v>
      </c>
      <c r="N150" s="11">
        <f t="shared" si="34"/>
        <v>1251319.8600000001</v>
      </c>
      <c r="O150" s="11">
        <v>299929</v>
      </c>
      <c r="P150" s="11">
        <v>-2003.92</v>
      </c>
      <c r="Q150" s="11">
        <f t="shared" si="32"/>
        <v>29185.300000000003</v>
      </c>
      <c r="R150" s="11">
        <f t="shared" si="33"/>
        <v>20782.84</v>
      </c>
      <c r="S150" s="11">
        <f t="shared" si="35"/>
        <v>29280.884724000003</v>
      </c>
      <c r="T150" s="10">
        <f t="shared" si="36"/>
        <v>2099.5030000000002</v>
      </c>
      <c r="U150" s="10">
        <f t="shared" si="37"/>
        <v>-2003.92</v>
      </c>
      <c r="V150" s="27">
        <f t="shared" si="38"/>
        <v>8402.4641000000011</v>
      </c>
      <c r="W150" s="48">
        <f t="shared" si="39"/>
        <v>20782.837624000003</v>
      </c>
      <c r="X150" s="27"/>
      <c r="Y150" s="49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8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</row>
    <row r="151" spans="1:79" x14ac:dyDescent="0.25">
      <c r="A151" s="27">
        <v>447</v>
      </c>
      <c r="B151" s="27">
        <v>1</v>
      </c>
      <c r="C151" s="18" t="s">
        <v>118</v>
      </c>
      <c r="D151" s="11">
        <v>860230.8</v>
      </c>
      <c r="E151" s="16">
        <v>1104052.46</v>
      </c>
      <c r="F151" s="11">
        <v>1147248.82</v>
      </c>
      <c r="G151" s="11">
        <v>1162231.55</v>
      </c>
      <c r="H151" s="11">
        <v>1239751.77</v>
      </c>
      <c r="I151" s="11">
        <v>1272736</v>
      </c>
      <c r="J151" s="11">
        <v>1197067.52</v>
      </c>
      <c r="K151" s="11">
        <v>1179030.44</v>
      </c>
      <c r="L151" s="11">
        <v>1213437.1299999999</v>
      </c>
      <c r="M151" s="11">
        <v>1161553.6200000001</v>
      </c>
      <c r="N151" s="11">
        <f t="shared" si="34"/>
        <v>860230.8</v>
      </c>
      <c r="O151" s="11">
        <v>204208</v>
      </c>
      <c r="P151" s="11">
        <v>-2237.61</v>
      </c>
      <c r="Q151" s="11">
        <f t="shared" si="32"/>
        <v>20937.550000000003</v>
      </c>
      <c r="R151" s="11">
        <f t="shared" si="33"/>
        <v>14738.79</v>
      </c>
      <c r="S151" s="11">
        <f t="shared" si="35"/>
        <v>20129.400720000001</v>
      </c>
      <c r="T151" s="10">
        <f t="shared" si="36"/>
        <v>1429.4560000000001</v>
      </c>
      <c r="U151" s="10">
        <f t="shared" si="37"/>
        <v>-2237.61</v>
      </c>
      <c r="V151" s="27">
        <f t="shared" si="38"/>
        <v>6198.7588500000002</v>
      </c>
      <c r="W151" s="48">
        <f t="shared" si="39"/>
        <v>14738.79587</v>
      </c>
      <c r="X151" s="27"/>
      <c r="Y151" s="49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8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</row>
    <row r="152" spans="1:79" x14ac:dyDescent="0.25">
      <c r="A152" s="27">
        <v>458</v>
      </c>
      <c r="B152" s="27">
        <v>1</v>
      </c>
      <c r="C152" s="18" t="s">
        <v>119</v>
      </c>
      <c r="D152" s="11">
        <v>1354002.44</v>
      </c>
      <c r="E152" s="16">
        <v>1380581.07</v>
      </c>
      <c r="F152" s="11">
        <v>1455414.72</v>
      </c>
      <c r="G152" s="11">
        <v>1400400.85</v>
      </c>
      <c r="H152" s="11">
        <v>1508052.95</v>
      </c>
      <c r="I152" s="11">
        <v>1356520.32</v>
      </c>
      <c r="J152" s="11">
        <v>1410923.17</v>
      </c>
      <c r="K152" s="11">
        <v>1365632.66</v>
      </c>
      <c r="L152" s="11">
        <v>1300937.42</v>
      </c>
      <c r="M152" s="11">
        <v>1144037.75</v>
      </c>
      <c r="N152" s="11">
        <f t="shared" si="34"/>
        <v>1144037.75</v>
      </c>
      <c r="O152" s="11">
        <v>349340</v>
      </c>
      <c r="P152" s="11">
        <v>-932.62</v>
      </c>
      <c r="Q152" s="11">
        <f t="shared" si="32"/>
        <v>25257.719999999998</v>
      </c>
      <c r="R152" s="11">
        <f t="shared" si="33"/>
        <v>17717.46</v>
      </c>
      <c r="S152" s="11">
        <f t="shared" si="35"/>
        <v>26770.483350000002</v>
      </c>
      <c r="T152" s="10">
        <f t="shared" si="36"/>
        <v>2445.38</v>
      </c>
      <c r="U152" s="10">
        <f t="shared" si="37"/>
        <v>-932.62</v>
      </c>
      <c r="V152" s="27">
        <f t="shared" si="38"/>
        <v>7540.2647500000003</v>
      </c>
      <c r="W152" s="48">
        <f t="shared" si="39"/>
        <v>17717.458599999998</v>
      </c>
      <c r="X152" s="27"/>
      <c r="Y152" s="49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8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</row>
    <row r="153" spans="1:79" x14ac:dyDescent="0.25">
      <c r="A153" s="27">
        <v>463</v>
      </c>
      <c r="B153" s="27">
        <v>1</v>
      </c>
      <c r="C153" s="18" t="s">
        <v>357</v>
      </c>
      <c r="D153" s="11">
        <v>2281969.0499999998</v>
      </c>
      <c r="E153" s="16">
        <v>3182944.16</v>
      </c>
      <c r="F153" s="11">
        <v>3242785.1</v>
      </c>
      <c r="G153" s="11">
        <v>3374242.66</v>
      </c>
      <c r="H153" s="11">
        <v>3498950.9</v>
      </c>
      <c r="I153" s="11">
        <v>3452127.36</v>
      </c>
      <c r="J153" s="11">
        <v>3597535.34</v>
      </c>
      <c r="K153" s="11">
        <v>3699778.27</v>
      </c>
      <c r="L153" s="11">
        <v>3697942.61</v>
      </c>
      <c r="M153" s="11">
        <v>3871302.49</v>
      </c>
      <c r="N153" s="11">
        <f t="shared" si="34"/>
        <v>2281969.0499999998</v>
      </c>
      <c r="O153" s="11">
        <v>504184</v>
      </c>
      <c r="P153" s="11">
        <v>-2421.9299999999998</v>
      </c>
      <c r="Q153" s="11">
        <f t="shared" si="32"/>
        <v>52290.720000000001</v>
      </c>
      <c r="R153" s="11">
        <f t="shared" si="33"/>
        <v>34795.97</v>
      </c>
      <c r="S153" s="11">
        <f t="shared" si="35"/>
        <v>53398.075769999996</v>
      </c>
      <c r="T153" s="10">
        <f t="shared" si="36"/>
        <v>3529.288</v>
      </c>
      <c r="U153" s="10">
        <f t="shared" si="37"/>
        <v>-2421.9299999999998</v>
      </c>
      <c r="V153" s="27">
        <f t="shared" si="38"/>
        <v>17494.754499999999</v>
      </c>
      <c r="W153" s="48">
        <f t="shared" si="39"/>
        <v>34795.963269999993</v>
      </c>
      <c r="X153" s="27"/>
      <c r="Y153" s="49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8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</row>
    <row r="154" spans="1:79" x14ac:dyDescent="0.25">
      <c r="A154" s="27">
        <v>465</v>
      </c>
      <c r="B154" s="27">
        <v>1</v>
      </c>
      <c r="C154" s="18" t="s">
        <v>120</v>
      </c>
      <c r="D154" s="11">
        <v>5318963.16</v>
      </c>
      <c r="E154" s="16">
        <v>5853677.3700000001</v>
      </c>
      <c r="F154" s="11">
        <v>6947165.3099999996</v>
      </c>
      <c r="G154" s="11">
        <v>7019138.0099999998</v>
      </c>
      <c r="H154" s="11">
        <v>6858696.4900000002</v>
      </c>
      <c r="I154" s="11">
        <v>7019318.8200000003</v>
      </c>
      <c r="J154" s="11">
        <v>7146525.5700000003</v>
      </c>
      <c r="K154" s="11">
        <v>6946364.0099999998</v>
      </c>
      <c r="L154" s="11">
        <v>6924602.2000000002</v>
      </c>
      <c r="M154" s="11">
        <v>7025671.79</v>
      </c>
      <c r="N154" s="11">
        <f t="shared" si="34"/>
        <v>5318963.16</v>
      </c>
      <c r="O154" s="11">
        <v>1265390</v>
      </c>
      <c r="P154" s="11">
        <v>-7621.53</v>
      </c>
      <c r="Q154" s="11">
        <f t="shared" si="32"/>
        <v>123227.54000000001</v>
      </c>
      <c r="R154" s="11">
        <f t="shared" si="33"/>
        <v>88934.06</v>
      </c>
      <c r="S154" s="11">
        <f t="shared" si="35"/>
        <v>124463.73794400001</v>
      </c>
      <c r="T154" s="10">
        <f t="shared" si="36"/>
        <v>8857.73</v>
      </c>
      <c r="U154" s="10">
        <f t="shared" si="37"/>
        <v>-7621.53</v>
      </c>
      <c r="V154" s="27">
        <f t="shared" si="38"/>
        <v>34293.482450000003</v>
      </c>
      <c r="W154" s="48">
        <f t="shared" si="39"/>
        <v>88934.055494</v>
      </c>
      <c r="X154" s="27"/>
      <c r="Y154" s="49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8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</row>
    <row r="155" spans="1:79" x14ac:dyDescent="0.25">
      <c r="A155" s="27">
        <v>466</v>
      </c>
      <c r="B155" s="27">
        <v>1</v>
      </c>
      <c r="C155" s="18" t="s">
        <v>121</v>
      </c>
      <c r="D155" s="11">
        <v>5466403.1500000004</v>
      </c>
      <c r="E155" s="16">
        <v>7781434.6600000001</v>
      </c>
      <c r="F155" s="11">
        <v>7812621.29</v>
      </c>
      <c r="G155" s="11">
        <v>8051936.1200000001</v>
      </c>
      <c r="H155" s="11">
        <v>8040127.7400000002</v>
      </c>
      <c r="I155" s="11">
        <v>8355276.4100000001</v>
      </c>
      <c r="J155" s="11">
        <v>9143914.9399999995</v>
      </c>
      <c r="K155" s="11">
        <v>9333363.5399999991</v>
      </c>
      <c r="L155" s="11">
        <v>8908565.5600000005</v>
      </c>
      <c r="M155" s="11">
        <v>9061184.8499999996</v>
      </c>
      <c r="N155" s="11">
        <f t="shared" si="34"/>
        <v>5466403.1500000004</v>
      </c>
      <c r="O155" s="11">
        <v>1308866</v>
      </c>
      <c r="P155" s="11">
        <v>-5366.59</v>
      </c>
      <c r="Q155" s="11">
        <f t="shared" si="32"/>
        <v>124118.36</v>
      </c>
      <c r="R155" s="11">
        <f t="shared" si="33"/>
        <v>83917.72</v>
      </c>
      <c r="S155" s="11">
        <f t="shared" si="35"/>
        <v>127913.83371000001</v>
      </c>
      <c r="T155" s="10">
        <f t="shared" si="36"/>
        <v>9162.0619999999999</v>
      </c>
      <c r="U155" s="10">
        <f t="shared" si="37"/>
        <v>-5366.59</v>
      </c>
      <c r="V155" s="27">
        <f t="shared" si="38"/>
        <v>40200.638700000003</v>
      </c>
      <c r="W155" s="48">
        <f t="shared" si="39"/>
        <v>83917.723009999987</v>
      </c>
      <c r="X155" s="27"/>
      <c r="Y155" s="49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8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</row>
    <row r="156" spans="1:79" x14ac:dyDescent="0.25">
      <c r="A156" s="27">
        <v>473</v>
      </c>
      <c r="B156" s="27">
        <v>1</v>
      </c>
      <c r="C156" s="18" t="s">
        <v>122</v>
      </c>
      <c r="D156" s="11">
        <v>1356134.94</v>
      </c>
      <c r="E156" s="16">
        <v>1770497.84</v>
      </c>
      <c r="F156" s="11">
        <v>1723861.12</v>
      </c>
      <c r="G156" s="11">
        <v>1778383.12</v>
      </c>
      <c r="H156" s="11">
        <v>1756764.34</v>
      </c>
      <c r="I156" s="11">
        <v>2103153.69</v>
      </c>
      <c r="J156" s="11">
        <v>2070642.52</v>
      </c>
      <c r="K156" s="11">
        <v>2069792.64</v>
      </c>
      <c r="L156" s="11">
        <v>2138263.17</v>
      </c>
      <c r="M156" s="11">
        <v>2090343.87</v>
      </c>
      <c r="N156" s="11">
        <f t="shared" si="34"/>
        <v>1356134.94</v>
      </c>
      <c r="O156" s="11">
        <v>494464</v>
      </c>
      <c r="P156" s="11">
        <v>-2473.5100000000002</v>
      </c>
      <c r="Q156" s="11">
        <f t="shared" si="32"/>
        <v>30745.82</v>
      </c>
      <c r="R156" s="11">
        <f t="shared" si="33"/>
        <v>21962</v>
      </c>
      <c r="S156" s="11">
        <f t="shared" si="35"/>
        <v>31733.557595999999</v>
      </c>
      <c r="T156" s="10">
        <f t="shared" si="36"/>
        <v>3461.248</v>
      </c>
      <c r="U156" s="10">
        <f t="shared" si="37"/>
        <v>-2473.5100000000002</v>
      </c>
      <c r="V156" s="27">
        <f t="shared" si="38"/>
        <v>8783.8217000000004</v>
      </c>
      <c r="W156" s="48">
        <f t="shared" si="39"/>
        <v>21961.997896000001</v>
      </c>
      <c r="X156" s="27"/>
      <c r="Y156" s="49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8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</row>
    <row r="157" spans="1:79" x14ac:dyDescent="0.25">
      <c r="A157" s="27">
        <v>477</v>
      </c>
      <c r="B157" s="27">
        <v>1</v>
      </c>
      <c r="C157" s="18" t="s">
        <v>123</v>
      </c>
      <c r="D157" s="11">
        <v>7428405.29</v>
      </c>
      <c r="E157" s="16">
        <v>10485129.119999999</v>
      </c>
      <c r="F157" s="11">
        <v>10492341.1</v>
      </c>
      <c r="G157" s="11">
        <v>10588154.91</v>
      </c>
      <c r="H157" s="11">
        <v>11178967.66</v>
      </c>
      <c r="I157" s="11">
        <v>12196797.9</v>
      </c>
      <c r="J157" s="11">
        <v>12950179.189999999</v>
      </c>
      <c r="K157" s="11">
        <v>12883066.83</v>
      </c>
      <c r="L157" s="11">
        <v>12571534.539999999</v>
      </c>
      <c r="M157" s="11">
        <v>12788352.710000001</v>
      </c>
      <c r="N157" s="11">
        <f t="shared" si="34"/>
        <v>7428405.29</v>
      </c>
      <c r="O157" s="11">
        <v>1961560</v>
      </c>
      <c r="P157" s="11">
        <v>-7821.88</v>
      </c>
      <c r="Q157" s="11">
        <f t="shared" si="32"/>
        <v>167915.63999999998</v>
      </c>
      <c r="R157" s="11">
        <f t="shared" si="33"/>
        <v>112020.8</v>
      </c>
      <c r="S157" s="11">
        <f t="shared" si="35"/>
        <v>173824.68378600001</v>
      </c>
      <c r="T157" s="10">
        <f t="shared" si="36"/>
        <v>13730.92</v>
      </c>
      <c r="U157" s="10">
        <f t="shared" si="37"/>
        <v>-7821.88</v>
      </c>
      <c r="V157" s="27">
        <f t="shared" si="38"/>
        <v>55894.838300000003</v>
      </c>
      <c r="W157" s="48">
        <f t="shared" si="39"/>
        <v>112020.805486</v>
      </c>
      <c r="X157" s="27"/>
      <c r="Y157" s="49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8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</row>
    <row r="158" spans="1:79" x14ac:dyDescent="0.25">
      <c r="A158" s="27">
        <v>480</v>
      </c>
      <c r="B158" s="27">
        <v>1</v>
      </c>
      <c r="C158" s="18" t="s">
        <v>124</v>
      </c>
      <c r="D158" s="11">
        <v>2535212.23</v>
      </c>
      <c r="E158" s="16">
        <v>3346516.87</v>
      </c>
      <c r="F158" s="11">
        <v>3390224.53</v>
      </c>
      <c r="G158" s="11">
        <v>3495631.56</v>
      </c>
      <c r="H158" s="11">
        <v>3558648.09</v>
      </c>
      <c r="I158" s="11">
        <v>3444861.23</v>
      </c>
      <c r="J158" s="11">
        <v>3655978.25</v>
      </c>
      <c r="K158" s="11">
        <v>3832993.15</v>
      </c>
      <c r="L158" s="11">
        <v>3715288.32</v>
      </c>
      <c r="M158" s="11">
        <v>3846938.21</v>
      </c>
      <c r="N158" s="11">
        <f t="shared" si="34"/>
        <v>2535212.23</v>
      </c>
      <c r="O158" s="11">
        <v>946251</v>
      </c>
      <c r="P158" s="11">
        <v>-5586.03</v>
      </c>
      <c r="Q158" s="11">
        <f t="shared" si="32"/>
        <v>58286.239999999998</v>
      </c>
      <c r="R158" s="11">
        <f t="shared" si="33"/>
        <v>40493</v>
      </c>
      <c r="S158" s="11">
        <f t="shared" si="35"/>
        <v>59323.966182000004</v>
      </c>
      <c r="T158" s="10">
        <f t="shared" si="36"/>
        <v>6623.7570000000005</v>
      </c>
      <c r="U158" s="10">
        <f t="shared" si="37"/>
        <v>-5586.03</v>
      </c>
      <c r="V158" s="27">
        <f t="shared" si="38"/>
        <v>17793.240450000001</v>
      </c>
      <c r="W158" s="48">
        <f t="shared" si="39"/>
        <v>40492.998732000007</v>
      </c>
      <c r="X158" s="27"/>
      <c r="Y158" s="49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8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</row>
    <row r="159" spans="1:79" x14ac:dyDescent="0.25">
      <c r="A159" s="27">
        <v>482</v>
      </c>
      <c r="B159" s="27">
        <v>1</v>
      </c>
      <c r="C159" s="18" t="s">
        <v>125</v>
      </c>
      <c r="D159" s="11">
        <v>9806148.7799999993</v>
      </c>
      <c r="E159" s="16">
        <v>11391493.82</v>
      </c>
      <c r="F159" s="11">
        <v>8462723.9499999993</v>
      </c>
      <c r="G159" s="11">
        <v>11494482.91</v>
      </c>
      <c r="H159" s="11">
        <v>10735531.77</v>
      </c>
      <c r="I159" s="11">
        <v>9617181.5800000001</v>
      </c>
      <c r="J159" s="11">
        <v>12697151.460000001</v>
      </c>
      <c r="K159" s="11">
        <v>11509929.220000001</v>
      </c>
      <c r="L159" s="11">
        <v>11461816.970000001</v>
      </c>
      <c r="M159" s="11">
        <v>11516602.630000001</v>
      </c>
      <c r="N159" s="11">
        <f t="shared" si="34"/>
        <v>8462723.9499999993</v>
      </c>
      <c r="O159" s="11">
        <v>2661105</v>
      </c>
      <c r="P159" s="11">
        <v>-14507.62</v>
      </c>
      <c r="Q159" s="11">
        <f t="shared" si="32"/>
        <v>193907.62</v>
      </c>
      <c r="R159" s="11">
        <f t="shared" si="33"/>
        <v>140229.96</v>
      </c>
      <c r="S159" s="11">
        <f t="shared" si="35"/>
        <v>198027.74042999998</v>
      </c>
      <c r="T159" s="10">
        <f t="shared" si="36"/>
        <v>18627.735000000001</v>
      </c>
      <c r="U159" s="10">
        <f t="shared" si="37"/>
        <v>-14507.62</v>
      </c>
      <c r="V159" s="27">
        <f t="shared" si="38"/>
        <v>53677.65885</v>
      </c>
      <c r="W159" s="48">
        <f t="shared" si="39"/>
        <v>140229.96657999995</v>
      </c>
      <c r="X159" s="27"/>
      <c r="Y159" s="49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8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</row>
    <row r="160" spans="1:79" x14ac:dyDescent="0.25">
      <c r="A160" s="27">
        <v>484</v>
      </c>
      <c r="B160" s="27">
        <v>1</v>
      </c>
      <c r="C160" s="18" t="s">
        <v>126</v>
      </c>
      <c r="D160" s="11">
        <v>2855405.18</v>
      </c>
      <c r="E160" s="16">
        <v>3444210.92</v>
      </c>
      <c r="F160" s="11">
        <v>3494718.04</v>
      </c>
      <c r="G160" s="11">
        <v>3592279.22</v>
      </c>
      <c r="H160" s="11">
        <v>3696719.19</v>
      </c>
      <c r="I160" s="11">
        <v>3852807.17</v>
      </c>
      <c r="J160" s="11">
        <v>4050909.56</v>
      </c>
      <c r="K160" s="11">
        <v>4154257.79</v>
      </c>
      <c r="L160" s="11">
        <v>4239767.6500000004</v>
      </c>
      <c r="M160" s="11">
        <v>4483179.62</v>
      </c>
      <c r="N160" s="11">
        <f t="shared" si="34"/>
        <v>2855405.18</v>
      </c>
      <c r="O160" s="11">
        <v>679126</v>
      </c>
      <c r="P160" s="11">
        <v>-3054.18</v>
      </c>
      <c r="Q160" s="11">
        <f t="shared" si="32"/>
        <v>65116.78</v>
      </c>
      <c r="R160" s="11">
        <f t="shared" si="33"/>
        <v>46633.18</v>
      </c>
      <c r="S160" s="11">
        <f t="shared" si="35"/>
        <v>66816.481211999999</v>
      </c>
      <c r="T160" s="10">
        <f t="shared" si="36"/>
        <v>4753.8820000000005</v>
      </c>
      <c r="U160" s="10">
        <f t="shared" si="37"/>
        <v>-3054.18</v>
      </c>
      <c r="V160" s="27">
        <f t="shared" si="38"/>
        <v>18483.595949999999</v>
      </c>
      <c r="W160" s="48">
        <f t="shared" si="39"/>
        <v>46633.183262000006</v>
      </c>
      <c r="X160" s="27"/>
      <c r="Y160" s="49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8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</row>
    <row r="161" spans="1:79" x14ac:dyDescent="0.25">
      <c r="A161" s="27">
        <v>485</v>
      </c>
      <c r="B161" s="27">
        <v>1</v>
      </c>
      <c r="C161" s="18" t="s">
        <v>127</v>
      </c>
      <c r="D161" s="11">
        <v>2379156.12</v>
      </c>
      <c r="E161" s="16">
        <v>2255936.52</v>
      </c>
      <c r="F161" s="11">
        <v>2475096.87</v>
      </c>
      <c r="G161" s="11">
        <v>2473684.54</v>
      </c>
      <c r="H161" s="11">
        <v>2538002.59</v>
      </c>
      <c r="I161" s="11">
        <v>2607026.8199999998</v>
      </c>
      <c r="J161" s="11">
        <v>2781595.51</v>
      </c>
      <c r="K161" s="11">
        <v>2919759.51</v>
      </c>
      <c r="L161" s="11">
        <v>2918353.46</v>
      </c>
      <c r="M161" s="11">
        <v>2926834.71</v>
      </c>
      <c r="N161" s="11">
        <f t="shared" si="34"/>
        <v>2255936.52</v>
      </c>
      <c r="O161" s="11">
        <v>557589</v>
      </c>
      <c r="P161" s="11">
        <v>-3034.12</v>
      </c>
      <c r="Q161" s="11">
        <f t="shared" si="32"/>
        <v>51919.91</v>
      </c>
      <c r="R161" s="11">
        <f t="shared" si="33"/>
        <v>39229.9</v>
      </c>
      <c r="S161" s="11">
        <f t="shared" si="35"/>
        <v>52788.914568</v>
      </c>
      <c r="T161" s="10">
        <f t="shared" si="36"/>
        <v>3903.123</v>
      </c>
      <c r="U161" s="10">
        <f t="shared" si="37"/>
        <v>-3034.12</v>
      </c>
      <c r="V161" s="27">
        <f t="shared" si="38"/>
        <v>12690.01295</v>
      </c>
      <c r="W161" s="48">
        <f t="shared" si="39"/>
        <v>39229.898618000007</v>
      </c>
      <c r="X161" s="27"/>
      <c r="Y161" s="49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8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</row>
    <row r="162" spans="1:79" x14ac:dyDescent="0.25">
      <c r="A162" s="27">
        <v>486</v>
      </c>
      <c r="B162" s="27">
        <v>1</v>
      </c>
      <c r="C162" s="18" t="s">
        <v>128</v>
      </c>
      <c r="D162" s="11">
        <v>1102063.75</v>
      </c>
      <c r="E162" s="16">
        <v>1399913.81</v>
      </c>
      <c r="F162" s="11">
        <v>1434776.22</v>
      </c>
      <c r="G162" s="11">
        <v>1403924.8</v>
      </c>
      <c r="H162" s="11">
        <v>1519518.51</v>
      </c>
      <c r="I162" s="11">
        <v>1428430</v>
      </c>
      <c r="J162" s="11">
        <v>1452002.12</v>
      </c>
      <c r="K162" s="11">
        <v>1526962.18</v>
      </c>
      <c r="L162" s="11">
        <v>1577140.15</v>
      </c>
      <c r="M162" s="11">
        <v>1574005.7</v>
      </c>
      <c r="N162" s="11">
        <f t="shared" si="34"/>
        <v>1102063.75</v>
      </c>
      <c r="O162" s="11">
        <v>236343</v>
      </c>
      <c r="P162" s="11">
        <v>-1260.08</v>
      </c>
      <c r="Q162" s="11">
        <f t="shared" si="32"/>
        <v>25393.97</v>
      </c>
      <c r="R162" s="11">
        <f t="shared" si="33"/>
        <v>17796.38</v>
      </c>
      <c r="S162" s="11">
        <f t="shared" si="35"/>
        <v>25788.29175</v>
      </c>
      <c r="T162" s="10">
        <f t="shared" si="36"/>
        <v>1654.4010000000001</v>
      </c>
      <c r="U162" s="10">
        <f t="shared" si="37"/>
        <v>-1260.08</v>
      </c>
      <c r="V162" s="27">
        <f t="shared" si="38"/>
        <v>7597.5925500000003</v>
      </c>
      <c r="W162" s="48">
        <f t="shared" si="39"/>
        <v>17796.378199999999</v>
      </c>
      <c r="X162" s="27"/>
      <c r="Y162" s="49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8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</row>
    <row r="163" spans="1:79" x14ac:dyDescent="0.25">
      <c r="A163" s="27">
        <v>487</v>
      </c>
      <c r="B163" s="27">
        <v>1</v>
      </c>
      <c r="C163" s="18" t="s">
        <v>129</v>
      </c>
      <c r="D163" s="11">
        <v>1082990.47</v>
      </c>
      <c r="E163" s="16">
        <v>1459300.14</v>
      </c>
      <c r="F163" s="11">
        <v>1629707.27</v>
      </c>
      <c r="G163" s="11">
        <v>1413992.75</v>
      </c>
      <c r="H163" s="11">
        <v>1436959.43</v>
      </c>
      <c r="I163" s="11">
        <v>1389440.73</v>
      </c>
      <c r="J163" s="11">
        <v>1400250.2</v>
      </c>
      <c r="K163" s="11">
        <v>1502276.33</v>
      </c>
      <c r="L163" s="11">
        <v>1386391.48</v>
      </c>
      <c r="M163" s="11">
        <v>1388884</v>
      </c>
      <c r="N163" s="11">
        <f t="shared" si="34"/>
        <v>1082990.47</v>
      </c>
      <c r="O163" s="11">
        <v>288251</v>
      </c>
      <c r="P163" s="11">
        <v>-1434.58</v>
      </c>
      <c r="Q163" s="11">
        <f t="shared" si="32"/>
        <v>24758.800000000003</v>
      </c>
      <c r="R163" s="11">
        <f t="shared" si="33"/>
        <v>17574</v>
      </c>
      <c r="S163" s="11">
        <f t="shared" si="35"/>
        <v>25341.976997999998</v>
      </c>
      <c r="T163" s="10">
        <f t="shared" si="36"/>
        <v>2017.7570000000001</v>
      </c>
      <c r="U163" s="10">
        <f t="shared" si="37"/>
        <v>-1434.58</v>
      </c>
      <c r="V163" s="27">
        <f t="shared" si="38"/>
        <v>7184.7971499999994</v>
      </c>
      <c r="W163" s="48">
        <f t="shared" si="39"/>
        <v>17574.002847999996</v>
      </c>
      <c r="X163" s="27"/>
      <c r="Y163" s="49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8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</row>
    <row r="164" spans="1:79" x14ac:dyDescent="0.25">
      <c r="A164" s="27">
        <v>492</v>
      </c>
      <c r="B164" s="27">
        <v>1</v>
      </c>
      <c r="C164" s="18" t="s">
        <v>130</v>
      </c>
      <c r="D164" s="11">
        <v>12697450.91</v>
      </c>
      <c r="E164" s="16">
        <v>14635546.1</v>
      </c>
      <c r="F164" s="11">
        <v>15646286.66</v>
      </c>
      <c r="G164" s="11">
        <v>16424060.640000001</v>
      </c>
      <c r="H164" s="11">
        <v>17662494.91</v>
      </c>
      <c r="I164" s="11">
        <v>18413069.16</v>
      </c>
      <c r="J164" s="11">
        <v>19633531.710000001</v>
      </c>
      <c r="K164" s="11">
        <v>20084447.969999999</v>
      </c>
      <c r="L164" s="11">
        <v>20459004.68</v>
      </c>
      <c r="M164" s="11">
        <v>21502724.620000001</v>
      </c>
      <c r="N164" s="11">
        <f t="shared" si="34"/>
        <v>12697450.91</v>
      </c>
      <c r="O164" s="11">
        <v>4385016</v>
      </c>
      <c r="P164" s="11">
        <v>-23606.01</v>
      </c>
      <c r="Q164" s="11">
        <f t="shared" si="32"/>
        <v>290031.25</v>
      </c>
      <c r="R164" s="11">
        <f t="shared" si="33"/>
        <v>201718.78</v>
      </c>
      <c r="S164" s="11">
        <f t="shared" si="35"/>
        <v>297120.35129399999</v>
      </c>
      <c r="T164" s="10">
        <f t="shared" si="36"/>
        <v>30695.112000000001</v>
      </c>
      <c r="U164" s="10">
        <f t="shared" si="37"/>
        <v>-23606.01</v>
      </c>
      <c r="V164" s="27">
        <f t="shared" si="38"/>
        <v>88312.474549999999</v>
      </c>
      <c r="W164" s="48">
        <f t="shared" si="39"/>
        <v>201718.77474399999</v>
      </c>
      <c r="X164" s="27"/>
      <c r="Y164" s="49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8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</row>
    <row r="165" spans="1:79" x14ac:dyDescent="0.25">
      <c r="A165" s="27">
        <v>495</v>
      </c>
      <c r="B165" s="27">
        <v>1</v>
      </c>
      <c r="C165" s="18" t="s">
        <v>131</v>
      </c>
      <c r="D165" s="11">
        <v>1202930.81</v>
      </c>
      <c r="E165" s="16">
        <v>1454691.83</v>
      </c>
      <c r="F165" s="11">
        <v>1497768.23</v>
      </c>
      <c r="G165" s="11">
        <v>1539569.97</v>
      </c>
      <c r="H165" s="11">
        <v>1747680.23</v>
      </c>
      <c r="I165" s="11">
        <v>1761462.56</v>
      </c>
      <c r="J165" s="11">
        <v>1675796.54</v>
      </c>
      <c r="K165" s="11">
        <v>1701407.7</v>
      </c>
      <c r="L165" s="11">
        <v>1683642.34</v>
      </c>
      <c r="M165" s="11">
        <v>1852682.46</v>
      </c>
      <c r="N165" s="11">
        <f t="shared" si="34"/>
        <v>1202930.81</v>
      </c>
      <c r="O165" s="11">
        <v>263311</v>
      </c>
      <c r="P165" s="11">
        <v>-1505.09</v>
      </c>
      <c r="Q165" s="11">
        <f t="shared" si="32"/>
        <v>27810.49</v>
      </c>
      <c r="R165" s="11">
        <f t="shared" si="33"/>
        <v>19072.09</v>
      </c>
      <c r="S165" s="11">
        <f t="shared" si="35"/>
        <v>28148.580954000001</v>
      </c>
      <c r="T165" s="10">
        <f t="shared" si="36"/>
        <v>1843.1770000000001</v>
      </c>
      <c r="U165" s="10">
        <f t="shared" si="37"/>
        <v>-1505.09</v>
      </c>
      <c r="V165" s="27">
        <f t="shared" si="38"/>
        <v>8738.4011499999997</v>
      </c>
      <c r="W165" s="48">
        <f t="shared" si="39"/>
        <v>19072.092804</v>
      </c>
      <c r="X165" s="27"/>
      <c r="Y165" s="49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8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</row>
    <row r="166" spans="1:79" x14ac:dyDescent="0.25">
      <c r="A166" s="27">
        <v>497</v>
      </c>
      <c r="B166" s="27">
        <v>1</v>
      </c>
      <c r="C166" s="18" t="s">
        <v>132</v>
      </c>
      <c r="D166" s="11">
        <v>690515.19</v>
      </c>
      <c r="E166" s="16">
        <v>1203466.4099999999</v>
      </c>
      <c r="F166" s="11">
        <v>1214352.81</v>
      </c>
      <c r="G166" s="11">
        <v>1263491.94</v>
      </c>
      <c r="H166" s="11">
        <v>1259886.75</v>
      </c>
      <c r="I166" s="11">
        <v>1221510.3400000001</v>
      </c>
      <c r="J166" s="11">
        <v>1185711.08</v>
      </c>
      <c r="K166" s="11">
        <v>1219569.43</v>
      </c>
      <c r="L166" s="11">
        <v>1292525.3700000001</v>
      </c>
      <c r="M166" s="11">
        <v>1168499.5</v>
      </c>
      <c r="N166" s="11">
        <f t="shared" si="34"/>
        <v>690515.19</v>
      </c>
      <c r="O166" s="11">
        <v>211368</v>
      </c>
      <c r="P166" s="11">
        <v>-1132.28</v>
      </c>
      <c r="Q166" s="11">
        <f t="shared" si="32"/>
        <v>15810.76</v>
      </c>
      <c r="R166" s="11">
        <f t="shared" si="33"/>
        <v>9511.33</v>
      </c>
      <c r="S166" s="11">
        <f t="shared" si="35"/>
        <v>16158.055445999998</v>
      </c>
      <c r="T166" s="10">
        <f t="shared" si="36"/>
        <v>1479.576</v>
      </c>
      <c r="U166" s="10">
        <f t="shared" si="37"/>
        <v>-1132.28</v>
      </c>
      <c r="V166" s="27">
        <f t="shared" si="38"/>
        <v>6299.4337500000001</v>
      </c>
      <c r="W166" s="48">
        <f t="shared" si="39"/>
        <v>9511.3256959999981</v>
      </c>
      <c r="X166" s="27"/>
      <c r="Y166" s="49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8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</row>
    <row r="167" spans="1:79" x14ac:dyDescent="0.25">
      <c r="A167" s="27">
        <v>499</v>
      </c>
      <c r="B167" s="27">
        <v>1</v>
      </c>
      <c r="C167" s="18" t="s">
        <v>133</v>
      </c>
      <c r="D167" s="11">
        <v>1307992.31</v>
      </c>
      <c r="E167" s="16">
        <v>1480501.55</v>
      </c>
      <c r="F167" s="11">
        <v>1485878.08</v>
      </c>
      <c r="G167" s="11">
        <v>1516692.79</v>
      </c>
      <c r="H167" s="11">
        <v>1522796.1</v>
      </c>
      <c r="I167" s="11">
        <v>1261738.6499999999</v>
      </c>
      <c r="J167" s="11">
        <v>1267739.9099999999</v>
      </c>
      <c r="K167" s="11">
        <v>1283829.23</v>
      </c>
      <c r="L167" s="11">
        <v>1305640.98</v>
      </c>
      <c r="M167" s="11">
        <v>1346985.45</v>
      </c>
      <c r="N167" s="11">
        <f t="shared" si="34"/>
        <v>1261738.6499999999</v>
      </c>
      <c r="O167" s="11">
        <v>300606</v>
      </c>
      <c r="P167" s="11">
        <v>-1361.26</v>
      </c>
      <c r="Q167" s="11">
        <f t="shared" si="32"/>
        <v>28781.7</v>
      </c>
      <c r="R167" s="11">
        <f t="shared" si="33"/>
        <v>21167.72</v>
      </c>
      <c r="S167" s="11">
        <f t="shared" si="35"/>
        <v>29524.684409999998</v>
      </c>
      <c r="T167" s="10">
        <f t="shared" si="36"/>
        <v>2104.2420000000002</v>
      </c>
      <c r="U167" s="10">
        <f t="shared" si="37"/>
        <v>-1361.26</v>
      </c>
      <c r="V167" s="27">
        <f t="shared" si="38"/>
        <v>7613.9805000000006</v>
      </c>
      <c r="W167" s="48">
        <f t="shared" si="39"/>
        <v>21167.721909999993</v>
      </c>
      <c r="X167" s="27"/>
      <c r="Y167" s="49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8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</row>
    <row r="168" spans="1:79" x14ac:dyDescent="0.25">
      <c r="A168" s="27">
        <v>500</v>
      </c>
      <c r="B168" s="27">
        <v>1</v>
      </c>
      <c r="C168" s="18" t="s">
        <v>134</v>
      </c>
      <c r="D168" s="11">
        <v>1970743.96</v>
      </c>
      <c r="E168" s="16">
        <v>2513251.35</v>
      </c>
      <c r="F168" s="11">
        <v>2563990.2200000002</v>
      </c>
      <c r="G168" s="11">
        <v>2647897.35</v>
      </c>
      <c r="H168" s="11">
        <v>2519982.58</v>
      </c>
      <c r="I168" s="11">
        <v>2440672.9300000002</v>
      </c>
      <c r="J168" s="11">
        <v>2312802.87</v>
      </c>
      <c r="K168" s="11">
        <v>2464176.21</v>
      </c>
      <c r="L168" s="11">
        <v>2604928.98</v>
      </c>
      <c r="M168" s="11">
        <v>2402063.4700000002</v>
      </c>
      <c r="N168" s="11">
        <f t="shared" si="34"/>
        <v>1970743.96</v>
      </c>
      <c r="O168" s="11">
        <v>445485</v>
      </c>
      <c r="P168" s="11">
        <v>-3216.08</v>
      </c>
      <c r="Q168" s="11">
        <f t="shared" si="32"/>
        <v>46213.090000000004</v>
      </c>
      <c r="R168" s="11">
        <f t="shared" si="33"/>
        <v>33613.18</v>
      </c>
      <c r="S168" s="11">
        <f t="shared" si="35"/>
        <v>46115.408664000002</v>
      </c>
      <c r="T168" s="10">
        <f t="shared" si="36"/>
        <v>3118.395</v>
      </c>
      <c r="U168" s="10">
        <f t="shared" si="37"/>
        <v>-3216.08</v>
      </c>
      <c r="V168" s="27">
        <f t="shared" si="38"/>
        <v>12599.912900000001</v>
      </c>
      <c r="W168" s="48">
        <f t="shared" si="39"/>
        <v>33613.180764000004</v>
      </c>
      <c r="X168" s="27"/>
      <c r="Y168" s="49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8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</row>
    <row r="169" spans="1:79" x14ac:dyDescent="0.25">
      <c r="A169" s="27">
        <v>505</v>
      </c>
      <c r="B169" s="27">
        <v>1</v>
      </c>
      <c r="C169" s="18" t="s">
        <v>135</v>
      </c>
      <c r="D169" s="11">
        <v>1746887.43</v>
      </c>
      <c r="E169" s="16">
        <v>1991255.15</v>
      </c>
      <c r="F169" s="11">
        <v>1954161.68</v>
      </c>
      <c r="G169" s="11">
        <v>1749952.58</v>
      </c>
      <c r="H169" s="11">
        <v>1715749.72</v>
      </c>
      <c r="I169" s="11">
        <v>1836611.53</v>
      </c>
      <c r="J169" s="11">
        <v>1865241.44</v>
      </c>
      <c r="K169" s="11">
        <v>2003640.99</v>
      </c>
      <c r="L169" s="11">
        <v>2033575.11</v>
      </c>
      <c r="M169" s="11">
        <v>2024675.73</v>
      </c>
      <c r="N169" s="11">
        <f t="shared" si="34"/>
        <v>1715749.72</v>
      </c>
      <c r="O169" s="11">
        <v>354112</v>
      </c>
      <c r="P169" s="11">
        <v>-1751.27</v>
      </c>
      <c r="Q169" s="11">
        <f t="shared" si="32"/>
        <v>39421.03</v>
      </c>
      <c r="R169" s="11">
        <f t="shared" si="33"/>
        <v>30842.28</v>
      </c>
      <c r="S169" s="11">
        <f t="shared" si="35"/>
        <v>40148.543448000004</v>
      </c>
      <c r="T169" s="10">
        <f t="shared" si="36"/>
        <v>2478.7840000000001</v>
      </c>
      <c r="U169" s="10">
        <f t="shared" si="37"/>
        <v>-1751.27</v>
      </c>
      <c r="V169" s="27">
        <f t="shared" si="38"/>
        <v>8578.7486000000008</v>
      </c>
      <c r="W169" s="48">
        <f t="shared" si="39"/>
        <v>30842.280848000002</v>
      </c>
      <c r="X169" s="27"/>
      <c r="Y169" s="49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8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</row>
    <row r="170" spans="1:79" x14ac:dyDescent="0.25">
      <c r="A170" s="27">
        <v>507</v>
      </c>
      <c r="B170" s="27">
        <v>1</v>
      </c>
      <c r="C170" s="18" t="s">
        <v>136</v>
      </c>
      <c r="D170" s="11">
        <v>1329501.8999999999</v>
      </c>
      <c r="E170" s="16">
        <v>1023772.8</v>
      </c>
      <c r="F170" s="11">
        <v>1071110.75</v>
      </c>
      <c r="G170" s="11">
        <v>994518.2</v>
      </c>
      <c r="H170" s="11">
        <v>1059063.48</v>
      </c>
      <c r="I170" s="11">
        <v>1084080.05</v>
      </c>
      <c r="J170" s="11">
        <v>1143354.54</v>
      </c>
      <c r="K170" s="11">
        <v>1151263.2</v>
      </c>
      <c r="L170" s="11">
        <v>1328429.1200000001</v>
      </c>
      <c r="M170" s="11">
        <v>1320414.1200000001</v>
      </c>
      <c r="N170" s="11">
        <f t="shared" si="34"/>
        <v>994518.2</v>
      </c>
      <c r="O170" s="11">
        <v>248721</v>
      </c>
      <c r="P170" s="11">
        <v>-1041.74</v>
      </c>
      <c r="Q170" s="11">
        <f t="shared" si="32"/>
        <v>22572.420000000002</v>
      </c>
      <c r="R170" s="11">
        <f t="shared" si="33"/>
        <v>17277.099999999999</v>
      </c>
      <c r="S170" s="11">
        <f t="shared" si="35"/>
        <v>23271.725879999998</v>
      </c>
      <c r="T170" s="10">
        <f t="shared" si="36"/>
        <v>1741.047</v>
      </c>
      <c r="U170" s="10">
        <f t="shared" si="37"/>
        <v>-1041.74</v>
      </c>
      <c r="V170" s="27">
        <f t="shared" si="38"/>
        <v>5295.3173999999999</v>
      </c>
      <c r="W170" s="48">
        <f t="shared" si="39"/>
        <v>17277.101480000001</v>
      </c>
      <c r="X170" s="27"/>
      <c r="Y170" s="49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8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</row>
    <row r="171" spans="1:79" x14ac:dyDescent="0.25">
      <c r="A171" s="27">
        <v>508</v>
      </c>
      <c r="B171" s="27">
        <v>1</v>
      </c>
      <c r="C171" s="18" t="s">
        <v>137</v>
      </c>
      <c r="D171" s="11">
        <v>5085171.8600000003</v>
      </c>
      <c r="E171" s="16">
        <v>7357250.29</v>
      </c>
      <c r="F171" s="11">
        <v>7331291.2199999997</v>
      </c>
      <c r="G171" s="11">
        <v>7430623.3499999996</v>
      </c>
      <c r="H171" s="11">
        <v>7684605.3200000003</v>
      </c>
      <c r="I171" s="11">
        <v>7549098.9800000004</v>
      </c>
      <c r="J171" s="11">
        <v>7981223.2400000002</v>
      </c>
      <c r="K171" s="11">
        <v>8041711.9699999997</v>
      </c>
      <c r="L171" s="11">
        <v>7734052.4400000004</v>
      </c>
      <c r="M171" s="11">
        <v>8167000.8399999999</v>
      </c>
      <c r="N171" s="11">
        <f t="shared" si="34"/>
        <v>5085171.8600000003</v>
      </c>
      <c r="O171" s="11">
        <v>1583561</v>
      </c>
      <c r="P171" s="11">
        <v>-5439.4</v>
      </c>
      <c r="Q171" s="11">
        <f t="shared" si="32"/>
        <v>113347.48999999999</v>
      </c>
      <c r="R171" s="11">
        <f t="shared" si="33"/>
        <v>74924.460000000006</v>
      </c>
      <c r="S171" s="11">
        <f t="shared" si="35"/>
        <v>118993.02152400001</v>
      </c>
      <c r="T171" s="10">
        <f t="shared" si="36"/>
        <v>11084.927</v>
      </c>
      <c r="U171" s="10">
        <f t="shared" si="37"/>
        <v>-5439.4</v>
      </c>
      <c r="V171" s="27">
        <f t="shared" si="38"/>
        <v>38423.026600000005</v>
      </c>
      <c r="W171" s="48">
        <f t="shared" si="39"/>
        <v>74924.467923999997</v>
      </c>
      <c r="X171" s="27"/>
      <c r="Y171" s="49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8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</row>
    <row r="172" spans="1:79" x14ac:dyDescent="0.25">
      <c r="A172" s="27">
        <v>511</v>
      </c>
      <c r="B172" s="27">
        <v>1</v>
      </c>
      <c r="C172" s="18" t="s">
        <v>138</v>
      </c>
      <c r="D172" s="11">
        <v>1640893.61</v>
      </c>
      <c r="E172" s="16">
        <v>1944681.13</v>
      </c>
      <c r="F172" s="11">
        <v>2226982.46</v>
      </c>
      <c r="G172" s="11">
        <v>2127162.06</v>
      </c>
      <c r="H172" s="11">
        <v>2217699.83</v>
      </c>
      <c r="I172" s="11">
        <v>2305151.4700000002</v>
      </c>
      <c r="J172" s="11">
        <v>2285913.1</v>
      </c>
      <c r="K172" s="11">
        <v>2331687.2799999998</v>
      </c>
      <c r="L172" s="11">
        <v>2408363.63</v>
      </c>
      <c r="M172" s="11">
        <v>2403811.12</v>
      </c>
      <c r="N172" s="11">
        <f t="shared" si="34"/>
        <v>1640893.61</v>
      </c>
      <c r="O172" s="11">
        <v>363690</v>
      </c>
      <c r="P172" s="11">
        <v>-2277.5300000000002</v>
      </c>
      <c r="Q172" s="11">
        <f t="shared" si="32"/>
        <v>38128.61</v>
      </c>
      <c r="R172" s="11">
        <f t="shared" si="33"/>
        <v>27040.11</v>
      </c>
      <c r="S172" s="11">
        <f t="shared" si="35"/>
        <v>38396.910474000004</v>
      </c>
      <c r="T172" s="10">
        <f t="shared" si="36"/>
        <v>2545.83</v>
      </c>
      <c r="U172" s="10">
        <f t="shared" si="37"/>
        <v>-2277.5300000000002</v>
      </c>
      <c r="V172" s="27">
        <f t="shared" si="38"/>
        <v>11088.499150000001</v>
      </c>
      <c r="W172" s="48">
        <f t="shared" si="39"/>
        <v>27040.111323999998</v>
      </c>
      <c r="X172" s="27"/>
      <c r="Y172" s="49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8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</row>
    <row r="173" spans="1:79" x14ac:dyDescent="0.25">
      <c r="A173" s="27">
        <v>513</v>
      </c>
      <c r="B173" s="27">
        <v>1</v>
      </c>
      <c r="C173" s="18" t="s">
        <v>139</v>
      </c>
      <c r="D173" s="11">
        <v>581331.87</v>
      </c>
      <c r="E173" s="16">
        <v>567530.81999999995</v>
      </c>
      <c r="F173" s="11">
        <v>461423</v>
      </c>
      <c r="G173" s="11">
        <v>552405.24</v>
      </c>
      <c r="H173" s="11">
        <v>545023.74</v>
      </c>
      <c r="I173" s="11">
        <v>666629.85</v>
      </c>
      <c r="J173" s="11">
        <v>601941.88</v>
      </c>
      <c r="K173" s="11">
        <v>679008.31</v>
      </c>
      <c r="L173" s="11">
        <v>751086.48</v>
      </c>
      <c r="M173" s="11">
        <v>812593.34</v>
      </c>
      <c r="N173" s="11">
        <f t="shared" si="34"/>
        <v>461423</v>
      </c>
      <c r="O173" s="11">
        <v>196364</v>
      </c>
      <c r="P173" s="11">
        <v>-534.29999999999995</v>
      </c>
      <c r="Q173" s="11">
        <f t="shared" si="32"/>
        <v>9957.0499999999993</v>
      </c>
      <c r="R173" s="11">
        <f t="shared" si="33"/>
        <v>7231.93</v>
      </c>
      <c r="S173" s="11">
        <f t="shared" si="35"/>
        <v>10797.298200000001</v>
      </c>
      <c r="T173" s="10">
        <f t="shared" si="36"/>
        <v>1374.548</v>
      </c>
      <c r="U173" s="10">
        <f t="shared" si="37"/>
        <v>-534.29999999999995</v>
      </c>
      <c r="V173" s="27">
        <f t="shared" si="38"/>
        <v>2725.1187</v>
      </c>
      <c r="W173" s="48">
        <f t="shared" si="39"/>
        <v>7231.9314999999997</v>
      </c>
      <c r="X173" s="27"/>
      <c r="Y173" s="49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8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</row>
    <row r="174" spans="1:79" x14ac:dyDescent="0.25">
      <c r="A174" s="27">
        <v>514</v>
      </c>
      <c r="B174" s="27">
        <v>1</v>
      </c>
      <c r="C174" s="18" t="s">
        <v>140</v>
      </c>
      <c r="D174" s="11">
        <v>606490.07999999996</v>
      </c>
      <c r="E174" s="16">
        <v>782079.9</v>
      </c>
      <c r="F174" s="11">
        <v>731955.55</v>
      </c>
      <c r="G174" s="11">
        <v>740059.18</v>
      </c>
      <c r="H174" s="11">
        <v>691507.05</v>
      </c>
      <c r="I174" s="11">
        <v>775023.69</v>
      </c>
      <c r="J174" s="11">
        <v>881485.03</v>
      </c>
      <c r="K174" s="11">
        <v>895119.56</v>
      </c>
      <c r="L174" s="11">
        <v>793467.27</v>
      </c>
      <c r="M174" s="11">
        <v>887249.61</v>
      </c>
      <c r="N174" s="11">
        <f t="shared" si="34"/>
        <v>606490.07999999996</v>
      </c>
      <c r="O174" s="11">
        <v>116290</v>
      </c>
      <c r="P174" s="11">
        <v>-850</v>
      </c>
      <c r="Q174" s="11">
        <f t="shared" si="32"/>
        <v>14227.84</v>
      </c>
      <c r="R174" s="11">
        <f t="shared" si="33"/>
        <v>10770.3</v>
      </c>
      <c r="S174" s="11">
        <f t="shared" si="35"/>
        <v>14191.867871999999</v>
      </c>
      <c r="T174" s="10">
        <f t="shared" si="36"/>
        <v>814.03</v>
      </c>
      <c r="U174" s="10">
        <f t="shared" si="37"/>
        <v>-850</v>
      </c>
      <c r="V174" s="27">
        <f t="shared" si="38"/>
        <v>3457.5352500000004</v>
      </c>
      <c r="W174" s="48">
        <f t="shared" si="39"/>
        <v>10770.302621999997</v>
      </c>
      <c r="X174" s="27"/>
      <c r="Y174" s="49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8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</row>
    <row r="175" spans="1:79" x14ac:dyDescent="0.25">
      <c r="A175" s="27">
        <v>516</v>
      </c>
      <c r="B175" s="27">
        <v>1</v>
      </c>
      <c r="C175" s="18" t="s">
        <v>141</v>
      </c>
      <c r="D175" s="11">
        <v>424131.65</v>
      </c>
      <c r="E175" s="16">
        <v>466225.64</v>
      </c>
      <c r="F175" s="11">
        <v>422695.13</v>
      </c>
      <c r="G175" s="11">
        <v>504173.9</v>
      </c>
      <c r="H175" s="11">
        <v>482525.06</v>
      </c>
      <c r="I175" s="11">
        <v>602047.21</v>
      </c>
      <c r="J175" s="11">
        <v>477087.52</v>
      </c>
      <c r="K175" s="11">
        <v>581245.13</v>
      </c>
      <c r="L175" s="11">
        <v>603295.79</v>
      </c>
      <c r="M175" s="11">
        <v>569253.30000000005</v>
      </c>
      <c r="N175" s="11">
        <f t="shared" si="34"/>
        <v>422695.13</v>
      </c>
      <c r="O175" s="11">
        <v>124752</v>
      </c>
      <c r="P175" s="11">
        <v>-586.32000000000005</v>
      </c>
      <c r="Q175" s="11">
        <f t="shared" si="32"/>
        <v>9604.1299999999992</v>
      </c>
      <c r="R175" s="11">
        <f t="shared" si="33"/>
        <v>7191.5</v>
      </c>
      <c r="S175" s="11">
        <f t="shared" si="35"/>
        <v>9891.0660420000004</v>
      </c>
      <c r="T175" s="10">
        <f t="shared" si="36"/>
        <v>873.26400000000001</v>
      </c>
      <c r="U175" s="10">
        <f t="shared" si="37"/>
        <v>-586.32000000000005</v>
      </c>
      <c r="V175" s="27">
        <f t="shared" si="38"/>
        <v>2412.6253000000002</v>
      </c>
      <c r="W175" s="48">
        <f t="shared" si="39"/>
        <v>7191.4967420000012</v>
      </c>
      <c r="X175" s="27"/>
      <c r="Y175" s="49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8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</row>
    <row r="176" spans="1:79" x14ac:dyDescent="0.25">
      <c r="A176" s="27">
        <v>518</v>
      </c>
      <c r="B176" s="27">
        <v>1</v>
      </c>
      <c r="C176" s="18" t="s">
        <v>142</v>
      </c>
      <c r="D176" s="11">
        <v>7357824.79</v>
      </c>
      <c r="E176" s="16">
        <v>9362441.8599999994</v>
      </c>
      <c r="F176" s="11">
        <v>9890096.9299999997</v>
      </c>
      <c r="G176" s="11">
        <v>10185758.949999999</v>
      </c>
      <c r="H176" s="11">
        <v>9997204.0399999991</v>
      </c>
      <c r="I176" s="11">
        <v>10498888.380000001</v>
      </c>
      <c r="J176" s="11">
        <v>10850641</v>
      </c>
      <c r="K176" s="11">
        <v>11302948.550000001</v>
      </c>
      <c r="L176" s="11">
        <v>10944715.810000001</v>
      </c>
      <c r="M176" s="11">
        <v>13070632.939999999</v>
      </c>
      <c r="N176" s="11">
        <f t="shared" si="34"/>
        <v>7357824.79</v>
      </c>
      <c r="O176" s="11">
        <v>3281176</v>
      </c>
      <c r="P176" s="11">
        <v>-11351.97</v>
      </c>
      <c r="Q176" s="11">
        <f t="shared" si="32"/>
        <v>160556.84</v>
      </c>
      <c r="R176" s="11">
        <f t="shared" si="33"/>
        <v>110570.82</v>
      </c>
      <c r="S176" s="11">
        <f t="shared" si="35"/>
        <v>172173.10008599999</v>
      </c>
      <c r="T176" s="10">
        <f t="shared" si="36"/>
        <v>22968.232</v>
      </c>
      <c r="U176" s="10">
        <f t="shared" si="37"/>
        <v>-11351.97</v>
      </c>
      <c r="V176" s="27">
        <f t="shared" si="38"/>
        <v>49986.020199999999</v>
      </c>
      <c r="W176" s="48">
        <f t="shared" si="39"/>
        <v>110570.817886</v>
      </c>
      <c r="X176" s="27"/>
      <c r="Y176" s="49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8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</row>
    <row r="177" spans="1:79" x14ac:dyDescent="0.25">
      <c r="A177" s="27">
        <v>531</v>
      </c>
      <c r="B177" s="27">
        <v>1</v>
      </c>
      <c r="C177" s="18" t="s">
        <v>143</v>
      </c>
      <c r="D177" s="11">
        <v>3896639.63</v>
      </c>
      <c r="E177" s="16">
        <v>5068387.51</v>
      </c>
      <c r="F177" s="11">
        <v>5030947.08</v>
      </c>
      <c r="G177" s="11">
        <v>5288670.6399999997</v>
      </c>
      <c r="H177" s="11">
        <v>5414885.8399999999</v>
      </c>
      <c r="I177" s="11">
        <v>5721900.8799999999</v>
      </c>
      <c r="J177" s="11">
        <v>6081947.4500000002</v>
      </c>
      <c r="K177" s="11">
        <v>6188527.4100000001</v>
      </c>
      <c r="L177" s="11">
        <v>5936635.9400000004</v>
      </c>
      <c r="M177" s="11">
        <v>6231301.7300000004</v>
      </c>
      <c r="N177" s="11">
        <f t="shared" si="34"/>
        <v>3896639.63</v>
      </c>
      <c r="O177" s="11">
        <v>1027924</v>
      </c>
      <c r="P177" s="11">
        <v>-3276.94</v>
      </c>
      <c r="Q177" s="11">
        <f t="shared" si="32"/>
        <v>87262.84</v>
      </c>
      <c r="R177" s="11">
        <f t="shared" si="33"/>
        <v>60188.41</v>
      </c>
      <c r="S177" s="11">
        <f t="shared" si="35"/>
        <v>91181.367341999998</v>
      </c>
      <c r="T177" s="10">
        <f t="shared" si="36"/>
        <v>7195.4679999999998</v>
      </c>
      <c r="U177" s="10">
        <f t="shared" si="37"/>
        <v>-3276.94</v>
      </c>
      <c r="V177" s="27">
        <f t="shared" si="38"/>
        <v>27074.429199999999</v>
      </c>
      <c r="W177" s="48">
        <f t="shared" si="39"/>
        <v>60188.410142000008</v>
      </c>
      <c r="X177" s="27"/>
      <c r="Y177" s="49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8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</row>
    <row r="178" spans="1:79" x14ac:dyDescent="0.25">
      <c r="A178" s="27">
        <v>533</v>
      </c>
      <c r="B178" s="27">
        <v>1</v>
      </c>
      <c r="C178" s="18" t="s">
        <v>144</v>
      </c>
      <c r="D178" s="11">
        <v>2468741.4700000002</v>
      </c>
      <c r="E178" s="16">
        <v>3637824.87</v>
      </c>
      <c r="F178" s="11">
        <v>3699764.28</v>
      </c>
      <c r="G178" s="11">
        <v>3761067.37</v>
      </c>
      <c r="H178" s="11">
        <v>3867531.46</v>
      </c>
      <c r="I178" s="11">
        <v>4126353.86</v>
      </c>
      <c r="J178" s="11">
        <v>4311671.7</v>
      </c>
      <c r="K178" s="11">
        <v>4428247.96</v>
      </c>
      <c r="L178" s="11">
        <v>4420805.37</v>
      </c>
      <c r="M178" s="11">
        <v>4659407.17</v>
      </c>
      <c r="N178" s="11">
        <f t="shared" si="34"/>
        <v>2468741.4700000002</v>
      </c>
      <c r="O178" s="11">
        <v>629730</v>
      </c>
      <c r="P178" s="11">
        <v>-2462.9699999999998</v>
      </c>
      <c r="Q178" s="11">
        <f t="shared" si="32"/>
        <v>55823.41</v>
      </c>
      <c r="R178" s="11">
        <f t="shared" si="33"/>
        <v>36485.75</v>
      </c>
      <c r="S178" s="11">
        <f t="shared" si="35"/>
        <v>57768.550398000007</v>
      </c>
      <c r="T178" s="10">
        <f t="shared" si="36"/>
        <v>4408.1099999999997</v>
      </c>
      <c r="U178" s="10">
        <f t="shared" si="37"/>
        <v>-2462.9699999999998</v>
      </c>
      <c r="V178" s="27">
        <f t="shared" si="38"/>
        <v>19337.657299999999</v>
      </c>
      <c r="W178" s="48">
        <f t="shared" si="39"/>
        <v>36485.753098000008</v>
      </c>
      <c r="X178" s="27"/>
      <c r="Y178" s="49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8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</row>
    <row r="179" spans="1:79" x14ac:dyDescent="0.25">
      <c r="A179" s="27">
        <v>534</v>
      </c>
      <c r="B179" s="27">
        <v>1</v>
      </c>
      <c r="C179" s="18" t="s">
        <v>145</v>
      </c>
      <c r="D179" s="11">
        <v>5797788.7700000005</v>
      </c>
      <c r="E179" s="16">
        <v>5669225.2000000002</v>
      </c>
      <c r="F179" s="11">
        <v>5462743.1799999997</v>
      </c>
      <c r="G179" s="11">
        <v>5903449.54</v>
      </c>
      <c r="H179" s="11">
        <v>6136777.2300000004</v>
      </c>
      <c r="I179" s="11">
        <v>6610181.3099999996</v>
      </c>
      <c r="J179" s="11">
        <v>6815829.6399999997</v>
      </c>
      <c r="K179" s="11">
        <v>7124491.7999999998</v>
      </c>
      <c r="L179" s="11">
        <v>7277079.5599999996</v>
      </c>
      <c r="M179" s="11">
        <v>7531554.5099999998</v>
      </c>
      <c r="N179" s="11">
        <f t="shared" si="34"/>
        <v>5462743.1799999997</v>
      </c>
      <c r="O179" s="11">
        <v>1327802</v>
      </c>
      <c r="P179" s="11">
        <v>-4538.8</v>
      </c>
      <c r="Q179" s="11">
        <f t="shared" si="32"/>
        <v>123072.38</v>
      </c>
      <c r="R179" s="11">
        <f t="shared" si="33"/>
        <v>92388.49</v>
      </c>
      <c r="S179" s="11">
        <f t="shared" si="35"/>
        <v>127828.190412</v>
      </c>
      <c r="T179" s="10">
        <f t="shared" si="36"/>
        <v>9294.6139999999996</v>
      </c>
      <c r="U179" s="10">
        <f t="shared" si="37"/>
        <v>-4538.8</v>
      </c>
      <c r="V179" s="27">
        <f t="shared" si="38"/>
        <v>30683.886150000002</v>
      </c>
      <c r="W179" s="48">
        <f t="shared" si="39"/>
        <v>92388.490261999992</v>
      </c>
      <c r="X179" s="27"/>
      <c r="Y179" s="49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8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</row>
    <row r="180" spans="1:79" x14ac:dyDescent="0.25">
      <c r="A180" s="27">
        <v>535</v>
      </c>
      <c r="B180" s="27">
        <v>1</v>
      </c>
      <c r="C180" s="18" t="s">
        <v>146</v>
      </c>
      <c r="D180" s="11">
        <v>44857028.510000005</v>
      </c>
      <c r="E180" s="16">
        <v>58748095.009999998</v>
      </c>
      <c r="F180" s="11">
        <v>59881731.689999998</v>
      </c>
      <c r="G180" s="11">
        <v>62036120.909999996</v>
      </c>
      <c r="H180" s="11">
        <v>64585727.729999997</v>
      </c>
      <c r="I180" s="11">
        <v>67956165.260000005</v>
      </c>
      <c r="J180" s="11">
        <v>70479593</v>
      </c>
      <c r="K180" s="11">
        <v>70988229.560000002</v>
      </c>
      <c r="L180" s="11">
        <v>69649685.090000004</v>
      </c>
      <c r="M180" s="11">
        <v>70634846.900000006</v>
      </c>
      <c r="N180" s="11">
        <f t="shared" si="34"/>
        <v>44857028.510000005</v>
      </c>
      <c r="O180" s="11">
        <v>13652375</v>
      </c>
      <c r="P180" s="11">
        <v>-56201.74</v>
      </c>
      <c r="Q180" s="11">
        <f t="shared" si="32"/>
        <v>1010289.58</v>
      </c>
      <c r="R180" s="11">
        <f t="shared" si="33"/>
        <v>687360.94</v>
      </c>
      <c r="S180" s="11">
        <f t="shared" si="35"/>
        <v>1049654.4671340003</v>
      </c>
      <c r="T180" s="10">
        <f t="shared" si="36"/>
        <v>95566.625</v>
      </c>
      <c r="U180" s="10">
        <f t="shared" si="37"/>
        <v>-56201.74</v>
      </c>
      <c r="V180" s="27">
        <f t="shared" si="38"/>
        <v>322928.63864999998</v>
      </c>
      <c r="W180" s="48">
        <f t="shared" si="39"/>
        <v>687360.94348400028</v>
      </c>
      <c r="X180" s="27"/>
      <c r="Y180" s="49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8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</row>
    <row r="181" spans="1:79" x14ac:dyDescent="0.25">
      <c r="A181" s="27">
        <v>542</v>
      </c>
      <c r="B181" s="27">
        <v>1</v>
      </c>
      <c r="C181" s="18" t="s">
        <v>147</v>
      </c>
      <c r="D181" s="11">
        <v>1133065.0900000001</v>
      </c>
      <c r="E181" s="16">
        <v>1784216.94</v>
      </c>
      <c r="F181" s="11">
        <v>1762309.05</v>
      </c>
      <c r="G181" s="11">
        <v>1854773.85</v>
      </c>
      <c r="H181" s="11">
        <v>1991367.22</v>
      </c>
      <c r="I181" s="11">
        <v>2051905.27</v>
      </c>
      <c r="J181" s="11">
        <v>2067723.68</v>
      </c>
      <c r="K181" s="11">
        <v>2151857.87</v>
      </c>
      <c r="L181" s="11">
        <v>2146551</v>
      </c>
      <c r="M181" s="11">
        <v>2065099.53</v>
      </c>
      <c r="N181" s="11">
        <f t="shared" si="34"/>
        <v>1133065.0900000001</v>
      </c>
      <c r="O181" s="11">
        <v>363097</v>
      </c>
      <c r="P181" s="11">
        <v>-2109.34</v>
      </c>
      <c r="Q181" s="11">
        <f t="shared" si="32"/>
        <v>26081.38</v>
      </c>
      <c r="R181" s="11">
        <f t="shared" si="33"/>
        <v>16124.54</v>
      </c>
      <c r="S181" s="11">
        <f t="shared" si="35"/>
        <v>26513.723106000001</v>
      </c>
      <c r="T181" s="10">
        <f t="shared" si="36"/>
        <v>2541.6790000000001</v>
      </c>
      <c r="U181" s="10">
        <f t="shared" si="37"/>
        <v>-2109.34</v>
      </c>
      <c r="V181" s="27">
        <f t="shared" si="38"/>
        <v>9956.8361000000004</v>
      </c>
      <c r="W181" s="48">
        <f t="shared" si="39"/>
        <v>16124.548006000001</v>
      </c>
      <c r="X181" s="27"/>
      <c r="Y181" s="49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8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</row>
    <row r="182" spans="1:79" x14ac:dyDescent="0.25">
      <c r="A182" s="27">
        <v>544</v>
      </c>
      <c r="B182" s="27">
        <v>1</v>
      </c>
      <c r="C182" s="18" t="s">
        <v>148</v>
      </c>
      <c r="D182" s="11">
        <v>9119842.7300000004</v>
      </c>
      <c r="E182" s="16">
        <v>9398554.0500000007</v>
      </c>
      <c r="F182" s="11">
        <v>9761033.4000000004</v>
      </c>
      <c r="G182" s="11">
        <v>9660094.4600000009</v>
      </c>
      <c r="H182" s="11">
        <v>9688698.1899999995</v>
      </c>
      <c r="I182" s="11">
        <v>8846232.5899999999</v>
      </c>
      <c r="J182" s="11">
        <v>8071938.7699999996</v>
      </c>
      <c r="K182" s="11">
        <v>8668028.2699999996</v>
      </c>
      <c r="L182" s="11">
        <v>8903020.5899999999</v>
      </c>
      <c r="M182" s="11">
        <v>9092723.7100000009</v>
      </c>
      <c r="N182" s="11">
        <f t="shared" si="34"/>
        <v>8071938.7699999996</v>
      </c>
      <c r="O182" s="11">
        <v>2193073</v>
      </c>
      <c r="P182" s="11">
        <v>-10226.68</v>
      </c>
      <c r="Q182" s="11">
        <f t="shared" si="32"/>
        <v>183758.53999999998</v>
      </c>
      <c r="R182" s="11">
        <f t="shared" si="33"/>
        <v>135315.04999999999</v>
      </c>
      <c r="S182" s="11">
        <f t="shared" si="35"/>
        <v>188883.367218</v>
      </c>
      <c r="T182" s="10">
        <f t="shared" si="36"/>
        <v>15351.511</v>
      </c>
      <c r="U182" s="10">
        <f t="shared" si="37"/>
        <v>-10226.68</v>
      </c>
      <c r="V182" s="27">
        <f t="shared" si="38"/>
        <v>48443.490949999999</v>
      </c>
      <c r="W182" s="48">
        <f t="shared" si="39"/>
        <v>135315.04526799999</v>
      </c>
      <c r="X182" s="27"/>
      <c r="Y182" s="49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8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</row>
    <row r="183" spans="1:79" x14ac:dyDescent="0.25">
      <c r="A183" s="27">
        <v>545</v>
      </c>
      <c r="B183" s="27">
        <v>1</v>
      </c>
      <c r="C183" s="18" t="s">
        <v>149</v>
      </c>
      <c r="D183" s="11">
        <v>1374699.55</v>
      </c>
      <c r="E183" s="16">
        <v>1262612.44</v>
      </c>
      <c r="F183" s="11">
        <v>1356622.31</v>
      </c>
      <c r="G183" s="11">
        <v>1406882.07</v>
      </c>
      <c r="H183" s="11">
        <v>1513016.13</v>
      </c>
      <c r="I183" s="11">
        <v>1453815.89</v>
      </c>
      <c r="J183" s="11">
        <v>1626310.16</v>
      </c>
      <c r="K183" s="11">
        <v>1651912.62</v>
      </c>
      <c r="L183" s="11">
        <v>1684753.66</v>
      </c>
      <c r="M183" s="11">
        <v>1556566.6</v>
      </c>
      <c r="N183" s="11">
        <f t="shared" si="34"/>
        <v>1262612.44</v>
      </c>
      <c r="O183" s="11">
        <v>273836</v>
      </c>
      <c r="P183" s="11">
        <v>-1702.63</v>
      </c>
      <c r="Q183" s="11">
        <f t="shared" si="32"/>
        <v>29330.910000000003</v>
      </c>
      <c r="R183" s="11">
        <f t="shared" si="33"/>
        <v>21765.83</v>
      </c>
      <c r="S183" s="11">
        <f t="shared" si="35"/>
        <v>29545.131096000001</v>
      </c>
      <c r="T183" s="10">
        <f t="shared" si="36"/>
        <v>1916.8520000000001</v>
      </c>
      <c r="U183" s="10">
        <f t="shared" si="37"/>
        <v>-1702.63</v>
      </c>
      <c r="V183" s="27">
        <f t="shared" si="38"/>
        <v>7565.0806499999999</v>
      </c>
      <c r="W183" s="48">
        <f t="shared" si="39"/>
        <v>21765.828446000003</v>
      </c>
      <c r="X183" s="27"/>
      <c r="Y183" s="49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8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</row>
    <row r="184" spans="1:79" x14ac:dyDescent="0.25">
      <c r="A184" s="27">
        <v>547</v>
      </c>
      <c r="B184" s="27">
        <v>1</v>
      </c>
      <c r="C184" s="18" t="s">
        <v>150</v>
      </c>
      <c r="D184" s="11">
        <v>1748817.43</v>
      </c>
      <c r="E184" s="16">
        <v>2085303.02</v>
      </c>
      <c r="F184" s="11">
        <v>2049129.6</v>
      </c>
      <c r="G184" s="11">
        <v>2101001.41</v>
      </c>
      <c r="H184" s="11">
        <v>2168715.5299999998</v>
      </c>
      <c r="I184" s="11">
        <v>2052178.37</v>
      </c>
      <c r="J184" s="11">
        <v>1957702.06</v>
      </c>
      <c r="K184" s="11">
        <v>2229113.52</v>
      </c>
      <c r="L184" s="11">
        <v>2184502.7000000002</v>
      </c>
      <c r="M184" s="11">
        <v>2200732.2599999998</v>
      </c>
      <c r="N184" s="11">
        <f t="shared" si="34"/>
        <v>1748817.43</v>
      </c>
      <c r="O184" s="11">
        <v>432128</v>
      </c>
      <c r="P184" s="11">
        <v>-1601.35</v>
      </c>
      <c r="Q184" s="11">
        <f t="shared" si="32"/>
        <v>39498.78</v>
      </c>
      <c r="R184" s="11">
        <f t="shared" si="33"/>
        <v>28655.200000000001</v>
      </c>
      <c r="S184" s="11">
        <f t="shared" si="35"/>
        <v>40922.327861999998</v>
      </c>
      <c r="T184" s="10">
        <f t="shared" si="36"/>
        <v>3024.8960000000002</v>
      </c>
      <c r="U184" s="10">
        <f t="shared" si="37"/>
        <v>-1601.35</v>
      </c>
      <c r="V184" s="27">
        <f t="shared" si="38"/>
        <v>10843.577649999999</v>
      </c>
      <c r="W184" s="48">
        <f t="shared" si="39"/>
        <v>28655.204211999997</v>
      </c>
      <c r="X184" s="27"/>
      <c r="Y184" s="49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8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</row>
    <row r="185" spans="1:79" x14ac:dyDescent="0.25">
      <c r="A185" s="27">
        <v>548</v>
      </c>
      <c r="B185" s="27">
        <v>1</v>
      </c>
      <c r="C185" s="18" t="s">
        <v>151</v>
      </c>
      <c r="D185" s="11">
        <v>2989793.13</v>
      </c>
      <c r="E185" s="16">
        <v>4370304.1399999997</v>
      </c>
      <c r="F185" s="11">
        <v>4292020.74</v>
      </c>
      <c r="G185" s="11">
        <v>4120818.74</v>
      </c>
      <c r="H185" s="11">
        <v>4225692.79</v>
      </c>
      <c r="I185" s="11">
        <v>4366094.87</v>
      </c>
      <c r="J185" s="11">
        <v>4165161.39</v>
      </c>
      <c r="K185" s="11">
        <v>4182473.91</v>
      </c>
      <c r="L185" s="11">
        <v>3912985.15</v>
      </c>
      <c r="M185" s="11">
        <v>4188560.79</v>
      </c>
      <c r="N185" s="11">
        <f t="shared" si="34"/>
        <v>2989793.13</v>
      </c>
      <c r="O185" s="11">
        <v>432171</v>
      </c>
      <c r="P185" s="11">
        <v>-1642.63</v>
      </c>
      <c r="Q185" s="11">
        <f t="shared" si="32"/>
        <v>68578.590000000011</v>
      </c>
      <c r="R185" s="11">
        <f t="shared" si="33"/>
        <v>47450.13</v>
      </c>
      <c r="S185" s="11">
        <f t="shared" si="35"/>
        <v>69961.159241999994</v>
      </c>
      <c r="T185" s="10">
        <f t="shared" si="36"/>
        <v>3025.1970000000001</v>
      </c>
      <c r="U185" s="10">
        <f t="shared" si="37"/>
        <v>-1642.63</v>
      </c>
      <c r="V185" s="27">
        <f t="shared" si="38"/>
        <v>21128.463950000001</v>
      </c>
      <c r="W185" s="48">
        <f t="shared" si="39"/>
        <v>47450.128291999994</v>
      </c>
      <c r="X185" s="27"/>
      <c r="Y185" s="49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8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</row>
    <row r="186" spans="1:79" x14ac:dyDescent="0.25">
      <c r="A186" s="27">
        <v>549</v>
      </c>
      <c r="B186" s="27">
        <v>1</v>
      </c>
      <c r="C186" s="18" t="s">
        <v>152</v>
      </c>
      <c r="D186" s="11">
        <v>4805643.83</v>
      </c>
      <c r="E186" s="16">
        <v>5922255.5499999998</v>
      </c>
      <c r="F186" s="11">
        <v>5906971.2400000002</v>
      </c>
      <c r="G186" s="11">
        <v>5976615.6799999997</v>
      </c>
      <c r="H186" s="11">
        <v>6030623.9400000004</v>
      </c>
      <c r="I186" s="11">
        <v>5977039.2800000003</v>
      </c>
      <c r="J186" s="11">
        <v>6013270.0899999999</v>
      </c>
      <c r="K186" s="11">
        <v>5932340.7699999996</v>
      </c>
      <c r="L186" s="11">
        <v>5675245.6699999999</v>
      </c>
      <c r="M186" s="11">
        <v>5782002.9100000001</v>
      </c>
      <c r="N186" s="11">
        <f t="shared" si="34"/>
        <v>4805643.83</v>
      </c>
      <c r="O186" s="11">
        <v>1296974</v>
      </c>
      <c r="P186" s="11">
        <v>-3885.74</v>
      </c>
      <c r="Q186" s="11">
        <f t="shared" si="32"/>
        <v>107258.99</v>
      </c>
      <c r="R186" s="11">
        <f t="shared" si="33"/>
        <v>77105.87</v>
      </c>
      <c r="S186" s="11">
        <f t="shared" si="35"/>
        <v>112452.06562200001</v>
      </c>
      <c r="T186" s="10">
        <f t="shared" si="36"/>
        <v>9078.8179999999993</v>
      </c>
      <c r="U186" s="10">
        <f t="shared" si="37"/>
        <v>-3885.74</v>
      </c>
      <c r="V186" s="27">
        <f t="shared" si="38"/>
        <v>30153.119700000003</v>
      </c>
      <c r="W186" s="48">
        <f t="shared" si="39"/>
        <v>77105.867922000005</v>
      </c>
      <c r="X186" s="27"/>
      <c r="Y186" s="49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8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</row>
    <row r="187" spans="1:79" x14ac:dyDescent="0.25">
      <c r="A187" s="27">
        <v>550</v>
      </c>
      <c r="B187" s="27">
        <v>1</v>
      </c>
      <c r="C187" s="18" t="s">
        <v>153</v>
      </c>
      <c r="D187" s="11">
        <v>962478.2</v>
      </c>
      <c r="E187" s="16">
        <v>1535299.43</v>
      </c>
      <c r="F187" s="11">
        <v>1651312.24</v>
      </c>
      <c r="G187" s="11">
        <v>1725510.56</v>
      </c>
      <c r="H187" s="11">
        <v>1818317.62</v>
      </c>
      <c r="I187" s="11">
        <v>1804682.3</v>
      </c>
      <c r="J187" s="11">
        <v>1624743.2</v>
      </c>
      <c r="K187" s="11">
        <v>1684382.54</v>
      </c>
      <c r="L187" s="11">
        <v>1868746.48</v>
      </c>
      <c r="M187" s="11">
        <v>1928302.49</v>
      </c>
      <c r="N187" s="11">
        <f t="shared" si="34"/>
        <v>962478.2</v>
      </c>
      <c r="O187" s="11">
        <v>323498</v>
      </c>
      <c r="P187" s="11">
        <v>-1506.57</v>
      </c>
      <c r="Q187" s="11">
        <f t="shared" si="32"/>
        <v>21764.07</v>
      </c>
      <c r="R187" s="11">
        <f t="shared" si="33"/>
        <v>12672.48</v>
      </c>
      <c r="S187" s="11">
        <f t="shared" si="35"/>
        <v>22521.989880000001</v>
      </c>
      <c r="T187" s="10">
        <f t="shared" si="36"/>
        <v>2264.4859999999999</v>
      </c>
      <c r="U187" s="10">
        <f t="shared" si="37"/>
        <v>-1506.57</v>
      </c>
      <c r="V187" s="27">
        <f t="shared" si="38"/>
        <v>9091.5881000000008</v>
      </c>
      <c r="W187" s="48">
        <f t="shared" si="39"/>
        <v>12672.485779999999</v>
      </c>
      <c r="X187" s="27"/>
      <c r="Y187" s="49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8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</row>
    <row r="188" spans="1:79" x14ac:dyDescent="0.25">
      <c r="A188" s="27">
        <v>553</v>
      </c>
      <c r="B188" s="27">
        <v>1</v>
      </c>
      <c r="C188" s="18" t="s">
        <v>154</v>
      </c>
      <c r="D188" s="11">
        <v>1725835.17</v>
      </c>
      <c r="E188" s="16">
        <v>2470003.6800000002</v>
      </c>
      <c r="F188" s="11">
        <v>2552256.6</v>
      </c>
      <c r="G188" s="11">
        <v>2637205.9</v>
      </c>
      <c r="H188" s="11">
        <v>2754329.04</v>
      </c>
      <c r="I188" s="11">
        <v>2852977.41</v>
      </c>
      <c r="J188" s="11">
        <v>2908626</v>
      </c>
      <c r="K188" s="11">
        <v>2727582.64</v>
      </c>
      <c r="L188" s="11">
        <v>2687788.65</v>
      </c>
      <c r="M188" s="11">
        <v>2713928.52</v>
      </c>
      <c r="N188" s="11">
        <f t="shared" si="34"/>
        <v>1725835.17</v>
      </c>
      <c r="O188" s="11">
        <v>519292</v>
      </c>
      <c r="P188" s="11">
        <v>-2350.62</v>
      </c>
      <c r="Q188" s="11">
        <f t="shared" si="32"/>
        <v>39100.120000000003</v>
      </c>
      <c r="R188" s="11">
        <f t="shared" si="33"/>
        <v>25328.47</v>
      </c>
      <c r="S188" s="11">
        <f t="shared" si="35"/>
        <v>40384.542977999998</v>
      </c>
      <c r="T188" s="10">
        <f t="shared" si="36"/>
        <v>3635.0439999999999</v>
      </c>
      <c r="U188" s="10">
        <f t="shared" si="37"/>
        <v>-2350.62</v>
      </c>
      <c r="V188" s="27">
        <f t="shared" si="38"/>
        <v>13771.645200000001</v>
      </c>
      <c r="W188" s="48">
        <f t="shared" si="39"/>
        <v>25328.473778</v>
      </c>
      <c r="X188" s="27"/>
      <c r="Y188" s="49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8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</row>
    <row r="189" spans="1:79" x14ac:dyDescent="0.25">
      <c r="A189" s="27">
        <v>561</v>
      </c>
      <c r="B189" s="27">
        <v>1</v>
      </c>
      <c r="C189" s="18" t="s">
        <v>155</v>
      </c>
      <c r="D189" s="11">
        <v>675257.82</v>
      </c>
      <c r="E189" s="16">
        <v>825954.52</v>
      </c>
      <c r="F189" s="11">
        <v>833118.96</v>
      </c>
      <c r="G189" s="11">
        <v>863227.94</v>
      </c>
      <c r="H189" s="11">
        <v>882189.19</v>
      </c>
      <c r="I189" s="11">
        <v>931087.08</v>
      </c>
      <c r="J189" s="11">
        <v>1015090.36</v>
      </c>
      <c r="K189" s="11">
        <v>1051466.6100000001</v>
      </c>
      <c r="L189" s="11">
        <v>1036280.37</v>
      </c>
      <c r="M189" s="11">
        <v>1063893.7</v>
      </c>
      <c r="N189" s="11">
        <f t="shared" si="34"/>
        <v>675257.82</v>
      </c>
      <c r="O189" s="11">
        <v>234496</v>
      </c>
      <c r="P189" s="11">
        <v>-1820.81</v>
      </c>
      <c r="Q189" s="11">
        <f t="shared" si="32"/>
        <v>15980.37</v>
      </c>
      <c r="R189" s="11">
        <f t="shared" si="33"/>
        <v>11569.42</v>
      </c>
      <c r="S189" s="11">
        <f t="shared" si="35"/>
        <v>15801.032987999999</v>
      </c>
      <c r="T189" s="10">
        <f t="shared" si="36"/>
        <v>1641.472</v>
      </c>
      <c r="U189" s="10">
        <f t="shared" si="37"/>
        <v>-1820.81</v>
      </c>
      <c r="V189" s="27">
        <f t="shared" si="38"/>
        <v>4410.9459500000003</v>
      </c>
      <c r="W189" s="48">
        <f t="shared" si="39"/>
        <v>11569.425037999998</v>
      </c>
      <c r="X189" s="27"/>
      <c r="Y189" s="49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8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</row>
    <row r="190" spans="1:79" x14ac:dyDescent="0.25">
      <c r="A190" s="27">
        <v>564</v>
      </c>
      <c r="B190" s="27">
        <v>1</v>
      </c>
      <c r="C190" s="18" t="s">
        <v>358</v>
      </c>
      <c r="D190" s="11">
        <v>6077174.2699999996</v>
      </c>
      <c r="E190" s="16">
        <v>8127605.3099999996</v>
      </c>
      <c r="F190" s="11">
        <v>7897455.2800000003</v>
      </c>
      <c r="G190" s="11">
        <v>8167325.9800000004</v>
      </c>
      <c r="H190" s="11">
        <v>8446879.1400000006</v>
      </c>
      <c r="I190" s="11">
        <v>8234114.6699999999</v>
      </c>
      <c r="J190" s="11">
        <v>8450029.4499999993</v>
      </c>
      <c r="K190" s="11">
        <v>8524997.1500000004</v>
      </c>
      <c r="L190" s="11">
        <v>8554860.0800000001</v>
      </c>
      <c r="M190" s="11">
        <v>8919272.7100000009</v>
      </c>
      <c r="N190" s="11">
        <f t="shared" si="34"/>
        <v>6077174.2699999996</v>
      </c>
      <c r="O190" s="11">
        <v>2005781</v>
      </c>
      <c r="P190" s="11">
        <v>-14434.71</v>
      </c>
      <c r="Q190" s="11">
        <f t="shared" si="32"/>
        <v>142600.12</v>
      </c>
      <c r="R190" s="11">
        <f t="shared" si="33"/>
        <v>100365.72</v>
      </c>
      <c r="S190" s="11">
        <f t="shared" si="35"/>
        <v>142205.87791799998</v>
      </c>
      <c r="T190" s="10">
        <f t="shared" si="36"/>
        <v>14040.467000000001</v>
      </c>
      <c r="U190" s="10">
        <f t="shared" si="37"/>
        <v>-14434.71</v>
      </c>
      <c r="V190" s="27">
        <f t="shared" si="38"/>
        <v>42234.395700000001</v>
      </c>
      <c r="W190" s="48">
        <f t="shared" si="39"/>
        <v>100365.72521799998</v>
      </c>
      <c r="X190" s="27"/>
      <c r="Y190" s="49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8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</row>
    <row r="191" spans="1:79" x14ac:dyDescent="0.25">
      <c r="A191" s="27">
        <v>577</v>
      </c>
      <c r="B191" s="27">
        <v>1</v>
      </c>
      <c r="C191" s="18" t="s">
        <v>156</v>
      </c>
      <c r="D191" s="11">
        <v>1200989.1100000001</v>
      </c>
      <c r="E191" s="16">
        <v>1836876.41</v>
      </c>
      <c r="F191" s="11">
        <v>1839879.2</v>
      </c>
      <c r="G191" s="11">
        <v>1669339.65</v>
      </c>
      <c r="H191" s="11">
        <v>1625381.31</v>
      </c>
      <c r="I191" s="11">
        <v>1715676.32</v>
      </c>
      <c r="J191" s="11">
        <v>1782160.24</v>
      </c>
      <c r="K191" s="11">
        <v>1995168.6</v>
      </c>
      <c r="L191" s="11">
        <v>1977031.98</v>
      </c>
      <c r="M191" s="11">
        <v>1983322.95</v>
      </c>
      <c r="N191" s="11">
        <f t="shared" si="34"/>
        <v>1200989.1100000001</v>
      </c>
      <c r="O191" s="11">
        <v>413226</v>
      </c>
      <c r="P191" s="11">
        <v>-1515.2</v>
      </c>
      <c r="Q191" s="11">
        <f t="shared" si="32"/>
        <v>26725.77</v>
      </c>
      <c r="R191" s="11">
        <f t="shared" si="33"/>
        <v>18598.86</v>
      </c>
      <c r="S191" s="11">
        <f t="shared" si="35"/>
        <v>28103.145174000005</v>
      </c>
      <c r="T191" s="10">
        <f t="shared" si="36"/>
        <v>2892.5819999999999</v>
      </c>
      <c r="U191" s="10">
        <f t="shared" si="37"/>
        <v>-1515.2</v>
      </c>
      <c r="V191" s="27">
        <f t="shared" si="38"/>
        <v>8126.9065500000006</v>
      </c>
      <c r="W191" s="48">
        <f t="shared" si="39"/>
        <v>18598.856624000007</v>
      </c>
      <c r="X191" s="27"/>
      <c r="Y191" s="49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8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</row>
    <row r="192" spans="1:79" x14ac:dyDescent="0.25">
      <c r="A192" s="27">
        <v>578</v>
      </c>
      <c r="B192" s="27">
        <v>1</v>
      </c>
      <c r="C192" s="18" t="s">
        <v>157</v>
      </c>
      <c r="D192" s="11">
        <v>4680983.33</v>
      </c>
      <c r="E192" s="16">
        <v>6651504.2699999996</v>
      </c>
      <c r="F192" s="11">
        <v>6337979.9000000004</v>
      </c>
      <c r="G192" s="11">
        <v>6707136.6399999997</v>
      </c>
      <c r="H192" s="11">
        <v>7032711.5300000003</v>
      </c>
      <c r="I192" s="11">
        <v>7252488.8399999999</v>
      </c>
      <c r="J192" s="11">
        <v>7403252.5999999996</v>
      </c>
      <c r="K192" s="11">
        <v>7441037.2599999998</v>
      </c>
      <c r="L192" s="11">
        <v>7397185.7699999996</v>
      </c>
      <c r="M192" s="11">
        <v>7609514.1399999997</v>
      </c>
      <c r="N192" s="11">
        <f t="shared" si="34"/>
        <v>4680983.33</v>
      </c>
      <c r="O192" s="11">
        <v>1085532</v>
      </c>
      <c r="P192" s="11">
        <v>-4485.8599999999997</v>
      </c>
      <c r="Q192" s="11">
        <f t="shared" si="32"/>
        <v>106422.15</v>
      </c>
      <c r="R192" s="11">
        <f t="shared" si="33"/>
        <v>71258.59</v>
      </c>
      <c r="S192" s="11">
        <f t="shared" si="35"/>
        <v>109535.00992200001</v>
      </c>
      <c r="T192" s="10">
        <f t="shared" si="36"/>
        <v>7598.7240000000002</v>
      </c>
      <c r="U192" s="10">
        <f t="shared" si="37"/>
        <v>-4485.8599999999997</v>
      </c>
      <c r="V192" s="27">
        <f t="shared" si="38"/>
        <v>35163.557650000002</v>
      </c>
      <c r="W192" s="48">
        <f t="shared" si="39"/>
        <v>71258.588272000008</v>
      </c>
      <c r="X192" s="27"/>
      <c r="Y192" s="49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8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</row>
    <row r="193" spans="1:79" x14ac:dyDescent="0.25">
      <c r="A193" s="27">
        <v>581</v>
      </c>
      <c r="B193" s="27">
        <v>1</v>
      </c>
      <c r="C193" s="18" t="s">
        <v>158</v>
      </c>
      <c r="D193" s="11">
        <v>771881.66</v>
      </c>
      <c r="E193" s="16">
        <v>1203048.95</v>
      </c>
      <c r="F193" s="11">
        <v>1081733.75</v>
      </c>
      <c r="G193" s="11">
        <v>1284308.6100000001</v>
      </c>
      <c r="H193" s="11">
        <v>1371119.88</v>
      </c>
      <c r="I193" s="11">
        <v>1448163.92</v>
      </c>
      <c r="J193" s="11">
        <v>1527283.22</v>
      </c>
      <c r="K193" s="11">
        <v>1418998.83</v>
      </c>
      <c r="L193" s="11">
        <v>1430812.49</v>
      </c>
      <c r="M193" s="11">
        <v>1488511.73</v>
      </c>
      <c r="N193" s="11">
        <f t="shared" si="34"/>
        <v>771881.66</v>
      </c>
      <c r="O193" s="11">
        <v>180498</v>
      </c>
      <c r="P193" s="11">
        <v>-503.24</v>
      </c>
      <c r="Q193" s="11">
        <f t="shared" si="32"/>
        <v>17301.78</v>
      </c>
      <c r="R193" s="11">
        <f t="shared" si="33"/>
        <v>10446.18</v>
      </c>
      <c r="S193" s="11">
        <f t="shared" si="35"/>
        <v>18062.030844000001</v>
      </c>
      <c r="T193" s="10">
        <f t="shared" si="36"/>
        <v>1263.4860000000001</v>
      </c>
      <c r="U193" s="10">
        <f t="shared" si="37"/>
        <v>-503.24</v>
      </c>
      <c r="V193" s="27">
        <f t="shared" si="38"/>
        <v>6855.5993999999992</v>
      </c>
      <c r="W193" s="48">
        <f t="shared" si="39"/>
        <v>10446.185444000002</v>
      </c>
      <c r="X193" s="27"/>
      <c r="Y193" s="49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8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</row>
    <row r="194" spans="1:79" x14ac:dyDescent="0.25">
      <c r="A194" s="27">
        <v>592</v>
      </c>
      <c r="B194" s="27">
        <v>1</v>
      </c>
      <c r="C194" s="18" t="s">
        <v>160</v>
      </c>
      <c r="D194" s="11">
        <v>599672.11</v>
      </c>
      <c r="E194" s="16">
        <v>817542.93</v>
      </c>
      <c r="F194" s="11">
        <v>863603.15</v>
      </c>
      <c r="G194" s="11">
        <v>873312.68</v>
      </c>
      <c r="H194" s="11">
        <v>889133.28</v>
      </c>
      <c r="I194" s="11">
        <v>911995.82</v>
      </c>
      <c r="J194" s="11">
        <v>865080.4</v>
      </c>
      <c r="K194" s="11">
        <v>872927.91</v>
      </c>
      <c r="L194" s="11">
        <v>866462.1</v>
      </c>
      <c r="M194" s="11">
        <v>834937.79</v>
      </c>
      <c r="N194" s="11">
        <f t="shared" si="34"/>
        <v>599672.11</v>
      </c>
      <c r="O194" s="11">
        <v>153735</v>
      </c>
      <c r="P194" s="11">
        <v>-1578.98</v>
      </c>
      <c r="Q194" s="11">
        <f t="shared" si="32"/>
        <v>14535.16</v>
      </c>
      <c r="R194" s="11">
        <f t="shared" si="33"/>
        <v>10089.49</v>
      </c>
      <c r="S194" s="11">
        <f t="shared" si="35"/>
        <v>14032.327374</v>
      </c>
      <c r="T194" s="10">
        <f t="shared" si="36"/>
        <v>1076.145</v>
      </c>
      <c r="U194" s="10">
        <f t="shared" si="37"/>
        <v>-1578.98</v>
      </c>
      <c r="V194" s="27">
        <f t="shared" si="38"/>
        <v>4445.6664000000001</v>
      </c>
      <c r="W194" s="48">
        <f t="shared" si="39"/>
        <v>10089.495973999999</v>
      </c>
      <c r="X194" s="27"/>
      <c r="Y194" s="49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8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</row>
    <row r="195" spans="1:79" x14ac:dyDescent="0.25">
      <c r="A195" s="27">
        <v>593</v>
      </c>
      <c r="B195" s="27">
        <v>1</v>
      </c>
      <c r="C195" s="18" t="s">
        <v>161</v>
      </c>
      <c r="D195" s="11">
        <v>5541668.8099999996</v>
      </c>
      <c r="E195" s="16">
        <v>5176319.33</v>
      </c>
      <c r="F195" s="11">
        <v>5523879.6500000004</v>
      </c>
      <c r="G195" s="11">
        <v>5769411.71</v>
      </c>
      <c r="H195" s="11">
        <v>5848691.1699999999</v>
      </c>
      <c r="I195" s="11">
        <v>6179301.7400000002</v>
      </c>
      <c r="J195" s="11">
        <v>6476553.6600000001</v>
      </c>
      <c r="K195" s="11">
        <v>6286943.9000000004</v>
      </c>
      <c r="L195" s="11">
        <v>5117062.5</v>
      </c>
      <c r="M195" s="11">
        <v>5808075.2000000002</v>
      </c>
      <c r="N195" s="11">
        <f t="shared" si="34"/>
        <v>5117062.5</v>
      </c>
      <c r="O195" s="11">
        <v>1459234</v>
      </c>
      <c r="P195" s="11">
        <v>-6718.28</v>
      </c>
      <c r="Q195" s="11">
        <f t="shared" si="32"/>
        <v>116242.9</v>
      </c>
      <c r="R195" s="11">
        <f t="shared" si="33"/>
        <v>86999.44</v>
      </c>
      <c r="S195" s="11">
        <f t="shared" si="35"/>
        <v>119739.2625</v>
      </c>
      <c r="T195" s="10">
        <f t="shared" si="36"/>
        <v>10214.638000000001</v>
      </c>
      <c r="U195" s="10">
        <f t="shared" si="37"/>
        <v>-6718.28</v>
      </c>
      <c r="V195" s="27">
        <f t="shared" si="38"/>
        <v>29243.455849999998</v>
      </c>
      <c r="W195" s="48">
        <f t="shared" si="39"/>
        <v>86999.448649999991</v>
      </c>
      <c r="X195" s="27"/>
      <c r="Y195" s="49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8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</row>
    <row r="196" spans="1:79" x14ac:dyDescent="0.25">
      <c r="A196" s="27">
        <v>595</v>
      </c>
      <c r="B196" s="27">
        <v>1</v>
      </c>
      <c r="C196" s="18" t="s">
        <v>162</v>
      </c>
      <c r="D196" s="11">
        <v>6800932.04</v>
      </c>
      <c r="E196" s="16">
        <v>6787665.9000000004</v>
      </c>
      <c r="F196" s="11">
        <v>7041486.2699999996</v>
      </c>
      <c r="G196" s="11">
        <v>6996820.2199999997</v>
      </c>
      <c r="H196" s="11">
        <v>6888964.0599999996</v>
      </c>
      <c r="I196" s="11">
        <v>6685299.7300000004</v>
      </c>
      <c r="J196" s="11">
        <v>6908993.4000000004</v>
      </c>
      <c r="K196" s="11">
        <v>6660364.3700000001</v>
      </c>
      <c r="L196" s="11">
        <v>6692094.7000000002</v>
      </c>
      <c r="M196" s="11">
        <v>7007990.5999999996</v>
      </c>
      <c r="N196" s="11">
        <f t="shared" si="34"/>
        <v>6660364.3700000001</v>
      </c>
      <c r="O196" s="11">
        <v>1543797</v>
      </c>
      <c r="P196" s="11">
        <v>-4913.5</v>
      </c>
      <c r="Q196" s="11">
        <f t="shared" si="32"/>
        <v>149959.45000000001</v>
      </c>
      <c r="R196" s="11">
        <f t="shared" si="33"/>
        <v>115514.63</v>
      </c>
      <c r="S196" s="11">
        <f t="shared" si="35"/>
        <v>155852.526258</v>
      </c>
      <c r="T196" s="10">
        <f t="shared" si="36"/>
        <v>10806.579</v>
      </c>
      <c r="U196" s="10">
        <f t="shared" si="37"/>
        <v>-4913.5</v>
      </c>
      <c r="V196" s="27">
        <f t="shared" si="38"/>
        <v>34444.820299999999</v>
      </c>
      <c r="W196" s="48">
        <f t="shared" si="39"/>
        <v>115514.62695800001</v>
      </c>
      <c r="X196" s="27"/>
      <c r="Y196" s="49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8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</row>
    <row r="197" spans="1:79" x14ac:dyDescent="0.25">
      <c r="A197" s="27">
        <v>599</v>
      </c>
      <c r="B197" s="27">
        <v>1</v>
      </c>
      <c r="C197" s="18" t="s">
        <v>163</v>
      </c>
      <c r="D197" s="11">
        <v>1724629.575</v>
      </c>
      <c r="E197" s="16">
        <v>2204691.0299999998</v>
      </c>
      <c r="F197" s="11">
        <v>2157931.8199999998</v>
      </c>
      <c r="G197" s="11">
        <v>2246388.58</v>
      </c>
      <c r="H197" s="11">
        <v>2294598.67</v>
      </c>
      <c r="I197" s="11">
        <v>2258907.63</v>
      </c>
      <c r="J197" s="11">
        <v>2254425.81</v>
      </c>
      <c r="K197" s="11">
        <v>2175575.84</v>
      </c>
      <c r="L197" s="11">
        <v>2110224.29</v>
      </c>
      <c r="M197" s="11">
        <v>2245721.9700000002</v>
      </c>
      <c r="N197" s="11">
        <f t="shared" si="34"/>
        <v>1724629.575</v>
      </c>
      <c r="O197" s="11">
        <v>565996.5</v>
      </c>
      <c r="P197" s="11">
        <v>-2608.5650000000001</v>
      </c>
      <c r="Q197" s="11">
        <f t="shared" si="32"/>
        <v>39002.915000000001</v>
      </c>
      <c r="R197" s="11">
        <f t="shared" si="33"/>
        <v>27529.919999999998</v>
      </c>
      <c r="S197" s="11">
        <f t="shared" si="35"/>
        <v>40356.332054999999</v>
      </c>
      <c r="T197" s="10">
        <f t="shared" si="36"/>
        <v>3961.9755</v>
      </c>
      <c r="U197" s="10">
        <f t="shared" si="37"/>
        <v>-2608.5650000000001</v>
      </c>
      <c r="V197" s="27">
        <f t="shared" si="38"/>
        <v>11472.993350000001</v>
      </c>
      <c r="W197" s="48">
        <f t="shared" si="39"/>
        <v>27529.928205</v>
      </c>
      <c r="X197" s="27"/>
      <c r="Y197" s="49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8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</row>
    <row r="198" spans="1:79" x14ac:dyDescent="0.25">
      <c r="A198" s="27">
        <v>600</v>
      </c>
      <c r="B198" s="27">
        <v>1</v>
      </c>
      <c r="C198" s="18" t="s">
        <v>164</v>
      </c>
      <c r="D198" s="11">
        <v>819146.57</v>
      </c>
      <c r="E198" s="16">
        <v>1209657.23</v>
      </c>
      <c r="F198" s="11">
        <v>1239908.3999999999</v>
      </c>
      <c r="G198" s="11">
        <v>1296562.7</v>
      </c>
      <c r="H198" s="11">
        <v>1355030.63</v>
      </c>
      <c r="I198" s="11">
        <v>1378681.89</v>
      </c>
      <c r="J198" s="11">
        <v>1199073.75</v>
      </c>
      <c r="K198" s="11">
        <v>1157428.26</v>
      </c>
      <c r="L198" s="11">
        <v>1130003.47</v>
      </c>
      <c r="M198" s="11">
        <v>1153024.2</v>
      </c>
      <c r="N198" s="11">
        <f t="shared" si="34"/>
        <v>819146.57</v>
      </c>
      <c r="O198" s="11">
        <v>155967</v>
      </c>
      <c r="P198" s="11">
        <v>-994.29</v>
      </c>
      <c r="Q198" s="11">
        <f t="shared" si="32"/>
        <v>19070.55</v>
      </c>
      <c r="R198" s="11">
        <f t="shared" si="33"/>
        <v>12295.4</v>
      </c>
      <c r="S198" s="11">
        <f t="shared" si="35"/>
        <v>19168.029738000001</v>
      </c>
      <c r="T198" s="10">
        <f t="shared" si="36"/>
        <v>1091.769</v>
      </c>
      <c r="U198" s="10">
        <f t="shared" si="37"/>
        <v>-994.29</v>
      </c>
      <c r="V198" s="27">
        <f t="shared" si="38"/>
        <v>6775.1531499999992</v>
      </c>
      <c r="W198" s="48">
        <f t="shared" si="39"/>
        <v>12295.397588000003</v>
      </c>
      <c r="X198" s="27"/>
      <c r="Y198" s="49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8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</row>
    <row r="199" spans="1:79" x14ac:dyDescent="0.25">
      <c r="A199" s="27">
        <v>601</v>
      </c>
      <c r="B199" s="27">
        <v>1</v>
      </c>
      <c r="C199" s="18" t="s">
        <v>165</v>
      </c>
      <c r="D199" s="11">
        <v>2081487.75</v>
      </c>
      <c r="E199" s="16">
        <v>2616950.11</v>
      </c>
      <c r="F199" s="11">
        <v>2489220.69</v>
      </c>
      <c r="G199" s="11">
        <v>2576939.65</v>
      </c>
      <c r="H199" s="11">
        <v>2577643.34</v>
      </c>
      <c r="I199" s="11">
        <v>2683563.87</v>
      </c>
      <c r="J199" s="11">
        <v>2810558.83</v>
      </c>
      <c r="K199" s="11">
        <v>2858931.6</v>
      </c>
      <c r="L199" s="11">
        <v>2851009.87</v>
      </c>
      <c r="M199" s="11">
        <v>2939509.06</v>
      </c>
      <c r="N199" s="11">
        <f t="shared" si="34"/>
        <v>2081487.75</v>
      </c>
      <c r="O199" s="11">
        <v>532199</v>
      </c>
      <c r="P199" s="11">
        <v>-3124.02</v>
      </c>
      <c r="Q199" s="11">
        <f t="shared" si="32"/>
        <v>48105.439999999995</v>
      </c>
      <c r="R199" s="11">
        <f t="shared" si="33"/>
        <v>35217.22</v>
      </c>
      <c r="S199" s="11">
        <f t="shared" si="35"/>
        <v>48706.813350000004</v>
      </c>
      <c r="T199" s="10">
        <f t="shared" si="36"/>
        <v>3725.393</v>
      </c>
      <c r="U199" s="10">
        <f t="shared" si="37"/>
        <v>-3124.02</v>
      </c>
      <c r="V199" s="27">
        <f t="shared" si="38"/>
        <v>12888.216699999999</v>
      </c>
      <c r="W199" s="48">
        <f t="shared" si="39"/>
        <v>35217.22365</v>
      </c>
      <c r="X199" s="27"/>
      <c r="Y199" s="49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8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</row>
    <row r="200" spans="1:79" x14ac:dyDescent="0.25">
      <c r="A200" s="27">
        <v>611</v>
      </c>
      <c r="B200" s="27">
        <v>1</v>
      </c>
      <c r="C200" s="18" t="s">
        <v>166</v>
      </c>
      <c r="D200" s="11">
        <v>256796.22</v>
      </c>
      <c r="E200" s="16">
        <v>232061.59</v>
      </c>
      <c r="F200" s="11">
        <v>205298.05</v>
      </c>
      <c r="G200" s="11">
        <v>283736.63</v>
      </c>
      <c r="H200" s="11">
        <v>313825.21999999997</v>
      </c>
      <c r="I200" s="11">
        <v>295051.68</v>
      </c>
      <c r="J200" s="11">
        <v>315184.12</v>
      </c>
      <c r="K200" s="11">
        <v>346743.38</v>
      </c>
      <c r="L200" s="11">
        <v>257020.21</v>
      </c>
      <c r="M200" s="11">
        <v>223582.71</v>
      </c>
      <c r="N200" s="11">
        <f t="shared" si="34"/>
        <v>205298.05</v>
      </c>
      <c r="O200" s="11">
        <v>158936</v>
      </c>
      <c r="P200" s="11">
        <v>-837.83</v>
      </c>
      <c r="Q200" s="11">
        <f t="shared" si="32"/>
        <v>4529.25</v>
      </c>
      <c r="R200" s="11">
        <f t="shared" si="33"/>
        <v>2960.12</v>
      </c>
      <c r="S200" s="11">
        <f t="shared" si="35"/>
        <v>4803.9743699999999</v>
      </c>
      <c r="T200" s="10">
        <f t="shared" si="36"/>
        <v>1112.5520000000001</v>
      </c>
      <c r="U200" s="10">
        <f t="shared" si="37"/>
        <v>-837.83</v>
      </c>
      <c r="V200" s="27">
        <f t="shared" si="38"/>
        <v>1569.1261</v>
      </c>
      <c r="W200" s="48">
        <f t="shared" si="39"/>
        <v>2960.1262700000002</v>
      </c>
      <c r="X200" s="27"/>
      <c r="Y200" s="49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8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</row>
    <row r="201" spans="1:79" x14ac:dyDescent="0.25">
      <c r="A201" s="27">
        <v>621</v>
      </c>
      <c r="B201" s="27">
        <v>1</v>
      </c>
      <c r="C201" s="18" t="s">
        <v>167</v>
      </c>
      <c r="D201" s="11">
        <v>34653867.039999999</v>
      </c>
      <c r="E201" s="16">
        <v>36145748.090000004</v>
      </c>
      <c r="F201" s="11">
        <v>38757991.75</v>
      </c>
      <c r="G201" s="11">
        <v>40106287.68</v>
      </c>
      <c r="H201" s="11">
        <v>41030173.350000001</v>
      </c>
      <c r="I201" s="11">
        <v>42664439.670000002</v>
      </c>
      <c r="J201" s="11">
        <v>45383717.020000003</v>
      </c>
      <c r="K201" s="11">
        <v>46243609.270000003</v>
      </c>
      <c r="L201" s="11">
        <v>47385959.520000003</v>
      </c>
      <c r="M201" s="11">
        <v>51207178.359999999</v>
      </c>
      <c r="N201" s="11">
        <f t="shared" si="34"/>
        <v>34653867.039999999</v>
      </c>
      <c r="O201" s="11">
        <v>13046644</v>
      </c>
      <c r="P201" s="11">
        <v>-50810.559999999998</v>
      </c>
      <c r="Q201" s="11">
        <f t="shared" si="32"/>
        <v>770384.54</v>
      </c>
      <c r="R201" s="11">
        <f t="shared" si="33"/>
        <v>565233.67000000004</v>
      </c>
      <c r="S201" s="11">
        <f t="shared" si="35"/>
        <v>810900.48873600003</v>
      </c>
      <c r="T201" s="10">
        <f t="shared" si="36"/>
        <v>91326.508000000002</v>
      </c>
      <c r="U201" s="10">
        <f t="shared" si="37"/>
        <v>-50810.559999999998</v>
      </c>
      <c r="V201" s="27">
        <f t="shared" si="38"/>
        <v>205150.86675000002</v>
      </c>
      <c r="W201" s="48">
        <f t="shared" si="39"/>
        <v>565233.67398600001</v>
      </c>
      <c r="X201" s="27"/>
      <c r="Y201" s="49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8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</row>
    <row r="202" spans="1:79" x14ac:dyDescent="0.25">
      <c r="A202" s="27">
        <v>622</v>
      </c>
      <c r="B202" s="27">
        <v>1</v>
      </c>
      <c r="C202" s="18" t="s">
        <v>359</v>
      </c>
      <c r="D202" s="11">
        <v>31343060.260000002</v>
      </c>
      <c r="E202" s="16">
        <v>42590887.219999999</v>
      </c>
      <c r="F202" s="11">
        <v>43031104.560000002</v>
      </c>
      <c r="G202" s="11">
        <v>42040513.270000003</v>
      </c>
      <c r="H202" s="11">
        <v>43169735.060000002</v>
      </c>
      <c r="I202" s="11">
        <v>44470666.009999998</v>
      </c>
      <c r="J202" s="11">
        <v>48650949.899999999</v>
      </c>
      <c r="K202" s="11">
        <v>49470276.600000001</v>
      </c>
      <c r="L202" s="11">
        <v>50140125.219999999</v>
      </c>
      <c r="M202" s="11">
        <v>50871580.890000001</v>
      </c>
      <c r="N202" s="11">
        <f t="shared" si="34"/>
        <v>31343060.260000002</v>
      </c>
      <c r="O202" s="11">
        <v>10024122</v>
      </c>
      <c r="P202" s="11">
        <v>-40589.25</v>
      </c>
      <c r="Q202" s="11">
        <f t="shared" si="32"/>
        <v>703848.01</v>
      </c>
      <c r="R202" s="11">
        <f t="shared" si="33"/>
        <v>487999.33</v>
      </c>
      <c r="S202" s="11">
        <f t="shared" si="35"/>
        <v>733427.61008400004</v>
      </c>
      <c r="T202" s="10">
        <f t="shared" si="36"/>
        <v>70168.854000000007</v>
      </c>
      <c r="U202" s="10">
        <f t="shared" si="37"/>
        <v>-40589.25</v>
      </c>
      <c r="V202" s="27">
        <f t="shared" si="38"/>
        <v>215848.6753</v>
      </c>
      <c r="W202" s="48">
        <f t="shared" si="39"/>
        <v>487999.33078399999</v>
      </c>
      <c r="X202" s="27"/>
      <c r="Y202" s="49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8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</row>
    <row r="203" spans="1:79" x14ac:dyDescent="0.25">
      <c r="A203" s="27">
        <v>623</v>
      </c>
      <c r="B203" s="27">
        <v>1</v>
      </c>
      <c r="C203" s="18" t="s">
        <v>168</v>
      </c>
      <c r="D203" s="11">
        <v>23059222.919999998</v>
      </c>
      <c r="E203" s="16">
        <v>26185659.629999999</v>
      </c>
      <c r="F203" s="11">
        <v>25985669.390000001</v>
      </c>
      <c r="G203" s="11">
        <v>25745768.609999999</v>
      </c>
      <c r="H203" s="11">
        <v>27391595.149999999</v>
      </c>
      <c r="I203" s="11">
        <v>28690723.030000001</v>
      </c>
      <c r="J203" s="11">
        <v>31956122.559999999</v>
      </c>
      <c r="K203" s="11">
        <v>33903018.109999999</v>
      </c>
      <c r="L203" s="11">
        <v>34312383.049999997</v>
      </c>
      <c r="M203" s="11">
        <v>35519015.75</v>
      </c>
      <c r="N203" s="11">
        <f t="shared" si="34"/>
        <v>23059222.919999998</v>
      </c>
      <c r="O203" s="11">
        <v>8796641</v>
      </c>
      <c r="P203" s="11">
        <v>-39883.15</v>
      </c>
      <c r="Q203" s="11">
        <f t="shared" si="32"/>
        <v>517892.48</v>
      </c>
      <c r="R203" s="11">
        <f t="shared" si="33"/>
        <v>380934.5</v>
      </c>
      <c r="S203" s="11">
        <f t="shared" si="35"/>
        <v>539585.81632799993</v>
      </c>
      <c r="T203" s="10">
        <f t="shared" si="36"/>
        <v>61576.487000000001</v>
      </c>
      <c r="U203" s="10">
        <f t="shared" si="37"/>
        <v>-39883.15</v>
      </c>
      <c r="V203" s="27">
        <f t="shared" si="38"/>
        <v>136957.97574999998</v>
      </c>
      <c r="W203" s="48">
        <f t="shared" si="39"/>
        <v>380934.50357799995</v>
      </c>
      <c r="X203" s="27"/>
      <c r="Y203" s="49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8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</row>
    <row r="204" spans="1:79" x14ac:dyDescent="0.25">
      <c r="A204" s="27">
        <v>624</v>
      </c>
      <c r="B204" s="27">
        <v>1</v>
      </c>
      <c r="C204" s="18" t="s">
        <v>169</v>
      </c>
      <c r="D204" s="11">
        <v>24331550.079999998</v>
      </c>
      <c r="E204" s="16">
        <v>32821825.370000001</v>
      </c>
      <c r="F204" s="11">
        <v>32150284.690000001</v>
      </c>
      <c r="G204" s="11">
        <v>32882339.129999999</v>
      </c>
      <c r="H204" s="11">
        <v>33332225.91</v>
      </c>
      <c r="I204" s="11">
        <v>32943195.359999999</v>
      </c>
      <c r="J204" s="11">
        <v>35216849.960000001</v>
      </c>
      <c r="K204" s="11">
        <v>37544411.149999999</v>
      </c>
      <c r="L204" s="11">
        <v>38434296.289999999</v>
      </c>
      <c r="M204" s="11">
        <v>40087799.270000003</v>
      </c>
      <c r="N204" s="11">
        <f t="shared" si="34"/>
        <v>24331550.079999998</v>
      </c>
      <c r="O204" s="11">
        <v>7773135</v>
      </c>
      <c r="P204" s="11">
        <v>-33777.769999999997</v>
      </c>
      <c r="Q204" s="11">
        <f t="shared" si="32"/>
        <v>548724.09</v>
      </c>
      <c r="R204" s="11">
        <f t="shared" si="33"/>
        <v>382062.96</v>
      </c>
      <c r="S204" s="11">
        <f t="shared" si="35"/>
        <v>569358.27187199995</v>
      </c>
      <c r="T204" s="10">
        <f t="shared" si="36"/>
        <v>54411.945</v>
      </c>
      <c r="U204" s="10">
        <f t="shared" si="37"/>
        <v>-33777.769999999997</v>
      </c>
      <c r="V204" s="27">
        <f t="shared" si="38"/>
        <v>166661.12955000001</v>
      </c>
      <c r="W204" s="48">
        <f t="shared" si="39"/>
        <v>382062.96732199989</v>
      </c>
      <c r="X204" s="27"/>
      <c r="Y204" s="49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8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</row>
    <row r="205" spans="1:79" x14ac:dyDescent="0.25">
      <c r="A205" s="27">
        <v>625</v>
      </c>
      <c r="B205" s="27">
        <v>1</v>
      </c>
      <c r="C205" s="18" t="s">
        <v>170</v>
      </c>
      <c r="D205" s="11">
        <v>0</v>
      </c>
      <c r="E205" s="16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f t="shared" si="34"/>
        <v>0</v>
      </c>
      <c r="O205" s="11">
        <v>57713151</v>
      </c>
      <c r="P205" s="11">
        <v>-219555.38</v>
      </c>
      <c r="Q205" s="11">
        <f t="shared" si="32"/>
        <v>-184436.68</v>
      </c>
      <c r="R205" s="11">
        <f t="shared" si="33"/>
        <v>-184436.68</v>
      </c>
      <c r="S205" s="11">
        <f t="shared" si="35"/>
        <v>0</v>
      </c>
      <c r="T205" s="10">
        <f t="shared" si="36"/>
        <v>403992.05700000003</v>
      </c>
      <c r="U205" s="10">
        <f t="shared" si="37"/>
        <v>-219555.38</v>
      </c>
      <c r="V205" s="27">
        <f t="shared" si="38"/>
        <v>0</v>
      </c>
      <c r="W205" s="48">
        <f t="shared" si="39"/>
        <v>-184436.67700000003</v>
      </c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8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</row>
    <row r="206" spans="1:79" x14ac:dyDescent="0.25">
      <c r="A206" s="27">
        <v>627</v>
      </c>
      <c r="B206" s="27">
        <v>1</v>
      </c>
      <c r="C206" s="18" t="s">
        <v>171</v>
      </c>
      <c r="D206" s="11">
        <v>774440.11</v>
      </c>
      <c r="E206" s="16">
        <v>985212.84</v>
      </c>
      <c r="F206" s="11">
        <v>1027519.72</v>
      </c>
      <c r="G206" s="11">
        <v>1021695.97</v>
      </c>
      <c r="H206" s="11">
        <v>940258.98</v>
      </c>
      <c r="I206" s="11">
        <v>963573.16</v>
      </c>
      <c r="J206" s="11">
        <v>995354.77</v>
      </c>
      <c r="K206" s="11">
        <v>952623.83</v>
      </c>
      <c r="L206" s="11">
        <v>828657.98</v>
      </c>
      <c r="M206" s="11">
        <v>884277.14</v>
      </c>
      <c r="N206" s="11">
        <f t="shared" si="34"/>
        <v>774440.11</v>
      </c>
      <c r="O206" s="11">
        <v>286748</v>
      </c>
      <c r="P206" s="11">
        <v>-977.94</v>
      </c>
      <c r="Q206" s="11">
        <f t="shared" si="32"/>
        <v>17092.600000000002</v>
      </c>
      <c r="R206" s="11">
        <f t="shared" si="33"/>
        <v>12391.31</v>
      </c>
      <c r="S206" s="11">
        <f t="shared" si="35"/>
        <v>18121.898573999999</v>
      </c>
      <c r="T206" s="10">
        <f t="shared" si="36"/>
        <v>2007.2360000000001</v>
      </c>
      <c r="U206" s="10">
        <f t="shared" si="37"/>
        <v>-977.94</v>
      </c>
      <c r="V206" s="27">
        <f t="shared" si="38"/>
        <v>4701.2948999999999</v>
      </c>
      <c r="W206" s="48">
        <f t="shared" si="39"/>
        <v>12391.307673999996</v>
      </c>
      <c r="X206" s="27"/>
      <c r="Y206" s="49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8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</row>
    <row r="207" spans="1:79" x14ac:dyDescent="0.25">
      <c r="A207" s="27">
        <v>628</v>
      </c>
      <c r="B207" s="27">
        <v>1</v>
      </c>
      <c r="C207" s="18" t="s">
        <v>172</v>
      </c>
      <c r="D207" s="11">
        <v>573883.22</v>
      </c>
      <c r="E207" s="16">
        <v>761322.06</v>
      </c>
      <c r="F207" s="11">
        <v>826347.27</v>
      </c>
      <c r="G207" s="11">
        <v>744704.59</v>
      </c>
      <c r="H207" s="11">
        <v>784579.32</v>
      </c>
      <c r="I207" s="11">
        <v>813056.66</v>
      </c>
      <c r="J207" s="11">
        <v>822146.74</v>
      </c>
      <c r="K207" s="11">
        <v>881003.04</v>
      </c>
      <c r="L207" s="11">
        <v>1025161.06</v>
      </c>
      <c r="M207" s="11">
        <v>1053309.57</v>
      </c>
      <c r="N207" s="11">
        <f t="shared" si="34"/>
        <v>573883.22</v>
      </c>
      <c r="O207" s="11">
        <v>160969</v>
      </c>
      <c r="P207" s="11">
        <v>-1111.44</v>
      </c>
      <c r="Q207" s="11">
        <f t="shared" si="32"/>
        <v>13413.53</v>
      </c>
      <c r="R207" s="11">
        <f t="shared" si="33"/>
        <v>9490.6299999999992</v>
      </c>
      <c r="S207" s="11">
        <f t="shared" si="35"/>
        <v>13428.867348</v>
      </c>
      <c r="T207" s="10">
        <f t="shared" si="36"/>
        <v>1126.7830000000001</v>
      </c>
      <c r="U207" s="10">
        <f t="shared" si="37"/>
        <v>-1111.44</v>
      </c>
      <c r="V207" s="27">
        <f t="shared" si="38"/>
        <v>3922.8966</v>
      </c>
      <c r="W207" s="48">
        <f t="shared" si="39"/>
        <v>9490.6277480000008</v>
      </c>
      <c r="X207" s="27"/>
      <c r="Y207" s="49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8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</row>
    <row r="208" spans="1:79" x14ac:dyDescent="0.25">
      <c r="A208" s="27">
        <v>630</v>
      </c>
      <c r="B208" s="27">
        <v>1</v>
      </c>
      <c r="C208" s="18" t="s">
        <v>173</v>
      </c>
      <c r="D208" s="11">
        <v>1099550.96</v>
      </c>
      <c r="E208" s="16">
        <v>1611746.45</v>
      </c>
      <c r="F208" s="11">
        <v>1783391.03</v>
      </c>
      <c r="G208" s="11">
        <v>1815950</v>
      </c>
      <c r="H208" s="11">
        <v>1874796.92</v>
      </c>
      <c r="I208" s="11">
        <v>1958090.88</v>
      </c>
      <c r="J208" s="11">
        <v>1823854.49</v>
      </c>
      <c r="K208" s="11">
        <v>1842375.24</v>
      </c>
      <c r="L208" s="11">
        <v>1948179.96</v>
      </c>
      <c r="M208" s="11">
        <v>1997480.26</v>
      </c>
      <c r="N208" s="11">
        <f t="shared" si="34"/>
        <v>1099550.96</v>
      </c>
      <c r="O208" s="11">
        <v>420402</v>
      </c>
      <c r="P208" s="11">
        <v>-2291.5300000000002</v>
      </c>
      <c r="Q208" s="11">
        <f t="shared" si="32"/>
        <v>25078.21</v>
      </c>
      <c r="R208" s="11">
        <f t="shared" si="33"/>
        <v>15704.23</v>
      </c>
      <c r="S208" s="11">
        <f t="shared" si="35"/>
        <v>25729.492463999999</v>
      </c>
      <c r="T208" s="10">
        <f t="shared" si="36"/>
        <v>2942.8139999999999</v>
      </c>
      <c r="U208" s="10">
        <f t="shared" si="37"/>
        <v>-2291.5300000000002</v>
      </c>
      <c r="V208" s="27">
        <f t="shared" si="38"/>
        <v>9373.9845999999998</v>
      </c>
      <c r="W208" s="48">
        <f t="shared" si="39"/>
        <v>15704.223864</v>
      </c>
      <c r="X208" s="27"/>
      <c r="Y208" s="49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8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</row>
    <row r="209" spans="1:79" x14ac:dyDescent="0.25">
      <c r="A209" s="27">
        <v>635</v>
      </c>
      <c r="B209" s="27">
        <v>1</v>
      </c>
      <c r="C209" s="18" t="s">
        <v>174</v>
      </c>
      <c r="D209" s="11">
        <v>370090.26</v>
      </c>
      <c r="E209" s="16">
        <v>400850.43</v>
      </c>
      <c r="F209" s="11">
        <v>361988.93</v>
      </c>
      <c r="G209" s="11">
        <v>195525</v>
      </c>
      <c r="H209" s="11">
        <v>203979.03</v>
      </c>
      <c r="I209" s="11">
        <v>217452.35</v>
      </c>
      <c r="J209" s="11">
        <v>211052.7</v>
      </c>
      <c r="K209" s="11">
        <v>223891.66</v>
      </c>
      <c r="L209" s="11">
        <v>264046.69</v>
      </c>
      <c r="M209" s="11">
        <v>206460.53</v>
      </c>
      <c r="N209" s="11">
        <f t="shared" si="34"/>
        <v>195525</v>
      </c>
      <c r="O209" s="11">
        <v>96175</v>
      </c>
      <c r="P209" s="11">
        <v>-732.47</v>
      </c>
      <c r="Q209" s="11">
        <f t="shared" si="32"/>
        <v>4634.53</v>
      </c>
      <c r="R209" s="11">
        <f t="shared" si="33"/>
        <v>3614.63</v>
      </c>
      <c r="S209" s="11">
        <f t="shared" si="35"/>
        <v>4575.2849999999999</v>
      </c>
      <c r="T209" s="10">
        <f t="shared" si="36"/>
        <v>673.22500000000002</v>
      </c>
      <c r="U209" s="10">
        <f t="shared" si="37"/>
        <v>-732.47</v>
      </c>
      <c r="V209" s="27">
        <f t="shared" si="38"/>
        <v>1019.8951500000001</v>
      </c>
      <c r="W209" s="48">
        <f t="shared" si="39"/>
        <v>3614.6348499999995</v>
      </c>
      <c r="X209" s="27"/>
      <c r="Y209" s="49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8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</row>
    <row r="210" spans="1:79" x14ac:dyDescent="0.25">
      <c r="A210" s="27">
        <v>640</v>
      </c>
      <c r="B210" s="27">
        <v>1</v>
      </c>
      <c r="C210" s="18" t="s">
        <v>175</v>
      </c>
      <c r="D210" s="11">
        <v>1193652.3999999999</v>
      </c>
      <c r="E210" s="16">
        <v>1609649.29</v>
      </c>
      <c r="F210" s="11">
        <v>1583467.73</v>
      </c>
      <c r="G210" s="11">
        <v>1699017.57</v>
      </c>
      <c r="H210" s="11">
        <v>1668975.06</v>
      </c>
      <c r="I210" s="11">
        <v>1684457.6</v>
      </c>
      <c r="J210" s="11">
        <v>1829716.27</v>
      </c>
      <c r="K210" s="11">
        <v>1856930.48</v>
      </c>
      <c r="L210" s="11">
        <v>1882717.58</v>
      </c>
      <c r="M210" s="11">
        <v>1953948.66</v>
      </c>
      <c r="N210" s="11">
        <f t="shared" si="34"/>
        <v>1193652.3999999999</v>
      </c>
      <c r="O210" s="11">
        <v>288206</v>
      </c>
      <c r="P210" s="11">
        <v>-1977.19</v>
      </c>
      <c r="Q210" s="11">
        <f t="shared" ref="Q210:Q273" si="40">ROUND(0.0234*N210,2)-ROUND(0.007*O210,2)-P210</f>
        <v>27891.22</v>
      </c>
      <c r="R210" s="11">
        <f t="shared" ref="R210:R273" si="41">ROUND(Q210-0.005*H210,2)</f>
        <v>19546.34</v>
      </c>
      <c r="S210" s="11">
        <f t="shared" si="35"/>
        <v>27931.46616</v>
      </c>
      <c r="T210" s="10">
        <f t="shared" si="36"/>
        <v>2017.442</v>
      </c>
      <c r="U210" s="10">
        <f t="shared" si="37"/>
        <v>-1977.19</v>
      </c>
      <c r="V210" s="27">
        <f t="shared" si="38"/>
        <v>8344.8752999999997</v>
      </c>
      <c r="W210" s="48">
        <f t="shared" si="39"/>
        <v>19546.33886</v>
      </c>
      <c r="X210" s="27"/>
      <c r="Y210" s="49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1:79" x14ac:dyDescent="0.25">
      <c r="A211" s="27">
        <v>656</v>
      </c>
      <c r="B211" s="27">
        <v>1</v>
      </c>
      <c r="C211" s="18" t="s">
        <v>176</v>
      </c>
      <c r="D211" s="11">
        <v>14137939.779999999</v>
      </c>
      <c r="E211" s="16">
        <v>16047561.41</v>
      </c>
      <c r="F211" s="11">
        <v>16542483.619999999</v>
      </c>
      <c r="G211" s="11">
        <v>16868239.07</v>
      </c>
      <c r="H211" s="11">
        <v>17621737.789999999</v>
      </c>
      <c r="I211" s="11">
        <v>16418721</v>
      </c>
      <c r="J211" s="11">
        <v>17820370.920000002</v>
      </c>
      <c r="K211" s="11">
        <v>17822083.27</v>
      </c>
      <c r="L211" s="11">
        <v>17336919.039999999</v>
      </c>
      <c r="M211" s="11">
        <v>18169217.989999998</v>
      </c>
      <c r="N211" s="11">
        <f t="shared" ref="N211:N274" si="42">MIN(D211:M211)</f>
        <v>14137939.779999999</v>
      </c>
      <c r="O211" s="11">
        <v>3964681</v>
      </c>
      <c r="P211" s="11">
        <v>-17658.97</v>
      </c>
      <c r="Q211" s="11">
        <f t="shared" si="40"/>
        <v>320733.99</v>
      </c>
      <c r="R211" s="11">
        <f t="shared" si="41"/>
        <v>232625.3</v>
      </c>
      <c r="S211" s="11">
        <f t="shared" ref="S211:S274" si="43">0.0234*N211</f>
        <v>330827.79085200001</v>
      </c>
      <c r="T211" s="10">
        <f t="shared" ref="T211:T274" si="44">0.007*O211</f>
        <v>27752.767</v>
      </c>
      <c r="U211" s="10">
        <f t="shared" ref="U211:U274" si="45">P211</f>
        <v>-17658.97</v>
      </c>
      <c r="V211" s="27">
        <f t="shared" ref="V211:V274" si="46">0.005*H211</f>
        <v>88108.688949999996</v>
      </c>
      <c r="W211" s="48">
        <f t="shared" ref="W211:W274" si="47">S211-T211-U211-V211</f>
        <v>232625.304902</v>
      </c>
      <c r="X211" s="27"/>
      <c r="Y211" s="49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8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</row>
    <row r="212" spans="1:79" x14ac:dyDescent="0.25">
      <c r="A212" s="27">
        <v>659</v>
      </c>
      <c r="B212" s="27">
        <v>1</v>
      </c>
      <c r="C212" s="18" t="s">
        <v>177</v>
      </c>
      <c r="D212" s="11">
        <v>10351574.67</v>
      </c>
      <c r="E212" s="16">
        <v>14919474.380000001</v>
      </c>
      <c r="F212" s="11">
        <v>15533875.01</v>
      </c>
      <c r="G212" s="11">
        <v>14895756.27</v>
      </c>
      <c r="H212" s="11">
        <v>15643860.82</v>
      </c>
      <c r="I212" s="11">
        <v>16037805.48</v>
      </c>
      <c r="J212" s="11">
        <v>17005977.309999999</v>
      </c>
      <c r="K212" s="11">
        <v>17397017.879999999</v>
      </c>
      <c r="L212" s="11">
        <v>17555344.199999999</v>
      </c>
      <c r="M212" s="11">
        <v>18150593.140000001</v>
      </c>
      <c r="N212" s="11">
        <f t="shared" si="42"/>
        <v>10351574.67</v>
      </c>
      <c r="O212" s="11">
        <v>2831207</v>
      </c>
      <c r="P212" s="11">
        <v>-10752.3</v>
      </c>
      <c r="Q212" s="11">
        <f t="shared" si="40"/>
        <v>233160.69999999998</v>
      </c>
      <c r="R212" s="11">
        <f t="shared" si="41"/>
        <v>154941.4</v>
      </c>
      <c r="S212" s="11">
        <f t="shared" si="43"/>
        <v>242226.847278</v>
      </c>
      <c r="T212" s="10">
        <f t="shared" si="44"/>
        <v>19818.449000000001</v>
      </c>
      <c r="U212" s="10">
        <f t="shared" si="45"/>
        <v>-10752.3</v>
      </c>
      <c r="V212" s="27">
        <f t="shared" si="46"/>
        <v>78219.304100000008</v>
      </c>
      <c r="W212" s="48">
        <f t="shared" si="47"/>
        <v>154941.39417799999</v>
      </c>
      <c r="X212" s="27"/>
      <c r="Y212" s="49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8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</row>
    <row r="213" spans="1:79" x14ac:dyDescent="0.25">
      <c r="A213" s="27">
        <v>671</v>
      </c>
      <c r="B213" s="27">
        <v>1</v>
      </c>
      <c r="C213" s="18" t="s">
        <v>360</v>
      </c>
      <c r="D213" s="11">
        <v>986826.2</v>
      </c>
      <c r="E213" s="16">
        <v>1250907.51</v>
      </c>
      <c r="F213" s="11">
        <v>1067231.8899999999</v>
      </c>
      <c r="G213" s="11">
        <v>1261103.33</v>
      </c>
      <c r="H213" s="11">
        <v>1300997.04</v>
      </c>
      <c r="I213" s="11">
        <v>1399067.38</v>
      </c>
      <c r="J213" s="11">
        <v>1434039.79</v>
      </c>
      <c r="K213" s="11">
        <v>1500602.16</v>
      </c>
      <c r="L213" s="11">
        <v>1512120.33</v>
      </c>
      <c r="M213" s="11">
        <v>1580914.28</v>
      </c>
      <c r="N213" s="11">
        <f t="shared" si="42"/>
        <v>986826.2</v>
      </c>
      <c r="O213" s="11">
        <v>276714</v>
      </c>
      <c r="P213" s="11">
        <v>-1767.33</v>
      </c>
      <c r="Q213" s="11">
        <f t="shared" si="40"/>
        <v>22922.059999999998</v>
      </c>
      <c r="R213" s="11">
        <f t="shared" si="41"/>
        <v>16417.07</v>
      </c>
      <c r="S213" s="11">
        <f t="shared" si="43"/>
        <v>23091.733079999998</v>
      </c>
      <c r="T213" s="10">
        <f t="shared" si="44"/>
        <v>1936.998</v>
      </c>
      <c r="U213" s="10">
        <f t="shared" si="45"/>
        <v>-1767.33</v>
      </c>
      <c r="V213" s="27">
        <f t="shared" si="46"/>
        <v>6504.9852000000001</v>
      </c>
      <c r="W213" s="48">
        <f t="shared" si="47"/>
        <v>16417.079880000001</v>
      </c>
      <c r="X213" s="27"/>
      <c r="Y213" s="49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8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</row>
    <row r="214" spans="1:79" x14ac:dyDescent="0.25">
      <c r="A214" s="27">
        <v>676</v>
      </c>
      <c r="B214" s="27">
        <v>1</v>
      </c>
      <c r="C214" s="18" t="s">
        <v>178</v>
      </c>
      <c r="D214" s="11">
        <v>645609.69999999995</v>
      </c>
      <c r="E214" s="16">
        <v>955521.76</v>
      </c>
      <c r="F214" s="11">
        <v>937200.61</v>
      </c>
      <c r="G214" s="11">
        <v>950374.94</v>
      </c>
      <c r="H214" s="11">
        <v>1008708.04</v>
      </c>
      <c r="I214" s="11">
        <v>939510.03</v>
      </c>
      <c r="J214" s="11">
        <v>988090.22</v>
      </c>
      <c r="K214" s="11">
        <v>1019729.5</v>
      </c>
      <c r="L214" s="11">
        <v>1051154.72</v>
      </c>
      <c r="M214" s="11">
        <v>1062006.07</v>
      </c>
      <c r="N214" s="11">
        <f t="shared" si="42"/>
        <v>645609.69999999995</v>
      </c>
      <c r="O214" s="11">
        <v>207139</v>
      </c>
      <c r="P214" s="11">
        <v>-1057.99</v>
      </c>
      <c r="Q214" s="11">
        <f t="shared" si="40"/>
        <v>14715.29</v>
      </c>
      <c r="R214" s="11">
        <f t="shared" si="41"/>
        <v>9671.75</v>
      </c>
      <c r="S214" s="11">
        <f t="shared" si="43"/>
        <v>15107.266979999999</v>
      </c>
      <c r="T214" s="10">
        <f t="shared" si="44"/>
        <v>1449.973</v>
      </c>
      <c r="U214" s="10">
        <f t="shared" si="45"/>
        <v>-1057.99</v>
      </c>
      <c r="V214" s="27">
        <f t="shared" si="46"/>
        <v>5043.5402000000004</v>
      </c>
      <c r="W214" s="48">
        <f t="shared" si="47"/>
        <v>9671.7437799999971</v>
      </c>
      <c r="X214" s="27"/>
      <c r="Y214" s="49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8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</row>
    <row r="215" spans="1:79" x14ac:dyDescent="0.25">
      <c r="A215" s="27">
        <v>682</v>
      </c>
      <c r="B215" s="27">
        <v>1</v>
      </c>
      <c r="C215" s="18" t="s">
        <v>179</v>
      </c>
      <c r="D215" s="11">
        <v>3725403.55</v>
      </c>
      <c r="E215" s="16">
        <v>4443731.78</v>
      </c>
      <c r="F215" s="11">
        <v>4982262.26</v>
      </c>
      <c r="G215" s="11">
        <v>5123121.67</v>
      </c>
      <c r="H215" s="11">
        <v>4913572.53</v>
      </c>
      <c r="I215" s="11">
        <v>5069742.2300000004</v>
      </c>
      <c r="J215" s="11">
        <v>5221884.57</v>
      </c>
      <c r="K215" s="11">
        <v>5235570.1100000003</v>
      </c>
      <c r="L215" s="11">
        <v>5197187.99</v>
      </c>
      <c r="M215" s="11">
        <v>5170878.87</v>
      </c>
      <c r="N215" s="11">
        <f t="shared" si="42"/>
        <v>3725403.55</v>
      </c>
      <c r="O215" s="11">
        <v>1304521</v>
      </c>
      <c r="P215" s="11">
        <v>-7664.78</v>
      </c>
      <c r="Q215" s="11">
        <f t="shared" si="40"/>
        <v>85707.57</v>
      </c>
      <c r="R215" s="11">
        <f t="shared" si="41"/>
        <v>61139.71</v>
      </c>
      <c r="S215" s="11">
        <f t="shared" si="43"/>
        <v>87174.443069999994</v>
      </c>
      <c r="T215" s="10">
        <f t="shared" si="44"/>
        <v>9131.6470000000008</v>
      </c>
      <c r="U215" s="10">
        <f t="shared" si="45"/>
        <v>-7664.78</v>
      </c>
      <c r="V215" s="27">
        <f t="shared" si="46"/>
        <v>24567.862650000003</v>
      </c>
      <c r="W215" s="48">
        <f t="shared" si="47"/>
        <v>61139.713419999993</v>
      </c>
      <c r="X215" s="27"/>
      <c r="Y215" s="49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8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</row>
    <row r="216" spans="1:79" x14ac:dyDescent="0.25">
      <c r="A216" s="27">
        <v>690</v>
      </c>
      <c r="B216" s="27">
        <v>1</v>
      </c>
      <c r="C216" s="18" t="s">
        <v>180</v>
      </c>
      <c r="D216" s="11">
        <v>4122022.71</v>
      </c>
      <c r="E216" s="16">
        <v>5031035.79</v>
      </c>
      <c r="F216" s="11">
        <v>4829966.57</v>
      </c>
      <c r="G216" s="11">
        <v>4559836.0599999996</v>
      </c>
      <c r="H216" s="11">
        <v>4609423.03</v>
      </c>
      <c r="I216" s="11">
        <v>4928601.28</v>
      </c>
      <c r="J216" s="11">
        <v>4868203.83</v>
      </c>
      <c r="K216" s="11">
        <v>4581634.41</v>
      </c>
      <c r="L216" s="11">
        <v>4706809.1100000003</v>
      </c>
      <c r="M216" s="11">
        <v>4771980.9800000004</v>
      </c>
      <c r="N216" s="11">
        <f t="shared" si="42"/>
        <v>4122022.71</v>
      </c>
      <c r="O216" s="11">
        <v>1556357</v>
      </c>
      <c r="P216" s="11">
        <v>-2369.69</v>
      </c>
      <c r="Q216" s="11">
        <f t="shared" si="40"/>
        <v>87930.52</v>
      </c>
      <c r="R216" s="11">
        <f t="shared" si="41"/>
        <v>64883.4</v>
      </c>
      <c r="S216" s="11">
        <f t="shared" si="43"/>
        <v>96455.331414</v>
      </c>
      <c r="T216" s="10">
        <f t="shared" si="44"/>
        <v>10894.499</v>
      </c>
      <c r="U216" s="10">
        <f t="shared" si="45"/>
        <v>-2369.69</v>
      </c>
      <c r="V216" s="27">
        <f t="shared" si="46"/>
        <v>23047.115150000001</v>
      </c>
      <c r="W216" s="48">
        <f t="shared" si="47"/>
        <v>64883.407264000009</v>
      </c>
      <c r="X216" s="27"/>
      <c r="Y216" s="49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8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</row>
    <row r="217" spans="1:79" x14ac:dyDescent="0.25">
      <c r="A217" s="27">
        <v>695</v>
      </c>
      <c r="B217" s="27">
        <v>1</v>
      </c>
      <c r="C217" s="18" t="s">
        <v>181</v>
      </c>
      <c r="D217" s="11">
        <v>2748147.66</v>
      </c>
      <c r="E217" s="16">
        <v>2502800.39</v>
      </c>
      <c r="F217" s="11">
        <v>2472028.85</v>
      </c>
      <c r="G217" s="11">
        <v>2523040.6800000002</v>
      </c>
      <c r="H217" s="11">
        <v>2686074.06</v>
      </c>
      <c r="I217" s="11">
        <v>2705982.64</v>
      </c>
      <c r="J217" s="11">
        <v>2904613.75</v>
      </c>
      <c r="K217" s="11">
        <v>2997400.84</v>
      </c>
      <c r="L217" s="11">
        <v>2990558.75</v>
      </c>
      <c r="M217" s="11">
        <v>3042618.59</v>
      </c>
      <c r="N217" s="11">
        <f t="shared" si="42"/>
        <v>2472028.85</v>
      </c>
      <c r="O217" s="11">
        <v>784025</v>
      </c>
      <c r="P217" s="11">
        <v>-2584.14</v>
      </c>
      <c r="Q217" s="11">
        <f t="shared" si="40"/>
        <v>54941.440000000002</v>
      </c>
      <c r="R217" s="11">
        <f t="shared" si="41"/>
        <v>41511.07</v>
      </c>
      <c r="S217" s="11">
        <f t="shared" si="43"/>
        <v>57845.475090000007</v>
      </c>
      <c r="T217" s="10">
        <f t="shared" si="44"/>
        <v>5488.1750000000002</v>
      </c>
      <c r="U217" s="10">
        <f t="shared" si="45"/>
        <v>-2584.14</v>
      </c>
      <c r="V217" s="27">
        <f t="shared" si="46"/>
        <v>13430.3703</v>
      </c>
      <c r="W217" s="48">
        <f t="shared" si="47"/>
        <v>41511.069790000001</v>
      </c>
      <c r="X217" s="27"/>
      <c r="Y217" s="49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8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</row>
    <row r="218" spans="1:79" x14ac:dyDescent="0.25">
      <c r="A218" s="27">
        <v>696</v>
      </c>
      <c r="B218" s="27">
        <v>1</v>
      </c>
      <c r="C218" s="18" t="s">
        <v>182</v>
      </c>
      <c r="D218" s="11">
        <v>2374202.81</v>
      </c>
      <c r="E218" s="16">
        <v>2449484.06</v>
      </c>
      <c r="F218" s="11">
        <v>2221403.71</v>
      </c>
      <c r="G218" s="11">
        <v>2436251.13</v>
      </c>
      <c r="H218" s="11">
        <v>2242458.0299999998</v>
      </c>
      <c r="I218" s="11">
        <v>2209745.83</v>
      </c>
      <c r="J218" s="11">
        <v>2187428.2599999998</v>
      </c>
      <c r="K218" s="11">
        <v>2277171.34</v>
      </c>
      <c r="L218" s="11">
        <v>2241896.9500000002</v>
      </c>
      <c r="M218" s="11">
        <v>2314486.08</v>
      </c>
      <c r="N218" s="11">
        <f t="shared" si="42"/>
        <v>2187428.2599999998</v>
      </c>
      <c r="O218" s="11">
        <v>778770</v>
      </c>
      <c r="P218" s="11">
        <v>-4352.07</v>
      </c>
      <c r="Q218" s="11">
        <f t="shared" si="40"/>
        <v>50086.5</v>
      </c>
      <c r="R218" s="11">
        <f t="shared" si="41"/>
        <v>38874.21</v>
      </c>
      <c r="S218" s="11">
        <f t="shared" si="43"/>
        <v>51185.821283999998</v>
      </c>
      <c r="T218" s="10">
        <f t="shared" si="44"/>
        <v>5451.39</v>
      </c>
      <c r="U218" s="10">
        <f t="shared" si="45"/>
        <v>-4352.07</v>
      </c>
      <c r="V218" s="27">
        <f t="shared" si="46"/>
        <v>11212.290149999999</v>
      </c>
      <c r="W218" s="48">
        <f t="shared" si="47"/>
        <v>38874.211133999997</v>
      </c>
      <c r="X218" s="27"/>
      <c r="Y218" s="49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8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</row>
    <row r="219" spans="1:79" x14ac:dyDescent="0.25">
      <c r="A219" s="27">
        <v>698</v>
      </c>
      <c r="B219" s="27">
        <v>1</v>
      </c>
      <c r="C219" s="18" t="s">
        <v>183</v>
      </c>
      <c r="D219" s="11">
        <v>1161288.33</v>
      </c>
      <c r="E219" s="16">
        <v>1894955.52</v>
      </c>
      <c r="F219" s="11">
        <v>1879388.33</v>
      </c>
      <c r="G219" s="11">
        <v>1904845.61</v>
      </c>
      <c r="H219" s="11">
        <v>1920143</v>
      </c>
      <c r="I219" s="11">
        <v>1692542.26</v>
      </c>
      <c r="J219" s="11">
        <v>1400985.84</v>
      </c>
      <c r="K219" s="11">
        <v>1205048.21</v>
      </c>
      <c r="L219" s="11">
        <v>1147805.73</v>
      </c>
      <c r="M219" s="11">
        <v>1231313.28</v>
      </c>
      <c r="N219" s="11">
        <f t="shared" si="42"/>
        <v>1147805.73</v>
      </c>
      <c r="O219" s="11">
        <v>373035</v>
      </c>
      <c r="P219" s="11">
        <v>-2215.5</v>
      </c>
      <c r="Q219" s="11">
        <f t="shared" si="40"/>
        <v>26462.9</v>
      </c>
      <c r="R219" s="11">
        <f t="shared" si="41"/>
        <v>16862.189999999999</v>
      </c>
      <c r="S219" s="11">
        <f t="shared" si="43"/>
        <v>26858.654082000001</v>
      </c>
      <c r="T219" s="10">
        <f t="shared" si="44"/>
        <v>2611.2449999999999</v>
      </c>
      <c r="U219" s="10">
        <f t="shared" si="45"/>
        <v>-2215.5</v>
      </c>
      <c r="V219" s="27">
        <f t="shared" si="46"/>
        <v>9600.7150000000001</v>
      </c>
      <c r="W219" s="48">
        <f t="shared" si="47"/>
        <v>16862.194082000002</v>
      </c>
      <c r="X219" s="27"/>
      <c r="Y219" s="49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8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</row>
    <row r="220" spans="1:79" x14ac:dyDescent="0.25">
      <c r="A220" s="27">
        <v>700</v>
      </c>
      <c r="B220" s="27">
        <v>1</v>
      </c>
      <c r="C220" s="18" t="s">
        <v>184</v>
      </c>
      <c r="D220" s="11">
        <v>4801309.29</v>
      </c>
      <c r="E220" s="16">
        <v>6357526.1600000001</v>
      </c>
      <c r="F220" s="11">
        <v>6674846.3200000003</v>
      </c>
      <c r="G220" s="11">
        <v>6964242.4100000001</v>
      </c>
      <c r="H220" s="11">
        <v>7041003.8200000003</v>
      </c>
      <c r="I220" s="11">
        <v>7199302.7000000002</v>
      </c>
      <c r="J220" s="11">
        <v>7521135.8499999996</v>
      </c>
      <c r="K220" s="11">
        <v>7727166.6200000001</v>
      </c>
      <c r="L220" s="11">
        <v>7772789.0099999998</v>
      </c>
      <c r="M220" s="11">
        <v>7907257.6500000004</v>
      </c>
      <c r="N220" s="11">
        <f t="shared" si="42"/>
        <v>4801309.29</v>
      </c>
      <c r="O220" s="11">
        <v>1772611</v>
      </c>
      <c r="P220" s="11">
        <v>-5002.54</v>
      </c>
      <c r="Q220" s="11">
        <f t="shared" si="40"/>
        <v>104944.9</v>
      </c>
      <c r="R220" s="11">
        <f t="shared" si="41"/>
        <v>69739.88</v>
      </c>
      <c r="S220" s="11">
        <f t="shared" si="43"/>
        <v>112350.637386</v>
      </c>
      <c r="T220" s="10">
        <f t="shared" si="44"/>
        <v>12408.277</v>
      </c>
      <c r="U220" s="10">
        <f t="shared" si="45"/>
        <v>-5002.54</v>
      </c>
      <c r="V220" s="27">
        <f t="shared" si="46"/>
        <v>35205.019100000005</v>
      </c>
      <c r="W220" s="48">
        <f t="shared" si="47"/>
        <v>69739.881285999989</v>
      </c>
      <c r="X220" s="27"/>
      <c r="Y220" s="49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8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</row>
    <row r="221" spans="1:79" x14ac:dyDescent="0.25">
      <c r="A221" s="27">
        <v>701</v>
      </c>
      <c r="B221" s="27">
        <v>1</v>
      </c>
      <c r="C221" s="18" t="s">
        <v>185</v>
      </c>
      <c r="D221" s="11">
        <v>9786500.1099999994</v>
      </c>
      <c r="E221" s="16">
        <v>9758635.5299999993</v>
      </c>
      <c r="F221" s="11">
        <v>9441757.0099999998</v>
      </c>
      <c r="G221" s="11">
        <v>9374589.1600000001</v>
      </c>
      <c r="H221" s="11">
        <v>9392049.3100000005</v>
      </c>
      <c r="I221" s="11">
        <v>9638261.5800000001</v>
      </c>
      <c r="J221" s="11">
        <v>9992564.4199999999</v>
      </c>
      <c r="K221" s="11">
        <v>10106432.82</v>
      </c>
      <c r="L221" s="11">
        <v>10207225.939999999</v>
      </c>
      <c r="M221" s="11">
        <v>10114710.699999999</v>
      </c>
      <c r="N221" s="11">
        <f t="shared" si="42"/>
        <v>9374589.1600000001</v>
      </c>
      <c r="O221" s="11">
        <v>2097100</v>
      </c>
      <c r="P221" s="11">
        <v>-8681.32</v>
      </c>
      <c r="Q221" s="11">
        <f t="shared" si="40"/>
        <v>213367.01</v>
      </c>
      <c r="R221" s="11">
        <f t="shared" si="41"/>
        <v>166406.76</v>
      </c>
      <c r="S221" s="11">
        <f t="shared" si="43"/>
        <v>219365.386344</v>
      </c>
      <c r="T221" s="10">
        <f t="shared" si="44"/>
        <v>14679.7</v>
      </c>
      <c r="U221" s="10">
        <f t="shared" si="45"/>
        <v>-8681.32</v>
      </c>
      <c r="V221" s="27">
        <f t="shared" si="46"/>
        <v>46960.246550000003</v>
      </c>
      <c r="W221" s="48">
        <f t="shared" si="47"/>
        <v>166406.75979399998</v>
      </c>
      <c r="X221" s="27"/>
      <c r="Y221" s="49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8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</row>
    <row r="222" spans="1:79" x14ac:dyDescent="0.25">
      <c r="A222" s="27">
        <v>704</v>
      </c>
      <c r="B222" s="27">
        <v>1</v>
      </c>
      <c r="C222" s="18" t="s">
        <v>186</v>
      </c>
      <c r="D222" s="11">
        <v>6193701.8399999999</v>
      </c>
      <c r="E222" s="16">
        <v>6455225.8799999999</v>
      </c>
      <c r="F222" s="11">
        <v>6303167.3499999996</v>
      </c>
      <c r="G222" s="11">
        <v>6343559.6699999999</v>
      </c>
      <c r="H222" s="11">
        <v>6694244.2800000003</v>
      </c>
      <c r="I222" s="11">
        <v>6892600.7999999998</v>
      </c>
      <c r="J222" s="11">
        <v>7145898.4100000001</v>
      </c>
      <c r="K222" s="11">
        <v>7279552.3700000001</v>
      </c>
      <c r="L222" s="11">
        <v>6919637.2599999998</v>
      </c>
      <c r="M222" s="11">
        <v>7098597.9900000002</v>
      </c>
      <c r="N222" s="11">
        <f t="shared" si="42"/>
        <v>6193701.8399999999</v>
      </c>
      <c r="O222" s="11">
        <v>1759866</v>
      </c>
      <c r="P222" s="11">
        <v>-8811.3799999999992</v>
      </c>
      <c r="Q222" s="11">
        <f t="shared" si="40"/>
        <v>141424.94</v>
      </c>
      <c r="R222" s="11">
        <f t="shared" si="41"/>
        <v>107953.72</v>
      </c>
      <c r="S222" s="11">
        <f t="shared" si="43"/>
        <v>144932.62305600001</v>
      </c>
      <c r="T222" s="10">
        <f t="shared" si="44"/>
        <v>12319.062</v>
      </c>
      <c r="U222" s="10">
        <f t="shared" si="45"/>
        <v>-8811.3799999999992</v>
      </c>
      <c r="V222" s="27">
        <f t="shared" si="46"/>
        <v>33471.221400000002</v>
      </c>
      <c r="W222" s="48">
        <f t="shared" si="47"/>
        <v>107953.719656</v>
      </c>
      <c r="X222" s="27"/>
      <c r="Y222" s="49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8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</row>
    <row r="223" spans="1:79" x14ac:dyDescent="0.25">
      <c r="A223" s="27">
        <v>706</v>
      </c>
      <c r="B223" s="27">
        <v>1</v>
      </c>
      <c r="C223" s="18" t="s">
        <v>187</v>
      </c>
      <c r="D223" s="11">
        <v>6797209.71</v>
      </c>
      <c r="E223" s="16">
        <v>5559534.7699999996</v>
      </c>
      <c r="F223" s="11">
        <v>5349198.93</v>
      </c>
      <c r="G223" s="11">
        <v>5031720.16</v>
      </c>
      <c r="H223" s="11">
        <v>5595240.1200000001</v>
      </c>
      <c r="I223" s="11">
        <v>6056334.6799999997</v>
      </c>
      <c r="J223" s="11">
        <v>6423787.04</v>
      </c>
      <c r="K223" s="11">
        <v>6587126.3600000003</v>
      </c>
      <c r="L223" s="11">
        <v>6452065.6100000003</v>
      </c>
      <c r="M223" s="11">
        <v>6566957.7800000003</v>
      </c>
      <c r="N223" s="11">
        <f t="shared" si="42"/>
        <v>5031720.16</v>
      </c>
      <c r="O223" s="11">
        <v>1723718</v>
      </c>
      <c r="P223" s="11">
        <v>-6586.62</v>
      </c>
      <c r="Q223" s="11">
        <f t="shared" si="40"/>
        <v>112262.84</v>
      </c>
      <c r="R223" s="11">
        <f t="shared" si="41"/>
        <v>84286.64</v>
      </c>
      <c r="S223" s="11">
        <f t="shared" si="43"/>
        <v>117742.25174400001</v>
      </c>
      <c r="T223" s="10">
        <f t="shared" si="44"/>
        <v>12066.026</v>
      </c>
      <c r="U223" s="10">
        <f t="shared" si="45"/>
        <v>-6586.62</v>
      </c>
      <c r="V223" s="27">
        <f t="shared" si="46"/>
        <v>27976.2006</v>
      </c>
      <c r="W223" s="48">
        <f t="shared" si="47"/>
        <v>84286.645144000009</v>
      </c>
      <c r="X223" s="27"/>
      <c r="Y223" s="49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8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</row>
    <row r="224" spans="1:79" x14ac:dyDescent="0.25">
      <c r="A224" s="27">
        <v>707</v>
      </c>
      <c r="B224" s="27">
        <v>1</v>
      </c>
      <c r="C224" s="18" t="s">
        <v>188</v>
      </c>
      <c r="D224" s="11">
        <v>380280.44</v>
      </c>
      <c r="E224" s="16">
        <v>493963.82</v>
      </c>
      <c r="F224" s="11">
        <v>542523.22</v>
      </c>
      <c r="G224" s="11">
        <v>470040.88</v>
      </c>
      <c r="H224" s="11">
        <v>545089.24</v>
      </c>
      <c r="I224" s="11">
        <v>582703.15</v>
      </c>
      <c r="J224" s="11">
        <v>655230.31000000006</v>
      </c>
      <c r="K224" s="11">
        <v>640104.87</v>
      </c>
      <c r="L224" s="11">
        <v>709990.84</v>
      </c>
      <c r="M224" s="11">
        <v>772537.57</v>
      </c>
      <c r="N224" s="11">
        <f t="shared" si="42"/>
        <v>380280.44</v>
      </c>
      <c r="O224" s="11">
        <v>173168</v>
      </c>
      <c r="P224" s="11">
        <v>-45.05</v>
      </c>
      <c r="Q224" s="11">
        <f t="shared" si="40"/>
        <v>7731.4299999999994</v>
      </c>
      <c r="R224" s="11">
        <f t="shared" si="41"/>
        <v>5005.9799999999996</v>
      </c>
      <c r="S224" s="11">
        <f t="shared" si="43"/>
        <v>8898.5622960000001</v>
      </c>
      <c r="T224" s="10">
        <f t="shared" si="44"/>
        <v>1212.1759999999999</v>
      </c>
      <c r="U224" s="10">
        <f t="shared" si="45"/>
        <v>-45.05</v>
      </c>
      <c r="V224" s="27">
        <f t="shared" si="46"/>
        <v>2725.4461999999999</v>
      </c>
      <c r="W224" s="48">
        <f t="shared" si="47"/>
        <v>5005.9900960000014</v>
      </c>
      <c r="X224" s="27"/>
      <c r="Y224" s="49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8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</row>
    <row r="225" spans="1:79" x14ac:dyDescent="0.25">
      <c r="A225" s="27">
        <v>709</v>
      </c>
      <c r="B225" s="27">
        <v>1</v>
      </c>
      <c r="C225" s="18" t="s">
        <v>189</v>
      </c>
      <c r="D225" s="11">
        <v>285076.73</v>
      </c>
      <c r="E225" s="16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f t="shared" si="42"/>
        <v>0</v>
      </c>
      <c r="O225" s="11">
        <v>12959667</v>
      </c>
      <c r="P225" s="11">
        <v>-75699.08</v>
      </c>
      <c r="Q225" s="11">
        <f t="shared" si="40"/>
        <v>-15018.589999999997</v>
      </c>
      <c r="R225" s="11">
        <f t="shared" si="41"/>
        <v>-15018.59</v>
      </c>
      <c r="S225" s="11">
        <f t="shared" si="43"/>
        <v>0</v>
      </c>
      <c r="T225" s="10">
        <f t="shared" si="44"/>
        <v>90717.669000000009</v>
      </c>
      <c r="U225" s="10">
        <f t="shared" si="45"/>
        <v>-75699.08</v>
      </c>
      <c r="V225" s="27">
        <f t="shared" si="46"/>
        <v>0</v>
      </c>
      <c r="W225" s="48">
        <f t="shared" si="47"/>
        <v>-15018.589000000007</v>
      </c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8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</row>
    <row r="226" spans="1:79" x14ac:dyDescent="0.25">
      <c r="A226" s="27">
        <v>712</v>
      </c>
      <c r="B226" s="27">
        <v>1</v>
      </c>
      <c r="C226" s="18" t="s">
        <v>361</v>
      </c>
      <c r="D226" s="11">
        <v>2233602.5</v>
      </c>
      <c r="E226" s="16">
        <v>2914983.27</v>
      </c>
      <c r="F226" s="11">
        <v>2870996.48</v>
      </c>
      <c r="G226" s="11">
        <v>2912299.4</v>
      </c>
      <c r="H226" s="11">
        <v>2976124.52</v>
      </c>
      <c r="I226" s="11">
        <v>2825871.02</v>
      </c>
      <c r="J226" s="11">
        <v>2742512.72</v>
      </c>
      <c r="K226" s="11">
        <v>2943124.05</v>
      </c>
      <c r="L226" s="11">
        <v>2774161.49</v>
      </c>
      <c r="M226" s="11">
        <v>2933064.35</v>
      </c>
      <c r="N226" s="11">
        <f t="shared" si="42"/>
        <v>2233602.5</v>
      </c>
      <c r="O226" s="11">
        <v>599031</v>
      </c>
      <c r="P226" s="11">
        <v>-3892.28</v>
      </c>
      <c r="Q226" s="11">
        <f t="shared" si="40"/>
        <v>51965.36</v>
      </c>
      <c r="R226" s="11">
        <f t="shared" si="41"/>
        <v>37084.74</v>
      </c>
      <c r="S226" s="11">
        <f t="shared" si="43"/>
        <v>52266.298500000004</v>
      </c>
      <c r="T226" s="10">
        <f t="shared" si="44"/>
        <v>4193.2169999999996</v>
      </c>
      <c r="U226" s="10">
        <f t="shared" si="45"/>
        <v>-3892.28</v>
      </c>
      <c r="V226" s="27">
        <f t="shared" si="46"/>
        <v>14880.622600000001</v>
      </c>
      <c r="W226" s="48">
        <f t="shared" si="47"/>
        <v>37084.738900000004</v>
      </c>
      <c r="X226" s="27"/>
      <c r="Y226" s="49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8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</row>
    <row r="227" spans="1:79" x14ac:dyDescent="0.25">
      <c r="A227" s="27">
        <v>716</v>
      </c>
      <c r="B227" s="27">
        <v>1</v>
      </c>
      <c r="C227" s="18" t="s">
        <v>190</v>
      </c>
      <c r="D227" s="11">
        <v>3207254.4</v>
      </c>
      <c r="E227" s="16">
        <v>4422834.7</v>
      </c>
      <c r="F227" s="11">
        <v>4477961.3600000003</v>
      </c>
      <c r="G227" s="11">
        <v>4655217.3099999996</v>
      </c>
      <c r="H227" s="11">
        <v>4929347.0599999996</v>
      </c>
      <c r="I227" s="11">
        <v>5292622.58</v>
      </c>
      <c r="J227" s="11">
        <v>5786059.8799999999</v>
      </c>
      <c r="K227" s="11">
        <v>6112973.21</v>
      </c>
      <c r="L227" s="11">
        <v>5971051.4699999997</v>
      </c>
      <c r="M227" s="11">
        <v>6148495.7599999998</v>
      </c>
      <c r="N227" s="11">
        <f t="shared" si="42"/>
        <v>3207254.4</v>
      </c>
      <c r="O227" s="11">
        <v>530756</v>
      </c>
      <c r="P227" s="11">
        <v>-1805.93</v>
      </c>
      <c r="Q227" s="11">
        <f t="shared" si="40"/>
        <v>73140.39</v>
      </c>
      <c r="R227" s="11">
        <f t="shared" si="41"/>
        <v>48493.65</v>
      </c>
      <c r="S227" s="11">
        <f t="shared" si="43"/>
        <v>75049.752959999998</v>
      </c>
      <c r="T227" s="10">
        <f t="shared" si="44"/>
        <v>3715.2919999999999</v>
      </c>
      <c r="U227" s="10">
        <f t="shared" si="45"/>
        <v>-1805.93</v>
      </c>
      <c r="V227" s="27">
        <f t="shared" si="46"/>
        <v>24646.7353</v>
      </c>
      <c r="W227" s="48">
        <f t="shared" si="47"/>
        <v>48493.655659999989</v>
      </c>
      <c r="X227" s="27"/>
      <c r="Y227" s="49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8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</row>
    <row r="228" spans="1:79" x14ac:dyDescent="0.25">
      <c r="A228" s="27">
        <v>717</v>
      </c>
      <c r="B228" s="27">
        <v>1</v>
      </c>
      <c r="C228" s="18" t="s">
        <v>191</v>
      </c>
      <c r="D228" s="11">
        <v>2992041.13</v>
      </c>
      <c r="E228" s="16">
        <v>5883056.4800000004</v>
      </c>
      <c r="F228" s="11">
        <v>5555788.4900000002</v>
      </c>
      <c r="G228" s="11">
        <v>6230194.0800000001</v>
      </c>
      <c r="H228" s="11">
        <v>6467909.5800000001</v>
      </c>
      <c r="I228" s="11">
        <v>6710863.8700000001</v>
      </c>
      <c r="J228" s="11">
        <v>7064977.7599999998</v>
      </c>
      <c r="K228" s="11">
        <v>7907331.5300000003</v>
      </c>
      <c r="L228" s="11">
        <v>6374426.8700000001</v>
      </c>
      <c r="M228" s="11">
        <v>7705178.9500000002</v>
      </c>
      <c r="N228" s="11">
        <f t="shared" si="42"/>
        <v>2992041.13</v>
      </c>
      <c r="O228" s="11">
        <v>412541</v>
      </c>
      <c r="P228" s="11">
        <v>-3133.53</v>
      </c>
      <c r="Q228" s="11">
        <f t="shared" si="40"/>
        <v>70259.5</v>
      </c>
      <c r="R228" s="11">
        <f t="shared" si="41"/>
        <v>37919.949999999997</v>
      </c>
      <c r="S228" s="11">
        <f t="shared" si="43"/>
        <v>70013.762442000007</v>
      </c>
      <c r="T228" s="10">
        <f t="shared" si="44"/>
        <v>2887.7870000000003</v>
      </c>
      <c r="U228" s="10">
        <f t="shared" si="45"/>
        <v>-3133.53</v>
      </c>
      <c r="V228" s="27">
        <f t="shared" si="46"/>
        <v>32339.547900000001</v>
      </c>
      <c r="W228" s="48">
        <f t="shared" si="47"/>
        <v>37919.957542000004</v>
      </c>
      <c r="X228" s="27"/>
      <c r="Y228" s="49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8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</row>
    <row r="229" spans="1:79" x14ac:dyDescent="0.25">
      <c r="A229" s="27">
        <v>719</v>
      </c>
      <c r="B229" s="27">
        <v>1</v>
      </c>
      <c r="C229" s="18" t="s">
        <v>192</v>
      </c>
      <c r="D229" s="11">
        <v>10717274.640000001</v>
      </c>
      <c r="E229" s="16">
        <v>17991348.030000001</v>
      </c>
      <c r="F229" s="11">
        <v>22305599.129999999</v>
      </c>
      <c r="G229" s="11">
        <v>21731644.600000001</v>
      </c>
      <c r="H229" s="11">
        <v>24248860.68</v>
      </c>
      <c r="I229" s="11">
        <v>25524647.129999999</v>
      </c>
      <c r="J229" s="11">
        <v>26342213.620000001</v>
      </c>
      <c r="K229" s="11">
        <v>28359991.16</v>
      </c>
      <c r="L229" s="11">
        <v>25514333.129999999</v>
      </c>
      <c r="M229" s="11">
        <v>31017088.420000002</v>
      </c>
      <c r="N229" s="11">
        <f t="shared" si="42"/>
        <v>10717274.640000001</v>
      </c>
      <c r="O229" s="11">
        <v>2482231</v>
      </c>
      <c r="P229" s="11">
        <v>-8444.67</v>
      </c>
      <c r="Q229" s="11">
        <f t="shared" si="40"/>
        <v>241853.28000000003</v>
      </c>
      <c r="R229" s="11">
        <f t="shared" si="41"/>
        <v>120608.98</v>
      </c>
      <c r="S229" s="11">
        <f t="shared" si="43"/>
        <v>250784.22657600002</v>
      </c>
      <c r="T229" s="10">
        <f t="shared" si="44"/>
        <v>17375.617000000002</v>
      </c>
      <c r="U229" s="10">
        <f t="shared" si="45"/>
        <v>-8444.67</v>
      </c>
      <c r="V229" s="27">
        <f t="shared" si="46"/>
        <v>121244.3034</v>
      </c>
      <c r="W229" s="48">
        <f t="shared" si="47"/>
        <v>120608.97617600003</v>
      </c>
      <c r="X229" s="27"/>
      <c r="Y229" s="49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8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</row>
    <row r="230" spans="1:79" x14ac:dyDescent="0.25">
      <c r="A230" s="27">
        <v>720</v>
      </c>
      <c r="B230" s="27">
        <v>1</v>
      </c>
      <c r="C230" s="18" t="s">
        <v>193</v>
      </c>
      <c r="D230" s="11">
        <v>10005583.199999999</v>
      </c>
      <c r="E230" s="16">
        <v>16508180.67</v>
      </c>
      <c r="F230" s="11">
        <v>18283292.140000001</v>
      </c>
      <c r="G230" s="11">
        <v>19698541.329999998</v>
      </c>
      <c r="H230" s="11">
        <v>22146363.039999999</v>
      </c>
      <c r="I230" s="11">
        <v>25375104.510000002</v>
      </c>
      <c r="J230" s="11">
        <v>27396872.210000001</v>
      </c>
      <c r="K230" s="11">
        <v>28897186.760000002</v>
      </c>
      <c r="L230" s="11">
        <v>29906856.030000001</v>
      </c>
      <c r="M230" s="11">
        <v>31463243.640000001</v>
      </c>
      <c r="N230" s="11">
        <f t="shared" si="42"/>
        <v>10005583.199999999</v>
      </c>
      <c r="O230" s="11">
        <v>2713147</v>
      </c>
      <c r="P230" s="11">
        <v>-6493.54</v>
      </c>
      <c r="Q230" s="11">
        <f t="shared" si="40"/>
        <v>221632.16</v>
      </c>
      <c r="R230" s="11">
        <f t="shared" si="41"/>
        <v>110900.34</v>
      </c>
      <c r="S230" s="11">
        <f t="shared" si="43"/>
        <v>234130.64687999999</v>
      </c>
      <c r="T230" s="10">
        <f t="shared" si="44"/>
        <v>18992.028999999999</v>
      </c>
      <c r="U230" s="10">
        <f t="shared" si="45"/>
        <v>-6493.54</v>
      </c>
      <c r="V230" s="27">
        <f t="shared" si="46"/>
        <v>110731.8152</v>
      </c>
      <c r="W230" s="48">
        <f t="shared" si="47"/>
        <v>110900.34267999999</v>
      </c>
      <c r="X230" s="27"/>
      <c r="Y230" s="49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 spans="1:79" x14ac:dyDescent="0.25">
      <c r="A231" s="27">
        <v>721</v>
      </c>
      <c r="B231" s="27">
        <v>1</v>
      </c>
      <c r="C231" s="18" t="s">
        <v>362</v>
      </c>
      <c r="D231" s="11">
        <v>5832239.1399999997</v>
      </c>
      <c r="E231" s="16">
        <v>9145035.4600000009</v>
      </c>
      <c r="F231" s="11">
        <v>10119429.9</v>
      </c>
      <c r="G231" s="11">
        <v>11312005.77</v>
      </c>
      <c r="H231" s="11">
        <v>12960049.07</v>
      </c>
      <c r="I231" s="11">
        <v>15297208.449999999</v>
      </c>
      <c r="J231" s="11">
        <v>14504796.73</v>
      </c>
      <c r="K231" s="11">
        <v>14528806.789999999</v>
      </c>
      <c r="L231" s="11">
        <v>14598893.279999999</v>
      </c>
      <c r="M231" s="11">
        <v>14696447.869999999</v>
      </c>
      <c r="N231" s="11">
        <f t="shared" si="42"/>
        <v>5832239.1399999997</v>
      </c>
      <c r="O231" s="11">
        <v>1671564</v>
      </c>
      <c r="P231" s="11">
        <v>-9064.7000000000007</v>
      </c>
      <c r="Q231" s="11">
        <f t="shared" si="40"/>
        <v>133838.15</v>
      </c>
      <c r="R231" s="11">
        <f t="shared" si="41"/>
        <v>69037.899999999994</v>
      </c>
      <c r="S231" s="11">
        <f t="shared" si="43"/>
        <v>136474.395876</v>
      </c>
      <c r="T231" s="10">
        <f t="shared" si="44"/>
        <v>11700.948</v>
      </c>
      <c r="U231" s="10">
        <f t="shared" si="45"/>
        <v>-9064.7000000000007</v>
      </c>
      <c r="V231" s="27">
        <f t="shared" si="46"/>
        <v>64800.245350000005</v>
      </c>
      <c r="W231" s="48">
        <f t="shared" si="47"/>
        <v>69037.902525999991</v>
      </c>
      <c r="X231" s="27"/>
      <c r="Y231" s="49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8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</row>
    <row r="232" spans="1:79" x14ac:dyDescent="0.25">
      <c r="A232" s="27">
        <v>726</v>
      </c>
      <c r="B232" s="27">
        <v>1</v>
      </c>
      <c r="C232" s="18" t="s">
        <v>194</v>
      </c>
      <c r="D232" s="11">
        <v>4855346.96</v>
      </c>
      <c r="E232" s="16">
        <v>8189217.4900000002</v>
      </c>
      <c r="F232" s="11">
        <v>8675728.8399999999</v>
      </c>
      <c r="G232" s="11">
        <v>9292591.3800000008</v>
      </c>
      <c r="H232" s="11">
        <v>9857174.25</v>
      </c>
      <c r="I232" s="11">
        <v>10568999.26</v>
      </c>
      <c r="J232" s="11">
        <v>11370620.49</v>
      </c>
      <c r="K232" s="11">
        <v>11243691.65</v>
      </c>
      <c r="L232" s="11">
        <v>11271308.699999999</v>
      </c>
      <c r="M232" s="11">
        <v>11327704.439999999</v>
      </c>
      <c r="N232" s="11">
        <f t="shared" si="42"/>
        <v>4855346.96</v>
      </c>
      <c r="O232" s="11">
        <v>1611440</v>
      </c>
      <c r="P232" s="11">
        <v>-4517.62</v>
      </c>
      <c r="Q232" s="11">
        <f t="shared" si="40"/>
        <v>106852.65999999999</v>
      </c>
      <c r="R232" s="11">
        <f t="shared" si="41"/>
        <v>57566.79</v>
      </c>
      <c r="S232" s="11">
        <f t="shared" si="43"/>
        <v>113615.118864</v>
      </c>
      <c r="T232" s="10">
        <f t="shared" si="44"/>
        <v>11280.08</v>
      </c>
      <c r="U232" s="10">
        <f t="shared" si="45"/>
        <v>-4517.62</v>
      </c>
      <c r="V232" s="27">
        <f t="shared" si="46"/>
        <v>49285.871250000004</v>
      </c>
      <c r="W232" s="48">
        <f t="shared" si="47"/>
        <v>57566.787613999993</v>
      </c>
      <c r="X232" s="27"/>
      <c r="Y232" s="49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8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</row>
    <row r="233" spans="1:79" x14ac:dyDescent="0.25">
      <c r="A233" s="27">
        <v>727</v>
      </c>
      <c r="B233" s="27">
        <v>1</v>
      </c>
      <c r="C233" s="18" t="s">
        <v>195</v>
      </c>
      <c r="D233" s="11">
        <v>4726544.26</v>
      </c>
      <c r="E233" s="16">
        <v>10474318.939999999</v>
      </c>
      <c r="F233" s="11">
        <v>10443394.050000001</v>
      </c>
      <c r="G233" s="11">
        <v>10654352.43</v>
      </c>
      <c r="H233" s="11">
        <v>12144457.789999999</v>
      </c>
      <c r="I233" s="11">
        <v>12465292.43</v>
      </c>
      <c r="J233" s="11">
        <v>12052669.859999999</v>
      </c>
      <c r="K233" s="11">
        <v>11930504.880000001</v>
      </c>
      <c r="L233" s="11">
        <v>12606671.890000001</v>
      </c>
      <c r="M233" s="11">
        <v>13641161.550000001</v>
      </c>
      <c r="N233" s="11">
        <f t="shared" si="42"/>
        <v>4726544.26</v>
      </c>
      <c r="O233" s="11">
        <v>1297569</v>
      </c>
      <c r="P233" s="11">
        <v>-3162.17</v>
      </c>
      <c r="Q233" s="11">
        <f t="shared" si="40"/>
        <v>104680.33</v>
      </c>
      <c r="R233" s="11">
        <f t="shared" si="41"/>
        <v>43958.04</v>
      </c>
      <c r="S233" s="11">
        <f t="shared" si="43"/>
        <v>110601.13568399999</v>
      </c>
      <c r="T233" s="10">
        <f t="shared" si="44"/>
        <v>9082.9830000000002</v>
      </c>
      <c r="U233" s="10">
        <f t="shared" si="45"/>
        <v>-3162.17</v>
      </c>
      <c r="V233" s="27">
        <f t="shared" si="46"/>
        <v>60722.288949999995</v>
      </c>
      <c r="W233" s="48">
        <f t="shared" si="47"/>
        <v>43958.033734000004</v>
      </c>
      <c r="X233" s="27"/>
      <c r="Y233" s="49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8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</row>
    <row r="234" spans="1:79" x14ac:dyDescent="0.25">
      <c r="A234" s="27">
        <v>728</v>
      </c>
      <c r="B234" s="27">
        <v>1</v>
      </c>
      <c r="C234" s="18" t="s">
        <v>196</v>
      </c>
      <c r="D234" s="11">
        <v>21909307.309999999</v>
      </c>
      <c r="E234" s="16">
        <v>36445697.770000003</v>
      </c>
      <c r="F234" s="11">
        <v>39725536.280000001</v>
      </c>
      <c r="G234" s="11">
        <v>42611658.740000002</v>
      </c>
      <c r="H234" s="11">
        <v>44230020.119999997</v>
      </c>
      <c r="I234" s="11">
        <v>48682556.969999999</v>
      </c>
      <c r="J234" s="11">
        <v>51729425.5</v>
      </c>
      <c r="K234" s="11">
        <v>51642540.82</v>
      </c>
      <c r="L234" s="11">
        <v>53076749.530000001</v>
      </c>
      <c r="M234" s="11">
        <v>57609977.5</v>
      </c>
      <c r="N234" s="11">
        <f t="shared" si="42"/>
        <v>21909307.309999999</v>
      </c>
      <c r="O234" s="11">
        <v>6288124</v>
      </c>
      <c r="P234" s="11">
        <v>-19381.810000000001</v>
      </c>
      <c r="Q234" s="11">
        <f t="shared" si="40"/>
        <v>488042.73</v>
      </c>
      <c r="R234" s="11">
        <f t="shared" si="41"/>
        <v>266892.63</v>
      </c>
      <c r="S234" s="11">
        <f t="shared" si="43"/>
        <v>512677.79105399997</v>
      </c>
      <c r="T234" s="10">
        <f t="shared" si="44"/>
        <v>44016.868000000002</v>
      </c>
      <c r="U234" s="10">
        <f t="shared" si="45"/>
        <v>-19381.810000000001</v>
      </c>
      <c r="V234" s="27">
        <f t="shared" si="46"/>
        <v>221150.10060000001</v>
      </c>
      <c r="W234" s="48">
        <f t="shared" si="47"/>
        <v>266892.63245399995</v>
      </c>
      <c r="X234" s="27"/>
      <c r="Y234" s="49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8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</row>
    <row r="235" spans="1:79" x14ac:dyDescent="0.25">
      <c r="A235" s="27">
        <v>738</v>
      </c>
      <c r="B235" s="27">
        <v>1</v>
      </c>
      <c r="C235" s="18" t="s">
        <v>197</v>
      </c>
      <c r="D235" s="11">
        <v>2888187.55</v>
      </c>
      <c r="E235" s="16">
        <v>3603688.71</v>
      </c>
      <c r="F235" s="11">
        <v>3638452.07</v>
      </c>
      <c r="G235" s="11">
        <v>3705337.45</v>
      </c>
      <c r="H235" s="11">
        <v>3735042.34</v>
      </c>
      <c r="I235" s="11">
        <v>3814468.03</v>
      </c>
      <c r="J235" s="11">
        <v>3872074.33</v>
      </c>
      <c r="K235" s="11">
        <v>3837655.75</v>
      </c>
      <c r="L235" s="11">
        <v>3850202.74</v>
      </c>
      <c r="M235" s="11">
        <v>3981768.62</v>
      </c>
      <c r="N235" s="11">
        <f t="shared" si="42"/>
        <v>2888187.55</v>
      </c>
      <c r="O235" s="11">
        <v>910089</v>
      </c>
      <c r="P235" s="11">
        <v>-4073.42</v>
      </c>
      <c r="Q235" s="11">
        <f t="shared" si="40"/>
        <v>65286.389999999992</v>
      </c>
      <c r="R235" s="11">
        <f t="shared" si="41"/>
        <v>46611.18</v>
      </c>
      <c r="S235" s="11">
        <f t="shared" si="43"/>
        <v>67583.588669999997</v>
      </c>
      <c r="T235" s="10">
        <f t="shared" si="44"/>
        <v>6370.6230000000005</v>
      </c>
      <c r="U235" s="10">
        <f t="shared" si="45"/>
        <v>-4073.42</v>
      </c>
      <c r="V235" s="27">
        <f t="shared" si="46"/>
        <v>18675.2117</v>
      </c>
      <c r="W235" s="48">
        <f t="shared" si="47"/>
        <v>46611.173969999996</v>
      </c>
      <c r="X235" s="27"/>
      <c r="Y235" s="49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8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</row>
    <row r="236" spans="1:79" x14ac:dyDescent="0.25">
      <c r="A236" s="27">
        <v>739</v>
      </c>
      <c r="B236" s="27">
        <v>1</v>
      </c>
      <c r="C236" s="18" t="s">
        <v>198</v>
      </c>
      <c r="D236" s="11">
        <v>2617466.4700000002</v>
      </c>
      <c r="E236" s="16">
        <v>3194264.94</v>
      </c>
      <c r="F236" s="11">
        <v>3085926.5</v>
      </c>
      <c r="G236" s="11">
        <v>2963790</v>
      </c>
      <c r="H236" s="11">
        <v>2897548.95</v>
      </c>
      <c r="I236" s="11">
        <v>2889670.47</v>
      </c>
      <c r="J236" s="11">
        <v>2888137.17</v>
      </c>
      <c r="K236" s="11">
        <v>2913625.56</v>
      </c>
      <c r="L236" s="11">
        <v>2852718.41</v>
      </c>
      <c r="M236" s="11">
        <v>2960754.83</v>
      </c>
      <c r="N236" s="11">
        <f t="shared" si="42"/>
        <v>2617466.4700000002</v>
      </c>
      <c r="O236" s="11">
        <v>441475</v>
      </c>
      <c r="P236" s="11">
        <v>-2456.29</v>
      </c>
      <c r="Q236" s="11">
        <f t="shared" si="40"/>
        <v>60614.68</v>
      </c>
      <c r="R236" s="11">
        <f t="shared" si="41"/>
        <v>46126.94</v>
      </c>
      <c r="S236" s="11">
        <f t="shared" si="43"/>
        <v>61248.715398000008</v>
      </c>
      <c r="T236" s="10">
        <f t="shared" si="44"/>
        <v>3090.3250000000003</v>
      </c>
      <c r="U236" s="10">
        <f t="shared" si="45"/>
        <v>-2456.29</v>
      </c>
      <c r="V236" s="27">
        <f t="shared" si="46"/>
        <v>14487.744750000002</v>
      </c>
      <c r="W236" s="48">
        <f t="shared" si="47"/>
        <v>46126.935648000013</v>
      </c>
      <c r="X236" s="27"/>
      <c r="Y236" s="49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8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</row>
    <row r="237" spans="1:79" x14ac:dyDescent="0.25">
      <c r="A237" s="27">
        <v>740</v>
      </c>
      <c r="B237" s="27">
        <v>1</v>
      </c>
      <c r="C237" s="18" t="s">
        <v>199</v>
      </c>
      <c r="D237" s="11">
        <v>4437770.5199999996</v>
      </c>
      <c r="E237" s="16">
        <v>6220063.5300000003</v>
      </c>
      <c r="F237" s="11">
        <v>6298659.1600000001</v>
      </c>
      <c r="G237" s="11">
        <v>6136097.6399999997</v>
      </c>
      <c r="H237" s="11">
        <v>5885927.9299999997</v>
      </c>
      <c r="I237" s="11">
        <v>5633725.7800000003</v>
      </c>
      <c r="J237" s="11">
        <v>5867359.04</v>
      </c>
      <c r="K237" s="11">
        <v>6040991.8700000001</v>
      </c>
      <c r="L237" s="11">
        <v>6028311.25</v>
      </c>
      <c r="M237" s="11">
        <v>6156414.7999999998</v>
      </c>
      <c r="N237" s="11">
        <f t="shared" si="42"/>
        <v>4437770.5199999996</v>
      </c>
      <c r="O237" s="11">
        <v>727021</v>
      </c>
      <c r="P237" s="11">
        <v>-4648.21</v>
      </c>
      <c r="Q237" s="11">
        <f t="shared" si="40"/>
        <v>103402.89000000001</v>
      </c>
      <c r="R237" s="11">
        <f t="shared" si="41"/>
        <v>73973.25</v>
      </c>
      <c r="S237" s="11">
        <f t="shared" si="43"/>
        <v>103843.83016799999</v>
      </c>
      <c r="T237" s="10">
        <f t="shared" si="44"/>
        <v>5089.1469999999999</v>
      </c>
      <c r="U237" s="10">
        <f t="shared" si="45"/>
        <v>-4648.21</v>
      </c>
      <c r="V237" s="27">
        <f t="shared" si="46"/>
        <v>29429.639649999997</v>
      </c>
      <c r="W237" s="48">
        <f t="shared" si="47"/>
        <v>73973.253517999998</v>
      </c>
      <c r="X237" s="27"/>
      <c r="Y237" s="49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8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</row>
    <row r="238" spans="1:79" x14ac:dyDescent="0.25">
      <c r="A238" s="27">
        <v>741</v>
      </c>
      <c r="B238" s="27">
        <v>1</v>
      </c>
      <c r="C238" s="18" t="s">
        <v>200</v>
      </c>
      <c r="D238" s="11">
        <v>3836781.21</v>
      </c>
      <c r="E238" s="16">
        <v>4371871.71</v>
      </c>
      <c r="F238" s="11">
        <v>4323012.45</v>
      </c>
      <c r="G238" s="11">
        <v>4232345.16</v>
      </c>
      <c r="H238" s="11">
        <v>4485090.91</v>
      </c>
      <c r="I238" s="11">
        <v>4599461.37</v>
      </c>
      <c r="J238" s="11">
        <v>4745261.42</v>
      </c>
      <c r="K238" s="11">
        <v>4862032.7300000004</v>
      </c>
      <c r="L238" s="11">
        <v>4732799.2300000004</v>
      </c>
      <c r="M238" s="11">
        <v>4871562.8600000003</v>
      </c>
      <c r="N238" s="11">
        <f t="shared" si="42"/>
        <v>3836781.21</v>
      </c>
      <c r="O238" s="11">
        <v>767589</v>
      </c>
      <c r="P238" s="11">
        <v>-4571.5</v>
      </c>
      <c r="Q238" s="11">
        <f t="shared" si="40"/>
        <v>88979.06</v>
      </c>
      <c r="R238" s="11">
        <f t="shared" si="41"/>
        <v>66553.61</v>
      </c>
      <c r="S238" s="11">
        <f t="shared" si="43"/>
        <v>89780.680313999997</v>
      </c>
      <c r="T238" s="10">
        <f t="shared" si="44"/>
        <v>5373.1230000000005</v>
      </c>
      <c r="U238" s="10">
        <f t="shared" si="45"/>
        <v>-4571.5</v>
      </c>
      <c r="V238" s="27">
        <f t="shared" si="46"/>
        <v>22425.454550000002</v>
      </c>
      <c r="W238" s="48">
        <f t="shared" si="47"/>
        <v>66553.602763999981</v>
      </c>
      <c r="X238" s="27"/>
      <c r="Y238" s="49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8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</row>
    <row r="239" spans="1:79" x14ac:dyDescent="0.25">
      <c r="A239" s="27">
        <v>742</v>
      </c>
      <c r="B239" s="27">
        <v>1</v>
      </c>
      <c r="C239" s="18" t="s">
        <v>201</v>
      </c>
      <c r="D239" s="11">
        <v>33975638.560000002</v>
      </c>
      <c r="E239" s="16">
        <v>35961996.75</v>
      </c>
      <c r="F239" s="11">
        <v>51039334.329999998</v>
      </c>
      <c r="G239" s="11">
        <v>45356360.689999998</v>
      </c>
      <c r="H239" s="11">
        <v>46352203.43</v>
      </c>
      <c r="I239" s="11">
        <v>47375811.75</v>
      </c>
      <c r="J239" s="11">
        <v>40768626.090000004</v>
      </c>
      <c r="K239" s="11">
        <v>48600169.299999997</v>
      </c>
      <c r="L239" s="11">
        <v>50023509.850000001</v>
      </c>
      <c r="M239" s="11">
        <v>48283221.409999996</v>
      </c>
      <c r="N239" s="11">
        <f t="shared" si="42"/>
        <v>33975638.560000002</v>
      </c>
      <c r="O239" s="11">
        <v>10525340</v>
      </c>
      <c r="P239" s="11">
        <v>-42850.23</v>
      </c>
      <c r="Q239" s="11">
        <f t="shared" si="40"/>
        <v>764202.78999999992</v>
      </c>
      <c r="R239" s="11">
        <f t="shared" si="41"/>
        <v>532441.77</v>
      </c>
      <c r="S239" s="11">
        <f t="shared" si="43"/>
        <v>795029.94230400003</v>
      </c>
      <c r="T239" s="10">
        <f t="shared" si="44"/>
        <v>73677.38</v>
      </c>
      <c r="U239" s="10">
        <f t="shared" si="45"/>
        <v>-42850.23</v>
      </c>
      <c r="V239" s="27">
        <f t="shared" si="46"/>
        <v>231761.01715</v>
      </c>
      <c r="W239" s="48">
        <f t="shared" si="47"/>
        <v>532441.77515400003</v>
      </c>
      <c r="X239" s="27"/>
      <c r="Y239" s="49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8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</row>
    <row r="240" spans="1:79" x14ac:dyDescent="0.25">
      <c r="A240" s="27">
        <v>743</v>
      </c>
      <c r="B240" s="27">
        <v>1</v>
      </c>
      <c r="C240" s="18" t="s">
        <v>202</v>
      </c>
      <c r="D240" s="11">
        <v>3234405.76</v>
      </c>
      <c r="E240" s="16">
        <v>4358396.75</v>
      </c>
      <c r="F240" s="11">
        <v>4836842.18</v>
      </c>
      <c r="G240" s="11">
        <v>4995929.4800000004</v>
      </c>
      <c r="H240" s="11">
        <v>4848877.68</v>
      </c>
      <c r="I240" s="11">
        <v>4614609.13</v>
      </c>
      <c r="J240" s="11">
        <v>4668713.16</v>
      </c>
      <c r="K240" s="11">
        <v>5011789.74</v>
      </c>
      <c r="L240" s="11">
        <v>4739963.9400000004</v>
      </c>
      <c r="M240" s="11">
        <v>4689620.45</v>
      </c>
      <c r="N240" s="11">
        <f t="shared" si="42"/>
        <v>3234405.76</v>
      </c>
      <c r="O240" s="11">
        <v>1132577</v>
      </c>
      <c r="P240" s="11">
        <v>-7117.39</v>
      </c>
      <c r="Q240" s="11">
        <f t="shared" si="40"/>
        <v>74874.44</v>
      </c>
      <c r="R240" s="11">
        <f t="shared" si="41"/>
        <v>50630.05</v>
      </c>
      <c r="S240" s="11">
        <f t="shared" si="43"/>
        <v>75685.094784000001</v>
      </c>
      <c r="T240" s="10">
        <f t="shared" si="44"/>
        <v>7928.0389999999998</v>
      </c>
      <c r="U240" s="10">
        <f t="shared" si="45"/>
        <v>-7117.39</v>
      </c>
      <c r="V240" s="27">
        <f t="shared" si="46"/>
        <v>24244.3884</v>
      </c>
      <c r="W240" s="48">
        <f t="shared" si="47"/>
        <v>50630.057384</v>
      </c>
      <c r="X240" s="27"/>
      <c r="Y240" s="49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8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</row>
    <row r="241" spans="1:79" x14ac:dyDescent="0.25">
      <c r="A241" s="27">
        <v>745</v>
      </c>
      <c r="B241" s="27">
        <v>1</v>
      </c>
      <c r="C241" s="18" t="s">
        <v>203</v>
      </c>
      <c r="D241" s="11">
        <v>4646248.0599999996</v>
      </c>
      <c r="E241" s="16">
        <v>5285317.03</v>
      </c>
      <c r="F241" s="11">
        <v>6327915.3499999996</v>
      </c>
      <c r="G241" s="11">
        <v>6503564.2199999997</v>
      </c>
      <c r="H241" s="11">
        <v>6546676.2699999996</v>
      </c>
      <c r="I241" s="11">
        <v>6677250.1100000003</v>
      </c>
      <c r="J241" s="11">
        <v>6940212.6299999999</v>
      </c>
      <c r="K241" s="11">
        <v>7132417.3600000003</v>
      </c>
      <c r="L241" s="11">
        <v>7128829.9800000004</v>
      </c>
      <c r="M241" s="11">
        <v>7475523.2199999997</v>
      </c>
      <c r="N241" s="11">
        <f t="shared" si="42"/>
        <v>4646248.0599999996</v>
      </c>
      <c r="O241" s="11">
        <v>1213617</v>
      </c>
      <c r="P241" s="11">
        <v>-5591.06</v>
      </c>
      <c r="Q241" s="11">
        <f t="shared" si="40"/>
        <v>105817.94</v>
      </c>
      <c r="R241" s="11">
        <f t="shared" si="41"/>
        <v>73084.56</v>
      </c>
      <c r="S241" s="11">
        <f t="shared" si="43"/>
        <v>108722.204604</v>
      </c>
      <c r="T241" s="10">
        <f t="shared" si="44"/>
        <v>8495.3189999999995</v>
      </c>
      <c r="U241" s="10">
        <f t="shared" si="45"/>
        <v>-5591.06</v>
      </c>
      <c r="V241" s="27">
        <f t="shared" si="46"/>
        <v>32733.38135</v>
      </c>
      <c r="W241" s="48">
        <f t="shared" si="47"/>
        <v>73084.564253999997</v>
      </c>
      <c r="X241" s="27"/>
      <c r="Y241" s="49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8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</row>
    <row r="242" spans="1:79" x14ac:dyDescent="0.25">
      <c r="A242" s="27">
        <v>748</v>
      </c>
      <c r="B242" s="27">
        <v>1</v>
      </c>
      <c r="C242" s="18" t="s">
        <v>204</v>
      </c>
      <c r="D242" s="11">
        <v>5928363.79</v>
      </c>
      <c r="E242" s="16">
        <v>8920115.9800000004</v>
      </c>
      <c r="F242" s="11">
        <v>9329787.8000000007</v>
      </c>
      <c r="G242" s="11">
        <v>9801770.9299999997</v>
      </c>
      <c r="H242" s="11">
        <v>10465384.01</v>
      </c>
      <c r="I242" s="11">
        <v>11621949.710000001</v>
      </c>
      <c r="J242" s="11">
        <v>12499887.9</v>
      </c>
      <c r="K242" s="11">
        <v>12985835.42</v>
      </c>
      <c r="L242" s="11">
        <v>13252868</v>
      </c>
      <c r="M242" s="11">
        <v>13814466.18</v>
      </c>
      <c r="N242" s="11">
        <f t="shared" si="42"/>
        <v>5928363.79</v>
      </c>
      <c r="O242" s="11">
        <v>2211277</v>
      </c>
      <c r="P242" s="11">
        <v>-5978.1</v>
      </c>
      <c r="Q242" s="11">
        <f t="shared" si="40"/>
        <v>129222.87</v>
      </c>
      <c r="R242" s="11">
        <f t="shared" si="41"/>
        <v>76895.95</v>
      </c>
      <c r="S242" s="11">
        <f t="shared" si="43"/>
        <v>138723.71268600001</v>
      </c>
      <c r="T242" s="10">
        <f t="shared" si="44"/>
        <v>15478.939</v>
      </c>
      <c r="U242" s="10">
        <f t="shared" si="45"/>
        <v>-5978.1</v>
      </c>
      <c r="V242" s="27">
        <f t="shared" si="46"/>
        <v>52326.920050000001</v>
      </c>
      <c r="W242" s="48">
        <f t="shared" si="47"/>
        <v>76895.95363600002</v>
      </c>
      <c r="X242" s="27"/>
      <c r="Y242" s="49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8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</row>
    <row r="243" spans="1:79" x14ac:dyDescent="0.25">
      <c r="A243" s="27">
        <v>750</v>
      </c>
      <c r="B243" s="27">
        <v>1</v>
      </c>
      <c r="C243" s="18" t="s">
        <v>363</v>
      </c>
      <c r="D243" s="11">
        <v>6063202.9199999999</v>
      </c>
      <c r="E243" s="16">
        <v>7979648.9400000004</v>
      </c>
      <c r="F243" s="11">
        <v>7869941.2400000002</v>
      </c>
      <c r="G243" s="11">
        <v>8073486.8600000003</v>
      </c>
      <c r="H243" s="11">
        <v>8369188.75</v>
      </c>
      <c r="I243" s="11">
        <v>8438130.5199999996</v>
      </c>
      <c r="J243" s="11">
        <v>8768275.2799999993</v>
      </c>
      <c r="K243" s="11">
        <v>8689362.4800000004</v>
      </c>
      <c r="L243" s="11">
        <v>8345190.1699999999</v>
      </c>
      <c r="M243" s="11">
        <v>8468411.2899999991</v>
      </c>
      <c r="N243" s="11">
        <f t="shared" si="42"/>
        <v>6063202.9199999999</v>
      </c>
      <c r="O243" s="11">
        <v>1718393</v>
      </c>
      <c r="P243" s="11">
        <v>-8219.2199999999993</v>
      </c>
      <c r="Q243" s="11">
        <f t="shared" si="40"/>
        <v>138069.42000000001</v>
      </c>
      <c r="R243" s="11">
        <f t="shared" si="41"/>
        <v>96223.48</v>
      </c>
      <c r="S243" s="11">
        <f t="shared" si="43"/>
        <v>141878.948328</v>
      </c>
      <c r="T243" s="10">
        <f t="shared" si="44"/>
        <v>12028.751</v>
      </c>
      <c r="U243" s="10">
        <f t="shared" si="45"/>
        <v>-8219.2199999999993</v>
      </c>
      <c r="V243" s="27">
        <f t="shared" si="46"/>
        <v>41845.943749999999</v>
      </c>
      <c r="W243" s="48">
        <f t="shared" si="47"/>
        <v>96223.473577999976</v>
      </c>
      <c r="X243" s="27"/>
      <c r="Y243" s="49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8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</row>
    <row r="244" spans="1:79" x14ac:dyDescent="0.25">
      <c r="A244" s="27">
        <v>756</v>
      </c>
      <c r="B244" s="27">
        <v>1</v>
      </c>
      <c r="C244" s="18" t="s">
        <v>205</v>
      </c>
      <c r="D244" s="11">
        <v>2775271.04</v>
      </c>
      <c r="E244" s="16">
        <v>2775888.6</v>
      </c>
      <c r="F244" s="11">
        <v>2828242.12</v>
      </c>
      <c r="G244" s="11">
        <v>2894099.77</v>
      </c>
      <c r="H244" s="11">
        <v>2981158.52</v>
      </c>
      <c r="I244" s="11">
        <v>3045604.34</v>
      </c>
      <c r="J244" s="11">
        <v>3065066.65</v>
      </c>
      <c r="K244" s="11">
        <v>3000801.78</v>
      </c>
      <c r="L244" s="11">
        <v>3124710.97</v>
      </c>
      <c r="M244" s="11">
        <v>3104992.17</v>
      </c>
      <c r="N244" s="11">
        <f t="shared" si="42"/>
        <v>2775271.04</v>
      </c>
      <c r="O244" s="11">
        <v>449832</v>
      </c>
      <c r="P244" s="11">
        <v>-1867.51</v>
      </c>
      <c r="Q244" s="11">
        <f t="shared" si="40"/>
        <v>63660.03</v>
      </c>
      <c r="R244" s="11">
        <f t="shared" si="41"/>
        <v>48754.239999999998</v>
      </c>
      <c r="S244" s="11">
        <f t="shared" si="43"/>
        <v>64941.342336000002</v>
      </c>
      <c r="T244" s="10">
        <f t="shared" si="44"/>
        <v>3148.8240000000001</v>
      </c>
      <c r="U244" s="10">
        <f t="shared" si="45"/>
        <v>-1867.51</v>
      </c>
      <c r="V244" s="27">
        <f t="shared" si="46"/>
        <v>14905.792600000001</v>
      </c>
      <c r="W244" s="48">
        <f t="shared" si="47"/>
        <v>48754.235736000002</v>
      </c>
      <c r="X244" s="27"/>
      <c r="Y244" s="49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8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</row>
    <row r="245" spans="1:79" x14ac:dyDescent="0.25">
      <c r="A245" s="27">
        <v>761</v>
      </c>
      <c r="B245" s="27">
        <v>1</v>
      </c>
      <c r="C245" s="18" t="s">
        <v>206</v>
      </c>
      <c r="D245" s="11">
        <v>13422866.859999999</v>
      </c>
      <c r="E245" s="16">
        <v>17314580.960000001</v>
      </c>
      <c r="F245" s="11">
        <v>17096161.600000001</v>
      </c>
      <c r="G245" s="11">
        <v>18352210.190000001</v>
      </c>
      <c r="H245" s="11">
        <v>19469826.800000001</v>
      </c>
      <c r="I245" s="11">
        <v>20173972.18</v>
      </c>
      <c r="J245" s="11">
        <v>21184056.850000001</v>
      </c>
      <c r="K245" s="11">
        <v>21307425.640000001</v>
      </c>
      <c r="L245" s="11">
        <v>21009232.850000001</v>
      </c>
      <c r="M245" s="11">
        <v>21180326.84</v>
      </c>
      <c r="N245" s="11">
        <f t="shared" si="42"/>
        <v>13422866.859999999</v>
      </c>
      <c r="O245" s="11">
        <v>3386556</v>
      </c>
      <c r="P245" s="11">
        <v>-11671.58</v>
      </c>
      <c r="Q245" s="11">
        <f t="shared" si="40"/>
        <v>302060.77</v>
      </c>
      <c r="R245" s="11">
        <f t="shared" si="41"/>
        <v>204711.64</v>
      </c>
      <c r="S245" s="11">
        <f t="shared" si="43"/>
        <v>314095.08452400001</v>
      </c>
      <c r="T245" s="10">
        <f t="shared" si="44"/>
        <v>23705.892</v>
      </c>
      <c r="U245" s="10">
        <f t="shared" si="45"/>
        <v>-11671.58</v>
      </c>
      <c r="V245" s="27">
        <f t="shared" si="46"/>
        <v>97349.134000000005</v>
      </c>
      <c r="W245" s="48">
        <f t="shared" si="47"/>
        <v>204711.63852400001</v>
      </c>
      <c r="X245" s="27"/>
      <c r="Y245" s="49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8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</row>
    <row r="246" spans="1:79" x14ac:dyDescent="0.25">
      <c r="A246" s="27">
        <v>763</v>
      </c>
      <c r="B246" s="27">
        <v>1</v>
      </c>
      <c r="C246" s="18" t="s">
        <v>207</v>
      </c>
      <c r="D246" s="11">
        <v>1317618.01</v>
      </c>
      <c r="E246" s="16">
        <v>2070130.39</v>
      </c>
      <c r="F246" s="11">
        <v>2343854.7599999998</v>
      </c>
      <c r="G246" s="11">
        <v>2391625.5699999998</v>
      </c>
      <c r="H246" s="11">
        <v>2536242.2999999998</v>
      </c>
      <c r="I246" s="11">
        <v>2660156.98</v>
      </c>
      <c r="J246" s="11">
        <v>2906528.16</v>
      </c>
      <c r="K246" s="11">
        <v>2791323.78</v>
      </c>
      <c r="L246" s="11">
        <v>2702045.99</v>
      </c>
      <c r="M246" s="11">
        <v>3006709.59</v>
      </c>
      <c r="N246" s="11">
        <f t="shared" si="42"/>
        <v>1317618.01</v>
      </c>
      <c r="O246" s="11">
        <v>243026</v>
      </c>
      <c r="P246" s="11">
        <v>-1296.71</v>
      </c>
      <c r="Q246" s="11">
        <f t="shared" si="40"/>
        <v>30427.789999999997</v>
      </c>
      <c r="R246" s="11">
        <f t="shared" si="41"/>
        <v>17746.580000000002</v>
      </c>
      <c r="S246" s="11">
        <f t="shared" si="43"/>
        <v>30832.261434</v>
      </c>
      <c r="T246" s="10">
        <f t="shared" si="44"/>
        <v>1701.182</v>
      </c>
      <c r="U246" s="10">
        <f t="shared" si="45"/>
        <v>-1296.71</v>
      </c>
      <c r="V246" s="27">
        <f t="shared" si="46"/>
        <v>12681.211499999999</v>
      </c>
      <c r="W246" s="48">
        <f t="shared" si="47"/>
        <v>17746.577934000001</v>
      </c>
      <c r="X246" s="27"/>
      <c r="Y246" s="49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8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</row>
    <row r="247" spans="1:79" x14ac:dyDescent="0.25">
      <c r="A247" s="27">
        <v>768</v>
      </c>
      <c r="B247" s="27">
        <v>1</v>
      </c>
      <c r="C247" s="18" t="s">
        <v>208</v>
      </c>
      <c r="D247" s="11">
        <v>701158.1</v>
      </c>
      <c r="E247" s="16">
        <v>957923.98</v>
      </c>
      <c r="F247" s="11">
        <v>888088.45</v>
      </c>
      <c r="G247" s="11">
        <v>923557.56</v>
      </c>
      <c r="H247" s="11">
        <v>975779.18</v>
      </c>
      <c r="I247" s="11">
        <v>1040076.28</v>
      </c>
      <c r="J247" s="11">
        <v>1043786.05</v>
      </c>
      <c r="K247" s="11">
        <v>1107676.1499999999</v>
      </c>
      <c r="L247" s="11">
        <v>1083148.96</v>
      </c>
      <c r="M247" s="11">
        <v>1147487.25</v>
      </c>
      <c r="N247" s="11">
        <f t="shared" si="42"/>
        <v>701158.1</v>
      </c>
      <c r="O247" s="11">
        <v>136241</v>
      </c>
      <c r="P247" s="11">
        <v>-777.58</v>
      </c>
      <c r="Q247" s="11">
        <f t="shared" si="40"/>
        <v>16230.989999999998</v>
      </c>
      <c r="R247" s="11">
        <f t="shared" si="41"/>
        <v>11352.09</v>
      </c>
      <c r="S247" s="11">
        <f t="shared" si="43"/>
        <v>16407.099539999999</v>
      </c>
      <c r="T247" s="10">
        <f t="shared" si="44"/>
        <v>953.68700000000001</v>
      </c>
      <c r="U247" s="10">
        <f t="shared" si="45"/>
        <v>-777.58</v>
      </c>
      <c r="V247" s="27">
        <f t="shared" si="46"/>
        <v>4878.8959000000004</v>
      </c>
      <c r="W247" s="48">
        <f t="shared" si="47"/>
        <v>11352.09664</v>
      </c>
      <c r="X247" s="27"/>
      <c r="Y247" s="49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8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</row>
    <row r="248" spans="1:79" x14ac:dyDescent="0.25">
      <c r="A248" s="27">
        <v>769</v>
      </c>
      <c r="B248" s="27">
        <v>1</v>
      </c>
      <c r="C248" s="18" t="s">
        <v>209</v>
      </c>
      <c r="D248" s="11">
        <v>3382035.96</v>
      </c>
      <c r="E248" s="16">
        <v>4038695.76</v>
      </c>
      <c r="F248" s="11">
        <v>3698345</v>
      </c>
      <c r="G248" s="11">
        <v>4478435.71</v>
      </c>
      <c r="H248" s="11">
        <v>3889350.43</v>
      </c>
      <c r="I248" s="11">
        <v>3775144.46</v>
      </c>
      <c r="J248" s="11">
        <v>3962517.67</v>
      </c>
      <c r="K248" s="11">
        <v>4041031.65</v>
      </c>
      <c r="L248" s="11">
        <v>4013307.75</v>
      </c>
      <c r="M248" s="11">
        <v>4201913.22</v>
      </c>
      <c r="N248" s="11">
        <f t="shared" si="42"/>
        <v>3382035.96</v>
      </c>
      <c r="O248" s="11">
        <v>994494</v>
      </c>
      <c r="P248" s="11">
        <v>-3815.67</v>
      </c>
      <c r="Q248" s="11">
        <f t="shared" si="40"/>
        <v>75993.849999999991</v>
      </c>
      <c r="R248" s="11">
        <f t="shared" si="41"/>
        <v>56547.1</v>
      </c>
      <c r="S248" s="11">
        <f t="shared" si="43"/>
        <v>79139.641464</v>
      </c>
      <c r="T248" s="10">
        <f t="shared" si="44"/>
        <v>6961.4580000000005</v>
      </c>
      <c r="U248" s="10">
        <f t="shared" si="45"/>
        <v>-3815.67</v>
      </c>
      <c r="V248" s="27">
        <f t="shared" si="46"/>
        <v>19446.75215</v>
      </c>
      <c r="W248" s="48">
        <f t="shared" si="47"/>
        <v>56547.101314</v>
      </c>
      <c r="X248" s="27"/>
      <c r="Y248" s="49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8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</row>
    <row r="249" spans="1:79" x14ac:dyDescent="0.25">
      <c r="A249" s="27">
        <v>771</v>
      </c>
      <c r="B249" s="27">
        <v>1</v>
      </c>
      <c r="C249" s="18" t="s">
        <v>210</v>
      </c>
      <c r="D249" s="11">
        <v>866373.36</v>
      </c>
      <c r="E249" s="16">
        <v>883855.56</v>
      </c>
      <c r="F249" s="11">
        <v>889761.03</v>
      </c>
      <c r="G249" s="11">
        <v>889380.45</v>
      </c>
      <c r="H249" s="11">
        <v>874389.92</v>
      </c>
      <c r="I249" s="11">
        <v>908576.44</v>
      </c>
      <c r="J249" s="11">
        <v>816013.19</v>
      </c>
      <c r="K249" s="11">
        <v>817328.04</v>
      </c>
      <c r="L249" s="11">
        <v>720578.16</v>
      </c>
      <c r="M249" s="11">
        <v>703032.43</v>
      </c>
      <c r="N249" s="11">
        <f t="shared" si="42"/>
        <v>703032.43</v>
      </c>
      <c r="O249" s="11">
        <v>225863</v>
      </c>
      <c r="P249" s="11">
        <v>-1663.41</v>
      </c>
      <c r="Q249" s="11">
        <f t="shared" si="40"/>
        <v>16533.329999999998</v>
      </c>
      <c r="R249" s="11">
        <f t="shared" si="41"/>
        <v>12161.38</v>
      </c>
      <c r="S249" s="11">
        <f t="shared" si="43"/>
        <v>16450.958862000003</v>
      </c>
      <c r="T249" s="10">
        <f t="shared" si="44"/>
        <v>1581.0409999999999</v>
      </c>
      <c r="U249" s="10">
        <f t="shared" si="45"/>
        <v>-1663.41</v>
      </c>
      <c r="V249" s="27">
        <f t="shared" si="46"/>
        <v>4371.9495999999999</v>
      </c>
      <c r="W249" s="48">
        <f t="shared" si="47"/>
        <v>12161.378262000006</v>
      </c>
      <c r="X249" s="27"/>
      <c r="Y249" s="49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8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</row>
    <row r="250" spans="1:79" x14ac:dyDescent="0.25">
      <c r="A250" s="27">
        <v>775</v>
      </c>
      <c r="B250" s="27">
        <v>1</v>
      </c>
      <c r="C250" s="18" t="s">
        <v>364</v>
      </c>
      <c r="D250" s="11">
        <v>1745870.89</v>
      </c>
      <c r="E250" s="16">
        <v>2324016.12</v>
      </c>
      <c r="F250" s="11">
        <v>2508134.62</v>
      </c>
      <c r="G250" s="11">
        <v>2516478.8199999998</v>
      </c>
      <c r="H250" s="11">
        <v>2548095.2400000002</v>
      </c>
      <c r="I250" s="11">
        <v>2572349.5</v>
      </c>
      <c r="J250" s="11">
        <v>2570954.98</v>
      </c>
      <c r="K250" s="11">
        <v>2379199.44</v>
      </c>
      <c r="L250" s="11">
        <v>2246984.2999999998</v>
      </c>
      <c r="M250" s="11">
        <v>2108793.4700000002</v>
      </c>
      <c r="N250" s="11">
        <f t="shared" si="42"/>
        <v>1745870.89</v>
      </c>
      <c r="O250" s="11">
        <v>398371</v>
      </c>
      <c r="P250" s="11">
        <v>-2397.4899999999998</v>
      </c>
      <c r="Q250" s="11">
        <f t="shared" si="40"/>
        <v>40462.269999999997</v>
      </c>
      <c r="R250" s="11">
        <f t="shared" si="41"/>
        <v>27721.79</v>
      </c>
      <c r="S250" s="11">
        <f t="shared" si="43"/>
        <v>40853.378826</v>
      </c>
      <c r="T250" s="10">
        <f t="shared" si="44"/>
        <v>2788.5970000000002</v>
      </c>
      <c r="U250" s="10">
        <f t="shared" si="45"/>
        <v>-2397.4899999999998</v>
      </c>
      <c r="V250" s="27">
        <f t="shared" si="46"/>
        <v>12740.476200000001</v>
      </c>
      <c r="W250" s="48">
        <f t="shared" si="47"/>
        <v>27721.795625999996</v>
      </c>
      <c r="X250" s="27"/>
      <c r="Y250" s="49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8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</row>
    <row r="251" spans="1:79" x14ac:dyDescent="0.25">
      <c r="A251" s="27">
        <v>777</v>
      </c>
      <c r="B251" s="27">
        <v>1</v>
      </c>
      <c r="C251" s="18" t="s">
        <v>211</v>
      </c>
      <c r="D251" s="11">
        <v>3206909.36</v>
      </c>
      <c r="E251" s="16">
        <v>3788527.71</v>
      </c>
      <c r="F251" s="11">
        <v>3782576.54</v>
      </c>
      <c r="G251" s="11">
        <v>3992873.96</v>
      </c>
      <c r="H251" s="11">
        <v>3949639.77</v>
      </c>
      <c r="I251" s="11">
        <v>4228285.83</v>
      </c>
      <c r="J251" s="11">
        <v>4459557.09</v>
      </c>
      <c r="K251" s="11">
        <v>4332602.42</v>
      </c>
      <c r="L251" s="11">
        <v>4850916.96</v>
      </c>
      <c r="M251" s="11">
        <v>4389975.3600000003</v>
      </c>
      <c r="N251" s="11">
        <f t="shared" si="42"/>
        <v>3206909.36</v>
      </c>
      <c r="O251" s="11">
        <v>810307</v>
      </c>
      <c r="P251" s="11">
        <v>-4573.6899999999996</v>
      </c>
      <c r="Q251" s="11">
        <f t="shared" si="40"/>
        <v>73943.22</v>
      </c>
      <c r="R251" s="11">
        <f t="shared" si="41"/>
        <v>54195.02</v>
      </c>
      <c r="S251" s="11">
        <f t="shared" si="43"/>
        <v>75041.679023999997</v>
      </c>
      <c r="T251" s="10">
        <f t="shared" si="44"/>
        <v>5672.1490000000003</v>
      </c>
      <c r="U251" s="10">
        <f t="shared" si="45"/>
        <v>-4573.6899999999996</v>
      </c>
      <c r="V251" s="27">
        <f t="shared" si="46"/>
        <v>19748.198850000001</v>
      </c>
      <c r="W251" s="48">
        <f t="shared" si="47"/>
        <v>54195.021173999994</v>
      </c>
      <c r="X251" s="27"/>
      <c r="Y251" s="49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8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</row>
    <row r="252" spans="1:79" x14ac:dyDescent="0.25">
      <c r="A252" s="27">
        <v>786</v>
      </c>
      <c r="B252" s="27">
        <v>1</v>
      </c>
      <c r="C252" s="18" t="s">
        <v>212</v>
      </c>
      <c r="D252" s="11">
        <v>1582444.37</v>
      </c>
      <c r="E252" s="16">
        <v>1954198.43</v>
      </c>
      <c r="F252" s="11">
        <v>1837001.62</v>
      </c>
      <c r="G252" s="11">
        <v>1827697.11</v>
      </c>
      <c r="H252" s="11">
        <v>1917100.6</v>
      </c>
      <c r="I252" s="11">
        <v>2058012.03</v>
      </c>
      <c r="J252" s="11">
        <v>2175184.2599999998</v>
      </c>
      <c r="K252" s="11">
        <v>2235532.92</v>
      </c>
      <c r="L252" s="11">
        <v>2251148.89</v>
      </c>
      <c r="M252" s="11">
        <v>2150961.96</v>
      </c>
      <c r="N252" s="11">
        <f t="shared" si="42"/>
        <v>1582444.37</v>
      </c>
      <c r="O252" s="11">
        <v>297092</v>
      </c>
      <c r="P252" s="11">
        <v>-1371.75</v>
      </c>
      <c r="Q252" s="11">
        <f t="shared" si="40"/>
        <v>36321.31</v>
      </c>
      <c r="R252" s="11">
        <f t="shared" si="41"/>
        <v>26735.81</v>
      </c>
      <c r="S252" s="11">
        <f t="shared" si="43"/>
        <v>37029.198258000004</v>
      </c>
      <c r="T252" s="10">
        <f t="shared" si="44"/>
        <v>2079.6440000000002</v>
      </c>
      <c r="U252" s="10">
        <f t="shared" si="45"/>
        <v>-1371.75</v>
      </c>
      <c r="V252" s="27">
        <f t="shared" si="46"/>
        <v>9585.5030000000006</v>
      </c>
      <c r="W252" s="48">
        <f t="shared" si="47"/>
        <v>26735.801258000003</v>
      </c>
      <c r="X252" s="27"/>
      <c r="Y252" s="49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8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</row>
    <row r="253" spans="1:79" x14ac:dyDescent="0.25">
      <c r="A253" s="27">
        <v>787</v>
      </c>
      <c r="B253" s="27">
        <v>1</v>
      </c>
      <c r="C253" s="18" t="s">
        <v>213</v>
      </c>
      <c r="D253" s="11">
        <v>1327428.47</v>
      </c>
      <c r="E253" s="16">
        <v>1841559.63</v>
      </c>
      <c r="F253" s="11">
        <v>1811830.07</v>
      </c>
      <c r="G253" s="11">
        <v>1861373.91</v>
      </c>
      <c r="H253" s="11">
        <v>1812993.44</v>
      </c>
      <c r="I253" s="11">
        <v>1893511.23</v>
      </c>
      <c r="J253" s="11">
        <v>2039699.23</v>
      </c>
      <c r="K253" s="11">
        <v>2123585.52</v>
      </c>
      <c r="L253" s="11">
        <v>2146405.4900000002</v>
      </c>
      <c r="M253" s="11">
        <v>2177695.2200000002</v>
      </c>
      <c r="N253" s="11">
        <f t="shared" si="42"/>
        <v>1327428.47</v>
      </c>
      <c r="O253" s="11">
        <v>297943</v>
      </c>
      <c r="P253" s="11">
        <v>-1260.71</v>
      </c>
      <c r="Q253" s="11">
        <f t="shared" si="40"/>
        <v>30236.940000000002</v>
      </c>
      <c r="R253" s="11">
        <f t="shared" si="41"/>
        <v>21171.97</v>
      </c>
      <c r="S253" s="11">
        <f t="shared" si="43"/>
        <v>31061.826197999999</v>
      </c>
      <c r="T253" s="10">
        <f t="shared" si="44"/>
        <v>2085.6010000000001</v>
      </c>
      <c r="U253" s="10">
        <f t="shared" si="45"/>
        <v>-1260.71</v>
      </c>
      <c r="V253" s="27">
        <f t="shared" si="46"/>
        <v>9064.9671999999991</v>
      </c>
      <c r="W253" s="48">
        <f t="shared" si="47"/>
        <v>21171.967998</v>
      </c>
      <c r="X253" s="27"/>
      <c r="Y253" s="49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8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</row>
    <row r="254" spans="1:79" x14ac:dyDescent="0.25">
      <c r="A254" s="27">
        <v>801</v>
      </c>
      <c r="B254" s="27">
        <v>1</v>
      </c>
      <c r="C254" s="18" t="s">
        <v>214</v>
      </c>
      <c r="D254" s="11">
        <v>531132.56000000006</v>
      </c>
      <c r="E254" s="16">
        <v>667261.66</v>
      </c>
      <c r="F254" s="11">
        <v>664181.44999999995</v>
      </c>
      <c r="G254" s="11">
        <v>703529.5</v>
      </c>
      <c r="H254" s="11">
        <v>714354.86</v>
      </c>
      <c r="I254" s="11">
        <v>743405.4</v>
      </c>
      <c r="J254" s="11">
        <v>762837.58</v>
      </c>
      <c r="K254" s="11">
        <v>757891.97</v>
      </c>
      <c r="L254" s="11">
        <v>702337.29</v>
      </c>
      <c r="M254" s="11">
        <v>708722.3</v>
      </c>
      <c r="N254" s="11">
        <f t="shared" si="42"/>
        <v>531132.56000000006</v>
      </c>
      <c r="O254" s="11">
        <v>176737</v>
      </c>
      <c r="P254" s="11">
        <v>-1171.5999999999999</v>
      </c>
      <c r="Q254" s="11">
        <f t="shared" si="40"/>
        <v>12362.94</v>
      </c>
      <c r="R254" s="11">
        <f t="shared" si="41"/>
        <v>8791.17</v>
      </c>
      <c r="S254" s="11">
        <f t="shared" si="43"/>
        <v>12428.501904000002</v>
      </c>
      <c r="T254" s="10">
        <f t="shared" si="44"/>
        <v>1237.1590000000001</v>
      </c>
      <c r="U254" s="10">
        <f t="shared" si="45"/>
        <v>-1171.5999999999999</v>
      </c>
      <c r="V254" s="27">
        <f t="shared" si="46"/>
        <v>3571.7743</v>
      </c>
      <c r="W254" s="48">
        <f t="shared" si="47"/>
        <v>8791.1686040000022</v>
      </c>
      <c r="X254" s="27"/>
      <c r="Y254" s="49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8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</row>
    <row r="255" spans="1:79" x14ac:dyDescent="0.25">
      <c r="A255" s="27">
        <v>803</v>
      </c>
      <c r="B255" s="27">
        <v>1</v>
      </c>
      <c r="C255" s="18" t="s">
        <v>365</v>
      </c>
      <c r="D255" s="11">
        <v>1450094.19</v>
      </c>
      <c r="E255" s="16">
        <v>2021652.67</v>
      </c>
      <c r="F255" s="11">
        <v>1770119.77</v>
      </c>
      <c r="G255" s="11">
        <v>1985061.13</v>
      </c>
      <c r="H255" s="11">
        <v>1886071.96</v>
      </c>
      <c r="I255" s="11">
        <v>1840046.25</v>
      </c>
      <c r="J255" s="11">
        <v>1854219.79</v>
      </c>
      <c r="K255" s="11">
        <v>1882706.71</v>
      </c>
      <c r="L255" s="11">
        <v>1911292.59</v>
      </c>
      <c r="M255" s="11">
        <v>1869848.83</v>
      </c>
      <c r="N255" s="11">
        <f t="shared" si="42"/>
        <v>1450094.19</v>
      </c>
      <c r="O255" s="11">
        <v>418321</v>
      </c>
      <c r="P255" s="11">
        <v>-1754.71</v>
      </c>
      <c r="Q255" s="11">
        <f t="shared" si="40"/>
        <v>32758.659999999996</v>
      </c>
      <c r="R255" s="11">
        <f t="shared" si="41"/>
        <v>23328.3</v>
      </c>
      <c r="S255" s="11">
        <f t="shared" si="43"/>
        <v>33932.204045999999</v>
      </c>
      <c r="T255" s="10">
        <f t="shared" si="44"/>
        <v>2928.2469999999998</v>
      </c>
      <c r="U255" s="10">
        <f t="shared" si="45"/>
        <v>-1754.71</v>
      </c>
      <c r="V255" s="27">
        <f t="shared" si="46"/>
        <v>9430.3598000000002</v>
      </c>
      <c r="W255" s="48">
        <f t="shared" si="47"/>
        <v>23328.307245999997</v>
      </c>
      <c r="X255" s="27"/>
      <c r="Y255" s="49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8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</row>
    <row r="256" spans="1:79" x14ac:dyDescent="0.25">
      <c r="A256" s="27">
        <v>811</v>
      </c>
      <c r="B256" s="27">
        <v>1</v>
      </c>
      <c r="C256" s="18" t="s">
        <v>366</v>
      </c>
      <c r="D256" s="11">
        <v>2308530.11</v>
      </c>
      <c r="E256" s="16">
        <v>2489234.52</v>
      </c>
      <c r="F256" s="11">
        <v>2544402.0099999998</v>
      </c>
      <c r="G256" s="11">
        <v>2357924.23</v>
      </c>
      <c r="H256" s="11">
        <v>2441132.61</v>
      </c>
      <c r="I256" s="11">
        <v>2497846.2999999998</v>
      </c>
      <c r="J256" s="11">
        <v>2593178.4300000002</v>
      </c>
      <c r="K256" s="11">
        <v>2674053.37</v>
      </c>
      <c r="L256" s="11">
        <v>2659683.36</v>
      </c>
      <c r="M256" s="11">
        <v>2778495.03</v>
      </c>
      <c r="N256" s="11">
        <f t="shared" si="42"/>
        <v>2308530.11</v>
      </c>
      <c r="O256" s="11">
        <v>480880</v>
      </c>
      <c r="P256" s="11">
        <v>-2228.84</v>
      </c>
      <c r="Q256" s="11">
        <f t="shared" si="40"/>
        <v>52882.28</v>
      </c>
      <c r="R256" s="11">
        <f t="shared" si="41"/>
        <v>40676.620000000003</v>
      </c>
      <c r="S256" s="11">
        <f t="shared" si="43"/>
        <v>54019.604573999997</v>
      </c>
      <c r="T256" s="10">
        <f t="shared" si="44"/>
        <v>3366.16</v>
      </c>
      <c r="U256" s="10">
        <f t="shared" si="45"/>
        <v>-2228.84</v>
      </c>
      <c r="V256" s="27">
        <f t="shared" si="46"/>
        <v>12205.663049999999</v>
      </c>
      <c r="W256" s="48">
        <f t="shared" si="47"/>
        <v>40676.621523999987</v>
      </c>
      <c r="X256" s="27"/>
      <c r="Y256" s="49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8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</row>
    <row r="257" spans="1:79" x14ac:dyDescent="0.25">
      <c r="A257" s="27">
        <v>813</v>
      </c>
      <c r="B257" s="27">
        <v>1</v>
      </c>
      <c r="C257" s="18" t="s">
        <v>217</v>
      </c>
      <c r="D257" s="11">
        <v>3959999.58</v>
      </c>
      <c r="E257" s="16">
        <v>5127587.28</v>
      </c>
      <c r="F257" s="11">
        <v>5295000.6500000004</v>
      </c>
      <c r="G257" s="11">
        <v>5361297.1399999997</v>
      </c>
      <c r="H257" s="11">
        <v>5463113.6200000001</v>
      </c>
      <c r="I257" s="11">
        <v>5302293.51</v>
      </c>
      <c r="J257" s="11">
        <v>5426345.04</v>
      </c>
      <c r="K257" s="11">
        <v>5516010.96</v>
      </c>
      <c r="L257" s="11">
        <v>5444072.5199999996</v>
      </c>
      <c r="M257" s="11">
        <v>5504813.1200000001</v>
      </c>
      <c r="N257" s="11">
        <f t="shared" si="42"/>
        <v>3959999.58</v>
      </c>
      <c r="O257" s="11">
        <v>644714</v>
      </c>
      <c r="P257" s="11">
        <v>-4571.5600000000004</v>
      </c>
      <c r="Q257" s="11">
        <f t="shared" si="40"/>
        <v>92722.55</v>
      </c>
      <c r="R257" s="11">
        <f t="shared" si="41"/>
        <v>65406.98</v>
      </c>
      <c r="S257" s="11">
        <f t="shared" si="43"/>
        <v>92663.990172000005</v>
      </c>
      <c r="T257" s="10">
        <f t="shared" si="44"/>
        <v>4512.9980000000005</v>
      </c>
      <c r="U257" s="10">
        <f t="shared" si="45"/>
        <v>-4571.5600000000004</v>
      </c>
      <c r="V257" s="27">
        <f t="shared" si="46"/>
        <v>27315.5681</v>
      </c>
      <c r="W257" s="48">
        <f t="shared" si="47"/>
        <v>65406.984071999992</v>
      </c>
      <c r="X257" s="27"/>
      <c r="Y257" s="49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8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</row>
    <row r="258" spans="1:79" x14ac:dyDescent="0.25">
      <c r="A258" s="27">
        <v>815</v>
      </c>
      <c r="B258" s="27">
        <v>2</v>
      </c>
      <c r="C258" s="18" t="s">
        <v>218</v>
      </c>
      <c r="D258" s="11">
        <v>81100.850000000006</v>
      </c>
      <c r="E258" s="16">
        <v>128033.44</v>
      </c>
      <c r="F258" s="11">
        <v>97644.2</v>
      </c>
      <c r="G258" s="11">
        <v>106342.31</v>
      </c>
      <c r="H258" s="11">
        <v>112765.18</v>
      </c>
      <c r="I258" s="11">
        <v>124522.28</v>
      </c>
      <c r="J258" s="11">
        <v>130463.76</v>
      </c>
      <c r="K258" s="11">
        <v>126547.08</v>
      </c>
      <c r="L258" s="11">
        <v>118346.26</v>
      </c>
      <c r="M258" s="11">
        <v>119261.86</v>
      </c>
      <c r="N258" s="11">
        <f t="shared" si="42"/>
        <v>81100.850000000006</v>
      </c>
      <c r="O258" s="11">
        <v>0</v>
      </c>
      <c r="P258" s="11">
        <v>-658.39</v>
      </c>
      <c r="Q258" s="11">
        <f t="shared" si="40"/>
        <v>2556.15</v>
      </c>
      <c r="R258" s="11">
        <f t="shared" si="41"/>
        <v>1992.32</v>
      </c>
      <c r="S258" s="11">
        <f t="shared" si="43"/>
        <v>1897.7598900000003</v>
      </c>
      <c r="T258" s="10">
        <f t="shared" si="44"/>
        <v>0</v>
      </c>
      <c r="U258" s="10">
        <f t="shared" si="45"/>
        <v>-658.39</v>
      </c>
      <c r="V258" s="27">
        <f t="shared" si="46"/>
        <v>563.82589999999993</v>
      </c>
      <c r="W258" s="48">
        <f t="shared" si="47"/>
        <v>1992.3239900000003</v>
      </c>
      <c r="X258" s="27"/>
      <c r="Y258" s="49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8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</row>
    <row r="259" spans="1:79" x14ac:dyDescent="0.25">
      <c r="A259" s="27">
        <v>818</v>
      </c>
      <c r="B259" s="27">
        <v>1</v>
      </c>
      <c r="C259" s="18" t="s">
        <v>219</v>
      </c>
      <c r="D259" s="11">
        <v>1222994.8999999999</v>
      </c>
      <c r="E259" s="16">
        <v>1613704.26</v>
      </c>
      <c r="F259" s="11">
        <v>1657726.21</v>
      </c>
      <c r="G259" s="11">
        <v>1745117.9</v>
      </c>
      <c r="H259" s="11">
        <v>1781084.36</v>
      </c>
      <c r="I259" s="11">
        <v>1702790.78</v>
      </c>
      <c r="J259" s="11">
        <v>1962058.63</v>
      </c>
      <c r="K259" s="11">
        <v>2024051.78</v>
      </c>
      <c r="L259" s="11">
        <v>2044064.02</v>
      </c>
      <c r="M259" s="11">
        <v>2006609.21</v>
      </c>
      <c r="N259" s="11">
        <f t="shared" si="42"/>
        <v>1222994.8999999999</v>
      </c>
      <c r="O259" s="11">
        <v>322695</v>
      </c>
      <c r="P259" s="11">
        <v>-1092.29</v>
      </c>
      <c r="Q259" s="11">
        <f t="shared" si="40"/>
        <v>27451.500000000004</v>
      </c>
      <c r="R259" s="11">
        <f t="shared" si="41"/>
        <v>18546.080000000002</v>
      </c>
      <c r="S259" s="11">
        <f t="shared" si="43"/>
        <v>28618.08066</v>
      </c>
      <c r="T259" s="10">
        <f t="shared" si="44"/>
        <v>2258.8650000000002</v>
      </c>
      <c r="U259" s="10">
        <f t="shared" si="45"/>
        <v>-1092.29</v>
      </c>
      <c r="V259" s="27">
        <f t="shared" si="46"/>
        <v>8905.4218000000001</v>
      </c>
      <c r="W259" s="48">
        <f t="shared" si="47"/>
        <v>18546.083859999999</v>
      </c>
      <c r="X259" s="27"/>
      <c r="Y259" s="49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8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</row>
    <row r="260" spans="1:79" x14ac:dyDescent="0.25">
      <c r="A260" s="27">
        <v>820</v>
      </c>
      <c r="B260" s="27">
        <v>1</v>
      </c>
      <c r="C260" s="18" t="s">
        <v>220</v>
      </c>
      <c r="D260" s="11">
        <v>1636292.33</v>
      </c>
      <c r="E260" s="16">
        <v>2189499.66</v>
      </c>
      <c r="F260" s="11">
        <v>2058573.98</v>
      </c>
      <c r="G260" s="11">
        <v>2019242.07</v>
      </c>
      <c r="H260" s="11">
        <v>2110157.9</v>
      </c>
      <c r="I260" s="11">
        <v>1987129.7</v>
      </c>
      <c r="J260" s="11">
        <v>2144671</v>
      </c>
      <c r="K260" s="11">
        <v>2079903.74</v>
      </c>
      <c r="L260" s="11">
        <v>2211394.5499999998</v>
      </c>
      <c r="M260" s="11">
        <v>2372268.9700000002</v>
      </c>
      <c r="N260" s="11">
        <f t="shared" si="42"/>
        <v>1636292.33</v>
      </c>
      <c r="O260" s="11">
        <v>588061</v>
      </c>
      <c r="P260" s="11">
        <v>-3473.93</v>
      </c>
      <c r="Q260" s="11">
        <f t="shared" si="40"/>
        <v>37646.74</v>
      </c>
      <c r="R260" s="11">
        <f t="shared" si="41"/>
        <v>27095.95</v>
      </c>
      <c r="S260" s="11">
        <f t="shared" si="43"/>
        <v>38289.240522</v>
      </c>
      <c r="T260" s="10">
        <f t="shared" si="44"/>
        <v>4116.4269999999997</v>
      </c>
      <c r="U260" s="10">
        <f t="shared" si="45"/>
        <v>-3473.93</v>
      </c>
      <c r="V260" s="27">
        <f t="shared" si="46"/>
        <v>10550.789499999999</v>
      </c>
      <c r="W260" s="48">
        <f t="shared" si="47"/>
        <v>27095.954021999998</v>
      </c>
      <c r="X260" s="27"/>
      <c r="Y260" s="49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8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</row>
    <row r="261" spans="1:79" x14ac:dyDescent="0.25">
      <c r="A261" s="27">
        <v>821</v>
      </c>
      <c r="B261" s="27">
        <v>1</v>
      </c>
      <c r="C261" s="18" t="s">
        <v>221</v>
      </c>
      <c r="D261" s="11">
        <v>1614579.31</v>
      </c>
      <c r="E261" s="16">
        <v>2681322.2799999998</v>
      </c>
      <c r="F261" s="11">
        <v>2706438.29</v>
      </c>
      <c r="G261" s="11">
        <v>2729095.61</v>
      </c>
      <c r="H261" s="11">
        <v>2602821.4300000002</v>
      </c>
      <c r="I261" s="11">
        <v>2571846.9900000002</v>
      </c>
      <c r="J261" s="11">
        <v>2782971.68</v>
      </c>
      <c r="K261" s="11">
        <v>2822014.61</v>
      </c>
      <c r="L261" s="11">
        <v>2799431.34</v>
      </c>
      <c r="M261" s="11">
        <v>2869177.27</v>
      </c>
      <c r="N261" s="11">
        <f t="shared" si="42"/>
        <v>1614579.31</v>
      </c>
      <c r="O261" s="11">
        <v>481041</v>
      </c>
      <c r="P261" s="11">
        <v>-2388.52</v>
      </c>
      <c r="Q261" s="11">
        <f t="shared" si="40"/>
        <v>36802.39</v>
      </c>
      <c r="R261" s="11">
        <f t="shared" si="41"/>
        <v>23788.28</v>
      </c>
      <c r="S261" s="11">
        <f t="shared" si="43"/>
        <v>37781.155854000004</v>
      </c>
      <c r="T261" s="10">
        <f t="shared" si="44"/>
        <v>3367.2870000000003</v>
      </c>
      <c r="U261" s="10">
        <f t="shared" si="45"/>
        <v>-2388.52</v>
      </c>
      <c r="V261" s="27">
        <f t="shared" si="46"/>
        <v>13014.107150000002</v>
      </c>
      <c r="W261" s="48">
        <f t="shared" si="47"/>
        <v>23788.281703999994</v>
      </c>
      <c r="X261" s="27"/>
      <c r="Y261" s="49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8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</row>
    <row r="262" spans="1:79" x14ac:dyDescent="0.25">
      <c r="A262" s="27">
        <v>829</v>
      </c>
      <c r="B262" s="27">
        <v>1</v>
      </c>
      <c r="C262" s="18" t="s">
        <v>222</v>
      </c>
      <c r="D262" s="11">
        <v>6387221.5700000003</v>
      </c>
      <c r="E262" s="16">
        <v>7126301.9000000004</v>
      </c>
      <c r="F262" s="11">
        <v>8415539.9000000004</v>
      </c>
      <c r="G262" s="11">
        <v>8852959.9800000004</v>
      </c>
      <c r="H262" s="11">
        <v>8576759.6500000004</v>
      </c>
      <c r="I262" s="11">
        <v>8150784.4699999997</v>
      </c>
      <c r="J262" s="11">
        <v>8517190.3000000007</v>
      </c>
      <c r="K262" s="11">
        <v>8271892.8499999996</v>
      </c>
      <c r="L262" s="11">
        <v>7848128.8799999999</v>
      </c>
      <c r="M262" s="11">
        <v>7704839.4900000002</v>
      </c>
      <c r="N262" s="11">
        <f t="shared" si="42"/>
        <v>6387221.5700000003</v>
      </c>
      <c r="O262" s="11">
        <v>2233165</v>
      </c>
      <c r="P262" s="11">
        <v>-6175.15</v>
      </c>
      <c r="Q262" s="11">
        <f t="shared" si="40"/>
        <v>140003.97</v>
      </c>
      <c r="R262" s="11">
        <f t="shared" si="41"/>
        <v>97120.17</v>
      </c>
      <c r="S262" s="11">
        <f t="shared" si="43"/>
        <v>149460.984738</v>
      </c>
      <c r="T262" s="10">
        <f t="shared" si="44"/>
        <v>15632.155000000001</v>
      </c>
      <c r="U262" s="10">
        <f t="shared" si="45"/>
        <v>-6175.15</v>
      </c>
      <c r="V262" s="27">
        <f t="shared" si="46"/>
        <v>42883.79825</v>
      </c>
      <c r="W262" s="48">
        <f t="shared" si="47"/>
        <v>97120.181488000002</v>
      </c>
      <c r="X262" s="27"/>
      <c r="Y262" s="49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8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</row>
    <row r="263" spans="1:79" x14ac:dyDescent="0.25">
      <c r="A263" s="27">
        <v>831</v>
      </c>
      <c r="B263" s="27">
        <v>1</v>
      </c>
      <c r="C263" s="18" t="s">
        <v>223</v>
      </c>
      <c r="D263" s="11">
        <v>21538810.359999999</v>
      </c>
      <c r="E263" s="16">
        <v>28057254.91</v>
      </c>
      <c r="F263" s="11">
        <v>28151567.190000001</v>
      </c>
      <c r="G263" s="11">
        <v>28119659.280000001</v>
      </c>
      <c r="H263" s="11">
        <v>29098214.579999998</v>
      </c>
      <c r="I263" s="11">
        <v>30964058.32</v>
      </c>
      <c r="J263" s="11">
        <v>32145138.309999999</v>
      </c>
      <c r="K263" s="11">
        <v>29695965.870000001</v>
      </c>
      <c r="L263" s="11">
        <v>28189192.969999999</v>
      </c>
      <c r="M263" s="11">
        <v>27422674.460000001</v>
      </c>
      <c r="N263" s="11">
        <f t="shared" si="42"/>
        <v>21538810.359999999</v>
      </c>
      <c r="O263" s="11">
        <v>6884975</v>
      </c>
      <c r="P263" s="11">
        <v>-31212.09</v>
      </c>
      <c r="Q263" s="11">
        <f t="shared" si="40"/>
        <v>487025.42</v>
      </c>
      <c r="R263" s="11">
        <f t="shared" si="41"/>
        <v>341534.35</v>
      </c>
      <c r="S263" s="11">
        <f t="shared" si="43"/>
        <v>504008.16242399998</v>
      </c>
      <c r="T263" s="10">
        <f t="shared" si="44"/>
        <v>48194.825000000004</v>
      </c>
      <c r="U263" s="10">
        <f t="shared" si="45"/>
        <v>-31212.09</v>
      </c>
      <c r="V263" s="27">
        <f t="shared" si="46"/>
        <v>145491.0729</v>
      </c>
      <c r="W263" s="48">
        <f t="shared" si="47"/>
        <v>341534.35452399997</v>
      </c>
      <c r="X263" s="27"/>
      <c r="Y263" s="49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8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</row>
    <row r="264" spans="1:79" x14ac:dyDescent="0.25">
      <c r="A264" s="27">
        <v>832</v>
      </c>
      <c r="B264" s="27">
        <v>1</v>
      </c>
      <c r="C264" s="18" t="s">
        <v>224</v>
      </c>
      <c r="D264" s="11">
        <v>7989887.8700000001</v>
      </c>
      <c r="E264" s="16">
        <v>12117808.01</v>
      </c>
      <c r="F264" s="11">
        <v>11665025.460000001</v>
      </c>
      <c r="G264" s="11">
        <v>12453066.57</v>
      </c>
      <c r="H264" s="11">
        <v>12930692.93</v>
      </c>
      <c r="I264" s="11">
        <v>13616438.84</v>
      </c>
      <c r="J264" s="11">
        <v>15398132.890000001</v>
      </c>
      <c r="K264" s="11">
        <v>15435792.35</v>
      </c>
      <c r="L264" s="11">
        <v>14885683.710000001</v>
      </c>
      <c r="M264" s="11">
        <v>15368752.76</v>
      </c>
      <c r="N264" s="11">
        <f t="shared" si="42"/>
        <v>7989887.8700000001</v>
      </c>
      <c r="O264" s="11">
        <v>2082104</v>
      </c>
      <c r="P264" s="11">
        <v>-6761.46</v>
      </c>
      <c r="Q264" s="11">
        <f t="shared" si="40"/>
        <v>179150.11</v>
      </c>
      <c r="R264" s="11">
        <f t="shared" si="41"/>
        <v>114496.65</v>
      </c>
      <c r="S264" s="11">
        <f t="shared" si="43"/>
        <v>186963.376158</v>
      </c>
      <c r="T264" s="10">
        <f t="shared" si="44"/>
        <v>14574.728000000001</v>
      </c>
      <c r="U264" s="10">
        <f t="shared" si="45"/>
        <v>-6761.46</v>
      </c>
      <c r="V264" s="27">
        <f t="shared" si="46"/>
        <v>64653.464650000002</v>
      </c>
      <c r="W264" s="48">
        <f t="shared" si="47"/>
        <v>114496.64350799998</v>
      </c>
      <c r="X264" s="27"/>
      <c r="Y264" s="49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8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</row>
    <row r="265" spans="1:79" x14ac:dyDescent="0.25">
      <c r="A265" s="27">
        <v>833</v>
      </c>
      <c r="B265" s="27">
        <v>1</v>
      </c>
      <c r="C265" s="18" t="s">
        <v>367</v>
      </c>
      <c r="D265" s="11">
        <v>35644845.579999998</v>
      </c>
      <c r="E265" s="16">
        <v>53476743.020000003</v>
      </c>
      <c r="F265" s="11">
        <v>59389062.43</v>
      </c>
      <c r="G265" s="11">
        <v>62930696.469999999</v>
      </c>
      <c r="H265" s="11">
        <v>70189012</v>
      </c>
      <c r="I265" s="11">
        <v>73752659.010000005</v>
      </c>
      <c r="J265" s="11">
        <v>76946478.379999995</v>
      </c>
      <c r="K265" s="11">
        <v>78609159.859999999</v>
      </c>
      <c r="L265" s="11">
        <v>81194848.599999994</v>
      </c>
      <c r="M265" s="11">
        <v>83948719.609999999</v>
      </c>
      <c r="N265" s="11">
        <f t="shared" si="42"/>
        <v>35644845.579999998</v>
      </c>
      <c r="O265" s="11">
        <v>12265478</v>
      </c>
      <c r="P265" s="11">
        <v>-39588.01</v>
      </c>
      <c r="Q265" s="11">
        <f t="shared" si="40"/>
        <v>787819.05</v>
      </c>
      <c r="R265" s="11">
        <f t="shared" si="41"/>
        <v>436873.99</v>
      </c>
      <c r="S265" s="11">
        <f t="shared" si="43"/>
        <v>834089.38657199999</v>
      </c>
      <c r="T265" s="10">
        <f t="shared" si="44"/>
        <v>85858.346000000005</v>
      </c>
      <c r="U265" s="10">
        <f t="shared" si="45"/>
        <v>-39588.01</v>
      </c>
      <c r="V265" s="27">
        <f t="shared" si="46"/>
        <v>350945.06</v>
      </c>
      <c r="W265" s="48">
        <f t="shared" si="47"/>
        <v>436873.99057199998</v>
      </c>
      <c r="X265" s="27"/>
      <c r="Y265" s="49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8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</row>
    <row r="266" spans="1:79" x14ac:dyDescent="0.25">
      <c r="A266" s="27">
        <v>834</v>
      </c>
      <c r="B266" s="27">
        <v>1</v>
      </c>
      <c r="C266" s="18" t="s">
        <v>225</v>
      </c>
      <c r="D266" s="11">
        <v>24312291.219999999</v>
      </c>
      <c r="E266" s="16">
        <v>33251478.890000001</v>
      </c>
      <c r="F266" s="11">
        <v>33136906.91</v>
      </c>
      <c r="G266" s="11">
        <v>33048653.57</v>
      </c>
      <c r="H266" s="11">
        <v>34165885.170000002</v>
      </c>
      <c r="I266" s="11">
        <v>33660830.32</v>
      </c>
      <c r="J266" s="11">
        <v>35493757.759999998</v>
      </c>
      <c r="K266" s="11">
        <v>35929852.689999998</v>
      </c>
      <c r="L266" s="11">
        <v>36194293.890000001</v>
      </c>
      <c r="M266" s="11">
        <v>38466245.369999997</v>
      </c>
      <c r="N266" s="11">
        <f t="shared" si="42"/>
        <v>24312291.219999999</v>
      </c>
      <c r="O266" s="11">
        <v>6840620</v>
      </c>
      <c r="P266" s="11">
        <v>-34216.61</v>
      </c>
      <c r="Q266" s="11">
        <f t="shared" si="40"/>
        <v>555239.88</v>
      </c>
      <c r="R266" s="11">
        <f t="shared" si="41"/>
        <v>384410.45</v>
      </c>
      <c r="S266" s="11">
        <f t="shared" si="43"/>
        <v>568907.61454800004</v>
      </c>
      <c r="T266" s="10">
        <f t="shared" si="44"/>
        <v>47884.340000000004</v>
      </c>
      <c r="U266" s="10">
        <f t="shared" si="45"/>
        <v>-34216.61</v>
      </c>
      <c r="V266" s="27">
        <f t="shared" si="46"/>
        <v>170829.42585</v>
      </c>
      <c r="W266" s="48">
        <f t="shared" si="47"/>
        <v>384410.45869800006</v>
      </c>
      <c r="X266" s="27"/>
      <c r="Y266" s="49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8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</row>
    <row r="267" spans="1:79" x14ac:dyDescent="0.25">
      <c r="A267" s="27">
        <v>836</v>
      </c>
      <c r="B267" s="27">
        <v>1</v>
      </c>
      <c r="C267" s="18" t="s">
        <v>226</v>
      </c>
      <c r="D267" s="11">
        <v>718793.67</v>
      </c>
      <c r="E267" s="16">
        <v>827094.21</v>
      </c>
      <c r="F267" s="11">
        <v>747634.77</v>
      </c>
      <c r="G267" s="11">
        <v>835677.57</v>
      </c>
      <c r="H267" s="11">
        <v>883015.43</v>
      </c>
      <c r="I267" s="11">
        <v>920597.62</v>
      </c>
      <c r="J267" s="11">
        <v>1036520.6</v>
      </c>
      <c r="K267" s="11">
        <v>1051230.6399999999</v>
      </c>
      <c r="L267" s="11">
        <v>1072082.57</v>
      </c>
      <c r="M267" s="11">
        <v>968724.99</v>
      </c>
      <c r="N267" s="11">
        <f t="shared" si="42"/>
        <v>718793.67</v>
      </c>
      <c r="O267" s="11">
        <v>164945</v>
      </c>
      <c r="P267" s="11">
        <v>-1118.82</v>
      </c>
      <c r="Q267" s="11">
        <f t="shared" si="40"/>
        <v>16783.97</v>
      </c>
      <c r="R267" s="11">
        <f t="shared" si="41"/>
        <v>12368.89</v>
      </c>
      <c r="S267" s="11">
        <f t="shared" si="43"/>
        <v>16819.771878000003</v>
      </c>
      <c r="T267" s="10">
        <f t="shared" si="44"/>
        <v>1154.615</v>
      </c>
      <c r="U267" s="10">
        <f t="shared" si="45"/>
        <v>-1118.82</v>
      </c>
      <c r="V267" s="27">
        <f t="shared" si="46"/>
        <v>4415.0771500000001</v>
      </c>
      <c r="W267" s="48">
        <f t="shared" si="47"/>
        <v>12368.899728000004</v>
      </c>
      <c r="X267" s="27"/>
      <c r="Y267" s="49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8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</row>
    <row r="268" spans="1:79" x14ac:dyDescent="0.25">
      <c r="A268" s="27">
        <v>837</v>
      </c>
      <c r="B268" s="27">
        <v>1</v>
      </c>
      <c r="C268" s="18" t="s">
        <v>227</v>
      </c>
      <c r="D268" s="11">
        <v>1856353.55</v>
      </c>
      <c r="E268" s="16">
        <v>2405401.27</v>
      </c>
      <c r="F268" s="11">
        <v>2449319.33</v>
      </c>
      <c r="G268" s="11">
        <v>2348920.4300000002</v>
      </c>
      <c r="H268" s="11">
        <v>2323719</v>
      </c>
      <c r="I268" s="11">
        <v>2270928.7400000002</v>
      </c>
      <c r="J268" s="11">
        <v>2436901.3199999998</v>
      </c>
      <c r="K268" s="11">
        <v>2342543.44</v>
      </c>
      <c r="L268" s="11">
        <v>2327506.19</v>
      </c>
      <c r="M268" s="11">
        <v>2261952.56</v>
      </c>
      <c r="N268" s="11">
        <f t="shared" si="42"/>
        <v>1856353.55</v>
      </c>
      <c r="O268" s="11">
        <v>436856</v>
      </c>
      <c r="P268" s="11">
        <v>-2086.91</v>
      </c>
      <c r="Q268" s="11">
        <f t="shared" si="40"/>
        <v>42467.59</v>
      </c>
      <c r="R268" s="11">
        <f t="shared" si="41"/>
        <v>30849</v>
      </c>
      <c r="S268" s="11">
        <f t="shared" si="43"/>
        <v>43438.673070000004</v>
      </c>
      <c r="T268" s="10">
        <f t="shared" si="44"/>
        <v>3057.9920000000002</v>
      </c>
      <c r="U268" s="10">
        <f t="shared" si="45"/>
        <v>-2086.91</v>
      </c>
      <c r="V268" s="27">
        <f t="shared" si="46"/>
        <v>11618.594999999999</v>
      </c>
      <c r="W268" s="48">
        <f t="shared" si="47"/>
        <v>30848.996070000008</v>
      </c>
      <c r="X268" s="27"/>
      <c r="Y268" s="49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8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</row>
    <row r="269" spans="1:79" x14ac:dyDescent="0.25">
      <c r="A269" s="27">
        <v>840</v>
      </c>
      <c r="B269" s="27">
        <v>1</v>
      </c>
      <c r="C269" s="18" t="s">
        <v>228</v>
      </c>
      <c r="D269" s="11">
        <v>3947710.32</v>
      </c>
      <c r="E269" s="16">
        <v>4888801.12</v>
      </c>
      <c r="F269" s="11">
        <v>4865383.3499999996</v>
      </c>
      <c r="G269" s="11">
        <v>4901467.37</v>
      </c>
      <c r="H269" s="11">
        <v>5184000.26</v>
      </c>
      <c r="I269" s="11">
        <v>5204191.84</v>
      </c>
      <c r="J269" s="11">
        <v>5447753.4800000004</v>
      </c>
      <c r="K269" s="11">
        <v>5450754.4000000004</v>
      </c>
      <c r="L269" s="11">
        <v>5069892.0199999996</v>
      </c>
      <c r="M269" s="11">
        <v>5019569.9800000004</v>
      </c>
      <c r="N269" s="11">
        <f t="shared" si="42"/>
        <v>3947710.32</v>
      </c>
      <c r="O269" s="11">
        <v>916448</v>
      </c>
      <c r="P269" s="11">
        <v>-3650</v>
      </c>
      <c r="Q269" s="11">
        <f t="shared" si="40"/>
        <v>89611.28</v>
      </c>
      <c r="R269" s="11">
        <f t="shared" si="41"/>
        <v>63691.28</v>
      </c>
      <c r="S269" s="11">
        <f t="shared" si="43"/>
        <v>92376.421487999993</v>
      </c>
      <c r="T269" s="10">
        <f t="shared" si="44"/>
        <v>6415.1360000000004</v>
      </c>
      <c r="U269" s="10">
        <f t="shared" si="45"/>
        <v>-3650</v>
      </c>
      <c r="V269" s="27">
        <f t="shared" si="46"/>
        <v>25920.0013</v>
      </c>
      <c r="W269" s="48">
        <f t="shared" si="47"/>
        <v>63691.284187999991</v>
      </c>
      <c r="X269" s="27"/>
      <c r="Y269" s="49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8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</row>
    <row r="270" spans="1:79" x14ac:dyDescent="0.25">
      <c r="A270" s="27">
        <v>846</v>
      </c>
      <c r="B270" s="27">
        <v>1</v>
      </c>
      <c r="C270" s="18" t="s">
        <v>229</v>
      </c>
      <c r="D270" s="11">
        <v>2794151.15</v>
      </c>
      <c r="E270" s="16">
        <v>3503247.72</v>
      </c>
      <c r="F270" s="11">
        <v>3557281.33</v>
      </c>
      <c r="G270" s="11">
        <v>3648136.54</v>
      </c>
      <c r="H270" s="11">
        <v>3689535.16</v>
      </c>
      <c r="I270" s="11">
        <v>3604001.7</v>
      </c>
      <c r="J270" s="11">
        <v>3749228.82</v>
      </c>
      <c r="K270" s="11">
        <v>3413903.98</v>
      </c>
      <c r="L270" s="11">
        <v>3452078.86</v>
      </c>
      <c r="M270" s="11">
        <v>3432965.23</v>
      </c>
      <c r="N270" s="11">
        <f t="shared" si="42"/>
        <v>2794151.15</v>
      </c>
      <c r="O270" s="11">
        <v>738543</v>
      </c>
      <c r="P270" s="11">
        <v>-2583.4899999999998</v>
      </c>
      <c r="Q270" s="11">
        <f t="shared" si="40"/>
        <v>62796.829999999994</v>
      </c>
      <c r="R270" s="11">
        <f t="shared" si="41"/>
        <v>44349.15</v>
      </c>
      <c r="S270" s="11">
        <f t="shared" si="43"/>
        <v>65383.136910000001</v>
      </c>
      <c r="T270" s="10">
        <f t="shared" si="44"/>
        <v>5169.8010000000004</v>
      </c>
      <c r="U270" s="10">
        <f t="shared" si="45"/>
        <v>-2583.4899999999998</v>
      </c>
      <c r="V270" s="27">
        <f t="shared" si="46"/>
        <v>18447.675800000001</v>
      </c>
      <c r="W270" s="48">
        <f t="shared" si="47"/>
        <v>44349.150110000002</v>
      </c>
      <c r="X270" s="27"/>
      <c r="Y270" s="49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8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</row>
    <row r="271" spans="1:79" x14ac:dyDescent="0.25">
      <c r="A271" s="27">
        <v>850</v>
      </c>
      <c r="B271" s="27">
        <v>1</v>
      </c>
      <c r="C271" s="18" t="s">
        <v>230</v>
      </c>
      <c r="D271" s="11">
        <v>686163.43</v>
      </c>
      <c r="E271" s="16">
        <v>818848.26</v>
      </c>
      <c r="F271" s="11">
        <v>819682.08</v>
      </c>
      <c r="G271" s="11">
        <v>843179.91</v>
      </c>
      <c r="H271" s="11">
        <v>862795.07</v>
      </c>
      <c r="I271" s="11">
        <v>884163.09</v>
      </c>
      <c r="J271" s="11">
        <v>938753.1</v>
      </c>
      <c r="K271" s="11">
        <v>1047073.63</v>
      </c>
      <c r="L271" s="11">
        <v>976795.12</v>
      </c>
      <c r="M271" s="11">
        <v>962255.56</v>
      </c>
      <c r="N271" s="11">
        <f t="shared" si="42"/>
        <v>686163.43</v>
      </c>
      <c r="O271" s="11">
        <v>139409</v>
      </c>
      <c r="P271" s="11">
        <v>-904.27</v>
      </c>
      <c r="Q271" s="11">
        <f t="shared" si="40"/>
        <v>15984.63</v>
      </c>
      <c r="R271" s="11">
        <f t="shared" si="41"/>
        <v>11670.65</v>
      </c>
      <c r="S271" s="11">
        <f t="shared" si="43"/>
        <v>16056.224262000002</v>
      </c>
      <c r="T271" s="10">
        <f t="shared" si="44"/>
        <v>975.86300000000006</v>
      </c>
      <c r="U271" s="10">
        <f t="shared" si="45"/>
        <v>-904.27</v>
      </c>
      <c r="V271" s="27">
        <f t="shared" si="46"/>
        <v>4313.9753499999997</v>
      </c>
      <c r="W271" s="48">
        <f t="shared" si="47"/>
        <v>11670.655912000002</v>
      </c>
      <c r="X271" s="27"/>
      <c r="Y271" s="49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8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</row>
    <row r="272" spans="1:79" x14ac:dyDescent="0.25">
      <c r="A272" s="27">
        <v>852</v>
      </c>
      <c r="B272" s="27">
        <v>1</v>
      </c>
      <c r="C272" s="18" t="s">
        <v>231</v>
      </c>
      <c r="D272" s="11">
        <v>687077.62</v>
      </c>
      <c r="E272" s="16">
        <v>739388.56</v>
      </c>
      <c r="F272" s="11">
        <v>696255.84</v>
      </c>
      <c r="G272" s="11">
        <v>742083.65</v>
      </c>
      <c r="H272" s="11">
        <v>724247.6</v>
      </c>
      <c r="I272" s="11">
        <v>785773.84</v>
      </c>
      <c r="J272" s="11">
        <v>855188.36</v>
      </c>
      <c r="K272" s="11">
        <v>661144.75</v>
      </c>
      <c r="L272" s="11">
        <v>786562.6</v>
      </c>
      <c r="M272" s="11">
        <v>842437.91</v>
      </c>
      <c r="N272" s="11">
        <f t="shared" si="42"/>
        <v>661144.75</v>
      </c>
      <c r="O272" s="11">
        <v>194350</v>
      </c>
      <c r="P272" s="11">
        <v>-1413.67</v>
      </c>
      <c r="Q272" s="11">
        <f t="shared" si="40"/>
        <v>15524.01</v>
      </c>
      <c r="R272" s="11">
        <f t="shared" si="41"/>
        <v>11902.77</v>
      </c>
      <c r="S272" s="11">
        <f t="shared" si="43"/>
        <v>15470.78715</v>
      </c>
      <c r="T272" s="10">
        <f t="shared" si="44"/>
        <v>1360.45</v>
      </c>
      <c r="U272" s="10">
        <f t="shared" si="45"/>
        <v>-1413.67</v>
      </c>
      <c r="V272" s="27">
        <f t="shared" si="46"/>
        <v>3621.2379999999998</v>
      </c>
      <c r="W272" s="48">
        <f t="shared" si="47"/>
        <v>11902.76915</v>
      </c>
      <c r="X272" s="27"/>
      <c r="Y272" s="49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8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</row>
    <row r="273" spans="1:79" x14ac:dyDescent="0.25">
      <c r="A273" s="27">
        <v>857</v>
      </c>
      <c r="B273" s="27">
        <v>1</v>
      </c>
      <c r="C273" s="18" t="s">
        <v>368</v>
      </c>
      <c r="D273" s="11">
        <v>2300129.4500000002</v>
      </c>
      <c r="E273" s="16">
        <v>2530872.04</v>
      </c>
      <c r="F273" s="11">
        <v>2579076.36</v>
      </c>
      <c r="G273" s="11">
        <v>2690699.66</v>
      </c>
      <c r="H273" s="11">
        <v>2854850.07</v>
      </c>
      <c r="I273" s="11">
        <v>2940157.85</v>
      </c>
      <c r="J273" s="11">
        <v>3221724.09</v>
      </c>
      <c r="K273" s="11">
        <v>3231746.01</v>
      </c>
      <c r="L273" s="11">
        <v>3213994.08</v>
      </c>
      <c r="M273" s="11">
        <v>3284728.29</v>
      </c>
      <c r="N273" s="11">
        <f t="shared" si="42"/>
        <v>2300129.4500000002</v>
      </c>
      <c r="O273" s="11">
        <v>534752</v>
      </c>
      <c r="P273" s="11">
        <v>-2983.18</v>
      </c>
      <c r="Q273" s="11">
        <f t="shared" si="40"/>
        <v>53062.95</v>
      </c>
      <c r="R273" s="11">
        <f t="shared" si="41"/>
        <v>38788.699999999997</v>
      </c>
      <c r="S273" s="11">
        <f t="shared" si="43"/>
        <v>53823.029130000003</v>
      </c>
      <c r="T273" s="10">
        <f t="shared" si="44"/>
        <v>3743.2640000000001</v>
      </c>
      <c r="U273" s="10">
        <f t="shared" si="45"/>
        <v>-2983.18</v>
      </c>
      <c r="V273" s="27">
        <f t="shared" si="46"/>
        <v>14274.25035</v>
      </c>
      <c r="W273" s="48">
        <f t="shared" si="47"/>
        <v>38788.694779999998</v>
      </c>
      <c r="X273" s="27"/>
      <c r="Y273" s="49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8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</row>
    <row r="274" spans="1:79" x14ac:dyDescent="0.25">
      <c r="A274" s="27">
        <v>858</v>
      </c>
      <c r="B274" s="27">
        <v>1</v>
      </c>
      <c r="C274" s="18" t="s">
        <v>232</v>
      </c>
      <c r="D274" s="11">
        <v>3038930</v>
      </c>
      <c r="E274" s="16">
        <v>3479392.84</v>
      </c>
      <c r="F274" s="11">
        <v>3578725.95</v>
      </c>
      <c r="G274" s="11">
        <v>3743044.79</v>
      </c>
      <c r="H274" s="11">
        <v>3814746.73</v>
      </c>
      <c r="I274" s="11">
        <v>3981989.34</v>
      </c>
      <c r="J274" s="11">
        <v>4057392.59</v>
      </c>
      <c r="K274" s="11">
        <v>4223850.26</v>
      </c>
      <c r="L274" s="11">
        <v>4166992.68</v>
      </c>
      <c r="M274" s="11">
        <v>3758896.26</v>
      </c>
      <c r="N274" s="11">
        <f t="shared" si="42"/>
        <v>3038930</v>
      </c>
      <c r="O274" s="11">
        <v>562553</v>
      </c>
      <c r="P274" s="11">
        <v>-2069.94</v>
      </c>
      <c r="Q274" s="11">
        <f t="shared" ref="Q274:Q337" si="48">ROUND(0.0234*N274,2)-ROUND(0.007*O274,2)-P274</f>
        <v>69243.030000000013</v>
      </c>
      <c r="R274" s="11">
        <f t="shared" ref="R274:R337" si="49">ROUND(Q274-0.005*H274,2)</f>
        <v>50169.3</v>
      </c>
      <c r="S274" s="11">
        <f t="shared" si="43"/>
        <v>71110.962</v>
      </c>
      <c r="T274" s="10">
        <f t="shared" si="44"/>
        <v>3937.8710000000001</v>
      </c>
      <c r="U274" s="10">
        <f t="shared" si="45"/>
        <v>-2069.94</v>
      </c>
      <c r="V274" s="27">
        <f t="shared" si="46"/>
        <v>19073.733650000002</v>
      </c>
      <c r="W274" s="48">
        <f t="shared" si="47"/>
        <v>50169.297350000001</v>
      </c>
      <c r="X274" s="27"/>
      <c r="Y274" s="49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8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</row>
    <row r="275" spans="1:79" x14ac:dyDescent="0.25">
      <c r="A275" s="27">
        <v>861</v>
      </c>
      <c r="B275" s="27">
        <v>1</v>
      </c>
      <c r="C275" s="18" t="s">
        <v>369</v>
      </c>
      <c r="D275" s="11">
        <v>14322680.18</v>
      </c>
      <c r="E275" s="16">
        <v>16109292.710000001</v>
      </c>
      <c r="F275" s="11">
        <v>15555473.68</v>
      </c>
      <c r="G275" s="11">
        <v>14347946.26</v>
      </c>
      <c r="H275" s="11">
        <v>16267996.460000001</v>
      </c>
      <c r="I275" s="11">
        <v>16791649.859999999</v>
      </c>
      <c r="J275" s="11">
        <v>17563362.739999998</v>
      </c>
      <c r="K275" s="11">
        <v>16713738.289999999</v>
      </c>
      <c r="L275" s="11">
        <v>16114722.060000001</v>
      </c>
      <c r="M275" s="11">
        <v>16361917.93</v>
      </c>
      <c r="N275" s="11">
        <f t="shared" ref="N275:N338" si="50">MIN(D275:M275)</f>
        <v>14322680.18</v>
      </c>
      <c r="O275" s="11">
        <v>3859881</v>
      </c>
      <c r="P275" s="11">
        <v>-10826.17</v>
      </c>
      <c r="Q275" s="11">
        <f t="shared" si="48"/>
        <v>318957.71999999997</v>
      </c>
      <c r="R275" s="11">
        <f t="shared" si="49"/>
        <v>237617.74</v>
      </c>
      <c r="S275" s="11">
        <f t="shared" ref="S275:S338" si="51">0.0234*N275</f>
        <v>335150.716212</v>
      </c>
      <c r="T275" s="10">
        <f t="shared" ref="T275:T338" si="52">0.007*O275</f>
        <v>27019.167000000001</v>
      </c>
      <c r="U275" s="10">
        <f t="shared" ref="U275:U338" si="53">P275</f>
        <v>-10826.17</v>
      </c>
      <c r="V275" s="27">
        <f t="shared" ref="V275:V338" si="54">0.005*H275</f>
        <v>81339.982300000003</v>
      </c>
      <c r="W275" s="48">
        <f t="shared" ref="W275:W338" si="55">S275-T275-U275-V275</f>
        <v>237617.73691199996</v>
      </c>
      <c r="X275" s="27"/>
      <c r="Y275" s="49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8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</row>
    <row r="276" spans="1:79" x14ac:dyDescent="0.25">
      <c r="A276" s="27">
        <v>876</v>
      </c>
      <c r="B276" s="27">
        <v>1</v>
      </c>
      <c r="C276" s="18" t="s">
        <v>233</v>
      </c>
      <c r="D276" s="11">
        <v>4806024.9400000004</v>
      </c>
      <c r="E276" s="16">
        <v>6641398.9000000004</v>
      </c>
      <c r="F276" s="11">
        <v>6505345.2599999998</v>
      </c>
      <c r="G276" s="11">
        <v>6783615.3700000001</v>
      </c>
      <c r="H276" s="11">
        <v>7165833.0199999996</v>
      </c>
      <c r="I276" s="11">
        <v>7364718.2800000003</v>
      </c>
      <c r="J276" s="11">
        <v>7364526.7699999996</v>
      </c>
      <c r="K276" s="11">
        <v>7354019.9100000001</v>
      </c>
      <c r="L276" s="11">
        <v>7381378.96</v>
      </c>
      <c r="M276" s="11">
        <v>7307902.1100000003</v>
      </c>
      <c r="N276" s="11">
        <f t="shared" si="50"/>
        <v>4806024.9400000004</v>
      </c>
      <c r="O276" s="11">
        <v>1324769</v>
      </c>
      <c r="P276" s="11">
        <v>-6050.64</v>
      </c>
      <c r="Q276" s="11">
        <f t="shared" si="48"/>
        <v>109238.23999999999</v>
      </c>
      <c r="R276" s="11">
        <f t="shared" si="49"/>
        <v>73409.070000000007</v>
      </c>
      <c r="S276" s="11">
        <f t="shared" si="51"/>
        <v>112460.98359600001</v>
      </c>
      <c r="T276" s="10">
        <f t="shared" si="52"/>
        <v>9273.3829999999998</v>
      </c>
      <c r="U276" s="10">
        <f t="shared" si="53"/>
        <v>-6050.64</v>
      </c>
      <c r="V276" s="27">
        <f t="shared" si="54"/>
        <v>35829.165099999998</v>
      </c>
      <c r="W276" s="48">
        <f t="shared" si="55"/>
        <v>73409.075496000005</v>
      </c>
      <c r="X276" s="27"/>
      <c r="Y276" s="49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8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</row>
    <row r="277" spans="1:79" x14ac:dyDescent="0.25">
      <c r="A277" s="27">
        <v>877</v>
      </c>
      <c r="B277" s="27">
        <v>1</v>
      </c>
      <c r="C277" s="18" t="s">
        <v>234</v>
      </c>
      <c r="D277" s="11">
        <v>11845837.07</v>
      </c>
      <c r="E277" s="16">
        <v>18323910.510000002</v>
      </c>
      <c r="F277" s="11">
        <v>19215722.84</v>
      </c>
      <c r="G277" s="11">
        <v>20785701.899999999</v>
      </c>
      <c r="H277" s="11">
        <v>21883801.690000001</v>
      </c>
      <c r="I277" s="11">
        <v>22490484.09</v>
      </c>
      <c r="J277" s="11">
        <v>22738653.18</v>
      </c>
      <c r="K277" s="11">
        <v>22597360</v>
      </c>
      <c r="L277" s="11">
        <v>23071180.800000001</v>
      </c>
      <c r="M277" s="11">
        <v>23925354.57</v>
      </c>
      <c r="N277" s="11">
        <f t="shared" si="50"/>
        <v>11845837.07</v>
      </c>
      <c r="O277" s="11">
        <v>3440762</v>
      </c>
      <c r="P277" s="11">
        <v>-14590.41</v>
      </c>
      <c r="Q277" s="11">
        <f t="shared" si="48"/>
        <v>267697.67</v>
      </c>
      <c r="R277" s="11">
        <f t="shared" si="49"/>
        <v>158278.66</v>
      </c>
      <c r="S277" s="11">
        <f t="shared" si="51"/>
        <v>277192.58743800002</v>
      </c>
      <c r="T277" s="10">
        <f t="shared" si="52"/>
        <v>24085.333999999999</v>
      </c>
      <c r="U277" s="10">
        <f t="shared" si="53"/>
        <v>-14590.41</v>
      </c>
      <c r="V277" s="27">
        <f t="shared" si="54"/>
        <v>109419.00845000001</v>
      </c>
      <c r="W277" s="48">
        <f t="shared" si="55"/>
        <v>158278.65498799999</v>
      </c>
      <c r="X277" s="27"/>
      <c r="Y277" s="49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8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</row>
    <row r="278" spans="1:79" x14ac:dyDescent="0.25">
      <c r="A278" s="27">
        <v>879</v>
      </c>
      <c r="B278" s="27">
        <v>1</v>
      </c>
      <c r="C278" s="18" t="s">
        <v>235</v>
      </c>
      <c r="D278" s="11">
        <v>4746550.37</v>
      </c>
      <c r="E278" s="16">
        <v>6942746.8300000001</v>
      </c>
      <c r="F278" s="11">
        <v>6831958.9199999999</v>
      </c>
      <c r="G278" s="11">
        <v>7282713.0700000003</v>
      </c>
      <c r="H278" s="11">
        <v>8039569.9299999997</v>
      </c>
      <c r="I278" s="11">
        <v>8525625.6099999994</v>
      </c>
      <c r="J278" s="11">
        <v>8896903.8100000005</v>
      </c>
      <c r="K278" s="11">
        <v>9127830.0399999991</v>
      </c>
      <c r="L278" s="11">
        <v>8798147.9399999995</v>
      </c>
      <c r="M278" s="11">
        <v>8853920.5199999996</v>
      </c>
      <c r="N278" s="11">
        <f t="shared" si="50"/>
        <v>4746550.37</v>
      </c>
      <c r="O278" s="11">
        <v>1051624</v>
      </c>
      <c r="P278" s="11">
        <v>-4742.37</v>
      </c>
      <c r="Q278" s="11">
        <f t="shared" si="48"/>
        <v>108450.28</v>
      </c>
      <c r="R278" s="11">
        <f t="shared" si="49"/>
        <v>68252.429999999993</v>
      </c>
      <c r="S278" s="11">
        <f t="shared" si="51"/>
        <v>111069.27865800001</v>
      </c>
      <c r="T278" s="10">
        <f t="shared" si="52"/>
        <v>7361.3680000000004</v>
      </c>
      <c r="U278" s="10">
        <f t="shared" si="53"/>
        <v>-4742.37</v>
      </c>
      <c r="V278" s="27">
        <f t="shared" si="54"/>
        <v>40197.849649999996</v>
      </c>
      <c r="W278" s="48">
        <f t="shared" si="55"/>
        <v>68252.431008000014</v>
      </c>
      <c r="X278" s="27"/>
      <c r="Y278" s="49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8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</row>
    <row r="279" spans="1:79" x14ac:dyDescent="0.25">
      <c r="A279" s="27">
        <v>881</v>
      </c>
      <c r="B279" s="27">
        <v>1</v>
      </c>
      <c r="C279" s="18" t="s">
        <v>236</v>
      </c>
      <c r="D279" s="11">
        <v>2426670.84</v>
      </c>
      <c r="E279" s="16">
        <v>3073535.5</v>
      </c>
      <c r="F279" s="11">
        <v>3038499.67</v>
      </c>
      <c r="G279" s="11">
        <v>3162398.53</v>
      </c>
      <c r="H279" s="11">
        <v>3363779.85</v>
      </c>
      <c r="I279" s="11">
        <v>3511403.64</v>
      </c>
      <c r="J279" s="11">
        <v>3722133.03</v>
      </c>
      <c r="K279" s="11">
        <v>3843463.61</v>
      </c>
      <c r="L279" s="11">
        <v>3961218.23</v>
      </c>
      <c r="M279" s="11">
        <v>4084864.17</v>
      </c>
      <c r="N279" s="11">
        <f t="shared" si="50"/>
        <v>2426670.84</v>
      </c>
      <c r="O279" s="11">
        <v>516856</v>
      </c>
      <c r="P279" s="11">
        <v>-3269.67</v>
      </c>
      <c r="Q279" s="11">
        <f t="shared" si="48"/>
        <v>56435.78</v>
      </c>
      <c r="R279" s="11">
        <f t="shared" si="49"/>
        <v>39616.879999999997</v>
      </c>
      <c r="S279" s="11">
        <f t="shared" si="51"/>
        <v>56784.097655999998</v>
      </c>
      <c r="T279" s="10">
        <f t="shared" si="52"/>
        <v>3617.9920000000002</v>
      </c>
      <c r="U279" s="10">
        <f t="shared" si="53"/>
        <v>-3269.67</v>
      </c>
      <c r="V279" s="27">
        <f t="shared" si="54"/>
        <v>16818.899250000002</v>
      </c>
      <c r="W279" s="48">
        <f t="shared" si="55"/>
        <v>39616.876405999996</v>
      </c>
      <c r="X279" s="27"/>
      <c r="Y279" s="49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8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</row>
    <row r="280" spans="1:79" x14ac:dyDescent="0.25">
      <c r="A280" s="27">
        <v>882</v>
      </c>
      <c r="B280" s="27">
        <v>1</v>
      </c>
      <c r="C280" s="18" t="s">
        <v>237</v>
      </c>
      <c r="D280" s="11">
        <v>11247014.529999999</v>
      </c>
      <c r="E280" s="16">
        <v>15517959.109999999</v>
      </c>
      <c r="F280" s="11">
        <v>16592244.02</v>
      </c>
      <c r="G280" s="11">
        <v>17052780.16</v>
      </c>
      <c r="H280" s="11">
        <v>17312360.77</v>
      </c>
      <c r="I280" s="11">
        <v>18082848.199999999</v>
      </c>
      <c r="J280" s="11">
        <v>19865221.969999999</v>
      </c>
      <c r="K280" s="11">
        <v>20344324.25</v>
      </c>
      <c r="L280" s="11">
        <v>20200063.629999999</v>
      </c>
      <c r="M280" s="11">
        <v>20910609.140000001</v>
      </c>
      <c r="N280" s="11">
        <f t="shared" si="50"/>
        <v>11247014.529999999</v>
      </c>
      <c r="O280" s="11">
        <v>3009368</v>
      </c>
      <c r="P280" s="11">
        <v>-10243.9</v>
      </c>
      <c r="Q280" s="11">
        <f t="shared" si="48"/>
        <v>252358.46</v>
      </c>
      <c r="R280" s="11">
        <f t="shared" si="49"/>
        <v>165796.66</v>
      </c>
      <c r="S280" s="11">
        <f t="shared" si="51"/>
        <v>263180.14000199997</v>
      </c>
      <c r="T280" s="10">
        <f t="shared" si="52"/>
        <v>21065.576000000001</v>
      </c>
      <c r="U280" s="10">
        <f t="shared" si="53"/>
        <v>-10243.9</v>
      </c>
      <c r="V280" s="27">
        <f t="shared" si="54"/>
        <v>86561.803849999997</v>
      </c>
      <c r="W280" s="48">
        <f t="shared" si="55"/>
        <v>165796.66015199997</v>
      </c>
      <c r="X280" s="27"/>
      <c r="Y280" s="49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8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</row>
    <row r="281" spans="1:79" x14ac:dyDescent="0.25">
      <c r="A281" s="27">
        <v>883</v>
      </c>
      <c r="B281" s="27">
        <v>1</v>
      </c>
      <c r="C281" s="18" t="s">
        <v>238</v>
      </c>
      <c r="D281" s="11">
        <v>4171964.63</v>
      </c>
      <c r="E281" s="16">
        <v>6151194.1100000003</v>
      </c>
      <c r="F281" s="11">
        <v>5915382.4800000004</v>
      </c>
      <c r="G281" s="11">
        <v>5057831.7</v>
      </c>
      <c r="H281" s="11">
        <v>5788209.0499999998</v>
      </c>
      <c r="I281" s="11">
        <v>5722660.7800000003</v>
      </c>
      <c r="J281" s="11">
        <v>5727495.6799999997</v>
      </c>
      <c r="K281" s="11">
        <v>5486610.5899999999</v>
      </c>
      <c r="L281" s="11">
        <v>5881409.5999999996</v>
      </c>
      <c r="M281" s="11">
        <v>6076274.5999999996</v>
      </c>
      <c r="N281" s="11">
        <f t="shared" si="50"/>
        <v>4171964.63</v>
      </c>
      <c r="O281" s="11">
        <v>1317230</v>
      </c>
      <c r="P281" s="11">
        <v>-6194.89</v>
      </c>
      <c r="Q281" s="11">
        <f t="shared" si="48"/>
        <v>94598.25</v>
      </c>
      <c r="R281" s="11">
        <f t="shared" si="49"/>
        <v>65657.2</v>
      </c>
      <c r="S281" s="11">
        <f t="shared" si="51"/>
        <v>97623.972341999994</v>
      </c>
      <c r="T281" s="10">
        <f t="shared" si="52"/>
        <v>9220.61</v>
      </c>
      <c r="U281" s="10">
        <f t="shared" si="53"/>
        <v>-6194.89</v>
      </c>
      <c r="V281" s="27">
        <f t="shared" si="54"/>
        <v>28941.045249999999</v>
      </c>
      <c r="W281" s="48">
        <f t="shared" si="55"/>
        <v>65657.207091999997</v>
      </c>
      <c r="X281" s="27"/>
      <c r="Y281" s="49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8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</row>
    <row r="282" spans="1:79" x14ac:dyDescent="0.25">
      <c r="A282" s="27">
        <v>885</v>
      </c>
      <c r="B282" s="27">
        <v>1</v>
      </c>
      <c r="C282" s="18" t="s">
        <v>370</v>
      </c>
      <c r="D282" s="11">
        <v>5202389.38</v>
      </c>
      <c r="E282" s="16">
        <v>11062213.98</v>
      </c>
      <c r="F282" s="11">
        <v>11967645.52</v>
      </c>
      <c r="G282" s="11">
        <v>14236048.779999999</v>
      </c>
      <c r="H282" s="11">
        <v>16161111.810000001</v>
      </c>
      <c r="I282" s="11">
        <v>17750958.850000001</v>
      </c>
      <c r="J282" s="11">
        <v>18880812.25</v>
      </c>
      <c r="K282" s="11">
        <v>20136555.350000001</v>
      </c>
      <c r="L282" s="11">
        <v>20604196.260000002</v>
      </c>
      <c r="M282" s="11">
        <v>21259794.350000001</v>
      </c>
      <c r="N282" s="11">
        <f t="shared" si="50"/>
        <v>5202389.38</v>
      </c>
      <c r="O282" s="11">
        <v>1353909</v>
      </c>
      <c r="P282" s="11">
        <v>-3156.53</v>
      </c>
      <c r="Q282" s="11">
        <f t="shared" si="48"/>
        <v>115415.08</v>
      </c>
      <c r="R282" s="11">
        <f t="shared" si="49"/>
        <v>34609.519999999997</v>
      </c>
      <c r="S282" s="11">
        <f t="shared" si="51"/>
        <v>121735.911492</v>
      </c>
      <c r="T282" s="10">
        <f t="shared" si="52"/>
        <v>9477.3629999999994</v>
      </c>
      <c r="U282" s="10">
        <f t="shared" si="53"/>
        <v>-3156.53</v>
      </c>
      <c r="V282" s="27">
        <f t="shared" si="54"/>
        <v>80805.559050000011</v>
      </c>
      <c r="W282" s="48">
        <f t="shared" si="55"/>
        <v>34609.51944199999</v>
      </c>
      <c r="X282" s="27"/>
      <c r="Y282" s="49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8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</row>
    <row r="283" spans="1:79" x14ac:dyDescent="0.25">
      <c r="A283" s="27">
        <v>891</v>
      </c>
      <c r="B283" s="27">
        <v>1</v>
      </c>
      <c r="C283" s="18" t="s">
        <v>239</v>
      </c>
      <c r="D283" s="11">
        <v>1864093.17</v>
      </c>
      <c r="E283" s="16">
        <v>2387168.92</v>
      </c>
      <c r="F283" s="11">
        <v>2415355.9500000002</v>
      </c>
      <c r="G283" s="11">
        <v>2400870.59</v>
      </c>
      <c r="H283" s="11">
        <v>2409758.5299999998</v>
      </c>
      <c r="I283" s="11">
        <v>2477068.9900000002</v>
      </c>
      <c r="J283" s="11">
        <v>2509865.9700000002</v>
      </c>
      <c r="K283" s="11">
        <v>2502442.4700000002</v>
      </c>
      <c r="L283" s="11">
        <v>2371705.79</v>
      </c>
      <c r="M283" s="11">
        <v>2385974.7200000002</v>
      </c>
      <c r="N283" s="11">
        <f t="shared" si="50"/>
        <v>1864093.17</v>
      </c>
      <c r="O283" s="11">
        <v>651345</v>
      </c>
      <c r="P283" s="11">
        <v>-4149.49</v>
      </c>
      <c r="Q283" s="11">
        <f t="shared" si="48"/>
        <v>43209.85</v>
      </c>
      <c r="R283" s="11">
        <f t="shared" si="49"/>
        <v>31161.06</v>
      </c>
      <c r="S283" s="11">
        <f t="shared" si="51"/>
        <v>43619.780178000001</v>
      </c>
      <c r="T283" s="10">
        <f t="shared" si="52"/>
        <v>4559.415</v>
      </c>
      <c r="U283" s="10">
        <f t="shared" si="53"/>
        <v>-4149.49</v>
      </c>
      <c r="V283" s="27">
        <f t="shared" si="54"/>
        <v>12048.792649999999</v>
      </c>
      <c r="W283" s="48">
        <f t="shared" si="55"/>
        <v>31161.062527999999</v>
      </c>
      <c r="X283" s="27"/>
      <c r="Y283" s="49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8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</row>
    <row r="284" spans="1:79" x14ac:dyDescent="0.25">
      <c r="A284" s="27">
        <v>911</v>
      </c>
      <c r="B284" s="27">
        <v>1</v>
      </c>
      <c r="C284" s="18" t="s">
        <v>240</v>
      </c>
      <c r="D284" s="11">
        <v>12697167.74</v>
      </c>
      <c r="E284" s="16">
        <v>18083122.039999999</v>
      </c>
      <c r="F284" s="11">
        <v>18935263.719999999</v>
      </c>
      <c r="G284" s="11">
        <v>19489176.77</v>
      </c>
      <c r="H284" s="11">
        <v>20083079.780000001</v>
      </c>
      <c r="I284" s="11">
        <v>20467487.510000002</v>
      </c>
      <c r="J284" s="11">
        <v>20437321.210000001</v>
      </c>
      <c r="K284" s="11">
        <v>21099600.050000001</v>
      </c>
      <c r="L284" s="11">
        <v>20777253.59</v>
      </c>
      <c r="M284" s="11">
        <v>22340059.949999999</v>
      </c>
      <c r="N284" s="11">
        <f t="shared" si="50"/>
        <v>12697167.74</v>
      </c>
      <c r="O284" s="11">
        <v>4432075</v>
      </c>
      <c r="P284" s="11">
        <v>-19793.75</v>
      </c>
      <c r="Q284" s="11">
        <f t="shared" si="48"/>
        <v>285882.94999999995</v>
      </c>
      <c r="R284" s="11">
        <f t="shared" si="49"/>
        <v>185467.55</v>
      </c>
      <c r="S284" s="11">
        <f t="shared" si="51"/>
        <v>297113.72511599999</v>
      </c>
      <c r="T284" s="10">
        <f t="shared" si="52"/>
        <v>31024.525000000001</v>
      </c>
      <c r="U284" s="10">
        <f t="shared" si="53"/>
        <v>-19793.75</v>
      </c>
      <c r="V284" s="27">
        <f t="shared" si="54"/>
        <v>100415.39890000001</v>
      </c>
      <c r="W284" s="48">
        <f t="shared" si="55"/>
        <v>185467.55121599993</v>
      </c>
      <c r="X284" s="27"/>
      <c r="Y284" s="49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8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</row>
    <row r="285" spans="1:79" x14ac:dyDescent="0.25">
      <c r="A285" s="27">
        <v>912</v>
      </c>
      <c r="B285" s="27">
        <v>1</v>
      </c>
      <c r="C285" s="18" t="s">
        <v>241</v>
      </c>
      <c r="D285" s="11">
        <v>4536432.68</v>
      </c>
      <c r="E285" s="16">
        <v>6811591.3600000003</v>
      </c>
      <c r="F285" s="11">
        <v>7019539.4400000004</v>
      </c>
      <c r="G285" s="11">
        <v>7261405.2199999997</v>
      </c>
      <c r="H285" s="11">
        <v>7548299.6600000001</v>
      </c>
      <c r="I285" s="11">
        <v>7518718.1699999999</v>
      </c>
      <c r="J285" s="11">
        <v>7519306.0700000003</v>
      </c>
      <c r="K285" s="11">
        <v>7281942.29</v>
      </c>
      <c r="L285" s="11">
        <v>7400047.3499999996</v>
      </c>
      <c r="M285" s="11">
        <v>7773356.9100000001</v>
      </c>
      <c r="N285" s="11">
        <f t="shared" si="50"/>
        <v>4536432.68</v>
      </c>
      <c r="O285" s="11">
        <v>1308534</v>
      </c>
      <c r="P285" s="11">
        <v>-6336.45</v>
      </c>
      <c r="Q285" s="11">
        <f t="shared" si="48"/>
        <v>103329.23</v>
      </c>
      <c r="R285" s="11">
        <f t="shared" si="49"/>
        <v>65587.73</v>
      </c>
      <c r="S285" s="11">
        <f t="shared" si="51"/>
        <v>106152.524712</v>
      </c>
      <c r="T285" s="10">
        <f t="shared" si="52"/>
        <v>9159.7379999999994</v>
      </c>
      <c r="U285" s="10">
        <f t="shared" si="53"/>
        <v>-6336.45</v>
      </c>
      <c r="V285" s="27">
        <f t="shared" si="54"/>
        <v>37741.498299999999</v>
      </c>
      <c r="W285" s="48">
        <f t="shared" si="55"/>
        <v>65587.738412000006</v>
      </c>
      <c r="X285" s="27"/>
      <c r="Y285" s="49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8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</row>
    <row r="286" spans="1:79" x14ac:dyDescent="0.25">
      <c r="A286" s="27">
        <v>914</v>
      </c>
      <c r="B286" s="27">
        <v>1</v>
      </c>
      <c r="C286" s="18" t="s">
        <v>242</v>
      </c>
      <c r="D286" s="11">
        <v>836337.63</v>
      </c>
      <c r="E286" s="16">
        <v>1172089.82</v>
      </c>
      <c r="F286" s="11">
        <v>1257555.8500000001</v>
      </c>
      <c r="G286" s="11">
        <v>1375035.67</v>
      </c>
      <c r="H286" s="11">
        <v>1389436.78</v>
      </c>
      <c r="I286" s="11">
        <v>1327230.28</v>
      </c>
      <c r="J286" s="11">
        <v>1363673.28</v>
      </c>
      <c r="K286" s="11">
        <v>1336160.3700000001</v>
      </c>
      <c r="L286" s="11">
        <v>1228426.3</v>
      </c>
      <c r="M286" s="11">
        <v>1341533.43</v>
      </c>
      <c r="N286" s="11">
        <f t="shared" si="50"/>
        <v>836337.63</v>
      </c>
      <c r="O286" s="11">
        <v>305130</v>
      </c>
      <c r="P286" s="11">
        <v>-1795.5</v>
      </c>
      <c r="Q286" s="11">
        <f t="shared" si="48"/>
        <v>19229.89</v>
      </c>
      <c r="R286" s="11">
        <f t="shared" si="49"/>
        <v>12282.71</v>
      </c>
      <c r="S286" s="11">
        <f t="shared" si="51"/>
        <v>19570.300542000001</v>
      </c>
      <c r="T286" s="10">
        <f t="shared" si="52"/>
        <v>2135.91</v>
      </c>
      <c r="U286" s="10">
        <f t="shared" si="53"/>
        <v>-1795.5</v>
      </c>
      <c r="V286" s="27">
        <f t="shared" si="54"/>
        <v>6947.1839</v>
      </c>
      <c r="W286" s="48">
        <f t="shared" si="55"/>
        <v>12282.706642000001</v>
      </c>
      <c r="X286" s="27"/>
      <c r="Y286" s="49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8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</row>
    <row r="287" spans="1:79" x14ac:dyDescent="0.25">
      <c r="A287" s="27">
        <v>2071</v>
      </c>
      <c r="B287" s="27">
        <v>1</v>
      </c>
      <c r="C287" s="18" t="s">
        <v>371</v>
      </c>
      <c r="D287" s="11">
        <v>3625894.02</v>
      </c>
      <c r="E287" s="16">
        <v>3214815.53</v>
      </c>
      <c r="F287" s="11">
        <v>3225247.8</v>
      </c>
      <c r="G287" s="11">
        <v>2846778.55</v>
      </c>
      <c r="H287" s="11">
        <v>3112558.43</v>
      </c>
      <c r="I287" s="11">
        <v>3024455.1</v>
      </c>
      <c r="J287" s="11">
        <v>3076342.67</v>
      </c>
      <c r="K287" s="11">
        <v>3092386.85</v>
      </c>
      <c r="L287" s="11">
        <v>2932081.1</v>
      </c>
      <c r="M287" s="11">
        <v>2954214.6</v>
      </c>
      <c r="N287" s="11">
        <f t="shared" si="50"/>
        <v>2846778.55</v>
      </c>
      <c r="O287" s="11">
        <v>689095</v>
      </c>
      <c r="P287" s="11">
        <v>-3351.25</v>
      </c>
      <c r="Q287" s="11">
        <f t="shared" si="48"/>
        <v>65142.2</v>
      </c>
      <c r="R287" s="11">
        <f t="shared" si="49"/>
        <v>49579.41</v>
      </c>
      <c r="S287" s="11">
        <f t="shared" si="51"/>
        <v>66614.618069999997</v>
      </c>
      <c r="T287" s="10">
        <f t="shared" si="52"/>
        <v>4823.665</v>
      </c>
      <c r="U287" s="10">
        <f t="shared" si="53"/>
        <v>-3351.25</v>
      </c>
      <c r="V287" s="27">
        <f t="shared" si="54"/>
        <v>15562.792150000001</v>
      </c>
      <c r="W287" s="48">
        <f t="shared" si="55"/>
        <v>49579.410919999995</v>
      </c>
      <c r="X287" s="27"/>
      <c r="Y287" s="49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8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</row>
    <row r="288" spans="1:79" x14ac:dyDescent="0.25">
      <c r="A288" s="27">
        <v>2125</v>
      </c>
      <c r="B288" s="27">
        <v>1</v>
      </c>
      <c r="C288" s="18" t="s">
        <v>243</v>
      </c>
      <c r="D288" s="11">
        <v>2960590.52</v>
      </c>
      <c r="E288" s="16">
        <v>4152465.56</v>
      </c>
      <c r="F288" s="11">
        <v>4212381.62</v>
      </c>
      <c r="G288" s="11">
        <v>4214162.43</v>
      </c>
      <c r="H288" s="11">
        <v>4249189.55</v>
      </c>
      <c r="I288" s="11">
        <v>4360821.67</v>
      </c>
      <c r="J288" s="11">
        <v>4652110.7699999996</v>
      </c>
      <c r="K288" s="11">
        <v>4539215.2699999996</v>
      </c>
      <c r="L288" s="11">
        <v>4509446.3899999997</v>
      </c>
      <c r="M288" s="11">
        <v>4722352.1100000003</v>
      </c>
      <c r="N288" s="11">
        <f t="shared" si="50"/>
        <v>2960590.52</v>
      </c>
      <c r="O288" s="11">
        <v>679882</v>
      </c>
      <c r="P288" s="11">
        <v>-4295.41</v>
      </c>
      <c r="Q288" s="11">
        <f t="shared" si="48"/>
        <v>68814.060000000012</v>
      </c>
      <c r="R288" s="11">
        <f t="shared" si="49"/>
        <v>47568.11</v>
      </c>
      <c r="S288" s="11">
        <f t="shared" si="51"/>
        <v>69277.818167999998</v>
      </c>
      <c r="T288" s="10">
        <f t="shared" si="52"/>
        <v>4759.174</v>
      </c>
      <c r="U288" s="10">
        <f t="shared" si="53"/>
        <v>-4295.41</v>
      </c>
      <c r="V288" s="27">
        <f t="shared" si="54"/>
        <v>21245.947749999999</v>
      </c>
      <c r="W288" s="48">
        <f t="shared" si="55"/>
        <v>47568.106418000003</v>
      </c>
      <c r="X288" s="27"/>
      <c r="Y288" s="49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8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</row>
    <row r="289" spans="1:79" x14ac:dyDescent="0.25">
      <c r="A289" s="27">
        <v>2134</v>
      </c>
      <c r="B289" s="27">
        <v>1</v>
      </c>
      <c r="C289" s="18" t="s">
        <v>244</v>
      </c>
      <c r="D289" s="11">
        <v>3896654.88</v>
      </c>
      <c r="E289" s="16">
        <v>4102696.77</v>
      </c>
      <c r="F289" s="11">
        <v>4207547.7</v>
      </c>
      <c r="G289" s="11">
        <v>4262284.67</v>
      </c>
      <c r="H289" s="11">
        <v>4329092.57</v>
      </c>
      <c r="I289" s="11">
        <v>4129245.06</v>
      </c>
      <c r="J289" s="11">
        <v>3702441.13</v>
      </c>
      <c r="K289" s="11">
        <v>3582896.63</v>
      </c>
      <c r="L289" s="11">
        <v>3264221.87</v>
      </c>
      <c r="M289" s="11">
        <v>3632543.65</v>
      </c>
      <c r="N289" s="11">
        <f t="shared" si="50"/>
        <v>3264221.87</v>
      </c>
      <c r="O289" s="11">
        <v>1027991</v>
      </c>
      <c r="P289" s="11">
        <v>-3816.81</v>
      </c>
      <c r="Q289" s="11">
        <f t="shared" si="48"/>
        <v>73003.659999999989</v>
      </c>
      <c r="R289" s="11">
        <f t="shared" si="49"/>
        <v>51358.2</v>
      </c>
      <c r="S289" s="11">
        <f t="shared" si="51"/>
        <v>76382.791758000007</v>
      </c>
      <c r="T289" s="10">
        <f t="shared" si="52"/>
        <v>7195.9369999999999</v>
      </c>
      <c r="U289" s="10">
        <f t="shared" si="53"/>
        <v>-3816.81</v>
      </c>
      <c r="V289" s="27">
        <f t="shared" si="54"/>
        <v>21645.462850000004</v>
      </c>
      <c r="W289" s="48">
        <f t="shared" si="55"/>
        <v>51358.201907999995</v>
      </c>
      <c r="X289" s="27"/>
      <c r="Y289" s="49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8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</row>
    <row r="290" spans="1:79" x14ac:dyDescent="0.25">
      <c r="A290" s="27">
        <v>2135</v>
      </c>
      <c r="B290" s="27">
        <v>1</v>
      </c>
      <c r="C290" s="18" t="s">
        <v>245</v>
      </c>
      <c r="D290" s="11">
        <v>3389900.84</v>
      </c>
      <c r="E290" s="16">
        <v>4530893.72</v>
      </c>
      <c r="F290" s="11">
        <v>4607887.63</v>
      </c>
      <c r="G290" s="11">
        <v>4836036.82</v>
      </c>
      <c r="H290" s="11">
        <v>5307312</v>
      </c>
      <c r="I290" s="11">
        <v>5560188.1799999997</v>
      </c>
      <c r="J290" s="11">
        <v>5459952.9500000002</v>
      </c>
      <c r="K290" s="11">
        <v>5028957.2699999996</v>
      </c>
      <c r="L290" s="11">
        <v>4912900.59</v>
      </c>
      <c r="M290" s="11">
        <v>4741123.78</v>
      </c>
      <c r="N290" s="11">
        <f t="shared" si="50"/>
        <v>3389900.84</v>
      </c>
      <c r="O290" s="11">
        <v>760946</v>
      </c>
      <c r="P290" s="11">
        <v>-4223.38</v>
      </c>
      <c r="Q290" s="11">
        <f t="shared" si="48"/>
        <v>78220.44</v>
      </c>
      <c r="R290" s="11">
        <f t="shared" si="49"/>
        <v>51683.88</v>
      </c>
      <c r="S290" s="11">
        <f t="shared" si="51"/>
        <v>79323.679655999993</v>
      </c>
      <c r="T290" s="10">
        <f t="shared" si="52"/>
        <v>5326.6220000000003</v>
      </c>
      <c r="U290" s="10">
        <f t="shared" si="53"/>
        <v>-4223.38</v>
      </c>
      <c r="V290" s="27">
        <f t="shared" si="54"/>
        <v>26536.560000000001</v>
      </c>
      <c r="W290" s="48">
        <f t="shared" si="55"/>
        <v>51683.877655999997</v>
      </c>
      <c r="X290" s="27"/>
      <c r="Y290" s="49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8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</row>
    <row r="291" spans="1:79" x14ac:dyDescent="0.25">
      <c r="A291" s="27">
        <v>2137</v>
      </c>
      <c r="B291" s="27">
        <v>1</v>
      </c>
      <c r="C291" s="18" t="s">
        <v>246</v>
      </c>
      <c r="D291" s="11">
        <v>3070926.37</v>
      </c>
      <c r="E291" s="16">
        <v>3457817.21</v>
      </c>
      <c r="F291" s="11">
        <v>3093183.72</v>
      </c>
      <c r="G291" s="11">
        <v>3116369.33</v>
      </c>
      <c r="H291" s="11">
        <v>3059413.86</v>
      </c>
      <c r="I291" s="11">
        <v>3026219.8</v>
      </c>
      <c r="J291" s="11">
        <v>2902457.79</v>
      </c>
      <c r="K291" s="11">
        <v>2718498.71</v>
      </c>
      <c r="L291" s="11">
        <v>2632802.86</v>
      </c>
      <c r="M291" s="11">
        <v>2724136.68</v>
      </c>
      <c r="N291" s="11">
        <f t="shared" si="50"/>
        <v>2632802.86</v>
      </c>
      <c r="O291" s="11">
        <v>794210</v>
      </c>
      <c r="P291" s="11">
        <v>-5057.78</v>
      </c>
      <c r="Q291" s="11">
        <f t="shared" si="48"/>
        <v>61105.899999999994</v>
      </c>
      <c r="R291" s="11">
        <f t="shared" si="49"/>
        <v>45808.83</v>
      </c>
      <c r="S291" s="11">
        <f t="shared" si="51"/>
        <v>61607.586923999996</v>
      </c>
      <c r="T291" s="10">
        <f t="shared" si="52"/>
        <v>5559.47</v>
      </c>
      <c r="U291" s="10">
        <f t="shared" si="53"/>
        <v>-5057.78</v>
      </c>
      <c r="V291" s="27">
        <f t="shared" si="54"/>
        <v>15297.069299999999</v>
      </c>
      <c r="W291" s="48">
        <f t="shared" si="55"/>
        <v>45808.827623999998</v>
      </c>
      <c r="X291" s="27"/>
      <c r="Y291" s="49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8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</row>
    <row r="292" spans="1:79" x14ac:dyDescent="0.25">
      <c r="A292" s="27">
        <v>2142</v>
      </c>
      <c r="B292" s="27">
        <v>1</v>
      </c>
      <c r="C292" s="18" t="s">
        <v>247</v>
      </c>
      <c r="D292" s="11">
        <v>10020138.699999999</v>
      </c>
      <c r="E292" s="16">
        <v>10502525.26</v>
      </c>
      <c r="F292" s="11">
        <v>11622007.91</v>
      </c>
      <c r="G292" s="11">
        <v>10562754.34</v>
      </c>
      <c r="H292" s="11">
        <v>10260957.65</v>
      </c>
      <c r="I292" s="11">
        <v>9462307.1500000004</v>
      </c>
      <c r="J292" s="11">
        <v>10208085.15</v>
      </c>
      <c r="K292" s="11">
        <v>9380368.1400000006</v>
      </c>
      <c r="L292" s="11">
        <v>9755813.2799999993</v>
      </c>
      <c r="M292" s="11">
        <v>9638979.4399999995</v>
      </c>
      <c r="N292" s="11">
        <f t="shared" si="50"/>
        <v>9380368.1400000006</v>
      </c>
      <c r="O292" s="11">
        <v>2270472</v>
      </c>
      <c r="P292" s="11">
        <v>-20340.97</v>
      </c>
      <c r="Q292" s="11">
        <f t="shared" si="48"/>
        <v>223948.28</v>
      </c>
      <c r="R292" s="11">
        <f t="shared" si="49"/>
        <v>172643.49</v>
      </c>
      <c r="S292" s="11">
        <f t="shared" si="51"/>
        <v>219500.61447600002</v>
      </c>
      <c r="T292" s="10">
        <f t="shared" si="52"/>
        <v>15893.304</v>
      </c>
      <c r="U292" s="10">
        <f t="shared" si="53"/>
        <v>-20340.97</v>
      </c>
      <c r="V292" s="27">
        <f t="shared" si="54"/>
        <v>51304.788250000005</v>
      </c>
      <c r="W292" s="48">
        <f t="shared" si="55"/>
        <v>172643.492226</v>
      </c>
      <c r="X292" s="27"/>
      <c r="Y292" s="49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8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</row>
    <row r="293" spans="1:79" x14ac:dyDescent="0.25">
      <c r="A293" s="27">
        <v>2143</v>
      </c>
      <c r="B293" s="27">
        <v>1</v>
      </c>
      <c r="C293" s="18" t="s">
        <v>248</v>
      </c>
      <c r="D293" s="11">
        <v>3155009.01</v>
      </c>
      <c r="E293" s="16">
        <v>3706283.66</v>
      </c>
      <c r="F293" s="11">
        <v>3815627.35</v>
      </c>
      <c r="G293" s="11">
        <v>3895834.81</v>
      </c>
      <c r="H293" s="11">
        <v>4041687.88</v>
      </c>
      <c r="I293" s="11">
        <v>4180440.91</v>
      </c>
      <c r="J293" s="11">
        <v>4300416.25</v>
      </c>
      <c r="K293" s="11">
        <v>4077779.79</v>
      </c>
      <c r="L293" s="11">
        <v>4055528.34</v>
      </c>
      <c r="M293" s="11">
        <v>4171405.01</v>
      </c>
      <c r="N293" s="11">
        <f t="shared" si="50"/>
        <v>3155009.01</v>
      </c>
      <c r="O293" s="11">
        <v>794303</v>
      </c>
      <c r="P293" s="11">
        <v>-4235.8100000000004</v>
      </c>
      <c r="Q293" s="11">
        <f t="shared" si="48"/>
        <v>72502.900000000009</v>
      </c>
      <c r="R293" s="11">
        <f t="shared" si="49"/>
        <v>52294.46</v>
      </c>
      <c r="S293" s="11">
        <f t="shared" si="51"/>
        <v>73827.210833999998</v>
      </c>
      <c r="T293" s="10">
        <f t="shared" si="52"/>
        <v>5560.1210000000001</v>
      </c>
      <c r="U293" s="10">
        <f t="shared" si="53"/>
        <v>-4235.8100000000004</v>
      </c>
      <c r="V293" s="27">
        <f t="shared" si="54"/>
        <v>20208.439399999999</v>
      </c>
      <c r="W293" s="48">
        <f t="shared" si="55"/>
        <v>52294.460433999993</v>
      </c>
      <c r="X293" s="27"/>
      <c r="Y293" s="49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8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</row>
    <row r="294" spans="1:79" x14ac:dyDescent="0.25">
      <c r="A294" s="27">
        <v>2144</v>
      </c>
      <c r="B294" s="27">
        <v>1</v>
      </c>
      <c r="C294" s="18" t="s">
        <v>372</v>
      </c>
      <c r="D294" s="11">
        <v>8240749.8899999997</v>
      </c>
      <c r="E294" s="16">
        <v>10966498.960000001</v>
      </c>
      <c r="F294" s="11">
        <v>11186256.34</v>
      </c>
      <c r="G294" s="11">
        <v>11530724.91</v>
      </c>
      <c r="H294" s="11">
        <v>12215888.23</v>
      </c>
      <c r="I294" s="11">
        <v>12906845.35</v>
      </c>
      <c r="J294" s="11">
        <v>14059683.630000001</v>
      </c>
      <c r="K294" s="11">
        <v>14030230.24</v>
      </c>
      <c r="L294" s="11">
        <v>13755504.33</v>
      </c>
      <c r="M294" s="11">
        <v>13398269.359999999</v>
      </c>
      <c r="N294" s="11">
        <f t="shared" si="50"/>
        <v>8240749.8899999997</v>
      </c>
      <c r="O294" s="11">
        <v>2615881</v>
      </c>
      <c r="P294" s="11">
        <v>-7834.01</v>
      </c>
      <c r="Q294" s="11">
        <f t="shared" si="48"/>
        <v>182356.39</v>
      </c>
      <c r="R294" s="11">
        <f t="shared" si="49"/>
        <v>121276.95</v>
      </c>
      <c r="S294" s="11">
        <f t="shared" si="51"/>
        <v>192833.547426</v>
      </c>
      <c r="T294" s="10">
        <f t="shared" si="52"/>
        <v>18311.167000000001</v>
      </c>
      <c r="U294" s="10">
        <f t="shared" si="53"/>
        <v>-7834.01</v>
      </c>
      <c r="V294" s="27">
        <f t="shared" si="54"/>
        <v>61079.441150000006</v>
      </c>
      <c r="W294" s="48">
        <f t="shared" si="55"/>
        <v>121276.949276</v>
      </c>
      <c r="X294" s="27"/>
      <c r="Y294" s="49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8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</row>
    <row r="295" spans="1:79" x14ac:dyDescent="0.25">
      <c r="A295" s="27">
        <v>2149</v>
      </c>
      <c r="B295" s="27">
        <v>1</v>
      </c>
      <c r="C295" s="18" t="s">
        <v>249</v>
      </c>
      <c r="D295" s="11">
        <v>4666777.53</v>
      </c>
      <c r="E295" s="16">
        <v>5619454.1399999997</v>
      </c>
      <c r="F295" s="11">
        <v>5565683.8200000003</v>
      </c>
      <c r="G295" s="11">
        <v>5134290.37</v>
      </c>
      <c r="H295" s="11">
        <v>5638803.8300000001</v>
      </c>
      <c r="I295" s="11">
        <v>5703104.0099999998</v>
      </c>
      <c r="J295" s="11">
        <v>5820151.9699999997</v>
      </c>
      <c r="K295" s="11">
        <v>5845222.1399999997</v>
      </c>
      <c r="L295" s="11">
        <v>5613788.5800000001</v>
      </c>
      <c r="M295" s="11">
        <v>5472712.9100000001</v>
      </c>
      <c r="N295" s="11">
        <f t="shared" si="50"/>
        <v>4666777.53</v>
      </c>
      <c r="O295" s="11">
        <v>1223904</v>
      </c>
      <c r="P295" s="11">
        <v>-5200.99</v>
      </c>
      <c r="Q295" s="11">
        <f t="shared" si="48"/>
        <v>105836.25</v>
      </c>
      <c r="R295" s="11">
        <f t="shared" si="49"/>
        <v>77642.23</v>
      </c>
      <c r="S295" s="11">
        <f t="shared" si="51"/>
        <v>109202.59420200001</v>
      </c>
      <c r="T295" s="10">
        <f t="shared" si="52"/>
        <v>8567.3279999999995</v>
      </c>
      <c r="U295" s="10">
        <f t="shared" si="53"/>
        <v>-5200.99</v>
      </c>
      <c r="V295" s="27">
        <f t="shared" si="54"/>
        <v>28194.01915</v>
      </c>
      <c r="W295" s="48">
        <f t="shared" si="55"/>
        <v>77642.237052000011</v>
      </c>
      <c r="X295" s="27"/>
      <c r="Y295" s="49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8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</row>
    <row r="296" spans="1:79" x14ac:dyDescent="0.25">
      <c r="A296" s="27">
        <v>2154</v>
      </c>
      <c r="B296" s="27">
        <v>1</v>
      </c>
      <c r="C296" s="18" t="s">
        <v>250</v>
      </c>
      <c r="D296" s="11">
        <v>4563461.21</v>
      </c>
      <c r="E296" s="16">
        <v>5223087.4800000004</v>
      </c>
      <c r="F296" s="11">
        <v>4592156.17</v>
      </c>
      <c r="G296" s="11">
        <v>4436002.76</v>
      </c>
      <c r="H296" s="11">
        <v>4590572.62</v>
      </c>
      <c r="I296" s="11">
        <v>4803627.67</v>
      </c>
      <c r="J296" s="11">
        <v>4961336.34</v>
      </c>
      <c r="K296" s="11">
        <v>4726419.07</v>
      </c>
      <c r="L296" s="11">
        <v>4491280.34</v>
      </c>
      <c r="M296" s="11">
        <v>4670240.6900000004</v>
      </c>
      <c r="N296" s="11">
        <f t="shared" si="50"/>
        <v>4436002.76</v>
      </c>
      <c r="O296" s="11">
        <v>1037565</v>
      </c>
      <c r="P296" s="11">
        <v>-8792.56</v>
      </c>
      <c r="Q296" s="11">
        <f t="shared" si="48"/>
        <v>105332.06</v>
      </c>
      <c r="R296" s="11">
        <f t="shared" si="49"/>
        <v>82379.199999999997</v>
      </c>
      <c r="S296" s="11">
        <f t="shared" si="51"/>
        <v>103802.464584</v>
      </c>
      <c r="T296" s="10">
        <f t="shared" si="52"/>
        <v>7262.9549999999999</v>
      </c>
      <c r="U296" s="10">
        <f t="shared" si="53"/>
        <v>-8792.56</v>
      </c>
      <c r="V296" s="27">
        <f t="shared" si="54"/>
        <v>22952.863100000002</v>
      </c>
      <c r="W296" s="48">
        <f t="shared" si="55"/>
        <v>82379.206483999995</v>
      </c>
      <c r="X296" s="27"/>
      <c r="Y296" s="49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8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</row>
    <row r="297" spans="1:79" x14ac:dyDescent="0.25">
      <c r="A297" s="27">
        <v>2155</v>
      </c>
      <c r="B297" s="27">
        <v>1</v>
      </c>
      <c r="C297" s="18" t="s">
        <v>251</v>
      </c>
      <c r="D297" s="11">
        <v>4734630.08</v>
      </c>
      <c r="E297" s="16">
        <v>5083435.87</v>
      </c>
      <c r="F297" s="11">
        <v>5129373.5999999996</v>
      </c>
      <c r="G297" s="11">
        <v>5155451.0999999996</v>
      </c>
      <c r="H297" s="11">
        <v>5031920.01</v>
      </c>
      <c r="I297" s="11">
        <v>4735492.3899999997</v>
      </c>
      <c r="J297" s="11">
        <v>4752346.05</v>
      </c>
      <c r="K297" s="11">
        <v>4536880.54</v>
      </c>
      <c r="L297" s="11">
        <v>4576635</v>
      </c>
      <c r="M297" s="11">
        <v>4503669.1500000004</v>
      </c>
      <c r="N297" s="11">
        <f t="shared" si="50"/>
        <v>4503669.1500000004</v>
      </c>
      <c r="O297" s="11">
        <v>1206576</v>
      </c>
      <c r="P297" s="11">
        <v>-3679.64</v>
      </c>
      <c r="Q297" s="11">
        <f t="shared" si="48"/>
        <v>100619.47</v>
      </c>
      <c r="R297" s="11">
        <f t="shared" si="49"/>
        <v>75459.87</v>
      </c>
      <c r="S297" s="11">
        <f t="shared" si="51"/>
        <v>105385.85811000002</v>
      </c>
      <c r="T297" s="10">
        <f t="shared" si="52"/>
        <v>8446.0320000000011</v>
      </c>
      <c r="U297" s="10">
        <f t="shared" si="53"/>
        <v>-3679.64</v>
      </c>
      <c r="V297" s="27">
        <f t="shared" si="54"/>
        <v>25159.600050000001</v>
      </c>
      <c r="W297" s="48">
        <f t="shared" si="55"/>
        <v>75459.86606</v>
      </c>
      <c r="X297" s="27"/>
      <c r="Y297" s="49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8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</row>
    <row r="298" spans="1:79" x14ac:dyDescent="0.25">
      <c r="A298" s="27">
        <v>2159</v>
      </c>
      <c r="B298" s="27">
        <v>1</v>
      </c>
      <c r="C298" s="18" t="s">
        <v>252</v>
      </c>
      <c r="D298" s="16">
        <f>'Consolidate 2887'!D30</f>
        <v>1661401.02</v>
      </c>
      <c r="E298" s="16">
        <v>2763773.47</v>
      </c>
      <c r="F298" s="16">
        <v>2731661.24</v>
      </c>
      <c r="G298" s="16">
        <v>2775715.63</v>
      </c>
      <c r="H298" s="16">
        <f>'Consolidate 2887'!D33</f>
        <v>2449272.38</v>
      </c>
      <c r="I298" s="16">
        <v>2824581.47</v>
      </c>
      <c r="J298" s="16">
        <v>2875401.4</v>
      </c>
      <c r="K298" s="16">
        <v>2655495.7200000002</v>
      </c>
      <c r="L298" s="16">
        <v>2766600.32</v>
      </c>
      <c r="M298" s="11">
        <v>2790408.54</v>
      </c>
      <c r="N298" s="11">
        <f t="shared" si="50"/>
        <v>1661401.02</v>
      </c>
      <c r="O298" s="11">
        <f>'Consolidate 2887'!D49</f>
        <v>412779.5</v>
      </c>
      <c r="P298" s="11">
        <f>'Consolidate 2887'!D50</f>
        <v>-3254.7</v>
      </c>
      <c r="Q298" s="11">
        <f t="shared" si="48"/>
        <v>39242.019999999997</v>
      </c>
      <c r="R298" s="11">
        <f t="shared" si="49"/>
        <v>26995.66</v>
      </c>
      <c r="S298" s="11">
        <f t="shared" si="51"/>
        <v>38876.783867999999</v>
      </c>
      <c r="T298" s="10">
        <f t="shared" si="52"/>
        <v>2889.4565000000002</v>
      </c>
      <c r="U298" s="10">
        <f t="shared" si="53"/>
        <v>-3254.7</v>
      </c>
      <c r="V298" s="27">
        <f t="shared" si="54"/>
        <v>12246.3619</v>
      </c>
      <c r="W298" s="48">
        <f t="shared" si="55"/>
        <v>26995.665467999996</v>
      </c>
      <c r="X298" s="27"/>
      <c r="Y298" s="49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8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</row>
    <row r="299" spans="1:79" x14ac:dyDescent="0.25">
      <c r="A299" s="27">
        <v>2164</v>
      </c>
      <c r="B299" s="27">
        <v>1</v>
      </c>
      <c r="C299" s="18" t="s">
        <v>373</v>
      </c>
      <c r="D299" s="11">
        <v>3696577.1</v>
      </c>
      <c r="E299" s="16">
        <v>4791515.37</v>
      </c>
      <c r="F299" s="11">
        <v>4925796.2699999996</v>
      </c>
      <c r="G299" s="11">
        <v>5093598.45</v>
      </c>
      <c r="H299" s="11">
        <v>5205367.3600000003</v>
      </c>
      <c r="I299" s="11">
        <v>5236509.9000000004</v>
      </c>
      <c r="J299" s="11">
        <v>5591672.4800000004</v>
      </c>
      <c r="K299" s="11">
        <v>5875671.0800000001</v>
      </c>
      <c r="L299" s="11">
        <v>5964517.4900000002</v>
      </c>
      <c r="M299" s="11">
        <v>6451032.7800000003</v>
      </c>
      <c r="N299" s="11">
        <f t="shared" si="50"/>
        <v>3696577.1</v>
      </c>
      <c r="O299" s="11">
        <v>787894</v>
      </c>
      <c r="P299" s="11">
        <v>-4045.52</v>
      </c>
      <c r="Q299" s="11">
        <f t="shared" si="48"/>
        <v>85030.16</v>
      </c>
      <c r="R299" s="11">
        <f t="shared" si="49"/>
        <v>59003.32</v>
      </c>
      <c r="S299" s="11">
        <f t="shared" si="51"/>
        <v>86499.904139999999</v>
      </c>
      <c r="T299" s="10">
        <f t="shared" si="52"/>
        <v>5515.2579999999998</v>
      </c>
      <c r="U299" s="10">
        <f t="shared" si="53"/>
        <v>-4045.52</v>
      </c>
      <c r="V299" s="27">
        <f t="shared" si="54"/>
        <v>26026.836800000001</v>
      </c>
      <c r="W299" s="48">
        <f t="shared" si="55"/>
        <v>59003.329339999997</v>
      </c>
      <c r="X299" s="27"/>
      <c r="Y299" s="49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8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</row>
    <row r="300" spans="1:79" x14ac:dyDescent="0.25">
      <c r="A300" s="27">
        <v>2165</v>
      </c>
      <c r="B300" s="27">
        <v>1</v>
      </c>
      <c r="C300" s="18" t="s">
        <v>374</v>
      </c>
      <c r="D300" s="11">
        <v>3066155.23</v>
      </c>
      <c r="E300" s="16">
        <v>4054669.46</v>
      </c>
      <c r="F300" s="11">
        <v>3859697.79</v>
      </c>
      <c r="G300" s="11">
        <v>3890690.29</v>
      </c>
      <c r="H300" s="11">
        <v>3973107.58</v>
      </c>
      <c r="I300" s="11">
        <v>4167053.08</v>
      </c>
      <c r="J300" s="11">
        <v>4462394.12</v>
      </c>
      <c r="K300" s="11">
        <v>4491916.33</v>
      </c>
      <c r="L300" s="11">
        <v>4530856.7</v>
      </c>
      <c r="M300" s="11">
        <v>4602876.49</v>
      </c>
      <c r="N300" s="11">
        <f t="shared" si="50"/>
        <v>3066155.23</v>
      </c>
      <c r="O300" s="11">
        <v>871954</v>
      </c>
      <c r="P300" s="11">
        <v>-4364.84</v>
      </c>
      <c r="Q300" s="11">
        <f t="shared" si="48"/>
        <v>70009.19</v>
      </c>
      <c r="R300" s="11">
        <f t="shared" si="49"/>
        <v>50143.65</v>
      </c>
      <c r="S300" s="11">
        <f t="shared" si="51"/>
        <v>71748.032382000005</v>
      </c>
      <c r="T300" s="10">
        <f t="shared" si="52"/>
        <v>6103.6779999999999</v>
      </c>
      <c r="U300" s="10">
        <f t="shared" si="53"/>
        <v>-4364.84</v>
      </c>
      <c r="V300" s="27">
        <f t="shared" si="54"/>
        <v>19865.537899999999</v>
      </c>
      <c r="W300" s="48">
        <f t="shared" si="55"/>
        <v>50143.656482000006</v>
      </c>
      <c r="X300" s="27"/>
      <c r="Y300" s="49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8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</row>
    <row r="301" spans="1:79" x14ac:dyDescent="0.25">
      <c r="A301" s="27">
        <v>2167</v>
      </c>
      <c r="B301" s="27">
        <v>1</v>
      </c>
      <c r="C301" s="18" t="s">
        <v>253</v>
      </c>
      <c r="D301" s="11">
        <v>1580208.43</v>
      </c>
      <c r="E301" s="16">
        <v>1830494.73</v>
      </c>
      <c r="F301" s="11">
        <v>1688394.36</v>
      </c>
      <c r="G301" s="11">
        <v>1950499.77</v>
      </c>
      <c r="H301" s="11">
        <v>2103956.71</v>
      </c>
      <c r="I301" s="11">
        <v>2157781.73</v>
      </c>
      <c r="J301" s="11">
        <v>2355849.0699999998</v>
      </c>
      <c r="K301" s="11">
        <v>2389448.39</v>
      </c>
      <c r="L301" s="11">
        <v>2410490.7200000002</v>
      </c>
      <c r="M301" s="11">
        <v>2482156.33</v>
      </c>
      <c r="N301" s="11">
        <f t="shared" si="50"/>
        <v>1580208.43</v>
      </c>
      <c r="O301" s="11">
        <v>459054</v>
      </c>
      <c r="P301" s="11">
        <v>-2053.77</v>
      </c>
      <c r="Q301" s="11">
        <f t="shared" si="48"/>
        <v>35817.269999999997</v>
      </c>
      <c r="R301" s="11">
        <f t="shared" si="49"/>
        <v>25297.49</v>
      </c>
      <c r="S301" s="11">
        <f t="shared" si="51"/>
        <v>36976.877262000002</v>
      </c>
      <c r="T301" s="10">
        <f t="shared" si="52"/>
        <v>3213.3780000000002</v>
      </c>
      <c r="U301" s="10">
        <f t="shared" si="53"/>
        <v>-2053.77</v>
      </c>
      <c r="V301" s="27">
        <f t="shared" si="54"/>
        <v>10519.78355</v>
      </c>
      <c r="W301" s="48">
        <f t="shared" si="55"/>
        <v>25297.485712000002</v>
      </c>
      <c r="X301" s="27"/>
      <c r="Y301" s="49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8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</row>
    <row r="302" spans="1:79" x14ac:dyDescent="0.25">
      <c r="A302" s="27">
        <v>2168</v>
      </c>
      <c r="B302" s="27">
        <v>1</v>
      </c>
      <c r="C302" s="18" t="s">
        <v>375</v>
      </c>
      <c r="D302" s="11">
        <v>2857396.25</v>
      </c>
      <c r="E302" s="16">
        <v>3652135.12</v>
      </c>
      <c r="F302" s="11">
        <v>3821658.21</v>
      </c>
      <c r="G302" s="11">
        <v>3691134.17</v>
      </c>
      <c r="H302" s="11">
        <v>3774534.05</v>
      </c>
      <c r="I302" s="11">
        <v>3741887.9</v>
      </c>
      <c r="J302" s="11">
        <v>3805591.6</v>
      </c>
      <c r="K302" s="11">
        <v>3615081.13</v>
      </c>
      <c r="L302" s="11">
        <v>3567491.76</v>
      </c>
      <c r="M302" s="11">
        <v>3730994.81</v>
      </c>
      <c r="N302" s="11">
        <f t="shared" si="50"/>
        <v>2857396.25</v>
      </c>
      <c r="O302" s="11">
        <v>549739</v>
      </c>
      <c r="P302" s="11">
        <v>-3324.78</v>
      </c>
      <c r="Q302" s="11">
        <f t="shared" si="48"/>
        <v>66339.680000000008</v>
      </c>
      <c r="R302" s="11">
        <f t="shared" si="49"/>
        <v>47467.01</v>
      </c>
      <c r="S302" s="11">
        <f t="shared" si="51"/>
        <v>66863.072249999997</v>
      </c>
      <c r="T302" s="10">
        <f t="shared" si="52"/>
        <v>3848.1730000000002</v>
      </c>
      <c r="U302" s="10">
        <f t="shared" si="53"/>
        <v>-3324.78</v>
      </c>
      <c r="V302" s="27">
        <f t="shared" si="54"/>
        <v>18872.670249999999</v>
      </c>
      <c r="W302" s="48">
        <f t="shared" si="55"/>
        <v>47467.009000000005</v>
      </c>
      <c r="X302" s="27"/>
      <c r="Y302" s="49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8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</row>
    <row r="303" spans="1:79" x14ac:dyDescent="0.25">
      <c r="A303" s="27">
        <v>2169</v>
      </c>
      <c r="B303" s="27">
        <v>1</v>
      </c>
      <c r="C303" s="18" t="s">
        <v>376</v>
      </c>
      <c r="D303" s="11">
        <v>2515898.38</v>
      </c>
      <c r="E303" s="16">
        <v>2778986.8</v>
      </c>
      <c r="F303" s="11">
        <v>2847871.5</v>
      </c>
      <c r="G303" s="11">
        <v>2827302.34</v>
      </c>
      <c r="H303" s="11">
        <v>2878468.64</v>
      </c>
      <c r="I303" s="11">
        <v>3057957.1</v>
      </c>
      <c r="J303" s="11">
        <v>3215053.64</v>
      </c>
      <c r="K303" s="11">
        <v>3275740.74</v>
      </c>
      <c r="L303" s="11">
        <v>3079716.97</v>
      </c>
      <c r="M303" s="11">
        <v>3030710.39</v>
      </c>
      <c r="N303" s="11">
        <f t="shared" si="50"/>
        <v>2515898.38</v>
      </c>
      <c r="O303" s="11">
        <v>795522</v>
      </c>
      <c r="P303" s="11">
        <v>-4528.91</v>
      </c>
      <c r="Q303" s="11">
        <f t="shared" si="48"/>
        <v>57832.28</v>
      </c>
      <c r="R303" s="11">
        <f t="shared" si="49"/>
        <v>43439.94</v>
      </c>
      <c r="S303" s="11">
        <f t="shared" si="51"/>
        <v>58872.022091999999</v>
      </c>
      <c r="T303" s="10">
        <f t="shared" si="52"/>
        <v>5568.6540000000005</v>
      </c>
      <c r="U303" s="10">
        <f t="shared" si="53"/>
        <v>-4528.91</v>
      </c>
      <c r="V303" s="27">
        <f t="shared" si="54"/>
        <v>14392.343200000001</v>
      </c>
      <c r="W303" s="48">
        <f t="shared" si="55"/>
        <v>43439.93489199999</v>
      </c>
      <c r="X303" s="27"/>
      <c r="Y303" s="49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8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</row>
    <row r="304" spans="1:79" x14ac:dyDescent="0.25">
      <c r="A304" s="27">
        <v>2170</v>
      </c>
      <c r="B304" s="27">
        <v>1</v>
      </c>
      <c r="C304" s="18" t="s">
        <v>254</v>
      </c>
      <c r="D304" s="11">
        <v>4770417.4400000004</v>
      </c>
      <c r="E304" s="16">
        <v>5292621.43</v>
      </c>
      <c r="F304" s="11">
        <v>5657821.3499999996</v>
      </c>
      <c r="G304" s="11">
        <v>5651066.6600000001</v>
      </c>
      <c r="H304" s="11">
        <v>5354156.66</v>
      </c>
      <c r="I304" s="11">
        <v>4956433.3</v>
      </c>
      <c r="J304" s="11">
        <v>5113479.1900000004</v>
      </c>
      <c r="K304" s="11">
        <v>5199491.41</v>
      </c>
      <c r="L304" s="11">
        <v>5046033.93</v>
      </c>
      <c r="M304" s="11">
        <v>5206701.96</v>
      </c>
      <c r="N304" s="11">
        <f t="shared" si="50"/>
        <v>4770417.4400000004</v>
      </c>
      <c r="O304" s="11">
        <v>1906241</v>
      </c>
      <c r="P304" s="11">
        <v>-9898.14</v>
      </c>
      <c r="Q304" s="11">
        <f t="shared" si="48"/>
        <v>108182.22</v>
      </c>
      <c r="R304" s="11">
        <f t="shared" si="49"/>
        <v>81411.44</v>
      </c>
      <c r="S304" s="11">
        <f t="shared" si="51"/>
        <v>111627.76809600001</v>
      </c>
      <c r="T304" s="10">
        <f t="shared" si="52"/>
        <v>13343.687</v>
      </c>
      <c r="U304" s="10">
        <f t="shared" si="53"/>
        <v>-9898.14</v>
      </c>
      <c r="V304" s="27">
        <f t="shared" si="54"/>
        <v>26770.783300000003</v>
      </c>
      <c r="W304" s="48">
        <f t="shared" si="55"/>
        <v>81411.437796000013</v>
      </c>
      <c r="X304" s="27"/>
      <c r="Y304" s="49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8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</row>
    <row r="305" spans="1:79" x14ac:dyDescent="0.25">
      <c r="A305" s="27">
        <v>2171</v>
      </c>
      <c r="B305" s="27">
        <v>1</v>
      </c>
      <c r="C305" s="18" t="s">
        <v>255</v>
      </c>
      <c r="D305" s="11">
        <v>1585722.89</v>
      </c>
      <c r="E305" s="16">
        <v>1772621.41</v>
      </c>
      <c r="F305" s="11">
        <v>1879726.2</v>
      </c>
      <c r="G305" s="11">
        <v>1802848.39</v>
      </c>
      <c r="H305" s="11">
        <v>1732942.35</v>
      </c>
      <c r="I305" s="11">
        <v>1480382.49</v>
      </c>
      <c r="J305" s="11">
        <v>1728983.97</v>
      </c>
      <c r="K305" s="11">
        <v>1717112.85</v>
      </c>
      <c r="L305" s="11">
        <v>1552904.46</v>
      </c>
      <c r="M305" s="11">
        <v>1588826.38</v>
      </c>
      <c r="N305" s="11">
        <f t="shared" si="50"/>
        <v>1480382.49</v>
      </c>
      <c r="O305" s="11">
        <v>411428</v>
      </c>
      <c r="P305" s="11">
        <v>-3251.28</v>
      </c>
      <c r="Q305" s="11">
        <f t="shared" si="48"/>
        <v>35012.229999999996</v>
      </c>
      <c r="R305" s="11">
        <f t="shared" si="49"/>
        <v>26347.52</v>
      </c>
      <c r="S305" s="11">
        <f t="shared" si="51"/>
        <v>34640.950266</v>
      </c>
      <c r="T305" s="10">
        <f t="shared" si="52"/>
        <v>2879.9960000000001</v>
      </c>
      <c r="U305" s="10">
        <f t="shared" si="53"/>
        <v>-3251.28</v>
      </c>
      <c r="V305" s="27">
        <f t="shared" si="54"/>
        <v>8664.7117500000004</v>
      </c>
      <c r="W305" s="48">
        <f t="shared" si="55"/>
        <v>26347.522515999997</v>
      </c>
      <c r="X305" s="27"/>
      <c r="Y305" s="49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8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</row>
    <row r="306" spans="1:79" x14ac:dyDescent="0.25">
      <c r="A306" s="27">
        <v>2172</v>
      </c>
      <c r="B306" s="27">
        <v>1</v>
      </c>
      <c r="C306" s="18" t="s">
        <v>256</v>
      </c>
      <c r="D306" s="11">
        <v>2384411.9900000002</v>
      </c>
      <c r="E306" s="16">
        <v>2860169.65</v>
      </c>
      <c r="F306" s="11">
        <v>2815783.93</v>
      </c>
      <c r="G306" s="11">
        <v>2544619.5</v>
      </c>
      <c r="H306" s="11">
        <v>2707427.2</v>
      </c>
      <c r="I306" s="11">
        <v>2730159.85</v>
      </c>
      <c r="J306" s="11">
        <v>2891382.12</v>
      </c>
      <c r="K306" s="11">
        <v>2773651.98</v>
      </c>
      <c r="L306" s="11">
        <v>2757163.05</v>
      </c>
      <c r="M306" s="11">
        <v>2859411.47</v>
      </c>
      <c r="N306" s="11">
        <f t="shared" si="50"/>
        <v>2384411.9900000002</v>
      </c>
      <c r="O306" s="11">
        <v>469598</v>
      </c>
      <c r="P306" s="11">
        <v>-2737.63</v>
      </c>
      <c r="Q306" s="11">
        <f t="shared" si="48"/>
        <v>55245.679999999993</v>
      </c>
      <c r="R306" s="11">
        <f t="shared" si="49"/>
        <v>41708.54</v>
      </c>
      <c r="S306" s="11">
        <f t="shared" si="51"/>
        <v>55795.240566000008</v>
      </c>
      <c r="T306" s="10">
        <f t="shared" si="52"/>
        <v>3287.1860000000001</v>
      </c>
      <c r="U306" s="10">
        <f t="shared" si="53"/>
        <v>-2737.63</v>
      </c>
      <c r="V306" s="27">
        <f t="shared" si="54"/>
        <v>13537.136</v>
      </c>
      <c r="W306" s="48">
        <f t="shared" si="55"/>
        <v>41708.548566000005</v>
      </c>
      <c r="X306" s="27"/>
      <c r="Y306" s="49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8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</row>
    <row r="307" spans="1:79" x14ac:dyDescent="0.25">
      <c r="A307" s="27">
        <v>2174</v>
      </c>
      <c r="B307" s="27">
        <v>1</v>
      </c>
      <c r="C307" s="18" t="s">
        <v>377</v>
      </c>
      <c r="D307" s="11">
        <v>3015240.83</v>
      </c>
      <c r="E307" s="16">
        <v>4698963.4000000004</v>
      </c>
      <c r="F307" s="11">
        <v>4561147.88</v>
      </c>
      <c r="G307" s="11">
        <v>4655637.46</v>
      </c>
      <c r="H307" s="11">
        <v>4652260.0599999996</v>
      </c>
      <c r="I307" s="11">
        <v>4575523.04</v>
      </c>
      <c r="J307" s="11">
        <v>4616822.3499999996</v>
      </c>
      <c r="K307" s="11">
        <v>4414633.71</v>
      </c>
      <c r="L307" s="11">
        <v>4044980.87</v>
      </c>
      <c r="M307" s="11">
        <v>4083033.38</v>
      </c>
      <c r="N307" s="11">
        <f t="shared" si="50"/>
        <v>3015240.83</v>
      </c>
      <c r="O307" s="11">
        <v>1079776</v>
      </c>
      <c r="P307" s="11">
        <v>-4545.3</v>
      </c>
      <c r="Q307" s="11">
        <f t="shared" si="48"/>
        <v>67543.509999999995</v>
      </c>
      <c r="R307" s="11">
        <f t="shared" si="49"/>
        <v>44282.21</v>
      </c>
      <c r="S307" s="11">
        <f t="shared" si="51"/>
        <v>70556.635422000007</v>
      </c>
      <c r="T307" s="10">
        <f t="shared" si="52"/>
        <v>7558.4319999999998</v>
      </c>
      <c r="U307" s="10">
        <f t="shared" si="53"/>
        <v>-4545.3</v>
      </c>
      <c r="V307" s="27">
        <f t="shared" si="54"/>
        <v>23261.300299999999</v>
      </c>
      <c r="W307" s="48">
        <f t="shared" si="55"/>
        <v>44282.203122000006</v>
      </c>
      <c r="X307" s="27"/>
      <c r="Y307" s="49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8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</row>
    <row r="308" spans="1:79" x14ac:dyDescent="0.25">
      <c r="A308" s="27">
        <v>2176</v>
      </c>
      <c r="B308" s="27">
        <v>1</v>
      </c>
      <c r="C308" s="18" t="s">
        <v>378</v>
      </c>
      <c r="D308" s="11">
        <v>2368487.89</v>
      </c>
      <c r="E308" s="16">
        <v>2600748.85</v>
      </c>
      <c r="F308" s="11">
        <v>2421786.88</v>
      </c>
      <c r="G308" s="11">
        <v>2370034.7599999998</v>
      </c>
      <c r="H308" s="11">
        <v>2464717.83</v>
      </c>
      <c r="I308" s="11">
        <v>2449729.7400000002</v>
      </c>
      <c r="J308" s="11">
        <v>2482018.08</v>
      </c>
      <c r="K308" s="11">
        <v>2425462.59</v>
      </c>
      <c r="L308" s="11">
        <v>2505531.7999999998</v>
      </c>
      <c r="M308" s="11">
        <v>2335471.0299999998</v>
      </c>
      <c r="N308" s="11">
        <f t="shared" si="50"/>
        <v>2335471.0299999998</v>
      </c>
      <c r="O308" s="11">
        <v>515143</v>
      </c>
      <c r="P308" s="11">
        <v>-4057.97</v>
      </c>
      <c r="Q308" s="11">
        <f t="shared" si="48"/>
        <v>55101.99</v>
      </c>
      <c r="R308" s="11">
        <f t="shared" si="49"/>
        <v>42778.400000000001</v>
      </c>
      <c r="S308" s="11">
        <f t="shared" si="51"/>
        <v>54650.022101999995</v>
      </c>
      <c r="T308" s="10">
        <f t="shared" si="52"/>
        <v>3606.0010000000002</v>
      </c>
      <c r="U308" s="10">
        <f t="shared" si="53"/>
        <v>-4057.97</v>
      </c>
      <c r="V308" s="27">
        <f t="shared" si="54"/>
        <v>12323.58915</v>
      </c>
      <c r="W308" s="48">
        <f t="shared" si="55"/>
        <v>42778.401952</v>
      </c>
      <c r="X308" s="27"/>
      <c r="Y308" s="49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8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</row>
    <row r="309" spans="1:79" x14ac:dyDescent="0.25">
      <c r="A309" s="27">
        <v>2180</v>
      </c>
      <c r="B309" s="27">
        <v>1</v>
      </c>
      <c r="C309" s="18" t="s">
        <v>379</v>
      </c>
      <c r="D309" s="11">
        <v>2948794.5</v>
      </c>
      <c r="E309" s="16">
        <v>3386544.82</v>
      </c>
      <c r="F309" s="11">
        <v>3477853.23</v>
      </c>
      <c r="G309" s="11">
        <v>3578128.39</v>
      </c>
      <c r="H309" s="11">
        <v>3427662.15</v>
      </c>
      <c r="I309" s="11">
        <v>3370186</v>
      </c>
      <c r="J309" s="11">
        <v>3301924.3</v>
      </c>
      <c r="K309" s="11">
        <v>3305042.55</v>
      </c>
      <c r="L309" s="11">
        <v>3280601.64</v>
      </c>
      <c r="M309" s="11">
        <v>3206115.59</v>
      </c>
      <c r="N309" s="11">
        <f t="shared" si="50"/>
        <v>2948794.5</v>
      </c>
      <c r="O309" s="11">
        <v>872043</v>
      </c>
      <c r="P309" s="11">
        <v>-4030.87</v>
      </c>
      <c r="Q309" s="11">
        <f t="shared" si="48"/>
        <v>66928.359999999986</v>
      </c>
      <c r="R309" s="11">
        <f t="shared" si="49"/>
        <v>49790.05</v>
      </c>
      <c r="S309" s="11">
        <f t="shared" si="51"/>
        <v>69001.791299999997</v>
      </c>
      <c r="T309" s="10">
        <f t="shared" si="52"/>
        <v>6104.3010000000004</v>
      </c>
      <c r="U309" s="10">
        <f t="shared" si="53"/>
        <v>-4030.87</v>
      </c>
      <c r="V309" s="27">
        <f t="shared" si="54"/>
        <v>17138.310750000001</v>
      </c>
      <c r="W309" s="48">
        <f t="shared" si="55"/>
        <v>49790.049549999996</v>
      </c>
      <c r="X309" s="27"/>
      <c r="Y309" s="49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8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</row>
    <row r="310" spans="1:79" x14ac:dyDescent="0.25">
      <c r="A310" s="27">
        <v>2184</v>
      </c>
      <c r="B310" s="27">
        <v>1</v>
      </c>
      <c r="C310" s="18" t="s">
        <v>257</v>
      </c>
      <c r="D310" s="11">
        <v>4036957.32</v>
      </c>
      <c r="E310" s="16">
        <v>4935966.01</v>
      </c>
      <c r="F310" s="11">
        <v>4826126.0999999996</v>
      </c>
      <c r="G310" s="11">
        <v>4876595.6500000004</v>
      </c>
      <c r="H310" s="11">
        <v>5048786.8</v>
      </c>
      <c r="I310" s="11">
        <v>5283621.0999999996</v>
      </c>
      <c r="J310" s="11">
        <v>5532696.0599999996</v>
      </c>
      <c r="K310" s="11">
        <v>5556198.6399999997</v>
      </c>
      <c r="L310" s="11">
        <v>5605682.6799999997</v>
      </c>
      <c r="M310" s="11">
        <v>5686141.8200000003</v>
      </c>
      <c r="N310" s="11">
        <f t="shared" si="50"/>
        <v>4036957.32</v>
      </c>
      <c r="O310" s="11">
        <v>1069935</v>
      </c>
      <c r="P310" s="11">
        <v>-5556.67</v>
      </c>
      <c r="Q310" s="11">
        <f t="shared" si="48"/>
        <v>92531.92</v>
      </c>
      <c r="R310" s="11">
        <f t="shared" si="49"/>
        <v>67287.990000000005</v>
      </c>
      <c r="S310" s="11">
        <f t="shared" si="51"/>
        <v>94464.801288000002</v>
      </c>
      <c r="T310" s="10">
        <f t="shared" si="52"/>
        <v>7489.5450000000001</v>
      </c>
      <c r="U310" s="10">
        <f t="shared" si="53"/>
        <v>-5556.67</v>
      </c>
      <c r="V310" s="27">
        <f t="shared" si="54"/>
        <v>25243.934000000001</v>
      </c>
      <c r="W310" s="48">
        <f t="shared" si="55"/>
        <v>67287.992288000009</v>
      </c>
      <c r="X310" s="27"/>
      <c r="Y310" s="49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8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</row>
    <row r="311" spans="1:79" x14ac:dyDescent="0.25">
      <c r="A311" s="27">
        <v>2190</v>
      </c>
      <c r="B311" s="27">
        <v>1</v>
      </c>
      <c r="C311" s="18" t="s">
        <v>258</v>
      </c>
      <c r="D311" s="11">
        <v>3179052.89</v>
      </c>
      <c r="E311" s="16">
        <v>3782886.16</v>
      </c>
      <c r="F311" s="11">
        <v>3639640.2</v>
      </c>
      <c r="G311" s="11">
        <v>3688651.24</v>
      </c>
      <c r="H311" s="11">
        <v>3734214.34</v>
      </c>
      <c r="I311" s="11">
        <v>3526339.92</v>
      </c>
      <c r="J311" s="11">
        <v>3409538.65</v>
      </c>
      <c r="K311" s="11">
        <v>3204390.44</v>
      </c>
      <c r="L311" s="11">
        <v>3261608.77</v>
      </c>
      <c r="M311" s="11">
        <v>3229684.6</v>
      </c>
      <c r="N311" s="11">
        <f t="shared" si="50"/>
        <v>3179052.89</v>
      </c>
      <c r="O311" s="11">
        <v>1255248</v>
      </c>
      <c r="P311" s="11">
        <v>-6461.12</v>
      </c>
      <c r="Q311" s="11">
        <f t="shared" si="48"/>
        <v>72064.219999999987</v>
      </c>
      <c r="R311" s="11">
        <f t="shared" si="49"/>
        <v>53393.15</v>
      </c>
      <c r="S311" s="11">
        <f t="shared" si="51"/>
        <v>74389.837626000008</v>
      </c>
      <c r="T311" s="10">
        <f t="shared" si="52"/>
        <v>8786.7360000000008</v>
      </c>
      <c r="U311" s="10">
        <f t="shared" si="53"/>
        <v>-6461.12</v>
      </c>
      <c r="V311" s="27">
        <f t="shared" si="54"/>
        <v>18671.0717</v>
      </c>
      <c r="W311" s="48">
        <f t="shared" si="55"/>
        <v>53393.149925999998</v>
      </c>
      <c r="X311" s="27"/>
      <c r="Y311" s="49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8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</row>
    <row r="312" spans="1:79" x14ac:dyDescent="0.25">
      <c r="A312" s="27">
        <v>2198</v>
      </c>
      <c r="B312" s="27">
        <v>1</v>
      </c>
      <c r="C312" s="18" t="s">
        <v>380</v>
      </c>
      <c r="D312" s="11">
        <v>2514159.44</v>
      </c>
      <c r="E312" s="16">
        <v>2622097.98</v>
      </c>
      <c r="F312" s="11">
        <v>2598395.98</v>
      </c>
      <c r="G312" s="11">
        <v>2564966.36</v>
      </c>
      <c r="H312" s="11">
        <v>2500111.86</v>
      </c>
      <c r="I312" s="11">
        <v>2696721.49</v>
      </c>
      <c r="J312" s="11">
        <v>2608912.92</v>
      </c>
      <c r="K312" s="11">
        <v>2252414.96</v>
      </c>
      <c r="L312" s="11">
        <v>2366014.42</v>
      </c>
      <c r="M312" s="11">
        <v>2398342.9500000002</v>
      </c>
      <c r="N312" s="11">
        <f t="shared" si="50"/>
        <v>2252414.96</v>
      </c>
      <c r="O312" s="11">
        <v>613333</v>
      </c>
      <c r="P312" s="11">
        <v>-3117.36</v>
      </c>
      <c r="Q312" s="11">
        <f t="shared" si="48"/>
        <v>51530.54</v>
      </c>
      <c r="R312" s="11">
        <f t="shared" si="49"/>
        <v>39029.980000000003</v>
      </c>
      <c r="S312" s="11">
        <f t="shared" si="51"/>
        <v>52706.510064000002</v>
      </c>
      <c r="T312" s="10">
        <f t="shared" si="52"/>
        <v>4293.3310000000001</v>
      </c>
      <c r="U312" s="10">
        <f t="shared" si="53"/>
        <v>-3117.36</v>
      </c>
      <c r="V312" s="27">
        <f t="shared" si="54"/>
        <v>12500.559299999999</v>
      </c>
      <c r="W312" s="48">
        <f t="shared" si="55"/>
        <v>39029.979764000003</v>
      </c>
      <c r="X312" s="27"/>
      <c r="Y312" s="49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8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</row>
    <row r="313" spans="1:79" x14ac:dyDescent="0.25">
      <c r="A313" s="27">
        <v>2215</v>
      </c>
      <c r="B313" s="27">
        <v>1</v>
      </c>
      <c r="C313" s="18" t="s">
        <v>259</v>
      </c>
      <c r="D313" s="11">
        <v>1371649.65</v>
      </c>
      <c r="E313" s="16">
        <v>1946194.5</v>
      </c>
      <c r="F313" s="11">
        <v>1851894.28</v>
      </c>
      <c r="G313" s="11">
        <v>1885763.49</v>
      </c>
      <c r="H313" s="11">
        <v>1907699.94</v>
      </c>
      <c r="I313" s="11">
        <v>1528173.4</v>
      </c>
      <c r="J313" s="11">
        <v>1675856.44</v>
      </c>
      <c r="K313" s="11">
        <v>1676898.75</v>
      </c>
      <c r="L313" s="11">
        <v>1603635.03</v>
      </c>
      <c r="M313" s="11">
        <v>1604430.66</v>
      </c>
      <c r="N313" s="11">
        <f t="shared" si="50"/>
        <v>1371649.65</v>
      </c>
      <c r="O313" s="11">
        <v>375106</v>
      </c>
      <c r="P313" s="11">
        <v>-1812.29</v>
      </c>
      <c r="Q313" s="11">
        <f t="shared" si="48"/>
        <v>31283.15</v>
      </c>
      <c r="R313" s="11">
        <f t="shared" si="49"/>
        <v>21744.65</v>
      </c>
      <c r="S313" s="11">
        <f t="shared" si="51"/>
        <v>32096.60181</v>
      </c>
      <c r="T313" s="10">
        <f t="shared" si="52"/>
        <v>2625.7420000000002</v>
      </c>
      <c r="U313" s="10">
        <f t="shared" si="53"/>
        <v>-1812.29</v>
      </c>
      <c r="V313" s="27">
        <f t="shared" si="54"/>
        <v>9538.4997000000003</v>
      </c>
      <c r="W313" s="48">
        <f t="shared" si="55"/>
        <v>21744.650110000002</v>
      </c>
      <c r="X313" s="27"/>
      <c r="Y313" s="49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8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</row>
    <row r="314" spans="1:79" x14ac:dyDescent="0.25">
      <c r="A314" s="27">
        <v>2310</v>
      </c>
      <c r="B314" s="27">
        <v>1</v>
      </c>
      <c r="C314" s="18" t="s">
        <v>260</v>
      </c>
      <c r="D314" s="11">
        <v>3837937.01</v>
      </c>
      <c r="E314" s="16">
        <v>4269147.67</v>
      </c>
      <c r="F314" s="11">
        <v>4276854.24</v>
      </c>
      <c r="G314" s="11">
        <v>4484317.1500000004</v>
      </c>
      <c r="H314" s="11">
        <v>4607061.13</v>
      </c>
      <c r="I314" s="11">
        <v>4641418.08</v>
      </c>
      <c r="J314" s="11">
        <v>4904841.68</v>
      </c>
      <c r="K314" s="11">
        <v>5244809.26</v>
      </c>
      <c r="L314" s="11">
        <v>5191420.83</v>
      </c>
      <c r="M314" s="11">
        <v>5493745.3600000003</v>
      </c>
      <c r="N314" s="11">
        <f t="shared" si="50"/>
        <v>3837937.01</v>
      </c>
      <c r="O314" s="11">
        <v>1026468</v>
      </c>
      <c r="P314" s="11">
        <v>-4818.96</v>
      </c>
      <c r="Q314" s="11">
        <f t="shared" si="48"/>
        <v>87441.41</v>
      </c>
      <c r="R314" s="11">
        <f t="shared" si="49"/>
        <v>64406.1</v>
      </c>
      <c r="S314" s="11">
        <f t="shared" si="51"/>
        <v>89807.726033999992</v>
      </c>
      <c r="T314" s="10">
        <f t="shared" si="52"/>
        <v>7185.2759999999998</v>
      </c>
      <c r="U314" s="10">
        <f t="shared" si="53"/>
        <v>-4818.96</v>
      </c>
      <c r="V314" s="27">
        <f t="shared" si="54"/>
        <v>23035.305649999998</v>
      </c>
      <c r="W314" s="48">
        <f t="shared" si="55"/>
        <v>64406.104384000006</v>
      </c>
      <c r="X314" s="27"/>
      <c r="Y314" s="49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8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</row>
    <row r="315" spans="1:79" x14ac:dyDescent="0.25">
      <c r="A315" s="27">
        <v>2311</v>
      </c>
      <c r="B315" s="27">
        <v>1</v>
      </c>
      <c r="C315" s="18" t="s">
        <v>261</v>
      </c>
      <c r="D315" s="11">
        <v>1665323.05</v>
      </c>
      <c r="E315" s="16">
        <v>1692014.49</v>
      </c>
      <c r="F315" s="11">
        <v>1692655.47</v>
      </c>
      <c r="G315" s="11">
        <v>1684530.27</v>
      </c>
      <c r="H315" s="11">
        <v>1966414.32</v>
      </c>
      <c r="I315" s="11">
        <v>1930310.71</v>
      </c>
      <c r="J315" s="11">
        <v>2044290.53</v>
      </c>
      <c r="K315" s="11">
        <v>2188675.38</v>
      </c>
      <c r="L315" s="11">
        <v>2120908.73</v>
      </c>
      <c r="M315" s="11">
        <v>2242520.15</v>
      </c>
      <c r="N315" s="11">
        <f t="shared" si="50"/>
        <v>1665323.05</v>
      </c>
      <c r="O315" s="11">
        <v>357327</v>
      </c>
      <c r="P315" s="11">
        <v>-1448.56</v>
      </c>
      <c r="Q315" s="11">
        <f t="shared" si="48"/>
        <v>37915.829999999994</v>
      </c>
      <c r="R315" s="11">
        <f t="shared" si="49"/>
        <v>28083.759999999998</v>
      </c>
      <c r="S315" s="11">
        <f t="shared" si="51"/>
        <v>38968.559370000003</v>
      </c>
      <c r="T315" s="10">
        <f t="shared" si="52"/>
        <v>2501.2890000000002</v>
      </c>
      <c r="U315" s="10">
        <f t="shared" si="53"/>
        <v>-1448.56</v>
      </c>
      <c r="V315" s="27">
        <f t="shared" si="54"/>
        <v>9832.0716000000011</v>
      </c>
      <c r="W315" s="48">
        <f t="shared" si="55"/>
        <v>28083.75877</v>
      </c>
      <c r="X315" s="27"/>
      <c r="Y315" s="49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8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</row>
    <row r="316" spans="1:79" x14ac:dyDescent="0.25">
      <c r="A316" s="27">
        <v>2342</v>
      </c>
      <c r="B316" s="27">
        <v>1</v>
      </c>
      <c r="C316" s="28" t="s">
        <v>262</v>
      </c>
      <c r="D316" s="11">
        <v>2368282.73</v>
      </c>
      <c r="E316" s="16">
        <v>3303203.48</v>
      </c>
      <c r="F316" s="11">
        <v>3344582.33</v>
      </c>
      <c r="G316" s="11">
        <v>3367283.64</v>
      </c>
      <c r="H316" s="11">
        <v>3321485.52</v>
      </c>
      <c r="I316" s="11">
        <v>3198310.63</v>
      </c>
      <c r="J316" s="11">
        <v>3244990.55</v>
      </c>
      <c r="K316" s="11">
        <v>3101007.26</v>
      </c>
      <c r="L316" s="11">
        <v>3056514.69</v>
      </c>
      <c r="M316" s="11">
        <v>3256190.64</v>
      </c>
      <c r="N316" s="11">
        <f t="shared" si="50"/>
        <v>2368282.73</v>
      </c>
      <c r="O316" s="11">
        <v>594968</v>
      </c>
      <c r="P316" s="11">
        <v>-4341.88</v>
      </c>
      <c r="Q316" s="11">
        <f t="shared" si="48"/>
        <v>55594.92</v>
      </c>
      <c r="R316" s="11">
        <f t="shared" si="49"/>
        <v>38987.49</v>
      </c>
      <c r="S316" s="11">
        <f t="shared" si="51"/>
        <v>55417.815882000003</v>
      </c>
      <c r="T316" s="10">
        <f t="shared" si="52"/>
        <v>4164.7759999999998</v>
      </c>
      <c r="U316" s="10">
        <f t="shared" si="53"/>
        <v>-4341.88</v>
      </c>
      <c r="V316" s="27">
        <f t="shared" si="54"/>
        <v>16607.427599999999</v>
      </c>
      <c r="W316" s="48">
        <f t="shared" si="55"/>
        <v>38987.492282000007</v>
      </c>
      <c r="X316" s="27"/>
      <c r="Y316" s="49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8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</row>
    <row r="317" spans="1:79" x14ac:dyDescent="0.25">
      <c r="A317" s="27">
        <v>2358</v>
      </c>
      <c r="B317" s="27">
        <v>1</v>
      </c>
      <c r="C317" s="28" t="s">
        <v>381</v>
      </c>
      <c r="D317" s="11">
        <v>1220894.3</v>
      </c>
      <c r="E317" s="16">
        <v>1428199.29</v>
      </c>
      <c r="F317" s="11">
        <v>1445250.43</v>
      </c>
      <c r="G317" s="11">
        <v>1457947.25</v>
      </c>
      <c r="H317" s="11">
        <v>1505996.6</v>
      </c>
      <c r="I317" s="11">
        <v>1482243.71</v>
      </c>
      <c r="J317" s="11">
        <v>1573624.1</v>
      </c>
      <c r="K317" s="11">
        <v>1540969.09</v>
      </c>
      <c r="L317" s="11">
        <v>1500514.38</v>
      </c>
      <c r="M317" s="11">
        <v>1449227.27</v>
      </c>
      <c r="N317" s="11">
        <f t="shared" si="50"/>
        <v>1220894.3</v>
      </c>
      <c r="O317" s="11">
        <v>359480</v>
      </c>
      <c r="P317" s="11">
        <v>-2229.89</v>
      </c>
      <c r="Q317" s="11">
        <f t="shared" si="48"/>
        <v>28282.46</v>
      </c>
      <c r="R317" s="11">
        <f t="shared" si="49"/>
        <v>20752.48</v>
      </c>
      <c r="S317" s="11">
        <f t="shared" si="51"/>
        <v>28568.926620000002</v>
      </c>
      <c r="T317" s="10">
        <f t="shared" si="52"/>
        <v>2516.36</v>
      </c>
      <c r="U317" s="10">
        <f t="shared" si="53"/>
        <v>-2229.89</v>
      </c>
      <c r="V317" s="27">
        <f t="shared" si="54"/>
        <v>7529.9830000000002</v>
      </c>
      <c r="W317" s="48">
        <f t="shared" si="55"/>
        <v>20752.473620000001</v>
      </c>
      <c r="X317" s="27"/>
      <c r="Y317" s="49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8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</row>
    <row r="318" spans="1:79" x14ac:dyDescent="0.25">
      <c r="A318" s="27">
        <v>2364</v>
      </c>
      <c r="B318" s="27">
        <v>1</v>
      </c>
      <c r="C318" s="28" t="s">
        <v>382</v>
      </c>
      <c r="D318" s="11">
        <v>2586157.31</v>
      </c>
      <c r="E318" s="16">
        <v>3036965.68</v>
      </c>
      <c r="F318" s="11">
        <v>3102285.05</v>
      </c>
      <c r="G318" s="11">
        <v>3076074.34</v>
      </c>
      <c r="H318" s="11">
        <v>3017320.99</v>
      </c>
      <c r="I318" s="11">
        <v>2892359.75</v>
      </c>
      <c r="J318" s="11">
        <v>2879170.76</v>
      </c>
      <c r="K318" s="11">
        <v>2900880.94</v>
      </c>
      <c r="L318" s="11">
        <v>2822416.77</v>
      </c>
      <c r="M318" s="11">
        <v>2831630.61</v>
      </c>
      <c r="N318" s="11">
        <f t="shared" si="50"/>
        <v>2586157.31</v>
      </c>
      <c r="O318" s="11">
        <v>704988</v>
      </c>
      <c r="P318" s="11">
        <v>-3815.5</v>
      </c>
      <c r="Q318" s="11">
        <f t="shared" si="48"/>
        <v>59396.66</v>
      </c>
      <c r="R318" s="11">
        <f t="shared" si="49"/>
        <v>44310.06</v>
      </c>
      <c r="S318" s="11">
        <f t="shared" si="51"/>
        <v>60516.081054000002</v>
      </c>
      <c r="T318" s="10">
        <f t="shared" si="52"/>
        <v>4934.9160000000002</v>
      </c>
      <c r="U318" s="10">
        <f t="shared" si="53"/>
        <v>-3815.5</v>
      </c>
      <c r="V318" s="27">
        <f t="shared" si="54"/>
        <v>15086.604950000001</v>
      </c>
      <c r="W318" s="48">
        <f t="shared" si="55"/>
        <v>44310.060104000004</v>
      </c>
      <c r="X318" s="27"/>
      <c r="Y318" s="49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8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</row>
    <row r="319" spans="1:79" x14ac:dyDescent="0.25">
      <c r="A319" s="27">
        <v>2365</v>
      </c>
      <c r="B319" s="27">
        <v>1</v>
      </c>
      <c r="C319" s="18" t="s">
        <v>263</v>
      </c>
      <c r="D319" s="16">
        <f>'Consolidate 2887'!E30</f>
        <v>2951898.29</v>
      </c>
      <c r="E319" s="16">
        <v>3359494.22</v>
      </c>
      <c r="F319" s="16">
        <v>3370013.53</v>
      </c>
      <c r="G319" s="16">
        <v>3190546.07</v>
      </c>
      <c r="H319" s="16">
        <f>'Consolidate 2887'!E33</f>
        <v>3527785.47</v>
      </c>
      <c r="I319" s="16">
        <v>3291327.2</v>
      </c>
      <c r="J319" s="16">
        <v>3206053.41</v>
      </c>
      <c r="K319" s="16">
        <v>3277582.59</v>
      </c>
      <c r="L319" s="16">
        <v>3274991.82</v>
      </c>
      <c r="M319" s="11">
        <v>3284205.23</v>
      </c>
      <c r="N319" s="11">
        <f t="shared" si="50"/>
        <v>2951898.29</v>
      </c>
      <c r="O319" s="11">
        <f>'Consolidate 2887'!E49</f>
        <v>1015312.5</v>
      </c>
      <c r="P319" s="11">
        <f>'Consolidate 2887'!E50</f>
        <v>-3569.25</v>
      </c>
      <c r="Q319" s="11">
        <f t="shared" si="48"/>
        <v>65536.479999999996</v>
      </c>
      <c r="R319" s="11">
        <f t="shared" si="49"/>
        <v>47897.55</v>
      </c>
      <c r="S319" s="11">
        <f t="shared" si="51"/>
        <v>69074.419986000008</v>
      </c>
      <c r="T319" s="10">
        <f t="shared" si="52"/>
        <v>7107.1875</v>
      </c>
      <c r="U319" s="10">
        <f t="shared" si="53"/>
        <v>-3569.25</v>
      </c>
      <c r="V319" s="27">
        <f t="shared" si="54"/>
        <v>17638.927350000002</v>
      </c>
      <c r="W319" s="48">
        <f t="shared" si="55"/>
        <v>47897.55513600001</v>
      </c>
      <c r="X319" s="27"/>
      <c r="Y319" s="49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8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</row>
    <row r="320" spans="1:79" x14ac:dyDescent="0.25">
      <c r="A320" s="27">
        <v>2396</v>
      </c>
      <c r="B320" s="27">
        <v>1</v>
      </c>
      <c r="C320" s="18" t="s">
        <v>264</v>
      </c>
      <c r="D320" s="11">
        <v>2566913.44</v>
      </c>
      <c r="E320" s="16">
        <v>3600804.14</v>
      </c>
      <c r="F320" s="11">
        <v>3698708.8</v>
      </c>
      <c r="G320" s="11">
        <v>3478063.71</v>
      </c>
      <c r="H320" s="11">
        <v>3386321.12</v>
      </c>
      <c r="I320" s="11">
        <v>3174009.28</v>
      </c>
      <c r="J320" s="11">
        <v>3411064.1</v>
      </c>
      <c r="K320" s="11">
        <v>3411187.97</v>
      </c>
      <c r="L320" s="11">
        <v>3350648.79</v>
      </c>
      <c r="M320" s="11">
        <v>3428403.14</v>
      </c>
      <c r="N320" s="11">
        <f t="shared" si="50"/>
        <v>2566913.44</v>
      </c>
      <c r="O320" s="11">
        <v>879033</v>
      </c>
      <c r="P320" s="11">
        <v>-4080.73</v>
      </c>
      <c r="Q320" s="11">
        <f t="shared" si="48"/>
        <v>57993.27</v>
      </c>
      <c r="R320" s="11">
        <f t="shared" si="49"/>
        <v>41061.660000000003</v>
      </c>
      <c r="S320" s="11">
        <f t="shared" si="51"/>
        <v>60065.774495999998</v>
      </c>
      <c r="T320" s="10">
        <f t="shared" si="52"/>
        <v>6153.2309999999998</v>
      </c>
      <c r="U320" s="10">
        <f t="shared" si="53"/>
        <v>-4080.73</v>
      </c>
      <c r="V320" s="27">
        <f t="shared" si="54"/>
        <v>16931.605600000003</v>
      </c>
      <c r="W320" s="48">
        <f t="shared" si="55"/>
        <v>41061.667895999999</v>
      </c>
      <c r="X320" s="27"/>
      <c r="Y320" s="49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8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</row>
    <row r="321" spans="1:79" x14ac:dyDescent="0.25">
      <c r="A321" s="27">
        <v>2397</v>
      </c>
      <c r="B321" s="27">
        <v>1</v>
      </c>
      <c r="C321" s="18" t="s">
        <v>383</v>
      </c>
      <c r="D321" s="11">
        <v>3644565.92</v>
      </c>
      <c r="E321" s="16">
        <v>4282077.72</v>
      </c>
      <c r="F321" s="11">
        <v>4174826.1</v>
      </c>
      <c r="G321" s="11">
        <v>4326124.8499999996</v>
      </c>
      <c r="H321" s="11">
        <v>4440640.7699999996</v>
      </c>
      <c r="I321" s="11">
        <v>4385517.5999999996</v>
      </c>
      <c r="J321" s="11">
        <v>4610658.9000000004</v>
      </c>
      <c r="K321" s="11">
        <v>4411923.29</v>
      </c>
      <c r="L321" s="11">
        <v>4166587.46</v>
      </c>
      <c r="M321" s="11">
        <v>4444513.8499999996</v>
      </c>
      <c r="N321" s="11">
        <f t="shared" si="50"/>
        <v>3644565.92</v>
      </c>
      <c r="O321" s="11">
        <v>1002135</v>
      </c>
      <c r="P321" s="11">
        <v>-5140.1499999999996</v>
      </c>
      <c r="Q321" s="11">
        <f t="shared" si="48"/>
        <v>83408.039999999994</v>
      </c>
      <c r="R321" s="11">
        <f t="shared" si="49"/>
        <v>61204.84</v>
      </c>
      <c r="S321" s="11">
        <f t="shared" si="51"/>
        <v>85282.842527999994</v>
      </c>
      <c r="T321" s="10">
        <f t="shared" si="52"/>
        <v>7014.9449999999997</v>
      </c>
      <c r="U321" s="10">
        <f t="shared" si="53"/>
        <v>-5140.1499999999996</v>
      </c>
      <c r="V321" s="27">
        <f t="shared" si="54"/>
        <v>22203.203849999998</v>
      </c>
      <c r="W321" s="48">
        <f t="shared" si="55"/>
        <v>61204.843677999997</v>
      </c>
      <c r="X321" s="27"/>
      <c r="Y321" s="49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8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</row>
    <row r="322" spans="1:79" x14ac:dyDescent="0.25">
      <c r="A322" s="27">
        <v>2448</v>
      </c>
      <c r="B322" s="27">
        <v>1</v>
      </c>
      <c r="C322" s="18" t="s">
        <v>384</v>
      </c>
      <c r="D322" s="11">
        <v>2835824.47</v>
      </c>
      <c r="E322" s="16">
        <v>3190053.09</v>
      </c>
      <c r="F322" s="11">
        <v>3156240.7</v>
      </c>
      <c r="G322" s="11">
        <v>2806892.95</v>
      </c>
      <c r="H322" s="11">
        <v>3218397.94</v>
      </c>
      <c r="I322" s="11">
        <v>3212615.63</v>
      </c>
      <c r="J322" s="11">
        <v>3329226.61</v>
      </c>
      <c r="K322" s="11">
        <v>3263522.85</v>
      </c>
      <c r="L322" s="11">
        <v>2951364.64</v>
      </c>
      <c r="M322" s="11">
        <v>2852214.84</v>
      </c>
      <c r="N322" s="11">
        <f t="shared" si="50"/>
        <v>2806892.95</v>
      </c>
      <c r="O322" s="11">
        <v>824935</v>
      </c>
      <c r="P322" s="11">
        <v>-3443.29</v>
      </c>
      <c r="Q322" s="11">
        <f t="shared" si="48"/>
        <v>63350.04</v>
      </c>
      <c r="R322" s="11">
        <f t="shared" si="49"/>
        <v>47258.05</v>
      </c>
      <c r="S322" s="11">
        <f t="shared" si="51"/>
        <v>65681.295030000008</v>
      </c>
      <c r="T322" s="10">
        <f t="shared" si="52"/>
        <v>5774.5450000000001</v>
      </c>
      <c r="U322" s="10">
        <f t="shared" si="53"/>
        <v>-3443.29</v>
      </c>
      <c r="V322" s="27">
        <f t="shared" si="54"/>
        <v>16091.9897</v>
      </c>
      <c r="W322" s="48">
        <f t="shared" si="55"/>
        <v>47258.050330000013</v>
      </c>
      <c r="X322" s="27"/>
      <c r="Y322" s="49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8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</row>
    <row r="323" spans="1:79" x14ac:dyDescent="0.25">
      <c r="A323" s="27">
        <v>2527</v>
      </c>
      <c r="B323" s="27">
        <v>1</v>
      </c>
      <c r="C323" s="18" t="s">
        <v>385</v>
      </c>
      <c r="D323" s="11">
        <v>1341555.26</v>
      </c>
      <c r="E323" s="16">
        <v>1534879.9</v>
      </c>
      <c r="F323" s="11">
        <v>1437154.16</v>
      </c>
      <c r="G323" s="11">
        <v>1374610.54</v>
      </c>
      <c r="H323" s="11">
        <v>1415961.76</v>
      </c>
      <c r="I323" s="11">
        <v>1342404.77</v>
      </c>
      <c r="J323" s="11">
        <v>1353238.68</v>
      </c>
      <c r="K323" s="11">
        <v>1304956.49</v>
      </c>
      <c r="L323" s="11">
        <v>1159589.26</v>
      </c>
      <c r="M323" s="11">
        <v>1342244.07</v>
      </c>
      <c r="N323" s="11">
        <f t="shared" si="50"/>
        <v>1159589.26</v>
      </c>
      <c r="O323" s="11">
        <v>429905</v>
      </c>
      <c r="P323" s="11">
        <v>-2247.8000000000002</v>
      </c>
      <c r="Q323" s="11">
        <f t="shared" si="48"/>
        <v>26372.85</v>
      </c>
      <c r="R323" s="11">
        <f t="shared" si="49"/>
        <v>19293.04</v>
      </c>
      <c r="S323" s="11">
        <f t="shared" si="51"/>
        <v>27134.388684000001</v>
      </c>
      <c r="T323" s="10">
        <f t="shared" si="52"/>
        <v>3009.335</v>
      </c>
      <c r="U323" s="10">
        <f t="shared" si="53"/>
        <v>-2247.8000000000002</v>
      </c>
      <c r="V323" s="27">
        <f t="shared" si="54"/>
        <v>7079.8087999999998</v>
      </c>
      <c r="W323" s="48">
        <f t="shared" si="55"/>
        <v>19293.044884000003</v>
      </c>
      <c r="X323" s="27"/>
      <c r="Y323" s="49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8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</row>
    <row r="324" spans="1:79" x14ac:dyDescent="0.25">
      <c r="A324" s="27">
        <v>2534</v>
      </c>
      <c r="B324" s="27">
        <v>1</v>
      </c>
      <c r="C324" s="18" t="s">
        <v>386</v>
      </c>
      <c r="D324" s="11">
        <v>2727941.56</v>
      </c>
      <c r="E324" s="16">
        <v>3416410.24</v>
      </c>
      <c r="F324" s="11">
        <v>3583489.04</v>
      </c>
      <c r="G324" s="11">
        <v>3244885.06</v>
      </c>
      <c r="H324" s="11">
        <v>3261893</v>
      </c>
      <c r="I324" s="11">
        <v>3157414.63</v>
      </c>
      <c r="J324" s="11">
        <v>3235678.38</v>
      </c>
      <c r="K324" s="11">
        <v>2961514.68</v>
      </c>
      <c r="L324" s="11">
        <v>2998680.42</v>
      </c>
      <c r="M324" s="11">
        <v>3301692.05</v>
      </c>
      <c r="N324" s="11">
        <f t="shared" si="50"/>
        <v>2727941.56</v>
      </c>
      <c r="O324" s="11">
        <v>687896</v>
      </c>
      <c r="P324" s="11">
        <v>-3725.99</v>
      </c>
      <c r="Q324" s="11">
        <f t="shared" si="48"/>
        <v>62744.549999999996</v>
      </c>
      <c r="R324" s="11">
        <f t="shared" si="49"/>
        <v>46435.09</v>
      </c>
      <c r="S324" s="11">
        <f t="shared" si="51"/>
        <v>63833.832504000005</v>
      </c>
      <c r="T324" s="10">
        <f t="shared" si="52"/>
        <v>4815.2719999999999</v>
      </c>
      <c r="U324" s="10">
        <f t="shared" si="53"/>
        <v>-3725.99</v>
      </c>
      <c r="V324" s="27">
        <f t="shared" si="54"/>
        <v>16309.465</v>
      </c>
      <c r="W324" s="48">
        <f t="shared" si="55"/>
        <v>46435.085504000002</v>
      </c>
      <c r="X324" s="27"/>
      <c r="Y324" s="49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8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</row>
    <row r="325" spans="1:79" x14ac:dyDescent="0.25">
      <c r="A325" s="27">
        <v>2536</v>
      </c>
      <c r="B325" s="27">
        <v>1</v>
      </c>
      <c r="C325" s="18" t="s">
        <v>387</v>
      </c>
      <c r="D325" s="11">
        <v>1259649.8</v>
      </c>
      <c r="E325" s="16">
        <v>1183908.1100000001</v>
      </c>
      <c r="F325" s="11">
        <v>1256275.27</v>
      </c>
      <c r="G325" s="11">
        <v>1084924.23</v>
      </c>
      <c r="H325" s="11">
        <v>1295929.3799999999</v>
      </c>
      <c r="I325" s="11">
        <v>1293065.08</v>
      </c>
      <c r="J325" s="11">
        <v>1320474.51</v>
      </c>
      <c r="K325" s="11">
        <v>1217871.46</v>
      </c>
      <c r="L325" s="11">
        <v>1152565.83</v>
      </c>
      <c r="M325" s="11">
        <v>1152030.46</v>
      </c>
      <c r="N325" s="11">
        <f t="shared" si="50"/>
        <v>1084924.23</v>
      </c>
      <c r="O325" s="11">
        <v>370217</v>
      </c>
      <c r="P325" s="11">
        <v>-2589.4499999999998</v>
      </c>
      <c r="Q325" s="11">
        <f t="shared" si="48"/>
        <v>25385.16</v>
      </c>
      <c r="R325" s="11">
        <f t="shared" si="49"/>
        <v>18905.509999999998</v>
      </c>
      <c r="S325" s="11">
        <f t="shared" si="51"/>
        <v>25387.226982</v>
      </c>
      <c r="T325" s="10">
        <f t="shared" si="52"/>
        <v>2591.5190000000002</v>
      </c>
      <c r="U325" s="10">
        <f t="shared" si="53"/>
        <v>-2589.4499999999998</v>
      </c>
      <c r="V325" s="27">
        <f t="shared" si="54"/>
        <v>6479.6468999999997</v>
      </c>
      <c r="W325" s="48">
        <f t="shared" si="55"/>
        <v>18905.511082000001</v>
      </c>
      <c r="X325" s="27"/>
      <c r="Y325" s="49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8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</row>
    <row r="326" spans="1:79" x14ac:dyDescent="0.25">
      <c r="A326" s="27">
        <v>2580</v>
      </c>
      <c r="B326" s="27">
        <v>1</v>
      </c>
      <c r="C326" s="18" t="s">
        <v>388</v>
      </c>
      <c r="D326" s="11">
        <v>3895065.54</v>
      </c>
      <c r="E326" s="16">
        <v>4335437.95</v>
      </c>
      <c r="F326" s="11">
        <v>4548014.57</v>
      </c>
      <c r="G326" s="11">
        <v>4062583.08</v>
      </c>
      <c r="H326" s="11">
        <v>3750350.1</v>
      </c>
      <c r="I326" s="11">
        <v>3349993.96</v>
      </c>
      <c r="J326" s="11">
        <v>3417588.15</v>
      </c>
      <c r="K326" s="11">
        <v>3483376.97</v>
      </c>
      <c r="L326" s="11">
        <v>3599308.81</v>
      </c>
      <c r="M326" s="11">
        <v>3939195.37</v>
      </c>
      <c r="N326" s="11">
        <f t="shared" si="50"/>
        <v>3349993.96</v>
      </c>
      <c r="O326" s="11">
        <v>1173063</v>
      </c>
      <c r="P326" s="11">
        <v>-5935.99</v>
      </c>
      <c r="Q326" s="11">
        <f t="shared" si="48"/>
        <v>76114.41</v>
      </c>
      <c r="R326" s="11">
        <f t="shared" si="49"/>
        <v>57362.66</v>
      </c>
      <c r="S326" s="11">
        <f t="shared" si="51"/>
        <v>78389.858663999999</v>
      </c>
      <c r="T326" s="10">
        <f t="shared" si="52"/>
        <v>8211.4410000000007</v>
      </c>
      <c r="U326" s="10">
        <f t="shared" si="53"/>
        <v>-5935.99</v>
      </c>
      <c r="V326" s="27">
        <f t="shared" si="54"/>
        <v>18751.750500000002</v>
      </c>
      <c r="W326" s="48">
        <f t="shared" si="55"/>
        <v>57362.657163999997</v>
      </c>
      <c r="X326" s="27"/>
      <c r="Y326" s="49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8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</row>
    <row r="327" spans="1:79" x14ac:dyDescent="0.25">
      <c r="A327" s="27">
        <v>2609</v>
      </c>
      <c r="B327" s="27">
        <v>1</v>
      </c>
      <c r="C327" s="18" t="s">
        <v>265</v>
      </c>
      <c r="D327" s="11">
        <v>1378548.4849999999</v>
      </c>
      <c r="E327" s="16">
        <v>1941254.59</v>
      </c>
      <c r="F327" s="11">
        <v>1952997.85</v>
      </c>
      <c r="G327" s="11">
        <v>1633900.17</v>
      </c>
      <c r="H327" s="11">
        <v>1757833.39</v>
      </c>
      <c r="I327" s="11">
        <v>1810636.89</v>
      </c>
      <c r="J327" s="11">
        <v>1773248.74</v>
      </c>
      <c r="K327" s="11">
        <v>1742257.11</v>
      </c>
      <c r="L327" s="11">
        <v>1754617.17</v>
      </c>
      <c r="M327" s="11">
        <v>1822487.97</v>
      </c>
      <c r="N327" s="11">
        <f t="shared" si="50"/>
        <v>1378548.4849999999</v>
      </c>
      <c r="O327" s="11">
        <v>385933.5</v>
      </c>
      <c r="P327" s="11">
        <v>-2825.4949999999999</v>
      </c>
      <c r="Q327" s="11">
        <f t="shared" si="48"/>
        <v>32381.994999999999</v>
      </c>
      <c r="R327" s="11">
        <f t="shared" si="49"/>
        <v>23592.83</v>
      </c>
      <c r="S327" s="11">
        <f t="shared" si="51"/>
        <v>32258.034548999996</v>
      </c>
      <c r="T327" s="10">
        <f t="shared" si="52"/>
        <v>2701.5345000000002</v>
      </c>
      <c r="U327" s="10">
        <f t="shared" si="53"/>
        <v>-2825.4949999999999</v>
      </c>
      <c r="V327" s="27">
        <f t="shared" si="54"/>
        <v>8789.1669499999989</v>
      </c>
      <c r="W327" s="48">
        <f t="shared" si="55"/>
        <v>23592.828098999995</v>
      </c>
      <c r="X327" s="27"/>
      <c r="Y327" s="49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8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</row>
    <row r="328" spans="1:79" x14ac:dyDescent="0.25">
      <c r="A328" s="27">
        <v>2683</v>
      </c>
      <c r="B328" s="27">
        <v>1</v>
      </c>
      <c r="C328" s="18" t="s">
        <v>389</v>
      </c>
      <c r="D328" s="11">
        <v>1562590.37</v>
      </c>
      <c r="E328" s="16">
        <v>1723866.13</v>
      </c>
      <c r="F328" s="11">
        <v>1780368.36</v>
      </c>
      <c r="G328" s="11">
        <v>1841463.86</v>
      </c>
      <c r="H328" s="11">
        <v>2008061.2</v>
      </c>
      <c r="I328" s="11">
        <v>2026728.09</v>
      </c>
      <c r="J328" s="11">
        <v>2094135.13</v>
      </c>
      <c r="K328" s="11">
        <v>2123137.04</v>
      </c>
      <c r="L328" s="11">
        <v>2036089.9</v>
      </c>
      <c r="M328" s="11">
        <v>2078377.4</v>
      </c>
      <c r="N328" s="11">
        <f t="shared" si="50"/>
        <v>1562590.37</v>
      </c>
      <c r="O328" s="11">
        <v>583475</v>
      </c>
      <c r="P328" s="11">
        <v>-3189.7</v>
      </c>
      <c r="Q328" s="11">
        <f t="shared" si="48"/>
        <v>35669.979999999996</v>
      </c>
      <c r="R328" s="11">
        <f t="shared" si="49"/>
        <v>25629.67</v>
      </c>
      <c r="S328" s="11">
        <f t="shared" si="51"/>
        <v>36564.614658000006</v>
      </c>
      <c r="T328" s="10">
        <f t="shared" si="52"/>
        <v>4084.3250000000003</v>
      </c>
      <c r="U328" s="10">
        <f t="shared" si="53"/>
        <v>-3189.7</v>
      </c>
      <c r="V328" s="27">
        <f t="shared" si="54"/>
        <v>10040.306</v>
      </c>
      <c r="W328" s="48">
        <f t="shared" si="55"/>
        <v>25629.683658000005</v>
      </c>
      <c r="X328" s="27"/>
      <c r="Y328" s="49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8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</row>
    <row r="329" spans="1:79" x14ac:dyDescent="0.25">
      <c r="A329" s="27">
        <v>2687</v>
      </c>
      <c r="B329" s="27">
        <v>1</v>
      </c>
      <c r="C329" s="18" t="s">
        <v>266</v>
      </c>
      <c r="D329" s="11">
        <v>2694864.36</v>
      </c>
      <c r="E329" s="16">
        <v>3557504.5</v>
      </c>
      <c r="F329" s="11">
        <v>3629302.09</v>
      </c>
      <c r="G329" s="11">
        <v>3619014.64</v>
      </c>
      <c r="H329" s="11">
        <v>3844902.09</v>
      </c>
      <c r="I329" s="11">
        <v>4066020.56</v>
      </c>
      <c r="J329" s="11">
        <v>4113224.84</v>
      </c>
      <c r="K329" s="11">
        <v>4081035.03</v>
      </c>
      <c r="L329" s="11">
        <v>3889238.01</v>
      </c>
      <c r="M329" s="11">
        <v>4369122.2</v>
      </c>
      <c r="N329" s="11">
        <f t="shared" si="50"/>
        <v>2694864.36</v>
      </c>
      <c r="O329" s="11">
        <v>790593</v>
      </c>
      <c r="P329" s="11">
        <v>-5137.57</v>
      </c>
      <c r="Q329" s="11">
        <f t="shared" si="48"/>
        <v>62663.25</v>
      </c>
      <c r="R329" s="11">
        <f t="shared" si="49"/>
        <v>43438.74</v>
      </c>
      <c r="S329" s="11">
        <f t="shared" si="51"/>
        <v>63059.826024000002</v>
      </c>
      <c r="T329" s="10">
        <f t="shared" si="52"/>
        <v>5534.1509999999998</v>
      </c>
      <c r="U329" s="10">
        <f t="shared" si="53"/>
        <v>-5137.57</v>
      </c>
      <c r="V329" s="27">
        <f t="shared" si="54"/>
        <v>19224.510449999998</v>
      </c>
      <c r="W329" s="48">
        <f t="shared" si="55"/>
        <v>43438.734574000002</v>
      </c>
      <c r="X329" s="27"/>
      <c r="Y329" s="49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8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</row>
    <row r="330" spans="1:79" x14ac:dyDescent="0.25">
      <c r="A330" s="27">
        <v>2689</v>
      </c>
      <c r="B330" s="27">
        <v>1</v>
      </c>
      <c r="C330" s="18" t="s">
        <v>390</v>
      </c>
      <c r="D330" s="11">
        <v>4458092.21</v>
      </c>
      <c r="E330" s="16">
        <v>4673729.6500000004</v>
      </c>
      <c r="F330" s="11">
        <v>4563308.6100000003</v>
      </c>
      <c r="G330" s="11">
        <v>4551926.5199999996</v>
      </c>
      <c r="H330" s="11">
        <v>4314915.16</v>
      </c>
      <c r="I330" s="11">
        <v>4469796.33</v>
      </c>
      <c r="J330" s="11">
        <v>4761609.54</v>
      </c>
      <c r="K330" s="11">
        <v>5043410.05</v>
      </c>
      <c r="L330" s="11">
        <v>5055524.7300000004</v>
      </c>
      <c r="M330" s="11">
        <v>5189406.3600000003</v>
      </c>
      <c r="N330" s="11">
        <f t="shared" si="50"/>
        <v>4314915.16</v>
      </c>
      <c r="O330" s="11">
        <v>1013995</v>
      </c>
      <c r="P330" s="11">
        <v>-5153.38</v>
      </c>
      <c r="Q330" s="11">
        <f t="shared" si="48"/>
        <v>99024.42</v>
      </c>
      <c r="R330" s="11">
        <f t="shared" si="49"/>
        <v>77449.84</v>
      </c>
      <c r="S330" s="11">
        <f t="shared" si="51"/>
        <v>100969.014744</v>
      </c>
      <c r="T330" s="10">
        <f t="shared" si="52"/>
        <v>7097.9650000000001</v>
      </c>
      <c r="U330" s="10">
        <f t="shared" si="53"/>
        <v>-5153.38</v>
      </c>
      <c r="V330" s="27">
        <f t="shared" si="54"/>
        <v>21574.575800000002</v>
      </c>
      <c r="W330" s="48">
        <f t="shared" si="55"/>
        <v>77449.853944000002</v>
      </c>
      <c r="X330" s="27"/>
      <c r="Y330" s="49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8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</row>
    <row r="331" spans="1:79" x14ac:dyDescent="0.25">
      <c r="A331" s="27">
        <v>2711</v>
      </c>
      <c r="B331" s="27">
        <v>1</v>
      </c>
      <c r="C331" s="18" t="s">
        <v>267</v>
      </c>
      <c r="D331" s="11">
        <v>3849659.71</v>
      </c>
      <c r="E331" s="16">
        <v>3500432.64</v>
      </c>
      <c r="F331" s="11">
        <v>3430464.99</v>
      </c>
      <c r="G331" s="11">
        <v>3472437.89</v>
      </c>
      <c r="H331" s="11">
        <v>3499203.48</v>
      </c>
      <c r="I331" s="11">
        <v>3049021.29</v>
      </c>
      <c r="J331" s="11">
        <v>3550527.31</v>
      </c>
      <c r="K331" s="11">
        <v>3536424.89</v>
      </c>
      <c r="L331" s="11">
        <v>3701903.66</v>
      </c>
      <c r="M331" s="11">
        <v>3785472.79</v>
      </c>
      <c r="N331" s="11">
        <f t="shared" si="50"/>
        <v>3049021.29</v>
      </c>
      <c r="O331" s="11">
        <v>1390757</v>
      </c>
      <c r="P331" s="11">
        <v>-10173.9</v>
      </c>
      <c r="Q331" s="11">
        <f t="shared" si="48"/>
        <v>71785.7</v>
      </c>
      <c r="R331" s="11">
        <f t="shared" si="49"/>
        <v>54289.68</v>
      </c>
      <c r="S331" s="11">
        <f t="shared" si="51"/>
        <v>71347.098186000003</v>
      </c>
      <c r="T331" s="10">
        <f t="shared" si="52"/>
        <v>9735.2990000000009</v>
      </c>
      <c r="U331" s="10">
        <f t="shared" si="53"/>
        <v>-10173.9</v>
      </c>
      <c r="V331" s="27">
        <f t="shared" si="54"/>
        <v>17496.017400000001</v>
      </c>
      <c r="W331" s="48">
        <f t="shared" si="55"/>
        <v>54289.681786000001</v>
      </c>
      <c r="X331" s="27"/>
      <c r="Y331" s="49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8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</row>
    <row r="332" spans="1:79" x14ac:dyDescent="0.25">
      <c r="A332" s="27">
        <v>2752</v>
      </c>
      <c r="B332" s="27">
        <v>1</v>
      </c>
      <c r="C332" s="18" t="s">
        <v>268</v>
      </c>
      <c r="D332" s="11">
        <v>6491206.5999999996</v>
      </c>
      <c r="E332" s="16">
        <v>8017972.4299999997</v>
      </c>
      <c r="F332" s="11">
        <v>8182540.3200000003</v>
      </c>
      <c r="G332" s="11">
        <v>8477954.1699999999</v>
      </c>
      <c r="H332" s="11">
        <v>8762073.6500000004</v>
      </c>
      <c r="I332" s="11">
        <v>8940223.6400000006</v>
      </c>
      <c r="J332" s="11">
        <v>9203342.7200000007</v>
      </c>
      <c r="K332" s="11">
        <v>9079829.9900000002</v>
      </c>
      <c r="L332" s="11">
        <v>8697142.1799999997</v>
      </c>
      <c r="M332" s="11">
        <v>8489059.4800000004</v>
      </c>
      <c r="N332" s="11">
        <f t="shared" si="50"/>
        <v>6491206.5999999996</v>
      </c>
      <c r="O332" s="11">
        <v>2636430</v>
      </c>
      <c r="P332" s="11">
        <v>-9157.16</v>
      </c>
      <c r="Q332" s="11">
        <f t="shared" si="48"/>
        <v>142596.38</v>
      </c>
      <c r="R332" s="11">
        <f t="shared" si="49"/>
        <v>98786.01</v>
      </c>
      <c r="S332" s="11">
        <f t="shared" si="51"/>
        <v>151894.23444</v>
      </c>
      <c r="T332" s="10">
        <f t="shared" si="52"/>
        <v>18455.010000000002</v>
      </c>
      <c r="U332" s="10">
        <f t="shared" si="53"/>
        <v>-9157.16</v>
      </c>
      <c r="V332" s="27">
        <f t="shared" si="54"/>
        <v>43810.36825</v>
      </c>
      <c r="W332" s="48">
        <f t="shared" si="55"/>
        <v>98786.016189999995</v>
      </c>
      <c r="X332" s="27"/>
      <c r="Y332" s="49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8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</row>
    <row r="333" spans="1:79" x14ac:dyDescent="0.25">
      <c r="A333" s="27">
        <v>2753</v>
      </c>
      <c r="B333" s="27">
        <v>1</v>
      </c>
      <c r="C333" s="18" t="s">
        <v>391</v>
      </c>
      <c r="D333" s="11">
        <v>3931848.58</v>
      </c>
      <c r="E333" s="16">
        <v>5005734.95</v>
      </c>
      <c r="F333" s="11">
        <v>5070280.12</v>
      </c>
      <c r="G333" s="11">
        <v>5379085.1600000001</v>
      </c>
      <c r="H333" s="11">
        <v>5076480.21</v>
      </c>
      <c r="I333" s="11">
        <v>5254052.4800000004</v>
      </c>
      <c r="J333" s="11">
        <v>5108955.03</v>
      </c>
      <c r="K333" s="11">
        <v>5002589.9000000004</v>
      </c>
      <c r="L333" s="11">
        <v>4934182.12</v>
      </c>
      <c r="M333" s="11">
        <v>4634974.3</v>
      </c>
      <c r="N333" s="11">
        <f t="shared" si="50"/>
        <v>3931848.58</v>
      </c>
      <c r="O333" s="11">
        <v>842554</v>
      </c>
      <c r="P333" s="11">
        <v>-4499.95</v>
      </c>
      <c r="Q333" s="11">
        <f t="shared" si="48"/>
        <v>90607.329999999987</v>
      </c>
      <c r="R333" s="11">
        <f t="shared" si="49"/>
        <v>65224.93</v>
      </c>
      <c r="S333" s="11">
        <f t="shared" si="51"/>
        <v>92005.256772000008</v>
      </c>
      <c r="T333" s="10">
        <f t="shared" si="52"/>
        <v>5897.8779999999997</v>
      </c>
      <c r="U333" s="10">
        <f t="shared" si="53"/>
        <v>-4499.95</v>
      </c>
      <c r="V333" s="27">
        <f t="shared" si="54"/>
        <v>25382.40105</v>
      </c>
      <c r="W333" s="48">
        <f t="shared" si="55"/>
        <v>65224.927722000008</v>
      </c>
      <c r="X333" s="27"/>
      <c r="Y333" s="49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8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</row>
    <row r="334" spans="1:79" x14ac:dyDescent="0.25">
      <c r="A334" s="27">
        <v>2754</v>
      </c>
      <c r="B334" s="27">
        <v>1</v>
      </c>
      <c r="C334" s="18" t="s">
        <v>269</v>
      </c>
      <c r="D334" s="11">
        <v>1286974.74</v>
      </c>
      <c r="E334" s="16">
        <v>1458086.36</v>
      </c>
      <c r="F334" s="11">
        <v>1460862.9</v>
      </c>
      <c r="G334" s="11">
        <v>1333135.43</v>
      </c>
      <c r="H334" s="11">
        <v>1633122.69</v>
      </c>
      <c r="I334" s="11">
        <v>1612979.18</v>
      </c>
      <c r="J334" s="11">
        <v>1678077.2</v>
      </c>
      <c r="K334" s="11">
        <v>1802333.4</v>
      </c>
      <c r="L334" s="11">
        <v>1848595.14</v>
      </c>
      <c r="M334" s="11">
        <v>1897750.08</v>
      </c>
      <c r="N334" s="11">
        <f t="shared" si="50"/>
        <v>1286974.74</v>
      </c>
      <c r="O334" s="11">
        <v>381962</v>
      </c>
      <c r="P334" s="11">
        <v>-1665.17</v>
      </c>
      <c r="Q334" s="11">
        <f t="shared" si="48"/>
        <v>29106.65</v>
      </c>
      <c r="R334" s="11">
        <f t="shared" si="49"/>
        <v>20941.04</v>
      </c>
      <c r="S334" s="11">
        <f t="shared" si="51"/>
        <v>30115.208916</v>
      </c>
      <c r="T334" s="10">
        <f t="shared" si="52"/>
        <v>2673.7339999999999</v>
      </c>
      <c r="U334" s="10">
        <f t="shared" si="53"/>
        <v>-1665.17</v>
      </c>
      <c r="V334" s="27">
        <f t="shared" si="54"/>
        <v>8165.6134499999998</v>
      </c>
      <c r="W334" s="48">
        <f t="shared" si="55"/>
        <v>20941.031465999997</v>
      </c>
      <c r="X334" s="27"/>
      <c r="Y334" s="49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8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</row>
    <row r="335" spans="1:79" x14ac:dyDescent="0.25">
      <c r="A335" s="27">
        <v>2759</v>
      </c>
      <c r="B335" s="27">
        <v>1</v>
      </c>
      <c r="C335" s="18" t="s">
        <v>392</v>
      </c>
      <c r="D335" s="11">
        <v>1310778.93</v>
      </c>
      <c r="E335" s="16">
        <v>1615843.2</v>
      </c>
      <c r="F335" s="11">
        <v>1501254.09</v>
      </c>
      <c r="G335" s="11">
        <v>1458646.06</v>
      </c>
      <c r="H335" s="11">
        <v>1389349.25</v>
      </c>
      <c r="I335" s="11">
        <v>1414664.28</v>
      </c>
      <c r="J335" s="11">
        <v>1520359.24</v>
      </c>
      <c r="K335" s="11">
        <v>1343678.73</v>
      </c>
      <c r="L335" s="11">
        <v>1122324.3500000001</v>
      </c>
      <c r="M335" s="11">
        <v>1287882.51</v>
      </c>
      <c r="N335" s="11">
        <f t="shared" si="50"/>
        <v>1122324.3500000001</v>
      </c>
      <c r="O335" s="11">
        <v>333437</v>
      </c>
      <c r="P335" s="11">
        <v>-2313.5300000000002</v>
      </c>
      <c r="Q335" s="11">
        <f t="shared" si="48"/>
        <v>26241.859999999997</v>
      </c>
      <c r="R335" s="11">
        <f t="shared" si="49"/>
        <v>19295.11</v>
      </c>
      <c r="S335" s="11">
        <f t="shared" si="51"/>
        <v>26262.389790000005</v>
      </c>
      <c r="T335" s="10">
        <f t="shared" si="52"/>
        <v>2334.0590000000002</v>
      </c>
      <c r="U335" s="10">
        <f t="shared" si="53"/>
        <v>-2313.5300000000002</v>
      </c>
      <c r="V335" s="27">
        <f t="shared" si="54"/>
        <v>6946.7462500000001</v>
      </c>
      <c r="W335" s="48">
        <f t="shared" si="55"/>
        <v>19295.114540000002</v>
      </c>
      <c r="X335" s="27"/>
      <c r="Y335" s="49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8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</row>
    <row r="336" spans="1:79" x14ac:dyDescent="0.25">
      <c r="A336" s="27">
        <v>2805</v>
      </c>
      <c r="B336" s="27">
        <v>1</v>
      </c>
      <c r="C336" s="18" t="s">
        <v>270</v>
      </c>
      <c r="D336" s="11">
        <v>3299681.87</v>
      </c>
      <c r="E336" s="16">
        <v>4111573.25</v>
      </c>
      <c r="F336" s="11">
        <v>4314538.6500000004</v>
      </c>
      <c r="G336" s="11">
        <v>4380633.01</v>
      </c>
      <c r="H336" s="11">
        <v>4317341.67</v>
      </c>
      <c r="I336" s="11">
        <v>4417881.3899999997</v>
      </c>
      <c r="J336" s="11">
        <v>4561587.51</v>
      </c>
      <c r="K336" s="11">
        <v>4466752.08</v>
      </c>
      <c r="L336" s="11">
        <v>4437361.1100000003</v>
      </c>
      <c r="M336" s="11">
        <v>4712771.83</v>
      </c>
      <c r="N336" s="11">
        <f t="shared" si="50"/>
        <v>3299681.87</v>
      </c>
      <c r="O336" s="11">
        <v>693121</v>
      </c>
      <c r="P336" s="11">
        <v>-3315.5</v>
      </c>
      <c r="Q336" s="11">
        <f t="shared" si="48"/>
        <v>75676.209999999992</v>
      </c>
      <c r="R336" s="11">
        <f t="shared" si="49"/>
        <v>54089.5</v>
      </c>
      <c r="S336" s="11">
        <f t="shared" si="51"/>
        <v>77212.555758000002</v>
      </c>
      <c r="T336" s="10">
        <f t="shared" si="52"/>
        <v>4851.8469999999998</v>
      </c>
      <c r="U336" s="10">
        <f t="shared" si="53"/>
        <v>-3315.5</v>
      </c>
      <c r="V336" s="27">
        <f t="shared" si="54"/>
        <v>21586.708350000001</v>
      </c>
      <c r="W336" s="48">
        <f t="shared" si="55"/>
        <v>54089.500408000007</v>
      </c>
      <c r="X336" s="27"/>
      <c r="Y336" s="49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8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</row>
    <row r="337" spans="1:79" x14ac:dyDescent="0.25">
      <c r="A337" s="27">
        <v>2835</v>
      </c>
      <c r="B337" s="27">
        <v>1</v>
      </c>
      <c r="C337" s="18" t="s">
        <v>393</v>
      </c>
      <c r="D337" s="11">
        <v>2599736.2000000002</v>
      </c>
      <c r="E337" s="16">
        <v>1903921.94</v>
      </c>
      <c r="F337" s="11">
        <v>2085857.16</v>
      </c>
      <c r="G337" s="11">
        <v>1958144.91</v>
      </c>
      <c r="H337" s="11">
        <v>2145173.6800000002</v>
      </c>
      <c r="I337" s="11">
        <v>2159693.88</v>
      </c>
      <c r="J337" s="11">
        <v>2168157.14</v>
      </c>
      <c r="K337" s="11">
        <v>2184501.35</v>
      </c>
      <c r="L337" s="11">
        <v>2136777.5299999998</v>
      </c>
      <c r="M337" s="11">
        <v>2167691.7599999998</v>
      </c>
      <c r="N337" s="11">
        <f t="shared" si="50"/>
        <v>1903921.94</v>
      </c>
      <c r="O337" s="11">
        <v>655201</v>
      </c>
      <c r="P337" s="11">
        <v>-2992.58</v>
      </c>
      <c r="Q337" s="11">
        <f t="shared" si="48"/>
        <v>42957.94</v>
      </c>
      <c r="R337" s="11">
        <f t="shared" si="49"/>
        <v>32232.07</v>
      </c>
      <c r="S337" s="11">
        <f t="shared" si="51"/>
        <v>44551.773395999997</v>
      </c>
      <c r="T337" s="10">
        <f t="shared" si="52"/>
        <v>4586.4070000000002</v>
      </c>
      <c r="U337" s="10">
        <f t="shared" si="53"/>
        <v>-2992.58</v>
      </c>
      <c r="V337" s="27">
        <f t="shared" si="54"/>
        <v>10725.868400000001</v>
      </c>
      <c r="W337" s="48">
        <f t="shared" si="55"/>
        <v>32232.077996</v>
      </c>
      <c r="X337" s="27"/>
      <c r="Y337" s="49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8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</row>
    <row r="338" spans="1:79" x14ac:dyDescent="0.25">
      <c r="A338" s="27">
        <v>2853</v>
      </c>
      <c r="B338" s="27">
        <v>1</v>
      </c>
      <c r="C338" s="18" t="s">
        <v>394</v>
      </c>
      <c r="D338" s="11">
        <v>3933395.32</v>
      </c>
      <c r="E338" s="16">
        <v>4470900.4800000004</v>
      </c>
      <c r="F338" s="11">
        <v>4448910.8600000003</v>
      </c>
      <c r="G338" s="11">
        <v>4334330.93</v>
      </c>
      <c r="H338" s="11">
        <v>4522809.75</v>
      </c>
      <c r="I338" s="11">
        <v>4472998.57</v>
      </c>
      <c r="J338" s="11">
        <v>4211539.66</v>
      </c>
      <c r="K338" s="11">
        <v>4181853.87</v>
      </c>
      <c r="L338" s="11">
        <v>4089337.44</v>
      </c>
      <c r="M338" s="11">
        <v>4041565.67</v>
      </c>
      <c r="N338" s="11">
        <f t="shared" si="50"/>
        <v>3933395.32</v>
      </c>
      <c r="O338" s="11">
        <v>1372170</v>
      </c>
      <c r="P338" s="11">
        <v>-6909.27</v>
      </c>
      <c r="Q338" s="11">
        <f t="shared" ref="Q338:Q354" si="56">ROUND(0.0234*N338,2)-ROUND(0.007*O338,2)-P338</f>
        <v>89345.53</v>
      </c>
      <c r="R338" s="11">
        <f t="shared" ref="R338:R354" si="57">ROUND(Q338-0.005*H338,2)</f>
        <v>66731.48</v>
      </c>
      <c r="S338" s="11">
        <f t="shared" si="51"/>
        <v>92041.450488000002</v>
      </c>
      <c r="T338" s="10">
        <f t="shared" si="52"/>
        <v>9605.19</v>
      </c>
      <c r="U338" s="10">
        <f t="shared" si="53"/>
        <v>-6909.27</v>
      </c>
      <c r="V338" s="27">
        <f t="shared" si="54"/>
        <v>22614.048750000002</v>
      </c>
      <c r="W338" s="48">
        <f t="shared" si="55"/>
        <v>66731.481738000002</v>
      </c>
      <c r="X338" s="27"/>
      <c r="Y338" s="49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8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</row>
    <row r="339" spans="1:79" x14ac:dyDescent="0.25">
      <c r="A339" s="27">
        <v>2854</v>
      </c>
      <c r="B339" s="27">
        <v>1</v>
      </c>
      <c r="C339" s="18" t="s">
        <v>271</v>
      </c>
      <c r="D339" s="11">
        <v>1958961.68</v>
      </c>
      <c r="E339" s="16">
        <v>2236839.48</v>
      </c>
      <c r="F339" s="11">
        <v>2261335.33</v>
      </c>
      <c r="G339" s="11">
        <v>2354182.7400000002</v>
      </c>
      <c r="H339" s="11">
        <v>2417333.83</v>
      </c>
      <c r="I339" s="11">
        <v>2525627.94</v>
      </c>
      <c r="J339" s="11">
        <v>2620143.86</v>
      </c>
      <c r="K339" s="11">
        <v>2254725.83</v>
      </c>
      <c r="L339" s="11">
        <v>2542902.12</v>
      </c>
      <c r="M339" s="11">
        <v>2584403.42</v>
      </c>
      <c r="N339" s="11">
        <f t="shared" ref="N339:N354" si="58">MIN(D339:M339)</f>
        <v>1958961.68</v>
      </c>
      <c r="O339" s="11">
        <v>508885</v>
      </c>
      <c r="P339" s="11">
        <v>-2142.25</v>
      </c>
      <c r="Q339" s="11">
        <f t="shared" si="56"/>
        <v>44419.75</v>
      </c>
      <c r="R339" s="11">
        <f t="shared" si="57"/>
        <v>32333.08</v>
      </c>
      <c r="S339" s="11">
        <f t="shared" ref="S339:S354" si="59">0.0234*N339</f>
        <v>45839.703311999998</v>
      </c>
      <c r="T339" s="10">
        <f t="shared" ref="T339:T354" si="60">0.007*O339</f>
        <v>3562.1950000000002</v>
      </c>
      <c r="U339" s="10">
        <f t="shared" ref="U339:U354" si="61">P339</f>
        <v>-2142.25</v>
      </c>
      <c r="V339" s="27">
        <f t="shared" ref="V339:V354" si="62">0.005*H339</f>
        <v>12086.66915</v>
      </c>
      <c r="W339" s="48">
        <f t="shared" ref="W339:W354" si="63">S339-T339-U339-V339</f>
        <v>32333.089161999997</v>
      </c>
      <c r="AA339" s="11"/>
      <c r="AB339" s="11"/>
      <c r="AC339" s="33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8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</row>
    <row r="340" spans="1:79" x14ac:dyDescent="0.25">
      <c r="A340" s="27">
        <v>2856</v>
      </c>
      <c r="B340" s="27">
        <v>1</v>
      </c>
      <c r="C340" s="18" t="s">
        <v>395</v>
      </c>
      <c r="D340" s="11">
        <v>1533347.78</v>
      </c>
      <c r="E340" s="16">
        <v>1680802.36</v>
      </c>
      <c r="F340" s="11">
        <v>1702305.62</v>
      </c>
      <c r="G340" s="11">
        <v>1761344.07</v>
      </c>
      <c r="H340" s="11">
        <v>1787852.72</v>
      </c>
      <c r="I340" s="11">
        <v>1781250.19</v>
      </c>
      <c r="J340" s="11">
        <v>1744303.94</v>
      </c>
      <c r="K340" s="11">
        <v>1760065.94</v>
      </c>
      <c r="L340" s="11">
        <v>1739394.49</v>
      </c>
      <c r="M340" s="11">
        <v>1748451.52</v>
      </c>
      <c r="N340" s="11">
        <f t="shared" si="58"/>
        <v>1533347.78</v>
      </c>
      <c r="O340" s="11">
        <v>431398</v>
      </c>
      <c r="P340" s="11">
        <v>-2489.2199999999998</v>
      </c>
      <c r="Q340" s="11">
        <f t="shared" si="56"/>
        <v>35349.769999999997</v>
      </c>
      <c r="R340" s="11">
        <f t="shared" si="57"/>
        <v>26410.51</v>
      </c>
      <c r="S340" s="11">
        <f t="shared" si="59"/>
        <v>35880.338051999999</v>
      </c>
      <c r="T340" s="10">
        <f t="shared" si="60"/>
        <v>3019.7860000000001</v>
      </c>
      <c r="U340" s="10">
        <f t="shared" si="61"/>
        <v>-2489.2199999999998</v>
      </c>
      <c r="V340" s="27">
        <f t="shared" si="62"/>
        <v>8939.2636000000002</v>
      </c>
      <c r="W340" s="48">
        <f t="shared" si="63"/>
        <v>26410.508452000002</v>
      </c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8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</row>
    <row r="341" spans="1:79" x14ac:dyDescent="0.25">
      <c r="A341" s="27">
        <v>2859</v>
      </c>
      <c r="B341" s="27">
        <v>1</v>
      </c>
      <c r="C341" s="28" t="s">
        <v>272</v>
      </c>
      <c r="D341" s="16">
        <f>'Consolidate 2887'!F30</f>
        <v>4807694.8099999996</v>
      </c>
      <c r="E341" s="16">
        <v>6766722.1699999999</v>
      </c>
      <c r="F341" s="16">
        <v>7011865.0499999998</v>
      </c>
      <c r="G341" s="16">
        <v>6675255.3099999996</v>
      </c>
      <c r="H341" s="16">
        <f>'Consolidate 2887'!F33</f>
        <v>6266172.8599999994</v>
      </c>
      <c r="I341" s="16">
        <v>6239751.2000000002</v>
      </c>
      <c r="J341" s="16">
        <v>6458027.2800000003</v>
      </c>
      <c r="K341" s="16">
        <v>6501234.79</v>
      </c>
      <c r="L341" s="16">
        <v>6488007.8700000001</v>
      </c>
      <c r="M341" s="11">
        <v>6823777.7699999996</v>
      </c>
      <c r="N341" s="11">
        <f t="shared" si="58"/>
        <v>4807694.8099999996</v>
      </c>
      <c r="O341" s="11">
        <f>'Consolidate 2887'!F49</f>
        <v>1830728</v>
      </c>
      <c r="P341" s="11">
        <f>'Consolidate 2887'!F50</f>
        <v>-8162.58</v>
      </c>
      <c r="Q341" s="11">
        <f t="shared" si="56"/>
        <v>107847.54</v>
      </c>
      <c r="R341" s="11">
        <f t="shared" si="57"/>
        <v>76516.679999999993</v>
      </c>
      <c r="S341" s="11">
        <f t="shared" si="59"/>
        <v>112500.05855399999</v>
      </c>
      <c r="T341" s="10">
        <f t="shared" si="60"/>
        <v>12815.096</v>
      </c>
      <c r="U341" s="10">
        <f t="shared" si="61"/>
        <v>-8162.58</v>
      </c>
      <c r="V341" s="27">
        <f t="shared" si="62"/>
        <v>31330.864299999997</v>
      </c>
      <c r="W341" s="48">
        <f t="shared" si="63"/>
        <v>76516.678253999984</v>
      </c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8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</row>
    <row r="342" spans="1:79" x14ac:dyDescent="0.25">
      <c r="A342" s="27">
        <v>2860</v>
      </c>
      <c r="B342" s="27">
        <v>1</v>
      </c>
      <c r="C342" s="18" t="s">
        <v>396</v>
      </c>
      <c r="D342" s="11">
        <v>4557828.3499999996</v>
      </c>
      <c r="E342" s="16">
        <v>5300808.92</v>
      </c>
      <c r="F342" s="11">
        <v>5368430.93</v>
      </c>
      <c r="G342" s="11">
        <v>5511223.3099999996</v>
      </c>
      <c r="H342" s="11">
        <v>5463841.6399999997</v>
      </c>
      <c r="I342" s="11">
        <v>5561232.0899999999</v>
      </c>
      <c r="J342" s="11">
        <v>5773757.0700000003</v>
      </c>
      <c r="K342" s="11">
        <v>5686574.8899999997</v>
      </c>
      <c r="L342" s="11">
        <v>5113154.5999999996</v>
      </c>
      <c r="M342" s="11">
        <v>5523340.8200000003</v>
      </c>
      <c r="N342" s="11">
        <f t="shared" si="58"/>
        <v>4557828.3499999996</v>
      </c>
      <c r="O342" s="11">
        <v>1370673</v>
      </c>
      <c r="P342" s="11">
        <v>-7981.4</v>
      </c>
      <c r="Q342" s="11">
        <f t="shared" si="56"/>
        <v>105039.87</v>
      </c>
      <c r="R342" s="11">
        <f t="shared" si="57"/>
        <v>77720.66</v>
      </c>
      <c r="S342" s="11">
        <f t="shared" si="59"/>
        <v>106653.18338999999</v>
      </c>
      <c r="T342" s="10">
        <f t="shared" si="60"/>
        <v>9594.7109999999993</v>
      </c>
      <c r="U342" s="10">
        <f t="shared" si="61"/>
        <v>-7981.4</v>
      </c>
      <c r="V342" s="27">
        <f t="shared" si="62"/>
        <v>27319.208199999997</v>
      </c>
      <c r="W342" s="48">
        <f t="shared" si="63"/>
        <v>77720.664189999996</v>
      </c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8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</row>
    <row r="343" spans="1:79" x14ac:dyDescent="0.25">
      <c r="A343" s="27">
        <v>2884</v>
      </c>
      <c r="B343" s="27">
        <v>1</v>
      </c>
      <c r="C343" s="18" t="s">
        <v>273</v>
      </c>
      <c r="D343" s="11">
        <v>2038082.65</v>
      </c>
      <c r="E343" s="16">
        <v>2101256.79</v>
      </c>
      <c r="F343" s="11">
        <v>2143705.04</v>
      </c>
      <c r="G343" s="11">
        <v>2197399.5699999998</v>
      </c>
      <c r="H343" s="11">
        <v>2235816.5</v>
      </c>
      <c r="I343" s="33">
        <v>2435694.2400000002</v>
      </c>
      <c r="J343" s="11">
        <v>2400036.52</v>
      </c>
      <c r="K343" s="11">
        <v>2352442.59</v>
      </c>
      <c r="L343" s="11">
        <v>2425319.12</v>
      </c>
      <c r="M343" s="11">
        <v>2406678.94</v>
      </c>
      <c r="N343" s="11">
        <f t="shared" si="58"/>
        <v>2038082.65</v>
      </c>
      <c r="O343" s="11">
        <v>576537</v>
      </c>
      <c r="P343" s="11">
        <v>-3744.49</v>
      </c>
      <c r="Q343" s="11">
        <f t="shared" si="56"/>
        <v>47399.859999999993</v>
      </c>
      <c r="R343" s="11">
        <f t="shared" si="57"/>
        <v>36220.78</v>
      </c>
      <c r="S343" s="11">
        <f t="shared" si="59"/>
        <v>47691.134010000002</v>
      </c>
      <c r="T343" s="10">
        <f t="shared" si="60"/>
        <v>4035.759</v>
      </c>
      <c r="U343" s="10">
        <f t="shared" si="61"/>
        <v>-3744.49</v>
      </c>
      <c r="V343" s="27">
        <f t="shared" si="62"/>
        <v>11179.0825</v>
      </c>
      <c r="W343" s="48">
        <f t="shared" si="63"/>
        <v>36220.782510000005</v>
      </c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8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</row>
    <row r="344" spans="1:79" x14ac:dyDescent="0.25">
      <c r="A344" s="27">
        <v>2886</v>
      </c>
      <c r="B344" s="27">
        <v>1</v>
      </c>
      <c r="C344" s="18" t="s">
        <v>274</v>
      </c>
      <c r="D344" s="11">
        <v>1653688.41</v>
      </c>
      <c r="E344" s="16">
        <v>1255337.24</v>
      </c>
      <c r="F344" s="11">
        <v>1470170.79</v>
      </c>
      <c r="G344" s="11">
        <v>1424223.39</v>
      </c>
      <c r="H344" s="11">
        <v>1509543.51</v>
      </c>
      <c r="I344" s="11">
        <v>1453393.85</v>
      </c>
      <c r="J344" s="11">
        <v>1474406.36</v>
      </c>
      <c r="K344" s="11">
        <v>1558749.32</v>
      </c>
      <c r="L344" s="11">
        <v>1448284.31</v>
      </c>
      <c r="M344" s="11">
        <v>1390358.72</v>
      </c>
      <c r="N344" s="11">
        <f t="shared" si="58"/>
        <v>1255337.24</v>
      </c>
      <c r="O344" s="11">
        <v>385860</v>
      </c>
      <c r="P344" s="11">
        <v>-1727.7</v>
      </c>
      <c r="Q344" s="11">
        <f t="shared" si="56"/>
        <v>28401.57</v>
      </c>
      <c r="R344" s="11">
        <f t="shared" si="57"/>
        <v>20853.849999999999</v>
      </c>
      <c r="S344" s="11">
        <f t="shared" si="59"/>
        <v>29374.891416000002</v>
      </c>
      <c r="T344" s="10">
        <f t="shared" si="60"/>
        <v>2701.02</v>
      </c>
      <c r="U344" s="10">
        <f t="shared" si="61"/>
        <v>-1727.7</v>
      </c>
      <c r="V344" s="27">
        <f t="shared" si="62"/>
        <v>7547.7175500000003</v>
      </c>
      <c r="W344" s="48">
        <f t="shared" si="63"/>
        <v>20853.853866000001</v>
      </c>
      <c r="Y344" s="65"/>
      <c r="Z344" s="10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8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</row>
    <row r="345" spans="1:79" x14ac:dyDescent="0.25">
      <c r="A345" s="27">
        <v>2888</v>
      </c>
      <c r="B345" s="27">
        <v>1</v>
      </c>
      <c r="C345" s="18" t="s">
        <v>275</v>
      </c>
      <c r="D345" s="11">
        <v>1568875.09</v>
      </c>
      <c r="E345" s="16">
        <v>1640327.83</v>
      </c>
      <c r="F345" s="11">
        <v>2029895.61</v>
      </c>
      <c r="G345" s="11">
        <v>1857019.99</v>
      </c>
      <c r="H345" s="11">
        <v>1747555.05</v>
      </c>
      <c r="I345" s="11">
        <v>1646645.93</v>
      </c>
      <c r="J345" s="11">
        <v>1719627.42</v>
      </c>
      <c r="K345" s="11">
        <v>1710472.37</v>
      </c>
      <c r="L345" s="11">
        <v>1739796.34</v>
      </c>
      <c r="M345" s="11">
        <v>1786933.63</v>
      </c>
      <c r="N345" s="11">
        <f t="shared" si="58"/>
        <v>1568875.09</v>
      </c>
      <c r="O345" s="11">
        <v>519502</v>
      </c>
      <c r="P345" s="11">
        <v>-3422.63</v>
      </c>
      <c r="Q345" s="11">
        <f t="shared" si="56"/>
        <v>36497.799999999996</v>
      </c>
      <c r="R345" s="11">
        <f t="shared" si="57"/>
        <v>27760.02</v>
      </c>
      <c r="S345" s="11">
        <f t="shared" si="59"/>
        <v>36711.677106000003</v>
      </c>
      <c r="T345" s="10">
        <f t="shared" si="60"/>
        <v>3636.5140000000001</v>
      </c>
      <c r="U345" s="10">
        <f t="shared" si="61"/>
        <v>-3422.63</v>
      </c>
      <c r="V345" s="27">
        <f t="shared" si="62"/>
        <v>8737.7752500000006</v>
      </c>
      <c r="W345" s="48">
        <f t="shared" si="63"/>
        <v>27760.017855999999</v>
      </c>
      <c r="Y345" s="65"/>
      <c r="Z345" s="10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8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</row>
    <row r="346" spans="1:79" x14ac:dyDescent="0.25">
      <c r="A346" s="27">
        <v>2889</v>
      </c>
      <c r="B346" s="27">
        <v>1</v>
      </c>
      <c r="C346" s="18" t="s">
        <v>397</v>
      </c>
      <c r="D346" s="11">
        <v>1989120.11</v>
      </c>
      <c r="E346" s="16">
        <v>2528529.36</v>
      </c>
      <c r="F346" s="11">
        <v>2494061.88</v>
      </c>
      <c r="G346" s="11">
        <v>2423455.16</v>
      </c>
      <c r="H346" s="11">
        <v>2544718.9700000002</v>
      </c>
      <c r="I346" s="11">
        <v>2556182.75</v>
      </c>
      <c r="J346" s="11">
        <v>2652862.1</v>
      </c>
      <c r="K346" s="11">
        <v>2584078.04</v>
      </c>
      <c r="L346" s="11">
        <v>2560739.06</v>
      </c>
      <c r="M346" s="11">
        <v>2648337.7599999998</v>
      </c>
      <c r="N346" s="11">
        <f t="shared" si="58"/>
        <v>1989120.11</v>
      </c>
      <c r="O346" s="11">
        <v>486993</v>
      </c>
      <c r="P346" s="11">
        <v>-3963.91</v>
      </c>
      <c r="Q346" s="11">
        <f t="shared" si="56"/>
        <v>47100.37000000001</v>
      </c>
      <c r="R346" s="11">
        <f t="shared" si="57"/>
        <v>34376.78</v>
      </c>
      <c r="S346" s="11">
        <f t="shared" si="59"/>
        <v>46545.410574000001</v>
      </c>
      <c r="T346" s="10">
        <f t="shared" si="60"/>
        <v>3408.951</v>
      </c>
      <c r="U346" s="10">
        <f t="shared" si="61"/>
        <v>-3963.91</v>
      </c>
      <c r="V346" s="27">
        <f t="shared" si="62"/>
        <v>12723.594850000001</v>
      </c>
      <c r="W346" s="48">
        <f t="shared" si="63"/>
        <v>34376.774723999995</v>
      </c>
      <c r="Y346" s="65"/>
      <c r="Z346" s="10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8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</row>
    <row r="347" spans="1:79" x14ac:dyDescent="0.25">
      <c r="A347" s="27">
        <v>2890</v>
      </c>
      <c r="B347" s="27">
        <v>1</v>
      </c>
      <c r="C347" s="18" t="s">
        <v>398</v>
      </c>
      <c r="D347" s="11">
        <v>2444672.2200000002</v>
      </c>
      <c r="E347" s="16">
        <v>2984748.81</v>
      </c>
      <c r="F347" s="11">
        <v>2923061.36</v>
      </c>
      <c r="G347" s="11">
        <v>2707176.2</v>
      </c>
      <c r="H347" s="11">
        <v>2516292.63</v>
      </c>
      <c r="I347" s="11">
        <v>2633916.7999999998</v>
      </c>
      <c r="J347" s="11">
        <v>2618946.63</v>
      </c>
      <c r="K347" s="11">
        <v>2483417.3199999998</v>
      </c>
      <c r="L347" s="11">
        <v>2533134.9500000002</v>
      </c>
      <c r="M347" s="11">
        <v>2717705.92</v>
      </c>
      <c r="N347" s="11">
        <f t="shared" si="58"/>
        <v>2444672.2200000002</v>
      </c>
      <c r="O347" s="11">
        <v>950064</v>
      </c>
      <c r="P347" s="11">
        <v>-2878.6451983863572</v>
      </c>
      <c r="Q347" s="11">
        <f t="shared" si="56"/>
        <v>53433.525198386364</v>
      </c>
      <c r="R347" s="11">
        <f t="shared" si="57"/>
        <v>40852.06</v>
      </c>
      <c r="S347" s="11">
        <f t="shared" si="59"/>
        <v>57205.329948000006</v>
      </c>
      <c r="T347" s="10">
        <f t="shared" si="60"/>
        <v>6650.4480000000003</v>
      </c>
      <c r="U347" s="10">
        <f t="shared" si="61"/>
        <v>-2878.6451983863572</v>
      </c>
      <c r="V347" s="27">
        <f t="shared" si="62"/>
        <v>12581.46315</v>
      </c>
      <c r="W347" s="48">
        <f t="shared" si="63"/>
        <v>40852.063996386365</v>
      </c>
      <c r="Y347" s="65"/>
      <c r="Z347" s="10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8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</row>
    <row r="348" spans="1:79" x14ac:dyDescent="0.25">
      <c r="A348" s="27">
        <v>2895</v>
      </c>
      <c r="B348" s="27">
        <v>1</v>
      </c>
      <c r="C348" s="18" t="s">
        <v>276</v>
      </c>
      <c r="D348" s="11">
        <v>4504423.37</v>
      </c>
      <c r="E348" s="16">
        <v>4766568.58</v>
      </c>
      <c r="F348" s="11">
        <v>4861165.96</v>
      </c>
      <c r="G348" s="11">
        <v>4914199.6399999997</v>
      </c>
      <c r="H348" s="11">
        <v>4648759.37</v>
      </c>
      <c r="I348" s="11">
        <v>4476539.9800000004</v>
      </c>
      <c r="J348" s="11">
        <v>4800676.03</v>
      </c>
      <c r="K348" s="11">
        <v>4994888.22</v>
      </c>
      <c r="L348" s="11">
        <v>5212850.8499999996</v>
      </c>
      <c r="M348" s="11">
        <v>5225708.9000000004</v>
      </c>
      <c r="N348" s="11">
        <f t="shared" si="58"/>
        <v>4476539.9800000004</v>
      </c>
      <c r="O348" s="11">
        <v>1031820</v>
      </c>
      <c r="P348" s="11">
        <v>-5023.16</v>
      </c>
      <c r="Q348" s="11">
        <f t="shared" si="56"/>
        <v>102551.45999999999</v>
      </c>
      <c r="R348" s="11">
        <f t="shared" si="57"/>
        <v>79307.66</v>
      </c>
      <c r="S348" s="11">
        <f t="shared" si="59"/>
        <v>104751.03553200001</v>
      </c>
      <c r="T348" s="10">
        <f t="shared" si="60"/>
        <v>7222.74</v>
      </c>
      <c r="U348" s="10">
        <f t="shared" si="61"/>
        <v>-5023.16</v>
      </c>
      <c r="V348" s="27">
        <f t="shared" si="62"/>
        <v>23243.796850000002</v>
      </c>
      <c r="W348" s="48">
        <f t="shared" si="63"/>
        <v>79307.658682000008</v>
      </c>
      <c r="Y348" s="65"/>
      <c r="Z348" s="10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8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</row>
    <row r="349" spans="1:79" x14ac:dyDescent="0.25">
      <c r="A349" s="27">
        <v>2897</v>
      </c>
      <c r="B349" s="27">
        <v>1</v>
      </c>
      <c r="C349" s="18" t="s">
        <v>399</v>
      </c>
      <c r="D349" s="11">
        <v>4131744.81</v>
      </c>
      <c r="E349" s="16">
        <v>5416718.3099999996</v>
      </c>
      <c r="F349" s="11">
        <v>5568483.6500000004</v>
      </c>
      <c r="G349" s="11">
        <v>5369964.79</v>
      </c>
      <c r="H349" s="11">
        <v>5414612.0099999998</v>
      </c>
      <c r="I349" s="11">
        <v>5416765.8399999999</v>
      </c>
      <c r="J349" s="11">
        <v>5570954.3700000001</v>
      </c>
      <c r="K349" s="11">
        <v>5342774</v>
      </c>
      <c r="L349" s="11">
        <v>4881834.54</v>
      </c>
      <c r="M349" s="11">
        <v>5237839.8600000003</v>
      </c>
      <c r="N349" s="11">
        <f t="shared" si="58"/>
        <v>4131744.81</v>
      </c>
      <c r="O349" s="11">
        <v>1006484</v>
      </c>
      <c r="P349" s="11">
        <v>-6496.334801613637</v>
      </c>
      <c r="Q349" s="11">
        <f t="shared" si="56"/>
        <v>96133.774801613647</v>
      </c>
      <c r="R349" s="11">
        <f t="shared" si="57"/>
        <v>69060.710000000006</v>
      </c>
      <c r="S349" s="11">
        <f t="shared" si="59"/>
        <v>96682.828554000007</v>
      </c>
      <c r="T349" s="10">
        <f t="shared" si="60"/>
        <v>7045.3879999999999</v>
      </c>
      <c r="U349" s="10">
        <f t="shared" si="61"/>
        <v>-6496.334801613637</v>
      </c>
      <c r="V349" s="27">
        <f t="shared" si="62"/>
        <v>27073.06005</v>
      </c>
      <c r="W349" s="48">
        <f t="shared" si="63"/>
        <v>69060.715305613645</v>
      </c>
      <c r="Y349" s="65"/>
      <c r="Z349" s="10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8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</row>
    <row r="350" spans="1:79" x14ac:dyDescent="0.25">
      <c r="A350" s="27">
        <v>2898</v>
      </c>
      <c r="B350" s="27">
        <v>1</v>
      </c>
      <c r="C350" s="18" t="s">
        <v>400</v>
      </c>
      <c r="D350" s="11">
        <v>1416184.43</v>
      </c>
      <c r="E350" s="16">
        <v>1997320.92</v>
      </c>
      <c r="F350" s="11">
        <v>2129287.4900000002</v>
      </c>
      <c r="G350" s="11">
        <v>2211619.63</v>
      </c>
      <c r="H350" s="11">
        <v>2368953.91</v>
      </c>
      <c r="I350" s="11">
        <v>2477686.27</v>
      </c>
      <c r="J350" s="11">
        <v>2480428.44</v>
      </c>
      <c r="K350" s="11">
        <v>2464559.91</v>
      </c>
      <c r="L350" s="11">
        <v>2420602.44</v>
      </c>
      <c r="M350" s="11">
        <v>2371121.29</v>
      </c>
      <c r="N350" s="11">
        <f t="shared" si="58"/>
        <v>1416184.43</v>
      </c>
      <c r="O350" s="11">
        <v>348794</v>
      </c>
      <c r="P350" s="11">
        <v>-2197.79</v>
      </c>
      <c r="Q350" s="11">
        <f t="shared" si="56"/>
        <v>32894.949999999997</v>
      </c>
      <c r="R350" s="11">
        <f t="shared" si="57"/>
        <v>21050.18</v>
      </c>
      <c r="S350" s="11">
        <f t="shared" si="59"/>
        <v>33138.715662000002</v>
      </c>
      <c r="T350" s="10">
        <f t="shared" si="60"/>
        <v>2441.558</v>
      </c>
      <c r="U350" s="10">
        <f t="shared" si="61"/>
        <v>-2197.79</v>
      </c>
      <c r="V350" s="27">
        <f t="shared" si="62"/>
        <v>11844.769550000001</v>
      </c>
      <c r="W350" s="48">
        <f t="shared" si="63"/>
        <v>21050.178111999998</v>
      </c>
      <c r="Y350" s="65"/>
      <c r="Z350" s="10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8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</row>
    <row r="351" spans="1:79" x14ac:dyDescent="0.25">
      <c r="A351" s="27">
        <v>2899</v>
      </c>
      <c r="B351" s="27">
        <v>1</v>
      </c>
      <c r="C351" s="18" t="s">
        <v>488</v>
      </c>
      <c r="D351" s="11">
        <v>4813881.9400000004</v>
      </c>
      <c r="E351" s="16">
        <v>6187845.1999999993</v>
      </c>
      <c r="F351" s="11">
        <v>6008786.8900000006</v>
      </c>
      <c r="G351" s="11">
        <v>5611165.1799999997</v>
      </c>
      <c r="H351" s="11">
        <v>5950720.8699999992</v>
      </c>
      <c r="I351" s="11">
        <v>5774796.3300000001</v>
      </c>
      <c r="J351" s="11">
        <v>6298597.0599999996</v>
      </c>
      <c r="K351" s="11">
        <v>6062776.3799999999</v>
      </c>
      <c r="L351" s="11">
        <v>5936180.2699999996</v>
      </c>
      <c r="M351" s="11">
        <v>6114066.4800000004</v>
      </c>
      <c r="N351" s="11">
        <f t="shared" si="58"/>
        <v>4813881.9400000004</v>
      </c>
      <c r="O351" s="11">
        <v>874733</v>
      </c>
      <c r="P351" s="11">
        <v>-2116.41</v>
      </c>
      <c r="Q351" s="11">
        <f t="shared" si="56"/>
        <v>108638.12</v>
      </c>
      <c r="R351" s="11">
        <f t="shared" si="57"/>
        <v>78884.52</v>
      </c>
      <c r="S351" s="11">
        <f t="shared" si="59"/>
        <v>112644.83739600002</v>
      </c>
      <c r="T351" s="10">
        <f t="shared" si="60"/>
        <v>6123.1310000000003</v>
      </c>
      <c r="U351" s="10">
        <f t="shared" si="61"/>
        <v>-2116.41</v>
      </c>
      <c r="V351" s="27">
        <f t="shared" si="62"/>
        <v>29753.604349999998</v>
      </c>
      <c r="W351" s="48">
        <f t="shared" si="63"/>
        <v>78884.512046000033</v>
      </c>
      <c r="Y351" s="65"/>
      <c r="Z351" s="10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8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</row>
    <row r="352" spans="1:79" x14ac:dyDescent="0.25">
      <c r="A352" s="27">
        <v>2902</v>
      </c>
      <c r="B352" s="27">
        <v>1</v>
      </c>
      <c r="C352" s="18" t="s">
        <v>489</v>
      </c>
      <c r="D352" s="11">
        <v>2247622.1</v>
      </c>
      <c r="E352" s="16">
        <v>2169282.06</v>
      </c>
      <c r="F352" s="11">
        <v>2209552.96</v>
      </c>
      <c r="G352" s="11">
        <v>2035466.1</v>
      </c>
      <c r="H352" s="11">
        <v>1786518.61</v>
      </c>
      <c r="I352" s="11">
        <v>2013026.65</v>
      </c>
      <c r="J352" s="11">
        <v>2161687.8199999998</v>
      </c>
      <c r="K352" s="11">
        <v>2215743.91</v>
      </c>
      <c r="L352" s="11">
        <v>2159619.7400000002</v>
      </c>
      <c r="M352" s="11">
        <v>2221927.85</v>
      </c>
      <c r="N352" s="11">
        <f t="shared" si="58"/>
        <v>1786518.61</v>
      </c>
      <c r="O352" s="11">
        <v>415279</v>
      </c>
      <c r="P352" s="11">
        <v>-2507.6999999999998</v>
      </c>
      <c r="Q352" s="11">
        <f t="shared" si="56"/>
        <v>41405.29</v>
      </c>
      <c r="R352" s="11">
        <f t="shared" si="57"/>
        <v>32472.7</v>
      </c>
      <c r="S352" s="11">
        <f t="shared" si="59"/>
        <v>41804.535474000004</v>
      </c>
      <c r="T352" s="10">
        <f t="shared" si="60"/>
        <v>2906.953</v>
      </c>
      <c r="U352" s="10">
        <f t="shared" si="61"/>
        <v>-2507.6999999999998</v>
      </c>
      <c r="V352" s="27">
        <f t="shared" si="62"/>
        <v>8932.5930500000013</v>
      </c>
      <c r="W352" s="48">
        <f t="shared" si="63"/>
        <v>32472.689423999997</v>
      </c>
      <c r="Y352" s="65"/>
      <c r="Z352" s="10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8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</row>
    <row r="353" spans="1:79" x14ac:dyDescent="0.25">
      <c r="A353" s="27">
        <v>2903</v>
      </c>
      <c r="B353" s="27">
        <v>1</v>
      </c>
      <c r="C353" s="18" t="s">
        <v>20</v>
      </c>
      <c r="D353" s="11">
        <v>2350565.36</v>
      </c>
      <c r="E353" s="11">
        <v>2815679.31</v>
      </c>
      <c r="F353" s="11">
        <v>2818864.5</v>
      </c>
      <c r="G353" s="11">
        <v>2629278.85</v>
      </c>
      <c r="H353" s="11">
        <v>2624299.88</v>
      </c>
      <c r="I353" s="11">
        <v>2713196.62</v>
      </c>
      <c r="J353" s="11">
        <v>3179341.6999999997</v>
      </c>
      <c r="K353" s="11">
        <v>2290512.2600000002</v>
      </c>
      <c r="L353" s="11">
        <v>2881791.56</v>
      </c>
      <c r="M353" s="11">
        <v>2310613.62</v>
      </c>
      <c r="N353" s="11">
        <f t="shared" si="58"/>
        <v>2290512.2600000002</v>
      </c>
      <c r="O353" s="11">
        <f>'Consolidate 2903 2904'!E5</f>
        <v>856265</v>
      </c>
      <c r="P353" s="11">
        <f>'Consolidate 2903 2904'!E6</f>
        <v>-5837.0499999999993</v>
      </c>
      <c r="Q353" s="11">
        <f t="shared" si="56"/>
        <v>53441.179999999993</v>
      </c>
      <c r="R353" s="11">
        <f t="shared" si="57"/>
        <v>40319.68</v>
      </c>
      <c r="S353" s="11">
        <f t="shared" si="59"/>
        <v>53597.986884000005</v>
      </c>
      <c r="T353" s="10">
        <f t="shared" si="60"/>
        <v>5993.8550000000005</v>
      </c>
      <c r="U353" s="10">
        <f t="shared" si="61"/>
        <v>-5837.0499999999993</v>
      </c>
      <c r="V353" s="27">
        <f t="shared" si="62"/>
        <v>13121.499400000001</v>
      </c>
      <c r="W353" s="48">
        <f t="shared" si="63"/>
        <v>40319.682484000004</v>
      </c>
      <c r="Y353" s="65"/>
      <c r="Z353" s="10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8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</row>
    <row r="354" spans="1:79" x14ac:dyDescent="0.25">
      <c r="A354" s="27">
        <v>2904</v>
      </c>
      <c r="B354" s="27">
        <v>1</v>
      </c>
      <c r="C354" s="18" t="s">
        <v>531</v>
      </c>
      <c r="D354" s="11">
        <v>3024526.19</v>
      </c>
      <c r="E354" s="11">
        <v>3103698.6900000004</v>
      </c>
      <c r="F354" s="11">
        <v>3275132.35</v>
      </c>
      <c r="G354" s="11">
        <v>3384716.6</v>
      </c>
      <c r="H354" s="11">
        <v>3453417.86</v>
      </c>
      <c r="I354" s="11">
        <v>3400387.29</v>
      </c>
      <c r="J354" s="11">
        <v>3717338.68</v>
      </c>
      <c r="K354" s="11">
        <v>2660851.6999999997</v>
      </c>
      <c r="L354" s="11">
        <v>3506826.67</v>
      </c>
      <c r="M354" s="11">
        <v>3376488.69</v>
      </c>
      <c r="N354" s="11">
        <f t="shared" si="58"/>
        <v>2660851.6999999997</v>
      </c>
      <c r="O354" s="11">
        <f>'Consolidate 2903 2904'!E33</f>
        <v>984305</v>
      </c>
      <c r="P354" s="11">
        <f>'Consolidate 2903 2904'!E34</f>
        <v>-5306.4400000000005</v>
      </c>
      <c r="Q354" s="11">
        <f t="shared" si="56"/>
        <v>60680.23</v>
      </c>
      <c r="R354" s="11">
        <f t="shared" si="57"/>
        <v>43413.14</v>
      </c>
      <c r="S354" s="11">
        <f t="shared" si="59"/>
        <v>62263.929779999999</v>
      </c>
      <c r="T354" s="10">
        <f t="shared" si="60"/>
        <v>6890.1350000000002</v>
      </c>
      <c r="U354" s="10">
        <f t="shared" si="61"/>
        <v>-5306.4400000000005</v>
      </c>
      <c r="V354" s="27">
        <f t="shared" si="62"/>
        <v>17267.0893</v>
      </c>
      <c r="W354" s="48">
        <f t="shared" si="63"/>
        <v>43413.145479999999</v>
      </c>
      <c r="Y354" s="65"/>
      <c r="Z354" s="10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8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</row>
    <row r="355" spans="1:79" x14ac:dyDescent="0.25">
      <c r="A355" s="27"/>
      <c r="B355" s="27"/>
      <c r="C355" s="18"/>
      <c r="D355" s="11"/>
      <c r="E355" s="16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27"/>
      <c r="U355" s="27"/>
      <c r="V355" s="27"/>
      <c r="W355" s="18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8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</row>
    <row r="356" spans="1:79" x14ac:dyDescent="0.25">
      <c r="R356" s="11"/>
      <c r="S356" s="11"/>
      <c r="T356" s="27"/>
      <c r="U356" s="27"/>
      <c r="V356" s="27"/>
      <c r="W356" s="18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</row>
    <row r="357" spans="1:79" x14ac:dyDescent="0.25">
      <c r="Q357" s="11"/>
      <c r="R357" s="11"/>
      <c r="T357" s="27"/>
      <c r="U357" s="27"/>
      <c r="V357" s="27"/>
      <c r="W357" s="18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</row>
    <row r="358" spans="1:79" x14ac:dyDescent="0.25">
      <c r="Q358" s="11"/>
      <c r="R358" s="11"/>
    </row>
    <row r="363" spans="1:79" x14ac:dyDescent="0.25">
      <c r="AA363" s="3"/>
      <c r="AB363" s="11"/>
      <c r="AC363" s="12"/>
      <c r="AD363" s="13"/>
      <c r="AE363" s="11"/>
      <c r="AF363" s="11"/>
      <c r="AG363" s="11"/>
      <c r="AH363" s="3"/>
      <c r="AI363" s="9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8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</row>
    <row r="364" spans="1:79" x14ac:dyDescent="0.25">
      <c r="AA364" s="3"/>
      <c r="AB364" s="11"/>
      <c r="AC364" s="12"/>
      <c r="AD364" s="13"/>
      <c r="AE364" s="11"/>
      <c r="AF364" s="11"/>
      <c r="AG364" s="11"/>
      <c r="AH364" s="3"/>
      <c r="AI364" s="9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8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</row>
    <row r="375" spans="24:26" x14ac:dyDescent="0.25">
      <c r="Y375" s="65"/>
      <c r="Z375" s="10"/>
    </row>
    <row r="376" spans="24:26" x14ac:dyDescent="0.25">
      <c r="X376" s="27"/>
      <c r="Y376" s="49"/>
      <c r="Z376" s="11"/>
    </row>
    <row r="377" spans="24:26" x14ac:dyDescent="0.25">
      <c r="X377" s="27"/>
      <c r="Y377" s="49"/>
      <c r="Z377" s="11"/>
    </row>
    <row r="378" spans="24:26" x14ac:dyDescent="0.25">
      <c r="X378" s="27"/>
      <c r="Y378" s="49"/>
      <c r="Z378" s="11"/>
    </row>
    <row r="379" spans="24:26" x14ac:dyDescent="0.25">
      <c r="X379" s="27"/>
      <c r="Y379" s="49"/>
      <c r="Z379" s="11"/>
    </row>
    <row r="380" spans="24:26" x14ac:dyDescent="0.25">
      <c r="X380" s="27"/>
      <c r="Y380" s="49"/>
      <c r="Z380" s="11"/>
    </row>
    <row r="381" spans="24:26" x14ac:dyDescent="0.25">
      <c r="X381" s="27"/>
      <c r="Y381" s="49"/>
      <c r="Z381" s="11"/>
    </row>
    <row r="382" spans="24:26" x14ac:dyDescent="0.25">
      <c r="X382" s="27"/>
      <c r="Y382" s="49"/>
      <c r="Z382" s="11"/>
    </row>
    <row r="383" spans="24:26" x14ac:dyDescent="0.25">
      <c r="X383" s="27"/>
      <c r="Y383" s="49"/>
      <c r="Z383" s="11"/>
    </row>
    <row r="384" spans="24:26" x14ac:dyDescent="0.25">
      <c r="X384" s="27"/>
      <c r="Y384" s="49"/>
      <c r="Z384" s="11"/>
    </row>
    <row r="385" spans="24:26" x14ac:dyDescent="0.25">
      <c r="X385" s="27"/>
      <c r="Y385" s="49"/>
      <c r="Z385" s="11"/>
    </row>
    <row r="386" spans="24:26" x14ac:dyDescent="0.25">
      <c r="X386" s="27"/>
      <c r="Y386" s="49"/>
      <c r="Z386" s="11"/>
    </row>
    <row r="387" spans="24:26" x14ac:dyDescent="0.25">
      <c r="X387" s="27"/>
      <c r="Y387" s="49"/>
      <c r="Z387" s="11"/>
    </row>
    <row r="388" spans="24:26" x14ac:dyDescent="0.25">
      <c r="X388" s="27"/>
      <c r="Y388" s="49"/>
      <c r="Z388" s="11"/>
    </row>
    <row r="389" spans="24:26" x14ac:dyDescent="0.25">
      <c r="X389" s="27"/>
      <c r="Y389" s="49"/>
      <c r="Z389" s="11"/>
    </row>
    <row r="390" spans="24:26" x14ac:dyDescent="0.25">
      <c r="X390" s="27"/>
      <c r="Y390" s="49"/>
      <c r="Z390" s="11"/>
    </row>
    <row r="391" spans="24:26" x14ac:dyDescent="0.25">
      <c r="X391" s="27"/>
      <c r="Y391" s="49"/>
      <c r="Z391" s="11"/>
    </row>
    <row r="392" spans="24:26" x14ac:dyDescent="0.25">
      <c r="X392" s="27"/>
      <c r="Y392" s="49"/>
      <c r="Z392" s="11"/>
    </row>
    <row r="393" spans="24:26" x14ac:dyDescent="0.25">
      <c r="X393" s="27"/>
      <c r="Y393" s="49"/>
      <c r="Z393" s="11"/>
    </row>
    <row r="394" spans="24:26" x14ac:dyDescent="0.25">
      <c r="X394" s="27"/>
      <c r="Y394" s="49"/>
      <c r="Z394" s="11"/>
    </row>
    <row r="395" spans="24:26" x14ac:dyDescent="0.25">
      <c r="X395" s="27"/>
      <c r="Y395" s="49"/>
      <c r="Z395" s="11"/>
    </row>
  </sheetData>
  <sortState ref="X18:Z354">
    <sortCondition ref="X18:X354"/>
  </sortState>
  <phoneticPr fontId="0" type="noConversion"/>
  <printOptions gridLines="1"/>
  <pageMargins left="0.5" right="0.5" top="0.75" bottom="0.5" header="0.5" footer="0.5"/>
  <pageSetup scale="43" fitToHeight="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workbookViewId="0"/>
  </sheetViews>
  <sheetFormatPr defaultRowHeight="12.75" x14ac:dyDescent="0.25"/>
  <cols>
    <col min="1" max="1" width="6.69921875" customWidth="1"/>
    <col min="2" max="2" width="47.8984375" customWidth="1"/>
    <col min="3" max="3" width="14.69921875" customWidth="1"/>
  </cols>
  <sheetData>
    <row r="1" spans="1:9" x14ac:dyDescent="0.25">
      <c r="A1">
        <v>2159</v>
      </c>
    </row>
    <row r="3" spans="1:9" x14ac:dyDescent="0.25">
      <c r="A3" t="s">
        <v>1154</v>
      </c>
      <c r="E3" t="s">
        <v>528</v>
      </c>
    </row>
    <row r="4" spans="1:9" x14ac:dyDescent="0.25">
      <c r="A4" s="3" t="str">
        <f>VLOOKUP($A$1,Inputall,3)&amp;" #"&amp;FIXED(A1,0,TRUE)</f>
        <v>BUFFALO LAKE-HECTOR #2159</v>
      </c>
    </row>
    <row r="6" spans="1:9" x14ac:dyDescent="0.25">
      <c r="A6">
        <v>1</v>
      </c>
      <c r="B6" t="s">
        <v>520</v>
      </c>
      <c r="C6" s="3">
        <f t="shared" ref="C6:C12" si="0">VLOOKUP($A$1,Inputall,I6,FALSE)</f>
        <v>1661401.02</v>
      </c>
      <c r="I6">
        <v>4</v>
      </c>
    </row>
    <row r="7" spans="1:9" x14ac:dyDescent="0.25">
      <c r="A7">
        <f t="shared" ref="A7:A13" si="1">A6+1</f>
        <v>2</v>
      </c>
      <c r="B7" t="s">
        <v>521</v>
      </c>
      <c r="C7" s="3">
        <f t="shared" si="0"/>
        <v>2763773.47</v>
      </c>
      <c r="I7">
        <v>5</v>
      </c>
    </row>
    <row r="8" spans="1:9" x14ac:dyDescent="0.25">
      <c r="A8">
        <f t="shared" si="1"/>
        <v>3</v>
      </c>
      <c r="B8" t="s">
        <v>522</v>
      </c>
      <c r="C8" s="3">
        <f t="shared" si="0"/>
        <v>2731661.24</v>
      </c>
      <c r="I8">
        <v>6</v>
      </c>
    </row>
    <row r="9" spans="1:9" x14ac:dyDescent="0.25">
      <c r="A9">
        <f t="shared" si="1"/>
        <v>4</v>
      </c>
      <c r="B9" t="s">
        <v>523</v>
      </c>
      <c r="C9" s="3">
        <f t="shared" si="0"/>
        <v>2775715.63</v>
      </c>
      <c r="I9">
        <v>7</v>
      </c>
    </row>
    <row r="10" spans="1:9" x14ac:dyDescent="0.25">
      <c r="A10">
        <f t="shared" si="1"/>
        <v>5</v>
      </c>
      <c r="B10" t="s">
        <v>524</v>
      </c>
      <c r="C10" s="3">
        <f t="shared" si="0"/>
        <v>2449272.38</v>
      </c>
      <c r="I10">
        <v>8</v>
      </c>
    </row>
    <row r="11" spans="1:9" x14ac:dyDescent="0.25">
      <c r="A11">
        <f t="shared" si="1"/>
        <v>6</v>
      </c>
      <c r="B11" t="s">
        <v>525</v>
      </c>
      <c r="C11" s="3">
        <f t="shared" si="0"/>
        <v>2824581.47</v>
      </c>
      <c r="I11">
        <v>9</v>
      </c>
    </row>
    <row r="12" spans="1:9" x14ac:dyDescent="0.25">
      <c r="A12">
        <f t="shared" si="1"/>
        <v>7</v>
      </c>
      <c r="B12" t="s">
        <v>530</v>
      </c>
      <c r="C12" s="3">
        <f t="shared" si="0"/>
        <v>2875401.4</v>
      </c>
      <c r="I12">
        <v>10</v>
      </c>
    </row>
    <row r="13" spans="1:9" x14ac:dyDescent="0.25">
      <c r="A13">
        <f t="shared" si="1"/>
        <v>8</v>
      </c>
      <c r="B13" s="19" t="s">
        <v>1139</v>
      </c>
      <c r="C13" s="3">
        <f t="shared" ref="C13" si="2">VLOOKUP($A$1,Inputall,I13,FALSE)</f>
        <v>2655495.7200000002</v>
      </c>
      <c r="I13">
        <v>11</v>
      </c>
    </row>
    <row r="14" spans="1:9" x14ac:dyDescent="0.25">
      <c r="A14">
        <f>A13+1</f>
        <v>9</v>
      </c>
      <c r="B14" t="str">
        <f>+"Basis for clause 3 adjustment = minimum of ("&amp;FIXED(A6,0)&amp;") to ("&amp;FIXED(A13,0)&amp;") ="</f>
        <v>Basis for clause 3 adjustment = minimum of (1) to (8) =</v>
      </c>
      <c r="C14" s="3">
        <f>MIN(C6:C13)</f>
        <v>1661401.02</v>
      </c>
    </row>
    <row r="15" spans="1:9" x14ac:dyDescent="0.25">
      <c r="C15" s="3"/>
    </row>
    <row r="16" spans="1:9" x14ac:dyDescent="0.25">
      <c r="A16">
        <f>A14+1</f>
        <v>10</v>
      </c>
      <c r="B16" t="s">
        <v>526</v>
      </c>
      <c r="C16" s="3">
        <f>VLOOKUP($A$1,Inputall,I16,FALSE)</f>
        <v>412779.5</v>
      </c>
      <c r="I16">
        <v>15</v>
      </c>
    </row>
    <row r="17" spans="1:9" x14ac:dyDescent="0.25">
      <c r="A17">
        <f>A16+1</f>
        <v>11</v>
      </c>
      <c r="B17" t="s">
        <v>527</v>
      </c>
      <c r="C17" s="3">
        <f>VLOOKUP($A$1,Inputall,I17,FALSE)</f>
        <v>-3254.7</v>
      </c>
      <c r="I17">
        <v>16</v>
      </c>
    </row>
    <row r="19" spans="1:9" x14ac:dyDescent="0.25">
      <c r="A19">
        <f>A17+1</f>
        <v>12</v>
      </c>
      <c r="B19" t="str">
        <f>+"Clause 1 adjustment = ("&amp;FIXED(A17,0)&amp;") ="</f>
        <v>Clause 1 adjustment = (11) =</v>
      </c>
      <c r="C19" s="3">
        <f>C17</f>
        <v>-3254.7</v>
      </c>
    </row>
    <row r="20" spans="1:9" x14ac:dyDescent="0.25">
      <c r="A20">
        <f>A19+1</f>
        <v>13</v>
      </c>
      <c r="B20" t="str">
        <f>+"Clause 2 adjustment = .007 x ("&amp;FIXED(A16,0)&amp;") ="</f>
        <v>Clause 2 adjustment = .007 x (10) =</v>
      </c>
      <c r="C20" s="3">
        <f>ROUND(0.007*C16,2)</f>
        <v>2889.46</v>
      </c>
    </row>
    <row r="21" spans="1:9" x14ac:dyDescent="0.25">
      <c r="A21">
        <f>A20+1</f>
        <v>14</v>
      </c>
      <c r="B21" t="str">
        <f>+"Clause 3 adjustment = - .0234 x ("&amp;FIXED(A14,0)&amp;") ="</f>
        <v>Clause 3 adjustment = - .0234 x (9) =</v>
      </c>
      <c r="C21" s="3">
        <f>ROUND(-0.0234*C14,2)</f>
        <v>-38876.78</v>
      </c>
    </row>
    <row r="22" spans="1:9" x14ac:dyDescent="0.25">
      <c r="A22">
        <f>A21+1</f>
        <v>15</v>
      </c>
      <c r="B22" t="str">
        <f>+"Clause 4 adjustment = .005 x ("&amp;FIXED(A10,0)&amp;") ="</f>
        <v>Clause 4 adjustment = .005 x (5) =</v>
      </c>
      <c r="C22" s="3">
        <f>ROUND(0.005*C10,2)</f>
        <v>12246.36</v>
      </c>
    </row>
    <row r="24" spans="1:9" x14ac:dyDescent="0.25">
      <c r="A24">
        <f>A22+1</f>
        <v>16</v>
      </c>
      <c r="B24" t="str">
        <f>+"Total adjustment = ("&amp;FIXED(A19,0)&amp;")+("&amp;FIXED(A20,0)&amp;")+("&amp;FIXED(A21,0)&amp;")+("&amp;FIXED(A22,0)&amp;") ="</f>
        <v>Total adjustment = (12)+(13)+(14)+(15) =</v>
      </c>
      <c r="C24" s="3">
        <f>C19+C20+C21+C22</f>
        <v>-26995.659999999996</v>
      </c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selection activeCell="A2" sqref="A2"/>
    </sheetView>
  </sheetViews>
  <sheetFormatPr defaultRowHeight="12.75" x14ac:dyDescent="0.25"/>
  <cols>
    <col min="1" max="1" width="4.69921875" customWidth="1"/>
    <col min="2" max="2" width="40" customWidth="1"/>
    <col min="3" max="5" width="16.69921875" style="1" customWidth="1"/>
    <col min="6" max="6" width="4.69921875" customWidth="1"/>
    <col min="7" max="7" width="24.69921875" customWidth="1"/>
  </cols>
  <sheetData>
    <row r="1" spans="1:10" x14ac:dyDescent="0.25">
      <c r="C1" s="1">
        <v>62</v>
      </c>
      <c r="D1" s="1">
        <v>371</v>
      </c>
      <c r="E1" s="1">
        <v>2903</v>
      </c>
    </row>
    <row r="2" spans="1:10" x14ac:dyDescent="0.25">
      <c r="C2" s="1">
        <v>1</v>
      </c>
      <c r="D2" s="1">
        <v>1</v>
      </c>
      <c r="E2" s="1">
        <v>1</v>
      </c>
      <c r="I2" s="1"/>
      <c r="J2" s="1"/>
    </row>
    <row r="3" spans="1:10" x14ac:dyDescent="0.25">
      <c r="C3" s="1" t="s">
        <v>20</v>
      </c>
      <c r="D3" s="1" t="s">
        <v>100</v>
      </c>
      <c r="E3" s="1" t="s">
        <v>20</v>
      </c>
      <c r="G3" s="40" t="s">
        <v>528</v>
      </c>
      <c r="I3" s="1"/>
      <c r="J3" s="1"/>
    </row>
    <row r="4" spans="1:10" x14ac:dyDescent="0.25">
      <c r="I4" s="1"/>
      <c r="J4" s="1"/>
    </row>
    <row r="5" spans="1:10" x14ac:dyDescent="0.25">
      <c r="A5">
        <v>1</v>
      </c>
      <c r="B5" s="19" t="s">
        <v>526</v>
      </c>
      <c r="C5" s="16">
        <v>709929</v>
      </c>
      <c r="D5" s="16">
        <v>146336</v>
      </c>
      <c r="E5" s="16">
        <f>C5+D5</f>
        <v>856265</v>
      </c>
      <c r="G5" s="19" t="s">
        <v>543</v>
      </c>
    </row>
    <row r="6" spans="1:10" x14ac:dyDescent="0.25">
      <c r="A6">
        <f>A5+1</f>
        <v>2</v>
      </c>
      <c r="B6" s="19" t="s">
        <v>545</v>
      </c>
      <c r="C6" s="16">
        <v>-4605.1499999999996</v>
      </c>
      <c r="D6" s="16">
        <v>-1231.9000000000001</v>
      </c>
      <c r="E6" s="16">
        <f>C6+D6</f>
        <v>-5837.0499999999993</v>
      </c>
      <c r="G6" s="19" t="s">
        <v>543</v>
      </c>
    </row>
    <row r="8" spans="1:10" x14ac:dyDescent="0.25">
      <c r="A8">
        <f>A6+1</f>
        <v>3</v>
      </c>
      <c r="B8" t="s">
        <v>534</v>
      </c>
      <c r="C8" s="16">
        <v>1958078.8</v>
      </c>
      <c r="D8" s="16">
        <v>392486.56</v>
      </c>
      <c r="E8" s="38">
        <f>C8+D8</f>
        <v>2350565.36</v>
      </c>
      <c r="F8" s="36"/>
      <c r="G8" s="19" t="s">
        <v>543</v>
      </c>
    </row>
    <row r="9" spans="1:10" x14ac:dyDescent="0.25">
      <c r="A9">
        <f>A8+1</f>
        <v>4</v>
      </c>
      <c r="B9" t="s">
        <v>535</v>
      </c>
      <c r="C9" s="16">
        <v>2395979.96</v>
      </c>
      <c r="D9" s="16">
        <v>419699.35</v>
      </c>
      <c r="E9" s="38">
        <f t="shared" ref="E9:E14" si="0">C9+D9</f>
        <v>2815679.31</v>
      </c>
      <c r="F9" s="36"/>
      <c r="G9" s="19" t="s">
        <v>543</v>
      </c>
    </row>
    <row r="10" spans="1:10" x14ac:dyDescent="0.25">
      <c r="A10">
        <f t="shared" ref="A10:A14" si="1">A9+1</f>
        <v>5</v>
      </c>
      <c r="B10" t="s">
        <v>536</v>
      </c>
      <c r="C10" s="16">
        <v>2469370.7200000002</v>
      </c>
      <c r="D10" s="16">
        <v>349493.78</v>
      </c>
      <c r="E10" s="38">
        <f t="shared" si="0"/>
        <v>2818864.5</v>
      </c>
      <c r="F10" s="36"/>
      <c r="G10" s="19" t="s">
        <v>543</v>
      </c>
    </row>
    <row r="11" spans="1:10" x14ac:dyDescent="0.25">
      <c r="A11">
        <f t="shared" si="1"/>
        <v>6</v>
      </c>
      <c r="B11" t="s">
        <v>537</v>
      </c>
      <c r="C11" s="16">
        <v>2296845.39</v>
      </c>
      <c r="D11" s="16">
        <v>332433.46000000002</v>
      </c>
      <c r="E11" s="38">
        <f t="shared" si="0"/>
        <v>2629278.85</v>
      </c>
      <c r="F11" s="36"/>
      <c r="G11" s="19" t="s">
        <v>543</v>
      </c>
    </row>
    <row r="12" spans="1:10" x14ac:dyDescent="0.25">
      <c r="A12">
        <f t="shared" si="1"/>
        <v>7</v>
      </c>
      <c r="B12" t="s">
        <v>538</v>
      </c>
      <c r="C12" s="16">
        <v>2267926.0299999998</v>
      </c>
      <c r="D12" s="16">
        <v>356373.85</v>
      </c>
      <c r="E12" s="38">
        <f t="shared" si="0"/>
        <v>2624299.88</v>
      </c>
      <c r="F12" s="36"/>
      <c r="G12" s="19" t="s">
        <v>543</v>
      </c>
    </row>
    <row r="13" spans="1:10" x14ac:dyDescent="0.25">
      <c r="A13">
        <f t="shared" si="1"/>
        <v>8</v>
      </c>
      <c r="B13" t="s">
        <v>539</v>
      </c>
      <c r="C13" s="16">
        <v>2348979.1</v>
      </c>
      <c r="D13" s="16">
        <v>364217.52</v>
      </c>
      <c r="E13" s="38">
        <f t="shared" si="0"/>
        <v>2713196.62</v>
      </c>
      <c r="F13" s="36"/>
      <c r="G13" s="19" t="s">
        <v>543</v>
      </c>
    </row>
    <row r="14" spans="1:10" x14ac:dyDescent="0.25">
      <c r="A14">
        <f t="shared" si="1"/>
        <v>9</v>
      </c>
      <c r="B14" t="s">
        <v>540</v>
      </c>
      <c r="C14" s="16">
        <v>2706703.53</v>
      </c>
      <c r="D14" s="16">
        <v>472638.17</v>
      </c>
      <c r="E14" s="38">
        <f t="shared" si="0"/>
        <v>3179341.6999999997</v>
      </c>
      <c r="F14" s="36"/>
      <c r="G14" s="19" t="s">
        <v>543</v>
      </c>
    </row>
    <row r="15" spans="1:10" x14ac:dyDescent="0.25">
      <c r="A15">
        <f>A14+1</f>
        <v>10</v>
      </c>
      <c r="B15" t="s">
        <v>541</v>
      </c>
      <c r="C15" s="36" t="s">
        <v>542</v>
      </c>
      <c r="D15" s="36" t="s">
        <v>542</v>
      </c>
      <c r="E15" s="16">
        <v>2323451.62</v>
      </c>
      <c r="F15" s="36"/>
      <c r="G15" s="39" t="s">
        <v>544</v>
      </c>
    </row>
    <row r="16" spans="1:10" x14ac:dyDescent="0.25">
      <c r="C16" s="16"/>
      <c r="D16" s="16"/>
      <c r="E16" s="36"/>
      <c r="F16" s="36"/>
    </row>
    <row r="17" spans="1:7" x14ac:dyDescent="0.25">
      <c r="A17">
        <f>A15+1</f>
        <v>11</v>
      </c>
      <c r="B17" t="str">
        <f>+"Minimum of ("&amp;FIXED(A8,0)&amp;") to ("&amp;FIXED(A14,0)&amp;") ="</f>
        <v>Minimum of (3) to (9) =</v>
      </c>
      <c r="C17" s="16">
        <f>MIN(C8:C14)</f>
        <v>1958078.8</v>
      </c>
      <c r="D17" s="16">
        <f>MIN(D8:D14)</f>
        <v>332433.46000000002</v>
      </c>
      <c r="E17" s="38" t="s">
        <v>542</v>
      </c>
    </row>
    <row r="18" spans="1:7" x14ac:dyDescent="0.25">
      <c r="A18">
        <f>A17+1</f>
        <v>12</v>
      </c>
      <c r="B18" t="str">
        <f>+"Minimum of ("&amp;FIXED(A8,0)&amp;") to ("&amp;FIXED(A15,0)&amp;") ="</f>
        <v>Minimum of (3) to (10) =</v>
      </c>
      <c r="C18" s="36" t="s">
        <v>542</v>
      </c>
      <c r="D18" s="36" t="s">
        <v>542</v>
      </c>
      <c r="E18" s="16">
        <f>MIN(E8:E15)</f>
        <v>2323451.62</v>
      </c>
    </row>
    <row r="19" spans="1:7" x14ac:dyDescent="0.25">
      <c r="C19" s="16"/>
      <c r="D19" s="16"/>
      <c r="E19" s="16"/>
    </row>
    <row r="20" spans="1:7" x14ac:dyDescent="0.25">
      <c r="A20">
        <f>A18+1</f>
        <v>13</v>
      </c>
      <c r="B20" s="19" t="str">
        <f>"FY 2009 salary total for Ortonville as separate district based on ("&amp;FIXED(A17,0)&amp;"):"</f>
        <v>FY 2009 salary total for Ortonville as separate district based on (11):</v>
      </c>
      <c r="E20" s="16">
        <f>C17</f>
        <v>1958078.8</v>
      </c>
      <c r="G20" t="s">
        <v>1142</v>
      </c>
    </row>
    <row r="21" spans="1:7" x14ac:dyDescent="0.25">
      <c r="A21">
        <f>A20+1</f>
        <v>14</v>
      </c>
      <c r="B21" s="19" t="str">
        <f>"FY 2009 salary total for Bellingham as separate district based on ("&amp;FIXED(A17,0)&amp;"):"</f>
        <v>FY 2009 salary total for Bellingham as separate district based on (11):</v>
      </c>
      <c r="E21" s="16">
        <f>D17</f>
        <v>332433.46000000002</v>
      </c>
      <c r="G21" t="s">
        <v>1143</v>
      </c>
    </row>
    <row r="22" spans="1:7" x14ac:dyDescent="0.25">
      <c r="A22">
        <f>A21+1</f>
        <v>15</v>
      </c>
      <c r="B22" t="str">
        <f>+"FY 2009 salary total, combined = ("&amp;FIXED(A20,0)&amp;")+("&amp;FIXED(A21,0)&amp;") ="</f>
        <v>FY 2009 salary total, combined = (13)+(14) =</v>
      </c>
      <c r="E22" s="16">
        <f>E20+E21</f>
        <v>2290512.2600000002</v>
      </c>
      <c r="G22" t="s">
        <v>1144</v>
      </c>
    </row>
    <row r="23" spans="1:7" x14ac:dyDescent="0.25">
      <c r="G23" t="s">
        <v>1145</v>
      </c>
    </row>
    <row r="24" spans="1:7" x14ac:dyDescent="0.25">
      <c r="A24">
        <f>A22+1</f>
        <v>16</v>
      </c>
      <c r="B24" t="str">
        <f>+"FY 2010 salary total based on ("&amp;FIXED(A18,0)&amp;") ="</f>
        <v>FY 2010 salary total based on (12) =</v>
      </c>
      <c r="E24" s="16">
        <f>E18</f>
        <v>2323451.62</v>
      </c>
    </row>
    <row r="26" spans="1:7" x14ac:dyDescent="0.25">
      <c r="A26">
        <f>A24+1</f>
        <v>17</v>
      </c>
      <c r="B26" t="str">
        <f>+"FY 2010 salary total, revised = lesser of ("&amp;FIXED(A22,0)&amp;") or ("&amp;FIXED(A24,0)&amp;") ="</f>
        <v>FY 2010 salary total, revised = lesser of (15) or (16) =</v>
      </c>
      <c r="E26" s="16">
        <f>MIN(E22,E24)</f>
        <v>2290512.2600000002</v>
      </c>
    </row>
    <row r="28" spans="1:7" x14ac:dyDescent="0.25">
      <c r="E28" s="16"/>
    </row>
    <row r="29" spans="1:7" x14ac:dyDescent="0.25">
      <c r="C29" s="1">
        <v>411</v>
      </c>
      <c r="D29" s="1">
        <v>417</v>
      </c>
      <c r="E29" s="1">
        <v>2904</v>
      </c>
    </row>
    <row r="30" spans="1:7" x14ac:dyDescent="0.25">
      <c r="C30" s="1">
        <v>1</v>
      </c>
      <c r="D30" s="1">
        <v>1</v>
      </c>
      <c r="E30" s="1">
        <v>1</v>
      </c>
    </row>
    <row r="31" spans="1:7" x14ac:dyDescent="0.25">
      <c r="C31" s="1" t="s">
        <v>108</v>
      </c>
      <c r="D31" s="1" t="s">
        <v>112</v>
      </c>
      <c r="E31" s="1" t="s">
        <v>531</v>
      </c>
      <c r="G31" s="40" t="s">
        <v>528</v>
      </c>
    </row>
    <row r="33" spans="1:7" x14ac:dyDescent="0.25">
      <c r="A33">
        <f>A26+1</f>
        <v>18</v>
      </c>
      <c r="B33" s="19" t="s">
        <v>526</v>
      </c>
      <c r="C33" s="16">
        <v>189196</v>
      </c>
      <c r="D33" s="16">
        <v>795109</v>
      </c>
      <c r="E33" s="16">
        <f>C33+D33</f>
        <v>984305</v>
      </c>
      <c r="G33" s="19" t="s">
        <v>543</v>
      </c>
    </row>
    <row r="34" spans="1:7" x14ac:dyDescent="0.25">
      <c r="A34">
        <f>A33+1</f>
        <v>19</v>
      </c>
      <c r="B34" s="19" t="s">
        <v>545</v>
      </c>
      <c r="C34" s="16">
        <v>-1273.33</v>
      </c>
      <c r="D34" s="16">
        <v>-4033.11</v>
      </c>
      <c r="E34" s="16">
        <f>C34+D34</f>
        <v>-5306.4400000000005</v>
      </c>
      <c r="G34" s="19" t="s">
        <v>543</v>
      </c>
    </row>
    <row r="36" spans="1:7" x14ac:dyDescent="0.25">
      <c r="A36">
        <f>A34+1</f>
        <v>20</v>
      </c>
      <c r="B36" t="s">
        <v>534</v>
      </c>
      <c r="C36" s="16">
        <v>664750.82999999996</v>
      </c>
      <c r="D36" s="16">
        <v>2359775.36</v>
      </c>
      <c r="E36" s="38">
        <f>C36+D36</f>
        <v>3024526.19</v>
      </c>
      <c r="F36" s="36"/>
      <c r="G36" s="19" t="s">
        <v>543</v>
      </c>
    </row>
    <row r="37" spans="1:7" x14ac:dyDescent="0.25">
      <c r="A37">
        <f>A36+1</f>
        <v>21</v>
      </c>
      <c r="B37" t="s">
        <v>535</v>
      </c>
      <c r="C37" s="16">
        <v>369579.01</v>
      </c>
      <c r="D37" s="16">
        <v>2734119.68</v>
      </c>
      <c r="E37" s="38">
        <f t="shared" ref="E37:E42" si="2">C37+D37</f>
        <v>3103698.6900000004</v>
      </c>
      <c r="F37" s="36"/>
      <c r="G37" s="19" t="s">
        <v>543</v>
      </c>
    </row>
    <row r="38" spans="1:7" x14ac:dyDescent="0.25">
      <c r="A38">
        <f t="shared" ref="A38:A42" si="3">A37+1</f>
        <v>22</v>
      </c>
      <c r="B38" t="s">
        <v>536</v>
      </c>
      <c r="C38" s="16">
        <v>338185.38</v>
      </c>
      <c r="D38" s="16">
        <v>2936946.97</v>
      </c>
      <c r="E38" s="38">
        <f t="shared" si="2"/>
        <v>3275132.35</v>
      </c>
      <c r="F38" s="36"/>
      <c r="G38" s="19" t="s">
        <v>543</v>
      </c>
    </row>
    <row r="39" spans="1:7" x14ac:dyDescent="0.25">
      <c r="A39">
        <f t="shared" si="3"/>
        <v>23</v>
      </c>
      <c r="B39" t="s">
        <v>537</v>
      </c>
      <c r="C39" s="16">
        <v>375891.23</v>
      </c>
      <c r="D39" s="16">
        <v>3008825.37</v>
      </c>
      <c r="E39" s="38">
        <f t="shared" si="2"/>
        <v>3384716.6</v>
      </c>
      <c r="F39" s="36"/>
      <c r="G39" s="19" t="s">
        <v>543</v>
      </c>
    </row>
    <row r="40" spans="1:7" x14ac:dyDescent="0.25">
      <c r="A40">
        <f t="shared" si="3"/>
        <v>24</v>
      </c>
      <c r="B40" t="s">
        <v>538</v>
      </c>
      <c r="C40" s="16">
        <v>383349.25</v>
      </c>
      <c r="D40" s="16">
        <v>3070068.61</v>
      </c>
      <c r="E40" s="38">
        <f t="shared" si="2"/>
        <v>3453417.86</v>
      </c>
      <c r="F40" s="36"/>
      <c r="G40" s="19" t="s">
        <v>543</v>
      </c>
    </row>
    <row r="41" spans="1:7" x14ac:dyDescent="0.25">
      <c r="A41">
        <f t="shared" si="3"/>
        <v>25</v>
      </c>
      <c r="B41" t="s">
        <v>539</v>
      </c>
      <c r="C41" s="16">
        <v>301076.34000000003</v>
      </c>
      <c r="D41" s="16">
        <v>3099310.95</v>
      </c>
      <c r="E41" s="38">
        <f t="shared" si="2"/>
        <v>3400387.29</v>
      </c>
      <c r="F41" s="36"/>
      <c r="G41" s="19" t="s">
        <v>543</v>
      </c>
    </row>
    <row r="42" spans="1:7" x14ac:dyDescent="0.25">
      <c r="A42">
        <f t="shared" si="3"/>
        <v>26</v>
      </c>
      <c r="B42" t="s">
        <v>540</v>
      </c>
      <c r="C42" s="16">
        <v>336746.71</v>
      </c>
      <c r="D42" s="16">
        <v>3380591.97</v>
      </c>
      <c r="E42" s="38">
        <f t="shared" si="2"/>
        <v>3717338.68</v>
      </c>
      <c r="F42" s="36"/>
      <c r="G42" s="19" t="s">
        <v>543</v>
      </c>
    </row>
    <row r="43" spans="1:7" x14ac:dyDescent="0.25">
      <c r="A43">
        <f>A42+1</f>
        <v>27</v>
      </c>
      <c r="B43" t="s">
        <v>541</v>
      </c>
      <c r="C43" s="36" t="s">
        <v>542</v>
      </c>
      <c r="D43" s="36" t="s">
        <v>542</v>
      </c>
      <c r="E43" s="16">
        <v>3644332.13</v>
      </c>
      <c r="F43" s="36"/>
      <c r="G43" s="39" t="s">
        <v>544</v>
      </c>
    </row>
    <row r="44" spans="1:7" x14ac:dyDescent="0.25">
      <c r="C44" s="16"/>
      <c r="D44" s="16"/>
      <c r="E44" s="36"/>
      <c r="F44" s="36"/>
    </row>
    <row r="45" spans="1:7" x14ac:dyDescent="0.25">
      <c r="A45">
        <f>A43+1</f>
        <v>28</v>
      </c>
      <c r="B45" t="str">
        <f>+"Minimum of ("&amp;FIXED(A36,0)&amp;") to ("&amp;FIXED(A42,0)&amp;") ="</f>
        <v>Minimum of (20) to (26) =</v>
      </c>
      <c r="C45" s="16">
        <f>MIN(C36:C42)</f>
        <v>301076.34000000003</v>
      </c>
      <c r="D45" s="16">
        <f>MIN(D36:D42)</f>
        <v>2359775.36</v>
      </c>
      <c r="E45" s="38" t="s">
        <v>542</v>
      </c>
    </row>
    <row r="46" spans="1:7" x14ac:dyDescent="0.25">
      <c r="A46">
        <f>A45+1</f>
        <v>29</v>
      </c>
      <c r="B46" t="str">
        <f>+"Minimum of ("&amp;FIXED(A36,0)&amp;") to ("&amp;FIXED(A43,0)&amp;") ="</f>
        <v>Minimum of (20) to (27) =</v>
      </c>
      <c r="C46" s="36" t="s">
        <v>542</v>
      </c>
      <c r="D46" s="36" t="s">
        <v>542</v>
      </c>
      <c r="E46" s="16">
        <f>MIN(E36:E43)</f>
        <v>3024526.19</v>
      </c>
    </row>
    <row r="47" spans="1:7" x14ac:dyDescent="0.25">
      <c r="C47" s="16"/>
      <c r="D47" s="16"/>
      <c r="E47" s="16"/>
    </row>
    <row r="48" spans="1:7" x14ac:dyDescent="0.25">
      <c r="A48">
        <f>A46+1</f>
        <v>30</v>
      </c>
      <c r="B48" s="19" t="str">
        <f>"FY 2009 salary total for Ortonville as separate district based on ("&amp;FIXED(A45,0)&amp;"):"</f>
        <v>FY 2009 salary total for Ortonville as separate district based on (28):</v>
      </c>
      <c r="E48" s="16">
        <f>C45</f>
        <v>301076.34000000003</v>
      </c>
      <c r="G48" t="s">
        <v>1142</v>
      </c>
    </row>
    <row r="49" spans="1:7" x14ac:dyDescent="0.25">
      <c r="A49">
        <f>A48+1</f>
        <v>31</v>
      </c>
      <c r="B49" s="19" t="str">
        <f>"FY 2009 salary total for Bellingham as separate district based on ("&amp;FIXED(A45,0)&amp;"):"</f>
        <v>FY 2009 salary total for Bellingham as separate district based on (28):</v>
      </c>
      <c r="E49" s="16">
        <f>D45</f>
        <v>2359775.36</v>
      </c>
      <c r="G49" t="s">
        <v>1143</v>
      </c>
    </row>
    <row r="50" spans="1:7" x14ac:dyDescent="0.25">
      <c r="A50">
        <f>A49+1</f>
        <v>32</v>
      </c>
      <c r="B50" t="str">
        <f>+"FY 2009 salary total, combined = ("&amp;FIXED(A48,0)&amp;")+("&amp;FIXED(A49,0)&amp;") ="</f>
        <v>FY 2009 salary total, combined = (30)+(31) =</v>
      </c>
      <c r="E50" s="16">
        <f>E48+E49</f>
        <v>2660851.6999999997</v>
      </c>
      <c r="G50" t="s">
        <v>1144</v>
      </c>
    </row>
    <row r="51" spans="1:7" x14ac:dyDescent="0.25">
      <c r="G51" t="s">
        <v>1145</v>
      </c>
    </row>
    <row r="52" spans="1:7" x14ac:dyDescent="0.25">
      <c r="A52">
        <f>A50+1</f>
        <v>33</v>
      </c>
      <c r="B52" t="str">
        <f>+"FY 2010 salary total based on ("&amp;FIXED(A46,0)&amp;") ="</f>
        <v>FY 2010 salary total based on (29) =</v>
      </c>
      <c r="E52" s="16">
        <f>E46</f>
        <v>3024526.19</v>
      </c>
    </row>
    <row r="54" spans="1:7" x14ac:dyDescent="0.25">
      <c r="A54">
        <f>A52+1</f>
        <v>34</v>
      </c>
      <c r="B54" t="str">
        <f>+"FY 2010 salary total, revised = lesser of ("&amp;FIXED(A50,0)&amp;") or ("&amp;FIXED(A52,0)&amp;") ="</f>
        <v>FY 2010 salary total, revised = lesser of (32) or (33) =</v>
      </c>
      <c r="E54" s="16">
        <f>MIN(E50,E52)</f>
        <v>2660851.6999999997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0"/>
  <sheetViews>
    <sheetView topLeftCell="A6" workbookViewId="0">
      <selection activeCell="A10" sqref="A10"/>
    </sheetView>
  </sheetViews>
  <sheetFormatPr defaultRowHeight="12.75" x14ac:dyDescent="0.25"/>
  <cols>
    <col min="1" max="1" width="4.69921875" customWidth="1"/>
    <col min="2" max="2" width="40" customWidth="1"/>
    <col min="3" max="7" width="16.69921875" customWidth="1"/>
    <col min="8" max="9" width="4.69921875" customWidth="1"/>
    <col min="10" max="10" width="16.69921875" style="21" customWidth="1"/>
    <col min="11" max="21" width="16.69921875" customWidth="1"/>
  </cols>
  <sheetData>
    <row r="1" spans="1:15" x14ac:dyDescent="0.25">
      <c r="A1" s="19" t="s">
        <v>1146</v>
      </c>
    </row>
    <row r="3" spans="1:15" x14ac:dyDescent="0.25">
      <c r="C3" s="36" t="s">
        <v>284</v>
      </c>
      <c r="D3" s="36" t="s">
        <v>285</v>
      </c>
      <c r="E3" s="36" t="s">
        <v>286</v>
      </c>
      <c r="F3" s="36" t="s">
        <v>287</v>
      </c>
      <c r="G3" s="36" t="s">
        <v>288</v>
      </c>
      <c r="H3" s="36"/>
      <c r="I3" s="36"/>
      <c r="J3" s="39"/>
      <c r="K3" s="36"/>
      <c r="L3" s="36"/>
      <c r="M3" s="1"/>
      <c r="N3" s="1"/>
      <c r="O3" s="1"/>
    </row>
    <row r="4" spans="1:15" x14ac:dyDescent="0.25">
      <c r="C4" s="36"/>
      <c r="D4" s="36"/>
      <c r="E4" s="36"/>
      <c r="F4" s="36"/>
      <c r="G4" s="36"/>
      <c r="H4" s="36"/>
      <c r="I4" s="36"/>
      <c r="J4" s="39"/>
      <c r="K4" s="36"/>
      <c r="L4" s="36"/>
      <c r="M4" s="1"/>
      <c r="N4" s="1"/>
      <c r="O4" s="1"/>
    </row>
    <row r="5" spans="1:15" x14ac:dyDescent="0.25">
      <c r="I5" s="1"/>
    </row>
    <row r="6" spans="1:15" x14ac:dyDescent="0.25">
      <c r="C6" s="1">
        <v>2887</v>
      </c>
      <c r="D6" s="1">
        <v>2159</v>
      </c>
      <c r="E6" s="1">
        <v>2365</v>
      </c>
      <c r="F6">
        <v>2859</v>
      </c>
      <c r="I6" s="51"/>
      <c r="J6" s="39"/>
      <c r="K6" s="36"/>
    </row>
    <row r="7" spans="1:15" x14ac:dyDescent="0.25">
      <c r="C7" s="1">
        <v>1</v>
      </c>
      <c r="D7" s="1">
        <v>1</v>
      </c>
      <c r="E7" s="1">
        <v>1</v>
      </c>
      <c r="F7">
        <v>1</v>
      </c>
      <c r="I7" s="1"/>
      <c r="J7" s="39"/>
      <c r="K7" s="1"/>
    </row>
    <row r="8" spans="1:15" x14ac:dyDescent="0.25">
      <c r="C8" s="36" t="s">
        <v>1136</v>
      </c>
      <c r="D8" s="36" t="s">
        <v>1137</v>
      </c>
      <c r="E8" s="1" t="s">
        <v>263</v>
      </c>
      <c r="F8" s="19" t="s">
        <v>1138</v>
      </c>
      <c r="G8" s="36" t="str">
        <f>+"= "&amp;+C3&amp;"+"&amp;+D3&amp;"+"&amp;+E3&amp;"+"&amp;+F3</f>
        <v>= A+B+C+D</v>
      </c>
      <c r="H8" s="36"/>
      <c r="J8" s="39"/>
      <c r="L8" s="36"/>
    </row>
    <row r="9" spans="1:15" x14ac:dyDescent="0.25">
      <c r="J9" s="39"/>
    </row>
    <row r="10" spans="1:15" x14ac:dyDescent="0.25">
      <c r="A10">
        <v>1</v>
      </c>
      <c r="B10" s="19" t="s">
        <v>1148</v>
      </c>
      <c r="C10" s="16"/>
      <c r="D10" s="16"/>
      <c r="E10" s="38"/>
      <c r="H10" s="11"/>
      <c r="I10" s="11"/>
      <c r="J10" s="50"/>
      <c r="K10" s="11"/>
      <c r="L10" s="11"/>
    </row>
    <row r="11" spans="1:15" x14ac:dyDescent="0.25">
      <c r="B11" s="19" t="s">
        <v>1656</v>
      </c>
      <c r="C11" s="45">
        <v>0</v>
      </c>
      <c r="D11" s="46">
        <v>0.15</v>
      </c>
      <c r="E11" s="46">
        <v>0.28999999999999998</v>
      </c>
      <c r="F11" s="46">
        <v>0.56000000000000005</v>
      </c>
      <c r="G11" s="47">
        <f>SUM(C11:F11)</f>
        <v>1</v>
      </c>
      <c r="H11" s="11"/>
      <c r="I11" s="11"/>
      <c r="J11" s="50"/>
      <c r="K11" s="11"/>
      <c r="L11" s="11"/>
    </row>
    <row r="12" spans="1:15" x14ac:dyDescent="0.25">
      <c r="J12" s="39"/>
    </row>
    <row r="13" spans="1:15" x14ac:dyDescent="0.25">
      <c r="B13" s="19" t="s">
        <v>1150</v>
      </c>
      <c r="J13" s="39"/>
    </row>
    <row r="14" spans="1:15" x14ac:dyDescent="0.25">
      <c r="J14" s="39"/>
    </row>
    <row r="15" spans="1:15" x14ac:dyDescent="0.25">
      <c r="A15">
        <f>A10+1</f>
        <v>2</v>
      </c>
      <c r="B15" t="s">
        <v>534</v>
      </c>
      <c r="C15" s="16">
        <v>1487616.72</v>
      </c>
      <c r="D15" s="16">
        <v>1499008.01</v>
      </c>
      <c r="E15" s="16">
        <v>2637938.48</v>
      </c>
      <c r="F15" s="11">
        <v>4201427.59</v>
      </c>
      <c r="G15" s="11">
        <f>C15+D15+E15+F15</f>
        <v>9825990.8000000007</v>
      </c>
      <c r="H15" s="11"/>
      <c r="I15" s="11"/>
      <c r="J15" s="49"/>
      <c r="K15" s="11"/>
      <c r="L15" s="11"/>
    </row>
    <row r="16" spans="1:15" x14ac:dyDescent="0.25">
      <c r="A16">
        <f>A15+1</f>
        <v>3</v>
      </c>
      <c r="B16" t="s">
        <v>535</v>
      </c>
      <c r="C16" s="16">
        <v>1553595.1</v>
      </c>
      <c r="D16" s="16">
        <v>2265962.58</v>
      </c>
      <c r="E16" s="16">
        <v>3188988.91</v>
      </c>
      <c r="F16" s="11">
        <v>5881443.2699999996</v>
      </c>
      <c r="G16" s="11">
        <f t="shared" ref="G16:G21" si="0">C16+D16+E16+F16</f>
        <v>12889989.859999999</v>
      </c>
      <c r="H16" s="11"/>
      <c r="I16" s="11"/>
      <c r="J16" s="49"/>
      <c r="K16" s="11"/>
      <c r="L16" s="11"/>
    </row>
    <row r="17" spans="1:12" x14ac:dyDescent="0.25">
      <c r="A17">
        <f t="shared" ref="A17:A22" si="1">A16+1</f>
        <v>4</v>
      </c>
      <c r="B17" t="s">
        <v>536</v>
      </c>
      <c r="C17" s="16">
        <v>1607578.73</v>
      </c>
      <c r="D17" s="16">
        <v>2216552.64</v>
      </c>
      <c r="E17" s="16">
        <v>3193583.58</v>
      </c>
      <c r="F17" s="11">
        <v>6095824.8700000001</v>
      </c>
      <c r="G17" s="11">
        <f t="shared" si="0"/>
        <v>13113539.82</v>
      </c>
      <c r="H17" s="11"/>
      <c r="I17" s="11"/>
      <c r="J17" s="49"/>
      <c r="K17" s="11"/>
      <c r="L17" s="11"/>
    </row>
    <row r="18" spans="1:12" x14ac:dyDescent="0.25">
      <c r="A18">
        <f t="shared" si="1"/>
        <v>5</v>
      </c>
      <c r="B18" t="s">
        <v>537</v>
      </c>
      <c r="C18" s="16">
        <v>1637985.05</v>
      </c>
      <c r="D18" s="16">
        <v>2250864.08</v>
      </c>
      <c r="E18" s="16">
        <v>3010779.06</v>
      </c>
      <c r="F18" s="11">
        <v>5741888.8200000003</v>
      </c>
      <c r="G18" s="11">
        <f t="shared" si="0"/>
        <v>12641517.01</v>
      </c>
      <c r="H18" s="11"/>
      <c r="I18" s="11"/>
      <c r="J18" s="49"/>
      <c r="K18" s="11"/>
      <c r="L18" s="11"/>
    </row>
    <row r="19" spans="1:12" x14ac:dyDescent="0.25">
      <c r="A19">
        <f t="shared" si="1"/>
        <v>6</v>
      </c>
      <c r="B19" t="s">
        <v>538</v>
      </c>
      <c r="C19" s="16">
        <v>1568852.79</v>
      </c>
      <c r="D19" s="16">
        <v>2213944.46</v>
      </c>
      <c r="E19" s="38">
        <v>3072818.16</v>
      </c>
      <c r="F19" s="11">
        <v>5387615.2999999998</v>
      </c>
      <c r="G19" s="11">
        <f t="shared" si="0"/>
        <v>12243230.710000001</v>
      </c>
    </row>
    <row r="20" spans="1:12" x14ac:dyDescent="0.25">
      <c r="A20">
        <f t="shared" si="1"/>
        <v>7</v>
      </c>
      <c r="B20" t="s">
        <v>539</v>
      </c>
      <c r="C20" s="16">
        <v>1436341.44</v>
      </c>
      <c r="D20" s="16">
        <v>2364341.6</v>
      </c>
      <c r="E20" s="38">
        <v>3133690.35</v>
      </c>
      <c r="F20" s="11">
        <v>5421286.4800000004</v>
      </c>
      <c r="G20" s="11">
        <f t="shared" si="0"/>
        <v>12355659.870000001</v>
      </c>
      <c r="H20" s="11"/>
      <c r="I20" s="38"/>
      <c r="J20" s="50"/>
      <c r="K20" s="38"/>
      <c r="L20" s="38"/>
    </row>
    <row r="21" spans="1:12" x14ac:dyDescent="0.25">
      <c r="A21">
        <f t="shared" si="1"/>
        <v>8</v>
      </c>
      <c r="B21" t="s">
        <v>540</v>
      </c>
      <c r="C21" s="16">
        <v>1082620.04</v>
      </c>
      <c r="D21" s="16">
        <v>2528502.75</v>
      </c>
      <c r="E21" s="38">
        <v>3087237.08</v>
      </c>
      <c r="F21" s="11">
        <v>5841122.2199999997</v>
      </c>
      <c r="G21" s="11">
        <f t="shared" si="0"/>
        <v>12539482.09</v>
      </c>
      <c r="H21" s="11"/>
      <c r="I21" s="38"/>
      <c r="J21" s="50"/>
      <c r="K21" s="38"/>
      <c r="L21" s="38"/>
    </row>
    <row r="22" spans="1:12" x14ac:dyDescent="0.25">
      <c r="A22">
        <f t="shared" si="1"/>
        <v>9</v>
      </c>
      <c r="B22" t="s">
        <v>541</v>
      </c>
      <c r="C22" s="16">
        <v>0</v>
      </c>
      <c r="D22" s="16">
        <v>2655495.7200000002</v>
      </c>
      <c r="E22" s="38">
        <v>3277582.59</v>
      </c>
      <c r="F22" s="11">
        <v>6501234.79</v>
      </c>
      <c r="G22" s="11">
        <f>D22+E22+F22</f>
        <v>12434313.100000001</v>
      </c>
      <c r="H22" s="11"/>
      <c r="I22" s="38"/>
      <c r="J22" s="50"/>
      <c r="K22" s="38"/>
      <c r="L22" s="38"/>
    </row>
    <row r="23" spans="1:12" x14ac:dyDescent="0.25">
      <c r="C23" s="16"/>
      <c r="D23" s="16"/>
      <c r="E23" s="36"/>
    </row>
    <row r="24" spans="1:12" x14ac:dyDescent="0.25">
      <c r="B24" s="19" t="s">
        <v>1654</v>
      </c>
      <c r="C24" s="16"/>
      <c r="D24" s="16"/>
      <c r="E24" s="36"/>
    </row>
    <row r="25" spans="1:12" x14ac:dyDescent="0.25">
      <c r="C25" s="16"/>
      <c r="D25" s="16"/>
      <c r="E25" s="36"/>
    </row>
    <row r="26" spans="1:12" x14ac:dyDescent="0.25">
      <c r="A26">
        <f>A22+1</f>
        <v>10</v>
      </c>
      <c r="B26" t="str">
        <f>+"Minimum of ("&amp;FIXED(A15,0)&amp;") to ("&amp;FIXED(A21,0)&amp;") ="</f>
        <v>Minimum of (2) to (8) =</v>
      </c>
      <c r="C26" s="16">
        <f>MIN(C15:C21)</f>
        <v>1082620.04</v>
      </c>
      <c r="D26" s="38" t="s">
        <v>542</v>
      </c>
      <c r="E26" s="38" t="s">
        <v>542</v>
      </c>
      <c r="F26" s="38" t="s">
        <v>542</v>
      </c>
      <c r="G26" s="38">
        <f>C26</f>
        <v>1082620.04</v>
      </c>
    </row>
    <row r="27" spans="1:12" x14ac:dyDescent="0.25">
      <c r="A27">
        <f>A26+1</f>
        <v>11</v>
      </c>
      <c r="B27" t="str">
        <f>+"Proportionate share of ("&amp;FIXED(A26,0)&amp;") ="</f>
        <v>Proportionate share of (10) =</v>
      </c>
      <c r="C27" s="16">
        <v>0</v>
      </c>
      <c r="D27" s="16">
        <f>ROUND(C26*D11,2)</f>
        <v>162393.01</v>
      </c>
      <c r="E27" s="16">
        <f>ROUND(C26*E11,2)</f>
        <v>313959.81</v>
      </c>
      <c r="F27" s="16">
        <f>C26-D27-E27</f>
        <v>606267.22</v>
      </c>
      <c r="G27" s="11">
        <f>C27+D27+E27+F27</f>
        <v>1082620.04</v>
      </c>
    </row>
    <row r="28" spans="1:12" x14ac:dyDescent="0.25">
      <c r="C28" s="16"/>
      <c r="D28" s="16"/>
      <c r="E28" s="16"/>
      <c r="F28" s="16"/>
      <c r="G28" s="11"/>
    </row>
    <row r="29" spans="1:12" x14ac:dyDescent="0.25">
      <c r="A29">
        <f>A27+1</f>
        <v>12</v>
      </c>
      <c r="B29" t="str">
        <f>+"Minimum of ("&amp;FIXED(A15,0)&amp;") to ("&amp;FIXED(A22,0)&amp;") ="</f>
        <v>Minimum of (2) to (9) =</v>
      </c>
      <c r="C29" s="38" t="s">
        <v>542</v>
      </c>
      <c r="D29" s="16">
        <f>MIN(D15:D22)</f>
        <v>1499008.01</v>
      </c>
      <c r="E29" s="16">
        <f t="shared" ref="E29:F29" si="2">MIN(E15:E22)</f>
        <v>2637938.48</v>
      </c>
      <c r="F29" s="16">
        <f t="shared" si="2"/>
        <v>4201427.59</v>
      </c>
      <c r="G29" s="11">
        <f>SUM(D29:F29)</f>
        <v>8338374.0800000001</v>
      </c>
    </row>
    <row r="30" spans="1:12" x14ac:dyDescent="0.25">
      <c r="A30">
        <f>A29+1</f>
        <v>13</v>
      </c>
      <c r="B30" t="str">
        <f>+"Adjusted FY 1997 salary = ("&amp;FIXED(A27,0)&amp;")+("&amp;FIXED(A29,0)&amp;") ="</f>
        <v>Adjusted FY 1997 salary = (11)+(12) =</v>
      </c>
      <c r="C30" s="38" t="s">
        <v>542</v>
      </c>
      <c r="D30" s="16">
        <f>D27+D29</f>
        <v>1661401.02</v>
      </c>
      <c r="E30" s="16">
        <f t="shared" ref="E30:F30" si="3">E27+E29</f>
        <v>2951898.29</v>
      </c>
      <c r="F30" s="16">
        <f t="shared" si="3"/>
        <v>4807694.8099999996</v>
      </c>
      <c r="G30" s="11">
        <f>D30+E30+F30</f>
        <v>9420994.120000001</v>
      </c>
    </row>
    <row r="31" spans="1:12" x14ac:dyDescent="0.25">
      <c r="C31" s="16"/>
      <c r="D31" s="16"/>
      <c r="E31" s="38"/>
    </row>
    <row r="32" spans="1:12" x14ac:dyDescent="0.25">
      <c r="A32">
        <f>A30+1</f>
        <v>14</v>
      </c>
      <c r="B32" t="s">
        <v>1655</v>
      </c>
      <c r="C32" s="38" t="s">
        <v>542</v>
      </c>
      <c r="D32" s="16">
        <f>ROUND($C19*D11,2)</f>
        <v>235327.92</v>
      </c>
      <c r="E32" s="16">
        <f t="shared" ref="E32:F32" si="4">ROUND($C19*E11,2)</f>
        <v>454967.31</v>
      </c>
      <c r="F32" s="16">
        <f t="shared" si="4"/>
        <v>878557.56</v>
      </c>
      <c r="G32" s="11">
        <f>SUM(D32:F32)</f>
        <v>1568852.79</v>
      </c>
    </row>
    <row r="33" spans="1:7" x14ac:dyDescent="0.25">
      <c r="A33">
        <f>A32+1</f>
        <v>15</v>
      </c>
      <c r="B33" t="str">
        <f>+"Adjusted FY 2007 salary = ("&amp;+A19&amp;")+("&amp;+A32&amp;") ="</f>
        <v>Adjusted FY 2007 salary = (6)+(14) =</v>
      </c>
      <c r="C33" s="38" t="s">
        <v>542</v>
      </c>
      <c r="D33" s="16">
        <f>D19+D32</f>
        <v>2449272.38</v>
      </c>
      <c r="E33" s="16">
        <f t="shared" ref="E33:F33" si="5">E19+E32</f>
        <v>3527785.47</v>
      </c>
      <c r="F33" s="16">
        <f t="shared" si="5"/>
        <v>6266172.8599999994</v>
      </c>
      <c r="G33" s="16">
        <f>SUM(D33:F33)</f>
        <v>12243230.709999999</v>
      </c>
    </row>
    <row r="34" spans="1:7" x14ac:dyDescent="0.25">
      <c r="C34" s="16"/>
      <c r="D34" s="16"/>
      <c r="E34" s="38"/>
    </row>
    <row r="35" spans="1:7" x14ac:dyDescent="0.25">
      <c r="B35" s="19" t="s">
        <v>1151</v>
      </c>
      <c r="C35" s="16"/>
      <c r="D35" s="16"/>
      <c r="E35" s="38"/>
    </row>
    <row r="36" spans="1:7" x14ac:dyDescent="0.25">
      <c r="C36" s="16"/>
      <c r="D36" s="16"/>
      <c r="E36" s="38"/>
    </row>
    <row r="37" spans="1:7" x14ac:dyDescent="0.25">
      <c r="B37" s="19" t="s">
        <v>1152</v>
      </c>
      <c r="C37" s="16"/>
      <c r="D37" s="16"/>
      <c r="E37" s="38"/>
    </row>
    <row r="38" spans="1:7" x14ac:dyDescent="0.25">
      <c r="C38" s="16"/>
      <c r="D38" s="16"/>
      <c r="E38" s="38"/>
    </row>
    <row r="39" spans="1:7" x14ac:dyDescent="0.25">
      <c r="A39">
        <f>A33+1</f>
        <v>16</v>
      </c>
      <c r="B39" s="19" t="s">
        <v>526</v>
      </c>
      <c r="C39" s="11">
        <v>377150</v>
      </c>
      <c r="D39" s="11">
        <v>356207</v>
      </c>
      <c r="E39" s="11">
        <v>905939</v>
      </c>
      <c r="F39" s="11">
        <v>1619524</v>
      </c>
      <c r="G39" s="11">
        <f>C39+D39+E39+F39</f>
        <v>3258820</v>
      </c>
    </row>
    <row r="40" spans="1:7" x14ac:dyDescent="0.25">
      <c r="A40">
        <f>A39+1</f>
        <v>17</v>
      </c>
      <c r="B40" s="19" t="s">
        <v>545</v>
      </c>
      <c r="C40" s="11">
        <v>-2307.75</v>
      </c>
      <c r="D40" s="11">
        <v>-2908.54</v>
      </c>
      <c r="E40" s="11">
        <v>-2900</v>
      </c>
      <c r="F40" s="11">
        <v>-6870.24</v>
      </c>
      <c r="G40" s="11">
        <f t="shared" ref="G40" si="6">C40+D40+E40+F40</f>
        <v>-14986.529999999999</v>
      </c>
    </row>
    <row r="41" spans="1:7" x14ac:dyDescent="0.25">
      <c r="C41" s="16"/>
      <c r="D41" s="16"/>
      <c r="E41" s="38"/>
    </row>
    <row r="42" spans="1:7" x14ac:dyDescent="0.25">
      <c r="B42" s="19" t="s">
        <v>1149</v>
      </c>
      <c r="C42" s="16"/>
      <c r="D42" s="16"/>
      <c r="E42" s="38"/>
    </row>
    <row r="43" spans="1:7" x14ac:dyDescent="0.25">
      <c r="C43" s="16"/>
      <c r="D43" s="16"/>
      <c r="E43" s="38"/>
    </row>
    <row r="44" spans="1:7" x14ac:dyDescent="0.25">
      <c r="A44">
        <f>A40+1</f>
        <v>18</v>
      </c>
      <c r="B44" s="19" t="s">
        <v>526</v>
      </c>
      <c r="C44" s="38" t="s">
        <v>542</v>
      </c>
      <c r="D44" s="16">
        <f>ROUND(C39*D11,2)</f>
        <v>56572.5</v>
      </c>
      <c r="E44" s="38">
        <f>ROUND(C39*E11,2)</f>
        <v>109373.5</v>
      </c>
      <c r="F44" s="11">
        <f>C39-D44-E44</f>
        <v>211204</v>
      </c>
      <c r="G44" s="11">
        <f>SUM(D44:F44)</f>
        <v>377150</v>
      </c>
    </row>
    <row r="45" spans="1:7" x14ac:dyDescent="0.25">
      <c r="A45">
        <f>A44+1</f>
        <v>19</v>
      </c>
      <c r="B45" s="19" t="s">
        <v>545</v>
      </c>
      <c r="C45" s="38" t="s">
        <v>542</v>
      </c>
      <c r="D45" s="16">
        <f>ROUND(C40*D11,2)</f>
        <v>-346.16</v>
      </c>
      <c r="E45" s="38">
        <f>ROUND(C40*E11,2)</f>
        <v>-669.25</v>
      </c>
      <c r="F45" s="11">
        <f>C40-D45-E45</f>
        <v>-1292.3399999999999</v>
      </c>
      <c r="G45" s="11">
        <f>SUM(D45:F45)</f>
        <v>-2307.75</v>
      </c>
    </row>
    <row r="46" spans="1:7" x14ac:dyDescent="0.25">
      <c r="B46" s="19"/>
      <c r="C46" s="38"/>
      <c r="D46" s="16"/>
      <c r="E46" s="38"/>
      <c r="F46" s="11"/>
      <c r="G46" s="11"/>
    </row>
    <row r="47" spans="1:7" x14ac:dyDescent="0.25">
      <c r="B47" s="19" t="s">
        <v>1153</v>
      </c>
      <c r="C47" s="38"/>
      <c r="D47" s="16"/>
      <c r="E47" s="38"/>
      <c r="F47" s="11"/>
      <c r="G47" s="11"/>
    </row>
    <row r="48" spans="1:7" x14ac:dyDescent="0.25">
      <c r="B48" s="19"/>
      <c r="C48" s="38"/>
      <c r="D48" s="16"/>
      <c r="E48" s="38"/>
      <c r="F48" s="11"/>
      <c r="G48" s="11"/>
    </row>
    <row r="49" spans="1:12" x14ac:dyDescent="0.25">
      <c r="A49">
        <f>A45+1</f>
        <v>20</v>
      </c>
      <c r="B49" s="19" t="str">
        <f>+"PERA salaries, FY 1997 = ("&amp;FIXED(A39,0)&amp;")+("&amp;FIXED(A44,0)&amp;") ="</f>
        <v>PERA salaries, FY 1997 = (16)+(18) =</v>
      </c>
      <c r="C49" s="38" t="s">
        <v>542</v>
      </c>
      <c r="D49" s="16">
        <f>D39+D44</f>
        <v>412779.5</v>
      </c>
      <c r="E49" s="16">
        <f t="shared" ref="E49:F49" si="7">E39+E44</f>
        <v>1015312.5</v>
      </c>
      <c r="F49" s="16">
        <f t="shared" si="7"/>
        <v>1830728</v>
      </c>
      <c r="G49" s="11">
        <f>SUM(D49:F49)</f>
        <v>3258820</v>
      </c>
    </row>
    <row r="50" spans="1:12" x14ac:dyDescent="0.25">
      <c r="A50">
        <f>A49+1</f>
        <v>21</v>
      </c>
      <c r="B50" s="19" t="str">
        <f>+"PERA adjustment, old law = ("&amp;FIXED(A40,0)&amp;")+("&amp;FIXED(A45,0)&amp;") ="</f>
        <v>PERA adjustment, old law = (17)+(19) =</v>
      </c>
      <c r="C50" s="38" t="s">
        <v>542</v>
      </c>
      <c r="D50" s="16">
        <f>D40+D45</f>
        <v>-3254.7</v>
      </c>
      <c r="E50" s="16">
        <f t="shared" ref="E50:F50" si="8">E40+E45</f>
        <v>-3569.25</v>
      </c>
      <c r="F50" s="16">
        <f t="shared" si="8"/>
        <v>-8162.58</v>
      </c>
      <c r="G50" s="11">
        <f>SUM(D50:F50)</f>
        <v>-14986.529999999999</v>
      </c>
    </row>
    <row r="51" spans="1:12" x14ac:dyDescent="0.25">
      <c r="C51" s="16"/>
      <c r="D51" s="16"/>
      <c r="E51" s="38"/>
    </row>
    <row r="52" spans="1:12" x14ac:dyDescent="0.25">
      <c r="C52" s="16"/>
      <c r="D52" s="16"/>
      <c r="E52" s="38"/>
    </row>
    <row r="53" spans="1:12" x14ac:dyDescent="0.25">
      <c r="B53" s="19"/>
      <c r="C53" s="16"/>
      <c r="D53" s="16"/>
      <c r="E53" s="38"/>
    </row>
    <row r="54" spans="1:12" x14ac:dyDescent="0.25">
      <c r="C54" s="16"/>
      <c r="D54" s="16"/>
      <c r="E54" s="38"/>
    </row>
    <row r="55" spans="1:12" x14ac:dyDescent="0.25">
      <c r="F55" s="1"/>
      <c r="G55" s="1"/>
      <c r="H55" s="1"/>
      <c r="J55" s="49"/>
      <c r="K55" s="11"/>
      <c r="L55" s="11"/>
    </row>
    <row r="56" spans="1:12" x14ac:dyDescent="0.25">
      <c r="F56" s="1"/>
      <c r="G56" s="1"/>
      <c r="H56" s="1"/>
      <c r="J56" s="49"/>
      <c r="K56" s="11"/>
      <c r="L56" s="11"/>
    </row>
    <row r="58" spans="1:12" x14ac:dyDescent="0.25">
      <c r="J58" s="49"/>
      <c r="K58" s="11"/>
      <c r="L58" s="11"/>
    </row>
    <row r="59" spans="1:12" x14ac:dyDescent="0.25">
      <c r="F59" s="11"/>
      <c r="G59" s="11"/>
      <c r="H59" s="11"/>
    </row>
    <row r="60" spans="1:12" x14ac:dyDescent="0.25">
      <c r="F60" s="11"/>
      <c r="G60" s="11"/>
      <c r="H60" s="11"/>
      <c r="J60" s="49"/>
      <c r="K60" s="11"/>
      <c r="L60" s="11"/>
    </row>
    <row r="61" spans="1:12" x14ac:dyDescent="0.25">
      <c r="F61" s="11"/>
      <c r="G61" s="11"/>
      <c r="H61" s="11"/>
    </row>
    <row r="62" spans="1:12" x14ac:dyDescent="0.25">
      <c r="F62" s="11"/>
      <c r="G62" s="11"/>
      <c r="H62" s="11"/>
    </row>
    <row r="63" spans="1:12" x14ac:dyDescent="0.25">
      <c r="F63" s="11"/>
      <c r="G63" s="11"/>
      <c r="H63" s="11"/>
    </row>
    <row r="64" spans="1:12" x14ac:dyDescent="0.25">
      <c r="F64" s="11"/>
      <c r="G64" s="11"/>
      <c r="H64" s="11"/>
    </row>
    <row r="65" spans="6:8" x14ac:dyDescent="0.25">
      <c r="F65" s="11"/>
      <c r="G65" s="11"/>
      <c r="H65" s="11"/>
    </row>
    <row r="66" spans="6:8" x14ac:dyDescent="0.25">
      <c r="F66" s="11"/>
      <c r="G66" s="11"/>
      <c r="H66" s="11"/>
    </row>
    <row r="67" spans="6:8" x14ac:dyDescent="0.25">
      <c r="F67" s="11"/>
      <c r="G67" s="11"/>
      <c r="H67" s="11"/>
    </row>
    <row r="68" spans="6:8" x14ac:dyDescent="0.25">
      <c r="F68" s="11"/>
      <c r="G68" s="11"/>
      <c r="H68" s="11"/>
    </row>
    <row r="69" spans="6:8" x14ac:dyDescent="0.25">
      <c r="F69" s="11"/>
      <c r="G69" s="11"/>
      <c r="H69" s="11"/>
    </row>
    <row r="70" spans="6:8" x14ac:dyDescent="0.25">
      <c r="F70" s="11"/>
      <c r="G70" s="11"/>
      <c r="H70" s="11"/>
    </row>
    <row r="71" spans="6:8" x14ac:dyDescent="0.25">
      <c r="F71" s="11"/>
      <c r="G71" s="11"/>
      <c r="H71" s="11"/>
    </row>
    <row r="72" spans="6:8" x14ac:dyDescent="0.25">
      <c r="F72" s="11"/>
      <c r="G72" s="11"/>
      <c r="H72" s="11"/>
    </row>
    <row r="73" spans="6:8" x14ac:dyDescent="0.25">
      <c r="F73" s="11"/>
      <c r="G73" s="11"/>
      <c r="H73" s="11"/>
    </row>
    <row r="74" spans="6:8" x14ac:dyDescent="0.25">
      <c r="F74" s="11"/>
      <c r="G74" s="11"/>
      <c r="H74" s="11"/>
    </row>
    <row r="75" spans="6:8" x14ac:dyDescent="0.25">
      <c r="F75" s="11"/>
      <c r="G75" s="11"/>
      <c r="H75" s="11"/>
    </row>
    <row r="76" spans="6:8" x14ac:dyDescent="0.25">
      <c r="F76" s="11"/>
      <c r="G76" s="11"/>
      <c r="H76" s="11"/>
    </row>
    <row r="77" spans="6:8" x14ac:dyDescent="0.25">
      <c r="F77" s="11"/>
      <c r="G77" s="11"/>
      <c r="H77" s="11"/>
    </row>
    <row r="79" spans="6:8" x14ac:dyDescent="0.25">
      <c r="F79" s="11"/>
      <c r="G79" s="11"/>
      <c r="H79" s="11"/>
    </row>
    <row r="80" spans="6:8" x14ac:dyDescent="0.25">
      <c r="F80" s="11"/>
      <c r="G80" s="11"/>
      <c r="H80" s="11"/>
    </row>
    <row r="81" spans="6:8" x14ac:dyDescent="0.25">
      <c r="G81" s="11"/>
      <c r="H81" s="11"/>
    </row>
    <row r="82" spans="6:8" x14ac:dyDescent="0.25">
      <c r="F82" s="11"/>
      <c r="G82" s="11"/>
      <c r="H82" s="11"/>
    </row>
    <row r="83" spans="6:8" x14ac:dyDescent="0.25">
      <c r="F83" s="11"/>
      <c r="G83" s="11"/>
      <c r="H83" s="11"/>
    </row>
    <row r="84" spans="6:8" x14ac:dyDescent="0.25">
      <c r="F84" s="11"/>
      <c r="G84" s="11"/>
      <c r="H84" s="11"/>
    </row>
    <row r="85" spans="6:8" x14ac:dyDescent="0.25">
      <c r="F85" s="11"/>
      <c r="G85" s="11"/>
      <c r="H85" s="11"/>
    </row>
    <row r="86" spans="6:8" x14ac:dyDescent="0.25">
      <c r="F86" s="11"/>
    </row>
    <row r="87" spans="6:8" x14ac:dyDescent="0.25">
      <c r="F87" s="47"/>
      <c r="G87" s="47"/>
      <c r="H87" s="47"/>
    </row>
    <row r="88" spans="6:8" x14ac:dyDescent="0.25">
      <c r="F88" s="47"/>
      <c r="G88" s="47"/>
      <c r="H88" s="47"/>
    </row>
    <row r="89" spans="6:8" x14ac:dyDescent="0.25">
      <c r="F89" s="47"/>
      <c r="G89" s="47"/>
      <c r="H89" s="47"/>
    </row>
    <row r="90" spans="6:8" x14ac:dyDescent="0.25">
      <c r="F90" s="47"/>
      <c r="G90" s="47"/>
      <c r="H90" s="47"/>
    </row>
  </sheetData>
  <printOptions gridLines="1"/>
  <pageMargins left="0.7" right="0.7" top="0.75" bottom="0.75" header="0.3" footer="0.3"/>
  <pageSetup scale="6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2"/>
  <sheetViews>
    <sheetView workbookViewId="0"/>
  </sheetViews>
  <sheetFormatPr defaultRowHeight="12.75" x14ac:dyDescent="0.25"/>
  <cols>
    <col min="1" max="1" width="127.8984375" customWidth="1"/>
  </cols>
  <sheetData>
    <row r="1" spans="1:1" x14ac:dyDescent="0.25">
      <c r="A1" t="s">
        <v>321</v>
      </c>
    </row>
    <row r="2" spans="1:1" x14ac:dyDescent="0.25">
      <c r="A2" s="6" t="s">
        <v>298</v>
      </c>
    </row>
    <row r="4" spans="1:1" ht="13.3" x14ac:dyDescent="0.3">
      <c r="A4" s="14" t="s">
        <v>299</v>
      </c>
    </row>
    <row r="5" spans="1:1" ht="13.3" x14ac:dyDescent="0.3">
      <c r="A5" s="14"/>
    </row>
    <row r="6" spans="1:1" ht="13.3" x14ac:dyDescent="0.3">
      <c r="A6" s="14" t="s">
        <v>300</v>
      </c>
    </row>
    <row r="7" spans="1:1" ht="13.3" x14ac:dyDescent="0.3">
      <c r="A7" s="14" t="s">
        <v>301</v>
      </c>
    </row>
    <row r="8" spans="1:1" ht="13.3" x14ac:dyDescent="0.3">
      <c r="A8" s="14" t="s">
        <v>302</v>
      </c>
    </row>
    <row r="9" spans="1:1" ht="13.3" x14ac:dyDescent="0.3">
      <c r="A9" s="14" t="s">
        <v>303</v>
      </c>
    </row>
    <row r="10" spans="1:1" ht="13.3" x14ac:dyDescent="0.3">
      <c r="A10" s="14" t="s">
        <v>304</v>
      </c>
    </row>
    <row r="11" spans="1:1" ht="13.3" x14ac:dyDescent="0.3">
      <c r="A11" s="14" t="s">
        <v>305</v>
      </c>
    </row>
    <row r="12" spans="1:1" ht="13.3" x14ac:dyDescent="0.3">
      <c r="A12" s="14"/>
    </row>
    <row r="13" spans="1:1" ht="13.3" x14ac:dyDescent="0.3">
      <c r="A13" s="14" t="s">
        <v>306</v>
      </c>
    </row>
    <row r="14" spans="1:1" ht="13.3" x14ac:dyDescent="0.3">
      <c r="A14" s="14" t="s">
        <v>307</v>
      </c>
    </row>
    <row r="15" spans="1:1" ht="13.3" x14ac:dyDescent="0.3">
      <c r="A15" s="14" t="s">
        <v>308</v>
      </c>
    </row>
    <row r="16" spans="1:1" ht="13.3" x14ac:dyDescent="0.3">
      <c r="A16" s="14" t="s">
        <v>309</v>
      </c>
    </row>
    <row r="17" spans="1:1" ht="13.3" x14ac:dyDescent="0.3">
      <c r="A17" s="14"/>
    </row>
    <row r="18" spans="1:1" ht="13.3" x14ac:dyDescent="0.3">
      <c r="A18" s="14" t="s">
        <v>310</v>
      </c>
    </row>
    <row r="19" spans="1:1" ht="13.3" x14ac:dyDescent="0.3">
      <c r="A19" s="14" t="s">
        <v>311</v>
      </c>
    </row>
    <row r="20" spans="1:1" ht="13.3" x14ac:dyDescent="0.3">
      <c r="A20" s="14" t="s">
        <v>312</v>
      </c>
    </row>
    <row r="21" spans="1:1" ht="13.3" x14ac:dyDescent="0.3">
      <c r="A21" s="14"/>
    </row>
    <row r="22" spans="1:1" ht="13.3" x14ac:dyDescent="0.3">
      <c r="A22" s="14" t="s">
        <v>313</v>
      </c>
    </row>
    <row r="23" spans="1:1" ht="13.3" x14ac:dyDescent="0.3">
      <c r="A23" s="14"/>
    </row>
    <row r="24" spans="1:1" ht="13.3" x14ac:dyDescent="0.3">
      <c r="A24" s="14" t="s">
        <v>314</v>
      </c>
    </row>
    <row r="25" spans="1:1" ht="13.3" x14ac:dyDescent="0.3">
      <c r="A25" s="14"/>
    </row>
    <row r="26" spans="1:1" ht="13.3" x14ac:dyDescent="0.3">
      <c r="A26" s="14" t="s">
        <v>315</v>
      </c>
    </row>
    <row r="27" spans="1:1" ht="13.3" x14ac:dyDescent="0.3">
      <c r="A27" s="14" t="s">
        <v>316</v>
      </c>
    </row>
    <row r="28" spans="1:1" ht="13.3" x14ac:dyDescent="0.3">
      <c r="A28" s="14" t="s">
        <v>317</v>
      </c>
    </row>
    <row r="29" spans="1:1" ht="13.3" x14ac:dyDescent="0.3">
      <c r="A29" s="14" t="s">
        <v>318</v>
      </c>
    </row>
    <row r="30" spans="1:1" ht="13.3" x14ac:dyDescent="0.3">
      <c r="A30" s="14" t="s">
        <v>319</v>
      </c>
    </row>
    <row r="31" spans="1:1" ht="13.3" x14ac:dyDescent="0.3">
      <c r="A31" s="14" t="s">
        <v>320</v>
      </c>
    </row>
    <row r="32" spans="1:1" x14ac:dyDescent="0.25">
      <c r="A32" s="15" t="s">
        <v>322</v>
      </c>
    </row>
  </sheetData>
  <phoneticPr fontId="0" type="noConversion"/>
  <hyperlinks>
    <hyperlink ref="A32" r:id="rId1"/>
  </hyperlinks>
  <pageMargins left="0.75" right="0.75" top="1" bottom="1" header="0.5" footer="0.5"/>
  <pageSetup orientation="portrait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4"/>
  <sheetViews>
    <sheetView zoomScale="75" workbookViewId="0"/>
  </sheetViews>
  <sheetFormatPr defaultRowHeight="12.75" x14ac:dyDescent="0.25"/>
  <cols>
    <col min="1" max="1" width="7.59765625" customWidth="1"/>
    <col min="2" max="2" width="4.09765625" customWidth="1"/>
    <col min="3" max="3" width="18.69921875" customWidth="1"/>
    <col min="4" max="18" width="12.69921875" customWidth="1"/>
  </cols>
  <sheetData>
    <row r="1" spans="1:18" x14ac:dyDescent="0.25">
      <c r="A1" t="s">
        <v>490</v>
      </c>
      <c r="R1" s="1" t="s">
        <v>487</v>
      </c>
    </row>
    <row r="2" spans="1:18" x14ac:dyDescent="0.25">
      <c r="R2" s="5">
        <v>39216</v>
      </c>
    </row>
    <row r="3" spans="1:18" x14ac:dyDescent="0.25">
      <c r="A3" s="32" t="s">
        <v>502</v>
      </c>
      <c r="R3" s="5"/>
    </row>
    <row r="4" spans="1:18" x14ac:dyDescent="0.25">
      <c r="A4" s="32" t="s">
        <v>503</v>
      </c>
      <c r="R4" s="5"/>
    </row>
    <row r="5" spans="1:18" x14ac:dyDescent="0.25">
      <c r="R5" s="5"/>
    </row>
    <row r="6" spans="1:18" x14ac:dyDescent="0.25">
      <c r="R6" s="5"/>
    </row>
    <row r="7" spans="1:18" x14ac:dyDescent="0.25">
      <c r="A7" t="s">
        <v>491</v>
      </c>
    </row>
    <row r="9" spans="1:18" x14ac:dyDescent="0.25">
      <c r="A9" t="s">
        <v>492</v>
      </c>
    </row>
    <row r="10" spans="1:18" x14ac:dyDescent="0.25">
      <c r="A10" t="s">
        <v>493</v>
      </c>
    </row>
    <row r="12" spans="1:18" x14ac:dyDescent="0.25">
      <c r="A12" t="s">
        <v>494</v>
      </c>
    </row>
    <row r="13" spans="1:18" x14ac:dyDescent="0.25">
      <c r="A13" t="s">
        <v>496</v>
      </c>
    </row>
    <row r="15" spans="1:18" x14ac:dyDescent="0.25">
      <c r="A15" t="s">
        <v>495</v>
      </c>
    </row>
    <row r="17" spans="1:18" x14ac:dyDescent="0.25">
      <c r="D17" s="1" t="s">
        <v>284</v>
      </c>
      <c r="E17" s="1" t="s">
        <v>285</v>
      </c>
      <c r="F17" s="1" t="s">
        <v>286</v>
      </c>
      <c r="G17" s="1" t="s">
        <v>287</v>
      </c>
      <c r="H17" s="1" t="s">
        <v>288</v>
      </c>
      <c r="I17" s="1" t="s">
        <v>289</v>
      </c>
      <c r="J17" s="1" t="s">
        <v>290</v>
      </c>
      <c r="K17" s="1" t="s">
        <v>291</v>
      </c>
      <c r="L17" s="1" t="s">
        <v>323</v>
      </c>
      <c r="M17" s="1" t="s">
        <v>324</v>
      </c>
      <c r="N17" s="1" t="s">
        <v>325</v>
      </c>
      <c r="O17" s="1" t="s">
        <v>326</v>
      </c>
      <c r="P17" s="1" t="s">
        <v>327</v>
      </c>
      <c r="Q17" s="1" t="s">
        <v>328</v>
      </c>
      <c r="R17" s="1" t="s">
        <v>329</v>
      </c>
    </row>
    <row r="18" spans="1:18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D19" s="1" t="s">
        <v>283</v>
      </c>
      <c r="E19" s="1" t="s">
        <v>283</v>
      </c>
      <c r="F19" s="1" t="s">
        <v>283</v>
      </c>
      <c r="G19" s="1" t="s">
        <v>283</v>
      </c>
      <c r="H19" s="1" t="s">
        <v>283</v>
      </c>
      <c r="M19" s="1"/>
      <c r="N19" s="1"/>
      <c r="O19" s="1" t="s">
        <v>292</v>
      </c>
      <c r="P19" s="1" t="s">
        <v>293</v>
      </c>
      <c r="Q19" s="1" t="s">
        <v>294</v>
      </c>
      <c r="R19" s="1" t="s">
        <v>295</v>
      </c>
    </row>
    <row r="20" spans="1:18" x14ac:dyDescent="0.25">
      <c r="D20" s="1" t="s">
        <v>277</v>
      </c>
      <c r="E20" s="1" t="s">
        <v>278</v>
      </c>
      <c r="F20" s="1" t="s">
        <v>292</v>
      </c>
      <c r="G20" s="1" t="s">
        <v>293</v>
      </c>
      <c r="H20" s="1" t="s">
        <v>294</v>
      </c>
      <c r="I20" s="1"/>
      <c r="J20" s="1"/>
      <c r="K20" s="1"/>
      <c r="L20" s="1"/>
      <c r="M20" s="1"/>
      <c r="N20" s="1"/>
      <c r="O20" s="1" t="s">
        <v>296</v>
      </c>
      <c r="P20" s="1" t="s">
        <v>296</v>
      </c>
      <c r="Q20" s="1" t="s">
        <v>296</v>
      </c>
      <c r="R20" s="1" t="s">
        <v>296</v>
      </c>
    </row>
    <row r="21" spans="1:18" x14ac:dyDescent="0.25">
      <c r="D21" s="1" t="s">
        <v>279</v>
      </c>
      <c r="E21" s="1" t="s">
        <v>279</v>
      </c>
      <c r="F21" s="1" t="s">
        <v>279</v>
      </c>
      <c r="G21" s="1" t="s">
        <v>279</v>
      </c>
      <c r="H21" s="1" t="s">
        <v>279</v>
      </c>
      <c r="I21" s="1"/>
      <c r="J21" s="1"/>
      <c r="K21" s="1"/>
      <c r="L21" s="1"/>
      <c r="O21" s="1" t="s">
        <v>330</v>
      </c>
      <c r="P21" s="1" t="s">
        <v>330</v>
      </c>
      <c r="Q21" s="1" t="s">
        <v>330</v>
      </c>
      <c r="R21" s="1" t="s">
        <v>330</v>
      </c>
    </row>
    <row r="22" spans="1:18" x14ac:dyDescent="0.25">
      <c r="D22" s="1" t="s">
        <v>280</v>
      </c>
      <c r="E22" s="1" t="s">
        <v>280</v>
      </c>
      <c r="F22" s="1" t="s">
        <v>280</v>
      </c>
      <c r="G22" s="1" t="s">
        <v>280</v>
      </c>
      <c r="H22" s="1" t="s">
        <v>280</v>
      </c>
      <c r="I22" s="1"/>
      <c r="J22" s="1"/>
      <c r="K22" s="1"/>
      <c r="L22" s="1"/>
      <c r="M22" s="1" t="s">
        <v>277</v>
      </c>
      <c r="N22" s="1" t="s">
        <v>297</v>
      </c>
      <c r="O22" s="2" t="s">
        <v>331</v>
      </c>
      <c r="P22" s="2" t="s">
        <v>331</v>
      </c>
      <c r="Q22" s="2" t="s">
        <v>331</v>
      </c>
      <c r="R22" s="1" t="str">
        <f>+"= "&amp;+Q17</f>
        <v>= N</v>
      </c>
    </row>
    <row r="23" spans="1:18" x14ac:dyDescent="0.25">
      <c r="D23" s="1" t="s">
        <v>281</v>
      </c>
      <c r="E23" s="1" t="s">
        <v>281</v>
      </c>
      <c r="F23" s="1" t="s">
        <v>281</v>
      </c>
      <c r="G23" s="1" t="s">
        <v>281</v>
      </c>
      <c r="H23" s="1" t="s">
        <v>281</v>
      </c>
      <c r="I23" s="2" t="s">
        <v>332</v>
      </c>
      <c r="J23" s="2" t="s">
        <v>332</v>
      </c>
      <c r="K23" s="2" t="s">
        <v>332</v>
      </c>
      <c r="L23" s="2" t="s">
        <v>332</v>
      </c>
      <c r="M23" s="1" t="s">
        <v>333</v>
      </c>
      <c r="N23" s="1" t="s">
        <v>333</v>
      </c>
      <c r="O23" s="1" t="str">
        <f>+"X "&amp;+I17</f>
        <v>X F</v>
      </c>
      <c r="P23" s="1" t="str">
        <f>+"X "&amp;+K17</f>
        <v>X H</v>
      </c>
      <c r="Q23" s="1" t="str">
        <f>+"X "&amp;+L17</f>
        <v>X I</v>
      </c>
      <c r="R23" s="1" t="str">
        <f>+"- "&amp;+H17&amp;" X"</f>
        <v>- E X</v>
      </c>
    </row>
    <row r="24" spans="1:18" x14ac:dyDescent="0.25">
      <c r="D24" s="2" t="s">
        <v>282</v>
      </c>
      <c r="E24" s="2" t="s">
        <v>282</v>
      </c>
      <c r="F24" s="2" t="s">
        <v>282</v>
      </c>
      <c r="G24" s="2" t="s">
        <v>282</v>
      </c>
      <c r="H24" s="2" t="s">
        <v>282</v>
      </c>
      <c r="I24" s="2" t="str">
        <f>+D17&amp;" TO "&amp;+E17</f>
        <v>A TO B</v>
      </c>
      <c r="J24" s="2" t="str">
        <f>+D17&amp;" TO "&amp;+F17</f>
        <v>A TO C</v>
      </c>
      <c r="K24" s="2" t="str">
        <f>+D17&amp;" TO "&amp;+G17</f>
        <v>A TO D</v>
      </c>
      <c r="L24" s="2" t="str">
        <f>+D17&amp;" TO "&amp;+H17</f>
        <v>A TO E</v>
      </c>
      <c r="M24" s="1" t="s">
        <v>280</v>
      </c>
      <c r="N24" s="1" t="s">
        <v>334</v>
      </c>
      <c r="O24" s="1" t="str">
        <f>+"-.007*"&amp;+$M17&amp;"-"&amp;+$N17</f>
        <v>-.007*J-K</v>
      </c>
      <c r="P24" s="1" t="str">
        <f>+"-.007*"&amp;+$M17&amp;"-"&amp;+$N17</f>
        <v>-.007*J-K</v>
      </c>
      <c r="Q24" s="1" t="str">
        <f>+"-.007*"&amp;+$M17&amp;"-"&amp;+$N17</f>
        <v>-.007*J-K</v>
      </c>
      <c r="R24" s="1">
        <v>5.0000000000000001E-3</v>
      </c>
    </row>
    <row r="25" spans="1:18" x14ac:dyDescent="0.25">
      <c r="D25" s="11"/>
      <c r="E25" s="11"/>
      <c r="F25" s="11"/>
      <c r="O25" s="16"/>
      <c r="P25" s="16"/>
      <c r="Q25" s="4"/>
      <c r="R25" s="4"/>
    </row>
    <row r="26" spans="1:18" x14ac:dyDescent="0.25">
      <c r="A26" s="27">
        <v>2899</v>
      </c>
      <c r="B26" s="27">
        <v>1</v>
      </c>
      <c r="C26" s="18" t="s">
        <v>488</v>
      </c>
    </row>
    <row r="27" spans="1:18" x14ac:dyDescent="0.25">
      <c r="D27" s="11"/>
      <c r="E27" s="16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5">
      <c r="A28">
        <v>806</v>
      </c>
      <c r="B28">
        <v>1</v>
      </c>
      <c r="C28" t="s">
        <v>215</v>
      </c>
      <c r="D28" s="11">
        <v>1687490.62</v>
      </c>
      <c r="E28" s="16">
        <v>1799998.73</v>
      </c>
      <c r="F28" s="11">
        <v>1789832.48</v>
      </c>
      <c r="G28" s="11">
        <v>1617312.98</v>
      </c>
      <c r="H28" s="16" t="s">
        <v>500</v>
      </c>
      <c r="I28" s="11">
        <f>MIN(D28:E28)</f>
        <v>1687490.62</v>
      </c>
      <c r="J28" s="11">
        <f>MIN(D28:F28)</f>
        <v>1687490.62</v>
      </c>
      <c r="K28" s="11">
        <f>MIN(D28:G28)</f>
        <v>1617312.98</v>
      </c>
      <c r="L28" s="11">
        <f>MIN(D28:H28)</f>
        <v>1617312.98</v>
      </c>
      <c r="M28" s="11">
        <v>375106</v>
      </c>
      <c r="N28" s="11">
        <v>-992.4</v>
      </c>
      <c r="O28" s="11">
        <f>ROUND(0.0234*I28,2)-ROUND(0.007*M28,2)-N28</f>
        <v>37853.94</v>
      </c>
      <c r="P28" s="11">
        <f>ROUND(0.0234*K28,2)-ROUND(0.007*M28,2)-N28</f>
        <v>36211.780000000006</v>
      </c>
      <c r="Q28" s="11">
        <f>ROUND(0.0234*L28,2)-ROUND(0.007*M28,2)-N28</f>
        <v>36211.780000000006</v>
      </c>
      <c r="R28" s="16" t="s">
        <v>500</v>
      </c>
    </row>
    <row r="29" spans="1:18" ht="13.3" thickBot="1" x14ac:dyDescent="0.3">
      <c r="A29">
        <v>810</v>
      </c>
      <c r="B29">
        <v>1</v>
      </c>
      <c r="C29" t="s">
        <v>216</v>
      </c>
      <c r="D29" s="11">
        <v>3126391.32</v>
      </c>
      <c r="E29" s="16">
        <v>4387846.47</v>
      </c>
      <c r="F29" s="11">
        <v>4218954.41</v>
      </c>
      <c r="G29" s="11">
        <v>3993852.2</v>
      </c>
      <c r="H29" s="16" t="s">
        <v>500</v>
      </c>
      <c r="I29" s="11">
        <f>MIN(D29:E29)</f>
        <v>3126391.32</v>
      </c>
      <c r="J29" s="11">
        <f>MIN(D29:F29)</f>
        <v>3126391.32</v>
      </c>
      <c r="K29" s="11">
        <f>MIN(D29:G29)</f>
        <v>3126391.32</v>
      </c>
      <c r="L29" s="11">
        <f>MIN(D29:H29)</f>
        <v>3126391.32</v>
      </c>
      <c r="M29" s="11">
        <v>499627</v>
      </c>
      <c r="N29" s="11">
        <v>-1124.01</v>
      </c>
      <c r="O29" s="11">
        <f>ROUND(0.0234*I29,2)-ROUND(0.007*M29,2)-N29</f>
        <v>70784.179999999993</v>
      </c>
      <c r="P29" s="11">
        <f>ROUND(0.0234*K29,2)-ROUND(0.007*M29,2)-N29</f>
        <v>70784.179999999993</v>
      </c>
      <c r="Q29" s="11">
        <f>ROUND(0.0234*L29,2)-ROUND(0.007*M29,2)-N29</f>
        <v>70784.179999999993</v>
      </c>
      <c r="R29" s="16" t="s">
        <v>500</v>
      </c>
    </row>
    <row r="30" spans="1:18" ht="13.3" thickBot="1" x14ac:dyDescent="0.3">
      <c r="C30" t="s">
        <v>501</v>
      </c>
      <c r="D30" s="11">
        <f>D28+D29</f>
        <v>4813881.9399999995</v>
      </c>
      <c r="E30" s="11">
        <f t="shared" ref="E30:Q30" si="0">E28+E29</f>
        <v>6187845.1999999993</v>
      </c>
      <c r="F30" s="11">
        <f t="shared" si="0"/>
        <v>6008786.8900000006</v>
      </c>
      <c r="G30" s="11">
        <f t="shared" si="0"/>
        <v>5611165.1799999997</v>
      </c>
      <c r="H30" s="16" t="s">
        <v>500</v>
      </c>
      <c r="I30" s="29">
        <f t="shared" si="0"/>
        <v>4813881.9399999995</v>
      </c>
      <c r="J30" s="30">
        <f t="shared" si="0"/>
        <v>4813881.9399999995</v>
      </c>
      <c r="K30" s="30">
        <f t="shared" si="0"/>
        <v>4743704.3</v>
      </c>
      <c r="L30" s="31">
        <f t="shared" si="0"/>
        <v>4743704.3</v>
      </c>
      <c r="M30" s="11">
        <f t="shared" si="0"/>
        <v>874733</v>
      </c>
      <c r="N30" s="11">
        <f t="shared" si="0"/>
        <v>-2116.41</v>
      </c>
      <c r="O30" s="11">
        <f t="shared" si="0"/>
        <v>108638.12</v>
      </c>
      <c r="P30" s="11">
        <f t="shared" si="0"/>
        <v>106995.95999999999</v>
      </c>
      <c r="Q30" s="11">
        <f t="shared" si="0"/>
        <v>106995.95999999999</v>
      </c>
      <c r="R30" s="16" t="s">
        <v>500</v>
      </c>
    </row>
    <row r="31" spans="1:18" x14ac:dyDescent="0.25">
      <c r="C31" t="s">
        <v>498</v>
      </c>
      <c r="D31" s="11">
        <f>D30</f>
        <v>4813881.9399999995</v>
      </c>
      <c r="E31" s="11">
        <f>E30</f>
        <v>6187845.1999999993</v>
      </c>
      <c r="F31" s="11">
        <f>F30</f>
        <v>6008786.8900000006</v>
      </c>
      <c r="G31" s="11">
        <f>G30</f>
        <v>5611165.1799999997</v>
      </c>
      <c r="H31" s="11">
        <v>5950720.8699999992</v>
      </c>
      <c r="I31" s="11">
        <f>MIN(D31:E31)</f>
        <v>4813881.9399999995</v>
      </c>
      <c r="J31" s="11">
        <f>MIN(D31:F31)</f>
        <v>4813881.9399999995</v>
      </c>
      <c r="K31" s="11">
        <f>MIN(D31:G31)</f>
        <v>4813881.9399999995</v>
      </c>
      <c r="L31" s="11">
        <f>MIN(D31:H31)</f>
        <v>4813881.9399999995</v>
      </c>
      <c r="M31" s="11">
        <f>M30</f>
        <v>874733</v>
      </c>
      <c r="N31" s="11">
        <f>N30</f>
        <v>-2116.41</v>
      </c>
      <c r="O31" s="11">
        <f>ROUND(0.0234*I31,2)-ROUND(0.007*M31,2)-N31</f>
        <v>108638.12</v>
      </c>
      <c r="P31" s="11">
        <f>ROUND(0.0234*K31,2)-ROUND(0.007*M31,2)-N31</f>
        <v>108638.12</v>
      </c>
      <c r="Q31" s="11">
        <f>ROUND(0.0234*L31,2)-ROUND(0.007*M31,2)-N31</f>
        <v>108638.12</v>
      </c>
      <c r="R31" s="16">
        <f>ROUND(Q31-0.005*H31,2)</f>
        <v>78884.52</v>
      </c>
    </row>
    <row r="32" spans="1:18" x14ac:dyDescent="0.25">
      <c r="C32" t="s">
        <v>499</v>
      </c>
      <c r="D32" s="16" t="s">
        <v>500</v>
      </c>
      <c r="E32" s="16" t="s">
        <v>500</v>
      </c>
      <c r="F32" s="16" t="s">
        <v>500</v>
      </c>
      <c r="G32" s="16" t="s">
        <v>500</v>
      </c>
      <c r="H32" s="16" t="s">
        <v>500</v>
      </c>
      <c r="I32" s="16" t="s">
        <v>500</v>
      </c>
      <c r="J32" s="16" t="s">
        <v>500</v>
      </c>
      <c r="K32" s="16" t="s">
        <v>500</v>
      </c>
      <c r="L32" s="16" t="s">
        <v>500</v>
      </c>
      <c r="M32" s="16" t="s">
        <v>500</v>
      </c>
      <c r="N32" s="16" t="s">
        <v>500</v>
      </c>
      <c r="O32" s="11">
        <f>O30-O31</f>
        <v>0</v>
      </c>
      <c r="P32" s="11">
        <f>P30-P31</f>
        <v>-1642.1600000000035</v>
      </c>
      <c r="Q32" s="11">
        <f>Q30-Q31</f>
        <v>-1642.1600000000035</v>
      </c>
      <c r="R32" s="16" t="s">
        <v>500</v>
      </c>
    </row>
    <row r="33" spans="1:18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6"/>
      <c r="R33" s="16"/>
    </row>
    <row r="34" spans="1:18" x14ac:dyDescent="0.2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6"/>
      <c r="R34" s="16"/>
    </row>
    <row r="35" spans="1:18" x14ac:dyDescent="0.25">
      <c r="A35" s="27">
        <v>2902</v>
      </c>
      <c r="B35" s="27">
        <v>1</v>
      </c>
      <c r="C35" s="18" t="s">
        <v>489</v>
      </c>
      <c r="R35" s="1"/>
    </row>
    <row r="36" spans="1:18" x14ac:dyDescent="0.25">
      <c r="A36" s="27"/>
      <c r="B36" s="27"/>
      <c r="C36" s="18"/>
      <c r="R36" s="1"/>
    </row>
    <row r="37" spans="1:18" x14ac:dyDescent="0.25">
      <c r="A37">
        <v>409</v>
      </c>
      <c r="B37">
        <v>1</v>
      </c>
      <c r="C37" t="s">
        <v>107</v>
      </c>
      <c r="D37" s="11">
        <v>1021122.39</v>
      </c>
      <c r="E37" s="16">
        <v>1010946.07</v>
      </c>
      <c r="F37" s="11">
        <v>999475.3</v>
      </c>
      <c r="G37" s="11">
        <v>912894.51</v>
      </c>
      <c r="H37" s="16" t="s">
        <v>500</v>
      </c>
      <c r="I37" s="11">
        <f>MIN(D37:E37)</f>
        <v>1010946.07</v>
      </c>
      <c r="J37" s="11">
        <f>MIN(D37:F37)</f>
        <v>999475.3</v>
      </c>
      <c r="K37" s="11">
        <f>MIN(D37:G37)</f>
        <v>912894.51</v>
      </c>
      <c r="L37" s="11">
        <f>MIN(D37:H37)</f>
        <v>912894.51</v>
      </c>
      <c r="M37" s="11">
        <v>144194</v>
      </c>
      <c r="N37" s="11">
        <v>-1033.45</v>
      </c>
      <c r="O37" s="11">
        <f>ROUND(0.0234*I37,2)-ROUND(0.007*M37,2)-N37</f>
        <v>23680.23</v>
      </c>
      <c r="P37" s="11">
        <f>ROUND(0.0234*K37,2)-ROUND(0.007*M37,2)-N37</f>
        <v>21385.82</v>
      </c>
      <c r="Q37" s="11">
        <f>ROUND(0.0234*L37,2)-ROUND(0.007*M37,2)-N37</f>
        <v>21385.82</v>
      </c>
      <c r="R37" s="16" t="s">
        <v>500</v>
      </c>
    </row>
    <row r="38" spans="1:18" x14ac:dyDescent="0.25">
      <c r="A38">
        <v>418</v>
      </c>
      <c r="B38">
        <v>1</v>
      </c>
      <c r="C38" t="s">
        <v>113</v>
      </c>
      <c r="D38" s="11">
        <v>580764.39</v>
      </c>
      <c r="E38" s="16">
        <v>467380.33</v>
      </c>
      <c r="F38" s="11">
        <v>481322.47</v>
      </c>
      <c r="G38" s="11">
        <v>412099.79</v>
      </c>
      <c r="H38" s="16" t="s">
        <v>500</v>
      </c>
      <c r="I38" s="11">
        <f>MIN(D38:E38)</f>
        <v>467380.33</v>
      </c>
      <c r="J38" s="11">
        <f>MIN(D38:F38)</f>
        <v>467380.33</v>
      </c>
      <c r="K38" s="11">
        <f>MIN(D38:G38)</f>
        <v>412099.79</v>
      </c>
      <c r="L38" s="11">
        <f>MIN(D38:H38)</f>
        <v>412099.79</v>
      </c>
      <c r="M38" s="11">
        <v>126548</v>
      </c>
      <c r="N38" s="11">
        <v>-580.15</v>
      </c>
      <c r="O38" s="11">
        <f>ROUND(0.0234*I38,2)-ROUND(0.007*M38,2)-N38</f>
        <v>10631.01</v>
      </c>
      <c r="P38" s="11">
        <f>ROUND(0.0234*K38,2)-ROUND(0.007*M38,2)-N38</f>
        <v>9337.4499999999989</v>
      </c>
      <c r="Q38" s="11">
        <f>ROUND(0.0234*L38,2)-ROUND(0.007*M38,2)-N38</f>
        <v>9337.4499999999989</v>
      </c>
      <c r="R38" s="16" t="s">
        <v>500</v>
      </c>
    </row>
    <row r="39" spans="1:18" ht="13.3" thickBot="1" x14ac:dyDescent="0.3">
      <c r="A39">
        <v>584</v>
      </c>
      <c r="B39">
        <v>1</v>
      </c>
      <c r="C39" t="s">
        <v>159</v>
      </c>
      <c r="D39" s="11">
        <v>645735.31999999995</v>
      </c>
      <c r="E39" s="16">
        <v>690955.66</v>
      </c>
      <c r="F39" s="11">
        <v>728755.19</v>
      </c>
      <c r="G39" s="11">
        <v>710471.8</v>
      </c>
      <c r="H39" s="16" t="s">
        <v>500</v>
      </c>
      <c r="I39" s="11">
        <f>MIN(D39:E39)</f>
        <v>645735.31999999995</v>
      </c>
      <c r="J39" s="11">
        <f>MIN(D39:F39)</f>
        <v>645735.31999999995</v>
      </c>
      <c r="K39" s="11">
        <f>MIN(D39:G39)</f>
        <v>645735.31999999995</v>
      </c>
      <c r="L39" s="11">
        <f>MIN(D39:H39)</f>
        <v>645735.31999999995</v>
      </c>
      <c r="M39" s="11">
        <v>144537</v>
      </c>
      <c r="N39" s="11">
        <v>-894.1</v>
      </c>
      <c r="O39" s="11">
        <f>ROUND(0.0234*I39,2)-ROUND(0.007*M39,2)-N39</f>
        <v>14992.55</v>
      </c>
      <c r="P39" s="11">
        <f>ROUND(0.0234*K39,2)-ROUND(0.007*M39,2)-N39</f>
        <v>14992.55</v>
      </c>
      <c r="Q39" s="11">
        <f>ROUND(0.0234*L39,2)-ROUND(0.007*M39,2)-N39</f>
        <v>14992.55</v>
      </c>
      <c r="R39" s="16" t="s">
        <v>500</v>
      </c>
    </row>
    <row r="40" spans="1:18" ht="13.3" thickBot="1" x14ac:dyDescent="0.3">
      <c r="C40" t="s">
        <v>501</v>
      </c>
      <c r="D40" s="11">
        <f>SUM(D37:D39)</f>
        <v>2247622.1</v>
      </c>
      <c r="E40" s="11">
        <f t="shared" ref="E40:Q40" si="1">SUM(E37:E39)</f>
        <v>2169282.06</v>
      </c>
      <c r="F40" s="11">
        <f t="shared" si="1"/>
        <v>2209552.96</v>
      </c>
      <c r="G40" s="11">
        <f t="shared" si="1"/>
        <v>2035466.1</v>
      </c>
      <c r="H40" s="16" t="s">
        <v>500</v>
      </c>
      <c r="I40" s="29">
        <f t="shared" si="1"/>
        <v>2124061.7199999997</v>
      </c>
      <c r="J40" s="30">
        <f t="shared" si="1"/>
        <v>2112590.9500000002</v>
      </c>
      <c r="K40" s="30">
        <f t="shared" si="1"/>
        <v>1970729.62</v>
      </c>
      <c r="L40" s="31">
        <f t="shared" si="1"/>
        <v>1970729.62</v>
      </c>
      <c r="M40" s="11">
        <f t="shared" si="1"/>
        <v>415279</v>
      </c>
      <c r="N40" s="11">
        <f t="shared" si="1"/>
        <v>-2507.6999999999998</v>
      </c>
      <c r="O40" s="11">
        <f t="shared" si="1"/>
        <v>49303.789999999994</v>
      </c>
      <c r="P40" s="11">
        <f t="shared" si="1"/>
        <v>45715.819999999992</v>
      </c>
      <c r="Q40" s="11">
        <f t="shared" si="1"/>
        <v>45715.819999999992</v>
      </c>
      <c r="R40" s="16" t="s">
        <v>500</v>
      </c>
    </row>
    <row r="41" spans="1:18" x14ac:dyDescent="0.25">
      <c r="C41" t="s">
        <v>498</v>
      </c>
      <c r="D41" s="11">
        <f>D40</f>
        <v>2247622.1</v>
      </c>
      <c r="E41" s="11">
        <f>E40</f>
        <v>2169282.06</v>
      </c>
      <c r="F41" s="11">
        <f>F40</f>
        <v>2209552.96</v>
      </c>
      <c r="G41" s="11">
        <f>G40</f>
        <v>2035466.1</v>
      </c>
      <c r="H41" s="11">
        <v>1786518.61</v>
      </c>
      <c r="I41" s="11">
        <f>MIN(D41:E41)</f>
        <v>2169282.06</v>
      </c>
      <c r="J41" s="11">
        <f>MIN(D41:F41)</f>
        <v>2169282.06</v>
      </c>
      <c r="K41" s="11">
        <f>MIN(D41:G41)</f>
        <v>2035466.1</v>
      </c>
      <c r="L41" s="11">
        <f>MIN(D41:H41)</f>
        <v>1786518.61</v>
      </c>
      <c r="M41" s="11">
        <f>M40</f>
        <v>415279</v>
      </c>
      <c r="N41" s="11">
        <f>N40</f>
        <v>-2507.6999999999998</v>
      </c>
      <c r="O41" s="11">
        <f>ROUND(0.0234*I41,2)-ROUND(0.007*M41,2)-N41</f>
        <v>50361.95</v>
      </c>
      <c r="P41" s="11">
        <f>ROUND(0.0234*K41,2)-ROUND(0.007*M41,2)-N41</f>
        <v>47230.66</v>
      </c>
      <c r="Q41" s="11">
        <f>ROUND(0.0234*L41,2)-ROUND(0.007*M41,2)-N41</f>
        <v>41405.29</v>
      </c>
      <c r="R41" s="16">
        <f>ROUND(Q41-0.005*H41,2)</f>
        <v>32472.7</v>
      </c>
    </row>
    <row r="42" spans="1:18" x14ac:dyDescent="0.25">
      <c r="C42" t="s">
        <v>499</v>
      </c>
      <c r="D42" s="16" t="s">
        <v>500</v>
      </c>
      <c r="E42" s="16" t="s">
        <v>500</v>
      </c>
      <c r="F42" s="16" t="s">
        <v>500</v>
      </c>
      <c r="G42" s="16" t="s">
        <v>500</v>
      </c>
      <c r="H42" s="16" t="s">
        <v>500</v>
      </c>
      <c r="I42" s="16" t="s">
        <v>500</v>
      </c>
      <c r="J42" s="16" t="s">
        <v>500</v>
      </c>
      <c r="K42" s="16" t="s">
        <v>500</v>
      </c>
      <c r="L42" s="16" t="s">
        <v>500</v>
      </c>
      <c r="M42" s="16" t="s">
        <v>500</v>
      </c>
      <c r="N42" s="16" t="s">
        <v>500</v>
      </c>
      <c r="O42" s="11">
        <f>O40-O41</f>
        <v>-1058.1600000000035</v>
      </c>
      <c r="P42" s="11">
        <f>P40-P41</f>
        <v>-1514.8400000000111</v>
      </c>
      <c r="Q42" s="11">
        <f>Q40-Q41</f>
        <v>4310.5299999999916</v>
      </c>
      <c r="R42" s="16" t="s">
        <v>500</v>
      </c>
    </row>
    <row r="44" spans="1:18" x14ac:dyDescent="0.25">
      <c r="A44" t="s">
        <v>497</v>
      </c>
    </row>
  </sheetData>
  <phoneticPr fontId="4" type="noConversion"/>
  <printOptions gridLines="1"/>
  <pageMargins left="0.75" right="0.75" top="1" bottom="1" header="0.5" footer="0.5"/>
  <pageSetup scale="5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4"/>
  <sheetViews>
    <sheetView topLeftCell="A45" workbookViewId="0">
      <selection activeCell="A58" sqref="A58"/>
    </sheetView>
  </sheetViews>
  <sheetFormatPr defaultRowHeight="12.75" x14ac:dyDescent="0.25"/>
  <cols>
    <col min="1" max="1" width="92.296875" customWidth="1"/>
    <col min="2" max="2" width="36.69921875" customWidth="1"/>
  </cols>
  <sheetData>
    <row r="1" spans="1:1" ht="17.75" x14ac:dyDescent="0.35">
      <c r="A1" s="20" t="s">
        <v>401</v>
      </c>
    </row>
    <row r="2" spans="1:1" x14ac:dyDescent="0.25">
      <c r="A2" s="21"/>
    </row>
    <row r="3" spans="1:1" ht="15.55" x14ac:dyDescent="0.3">
      <c r="A3" s="22" t="s">
        <v>402</v>
      </c>
    </row>
    <row r="4" spans="1:1" x14ac:dyDescent="0.25">
      <c r="A4" s="21"/>
    </row>
    <row r="5" spans="1:1" ht="14.4" x14ac:dyDescent="0.3">
      <c r="A5" s="23" t="s">
        <v>403</v>
      </c>
    </row>
    <row r="6" spans="1:1" ht="14.4" x14ac:dyDescent="0.3">
      <c r="A6" s="23" t="s">
        <v>404</v>
      </c>
    </row>
    <row r="7" spans="1:1" ht="14.4" x14ac:dyDescent="0.3">
      <c r="A7" s="24" t="s">
        <v>405</v>
      </c>
    </row>
    <row r="8" spans="1:1" ht="14.4" x14ac:dyDescent="0.3">
      <c r="A8" s="24" t="s">
        <v>406</v>
      </c>
    </row>
    <row r="9" spans="1:1" ht="14.4" x14ac:dyDescent="0.3">
      <c r="A9" s="24" t="s">
        <v>407</v>
      </c>
    </row>
    <row r="10" spans="1:1" ht="14.4" x14ac:dyDescent="0.3">
      <c r="A10" s="24" t="s">
        <v>408</v>
      </c>
    </row>
    <row r="11" spans="1:1" ht="14.4" x14ac:dyDescent="0.3">
      <c r="A11" s="24" t="s">
        <v>409</v>
      </c>
    </row>
    <row r="12" spans="1:1" x14ac:dyDescent="0.25">
      <c r="A12" s="25" t="s">
        <v>410</v>
      </c>
    </row>
    <row r="13" spans="1:1" ht="14.4" x14ac:dyDescent="0.3">
      <c r="A13" s="24" t="s">
        <v>411</v>
      </c>
    </row>
    <row r="14" spans="1:1" ht="14.4" x14ac:dyDescent="0.3">
      <c r="A14" s="24" t="s">
        <v>412</v>
      </c>
    </row>
    <row r="15" spans="1:1" x14ac:dyDescent="0.25">
      <c r="A15" s="25" t="s">
        <v>413</v>
      </c>
    </row>
    <row r="16" spans="1:1" ht="14.4" x14ac:dyDescent="0.3">
      <c r="A16" s="24" t="s">
        <v>414</v>
      </c>
    </row>
    <row r="17" spans="1:1" ht="14.4" x14ac:dyDescent="0.3">
      <c r="A17" s="24" t="s">
        <v>415</v>
      </c>
    </row>
    <row r="18" spans="1:1" ht="14.4" x14ac:dyDescent="0.3">
      <c r="A18" s="24" t="s">
        <v>416</v>
      </c>
    </row>
    <row r="19" spans="1:1" ht="14.4" x14ac:dyDescent="0.3">
      <c r="A19" s="24" t="s">
        <v>417</v>
      </c>
    </row>
    <row r="20" spans="1:1" ht="14.4" x14ac:dyDescent="0.3">
      <c r="A20" s="24" t="s">
        <v>418</v>
      </c>
    </row>
    <row r="21" spans="1:1" ht="14.4" x14ac:dyDescent="0.3">
      <c r="A21" s="24" t="s">
        <v>419</v>
      </c>
    </row>
    <row r="22" spans="1:1" ht="14.4" x14ac:dyDescent="0.3">
      <c r="A22" s="24" t="s">
        <v>420</v>
      </c>
    </row>
    <row r="23" spans="1:1" ht="14.4" x14ac:dyDescent="0.3">
      <c r="A23" s="24" t="s">
        <v>421</v>
      </c>
    </row>
    <row r="24" spans="1:1" ht="14.4" x14ac:dyDescent="0.3">
      <c r="A24" s="24" t="s">
        <v>422</v>
      </c>
    </row>
    <row r="25" spans="1:1" ht="14.4" x14ac:dyDescent="0.3">
      <c r="A25" s="24" t="s">
        <v>423</v>
      </c>
    </row>
    <row r="26" spans="1:1" ht="14.4" x14ac:dyDescent="0.3">
      <c r="A26" s="24" t="s">
        <v>424</v>
      </c>
    </row>
    <row r="27" spans="1:1" ht="14.4" x14ac:dyDescent="0.3">
      <c r="A27" s="24" t="s">
        <v>425</v>
      </c>
    </row>
    <row r="28" spans="1:1" ht="14.4" x14ac:dyDescent="0.3">
      <c r="A28" s="24" t="s">
        <v>426</v>
      </c>
    </row>
    <row r="29" spans="1:1" ht="14.4" x14ac:dyDescent="0.3">
      <c r="A29" s="24" t="s">
        <v>427</v>
      </c>
    </row>
    <row r="30" spans="1:1" x14ac:dyDescent="0.25">
      <c r="A30" s="25" t="s">
        <v>428</v>
      </c>
    </row>
    <row r="31" spans="1:1" ht="14.4" x14ac:dyDescent="0.3">
      <c r="A31" s="24" t="s">
        <v>429</v>
      </c>
    </row>
    <row r="32" spans="1:1" ht="14.4" x14ac:dyDescent="0.3">
      <c r="A32" s="24" t="s">
        <v>430</v>
      </c>
    </row>
    <row r="33" spans="1:2" ht="14.4" x14ac:dyDescent="0.3">
      <c r="A33" s="35" t="s">
        <v>431</v>
      </c>
      <c r="B33" t="s">
        <v>517</v>
      </c>
    </row>
    <row r="34" spans="1:2" ht="14.4" x14ac:dyDescent="0.3">
      <c r="A34" s="35" t="s">
        <v>432</v>
      </c>
      <c r="B34" t="s">
        <v>518</v>
      </c>
    </row>
    <row r="35" spans="1:2" ht="14.4" x14ac:dyDescent="0.3">
      <c r="A35" s="35" t="s">
        <v>433</v>
      </c>
      <c r="B35" t="s">
        <v>519</v>
      </c>
    </row>
    <row r="36" spans="1:2" ht="14.4" x14ac:dyDescent="0.3">
      <c r="A36" s="35" t="s">
        <v>434</v>
      </c>
    </row>
    <row r="37" spans="1:2" ht="14.4" x14ac:dyDescent="0.3">
      <c r="A37" s="24" t="s">
        <v>435</v>
      </c>
    </row>
    <row r="38" spans="1:2" ht="14.4" x14ac:dyDescent="0.3">
      <c r="A38" s="24" t="s">
        <v>436</v>
      </c>
    </row>
    <row r="39" spans="1:2" ht="14.4" x14ac:dyDescent="0.3">
      <c r="A39" s="24" t="s">
        <v>437</v>
      </c>
    </row>
    <row r="40" spans="1:2" ht="14.4" x14ac:dyDescent="0.3">
      <c r="A40" s="24" t="s">
        <v>438</v>
      </c>
    </row>
    <row r="41" spans="1:2" ht="14.4" x14ac:dyDescent="0.3">
      <c r="A41" s="24" t="s">
        <v>439</v>
      </c>
    </row>
    <row r="42" spans="1:2" ht="14.4" x14ac:dyDescent="0.3">
      <c r="A42" s="24" t="s">
        <v>440</v>
      </c>
    </row>
    <row r="43" spans="1:2" ht="14.4" x14ac:dyDescent="0.3">
      <c r="A43" s="24" t="s">
        <v>441</v>
      </c>
    </row>
    <row r="44" spans="1:2" ht="14.4" x14ac:dyDescent="0.3">
      <c r="A44" s="23" t="s">
        <v>442</v>
      </c>
    </row>
    <row r="45" spans="1:2" ht="14.4" x14ac:dyDescent="0.3">
      <c r="A45" s="26" t="s">
        <v>443</v>
      </c>
    </row>
    <row r="46" spans="1:2" ht="14.4" x14ac:dyDescent="0.3">
      <c r="A46" s="24" t="s">
        <v>444</v>
      </c>
    </row>
    <row r="47" spans="1:2" ht="14.4" x14ac:dyDescent="0.3">
      <c r="A47" s="24" t="s">
        <v>445</v>
      </c>
    </row>
    <row r="48" spans="1:2" ht="14.4" x14ac:dyDescent="0.3">
      <c r="A48" s="24" t="s">
        <v>446</v>
      </c>
    </row>
    <row r="49" spans="1:1" ht="14.4" x14ac:dyDescent="0.3">
      <c r="A49" s="24"/>
    </row>
    <row r="50" spans="1:1" x14ac:dyDescent="0.25">
      <c r="A50" s="21"/>
    </row>
    <row r="51" spans="1:1" ht="17.75" x14ac:dyDescent="0.35">
      <c r="A51" s="20" t="s">
        <v>447</v>
      </c>
    </row>
    <row r="52" spans="1:1" x14ac:dyDescent="0.25">
      <c r="A52" s="21"/>
    </row>
    <row r="53" spans="1:1" ht="15.55" x14ac:dyDescent="0.3">
      <c r="A53" s="22" t="s">
        <v>402</v>
      </c>
    </row>
    <row r="54" spans="1:1" x14ac:dyDescent="0.25">
      <c r="A54" s="21"/>
    </row>
    <row r="55" spans="1:1" ht="14.4" x14ac:dyDescent="0.3">
      <c r="A55" s="23" t="s">
        <v>448</v>
      </c>
    </row>
    <row r="56" spans="1:1" ht="14.4" x14ac:dyDescent="0.3">
      <c r="A56" s="23" t="s">
        <v>449</v>
      </c>
    </row>
    <row r="57" spans="1:1" ht="14.4" x14ac:dyDescent="0.3">
      <c r="A57" s="24" t="s">
        <v>450</v>
      </c>
    </row>
    <row r="58" spans="1:1" x14ac:dyDescent="0.25">
      <c r="A58" s="25" t="s">
        <v>451</v>
      </c>
    </row>
    <row r="59" spans="1:1" ht="14.4" x14ac:dyDescent="0.3">
      <c r="A59" s="24" t="s">
        <v>452</v>
      </c>
    </row>
    <row r="60" spans="1:1" ht="14.4" x14ac:dyDescent="0.3">
      <c r="A60" s="24" t="s">
        <v>453</v>
      </c>
    </row>
    <row r="61" spans="1:1" ht="14.4" x14ac:dyDescent="0.3">
      <c r="A61" s="24" t="s">
        <v>454</v>
      </c>
    </row>
    <row r="62" spans="1:1" ht="14.4" x14ac:dyDescent="0.3">
      <c r="A62" s="24" t="s">
        <v>455</v>
      </c>
    </row>
    <row r="63" spans="1:1" ht="14.4" x14ac:dyDescent="0.3">
      <c r="A63" s="24" t="s">
        <v>456</v>
      </c>
    </row>
    <row r="64" spans="1:1" ht="14.4" x14ac:dyDescent="0.3">
      <c r="A64" s="24" t="s">
        <v>457</v>
      </c>
    </row>
    <row r="65" spans="1:1" ht="14.4" x14ac:dyDescent="0.3">
      <c r="A65" s="24" t="s">
        <v>458</v>
      </c>
    </row>
    <row r="66" spans="1:1" ht="14.4" x14ac:dyDescent="0.3">
      <c r="A66" s="24" t="s">
        <v>459</v>
      </c>
    </row>
    <row r="67" spans="1:1" ht="14.4" x14ac:dyDescent="0.3">
      <c r="A67" s="24" t="s">
        <v>460</v>
      </c>
    </row>
    <row r="68" spans="1:1" ht="14.4" x14ac:dyDescent="0.3">
      <c r="A68" s="24" t="s">
        <v>461</v>
      </c>
    </row>
    <row r="69" spans="1:1" ht="14.4" x14ac:dyDescent="0.3">
      <c r="A69" s="24" t="s">
        <v>462</v>
      </c>
    </row>
    <row r="70" spans="1:1" ht="14.4" x14ac:dyDescent="0.3">
      <c r="A70" s="24" t="s">
        <v>463</v>
      </c>
    </row>
    <row r="71" spans="1:1" ht="14.4" x14ac:dyDescent="0.3">
      <c r="A71" s="24" t="s">
        <v>464</v>
      </c>
    </row>
    <row r="72" spans="1:1" ht="14.4" x14ac:dyDescent="0.3">
      <c r="A72" s="24" t="s">
        <v>465</v>
      </c>
    </row>
    <row r="73" spans="1:1" ht="14.4" x14ac:dyDescent="0.3">
      <c r="A73" s="24" t="s">
        <v>466</v>
      </c>
    </row>
    <row r="74" spans="1:1" ht="14.4" x14ac:dyDescent="0.3">
      <c r="A74" s="24" t="s">
        <v>467</v>
      </c>
    </row>
    <row r="75" spans="1:1" ht="14.4" x14ac:dyDescent="0.3">
      <c r="A75" s="24" t="s">
        <v>468</v>
      </c>
    </row>
    <row r="76" spans="1:1" ht="14.4" x14ac:dyDescent="0.3">
      <c r="A76" s="24" t="s">
        <v>469</v>
      </c>
    </row>
    <row r="77" spans="1:1" ht="14.4" x14ac:dyDescent="0.3">
      <c r="A77" s="24" t="s">
        <v>470</v>
      </c>
    </row>
    <row r="78" spans="1:1" ht="14.4" x14ac:dyDescent="0.3">
      <c r="A78" s="24" t="s">
        <v>471</v>
      </c>
    </row>
    <row r="79" spans="1:1" ht="14.4" x14ac:dyDescent="0.3">
      <c r="A79" s="24" t="s">
        <v>472</v>
      </c>
    </row>
    <row r="80" spans="1:1" ht="14.4" x14ac:dyDescent="0.3">
      <c r="A80" s="24" t="s">
        <v>473</v>
      </c>
    </row>
    <row r="81" spans="1:1" ht="14.4" x14ac:dyDescent="0.3">
      <c r="A81" s="24" t="s">
        <v>474</v>
      </c>
    </row>
    <row r="82" spans="1:1" ht="14.4" x14ac:dyDescent="0.3">
      <c r="A82" s="24" t="s">
        <v>475</v>
      </c>
    </row>
    <row r="83" spans="1:1" ht="14.4" x14ac:dyDescent="0.3">
      <c r="A83" s="24" t="s">
        <v>476</v>
      </c>
    </row>
    <row r="84" spans="1:1" ht="14.4" x14ac:dyDescent="0.3">
      <c r="A84" s="24" t="s">
        <v>477</v>
      </c>
    </row>
    <row r="85" spans="1:1" ht="14.4" x14ac:dyDescent="0.3">
      <c r="A85" s="24" t="s">
        <v>478</v>
      </c>
    </row>
    <row r="86" spans="1:1" ht="14.4" x14ac:dyDescent="0.3">
      <c r="A86" s="24" t="s">
        <v>479</v>
      </c>
    </row>
    <row r="87" spans="1:1" ht="14.4" x14ac:dyDescent="0.3">
      <c r="A87" s="24" t="s">
        <v>480</v>
      </c>
    </row>
    <row r="88" spans="1:1" ht="14.4" x14ac:dyDescent="0.3">
      <c r="A88" s="24" t="s">
        <v>481</v>
      </c>
    </row>
    <row r="89" spans="1:1" ht="14.4" x14ac:dyDescent="0.3">
      <c r="A89" s="24" t="s">
        <v>482</v>
      </c>
    </row>
    <row r="90" spans="1:1" ht="14.4" x14ac:dyDescent="0.3">
      <c r="A90" s="24" t="s">
        <v>483</v>
      </c>
    </row>
    <row r="91" spans="1:1" ht="14.4" x14ac:dyDescent="0.3">
      <c r="A91" s="24" t="s">
        <v>484</v>
      </c>
    </row>
    <row r="92" spans="1:1" ht="14.4" x14ac:dyDescent="0.3">
      <c r="A92" s="24" t="s">
        <v>485</v>
      </c>
    </row>
    <row r="93" spans="1:1" ht="14.4" x14ac:dyDescent="0.3">
      <c r="A93" s="23" t="s">
        <v>486</v>
      </c>
    </row>
    <row r="94" spans="1:1" ht="14.4" x14ac:dyDescent="0.3">
      <c r="A94" s="26"/>
    </row>
  </sheetData>
  <phoneticPr fontId="0" type="noConversion"/>
  <hyperlinks>
    <hyperlink ref="A12" r:id="rId1" tooltip="2006 Minnesota Statute"/>
    <hyperlink ref="A15" r:id="rId2" tooltip="2006 Minnesota Statute"/>
    <hyperlink ref="A30" r:id="rId3" location="stat..2" tooltip="2006 Minnesota Statute"/>
    <hyperlink ref="A58" r:id="rId4" tooltip="2006 Minnesota Statute"/>
  </hyperlinks>
  <pageMargins left="1.25" right="0.75" top="0.75" bottom="0.5" header="0.5" footer="0.5"/>
  <pageSetup scale="91" fitToHeight="2" orientation="portrait" r:id="rId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7" sqref="A7"/>
    </sheetView>
  </sheetViews>
  <sheetFormatPr defaultRowHeight="12.75" x14ac:dyDescent="0.25"/>
  <cols>
    <col min="1" max="1" width="64.296875" customWidth="1"/>
  </cols>
  <sheetData>
    <row r="1" spans="1:1" x14ac:dyDescent="0.25">
      <c r="A1" t="s">
        <v>504</v>
      </c>
    </row>
    <row r="2" spans="1:1" x14ac:dyDescent="0.25">
      <c r="A2" t="s">
        <v>505</v>
      </c>
    </row>
    <row r="3" spans="1:1" x14ac:dyDescent="0.25">
      <c r="A3" t="s">
        <v>506</v>
      </c>
    </row>
    <row r="4" spans="1:1" x14ac:dyDescent="0.25">
      <c r="A4" t="s">
        <v>507</v>
      </c>
    </row>
    <row r="6" spans="1:1" x14ac:dyDescent="0.25">
      <c r="A6" t="s">
        <v>508</v>
      </c>
    </row>
    <row r="8" spans="1:1" x14ac:dyDescent="0.25">
      <c r="A8" t="s">
        <v>509</v>
      </c>
    </row>
    <row r="9" spans="1:1" x14ac:dyDescent="0.25">
      <c r="A9" t="s">
        <v>510</v>
      </c>
    </row>
    <row r="11" spans="1:1" x14ac:dyDescent="0.25">
      <c r="A11" t="s">
        <v>511</v>
      </c>
    </row>
    <row r="12" spans="1:1" x14ac:dyDescent="0.25">
      <c r="A12" t="s">
        <v>512</v>
      </c>
    </row>
    <row r="13" spans="1:1" x14ac:dyDescent="0.25">
      <c r="A13" t="s">
        <v>513</v>
      </c>
    </row>
    <row r="14" spans="1:1" x14ac:dyDescent="0.25">
      <c r="A14" t="s">
        <v>514</v>
      </c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3"/>
  <sheetViews>
    <sheetView workbookViewId="0"/>
  </sheetViews>
  <sheetFormatPr defaultRowHeight="12.75" x14ac:dyDescent="0.25"/>
  <cols>
    <col min="1" max="1" width="12.69921875" customWidth="1"/>
    <col min="2" max="2" width="3.3984375" customWidth="1"/>
    <col min="3" max="3" width="20.69921875" customWidth="1"/>
    <col min="4" max="6" width="16.69921875" customWidth="1"/>
  </cols>
  <sheetData>
    <row r="1" spans="1:6" x14ac:dyDescent="0.25">
      <c r="A1" s="41" t="s">
        <v>1134</v>
      </c>
      <c r="B1" s="42"/>
      <c r="C1" s="42"/>
      <c r="D1" s="42"/>
      <c r="E1" s="42"/>
      <c r="F1" s="42"/>
    </row>
    <row r="2" spans="1:6" x14ac:dyDescent="0.25">
      <c r="A2" s="42" t="s">
        <v>1135</v>
      </c>
      <c r="B2" s="42"/>
      <c r="C2" s="42"/>
      <c r="D2" s="42"/>
      <c r="E2" s="42"/>
      <c r="F2" s="42"/>
    </row>
    <row r="3" spans="1:6" x14ac:dyDescent="0.25">
      <c r="A3" s="42"/>
      <c r="B3" s="42"/>
      <c r="C3" s="42"/>
      <c r="D3" s="42"/>
      <c r="E3" s="42"/>
      <c r="F3" s="42"/>
    </row>
    <row r="4" spans="1:6" x14ac:dyDescent="0.25">
      <c r="A4" s="42"/>
      <c r="B4" s="42"/>
      <c r="C4" s="42"/>
      <c r="D4" s="43" t="s">
        <v>546</v>
      </c>
      <c r="E4" s="43" t="s">
        <v>547</v>
      </c>
      <c r="F4" s="43" t="s">
        <v>548</v>
      </c>
    </row>
    <row r="5" spans="1:6" x14ac:dyDescent="0.25">
      <c r="A5" s="42"/>
      <c r="B5" s="42"/>
      <c r="C5" s="42"/>
      <c r="D5" s="37"/>
      <c r="E5" s="37"/>
      <c r="F5" s="37"/>
    </row>
    <row r="6" spans="1:6" x14ac:dyDescent="0.25">
      <c r="A6" s="42"/>
      <c r="B6" s="42"/>
      <c r="C6" s="41" t="s">
        <v>533</v>
      </c>
      <c r="D6" s="37">
        <f>SUM(D12:D603)</f>
        <v>3897439382.5800018</v>
      </c>
      <c r="E6" s="37">
        <f t="shared" ref="E6:F6" si="0">SUM(E12:E603)</f>
        <v>212372280.93000004</v>
      </c>
      <c r="F6" s="37">
        <f t="shared" si="0"/>
        <v>220367463.89000008</v>
      </c>
    </row>
    <row r="7" spans="1:6" x14ac:dyDescent="0.25">
      <c r="A7" s="42"/>
      <c r="B7" s="42"/>
      <c r="C7" s="42"/>
      <c r="D7" s="42"/>
      <c r="E7" s="42"/>
      <c r="F7" s="42"/>
    </row>
    <row r="8" spans="1:6" x14ac:dyDescent="0.25">
      <c r="A8" s="42"/>
      <c r="B8" s="42"/>
      <c r="C8" s="41" t="s">
        <v>549</v>
      </c>
      <c r="D8" s="37">
        <f>SUM(D12:D348)</f>
        <v>3446710893.3900008</v>
      </c>
      <c r="E8" s="37">
        <f t="shared" ref="E8:F8" si="1">SUM(E12:E348)</f>
        <v>187767644.22999996</v>
      </c>
      <c r="F8" s="37">
        <f t="shared" si="1"/>
        <v>195759647.09999999</v>
      </c>
    </row>
    <row r="9" spans="1:6" x14ac:dyDescent="0.25">
      <c r="A9" s="42"/>
      <c r="B9" s="42"/>
      <c r="C9" s="41" t="s">
        <v>550</v>
      </c>
      <c r="D9" s="37">
        <f>SUM(D350:D512)</f>
        <v>120149706.36</v>
      </c>
      <c r="E9" s="37">
        <f t="shared" ref="E9:F9" si="2">SUM(E350:E512)</f>
        <v>6534025.7299999986</v>
      </c>
      <c r="F9" s="37">
        <f t="shared" si="2"/>
        <v>6533895.9100000011</v>
      </c>
    </row>
    <row r="10" spans="1:6" x14ac:dyDescent="0.25">
      <c r="A10" s="42"/>
      <c r="B10" s="42"/>
      <c r="C10" s="41" t="s">
        <v>551</v>
      </c>
      <c r="D10" s="37">
        <f>SUM(D514:D603)</f>
        <v>330578782.82999998</v>
      </c>
      <c r="E10" s="37">
        <f t="shared" ref="E10:F10" si="3">SUM(E514:E603)</f>
        <v>18070610.969999999</v>
      </c>
      <c r="F10" s="37">
        <f t="shared" si="3"/>
        <v>18073920.879999999</v>
      </c>
    </row>
    <row r="11" spans="1:6" x14ac:dyDescent="0.25">
      <c r="A11" s="42"/>
      <c r="B11" s="42"/>
      <c r="C11" s="42"/>
      <c r="D11" s="42"/>
      <c r="E11" s="42"/>
      <c r="F11" s="42"/>
    </row>
    <row r="12" spans="1:6" x14ac:dyDescent="0.25">
      <c r="A12" s="27">
        <v>1</v>
      </c>
      <c r="B12" s="27">
        <v>1</v>
      </c>
      <c r="C12" s="18" t="s">
        <v>552</v>
      </c>
      <c r="D12" s="37">
        <v>4816898.8600000003</v>
      </c>
      <c r="E12" s="37">
        <v>260714.06</v>
      </c>
      <c r="F12" s="37">
        <v>260713.26</v>
      </c>
    </row>
    <row r="13" spans="1:6" x14ac:dyDescent="0.25">
      <c r="A13" s="27">
        <v>1.2</v>
      </c>
      <c r="B13" s="27">
        <v>3</v>
      </c>
      <c r="C13" s="18" t="s">
        <v>553</v>
      </c>
      <c r="D13" s="37">
        <v>218893323.34</v>
      </c>
      <c r="E13" s="37">
        <v>12235991.380000001</v>
      </c>
      <c r="F13" s="37">
        <v>20231858.670000002</v>
      </c>
    </row>
    <row r="14" spans="1:6" x14ac:dyDescent="0.25">
      <c r="A14" s="27">
        <v>2</v>
      </c>
      <c r="B14" s="27">
        <v>1</v>
      </c>
      <c r="C14" s="18" t="s">
        <v>554</v>
      </c>
      <c r="D14" s="37">
        <v>1789667.59</v>
      </c>
      <c r="E14" s="37">
        <v>98184.05</v>
      </c>
      <c r="F14" s="37">
        <v>98184.45</v>
      </c>
    </row>
    <row r="15" spans="1:6" x14ac:dyDescent="0.25">
      <c r="A15" s="27">
        <v>4</v>
      </c>
      <c r="B15" s="27">
        <v>1</v>
      </c>
      <c r="C15" s="18" t="s">
        <v>555</v>
      </c>
      <c r="D15" s="37">
        <v>1952577.73</v>
      </c>
      <c r="E15" s="37">
        <v>105878.39</v>
      </c>
      <c r="F15" s="37">
        <v>105877.44</v>
      </c>
    </row>
    <row r="16" spans="1:6" x14ac:dyDescent="0.25">
      <c r="A16" s="27">
        <v>6</v>
      </c>
      <c r="B16" s="27">
        <v>3</v>
      </c>
      <c r="C16" s="18" t="s">
        <v>556</v>
      </c>
      <c r="D16" s="37">
        <v>15816431.039999999</v>
      </c>
      <c r="E16" s="37">
        <v>864257.72</v>
      </c>
      <c r="F16" s="37">
        <v>864250.99</v>
      </c>
    </row>
    <row r="17" spans="1:6" x14ac:dyDescent="0.25">
      <c r="A17" s="27">
        <v>11</v>
      </c>
      <c r="B17" s="27">
        <v>1</v>
      </c>
      <c r="C17" s="18" t="s">
        <v>557</v>
      </c>
      <c r="D17" s="37">
        <v>194858440.78999999</v>
      </c>
      <c r="E17" s="37">
        <v>10598850.59</v>
      </c>
      <c r="F17" s="37">
        <v>10598750.93</v>
      </c>
    </row>
    <row r="18" spans="1:6" x14ac:dyDescent="0.25">
      <c r="A18" s="27">
        <v>12</v>
      </c>
      <c r="B18" s="27">
        <v>1</v>
      </c>
      <c r="C18" s="18" t="s">
        <v>558</v>
      </c>
      <c r="D18" s="37">
        <v>30192260.670000002</v>
      </c>
      <c r="E18" s="37">
        <v>1653127.09</v>
      </c>
      <c r="F18" s="37">
        <v>1653118.45</v>
      </c>
    </row>
    <row r="19" spans="1:6" x14ac:dyDescent="0.25">
      <c r="A19" s="27">
        <v>13</v>
      </c>
      <c r="B19" s="27">
        <v>1</v>
      </c>
      <c r="C19" s="18" t="s">
        <v>559</v>
      </c>
      <c r="D19" s="37">
        <v>12373432.16</v>
      </c>
      <c r="E19" s="37">
        <v>680499.9</v>
      </c>
      <c r="F19" s="37">
        <v>680495.53</v>
      </c>
    </row>
    <row r="20" spans="1:6" x14ac:dyDescent="0.25">
      <c r="A20" s="27">
        <v>14</v>
      </c>
      <c r="B20" s="27">
        <v>1</v>
      </c>
      <c r="C20" s="18" t="s">
        <v>560</v>
      </c>
      <c r="D20" s="37">
        <v>13907138.789999999</v>
      </c>
      <c r="E20" s="37">
        <v>756234.45</v>
      </c>
      <c r="F20" s="37">
        <v>756233.2</v>
      </c>
    </row>
    <row r="21" spans="1:6" x14ac:dyDescent="0.25">
      <c r="A21" s="27">
        <v>15</v>
      </c>
      <c r="B21" s="27">
        <v>1</v>
      </c>
      <c r="C21" s="18" t="s">
        <v>561</v>
      </c>
      <c r="D21" s="37">
        <v>25063659.760000002</v>
      </c>
      <c r="E21" s="37">
        <v>1370426.5</v>
      </c>
      <c r="F21" s="37">
        <v>1370428.85</v>
      </c>
    </row>
    <row r="22" spans="1:6" x14ac:dyDescent="0.25">
      <c r="A22" s="27">
        <v>16</v>
      </c>
      <c r="B22" s="27">
        <v>1</v>
      </c>
      <c r="C22" s="18" t="s">
        <v>562</v>
      </c>
      <c r="D22" s="37">
        <v>20324370.48</v>
      </c>
      <c r="E22" s="37">
        <v>1117778.8400000001</v>
      </c>
      <c r="F22" s="37">
        <v>1117775.6100000001</v>
      </c>
    </row>
    <row r="23" spans="1:6" x14ac:dyDescent="0.25">
      <c r="A23" s="27">
        <v>22</v>
      </c>
      <c r="B23" s="27">
        <v>1</v>
      </c>
      <c r="C23" s="18" t="s">
        <v>563</v>
      </c>
      <c r="D23" s="37">
        <v>12980364.67</v>
      </c>
      <c r="E23" s="37">
        <v>699183.07</v>
      </c>
      <c r="F23" s="37">
        <v>699179.29</v>
      </c>
    </row>
    <row r="24" spans="1:6" x14ac:dyDescent="0.25">
      <c r="A24" s="27">
        <v>23</v>
      </c>
      <c r="B24" s="27">
        <v>1</v>
      </c>
      <c r="C24" s="18" t="s">
        <v>564</v>
      </c>
      <c r="D24" s="37">
        <v>3864488.18</v>
      </c>
      <c r="E24" s="37">
        <v>209470.51</v>
      </c>
      <c r="F24" s="37">
        <v>209469.39</v>
      </c>
    </row>
    <row r="25" spans="1:6" x14ac:dyDescent="0.25">
      <c r="A25" s="27">
        <v>25</v>
      </c>
      <c r="B25" s="27">
        <v>1</v>
      </c>
      <c r="C25" s="18" t="s">
        <v>565</v>
      </c>
      <c r="D25" s="37">
        <v>635495.37</v>
      </c>
      <c r="E25" s="37">
        <v>33929.160000000003</v>
      </c>
      <c r="F25" s="37">
        <v>33929.1</v>
      </c>
    </row>
    <row r="26" spans="1:6" x14ac:dyDescent="0.25">
      <c r="A26" s="27">
        <v>31</v>
      </c>
      <c r="B26" s="27">
        <v>1</v>
      </c>
      <c r="C26" s="18" t="s">
        <v>566</v>
      </c>
      <c r="D26" s="37">
        <v>20990297.52</v>
      </c>
      <c r="E26" s="37">
        <v>1151764.29</v>
      </c>
      <c r="F26" s="37">
        <v>1151763.3</v>
      </c>
    </row>
    <row r="27" spans="1:6" x14ac:dyDescent="0.25">
      <c r="A27" s="27">
        <v>32</v>
      </c>
      <c r="B27" s="27">
        <v>1</v>
      </c>
      <c r="C27" s="18" t="s">
        <v>567</v>
      </c>
      <c r="D27" s="37">
        <v>2554306.46</v>
      </c>
      <c r="E27" s="37">
        <v>138172.18</v>
      </c>
      <c r="F27" s="37">
        <v>138171.17000000001</v>
      </c>
    </row>
    <row r="28" spans="1:6" x14ac:dyDescent="0.25">
      <c r="A28" s="27">
        <v>36</v>
      </c>
      <c r="B28" s="27">
        <v>1</v>
      </c>
      <c r="C28" s="18" t="s">
        <v>568</v>
      </c>
      <c r="D28" s="37">
        <v>1527783.41</v>
      </c>
      <c r="E28" s="37">
        <v>83318.600000000006</v>
      </c>
      <c r="F28" s="37">
        <v>83317.710000000006</v>
      </c>
    </row>
    <row r="29" spans="1:6" x14ac:dyDescent="0.25">
      <c r="A29" s="27">
        <v>38</v>
      </c>
      <c r="B29" s="27">
        <v>1</v>
      </c>
      <c r="C29" s="18" t="s">
        <v>569</v>
      </c>
      <c r="D29" s="37">
        <v>9399820.6600000001</v>
      </c>
      <c r="E29" s="37">
        <v>502141.31</v>
      </c>
      <c r="F29" s="37">
        <v>502139.77</v>
      </c>
    </row>
    <row r="30" spans="1:6" x14ac:dyDescent="0.25">
      <c r="A30" s="27">
        <v>47</v>
      </c>
      <c r="B30" s="27">
        <v>1</v>
      </c>
      <c r="C30" s="18" t="s">
        <v>570</v>
      </c>
      <c r="D30" s="37">
        <v>15190575.35</v>
      </c>
      <c r="E30" s="37">
        <v>831801.45</v>
      </c>
      <c r="F30" s="37">
        <v>831800.7</v>
      </c>
    </row>
    <row r="31" spans="1:6" x14ac:dyDescent="0.25">
      <c r="A31" s="27">
        <v>51</v>
      </c>
      <c r="B31" s="27">
        <v>1</v>
      </c>
      <c r="C31" s="18" t="s">
        <v>571</v>
      </c>
      <c r="D31" s="37">
        <v>6715314.4500000002</v>
      </c>
      <c r="E31" s="37">
        <v>357355.83</v>
      </c>
      <c r="F31" s="37">
        <v>357357.57</v>
      </c>
    </row>
    <row r="32" spans="1:6" x14ac:dyDescent="0.25">
      <c r="A32" s="27">
        <v>75</v>
      </c>
      <c r="B32" s="27">
        <v>1</v>
      </c>
      <c r="C32" s="18" t="s">
        <v>572</v>
      </c>
      <c r="D32" s="37">
        <v>2301546.41</v>
      </c>
      <c r="E32" s="37">
        <v>125816.35</v>
      </c>
      <c r="F32" s="37">
        <v>125816.24</v>
      </c>
    </row>
    <row r="33" spans="1:6" x14ac:dyDescent="0.25">
      <c r="A33" s="27">
        <v>77</v>
      </c>
      <c r="B33" s="27">
        <v>1</v>
      </c>
      <c r="C33" s="18" t="s">
        <v>573</v>
      </c>
      <c r="D33" s="37">
        <v>32552975.940000001</v>
      </c>
      <c r="E33" s="37">
        <v>1760640.09</v>
      </c>
      <c r="F33" s="37">
        <v>1760634.44</v>
      </c>
    </row>
    <row r="34" spans="1:6" x14ac:dyDescent="0.25">
      <c r="A34" s="27">
        <v>81</v>
      </c>
      <c r="B34" s="27">
        <v>1</v>
      </c>
      <c r="C34" s="18" t="s">
        <v>574</v>
      </c>
      <c r="D34" s="37">
        <v>851977.87</v>
      </c>
      <c r="E34" s="37">
        <v>43546.73</v>
      </c>
      <c r="F34" s="37">
        <v>43546.53</v>
      </c>
    </row>
    <row r="35" spans="1:6" x14ac:dyDescent="0.25">
      <c r="A35" s="27">
        <v>84</v>
      </c>
      <c r="B35" s="27">
        <v>1</v>
      </c>
      <c r="C35" s="18" t="s">
        <v>575</v>
      </c>
      <c r="D35" s="37">
        <v>2722134.69</v>
      </c>
      <c r="E35" s="37">
        <v>148030.39000000001</v>
      </c>
      <c r="F35" s="37">
        <v>148029.31</v>
      </c>
    </row>
    <row r="36" spans="1:6" x14ac:dyDescent="0.25">
      <c r="A36" s="27">
        <v>85</v>
      </c>
      <c r="B36" s="27">
        <v>1</v>
      </c>
      <c r="C36" s="18" t="s">
        <v>576</v>
      </c>
      <c r="D36" s="37">
        <v>2360842.7799999998</v>
      </c>
      <c r="E36" s="37">
        <v>128450.8</v>
      </c>
      <c r="F36" s="37">
        <v>128449.93</v>
      </c>
    </row>
    <row r="37" spans="1:6" x14ac:dyDescent="0.25">
      <c r="A37" s="27">
        <v>88</v>
      </c>
      <c r="B37" s="27">
        <v>1</v>
      </c>
      <c r="C37" s="18" t="s">
        <v>577</v>
      </c>
      <c r="D37" s="37">
        <v>8533016.1600000001</v>
      </c>
      <c r="E37" s="37">
        <v>466449.63</v>
      </c>
      <c r="F37" s="37">
        <v>466453.68</v>
      </c>
    </row>
    <row r="38" spans="1:6" x14ac:dyDescent="0.25">
      <c r="A38" s="27">
        <v>91</v>
      </c>
      <c r="B38" s="27">
        <v>1</v>
      </c>
      <c r="C38" s="18" t="s">
        <v>578</v>
      </c>
      <c r="D38" s="37">
        <v>3223726.76</v>
      </c>
      <c r="E38" s="37">
        <v>176166.37</v>
      </c>
      <c r="F38" s="37">
        <v>176166.07</v>
      </c>
    </row>
    <row r="39" spans="1:6" x14ac:dyDescent="0.25">
      <c r="A39" s="27">
        <v>93</v>
      </c>
      <c r="B39" s="27">
        <v>1</v>
      </c>
      <c r="C39" s="18" t="s">
        <v>579</v>
      </c>
      <c r="D39" s="37">
        <v>2381992.7400000002</v>
      </c>
      <c r="E39" s="37">
        <v>127968.91</v>
      </c>
      <c r="F39" s="37">
        <v>127968.11</v>
      </c>
    </row>
    <row r="40" spans="1:6" x14ac:dyDescent="0.25">
      <c r="A40" s="27">
        <v>94</v>
      </c>
      <c r="B40" s="27">
        <v>1</v>
      </c>
      <c r="C40" s="18" t="s">
        <v>580</v>
      </c>
      <c r="D40" s="37">
        <v>10819001.01</v>
      </c>
      <c r="E40" s="37">
        <v>591852.63</v>
      </c>
      <c r="F40" s="37">
        <v>591849.16</v>
      </c>
    </row>
    <row r="41" spans="1:6" x14ac:dyDescent="0.25">
      <c r="A41" s="27">
        <v>95</v>
      </c>
      <c r="B41" s="27">
        <v>1</v>
      </c>
      <c r="C41" s="18" t="s">
        <v>581</v>
      </c>
      <c r="D41" s="37">
        <v>1544920.86</v>
      </c>
      <c r="E41" s="37">
        <v>84186.44</v>
      </c>
      <c r="F41" s="37">
        <v>84184.67</v>
      </c>
    </row>
    <row r="42" spans="1:6" x14ac:dyDescent="0.25">
      <c r="A42" s="27">
        <v>97</v>
      </c>
      <c r="B42" s="27">
        <v>1</v>
      </c>
      <c r="C42" s="18" t="s">
        <v>582</v>
      </c>
      <c r="D42" s="37">
        <v>2916289.53</v>
      </c>
      <c r="E42" s="37">
        <v>159812.85999999999</v>
      </c>
      <c r="F42" s="37">
        <v>159812.42000000001</v>
      </c>
    </row>
    <row r="43" spans="1:6" x14ac:dyDescent="0.25">
      <c r="A43" s="27">
        <v>99</v>
      </c>
      <c r="B43" s="27">
        <v>1</v>
      </c>
      <c r="C43" s="18" t="s">
        <v>583</v>
      </c>
      <c r="D43" s="37">
        <v>4565564.5</v>
      </c>
      <c r="E43" s="37">
        <v>249596.86</v>
      </c>
      <c r="F43" s="37">
        <v>249596.43</v>
      </c>
    </row>
    <row r="44" spans="1:6" x14ac:dyDescent="0.25">
      <c r="A44" s="27">
        <v>100</v>
      </c>
      <c r="B44" s="27">
        <v>1</v>
      </c>
      <c r="C44" s="18" t="s">
        <v>584</v>
      </c>
      <c r="D44" s="37">
        <v>1306282.56</v>
      </c>
      <c r="E44" s="37">
        <v>71499.820000000007</v>
      </c>
      <c r="F44" s="37">
        <v>71499.5</v>
      </c>
    </row>
    <row r="45" spans="1:6" x14ac:dyDescent="0.25">
      <c r="A45" s="27">
        <v>108</v>
      </c>
      <c r="B45" s="27">
        <v>1</v>
      </c>
      <c r="C45" s="18" t="s">
        <v>585</v>
      </c>
      <c r="D45" s="37">
        <v>4404406.38</v>
      </c>
      <c r="E45" s="37">
        <v>240764.72</v>
      </c>
      <c r="F45" s="37">
        <v>240763.67</v>
      </c>
    </row>
    <row r="46" spans="1:6" x14ac:dyDescent="0.25">
      <c r="A46" s="27">
        <v>110</v>
      </c>
      <c r="B46" s="27">
        <v>1</v>
      </c>
      <c r="C46" s="18" t="s">
        <v>586</v>
      </c>
      <c r="D46" s="37">
        <v>11743513.01</v>
      </c>
      <c r="E46" s="37">
        <v>640729.61</v>
      </c>
      <c r="F46" s="37">
        <v>640728.49</v>
      </c>
    </row>
    <row r="47" spans="1:6" x14ac:dyDescent="0.25">
      <c r="A47" s="27">
        <v>111</v>
      </c>
      <c r="B47" s="27">
        <v>1</v>
      </c>
      <c r="C47" s="18" t="s">
        <v>587</v>
      </c>
      <c r="D47" s="37">
        <v>6256168.8899999997</v>
      </c>
      <c r="E47" s="37">
        <v>337260.13</v>
      </c>
      <c r="F47" s="37">
        <v>337258.61</v>
      </c>
    </row>
    <row r="48" spans="1:6" x14ac:dyDescent="0.25">
      <c r="A48" s="27">
        <v>112</v>
      </c>
      <c r="B48" s="27">
        <v>1</v>
      </c>
      <c r="C48" s="18" t="s">
        <v>588</v>
      </c>
      <c r="D48" s="37">
        <v>41977903.119999997</v>
      </c>
      <c r="E48" s="37">
        <v>2300481.52</v>
      </c>
      <c r="F48" s="37">
        <v>2300488.04</v>
      </c>
    </row>
    <row r="49" spans="1:6" x14ac:dyDescent="0.25">
      <c r="A49" s="27">
        <v>113</v>
      </c>
      <c r="B49" s="27">
        <v>1</v>
      </c>
      <c r="C49" s="18" t="s">
        <v>589</v>
      </c>
      <c r="D49" s="37">
        <v>3810582.18</v>
      </c>
      <c r="E49" s="37">
        <v>199297.99</v>
      </c>
      <c r="F49" s="37">
        <v>199297.28</v>
      </c>
    </row>
    <row r="50" spans="1:6" x14ac:dyDescent="0.25">
      <c r="A50" s="27">
        <v>115</v>
      </c>
      <c r="B50" s="27">
        <v>1</v>
      </c>
      <c r="C50" s="18" t="s">
        <v>590</v>
      </c>
      <c r="D50" s="37">
        <v>6415177.3700000001</v>
      </c>
      <c r="E50" s="37">
        <v>348506.58</v>
      </c>
      <c r="F50" s="37">
        <v>348504.68</v>
      </c>
    </row>
    <row r="51" spans="1:6" x14ac:dyDescent="0.25">
      <c r="A51" s="27">
        <v>116</v>
      </c>
      <c r="B51" s="27">
        <v>1</v>
      </c>
      <c r="C51" s="18" t="s">
        <v>591</v>
      </c>
      <c r="D51" s="37">
        <v>3342075.92</v>
      </c>
      <c r="E51" s="37">
        <v>181241.73</v>
      </c>
      <c r="F51" s="37">
        <v>181241.18</v>
      </c>
    </row>
    <row r="52" spans="1:6" x14ac:dyDescent="0.25">
      <c r="A52" s="27">
        <v>118</v>
      </c>
      <c r="B52" s="27">
        <v>1</v>
      </c>
      <c r="C52" s="18" t="s">
        <v>592</v>
      </c>
      <c r="D52" s="37">
        <v>3059750.3</v>
      </c>
      <c r="E52" s="37">
        <v>165951.14000000001</v>
      </c>
      <c r="F52" s="37">
        <v>165950.93</v>
      </c>
    </row>
    <row r="53" spans="1:6" x14ac:dyDescent="0.25">
      <c r="A53" s="27">
        <v>129</v>
      </c>
      <c r="B53" s="27">
        <v>1</v>
      </c>
      <c r="C53" s="18" t="s">
        <v>593</v>
      </c>
      <c r="D53" s="37">
        <v>6923380.8700000001</v>
      </c>
      <c r="E53" s="37">
        <v>379403.03</v>
      </c>
      <c r="F53" s="37">
        <v>379402.1</v>
      </c>
    </row>
    <row r="54" spans="1:6" x14ac:dyDescent="0.25">
      <c r="A54" s="27">
        <v>138</v>
      </c>
      <c r="B54" s="27">
        <v>1</v>
      </c>
      <c r="C54" s="18" t="s">
        <v>594</v>
      </c>
      <c r="D54" s="37">
        <v>12608081.58</v>
      </c>
      <c r="E54" s="37">
        <v>689307.24</v>
      </c>
      <c r="F54" s="37">
        <v>689301.41</v>
      </c>
    </row>
    <row r="55" spans="1:6" x14ac:dyDescent="0.25">
      <c r="A55" s="27">
        <v>139</v>
      </c>
      <c r="B55" s="27">
        <v>1</v>
      </c>
      <c r="C55" s="18" t="s">
        <v>595</v>
      </c>
      <c r="D55" s="37">
        <v>4639445.5599999996</v>
      </c>
      <c r="E55" s="37">
        <v>251831.23</v>
      </c>
      <c r="F55" s="37">
        <v>251830.92</v>
      </c>
    </row>
    <row r="56" spans="1:6" x14ac:dyDescent="0.25">
      <c r="A56" s="27">
        <v>146</v>
      </c>
      <c r="B56" s="27">
        <v>1</v>
      </c>
      <c r="C56" s="18" t="s">
        <v>596</v>
      </c>
      <c r="D56" s="37">
        <v>3011747.91</v>
      </c>
      <c r="E56" s="37">
        <v>161783.01</v>
      </c>
      <c r="F56" s="37">
        <v>161782.65</v>
      </c>
    </row>
    <row r="57" spans="1:6" x14ac:dyDescent="0.25">
      <c r="A57" s="27">
        <v>150</v>
      </c>
      <c r="B57" s="27">
        <v>1</v>
      </c>
      <c r="C57" s="18" t="s">
        <v>597</v>
      </c>
      <c r="D57" s="37">
        <v>3674273.09</v>
      </c>
      <c r="E57" s="37">
        <v>201279.42</v>
      </c>
      <c r="F57" s="37">
        <v>201278.91</v>
      </c>
    </row>
    <row r="58" spans="1:6" x14ac:dyDescent="0.25">
      <c r="A58" s="27">
        <v>152</v>
      </c>
      <c r="B58" s="27">
        <v>1</v>
      </c>
      <c r="C58" s="18" t="s">
        <v>598</v>
      </c>
      <c r="D58" s="37">
        <v>23747047.370000001</v>
      </c>
      <c r="E58" s="37">
        <v>1301216.98</v>
      </c>
      <c r="F58" s="37">
        <v>1301215.3</v>
      </c>
    </row>
    <row r="59" spans="1:6" x14ac:dyDescent="0.25">
      <c r="A59" s="27">
        <v>162</v>
      </c>
      <c r="B59" s="27">
        <v>1</v>
      </c>
      <c r="C59" s="18" t="s">
        <v>599</v>
      </c>
      <c r="D59" s="37">
        <v>4101048.63</v>
      </c>
      <c r="E59" s="37">
        <v>224846.36</v>
      </c>
      <c r="F59" s="37">
        <v>224845.43</v>
      </c>
    </row>
    <row r="60" spans="1:6" x14ac:dyDescent="0.25">
      <c r="A60" s="27">
        <v>166</v>
      </c>
      <c r="B60" s="27">
        <v>1</v>
      </c>
      <c r="C60" s="18" t="s">
        <v>600</v>
      </c>
      <c r="D60" s="37">
        <v>2470084.15</v>
      </c>
      <c r="E60" s="37">
        <v>133071.31</v>
      </c>
      <c r="F60" s="37">
        <v>133068.51999999999</v>
      </c>
    </row>
    <row r="61" spans="1:6" x14ac:dyDescent="0.25">
      <c r="A61" s="27">
        <v>173</v>
      </c>
      <c r="B61" s="27">
        <v>1</v>
      </c>
      <c r="C61" s="18" t="s">
        <v>601</v>
      </c>
      <c r="D61" s="37">
        <v>2369819.67</v>
      </c>
      <c r="E61" s="37">
        <v>127931.11</v>
      </c>
      <c r="F61" s="37">
        <v>127929.93</v>
      </c>
    </row>
    <row r="62" spans="1:6" x14ac:dyDescent="0.25">
      <c r="A62" s="27">
        <v>177</v>
      </c>
      <c r="B62" s="27">
        <v>1</v>
      </c>
      <c r="C62" s="18" t="s">
        <v>602</v>
      </c>
      <c r="D62" s="37">
        <v>4338425.26</v>
      </c>
      <c r="E62" s="37">
        <v>236104.93</v>
      </c>
      <c r="F62" s="37">
        <v>236104.51</v>
      </c>
    </row>
    <row r="63" spans="1:6" x14ac:dyDescent="0.25">
      <c r="A63" s="27">
        <v>181</v>
      </c>
      <c r="B63" s="27">
        <v>1</v>
      </c>
      <c r="C63" s="18" t="s">
        <v>603</v>
      </c>
      <c r="D63" s="37">
        <v>29874305.969999999</v>
      </c>
      <c r="E63" s="37">
        <v>1611528.45</v>
      </c>
      <c r="F63" s="37">
        <v>1611526.23</v>
      </c>
    </row>
    <row r="64" spans="1:6" x14ac:dyDescent="0.25">
      <c r="A64" s="27">
        <v>182</v>
      </c>
      <c r="B64" s="27">
        <v>1</v>
      </c>
      <c r="C64" s="18" t="s">
        <v>604</v>
      </c>
      <c r="D64" s="37">
        <v>4533409.5199999996</v>
      </c>
      <c r="E64" s="37">
        <v>247059.28</v>
      </c>
      <c r="F64" s="37">
        <v>247056.73</v>
      </c>
    </row>
    <row r="65" spans="1:6" x14ac:dyDescent="0.25">
      <c r="A65" s="27">
        <v>186</v>
      </c>
      <c r="B65" s="27">
        <v>1</v>
      </c>
      <c r="C65" s="18" t="s">
        <v>605</v>
      </c>
      <c r="D65" s="37">
        <v>6194448.4199999999</v>
      </c>
      <c r="E65" s="37">
        <v>336756.49</v>
      </c>
      <c r="F65" s="37">
        <v>336754.9</v>
      </c>
    </row>
    <row r="66" spans="1:6" x14ac:dyDescent="0.25">
      <c r="A66" s="27">
        <v>191</v>
      </c>
      <c r="B66" s="27">
        <v>1</v>
      </c>
      <c r="C66" s="18" t="s">
        <v>606</v>
      </c>
      <c r="D66" s="37">
        <v>51274808.75</v>
      </c>
      <c r="E66" s="37">
        <v>2795015.21</v>
      </c>
      <c r="F66" s="37">
        <v>2795004.56</v>
      </c>
    </row>
    <row r="67" spans="1:6" x14ac:dyDescent="0.25">
      <c r="A67" s="27">
        <v>192</v>
      </c>
      <c r="B67" s="27">
        <v>1</v>
      </c>
      <c r="C67" s="18" t="s">
        <v>607</v>
      </c>
      <c r="D67" s="37">
        <v>28633663.899999999</v>
      </c>
      <c r="E67" s="37">
        <v>1566365.74</v>
      </c>
      <c r="F67" s="37">
        <v>1566368.17</v>
      </c>
    </row>
    <row r="68" spans="1:6" x14ac:dyDescent="0.25">
      <c r="A68" s="27">
        <v>194</v>
      </c>
      <c r="B68" s="27">
        <v>1</v>
      </c>
      <c r="C68" s="18" t="s">
        <v>608</v>
      </c>
      <c r="D68" s="37">
        <v>50263128.82</v>
      </c>
      <c r="E68" s="37">
        <v>2749228.32</v>
      </c>
      <c r="F68" s="37">
        <v>2749210.34</v>
      </c>
    </row>
    <row r="69" spans="1:6" x14ac:dyDescent="0.25">
      <c r="A69" s="27">
        <v>195</v>
      </c>
      <c r="B69" s="27">
        <v>1</v>
      </c>
      <c r="C69" s="18" t="s">
        <v>609</v>
      </c>
      <c r="D69" s="37">
        <v>2065110.65</v>
      </c>
      <c r="E69" s="37">
        <v>111081.46</v>
      </c>
      <c r="F69" s="37">
        <v>111080.89</v>
      </c>
    </row>
    <row r="70" spans="1:6" x14ac:dyDescent="0.25">
      <c r="A70" s="27">
        <v>196</v>
      </c>
      <c r="B70" s="27">
        <v>1</v>
      </c>
      <c r="C70" s="18" t="s">
        <v>610</v>
      </c>
      <c r="D70" s="37">
        <v>153237118.88999999</v>
      </c>
      <c r="E70" s="37">
        <v>8363471.1399999997</v>
      </c>
      <c r="F70" s="37">
        <v>8363441.2300000004</v>
      </c>
    </row>
    <row r="71" spans="1:6" x14ac:dyDescent="0.25">
      <c r="A71" s="27">
        <v>197</v>
      </c>
      <c r="B71" s="27">
        <v>1</v>
      </c>
      <c r="C71" s="18" t="s">
        <v>611</v>
      </c>
      <c r="D71" s="37">
        <v>22125422.170000002</v>
      </c>
      <c r="E71" s="37">
        <v>1214801.78</v>
      </c>
      <c r="F71" s="37">
        <v>1214785.06</v>
      </c>
    </row>
    <row r="72" spans="1:6" x14ac:dyDescent="0.25">
      <c r="A72" s="27">
        <v>199</v>
      </c>
      <c r="B72" s="27">
        <v>1</v>
      </c>
      <c r="C72" s="18" t="s">
        <v>612</v>
      </c>
      <c r="D72" s="37">
        <v>17030408.469999999</v>
      </c>
      <c r="E72" s="37">
        <v>934006.32</v>
      </c>
      <c r="F72" s="37">
        <v>934001.4</v>
      </c>
    </row>
    <row r="73" spans="1:6" x14ac:dyDescent="0.25">
      <c r="A73" s="27">
        <v>200</v>
      </c>
      <c r="B73" s="27">
        <v>1</v>
      </c>
      <c r="C73" s="18" t="s">
        <v>613</v>
      </c>
      <c r="D73" s="37">
        <v>20914427.41</v>
      </c>
      <c r="E73" s="37">
        <v>1135856.01</v>
      </c>
      <c r="F73" s="37">
        <v>1135851.93</v>
      </c>
    </row>
    <row r="74" spans="1:6" x14ac:dyDescent="0.25">
      <c r="A74" s="27">
        <v>203</v>
      </c>
      <c r="B74" s="27">
        <v>1</v>
      </c>
      <c r="C74" s="18" t="s">
        <v>614</v>
      </c>
      <c r="D74" s="37">
        <v>3391238.52</v>
      </c>
      <c r="E74" s="37">
        <v>184142.58</v>
      </c>
      <c r="F74" s="37">
        <v>184141.85</v>
      </c>
    </row>
    <row r="75" spans="1:6" x14ac:dyDescent="0.25">
      <c r="A75" s="27">
        <v>204</v>
      </c>
      <c r="B75" s="27">
        <v>1</v>
      </c>
      <c r="C75" s="18" t="s">
        <v>615</v>
      </c>
      <c r="D75" s="37">
        <v>7878656.1100000003</v>
      </c>
      <c r="E75" s="37">
        <v>430523.09</v>
      </c>
      <c r="F75" s="37">
        <v>430523.21</v>
      </c>
    </row>
    <row r="76" spans="1:6" x14ac:dyDescent="0.25">
      <c r="A76" s="27">
        <v>206</v>
      </c>
      <c r="B76" s="27">
        <v>1</v>
      </c>
      <c r="C76" s="18" t="s">
        <v>616</v>
      </c>
      <c r="D76" s="37">
        <v>19171240.620000001</v>
      </c>
      <c r="E76" s="37">
        <v>1045875.86</v>
      </c>
      <c r="F76" s="37">
        <v>1045871.42</v>
      </c>
    </row>
    <row r="77" spans="1:6" x14ac:dyDescent="0.25">
      <c r="A77" s="27">
        <v>207</v>
      </c>
      <c r="B77" s="27">
        <v>1</v>
      </c>
      <c r="C77" s="18" t="s">
        <v>617</v>
      </c>
      <c r="D77" s="37">
        <v>1172670.45</v>
      </c>
      <c r="E77" s="37">
        <v>58957.26</v>
      </c>
      <c r="F77" s="37">
        <v>58957.14</v>
      </c>
    </row>
    <row r="78" spans="1:6" x14ac:dyDescent="0.25">
      <c r="A78" s="27">
        <v>208</v>
      </c>
      <c r="B78" s="27">
        <v>1</v>
      </c>
      <c r="C78" s="18" t="s">
        <v>618</v>
      </c>
      <c r="D78" s="37">
        <v>813041.89</v>
      </c>
      <c r="E78" s="37">
        <v>43524.63</v>
      </c>
      <c r="F78" s="37">
        <v>43524.06</v>
      </c>
    </row>
    <row r="79" spans="1:6" x14ac:dyDescent="0.25">
      <c r="A79" s="27">
        <v>213</v>
      </c>
      <c r="B79" s="27">
        <v>1</v>
      </c>
      <c r="C79" s="18" t="s">
        <v>619</v>
      </c>
      <c r="D79" s="37">
        <v>2962279.17</v>
      </c>
      <c r="E79" s="37">
        <v>162012.88</v>
      </c>
      <c r="F79" s="37">
        <v>162012.48000000001</v>
      </c>
    </row>
    <row r="80" spans="1:6" x14ac:dyDescent="0.25">
      <c r="A80" s="27">
        <v>227</v>
      </c>
      <c r="B80" s="27">
        <v>1</v>
      </c>
      <c r="C80" s="18" t="s">
        <v>620</v>
      </c>
      <c r="D80" s="37">
        <v>3505787.76</v>
      </c>
      <c r="E80" s="37">
        <v>186759.86</v>
      </c>
      <c r="F80" s="37">
        <v>186758.5</v>
      </c>
    </row>
    <row r="81" spans="1:6" x14ac:dyDescent="0.25">
      <c r="A81" s="27">
        <v>229</v>
      </c>
      <c r="B81" s="27">
        <v>1</v>
      </c>
      <c r="C81" s="18" t="s">
        <v>621</v>
      </c>
      <c r="D81" s="37">
        <v>1510601.36</v>
      </c>
      <c r="E81" s="37">
        <v>81679.86</v>
      </c>
      <c r="F81" s="37">
        <v>81679.73</v>
      </c>
    </row>
    <row r="82" spans="1:6" x14ac:dyDescent="0.25">
      <c r="A82" s="27">
        <v>238</v>
      </c>
      <c r="B82" s="27">
        <v>1</v>
      </c>
      <c r="C82" s="18" t="s">
        <v>622</v>
      </c>
      <c r="D82" s="37">
        <v>1488769.3</v>
      </c>
      <c r="E82" s="37">
        <v>76098.92</v>
      </c>
      <c r="F82" s="37">
        <v>76099.009999999995</v>
      </c>
    </row>
    <row r="83" spans="1:6" x14ac:dyDescent="0.25">
      <c r="A83" s="27">
        <v>239</v>
      </c>
      <c r="B83" s="27">
        <v>1</v>
      </c>
      <c r="C83" s="18" t="s">
        <v>623</v>
      </c>
      <c r="D83" s="37">
        <v>2930685.35</v>
      </c>
      <c r="E83" s="37">
        <v>152711.96</v>
      </c>
      <c r="F83" s="37">
        <v>152710.72</v>
      </c>
    </row>
    <row r="84" spans="1:6" x14ac:dyDescent="0.25">
      <c r="A84" s="27">
        <v>241</v>
      </c>
      <c r="B84" s="27">
        <v>1</v>
      </c>
      <c r="C84" s="18" t="s">
        <v>624</v>
      </c>
      <c r="D84" s="37">
        <v>15878913.98</v>
      </c>
      <c r="E84" s="37">
        <v>872736.94</v>
      </c>
      <c r="F84" s="37">
        <v>872734.9</v>
      </c>
    </row>
    <row r="85" spans="1:6" x14ac:dyDescent="0.25">
      <c r="A85" s="27">
        <v>242</v>
      </c>
      <c r="B85" s="27">
        <v>1</v>
      </c>
      <c r="C85" s="18" t="s">
        <v>625</v>
      </c>
      <c r="D85" s="37">
        <v>2114348.0099999998</v>
      </c>
      <c r="E85" s="37">
        <v>115486.43</v>
      </c>
      <c r="F85" s="37">
        <v>115485.59</v>
      </c>
    </row>
    <row r="86" spans="1:6" x14ac:dyDescent="0.25">
      <c r="A86" s="27">
        <v>252</v>
      </c>
      <c r="B86" s="27">
        <v>1</v>
      </c>
      <c r="C86" s="18" t="s">
        <v>626</v>
      </c>
      <c r="D86" s="37">
        <v>4905534.21</v>
      </c>
      <c r="E86" s="37">
        <v>261531.06</v>
      </c>
      <c r="F86" s="37">
        <v>261530.97</v>
      </c>
    </row>
    <row r="87" spans="1:6" x14ac:dyDescent="0.25">
      <c r="A87" s="27">
        <v>253</v>
      </c>
      <c r="B87" s="27">
        <v>1</v>
      </c>
      <c r="C87" s="18" t="s">
        <v>627</v>
      </c>
      <c r="D87" s="37">
        <v>2468394.79</v>
      </c>
      <c r="E87" s="37">
        <v>135144.85999999999</v>
      </c>
      <c r="F87" s="37">
        <v>135144.1</v>
      </c>
    </row>
    <row r="88" spans="1:6" x14ac:dyDescent="0.25">
      <c r="A88" s="27">
        <v>255</v>
      </c>
      <c r="B88" s="27">
        <v>1</v>
      </c>
      <c r="C88" s="18" t="s">
        <v>628</v>
      </c>
      <c r="D88" s="37">
        <v>4813850.22</v>
      </c>
      <c r="E88" s="37">
        <v>261929.52</v>
      </c>
      <c r="F88" s="37">
        <v>261928.32000000001</v>
      </c>
    </row>
    <row r="89" spans="1:6" x14ac:dyDescent="0.25">
      <c r="A89" s="27">
        <v>256</v>
      </c>
      <c r="B89" s="27">
        <v>1</v>
      </c>
      <c r="C89" s="18" t="s">
        <v>629</v>
      </c>
      <c r="D89" s="37">
        <v>11423572.890000001</v>
      </c>
      <c r="E89" s="37">
        <v>618149.56999999995</v>
      </c>
      <c r="F89" s="37">
        <v>618147.81999999995</v>
      </c>
    </row>
    <row r="90" spans="1:6" x14ac:dyDescent="0.25">
      <c r="A90" s="27">
        <v>261</v>
      </c>
      <c r="B90" s="27">
        <v>1</v>
      </c>
      <c r="C90" s="18" t="s">
        <v>630</v>
      </c>
      <c r="D90" s="37">
        <v>1112662.83</v>
      </c>
      <c r="E90" s="37">
        <v>56837.51</v>
      </c>
      <c r="F90" s="37">
        <v>56837.5</v>
      </c>
    </row>
    <row r="91" spans="1:6" x14ac:dyDescent="0.25">
      <c r="A91" s="27">
        <v>264</v>
      </c>
      <c r="B91" s="27">
        <v>1</v>
      </c>
      <c r="C91" s="18" t="s">
        <v>631</v>
      </c>
      <c r="D91" s="37">
        <v>782929.34</v>
      </c>
      <c r="E91" s="37">
        <v>38617.910000000003</v>
      </c>
      <c r="F91" s="37">
        <v>38617.81</v>
      </c>
    </row>
    <row r="92" spans="1:6" x14ac:dyDescent="0.25">
      <c r="A92" s="27">
        <v>270</v>
      </c>
      <c r="B92" s="27">
        <v>1</v>
      </c>
      <c r="C92" s="18" t="s">
        <v>632</v>
      </c>
      <c r="D92" s="37">
        <v>41969014.049999997</v>
      </c>
      <c r="E92" s="37">
        <v>2281270.83</v>
      </c>
      <c r="F92" s="37">
        <v>2281267.7999999998</v>
      </c>
    </row>
    <row r="93" spans="1:6" x14ac:dyDescent="0.25">
      <c r="A93" s="27">
        <v>271</v>
      </c>
      <c r="B93" s="27">
        <v>1</v>
      </c>
      <c r="C93" s="18" t="s">
        <v>633</v>
      </c>
      <c r="D93" s="37">
        <v>54296969.310000002</v>
      </c>
      <c r="E93" s="37">
        <v>2949108.28</v>
      </c>
      <c r="F93" s="37">
        <v>2949087.26</v>
      </c>
    </row>
    <row r="94" spans="1:6" x14ac:dyDescent="0.25">
      <c r="A94" s="27">
        <v>272</v>
      </c>
      <c r="B94" s="27">
        <v>1</v>
      </c>
      <c r="C94" s="18" t="s">
        <v>634</v>
      </c>
      <c r="D94" s="37">
        <v>50773032.299999997</v>
      </c>
      <c r="E94" s="37">
        <v>2775077.6</v>
      </c>
      <c r="F94" s="37">
        <v>2775020.33</v>
      </c>
    </row>
    <row r="95" spans="1:6" x14ac:dyDescent="0.25">
      <c r="A95" s="27">
        <v>273</v>
      </c>
      <c r="B95" s="27">
        <v>1</v>
      </c>
      <c r="C95" s="18" t="s">
        <v>635</v>
      </c>
      <c r="D95" s="37">
        <v>40335142.299999997</v>
      </c>
      <c r="E95" s="37">
        <v>2209826.21</v>
      </c>
      <c r="F95" s="37">
        <v>2209817.63</v>
      </c>
    </row>
    <row r="96" spans="1:6" x14ac:dyDescent="0.25">
      <c r="A96" s="27">
        <v>276</v>
      </c>
      <c r="B96" s="27">
        <v>1</v>
      </c>
      <c r="C96" s="18" t="s">
        <v>636</v>
      </c>
      <c r="D96" s="37">
        <v>42745175.079999998</v>
      </c>
      <c r="E96" s="37">
        <v>2334951.19</v>
      </c>
      <c r="F96" s="37">
        <v>2334949.0299999998</v>
      </c>
    </row>
    <row r="97" spans="1:6" x14ac:dyDescent="0.25">
      <c r="A97" s="27">
        <v>277</v>
      </c>
      <c r="B97" s="27">
        <v>1</v>
      </c>
      <c r="C97" s="18" t="s">
        <v>637</v>
      </c>
      <c r="D97" s="37">
        <v>10635563.050000001</v>
      </c>
      <c r="E97" s="37">
        <v>581983.22</v>
      </c>
      <c r="F97" s="37">
        <v>581981.73</v>
      </c>
    </row>
    <row r="98" spans="1:6" x14ac:dyDescent="0.25">
      <c r="A98" s="27">
        <v>278</v>
      </c>
      <c r="B98" s="27">
        <v>1</v>
      </c>
      <c r="C98" s="18" t="s">
        <v>638</v>
      </c>
      <c r="D98" s="37">
        <v>13578324.25</v>
      </c>
      <c r="E98" s="37">
        <v>745657.29</v>
      </c>
      <c r="F98" s="37">
        <v>745654.46</v>
      </c>
    </row>
    <row r="99" spans="1:6" x14ac:dyDescent="0.25">
      <c r="A99" s="27">
        <v>279</v>
      </c>
      <c r="B99" s="27">
        <v>1</v>
      </c>
      <c r="C99" s="18" t="s">
        <v>639</v>
      </c>
      <c r="D99" s="37">
        <v>108882673.39</v>
      </c>
      <c r="E99" s="37">
        <v>5925411.7999999998</v>
      </c>
      <c r="F99" s="37">
        <v>5925385.5700000003</v>
      </c>
    </row>
    <row r="100" spans="1:6" x14ac:dyDescent="0.25">
      <c r="A100" s="27">
        <v>280</v>
      </c>
      <c r="B100" s="27">
        <v>1</v>
      </c>
      <c r="C100" s="18" t="s">
        <v>640</v>
      </c>
      <c r="D100" s="37">
        <v>22048121.73</v>
      </c>
      <c r="E100" s="37">
        <v>1195038.6499999999</v>
      </c>
      <c r="F100" s="37">
        <v>1195032.02</v>
      </c>
    </row>
    <row r="101" spans="1:6" x14ac:dyDescent="0.25">
      <c r="A101" s="27">
        <v>281</v>
      </c>
      <c r="B101" s="27">
        <v>1</v>
      </c>
      <c r="C101" s="18" t="s">
        <v>641</v>
      </c>
      <c r="D101" s="37">
        <v>60055687.850000001</v>
      </c>
      <c r="E101" s="37">
        <v>3261853.7</v>
      </c>
      <c r="F101" s="37">
        <v>3261847.38</v>
      </c>
    </row>
    <row r="102" spans="1:6" x14ac:dyDescent="0.25">
      <c r="A102" s="27">
        <v>282</v>
      </c>
      <c r="B102" s="27">
        <v>1</v>
      </c>
      <c r="C102" s="18" t="s">
        <v>642</v>
      </c>
      <c r="D102" s="37">
        <v>7684602.2000000002</v>
      </c>
      <c r="E102" s="37">
        <v>421111.37</v>
      </c>
      <c r="F102" s="37">
        <v>421108.62</v>
      </c>
    </row>
    <row r="103" spans="1:6" x14ac:dyDescent="0.25">
      <c r="A103" s="27">
        <v>283</v>
      </c>
      <c r="B103" s="27">
        <v>1</v>
      </c>
      <c r="C103" s="18" t="s">
        <v>643</v>
      </c>
      <c r="D103" s="37">
        <v>23460307.719999999</v>
      </c>
      <c r="E103" s="37">
        <v>1287193.1399999999</v>
      </c>
      <c r="F103" s="37">
        <v>1286945.3</v>
      </c>
    </row>
    <row r="104" spans="1:6" x14ac:dyDescent="0.25">
      <c r="A104" s="27">
        <v>284</v>
      </c>
      <c r="B104" s="27">
        <v>1</v>
      </c>
      <c r="C104" s="18" t="s">
        <v>644</v>
      </c>
      <c r="D104" s="37">
        <v>49835154.18</v>
      </c>
      <c r="E104" s="37">
        <v>2738121.83</v>
      </c>
      <c r="F104" s="37">
        <v>2738118.71</v>
      </c>
    </row>
    <row r="105" spans="1:6" x14ac:dyDescent="0.25">
      <c r="A105" s="27">
        <v>286</v>
      </c>
      <c r="B105" s="27">
        <v>1</v>
      </c>
      <c r="C105" s="18" t="s">
        <v>645</v>
      </c>
      <c r="D105" s="37">
        <v>9172230.7799999993</v>
      </c>
      <c r="E105" s="37">
        <v>502723.69</v>
      </c>
      <c r="F105" s="37">
        <v>502720.9</v>
      </c>
    </row>
    <row r="106" spans="1:6" x14ac:dyDescent="0.25">
      <c r="A106" s="27">
        <v>294</v>
      </c>
      <c r="B106" s="27">
        <v>1</v>
      </c>
      <c r="C106" s="18" t="s">
        <v>646</v>
      </c>
      <c r="D106" s="37">
        <v>4587341.5199999996</v>
      </c>
      <c r="E106" s="37">
        <v>246499.22</v>
      </c>
      <c r="F106" s="37">
        <v>246497.98</v>
      </c>
    </row>
    <row r="107" spans="1:6" x14ac:dyDescent="0.25">
      <c r="A107" s="27">
        <v>297</v>
      </c>
      <c r="B107" s="27">
        <v>1</v>
      </c>
      <c r="C107" s="18" t="s">
        <v>647</v>
      </c>
      <c r="D107" s="37">
        <v>1244058.6599999999</v>
      </c>
      <c r="E107" s="37">
        <v>67424.33</v>
      </c>
      <c r="F107" s="37">
        <v>67424.19</v>
      </c>
    </row>
    <row r="108" spans="1:6" x14ac:dyDescent="0.25">
      <c r="A108" s="27">
        <v>299</v>
      </c>
      <c r="B108" s="27">
        <v>1</v>
      </c>
      <c r="C108" s="18" t="s">
        <v>648</v>
      </c>
      <c r="D108" s="37">
        <v>3548580.26</v>
      </c>
      <c r="E108" s="37">
        <v>187228.61</v>
      </c>
      <c r="F108" s="37">
        <v>187228.75</v>
      </c>
    </row>
    <row r="109" spans="1:6" x14ac:dyDescent="0.25">
      <c r="A109" s="27">
        <v>300</v>
      </c>
      <c r="B109" s="27">
        <v>1</v>
      </c>
      <c r="C109" s="18" t="s">
        <v>649</v>
      </c>
      <c r="D109" s="37">
        <v>4938665.8499999996</v>
      </c>
      <c r="E109" s="37">
        <v>269228</v>
      </c>
      <c r="F109" s="37">
        <v>269226.44</v>
      </c>
    </row>
    <row r="110" spans="1:6" x14ac:dyDescent="0.25">
      <c r="A110" s="27">
        <v>306</v>
      </c>
      <c r="B110" s="27">
        <v>1</v>
      </c>
      <c r="C110" s="18" t="s">
        <v>650</v>
      </c>
      <c r="D110" s="37">
        <v>1114321.1599999999</v>
      </c>
      <c r="E110" s="37">
        <v>58401.99</v>
      </c>
      <c r="F110" s="37">
        <v>58401.64</v>
      </c>
    </row>
    <row r="111" spans="1:6" x14ac:dyDescent="0.25">
      <c r="A111" s="27">
        <v>308</v>
      </c>
      <c r="B111" s="27">
        <v>1</v>
      </c>
      <c r="C111" s="18" t="s">
        <v>651</v>
      </c>
      <c r="D111" s="37">
        <v>2292942.38</v>
      </c>
      <c r="E111" s="37">
        <v>124254.22</v>
      </c>
      <c r="F111" s="37">
        <v>124254.18</v>
      </c>
    </row>
    <row r="112" spans="1:6" x14ac:dyDescent="0.25">
      <c r="A112" s="27">
        <v>309</v>
      </c>
      <c r="B112" s="27">
        <v>1</v>
      </c>
      <c r="C112" s="18" t="s">
        <v>652</v>
      </c>
      <c r="D112" s="37">
        <v>6628722.6500000004</v>
      </c>
      <c r="E112" s="37">
        <v>354390.52</v>
      </c>
      <c r="F112" s="37">
        <v>354389.05</v>
      </c>
    </row>
    <row r="113" spans="1:6" x14ac:dyDescent="0.25">
      <c r="A113" s="27">
        <v>314</v>
      </c>
      <c r="B113" s="27">
        <v>1</v>
      </c>
      <c r="C113" s="18" t="s">
        <v>653</v>
      </c>
      <c r="D113" s="37">
        <v>3369992.77</v>
      </c>
      <c r="E113" s="37">
        <v>180440.06</v>
      </c>
      <c r="F113" s="37">
        <v>180439.62</v>
      </c>
    </row>
    <row r="114" spans="1:6" x14ac:dyDescent="0.25">
      <c r="A114" s="27">
        <v>316</v>
      </c>
      <c r="B114" s="27">
        <v>1</v>
      </c>
      <c r="C114" s="18" t="s">
        <v>654</v>
      </c>
      <c r="D114" s="37">
        <v>4169649.3</v>
      </c>
      <c r="E114" s="37">
        <v>227852.13</v>
      </c>
      <c r="F114" s="37">
        <v>227851.14</v>
      </c>
    </row>
    <row r="115" spans="1:6" x14ac:dyDescent="0.25">
      <c r="A115" s="27">
        <v>317</v>
      </c>
      <c r="B115" s="27">
        <v>1</v>
      </c>
      <c r="C115" s="18" t="s">
        <v>655</v>
      </c>
      <c r="D115" s="37">
        <v>4095926.64</v>
      </c>
      <c r="E115" s="37">
        <v>222727.79</v>
      </c>
      <c r="F115" s="37">
        <v>222727.26</v>
      </c>
    </row>
    <row r="116" spans="1:6" x14ac:dyDescent="0.25">
      <c r="A116" s="27">
        <v>318</v>
      </c>
      <c r="B116" s="27">
        <v>1</v>
      </c>
      <c r="C116" s="18" t="s">
        <v>656</v>
      </c>
      <c r="D116" s="37">
        <v>15432581.02</v>
      </c>
      <c r="E116" s="37">
        <v>840951.13</v>
      </c>
      <c r="F116" s="37">
        <v>840946.68</v>
      </c>
    </row>
    <row r="117" spans="1:6" x14ac:dyDescent="0.25">
      <c r="A117" s="27">
        <v>319</v>
      </c>
      <c r="B117" s="27">
        <v>1</v>
      </c>
      <c r="C117" s="18" t="s">
        <v>657</v>
      </c>
      <c r="D117" s="37">
        <v>2435004.33</v>
      </c>
      <c r="E117" s="37">
        <v>133042.10999999999</v>
      </c>
      <c r="F117" s="37">
        <v>133041.21</v>
      </c>
    </row>
    <row r="118" spans="1:6" x14ac:dyDescent="0.25">
      <c r="A118" s="27">
        <v>323</v>
      </c>
      <c r="B118" s="27">
        <v>2</v>
      </c>
      <c r="C118" s="18" t="s">
        <v>658</v>
      </c>
      <c r="D118" s="37">
        <v>0</v>
      </c>
      <c r="E118" s="37">
        <v>0</v>
      </c>
      <c r="F118" s="37">
        <v>0</v>
      </c>
    </row>
    <row r="119" spans="1:6" x14ac:dyDescent="0.25">
      <c r="A119" s="27">
        <v>330</v>
      </c>
      <c r="B119" s="27">
        <v>1</v>
      </c>
      <c r="C119" s="18" t="s">
        <v>659</v>
      </c>
      <c r="D119" s="37">
        <v>1532816.48</v>
      </c>
      <c r="E119" s="37">
        <v>83417.919999999998</v>
      </c>
      <c r="F119" s="37">
        <v>83417.77</v>
      </c>
    </row>
    <row r="120" spans="1:6" x14ac:dyDescent="0.25">
      <c r="A120" s="27">
        <v>332</v>
      </c>
      <c r="B120" s="27">
        <v>1</v>
      </c>
      <c r="C120" s="18" t="s">
        <v>660</v>
      </c>
      <c r="D120" s="37">
        <v>7582515</v>
      </c>
      <c r="E120" s="37">
        <v>413311.68</v>
      </c>
      <c r="F120" s="37">
        <v>413310.99</v>
      </c>
    </row>
    <row r="121" spans="1:6" x14ac:dyDescent="0.25">
      <c r="A121" s="27">
        <v>333</v>
      </c>
      <c r="B121" s="27">
        <v>1</v>
      </c>
      <c r="C121" s="18" t="s">
        <v>661</v>
      </c>
      <c r="D121" s="37">
        <v>2634078.75</v>
      </c>
      <c r="E121" s="37">
        <v>142502.21</v>
      </c>
      <c r="F121" s="37">
        <v>142501.9</v>
      </c>
    </row>
    <row r="122" spans="1:6" x14ac:dyDescent="0.25">
      <c r="A122" s="27">
        <v>345</v>
      </c>
      <c r="B122" s="27">
        <v>1</v>
      </c>
      <c r="C122" s="18" t="s">
        <v>662</v>
      </c>
      <c r="D122" s="37">
        <v>6524446.46</v>
      </c>
      <c r="E122" s="37">
        <v>348976.08</v>
      </c>
      <c r="F122" s="37">
        <v>348974.2</v>
      </c>
    </row>
    <row r="123" spans="1:6" x14ac:dyDescent="0.25">
      <c r="A123" s="27">
        <v>347</v>
      </c>
      <c r="B123" s="27">
        <v>1</v>
      </c>
      <c r="C123" s="18" t="s">
        <v>663</v>
      </c>
      <c r="D123" s="37">
        <v>18901753</v>
      </c>
      <c r="E123" s="37">
        <v>1027366.58</v>
      </c>
      <c r="F123" s="37">
        <v>1027364.08</v>
      </c>
    </row>
    <row r="124" spans="1:6" x14ac:dyDescent="0.25">
      <c r="A124" s="27">
        <v>356</v>
      </c>
      <c r="B124" s="27">
        <v>1</v>
      </c>
      <c r="C124" s="18" t="s">
        <v>664</v>
      </c>
      <c r="D124" s="37">
        <v>996677.95</v>
      </c>
      <c r="E124" s="37">
        <v>54812.99</v>
      </c>
      <c r="F124" s="37">
        <v>54812.81</v>
      </c>
    </row>
    <row r="125" spans="1:6" x14ac:dyDescent="0.25">
      <c r="A125" s="27">
        <v>361</v>
      </c>
      <c r="B125" s="27">
        <v>1</v>
      </c>
      <c r="C125" s="18" t="s">
        <v>665</v>
      </c>
      <c r="D125" s="37">
        <v>5365168.9000000004</v>
      </c>
      <c r="E125" s="37">
        <v>291598.14</v>
      </c>
      <c r="F125" s="37">
        <v>291597.84000000003</v>
      </c>
    </row>
    <row r="126" spans="1:6" x14ac:dyDescent="0.25">
      <c r="A126" s="27">
        <v>362</v>
      </c>
      <c r="B126" s="27">
        <v>1</v>
      </c>
      <c r="C126" s="18" t="s">
        <v>666</v>
      </c>
      <c r="D126" s="37">
        <v>1340794.76</v>
      </c>
      <c r="E126" s="37">
        <v>73476.98</v>
      </c>
      <c r="F126" s="37">
        <v>73476.899999999994</v>
      </c>
    </row>
    <row r="127" spans="1:6" x14ac:dyDescent="0.25">
      <c r="A127" s="27">
        <v>363</v>
      </c>
      <c r="B127" s="27">
        <v>1</v>
      </c>
      <c r="C127" s="18" t="s">
        <v>667</v>
      </c>
      <c r="D127" s="37">
        <v>2472077</v>
      </c>
      <c r="E127" s="37">
        <v>133449.57999999999</v>
      </c>
      <c r="F127" s="37">
        <v>133449.22</v>
      </c>
    </row>
    <row r="128" spans="1:6" x14ac:dyDescent="0.25">
      <c r="A128" s="27">
        <v>378</v>
      </c>
      <c r="B128" s="27">
        <v>1</v>
      </c>
      <c r="C128" s="18" t="s">
        <v>668</v>
      </c>
      <c r="D128" s="37">
        <v>2560419.54</v>
      </c>
      <c r="E128" s="37">
        <v>140737.12</v>
      </c>
      <c r="F128" s="37">
        <v>140736.07</v>
      </c>
    </row>
    <row r="129" spans="1:6" x14ac:dyDescent="0.25">
      <c r="A129" s="27">
        <v>381</v>
      </c>
      <c r="B129" s="27">
        <v>1</v>
      </c>
      <c r="C129" s="18" t="s">
        <v>669</v>
      </c>
      <c r="D129" s="37">
        <v>6516663.5899999999</v>
      </c>
      <c r="E129" s="37">
        <v>354367.32</v>
      </c>
      <c r="F129" s="37">
        <v>354366.8</v>
      </c>
    </row>
    <row r="130" spans="1:6" x14ac:dyDescent="0.25">
      <c r="A130" s="27">
        <v>390</v>
      </c>
      <c r="B130" s="27">
        <v>1</v>
      </c>
      <c r="C130" s="18" t="s">
        <v>670</v>
      </c>
      <c r="D130" s="37">
        <v>2312198.7200000002</v>
      </c>
      <c r="E130" s="37">
        <v>125518.52</v>
      </c>
      <c r="F130" s="37">
        <v>125518.49</v>
      </c>
    </row>
    <row r="131" spans="1:6" x14ac:dyDescent="0.25">
      <c r="A131" s="27">
        <v>391</v>
      </c>
      <c r="B131" s="27">
        <v>1</v>
      </c>
      <c r="C131" s="18" t="s">
        <v>671</v>
      </c>
      <c r="D131" s="37">
        <v>1627362.39</v>
      </c>
      <c r="E131" s="37">
        <v>88928.75</v>
      </c>
      <c r="F131" s="37">
        <v>88928.17</v>
      </c>
    </row>
    <row r="132" spans="1:6" x14ac:dyDescent="0.25">
      <c r="A132" s="27">
        <v>392</v>
      </c>
      <c r="B132" s="27">
        <v>1</v>
      </c>
      <c r="C132" s="18" t="s">
        <v>672</v>
      </c>
      <c r="D132" s="37">
        <v>2605076.9900000002</v>
      </c>
      <c r="E132" s="37">
        <v>140917.07</v>
      </c>
      <c r="F132" s="37">
        <v>140915.88</v>
      </c>
    </row>
    <row r="133" spans="1:6" x14ac:dyDescent="0.25">
      <c r="A133" s="27">
        <v>394</v>
      </c>
      <c r="B133" s="27">
        <v>1</v>
      </c>
      <c r="C133" s="18" t="s">
        <v>673</v>
      </c>
      <c r="D133" s="37">
        <v>4051767.94</v>
      </c>
      <c r="E133" s="37">
        <v>214127.94</v>
      </c>
      <c r="F133" s="37">
        <v>214127.22</v>
      </c>
    </row>
    <row r="134" spans="1:6" x14ac:dyDescent="0.25">
      <c r="A134" s="27">
        <v>402</v>
      </c>
      <c r="B134" s="27">
        <v>1</v>
      </c>
      <c r="C134" s="18" t="s">
        <v>674</v>
      </c>
      <c r="D134" s="37">
        <v>515918.02</v>
      </c>
      <c r="E134" s="37">
        <v>27582.91</v>
      </c>
      <c r="F134" s="37">
        <v>27582.57</v>
      </c>
    </row>
    <row r="135" spans="1:6" x14ac:dyDescent="0.25">
      <c r="A135" s="27">
        <v>403</v>
      </c>
      <c r="B135" s="27">
        <v>1</v>
      </c>
      <c r="C135" s="18" t="s">
        <v>675</v>
      </c>
      <c r="D135" s="37">
        <v>826775.8</v>
      </c>
      <c r="E135" s="37">
        <v>39694.65</v>
      </c>
      <c r="F135" s="37">
        <v>39694.25</v>
      </c>
    </row>
    <row r="136" spans="1:6" x14ac:dyDescent="0.25">
      <c r="A136" s="27">
        <v>404</v>
      </c>
      <c r="B136" s="27">
        <v>1</v>
      </c>
      <c r="C136" s="18" t="s">
        <v>676</v>
      </c>
      <c r="D136" s="37">
        <v>523045.88</v>
      </c>
      <c r="E136" s="37">
        <v>28539.82</v>
      </c>
      <c r="F136" s="37">
        <v>28539.56</v>
      </c>
    </row>
    <row r="137" spans="1:6" x14ac:dyDescent="0.25">
      <c r="A137" s="27">
        <v>413</v>
      </c>
      <c r="B137" s="27">
        <v>1</v>
      </c>
      <c r="C137" s="18" t="s">
        <v>677</v>
      </c>
      <c r="D137" s="37">
        <v>10395933.49</v>
      </c>
      <c r="E137" s="37">
        <v>562199.26</v>
      </c>
      <c r="F137" s="37">
        <v>562209.38</v>
      </c>
    </row>
    <row r="138" spans="1:6" x14ac:dyDescent="0.25">
      <c r="A138" s="27">
        <v>414</v>
      </c>
      <c r="B138" s="27">
        <v>1</v>
      </c>
      <c r="C138" s="18" t="s">
        <v>678</v>
      </c>
      <c r="D138" s="37">
        <v>2156537.9</v>
      </c>
      <c r="E138" s="37">
        <v>117699.49</v>
      </c>
      <c r="F138" s="37">
        <v>117699.29</v>
      </c>
    </row>
    <row r="139" spans="1:6" x14ac:dyDescent="0.25">
      <c r="A139" s="27">
        <v>415</v>
      </c>
      <c r="B139" s="27">
        <v>1</v>
      </c>
      <c r="C139" s="18" t="s">
        <v>679</v>
      </c>
      <c r="D139" s="37">
        <v>730051.87</v>
      </c>
      <c r="E139" s="37">
        <v>39859.78</v>
      </c>
      <c r="F139" s="37">
        <v>39859.79</v>
      </c>
    </row>
    <row r="140" spans="1:6" x14ac:dyDescent="0.25">
      <c r="A140" s="27">
        <v>423</v>
      </c>
      <c r="B140" s="27">
        <v>1</v>
      </c>
      <c r="C140" s="18" t="s">
        <v>680</v>
      </c>
      <c r="D140" s="37">
        <v>11436924.33</v>
      </c>
      <c r="E140" s="37">
        <v>623132.21</v>
      </c>
      <c r="F140" s="37">
        <v>623128.56999999995</v>
      </c>
    </row>
    <row r="141" spans="1:6" x14ac:dyDescent="0.25">
      <c r="A141" s="27">
        <v>424</v>
      </c>
      <c r="B141" s="27">
        <v>1</v>
      </c>
      <c r="C141" s="18" t="s">
        <v>681</v>
      </c>
      <c r="D141" s="37">
        <v>1584536.73</v>
      </c>
      <c r="E141" s="37">
        <v>85638.01</v>
      </c>
      <c r="F141" s="37">
        <v>85637.81</v>
      </c>
    </row>
    <row r="142" spans="1:6" x14ac:dyDescent="0.25">
      <c r="A142" s="27">
        <v>432</v>
      </c>
      <c r="B142" s="27">
        <v>1</v>
      </c>
      <c r="C142" s="18" t="s">
        <v>682</v>
      </c>
      <c r="D142" s="37">
        <v>3397180.43</v>
      </c>
      <c r="E142" s="37">
        <v>180161.47</v>
      </c>
      <c r="F142" s="37">
        <v>180161.39</v>
      </c>
    </row>
    <row r="143" spans="1:6" x14ac:dyDescent="0.25">
      <c r="A143" s="27">
        <v>435</v>
      </c>
      <c r="B143" s="27">
        <v>1</v>
      </c>
      <c r="C143" s="18" t="s">
        <v>683</v>
      </c>
      <c r="D143" s="37">
        <v>2784187.7</v>
      </c>
      <c r="E143" s="37">
        <v>150842.28</v>
      </c>
      <c r="F143" s="37">
        <v>150841.79</v>
      </c>
    </row>
    <row r="144" spans="1:6" x14ac:dyDescent="0.25">
      <c r="A144" s="27">
        <v>441</v>
      </c>
      <c r="B144" s="27">
        <v>1</v>
      </c>
      <c r="C144" s="18" t="s">
        <v>684</v>
      </c>
      <c r="D144" s="37">
        <v>1936552.68</v>
      </c>
      <c r="E144" s="37">
        <v>92973.36</v>
      </c>
      <c r="F144" s="37">
        <v>92972.160000000003</v>
      </c>
    </row>
    <row r="145" spans="1:6" x14ac:dyDescent="0.25">
      <c r="A145" s="27">
        <v>447</v>
      </c>
      <c r="B145" s="27">
        <v>1</v>
      </c>
      <c r="C145" s="18" t="s">
        <v>685</v>
      </c>
      <c r="D145" s="37">
        <v>1179030.44</v>
      </c>
      <c r="E145" s="37">
        <v>64519.64</v>
      </c>
      <c r="F145" s="37">
        <v>64519.57</v>
      </c>
    </row>
    <row r="146" spans="1:6" x14ac:dyDescent="0.25">
      <c r="A146" s="27">
        <v>458</v>
      </c>
      <c r="B146" s="27">
        <v>1</v>
      </c>
      <c r="C146" s="18" t="s">
        <v>686</v>
      </c>
      <c r="D146" s="37">
        <v>1365632.66</v>
      </c>
      <c r="E146" s="37">
        <v>70076.88</v>
      </c>
      <c r="F146" s="37">
        <v>70076.45</v>
      </c>
    </row>
    <row r="147" spans="1:6" x14ac:dyDescent="0.25">
      <c r="A147" s="27">
        <v>463</v>
      </c>
      <c r="B147" s="27">
        <v>1</v>
      </c>
      <c r="C147" s="18" t="s">
        <v>687</v>
      </c>
      <c r="D147" s="37">
        <v>3699778.27</v>
      </c>
      <c r="E147" s="37">
        <v>199277.2</v>
      </c>
      <c r="F147" s="37">
        <v>199273.93</v>
      </c>
    </row>
    <row r="148" spans="1:6" x14ac:dyDescent="0.25">
      <c r="A148" s="27">
        <v>465</v>
      </c>
      <c r="B148" s="27">
        <v>1</v>
      </c>
      <c r="C148" s="18" t="s">
        <v>688</v>
      </c>
      <c r="D148" s="37">
        <v>6946364.0099999998</v>
      </c>
      <c r="E148" s="37">
        <v>378432.69</v>
      </c>
      <c r="F148" s="37">
        <v>378432.07</v>
      </c>
    </row>
    <row r="149" spans="1:6" x14ac:dyDescent="0.25">
      <c r="A149" s="27">
        <v>466</v>
      </c>
      <c r="B149" s="27">
        <v>1</v>
      </c>
      <c r="C149" s="18" t="s">
        <v>689</v>
      </c>
      <c r="D149" s="37">
        <v>9333363.5399999991</v>
      </c>
      <c r="E149" s="37">
        <v>508701.97</v>
      </c>
      <c r="F149" s="37">
        <v>508699.73</v>
      </c>
    </row>
    <row r="150" spans="1:6" x14ac:dyDescent="0.25">
      <c r="A150" s="27">
        <v>473</v>
      </c>
      <c r="B150" s="27">
        <v>1</v>
      </c>
      <c r="C150" s="18" t="s">
        <v>690</v>
      </c>
      <c r="D150" s="37">
        <v>2069792.64</v>
      </c>
      <c r="E150" s="37">
        <v>113401.68</v>
      </c>
      <c r="F150" s="37">
        <v>113401.87</v>
      </c>
    </row>
    <row r="151" spans="1:6" x14ac:dyDescent="0.25">
      <c r="A151" s="27">
        <v>477</v>
      </c>
      <c r="B151" s="27">
        <v>1</v>
      </c>
      <c r="C151" s="18" t="s">
        <v>691</v>
      </c>
      <c r="D151" s="37">
        <v>12883066.83</v>
      </c>
      <c r="E151" s="37">
        <v>699162.97</v>
      </c>
      <c r="F151" s="37">
        <v>699161.88</v>
      </c>
    </row>
    <row r="152" spans="1:6" x14ac:dyDescent="0.25">
      <c r="A152" s="27">
        <v>480</v>
      </c>
      <c r="B152" s="27">
        <v>1</v>
      </c>
      <c r="C152" s="18" t="s">
        <v>692</v>
      </c>
      <c r="D152" s="37">
        <v>3832993.15</v>
      </c>
      <c r="E152" s="37">
        <v>206207.12</v>
      </c>
      <c r="F152" s="37">
        <v>206207.42</v>
      </c>
    </row>
    <row r="153" spans="1:6" x14ac:dyDescent="0.25">
      <c r="A153" s="27">
        <v>482</v>
      </c>
      <c r="B153" s="27">
        <v>1</v>
      </c>
      <c r="C153" s="18" t="s">
        <v>693</v>
      </c>
      <c r="D153" s="37">
        <v>11509929.220000001</v>
      </c>
      <c r="E153" s="37">
        <v>627130.42000000004</v>
      </c>
      <c r="F153" s="37">
        <v>627129.87</v>
      </c>
    </row>
    <row r="154" spans="1:6" x14ac:dyDescent="0.25">
      <c r="A154" s="27">
        <v>484</v>
      </c>
      <c r="B154" s="27">
        <v>1</v>
      </c>
      <c r="C154" s="18" t="s">
        <v>694</v>
      </c>
      <c r="D154" s="37">
        <v>4154257.79</v>
      </c>
      <c r="E154" s="37">
        <v>225420.38</v>
      </c>
      <c r="F154" s="37">
        <v>225419.56</v>
      </c>
    </row>
    <row r="155" spans="1:6" x14ac:dyDescent="0.25">
      <c r="A155" s="27">
        <v>485</v>
      </c>
      <c r="B155" s="27">
        <v>1</v>
      </c>
      <c r="C155" s="18" t="s">
        <v>695</v>
      </c>
      <c r="D155" s="37">
        <v>2919759.51</v>
      </c>
      <c r="E155" s="37">
        <v>157149.41</v>
      </c>
      <c r="F155" s="37">
        <v>157149.37</v>
      </c>
    </row>
    <row r="156" spans="1:6" x14ac:dyDescent="0.25">
      <c r="A156" s="27">
        <v>486</v>
      </c>
      <c r="B156" s="27">
        <v>1</v>
      </c>
      <c r="C156" s="18" t="s">
        <v>696</v>
      </c>
      <c r="D156" s="37">
        <v>1526962.18</v>
      </c>
      <c r="E156" s="37">
        <v>83462.55</v>
      </c>
      <c r="F156" s="37">
        <v>83461.429999999993</v>
      </c>
    </row>
    <row r="157" spans="1:6" x14ac:dyDescent="0.25">
      <c r="A157" s="27">
        <v>487</v>
      </c>
      <c r="B157" s="27">
        <v>1</v>
      </c>
      <c r="C157" s="18" t="s">
        <v>697</v>
      </c>
      <c r="D157" s="37">
        <v>1502276.33</v>
      </c>
      <c r="E157" s="37">
        <v>80232.98</v>
      </c>
      <c r="F157" s="37">
        <v>80232.84</v>
      </c>
    </row>
    <row r="158" spans="1:6" x14ac:dyDescent="0.25">
      <c r="A158" s="27">
        <v>492</v>
      </c>
      <c r="B158" s="27">
        <v>1</v>
      </c>
      <c r="C158" s="18" t="s">
        <v>698</v>
      </c>
      <c r="D158" s="37">
        <v>20084447.969999999</v>
      </c>
      <c r="E158" s="37">
        <v>1097413.26</v>
      </c>
      <c r="F158" s="37">
        <v>1097410.19</v>
      </c>
    </row>
    <row r="159" spans="1:6" x14ac:dyDescent="0.25">
      <c r="A159" s="27">
        <v>495</v>
      </c>
      <c r="B159" s="27">
        <v>1</v>
      </c>
      <c r="C159" s="18" t="s">
        <v>699</v>
      </c>
      <c r="D159" s="37">
        <v>1701407.7</v>
      </c>
      <c r="E159" s="37">
        <v>91156.49</v>
      </c>
      <c r="F159" s="37">
        <v>91151.23</v>
      </c>
    </row>
    <row r="160" spans="1:6" x14ac:dyDescent="0.25">
      <c r="A160" s="27">
        <v>497</v>
      </c>
      <c r="B160" s="27">
        <v>1</v>
      </c>
      <c r="C160" s="18" t="s">
        <v>700</v>
      </c>
      <c r="D160" s="37">
        <v>1219569.43</v>
      </c>
      <c r="E160" s="37">
        <v>66804.5</v>
      </c>
      <c r="F160" s="37">
        <v>66804.3</v>
      </c>
    </row>
    <row r="161" spans="1:6" x14ac:dyDescent="0.25">
      <c r="A161" s="27">
        <v>499</v>
      </c>
      <c r="B161" s="27">
        <v>1</v>
      </c>
      <c r="C161" s="18" t="s">
        <v>701</v>
      </c>
      <c r="D161" s="37">
        <v>1283829.23</v>
      </c>
      <c r="E161" s="37">
        <v>69343.63</v>
      </c>
      <c r="F161" s="37">
        <v>69343.38</v>
      </c>
    </row>
    <row r="162" spans="1:6" x14ac:dyDescent="0.25">
      <c r="A162" s="27">
        <v>500</v>
      </c>
      <c r="B162" s="27">
        <v>1</v>
      </c>
      <c r="C162" s="18" t="s">
        <v>702</v>
      </c>
      <c r="D162" s="37">
        <v>2464176.21</v>
      </c>
      <c r="E162" s="37">
        <v>131470.94</v>
      </c>
      <c r="F162" s="37">
        <v>131470.48000000001</v>
      </c>
    </row>
    <row r="163" spans="1:6" x14ac:dyDescent="0.25">
      <c r="A163" s="27">
        <v>505</v>
      </c>
      <c r="B163" s="27">
        <v>1</v>
      </c>
      <c r="C163" s="18" t="s">
        <v>703</v>
      </c>
      <c r="D163" s="37">
        <v>2003640.99</v>
      </c>
      <c r="E163" s="37">
        <v>107862.59</v>
      </c>
      <c r="F163" s="37">
        <v>107861.5</v>
      </c>
    </row>
    <row r="164" spans="1:6" x14ac:dyDescent="0.25">
      <c r="A164" s="27">
        <v>507</v>
      </c>
      <c r="B164" s="27">
        <v>1</v>
      </c>
      <c r="C164" s="18" t="s">
        <v>704</v>
      </c>
      <c r="D164" s="37">
        <v>1151263.2</v>
      </c>
      <c r="E164" s="37">
        <v>62517.22</v>
      </c>
      <c r="F164" s="37">
        <v>62517.04</v>
      </c>
    </row>
    <row r="165" spans="1:6" x14ac:dyDescent="0.25">
      <c r="A165" s="27">
        <v>508</v>
      </c>
      <c r="B165" s="27">
        <v>1</v>
      </c>
      <c r="C165" s="18" t="s">
        <v>705</v>
      </c>
      <c r="D165" s="37">
        <v>8041711.9699999997</v>
      </c>
      <c r="E165" s="37">
        <v>433718.19</v>
      </c>
      <c r="F165" s="37">
        <v>433717.98</v>
      </c>
    </row>
    <row r="166" spans="1:6" x14ac:dyDescent="0.25">
      <c r="A166" s="27">
        <v>511</v>
      </c>
      <c r="B166" s="27">
        <v>1</v>
      </c>
      <c r="C166" s="18" t="s">
        <v>706</v>
      </c>
      <c r="D166" s="37">
        <v>2331687.2799999998</v>
      </c>
      <c r="E166" s="37">
        <v>127783.39</v>
      </c>
      <c r="F166" s="37">
        <v>127782.68</v>
      </c>
    </row>
    <row r="167" spans="1:6" x14ac:dyDescent="0.25">
      <c r="A167" s="27">
        <v>513</v>
      </c>
      <c r="B167" s="27">
        <v>1</v>
      </c>
      <c r="C167" s="18" t="s">
        <v>707</v>
      </c>
      <c r="D167" s="37">
        <v>679008.31</v>
      </c>
      <c r="E167" s="37">
        <v>34598.449999999997</v>
      </c>
      <c r="F167" s="37">
        <v>34598.44</v>
      </c>
    </row>
    <row r="168" spans="1:6" x14ac:dyDescent="0.25">
      <c r="A168" s="27">
        <v>514</v>
      </c>
      <c r="B168" s="27">
        <v>1</v>
      </c>
      <c r="C168" s="18" t="s">
        <v>708</v>
      </c>
      <c r="D168" s="37">
        <v>895119.56</v>
      </c>
      <c r="E168" s="37">
        <v>44548.99</v>
      </c>
      <c r="F168" s="37">
        <v>44549.03</v>
      </c>
    </row>
    <row r="169" spans="1:6" x14ac:dyDescent="0.25">
      <c r="A169" s="27">
        <v>516</v>
      </c>
      <c r="B169" s="27">
        <v>1</v>
      </c>
      <c r="C169" s="18" t="s">
        <v>709</v>
      </c>
      <c r="D169" s="37">
        <v>581245.13</v>
      </c>
      <c r="E169" s="37">
        <v>31864.52</v>
      </c>
      <c r="F169" s="37">
        <v>31864.52</v>
      </c>
    </row>
    <row r="170" spans="1:6" x14ac:dyDescent="0.25">
      <c r="A170" s="27">
        <v>518</v>
      </c>
      <c r="B170" s="27">
        <v>1</v>
      </c>
      <c r="C170" s="18" t="s">
        <v>710</v>
      </c>
      <c r="D170" s="37">
        <v>11302948.550000001</v>
      </c>
      <c r="E170" s="37">
        <v>621637.11</v>
      </c>
      <c r="F170" s="37">
        <v>621635.87</v>
      </c>
    </row>
    <row r="171" spans="1:6" x14ac:dyDescent="0.25">
      <c r="A171" s="27">
        <v>531</v>
      </c>
      <c r="B171" s="27">
        <v>1</v>
      </c>
      <c r="C171" s="18" t="s">
        <v>711</v>
      </c>
      <c r="D171" s="37">
        <v>6188527.4100000001</v>
      </c>
      <c r="E171" s="37">
        <v>335434.55</v>
      </c>
      <c r="F171" s="37">
        <v>335432.40999999997</v>
      </c>
    </row>
    <row r="172" spans="1:6" x14ac:dyDescent="0.25">
      <c r="A172" s="27">
        <v>533</v>
      </c>
      <c r="B172" s="27">
        <v>1</v>
      </c>
      <c r="C172" s="18" t="s">
        <v>712</v>
      </c>
      <c r="D172" s="37">
        <v>4428247.96</v>
      </c>
      <c r="E172" s="37">
        <v>243312.14</v>
      </c>
      <c r="F172" s="37">
        <v>243311.1</v>
      </c>
    </row>
    <row r="173" spans="1:6" x14ac:dyDescent="0.25">
      <c r="A173" s="27">
        <v>534</v>
      </c>
      <c r="B173" s="27">
        <v>1</v>
      </c>
      <c r="C173" s="18" t="s">
        <v>713</v>
      </c>
      <c r="D173" s="37">
        <v>7124491.7999999998</v>
      </c>
      <c r="E173" s="37">
        <v>387524.27</v>
      </c>
      <c r="F173" s="37">
        <v>387523.79</v>
      </c>
    </row>
    <row r="174" spans="1:6" x14ac:dyDescent="0.25">
      <c r="A174" s="27">
        <v>535</v>
      </c>
      <c r="B174" s="27">
        <v>1</v>
      </c>
      <c r="C174" s="18" t="s">
        <v>714</v>
      </c>
      <c r="D174" s="37">
        <v>70988229.560000002</v>
      </c>
      <c r="E174" s="37">
        <v>3851472.79</v>
      </c>
      <c r="F174" s="37">
        <v>3851467.75</v>
      </c>
    </row>
    <row r="175" spans="1:6" x14ac:dyDescent="0.25">
      <c r="A175" s="27">
        <v>542</v>
      </c>
      <c r="B175" s="27">
        <v>1</v>
      </c>
      <c r="C175" s="18" t="s">
        <v>715</v>
      </c>
      <c r="D175" s="37">
        <v>2151857.87</v>
      </c>
      <c r="E175" s="37">
        <v>116481.59</v>
      </c>
      <c r="F175" s="37">
        <v>116481.12</v>
      </c>
    </row>
    <row r="176" spans="1:6" x14ac:dyDescent="0.25">
      <c r="A176" s="27">
        <v>544</v>
      </c>
      <c r="B176" s="27">
        <v>1</v>
      </c>
      <c r="C176" s="18" t="s">
        <v>716</v>
      </c>
      <c r="D176" s="37">
        <v>8668028.2699999996</v>
      </c>
      <c r="E176" s="37">
        <v>471711.55</v>
      </c>
      <c r="F176" s="37">
        <v>471710.99</v>
      </c>
    </row>
    <row r="177" spans="1:6" x14ac:dyDescent="0.25">
      <c r="A177" s="27">
        <v>545</v>
      </c>
      <c r="B177" s="27">
        <v>1</v>
      </c>
      <c r="C177" s="18" t="s">
        <v>717</v>
      </c>
      <c r="D177" s="37">
        <v>1651912.62</v>
      </c>
      <c r="E177" s="37">
        <v>84241.25</v>
      </c>
      <c r="F177" s="37">
        <v>84241.21</v>
      </c>
    </row>
    <row r="178" spans="1:6" x14ac:dyDescent="0.25">
      <c r="A178" s="27">
        <v>547</v>
      </c>
      <c r="B178" s="27">
        <v>1</v>
      </c>
      <c r="C178" s="18" t="s">
        <v>718</v>
      </c>
      <c r="D178" s="37">
        <v>2229113.52</v>
      </c>
      <c r="E178" s="37">
        <v>119561.02</v>
      </c>
      <c r="F178" s="37">
        <v>119560.27</v>
      </c>
    </row>
    <row r="179" spans="1:6" x14ac:dyDescent="0.25">
      <c r="A179" s="27">
        <v>548</v>
      </c>
      <c r="B179" s="27">
        <v>1</v>
      </c>
      <c r="C179" s="18" t="s">
        <v>719</v>
      </c>
      <c r="D179" s="37">
        <v>4182473.91</v>
      </c>
      <c r="E179" s="37">
        <v>228321.08</v>
      </c>
      <c r="F179" s="37">
        <v>228317.9</v>
      </c>
    </row>
    <row r="180" spans="1:6" x14ac:dyDescent="0.25">
      <c r="A180" s="27">
        <v>549</v>
      </c>
      <c r="B180" s="27">
        <v>1</v>
      </c>
      <c r="C180" s="18" t="s">
        <v>720</v>
      </c>
      <c r="D180" s="37">
        <v>5932340.7699999996</v>
      </c>
      <c r="E180" s="37">
        <v>317672.28000000003</v>
      </c>
      <c r="F180" s="37">
        <v>317671.01</v>
      </c>
    </row>
    <row r="181" spans="1:6" x14ac:dyDescent="0.25">
      <c r="A181" s="27">
        <v>550</v>
      </c>
      <c r="B181" s="27">
        <v>1</v>
      </c>
      <c r="C181" s="18" t="s">
        <v>721</v>
      </c>
      <c r="D181" s="37">
        <v>1684382.54</v>
      </c>
      <c r="E181" s="37">
        <v>91441.99</v>
      </c>
      <c r="F181" s="37">
        <v>91441.68</v>
      </c>
    </row>
    <row r="182" spans="1:6" x14ac:dyDescent="0.25">
      <c r="A182" s="27">
        <v>553</v>
      </c>
      <c r="B182" s="27">
        <v>1</v>
      </c>
      <c r="C182" s="18" t="s">
        <v>722</v>
      </c>
      <c r="D182" s="37">
        <v>2727582.64</v>
      </c>
      <c r="E182" s="37">
        <v>146097.4</v>
      </c>
      <c r="F182" s="37">
        <v>146097.04</v>
      </c>
    </row>
    <row r="183" spans="1:6" x14ac:dyDescent="0.25">
      <c r="A183" s="27">
        <v>561</v>
      </c>
      <c r="B183" s="27">
        <v>1</v>
      </c>
      <c r="C183" s="18" t="s">
        <v>723</v>
      </c>
      <c r="D183" s="37">
        <v>1051466.6100000001</v>
      </c>
      <c r="E183" s="37">
        <v>57380.89</v>
      </c>
      <c r="F183" s="37">
        <v>57380.83</v>
      </c>
    </row>
    <row r="184" spans="1:6" x14ac:dyDescent="0.25">
      <c r="A184" s="27">
        <v>564</v>
      </c>
      <c r="B184" s="27">
        <v>1</v>
      </c>
      <c r="C184" s="18" t="s">
        <v>724</v>
      </c>
      <c r="D184" s="37">
        <v>8524997.1500000004</v>
      </c>
      <c r="E184" s="37">
        <v>463164.63</v>
      </c>
      <c r="F184" s="37">
        <v>463162.37</v>
      </c>
    </row>
    <row r="185" spans="1:6" x14ac:dyDescent="0.25">
      <c r="A185" s="27">
        <v>577</v>
      </c>
      <c r="B185" s="27">
        <v>1</v>
      </c>
      <c r="C185" s="18" t="s">
        <v>725</v>
      </c>
      <c r="D185" s="37">
        <v>1995168.6</v>
      </c>
      <c r="E185" s="37">
        <v>107741.15</v>
      </c>
      <c r="F185" s="37">
        <v>107740.77</v>
      </c>
    </row>
    <row r="186" spans="1:6" x14ac:dyDescent="0.25">
      <c r="A186" s="27">
        <v>578</v>
      </c>
      <c r="B186" s="27">
        <v>1</v>
      </c>
      <c r="C186" s="18" t="s">
        <v>726</v>
      </c>
      <c r="D186" s="37">
        <v>7441037.2599999998</v>
      </c>
      <c r="E186" s="37">
        <v>409240.08</v>
      </c>
      <c r="F186" s="37">
        <v>409239.17</v>
      </c>
    </row>
    <row r="187" spans="1:6" x14ac:dyDescent="0.25">
      <c r="A187" s="27">
        <v>581</v>
      </c>
      <c r="B187" s="27">
        <v>1</v>
      </c>
      <c r="C187" s="18" t="s">
        <v>727</v>
      </c>
      <c r="D187" s="37">
        <v>1418998.83</v>
      </c>
      <c r="E187" s="37">
        <v>76215.66</v>
      </c>
      <c r="F187" s="37">
        <v>76215.44</v>
      </c>
    </row>
    <row r="188" spans="1:6" x14ac:dyDescent="0.25">
      <c r="A188" s="27">
        <v>592</v>
      </c>
      <c r="B188" s="27">
        <v>1</v>
      </c>
      <c r="C188" s="18" t="s">
        <v>728</v>
      </c>
      <c r="D188" s="37">
        <v>872927.91</v>
      </c>
      <c r="E188" s="37">
        <v>48010.95</v>
      </c>
      <c r="F188" s="37">
        <v>48010.79</v>
      </c>
    </row>
    <row r="189" spans="1:6" x14ac:dyDescent="0.25">
      <c r="A189" s="27">
        <v>593</v>
      </c>
      <c r="B189" s="27">
        <v>1</v>
      </c>
      <c r="C189" s="18" t="s">
        <v>729</v>
      </c>
      <c r="D189" s="37">
        <v>6286943.9000000004</v>
      </c>
      <c r="E189" s="37">
        <v>340774.64</v>
      </c>
      <c r="F189" s="37">
        <v>340774.89</v>
      </c>
    </row>
    <row r="190" spans="1:6" x14ac:dyDescent="0.25">
      <c r="A190" s="27">
        <v>595</v>
      </c>
      <c r="B190" s="27">
        <v>1</v>
      </c>
      <c r="C190" s="18" t="s">
        <v>730</v>
      </c>
      <c r="D190" s="37">
        <v>6660364.3700000001</v>
      </c>
      <c r="E190" s="37">
        <v>364422.83</v>
      </c>
      <c r="F190" s="37">
        <v>364420.98</v>
      </c>
    </row>
    <row r="191" spans="1:6" x14ac:dyDescent="0.25">
      <c r="A191" s="27">
        <v>599</v>
      </c>
      <c r="B191" s="27">
        <v>1</v>
      </c>
      <c r="C191" s="18" t="s">
        <v>731</v>
      </c>
      <c r="D191" s="37">
        <v>2175575.84</v>
      </c>
      <c r="E191" s="37">
        <v>118193.22</v>
      </c>
      <c r="F191" s="37">
        <v>118193.01</v>
      </c>
    </row>
    <row r="192" spans="1:6" x14ac:dyDescent="0.25">
      <c r="A192" s="27">
        <v>600</v>
      </c>
      <c r="B192" s="27">
        <v>1</v>
      </c>
      <c r="C192" s="18" t="s">
        <v>732</v>
      </c>
      <c r="D192" s="37">
        <v>1157428.26</v>
      </c>
      <c r="E192" s="37">
        <v>62701.440000000002</v>
      </c>
      <c r="F192" s="37">
        <v>62701.23</v>
      </c>
    </row>
    <row r="193" spans="1:6" x14ac:dyDescent="0.25">
      <c r="A193" s="27">
        <v>601</v>
      </c>
      <c r="B193" s="27">
        <v>1</v>
      </c>
      <c r="C193" s="18" t="s">
        <v>733</v>
      </c>
      <c r="D193" s="37">
        <v>2858931.6</v>
      </c>
      <c r="E193" s="37">
        <v>155928.35999999999</v>
      </c>
      <c r="F193" s="37">
        <v>155927.76</v>
      </c>
    </row>
    <row r="194" spans="1:6" x14ac:dyDescent="0.25">
      <c r="A194" s="27">
        <v>611</v>
      </c>
      <c r="B194" s="27">
        <v>1</v>
      </c>
      <c r="C194" s="18" t="s">
        <v>734</v>
      </c>
      <c r="D194" s="37">
        <v>346743.38</v>
      </c>
      <c r="E194" s="37">
        <v>15201.66</v>
      </c>
      <c r="F194" s="37">
        <v>15201.58</v>
      </c>
    </row>
    <row r="195" spans="1:6" x14ac:dyDescent="0.25">
      <c r="A195" s="27">
        <v>621</v>
      </c>
      <c r="B195" s="27">
        <v>1</v>
      </c>
      <c r="C195" s="18" t="s">
        <v>735</v>
      </c>
      <c r="D195" s="37">
        <v>46243609.270000003</v>
      </c>
      <c r="E195" s="37">
        <v>2505706.2999999998</v>
      </c>
      <c r="F195" s="37">
        <v>2505702.62</v>
      </c>
    </row>
    <row r="196" spans="1:6" x14ac:dyDescent="0.25">
      <c r="A196" s="27">
        <v>622</v>
      </c>
      <c r="B196" s="27">
        <v>1</v>
      </c>
      <c r="C196" s="18" t="s">
        <v>736</v>
      </c>
      <c r="D196" s="37">
        <v>49470276.600000001</v>
      </c>
      <c r="E196" s="37">
        <v>2701501.34</v>
      </c>
      <c r="F196" s="37">
        <v>2701493.14</v>
      </c>
    </row>
    <row r="197" spans="1:6" x14ac:dyDescent="0.25">
      <c r="A197" s="27">
        <v>623</v>
      </c>
      <c r="B197" s="27">
        <v>1</v>
      </c>
      <c r="C197" s="18" t="s">
        <v>737</v>
      </c>
      <c r="D197" s="37">
        <v>33903018.109999999</v>
      </c>
      <c r="E197" s="37">
        <v>1845093.12</v>
      </c>
      <c r="F197" s="37">
        <v>1845095.37</v>
      </c>
    </row>
    <row r="198" spans="1:6" x14ac:dyDescent="0.25">
      <c r="A198" s="27">
        <v>624</v>
      </c>
      <c r="B198" s="27">
        <v>1</v>
      </c>
      <c r="C198" s="18" t="s">
        <v>738</v>
      </c>
      <c r="D198" s="37">
        <v>37544411.149999999</v>
      </c>
      <c r="E198" s="37">
        <v>2041227.18</v>
      </c>
      <c r="F198" s="37">
        <v>2041220.53</v>
      </c>
    </row>
    <row r="199" spans="1:6" x14ac:dyDescent="0.25">
      <c r="A199" s="27">
        <v>625</v>
      </c>
      <c r="B199" s="27">
        <v>1</v>
      </c>
      <c r="C199" s="18" t="s">
        <v>739</v>
      </c>
      <c r="D199" s="37">
        <v>0</v>
      </c>
      <c r="E199" s="37">
        <v>0</v>
      </c>
      <c r="F199" s="37">
        <v>0</v>
      </c>
    </row>
    <row r="200" spans="1:6" x14ac:dyDescent="0.25">
      <c r="A200" s="27">
        <v>627</v>
      </c>
      <c r="B200" s="27">
        <v>1</v>
      </c>
      <c r="C200" s="18" t="s">
        <v>740</v>
      </c>
      <c r="D200" s="37">
        <v>952623.83</v>
      </c>
      <c r="E200" s="37">
        <v>51479.96</v>
      </c>
      <c r="F200" s="37">
        <v>51479.44</v>
      </c>
    </row>
    <row r="201" spans="1:6" x14ac:dyDescent="0.25">
      <c r="A201" s="27">
        <v>628</v>
      </c>
      <c r="B201" s="27">
        <v>1</v>
      </c>
      <c r="C201" s="18" t="s">
        <v>741</v>
      </c>
      <c r="D201" s="37">
        <v>881003.04</v>
      </c>
      <c r="E201" s="37">
        <v>47353.19</v>
      </c>
      <c r="F201" s="37">
        <v>47352.89</v>
      </c>
    </row>
    <row r="202" spans="1:6" x14ac:dyDescent="0.25">
      <c r="A202" s="27">
        <v>630</v>
      </c>
      <c r="B202" s="27">
        <v>1</v>
      </c>
      <c r="C202" s="18" t="s">
        <v>742</v>
      </c>
      <c r="D202" s="37">
        <v>1842375.24</v>
      </c>
      <c r="E202" s="37">
        <v>100686</v>
      </c>
      <c r="F202" s="37">
        <v>100685.78</v>
      </c>
    </row>
    <row r="203" spans="1:6" x14ac:dyDescent="0.25">
      <c r="A203" s="27">
        <v>635</v>
      </c>
      <c r="B203" s="27">
        <v>1</v>
      </c>
      <c r="C203" s="18" t="s">
        <v>743</v>
      </c>
      <c r="D203" s="37">
        <v>223891.66</v>
      </c>
      <c r="E203" s="37">
        <v>12291.03</v>
      </c>
      <c r="F203" s="37">
        <v>12290.78</v>
      </c>
    </row>
    <row r="204" spans="1:6" x14ac:dyDescent="0.25">
      <c r="A204" s="27">
        <v>640</v>
      </c>
      <c r="B204" s="27">
        <v>1</v>
      </c>
      <c r="C204" s="18" t="s">
        <v>744</v>
      </c>
      <c r="D204" s="37">
        <v>1856930.48</v>
      </c>
      <c r="E204" s="37">
        <v>100988.32</v>
      </c>
      <c r="F204" s="37">
        <v>100987.8</v>
      </c>
    </row>
    <row r="205" spans="1:6" x14ac:dyDescent="0.25">
      <c r="A205" s="27">
        <v>656</v>
      </c>
      <c r="B205" s="27">
        <v>1</v>
      </c>
      <c r="C205" s="18" t="s">
        <v>745</v>
      </c>
      <c r="D205" s="37">
        <v>17822083.27</v>
      </c>
      <c r="E205" s="37">
        <v>947088.13</v>
      </c>
      <c r="F205" s="37">
        <v>947087.32</v>
      </c>
    </row>
    <row r="206" spans="1:6" x14ac:dyDescent="0.25">
      <c r="A206" s="27">
        <v>659</v>
      </c>
      <c r="B206" s="27">
        <v>1</v>
      </c>
      <c r="C206" s="18" t="s">
        <v>746</v>
      </c>
      <c r="D206" s="37">
        <v>17397017.879999999</v>
      </c>
      <c r="E206" s="37">
        <v>943783.15</v>
      </c>
      <c r="F206" s="37">
        <v>943783.41</v>
      </c>
    </row>
    <row r="207" spans="1:6" x14ac:dyDescent="0.25">
      <c r="A207" s="27">
        <v>671</v>
      </c>
      <c r="B207" s="27">
        <v>1</v>
      </c>
      <c r="C207" s="18" t="s">
        <v>747</v>
      </c>
      <c r="D207" s="37">
        <v>1500602.16</v>
      </c>
      <c r="E207" s="37">
        <v>79893.100000000006</v>
      </c>
      <c r="F207" s="37">
        <v>79892.990000000005</v>
      </c>
    </row>
    <row r="208" spans="1:6" x14ac:dyDescent="0.25">
      <c r="A208" s="27">
        <v>676</v>
      </c>
      <c r="B208" s="27">
        <v>1</v>
      </c>
      <c r="C208" s="18" t="s">
        <v>748</v>
      </c>
      <c r="D208" s="37">
        <v>1019729.5</v>
      </c>
      <c r="E208" s="37">
        <v>52782.080000000002</v>
      </c>
      <c r="F208" s="37">
        <v>52781.72</v>
      </c>
    </row>
    <row r="209" spans="1:6" x14ac:dyDescent="0.25">
      <c r="A209" s="27">
        <v>682</v>
      </c>
      <c r="B209" s="27">
        <v>1</v>
      </c>
      <c r="C209" s="18" t="s">
        <v>749</v>
      </c>
      <c r="D209" s="37">
        <v>5235570.1100000003</v>
      </c>
      <c r="E209" s="37">
        <v>284199.13</v>
      </c>
      <c r="F209" s="37">
        <v>284199.02</v>
      </c>
    </row>
    <row r="210" spans="1:6" x14ac:dyDescent="0.25">
      <c r="A210" s="27">
        <v>690</v>
      </c>
      <c r="B210" s="27">
        <v>1</v>
      </c>
      <c r="C210" s="18" t="s">
        <v>750</v>
      </c>
      <c r="D210" s="37">
        <v>4581634.41</v>
      </c>
      <c r="E210" s="37">
        <v>250030.25</v>
      </c>
      <c r="F210" s="37">
        <v>250029.56</v>
      </c>
    </row>
    <row r="211" spans="1:6" x14ac:dyDescent="0.25">
      <c r="A211" s="27">
        <v>695</v>
      </c>
      <c r="B211" s="27">
        <v>1</v>
      </c>
      <c r="C211" s="18" t="s">
        <v>751</v>
      </c>
      <c r="D211" s="37">
        <v>2997400.84</v>
      </c>
      <c r="E211" s="37">
        <v>163306.76999999999</v>
      </c>
      <c r="F211" s="37">
        <v>163306.35</v>
      </c>
    </row>
    <row r="212" spans="1:6" x14ac:dyDescent="0.25">
      <c r="A212" s="27">
        <v>696</v>
      </c>
      <c r="B212" s="27">
        <v>1</v>
      </c>
      <c r="C212" s="18" t="s">
        <v>752</v>
      </c>
      <c r="D212" s="37">
        <v>2277171.34</v>
      </c>
      <c r="E212" s="37">
        <v>120880.22</v>
      </c>
      <c r="F212" s="37">
        <v>120879.93</v>
      </c>
    </row>
    <row r="213" spans="1:6" x14ac:dyDescent="0.25">
      <c r="A213" s="27">
        <v>698</v>
      </c>
      <c r="B213" s="27">
        <v>1</v>
      </c>
      <c r="C213" s="18" t="s">
        <v>753</v>
      </c>
      <c r="D213" s="37">
        <v>1205048.21</v>
      </c>
      <c r="E213" s="37">
        <v>66041.460000000006</v>
      </c>
      <c r="F213" s="37">
        <v>66041.33</v>
      </c>
    </row>
    <row r="214" spans="1:6" x14ac:dyDescent="0.25">
      <c r="A214" s="27">
        <v>700</v>
      </c>
      <c r="B214" s="27">
        <v>1</v>
      </c>
      <c r="C214" s="18" t="s">
        <v>754</v>
      </c>
      <c r="D214" s="37">
        <v>7727166.6200000001</v>
      </c>
      <c r="E214" s="37">
        <v>422636.82</v>
      </c>
      <c r="F214" s="37">
        <v>422639.35</v>
      </c>
    </row>
    <row r="215" spans="1:6" x14ac:dyDescent="0.25">
      <c r="A215" s="27">
        <v>701</v>
      </c>
      <c r="B215" s="27">
        <v>1</v>
      </c>
      <c r="C215" s="18" t="s">
        <v>755</v>
      </c>
      <c r="D215" s="37">
        <v>10106432.82</v>
      </c>
      <c r="E215" s="37">
        <v>548512.11</v>
      </c>
      <c r="F215" s="37">
        <v>548505.55000000005</v>
      </c>
    </row>
    <row r="216" spans="1:6" x14ac:dyDescent="0.25">
      <c r="A216" s="27">
        <v>704</v>
      </c>
      <c r="B216" s="27">
        <v>1</v>
      </c>
      <c r="C216" s="18" t="s">
        <v>756</v>
      </c>
      <c r="D216" s="37">
        <v>7279552.3700000001</v>
      </c>
      <c r="E216" s="37">
        <v>394784.13</v>
      </c>
      <c r="F216" s="37">
        <v>394779.79</v>
      </c>
    </row>
    <row r="217" spans="1:6" x14ac:dyDescent="0.25">
      <c r="A217" s="27">
        <v>706</v>
      </c>
      <c r="B217" s="27">
        <v>1</v>
      </c>
      <c r="C217" s="18" t="s">
        <v>757</v>
      </c>
      <c r="D217" s="37">
        <v>6587126.3600000003</v>
      </c>
      <c r="E217" s="37">
        <v>355751.83</v>
      </c>
      <c r="F217" s="37">
        <v>355750.94</v>
      </c>
    </row>
    <row r="218" spans="1:6" x14ac:dyDescent="0.25">
      <c r="A218" s="27">
        <v>707</v>
      </c>
      <c r="B218" s="27">
        <v>1</v>
      </c>
      <c r="C218" s="18" t="s">
        <v>758</v>
      </c>
      <c r="D218" s="37">
        <v>640104.87</v>
      </c>
      <c r="E218" s="37">
        <v>34060.18</v>
      </c>
      <c r="F218" s="37">
        <v>34060.01</v>
      </c>
    </row>
    <row r="219" spans="1:6" x14ac:dyDescent="0.25">
      <c r="A219" s="27">
        <v>709</v>
      </c>
      <c r="B219" s="27">
        <v>1</v>
      </c>
      <c r="C219" s="18" t="s">
        <v>759</v>
      </c>
      <c r="D219" s="37">
        <v>0</v>
      </c>
      <c r="E219" s="37">
        <v>0</v>
      </c>
      <c r="F219" s="37">
        <v>0</v>
      </c>
    </row>
    <row r="220" spans="1:6" x14ac:dyDescent="0.25">
      <c r="A220" s="27">
        <v>712</v>
      </c>
      <c r="B220" s="27">
        <v>1</v>
      </c>
      <c r="C220" s="18" t="s">
        <v>760</v>
      </c>
      <c r="D220" s="37">
        <v>2943124.05</v>
      </c>
      <c r="E220" s="37">
        <v>153256.98000000001</v>
      </c>
      <c r="F220" s="37">
        <v>153256.98000000001</v>
      </c>
    </row>
    <row r="221" spans="1:6" x14ac:dyDescent="0.25">
      <c r="A221" s="27">
        <v>716</v>
      </c>
      <c r="B221" s="27">
        <v>1</v>
      </c>
      <c r="C221" s="18" t="s">
        <v>761</v>
      </c>
      <c r="D221" s="37">
        <v>6112973.21</v>
      </c>
      <c r="E221" s="37">
        <v>334437.76000000001</v>
      </c>
      <c r="F221" s="37">
        <v>334436.49</v>
      </c>
    </row>
    <row r="222" spans="1:6" x14ac:dyDescent="0.25">
      <c r="A222" s="27">
        <v>717</v>
      </c>
      <c r="B222" s="27">
        <v>1</v>
      </c>
      <c r="C222" s="18" t="s">
        <v>762</v>
      </c>
      <c r="D222" s="37">
        <v>7907331.5300000003</v>
      </c>
      <c r="E222" s="37">
        <v>431877.06</v>
      </c>
      <c r="F222" s="37">
        <v>431876.46</v>
      </c>
    </row>
    <row r="223" spans="1:6" x14ac:dyDescent="0.25">
      <c r="A223" s="27">
        <v>719</v>
      </c>
      <c r="B223" s="27">
        <v>1</v>
      </c>
      <c r="C223" s="18" t="s">
        <v>763</v>
      </c>
      <c r="D223" s="37">
        <v>28359991.16</v>
      </c>
      <c r="E223" s="37">
        <v>1559642.01</v>
      </c>
      <c r="F223" s="37">
        <v>1559638.67</v>
      </c>
    </row>
    <row r="224" spans="1:6" x14ac:dyDescent="0.25">
      <c r="A224" s="27">
        <v>720</v>
      </c>
      <c r="B224" s="27">
        <v>1</v>
      </c>
      <c r="C224" s="18" t="s">
        <v>764</v>
      </c>
      <c r="D224" s="37">
        <v>28897186.760000002</v>
      </c>
      <c r="E224" s="37">
        <v>1589325.21</v>
      </c>
      <c r="F224" s="37">
        <v>1589317.91</v>
      </c>
    </row>
    <row r="225" spans="1:6" x14ac:dyDescent="0.25">
      <c r="A225" s="27">
        <v>721</v>
      </c>
      <c r="B225" s="27">
        <v>1</v>
      </c>
      <c r="C225" s="18" t="s">
        <v>765</v>
      </c>
      <c r="D225" s="37">
        <v>14528806.789999999</v>
      </c>
      <c r="E225" s="37">
        <v>798223.9</v>
      </c>
      <c r="F225" s="37">
        <v>798222.33</v>
      </c>
    </row>
    <row r="226" spans="1:6" x14ac:dyDescent="0.25">
      <c r="A226" s="27">
        <v>726</v>
      </c>
      <c r="B226" s="27">
        <v>1</v>
      </c>
      <c r="C226" s="18" t="s">
        <v>766</v>
      </c>
      <c r="D226" s="37">
        <v>11243691.65</v>
      </c>
      <c r="E226" s="37">
        <v>599178.13</v>
      </c>
      <c r="F226" s="37">
        <v>599177.36</v>
      </c>
    </row>
    <row r="227" spans="1:6" x14ac:dyDescent="0.25">
      <c r="A227" s="27">
        <v>727</v>
      </c>
      <c r="B227" s="27">
        <v>1</v>
      </c>
      <c r="C227" s="18" t="s">
        <v>767</v>
      </c>
      <c r="D227" s="37">
        <v>11930504.880000001</v>
      </c>
      <c r="E227" s="37">
        <v>650346.47</v>
      </c>
      <c r="F227" s="37">
        <v>650344.78</v>
      </c>
    </row>
    <row r="228" spans="1:6" x14ac:dyDescent="0.25">
      <c r="A228" s="27">
        <v>728</v>
      </c>
      <c r="B228" s="27">
        <v>1</v>
      </c>
      <c r="C228" s="18" t="s">
        <v>768</v>
      </c>
      <c r="D228" s="37">
        <v>51642540.82</v>
      </c>
      <c r="E228" s="37">
        <v>2811687.56</v>
      </c>
      <c r="F228" s="37">
        <v>2811685.84</v>
      </c>
    </row>
    <row r="229" spans="1:6" x14ac:dyDescent="0.25">
      <c r="A229" s="27">
        <v>738</v>
      </c>
      <c r="B229" s="27">
        <v>1</v>
      </c>
      <c r="C229" s="18" t="s">
        <v>769</v>
      </c>
      <c r="D229" s="37">
        <v>3837655.75</v>
      </c>
      <c r="E229" s="37">
        <v>206728.64</v>
      </c>
      <c r="F229" s="37">
        <v>206727.59</v>
      </c>
    </row>
    <row r="230" spans="1:6" x14ac:dyDescent="0.25">
      <c r="A230" s="27">
        <v>739</v>
      </c>
      <c r="B230" s="27">
        <v>1</v>
      </c>
      <c r="C230" s="18" t="s">
        <v>770</v>
      </c>
      <c r="D230" s="37">
        <v>2913625.56</v>
      </c>
      <c r="E230" s="37">
        <v>156792.60999999999</v>
      </c>
      <c r="F230" s="37">
        <v>156792.78</v>
      </c>
    </row>
    <row r="231" spans="1:6" x14ac:dyDescent="0.25">
      <c r="A231" s="27">
        <v>740</v>
      </c>
      <c r="B231" s="27">
        <v>1</v>
      </c>
      <c r="C231" s="18" t="s">
        <v>771</v>
      </c>
      <c r="D231" s="37">
        <v>6040991.8700000001</v>
      </c>
      <c r="E231" s="37">
        <v>325132.59000000003</v>
      </c>
      <c r="F231" s="37">
        <v>325131.87</v>
      </c>
    </row>
    <row r="232" spans="1:6" x14ac:dyDescent="0.25">
      <c r="A232" s="27">
        <v>741</v>
      </c>
      <c r="B232" s="27">
        <v>1</v>
      </c>
      <c r="C232" s="18" t="s">
        <v>772</v>
      </c>
      <c r="D232" s="37">
        <v>4862032.7300000004</v>
      </c>
      <c r="E232" s="37">
        <v>265704.89</v>
      </c>
      <c r="F232" s="37">
        <v>265703.73</v>
      </c>
    </row>
    <row r="233" spans="1:6" x14ac:dyDescent="0.25">
      <c r="A233" s="27">
        <v>742</v>
      </c>
      <c r="B233" s="27">
        <v>1</v>
      </c>
      <c r="C233" s="18" t="s">
        <v>773</v>
      </c>
      <c r="D233" s="37">
        <v>48600169.299999997</v>
      </c>
      <c r="E233" s="37">
        <v>2653726.2200000002</v>
      </c>
      <c r="F233" s="37">
        <v>2650745.66</v>
      </c>
    </row>
    <row r="234" spans="1:6" x14ac:dyDescent="0.25">
      <c r="A234" s="27">
        <v>743</v>
      </c>
      <c r="B234" s="27">
        <v>1</v>
      </c>
      <c r="C234" s="18" t="s">
        <v>774</v>
      </c>
      <c r="D234" s="37">
        <v>5011789.74</v>
      </c>
      <c r="E234" s="37">
        <v>274167.53000000003</v>
      </c>
      <c r="F234" s="37">
        <v>274166.03000000003</v>
      </c>
    </row>
    <row r="235" spans="1:6" x14ac:dyDescent="0.25">
      <c r="A235" s="27">
        <v>745</v>
      </c>
      <c r="B235" s="27">
        <v>1</v>
      </c>
      <c r="C235" s="18" t="s">
        <v>775</v>
      </c>
      <c r="D235" s="37">
        <v>7132417.3600000003</v>
      </c>
      <c r="E235" s="37">
        <v>389042.31</v>
      </c>
      <c r="F235" s="37">
        <v>389037.35</v>
      </c>
    </row>
    <row r="236" spans="1:6" x14ac:dyDescent="0.25">
      <c r="A236" s="27">
        <v>748</v>
      </c>
      <c r="B236" s="27">
        <v>1</v>
      </c>
      <c r="C236" s="18" t="s">
        <v>776</v>
      </c>
      <c r="D236" s="37">
        <v>12985835.42</v>
      </c>
      <c r="E236" s="37">
        <v>711290.12</v>
      </c>
      <c r="F236" s="37">
        <v>711288.47</v>
      </c>
    </row>
    <row r="237" spans="1:6" x14ac:dyDescent="0.25">
      <c r="A237" s="27">
        <v>750</v>
      </c>
      <c r="B237" s="27">
        <v>1</v>
      </c>
      <c r="C237" s="18" t="s">
        <v>777</v>
      </c>
      <c r="D237" s="37">
        <v>8689362.4800000004</v>
      </c>
      <c r="E237" s="37">
        <v>475101.4</v>
      </c>
      <c r="F237" s="37">
        <v>475100.51</v>
      </c>
    </row>
    <row r="238" spans="1:6" x14ac:dyDescent="0.25">
      <c r="A238" s="27">
        <v>756</v>
      </c>
      <c r="B238" s="27">
        <v>1</v>
      </c>
      <c r="C238" s="18" t="s">
        <v>778</v>
      </c>
      <c r="D238" s="37">
        <v>3000801.78</v>
      </c>
      <c r="E238" s="37">
        <v>163843.10999999999</v>
      </c>
      <c r="F238" s="37">
        <v>163841.94</v>
      </c>
    </row>
    <row r="239" spans="1:6" x14ac:dyDescent="0.25">
      <c r="A239" s="27">
        <v>761</v>
      </c>
      <c r="B239" s="27">
        <v>1</v>
      </c>
      <c r="C239" s="18" t="s">
        <v>779</v>
      </c>
      <c r="D239" s="37">
        <v>21307425.640000001</v>
      </c>
      <c r="E239" s="37">
        <v>1154233.69</v>
      </c>
      <c r="F239" s="37">
        <v>1154240.06</v>
      </c>
    </row>
    <row r="240" spans="1:6" x14ac:dyDescent="0.25">
      <c r="A240" s="27">
        <v>763</v>
      </c>
      <c r="B240" s="27">
        <v>1</v>
      </c>
      <c r="C240" s="18" t="s">
        <v>780</v>
      </c>
      <c r="D240" s="37">
        <v>2791323.78</v>
      </c>
      <c r="E240" s="37">
        <v>153004.57</v>
      </c>
      <c r="F240" s="37">
        <v>153004.10999999999</v>
      </c>
    </row>
    <row r="241" spans="1:6" x14ac:dyDescent="0.25">
      <c r="A241" s="27">
        <v>768</v>
      </c>
      <c r="B241" s="27">
        <v>1</v>
      </c>
      <c r="C241" s="18" t="s">
        <v>781</v>
      </c>
      <c r="D241" s="37">
        <v>1107676.1499999999</v>
      </c>
      <c r="E241" s="37">
        <v>60427.32</v>
      </c>
      <c r="F241" s="37">
        <v>60426.95</v>
      </c>
    </row>
    <row r="242" spans="1:6" x14ac:dyDescent="0.25">
      <c r="A242" s="27">
        <v>769</v>
      </c>
      <c r="B242" s="27">
        <v>1</v>
      </c>
      <c r="C242" s="18" t="s">
        <v>782</v>
      </c>
      <c r="D242" s="37">
        <v>4041031.65</v>
      </c>
      <c r="E242" s="37">
        <v>220576.89</v>
      </c>
      <c r="F242" s="37">
        <v>220576.1</v>
      </c>
    </row>
    <row r="243" spans="1:6" x14ac:dyDescent="0.25">
      <c r="A243" s="27">
        <v>771</v>
      </c>
      <c r="B243" s="27">
        <v>1</v>
      </c>
      <c r="C243" s="18" t="s">
        <v>783</v>
      </c>
      <c r="D243" s="37">
        <v>817328.04</v>
      </c>
      <c r="E243" s="37">
        <v>44780.35</v>
      </c>
      <c r="F243" s="37">
        <v>44780.1</v>
      </c>
    </row>
    <row r="244" spans="1:6" x14ac:dyDescent="0.25">
      <c r="A244" s="27">
        <v>775</v>
      </c>
      <c r="B244" s="27">
        <v>1</v>
      </c>
      <c r="C244" s="18" t="s">
        <v>784</v>
      </c>
      <c r="D244" s="37">
        <v>2379199.44</v>
      </c>
      <c r="E244" s="37">
        <v>129547.41</v>
      </c>
      <c r="F244" s="37">
        <v>129546.84</v>
      </c>
    </row>
    <row r="245" spans="1:6" x14ac:dyDescent="0.25">
      <c r="A245" s="27">
        <v>777</v>
      </c>
      <c r="B245" s="27">
        <v>1</v>
      </c>
      <c r="C245" s="18" t="s">
        <v>785</v>
      </c>
      <c r="D245" s="37">
        <v>4332602.42</v>
      </c>
      <c r="E245" s="37">
        <v>230703.97</v>
      </c>
      <c r="F245" s="37">
        <v>230702.78</v>
      </c>
    </row>
    <row r="246" spans="1:6" x14ac:dyDescent="0.25">
      <c r="A246" s="27">
        <v>786</v>
      </c>
      <c r="B246" s="27">
        <v>1</v>
      </c>
      <c r="C246" s="18" t="s">
        <v>786</v>
      </c>
      <c r="D246" s="37">
        <v>2235532.92</v>
      </c>
      <c r="E246" s="37">
        <v>117527.61</v>
      </c>
      <c r="F246" s="37">
        <v>117526.96</v>
      </c>
    </row>
    <row r="247" spans="1:6" x14ac:dyDescent="0.25">
      <c r="A247" s="27">
        <v>787</v>
      </c>
      <c r="B247" s="27">
        <v>1</v>
      </c>
      <c r="C247" s="18" t="s">
        <v>787</v>
      </c>
      <c r="D247" s="37">
        <v>2123585.52</v>
      </c>
      <c r="E247" s="37">
        <v>114915.14</v>
      </c>
      <c r="F247" s="37">
        <v>114913.21</v>
      </c>
    </row>
    <row r="248" spans="1:6" x14ac:dyDescent="0.25">
      <c r="A248" s="27">
        <v>801</v>
      </c>
      <c r="B248" s="27">
        <v>1</v>
      </c>
      <c r="C248" s="18" t="s">
        <v>788</v>
      </c>
      <c r="D248" s="37">
        <v>757891.97</v>
      </c>
      <c r="E248" s="37">
        <v>40498.07</v>
      </c>
      <c r="F248" s="37">
        <v>40497.550000000003</v>
      </c>
    </row>
    <row r="249" spans="1:6" x14ac:dyDescent="0.25">
      <c r="A249" s="27">
        <v>803</v>
      </c>
      <c r="B249" s="27">
        <v>1</v>
      </c>
      <c r="C249" s="18" t="s">
        <v>789</v>
      </c>
      <c r="D249" s="37">
        <v>1882706.71</v>
      </c>
      <c r="E249" s="37">
        <v>102690.39</v>
      </c>
      <c r="F249" s="37">
        <v>102689.8</v>
      </c>
    </row>
    <row r="250" spans="1:6" x14ac:dyDescent="0.25">
      <c r="A250" s="27">
        <v>811</v>
      </c>
      <c r="B250" s="27">
        <v>1</v>
      </c>
      <c r="C250" s="18" t="s">
        <v>790</v>
      </c>
      <c r="D250" s="37">
        <v>2674053.37</v>
      </c>
      <c r="E250" s="37">
        <v>146588.38</v>
      </c>
      <c r="F250" s="37">
        <v>146587.96</v>
      </c>
    </row>
    <row r="251" spans="1:6" x14ac:dyDescent="0.25">
      <c r="A251" s="27">
        <v>813</v>
      </c>
      <c r="B251" s="27">
        <v>1</v>
      </c>
      <c r="C251" s="18" t="s">
        <v>791</v>
      </c>
      <c r="D251" s="37">
        <v>5516010.96</v>
      </c>
      <c r="E251" s="37">
        <v>300881.81</v>
      </c>
      <c r="F251" s="37">
        <v>300880.87</v>
      </c>
    </row>
    <row r="252" spans="1:6" x14ac:dyDescent="0.25">
      <c r="A252" s="27">
        <v>815</v>
      </c>
      <c r="B252" s="27">
        <v>2</v>
      </c>
      <c r="C252" s="18" t="s">
        <v>792</v>
      </c>
      <c r="D252" s="37">
        <v>126547.08</v>
      </c>
      <c r="E252" s="37">
        <v>6960.09</v>
      </c>
      <c r="F252" s="37">
        <v>6960.09</v>
      </c>
    </row>
    <row r="253" spans="1:6" x14ac:dyDescent="0.25">
      <c r="A253" s="27">
        <v>818</v>
      </c>
      <c r="B253" s="27">
        <v>1</v>
      </c>
      <c r="C253" s="18" t="s">
        <v>793</v>
      </c>
      <c r="D253" s="37">
        <v>2024051.78</v>
      </c>
      <c r="E253" s="37">
        <v>107946.1</v>
      </c>
      <c r="F253" s="37">
        <v>107945.42</v>
      </c>
    </row>
    <row r="254" spans="1:6" x14ac:dyDescent="0.25">
      <c r="A254" s="27">
        <v>820</v>
      </c>
      <c r="B254" s="27">
        <v>1</v>
      </c>
      <c r="C254" s="18" t="s">
        <v>794</v>
      </c>
      <c r="D254" s="37">
        <v>2079903.74</v>
      </c>
      <c r="E254" s="37">
        <v>111342.66</v>
      </c>
      <c r="F254" s="37">
        <v>111341.42</v>
      </c>
    </row>
    <row r="255" spans="1:6" x14ac:dyDescent="0.25">
      <c r="A255" s="27">
        <v>821</v>
      </c>
      <c r="B255" s="27">
        <v>1</v>
      </c>
      <c r="C255" s="18" t="s">
        <v>795</v>
      </c>
      <c r="D255" s="37">
        <v>2822014.61</v>
      </c>
      <c r="E255" s="37">
        <v>152393.95000000001</v>
      </c>
      <c r="F255" s="37">
        <v>152394.01</v>
      </c>
    </row>
    <row r="256" spans="1:6" x14ac:dyDescent="0.25">
      <c r="A256" s="27">
        <v>829</v>
      </c>
      <c r="B256" s="27">
        <v>1</v>
      </c>
      <c r="C256" s="18" t="s">
        <v>796</v>
      </c>
      <c r="D256" s="37">
        <v>8271892.8499999996</v>
      </c>
      <c r="E256" s="37">
        <v>444757.72</v>
      </c>
      <c r="F256" s="37">
        <v>444757.47</v>
      </c>
    </row>
    <row r="257" spans="1:6" x14ac:dyDescent="0.25">
      <c r="A257" s="27">
        <v>831</v>
      </c>
      <c r="B257" s="27">
        <v>1</v>
      </c>
      <c r="C257" s="18" t="s">
        <v>797</v>
      </c>
      <c r="D257" s="37">
        <v>29695965.870000001</v>
      </c>
      <c r="E257" s="37">
        <v>1611791.37</v>
      </c>
      <c r="F257" s="37">
        <v>1611781.73</v>
      </c>
    </row>
    <row r="258" spans="1:6" x14ac:dyDescent="0.25">
      <c r="A258" s="27">
        <v>832</v>
      </c>
      <c r="B258" s="27">
        <v>1</v>
      </c>
      <c r="C258" s="18" t="s">
        <v>798</v>
      </c>
      <c r="D258" s="37">
        <v>15435792.35</v>
      </c>
      <c r="E258" s="37">
        <v>845699.43</v>
      </c>
      <c r="F258" s="37">
        <v>845698.93</v>
      </c>
    </row>
    <row r="259" spans="1:6" x14ac:dyDescent="0.25">
      <c r="A259" s="27">
        <v>833</v>
      </c>
      <c r="B259" s="27">
        <v>1</v>
      </c>
      <c r="C259" s="18" t="s">
        <v>799</v>
      </c>
      <c r="D259" s="37">
        <v>78609159.859999999</v>
      </c>
      <c r="E259" s="37">
        <v>4278134.59</v>
      </c>
      <c r="F259" s="37">
        <v>4278129.76</v>
      </c>
    </row>
    <row r="260" spans="1:6" x14ac:dyDescent="0.25">
      <c r="A260" s="27">
        <v>834</v>
      </c>
      <c r="B260" s="27">
        <v>1</v>
      </c>
      <c r="C260" s="18" t="s">
        <v>800</v>
      </c>
      <c r="D260" s="37">
        <v>35929852.689999998</v>
      </c>
      <c r="E260" s="37">
        <v>1936345.37</v>
      </c>
      <c r="F260" s="37">
        <v>1936337.05</v>
      </c>
    </row>
    <row r="261" spans="1:6" x14ac:dyDescent="0.25">
      <c r="A261" s="27">
        <v>836</v>
      </c>
      <c r="B261" s="27">
        <v>1</v>
      </c>
      <c r="C261" s="18" t="s">
        <v>801</v>
      </c>
      <c r="D261" s="37">
        <v>1051230.6399999999</v>
      </c>
      <c r="E261" s="37">
        <v>57019.85</v>
      </c>
      <c r="F261" s="37">
        <v>57019.38</v>
      </c>
    </row>
    <row r="262" spans="1:6" x14ac:dyDescent="0.25">
      <c r="A262" s="27">
        <v>837</v>
      </c>
      <c r="B262" s="27">
        <v>1</v>
      </c>
      <c r="C262" s="18" t="s">
        <v>802</v>
      </c>
      <c r="D262" s="37">
        <v>2342543.44</v>
      </c>
      <c r="E262" s="37">
        <v>125367.56</v>
      </c>
      <c r="F262" s="37">
        <v>125366.03</v>
      </c>
    </row>
    <row r="263" spans="1:6" x14ac:dyDescent="0.25">
      <c r="A263" s="27">
        <v>840</v>
      </c>
      <c r="B263" s="27">
        <v>1</v>
      </c>
      <c r="C263" s="18" t="s">
        <v>803</v>
      </c>
      <c r="D263" s="37">
        <v>5450754.4000000004</v>
      </c>
      <c r="E263" s="37">
        <v>292049.96000000002</v>
      </c>
      <c r="F263" s="37">
        <v>292049.67</v>
      </c>
    </row>
    <row r="264" spans="1:6" x14ac:dyDescent="0.25">
      <c r="A264" s="27">
        <v>846</v>
      </c>
      <c r="B264" s="27">
        <v>1</v>
      </c>
      <c r="C264" s="18" t="s">
        <v>804</v>
      </c>
      <c r="D264" s="37">
        <v>3413903.98</v>
      </c>
      <c r="E264" s="37">
        <v>179600.35</v>
      </c>
      <c r="F264" s="37">
        <v>179599.66</v>
      </c>
    </row>
    <row r="265" spans="1:6" x14ac:dyDescent="0.25">
      <c r="A265" s="27">
        <v>850</v>
      </c>
      <c r="B265" s="27">
        <v>1</v>
      </c>
      <c r="C265" s="18" t="s">
        <v>805</v>
      </c>
      <c r="D265" s="37">
        <v>1047073.63</v>
      </c>
      <c r="E265" s="37">
        <v>57478.91</v>
      </c>
      <c r="F265" s="37">
        <v>57478.559999999998</v>
      </c>
    </row>
    <row r="266" spans="1:6" x14ac:dyDescent="0.25">
      <c r="A266" s="27">
        <v>852</v>
      </c>
      <c r="B266" s="27">
        <v>1</v>
      </c>
      <c r="C266" s="18" t="s">
        <v>806</v>
      </c>
      <c r="D266" s="37">
        <v>661144.75</v>
      </c>
      <c r="E266" s="37">
        <v>35976.51</v>
      </c>
      <c r="F266" s="37">
        <v>35976.15</v>
      </c>
    </row>
    <row r="267" spans="1:6" x14ac:dyDescent="0.25">
      <c r="A267" s="27">
        <v>857</v>
      </c>
      <c r="B267" s="27">
        <v>1</v>
      </c>
      <c r="C267" s="18" t="s">
        <v>807</v>
      </c>
      <c r="D267" s="37">
        <v>3231746.01</v>
      </c>
      <c r="E267" s="37">
        <v>176756.21</v>
      </c>
      <c r="F267" s="37">
        <v>176755.55</v>
      </c>
    </row>
    <row r="268" spans="1:6" x14ac:dyDescent="0.25">
      <c r="A268" s="27">
        <v>858</v>
      </c>
      <c r="B268" s="27">
        <v>1</v>
      </c>
      <c r="C268" s="18" t="s">
        <v>808</v>
      </c>
      <c r="D268" s="37">
        <v>4223850.26</v>
      </c>
      <c r="E268" s="37">
        <v>231220.96</v>
      </c>
      <c r="F268" s="37">
        <v>231219.29</v>
      </c>
    </row>
    <row r="269" spans="1:6" x14ac:dyDescent="0.25">
      <c r="A269" s="27">
        <v>861</v>
      </c>
      <c r="B269" s="27">
        <v>1</v>
      </c>
      <c r="C269" s="18" t="s">
        <v>809</v>
      </c>
      <c r="D269" s="37">
        <v>16713738.289999999</v>
      </c>
      <c r="E269" s="37">
        <v>911534.16</v>
      </c>
      <c r="F269" s="37">
        <v>911531.57</v>
      </c>
    </row>
    <row r="270" spans="1:6" x14ac:dyDescent="0.25">
      <c r="A270" s="27">
        <v>876</v>
      </c>
      <c r="B270" s="27">
        <v>1</v>
      </c>
      <c r="C270" s="18" t="s">
        <v>810</v>
      </c>
      <c r="D270" s="37">
        <v>7354019.9100000001</v>
      </c>
      <c r="E270" s="37">
        <v>400909.25</v>
      </c>
      <c r="F270" s="37">
        <v>400908.06</v>
      </c>
    </row>
    <row r="271" spans="1:6" x14ac:dyDescent="0.25">
      <c r="A271" s="27">
        <v>877</v>
      </c>
      <c r="B271" s="27">
        <v>1</v>
      </c>
      <c r="C271" s="18" t="s">
        <v>811</v>
      </c>
      <c r="D271" s="37">
        <v>22597360</v>
      </c>
      <c r="E271" s="37">
        <v>1229836.47</v>
      </c>
      <c r="F271" s="37">
        <v>1229826.8600000001</v>
      </c>
    </row>
    <row r="272" spans="1:6" x14ac:dyDescent="0.25">
      <c r="A272" s="27">
        <v>879</v>
      </c>
      <c r="B272" s="27">
        <v>1</v>
      </c>
      <c r="C272" s="18" t="s">
        <v>812</v>
      </c>
      <c r="D272" s="37">
        <v>9127830.0399999991</v>
      </c>
      <c r="E272" s="37">
        <v>497579.67</v>
      </c>
      <c r="F272" s="37">
        <v>497578.21</v>
      </c>
    </row>
    <row r="273" spans="1:6" x14ac:dyDescent="0.25">
      <c r="A273" s="27">
        <v>881</v>
      </c>
      <c r="B273" s="27">
        <v>1</v>
      </c>
      <c r="C273" s="18" t="s">
        <v>813</v>
      </c>
      <c r="D273" s="37">
        <v>3843463.61</v>
      </c>
      <c r="E273" s="37">
        <v>208798.39</v>
      </c>
      <c r="F273" s="37">
        <v>208798.04</v>
      </c>
    </row>
    <row r="274" spans="1:6" x14ac:dyDescent="0.25">
      <c r="A274" s="27">
        <v>882</v>
      </c>
      <c r="B274" s="27">
        <v>1</v>
      </c>
      <c r="C274" s="18" t="s">
        <v>814</v>
      </c>
      <c r="D274" s="37">
        <v>20344324.25</v>
      </c>
      <c r="E274" s="37">
        <v>1108532.57</v>
      </c>
      <c r="F274" s="37">
        <v>1108537.0900000001</v>
      </c>
    </row>
    <row r="275" spans="1:6" x14ac:dyDescent="0.25">
      <c r="A275" s="27">
        <v>883</v>
      </c>
      <c r="B275" s="27">
        <v>1</v>
      </c>
      <c r="C275" s="18" t="s">
        <v>815</v>
      </c>
      <c r="D275" s="37">
        <v>5486610.5899999999</v>
      </c>
      <c r="E275" s="37">
        <v>298113.88</v>
      </c>
      <c r="F275" s="37">
        <v>298112.69</v>
      </c>
    </row>
    <row r="276" spans="1:6" x14ac:dyDescent="0.25">
      <c r="A276" s="27">
        <v>885</v>
      </c>
      <c r="B276" s="27">
        <v>1</v>
      </c>
      <c r="C276" s="18" t="s">
        <v>816</v>
      </c>
      <c r="D276" s="37">
        <v>20136555.350000001</v>
      </c>
      <c r="E276" s="37">
        <v>1102780.3700000001</v>
      </c>
      <c r="F276" s="37">
        <v>1102776.71</v>
      </c>
    </row>
    <row r="277" spans="1:6" x14ac:dyDescent="0.25">
      <c r="A277" s="27">
        <v>891</v>
      </c>
      <c r="B277" s="27">
        <v>1</v>
      </c>
      <c r="C277" s="18" t="s">
        <v>817</v>
      </c>
      <c r="D277" s="37">
        <v>2502442.4700000002</v>
      </c>
      <c r="E277" s="37">
        <v>135303.9</v>
      </c>
      <c r="F277" s="37">
        <v>135303.9</v>
      </c>
    </row>
    <row r="278" spans="1:6" x14ac:dyDescent="0.25">
      <c r="A278" s="27">
        <v>911</v>
      </c>
      <c r="B278" s="27">
        <v>1</v>
      </c>
      <c r="C278" s="18" t="s">
        <v>818</v>
      </c>
      <c r="D278" s="37">
        <v>21099600.050000001</v>
      </c>
      <c r="E278" s="37">
        <v>1145001.3799999999</v>
      </c>
      <c r="F278" s="37">
        <v>1145001.95</v>
      </c>
    </row>
    <row r="279" spans="1:6" x14ac:dyDescent="0.25">
      <c r="A279" s="27">
        <v>912</v>
      </c>
      <c r="B279" s="27">
        <v>1</v>
      </c>
      <c r="C279" s="18" t="s">
        <v>819</v>
      </c>
      <c r="D279" s="37">
        <v>7281942.29</v>
      </c>
      <c r="E279" s="37">
        <v>395599.5</v>
      </c>
      <c r="F279" s="37">
        <v>395599.12</v>
      </c>
    </row>
    <row r="280" spans="1:6" x14ac:dyDescent="0.25">
      <c r="A280" s="27">
        <v>914</v>
      </c>
      <c r="B280" s="27">
        <v>1</v>
      </c>
      <c r="C280" s="18" t="s">
        <v>820</v>
      </c>
      <c r="D280" s="37">
        <v>1336160.3700000001</v>
      </c>
      <c r="E280" s="37">
        <v>69778.11</v>
      </c>
      <c r="F280" s="37">
        <v>69777.81</v>
      </c>
    </row>
    <row r="281" spans="1:6" x14ac:dyDescent="0.25">
      <c r="A281" s="27">
        <v>2071</v>
      </c>
      <c r="B281" s="27">
        <v>1</v>
      </c>
      <c r="C281" s="18" t="s">
        <v>821</v>
      </c>
      <c r="D281" s="37">
        <v>3092386.85</v>
      </c>
      <c r="E281" s="37">
        <v>164307.65</v>
      </c>
      <c r="F281" s="37">
        <v>164307.54</v>
      </c>
    </row>
    <row r="282" spans="1:6" x14ac:dyDescent="0.25">
      <c r="A282" s="27">
        <v>2125</v>
      </c>
      <c r="B282" s="27">
        <v>1</v>
      </c>
      <c r="C282" s="18" t="s">
        <v>822</v>
      </c>
      <c r="D282" s="37">
        <v>4539215.2699999996</v>
      </c>
      <c r="E282" s="37">
        <v>247037.5</v>
      </c>
      <c r="F282" s="37">
        <v>247037.56</v>
      </c>
    </row>
    <row r="283" spans="1:6" x14ac:dyDescent="0.25">
      <c r="A283" s="27">
        <v>2134</v>
      </c>
      <c r="B283" s="27">
        <v>1</v>
      </c>
      <c r="C283" s="18" t="s">
        <v>823</v>
      </c>
      <c r="D283" s="37">
        <v>3582896.63</v>
      </c>
      <c r="E283" s="37">
        <v>182026.9</v>
      </c>
      <c r="F283" s="37">
        <v>182026.87</v>
      </c>
    </row>
    <row r="284" spans="1:6" x14ac:dyDescent="0.25">
      <c r="A284" s="27">
        <v>2135</v>
      </c>
      <c r="B284" s="27">
        <v>1</v>
      </c>
      <c r="C284" s="18" t="s">
        <v>824</v>
      </c>
      <c r="D284" s="37">
        <v>5028957.2699999996</v>
      </c>
      <c r="E284" s="37">
        <v>268289.11</v>
      </c>
      <c r="F284" s="37">
        <v>268288.96000000002</v>
      </c>
    </row>
    <row r="285" spans="1:6" x14ac:dyDescent="0.25">
      <c r="A285" s="27">
        <v>2137</v>
      </c>
      <c r="B285" s="27">
        <v>1</v>
      </c>
      <c r="C285" s="18" t="s">
        <v>825</v>
      </c>
      <c r="D285" s="37">
        <v>2718498.71</v>
      </c>
      <c r="E285" s="37">
        <v>148150.89000000001</v>
      </c>
      <c r="F285" s="37">
        <v>148149.16</v>
      </c>
    </row>
    <row r="286" spans="1:6" x14ac:dyDescent="0.25">
      <c r="A286" s="27">
        <v>2142</v>
      </c>
      <c r="B286" s="27">
        <v>1</v>
      </c>
      <c r="C286" s="18" t="s">
        <v>826</v>
      </c>
      <c r="D286" s="37">
        <v>9380368.1400000006</v>
      </c>
      <c r="E286" s="37">
        <v>511370.06</v>
      </c>
      <c r="F286" s="37">
        <v>511365.16</v>
      </c>
    </row>
    <row r="287" spans="1:6" x14ac:dyDescent="0.25">
      <c r="A287" s="27">
        <v>2143</v>
      </c>
      <c r="B287" s="27">
        <v>1</v>
      </c>
      <c r="C287" s="18" t="s">
        <v>248</v>
      </c>
      <c r="D287" s="37">
        <v>4077779.79</v>
      </c>
      <c r="E287" s="37">
        <v>222848.04</v>
      </c>
      <c r="F287" s="37">
        <v>222847.64</v>
      </c>
    </row>
    <row r="288" spans="1:6" x14ac:dyDescent="0.25">
      <c r="A288" s="27">
        <v>2144</v>
      </c>
      <c r="B288" s="27">
        <v>1</v>
      </c>
      <c r="C288" s="18" t="s">
        <v>827</v>
      </c>
      <c r="D288" s="37">
        <v>14030230.24</v>
      </c>
      <c r="E288" s="37">
        <v>761148.15</v>
      </c>
      <c r="F288" s="37">
        <v>761145.9</v>
      </c>
    </row>
    <row r="289" spans="1:6" x14ac:dyDescent="0.25">
      <c r="A289" s="27">
        <v>2149</v>
      </c>
      <c r="B289" s="27">
        <v>1</v>
      </c>
      <c r="C289" s="18" t="s">
        <v>828</v>
      </c>
      <c r="D289" s="37">
        <v>5845222.1399999997</v>
      </c>
      <c r="E289" s="37">
        <v>317826.68</v>
      </c>
      <c r="F289" s="37">
        <v>317826.13</v>
      </c>
    </row>
    <row r="290" spans="1:6" x14ac:dyDescent="0.25">
      <c r="A290" s="27">
        <v>2154</v>
      </c>
      <c r="B290" s="27">
        <v>1</v>
      </c>
      <c r="C290" s="18" t="s">
        <v>829</v>
      </c>
      <c r="D290" s="37">
        <v>4726419.07</v>
      </c>
      <c r="E290" s="37">
        <v>254627.51</v>
      </c>
      <c r="F290" s="37">
        <v>254626.76</v>
      </c>
    </row>
    <row r="291" spans="1:6" x14ac:dyDescent="0.25">
      <c r="A291" s="27">
        <v>2155</v>
      </c>
      <c r="B291" s="27">
        <v>1</v>
      </c>
      <c r="C291" s="18" t="s">
        <v>830</v>
      </c>
      <c r="D291" s="37">
        <v>4536880.54</v>
      </c>
      <c r="E291" s="37">
        <v>242816.3</v>
      </c>
      <c r="F291" s="37">
        <v>242814.69</v>
      </c>
    </row>
    <row r="292" spans="1:6" x14ac:dyDescent="0.25">
      <c r="A292" s="27">
        <v>2159</v>
      </c>
      <c r="B292" s="27">
        <v>1</v>
      </c>
      <c r="C292" s="18" t="s">
        <v>831</v>
      </c>
      <c r="D292" s="37">
        <v>2655495.7200000002</v>
      </c>
      <c r="E292" s="37">
        <v>144673.57</v>
      </c>
      <c r="F292" s="37">
        <v>144673.23000000001</v>
      </c>
    </row>
    <row r="293" spans="1:6" x14ac:dyDescent="0.25">
      <c r="A293" s="27">
        <v>2164</v>
      </c>
      <c r="B293" s="27">
        <v>1</v>
      </c>
      <c r="C293" s="18" t="s">
        <v>832</v>
      </c>
      <c r="D293" s="37">
        <v>5875671.0800000001</v>
      </c>
      <c r="E293" s="37">
        <v>319851.59000000003</v>
      </c>
      <c r="F293" s="37">
        <v>319842.06</v>
      </c>
    </row>
    <row r="294" spans="1:6" x14ac:dyDescent="0.25">
      <c r="A294" s="27">
        <v>2165</v>
      </c>
      <c r="B294" s="27">
        <v>1</v>
      </c>
      <c r="C294" s="18" t="s">
        <v>833</v>
      </c>
      <c r="D294" s="37">
        <v>4491916.33</v>
      </c>
      <c r="E294" s="37">
        <v>244644.48000000001</v>
      </c>
      <c r="F294" s="37">
        <v>244643.6</v>
      </c>
    </row>
    <row r="295" spans="1:6" x14ac:dyDescent="0.25">
      <c r="A295" s="27">
        <v>2167</v>
      </c>
      <c r="B295" s="27">
        <v>1</v>
      </c>
      <c r="C295" s="18" t="s">
        <v>834</v>
      </c>
      <c r="D295" s="37">
        <v>2389448.39</v>
      </c>
      <c r="E295" s="37">
        <v>128144.49</v>
      </c>
      <c r="F295" s="37">
        <v>128143.37</v>
      </c>
    </row>
    <row r="296" spans="1:6" x14ac:dyDescent="0.25">
      <c r="A296" s="27">
        <v>2168</v>
      </c>
      <c r="B296" s="27">
        <v>1</v>
      </c>
      <c r="C296" s="18" t="s">
        <v>835</v>
      </c>
      <c r="D296" s="37">
        <v>3615081.13</v>
      </c>
      <c r="E296" s="37">
        <v>197136.98</v>
      </c>
      <c r="F296" s="37">
        <v>197135.88</v>
      </c>
    </row>
    <row r="297" spans="1:6" x14ac:dyDescent="0.25">
      <c r="A297" s="27">
        <v>2169</v>
      </c>
      <c r="B297" s="27">
        <v>1</v>
      </c>
      <c r="C297" s="18" t="s">
        <v>836</v>
      </c>
      <c r="D297" s="37">
        <v>3275740.74</v>
      </c>
      <c r="E297" s="37">
        <v>178431.74</v>
      </c>
      <c r="F297" s="37">
        <v>178430.42</v>
      </c>
    </row>
    <row r="298" spans="1:6" x14ac:dyDescent="0.25">
      <c r="A298" s="27">
        <v>2170</v>
      </c>
      <c r="B298" s="27">
        <v>1</v>
      </c>
      <c r="C298" s="18" t="s">
        <v>837</v>
      </c>
      <c r="D298" s="37">
        <v>5199491.41</v>
      </c>
      <c r="E298" s="37">
        <v>279392.76</v>
      </c>
      <c r="F298" s="37">
        <v>279392.53000000003</v>
      </c>
    </row>
    <row r="299" spans="1:6" x14ac:dyDescent="0.25">
      <c r="A299" s="27">
        <v>2171</v>
      </c>
      <c r="B299" s="27">
        <v>1</v>
      </c>
      <c r="C299" s="18" t="s">
        <v>838</v>
      </c>
      <c r="D299" s="37">
        <v>1717112.85</v>
      </c>
      <c r="E299" s="37">
        <v>94397.08</v>
      </c>
      <c r="F299" s="37">
        <v>94396.64</v>
      </c>
    </row>
    <row r="300" spans="1:6" x14ac:dyDescent="0.25">
      <c r="A300" s="27">
        <v>2172</v>
      </c>
      <c r="B300" s="27">
        <v>1</v>
      </c>
      <c r="C300" s="18" t="s">
        <v>839</v>
      </c>
      <c r="D300" s="37">
        <v>2773651.98</v>
      </c>
      <c r="E300" s="37">
        <v>149572.85</v>
      </c>
      <c r="F300" s="37">
        <v>149571.99</v>
      </c>
    </row>
    <row r="301" spans="1:6" x14ac:dyDescent="0.25">
      <c r="A301" s="27">
        <v>2174</v>
      </c>
      <c r="B301" s="27">
        <v>1</v>
      </c>
      <c r="C301" s="18" t="s">
        <v>840</v>
      </c>
      <c r="D301" s="37">
        <v>4414633.71</v>
      </c>
      <c r="E301" s="37">
        <v>237831.03</v>
      </c>
      <c r="F301" s="37">
        <v>237829.74</v>
      </c>
    </row>
    <row r="302" spans="1:6" x14ac:dyDescent="0.25">
      <c r="A302" s="27">
        <v>2176</v>
      </c>
      <c r="B302" s="27">
        <v>1</v>
      </c>
      <c r="C302" s="18" t="s">
        <v>841</v>
      </c>
      <c r="D302" s="37">
        <v>2425462.59</v>
      </c>
      <c r="E302" s="37">
        <v>132760.59</v>
      </c>
      <c r="F302" s="37">
        <v>132760.88</v>
      </c>
    </row>
    <row r="303" spans="1:6" x14ac:dyDescent="0.25">
      <c r="A303" s="27">
        <v>2180</v>
      </c>
      <c r="B303" s="27">
        <v>1</v>
      </c>
      <c r="C303" s="18" t="s">
        <v>842</v>
      </c>
      <c r="D303" s="37">
        <v>3305042.55</v>
      </c>
      <c r="E303" s="37">
        <v>180757.23</v>
      </c>
      <c r="F303" s="37">
        <v>180757.27</v>
      </c>
    </row>
    <row r="304" spans="1:6" x14ac:dyDescent="0.25">
      <c r="A304" s="27">
        <v>2184</v>
      </c>
      <c r="B304" s="27">
        <v>1</v>
      </c>
      <c r="C304" s="18" t="s">
        <v>843</v>
      </c>
      <c r="D304" s="37">
        <v>5556198.6399999997</v>
      </c>
      <c r="E304" s="37">
        <v>305072.89</v>
      </c>
      <c r="F304" s="37">
        <v>305071.64</v>
      </c>
    </row>
    <row r="305" spans="1:6" x14ac:dyDescent="0.25">
      <c r="A305" s="27">
        <v>2190</v>
      </c>
      <c r="B305" s="27">
        <v>1</v>
      </c>
      <c r="C305" s="18" t="s">
        <v>258</v>
      </c>
      <c r="D305" s="37">
        <v>3204390.44</v>
      </c>
      <c r="E305" s="37">
        <v>173755.63</v>
      </c>
      <c r="F305" s="37">
        <v>173755.39</v>
      </c>
    </row>
    <row r="306" spans="1:6" x14ac:dyDescent="0.25">
      <c r="A306" s="27">
        <v>2198</v>
      </c>
      <c r="B306" s="27">
        <v>1</v>
      </c>
      <c r="C306" s="18" t="s">
        <v>844</v>
      </c>
      <c r="D306" s="37">
        <v>2252414.96</v>
      </c>
      <c r="E306" s="37">
        <v>121078.12</v>
      </c>
      <c r="F306" s="37">
        <v>121078.06</v>
      </c>
    </row>
    <row r="307" spans="1:6" x14ac:dyDescent="0.25">
      <c r="A307" s="27">
        <v>2215</v>
      </c>
      <c r="B307" s="27">
        <v>1</v>
      </c>
      <c r="C307" s="18" t="s">
        <v>845</v>
      </c>
      <c r="D307" s="37">
        <v>1676898.75</v>
      </c>
      <c r="E307" s="37">
        <v>90829.45</v>
      </c>
      <c r="F307" s="37">
        <v>90828.94</v>
      </c>
    </row>
    <row r="308" spans="1:6" x14ac:dyDescent="0.25">
      <c r="A308" s="27">
        <v>2310</v>
      </c>
      <c r="B308" s="27">
        <v>1</v>
      </c>
      <c r="C308" s="18" t="s">
        <v>846</v>
      </c>
      <c r="D308" s="37">
        <v>5244809.26</v>
      </c>
      <c r="E308" s="37">
        <v>282559.21999999997</v>
      </c>
      <c r="F308" s="37">
        <v>282558.53999999998</v>
      </c>
    </row>
    <row r="309" spans="1:6" x14ac:dyDescent="0.25">
      <c r="A309" s="27">
        <v>2311</v>
      </c>
      <c r="B309" s="27">
        <v>1</v>
      </c>
      <c r="C309" s="18" t="s">
        <v>847</v>
      </c>
      <c r="D309" s="37">
        <v>2188675.38</v>
      </c>
      <c r="E309" s="37">
        <v>115907.07</v>
      </c>
      <c r="F309" s="37">
        <v>115906.28</v>
      </c>
    </row>
    <row r="310" spans="1:6" x14ac:dyDescent="0.25">
      <c r="A310" s="27">
        <v>2342</v>
      </c>
      <c r="B310" s="27">
        <v>1</v>
      </c>
      <c r="C310" s="18" t="s">
        <v>262</v>
      </c>
      <c r="D310" s="37">
        <v>3101007.26</v>
      </c>
      <c r="E310" s="37">
        <v>168481.08</v>
      </c>
      <c r="F310" s="37">
        <v>168479.79</v>
      </c>
    </row>
    <row r="311" spans="1:6" x14ac:dyDescent="0.25">
      <c r="A311" s="27">
        <v>2358</v>
      </c>
      <c r="B311" s="27">
        <v>1</v>
      </c>
      <c r="C311" s="18" t="s">
        <v>848</v>
      </c>
      <c r="D311" s="37">
        <v>1540969.09</v>
      </c>
      <c r="E311" s="37">
        <v>84095.12</v>
      </c>
      <c r="F311" s="37">
        <v>84094.85</v>
      </c>
    </row>
    <row r="312" spans="1:6" x14ac:dyDescent="0.25">
      <c r="A312" s="27">
        <v>2364</v>
      </c>
      <c r="B312" s="27">
        <v>1</v>
      </c>
      <c r="C312" s="18" t="s">
        <v>849</v>
      </c>
      <c r="D312" s="37">
        <v>2900880.94</v>
      </c>
      <c r="E312" s="37">
        <v>158648.25</v>
      </c>
      <c r="F312" s="37">
        <v>158647.47</v>
      </c>
    </row>
    <row r="313" spans="1:6" x14ac:dyDescent="0.25">
      <c r="A313" s="27">
        <v>2365</v>
      </c>
      <c r="B313" s="27">
        <v>1</v>
      </c>
      <c r="C313" s="18" t="s">
        <v>263</v>
      </c>
      <c r="D313" s="37">
        <v>3277582.59</v>
      </c>
      <c r="E313" s="37">
        <v>174446.8</v>
      </c>
      <c r="F313" s="37">
        <v>174445.16</v>
      </c>
    </row>
    <row r="314" spans="1:6" x14ac:dyDescent="0.25">
      <c r="A314" s="27">
        <v>2396</v>
      </c>
      <c r="B314" s="27">
        <v>1</v>
      </c>
      <c r="C314" s="18" t="s">
        <v>264</v>
      </c>
      <c r="D314" s="37">
        <v>3411187.97</v>
      </c>
      <c r="E314" s="37">
        <v>182821.39</v>
      </c>
      <c r="F314" s="37">
        <v>182820.75</v>
      </c>
    </row>
    <row r="315" spans="1:6" x14ac:dyDescent="0.25">
      <c r="A315" s="27">
        <v>2397</v>
      </c>
      <c r="B315" s="27">
        <v>1</v>
      </c>
      <c r="C315" s="18" t="s">
        <v>850</v>
      </c>
      <c r="D315" s="37">
        <v>4411923.29</v>
      </c>
      <c r="E315" s="37">
        <v>234264.53</v>
      </c>
      <c r="F315" s="37">
        <v>234264.9</v>
      </c>
    </row>
    <row r="316" spans="1:6" x14ac:dyDescent="0.25">
      <c r="A316" s="27">
        <v>2448</v>
      </c>
      <c r="B316" s="27">
        <v>1</v>
      </c>
      <c r="C316" s="18" t="s">
        <v>851</v>
      </c>
      <c r="D316" s="37">
        <v>3263522.85</v>
      </c>
      <c r="E316" s="37">
        <v>176022.27</v>
      </c>
      <c r="F316" s="37">
        <v>176022.09</v>
      </c>
    </row>
    <row r="317" spans="1:6" x14ac:dyDescent="0.25">
      <c r="A317" s="27">
        <v>2527</v>
      </c>
      <c r="B317" s="27">
        <v>1</v>
      </c>
      <c r="C317" s="18" t="s">
        <v>852</v>
      </c>
      <c r="D317" s="37">
        <v>1304956.49</v>
      </c>
      <c r="E317" s="37">
        <v>66268.37</v>
      </c>
      <c r="F317" s="37">
        <v>66267.86</v>
      </c>
    </row>
    <row r="318" spans="1:6" x14ac:dyDescent="0.25">
      <c r="A318" s="27">
        <v>2534</v>
      </c>
      <c r="B318" s="27">
        <v>1</v>
      </c>
      <c r="C318" s="18" t="s">
        <v>853</v>
      </c>
      <c r="D318" s="37">
        <v>2961514.68</v>
      </c>
      <c r="E318" s="37">
        <v>161936.53</v>
      </c>
      <c r="F318" s="37">
        <v>161936.47</v>
      </c>
    </row>
    <row r="319" spans="1:6" x14ac:dyDescent="0.25">
      <c r="A319" s="27">
        <v>2536</v>
      </c>
      <c r="B319" s="27">
        <v>1</v>
      </c>
      <c r="C319" s="18" t="s">
        <v>854</v>
      </c>
      <c r="D319" s="37">
        <v>1217871.46</v>
      </c>
      <c r="E319" s="37">
        <v>63834.58</v>
      </c>
      <c r="F319" s="37">
        <v>63834.38</v>
      </c>
    </row>
    <row r="320" spans="1:6" x14ac:dyDescent="0.25">
      <c r="A320" s="27">
        <v>2580</v>
      </c>
      <c r="B320" s="27">
        <v>1</v>
      </c>
      <c r="C320" s="18" t="s">
        <v>855</v>
      </c>
      <c r="D320" s="37">
        <v>3483376.97</v>
      </c>
      <c r="E320" s="37">
        <v>184739.29</v>
      </c>
      <c r="F320" s="37">
        <v>184739.1</v>
      </c>
    </row>
    <row r="321" spans="1:6" x14ac:dyDescent="0.25">
      <c r="A321" s="27">
        <v>2609</v>
      </c>
      <c r="B321" s="27">
        <v>1</v>
      </c>
      <c r="C321" s="18" t="s">
        <v>856</v>
      </c>
      <c r="D321" s="37">
        <v>1742257.11</v>
      </c>
      <c r="E321" s="37">
        <v>95065.91</v>
      </c>
      <c r="F321" s="37">
        <v>95065.73</v>
      </c>
    </row>
    <row r="322" spans="1:6" x14ac:dyDescent="0.25">
      <c r="A322" s="27">
        <v>2683</v>
      </c>
      <c r="B322" s="27">
        <v>1</v>
      </c>
      <c r="C322" s="18" t="s">
        <v>857</v>
      </c>
      <c r="D322" s="37">
        <v>2123137.04</v>
      </c>
      <c r="E322" s="37">
        <v>111265</v>
      </c>
      <c r="F322" s="37">
        <v>111264.99</v>
      </c>
    </row>
    <row r="323" spans="1:6" x14ac:dyDescent="0.25">
      <c r="A323" s="27">
        <v>2687</v>
      </c>
      <c r="B323" s="27">
        <v>1</v>
      </c>
      <c r="C323" s="18" t="s">
        <v>266</v>
      </c>
      <c r="D323" s="37">
        <v>4081035.03</v>
      </c>
      <c r="E323" s="37">
        <v>221100.68</v>
      </c>
      <c r="F323" s="37">
        <v>221099.99</v>
      </c>
    </row>
    <row r="324" spans="1:6" x14ac:dyDescent="0.25">
      <c r="A324" s="27">
        <v>2689</v>
      </c>
      <c r="B324" s="27">
        <v>1</v>
      </c>
      <c r="C324" s="18" t="s">
        <v>858</v>
      </c>
      <c r="D324" s="37">
        <v>5043410.05</v>
      </c>
      <c r="E324" s="37">
        <v>274536.84000000003</v>
      </c>
      <c r="F324" s="37">
        <v>274535.8</v>
      </c>
    </row>
    <row r="325" spans="1:6" x14ac:dyDescent="0.25">
      <c r="A325" s="27">
        <v>2711</v>
      </c>
      <c r="B325" s="27">
        <v>1</v>
      </c>
      <c r="C325" s="18" t="s">
        <v>859</v>
      </c>
      <c r="D325" s="37">
        <v>3536424.89</v>
      </c>
      <c r="E325" s="37">
        <v>189542.47</v>
      </c>
      <c r="F325" s="37">
        <v>189541.26</v>
      </c>
    </row>
    <row r="326" spans="1:6" x14ac:dyDescent="0.25">
      <c r="A326" s="27">
        <v>2752</v>
      </c>
      <c r="B326" s="27">
        <v>1</v>
      </c>
      <c r="C326" s="18" t="s">
        <v>860</v>
      </c>
      <c r="D326" s="37">
        <v>9079829.9900000002</v>
      </c>
      <c r="E326" s="37">
        <v>489748.75</v>
      </c>
      <c r="F326" s="37">
        <v>489746.42</v>
      </c>
    </row>
    <row r="327" spans="1:6" x14ac:dyDescent="0.25">
      <c r="A327" s="27">
        <v>2753</v>
      </c>
      <c r="B327" s="27">
        <v>1</v>
      </c>
      <c r="C327" s="18" t="s">
        <v>861</v>
      </c>
      <c r="D327" s="37">
        <v>5002589.9000000004</v>
      </c>
      <c r="E327" s="37">
        <v>270009.17</v>
      </c>
      <c r="F327" s="37">
        <v>270008.59999999998</v>
      </c>
    </row>
    <row r="328" spans="1:6" x14ac:dyDescent="0.25">
      <c r="A328" s="27">
        <v>2754</v>
      </c>
      <c r="B328" s="27">
        <v>1</v>
      </c>
      <c r="C328" s="18" t="s">
        <v>862</v>
      </c>
      <c r="D328" s="37">
        <v>1802333.4</v>
      </c>
      <c r="E328" s="37">
        <v>98117.86</v>
      </c>
      <c r="F328" s="37">
        <v>98117.72</v>
      </c>
    </row>
    <row r="329" spans="1:6" x14ac:dyDescent="0.25">
      <c r="A329" s="27">
        <v>2759</v>
      </c>
      <c r="B329" s="27">
        <v>1</v>
      </c>
      <c r="C329" s="18" t="s">
        <v>863</v>
      </c>
      <c r="D329" s="37">
        <v>1343678.73</v>
      </c>
      <c r="E329" s="37">
        <v>69669.62</v>
      </c>
      <c r="F329" s="37">
        <v>69669.25</v>
      </c>
    </row>
    <row r="330" spans="1:6" x14ac:dyDescent="0.25">
      <c r="A330" s="27">
        <v>2805</v>
      </c>
      <c r="B330" s="27">
        <v>1</v>
      </c>
      <c r="C330" s="18" t="s">
        <v>864</v>
      </c>
      <c r="D330" s="37">
        <v>4466752.08</v>
      </c>
      <c r="E330" s="37">
        <v>241092.56</v>
      </c>
      <c r="F330" s="37">
        <v>241091.79</v>
      </c>
    </row>
    <row r="331" spans="1:6" x14ac:dyDescent="0.25">
      <c r="A331" s="27">
        <v>2835</v>
      </c>
      <c r="B331" s="27">
        <v>1</v>
      </c>
      <c r="C331" s="18" t="s">
        <v>865</v>
      </c>
      <c r="D331" s="37">
        <v>2184501.35</v>
      </c>
      <c r="E331" s="37">
        <v>115634.47</v>
      </c>
      <c r="F331" s="37">
        <v>115633.85</v>
      </c>
    </row>
    <row r="332" spans="1:6" x14ac:dyDescent="0.25">
      <c r="A332" s="27">
        <v>2853</v>
      </c>
      <c r="B332" s="27">
        <v>1</v>
      </c>
      <c r="C332" s="18" t="s">
        <v>866</v>
      </c>
      <c r="D332" s="37">
        <v>4181853.87</v>
      </c>
      <c r="E332" s="37">
        <v>223510.67</v>
      </c>
      <c r="F332" s="37">
        <v>223510.14</v>
      </c>
    </row>
    <row r="333" spans="1:6" x14ac:dyDescent="0.25">
      <c r="A333" s="27">
        <v>2854</v>
      </c>
      <c r="B333" s="27">
        <v>1</v>
      </c>
      <c r="C333" s="18" t="s">
        <v>867</v>
      </c>
      <c r="D333" s="37">
        <v>2254725.83</v>
      </c>
      <c r="E333" s="37">
        <v>122162.51</v>
      </c>
      <c r="F333" s="37">
        <v>122162.29</v>
      </c>
    </row>
    <row r="334" spans="1:6" x14ac:dyDescent="0.25">
      <c r="A334" s="27">
        <v>2856</v>
      </c>
      <c r="B334" s="27">
        <v>1</v>
      </c>
      <c r="C334" s="18" t="s">
        <v>868</v>
      </c>
      <c r="D334" s="37">
        <v>1760065.94</v>
      </c>
      <c r="E334" s="37">
        <v>96598.75</v>
      </c>
      <c r="F334" s="37">
        <v>96598.51</v>
      </c>
    </row>
    <row r="335" spans="1:6" x14ac:dyDescent="0.25">
      <c r="A335" s="27">
        <v>2859</v>
      </c>
      <c r="B335" s="27">
        <v>1</v>
      </c>
      <c r="C335" s="18" t="s">
        <v>869</v>
      </c>
      <c r="D335" s="37">
        <v>6501234.79</v>
      </c>
      <c r="E335" s="37">
        <v>352125.8</v>
      </c>
      <c r="F335" s="37">
        <v>352125.28</v>
      </c>
    </row>
    <row r="336" spans="1:6" x14ac:dyDescent="0.25">
      <c r="A336" s="27">
        <v>2860</v>
      </c>
      <c r="B336" s="27">
        <v>1</v>
      </c>
      <c r="C336" s="18" t="s">
        <v>870</v>
      </c>
      <c r="D336" s="37">
        <v>5686574.8899999997</v>
      </c>
      <c r="E336" s="37">
        <v>304021.93</v>
      </c>
      <c r="F336" s="37">
        <v>304021.34000000003</v>
      </c>
    </row>
    <row r="337" spans="1:6" x14ac:dyDescent="0.25">
      <c r="A337" s="27">
        <v>2884</v>
      </c>
      <c r="B337" s="27">
        <v>1</v>
      </c>
      <c r="C337" s="18" t="s">
        <v>871</v>
      </c>
      <c r="D337" s="37">
        <v>2352442.59</v>
      </c>
      <c r="E337" s="37">
        <v>127724.62</v>
      </c>
      <c r="F337" s="37">
        <v>127723.99</v>
      </c>
    </row>
    <row r="338" spans="1:6" x14ac:dyDescent="0.25">
      <c r="A338" s="27">
        <v>2886</v>
      </c>
      <c r="B338" s="27">
        <v>1</v>
      </c>
      <c r="C338" s="18" t="s">
        <v>872</v>
      </c>
      <c r="D338" s="37">
        <v>1558749.32</v>
      </c>
      <c r="E338" s="37">
        <v>82883.33</v>
      </c>
      <c r="F338" s="37">
        <v>82883.03</v>
      </c>
    </row>
    <row r="339" spans="1:6" x14ac:dyDescent="0.25">
      <c r="A339" s="27">
        <v>2888</v>
      </c>
      <c r="B339" s="27">
        <v>1</v>
      </c>
      <c r="C339" s="18" t="s">
        <v>275</v>
      </c>
      <c r="D339" s="37">
        <v>1710472.37</v>
      </c>
      <c r="E339" s="37">
        <v>92577.43</v>
      </c>
      <c r="F339" s="37">
        <v>92577.52</v>
      </c>
    </row>
    <row r="340" spans="1:6" x14ac:dyDescent="0.25">
      <c r="A340" s="27">
        <v>2889</v>
      </c>
      <c r="B340" s="27">
        <v>1</v>
      </c>
      <c r="C340" s="18" t="s">
        <v>873</v>
      </c>
      <c r="D340" s="37">
        <v>2584078.04</v>
      </c>
      <c r="E340" s="37">
        <v>140277.48000000001</v>
      </c>
      <c r="F340" s="37">
        <v>140277.22</v>
      </c>
    </row>
    <row r="341" spans="1:6" x14ac:dyDescent="0.25">
      <c r="A341" s="27">
        <v>2890</v>
      </c>
      <c r="B341" s="27">
        <v>1</v>
      </c>
      <c r="C341" s="18" t="s">
        <v>874</v>
      </c>
      <c r="D341" s="37">
        <v>2483417.3199999998</v>
      </c>
      <c r="E341" s="37">
        <v>134019.63</v>
      </c>
      <c r="F341" s="37">
        <v>134019.34</v>
      </c>
    </row>
    <row r="342" spans="1:6" x14ac:dyDescent="0.25">
      <c r="A342" s="27">
        <v>2895</v>
      </c>
      <c r="B342" s="27">
        <v>1</v>
      </c>
      <c r="C342" s="18" t="s">
        <v>875</v>
      </c>
      <c r="D342" s="37">
        <v>4994888.22</v>
      </c>
      <c r="E342" s="37">
        <v>272527.7</v>
      </c>
      <c r="F342" s="37">
        <v>272526.57</v>
      </c>
    </row>
    <row r="343" spans="1:6" x14ac:dyDescent="0.25">
      <c r="A343" s="27">
        <v>2897</v>
      </c>
      <c r="B343" s="27">
        <v>1</v>
      </c>
      <c r="C343" s="18" t="s">
        <v>876</v>
      </c>
      <c r="D343" s="37">
        <v>5342774</v>
      </c>
      <c r="E343" s="37">
        <v>292869.27</v>
      </c>
      <c r="F343" s="37">
        <v>292867.93</v>
      </c>
    </row>
    <row r="344" spans="1:6" x14ac:dyDescent="0.25">
      <c r="A344" s="27">
        <v>2898</v>
      </c>
      <c r="B344" s="27">
        <v>1</v>
      </c>
      <c r="C344" s="18" t="s">
        <v>877</v>
      </c>
      <c r="D344" s="37">
        <v>2464559.91</v>
      </c>
      <c r="E344" s="37">
        <v>135027.1</v>
      </c>
      <c r="F344" s="37">
        <v>135026.65</v>
      </c>
    </row>
    <row r="345" spans="1:6" x14ac:dyDescent="0.25">
      <c r="A345" s="27">
        <v>2899</v>
      </c>
      <c r="B345" s="27">
        <v>1</v>
      </c>
      <c r="C345" s="18" t="s">
        <v>488</v>
      </c>
      <c r="D345" s="37">
        <v>6062776.3799999999</v>
      </c>
      <c r="E345" s="37">
        <v>327344.58</v>
      </c>
      <c r="F345" s="37">
        <v>327344.65999999997</v>
      </c>
    </row>
    <row r="346" spans="1:6" x14ac:dyDescent="0.25">
      <c r="A346" s="27">
        <v>2902</v>
      </c>
      <c r="B346" s="27">
        <v>1</v>
      </c>
      <c r="C346" s="18" t="s">
        <v>878</v>
      </c>
      <c r="D346" s="37">
        <v>2215743.91</v>
      </c>
      <c r="E346" s="37">
        <v>120426.99</v>
      </c>
      <c r="F346" s="37">
        <v>120426.22</v>
      </c>
    </row>
    <row r="347" spans="1:6" x14ac:dyDescent="0.25">
      <c r="A347">
        <v>2903</v>
      </c>
      <c r="B347" s="27">
        <v>1</v>
      </c>
      <c r="C347" s="18" t="s">
        <v>879</v>
      </c>
      <c r="D347" s="37">
        <v>2323451.62</v>
      </c>
      <c r="E347" s="37">
        <v>124348.4</v>
      </c>
      <c r="F347" s="37">
        <v>124348.1</v>
      </c>
    </row>
    <row r="348" spans="1:6" x14ac:dyDescent="0.25">
      <c r="A348">
        <v>2904</v>
      </c>
      <c r="B348" s="27">
        <v>1</v>
      </c>
      <c r="C348" s="18" t="s">
        <v>880</v>
      </c>
      <c r="D348" s="37">
        <v>3644332.13</v>
      </c>
      <c r="E348" s="37">
        <v>198305.99</v>
      </c>
      <c r="F348" s="37">
        <v>198304.92</v>
      </c>
    </row>
    <row r="349" spans="1:6" x14ac:dyDescent="0.25">
      <c r="D349" s="42"/>
      <c r="E349" s="42"/>
      <c r="F349" s="42"/>
    </row>
    <row r="350" spans="1:6" x14ac:dyDescent="0.25">
      <c r="A350" s="19">
        <v>4000</v>
      </c>
      <c r="B350" s="19">
        <v>7</v>
      </c>
      <c r="C350" s="18" t="s">
        <v>881</v>
      </c>
      <c r="D350" s="37">
        <v>465399.67</v>
      </c>
      <c r="E350" s="37">
        <v>25597.06</v>
      </c>
      <c r="F350" s="37">
        <v>25597.06</v>
      </c>
    </row>
    <row r="351" spans="1:6" x14ac:dyDescent="0.25">
      <c r="A351" s="19">
        <v>4001</v>
      </c>
      <c r="B351" s="19">
        <v>7</v>
      </c>
      <c r="C351" s="18" t="s">
        <v>882</v>
      </c>
      <c r="D351" s="37">
        <v>705545.7</v>
      </c>
      <c r="E351" s="37">
        <v>37279.85</v>
      </c>
      <c r="F351" s="37">
        <v>37279.620000000003</v>
      </c>
    </row>
    <row r="352" spans="1:6" x14ac:dyDescent="0.25">
      <c r="A352" s="19">
        <v>4003</v>
      </c>
      <c r="B352" s="19">
        <v>7</v>
      </c>
      <c r="C352" s="18" t="s">
        <v>883</v>
      </c>
      <c r="D352" s="37">
        <v>641495.18000000005</v>
      </c>
      <c r="E352" s="37">
        <v>35282.879999999997</v>
      </c>
      <c r="F352" s="37">
        <v>35282.879999999997</v>
      </c>
    </row>
    <row r="353" spans="1:6" x14ac:dyDescent="0.25">
      <c r="A353" s="19">
        <v>4004</v>
      </c>
      <c r="B353" s="19">
        <v>7</v>
      </c>
      <c r="C353" s="18" t="s">
        <v>884</v>
      </c>
      <c r="D353" s="37">
        <v>607416.06999999995</v>
      </c>
      <c r="E353" s="37">
        <v>33402.6</v>
      </c>
      <c r="F353" s="37">
        <v>33402.519999999997</v>
      </c>
    </row>
    <row r="354" spans="1:6" x14ac:dyDescent="0.25">
      <c r="A354" s="19">
        <v>4005</v>
      </c>
      <c r="B354" s="19">
        <v>7</v>
      </c>
      <c r="C354" s="18" t="s">
        <v>885</v>
      </c>
      <c r="D354" s="37">
        <v>1604478.85</v>
      </c>
      <c r="E354" s="37">
        <v>87945.63</v>
      </c>
      <c r="F354" s="37">
        <v>87945.49</v>
      </c>
    </row>
    <row r="355" spans="1:6" x14ac:dyDescent="0.25">
      <c r="A355" s="19">
        <v>4006</v>
      </c>
      <c r="B355" s="19">
        <v>7</v>
      </c>
      <c r="C355" s="18" t="s">
        <v>886</v>
      </c>
      <c r="D355" s="37">
        <v>158623.6</v>
      </c>
      <c r="E355" s="37">
        <v>8724.2199999999993</v>
      </c>
      <c r="F355" s="37">
        <v>8724.2199999999993</v>
      </c>
    </row>
    <row r="356" spans="1:6" x14ac:dyDescent="0.25">
      <c r="A356" s="19">
        <v>4007</v>
      </c>
      <c r="B356" s="19">
        <v>7</v>
      </c>
      <c r="C356" s="18" t="s">
        <v>887</v>
      </c>
      <c r="D356" s="37">
        <v>573611.56000000006</v>
      </c>
      <c r="E356" s="37">
        <v>31548.69</v>
      </c>
      <c r="F356" s="37">
        <v>31548.69</v>
      </c>
    </row>
    <row r="357" spans="1:6" x14ac:dyDescent="0.25">
      <c r="A357" s="19">
        <v>4008</v>
      </c>
      <c r="B357" s="19">
        <v>7</v>
      </c>
      <c r="C357" s="18" t="s">
        <v>888</v>
      </c>
      <c r="D357" s="37">
        <v>1894228.05</v>
      </c>
      <c r="E357" s="37">
        <v>104183.11</v>
      </c>
      <c r="F357" s="37">
        <v>104182.93</v>
      </c>
    </row>
    <row r="358" spans="1:6" x14ac:dyDescent="0.25">
      <c r="A358" s="19">
        <v>4011</v>
      </c>
      <c r="B358" s="19">
        <v>7</v>
      </c>
      <c r="C358" s="18" t="s">
        <v>889</v>
      </c>
      <c r="D358" s="37">
        <v>1745477.32</v>
      </c>
      <c r="E358" s="37">
        <v>95241.49</v>
      </c>
      <c r="F358" s="37">
        <v>95241.51</v>
      </c>
    </row>
    <row r="359" spans="1:6" x14ac:dyDescent="0.25">
      <c r="A359" s="19">
        <v>4012</v>
      </c>
      <c r="B359" s="19">
        <v>7</v>
      </c>
      <c r="C359" s="18" t="s">
        <v>890</v>
      </c>
      <c r="D359" s="37">
        <v>150527.48000000001</v>
      </c>
      <c r="E359" s="37">
        <v>8148.29</v>
      </c>
      <c r="F359" s="37">
        <v>8148.3</v>
      </c>
    </row>
    <row r="360" spans="1:6" x14ac:dyDescent="0.25">
      <c r="A360" s="19">
        <v>4015</v>
      </c>
      <c r="B360" s="19">
        <v>7</v>
      </c>
      <c r="C360" s="18" t="s">
        <v>891</v>
      </c>
      <c r="D360" s="37">
        <v>3056154.27</v>
      </c>
      <c r="E360" s="37">
        <v>167815.34</v>
      </c>
      <c r="F360" s="37">
        <v>167814.81</v>
      </c>
    </row>
    <row r="361" spans="1:6" x14ac:dyDescent="0.25">
      <c r="A361" s="19">
        <v>4016</v>
      </c>
      <c r="B361" s="19">
        <v>7</v>
      </c>
      <c r="C361" s="18" t="s">
        <v>892</v>
      </c>
      <c r="D361" s="37">
        <v>497662.02</v>
      </c>
      <c r="E361" s="37">
        <v>27371.09</v>
      </c>
      <c r="F361" s="37">
        <v>27371.09</v>
      </c>
    </row>
    <row r="362" spans="1:6" x14ac:dyDescent="0.25">
      <c r="A362" s="19">
        <v>4017</v>
      </c>
      <c r="B362" s="19">
        <v>7</v>
      </c>
      <c r="C362" s="18" t="s">
        <v>893</v>
      </c>
      <c r="D362" s="37">
        <v>6130056.8300000001</v>
      </c>
      <c r="E362" s="37">
        <v>333034.15999999997</v>
      </c>
      <c r="F362" s="37">
        <v>333034.15999999997</v>
      </c>
    </row>
    <row r="363" spans="1:6" x14ac:dyDescent="0.25">
      <c r="A363" s="19">
        <v>4018</v>
      </c>
      <c r="B363" s="19">
        <v>7</v>
      </c>
      <c r="C363" s="18" t="s">
        <v>894</v>
      </c>
      <c r="D363" s="37">
        <v>1797220.18</v>
      </c>
      <c r="E363" s="37">
        <v>98847.48</v>
      </c>
      <c r="F363" s="37">
        <v>98847.28</v>
      </c>
    </row>
    <row r="364" spans="1:6" x14ac:dyDescent="0.25">
      <c r="A364" s="19">
        <v>4020</v>
      </c>
      <c r="B364" s="19">
        <v>7</v>
      </c>
      <c r="C364" s="18" t="s">
        <v>895</v>
      </c>
      <c r="D364" s="37">
        <v>3469144.02</v>
      </c>
      <c r="E364" s="37">
        <v>190803.33</v>
      </c>
      <c r="F364" s="37">
        <v>190803.33</v>
      </c>
    </row>
    <row r="365" spans="1:6" x14ac:dyDescent="0.25">
      <c r="A365" s="19">
        <v>4025</v>
      </c>
      <c r="B365" s="19">
        <v>7</v>
      </c>
      <c r="C365" s="18" t="s">
        <v>896</v>
      </c>
      <c r="D365" s="37">
        <v>408368.93</v>
      </c>
      <c r="E365" s="37">
        <v>22460.36</v>
      </c>
      <c r="F365" s="37">
        <v>22460.13</v>
      </c>
    </row>
    <row r="366" spans="1:6" x14ac:dyDescent="0.25">
      <c r="A366" s="19">
        <v>4026</v>
      </c>
      <c r="B366" s="19">
        <v>7</v>
      </c>
      <c r="C366" s="18" t="s">
        <v>897</v>
      </c>
      <c r="D366" s="37">
        <v>843143.12</v>
      </c>
      <c r="E366" s="37">
        <v>42952.39</v>
      </c>
      <c r="F366" s="37">
        <v>42951.78</v>
      </c>
    </row>
    <row r="367" spans="1:6" x14ac:dyDescent="0.25">
      <c r="A367" s="19">
        <v>4027</v>
      </c>
      <c r="B367" s="19">
        <v>7</v>
      </c>
      <c r="C367" s="18" t="s">
        <v>898</v>
      </c>
      <c r="D367" s="37">
        <v>1557314.71</v>
      </c>
      <c r="E367" s="37">
        <v>82948.94</v>
      </c>
      <c r="F367" s="37">
        <v>82948.710000000006</v>
      </c>
    </row>
    <row r="368" spans="1:6" x14ac:dyDescent="0.25">
      <c r="A368" s="19">
        <v>4028</v>
      </c>
      <c r="B368" s="19">
        <v>7</v>
      </c>
      <c r="C368" s="18" t="s">
        <v>899</v>
      </c>
      <c r="D368" s="37">
        <v>62589.21</v>
      </c>
      <c r="E368" s="37">
        <v>3442.45</v>
      </c>
      <c r="F368" s="37">
        <v>3442.41</v>
      </c>
    </row>
    <row r="369" spans="1:6" x14ac:dyDescent="0.25">
      <c r="A369" s="19">
        <v>4029</v>
      </c>
      <c r="B369" s="19">
        <v>7</v>
      </c>
      <c r="C369" s="18" t="s">
        <v>900</v>
      </c>
      <c r="D369" s="37">
        <v>1322533.2</v>
      </c>
      <c r="E369" s="37">
        <v>72739.27</v>
      </c>
      <c r="F369" s="37">
        <v>72739.27</v>
      </c>
    </row>
    <row r="370" spans="1:6" x14ac:dyDescent="0.25">
      <c r="A370" s="19">
        <v>4030</v>
      </c>
      <c r="B370" s="19">
        <v>7</v>
      </c>
      <c r="C370" s="18" t="s">
        <v>901</v>
      </c>
      <c r="D370" s="37">
        <v>864445.47</v>
      </c>
      <c r="E370" s="37">
        <v>47015.77</v>
      </c>
      <c r="F370" s="37">
        <v>47015.77</v>
      </c>
    </row>
    <row r="371" spans="1:6" x14ac:dyDescent="0.25">
      <c r="A371" s="19">
        <v>4031</v>
      </c>
      <c r="B371" s="19">
        <v>7</v>
      </c>
      <c r="C371" s="18" t="s">
        <v>902</v>
      </c>
      <c r="D371" s="37">
        <v>253280.33</v>
      </c>
      <c r="E371" s="37">
        <v>13930.57</v>
      </c>
      <c r="F371" s="37">
        <v>13930.56</v>
      </c>
    </row>
    <row r="372" spans="1:6" x14ac:dyDescent="0.25">
      <c r="A372" s="19">
        <v>4032</v>
      </c>
      <c r="B372" s="19">
        <v>7</v>
      </c>
      <c r="C372" s="18" t="s">
        <v>903</v>
      </c>
      <c r="D372" s="37">
        <v>1309344.17</v>
      </c>
      <c r="E372" s="37">
        <v>68420.73</v>
      </c>
      <c r="F372" s="37">
        <v>68420.740000000005</v>
      </c>
    </row>
    <row r="373" spans="1:6" x14ac:dyDescent="0.25">
      <c r="A373" s="19">
        <v>4035</v>
      </c>
      <c r="B373" s="19">
        <v>7</v>
      </c>
      <c r="C373" s="18" t="s">
        <v>904</v>
      </c>
      <c r="D373" s="37">
        <v>1307110.3400000001</v>
      </c>
      <c r="E373" s="37">
        <v>71589.95</v>
      </c>
      <c r="F373" s="37">
        <v>71589.899999999994</v>
      </c>
    </row>
    <row r="374" spans="1:6" x14ac:dyDescent="0.25">
      <c r="A374" s="19">
        <v>4036</v>
      </c>
      <c r="B374" s="19">
        <v>7</v>
      </c>
      <c r="C374" s="18" t="s">
        <v>905</v>
      </c>
      <c r="D374" s="37">
        <v>314480.01</v>
      </c>
      <c r="E374" s="37">
        <v>17296.009999999998</v>
      </c>
      <c r="F374" s="37">
        <v>17296</v>
      </c>
    </row>
    <row r="375" spans="1:6" x14ac:dyDescent="0.25">
      <c r="A375" s="19">
        <v>4038</v>
      </c>
      <c r="B375" s="19">
        <v>7</v>
      </c>
      <c r="C375" s="18" t="s">
        <v>906</v>
      </c>
      <c r="D375" s="37">
        <v>1141447.52</v>
      </c>
      <c r="E375" s="37">
        <v>62781.4</v>
      </c>
      <c r="F375" s="37">
        <v>62781.4</v>
      </c>
    </row>
    <row r="376" spans="1:6" x14ac:dyDescent="0.25">
      <c r="A376" s="19">
        <v>4039</v>
      </c>
      <c r="B376" s="19">
        <v>7</v>
      </c>
      <c r="C376" s="18" t="s">
        <v>907</v>
      </c>
      <c r="D376" s="37">
        <v>356901.48</v>
      </c>
      <c r="E376" s="37">
        <v>19629.71</v>
      </c>
      <c r="F376" s="37">
        <v>19629.59</v>
      </c>
    </row>
    <row r="377" spans="1:6" x14ac:dyDescent="0.25">
      <c r="A377" s="19">
        <v>4042</v>
      </c>
      <c r="B377" s="19">
        <v>7</v>
      </c>
      <c r="C377" s="18" t="s">
        <v>908</v>
      </c>
      <c r="D377" s="37">
        <v>720981.63</v>
      </c>
      <c r="E377" s="37">
        <v>39654.089999999997</v>
      </c>
      <c r="F377" s="37">
        <v>39654.089999999997</v>
      </c>
    </row>
    <row r="378" spans="1:6" x14ac:dyDescent="0.25">
      <c r="A378" s="19">
        <v>4043</v>
      </c>
      <c r="B378" s="19">
        <v>7</v>
      </c>
      <c r="C378" s="18" t="s">
        <v>909</v>
      </c>
      <c r="D378" s="37">
        <v>1055875.69</v>
      </c>
      <c r="E378" s="37">
        <v>57639.49</v>
      </c>
      <c r="F378" s="37">
        <v>57639.47</v>
      </c>
    </row>
    <row r="379" spans="1:6" x14ac:dyDescent="0.25">
      <c r="A379" s="19">
        <v>4044</v>
      </c>
      <c r="B379" s="19">
        <v>7</v>
      </c>
      <c r="C379" t="s">
        <v>910</v>
      </c>
      <c r="D379" s="37">
        <v>0</v>
      </c>
      <c r="E379" s="37">
        <v>0</v>
      </c>
      <c r="F379" s="37">
        <v>0</v>
      </c>
    </row>
    <row r="380" spans="1:6" x14ac:dyDescent="0.25">
      <c r="A380" s="19">
        <v>4045</v>
      </c>
      <c r="B380" s="19">
        <v>7</v>
      </c>
      <c r="C380" s="18" t="s">
        <v>911</v>
      </c>
      <c r="D380" s="37">
        <v>222918.66</v>
      </c>
      <c r="E380" s="37">
        <v>10677.64</v>
      </c>
      <c r="F380" s="37">
        <v>10677.37</v>
      </c>
    </row>
    <row r="381" spans="1:6" x14ac:dyDescent="0.25">
      <c r="A381" s="19">
        <v>4046</v>
      </c>
      <c r="B381" s="19">
        <v>7</v>
      </c>
      <c r="C381" s="18" t="s">
        <v>912</v>
      </c>
      <c r="D381" s="37">
        <v>381184.37</v>
      </c>
      <c r="E381" s="37">
        <v>20361.189999999999</v>
      </c>
      <c r="F381" s="37">
        <v>20360.259999999998</v>
      </c>
    </row>
    <row r="382" spans="1:6" x14ac:dyDescent="0.25">
      <c r="A382" s="19">
        <v>4048</v>
      </c>
      <c r="B382" s="19">
        <v>7</v>
      </c>
      <c r="C382" s="18" t="s">
        <v>913</v>
      </c>
      <c r="D382" s="37">
        <v>166594.38</v>
      </c>
      <c r="E382" s="37">
        <v>9162.69</v>
      </c>
      <c r="F382" s="37">
        <v>9162.69</v>
      </c>
    </row>
    <row r="383" spans="1:6" x14ac:dyDescent="0.25">
      <c r="A383" s="19">
        <v>4049</v>
      </c>
      <c r="B383" s="19">
        <v>7</v>
      </c>
      <c r="C383" s="18" t="s">
        <v>914</v>
      </c>
      <c r="D383" s="37">
        <v>589919.80000000005</v>
      </c>
      <c r="E383" s="37">
        <v>31279.71</v>
      </c>
      <c r="F383" s="37">
        <v>31279.71</v>
      </c>
    </row>
    <row r="384" spans="1:6" x14ac:dyDescent="0.25">
      <c r="A384" s="19">
        <v>4050</v>
      </c>
      <c r="B384" s="19">
        <v>7</v>
      </c>
      <c r="C384" s="18" t="s">
        <v>915</v>
      </c>
      <c r="D384" s="37">
        <v>275881.26</v>
      </c>
      <c r="E384" s="37">
        <v>15173.4</v>
      </c>
      <c r="F384" s="37">
        <v>15173.4</v>
      </c>
    </row>
    <row r="385" spans="1:6" x14ac:dyDescent="0.25">
      <c r="A385" s="19">
        <v>4052</v>
      </c>
      <c r="B385" s="19">
        <v>7</v>
      </c>
      <c r="C385" s="18" t="s">
        <v>916</v>
      </c>
      <c r="D385" s="37">
        <v>425293.62</v>
      </c>
      <c r="E385" s="37">
        <v>23391.19</v>
      </c>
      <c r="F385" s="37">
        <v>23391.19</v>
      </c>
    </row>
    <row r="386" spans="1:6" x14ac:dyDescent="0.25">
      <c r="A386" s="19">
        <v>4053</v>
      </c>
      <c r="B386" s="19">
        <v>7</v>
      </c>
      <c r="C386" s="18" t="s">
        <v>917</v>
      </c>
      <c r="D386" s="37">
        <v>1172114.01</v>
      </c>
      <c r="E386" s="37">
        <v>64465.83</v>
      </c>
      <c r="F386" s="37">
        <v>64465.83</v>
      </c>
    </row>
    <row r="387" spans="1:6" x14ac:dyDescent="0.25">
      <c r="A387" s="19">
        <v>4054</v>
      </c>
      <c r="B387" s="19">
        <v>7</v>
      </c>
      <c r="C387" s="18" t="s">
        <v>918</v>
      </c>
      <c r="D387" s="37">
        <v>166385.09</v>
      </c>
      <c r="E387" s="37">
        <v>9151.2099999999991</v>
      </c>
      <c r="F387" s="37">
        <v>9151.2099999999991</v>
      </c>
    </row>
    <row r="388" spans="1:6" x14ac:dyDescent="0.25">
      <c r="A388" s="19">
        <v>4055</v>
      </c>
      <c r="B388" s="19">
        <v>7</v>
      </c>
      <c r="C388" s="18" t="s">
        <v>919</v>
      </c>
      <c r="D388" s="37">
        <v>452212.52</v>
      </c>
      <c r="E388" s="37">
        <v>24871.68</v>
      </c>
      <c r="F388" s="37">
        <v>24871.68</v>
      </c>
    </row>
    <row r="389" spans="1:6" x14ac:dyDescent="0.25">
      <c r="A389" s="19">
        <v>4056</v>
      </c>
      <c r="B389" s="19">
        <v>7</v>
      </c>
      <c r="C389" s="18" t="s">
        <v>920</v>
      </c>
      <c r="D389" s="37">
        <v>654514.05000000005</v>
      </c>
      <c r="E389" s="37">
        <v>35875.01</v>
      </c>
      <c r="F389" s="37">
        <v>35874.99</v>
      </c>
    </row>
    <row r="390" spans="1:6" x14ac:dyDescent="0.25">
      <c r="A390" s="19">
        <v>4057</v>
      </c>
      <c r="B390" s="19">
        <v>7</v>
      </c>
      <c r="C390" s="18" t="s">
        <v>921</v>
      </c>
      <c r="D390" s="37">
        <v>528874.84</v>
      </c>
      <c r="E390" s="37">
        <v>29088.37</v>
      </c>
      <c r="F390" s="37">
        <v>29088.37</v>
      </c>
    </row>
    <row r="391" spans="1:6" x14ac:dyDescent="0.25">
      <c r="A391" s="19">
        <v>4058</v>
      </c>
      <c r="B391" s="19">
        <v>7</v>
      </c>
      <c r="C391" s="18" t="s">
        <v>922</v>
      </c>
      <c r="D391" s="37">
        <v>637296.43000000005</v>
      </c>
      <c r="E391" s="37">
        <v>35051.410000000003</v>
      </c>
      <c r="F391" s="37">
        <v>35051.410000000003</v>
      </c>
    </row>
    <row r="392" spans="1:6" x14ac:dyDescent="0.25">
      <c r="A392" s="19">
        <v>4059</v>
      </c>
      <c r="B392" s="19">
        <v>7</v>
      </c>
      <c r="C392" s="18" t="s">
        <v>923</v>
      </c>
      <c r="D392" s="37">
        <v>412749.82</v>
      </c>
      <c r="E392" s="37">
        <v>22701.24</v>
      </c>
      <c r="F392" s="37">
        <v>22701.24</v>
      </c>
    </row>
    <row r="393" spans="1:6" x14ac:dyDescent="0.25">
      <c r="A393" s="19">
        <v>4061</v>
      </c>
      <c r="B393" s="19">
        <v>7</v>
      </c>
      <c r="C393" s="18" t="s">
        <v>924</v>
      </c>
      <c r="D393" s="37">
        <v>330327.34999999998</v>
      </c>
      <c r="E393" s="37">
        <v>18168.21</v>
      </c>
      <c r="F393" s="37">
        <v>18168.21</v>
      </c>
    </row>
    <row r="394" spans="1:6" x14ac:dyDescent="0.25">
      <c r="A394" s="19">
        <v>4064</v>
      </c>
      <c r="B394" s="19">
        <v>7</v>
      </c>
      <c r="C394" s="18" t="s">
        <v>925</v>
      </c>
      <c r="D394" s="37">
        <v>372250.95</v>
      </c>
      <c r="E394" s="37">
        <v>20473.89</v>
      </c>
      <c r="F394" s="37">
        <v>20473.77</v>
      </c>
    </row>
    <row r="395" spans="1:6" x14ac:dyDescent="0.25">
      <c r="A395" s="19">
        <v>4066</v>
      </c>
      <c r="B395" s="19">
        <v>7</v>
      </c>
      <c r="C395" s="18" t="s">
        <v>926</v>
      </c>
      <c r="D395" s="37">
        <v>343341.16</v>
      </c>
      <c r="E395" s="37">
        <v>18883.86</v>
      </c>
      <c r="F395" s="37">
        <v>18883.86</v>
      </c>
    </row>
    <row r="396" spans="1:6" x14ac:dyDescent="0.25">
      <c r="A396" s="19">
        <v>4067</v>
      </c>
      <c r="B396" s="19">
        <v>7</v>
      </c>
      <c r="C396" s="18" t="s">
        <v>927</v>
      </c>
      <c r="D396" s="37">
        <v>886112.71</v>
      </c>
      <c r="E396" s="37">
        <v>48735.81</v>
      </c>
      <c r="F396" s="37">
        <v>48735.34</v>
      </c>
    </row>
    <row r="397" spans="1:6" x14ac:dyDescent="0.25">
      <c r="A397" s="19">
        <v>4068</v>
      </c>
      <c r="B397" s="19">
        <v>7</v>
      </c>
      <c r="C397" s="18" t="s">
        <v>928</v>
      </c>
      <c r="D397" s="37">
        <v>1266946.6299999999</v>
      </c>
      <c r="E397" s="37">
        <v>69684.460000000006</v>
      </c>
      <c r="F397" s="37">
        <v>69684.460000000006</v>
      </c>
    </row>
    <row r="398" spans="1:6" x14ac:dyDescent="0.25">
      <c r="A398" s="19">
        <v>4070</v>
      </c>
      <c r="B398" s="19">
        <v>7</v>
      </c>
      <c r="C398" s="18" t="s">
        <v>929</v>
      </c>
      <c r="D398" s="37">
        <v>1911846.93</v>
      </c>
      <c r="E398" s="37">
        <v>101245.58</v>
      </c>
      <c r="F398" s="37">
        <v>101245.58</v>
      </c>
    </row>
    <row r="399" spans="1:6" x14ac:dyDescent="0.25">
      <c r="A399" s="19">
        <v>4072</v>
      </c>
      <c r="B399" s="19">
        <v>7</v>
      </c>
      <c r="C399" t="s">
        <v>930</v>
      </c>
      <c r="D399" s="37">
        <v>0</v>
      </c>
      <c r="E399" s="37">
        <v>0</v>
      </c>
      <c r="F399" s="37">
        <v>0</v>
      </c>
    </row>
    <row r="400" spans="1:6" x14ac:dyDescent="0.25">
      <c r="A400" s="19">
        <v>4073</v>
      </c>
      <c r="B400" s="19">
        <v>7</v>
      </c>
      <c r="C400" s="18" t="s">
        <v>931</v>
      </c>
      <c r="D400" s="37">
        <v>912906.41</v>
      </c>
      <c r="E400" s="37">
        <v>46380.37</v>
      </c>
      <c r="F400" s="37">
        <v>46379.58</v>
      </c>
    </row>
    <row r="401" spans="1:6" x14ac:dyDescent="0.25">
      <c r="A401" s="19">
        <v>4074</v>
      </c>
      <c r="B401" s="19">
        <v>7</v>
      </c>
      <c r="C401" s="18" t="s">
        <v>932</v>
      </c>
      <c r="D401" s="37">
        <v>667944.07999999996</v>
      </c>
      <c r="E401" s="37">
        <v>36737.199999999997</v>
      </c>
      <c r="F401" s="37">
        <v>36736.74</v>
      </c>
    </row>
    <row r="402" spans="1:6" x14ac:dyDescent="0.25">
      <c r="A402" s="19">
        <v>4075</v>
      </c>
      <c r="B402" s="19">
        <v>7</v>
      </c>
      <c r="C402" s="18" t="s">
        <v>933</v>
      </c>
      <c r="D402" s="37">
        <v>751238.51</v>
      </c>
      <c r="E402" s="37">
        <v>41318.22</v>
      </c>
      <c r="F402" s="37">
        <v>41318.22</v>
      </c>
    </row>
    <row r="403" spans="1:6" x14ac:dyDescent="0.25">
      <c r="A403" s="19">
        <v>4077</v>
      </c>
      <c r="B403" s="19">
        <v>7</v>
      </c>
      <c r="C403" s="18" t="s">
        <v>934</v>
      </c>
      <c r="D403" s="37">
        <v>1840231.85</v>
      </c>
      <c r="E403" s="37">
        <v>101212.06</v>
      </c>
      <c r="F403" s="37">
        <v>101135.06</v>
      </c>
    </row>
    <row r="404" spans="1:6" x14ac:dyDescent="0.25">
      <c r="A404" s="19">
        <v>4078</v>
      </c>
      <c r="B404" s="19">
        <v>7</v>
      </c>
      <c r="C404" s="18" t="s">
        <v>935</v>
      </c>
      <c r="D404" s="37">
        <v>1057525.02</v>
      </c>
      <c r="E404" s="37">
        <v>58163.26</v>
      </c>
      <c r="F404" s="37">
        <v>58163.26</v>
      </c>
    </row>
    <row r="405" spans="1:6" x14ac:dyDescent="0.25">
      <c r="A405" s="19">
        <v>4079</v>
      </c>
      <c r="B405" s="19">
        <v>7</v>
      </c>
      <c r="C405" s="18" t="s">
        <v>936</v>
      </c>
      <c r="D405" s="37">
        <v>266473.32</v>
      </c>
      <c r="E405" s="37">
        <v>14656.19</v>
      </c>
      <c r="F405" s="37">
        <v>14656.19</v>
      </c>
    </row>
    <row r="406" spans="1:6" x14ac:dyDescent="0.25">
      <c r="A406" s="19">
        <v>4080</v>
      </c>
      <c r="B406" s="19">
        <v>7</v>
      </c>
      <c r="C406" s="18" t="s">
        <v>937</v>
      </c>
      <c r="D406" s="37">
        <v>252535.15</v>
      </c>
      <c r="E406" s="37">
        <v>12962.13</v>
      </c>
      <c r="F406" s="37">
        <v>12962.14</v>
      </c>
    </row>
    <row r="407" spans="1:6" x14ac:dyDescent="0.25">
      <c r="A407" s="19">
        <v>4081</v>
      </c>
      <c r="B407" s="19">
        <v>7</v>
      </c>
      <c r="C407" s="18" t="s">
        <v>938</v>
      </c>
      <c r="D407" s="37">
        <v>278358.09000000003</v>
      </c>
      <c r="E407" s="37">
        <v>12742.86</v>
      </c>
      <c r="F407" s="37">
        <v>12742.38</v>
      </c>
    </row>
    <row r="408" spans="1:6" x14ac:dyDescent="0.25">
      <c r="A408" s="19">
        <v>4082</v>
      </c>
      <c r="B408" s="19">
        <v>7</v>
      </c>
      <c r="C408" s="18" t="s">
        <v>939</v>
      </c>
      <c r="D408" s="37">
        <v>3302862.81</v>
      </c>
      <c r="E408" s="37">
        <v>181657.83</v>
      </c>
      <c r="F408" s="37">
        <v>181657.81</v>
      </c>
    </row>
    <row r="409" spans="1:6" x14ac:dyDescent="0.25">
      <c r="A409" s="19">
        <v>4083</v>
      </c>
      <c r="B409" s="19">
        <v>7</v>
      </c>
      <c r="C409" s="18" t="s">
        <v>940</v>
      </c>
      <c r="D409" s="37">
        <v>245227.67</v>
      </c>
      <c r="E409" s="37">
        <v>13240.11</v>
      </c>
      <c r="F409" s="37">
        <v>13240.05</v>
      </c>
    </row>
    <row r="410" spans="1:6" x14ac:dyDescent="0.25">
      <c r="A410" s="19">
        <v>4084</v>
      </c>
      <c r="B410" s="19">
        <v>7</v>
      </c>
      <c r="C410" s="18" t="s">
        <v>941</v>
      </c>
      <c r="D410" s="37">
        <v>1040984.14</v>
      </c>
      <c r="E410" s="37">
        <v>55664.49</v>
      </c>
      <c r="F410" s="37">
        <v>55663.57</v>
      </c>
    </row>
    <row r="411" spans="1:6" x14ac:dyDescent="0.25">
      <c r="A411" s="19">
        <v>4085</v>
      </c>
      <c r="B411" s="19">
        <v>7</v>
      </c>
      <c r="C411" s="18" t="s">
        <v>942</v>
      </c>
      <c r="D411" s="37">
        <v>684236.44</v>
      </c>
      <c r="E411" s="37">
        <v>37633.660000000003</v>
      </c>
      <c r="F411" s="37">
        <v>37633.660000000003</v>
      </c>
    </row>
    <row r="412" spans="1:6" x14ac:dyDescent="0.25">
      <c r="A412" s="19">
        <v>4086</v>
      </c>
      <c r="B412" s="19">
        <v>7</v>
      </c>
      <c r="C412" s="18" t="s">
        <v>943</v>
      </c>
      <c r="D412" s="37">
        <v>1132955.53</v>
      </c>
      <c r="E412" s="37">
        <v>62312.6</v>
      </c>
      <c r="F412" s="37">
        <v>62312.58</v>
      </c>
    </row>
    <row r="413" spans="1:6" x14ac:dyDescent="0.25">
      <c r="A413" s="19">
        <v>4087</v>
      </c>
      <c r="B413" s="19">
        <v>7</v>
      </c>
      <c r="C413" s="18" t="s">
        <v>944</v>
      </c>
      <c r="D413" s="37">
        <v>267170.40999999997</v>
      </c>
      <c r="E413" s="37">
        <v>14694.43</v>
      </c>
      <c r="F413" s="37">
        <v>14694.43</v>
      </c>
    </row>
    <row r="414" spans="1:6" x14ac:dyDescent="0.25">
      <c r="A414" s="19">
        <v>4088</v>
      </c>
      <c r="B414" s="19">
        <v>7</v>
      </c>
      <c r="C414" s="18" t="s">
        <v>945</v>
      </c>
      <c r="D414" s="37">
        <v>876303.75</v>
      </c>
      <c r="E414" s="37">
        <v>48196.52</v>
      </c>
      <c r="F414" s="37">
        <v>48196.17</v>
      </c>
    </row>
    <row r="415" spans="1:6" x14ac:dyDescent="0.25">
      <c r="A415" s="19">
        <v>4089</v>
      </c>
      <c r="B415" s="19">
        <v>7</v>
      </c>
      <c r="C415" s="18" t="s">
        <v>946</v>
      </c>
      <c r="D415" s="37">
        <v>510656.22</v>
      </c>
      <c r="E415" s="37">
        <v>28086.66</v>
      </c>
      <c r="F415" s="37">
        <v>28085.98</v>
      </c>
    </row>
    <row r="416" spans="1:6" x14ac:dyDescent="0.25">
      <c r="A416" s="19">
        <v>4090</v>
      </c>
      <c r="B416" s="19">
        <v>7</v>
      </c>
      <c r="C416" s="18" t="s">
        <v>947</v>
      </c>
      <c r="D416" s="37">
        <v>527210.25</v>
      </c>
      <c r="E416" s="37">
        <v>28996.400000000001</v>
      </c>
      <c r="F416" s="37">
        <v>28996.400000000001</v>
      </c>
    </row>
    <row r="417" spans="1:6" x14ac:dyDescent="0.25">
      <c r="A417" s="19">
        <v>4091</v>
      </c>
      <c r="B417" s="19">
        <v>7</v>
      </c>
      <c r="C417" s="18" t="s">
        <v>948</v>
      </c>
      <c r="D417" s="37">
        <v>576948.92000000004</v>
      </c>
      <c r="E417" s="37">
        <v>31732.35</v>
      </c>
      <c r="F417" s="37">
        <v>31732.35</v>
      </c>
    </row>
    <row r="418" spans="1:6" x14ac:dyDescent="0.25">
      <c r="A418" s="19">
        <v>4092</v>
      </c>
      <c r="B418" s="19">
        <v>7</v>
      </c>
      <c r="C418" s="18" t="s">
        <v>949</v>
      </c>
      <c r="D418" s="37">
        <v>326064.75</v>
      </c>
      <c r="E418" s="37">
        <v>17933.52</v>
      </c>
      <c r="F418" s="37">
        <v>17933.28</v>
      </c>
    </row>
    <row r="419" spans="1:6" x14ac:dyDescent="0.25">
      <c r="A419" s="19">
        <v>4093</v>
      </c>
      <c r="B419" s="19">
        <v>7</v>
      </c>
      <c r="C419" s="18" t="s">
        <v>950</v>
      </c>
      <c r="D419" s="37">
        <v>555056.27</v>
      </c>
      <c r="E419" s="37">
        <v>30529.16</v>
      </c>
      <c r="F419" s="37">
        <v>30528.62</v>
      </c>
    </row>
    <row r="420" spans="1:6" x14ac:dyDescent="0.25">
      <c r="A420" s="19">
        <v>4095</v>
      </c>
      <c r="B420" s="19">
        <v>7</v>
      </c>
      <c r="C420" s="18" t="s">
        <v>951</v>
      </c>
      <c r="D420" s="37">
        <v>493015.03999999998</v>
      </c>
      <c r="E420" s="37">
        <v>27115.73</v>
      </c>
      <c r="F420" s="37">
        <v>27115.69</v>
      </c>
    </row>
    <row r="421" spans="1:6" x14ac:dyDescent="0.25">
      <c r="A421" s="19">
        <v>4097</v>
      </c>
      <c r="B421" s="19">
        <v>7</v>
      </c>
      <c r="C421" s="18" t="s">
        <v>952</v>
      </c>
      <c r="D421" s="37">
        <v>1274645.1299999999</v>
      </c>
      <c r="E421" s="37">
        <v>70106.649999999994</v>
      </c>
      <c r="F421" s="37">
        <v>70105.179999999993</v>
      </c>
    </row>
    <row r="422" spans="1:6" x14ac:dyDescent="0.25">
      <c r="A422" s="19">
        <v>4098</v>
      </c>
      <c r="B422" s="19">
        <v>7</v>
      </c>
      <c r="C422" s="18" t="s">
        <v>953</v>
      </c>
      <c r="D422" s="37">
        <v>1491973.47</v>
      </c>
      <c r="E422" s="37">
        <v>82086.48</v>
      </c>
      <c r="F422" s="37">
        <v>82058.720000000001</v>
      </c>
    </row>
    <row r="423" spans="1:6" x14ac:dyDescent="0.25">
      <c r="A423" s="19">
        <v>4099</v>
      </c>
      <c r="B423" s="19">
        <v>7</v>
      </c>
      <c r="C423" s="18" t="s">
        <v>954</v>
      </c>
      <c r="D423" s="37">
        <v>780654.06</v>
      </c>
      <c r="E423" s="37">
        <v>42936</v>
      </c>
      <c r="F423" s="37">
        <v>42935.76</v>
      </c>
    </row>
    <row r="424" spans="1:6" x14ac:dyDescent="0.25">
      <c r="A424" s="19">
        <v>4100</v>
      </c>
      <c r="B424" s="19">
        <v>7</v>
      </c>
      <c r="C424" s="18" t="s">
        <v>955</v>
      </c>
      <c r="D424" s="37">
        <v>198520.95</v>
      </c>
      <c r="E424" s="37">
        <v>10868.65</v>
      </c>
      <c r="F424" s="37">
        <v>10868.65</v>
      </c>
    </row>
    <row r="425" spans="1:6" x14ac:dyDescent="0.25">
      <c r="A425" s="19">
        <v>4101</v>
      </c>
      <c r="B425" s="19">
        <v>7</v>
      </c>
      <c r="C425" t="s">
        <v>956</v>
      </c>
      <c r="D425" s="37">
        <v>72342.11</v>
      </c>
      <c r="E425" s="37">
        <v>3978.8</v>
      </c>
      <c r="F425" s="37">
        <v>3978.8</v>
      </c>
    </row>
    <row r="426" spans="1:6" x14ac:dyDescent="0.25">
      <c r="A426" s="19">
        <v>4102</v>
      </c>
      <c r="B426" s="19">
        <v>7</v>
      </c>
      <c r="C426" s="18" t="s">
        <v>957</v>
      </c>
      <c r="D426" s="37">
        <v>995122.23</v>
      </c>
      <c r="E426" s="37">
        <v>53907</v>
      </c>
      <c r="F426" s="37">
        <v>53906.41</v>
      </c>
    </row>
    <row r="427" spans="1:6" x14ac:dyDescent="0.25">
      <c r="A427" s="19">
        <v>4103</v>
      </c>
      <c r="B427" s="19">
        <v>7</v>
      </c>
      <c r="C427" s="18" t="s">
        <v>958</v>
      </c>
      <c r="D427" s="37">
        <v>1755255.45</v>
      </c>
      <c r="E427" s="37">
        <v>94739.36</v>
      </c>
      <c r="F427" s="37">
        <v>94738.95</v>
      </c>
    </row>
    <row r="428" spans="1:6" x14ac:dyDescent="0.25">
      <c r="A428" s="19">
        <v>4104</v>
      </c>
      <c r="B428" s="19">
        <v>7</v>
      </c>
      <c r="C428" s="18" t="s">
        <v>959</v>
      </c>
      <c r="D428" s="37">
        <v>455857.09</v>
      </c>
      <c r="E428" s="37">
        <v>25072.03</v>
      </c>
      <c r="F428" s="37">
        <v>25072.02</v>
      </c>
    </row>
    <row r="429" spans="1:6" x14ac:dyDescent="0.25">
      <c r="A429" s="19">
        <v>4105</v>
      </c>
      <c r="B429" s="19">
        <v>7</v>
      </c>
      <c r="C429" s="18" t="s">
        <v>960</v>
      </c>
      <c r="D429" s="37">
        <v>854489.17</v>
      </c>
      <c r="E429" s="37">
        <v>46975.5</v>
      </c>
      <c r="F429" s="37">
        <v>46975.5</v>
      </c>
    </row>
    <row r="430" spans="1:6" x14ac:dyDescent="0.25">
      <c r="A430" s="19">
        <v>4106</v>
      </c>
      <c r="B430" s="19">
        <v>7</v>
      </c>
      <c r="C430" s="18" t="s">
        <v>961</v>
      </c>
      <c r="D430" s="37">
        <v>684994.14</v>
      </c>
      <c r="E430" s="37">
        <v>37016.660000000003</v>
      </c>
      <c r="F430" s="37">
        <v>37016.17</v>
      </c>
    </row>
    <row r="431" spans="1:6" x14ac:dyDescent="0.25">
      <c r="A431" s="19">
        <v>4107</v>
      </c>
      <c r="B431" s="19">
        <v>7</v>
      </c>
      <c r="C431" s="18" t="s">
        <v>962</v>
      </c>
      <c r="D431" s="37">
        <v>355635.6</v>
      </c>
      <c r="E431" s="37">
        <v>19560.099999999999</v>
      </c>
      <c r="F431" s="37">
        <v>19560.04</v>
      </c>
    </row>
    <row r="432" spans="1:6" x14ac:dyDescent="0.25">
      <c r="A432" s="19">
        <v>4108</v>
      </c>
      <c r="B432" s="19">
        <v>7</v>
      </c>
      <c r="C432" s="18" t="s">
        <v>963</v>
      </c>
      <c r="D432" s="37">
        <v>331489.94</v>
      </c>
      <c r="E432" s="37">
        <v>18232.46</v>
      </c>
      <c r="F432" s="37">
        <v>18232.21</v>
      </c>
    </row>
    <row r="433" spans="1:6" x14ac:dyDescent="0.25">
      <c r="A433" s="19">
        <v>4109</v>
      </c>
      <c r="B433" s="19">
        <v>7</v>
      </c>
      <c r="C433" s="18" t="s">
        <v>964</v>
      </c>
      <c r="D433" s="37">
        <v>618087.12</v>
      </c>
      <c r="E433" s="37">
        <v>33995.07</v>
      </c>
      <c r="F433" s="37">
        <v>33995.07</v>
      </c>
    </row>
    <row r="434" spans="1:6" x14ac:dyDescent="0.25">
      <c r="A434" s="19">
        <v>4110</v>
      </c>
      <c r="B434" s="19">
        <v>7</v>
      </c>
      <c r="C434" s="18" t="s">
        <v>965</v>
      </c>
      <c r="D434" s="37">
        <v>898475.3</v>
      </c>
      <c r="E434" s="37">
        <v>47370.17</v>
      </c>
      <c r="F434" s="37">
        <v>47369.91</v>
      </c>
    </row>
    <row r="435" spans="1:6" x14ac:dyDescent="0.25">
      <c r="A435" s="19">
        <v>4111</v>
      </c>
      <c r="B435" s="19">
        <v>7</v>
      </c>
      <c r="C435" s="18" t="s">
        <v>966</v>
      </c>
      <c r="D435" s="37">
        <v>506256.02</v>
      </c>
      <c r="E435" s="37">
        <v>27843.29</v>
      </c>
      <c r="F435" s="37">
        <v>27843.29</v>
      </c>
    </row>
    <row r="436" spans="1:6" x14ac:dyDescent="0.25">
      <c r="A436" s="19">
        <v>4112</v>
      </c>
      <c r="B436" s="19">
        <v>7</v>
      </c>
      <c r="C436" s="18" t="s">
        <v>967</v>
      </c>
      <c r="D436" s="37">
        <v>1665667.08</v>
      </c>
      <c r="E436" s="37">
        <v>84780.86</v>
      </c>
      <c r="F436" s="37">
        <v>84779.31</v>
      </c>
    </row>
    <row r="437" spans="1:6" x14ac:dyDescent="0.25">
      <c r="A437" s="19">
        <v>4113</v>
      </c>
      <c r="B437" s="19">
        <v>7</v>
      </c>
      <c r="C437" s="18" t="s">
        <v>968</v>
      </c>
      <c r="D437" s="37">
        <v>534427.29</v>
      </c>
      <c r="E437" s="37">
        <v>29393.83</v>
      </c>
      <c r="F437" s="37">
        <v>29393.57</v>
      </c>
    </row>
    <row r="438" spans="1:6" x14ac:dyDescent="0.25">
      <c r="A438" s="19">
        <v>4114</v>
      </c>
      <c r="B438" s="19">
        <v>7</v>
      </c>
      <c r="C438" s="18" t="s">
        <v>969</v>
      </c>
      <c r="D438" s="37">
        <v>480844.31</v>
      </c>
      <c r="E438" s="37">
        <v>26446.46</v>
      </c>
      <c r="F438" s="37">
        <v>26446.46</v>
      </c>
    </row>
    <row r="439" spans="1:6" x14ac:dyDescent="0.25">
      <c r="A439" s="19">
        <v>4115</v>
      </c>
      <c r="B439" s="19">
        <v>7</v>
      </c>
      <c r="C439" s="18" t="s">
        <v>970</v>
      </c>
      <c r="D439" s="37">
        <v>477709.91</v>
      </c>
      <c r="E439" s="37">
        <v>26274.22</v>
      </c>
      <c r="F439" s="37">
        <v>26273.94</v>
      </c>
    </row>
    <row r="440" spans="1:6" x14ac:dyDescent="0.25">
      <c r="A440" s="19">
        <v>4116</v>
      </c>
      <c r="B440" s="19">
        <v>7</v>
      </c>
      <c r="C440" s="18" t="s">
        <v>971</v>
      </c>
      <c r="D440" s="37">
        <v>1734427.87</v>
      </c>
      <c r="E440" s="37">
        <v>87619.56</v>
      </c>
      <c r="F440" s="37">
        <v>87619.5</v>
      </c>
    </row>
    <row r="441" spans="1:6" x14ac:dyDescent="0.25">
      <c r="A441" s="19">
        <v>4118</v>
      </c>
      <c r="B441" s="19">
        <v>7</v>
      </c>
      <c r="C441" s="18" t="s">
        <v>972</v>
      </c>
      <c r="D441" s="37">
        <v>1136428.19</v>
      </c>
      <c r="E441" s="37">
        <v>62503.66</v>
      </c>
      <c r="F441" s="37">
        <v>62503.54</v>
      </c>
    </row>
    <row r="442" spans="1:6" x14ac:dyDescent="0.25">
      <c r="A442" s="19">
        <v>4119</v>
      </c>
      <c r="B442" s="19">
        <v>7</v>
      </c>
      <c r="C442" s="18" t="s">
        <v>973</v>
      </c>
      <c r="D442" s="37">
        <v>213571.08</v>
      </c>
      <c r="E442" s="37">
        <v>11746.49</v>
      </c>
      <c r="F442" s="37">
        <v>11746.49</v>
      </c>
    </row>
    <row r="443" spans="1:6" x14ac:dyDescent="0.25">
      <c r="A443" s="19">
        <v>4120</v>
      </c>
      <c r="B443" s="19">
        <v>7</v>
      </c>
      <c r="C443" s="18" t="s">
        <v>974</v>
      </c>
      <c r="D443" s="37">
        <v>2358887.73</v>
      </c>
      <c r="E443" s="37">
        <v>129456.79</v>
      </c>
      <c r="F443" s="37">
        <v>129455.6</v>
      </c>
    </row>
    <row r="444" spans="1:6" x14ac:dyDescent="0.25">
      <c r="A444" s="19">
        <v>4121</v>
      </c>
      <c r="B444" s="19">
        <v>7</v>
      </c>
      <c r="C444" s="18" t="s">
        <v>975</v>
      </c>
      <c r="D444" s="37">
        <v>1052933.8799999999</v>
      </c>
      <c r="E444" s="37">
        <v>57911.42</v>
      </c>
      <c r="F444" s="37">
        <v>57911.42</v>
      </c>
    </row>
    <row r="445" spans="1:6" x14ac:dyDescent="0.25">
      <c r="A445" s="19">
        <v>4122</v>
      </c>
      <c r="B445" s="19">
        <v>7</v>
      </c>
      <c r="C445" s="18" t="s">
        <v>976</v>
      </c>
      <c r="D445" s="37">
        <v>1043289.33</v>
      </c>
      <c r="E445" s="37">
        <v>57381.69</v>
      </c>
      <c r="F445" s="37">
        <v>57380.5</v>
      </c>
    </row>
    <row r="446" spans="1:6" x14ac:dyDescent="0.25">
      <c r="A446" s="19">
        <v>4123</v>
      </c>
      <c r="B446" s="19">
        <v>7</v>
      </c>
      <c r="C446" s="18" t="s">
        <v>977</v>
      </c>
      <c r="D446" s="37">
        <v>161500.54</v>
      </c>
      <c r="E446" s="37">
        <v>8882.33</v>
      </c>
      <c r="F446" s="37">
        <v>8882.33</v>
      </c>
    </row>
    <row r="447" spans="1:6" x14ac:dyDescent="0.25">
      <c r="A447" s="19">
        <v>4124</v>
      </c>
      <c r="B447" s="19">
        <v>7</v>
      </c>
      <c r="C447" s="18" t="s">
        <v>978</v>
      </c>
      <c r="D447" s="37">
        <v>1326384.46</v>
      </c>
      <c r="E447" s="37">
        <v>69667.67</v>
      </c>
      <c r="F447" s="37">
        <v>69667.67</v>
      </c>
    </row>
    <row r="448" spans="1:6" x14ac:dyDescent="0.25">
      <c r="A448" s="19">
        <v>4125</v>
      </c>
      <c r="B448" s="19">
        <v>7</v>
      </c>
      <c r="C448" s="18" t="s">
        <v>979</v>
      </c>
      <c r="D448" s="37">
        <v>322155.34000000003</v>
      </c>
      <c r="E448" s="37">
        <v>17718.48</v>
      </c>
      <c r="F448" s="37">
        <v>17718.48</v>
      </c>
    </row>
    <row r="449" spans="1:6" x14ac:dyDescent="0.25">
      <c r="A449" s="19">
        <v>4126</v>
      </c>
      <c r="B449" s="19">
        <v>7</v>
      </c>
      <c r="C449" s="18" t="s">
        <v>980</v>
      </c>
      <c r="D449" s="37">
        <v>1745625.69</v>
      </c>
      <c r="E449" s="37">
        <v>96009.89</v>
      </c>
      <c r="F449" s="37">
        <v>96009.74</v>
      </c>
    </row>
    <row r="450" spans="1:6" x14ac:dyDescent="0.25">
      <c r="A450" s="19">
        <v>4127</v>
      </c>
      <c r="B450" s="19">
        <v>7</v>
      </c>
      <c r="C450" s="18" t="s">
        <v>981</v>
      </c>
      <c r="D450" s="37">
        <v>479381.82</v>
      </c>
      <c r="E450" s="37">
        <v>26365.8</v>
      </c>
      <c r="F450" s="37">
        <v>26365.919999999998</v>
      </c>
    </row>
    <row r="451" spans="1:6" x14ac:dyDescent="0.25">
      <c r="A451" s="19">
        <v>4131</v>
      </c>
      <c r="B451" s="19">
        <v>7</v>
      </c>
      <c r="C451" s="18" t="s">
        <v>982</v>
      </c>
      <c r="D451" s="37">
        <v>757866.11</v>
      </c>
      <c r="E451" s="37">
        <v>41682.720000000001</v>
      </c>
      <c r="F451" s="37">
        <v>41682.67</v>
      </c>
    </row>
    <row r="452" spans="1:6" x14ac:dyDescent="0.25">
      <c r="A452" s="19">
        <v>4132</v>
      </c>
      <c r="B452" s="19">
        <v>7</v>
      </c>
      <c r="C452" s="18" t="s">
        <v>983</v>
      </c>
      <c r="D452" s="37">
        <v>467265.38</v>
      </c>
      <c r="E452" s="37">
        <v>25699.55</v>
      </c>
      <c r="F452" s="37">
        <v>25699.55</v>
      </c>
    </row>
    <row r="453" spans="1:6" x14ac:dyDescent="0.25">
      <c r="A453" s="19">
        <v>4133</v>
      </c>
      <c r="B453" s="19">
        <v>7</v>
      </c>
      <c r="C453" s="18" t="s">
        <v>984</v>
      </c>
      <c r="D453" s="37">
        <v>131122.82</v>
      </c>
      <c r="E453" s="37">
        <v>7211.73</v>
      </c>
      <c r="F453" s="37">
        <v>7211.73</v>
      </c>
    </row>
    <row r="454" spans="1:6" x14ac:dyDescent="0.25">
      <c r="A454" s="19">
        <v>4135</v>
      </c>
      <c r="B454" s="19">
        <v>7</v>
      </c>
      <c r="C454" s="18" t="s">
        <v>985</v>
      </c>
      <c r="D454" s="37">
        <v>492677.95</v>
      </c>
      <c r="E454" s="37">
        <v>27097.27</v>
      </c>
      <c r="F454" s="37">
        <v>27097.27</v>
      </c>
    </row>
    <row r="455" spans="1:6" x14ac:dyDescent="0.25">
      <c r="A455" s="19">
        <v>4136</v>
      </c>
      <c r="B455" s="19">
        <v>7</v>
      </c>
      <c r="C455" t="s">
        <v>986</v>
      </c>
      <c r="D455" s="37">
        <v>0</v>
      </c>
      <c r="E455" s="37">
        <v>0</v>
      </c>
      <c r="F455" s="37">
        <v>0</v>
      </c>
    </row>
    <row r="456" spans="1:6" x14ac:dyDescent="0.25">
      <c r="A456" s="19">
        <v>4137</v>
      </c>
      <c r="B456" s="19">
        <v>7</v>
      </c>
      <c r="C456" s="18" t="s">
        <v>987</v>
      </c>
      <c r="D456" s="37">
        <v>448989.03</v>
      </c>
      <c r="E456" s="37">
        <v>24695.16</v>
      </c>
      <c r="F456" s="37">
        <v>24695.16</v>
      </c>
    </row>
    <row r="457" spans="1:6" x14ac:dyDescent="0.25">
      <c r="A457" s="19">
        <v>4138</v>
      </c>
      <c r="B457" s="19">
        <v>7</v>
      </c>
      <c r="C457" s="18" t="s">
        <v>988</v>
      </c>
      <c r="D457" s="37">
        <v>166557.99</v>
      </c>
      <c r="E457" s="37">
        <v>8900.3799999999992</v>
      </c>
      <c r="F457" s="37">
        <v>8900.0400000000009</v>
      </c>
    </row>
    <row r="458" spans="1:6" x14ac:dyDescent="0.25">
      <c r="A458" s="19">
        <v>4139</v>
      </c>
      <c r="B458" s="19">
        <v>7</v>
      </c>
      <c r="C458" s="18" t="s">
        <v>989</v>
      </c>
      <c r="D458" s="37">
        <v>687746.94</v>
      </c>
      <c r="E458" s="37">
        <v>37826.160000000003</v>
      </c>
      <c r="F458" s="37">
        <v>37826.160000000003</v>
      </c>
    </row>
    <row r="459" spans="1:6" x14ac:dyDescent="0.25">
      <c r="A459" s="19">
        <v>4140</v>
      </c>
      <c r="B459" s="19">
        <v>7</v>
      </c>
      <c r="C459" s="18" t="s">
        <v>990</v>
      </c>
      <c r="D459" s="37">
        <v>888760.17</v>
      </c>
      <c r="E459" s="37">
        <v>48882.17</v>
      </c>
      <c r="F459" s="37">
        <v>48881.69</v>
      </c>
    </row>
    <row r="460" spans="1:6" x14ac:dyDescent="0.25">
      <c r="A460" s="19">
        <v>4141</v>
      </c>
      <c r="B460" s="19">
        <v>7</v>
      </c>
      <c r="C460" s="18" t="s">
        <v>991</v>
      </c>
      <c r="D460" s="37">
        <v>1419429.97</v>
      </c>
      <c r="E460" s="37">
        <v>78069.73</v>
      </c>
      <c r="F460" s="37">
        <v>78068.399999999994</v>
      </c>
    </row>
    <row r="461" spans="1:6" x14ac:dyDescent="0.25">
      <c r="A461" s="19">
        <v>4142</v>
      </c>
      <c r="B461" s="19">
        <v>7</v>
      </c>
      <c r="C461" s="18" t="s">
        <v>992</v>
      </c>
      <c r="D461" s="37">
        <v>967038.13</v>
      </c>
      <c r="E461" s="37">
        <v>51719.64</v>
      </c>
      <c r="F461" s="37">
        <v>51719.69</v>
      </c>
    </row>
    <row r="462" spans="1:6" x14ac:dyDescent="0.25">
      <c r="A462" s="19">
        <v>4143</v>
      </c>
      <c r="B462" s="19">
        <v>7</v>
      </c>
      <c r="C462" s="18" t="s">
        <v>993</v>
      </c>
      <c r="D462" s="37">
        <v>1075962.83</v>
      </c>
      <c r="E462" s="37">
        <v>59178.18</v>
      </c>
      <c r="F462" s="37">
        <v>59177.69</v>
      </c>
    </row>
    <row r="463" spans="1:6" x14ac:dyDescent="0.25">
      <c r="A463" s="19">
        <v>4144</v>
      </c>
      <c r="B463" s="19">
        <v>7</v>
      </c>
      <c r="C463" s="18" t="s">
        <v>994</v>
      </c>
      <c r="D463" s="37">
        <v>340563.17</v>
      </c>
      <c r="E463" s="37">
        <v>18730.87</v>
      </c>
      <c r="F463" s="37">
        <v>18730.87</v>
      </c>
    </row>
    <row r="464" spans="1:6" x14ac:dyDescent="0.25">
      <c r="A464" s="19">
        <v>4145</v>
      </c>
      <c r="B464" s="19">
        <v>7</v>
      </c>
      <c r="C464" s="18" t="s">
        <v>995</v>
      </c>
      <c r="D464" s="37">
        <v>126851.45</v>
      </c>
      <c r="E464" s="37">
        <v>5962.24</v>
      </c>
      <c r="F464" s="37">
        <v>5962.19</v>
      </c>
    </row>
    <row r="465" spans="1:6" x14ac:dyDescent="0.25">
      <c r="A465" s="19">
        <v>4146</v>
      </c>
      <c r="B465" s="19">
        <v>7</v>
      </c>
      <c r="C465" s="18" t="s">
        <v>996</v>
      </c>
      <c r="D465" s="37">
        <v>535133.23</v>
      </c>
      <c r="E465" s="37">
        <v>29432.41</v>
      </c>
      <c r="F465" s="37">
        <v>29432.41</v>
      </c>
    </row>
    <row r="466" spans="1:6" x14ac:dyDescent="0.25">
      <c r="A466" s="19">
        <v>4148</v>
      </c>
      <c r="B466" s="19">
        <v>7</v>
      </c>
      <c r="C466" s="18" t="s">
        <v>997</v>
      </c>
      <c r="D466" s="37">
        <v>6695.83</v>
      </c>
      <c r="E466" s="37">
        <v>368.27</v>
      </c>
      <c r="F466" s="37">
        <v>368.27</v>
      </c>
    </row>
    <row r="467" spans="1:6" x14ac:dyDescent="0.25">
      <c r="A467" s="19">
        <v>4149</v>
      </c>
      <c r="B467" s="19">
        <v>7</v>
      </c>
      <c r="C467" s="18" t="s">
        <v>998</v>
      </c>
      <c r="D467" s="37">
        <v>452247.57</v>
      </c>
      <c r="E467" s="37">
        <v>24873.66</v>
      </c>
      <c r="F467" s="37">
        <v>24873.24</v>
      </c>
    </row>
    <row r="468" spans="1:6" x14ac:dyDescent="0.25">
      <c r="A468" s="19">
        <v>4150</v>
      </c>
      <c r="B468" s="19">
        <v>7</v>
      </c>
      <c r="C468" s="18" t="s">
        <v>999</v>
      </c>
      <c r="D468" s="37">
        <v>478621.34</v>
      </c>
      <c r="E468" s="37">
        <v>25287.59</v>
      </c>
      <c r="F468" s="37">
        <v>25287.58</v>
      </c>
    </row>
    <row r="469" spans="1:6" x14ac:dyDescent="0.25">
      <c r="A469" s="19">
        <v>4151</v>
      </c>
      <c r="B469" s="19">
        <v>7</v>
      </c>
      <c r="C469" s="18" t="s">
        <v>1000</v>
      </c>
      <c r="D469" s="37">
        <v>427815.17</v>
      </c>
      <c r="E469" s="37">
        <v>23529.79</v>
      </c>
      <c r="F469" s="37">
        <v>23529.79</v>
      </c>
    </row>
    <row r="470" spans="1:6" x14ac:dyDescent="0.25">
      <c r="A470" s="19">
        <v>4152</v>
      </c>
      <c r="B470" s="19">
        <v>7</v>
      </c>
      <c r="C470" s="18" t="s">
        <v>1001</v>
      </c>
      <c r="D470" s="37">
        <v>663590.52</v>
      </c>
      <c r="E470" s="37">
        <v>36497.440000000002</v>
      </c>
      <c r="F470" s="37">
        <v>36497.35</v>
      </c>
    </row>
    <row r="471" spans="1:6" x14ac:dyDescent="0.25">
      <c r="A471" s="19">
        <v>4153</v>
      </c>
      <c r="B471" s="19">
        <v>7</v>
      </c>
      <c r="C471" s="18" t="s">
        <v>1002</v>
      </c>
      <c r="D471" s="37">
        <v>844869.63</v>
      </c>
      <c r="E471" s="37">
        <v>46467.97</v>
      </c>
      <c r="F471" s="37">
        <v>46467.92</v>
      </c>
    </row>
    <row r="472" spans="1:6" x14ac:dyDescent="0.25">
      <c r="A472" s="19">
        <v>4154</v>
      </c>
      <c r="B472" s="19">
        <v>7</v>
      </c>
      <c r="C472" s="18" t="s">
        <v>1003</v>
      </c>
      <c r="D472" s="37">
        <v>41188.68</v>
      </c>
      <c r="E472" s="37">
        <v>2265.4</v>
      </c>
      <c r="F472" s="37">
        <v>2265.4</v>
      </c>
    </row>
    <row r="473" spans="1:6" x14ac:dyDescent="0.25">
      <c r="A473" s="19">
        <v>4155</v>
      </c>
      <c r="B473" s="19">
        <v>7</v>
      </c>
      <c r="C473" s="18" t="s">
        <v>1004</v>
      </c>
      <c r="D473" s="37">
        <v>554763.03</v>
      </c>
      <c r="E473" s="37">
        <v>30511.81</v>
      </c>
      <c r="F473" s="37">
        <v>30511.81</v>
      </c>
    </row>
    <row r="474" spans="1:6" x14ac:dyDescent="0.25">
      <c r="A474" s="19">
        <v>4157</v>
      </c>
      <c r="B474" s="19">
        <v>7</v>
      </c>
      <c r="C474" t="s">
        <v>1005</v>
      </c>
      <c r="D474" s="37">
        <v>0</v>
      </c>
      <c r="E474" s="37">
        <v>0</v>
      </c>
      <c r="F474" s="37">
        <v>0</v>
      </c>
    </row>
    <row r="475" spans="1:6" x14ac:dyDescent="0.25">
      <c r="A475" s="19">
        <v>4158</v>
      </c>
      <c r="B475" s="19">
        <v>7</v>
      </c>
      <c r="C475" t="s">
        <v>1006</v>
      </c>
      <c r="D475" s="37">
        <v>0</v>
      </c>
      <c r="E475" s="37">
        <v>0</v>
      </c>
      <c r="F475" s="37">
        <v>0</v>
      </c>
    </row>
    <row r="476" spans="1:6" x14ac:dyDescent="0.25">
      <c r="A476" s="19">
        <v>4159</v>
      </c>
      <c r="B476" s="19">
        <v>7</v>
      </c>
      <c r="C476" s="18" t="s">
        <v>1007</v>
      </c>
      <c r="D476" s="37">
        <v>1101386.3799999999</v>
      </c>
      <c r="E476" s="37">
        <v>60576.58</v>
      </c>
      <c r="F476" s="37">
        <v>60575.93</v>
      </c>
    </row>
    <row r="477" spans="1:6" x14ac:dyDescent="0.25">
      <c r="A477" s="19">
        <v>4160</v>
      </c>
      <c r="B477" s="19">
        <v>7</v>
      </c>
      <c r="C477" s="18" t="s">
        <v>1008</v>
      </c>
      <c r="D477" s="37">
        <v>636069.75</v>
      </c>
      <c r="E477" s="37">
        <v>34983.93</v>
      </c>
      <c r="F477" s="37">
        <v>34983.4</v>
      </c>
    </row>
    <row r="478" spans="1:6" x14ac:dyDescent="0.25">
      <c r="A478" s="19">
        <v>4161</v>
      </c>
      <c r="B478" s="19">
        <v>7</v>
      </c>
      <c r="C478" s="18" t="s">
        <v>1009</v>
      </c>
      <c r="D478" s="37">
        <v>440741.87</v>
      </c>
      <c r="E478" s="37">
        <v>24240.76</v>
      </c>
      <c r="F478" s="37">
        <v>24240.67</v>
      </c>
    </row>
    <row r="479" spans="1:6" x14ac:dyDescent="0.25">
      <c r="A479" s="19">
        <v>4162</v>
      </c>
      <c r="B479" s="19">
        <v>7</v>
      </c>
      <c r="C479" s="18" t="s">
        <v>1010</v>
      </c>
      <c r="D479" s="37">
        <v>337436.85</v>
      </c>
      <c r="E479" s="37">
        <v>18559.16</v>
      </c>
      <c r="F479" s="37">
        <v>18559.16</v>
      </c>
    </row>
    <row r="480" spans="1:6" x14ac:dyDescent="0.25">
      <c r="A480" s="19">
        <v>4163</v>
      </c>
      <c r="B480" s="19">
        <v>7</v>
      </c>
      <c r="C480" s="18" t="s">
        <v>1011</v>
      </c>
      <c r="D480" s="37">
        <v>671046.39</v>
      </c>
      <c r="E480" s="37">
        <v>36907.629999999997</v>
      </c>
      <c r="F480" s="37">
        <v>36907.629999999997</v>
      </c>
    </row>
    <row r="481" spans="1:6" x14ac:dyDescent="0.25">
      <c r="A481" s="19">
        <v>4164</v>
      </c>
      <c r="B481" s="19">
        <v>7</v>
      </c>
      <c r="C481" s="18" t="s">
        <v>1012</v>
      </c>
      <c r="D481" s="37">
        <v>507881.37</v>
      </c>
      <c r="E481" s="37">
        <v>24771.51</v>
      </c>
      <c r="F481" s="37">
        <v>24771.51</v>
      </c>
    </row>
    <row r="482" spans="1:6" x14ac:dyDescent="0.25">
      <c r="A482" s="44">
        <v>4165</v>
      </c>
      <c r="B482" s="44">
        <v>7</v>
      </c>
      <c r="C482" t="s">
        <v>1013</v>
      </c>
      <c r="D482" s="37">
        <v>0</v>
      </c>
      <c r="E482" s="37">
        <v>0</v>
      </c>
      <c r="F482" s="37">
        <v>0</v>
      </c>
    </row>
    <row r="483" spans="1:6" x14ac:dyDescent="0.25">
      <c r="A483" s="44">
        <v>4166</v>
      </c>
      <c r="B483" s="44">
        <v>7</v>
      </c>
      <c r="C483" s="18" t="s">
        <v>1014</v>
      </c>
      <c r="D483" s="37">
        <v>541595.93999999994</v>
      </c>
      <c r="E483" s="37">
        <v>29752.98</v>
      </c>
      <c r="F483" s="37">
        <v>29752.92</v>
      </c>
    </row>
    <row r="484" spans="1:6" x14ac:dyDescent="0.25">
      <c r="A484" s="44">
        <v>4167</v>
      </c>
      <c r="B484" s="44">
        <v>7</v>
      </c>
      <c r="C484" s="18" t="s">
        <v>1015</v>
      </c>
      <c r="D484" s="37">
        <v>370916.43</v>
      </c>
      <c r="E484" s="37">
        <v>19431.55</v>
      </c>
      <c r="F484" s="37">
        <v>19431.55</v>
      </c>
    </row>
    <row r="485" spans="1:6" x14ac:dyDescent="0.25">
      <c r="A485" s="44">
        <v>4168</v>
      </c>
      <c r="B485" s="44">
        <v>7</v>
      </c>
      <c r="C485" s="18" t="s">
        <v>1016</v>
      </c>
      <c r="D485" s="37">
        <v>371733.78</v>
      </c>
      <c r="E485" s="37">
        <v>14852.09</v>
      </c>
      <c r="F485" s="37">
        <v>14852.01</v>
      </c>
    </row>
    <row r="486" spans="1:6" x14ac:dyDescent="0.25">
      <c r="A486" s="44">
        <v>4169</v>
      </c>
      <c r="B486" s="44">
        <v>7</v>
      </c>
      <c r="C486" s="18" t="s">
        <v>1017</v>
      </c>
      <c r="D486" s="37">
        <v>412022.06</v>
      </c>
      <c r="E486" s="37">
        <v>22661.08</v>
      </c>
      <c r="F486" s="37">
        <v>22661.08</v>
      </c>
    </row>
    <row r="487" spans="1:6" x14ac:dyDescent="0.25">
      <c r="A487" s="44">
        <v>4170</v>
      </c>
      <c r="B487" s="44">
        <v>7</v>
      </c>
      <c r="C487" s="18" t="s">
        <v>1018</v>
      </c>
      <c r="D487" s="37">
        <v>941874.25</v>
      </c>
      <c r="E487" s="37">
        <v>51803.34</v>
      </c>
      <c r="F487" s="37">
        <v>51802.87</v>
      </c>
    </row>
    <row r="488" spans="1:6" x14ac:dyDescent="0.25">
      <c r="A488" s="44">
        <v>4171</v>
      </c>
      <c r="B488" s="44">
        <v>7</v>
      </c>
      <c r="C488" s="18" t="s">
        <v>1019</v>
      </c>
      <c r="D488" s="37">
        <v>1275687.43</v>
      </c>
      <c r="E488" s="37">
        <v>70162.62</v>
      </c>
      <c r="F488" s="37">
        <v>70162.2</v>
      </c>
    </row>
    <row r="489" spans="1:6" x14ac:dyDescent="0.25">
      <c r="A489" s="44">
        <v>4172</v>
      </c>
      <c r="B489" s="44">
        <v>7</v>
      </c>
      <c r="C489" s="18" t="s">
        <v>1020</v>
      </c>
      <c r="D489" s="37">
        <v>251123.05</v>
      </c>
      <c r="E489" s="37">
        <v>13797.76</v>
      </c>
      <c r="F489" s="37">
        <v>13797.63</v>
      </c>
    </row>
    <row r="490" spans="1:6" x14ac:dyDescent="0.25">
      <c r="A490" s="44">
        <v>4173</v>
      </c>
      <c r="B490" s="44">
        <v>7</v>
      </c>
      <c r="C490" s="18" t="s">
        <v>1021</v>
      </c>
      <c r="D490" s="37">
        <v>712141.73</v>
      </c>
      <c r="E490" s="37">
        <v>39005.08</v>
      </c>
      <c r="F490" s="37">
        <v>39005.08</v>
      </c>
    </row>
    <row r="491" spans="1:6" x14ac:dyDescent="0.25">
      <c r="A491" s="44">
        <v>4174</v>
      </c>
      <c r="B491" s="44">
        <v>7</v>
      </c>
      <c r="C491" s="18" t="s">
        <v>1022</v>
      </c>
      <c r="D491" s="37">
        <v>133167.73000000001</v>
      </c>
      <c r="E491" s="37">
        <v>7324.14</v>
      </c>
      <c r="F491" s="37">
        <v>7324.14</v>
      </c>
    </row>
    <row r="492" spans="1:6" x14ac:dyDescent="0.25">
      <c r="A492" s="44">
        <v>4175</v>
      </c>
      <c r="B492" s="44">
        <v>7</v>
      </c>
      <c r="C492" s="18" t="s">
        <v>1023</v>
      </c>
      <c r="D492" s="37">
        <v>299459.19</v>
      </c>
      <c r="E492" s="37">
        <v>16470.189999999999</v>
      </c>
      <c r="F492" s="37">
        <v>16470.099999999999</v>
      </c>
    </row>
    <row r="493" spans="1:6" x14ac:dyDescent="0.25">
      <c r="A493" s="19">
        <v>4176</v>
      </c>
      <c r="B493" s="19">
        <v>7</v>
      </c>
      <c r="C493" s="18" t="s">
        <v>1024</v>
      </c>
      <c r="D493" s="37">
        <v>16537.98</v>
      </c>
      <c r="E493" s="37">
        <v>909.63</v>
      </c>
      <c r="F493" s="37">
        <v>909.59</v>
      </c>
    </row>
    <row r="494" spans="1:6" x14ac:dyDescent="0.25">
      <c r="A494" s="44">
        <v>4177</v>
      </c>
      <c r="B494" s="44">
        <v>7</v>
      </c>
      <c r="C494" s="18" t="s">
        <v>1025</v>
      </c>
      <c r="D494" s="37">
        <v>246732.03</v>
      </c>
      <c r="E494" s="37">
        <v>13570.31</v>
      </c>
      <c r="F494" s="37">
        <v>13570.31</v>
      </c>
    </row>
    <row r="495" spans="1:6" x14ac:dyDescent="0.25">
      <c r="A495" s="44">
        <v>4178</v>
      </c>
      <c r="B495" s="44">
        <v>7</v>
      </c>
      <c r="C495" s="18" t="s">
        <v>1026</v>
      </c>
      <c r="D495" s="37">
        <v>526089.21</v>
      </c>
      <c r="E495" s="37">
        <v>28934.86</v>
      </c>
      <c r="F495" s="37">
        <v>28934.86</v>
      </c>
    </row>
    <row r="496" spans="1:6" x14ac:dyDescent="0.25">
      <c r="A496" s="44">
        <v>4180</v>
      </c>
      <c r="B496" s="44">
        <v>7</v>
      </c>
      <c r="C496" s="18" t="s">
        <v>1027</v>
      </c>
      <c r="D496" s="37">
        <v>553044.24</v>
      </c>
      <c r="E496" s="37">
        <v>30417.599999999999</v>
      </c>
      <c r="F496" s="37">
        <v>30417.59</v>
      </c>
    </row>
    <row r="497" spans="1:6" x14ac:dyDescent="0.25">
      <c r="A497" s="44">
        <v>4181</v>
      </c>
      <c r="B497" s="44">
        <v>7</v>
      </c>
      <c r="C497" s="18" t="s">
        <v>1028</v>
      </c>
      <c r="D497" s="37">
        <v>1473477.33</v>
      </c>
      <c r="E497" s="37">
        <v>81041.600000000006</v>
      </c>
      <c r="F497" s="37">
        <v>81041.39</v>
      </c>
    </row>
    <row r="498" spans="1:6" x14ac:dyDescent="0.25">
      <c r="A498" s="19">
        <v>4182</v>
      </c>
      <c r="B498" s="19">
        <v>7</v>
      </c>
      <c r="C498" s="18" t="s">
        <v>1029</v>
      </c>
      <c r="D498" s="37">
        <v>475782.84</v>
      </c>
      <c r="E498" s="37">
        <v>26168.12</v>
      </c>
      <c r="F498" s="37">
        <v>26167.99</v>
      </c>
    </row>
    <row r="499" spans="1:6" x14ac:dyDescent="0.25">
      <c r="A499" s="19">
        <v>4183</v>
      </c>
      <c r="B499" s="19">
        <v>7</v>
      </c>
      <c r="C499" s="18" t="s">
        <v>1030</v>
      </c>
      <c r="D499" s="37">
        <v>939497.05</v>
      </c>
      <c r="E499" s="37">
        <v>49445.4</v>
      </c>
      <c r="F499" s="37">
        <v>49445.14</v>
      </c>
    </row>
    <row r="500" spans="1:6" x14ac:dyDescent="0.25">
      <c r="A500" s="19">
        <v>4184</v>
      </c>
      <c r="B500" s="19">
        <v>7</v>
      </c>
      <c r="C500" s="18" t="s">
        <v>1031</v>
      </c>
      <c r="D500" s="37">
        <v>498063.78</v>
      </c>
      <c r="E500" s="37">
        <v>27393.17</v>
      </c>
      <c r="F500" s="37">
        <v>27392.9</v>
      </c>
    </row>
    <row r="501" spans="1:6" x14ac:dyDescent="0.25">
      <c r="A501" s="19">
        <v>4185</v>
      </c>
      <c r="B501" s="19">
        <v>7</v>
      </c>
      <c r="C501" s="18" t="s">
        <v>1032</v>
      </c>
      <c r="D501" s="37">
        <v>629925.81999999995</v>
      </c>
      <c r="E501" s="37">
        <v>34645.75</v>
      </c>
      <c r="F501" s="37">
        <v>34645.51</v>
      </c>
    </row>
    <row r="502" spans="1:6" x14ac:dyDescent="0.25">
      <c r="A502" s="19">
        <v>4186</v>
      </c>
      <c r="B502" s="19">
        <v>7</v>
      </c>
      <c r="C502" s="18" t="s">
        <v>1033</v>
      </c>
      <c r="D502" s="37">
        <v>1021374.42</v>
      </c>
      <c r="E502" s="37">
        <v>56176.13</v>
      </c>
      <c r="F502" s="37">
        <v>56176.13</v>
      </c>
    </row>
    <row r="503" spans="1:6" x14ac:dyDescent="0.25">
      <c r="A503" s="19">
        <v>4187</v>
      </c>
      <c r="B503" s="19">
        <v>7</v>
      </c>
      <c r="C503" s="18" t="s">
        <v>1034</v>
      </c>
      <c r="D503" s="37">
        <v>163767.01</v>
      </c>
      <c r="E503" s="37">
        <v>9007.11</v>
      </c>
      <c r="F503" s="37">
        <v>9007.11</v>
      </c>
    </row>
    <row r="504" spans="1:6" x14ac:dyDescent="0.25">
      <c r="A504" s="19">
        <v>4188</v>
      </c>
      <c r="B504" s="19">
        <v>7</v>
      </c>
      <c r="C504" s="18" t="s">
        <v>1035</v>
      </c>
      <c r="D504" s="37">
        <v>514818.48</v>
      </c>
      <c r="E504" s="37">
        <v>28315.3</v>
      </c>
      <c r="F504" s="37">
        <v>28315.14</v>
      </c>
    </row>
    <row r="505" spans="1:6" x14ac:dyDescent="0.25">
      <c r="A505" s="19">
        <v>4189</v>
      </c>
      <c r="B505" s="19">
        <v>7</v>
      </c>
      <c r="C505" s="18" t="s">
        <v>1036</v>
      </c>
      <c r="D505" s="37">
        <v>236969.07</v>
      </c>
      <c r="E505" s="37">
        <v>13033.9</v>
      </c>
      <c r="F505" s="37">
        <v>13033.9</v>
      </c>
    </row>
    <row r="506" spans="1:6" x14ac:dyDescent="0.25">
      <c r="A506">
        <v>4190</v>
      </c>
      <c r="B506">
        <v>7</v>
      </c>
      <c r="C506" s="18" t="s">
        <v>1037</v>
      </c>
      <c r="D506" s="37">
        <v>182688.1</v>
      </c>
      <c r="E506" s="37">
        <v>10036.959999999999</v>
      </c>
      <c r="F506" s="37">
        <v>10036.959999999999</v>
      </c>
    </row>
    <row r="507" spans="1:6" x14ac:dyDescent="0.25">
      <c r="A507" s="19">
        <v>4191</v>
      </c>
      <c r="B507" s="19">
        <v>7</v>
      </c>
      <c r="C507" s="18" t="s">
        <v>1038</v>
      </c>
      <c r="D507" s="37">
        <v>441496.21</v>
      </c>
      <c r="E507" s="37">
        <v>24282.33</v>
      </c>
      <c r="F507" s="37">
        <v>24282.240000000002</v>
      </c>
    </row>
    <row r="508" spans="1:6" x14ac:dyDescent="0.25">
      <c r="A508" s="19">
        <v>4192</v>
      </c>
      <c r="B508" s="19">
        <v>7</v>
      </c>
      <c r="C508" s="18" t="s">
        <v>1039</v>
      </c>
      <c r="D508" s="37">
        <v>1437972.34</v>
      </c>
      <c r="E508" s="37">
        <v>79093.17</v>
      </c>
      <c r="F508" s="37">
        <v>79093.17</v>
      </c>
    </row>
    <row r="509" spans="1:6" x14ac:dyDescent="0.25">
      <c r="A509">
        <v>4193</v>
      </c>
      <c r="B509">
        <v>7</v>
      </c>
      <c r="C509" s="18" t="s">
        <v>1040</v>
      </c>
      <c r="D509" s="37">
        <v>375604.17</v>
      </c>
      <c r="E509" s="37">
        <v>20658.02</v>
      </c>
      <c r="F509" s="37">
        <v>20657.689999999999</v>
      </c>
    </row>
    <row r="510" spans="1:6" x14ac:dyDescent="0.25">
      <c r="A510">
        <v>4194</v>
      </c>
      <c r="B510">
        <v>7</v>
      </c>
      <c r="C510" s="18" t="s">
        <v>1041</v>
      </c>
      <c r="D510" s="37">
        <v>316227.78999999998</v>
      </c>
      <c r="E510" s="37">
        <v>17296.82</v>
      </c>
      <c r="F510" s="37">
        <v>17296.78</v>
      </c>
    </row>
    <row r="511" spans="1:6" x14ac:dyDescent="0.25">
      <c r="A511">
        <v>4195</v>
      </c>
      <c r="B511">
        <v>7</v>
      </c>
      <c r="C511" s="18" t="s">
        <v>1042</v>
      </c>
      <c r="D511" s="37">
        <v>161797.48000000001</v>
      </c>
      <c r="E511" s="37">
        <v>8898.77</v>
      </c>
      <c r="F511" s="37">
        <v>8898.77</v>
      </c>
    </row>
    <row r="512" spans="1:6" x14ac:dyDescent="0.25">
      <c r="A512">
        <v>4196</v>
      </c>
      <c r="B512">
        <v>7</v>
      </c>
      <c r="C512" s="18" t="s">
        <v>1043</v>
      </c>
      <c r="D512" s="37">
        <v>173241.75</v>
      </c>
      <c r="E512" s="37">
        <v>9528.39</v>
      </c>
      <c r="F512" s="37">
        <v>9528.39</v>
      </c>
    </row>
    <row r="513" spans="1:6" x14ac:dyDescent="0.25">
      <c r="C513" s="18"/>
      <c r="D513" s="37"/>
      <c r="E513" s="42"/>
      <c r="F513" s="42"/>
    </row>
    <row r="514" spans="1:6" x14ac:dyDescent="0.25">
      <c r="A514" s="42">
        <v>246</v>
      </c>
      <c r="B514" s="42">
        <v>0</v>
      </c>
      <c r="C514" s="42" t="s">
        <v>1044</v>
      </c>
      <c r="D514" s="37">
        <v>24082.58</v>
      </c>
      <c r="E514" s="37">
        <v>0</v>
      </c>
      <c r="F514" s="37">
        <v>0</v>
      </c>
    </row>
    <row r="515" spans="1:6" x14ac:dyDescent="0.25">
      <c r="A515" s="42">
        <v>287</v>
      </c>
      <c r="B515" s="42">
        <v>0</v>
      </c>
      <c r="C515" s="42" t="s">
        <v>1045</v>
      </c>
      <c r="D515" s="37">
        <v>24216889.809999999</v>
      </c>
      <c r="E515" s="37">
        <v>1302803.06</v>
      </c>
      <c r="F515" s="37">
        <v>1302799.2</v>
      </c>
    </row>
    <row r="516" spans="1:6" x14ac:dyDescent="0.25">
      <c r="A516" s="42">
        <v>382</v>
      </c>
      <c r="B516" s="42">
        <v>0</v>
      </c>
      <c r="C516" s="42" t="s">
        <v>1046</v>
      </c>
      <c r="D516" s="37">
        <v>794723.19</v>
      </c>
      <c r="E516" s="37">
        <v>42110.38</v>
      </c>
      <c r="F516" s="37">
        <v>42110.37</v>
      </c>
    </row>
    <row r="517" spans="1:6" x14ac:dyDescent="0.25">
      <c r="A517" s="42">
        <v>397</v>
      </c>
      <c r="B517" s="42">
        <v>0</v>
      </c>
      <c r="C517" s="42" t="s">
        <v>1047</v>
      </c>
      <c r="D517" s="37">
        <v>632388.18999999994</v>
      </c>
      <c r="E517" s="37">
        <v>34781.49</v>
      </c>
      <c r="F517" s="37">
        <v>34781.379999999997</v>
      </c>
    </row>
    <row r="518" spans="1:6" x14ac:dyDescent="0.25">
      <c r="A518" s="42">
        <v>398</v>
      </c>
      <c r="B518" s="42">
        <v>0</v>
      </c>
      <c r="C518" s="42" t="s">
        <v>1048</v>
      </c>
      <c r="D518" s="37">
        <v>723812.43</v>
      </c>
      <c r="E518" s="37">
        <v>38199.58</v>
      </c>
      <c r="F518" s="37">
        <v>38199.43</v>
      </c>
    </row>
    <row r="519" spans="1:6" x14ac:dyDescent="0.25">
      <c r="A519" s="42">
        <v>916</v>
      </c>
      <c r="B519" s="42">
        <v>0</v>
      </c>
      <c r="C519" s="42" t="s">
        <v>1049</v>
      </c>
      <c r="D519" s="37">
        <v>14890839.48</v>
      </c>
      <c r="E519" s="37">
        <v>808217.51</v>
      </c>
      <c r="F519" s="37">
        <v>808219.05</v>
      </c>
    </row>
    <row r="520" spans="1:6" x14ac:dyDescent="0.25">
      <c r="A520" s="42">
        <v>917</v>
      </c>
      <c r="B520" s="42">
        <v>0</v>
      </c>
      <c r="C520" s="42" t="s">
        <v>1050</v>
      </c>
      <c r="D520" s="37">
        <v>8934284.8200000003</v>
      </c>
      <c r="E520" s="37">
        <v>490086.73</v>
      </c>
      <c r="F520" s="37">
        <v>490085.28</v>
      </c>
    </row>
    <row r="521" spans="1:6" x14ac:dyDescent="0.25">
      <c r="A521" s="42">
        <v>920</v>
      </c>
      <c r="B521" s="42">
        <v>0</v>
      </c>
      <c r="C521" s="42" t="s">
        <v>1051</v>
      </c>
      <c r="D521" s="37">
        <v>245543.43</v>
      </c>
      <c r="E521" s="37">
        <v>13504.91</v>
      </c>
      <c r="F521" s="37">
        <v>13504.85</v>
      </c>
    </row>
    <row r="522" spans="1:6" x14ac:dyDescent="0.25">
      <c r="A522" s="42">
        <v>922</v>
      </c>
      <c r="B522" s="42">
        <v>0</v>
      </c>
      <c r="C522" s="42" t="s">
        <v>1052</v>
      </c>
      <c r="D522" s="37">
        <v>370439.67999999999</v>
      </c>
      <c r="E522" s="37">
        <v>20374.23</v>
      </c>
      <c r="F522" s="37">
        <v>20374.27</v>
      </c>
    </row>
    <row r="523" spans="1:6" x14ac:dyDescent="0.25">
      <c r="A523" s="42">
        <v>923</v>
      </c>
      <c r="B523" s="42">
        <v>0</v>
      </c>
      <c r="C523" s="42" t="s">
        <v>1053</v>
      </c>
      <c r="D523" s="37">
        <v>133805.46</v>
      </c>
      <c r="E523" s="37">
        <v>7359.25</v>
      </c>
      <c r="F523" s="37">
        <v>7359.25</v>
      </c>
    </row>
    <row r="524" spans="1:6" x14ac:dyDescent="0.25">
      <c r="A524" s="42">
        <v>924</v>
      </c>
      <c r="B524" s="42">
        <v>0</v>
      </c>
      <c r="C524" s="42" t="s">
        <v>1054</v>
      </c>
      <c r="D524" s="37">
        <v>359566.45</v>
      </c>
      <c r="E524" s="37">
        <v>7324.48</v>
      </c>
      <c r="F524" s="37">
        <v>7324.48</v>
      </c>
    </row>
    <row r="525" spans="1:6" x14ac:dyDescent="0.25">
      <c r="A525" s="42">
        <v>925</v>
      </c>
      <c r="B525" s="42">
        <v>0</v>
      </c>
      <c r="C525" s="42" t="s">
        <v>1055</v>
      </c>
      <c r="D525" s="37">
        <v>333934.92</v>
      </c>
      <c r="E525" s="37">
        <v>18366.32</v>
      </c>
      <c r="F525" s="37">
        <v>18366.32</v>
      </c>
    </row>
    <row r="526" spans="1:6" x14ac:dyDescent="0.25">
      <c r="A526" s="42">
        <v>926</v>
      </c>
      <c r="B526" s="42">
        <v>0</v>
      </c>
      <c r="C526" s="42" t="s">
        <v>1056</v>
      </c>
      <c r="D526" s="37">
        <v>1438205.29</v>
      </c>
      <c r="E526" s="37">
        <v>75249.210000000006</v>
      </c>
      <c r="F526" s="37">
        <v>75248.91</v>
      </c>
    </row>
    <row r="527" spans="1:6" x14ac:dyDescent="0.25">
      <c r="A527" s="42">
        <v>927</v>
      </c>
      <c r="B527" s="42">
        <v>0</v>
      </c>
      <c r="C527" s="42" t="s">
        <v>1057</v>
      </c>
      <c r="D527" s="37">
        <v>341282.13</v>
      </c>
      <c r="E527" s="37">
        <v>16231.17</v>
      </c>
      <c r="F527" s="37">
        <v>16231.17</v>
      </c>
    </row>
    <row r="528" spans="1:6" x14ac:dyDescent="0.25">
      <c r="A528" s="42">
        <v>928</v>
      </c>
      <c r="B528" s="42">
        <v>0</v>
      </c>
      <c r="C528" s="42" t="s">
        <v>1058</v>
      </c>
      <c r="D528" s="37">
        <v>580409.44999999995</v>
      </c>
      <c r="E528" s="37">
        <v>31152.16</v>
      </c>
      <c r="F528" s="37">
        <v>31151.98</v>
      </c>
    </row>
    <row r="529" spans="1:6" x14ac:dyDescent="0.25">
      <c r="A529" s="42">
        <v>930</v>
      </c>
      <c r="B529" s="42">
        <v>0</v>
      </c>
      <c r="C529" s="42" t="s">
        <v>1059</v>
      </c>
      <c r="D529" s="37">
        <v>6248293.3700000001</v>
      </c>
      <c r="E529" s="37">
        <v>339581.9</v>
      </c>
      <c r="F529" s="37">
        <v>339580.85</v>
      </c>
    </row>
    <row r="530" spans="1:6" x14ac:dyDescent="0.25">
      <c r="A530" s="42">
        <v>935</v>
      </c>
      <c r="B530" s="42">
        <v>0</v>
      </c>
      <c r="C530" s="42" t="s">
        <v>1060</v>
      </c>
      <c r="D530" s="37">
        <v>1866516.76</v>
      </c>
      <c r="E530" s="37">
        <v>102558.39999999999</v>
      </c>
      <c r="F530" s="37">
        <v>102558.37</v>
      </c>
    </row>
    <row r="531" spans="1:6" x14ac:dyDescent="0.25">
      <c r="A531" s="42">
        <v>938</v>
      </c>
      <c r="B531" s="42">
        <v>0</v>
      </c>
      <c r="C531" s="42" t="s">
        <v>1061</v>
      </c>
      <c r="D531" s="37">
        <v>2591296.35</v>
      </c>
      <c r="E531" s="37">
        <v>141531.89000000001</v>
      </c>
      <c r="F531" s="37">
        <v>141531.9</v>
      </c>
    </row>
    <row r="532" spans="1:6" x14ac:dyDescent="0.25">
      <c r="A532" s="42">
        <v>966</v>
      </c>
      <c r="B532" s="42">
        <v>0</v>
      </c>
      <c r="C532" s="42" t="s">
        <v>1062</v>
      </c>
      <c r="D532" s="37">
        <v>1464154.15</v>
      </c>
      <c r="E532" s="37">
        <v>78618.31</v>
      </c>
      <c r="F532" s="37">
        <v>78618.33</v>
      </c>
    </row>
    <row r="533" spans="1:6" x14ac:dyDescent="0.25">
      <c r="A533" s="42">
        <v>978</v>
      </c>
      <c r="B533" s="42">
        <v>0</v>
      </c>
      <c r="C533" s="42" t="s">
        <v>1063</v>
      </c>
      <c r="D533" s="37">
        <v>1143823.3999999999</v>
      </c>
      <c r="E533" s="37">
        <v>62431.05</v>
      </c>
      <c r="F533" s="37">
        <v>62431.13</v>
      </c>
    </row>
    <row r="534" spans="1:6" x14ac:dyDescent="0.25">
      <c r="A534" s="42">
        <v>985</v>
      </c>
      <c r="B534" s="42">
        <v>0</v>
      </c>
      <c r="C534" s="42" t="s">
        <v>1064</v>
      </c>
      <c r="D534" s="37">
        <v>109500</v>
      </c>
      <c r="E534" s="37">
        <v>6022.56</v>
      </c>
      <c r="F534" s="37">
        <v>6022.56</v>
      </c>
    </row>
    <row r="535" spans="1:6" x14ac:dyDescent="0.25">
      <c r="A535" s="42">
        <v>991</v>
      </c>
      <c r="B535" s="42">
        <v>0</v>
      </c>
      <c r="C535" s="42" t="s">
        <v>1065</v>
      </c>
      <c r="D535" s="37">
        <v>6997388.0599999996</v>
      </c>
      <c r="E535" s="37">
        <v>373454.9</v>
      </c>
      <c r="F535" s="37">
        <v>373453.63</v>
      </c>
    </row>
    <row r="536" spans="1:6" x14ac:dyDescent="0.25">
      <c r="A536" s="42">
        <v>993</v>
      </c>
      <c r="B536" s="42">
        <v>0</v>
      </c>
      <c r="C536" s="42" t="s">
        <v>1066</v>
      </c>
      <c r="D536" s="37">
        <v>2891414.37</v>
      </c>
      <c r="E536" s="37">
        <v>159027.64000000001</v>
      </c>
      <c r="F536" s="37">
        <v>159027.59</v>
      </c>
    </row>
    <row r="537" spans="1:6" x14ac:dyDescent="0.25">
      <c r="A537" s="42">
        <v>997</v>
      </c>
      <c r="B537" s="42">
        <v>0</v>
      </c>
      <c r="C537" s="42" t="s">
        <v>1067</v>
      </c>
      <c r="D537" s="37">
        <v>1485138.49</v>
      </c>
      <c r="E537" s="37">
        <v>81682.42</v>
      </c>
      <c r="F537" s="37">
        <v>81682.289999999994</v>
      </c>
    </row>
    <row r="538" spans="1:6" x14ac:dyDescent="0.25">
      <c r="A538" s="42">
        <v>998</v>
      </c>
      <c r="B538" s="42">
        <v>0</v>
      </c>
      <c r="C538" s="42" t="s">
        <v>1068</v>
      </c>
      <c r="D538" s="37">
        <v>3382315.07</v>
      </c>
      <c r="E538" s="37">
        <v>186003.02</v>
      </c>
      <c r="F538" s="37">
        <v>186002.84</v>
      </c>
    </row>
    <row r="539" spans="1:6" x14ac:dyDescent="0.25">
      <c r="A539" s="42">
        <v>5001</v>
      </c>
      <c r="B539" s="42">
        <v>0</v>
      </c>
      <c r="C539" s="42" t="s">
        <v>1069</v>
      </c>
      <c r="D539" s="37">
        <v>77190.929999999993</v>
      </c>
      <c r="E539" s="37">
        <v>4245.4399999999996</v>
      </c>
      <c r="F539" s="37">
        <v>4245.4399999999996</v>
      </c>
    </row>
    <row r="540" spans="1:6" x14ac:dyDescent="0.25">
      <c r="A540" s="42">
        <v>5002</v>
      </c>
      <c r="B540" s="42">
        <v>0</v>
      </c>
      <c r="C540" s="42" t="s">
        <v>1070</v>
      </c>
      <c r="D540" s="37">
        <v>43893.97</v>
      </c>
      <c r="E540" s="37">
        <v>1424.28</v>
      </c>
      <c r="F540" s="37">
        <v>1424.28</v>
      </c>
    </row>
    <row r="541" spans="1:6" x14ac:dyDescent="0.25">
      <c r="A541" s="42">
        <v>5003</v>
      </c>
      <c r="B541" s="42">
        <v>0</v>
      </c>
      <c r="C541" s="42" t="s">
        <v>1071</v>
      </c>
      <c r="D541" s="37">
        <v>63182.559999999998</v>
      </c>
      <c r="E541" s="37">
        <v>3474.96</v>
      </c>
      <c r="F541" s="37">
        <v>3475.17</v>
      </c>
    </row>
    <row r="542" spans="1:6" x14ac:dyDescent="0.25">
      <c r="A542" s="42">
        <v>5004</v>
      </c>
      <c r="B542" s="42">
        <v>0</v>
      </c>
      <c r="C542" s="42" t="s">
        <v>1072</v>
      </c>
      <c r="D542" s="37">
        <v>57891.31</v>
      </c>
      <c r="E542" s="37">
        <v>3183.97</v>
      </c>
      <c r="F542" s="37">
        <v>3183.97</v>
      </c>
    </row>
    <row r="543" spans="1:6" x14ac:dyDescent="0.25">
      <c r="A543" s="42">
        <v>6004</v>
      </c>
      <c r="B543" s="42">
        <v>0</v>
      </c>
      <c r="C543" s="42" t="s">
        <v>1073</v>
      </c>
      <c r="D543" s="37">
        <v>3494328.71</v>
      </c>
      <c r="E543" s="37">
        <v>189039.92</v>
      </c>
      <c r="F543" s="37">
        <v>189037.29</v>
      </c>
    </row>
    <row r="544" spans="1:6" x14ac:dyDescent="0.25">
      <c r="A544" s="42">
        <v>6012</v>
      </c>
      <c r="B544" s="42">
        <v>0</v>
      </c>
      <c r="C544" s="42" t="s">
        <v>1074</v>
      </c>
      <c r="D544" s="37">
        <v>1850697.27</v>
      </c>
      <c r="E544" s="37">
        <v>101574.02</v>
      </c>
      <c r="F544" s="37">
        <v>101574.12</v>
      </c>
    </row>
    <row r="545" spans="1:6" x14ac:dyDescent="0.25">
      <c r="A545" s="42">
        <v>6013</v>
      </c>
      <c r="B545" s="42">
        <v>0</v>
      </c>
      <c r="C545" s="42" t="s">
        <v>1075</v>
      </c>
      <c r="D545" s="37">
        <v>4102067.93</v>
      </c>
      <c r="E545" s="37">
        <v>225508.33</v>
      </c>
      <c r="F545" s="37">
        <v>225508.03</v>
      </c>
    </row>
    <row r="546" spans="1:6" x14ac:dyDescent="0.25">
      <c r="A546" s="42">
        <v>6014</v>
      </c>
      <c r="B546" s="42">
        <v>0</v>
      </c>
      <c r="C546" s="42" t="s">
        <v>1076</v>
      </c>
      <c r="D546" s="37">
        <v>1371583.03</v>
      </c>
      <c r="E546" s="37">
        <v>74774.06</v>
      </c>
      <c r="F546" s="37">
        <v>74773.91</v>
      </c>
    </row>
    <row r="547" spans="1:6" x14ac:dyDescent="0.25">
      <c r="A547" s="42">
        <v>6026</v>
      </c>
      <c r="B547" s="42">
        <v>0</v>
      </c>
      <c r="C547" s="42" t="s">
        <v>1077</v>
      </c>
      <c r="D547" s="37">
        <v>1467286.82</v>
      </c>
      <c r="E547" s="37">
        <v>76564.59</v>
      </c>
      <c r="F547" s="37">
        <v>76564.55</v>
      </c>
    </row>
    <row r="548" spans="1:6" x14ac:dyDescent="0.25">
      <c r="A548" s="42">
        <v>6027</v>
      </c>
      <c r="B548" s="42">
        <v>0</v>
      </c>
      <c r="C548" s="42" t="s">
        <v>1078</v>
      </c>
      <c r="D548" s="37">
        <v>2516203.9500000002</v>
      </c>
      <c r="E548" s="37">
        <v>137889.89000000001</v>
      </c>
      <c r="F548" s="37">
        <v>137889.97</v>
      </c>
    </row>
    <row r="549" spans="1:6" x14ac:dyDescent="0.25">
      <c r="A549" s="42">
        <v>6049</v>
      </c>
      <c r="B549" s="42">
        <v>0</v>
      </c>
      <c r="C549" s="42" t="s">
        <v>1079</v>
      </c>
      <c r="D549" s="37">
        <v>2046878.26</v>
      </c>
      <c r="E549" s="37">
        <v>112578.94</v>
      </c>
      <c r="F549" s="37">
        <v>112576.11</v>
      </c>
    </row>
    <row r="550" spans="1:6" x14ac:dyDescent="0.25">
      <c r="A550" s="42">
        <v>6051</v>
      </c>
      <c r="B550" s="42">
        <v>0</v>
      </c>
      <c r="C550" s="42" t="s">
        <v>1080</v>
      </c>
      <c r="D550" s="37">
        <v>2266910.61</v>
      </c>
      <c r="E550" s="37">
        <v>122738.62</v>
      </c>
      <c r="F550" s="37">
        <v>122738.11</v>
      </c>
    </row>
    <row r="551" spans="1:6" x14ac:dyDescent="0.25">
      <c r="A551" s="42">
        <v>6067</v>
      </c>
      <c r="B551" s="42">
        <v>0</v>
      </c>
      <c r="C551" s="42" t="s">
        <v>1081</v>
      </c>
      <c r="D551" s="37">
        <v>4838641.7300000004</v>
      </c>
      <c r="E551" s="37">
        <v>266124.89</v>
      </c>
      <c r="F551" s="37">
        <v>266123.09999999998</v>
      </c>
    </row>
    <row r="552" spans="1:6" x14ac:dyDescent="0.25">
      <c r="A552" s="42">
        <v>6069</v>
      </c>
      <c r="B552" s="42">
        <v>0</v>
      </c>
      <c r="C552" s="42" t="s">
        <v>1082</v>
      </c>
      <c r="D552" s="37">
        <v>4846303.55</v>
      </c>
      <c r="E552" s="37">
        <v>257409.05</v>
      </c>
      <c r="F552" s="37">
        <v>257408.84</v>
      </c>
    </row>
    <row r="553" spans="1:6" x14ac:dyDescent="0.25">
      <c r="A553" s="42">
        <v>6070</v>
      </c>
      <c r="B553" s="42">
        <v>0</v>
      </c>
      <c r="C553" s="42" t="s">
        <v>1083</v>
      </c>
      <c r="D553" s="37">
        <v>176483.3</v>
      </c>
      <c r="E553" s="37">
        <v>9704.1299999999992</v>
      </c>
      <c r="F553" s="37">
        <v>9704.1200000000008</v>
      </c>
    </row>
    <row r="554" spans="1:6" x14ac:dyDescent="0.25">
      <c r="A554" s="42">
        <v>6076</v>
      </c>
      <c r="B554" s="42">
        <v>0</v>
      </c>
      <c r="C554" s="42" t="s">
        <v>1084</v>
      </c>
      <c r="D554" s="37">
        <v>1254182.1299999999</v>
      </c>
      <c r="E554" s="37">
        <v>64392.94</v>
      </c>
      <c r="F554" s="37">
        <v>64392.98</v>
      </c>
    </row>
    <row r="555" spans="1:6" x14ac:dyDescent="0.25">
      <c r="A555" s="42">
        <v>6078</v>
      </c>
      <c r="B555" s="42">
        <v>0</v>
      </c>
      <c r="C555" s="42" t="s">
        <v>1085</v>
      </c>
      <c r="D555" s="37">
        <v>437421.41</v>
      </c>
      <c r="E555" s="37">
        <v>24058.92</v>
      </c>
      <c r="F555" s="37">
        <v>24058.92</v>
      </c>
    </row>
    <row r="556" spans="1:6" x14ac:dyDescent="0.25">
      <c r="A556" s="42">
        <v>6080</v>
      </c>
      <c r="B556" s="42">
        <v>0</v>
      </c>
      <c r="C556" s="42" t="s">
        <v>1086</v>
      </c>
      <c r="D556" s="37">
        <v>176790</v>
      </c>
      <c r="E556" s="37">
        <v>9723.4500000000007</v>
      </c>
      <c r="F556" s="37">
        <v>9723.4500000000007</v>
      </c>
    </row>
    <row r="557" spans="1:6" x14ac:dyDescent="0.25">
      <c r="A557" s="42">
        <v>6383</v>
      </c>
      <c r="B557" s="42">
        <v>0</v>
      </c>
      <c r="C557" s="42" t="s">
        <v>1087</v>
      </c>
      <c r="D557" s="37">
        <v>2575594.5</v>
      </c>
      <c r="E557" s="37">
        <v>141368.6</v>
      </c>
      <c r="F557" s="37">
        <v>141369.31</v>
      </c>
    </row>
    <row r="558" spans="1:6" x14ac:dyDescent="0.25">
      <c r="A558" s="42">
        <v>6979</v>
      </c>
      <c r="B558" s="42">
        <v>0</v>
      </c>
      <c r="C558" s="42" t="s">
        <v>1088</v>
      </c>
      <c r="D558" s="37">
        <v>1290251.24</v>
      </c>
      <c r="E558" s="37">
        <v>70116.160000000003</v>
      </c>
      <c r="F558" s="37">
        <v>70116.009999999995</v>
      </c>
    </row>
    <row r="559" spans="1:6" x14ac:dyDescent="0.25">
      <c r="A559" s="42">
        <v>8800037</v>
      </c>
      <c r="B559" s="42">
        <v>0</v>
      </c>
      <c r="C559" s="42" t="s">
        <v>1089</v>
      </c>
      <c r="D559" s="37">
        <v>7598497.0899999999</v>
      </c>
      <c r="E559" s="37">
        <v>417948.86</v>
      </c>
      <c r="F559" s="37">
        <v>417948.86</v>
      </c>
    </row>
    <row r="560" spans="1:6" x14ac:dyDescent="0.25">
      <c r="A560" s="42">
        <v>8800069</v>
      </c>
      <c r="B560" s="42">
        <v>0</v>
      </c>
      <c r="C560" s="42" t="s">
        <v>1090</v>
      </c>
      <c r="D560" s="37">
        <v>4913054.97</v>
      </c>
      <c r="E560" s="37">
        <v>270218.65999999997</v>
      </c>
      <c r="F560" s="37">
        <v>270218.65999999997</v>
      </c>
    </row>
    <row r="561" spans="1:6" x14ac:dyDescent="0.25">
      <c r="A561" s="42">
        <v>8825000</v>
      </c>
      <c r="B561" s="42">
        <v>0</v>
      </c>
      <c r="C561" s="42" t="s">
        <v>1091</v>
      </c>
      <c r="D561" s="37">
        <v>1552190.82</v>
      </c>
      <c r="E561" s="37">
        <v>85371.35</v>
      </c>
      <c r="F561" s="37">
        <v>85371.35</v>
      </c>
    </row>
    <row r="562" spans="1:6" x14ac:dyDescent="0.25">
      <c r="A562" s="42">
        <v>8837001</v>
      </c>
      <c r="B562" s="42">
        <v>0</v>
      </c>
      <c r="C562" s="42" t="s">
        <v>1092</v>
      </c>
      <c r="D562" s="37">
        <v>3050067.97</v>
      </c>
      <c r="E562" s="37">
        <v>167693.07999999999</v>
      </c>
      <c r="F562" s="37">
        <v>167693.07999999999</v>
      </c>
    </row>
    <row r="563" spans="1:6" x14ac:dyDescent="0.25">
      <c r="A563" s="42">
        <v>9700003</v>
      </c>
      <c r="B563" s="42">
        <v>0</v>
      </c>
      <c r="C563" s="42" t="s">
        <v>1093</v>
      </c>
      <c r="D563" s="37">
        <v>70000.08</v>
      </c>
      <c r="E563" s="37">
        <v>3850.08</v>
      </c>
      <c r="F563" s="37">
        <v>3850.08</v>
      </c>
    </row>
    <row r="564" spans="1:6" x14ac:dyDescent="0.25">
      <c r="A564" s="42">
        <v>9700004</v>
      </c>
      <c r="B564" s="42">
        <v>0</v>
      </c>
      <c r="C564" s="42" t="s">
        <v>1094</v>
      </c>
      <c r="D564" s="37">
        <v>270681</v>
      </c>
      <c r="E564" s="37">
        <v>14887.47</v>
      </c>
      <c r="F564" s="37">
        <v>14887.47</v>
      </c>
    </row>
    <row r="565" spans="1:6" x14ac:dyDescent="0.25">
      <c r="A565" s="42">
        <v>10100011</v>
      </c>
      <c r="B565" s="42">
        <v>0</v>
      </c>
      <c r="C565" s="42" t="s">
        <v>1095</v>
      </c>
      <c r="D565" s="37">
        <v>3390173.38</v>
      </c>
      <c r="E565" s="37">
        <v>186458.72</v>
      </c>
      <c r="F565" s="37">
        <v>186458.72</v>
      </c>
    </row>
    <row r="566" spans="1:6" x14ac:dyDescent="0.25">
      <c r="A566" s="42">
        <v>10100012</v>
      </c>
      <c r="B566" s="42">
        <v>0</v>
      </c>
      <c r="C566" s="42" t="s">
        <v>1096</v>
      </c>
      <c r="D566" s="37">
        <v>7793009.25</v>
      </c>
      <c r="E566" s="37">
        <v>428461.99</v>
      </c>
      <c r="F566" s="37">
        <v>428461.99</v>
      </c>
    </row>
    <row r="567" spans="1:6" x14ac:dyDescent="0.25">
      <c r="A567" s="42">
        <v>10100013</v>
      </c>
      <c r="B567" s="42">
        <v>0</v>
      </c>
      <c r="C567" s="42" t="s">
        <v>1097</v>
      </c>
      <c r="D567" s="37">
        <v>11627814.34</v>
      </c>
      <c r="E567" s="37">
        <v>638544.54</v>
      </c>
      <c r="F567" s="37">
        <v>638544.54</v>
      </c>
    </row>
    <row r="568" spans="1:6" x14ac:dyDescent="0.25">
      <c r="A568" s="42">
        <v>10100014</v>
      </c>
      <c r="B568" s="42">
        <v>0</v>
      </c>
      <c r="C568" s="42" t="s">
        <v>1098</v>
      </c>
      <c r="D568" s="37">
        <v>7455590.1600000001</v>
      </c>
      <c r="E568" s="37">
        <v>409792.35</v>
      </c>
      <c r="F568" s="37">
        <v>409792.35</v>
      </c>
    </row>
    <row r="569" spans="1:6" x14ac:dyDescent="0.25">
      <c r="A569" s="42">
        <v>10100015</v>
      </c>
      <c r="B569" s="42">
        <v>0</v>
      </c>
      <c r="C569" s="42" t="s">
        <v>1099</v>
      </c>
      <c r="D569" s="37">
        <v>14646785.800000001</v>
      </c>
      <c r="E569" s="37">
        <v>803927.97</v>
      </c>
      <c r="F569" s="37">
        <v>804057.25</v>
      </c>
    </row>
    <row r="570" spans="1:6" x14ac:dyDescent="0.25">
      <c r="A570" s="42">
        <v>10100016</v>
      </c>
      <c r="B570" s="42">
        <v>0</v>
      </c>
      <c r="C570" s="42" t="s">
        <v>1100</v>
      </c>
      <c r="D570" s="37">
        <v>3484060.52</v>
      </c>
      <c r="E570" s="37">
        <v>191594.8</v>
      </c>
      <c r="F570" s="37">
        <v>191594.8</v>
      </c>
    </row>
    <row r="571" spans="1:6" x14ac:dyDescent="0.25">
      <c r="A571" s="42">
        <v>10100017</v>
      </c>
      <c r="B571" s="42">
        <v>0</v>
      </c>
      <c r="C571" s="42" t="s">
        <v>1101</v>
      </c>
      <c r="D571" s="37">
        <v>9595619.1300000008</v>
      </c>
      <c r="E571" s="37">
        <v>527408.91</v>
      </c>
      <c r="F571" s="37">
        <v>527402.01</v>
      </c>
    </row>
    <row r="572" spans="1:6" x14ac:dyDescent="0.25">
      <c r="A572" s="42">
        <v>10100018</v>
      </c>
      <c r="B572" s="42">
        <v>0</v>
      </c>
      <c r="C572" s="42" t="s">
        <v>1102</v>
      </c>
      <c r="D572" s="37">
        <v>4584057.3499999996</v>
      </c>
      <c r="E572" s="37">
        <v>251593.22</v>
      </c>
      <c r="F572" s="37">
        <v>251593.22</v>
      </c>
    </row>
    <row r="573" spans="1:6" x14ac:dyDescent="0.25">
      <c r="A573" s="42">
        <v>10100020</v>
      </c>
      <c r="B573" s="42">
        <v>0</v>
      </c>
      <c r="C573" s="42" t="s">
        <v>1103</v>
      </c>
      <c r="D573" s="37">
        <v>4469380.96</v>
      </c>
      <c r="E573" s="37">
        <v>245705.01</v>
      </c>
      <c r="F573" s="37">
        <v>245705.01</v>
      </c>
    </row>
    <row r="574" spans="1:6" x14ac:dyDescent="0.25">
      <c r="A574" s="42">
        <v>10100021</v>
      </c>
      <c r="B574" s="42">
        <v>0</v>
      </c>
      <c r="C574" s="42" t="s">
        <v>1104</v>
      </c>
      <c r="D574" s="37">
        <v>3768388.53</v>
      </c>
      <c r="E574" s="37">
        <v>207094.05</v>
      </c>
      <c r="F574" s="37">
        <v>207388.9</v>
      </c>
    </row>
    <row r="575" spans="1:6" x14ac:dyDescent="0.25">
      <c r="A575" s="42">
        <v>10100022</v>
      </c>
      <c r="B575" s="42">
        <v>0</v>
      </c>
      <c r="C575" s="42" t="s">
        <v>1105</v>
      </c>
      <c r="D575" s="37">
        <v>5348407.38</v>
      </c>
      <c r="E575" s="37">
        <v>294074.28000000003</v>
      </c>
      <c r="F575" s="37">
        <v>294074.28000000003</v>
      </c>
    </row>
    <row r="576" spans="1:6" x14ac:dyDescent="0.25">
      <c r="A576" s="42">
        <v>10100023</v>
      </c>
      <c r="B576" s="42">
        <v>0</v>
      </c>
      <c r="C576" s="42" t="s">
        <v>1106</v>
      </c>
      <c r="D576" s="37">
        <v>3223348.78</v>
      </c>
      <c r="E576" s="37">
        <v>177283.38</v>
      </c>
      <c r="F576" s="37">
        <v>177283.38</v>
      </c>
    </row>
    <row r="577" spans="1:6" x14ac:dyDescent="0.25">
      <c r="A577" s="42">
        <v>10100024</v>
      </c>
      <c r="B577" s="42">
        <v>0</v>
      </c>
      <c r="C577" s="42" t="s">
        <v>1107</v>
      </c>
      <c r="D577" s="37">
        <v>2486083.9700000002</v>
      </c>
      <c r="E577" s="37">
        <v>136733.32</v>
      </c>
      <c r="F577" s="37">
        <v>136733.32</v>
      </c>
    </row>
    <row r="578" spans="1:6" x14ac:dyDescent="0.25">
      <c r="A578" s="42">
        <v>10100025</v>
      </c>
      <c r="B578" s="42">
        <v>0</v>
      </c>
      <c r="C578" s="42" t="s">
        <v>1108</v>
      </c>
      <c r="D578" s="37">
        <v>8010666.5899999999</v>
      </c>
      <c r="E578" s="37">
        <v>442623.89</v>
      </c>
      <c r="F578" s="37">
        <v>443695.97</v>
      </c>
    </row>
    <row r="579" spans="1:6" x14ac:dyDescent="0.25">
      <c r="A579" s="42">
        <v>10100026</v>
      </c>
      <c r="B579" s="42">
        <v>0</v>
      </c>
      <c r="C579" s="42" t="s">
        <v>1109</v>
      </c>
      <c r="D579" s="37">
        <v>7302755.6600000001</v>
      </c>
      <c r="E579" s="37">
        <v>401776.4</v>
      </c>
      <c r="F579" s="37">
        <v>401776.4</v>
      </c>
    </row>
    <row r="580" spans="1:6" x14ac:dyDescent="0.25">
      <c r="A580" s="42">
        <v>10100027</v>
      </c>
      <c r="B580" s="42">
        <v>0</v>
      </c>
      <c r="C580" s="42" t="s">
        <v>1110</v>
      </c>
      <c r="D580" s="37">
        <v>8346316.1299999999</v>
      </c>
      <c r="E580" s="37">
        <v>462625.19</v>
      </c>
      <c r="F580" s="37">
        <v>463501.89</v>
      </c>
    </row>
    <row r="581" spans="1:6" x14ac:dyDescent="0.25">
      <c r="A581" s="42">
        <v>10100028</v>
      </c>
      <c r="B581" s="42">
        <v>0</v>
      </c>
      <c r="C581" s="42" t="s">
        <v>1111</v>
      </c>
      <c r="D581" s="37">
        <v>8972018.2100000009</v>
      </c>
      <c r="E581" s="37">
        <v>493574.01</v>
      </c>
      <c r="F581" s="37">
        <v>493564</v>
      </c>
    </row>
    <row r="582" spans="1:6" x14ac:dyDescent="0.25">
      <c r="A582" s="42">
        <v>10100029</v>
      </c>
      <c r="B582" s="42">
        <v>0</v>
      </c>
      <c r="C582" s="42" t="s">
        <v>1112</v>
      </c>
      <c r="D582" s="37">
        <v>1395569.92</v>
      </c>
      <c r="E582" s="37">
        <v>76810.58</v>
      </c>
      <c r="F582" s="37">
        <v>76810.58</v>
      </c>
    </row>
    <row r="583" spans="1:6" x14ac:dyDescent="0.25">
      <c r="A583" s="42">
        <v>10100030</v>
      </c>
      <c r="B583" s="42">
        <v>0</v>
      </c>
      <c r="C583" s="42" t="s">
        <v>1113</v>
      </c>
      <c r="D583" s="37">
        <v>1174108.8</v>
      </c>
      <c r="E583" s="37">
        <v>64551.16</v>
      </c>
      <c r="F583" s="37">
        <v>64551.16</v>
      </c>
    </row>
    <row r="584" spans="1:6" x14ac:dyDescent="0.25">
      <c r="A584" s="42">
        <v>10100031</v>
      </c>
      <c r="B584" s="42">
        <v>0</v>
      </c>
      <c r="C584" s="42" t="s">
        <v>1114</v>
      </c>
      <c r="D584" s="37">
        <v>2931533.47</v>
      </c>
      <c r="E584" s="37">
        <v>161223.54999999999</v>
      </c>
      <c r="F584" s="37">
        <v>161223.54999999999</v>
      </c>
    </row>
    <row r="585" spans="1:6" x14ac:dyDescent="0.25">
      <c r="A585" s="42">
        <v>10100032</v>
      </c>
      <c r="B585" s="42">
        <v>0</v>
      </c>
      <c r="C585" s="42" t="s">
        <v>1115</v>
      </c>
      <c r="D585" s="37">
        <v>3894091.1</v>
      </c>
      <c r="E585" s="37">
        <v>214050.73</v>
      </c>
      <c r="F585" s="37">
        <v>214050.73</v>
      </c>
    </row>
    <row r="586" spans="1:6" x14ac:dyDescent="0.25">
      <c r="A586" s="42">
        <v>10100033</v>
      </c>
      <c r="B586" s="42">
        <v>0</v>
      </c>
      <c r="C586" s="42" t="s">
        <v>1116</v>
      </c>
      <c r="D586" s="37">
        <v>3171216.87</v>
      </c>
      <c r="E586" s="37">
        <v>174430.32</v>
      </c>
      <c r="F586" s="37">
        <v>174418.67</v>
      </c>
    </row>
    <row r="587" spans="1:6" x14ac:dyDescent="0.25">
      <c r="A587" s="42">
        <v>10100034</v>
      </c>
      <c r="B587" s="42">
        <v>0</v>
      </c>
      <c r="C587" s="42" t="s">
        <v>1117</v>
      </c>
      <c r="D587" s="37">
        <v>5225000.8</v>
      </c>
      <c r="E587" s="37">
        <v>287422.90999999997</v>
      </c>
      <c r="F587" s="37">
        <v>287428.11</v>
      </c>
    </row>
    <row r="588" spans="1:6" x14ac:dyDescent="0.25">
      <c r="A588" s="42">
        <v>10100035</v>
      </c>
      <c r="B588" s="42">
        <v>0</v>
      </c>
      <c r="C588" s="42" t="s">
        <v>1118</v>
      </c>
      <c r="D588" s="37">
        <v>5269800.54</v>
      </c>
      <c r="E588" s="37">
        <v>289794.51</v>
      </c>
      <c r="F588" s="37">
        <v>289794.51</v>
      </c>
    </row>
    <row r="589" spans="1:6" x14ac:dyDescent="0.25">
      <c r="A589" s="42">
        <v>10100036</v>
      </c>
      <c r="B589" s="42">
        <v>0</v>
      </c>
      <c r="C589" s="42" t="s">
        <v>1119</v>
      </c>
      <c r="D589" s="37">
        <v>5218041.5199999996</v>
      </c>
      <c r="E589" s="37">
        <v>285379.90000000002</v>
      </c>
      <c r="F589" s="37">
        <v>287033.42</v>
      </c>
    </row>
    <row r="590" spans="1:6" x14ac:dyDescent="0.25">
      <c r="A590" s="42">
        <v>10100037</v>
      </c>
      <c r="B590" s="42">
        <v>0</v>
      </c>
      <c r="C590" s="42" t="s">
        <v>1120</v>
      </c>
      <c r="D590" s="37">
        <v>6055144.1900000004</v>
      </c>
      <c r="E590" s="37">
        <v>333152.17</v>
      </c>
      <c r="F590" s="37">
        <v>333152.17</v>
      </c>
    </row>
    <row r="591" spans="1:6" x14ac:dyDescent="0.25">
      <c r="A591" s="42">
        <v>10100038</v>
      </c>
      <c r="B591" s="42">
        <v>0</v>
      </c>
      <c r="C591" s="42" t="s">
        <v>1121</v>
      </c>
      <c r="D591" s="37">
        <v>3347695.58</v>
      </c>
      <c r="E591" s="37">
        <v>184570.61</v>
      </c>
      <c r="F591" s="37">
        <v>184588.54</v>
      </c>
    </row>
    <row r="592" spans="1:6" x14ac:dyDescent="0.25">
      <c r="A592" s="42">
        <v>10100039</v>
      </c>
      <c r="B592" s="42">
        <v>0</v>
      </c>
      <c r="C592" s="42" t="s">
        <v>1122</v>
      </c>
      <c r="D592" s="37">
        <v>133625</v>
      </c>
      <c r="E592" s="37">
        <v>7349.24</v>
      </c>
      <c r="F592" s="37">
        <v>7349.24</v>
      </c>
    </row>
    <row r="593" spans="1:6" x14ac:dyDescent="0.25">
      <c r="A593" s="42">
        <v>10100040</v>
      </c>
      <c r="B593" s="42">
        <v>0</v>
      </c>
      <c r="C593" s="42" t="s">
        <v>1123</v>
      </c>
      <c r="D593" s="37">
        <v>1460483.95</v>
      </c>
      <c r="E593" s="37">
        <v>80337.55</v>
      </c>
      <c r="F593" s="37">
        <v>79688.649999999994</v>
      </c>
    </row>
    <row r="594" spans="1:6" x14ac:dyDescent="0.25">
      <c r="A594" s="42">
        <v>10100041</v>
      </c>
      <c r="B594" s="42">
        <v>0</v>
      </c>
      <c r="C594" s="42" t="s">
        <v>1124</v>
      </c>
      <c r="D594" s="37">
        <v>5347380.83</v>
      </c>
      <c r="E594" s="37">
        <v>293595.34000000003</v>
      </c>
      <c r="F594" s="37">
        <v>293588.96999999997</v>
      </c>
    </row>
    <row r="595" spans="1:6" x14ac:dyDescent="0.25">
      <c r="A595" s="42">
        <v>10100042</v>
      </c>
      <c r="B595" s="42">
        <v>0</v>
      </c>
      <c r="C595" s="42" t="s">
        <v>1125</v>
      </c>
      <c r="D595" s="37">
        <v>4915059.55</v>
      </c>
      <c r="E595" s="37">
        <v>270444.12</v>
      </c>
      <c r="F595" s="37">
        <v>270444.12</v>
      </c>
    </row>
    <row r="596" spans="1:6" x14ac:dyDescent="0.25">
      <c r="A596" s="42">
        <v>10100043</v>
      </c>
      <c r="B596" s="42">
        <v>0</v>
      </c>
      <c r="C596" s="42" t="s">
        <v>1126</v>
      </c>
      <c r="D596" s="37">
        <v>6569506.04</v>
      </c>
      <c r="E596" s="37">
        <v>361219.56</v>
      </c>
      <c r="F596" s="37">
        <v>361219.56</v>
      </c>
    </row>
    <row r="597" spans="1:6" x14ac:dyDescent="0.25">
      <c r="A597" s="42">
        <v>10100044</v>
      </c>
      <c r="B597" s="42">
        <v>0</v>
      </c>
      <c r="C597" s="42" t="s">
        <v>1127</v>
      </c>
      <c r="D597" s="37">
        <v>3726985.9</v>
      </c>
      <c r="E597" s="37">
        <v>205218.46</v>
      </c>
      <c r="F597" s="37">
        <v>205218.46</v>
      </c>
    </row>
    <row r="598" spans="1:6" x14ac:dyDescent="0.25">
      <c r="A598" s="42">
        <v>10100045</v>
      </c>
      <c r="B598" s="42">
        <v>0</v>
      </c>
      <c r="C598" s="42" t="s">
        <v>1128</v>
      </c>
      <c r="D598" s="37">
        <v>2214649.79</v>
      </c>
      <c r="E598" s="37">
        <v>121804.95</v>
      </c>
      <c r="F598" s="37">
        <v>121804.95</v>
      </c>
    </row>
    <row r="599" spans="1:6" x14ac:dyDescent="0.25">
      <c r="A599" s="42">
        <v>10100046</v>
      </c>
      <c r="B599" s="42">
        <v>0</v>
      </c>
      <c r="C599" s="42" t="s">
        <v>1129</v>
      </c>
      <c r="D599" s="37">
        <v>690002.24</v>
      </c>
      <c r="E599" s="37">
        <v>37514.11</v>
      </c>
      <c r="F599" s="37">
        <v>37514.11</v>
      </c>
    </row>
    <row r="600" spans="1:6" x14ac:dyDescent="0.25">
      <c r="A600" s="42">
        <v>10100048</v>
      </c>
      <c r="B600" s="42">
        <v>0</v>
      </c>
      <c r="C600" s="42" t="s">
        <v>1130</v>
      </c>
      <c r="D600" s="37">
        <v>5612137.29</v>
      </c>
      <c r="E600" s="37">
        <v>308714.03000000003</v>
      </c>
      <c r="F600" s="37">
        <v>308714.03000000003</v>
      </c>
    </row>
    <row r="601" spans="1:6" x14ac:dyDescent="0.25">
      <c r="A601" s="42">
        <v>10100049</v>
      </c>
      <c r="B601" s="42">
        <v>0</v>
      </c>
      <c r="C601" s="42" t="s">
        <v>1131</v>
      </c>
      <c r="D601" s="37">
        <v>4534746.2</v>
      </c>
      <c r="E601" s="37">
        <v>249364.13</v>
      </c>
      <c r="F601" s="37">
        <v>249364.13</v>
      </c>
    </row>
    <row r="602" spans="1:6" x14ac:dyDescent="0.25">
      <c r="A602" s="42">
        <v>10100050</v>
      </c>
      <c r="B602" s="42">
        <v>0</v>
      </c>
      <c r="C602" s="42" t="s">
        <v>1132</v>
      </c>
      <c r="D602" s="37">
        <v>1230621.24</v>
      </c>
      <c r="E602" s="37">
        <v>67681.31</v>
      </c>
      <c r="F602" s="37">
        <v>67637.929999999993</v>
      </c>
    </row>
    <row r="603" spans="1:6" x14ac:dyDescent="0.25">
      <c r="A603" s="42">
        <v>10100051</v>
      </c>
      <c r="B603" s="42">
        <v>0</v>
      </c>
      <c r="C603" s="42" t="s">
        <v>1133</v>
      </c>
      <c r="D603" s="37">
        <v>7348583.4000000004</v>
      </c>
      <c r="E603" s="37">
        <v>404172.47</v>
      </c>
      <c r="F603" s="37">
        <v>404174.65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85" zoomScaleNormal="85" workbookViewId="0"/>
  </sheetViews>
  <sheetFormatPr defaultRowHeight="12.75" x14ac:dyDescent="0.25"/>
  <cols>
    <col min="1" max="1" width="7.59765625" customWidth="1"/>
    <col min="2" max="2" width="4.09765625" customWidth="1"/>
    <col min="3" max="3" width="18.69921875" customWidth="1"/>
    <col min="4" max="18" width="14.69921875" customWidth="1"/>
  </cols>
  <sheetData>
    <row r="1" spans="1:18" x14ac:dyDescent="0.25">
      <c r="A1" s="19" t="s">
        <v>1141</v>
      </c>
    </row>
    <row r="4" spans="1:18" x14ac:dyDescent="0.25">
      <c r="D4" s="1" t="s">
        <v>284</v>
      </c>
      <c r="E4" s="1" t="s">
        <v>285</v>
      </c>
      <c r="F4" s="1" t="s">
        <v>286</v>
      </c>
      <c r="G4" s="1" t="s">
        <v>287</v>
      </c>
      <c r="H4" s="1" t="s">
        <v>288</v>
      </c>
      <c r="I4" s="1" t="s">
        <v>289</v>
      </c>
      <c r="J4" s="1" t="s">
        <v>290</v>
      </c>
      <c r="K4" s="36" t="s">
        <v>291</v>
      </c>
      <c r="L4" s="36" t="s">
        <v>323</v>
      </c>
      <c r="M4" s="36" t="s">
        <v>324</v>
      </c>
      <c r="N4" s="36" t="s">
        <v>325</v>
      </c>
      <c r="O4" s="36" t="s">
        <v>326</v>
      </c>
      <c r="P4" s="36" t="s">
        <v>327</v>
      </c>
      <c r="Q4" s="36"/>
      <c r="R4" s="1"/>
    </row>
    <row r="5" spans="1:18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6" t="s">
        <v>532</v>
      </c>
      <c r="P6" s="36" t="s">
        <v>532</v>
      </c>
    </row>
    <row r="7" spans="1:18" x14ac:dyDescent="0.25">
      <c r="D7" s="1" t="s">
        <v>283</v>
      </c>
      <c r="E7" s="1" t="s">
        <v>283</v>
      </c>
      <c r="F7" s="1" t="s">
        <v>283</v>
      </c>
      <c r="G7" s="1" t="s">
        <v>283</v>
      </c>
      <c r="H7" s="1" t="s">
        <v>283</v>
      </c>
      <c r="I7" s="1" t="s">
        <v>283</v>
      </c>
      <c r="J7" s="1" t="s">
        <v>283</v>
      </c>
      <c r="K7" s="1" t="s">
        <v>283</v>
      </c>
      <c r="M7" s="1"/>
      <c r="N7" s="1"/>
      <c r="O7" s="1" t="s">
        <v>296</v>
      </c>
      <c r="P7" s="1" t="s">
        <v>296</v>
      </c>
    </row>
    <row r="8" spans="1:18" x14ac:dyDescent="0.25">
      <c r="D8" s="1" t="s">
        <v>277</v>
      </c>
      <c r="E8" s="1" t="s">
        <v>278</v>
      </c>
      <c r="F8" s="1" t="s">
        <v>292</v>
      </c>
      <c r="G8" s="1" t="s">
        <v>293</v>
      </c>
      <c r="H8" s="1" t="s">
        <v>294</v>
      </c>
      <c r="I8" s="1" t="s">
        <v>295</v>
      </c>
      <c r="J8" s="1" t="s">
        <v>529</v>
      </c>
      <c r="K8" s="36" t="s">
        <v>532</v>
      </c>
      <c r="L8" s="1"/>
      <c r="M8" s="1"/>
      <c r="N8" s="1"/>
      <c r="O8" s="1" t="s">
        <v>330</v>
      </c>
      <c r="P8" s="1" t="s">
        <v>330</v>
      </c>
    </row>
    <row r="9" spans="1:18" x14ac:dyDescent="0.25">
      <c r="D9" s="1" t="s">
        <v>279</v>
      </c>
      <c r="E9" s="1" t="s">
        <v>279</v>
      </c>
      <c r="F9" s="1" t="s">
        <v>279</v>
      </c>
      <c r="G9" s="1" t="s">
        <v>279</v>
      </c>
      <c r="H9" s="1" t="s">
        <v>279</v>
      </c>
      <c r="I9" s="1" t="s">
        <v>279</v>
      </c>
      <c r="J9" s="1" t="s">
        <v>279</v>
      </c>
      <c r="K9" s="1" t="s">
        <v>279</v>
      </c>
      <c r="L9" s="1"/>
      <c r="O9" s="1" t="s">
        <v>515</v>
      </c>
      <c r="P9" s="1" t="s">
        <v>516</v>
      </c>
      <c r="Q9" s="36" t="s">
        <v>529</v>
      </c>
      <c r="R9" s="1"/>
    </row>
    <row r="10" spans="1:18" x14ac:dyDescent="0.25">
      <c r="D10" s="1" t="s">
        <v>280</v>
      </c>
      <c r="E10" s="1" t="s">
        <v>280</v>
      </c>
      <c r="F10" s="1" t="s">
        <v>280</v>
      </c>
      <c r="G10" s="1" t="s">
        <v>280</v>
      </c>
      <c r="H10" s="1" t="s">
        <v>280</v>
      </c>
      <c r="I10" s="1" t="s">
        <v>280</v>
      </c>
      <c r="J10" s="1" t="s">
        <v>280</v>
      </c>
      <c r="K10" s="1" t="s">
        <v>280</v>
      </c>
      <c r="L10" s="1"/>
      <c r="M10" s="1" t="s">
        <v>277</v>
      </c>
      <c r="N10" s="1" t="s">
        <v>297</v>
      </c>
      <c r="O10" s="2" t="s">
        <v>331</v>
      </c>
      <c r="P10" s="1"/>
      <c r="Q10" s="1" t="s">
        <v>296</v>
      </c>
      <c r="R10" s="1"/>
    </row>
    <row r="11" spans="1:18" x14ac:dyDescent="0.25">
      <c r="D11" s="1" t="s">
        <v>281</v>
      </c>
      <c r="E11" s="1" t="s">
        <v>281</v>
      </c>
      <c r="F11" s="1" t="s">
        <v>281</v>
      </c>
      <c r="G11" s="1" t="s">
        <v>281</v>
      </c>
      <c r="H11" s="1" t="s">
        <v>281</v>
      </c>
      <c r="I11" s="1" t="s">
        <v>281</v>
      </c>
      <c r="J11" s="1" t="s">
        <v>281</v>
      </c>
      <c r="K11" s="1" t="s">
        <v>281</v>
      </c>
      <c r="L11" s="2" t="s">
        <v>332</v>
      </c>
      <c r="M11" s="1" t="s">
        <v>333</v>
      </c>
      <c r="N11" s="1" t="s">
        <v>333</v>
      </c>
      <c r="O11" s="1" t="str">
        <f>+"X "&amp;+L4</f>
        <v>X I</v>
      </c>
      <c r="P11" s="1" t="str">
        <f>+"= "&amp;+O4</f>
        <v>= L</v>
      </c>
      <c r="Q11" s="1" t="s">
        <v>330</v>
      </c>
      <c r="R11" s="1"/>
    </row>
    <row r="12" spans="1:18" x14ac:dyDescent="0.25">
      <c r="D12" s="2" t="s">
        <v>282</v>
      </c>
      <c r="E12" s="2" t="s">
        <v>282</v>
      </c>
      <c r="F12" s="2" t="s">
        <v>282</v>
      </c>
      <c r="G12" s="2" t="s">
        <v>282</v>
      </c>
      <c r="H12" s="2" t="s">
        <v>282</v>
      </c>
      <c r="I12" s="2" t="s">
        <v>282</v>
      </c>
      <c r="J12" s="2" t="s">
        <v>282</v>
      </c>
      <c r="K12" s="2" t="s">
        <v>282</v>
      </c>
      <c r="L12" s="2" t="str">
        <f>+D4&amp;" TO "&amp;+K4</f>
        <v>A TO H</v>
      </c>
      <c r="M12" s="1" t="s">
        <v>280</v>
      </c>
      <c r="N12" s="1" t="s">
        <v>334</v>
      </c>
      <c r="O12" s="1" t="str">
        <f>+"-.007*"&amp;+$M4&amp;"-"&amp;+$N4</f>
        <v>-.007*J-K</v>
      </c>
      <c r="P12" s="1" t="str">
        <f>+"- .005 X "&amp;+H4</f>
        <v>- .005 X E</v>
      </c>
      <c r="Q12" s="1" t="s">
        <v>516</v>
      </c>
      <c r="R12" s="36" t="s">
        <v>1140</v>
      </c>
    </row>
    <row r="13" spans="1:18" x14ac:dyDescent="0.25">
      <c r="D13" s="11"/>
      <c r="E13" s="11"/>
      <c r="F13" s="11"/>
      <c r="O13" s="4"/>
      <c r="P13" s="4"/>
      <c r="Q13" s="1"/>
      <c r="R13" s="1"/>
    </row>
    <row r="14" spans="1:18" x14ac:dyDescent="0.25">
      <c r="A14" s="27">
        <v>297</v>
      </c>
      <c r="B14" s="27">
        <v>1</v>
      </c>
      <c r="C14" s="18" t="s">
        <v>86</v>
      </c>
      <c r="D14" s="11">
        <v>1311719.67</v>
      </c>
      <c r="E14" s="16">
        <v>1487655.53</v>
      </c>
      <c r="F14" s="11">
        <v>1482958.06</v>
      </c>
      <c r="G14" s="11">
        <v>1540632.78</v>
      </c>
      <c r="H14" s="11">
        <v>1560257.72</v>
      </c>
      <c r="I14" s="11">
        <v>1570034.76</v>
      </c>
      <c r="J14" s="11">
        <v>1562879</v>
      </c>
      <c r="K14" s="11">
        <v>1244058.6599999999</v>
      </c>
      <c r="L14" s="11">
        <f t="shared" ref="L14:L24" si="0">MIN(D14:K14)</f>
        <v>1244058.6599999999</v>
      </c>
      <c r="M14" s="11">
        <v>280473</v>
      </c>
      <c r="N14" s="11">
        <v>-1441.27</v>
      </c>
      <c r="O14" s="11">
        <f t="shared" ref="O14:O24" si="1">ROUND(0.0234*L14,2)-ROUND(0.007*M14,2)-N14</f>
        <v>28588.93</v>
      </c>
      <c r="P14" s="11">
        <f t="shared" ref="P14:P24" si="2">ROUND(O14-0.005*H14,2)</f>
        <v>20787.64</v>
      </c>
      <c r="Q14" s="11">
        <v>22370.91</v>
      </c>
      <c r="R14" s="10">
        <f>P14-Q14</f>
        <v>-1583.2700000000004</v>
      </c>
    </row>
    <row r="15" spans="1:18" x14ac:dyDescent="0.25">
      <c r="A15" s="27">
        <v>316</v>
      </c>
      <c r="B15" s="27">
        <v>1</v>
      </c>
      <c r="C15" s="18" t="s">
        <v>92</v>
      </c>
      <c r="D15" s="11">
        <v>5044104.84</v>
      </c>
      <c r="E15" s="16">
        <v>4920652.34</v>
      </c>
      <c r="F15" s="11">
        <v>5001465.28</v>
      </c>
      <c r="G15" s="11">
        <v>5078651.91</v>
      </c>
      <c r="H15" s="11">
        <v>4420992.5999999996</v>
      </c>
      <c r="I15" s="11">
        <v>4385443.25</v>
      </c>
      <c r="J15" s="11">
        <v>4577652.21</v>
      </c>
      <c r="K15" s="11">
        <v>4169649.3</v>
      </c>
      <c r="L15" s="11">
        <f t="shared" si="0"/>
        <v>4169649.3</v>
      </c>
      <c r="M15" s="11">
        <v>1687703</v>
      </c>
      <c r="N15" s="11">
        <v>-8305.7999999999993</v>
      </c>
      <c r="O15" s="11">
        <f t="shared" si="1"/>
        <v>94061.67</v>
      </c>
      <c r="P15" s="11">
        <f t="shared" si="2"/>
        <v>71956.710000000006</v>
      </c>
      <c r="Q15" s="11">
        <v>77006.289999999994</v>
      </c>
      <c r="R15" s="10">
        <f t="shared" ref="R15:R28" si="3">P15-Q15</f>
        <v>-5049.5799999999872</v>
      </c>
    </row>
    <row r="16" spans="1:18" x14ac:dyDescent="0.25">
      <c r="A16" s="27">
        <v>404</v>
      </c>
      <c r="B16" s="27">
        <v>1</v>
      </c>
      <c r="C16" s="18" t="s">
        <v>106</v>
      </c>
      <c r="D16" s="11">
        <v>816057.04</v>
      </c>
      <c r="E16" s="16">
        <v>709110.87</v>
      </c>
      <c r="F16" s="11">
        <v>706180.28</v>
      </c>
      <c r="G16" s="11">
        <v>1052429.03</v>
      </c>
      <c r="H16" s="11">
        <v>788515.83999999997</v>
      </c>
      <c r="I16" s="11">
        <v>682913.97</v>
      </c>
      <c r="J16" s="11">
        <v>563489.85</v>
      </c>
      <c r="K16" s="11">
        <v>523045.88</v>
      </c>
      <c r="L16" s="11">
        <f t="shared" si="0"/>
        <v>523045.88</v>
      </c>
      <c r="M16" s="11">
        <v>154184</v>
      </c>
      <c r="N16" s="11">
        <v>-747</v>
      </c>
      <c r="O16" s="11">
        <f t="shared" si="1"/>
        <v>11906.98</v>
      </c>
      <c r="P16" s="11">
        <f t="shared" si="2"/>
        <v>7964.4</v>
      </c>
      <c r="Q16" s="11">
        <v>8910.7900000000009</v>
      </c>
      <c r="R16" s="10">
        <f t="shared" si="3"/>
        <v>-946.39000000000124</v>
      </c>
    </row>
    <row r="17" spans="1:18" x14ac:dyDescent="0.25">
      <c r="A17" s="27">
        <v>595</v>
      </c>
      <c r="B17" s="27">
        <v>1</v>
      </c>
      <c r="C17" s="18" t="s">
        <v>162</v>
      </c>
      <c r="D17" s="11">
        <v>6800932.04</v>
      </c>
      <c r="E17" s="16">
        <v>6787665.9000000004</v>
      </c>
      <c r="F17" s="11">
        <v>7041486.2699999996</v>
      </c>
      <c r="G17" s="11">
        <v>6996820.2199999997</v>
      </c>
      <c r="H17" s="11">
        <v>6888964.0599999996</v>
      </c>
      <c r="I17" s="11">
        <v>6685299.7300000004</v>
      </c>
      <c r="J17" s="11">
        <v>6908993.4000000004</v>
      </c>
      <c r="K17" s="11">
        <v>6660364.3700000001</v>
      </c>
      <c r="L17" s="11">
        <f t="shared" si="0"/>
        <v>6660364.3700000001</v>
      </c>
      <c r="M17" s="11">
        <v>1543797</v>
      </c>
      <c r="N17" s="11">
        <v>-4913.5</v>
      </c>
      <c r="O17" s="11">
        <f t="shared" si="1"/>
        <v>149959.45000000001</v>
      </c>
      <c r="P17" s="11">
        <f t="shared" si="2"/>
        <v>115514.63</v>
      </c>
      <c r="Q17" s="11">
        <v>116098.11</v>
      </c>
      <c r="R17" s="10">
        <f t="shared" si="3"/>
        <v>-583.47999999999593</v>
      </c>
    </row>
    <row r="18" spans="1:18" x14ac:dyDescent="0.25">
      <c r="A18" s="27">
        <v>852</v>
      </c>
      <c r="B18" s="27">
        <v>1</v>
      </c>
      <c r="C18" s="18" t="s">
        <v>231</v>
      </c>
      <c r="D18" s="11">
        <v>687077.62</v>
      </c>
      <c r="E18" s="16">
        <v>739388.56</v>
      </c>
      <c r="F18" s="11">
        <v>696255.84</v>
      </c>
      <c r="G18" s="11">
        <v>742083.65</v>
      </c>
      <c r="H18" s="11">
        <v>724247.6</v>
      </c>
      <c r="I18" s="11">
        <v>785773.84</v>
      </c>
      <c r="J18" s="11">
        <v>855188.36</v>
      </c>
      <c r="K18" s="11">
        <v>661144.75</v>
      </c>
      <c r="L18" s="11">
        <f t="shared" si="0"/>
        <v>661144.75</v>
      </c>
      <c r="M18" s="11">
        <v>194350</v>
      </c>
      <c r="N18" s="11">
        <v>-1413.67</v>
      </c>
      <c r="O18" s="11">
        <f t="shared" si="1"/>
        <v>15524.01</v>
      </c>
      <c r="P18" s="11">
        <f t="shared" si="2"/>
        <v>11902.77</v>
      </c>
      <c r="Q18" s="11">
        <v>12509.6</v>
      </c>
      <c r="R18" s="10">
        <f t="shared" si="3"/>
        <v>-606.82999999999993</v>
      </c>
    </row>
    <row r="19" spans="1:18" x14ac:dyDescent="0.25">
      <c r="A19" s="27">
        <v>2134</v>
      </c>
      <c r="B19" s="27">
        <v>1</v>
      </c>
      <c r="C19" s="18" t="s">
        <v>244</v>
      </c>
      <c r="D19" s="11">
        <v>3896654.88</v>
      </c>
      <c r="E19" s="16">
        <v>4102696.77</v>
      </c>
      <c r="F19" s="11">
        <v>4207547.7</v>
      </c>
      <c r="G19" s="11">
        <v>4262284.67</v>
      </c>
      <c r="H19" s="11">
        <v>4329092.57</v>
      </c>
      <c r="I19" s="11">
        <v>4129245.06</v>
      </c>
      <c r="J19" s="11">
        <v>3702441.13</v>
      </c>
      <c r="K19" s="11">
        <v>3582896.63</v>
      </c>
      <c r="L19" s="11">
        <f t="shared" si="0"/>
        <v>3582896.63</v>
      </c>
      <c r="M19" s="11">
        <v>1027991</v>
      </c>
      <c r="N19" s="11">
        <v>-3816.81</v>
      </c>
      <c r="O19" s="11">
        <f t="shared" si="1"/>
        <v>80460.649999999994</v>
      </c>
      <c r="P19" s="11">
        <f t="shared" si="2"/>
        <v>58815.19</v>
      </c>
      <c r="Q19" s="11">
        <v>61612.53</v>
      </c>
      <c r="R19" s="10">
        <f t="shared" si="3"/>
        <v>-2797.3399999999965</v>
      </c>
    </row>
    <row r="20" spans="1:18" x14ac:dyDescent="0.25">
      <c r="A20" s="27">
        <v>2137</v>
      </c>
      <c r="B20" s="27">
        <v>1</v>
      </c>
      <c r="C20" s="18" t="s">
        <v>246</v>
      </c>
      <c r="D20" s="11">
        <v>3070926.37</v>
      </c>
      <c r="E20" s="16">
        <v>3457817.21</v>
      </c>
      <c r="F20" s="11">
        <v>3093183.72</v>
      </c>
      <c r="G20" s="11">
        <v>3116369.33</v>
      </c>
      <c r="H20" s="11">
        <v>3059413.86</v>
      </c>
      <c r="I20" s="11">
        <v>3026219.8</v>
      </c>
      <c r="J20" s="11">
        <v>2902457.79</v>
      </c>
      <c r="K20" s="11">
        <v>2718498.71</v>
      </c>
      <c r="L20" s="11">
        <f t="shared" si="0"/>
        <v>2718498.71</v>
      </c>
      <c r="M20" s="11">
        <v>794210</v>
      </c>
      <c r="N20" s="11">
        <v>-5057.78</v>
      </c>
      <c r="O20" s="11">
        <f t="shared" si="1"/>
        <v>63111.18</v>
      </c>
      <c r="P20" s="11">
        <f t="shared" si="2"/>
        <v>47814.11</v>
      </c>
      <c r="Q20" s="11">
        <v>52118.75</v>
      </c>
      <c r="R20" s="10">
        <f t="shared" si="3"/>
        <v>-4304.6399999999994</v>
      </c>
    </row>
    <row r="21" spans="1:18" x14ac:dyDescent="0.25">
      <c r="A21" s="27">
        <v>2142</v>
      </c>
      <c r="B21" s="27">
        <v>1</v>
      </c>
      <c r="C21" s="18" t="s">
        <v>247</v>
      </c>
      <c r="D21" s="11">
        <v>10020138.699999999</v>
      </c>
      <c r="E21" s="16">
        <v>10502525.26</v>
      </c>
      <c r="F21" s="11">
        <v>11622007.91</v>
      </c>
      <c r="G21" s="11">
        <v>10562754.34</v>
      </c>
      <c r="H21" s="11">
        <v>10260957.65</v>
      </c>
      <c r="I21" s="11">
        <v>9462307.1500000004</v>
      </c>
      <c r="J21" s="11">
        <v>10208085.15</v>
      </c>
      <c r="K21" s="11">
        <v>9380368.1400000006</v>
      </c>
      <c r="L21" s="11">
        <f t="shared" si="0"/>
        <v>9380368.1400000006</v>
      </c>
      <c r="M21" s="11">
        <v>2270472</v>
      </c>
      <c r="N21" s="11">
        <v>-20340.97</v>
      </c>
      <c r="O21" s="11">
        <f t="shared" si="1"/>
        <v>223948.28</v>
      </c>
      <c r="P21" s="11">
        <f t="shared" si="2"/>
        <v>172643.49</v>
      </c>
      <c r="Q21" s="11">
        <v>174560.87</v>
      </c>
      <c r="R21" s="10">
        <f t="shared" si="3"/>
        <v>-1917.3800000000047</v>
      </c>
    </row>
    <row r="22" spans="1:18" x14ac:dyDescent="0.25">
      <c r="A22" s="27">
        <v>2155</v>
      </c>
      <c r="B22" s="27">
        <v>1</v>
      </c>
      <c r="C22" s="18" t="s">
        <v>251</v>
      </c>
      <c r="D22" s="11">
        <v>4734630.08</v>
      </c>
      <c r="E22" s="16">
        <v>5083435.87</v>
      </c>
      <c r="F22" s="11">
        <v>5129373.5999999996</v>
      </c>
      <c r="G22" s="11">
        <v>5155451.0999999996</v>
      </c>
      <c r="H22" s="11">
        <v>5031920.01</v>
      </c>
      <c r="I22" s="11">
        <v>4735492.3899999997</v>
      </c>
      <c r="J22" s="11">
        <v>4752346.05</v>
      </c>
      <c r="K22" s="11">
        <v>4536880.54</v>
      </c>
      <c r="L22" s="11">
        <f t="shared" si="0"/>
        <v>4536880.54</v>
      </c>
      <c r="M22" s="11">
        <v>1206576</v>
      </c>
      <c r="N22" s="11">
        <v>-3679.64</v>
      </c>
      <c r="O22" s="11">
        <f t="shared" si="1"/>
        <v>101396.61</v>
      </c>
      <c r="P22" s="11">
        <f t="shared" si="2"/>
        <v>76237.009999999995</v>
      </c>
      <c r="Q22" s="11">
        <v>80864.350000000006</v>
      </c>
      <c r="R22" s="10">
        <f t="shared" si="3"/>
        <v>-4627.3400000000111</v>
      </c>
    </row>
    <row r="23" spans="1:18" x14ac:dyDescent="0.25">
      <c r="A23" s="27">
        <v>2198</v>
      </c>
      <c r="B23" s="27">
        <v>1</v>
      </c>
      <c r="C23" s="18" t="s">
        <v>380</v>
      </c>
      <c r="D23" s="11">
        <v>2514159.44</v>
      </c>
      <c r="E23" s="16">
        <v>2622097.98</v>
      </c>
      <c r="F23" s="11">
        <v>2598395.98</v>
      </c>
      <c r="G23" s="11">
        <v>2564966.36</v>
      </c>
      <c r="H23" s="11">
        <v>2500111.86</v>
      </c>
      <c r="I23" s="11">
        <v>2696721.49</v>
      </c>
      <c r="J23" s="11">
        <v>2608912.92</v>
      </c>
      <c r="K23" s="11">
        <v>2252414.96</v>
      </c>
      <c r="L23" s="11">
        <f t="shared" si="0"/>
        <v>2252414.96</v>
      </c>
      <c r="M23" s="11">
        <v>613333</v>
      </c>
      <c r="N23" s="11">
        <v>-3117.36</v>
      </c>
      <c r="O23" s="11">
        <f t="shared" si="1"/>
        <v>51530.54</v>
      </c>
      <c r="P23" s="11">
        <f t="shared" si="2"/>
        <v>39029.980000000003</v>
      </c>
      <c r="Q23" s="11">
        <v>44826.09</v>
      </c>
      <c r="R23" s="10">
        <f t="shared" si="3"/>
        <v>-5796.1099999999933</v>
      </c>
    </row>
    <row r="24" spans="1:18" x14ac:dyDescent="0.25">
      <c r="A24" s="27">
        <v>2527</v>
      </c>
      <c r="B24" s="27">
        <v>1</v>
      </c>
      <c r="C24" s="18" t="s">
        <v>385</v>
      </c>
      <c r="D24" s="11">
        <v>1341555.26</v>
      </c>
      <c r="E24" s="16">
        <v>1534879.9</v>
      </c>
      <c r="F24" s="11">
        <v>1437154.16</v>
      </c>
      <c r="G24" s="11">
        <v>1374610.54</v>
      </c>
      <c r="H24" s="11">
        <v>1415961.76</v>
      </c>
      <c r="I24" s="11">
        <v>1342404.77</v>
      </c>
      <c r="J24" s="11">
        <v>1353238.68</v>
      </c>
      <c r="K24" s="11">
        <v>1304956.49</v>
      </c>
      <c r="L24" s="11">
        <f t="shared" si="0"/>
        <v>1304956.49</v>
      </c>
      <c r="M24" s="11">
        <v>429905</v>
      </c>
      <c r="N24" s="11">
        <v>-2247.8000000000002</v>
      </c>
      <c r="O24" s="11">
        <f t="shared" si="1"/>
        <v>29774.44</v>
      </c>
      <c r="P24" s="11">
        <f t="shared" si="2"/>
        <v>22694.63</v>
      </c>
      <c r="Q24" s="11">
        <v>23551.040000000001</v>
      </c>
      <c r="R24" s="10">
        <f t="shared" si="3"/>
        <v>-856.40999999999985</v>
      </c>
    </row>
    <row r="25" spans="1:18" x14ac:dyDescent="0.25">
      <c r="A25" s="27"/>
      <c r="B25" s="27"/>
      <c r="C25" s="28"/>
      <c r="D25" s="16"/>
      <c r="E25" s="16"/>
      <c r="F25" s="16"/>
      <c r="G25" s="16"/>
      <c r="H25" s="16"/>
      <c r="I25" s="16"/>
      <c r="J25" s="16"/>
      <c r="K25" s="16"/>
      <c r="L25" s="11"/>
      <c r="M25" s="11"/>
      <c r="N25" s="11"/>
      <c r="O25" s="11"/>
      <c r="P25" s="11"/>
      <c r="Q25" s="11"/>
      <c r="R25" s="10"/>
    </row>
    <row r="26" spans="1:18" x14ac:dyDescent="0.25">
      <c r="A26" s="27">
        <v>2159</v>
      </c>
      <c r="B26" s="27">
        <v>1</v>
      </c>
      <c r="C26" s="18" t="s">
        <v>252</v>
      </c>
      <c r="D26" s="16">
        <v>1722150.52</v>
      </c>
      <c r="E26" s="16">
        <v>2499001.85</v>
      </c>
      <c r="F26" s="16">
        <v>2457689.4500000002</v>
      </c>
      <c r="G26" s="16">
        <v>2496561.84</v>
      </c>
      <c r="H26" s="16">
        <v>2449272.38</v>
      </c>
      <c r="I26" s="16">
        <v>2579792.8199999998</v>
      </c>
      <c r="J26" s="16">
        <v>2690895.76</v>
      </c>
      <c r="K26" s="16" t="e">
        <f>'Consolidate 2887'!#REF!</f>
        <v>#REF!</v>
      </c>
      <c r="L26" s="11" t="e">
        <f>MIN(D26:K26)</f>
        <v>#REF!</v>
      </c>
      <c r="M26" s="11">
        <f>'Consolidate 2887'!I10</f>
        <v>0</v>
      </c>
      <c r="N26" s="11">
        <f>'Consolidate 2887'!I11</f>
        <v>0</v>
      </c>
      <c r="O26" s="11" t="e">
        <f>ROUND(0.0234*L26,2)-ROUND(0.007*M26,2)-N26</f>
        <v>#REF!</v>
      </c>
      <c r="P26" s="11" t="e">
        <f>ROUND(O26-0.005*H26,2)</f>
        <v>#REF!</v>
      </c>
      <c r="Q26" s="11">
        <v>24422.16</v>
      </c>
      <c r="R26" s="10" t="e">
        <f t="shared" si="3"/>
        <v>#REF!</v>
      </c>
    </row>
    <row r="27" spans="1:18" x14ac:dyDescent="0.25">
      <c r="A27" s="27">
        <v>2365</v>
      </c>
      <c r="B27" s="27">
        <v>1</v>
      </c>
      <c r="C27" s="18" t="s">
        <v>263</v>
      </c>
      <c r="D27" s="16">
        <v>3069347.33</v>
      </c>
      <c r="E27" s="16">
        <v>3639531.49</v>
      </c>
      <c r="F27" s="16">
        <v>3659781.41</v>
      </c>
      <c r="G27" s="16">
        <v>3485794.72</v>
      </c>
      <c r="H27" s="16">
        <v>3527785.47</v>
      </c>
      <c r="I27" s="16">
        <v>3550229.37</v>
      </c>
      <c r="J27" s="16">
        <v>3401196.89</v>
      </c>
      <c r="K27" s="16">
        <f>'Consolidate 2887'!J60</f>
        <v>0</v>
      </c>
      <c r="L27" s="11">
        <f>MIN(D27:K27)</f>
        <v>0</v>
      </c>
      <c r="M27" s="11">
        <f>'Consolidate 2887'!J10</f>
        <v>0</v>
      </c>
      <c r="N27" s="11">
        <f>'Consolidate 2887'!J11</f>
        <v>0</v>
      </c>
      <c r="O27" s="11">
        <f>ROUND(0.0234*L27,2)-ROUND(0.007*M27,2)-N27</f>
        <v>0</v>
      </c>
      <c r="P27" s="11">
        <f>ROUND(O27-0.005*H27,2)</f>
        <v>-17638.93</v>
      </c>
      <c r="Q27" s="11">
        <v>42922.1</v>
      </c>
      <c r="R27" s="10">
        <f t="shared" si="3"/>
        <v>-60561.03</v>
      </c>
    </row>
    <row r="28" spans="1:18" x14ac:dyDescent="0.25">
      <c r="A28" s="27">
        <v>2859</v>
      </c>
      <c r="B28" s="27">
        <v>1</v>
      </c>
      <c r="C28" s="28" t="s">
        <v>272</v>
      </c>
      <c r="D28" s="16">
        <v>5034492.95</v>
      </c>
      <c r="E28" s="16">
        <v>6751456.5300000003</v>
      </c>
      <c r="F28" s="16">
        <v>6996068.96</v>
      </c>
      <c r="G28" s="16">
        <v>6659160.4500000002</v>
      </c>
      <c r="H28" s="16">
        <v>6266172.8600000003</v>
      </c>
      <c r="I28" s="16">
        <v>6225637.6900000004</v>
      </c>
      <c r="J28" s="16">
        <v>6447389.4400000004</v>
      </c>
      <c r="K28" s="16">
        <f>'Consolidate 2887'!K60</f>
        <v>0</v>
      </c>
      <c r="L28" s="11">
        <f>MIN(D28:K28)</f>
        <v>0</v>
      </c>
      <c r="M28" s="11">
        <f>'Consolidate 2887'!K10</f>
        <v>0</v>
      </c>
      <c r="N28" s="11">
        <f>'Consolidate 2887'!K11</f>
        <v>0</v>
      </c>
      <c r="O28" s="11">
        <f>ROUND(0.0234*L28,2)-ROUND(0.007*M28,2)-N28</f>
        <v>0</v>
      </c>
      <c r="P28" s="11">
        <f>ROUND(O28-0.005*H28,2)</f>
        <v>-31330.86</v>
      </c>
      <c r="Q28" s="11">
        <v>66908.899999999994</v>
      </c>
      <c r="R28" s="10">
        <f t="shared" si="3"/>
        <v>-98239.76</v>
      </c>
    </row>
    <row r="29" spans="1:18" x14ac:dyDescent="0.25">
      <c r="A29" s="27"/>
      <c r="B29" s="27"/>
      <c r="C29" s="28"/>
      <c r="D29" s="16"/>
      <c r="E29" s="16"/>
      <c r="F29" s="16"/>
      <c r="G29" s="16"/>
      <c r="H29" s="16"/>
      <c r="I29" s="16"/>
      <c r="J29" s="16"/>
      <c r="K29" s="16"/>
      <c r="L29" s="11"/>
      <c r="M29" s="11"/>
      <c r="N29" s="11"/>
      <c r="O29" s="11"/>
      <c r="P29" s="11"/>
      <c r="Q29" s="11"/>
      <c r="R29" s="27"/>
    </row>
    <row r="30" spans="1:18" x14ac:dyDescent="0.25">
      <c r="A30" s="27">
        <v>2903</v>
      </c>
      <c r="B30" s="27">
        <v>1</v>
      </c>
      <c r="C30" s="18" t="s">
        <v>20</v>
      </c>
      <c r="D30" s="11">
        <v>2350565.36</v>
      </c>
      <c r="E30" s="11">
        <v>2815679.31</v>
      </c>
      <c r="F30" s="11">
        <v>2818864.5</v>
      </c>
      <c r="G30" s="11">
        <v>2629278.85</v>
      </c>
      <c r="H30" s="11">
        <v>2624299.88</v>
      </c>
      <c r="I30" s="11">
        <v>2713196.62</v>
      </c>
      <c r="J30" s="11">
        <v>3179341.6999999997</v>
      </c>
      <c r="K30" s="11">
        <f>'Consolidate 2903 2904'!E26</f>
        <v>2290512.2600000002</v>
      </c>
      <c r="L30" s="11">
        <f>MIN(D30:K30)</f>
        <v>2290512.2600000002</v>
      </c>
      <c r="M30" s="11">
        <f>'Consolidate 2903 2904'!E5</f>
        <v>856265</v>
      </c>
      <c r="N30" s="11">
        <f>'Consolidate 2903 2904'!E6</f>
        <v>-5837.0499999999993</v>
      </c>
      <c r="O30" s="11">
        <f>ROUND(0.0234*L30,2)-ROUND(0.007*M30,2)-N30</f>
        <v>53441.179999999993</v>
      </c>
      <c r="P30" s="11">
        <f>ROUND(O30-0.005*H30,2)</f>
        <v>40319.68</v>
      </c>
      <c r="Q30" s="38" t="s">
        <v>542</v>
      </c>
      <c r="R30" s="38" t="s">
        <v>542</v>
      </c>
    </row>
    <row r="31" spans="1:18" x14ac:dyDescent="0.25">
      <c r="A31" s="27">
        <v>2904</v>
      </c>
      <c r="B31" s="27">
        <v>1</v>
      </c>
      <c r="C31" s="18" t="s">
        <v>531</v>
      </c>
      <c r="D31" s="11">
        <v>3024526.19</v>
      </c>
      <c r="E31" s="11">
        <v>3103698.6900000004</v>
      </c>
      <c r="F31" s="11">
        <v>3275132.35</v>
      </c>
      <c r="G31" s="11">
        <v>3384716.6</v>
      </c>
      <c r="H31" s="11">
        <v>3453417.86</v>
      </c>
      <c r="I31" s="11">
        <v>3400387.29</v>
      </c>
      <c r="J31" s="11">
        <v>3717338.68</v>
      </c>
      <c r="K31" s="11">
        <f>'Consolidate 2903 2904'!E54</f>
        <v>2660851.6999999997</v>
      </c>
      <c r="L31" s="11">
        <f>MIN(D31:K31)</f>
        <v>2660851.6999999997</v>
      </c>
      <c r="M31" s="11">
        <f>'Consolidate 2903 2904'!E33</f>
        <v>984305</v>
      </c>
      <c r="N31" s="11">
        <f>'Consolidate 2903 2904'!E34</f>
        <v>-5306.4400000000005</v>
      </c>
      <c r="O31" s="11">
        <f>ROUND(0.0234*L31,2)-ROUND(0.007*M31,2)-N31</f>
        <v>60680.23</v>
      </c>
      <c r="P31" s="11">
        <f>ROUND(O31-0.005*H31,2)</f>
        <v>43413.14</v>
      </c>
      <c r="Q31" s="38" t="s">
        <v>542</v>
      </c>
      <c r="R31" s="38" t="s">
        <v>542</v>
      </c>
    </row>
  </sheetData>
  <sortState ref="A17:R353">
    <sortCondition descending="1" ref="R17:R353"/>
    <sortCondition ref="A17:A35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0"/>
  <sheetViews>
    <sheetView workbookViewId="0"/>
  </sheetViews>
  <sheetFormatPr defaultRowHeight="12.75" x14ac:dyDescent="0.25"/>
  <cols>
    <col min="1" max="1" width="11" bestFit="1" customWidth="1"/>
    <col min="2" max="2" width="40.296875" bestFit="1" customWidth="1"/>
    <col min="3" max="3" width="16.3984375" bestFit="1" customWidth="1"/>
    <col min="4" max="5" width="14.8984375" bestFit="1" customWidth="1"/>
  </cols>
  <sheetData>
    <row r="1" spans="1:5" ht="13.3" thickBot="1" x14ac:dyDescent="0.3">
      <c r="A1" s="52" t="s">
        <v>1157</v>
      </c>
      <c r="B1" s="53" t="s">
        <v>1158</v>
      </c>
      <c r="C1" s="54" t="s">
        <v>546</v>
      </c>
      <c r="D1" s="54" t="s">
        <v>547</v>
      </c>
      <c r="E1" s="55" t="s">
        <v>548</v>
      </c>
    </row>
    <row r="2" spans="1:5" ht="13.3" thickBot="1" x14ac:dyDescent="0.3">
      <c r="A2" s="56"/>
      <c r="B2" s="53"/>
      <c r="C2" s="54"/>
      <c r="D2" s="54"/>
      <c r="E2" s="55"/>
    </row>
    <row r="3" spans="1:5" x14ac:dyDescent="0.25">
      <c r="A3" s="57">
        <v>1</v>
      </c>
      <c r="B3" s="58" t="s">
        <v>1159</v>
      </c>
      <c r="C3" s="59">
        <v>4528039.3600000003</v>
      </c>
      <c r="D3" s="59">
        <v>249042.85</v>
      </c>
      <c r="E3" s="60">
        <v>249042.13</v>
      </c>
    </row>
    <row r="4" spans="1:5" x14ac:dyDescent="0.25">
      <c r="A4" s="57">
        <v>2</v>
      </c>
      <c r="B4" s="61" t="s">
        <v>1160</v>
      </c>
      <c r="C4" s="62">
        <v>1695387.96</v>
      </c>
      <c r="D4" s="62">
        <v>93246.6</v>
      </c>
      <c r="E4" s="63">
        <v>93245.95</v>
      </c>
    </row>
    <row r="5" spans="1:5" x14ac:dyDescent="0.25">
      <c r="A5" s="57">
        <v>4</v>
      </c>
      <c r="B5" s="61" t="s">
        <v>1161</v>
      </c>
      <c r="C5" s="62">
        <v>2035336.2</v>
      </c>
      <c r="D5" s="62">
        <v>111943.9</v>
      </c>
      <c r="E5" s="63">
        <v>111942.64</v>
      </c>
    </row>
    <row r="6" spans="1:5" x14ac:dyDescent="0.25">
      <c r="A6" s="57">
        <v>6</v>
      </c>
      <c r="B6" s="61" t="s">
        <v>1162</v>
      </c>
      <c r="C6" s="62">
        <v>16370856.199999999</v>
      </c>
      <c r="D6" s="62">
        <v>900401.02</v>
      </c>
      <c r="E6" s="63">
        <v>900392.79</v>
      </c>
    </row>
    <row r="7" spans="1:5" x14ac:dyDescent="0.25">
      <c r="A7" s="57">
        <v>11</v>
      </c>
      <c r="B7" s="61" t="s">
        <v>1163</v>
      </c>
      <c r="C7" s="62">
        <v>188502423.13</v>
      </c>
      <c r="D7" s="62">
        <v>10367714.210000001</v>
      </c>
      <c r="E7" s="63">
        <v>10367612.460000001</v>
      </c>
    </row>
    <row r="8" spans="1:5" x14ac:dyDescent="0.25">
      <c r="A8" s="57">
        <v>12</v>
      </c>
      <c r="B8" s="61" t="s">
        <v>1164</v>
      </c>
      <c r="C8" s="62">
        <v>28665360.199999999</v>
      </c>
      <c r="D8" s="62">
        <v>1576607.54</v>
      </c>
      <c r="E8" s="63">
        <v>1576599.82</v>
      </c>
    </row>
    <row r="9" spans="1:5" x14ac:dyDescent="0.25">
      <c r="A9" s="57">
        <v>13</v>
      </c>
      <c r="B9" s="61" t="s">
        <v>1165</v>
      </c>
      <c r="C9" s="62">
        <v>14056601.560000001</v>
      </c>
      <c r="D9" s="62">
        <v>773117.29</v>
      </c>
      <c r="E9" s="63">
        <v>773114.24</v>
      </c>
    </row>
    <row r="10" spans="1:5" x14ac:dyDescent="0.25">
      <c r="A10" s="57">
        <v>14</v>
      </c>
      <c r="B10" s="61" t="s">
        <v>1166</v>
      </c>
      <c r="C10" s="62">
        <v>14166647.289999999</v>
      </c>
      <c r="D10" s="62">
        <v>779168.79</v>
      </c>
      <c r="E10" s="63">
        <v>779165.7</v>
      </c>
    </row>
    <row r="11" spans="1:5" x14ac:dyDescent="0.25">
      <c r="A11" s="57">
        <v>15</v>
      </c>
      <c r="B11" s="61" t="s">
        <v>1167</v>
      </c>
      <c r="C11" s="62">
        <v>24948636.760000002</v>
      </c>
      <c r="D11" s="62">
        <v>1372167.04</v>
      </c>
      <c r="E11" s="63">
        <v>1372171.94</v>
      </c>
    </row>
    <row r="12" spans="1:5" x14ac:dyDescent="0.25">
      <c r="A12" s="57">
        <v>16</v>
      </c>
      <c r="B12" s="61" t="s">
        <v>1168</v>
      </c>
      <c r="C12" s="62">
        <v>20549942.510000002</v>
      </c>
      <c r="D12" s="62">
        <v>1130251.71</v>
      </c>
      <c r="E12" s="63">
        <v>1130247.01</v>
      </c>
    </row>
    <row r="13" spans="1:5" x14ac:dyDescent="0.25">
      <c r="A13" s="57">
        <v>22</v>
      </c>
      <c r="B13" s="61" t="s">
        <v>1169</v>
      </c>
      <c r="C13" s="62">
        <v>13132844.35</v>
      </c>
      <c r="D13" s="62">
        <v>722305.82</v>
      </c>
      <c r="E13" s="63">
        <v>722300.07</v>
      </c>
    </row>
    <row r="14" spans="1:5" x14ac:dyDescent="0.25">
      <c r="A14" s="57">
        <v>23</v>
      </c>
      <c r="B14" s="61" t="s">
        <v>1170</v>
      </c>
      <c r="C14" s="62">
        <v>3830418.98</v>
      </c>
      <c r="D14" s="62">
        <v>210673.39</v>
      </c>
      <c r="E14" s="63">
        <v>210672.75</v>
      </c>
    </row>
    <row r="15" spans="1:5" x14ac:dyDescent="0.25">
      <c r="A15" s="57">
        <v>31</v>
      </c>
      <c r="B15" s="61" t="s">
        <v>1171</v>
      </c>
      <c r="C15" s="62">
        <v>21306533.390000001</v>
      </c>
      <c r="D15" s="62">
        <v>1171857.76</v>
      </c>
      <c r="E15" s="63">
        <v>1171856.1200000001</v>
      </c>
    </row>
    <row r="16" spans="1:5" x14ac:dyDescent="0.25">
      <c r="A16" s="57">
        <v>32</v>
      </c>
      <c r="B16" s="61" t="s">
        <v>1172</v>
      </c>
      <c r="C16" s="62">
        <v>2467731.1</v>
      </c>
      <c r="D16" s="62">
        <v>135725.45000000001</v>
      </c>
      <c r="E16" s="63">
        <v>135724.4</v>
      </c>
    </row>
    <row r="17" spans="1:5" x14ac:dyDescent="0.25">
      <c r="A17" s="57">
        <v>36</v>
      </c>
      <c r="B17" s="61" t="s">
        <v>1173</v>
      </c>
      <c r="C17" s="62">
        <v>1415825.92</v>
      </c>
      <c r="D17" s="62">
        <v>77870.89</v>
      </c>
      <c r="E17" s="63">
        <v>77870.45</v>
      </c>
    </row>
    <row r="18" spans="1:5" x14ac:dyDescent="0.25">
      <c r="A18" s="57">
        <v>38</v>
      </c>
      <c r="B18" s="61" t="s">
        <v>1174</v>
      </c>
      <c r="C18" s="62">
        <v>8862702.6699999999</v>
      </c>
      <c r="D18" s="62">
        <v>487449.45</v>
      </c>
      <c r="E18" s="63">
        <v>487448.37</v>
      </c>
    </row>
    <row r="19" spans="1:5" x14ac:dyDescent="0.25">
      <c r="A19" s="57">
        <v>47</v>
      </c>
      <c r="B19" s="61" t="s">
        <v>1175</v>
      </c>
      <c r="C19" s="62">
        <v>15392406</v>
      </c>
      <c r="D19" s="62">
        <v>846586.45</v>
      </c>
      <c r="E19" s="63">
        <v>846586.44</v>
      </c>
    </row>
    <row r="20" spans="1:5" x14ac:dyDescent="0.25">
      <c r="A20" s="57">
        <v>51</v>
      </c>
      <c r="B20" s="61" t="s">
        <v>1176</v>
      </c>
      <c r="C20" s="62">
        <v>6791048.6299999999</v>
      </c>
      <c r="D20" s="62">
        <v>373509</v>
      </c>
      <c r="E20" s="63">
        <v>373510.97</v>
      </c>
    </row>
    <row r="21" spans="1:5" x14ac:dyDescent="0.25">
      <c r="A21" s="57">
        <v>75</v>
      </c>
      <c r="B21" s="61" t="s">
        <v>1177</v>
      </c>
      <c r="C21" s="62">
        <v>2251154.94</v>
      </c>
      <c r="D21" s="62">
        <v>123813.03</v>
      </c>
      <c r="E21" s="63">
        <v>123812.22</v>
      </c>
    </row>
    <row r="22" spans="1:5" x14ac:dyDescent="0.25">
      <c r="A22" s="57">
        <v>77</v>
      </c>
      <c r="B22" s="61" t="s">
        <v>1178</v>
      </c>
      <c r="C22" s="62">
        <v>33573175.240000002</v>
      </c>
      <c r="D22" s="62">
        <v>1846463.21</v>
      </c>
      <c r="E22" s="63">
        <v>1846453.22</v>
      </c>
    </row>
    <row r="23" spans="1:5" x14ac:dyDescent="0.25">
      <c r="A23" s="57">
        <v>81</v>
      </c>
      <c r="B23" s="61" t="s">
        <v>1179</v>
      </c>
      <c r="C23" s="62">
        <v>727425.12</v>
      </c>
      <c r="D23" s="62">
        <v>40008.53</v>
      </c>
      <c r="E23" s="63">
        <v>40008.18</v>
      </c>
    </row>
    <row r="24" spans="1:5" x14ac:dyDescent="0.25">
      <c r="A24" s="57">
        <v>84</v>
      </c>
      <c r="B24" s="61" t="s">
        <v>1180</v>
      </c>
      <c r="C24" s="62">
        <v>2584217.96</v>
      </c>
      <c r="D24" s="62">
        <v>142132.4</v>
      </c>
      <c r="E24" s="63">
        <v>142131.99</v>
      </c>
    </row>
    <row r="25" spans="1:5" x14ac:dyDescent="0.25">
      <c r="A25" s="57">
        <v>85</v>
      </c>
      <c r="B25" s="61" t="s">
        <v>1181</v>
      </c>
      <c r="C25" s="62">
        <v>2360612.66</v>
      </c>
      <c r="D25" s="62">
        <v>129834.02</v>
      </c>
      <c r="E25" s="63">
        <v>129833.32</v>
      </c>
    </row>
    <row r="26" spans="1:5" x14ac:dyDescent="0.25">
      <c r="A26" s="57">
        <v>88</v>
      </c>
      <c r="B26" s="61" t="s">
        <v>1182</v>
      </c>
      <c r="C26" s="62">
        <v>8359675.2599999998</v>
      </c>
      <c r="D26" s="62">
        <v>459782.7</v>
      </c>
      <c r="E26" s="63">
        <v>459785.95</v>
      </c>
    </row>
    <row r="27" spans="1:5" x14ac:dyDescent="0.25">
      <c r="A27" s="57">
        <v>91</v>
      </c>
      <c r="B27" s="61" t="s">
        <v>1183</v>
      </c>
      <c r="C27" s="62">
        <v>3413625.76</v>
      </c>
      <c r="D27" s="62">
        <v>187749.02</v>
      </c>
      <c r="E27" s="63">
        <v>187747.93</v>
      </c>
    </row>
    <row r="28" spans="1:5" x14ac:dyDescent="0.25">
      <c r="A28" s="57">
        <v>93</v>
      </c>
      <c r="B28" s="61" t="s">
        <v>1184</v>
      </c>
      <c r="C28" s="62">
        <v>2331575.4300000002</v>
      </c>
      <c r="D28" s="62">
        <v>128230.23</v>
      </c>
      <c r="E28" s="63">
        <v>128229.65</v>
      </c>
    </row>
    <row r="29" spans="1:5" x14ac:dyDescent="0.25">
      <c r="A29" s="57">
        <v>94</v>
      </c>
      <c r="B29" s="61" t="s">
        <v>1185</v>
      </c>
      <c r="C29" s="62">
        <v>10914997.039999999</v>
      </c>
      <c r="D29" s="62">
        <v>600324.44999999995</v>
      </c>
      <c r="E29" s="63">
        <v>600324.28</v>
      </c>
    </row>
    <row r="30" spans="1:5" x14ac:dyDescent="0.25">
      <c r="A30" s="57">
        <v>95</v>
      </c>
      <c r="B30" s="61" t="s">
        <v>1186</v>
      </c>
      <c r="C30" s="62">
        <v>1468504.34</v>
      </c>
      <c r="D30" s="62">
        <v>80767.59</v>
      </c>
      <c r="E30" s="63">
        <v>80766.28</v>
      </c>
    </row>
    <row r="31" spans="1:5" x14ac:dyDescent="0.25">
      <c r="A31" s="57">
        <v>97</v>
      </c>
      <c r="B31" s="61" t="s">
        <v>1187</v>
      </c>
      <c r="C31" s="62">
        <v>2885960.68</v>
      </c>
      <c r="D31" s="62">
        <v>158728.4</v>
      </c>
      <c r="E31" s="63">
        <v>158727.73000000001</v>
      </c>
    </row>
    <row r="32" spans="1:5" x14ac:dyDescent="0.25">
      <c r="A32" s="57">
        <v>99</v>
      </c>
      <c r="B32" s="61" t="s">
        <v>1188</v>
      </c>
      <c r="C32" s="62">
        <v>4689520.99</v>
      </c>
      <c r="D32" s="62">
        <v>257923.53</v>
      </c>
      <c r="E32" s="63">
        <v>257922.19</v>
      </c>
    </row>
    <row r="33" spans="1:5" x14ac:dyDescent="0.25">
      <c r="A33" s="57">
        <v>100</v>
      </c>
      <c r="B33" s="61" t="s">
        <v>1189</v>
      </c>
      <c r="C33" s="62">
        <v>1376510.25</v>
      </c>
      <c r="D33" s="62">
        <v>75708.240000000005</v>
      </c>
      <c r="E33" s="63">
        <v>75707.7</v>
      </c>
    </row>
    <row r="34" spans="1:5" x14ac:dyDescent="0.25">
      <c r="A34" s="57">
        <v>108</v>
      </c>
      <c r="B34" s="61" t="s">
        <v>1190</v>
      </c>
      <c r="C34" s="62">
        <v>4394843.0599999996</v>
      </c>
      <c r="D34" s="62">
        <v>241716.61</v>
      </c>
      <c r="E34" s="63">
        <v>241716.84</v>
      </c>
    </row>
    <row r="35" spans="1:5" x14ac:dyDescent="0.25">
      <c r="A35" s="57">
        <v>110</v>
      </c>
      <c r="B35" s="61" t="s">
        <v>1191</v>
      </c>
      <c r="C35" s="62">
        <v>12420683.050000001</v>
      </c>
      <c r="D35" s="62">
        <v>683138.86</v>
      </c>
      <c r="E35" s="63">
        <v>683137.91</v>
      </c>
    </row>
    <row r="36" spans="1:5" x14ac:dyDescent="0.25">
      <c r="A36" s="57">
        <v>111</v>
      </c>
      <c r="B36" s="61" t="s">
        <v>1192</v>
      </c>
      <c r="C36" s="62">
        <v>6413997.9299999997</v>
      </c>
      <c r="D36" s="62">
        <v>352771.36</v>
      </c>
      <c r="E36" s="63">
        <v>352769.83</v>
      </c>
    </row>
    <row r="37" spans="1:5" x14ac:dyDescent="0.25">
      <c r="A37" s="57">
        <v>112</v>
      </c>
      <c r="B37" s="61" t="s">
        <v>1193</v>
      </c>
      <c r="C37" s="62">
        <v>42906701.060000002</v>
      </c>
      <c r="D37" s="62">
        <v>2359845.94</v>
      </c>
      <c r="E37" s="63">
        <v>2359837.96</v>
      </c>
    </row>
    <row r="38" spans="1:5" x14ac:dyDescent="0.25">
      <c r="A38" s="57">
        <v>113</v>
      </c>
      <c r="B38" s="61" t="s">
        <v>1194</v>
      </c>
      <c r="C38" s="62">
        <v>3581513.54</v>
      </c>
      <c r="D38" s="62">
        <v>196983.67</v>
      </c>
      <c r="E38" s="63">
        <v>196981.61</v>
      </c>
    </row>
    <row r="39" spans="1:5" x14ac:dyDescent="0.25">
      <c r="A39" s="57">
        <v>115</v>
      </c>
      <c r="B39" s="61" t="s">
        <v>1195</v>
      </c>
      <c r="C39" s="62">
        <v>6588644.6100000003</v>
      </c>
      <c r="D39" s="62">
        <v>362379.43</v>
      </c>
      <c r="E39" s="63">
        <v>362375.25</v>
      </c>
    </row>
    <row r="40" spans="1:5" x14ac:dyDescent="0.25">
      <c r="A40" s="57">
        <v>116</v>
      </c>
      <c r="B40" s="61" t="s">
        <v>1196</v>
      </c>
      <c r="C40" s="62">
        <v>3332455.89</v>
      </c>
      <c r="D40" s="62">
        <v>183285.44</v>
      </c>
      <c r="E40" s="63">
        <v>183284.97</v>
      </c>
    </row>
    <row r="41" spans="1:5" x14ac:dyDescent="0.25">
      <c r="A41" s="57">
        <v>118</v>
      </c>
      <c r="B41" s="61" t="s">
        <v>1197</v>
      </c>
      <c r="C41" s="62">
        <v>2601041.63</v>
      </c>
      <c r="D41" s="62">
        <v>143057.43</v>
      </c>
      <c r="E41" s="63">
        <v>143057.35</v>
      </c>
    </row>
    <row r="42" spans="1:5" x14ac:dyDescent="0.25">
      <c r="A42" s="57">
        <v>129</v>
      </c>
      <c r="B42" s="61" t="s">
        <v>1198</v>
      </c>
      <c r="C42" s="62">
        <v>6558648.9800000004</v>
      </c>
      <c r="D42" s="62">
        <v>360722.05</v>
      </c>
      <c r="E42" s="63">
        <v>360721.11</v>
      </c>
    </row>
    <row r="43" spans="1:5" x14ac:dyDescent="0.25">
      <c r="A43" s="57">
        <v>138</v>
      </c>
      <c r="B43" s="61" t="s">
        <v>1199</v>
      </c>
      <c r="C43" s="62">
        <v>12669280.449999999</v>
      </c>
      <c r="D43" s="62">
        <v>696810.48</v>
      </c>
      <c r="E43" s="63">
        <v>696803.4</v>
      </c>
    </row>
    <row r="44" spans="1:5" x14ac:dyDescent="0.25">
      <c r="A44" s="57">
        <v>139</v>
      </c>
      <c r="B44" s="61" t="s">
        <v>1200</v>
      </c>
      <c r="C44" s="62">
        <v>4586305.42</v>
      </c>
      <c r="D44" s="62">
        <v>252246.69</v>
      </c>
      <c r="E44" s="63">
        <v>252246.32</v>
      </c>
    </row>
    <row r="45" spans="1:5" x14ac:dyDescent="0.25">
      <c r="A45" s="57">
        <v>146</v>
      </c>
      <c r="B45" s="61" t="s">
        <v>1201</v>
      </c>
      <c r="C45" s="62">
        <v>3020951.07</v>
      </c>
      <c r="D45" s="62">
        <v>166152.82</v>
      </c>
      <c r="E45" s="63">
        <v>166151.76999999999</v>
      </c>
    </row>
    <row r="46" spans="1:5" x14ac:dyDescent="0.25">
      <c r="A46" s="57">
        <v>150</v>
      </c>
      <c r="B46" s="61" t="s">
        <v>1202</v>
      </c>
      <c r="C46" s="62">
        <v>3725868.17</v>
      </c>
      <c r="D46" s="62">
        <v>204918.82</v>
      </c>
      <c r="E46" s="63">
        <v>204917.44</v>
      </c>
    </row>
    <row r="47" spans="1:5" x14ac:dyDescent="0.25">
      <c r="A47" s="57">
        <v>152</v>
      </c>
      <c r="B47" s="61" t="s">
        <v>1203</v>
      </c>
      <c r="C47" s="62">
        <v>23919483.82</v>
      </c>
      <c r="D47" s="62">
        <v>1315569.27</v>
      </c>
      <c r="E47" s="63">
        <v>1315566.49</v>
      </c>
    </row>
    <row r="48" spans="1:5" x14ac:dyDescent="0.25">
      <c r="A48" s="57">
        <v>162</v>
      </c>
      <c r="B48" s="61" t="s">
        <v>1204</v>
      </c>
      <c r="C48" s="62">
        <v>4079809.9</v>
      </c>
      <c r="D48" s="62">
        <v>224390.31</v>
      </c>
      <c r="E48" s="63">
        <v>224389.47</v>
      </c>
    </row>
    <row r="49" spans="1:5" x14ac:dyDescent="0.25">
      <c r="A49" s="57">
        <v>166</v>
      </c>
      <c r="B49" s="61" t="s">
        <v>1205</v>
      </c>
      <c r="C49" s="62">
        <v>2333707.8199999998</v>
      </c>
      <c r="D49" s="62">
        <v>128342.88</v>
      </c>
      <c r="E49" s="63">
        <v>128343.22</v>
      </c>
    </row>
    <row r="50" spans="1:5" x14ac:dyDescent="0.25">
      <c r="A50" s="57">
        <v>173</v>
      </c>
      <c r="B50" s="61" t="s">
        <v>1206</v>
      </c>
      <c r="C50" s="62">
        <v>2325508.21</v>
      </c>
      <c r="D50" s="62">
        <v>127903.36</v>
      </c>
      <c r="E50" s="63">
        <v>127902.57</v>
      </c>
    </row>
    <row r="51" spans="1:5" x14ac:dyDescent="0.25">
      <c r="A51" s="57">
        <v>177</v>
      </c>
      <c r="B51" s="61" t="s">
        <v>1207</v>
      </c>
      <c r="C51" s="62">
        <v>4336755.99</v>
      </c>
      <c r="D51" s="62">
        <v>238522.57</v>
      </c>
      <c r="E51" s="63">
        <v>238521.49</v>
      </c>
    </row>
    <row r="52" spans="1:5" x14ac:dyDescent="0.25">
      <c r="A52" s="57">
        <v>181</v>
      </c>
      <c r="B52" s="61" t="s">
        <v>1208</v>
      </c>
      <c r="C52" s="62">
        <v>29709282.75</v>
      </c>
      <c r="D52" s="62">
        <v>1633597.23</v>
      </c>
      <c r="E52" s="63">
        <v>1633594.85</v>
      </c>
    </row>
    <row r="53" spans="1:5" x14ac:dyDescent="0.25">
      <c r="A53" s="57">
        <v>182</v>
      </c>
      <c r="B53" s="61" t="s">
        <v>1209</v>
      </c>
      <c r="C53" s="62">
        <v>4611591.7699999996</v>
      </c>
      <c r="D53" s="62">
        <v>253637.87</v>
      </c>
      <c r="E53" s="63">
        <v>253633.97</v>
      </c>
    </row>
    <row r="54" spans="1:5" x14ac:dyDescent="0.25">
      <c r="A54" s="57">
        <v>186</v>
      </c>
      <c r="B54" s="61" t="s">
        <v>1210</v>
      </c>
      <c r="C54" s="62">
        <v>6110614.8099999996</v>
      </c>
      <c r="D54" s="62">
        <v>335855.12</v>
      </c>
      <c r="E54" s="63">
        <v>335844.45</v>
      </c>
    </row>
    <row r="55" spans="1:5" x14ac:dyDescent="0.25">
      <c r="A55" s="57">
        <v>191</v>
      </c>
      <c r="B55" s="61" t="s">
        <v>1211</v>
      </c>
      <c r="C55" s="62">
        <v>55506785.890000001</v>
      </c>
      <c r="D55" s="62">
        <v>3052878.72</v>
      </c>
      <c r="E55" s="63">
        <v>3052865.69</v>
      </c>
    </row>
    <row r="56" spans="1:5" x14ac:dyDescent="0.25">
      <c r="A56" s="57">
        <v>192</v>
      </c>
      <c r="B56" s="61" t="s">
        <v>1212</v>
      </c>
      <c r="C56" s="62">
        <v>29160157.66</v>
      </c>
      <c r="D56" s="62">
        <v>1603813.41</v>
      </c>
      <c r="E56" s="63">
        <v>1603807.07</v>
      </c>
    </row>
    <row r="57" spans="1:5" x14ac:dyDescent="0.25">
      <c r="A57" s="57">
        <v>194</v>
      </c>
      <c r="B57" s="61" t="s">
        <v>1213</v>
      </c>
      <c r="C57" s="62">
        <v>51061650.590000004</v>
      </c>
      <c r="D57" s="62">
        <v>2808406.7</v>
      </c>
      <c r="E57" s="63">
        <v>2808386.87</v>
      </c>
    </row>
    <row r="58" spans="1:5" x14ac:dyDescent="0.25">
      <c r="A58" s="57">
        <v>195</v>
      </c>
      <c r="B58" s="61" t="s">
        <v>1214</v>
      </c>
      <c r="C58" s="62">
        <v>2116768.6800000002</v>
      </c>
      <c r="D58" s="62">
        <v>116422.44</v>
      </c>
      <c r="E58" s="63">
        <v>116422.16</v>
      </c>
    </row>
    <row r="59" spans="1:5" x14ac:dyDescent="0.25">
      <c r="A59" s="57">
        <v>196</v>
      </c>
      <c r="B59" s="61" t="s">
        <v>1215</v>
      </c>
      <c r="C59" s="62">
        <v>149622209.65000001</v>
      </c>
      <c r="D59" s="62">
        <v>8229264.2800000003</v>
      </c>
      <c r="E59" s="63">
        <v>8229218.4800000004</v>
      </c>
    </row>
    <row r="60" spans="1:5" x14ac:dyDescent="0.25">
      <c r="A60" s="57">
        <v>197</v>
      </c>
      <c r="B60" s="61" t="s">
        <v>1216</v>
      </c>
      <c r="C60" s="62">
        <v>22417601.23</v>
      </c>
      <c r="D60" s="62">
        <v>1232988.21</v>
      </c>
      <c r="E60" s="63">
        <v>1232973.22</v>
      </c>
    </row>
    <row r="61" spans="1:5" x14ac:dyDescent="0.25">
      <c r="A61" s="57">
        <v>199</v>
      </c>
      <c r="B61" s="61" t="s">
        <v>1217</v>
      </c>
      <c r="C61" s="62">
        <v>16758090.41</v>
      </c>
      <c r="D61" s="62">
        <v>921698.75</v>
      </c>
      <c r="E61" s="63">
        <v>921694.04</v>
      </c>
    </row>
    <row r="62" spans="1:5" x14ac:dyDescent="0.25">
      <c r="A62" s="57">
        <v>200</v>
      </c>
      <c r="B62" s="61" t="s">
        <v>1218</v>
      </c>
      <c r="C62" s="62">
        <v>20822882.379999999</v>
      </c>
      <c r="D62" s="62">
        <v>1145261.6200000001</v>
      </c>
      <c r="E62" s="63">
        <v>1145257.96</v>
      </c>
    </row>
    <row r="63" spans="1:5" x14ac:dyDescent="0.25">
      <c r="A63" s="57">
        <v>203</v>
      </c>
      <c r="B63" s="61" t="s">
        <v>1219</v>
      </c>
      <c r="C63" s="62">
        <v>3335558.09</v>
      </c>
      <c r="D63" s="62">
        <v>183455.47</v>
      </c>
      <c r="E63" s="63">
        <v>183454.9</v>
      </c>
    </row>
    <row r="64" spans="1:5" x14ac:dyDescent="0.25">
      <c r="A64" s="57">
        <v>204</v>
      </c>
      <c r="B64" s="61" t="s">
        <v>1220</v>
      </c>
      <c r="C64" s="62">
        <v>7841789.1100000003</v>
      </c>
      <c r="D64" s="62">
        <v>431298.99</v>
      </c>
      <c r="E64" s="63">
        <v>431298.03</v>
      </c>
    </row>
    <row r="65" spans="1:5" x14ac:dyDescent="0.25">
      <c r="A65" s="57">
        <v>206</v>
      </c>
      <c r="B65" s="61" t="s">
        <v>1221</v>
      </c>
      <c r="C65" s="62">
        <v>18622779.039999999</v>
      </c>
      <c r="D65" s="62">
        <v>1024255.04</v>
      </c>
      <c r="E65" s="63">
        <v>1024252.08</v>
      </c>
    </row>
    <row r="66" spans="1:5" x14ac:dyDescent="0.25">
      <c r="A66" s="57">
        <v>207</v>
      </c>
      <c r="B66" s="61" t="s">
        <v>1222</v>
      </c>
      <c r="C66" s="62">
        <v>983468.31</v>
      </c>
      <c r="D66" s="62">
        <v>54091.07</v>
      </c>
      <c r="E66" s="63">
        <v>54090.720000000001</v>
      </c>
    </row>
    <row r="67" spans="1:5" x14ac:dyDescent="0.25">
      <c r="A67" s="57">
        <v>208</v>
      </c>
      <c r="B67" s="61" t="s">
        <v>1223</v>
      </c>
      <c r="C67" s="62">
        <v>654084.91</v>
      </c>
      <c r="D67" s="62">
        <v>35974.92</v>
      </c>
      <c r="E67" s="63">
        <v>35974.68</v>
      </c>
    </row>
    <row r="68" spans="1:5" x14ac:dyDescent="0.25">
      <c r="A68" s="57">
        <v>213</v>
      </c>
      <c r="B68" s="61" t="s">
        <v>1224</v>
      </c>
      <c r="C68" s="62">
        <v>3045720.54</v>
      </c>
      <c r="D68" s="62">
        <v>167514.84</v>
      </c>
      <c r="E68" s="63">
        <v>167514.38</v>
      </c>
    </row>
    <row r="69" spans="1:5" x14ac:dyDescent="0.25">
      <c r="A69" s="57">
        <v>227</v>
      </c>
      <c r="B69" s="61" t="s">
        <v>1225</v>
      </c>
      <c r="C69" s="62">
        <v>3237387.28</v>
      </c>
      <c r="D69" s="62">
        <v>178056.59</v>
      </c>
      <c r="E69" s="63">
        <v>178055.94</v>
      </c>
    </row>
    <row r="70" spans="1:5" x14ac:dyDescent="0.25">
      <c r="A70" s="57">
        <v>229</v>
      </c>
      <c r="B70" s="61" t="s">
        <v>1226</v>
      </c>
      <c r="C70" s="62">
        <v>1524327.33</v>
      </c>
      <c r="D70" s="62">
        <v>83838</v>
      </c>
      <c r="E70" s="63">
        <v>83837.98</v>
      </c>
    </row>
    <row r="71" spans="1:5" x14ac:dyDescent="0.25">
      <c r="A71" s="57">
        <v>238</v>
      </c>
      <c r="B71" s="61" t="s">
        <v>1227</v>
      </c>
      <c r="C71" s="62">
        <v>1322327.2</v>
      </c>
      <c r="D71" s="62">
        <v>72728.2</v>
      </c>
      <c r="E71" s="63">
        <v>72727.95</v>
      </c>
    </row>
    <row r="72" spans="1:5" x14ac:dyDescent="0.25">
      <c r="A72" s="57">
        <v>239</v>
      </c>
      <c r="B72" s="61" t="s">
        <v>1228</v>
      </c>
      <c r="C72" s="62">
        <v>3030700.27</v>
      </c>
      <c r="D72" s="62">
        <v>166689.48000000001</v>
      </c>
      <c r="E72" s="63">
        <v>166688.85</v>
      </c>
    </row>
    <row r="73" spans="1:5" x14ac:dyDescent="0.25">
      <c r="A73" s="57">
        <v>241</v>
      </c>
      <c r="B73" s="61" t="s">
        <v>1229</v>
      </c>
      <c r="C73" s="62">
        <v>16274056.91</v>
      </c>
      <c r="D73" s="62">
        <v>895072.34</v>
      </c>
      <c r="E73" s="63">
        <v>895078.6</v>
      </c>
    </row>
    <row r="74" spans="1:5" x14ac:dyDescent="0.25">
      <c r="A74" s="57">
        <v>242</v>
      </c>
      <c r="B74" s="61" t="s">
        <v>1230</v>
      </c>
      <c r="C74" s="62">
        <v>2086750.61</v>
      </c>
      <c r="D74" s="62">
        <v>114771.19</v>
      </c>
      <c r="E74" s="63">
        <v>114770.19</v>
      </c>
    </row>
    <row r="75" spans="1:5" x14ac:dyDescent="0.25">
      <c r="A75" s="57">
        <v>252</v>
      </c>
      <c r="B75" s="61" t="s">
        <v>1231</v>
      </c>
      <c r="C75" s="62">
        <v>4731982.4000000004</v>
      </c>
      <c r="D75" s="62">
        <v>260260.35</v>
      </c>
      <c r="E75" s="63">
        <v>260260.24</v>
      </c>
    </row>
    <row r="76" spans="1:5" x14ac:dyDescent="0.25">
      <c r="A76" s="57">
        <v>253</v>
      </c>
      <c r="B76" s="61" t="s">
        <v>1232</v>
      </c>
      <c r="C76" s="62">
        <v>2405371.41</v>
      </c>
      <c r="D76" s="62">
        <v>132295.88</v>
      </c>
      <c r="E76" s="63">
        <v>132295.04999999999</v>
      </c>
    </row>
    <row r="77" spans="1:5" x14ac:dyDescent="0.25">
      <c r="A77" s="57">
        <v>255</v>
      </c>
      <c r="B77" s="61" t="s">
        <v>1233</v>
      </c>
      <c r="C77" s="62">
        <v>4705140.1100000003</v>
      </c>
      <c r="D77" s="62">
        <v>258780.25</v>
      </c>
      <c r="E77" s="63">
        <v>258779.79</v>
      </c>
    </row>
    <row r="78" spans="1:5" x14ac:dyDescent="0.25">
      <c r="A78" s="57">
        <v>256</v>
      </c>
      <c r="B78" s="61" t="s">
        <v>1234</v>
      </c>
      <c r="C78" s="62">
        <v>11721488.810000001</v>
      </c>
      <c r="D78" s="62">
        <v>644685.71</v>
      </c>
      <c r="E78" s="63">
        <v>644679.92000000004</v>
      </c>
    </row>
    <row r="79" spans="1:5" x14ac:dyDescent="0.25">
      <c r="A79" s="57">
        <v>261</v>
      </c>
      <c r="B79" s="61" t="s">
        <v>1235</v>
      </c>
      <c r="C79" s="62">
        <v>1018463.82</v>
      </c>
      <c r="D79" s="62">
        <v>56015.12</v>
      </c>
      <c r="E79" s="63">
        <v>56014.8</v>
      </c>
    </row>
    <row r="80" spans="1:5" x14ac:dyDescent="0.25">
      <c r="A80" s="57">
        <v>264</v>
      </c>
      <c r="B80" s="61" t="s">
        <v>1236</v>
      </c>
      <c r="C80" s="62">
        <v>708827.67</v>
      </c>
      <c r="D80" s="62">
        <v>38985.370000000003</v>
      </c>
      <c r="E80" s="63">
        <v>38985.31</v>
      </c>
    </row>
    <row r="81" spans="1:5" x14ac:dyDescent="0.25">
      <c r="A81" s="57">
        <v>270</v>
      </c>
      <c r="B81" s="61" t="s">
        <v>1237</v>
      </c>
      <c r="C81" s="62">
        <v>42055325.399999999</v>
      </c>
      <c r="D81" s="62">
        <v>2313046.61</v>
      </c>
      <c r="E81" s="63">
        <v>2313044.1800000002</v>
      </c>
    </row>
    <row r="82" spans="1:5" x14ac:dyDescent="0.25">
      <c r="A82" s="57">
        <v>271</v>
      </c>
      <c r="B82" s="61" t="s">
        <v>1238</v>
      </c>
      <c r="C82" s="62">
        <v>55902900.719999999</v>
      </c>
      <c r="D82" s="62">
        <v>3074662.16</v>
      </c>
      <c r="E82" s="63">
        <v>3074644.59</v>
      </c>
    </row>
    <row r="83" spans="1:5" x14ac:dyDescent="0.25">
      <c r="A83" s="57">
        <v>272</v>
      </c>
      <c r="B83" s="61" t="s">
        <v>1239</v>
      </c>
      <c r="C83" s="62">
        <v>49414284.899999999</v>
      </c>
      <c r="D83" s="62">
        <v>2717391.14</v>
      </c>
      <c r="E83" s="63">
        <v>2717381.48</v>
      </c>
    </row>
    <row r="84" spans="1:5" x14ac:dyDescent="0.25">
      <c r="A84" s="57">
        <v>273</v>
      </c>
      <c r="B84" s="61" t="s">
        <v>1240</v>
      </c>
      <c r="C84" s="62">
        <v>41643572.030000001</v>
      </c>
      <c r="D84" s="62">
        <v>2290393.35</v>
      </c>
      <c r="E84" s="63">
        <v>2290382.06</v>
      </c>
    </row>
    <row r="85" spans="1:5" x14ac:dyDescent="0.25">
      <c r="A85" s="57">
        <v>276</v>
      </c>
      <c r="B85" s="61" t="s">
        <v>1241</v>
      </c>
      <c r="C85" s="62">
        <v>45499784.43</v>
      </c>
      <c r="D85" s="62">
        <v>2502493.25</v>
      </c>
      <c r="E85" s="63">
        <v>2502491.62</v>
      </c>
    </row>
    <row r="86" spans="1:5" x14ac:dyDescent="0.25">
      <c r="A86" s="57">
        <v>277</v>
      </c>
      <c r="B86" s="61" t="s">
        <v>1242</v>
      </c>
      <c r="C86" s="62">
        <v>10810720.73</v>
      </c>
      <c r="D86" s="62">
        <v>594591.6</v>
      </c>
      <c r="E86" s="63">
        <v>594589.61</v>
      </c>
    </row>
    <row r="87" spans="1:5" x14ac:dyDescent="0.25">
      <c r="A87" s="57">
        <v>278</v>
      </c>
      <c r="B87" s="61" t="s">
        <v>1243</v>
      </c>
      <c r="C87" s="62">
        <v>13918981.470000001</v>
      </c>
      <c r="D87" s="62">
        <v>765544.38</v>
      </c>
      <c r="E87" s="63">
        <v>765543.92</v>
      </c>
    </row>
    <row r="88" spans="1:5" x14ac:dyDescent="0.25">
      <c r="A88" s="57">
        <v>279</v>
      </c>
      <c r="B88" s="61" t="s">
        <v>1244</v>
      </c>
      <c r="C88" s="62">
        <v>109057944.41</v>
      </c>
      <c r="D88" s="62">
        <v>5998228.79</v>
      </c>
      <c r="E88" s="63">
        <v>5998202.1699999999</v>
      </c>
    </row>
    <row r="89" spans="1:5" x14ac:dyDescent="0.25">
      <c r="A89" s="57">
        <v>280</v>
      </c>
      <c r="B89" s="61" t="s">
        <v>1245</v>
      </c>
      <c r="C89" s="62">
        <v>22375309.27</v>
      </c>
      <c r="D89" s="62">
        <v>1230649.1299999999</v>
      </c>
      <c r="E89" s="63">
        <v>1230641.94</v>
      </c>
    </row>
    <row r="90" spans="1:5" x14ac:dyDescent="0.25">
      <c r="A90" s="57">
        <v>281</v>
      </c>
      <c r="B90" s="61" t="s">
        <v>1246</v>
      </c>
      <c r="C90" s="62">
        <v>58529188.140000001</v>
      </c>
      <c r="D90" s="62">
        <v>3219106.03</v>
      </c>
      <c r="E90" s="63">
        <v>3219097.88</v>
      </c>
    </row>
    <row r="91" spans="1:5" x14ac:dyDescent="0.25">
      <c r="A91" s="57">
        <v>282</v>
      </c>
      <c r="B91" s="61" t="s">
        <v>1247</v>
      </c>
      <c r="C91" s="62">
        <v>7889193.1600000001</v>
      </c>
      <c r="D91" s="62">
        <v>433920.2</v>
      </c>
      <c r="E91" s="63">
        <v>433918.08</v>
      </c>
    </row>
    <row r="92" spans="1:5" x14ac:dyDescent="0.25">
      <c r="A92" s="57">
        <v>283</v>
      </c>
      <c r="B92" s="61" t="s">
        <v>1248</v>
      </c>
      <c r="C92" s="62">
        <v>23314581.219999999</v>
      </c>
      <c r="D92" s="62">
        <v>1281989.1499999999</v>
      </c>
      <c r="E92" s="63">
        <v>1281990.79</v>
      </c>
    </row>
    <row r="93" spans="1:5" x14ac:dyDescent="0.25">
      <c r="A93" s="57">
        <v>284</v>
      </c>
      <c r="B93" s="61" t="s">
        <v>1249</v>
      </c>
      <c r="C93" s="62">
        <v>51816125.149999999</v>
      </c>
      <c r="D93" s="62">
        <v>2849899.52</v>
      </c>
      <c r="E93" s="63">
        <v>2849894.41</v>
      </c>
    </row>
    <row r="94" spans="1:5" x14ac:dyDescent="0.25">
      <c r="A94" s="57">
        <v>286</v>
      </c>
      <c r="B94" s="61" t="s">
        <v>1250</v>
      </c>
      <c r="C94" s="62">
        <v>9904385.5399999991</v>
      </c>
      <c r="D94" s="62">
        <v>544746.13</v>
      </c>
      <c r="E94" s="63">
        <v>544739.52</v>
      </c>
    </row>
    <row r="95" spans="1:5" x14ac:dyDescent="0.25">
      <c r="A95" s="57">
        <v>287</v>
      </c>
      <c r="B95" s="61" t="s">
        <v>1045</v>
      </c>
      <c r="C95" s="62">
        <v>24851808.640000001</v>
      </c>
      <c r="D95" s="62">
        <v>1366853.95</v>
      </c>
      <c r="E95" s="63">
        <v>1366848.35</v>
      </c>
    </row>
    <row r="96" spans="1:5" x14ac:dyDescent="0.25">
      <c r="A96" s="57">
        <v>294</v>
      </c>
      <c r="B96" s="61" t="s">
        <v>1251</v>
      </c>
      <c r="C96" s="62">
        <v>4876521.41</v>
      </c>
      <c r="D96" s="62">
        <v>268213.61</v>
      </c>
      <c r="E96" s="63">
        <v>268208.89</v>
      </c>
    </row>
    <row r="97" spans="1:5" x14ac:dyDescent="0.25">
      <c r="A97" s="57">
        <v>297</v>
      </c>
      <c r="B97" s="61" t="s">
        <v>1252</v>
      </c>
      <c r="C97" s="62">
        <v>1420670.06</v>
      </c>
      <c r="D97" s="62">
        <v>78136.350000000006</v>
      </c>
      <c r="E97" s="63">
        <v>78136.47</v>
      </c>
    </row>
    <row r="98" spans="1:5" x14ac:dyDescent="0.25">
      <c r="A98" s="57">
        <v>299</v>
      </c>
      <c r="B98" s="61" t="s">
        <v>1253</v>
      </c>
      <c r="C98" s="62">
        <v>3107428.68</v>
      </c>
      <c r="D98" s="62">
        <v>170908.99</v>
      </c>
      <c r="E98" s="63">
        <v>170908.5</v>
      </c>
    </row>
    <row r="99" spans="1:5" x14ac:dyDescent="0.25">
      <c r="A99" s="57">
        <v>300</v>
      </c>
      <c r="B99" s="61" t="s">
        <v>1254</v>
      </c>
      <c r="C99" s="62">
        <v>5310711.4400000004</v>
      </c>
      <c r="D99" s="62">
        <v>292090.14</v>
      </c>
      <c r="E99" s="63">
        <v>292089.59999999998</v>
      </c>
    </row>
    <row r="100" spans="1:5" x14ac:dyDescent="0.25">
      <c r="A100" s="57">
        <v>306</v>
      </c>
      <c r="B100" s="61" t="s">
        <v>1255</v>
      </c>
      <c r="C100" s="62">
        <v>1107994.96</v>
      </c>
      <c r="D100" s="62">
        <v>60940.61</v>
      </c>
      <c r="E100" s="63">
        <v>60940.41</v>
      </c>
    </row>
    <row r="101" spans="1:5" x14ac:dyDescent="0.25">
      <c r="A101" s="57">
        <v>308</v>
      </c>
      <c r="B101" s="61" t="s">
        <v>1256</v>
      </c>
      <c r="C101" s="62">
        <v>2170863.52</v>
      </c>
      <c r="D101" s="62">
        <v>119397.79</v>
      </c>
      <c r="E101" s="63">
        <v>119398.96</v>
      </c>
    </row>
    <row r="102" spans="1:5" x14ac:dyDescent="0.25">
      <c r="A102" s="57">
        <v>309</v>
      </c>
      <c r="B102" s="61" t="s">
        <v>1257</v>
      </c>
      <c r="C102" s="62">
        <v>6241860.9400000004</v>
      </c>
      <c r="D102" s="62">
        <v>343302.89</v>
      </c>
      <c r="E102" s="63">
        <v>343301.64</v>
      </c>
    </row>
    <row r="103" spans="1:5" x14ac:dyDescent="0.25">
      <c r="A103" s="57">
        <v>314</v>
      </c>
      <c r="B103" s="61" t="s">
        <v>1258</v>
      </c>
      <c r="C103" s="62">
        <v>3459832.94</v>
      </c>
      <c r="D103" s="62">
        <v>190290.5</v>
      </c>
      <c r="E103" s="63">
        <v>190290.08</v>
      </c>
    </row>
    <row r="104" spans="1:5" x14ac:dyDescent="0.25">
      <c r="A104" s="57">
        <v>316</v>
      </c>
      <c r="B104" s="61" t="s">
        <v>1259</v>
      </c>
      <c r="C104" s="62">
        <v>4071984.62</v>
      </c>
      <c r="D104" s="62">
        <v>223959.26</v>
      </c>
      <c r="E104" s="63">
        <v>223956.25</v>
      </c>
    </row>
    <row r="105" spans="1:5" x14ac:dyDescent="0.25">
      <c r="A105" s="57">
        <v>317</v>
      </c>
      <c r="B105" s="61" t="s">
        <v>1260</v>
      </c>
      <c r="C105" s="62">
        <v>4138704.93</v>
      </c>
      <c r="D105" s="62">
        <v>227629.74</v>
      </c>
      <c r="E105" s="63">
        <v>227628.62</v>
      </c>
    </row>
    <row r="106" spans="1:5" x14ac:dyDescent="0.25">
      <c r="A106" s="57">
        <v>318</v>
      </c>
      <c r="B106" s="61" t="s">
        <v>1261</v>
      </c>
      <c r="C106" s="62">
        <v>15651507.91</v>
      </c>
      <c r="D106" s="62">
        <v>860835.8</v>
      </c>
      <c r="E106" s="63">
        <v>860831.52</v>
      </c>
    </row>
    <row r="107" spans="1:5" x14ac:dyDescent="0.25">
      <c r="A107" s="57">
        <v>319</v>
      </c>
      <c r="B107" s="61" t="s">
        <v>1262</v>
      </c>
      <c r="C107" s="62">
        <v>2459496.88</v>
      </c>
      <c r="D107" s="62">
        <v>135272.62</v>
      </c>
      <c r="E107" s="63">
        <v>135271.4</v>
      </c>
    </row>
    <row r="108" spans="1:5" x14ac:dyDescent="0.25">
      <c r="A108" s="57">
        <v>330</v>
      </c>
      <c r="B108" s="61" t="s">
        <v>1263</v>
      </c>
      <c r="C108" s="62">
        <v>1554804.42</v>
      </c>
      <c r="D108" s="62">
        <v>85508.86</v>
      </c>
      <c r="E108" s="63">
        <v>85508.74</v>
      </c>
    </row>
    <row r="109" spans="1:5" x14ac:dyDescent="0.25">
      <c r="A109" s="57">
        <v>332</v>
      </c>
      <c r="B109" s="61" t="s">
        <v>1264</v>
      </c>
      <c r="C109" s="62">
        <v>7410409.0199999996</v>
      </c>
      <c r="D109" s="62">
        <v>407574.81</v>
      </c>
      <c r="E109" s="63">
        <v>407574.87</v>
      </c>
    </row>
    <row r="110" spans="1:5" x14ac:dyDescent="0.25">
      <c r="A110" s="57">
        <v>333</v>
      </c>
      <c r="B110" s="61" t="s">
        <v>1265</v>
      </c>
      <c r="C110" s="62">
        <v>2404778.31</v>
      </c>
      <c r="D110" s="62">
        <v>132262.5</v>
      </c>
      <c r="E110" s="63">
        <v>132261.98000000001</v>
      </c>
    </row>
    <row r="111" spans="1:5" x14ac:dyDescent="0.25">
      <c r="A111" s="57">
        <v>345</v>
      </c>
      <c r="B111" s="61" t="s">
        <v>1266</v>
      </c>
      <c r="C111" s="62">
        <v>6236876.1699999999</v>
      </c>
      <c r="D111" s="62">
        <v>343029.57</v>
      </c>
      <c r="E111" s="63">
        <v>343030.2</v>
      </c>
    </row>
    <row r="112" spans="1:5" x14ac:dyDescent="0.25">
      <c r="A112" s="57">
        <v>347</v>
      </c>
      <c r="B112" s="61" t="s">
        <v>1267</v>
      </c>
      <c r="C112" s="62">
        <v>18868038.760000002</v>
      </c>
      <c r="D112" s="62">
        <v>1037741.59</v>
      </c>
      <c r="E112" s="63">
        <v>1037738.21</v>
      </c>
    </row>
    <row r="113" spans="1:5" x14ac:dyDescent="0.25">
      <c r="A113" s="57">
        <v>356</v>
      </c>
      <c r="B113" s="61" t="s">
        <v>1268</v>
      </c>
      <c r="C113" s="62">
        <v>956126.96</v>
      </c>
      <c r="D113" s="62">
        <v>52586.65</v>
      </c>
      <c r="E113" s="63">
        <v>52586.35</v>
      </c>
    </row>
    <row r="114" spans="1:5" x14ac:dyDescent="0.25">
      <c r="A114" s="57">
        <v>361</v>
      </c>
      <c r="B114" s="61" t="s">
        <v>1269</v>
      </c>
      <c r="C114" s="62">
        <v>4966647.8499999996</v>
      </c>
      <c r="D114" s="62">
        <v>273166.73</v>
      </c>
      <c r="E114" s="63">
        <v>273166.12</v>
      </c>
    </row>
    <row r="115" spans="1:5" x14ac:dyDescent="0.25">
      <c r="A115" s="57">
        <v>362</v>
      </c>
      <c r="B115" s="61" t="s">
        <v>1270</v>
      </c>
      <c r="C115" s="62">
        <v>1357706.35</v>
      </c>
      <c r="D115" s="62">
        <v>74673.070000000007</v>
      </c>
      <c r="E115" s="63">
        <v>74672.990000000005</v>
      </c>
    </row>
    <row r="116" spans="1:5" x14ac:dyDescent="0.25">
      <c r="A116" s="57">
        <v>363</v>
      </c>
      <c r="B116" s="61" t="s">
        <v>1271</v>
      </c>
      <c r="C116" s="62">
        <v>2163949.27</v>
      </c>
      <c r="D116" s="62">
        <v>119017.46</v>
      </c>
      <c r="E116" s="63">
        <v>119016.85</v>
      </c>
    </row>
    <row r="117" spans="1:5" x14ac:dyDescent="0.25">
      <c r="A117" s="57">
        <v>378</v>
      </c>
      <c r="B117" s="61" t="s">
        <v>1272</v>
      </c>
      <c r="C117" s="62">
        <v>2375501.2599999998</v>
      </c>
      <c r="D117" s="62">
        <v>130652.45</v>
      </c>
      <c r="E117" s="63">
        <v>130651.39</v>
      </c>
    </row>
    <row r="118" spans="1:5" x14ac:dyDescent="0.25">
      <c r="A118" s="57">
        <v>381</v>
      </c>
      <c r="B118" s="61" t="s">
        <v>1273</v>
      </c>
      <c r="C118" s="62">
        <v>6450243</v>
      </c>
      <c r="D118" s="62">
        <v>354762.23</v>
      </c>
      <c r="E118" s="63">
        <v>354761.58</v>
      </c>
    </row>
    <row r="119" spans="1:5" x14ac:dyDescent="0.25">
      <c r="A119" s="57">
        <v>382</v>
      </c>
      <c r="B119" s="61" t="s">
        <v>1046</v>
      </c>
      <c r="C119" s="62">
        <v>776166.91</v>
      </c>
      <c r="D119" s="62">
        <v>42689.01</v>
      </c>
      <c r="E119" s="63">
        <v>42688.99</v>
      </c>
    </row>
    <row r="120" spans="1:5" x14ac:dyDescent="0.25">
      <c r="A120" s="57">
        <v>390</v>
      </c>
      <c r="B120" s="61" t="s">
        <v>1274</v>
      </c>
      <c r="C120" s="62">
        <v>2343373.52</v>
      </c>
      <c r="D120" s="62">
        <v>128885.37</v>
      </c>
      <c r="E120" s="63">
        <v>128884.99</v>
      </c>
    </row>
    <row r="121" spans="1:5" x14ac:dyDescent="0.25">
      <c r="A121" s="57">
        <v>391</v>
      </c>
      <c r="B121" s="61" t="s">
        <v>1275</v>
      </c>
      <c r="C121" s="62">
        <v>1665023.59</v>
      </c>
      <c r="D121" s="62">
        <v>91576.320000000007</v>
      </c>
      <c r="E121" s="63">
        <v>91575.62</v>
      </c>
    </row>
    <row r="122" spans="1:5" x14ac:dyDescent="0.25">
      <c r="A122" s="57">
        <v>392</v>
      </c>
      <c r="B122" s="61" t="s">
        <v>1276</v>
      </c>
      <c r="C122" s="62">
        <v>2558961.89</v>
      </c>
      <c r="D122" s="62">
        <v>140742.82</v>
      </c>
      <c r="E122" s="63">
        <v>140742.03</v>
      </c>
    </row>
    <row r="123" spans="1:5" x14ac:dyDescent="0.25">
      <c r="A123" s="57">
        <v>394</v>
      </c>
      <c r="B123" s="61" t="s">
        <v>1277</v>
      </c>
      <c r="C123" s="62">
        <v>4064417.86</v>
      </c>
      <c r="D123" s="62">
        <v>223543.06</v>
      </c>
      <c r="E123" s="63">
        <v>223541.95</v>
      </c>
    </row>
    <row r="124" spans="1:5" x14ac:dyDescent="0.25">
      <c r="A124" s="57">
        <v>397</v>
      </c>
      <c r="B124" s="61" t="s">
        <v>1047</v>
      </c>
      <c r="C124" s="62">
        <v>659376.31999999995</v>
      </c>
      <c r="D124" s="62">
        <v>36265.629999999997</v>
      </c>
      <c r="E124" s="63">
        <v>36265.589999999997</v>
      </c>
    </row>
    <row r="125" spans="1:5" x14ac:dyDescent="0.25">
      <c r="A125" s="57">
        <v>398</v>
      </c>
      <c r="B125" s="61" t="s">
        <v>1048</v>
      </c>
      <c r="C125" s="62">
        <v>696899.12</v>
      </c>
      <c r="D125" s="62">
        <v>38329.42</v>
      </c>
      <c r="E125" s="63">
        <v>38329.300000000003</v>
      </c>
    </row>
    <row r="126" spans="1:5" x14ac:dyDescent="0.25">
      <c r="A126" s="57">
        <v>402</v>
      </c>
      <c r="B126" s="61" t="s">
        <v>1278</v>
      </c>
      <c r="C126" s="62">
        <v>553003.82999999996</v>
      </c>
      <c r="D126" s="62">
        <v>30415.21</v>
      </c>
      <c r="E126" s="63">
        <v>30414.99</v>
      </c>
    </row>
    <row r="127" spans="1:5" x14ac:dyDescent="0.25">
      <c r="A127" s="57">
        <v>403</v>
      </c>
      <c r="B127" s="61" t="s">
        <v>1279</v>
      </c>
      <c r="C127" s="62">
        <v>654334.29</v>
      </c>
      <c r="D127" s="62">
        <v>35988.449999999997</v>
      </c>
      <c r="E127" s="63">
        <v>35988.660000000003</v>
      </c>
    </row>
    <row r="128" spans="1:5" x14ac:dyDescent="0.25">
      <c r="A128" s="57">
        <v>404</v>
      </c>
      <c r="B128" s="61" t="s">
        <v>1280</v>
      </c>
      <c r="C128" s="62">
        <v>545252.81999999995</v>
      </c>
      <c r="D128" s="62">
        <v>29988.92</v>
      </c>
      <c r="E128" s="63">
        <v>29988.91</v>
      </c>
    </row>
    <row r="129" spans="1:5" x14ac:dyDescent="0.25">
      <c r="A129" s="57">
        <v>413</v>
      </c>
      <c r="B129" s="61" t="s">
        <v>1281</v>
      </c>
      <c r="C129" s="62">
        <v>10297109.52</v>
      </c>
      <c r="D129" s="62">
        <v>566342.29</v>
      </c>
      <c r="E129" s="63">
        <v>566349.52</v>
      </c>
    </row>
    <row r="130" spans="1:5" x14ac:dyDescent="0.25">
      <c r="A130" s="57">
        <v>414</v>
      </c>
      <c r="B130" s="61" t="s">
        <v>1282</v>
      </c>
      <c r="C130" s="62">
        <v>2026469.28</v>
      </c>
      <c r="D130" s="62">
        <v>111455.73</v>
      </c>
      <c r="E130" s="63">
        <v>111455.62</v>
      </c>
    </row>
    <row r="131" spans="1:5" x14ac:dyDescent="0.25">
      <c r="A131" s="57">
        <v>415</v>
      </c>
      <c r="B131" s="61" t="s">
        <v>1283</v>
      </c>
      <c r="C131" s="62">
        <v>808912.74</v>
      </c>
      <c r="D131" s="62">
        <v>44490.65</v>
      </c>
      <c r="E131" s="63">
        <v>44490.05</v>
      </c>
    </row>
    <row r="132" spans="1:5" x14ac:dyDescent="0.25">
      <c r="A132" s="57">
        <v>423</v>
      </c>
      <c r="B132" s="61" t="s">
        <v>1284</v>
      </c>
      <c r="C132" s="62">
        <v>11807430.560000001</v>
      </c>
      <c r="D132" s="62">
        <v>649408.02</v>
      </c>
      <c r="E132" s="63">
        <v>649408.77</v>
      </c>
    </row>
    <row r="133" spans="1:5" x14ac:dyDescent="0.25">
      <c r="A133" s="57">
        <v>424</v>
      </c>
      <c r="B133" s="61" t="s">
        <v>1285</v>
      </c>
      <c r="C133" s="62">
        <v>1460233.71</v>
      </c>
      <c r="D133" s="62">
        <v>80313.100000000006</v>
      </c>
      <c r="E133" s="63">
        <v>80313.05</v>
      </c>
    </row>
    <row r="134" spans="1:5" x14ac:dyDescent="0.25">
      <c r="A134" s="57">
        <v>432</v>
      </c>
      <c r="B134" s="61" t="s">
        <v>1286</v>
      </c>
      <c r="C134" s="62">
        <v>3090163.15</v>
      </c>
      <c r="D134" s="62">
        <v>169959.43</v>
      </c>
      <c r="E134" s="63">
        <v>169959.03</v>
      </c>
    </row>
    <row r="135" spans="1:5" x14ac:dyDescent="0.25">
      <c r="A135" s="57">
        <v>435</v>
      </c>
      <c r="B135" s="61" t="s">
        <v>1287</v>
      </c>
      <c r="C135" s="62">
        <v>3036364.3</v>
      </c>
      <c r="D135" s="62">
        <v>167000.07999999999</v>
      </c>
      <c r="E135" s="63">
        <v>166999.21</v>
      </c>
    </row>
    <row r="136" spans="1:5" x14ac:dyDescent="0.25">
      <c r="A136" s="57">
        <v>441</v>
      </c>
      <c r="B136" s="61" t="s">
        <v>1288</v>
      </c>
      <c r="C136" s="62">
        <v>1843912.92</v>
      </c>
      <c r="D136" s="62">
        <v>101415.76</v>
      </c>
      <c r="E136" s="63">
        <v>101415.34</v>
      </c>
    </row>
    <row r="137" spans="1:5" x14ac:dyDescent="0.25">
      <c r="A137" s="57">
        <v>447</v>
      </c>
      <c r="B137" s="61" t="s">
        <v>1289</v>
      </c>
      <c r="C137" s="62">
        <v>1213437.1299999999</v>
      </c>
      <c r="D137" s="62">
        <v>66738.92</v>
      </c>
      <c r="E137" s="63">
        <v>66738.53</v>
      </c>
    </row>
    <row r="138" spans="1:5" x14ac:dyDescent="0.25">
      <c r="A138" s="57">
        <v>458</v>
      </c>
      <c r="B138" s="61" t="s">
        <v>1290</v>
      </c>
      <c r="C138" s="62">
        <v>1300937.42</v>
      </c>
      <c r="D138" s="62">
        <v>71551.16</v>
      </c>
      <c r="E138" s="63">
        <v>71550.84</v>
      </c>
    </row>
    <row r="139" spans="1:5" x14ac:dyDescent="0.25">
      <c r="A139" s="57">
        <v>463</v>
      </c>
      <c r="B139" s="61" t="s">
        <v>1291</v>
      </c>
      <c r="C139" s="62">
        <v>3697942.61</v>
      </c>
      <c r="D139" s="62">
        <v>203385.95</v>
      </c>
      <c r="E139" s="63">
        <v>203384.03</v>
      </c>
    </row>
    <row r="140" spans="1:5" x14ac:dyDescent="0.25">
      <c r="A140" s="57">
        <v>465</v>
      </c>
      <c r="B140" s="61" t="s">
        <v>1292</v>
      </c>
      <c r="C140" s="62">
        <v>6924602.2000000002</v>
      </c>
      <c r="D140" s="62">
        <v>380844.33</v>
      </c>
      <c r="E140" s="63">
        <v>380843.21</v>
      </c>
    </row>
    <row r="141" spans="1:5" x14ac:dyDescent="0.25">
      <c r="A141" s="57">
        <v>466</v>
      </c>
      <c r="B141" s="61" t="s">
        <v>1293</v>
      </c>
      <c r="C141" s="62">
        <v>8908565.5600000005</v>
      </c>
      <c r="D141" s="62">
        <v>489970.65</v>
      </c>
      <c r="E141" s="63">
        <v>489968.69</v>
      </c>
    </row>
    <row r="142" spans="1:5" x14ac:dyDescent="0.25">
      <c r="A142" s="57">
        <v>473</v>
      </c>
      <c r="B142" s="61" t="s">
        <v>1294</v>
      </c>
      <c r="C142" s="62">
        <v>2138263.17</v>
      </c>
      <c r="D142" s="62">
        <v>117604.61</v>
      </c>
      <c r="E142" s="63">
        <v>117604.97</v>
      </c>
    </row>
    <row r="143" spans="1:5" x14ac:dyDescent="0.25">
      <c r="A143" s="57">
        <v>477</v>
      </c>
      <c r="B143" s="61" t="s">
        <v>1295</v>
      </c>
      <c r="C143" s="62">
        <v>12571534.539999999</v>
      </c>
      <c r="D143" s="62">
        <v>691065.99</v>
      </c>
      <c r="E143" s="63">
        <v>691064.74</v>
      </c>
    </row>
    <row r="144" spans="1:5" x14ac:dyDescent="0.25">
      <c r="A144" s="57">
        <v>480</v>
      </c>
      <c r="B144" s="61" t="s">
        <v>1296</v>
      </c>
      <c r="C144" s="62">
        <v>3715288.32</v>
      </c>
      <c r="D144" s="62">
        <v>204341.53</v>
      </c>
      <c r="E144" s="63">
        <v>204341.27</v>
      </c>
    </row>
    <row r="145" spans="1:5" x14ac:dyDescent="0.25">
      <c r="A145" s="57">
        <v>482</v>
      </c>
      <c r="B145" s="61" t="s">
        <v>1297</v>
      </c>
      <c r="C145" s="62">
        <v>11461816.970000001</v>
      </c>
      <c r="D145" s="62">
        <v>630373.75</v>
      </c>
      <c r="E145" s="63">
        <v>630370.72</v>
      </c>
    </row>
    <row r="146" spans="1:5" x14ac:dyDescent="0.25">
      <c r="A146" s="57">
        <v>484</v>
      </c>
      <c r="B146" s="61" t="s">
        <v>1298</v>
      </c>
      <c r="C146" s="62">
        <v>4239767.6500000004</v>
      </c>
      <c r="D146" s="62">
        <v>233188.94</v>
      </c>
      <c r="E146" s="63">
        <v>233188.76</v>
      </c>
    </row>
    <row r="147" spans="1:5" x14ac:dyDescent="0.25">
      <c r="A147" s="57">
        <v>485</v>
      </c>
      <c r="B147" s="61" t="s">
        <v>1299</v>
      </c>
      <c r="C147" s="62">
        <v>2918353.46</v>
      </c>
      <c r="D147" s="62">
        <v>160509.91</v>
      </c>
      <c r="E147" s="63">
        <v>160509.89000000001</v>
      </c>
    </row>
    <row r="148" spans="1:5" x14ac:dyDescent="0.25">
      <c r="A148" s="57">
        <v>486</v>
      </c>
      <c r="B148" s="61" t="s">
        <v>1300</v>
      </c>
      <c r="C148" s="62">
        <v>1577140.15</v>
      </c>
      <c r="D148" s="62">
        <v>86742.76</v>
      </c>
      <c r="E148" s="63">
        <v>86742.21</v>
      </c>
    </row>
    <row r="149" spans="1:5" x14ac:dyDescent="0.25">
      <c r="A149" s="57">
        <v>487</v>
      </c>
      <c r="B149" s="61" t="s">
        <v>1301</v>
      </c>
      <c r="C149" s="62">
        <v>1386391.48</v>
      </c>
      <c r="D149" s="62">
        <v>76251.509999999995</v>
      </c>
      <c r="E149" s="63">
        <v>76251.58</v>
      </c>
    </row>
    <row r="150" spans="1:5" x14ac:dyDescent="0.25">
      <c r="A150" s="57">
        <v>492</v>
      </c>
      <c r="B150" s="61" t="s">
        <v>1302</v>
      </c>
      <c r="C150" s="62">
        <v>20459004.68</v>
      </c>
      <c r="D150" s="62">
        <v>1125239.3400000001</v>
      </c>
      <c r="E150" s="63">
        <v>1125234.2</v>
      </c>
    </row>
    <row r="151" spans="1:5" x14ac:dyDescent="0.25">
      <c r="A151" s="57">
        <v>495</v>
      </c>
      <c r="B151" s="61" t="s">
        <v>1303</v>
      </c>
      <c r="C151" s="62">
        <v>1683642.34</v>
      </c>
      <c r="D151" s="62">
        <v>92600.6</v>
      </c>
      <c r="E151" s="63">
        <v>92600.34</v>
      </c>
    </row>
    <row r="152" spans="1:5" x14ac:dyDescent="0.25">
      <c r="A152" s="57">
        <v>497</v>
      </c>
      <c r="B152" s="61" t="s">
        <v>1304</v>
      </c>
      <c r="C152" s="62">
        <v>1292525.3700000001</v>
      </c>
      <c r="D152" s="62">
        <v>71088.67</v>
      </c>
      <c r="E152" s="63">
        <v>71088.53</v>
      </c>
    </row>
    <row r="153" spans="1:5" x14ac:dyDescent="0.25">
      <c r="A153" s="57">
        <v>499</v>
      </c>
      <c r="B153" s="61" t="s">
        <v>1305</v>
      </c>
      <c r="C153" s="62">
        <v>1305640.98</v>
      </c>
      <c r="D153" s="62">
        <v>71810.289999999994</v>
      </c>
      <c r="E153" s="63">
        <v>71810.12</v>
      </c>
    </row>
    <row r="154" spans="1:5" x14ac:dyDescent="0.25">
      <c r="A154" s="57">
        <v>500</v>
      </c>
      <c r="B154" s="61" t="s">
        <v>1306</v>
      </c>
      <c r="C154" s="62">
        <v>2604928.98</v>
      </c>
      <c r="D154" s="62">
        <v>143270.60999999999</v>
      </c>
      <c r="E154" s="63">
        <v>143270.81</v>
      </c>
    </row>
    <row r="155" spans="1:5" x14ac:dyDescent="0.25">
      <c r="A155" s="57">
        <v>505</v>
      </c>
      <c r="B155" s="61" t="s">
        <v>1307</v>
      </c>
      <c r="C155" s="62">
        <v>2033575.11</v>
      </c>
      <c r="D155" s="62">
        <v>111846.92</v>
      </c>
      <c r="E155" s="63">
        <v>111845.6</v>
      </c>
    </row>
    <row r="156" spans="1:5" x14ac:dyDescent="0.25">
      <c r="A156" s="57">
        <v>507</v>
      </c>
      <c r="B156" s="61" t="s">
        <v>1308</v>
      </c>
      <c r="C156" s="62">
        <v>1328429.1200000001</v>
      </c>
      <c r="D156" s="62">
        <v>73063.62</v>
      </c>
      <c r="E156" s="63">
        <v>73063.33</v>
      </c>
    </row>
    <row r="157" spans="1:5" x14ac:dyDescent="0.25">
      <c r="A157" s="57">
        <v>508</v>
      </c>
      <c r="B157" s="61" t="s">
        <v>1309</v>
      </c>
      <c r="C157" s="62">
        <v>7734052.4400000004</v>
      </c>
      <c r="D157" s="62">
        <v>425374.19</v>
      </c>
      <c r="E157" s="63">
        <v>425375.39</v>
      </c>
    </row>
    <row r="158" spans="1:5" x14ac:dyDescent="0.25">
      <c r="A158" s="57">
        <v>511</v>
      </c>
      <c r="B158" s="61" t="s">
        <v>1310</v>
      </c>
      <c r="C158" s="62">
        <v>2408363.63</v>
      </c>
      <c r="D158" s="62">
        <v>132460.07</v>
      </c>
      <c r="E158" s="63">
        <v>132459.78</v>
      </c>
    </row>
    <row r="159" spans="1:5" x14ac:dyDescent="0.25">
      <c r="A159" s="57">
        <v>513</v>
      </c>
      <c r="B159" s="61" t="s">
        <v>1311</v>
      </c>
      <c r="C159" s="62">
        <v>751086.48</v>
      </c>
      <c r="D159" s="62">
        <v>41309.78</v>
      </c>
      <c r="E159" s="63">
        <v>41309.699999999997</v>
      </c>
    </row>
    <row r="160" spans="1:5" x14ac:dyDescent="0.25">
      <c r="A160" s="57">
        <v>514</v>
      </c>
      <c r="B160" s="61" t="s">
        <v>1312</v>
      </c>
      <c r="C160" s="62">
        <v>793467.27</v>
      </c>
      <c r="D160" s="62">
        <v>43640.67</v>
      </c>
      <c r="E160" s="63">
        <v>43640.57</v>
      </c>
    </row>
    <row r="161" spans="1:5" x14ac:dyDescent="0.25">
      <c r="A161" s="57">
        <v>516</v>
      </c>
      <c r="B161" s="61" t="s">
        <v>1313</v>
      </c>
      <c r="C161" s="62">
        <v>603295.79</v>
      </c>
      <c r="D161" s="62">
        <v>33181.22</v>
      </c>
      <c r="E161" s="63">
        <v>33181.230000000003</v>
      </c>
    </row>
    <row r="162" spans="1:5" x14ac:dyDescent="0.25">
      <c r="A162" s="57">
        <v>518</v>
      </c>
      <c r="B162" s="61" t="s">
        <v>1314</v>
      </c>
      <c r="C162" s="62">
        <v>10944715.810000001</v>
      </c>
      <c r="D162" s="62">
        <v>601954.01</v>
      </c>
      <c r="E162" s="63">
        <v>601955.17000000004</v>
      </c>
    </row>
    <row r="163" spans="1:5" x14ac:dyDescent="0.25">
      <c r="A163" s="57">
        <v>531</v>
      </c>
      <c r="B163" s="61" t="s">
        <v>1315</v>
      </c>
      <c r="C163" s="62">
        <v>5936635.9400000004</v>
      </c>
      <c r="D163" s="62">
        <v>326515.65999999997</v>
      </c>
      <c r="E163" s="63">
        <v>326469.65999999997</v>
      </c>
    </row>
    <row r="164" spans="1:5" x14ac:dyDescent="0.25">
      <c r="A164" s="57">
        <v>533</v>
      </c>
      <c r="B164" s="61" t="s">
        <v>1316</v>
      </c>
      <c r="C164" s="62">
        <v>4420805.37</v>
      </c>
      <c r="D164" s="62">
        <v>243144.78</v>
      </c>
      <c r="E164" s="63">
        <v>243144.01</v>
      </c>
    </row>
    <row r="165" spans="1:5" x14ac:dyDescent="0.25">
      <c r="A165" s="57">
        <v>534</v>
      </c>
      <c r="B165" s="61" t="s">
        <v>1317</v>
      </c>
      <c r="C165" s="62">
        <v>7277079.5599999996</v>
      </c>
      <c r="D165" s="62">
        <v>400239.42</v>
      </c>
      <c r="E165" s="63">
        <v>400238.99</v>
      </c>
    </row>
    <row r="166" spans="1:5" x14ac:dyDescent="0.25">
      <c r="A166" s="57">
        <v>535</v>
      </c>
      <c r="B166" s="61" t="s">
        <v>1318</v>
      </c>
      <c r="C166" s="62">
        <v>69649685.090000004</v>
      </c>
      <c r="D166" s="62">
        <v>3830739.61</v>
      </c>
      <c r="E166" s="63">
        <v>3830735.52</v>
      </c>
    </row>
    <row r="167" spans="1:5" x14ac:dyDescent="0.25">
      <c r="A167" s="57">
        <v>542</v>
      </c>
      <c r="B167" s="61" t="s">
        <v>1319</v>
      </c>
      <c r="C167" s="62">
        <v>2146551</v>
      </c>
      <c r="D167" s="62">
        <v>118060.8</v>
      </c>
      <c r="E167" s="63">
        <v>118060.22</v>
      </c>
    </row>
    <row r="168" spans="1:5" x14ac:dyDescent="0.25">
      <c r="A168" s="57">
        <v>544</v>
      </c>
      <c r="B168" s="61" t="s">
        <v>1320</v>
      </c>
      <c r="C168" s="62">
        <v>8903020.5899999999</v>
      </c>
      <c r="D168" s="62">
        <v>489665.82</v>
      </c>
      <c r="E168" s="63">
        <v>489665.18</v>
      </c>
    </row>
    <row r="169" spans="1:5" x14ac:dyDescent="0.25">
      <c r="A169" s="57">
        <v>545</v>
      </c>
      <c r="B169" s="61" t="s">
        <v>1321</v>
      </c>
      <c r="C169" s="62">
        <v>1684753.66</v>
      </c>
      <c r="D169" s="62">
        <v>92661.16</v>
      </c>
      <c r="E169" s="63">
        <v>92661.2</v>
      </c>
    </row>
    <row r="170" spans="1:5" x14ac:dyDescent="0.25">
      <c r="A170" s="57">
        <v>547</v>
      </c>
      <c r="B170" s="61" t="s">
        <v>1322</v>
      </c>
      <c r="C170" s="62">
        <v>2184502.7000000002</v>
      </c>
      <c r="D170" s="62">
        <v>120147.15</v>
      </c>
      <c r="E170" s="63">
        <v>120146.13</v>
      </c>
    </row>
    <row r="171" spans="1:5" x14ac:dyDescent="0.25">
      <c r="A171" s="57">
        <v>548</v>
      </c>
      <c r="B171" s="61" t="s">
        <v>1323</v>
      </c>
      <c r="C171" s="62">
        <v>3912985.15</v>
      </c>
      <c r="D171" s="62">
        <v>215215.16</v>
      </c>
      <c r="E171" s="63">
        <v>215212.34</v>
      </c>
    </row>
    <row r="172" spans="1:5" x14ac:dyDescent="0.25">
      <c r="A172" s="57">
        <v>549</v>
      </c>
      <c r="B172" s="61" t="s">
        <v>1324</v>
      </c>
      <c r="C172" s="62">
        <v>5675245.6699999999</v>
      </c>
      <c r="D172" s="62">
        <v>312137.83</v>
      </c>
      <c r="E172" s="63">
        <v>312136.57</v>
      </c>
    </row>
    <row r="173" spans="1:5" x14ac:dyDescent="0.25">
      <c r="A173" s="57">
        <v>550</v>
      </c>
      <c r="B173" s="61" t="s">
        <v>1325</v>
      </c>
      <c r="C173" s="62">
        <v>1868746.48</v>
      </c>
      <c r="D173" s="62">
        <v>102781.19</v>
      </c>
      <c r="E173" s="63">
        <v>102780.92</v>
      </c>
    </row>
    <row r="174" spans="1:5" x14ac:dyDescent="0.25">
      <c r="A174" s="57">
        <v>553</v>
      </c>
      <c r="B174" s="61" t="s">
        <v>1326</v>
      </c>
      <c r="C174" s="62">
        <v>2687788.65</v>
      </c>
      <c r="D174" s="62">
        <v>147827.96</v>
      </c>
      <c r="E174" s="63">
        <v>147827.71</v>
      </c>
    </row>
    <row r="175" spans="1:5" x14ac:dyDescent="0.25">
      <c r="A175" s="57">
        <v>561</v>
      </c>
      <c r="B175" s="61" t="s">
        <v>1327</v>
      </c>
      <c r="C175" s="62">
        <v>1036280.37</v>
      </c>
      <c r="D175" s="62">
        <v>56995.14</v>
      </c>
      <c r="E175" s="63">
        <v>56994.86</v>
      </c>
    </row>
    <row r="176" spans="1:5" x14ac:dyDescent="0.25">
      <c r="A176" s="57">
        <v>564</v>
      </c>
      <c r="B176" s="61" t="s">
        <v>1328</v>
      </c>
      <c r="C176" s="62">
        <v>8554860.0800000001</v>
      </c>
      <c r="D176" s="62">
        <v>470515.88</v>
      </c>
      <c r="E176" s="63">
        <v>470514.27</v>
      </c>
    </row>
    <row r="177" spans="1:5" x14ac:dyDescent="0.25">
      <c r="A177" s="57">
        <v>577</v>
      </c>
      <c r="B177" s="61" t="s">
        <v>1329</v>
      </c>
      <c r="C177" s="62">
        <v>1977031.98</v>
      </c>
      <c r="D177" s="62">
        <v>108736.58</v>
      </c>
      <c r="E177" s="63">
        <v>108736.39</v>
      </c>
    </row>
    <row r="178" spans="1:5" x14ac:dyDescent="0.25">
      <c r="A178" s="57">
        <v>578</v>
      </c>
      <c r="B178" s="61" t="s">
        <v>1330</v>
      </c>
      <c r="C178" s="62">
        <v>7397185.7699999996</v>
      </c>
      <c r="D178" s="62">
        <v>406845.02</v>
      </c>
      <c r="E178" s="63">
        <v>406844.35</v>
      </c>
    </row>
    <row r="179" spans="1:5" x14ac:dyDescent="0.25">
      <c r="A179" s="57">
        <v>581</v>
      </c>
      <c r="B179" s="61" t="s">
        <v>1331</v>
      </c>
      <c r="C179" s="62">
        <v>1430812.49</v>
      </c>
      <c r="D179" s="62">
        <v>78694.66</v>
      </c>
      <c r="E179" s="63">
        <v>78694.570000000007</v>
      </c>
    </row>
    <row r="180" spans="1:5" x14ac:dyDescent="0.25">
      <c r="A180" s="57">
        <v>592</v>
      </c>
      <c r="B180" s="61" t="s">
        <v>1332</v>
      </c>
      <c r="C180" s="62">
        <v>866462.1</v>
      </c>
      <c r="D180" s="62">
        <v>47655.65</v>
      </c>
      <c r="E180" s="63">
        <v>47655.3</v>
      </c>
    </row>
    <row r="181" spans="1:5" x14ac:dyDescent="0.25">
      <c r="A181" s="57">
        <v>593</v>
      </c>
      <c r="B181" s="61" t="s">
        <v>1333</v>
      </c>
      <c r="C181" s="62">
        <v>5117062.5</v>
      </c>
      <c r="D181" s="62">
        <v>281452.15999999997</v>
      </c>
      <c r="E181" s="63">
        <v>281451.78999999998</v>
      </c>
    </row>
    <row r="182" spans="1:5" x14ac:dyDescent="0.25">
      <c r="A182" s="57">
        <v>595</v>
      </c>
      <c r="B182" s="61" t="s">
        <v>1334</v>
      </c>
      <c r="C182" s="62">
        <v>6692094.7000000002</v>
      </c>
      <c r="D182" s="62">
        <v>368067.07</v>
      </c>
      <c r="E182" s="63">
        <v>368066.94</v>
      </c>
    </row>
    <row r="183" spans="1:5" x14ac:dyDescent="0.25">
      <c r="A183" s="57">
        <v>599</v>
      </c>
      <c r="B183" s="61" t="s">
        <v>1335</v>
      </c>
      <c r="C183" s="62">
        <v>2110224.29</v>
      </c>
      <c r="D183" s="62">
        <v>116062.66</v>
      </c>
      <c r="E183" s="63">
        <v>116062.46</v>
      </c>
    </row>
    <row r="184" spans="1:5" x14ac:dyDescent="0.25">
      <c r="A184" s="57">
        <v>600</v>
      </c>
      <c r="B184" s="61" t="s">
        <v>1336</v>
      </c>
      <c r="C184" s="62">
        <v>1130003.47</v>
      </c>
      <c r="D184" s="62">
        <v>62150.09</v>
      </c>
      <c r="E184" s="63">
        <v>62149.83</v>
      </c>
    </row>
    <row r="185" spans="1:5" x14ac:dyDescent="0.25">
      <c r="A185" s="57">
        <v>601</v>
      </c>
      <c r="B185" s="61" t="s">
        <v>1337</v>
      </c>
      <c r="C185" s="62">
        <v>2851009.87</v>
      </c>
      <c r="D185" s="62">
        <v>156806.17000000001</v>
      </c>
      <c r="E185" s="63">
        <v>156805.56</v>
      </c>
    </row>
    <row r="186" spans="1:5" x14ac:dyDescent="0.25">
      <c r="A186" s="57">
        <v>611</v>
      </c>
      <c r="B186" s="61" t="s">
        <v>1338</v>
      </c>
      <c r="C186" s="62">
        <v>257020.21</v>
      </c>
      <c r="D186" s="62">
        <v>14136.41</v>
      </c>
      <c r="E186" s="63">
        <v>14136.43</v>
      </c>
    </row>
    <row r="187" spans="1:5" x14ac:dyDescent="0.25">
      <c r="A187" s="57">
        <v>621</v>
      </c>
      <c r="B187" s="61" t="s">
        <v>1339</v>
      </c>
      <c r="C187" s="62">
        <v>47385959.520000003</v>
      </c>
      <c r="D187" s="62">
        <v>2606230.15</v>
      </c>
      <c r="E187" s="63">
        <v>2606236.0499999998</v>
      </c>
    </row>
    <row r="188" spans="1:5" x14ac:dyDescent="0.25">
      <c r="A188" s="57">
        <v>622</v>
      </c>
      <c r="B188" s="61" t="s">
        <v>1340</v>
      </c>
      <c r="C188" s="62">
        <v>50140125.219999999</v>
      </c>
      <c r="D188" s="62">
        <v>2755662.48</v>
      </c>
      <c r="E188" s="63">
        <v>2755662.92</v>
      </c>
    </row>
    <row r="189" spans="1:5" x14ac:dyDescent="0.25">
      <c r="A189" s="57">
        <v>623</v>
      </c>
      <c r="B189" s="61" t="s">
        <v>1341</v>
      </c>
      <c r="C189" s="62">
        <v>34312383.049999997</v>
      </c>
      <c r="D189" s="62">
        <v>1887185.48</v>
      </c>
      <c r="E189" s="63">
        <v>1887178.56</v>
      </c>
    </row>
    <row r="190" spans="1:5" x14ac:dyDescent="0.25">
      <c r="A190" s="57">
        <v>624</v>
      </c>
      <c r="B190" s="61" t="s">
        <v>1342</v>
      </c>
      <c r="C190" s="62">
        <v>38434296.289999999</v>
      </c>
      <c r="D190" s="62">
        <v>2113877.0499999998</v>
      </c>
      <c r="E190" s="63">
        <v>2113871.9300000002</v>
      </c>
    </row>
    <row r="191" spans="1:5" x14ac:dyDescent="0.25">
      <c r="A191" s="57">
        <v>627</v>
      </c>
      <c r="B191" s="61" t="s">
        <v>1343</v>
      </c>
      <c r="C191" s="62">
        <v>828657.98</v>
      </c>
      <c r="D191" s="62">
        <v>45575.99</v>
      </c>
      <c r="E191" s="63">
        <v>45576.04</v>
      </c>
    </row>
    <row r="192" spans="1:5" x14ac:dyDescent="0.25">
      <c r="A192" s="57">
        <v>628</v>
      </c>
      <c r="B192" s="61" t="s">
        <v>1344</v>
      </c>
      <c r="C192" s="62">
        <v>1025161.06</v>
      </c>
      <c r="D192" s="62">
        <v>56383.94</v>
      </c>
      <c r="E192" s="63">
        <v>56383.68</v>
      </c>
    </row>
    <row r="193" spans="1:5" x14ac:dyDescent="0.25">
      <c r="A193" s="57">
        <v>630</v>
      </c>
      <c r="B193" s="61" t="s">
        <v>1345</v>
      </c>
      <c r="C193" s="62">
        <v>1948179.96</v>
      </c>
      <c r="D193" s="62">
        <v>107150.43</v>
      </c>
      <c r="E193" s="63">
        <v>107150.18</v>
      </c>
    </row>
    <row r="194" spans="1:5" x14ac:dyDescent="0.25">
      <c r="A194" s="57">
        <v>635</v>
      </c>
      <c r="B194" s="61" t="s">
        <v>1346</v>
      </c>
      <c r="C194" s="62">
        <v>264046.69</v>
      </c>
      <c r="D194" s="62">
        <v>14522.69</v>
      </c>
      <c r="E194" s="63">
        <v>14522.25</v>
      </c>
    </row>
    <row r="195" spans="1:5" x14ac:dyDescent="0.25">
      <c r="A195" s="57">
        <v>640</v>
      </c>
      <c r="B195" s="61" t="s">
        <v>1347</v>
      </c>
      <c r="C195" s="62">
        <v>1882717.58</v>
      </c>
      <c r="D195" s="62">
        <v>103549.49</v>
      </c>
      <c r="E195" s="63">
        <v>103548.78</v>
      </c>
    </row>
    <row r="196" spans="1:5" x14ac:dyDescent="0.25">
      <c r="A196" s="57">
        <v>656</v>
      </c>
      <c r="B196" s="61" t="s">
        <v>1348</v>
      </c>
      <c r="C196" s="62">
        <v>17336919.039999999</v>
      </c>
      <c r="D196" s="62">
        <v>953531.98</v>
      </c>
      <c r="E196" s="63">
        <v>953531.27</v>
      </c>
    </row>
    <row r="197" spans="1:5" x14ac:dyDescent="0.25">
      <c r="A197" s="57">
        <v>659</v>
      </c>
      <c r="B197" s="61" t="s">
        <v>1349</v>
      </c>
      <c r="C197" s="62">
        <v>17555344.199999999</v>
      </c>
      <c r="D197" s="62">
        <v>965543.56</v>
      </c>
      <c r="E197" s="63">
        <v>965544.64</v>
      </c>
    </row>
    <row r="198" spans="1:5" x14ac:dyDescent="0.25">
      <c r="A198" s="57">
        <v>671</v>
      </c>
      <c r="B198" s="61" t="s">
        <v>1350</v>
      </c>
      <c r="C198" s="62">
        <v>1512120.33</v>
      </c>
      <c r="D198" s="62">
        <v>83166.8</v>
      </c>
      <c r="E198" s="63">
        <v>83166.259999999995</v>
      </c>
    </row>
    <row r="199" spans="1:5" x14ac:dyDescent="0.25">
      <c r="A199" s="57">
        <v>676</v>
      </c>
      <c r="B199" s="61" t="s">
        <v>1351</v>
      </c>
      <c r="C199" s="62">
        <v>1051154.72</v>
      </c>
      <c r="D199" s="62">
        <v>57813.37</v>
      </c>
      <c r="E199" s="63">
        <v>57813.4</v>
      </c>
    </row>
    <row r="200" spans="1:5" x14ac:dyDescent="0.25">
      <c r="A200" s="57">
        <v>682</v>
      </c>
      <c r="B200" s="61" t="s">
        <v>1352</v>
      </c>
      <c r="C200" s="62">
        <v>5197187.99</v>
      </c>
      <c r="D200" s="62">
        <v>285845.68</v>
      </c>
      <c r="E200" s="63">
        <v>285845.05</v>
      </c>
    </row>
    <row r="201" spans="1:5" x14ac:dyDescent="0.25">
      <c r="A201" s="57">
        <v>690</v>
      </c>
      <c r="B201" s="61" t="s">
        <v>1353</v>
      </c>
      <c r="C201" s="62">
        <v>4706809.1100000003</v>
      </c>
      <c r="D201" s="62">
        <v>258874.79</v>
      </c>
      <c r="E201" s="63">
        <v>258874.65</v>
      </c>
    </row>
    <row r="202" spans="1:5" x14ac:dyDescent="0.25">
      <c r="A202" s="57">
        <v>695</v>
      </c>
      <c r="B202" s="61" t="s">
        <v>1354</v>
      </c>
      <c r="C202" s="62">
        <v>2990558.75</v>
      </c>
      <c r="D202" s="62">
        <v>164481</v>
      </c>
      <c r="E202" s="63">
        <v>164478.98000000001</v>
      </c>
    </row>
    <row r="203" spans="1:5" x14ac:dyDescent="0.25">
      <c r="A203" s="57">
        <v>696</v>
      </c>
      <c r="B203" s="61" t="s">
        <v>1355</v>
      </c>
      <c r="C203" s="62">
        <v>2241896.9500000002</v>
      </c>
      <c r="D203" s="62">
        <v>123304.54</v>
      </c>
      <c r="E203" s="63">
        <v>123304.24</v>
      </c>
    </row>
    <row r="204" spans="1:5" x14ac:dyDescent="0.25">
      <c r="A204" s="57">
        <v>698</v>
      </c>
      <c r="B204" s="61" t="s">
        <v>1356</v>
      </c>
      <c r="C204" s="62">
        <v>1147805.73</v>
      </c>
      <c r="D204" s="62">
        <v>63129.54</v>
      </c>
      <c r="E204" s="63">
        <v>63129.39</v>
      </c>
    </row>
    <row r="205" spans="1:5" x14ac:dyDescent="0.25">
      <c r="A205" s="57">
        <v>700</v>
      </c>
      <c r="B205" s="61" t="s">
        <v>1357</v>
      </c>
      <c r="C205" s="62">
        <v>7772789.0099999998</v>
      </c>
      <c r="D205" s="62">
        <v>427503.54</v>
      </c>
      <c r="E205" s="63">
        <v>427502.97</v>
      </c>
    </row>
    <row r="206" spans="1:5" x14ac:dyDescent="0.25">
      <c r="A206" s="57">
        <v>701</v>
      </c>
      <c r="B206" s="61" t="s">
        <v>1358</v>
      </c>
      <c r="C206" s="62">
        <v>10207225.939999999</v>
      </c>
      <c r="D206" s="62">
        <v>561394.42000000004</v>
      </c>
      <c r="E206" s="63">
        <v>561390.31999999995</v>
      </c>
    </row>
    <row r="207" spans="1:5" x14ac:dyDescent="0.25">
      <c r="A207" s="57">
        <v>704</v>
      </c>
      <c r="B207" s="61" t="s">
        <v>1359</v>
      </c>
      <c r="C207" s="62">
        <v>6919637.2599999998</v>
      </c>
      <c r="D207" s="62">
        <v>380581.57</v>
      </c>
      <c r="E207" s="63">
        <v>380580.45</v>
      </c>
    </row>
    <row r="208" spans="1:5" x14ac:dyDescent="0.25">
      <c r="A208" s="57">
        <v>706</v>
      </c>
      <c r="B208" s="61" t="s">
        <v>1360</v>
      </c>
      <c r="C208" s="62">
        <v>6452065.6100000003</v>
      </c>
      <c r="D208" s="62">
        <v>354861.3</v>
      </c>
      <c r="E208" s="63">
        <v>354860.69</v>
      </c>
    </row>
    <row r="209" spans="1:5" x14ac:dyDescent="0.25">
      <c r="A209" s="57">
        <v>707</v>
      </c>
      <c r="B209" s="61" t="s">
        <v>1361</v>
      </c>
      <c r="C209" s="62">
        <v>709990.84</v>
      </c>
      <c r="D209" s="62">
        <v>39049.339999999997</v>
      </c>
      <c r="E209" s="63">
        <v>39049.18</v>
      </c>
    </row>
    <row r="210" spans="1:5" x14ac:dyDescent="0.25">
      <c r="A210" s="57">
        <v>712</v>
      </c>
      <c r="B210" s="61" t="s">
        <v>1362</v>
      </c>
      <c r="C210" s="62">
        <v>2774161.49</v>
      </c>
      <c r="D210" s="62">
        <v>152579.76999999999</v>
      </c>
      <c r="E210" s="63">
        <v>152578.26999999999</v>
      </c>
    </row>
    <row r="211" spans="1:5" x14ac:dyDescent="0.25">
      <c r="A211" s="57">
        <v>716</v>
      </c>
      <c r="B211" s="61" t="s">
        <v>1363</v>
      </c>
      <c r="C211" s="62">
        <v>5971051.4699999997</v>
      </c>
      <c r="D211" s="62">
        <v>328357.84999999998</v>
      </c>
      <c r="E211" s="63">
        <v>328357.06</v>
      </c>
    </row>
    <row r="212" spans="1:5" x14ac:dyDescent="0.25">
      <c r="A212" s="57">
        <v>717</v>
      </c>
      <c r="B212" s="61" t="s">
        <v>1364</v>
      </c>
      <c r="C212" s="62">
        <v>6374426.8700000001</v>
      </c>
      <c r="D212" s="62">
        <v>350753.96</v>
      </c>
      <c r="E212" s="63">
        <v>350751.74</v>
      </c>
    </row>
    <row r="213" spans="1:5" x14ac:dyDescent="0.25">
      <c r="A213" s="57">
        <v>719</v>
      </c>
      <c r="B213" s="61" t="s">
        <v>1365</v>
      </c>
      <c r="C213" s="62">
        <v>25514333.129999999</v>
      </c>
      <c r="D213" s="62">
        <v>1403292.3</v>
      </c>
      <c r="E213" s="63">
        <v>1403286.09</v>
      </c>
    </row>
    <row r="214" spans="1:5" x14ac:dyDescent="0.25">
      <c r="A214" s="57">
        <v>720</v>
      </c>
      <c r="B214" s="61" t="s">
        <v>1366</v>
      </c>
      <c r="C214" s="62">
        <v>29906856.030000001</v>
      </c>
      <c r="D214" s="62">
        <v>1644881.56</v>
      </c>
      <c r="E214" s="63">
        <v>1644873.05</v>
      </c>
    </row>
    <row r="215" spans="1:5" x14ac:dyDescent="0.25">
      <c r="A215" s="57">
        <v>721</v>
      </c>
      <c r="B215" s="61" t="s">
        <v>1367</v>
      </c>
      <c r="C215" s="62">
        <v>14598893.279999999</v>
      </c>
      <c r="D215" s="62">
        <v>802939.56</v>
      </c>
      <c r="E215" s="63">
        <v>802938.36</v>
      </c>
    </row>
    <row r="216" spans="1:5" x14ac:dyDescent="0.25">
      <c r="A216" s="57">
        <v>726</v>
      </c>
      <c r="B216" s="61" t="s">
        <v>1368</v>
      </c>
      <c r="C216" s="62">
        <v>11271308.699999999</v>
      </c>
      <c r="D216" s="62">
        <v>619924.02</v>
      </c>
      <c r="E216" s="63">
        <v>619922.93000000005</v>
      </c>
    </row>
    <row r="217" spans="1:5" x14ac:dyDescent="0.25">
      <c r="A217" s="57">
        <v>727</v>
      </c>
      <c r="B217" s="61" t="s">
        <v>1369</v>
      </c>
      <c r="C217" s="62">
        <v>12606671.890000001</v>
      </c>
      <c r="D217" s="62">
        <v>693368.86</v>
      </c>
      <c r="E217" s="63">
        <v>693368.26</v>
      </c>
    </row>
    <row r="218" spans="1:5" x14ac:dyDescent="0.25">
      <c r="A218" s="57">
        <v>728</v>
      </c>
      <c r="B218" s="61" t="s">
        <v>1370</v>
      </c>
      <c r="C218" s="62">
        <v>53076749.530000001</v>
      </c>
      <c r="D218" s="62">
        <v>2919227.91</v>
      </c>
      <c r="E218" s="63">
        <v>2919226.64</v>
      </c>
    </row>
    <row r="219" spans="1:5" x14ac:dyDescent="0.25">
      <c r="A219" s="57">
        <v>738</v>
      </c>
      <c r="B219" s="61" t="s">
        <v>1371</v>
      </c>
      <c r="C219" s="62">
        <v>3850202.74</v>
      </c>
      <c r="D219" s="62">
        <v>211761.95</v>
      </c>
      <c r="E219" s="63">
        <v>211761.28</v>
      </c>
    </row>
    <row r="220" spans="1:5" x14ac:dyDescent="0.25">
      <c r="A220" s="57">
        <v>739</v>
      </c>
      <c r="B220" s="61" t="s">
        <v>1372</v>
      </c>
      <c r="C220" s="62">
        <v>2852718.41</v>
      </c>
      <c r="D220" s="62">
        <v>156899.63</v>
      </c>
      <c r="E220" s="63">
        <v>156900.65</v>
      </c>
    </row>
    <row r="221" spans="1:5" x14ac:dyDescent="0.25">
      <c r="A221" s="57">
        <v>740</v>
      </c>
      <c r="B221" s="61" t="s">
        <v>1373</v>
      </c>
      <c r="C221" s="62">
        <v>6028311.25</v>
      </c>
      <c r="D221" s="62">
        <v>331559.73</v>
      </c>
      <c r="E221" s="63">
        <v>331559.21000000002</v>
      </c>
    </row>
    <row r="222" spans="1:5" x14ac:dyDescent="0.25">
      <c r="A222" s="57">
        <v>741</v>
      </c>
      <c r="B222" s="61" t="s">
        <v>1374</v>
      </c>
      <c r="C222" s="62">
        <v>4732799.2300000004</v>
      </c>
      <c r="D222" s="62">
        <v>260302.48</v>
      </c>
      <c r="E222" s="63">
        <v>260301.34</v>
      </c>
    </row>
    <row r="223" spans="1:5" x14ac:dyDescent="0.25">
      <c r="A223" s="57">
        <v>742</v>
      </c>
      <c r="B223" s="61" t="s">
        <v>1375</v>
      </c>
      <c r="C223" s="62">
        <v>50023509.850000001</v>
      </c>
      <c r="D223" s="62">
        <v>2751236.98</v>
      </c>
      <c r="E223" s="63">
        <v>2751070.83</v>
      </c>
    </row>
    <row r="224" spans="1:5" x14ac:dyDescent="0.25">
      <c r="A224" s="57">
        <v>743</v>
      </c>
      <c r="B224" s="61" t="s">
        <v>1376</v>
      </c>
      <c r="C224" s="62">
        <v>4739963.9400000004</v>
      </c>
      <c r="D224" s="62">
        <v>260700.38</v>
      </c>
      <c r="E224" s="63">
        <v>260699.45</v>
      </c>
    </row>
    <row r="225" spans="1:5" x14ac:dyDescent="0.25">
      <c r="A225" s="57">
        <v>745</v>
      </c>
      <c r="B225" s="61" t="s">
        <v>1377</v>
      </c>
      <c r="C225" s="62">
        <v>7128829.9800000004</v>
      </c>
      <c r="D225" s="62">
        <v>392085.62</v>
      </c>
      <c r="E225" s="63">
        <v>392086.62</v>
      </c>
    </row>
    <row r="226" spans="1:5" x14ac:dyDescent="0.25">
      <c r="A226" s="57">
        <v>748</v>
      </c>
      <c r="B226" s="61" t="s">
        <v>1378</v>
      </c>
      <c r="C226" s="62">
        <v>13252868</v>
      </c>
      <c r="D226" s="62">
        <v>728910.04</v>
      </c>
      <c r="E226" s="63">
        <v>728907.8</v>
      </c>
    </row>
    <row r="227" spans="1:5" x14ac:dyDescent="0.25">
      <c r="A227" s="57">
        <v>750</v>
      </c>
      <c r="B227" s="61" t="s">
        <v>1379</v>
      </c>
      <c r="C227" s="62">
        <v>8345190.1699999999</v>
      </c>
      <c r="D227" s="62">
        <v>458987.92</v>
      </c>
      <c r="E227" s="63">
        <v>458988.25</v>
      </c>
    </row>
    <row r="228" spans="1:5" x14ac:dyDescent="0.25">
      <c r="A228" s="57">
        <v>756</v>
      </c>
      <c r="B228" s="61" t="s">
        <v>1380</v>
      </c>
      <c r="C228" s="62">
        <v>3124710.97</v>
      </c>
      <c r="D228" s="62">
        <v>171859.84</v>
      </c>
      <c r="E228" s="63">
        <v>171859.85</v>
      </c>
    </row>
    <row r="229" spans="1:5" x14ac:dyDescent="0.25">
      <c r="A229" s="57">
        <v>761</v>
      </c>
      <c r="B229" s="61" t="s">
        <v>1381</v>
      </c>
      <c r="C229" s="62">
        <v>21009232.850000001</v>
      </c>
      <c r="D229" s="62">
        <v>1155512.1599999999</v>
      </c>
      <c r="E229" s="63">
        <v>1155519.83</v>
      </c>
    </row>
    <row r="230" spans="1:5" x14ac:dyDescent="0.25">
      <c r="A230" s="57">
        <v>763</v>
      </c>
      <c r="B230" s="61" t="s">
        <v>1382</v>
      </c>
      <c r="C230" s="62">
        <v>2702045.99</v>
      </c>
      <c r="D230" s="62">
        <v>148613.12</v>
      </c>
      <c r="E230" s="63">
        <v>148612.85999999999</v>
      </c>
    </row>
    <row r="231" spans="1:5" x14ac:dyDescent="0.25">
      <c r="A231" s="57">
        <v>768</v>
      </c>
      <c r="B231" s="61" t="s">
        <v>1383</v>
      </c>
      <c r="C231" s="62">
        <v>1083148.96</v>
      </c>
      <c r="D231" s="62">
        <v>59573.24</v>
      </c>
      <c r="E231" s="63">
        <v>59572.9</v>
      </c>
    </row>
    <row r="232" spans="1:5" x14ac:dyDescent="0.25">
      <c r="A232" s="57">
        <v>769</v>
      </c>
      <c r="B232" s="61" t="s">
        <v>1384</v>
      </c>
      <c r="C232" s="62">
        <v>4013307.75</v>
      </c>
      <c r="D232" s="62">
        <v>220731.64</v>
      </c>
      <c r="E232" s="63">
        <v>220730.96</v>
      </c>
    </row>
    <row r="233" spans="1:5" x14ac:dyDescent="0.25">
      <c r="A233" s="57">
        <v>771</v>
      </c>
      <c r="B233" s="61" t="s">
        <v>1385</v>
      </c>
      <c r="C233" s="62">
        <v>720578.16</v>
      </c>
      <c r="D233" s="62">
        <v>39631.85</v>
      </c>
      <c r="E233" s="63">
        <v>39631.78</v>
      </c>
    </row>
    <row r="234" spans="1:5" x14ac:dyDescent="0.25">
      <c r="A234" s="57">
        <v>775</v>
      </c>
      <c r="B234" s="61" t="s">
        <v>1386</v>
      </c>
      <c r="C234" s="62">
        <v>2246984.2999999998</v>
      </c>
      <c r="D234" s="62">
        <v>123583.83</v>
      </c>
      <c r="E234" s="63">
        <v>123583.82</v>
      </c>
    </row>
    <row r="235" spans="1:5" x14ac:dyDescent="0.25">
      <c r="A235" s="57">
        <v>777</v>
      </c>
      <c r="B235" s="61" t="s">
        <v>1387</v>
      </c>
      <c r="C235" s="62">
        <v>4850916.96</v>
      </c>
      <c r="D235" s="62">
        <v>266801.26</v>
      </c>
      <c r="E235" s="63">
        <v>266799.82</v>
      </c>
    </row>
    <row r="236" spans="1:5" x14ac:dyDescent="0.25">
      <c r="A236" s="57">
        <v>786</v>
      </c>
      <c r="B236" s="61" t="s">
        <v>1388</v>
      </c>
      <c r="C236" s="62">
        <v>2251148.89</v>
      </c>
      <c r="D236" s="62">
        <v>123813.35</v>
      </c>
      <c r="E236" s="63">
        <v>123813.31</v>
      </c>
    </row>
    <row r="237" spans="1:5" x14ac:dyDescent="0.25">
      <c r="A237" s="57">
        <v>787</v>
      </c>
      <c r="B237" s="61" t="s">
        <v>1389</v>
      </c>
      <c r="C237" s="62">
        <v>2146405.4900000002</v>
      </c>
      <c r="D237" s="62">
        <v>118051.89</v>
      </c>
      <c r="E237" s="63">
        <v>118050.37</v>
      </c>
    </row>
    <row r="238" spans="1:5" x14ac:dyDescent="0.25">
      <c r="A238" s="57">
        <v>801</v>
      </c>
      <c r="B238" s="61" t="s">
        <v>1390</v>
      </c>
      <c r="C238" s="62">
        <v>702337.29</v>
      </c>
      <c r="D238" s="62">
        <v>38628.629999999997</v>
      </c>
      <c r="E238" s="63">
        <v>38628.57</v>
      </c>
    </row>
    <row r="239" spans="1:5" x14ac:dyDescent="0.25">
      <c r="A239" s="57">
        <v>803</v>
      </c>
      <c r="B239" s="61" t="s">
        <v>1391</v>
      </c>
      <c r="C239" s="62">
        <v>1911292.59</v>
      </c>
      <c r="D239" s="62">
        <v>105122.14</v>
      </c>
      <c r="E239" s="63">
        <v>105121.78</v>
      </c>
    </row>
    <row r="240" spans="1:5" x14ac:dyDescent="0.25">
      <c r="A240" s="57">
        <v>811</v>
      </c>
      <c r="B240" s="61" t="s">
        <v>1392</v>
      </c>
      <c r="C240" s="62">
        <v>2659683.36</v>
      </c>
      <c r="D240" s="62">
        <v>146282.26999999999</v>
      </c>
      <c r="E240" s="63">
        <v>146281.85999999999</v>
      </c>
    </row>
    <row r="241" spans="1:5" x14ac:dyDescent="0.25">
      <c r="A241" s="57">
        <v>813</v>
      </c>
      <c r="B241" s="61" t="s">
        <v>1393</v>
      </c>
      <c r="C241" s="62">
        <v>5444072.5199999996</v>
      </c>
      <c r="D241" s="62">
        <v>299424.83</v>
      </c>
      <c r="E241" s="63">
        <v>299424.40999999997</v>
      </c>
    </row>
    <row r="242" spans="1:5" x14ac:dyDescent="0.25">
      <c r="A242" s="57">
        <v>815</v>
      </c>
      <c r="B242" s="61" t="s">
        <v>1394</v>
      </c>
      <c r="C242" s="62">
        <v>118346.26</v>
      </c>
      <c r="D242" s="62">
        <v>6509.09</v>
      </c>
      <c r="E242" s="63">
        <v>6509.09</v>
      </c>
    </row>
    <row r="243" spans="1:5" x14ac:dyDescent="0.25">
      <c r="A243" s="57">
        <v>818</v>
      </c>
      <c r="B243" s="61" t="s">
        <v>1395</v>
      </c>
      <c r="C243" s="62">
        <v>2044064.02</v>
      </c>
      <c r="D243" s="62">
        <v>112424.75</v>
      </c>
      <c r="E243" s="63">
        <v>112423.43</v>
      </c>
    </row>
    <row r="244" spans="1:5" x14ac:dyDescent="0.25">
      <c r="A244" s="57">
        <v>820</v>
      </c>
      <c r="B244" s="61" t="s">
        <v>1396</v>
      </c>
      <c r="C244" s="62">
        <v>2211394.5499999998</v>
      </c>
      <c r="D244" s="62">
        <v>120909.32</v>
      </c>
      <c r="E244" s="63">
        <v>120908.48</v>
      </c>
    </row>
    <row r="245" spans="1:5" x14ac:dyDescent="0.25">
      <c r="A245" s="57">
        <v>821</v>
      </c>
      <c r="B245" s="61" t="s">
        <v>1397</v>
      </c>
      <c r="C245" s="62">
        <v>2799431.34</v>
      </c>
      <c r="D245" s="62">
        <v>153969.5</v>
      </c>
      <c r="E245" s="63">
        <v>153968.68</v>
      </c>
    </row>
    <row r="246" spans="1:5" x14ac:dyDescent="0.25">
      <c r="A246" s="57">
        <v>829</v>
      </c>
      <c r="B246" s="61" t="s">
        <v>1398</v>
      </c>
      <c r="C246" s="62">
        <v>7848128.8799999999</v>
      </c>
      <c r="D246" s="62">
        <v>431648.18</v>
      </c>
      <c r="E246" s="63">
        <v>431647.92</v>
      </c>
    </row>
    <row r="247" spans="1:5" x14ac:dyDescent="0.25">
      <c r="A247" s="57">
        <v>831</v>
      </c>
      <c r="B247" s="61" t="s">
        <v>1399</v>
      </c>
      <c r="C247" s="62">
        <v>28189192.969999999</v>
      </c>
      <c r="D247" s="62">
        <v>1550406.27</v>
      </c>
      <c r="E247" s="63">
        <v>1550398.56</v>
      </c>
    </row>
    <row r="248" spans="1:5" x14ac:dyDescent="0.25">
      <c r="A248" s="57">
        <v>832</v>
      </c>
      <c r="B248" s="61" t="s">
        <v>1400</v>
      </c>
      <c r="C248" s="62">
        <v>14885683.710000001</v>
      </c>
      <c r="D248" s="62">
        <v>818713.15</v>
      </c>
      <c r="E248" s="63">
        <v>818713.29</v>
      </c>
    </row>
    <row r="249" spans="1:5" x14ac:dyDescent="0.25">
      <c r="A249" s="57">
        <v>833</v>
      </c>
      <c r="B249" s="61" t="s">
        <v>1401</v>
      </c>
      <c r="C249" s="62">
        <v>81194848.599999994</v>
      </c>
      <c r="D249" s="62">
        <v>4465718.8</v>
      </c>
      <c r="E249" s="63">
        <v>4465706.25</v>
      </c>
    </row>
    <row r="250" spans="1:5" x14ac:dyDescent="0.25">
      <c r="A250" s="57">
        <v>834</v>
      </c>
      <c r="B250" s="61" t="s">
        <v>1402</v>
      </c>
      <c r="C250" s="62">
        <v>36194293.890000001</v>
      </c>
      <c r="D250" s="62">
        <v>1990750.19</v>
      </c>
      <c r="E250" s="63">
        <v>1990747.36</v>
      </c>
    </row>
    <row r="251" spans="1:5" x14ac:dyDescent="0.25">
      <c r="A251" s="57">
        <v>836</v>
      </c>
      <c r="B251" s="61" t="s">
        <v>1403</v>
      </c>
      <c r="C251" s="62">
        <v>1072082.57</v>
      </c>
      <c r="D251" s="62">
        <v>58964.56</v>
      </c>
      <c r="E251" s="63">
        <v>58964.25</v>
      </c>
    </row>
    <row r="252" spans="1:5" x14ac:dyDescent="0.25">
      <c r="A252" s="57">
        <v>837</v>
      </c>
      <c r="B252" s="61" t="s">
        <v>1404</v>
      </c>
      <c r="C252" s="62">
        <v>2327506.19</v>
      </c>
      <c r="D252" s="62">
        <v>128012.8</v>
      </c>
      <c r="E252" s="63">
        <v>128012.62</v>
      </c>
    </row>
    <row r="253" spans="1:5" x14ac:dyDescent="0.25">
      <c r="A253" s="57">
        <v>840</v>
      </c>
      <c r="B253" s="61" t="s">
        <v>1405</v>
      </c>
      <c r="C253" s="62">
        <v>5069892.0199999996</v>
      </c>
      <c r="D253" s="62">
        <v>278844.43</v>
      </c>
      <c r="E253" s="63">
        <v>278844.21999999997</v>
      </c>
    </row>
    <row r="254" spans="1:5" x14ac:dyDescent="0.25">
      <c r="A254" s="57">
        <v>846</v>
      </c>
      <c r="B254" s="61" t="s">
        <v>1406</v>
      </c>
      <c r="C254" s="62">
        <v>3452078.86</v>
      </c>
      <c r="D254" s="62">
        <v>189865.21</v>
      </c>
      <c r="E254" s="63">
        <v>189863.07</v>
      </c>
    </row>
    <row r="255" spans="1:5" x14ac:dyDescent="0.25">
      <c r="A255" s="57">
        <v>850</v>
      </c>
      <c r="B255" s="61" t="s">
        <v>1407</v>
      </c>
      <c r="C255" s="62">
        <v>976795.12</v>
      </c>
      <c r="D255" s="62">
        <v>53724.28</v>
      </c>
      <c r="E255" s="63">
        <v>53724.22</v>
      </c>
    </row>
    <row r="256" spans="1:5" x14ac:dyDescent="0.25">
      <c r="A256" s="57">
        <v>852</v>
      </c>
      <c r="B256" s="61" t="s">
        <v>1408</v>
      </c>
      <c r="C256" s="62">
        <v>786562.6</v>
      </c>
      <c r="D256" s="62">
        <v>43260.98</v>
      </c>
      <c r="E256" s="63">
        <v>43260.87</v>
      </c>
    </row>
    <row r="257" spans="1:5" x14ac:dyDescent="0.25">
      <c r="A257" s="57">
        <v>857</v>
      </c>
      <c r="B257" s="61" t="s">
        <v>1409</v>
      </c>
      <c r="C257" s="62">
        <v>3213994.08</v>
      </c>
      <c r="D257" s="62">
        <v>176770.12</v>
      </c>
      <c r="E257" s="63">
        <v>176769.73</v>
      </c>
    </row>
    <row r="258" spans="1:5" x14ac:dyDescent="0.25">
      <c r="A258" s="57">
        <v>858</v>
      </c>
      <c r="B258" s="61" t="s">
        <v>1410</v>
      </c>
      <c r="C258" s="62">
        <v>4166992.68</v>
      </c>
      <c r="D258" s="62">
        <v>229185.78</v>
      </c>
      <c r="E258" s="63">
        <v>229183.91</v>
      </c>
    </row>
    <row r="259" spans="1:5" x14ac:dyDescent="0.25">
      <c r="A259" s="57">
        <v>861</v>
      </c>
      <c r="B259" s="61" t="s">
        <v>1411</v>
      </c>
      <c r="C259" s="62">
        <v>16114722.060000001</v>
      </c>
      <c r="D259" s="62">
        <v>886312.31</v>
      </c>
      <c r="E259" s="63">
        <v>886309.33</v>
      </c>
    </row>
    <row r="260" spans="1:5" x14ac:dyDescent="0.25">
      <c r="A260" s="57">
        <v>876</v>
      </c>
      <c r="B260" s="61" t="s">
        <v>1412</v>
      </c>
      <c r="C260" s="62">
        <v>7381378.96</v>
      </c>
      <c r="D260" s="62">
        <v>405974.01</v>
      </c>
      <c r="E260" s="63">
        <v>405972.23</v>
      </c>
    </row>
    <row r="261" spans="1:5" x14ac:dyDescent="0.25">
      <c r="A261" s="57">
        <v>877</v>
      </c>
      <c r="B261" s="61" t="s">
        <v>1413</v>
      </c>
      <c r="C261" s="62">
        <v>23071180.800000001</v>
      </c>
      <c r="D261" s="62">
        <v>1268921.3400000001</v>
      </c>
      <c r="E261" s="63">
        <v>1268913.71</v>
      </c>
    </row>
    <row r="262" spans="1:5" x14ac:dyDescent="0.25">
      <c r="A262" s="57">
        <v>879</v>
      </c>
      <c r="B262" s="61" t="s">
        <v>1414</v>
      </c>
      <c r="C262" s="62">
        <v>8798147.9399999995</v>
      </c>
      <c r="D262" s="62">
        <v>483899.29</v>
      </c>
      <c r="E262" s="63">
        <v>483899.29</v>
      </c>
    </row>
    <row r="263" spans="1:5" x14ac:dyDescent="0.25">
      <c r="A263" s="57">
        <v>881</v>
      </c>
      <c r="B263" s="61" t="s">
        <v>1415</v>
      </c>
      <c r="C263" s="62">
        <v>3961218.23</v>
      </c>
      <c r="D263" s="62">
        <v>217866.17</v>
      </c>
      <c r="E263" s="63">
        <v>217865.52</v>
      </c>
    </row>
    <row r="264" spans="1:5" x14ac:dyDescent="0.25">
      <c r="A264" s="57">
        <v>882</v>
      </c>
      <c r="B264" s="61" t="s">
        <v>1416</v>
      </c>
      <c r="C264" s="62">
        <v>20200063.629999999</v>
      </c>
      <c r="D264" s="62">
        <v>1111005.27</v>
      </c>
      <c r="E264" s="63">
        <v>1110970.97</v>
      </c>
    </row>
    <row r="265" spans="1:5" x14ac:dyDescent="0.25">
      <c r="A265" s="57">
        <v>883</v>
      </c>
      <c r="B265" s="61" t="s">
        <v>1417</v>
      </c>
      <c r="C265" s="62">
        <v>5881409.5999999996</v>
      </c>
      <c r="D265" s="62">
        <v>323477.62</v>
      </c>
      <c r="E265" s="63">
        <v>323476.09000000003</v>
      </c>
    </row>
    <row r="266" spans="1:5" x14ac:dyDescent="0.25">
      <c r="A266" s="57">
        <v>885</v>
      </c>
      <c r="B266" s="61" t="s">
        <v>1418</v>
      </c>
      <c r="C266" s="62">
        <v>20604196.260000002</v>
      </c>
      <c r="D266" s="62">
        <v>1133231.17</v>
      </c>
      <c r="E266" s="63">
        <v>1133227.69</v>
      </c>
    </row>
    <row r="267" spans="1:5" x14ac:dyDescent="0.25">
      <c r="A267" s="57">
        <v>891</v>
      </c>
      <c r="B267" s="61" t="s">
        <v>1419</v>
      </c>
      <c r="C267" s="62">
        <v>2371705.79</v>
      </c>
      <c r="D267" s="62">
        <v>130443.33</v>
      </c>
      <c r="E267" s="63">
        <v>130444.23</v>
      </c>
    </row>
    <row r="268" spans="1:5" x14ac:dyDescent="0.25">
      <c r="A268" s="57">
        <v>911</v>
      </c>
      <c r="B268" s="61" t="s">
        <v>1420</v>
      </c>
      <c r="C268" s="62">
        <v>20777253.59</v>
      </c>
      <c r="D268" s="62">
        <v>1142755.68</v>
      </c>
      <c r="E268" s="63">
        <v>1142756.43</v>
      </c>
    </row>
    <row r="269" spans="1:5" x14ac:dyDescent="0.25">
      <c r="A269" s="57">
        <v>912</v>
      </c>
      <c r="B269" s="61" t="s">
        <v>1421</v>
      </c>
      <c r="C269" s="62">
        <v>7400047.3499999996</v>
      </c>
      <c r="D269" s="62">
        <v>407002.28</v>
      </c>
      <c r="E269" s="63">
        <v>407002.12</v>
      </c>
    </row>
    <row r="270" spans="1:5" x14ac:dyDescent="0.25">
      <c r="A270" s="57">
        <v>914</v>
      </c>
      <c r="B270" s="61" t="s">
        <v>1422</v>
      </c>
      <c r="C270" s="62">
        <v>1228426.3</v>
      </c>
      <c r="D270" s="62">
        <v>67563.73</v>
      </c>
      <c r="E270" s="63">
        <v>67563.53</v>
      </c>
    </row>
    <row r="271" spans="1:5" x14ac:dyDescent="0.25">
      <c r="A271" s="57">
        <v>916</v>
      </c>
      <c r="B271" s="61" t="s">
        <v>1049</v>
      </c>
      <c r="C271" s="62">
        <v>15660244.15</v>
      </c>
      <c r="D271" s="62">
        <v>861280.85</v>
      </c>
      <c r="E271" s="63">
        <v>861279.23</v>
      </c>
    </row>
    <row r="272" spans="1:5" x14ac:dyDescent="0.25">
      <c r="A272" s="57">
        <v>917</v>
      </c>
      <c r="B272" s="61" t="s">
        <v>1050</v>
      </c>
      <c r="C272" s="62">
        <v>8850238.2400000002</v>
      </c>
      <c r="D272" s="62">
        <v>486766.19</v>
      </c>
      <c r="E272" s="63">
        <v>486763.47</v>
      </c>
    </row>
    <row r="273" spans="1:5" x14ac:dyDescent="0.25">
      <c r="A273" s="57">
        <v>920</v>
      </c>
      <c r="B273" s="61" t="s">
        <v>1051</v>
      </c>
      <c r="C273" s="62">
        <v>290618.15999999997</v>
      </c>
      <c r="D273" s="62">
        <v>15983.95</v>
      </c>
      <c r="E273" s="63">
        <v>15983.95</v>
      </c>
    </row>
    <row r="274" spans="1:5" x14ac:dyDescent="0.25">
      <c r="A274" s="57">
        <v>922</v>
      </c>
      <c r="B274" s="61" t="s">
        <v>1052</v>
      </c>
      <c r="C274" s="62">
        <v>430591.46</v>
      </c>
      <c r="D274" s="62">
        <v>23682.23</v>
      </c>
      <c r="E274" s="63">
        <v>23682.23</v>
      </c>
    </row>
    <row r="275" spans="1:5" x14ac:dyDescent="0.25">
      <c r="A275" s="57">
        <v>923</v>
      </c>
      <c r="B275" s="61" t="s">
        <v>1053</v>
      </c>
      <c r="C275" s="62">
        <v>88505.65</v>
      </c>
      <c r="D275" s="62">
        <v>4867.71</v>
      </c>
      <c r="E275" s="63">
        <v>4867.71</v>
      </c>
    </row>
    <row r="276" spans="1:5" x14ac:dyDescent="0.25">
      <c r="A276" s="57">
        <v>924</v>
      </c>
      <c r="B276" s="61" t="s">
        <v>1054</v>
      </c>
      <c r="C276" s="62">
        <v>325094.81</v>
      </c>
      <c r="D276" s="62">
        <v>17880.04</v>
      </c>
      <c r="E276" s="63">
        <v>17880.04</v>
      </c>
    </row>
    <row r="277" spans="1:5" x14ac:dyDescent="0.25">
      <c r="A277" s="57">
        <v>925</v>
      </c>
      <c r="B277" s="61" t="s">
        <v>1055</v>
      </c>
      <c r="C277" s="62">
        <v>354071.8</v>
      </c>
      <c r="D277" s="62">
        <v>19473.68</v>
      </c>
      <c r="E277" s="63">
        <v>19473.669999999998</v>
      </c>
    </row>
    <row r="278" spans="1:5" x14ac:dyDescent="0.25">
      <c r="A278" s="57">
        <v>926</v>
      </c>
      <c r="B278" s="61" t="s">
        <v>1056</v>
      </c>
      <c r="C278" s="62">
        <v>1340904.49</v>
      </c>
      <c r="D278" s="62">
        <v>73749.039999999994</v>
      </c>
      <c r="E278" s="63">
        <v>73749.039999999994</v>
      </c>
    </row>
    <row r="279" spans="1:5" x14ac:dyDescent="0.25">
      <c r="A279" s="57">
        <v>927</v>
      </c>
      <c r="B279" s="61" t="s">
        <v>1057</v>
      </c>
      <c r="C279" s="62">
        <v>220978.5</v>
      </c>
      <c r="D279" s="62">
        <v>12153.72</v>
      </c>
      <c r="E279" s="63">
        <v>12153.71</v>
      </c>
    </row>
    <row r="280" spans="1:5" x14ac:dyDescent="0.25">
      <c r="A280" s="57">
        <v>928</v>
      </c>
      <c r="B280" s="61" t="s">
        <v>1058</v>
      </c>
      <c r="C280" s="62">
        <v>573701.38</v>
      </c>
      <c r="D280" s="62">
        <v>31553.72</v>
      </c>
      <c r="E280" s="63">
        <v>31553.48</v>
      </c>
    </row>
    <row r="281" spans="1:5" x14ac:dyDescent="0.25">
      <c r="A281" s="57">
        <v>930</v>
      </c>
      <c r="B281" s="61" t="s">
        <v>1059</v>
      </c>
      <c r="C281" s="62">
        <v>4985338.4800000004</v>
      </c>
      <c r="D281" s="62">
        <v>274194.87</v>
      </c>
      <c r="E281" s="63">
        <v>274194.11</v>
      </c>
    </row>
    <row r="282" spans="1:5" x14ac:dyDescent="0.25">
      <c r="A282" s="57">
        <v>935</v>
      </c>
      <c r="B282" s="61" t="s">
        <v>1060</v>
      </c>
      <c r="C282" s="62">
        <v>1823624.93</v>
      </c>
      <c r="D282" s="62">
        <v>100299.34</v>
      </c>
      <c r="E282" s="63">
        <v>100299.39</v>
      </c>
    </row>
    <row r="283" spans="1:5" x14ac:dyDescent="0.25">
      <c r="A283" s="57">
        <v>938</v>
      </c>
      <c r="B283" s="61" t="s">
        <v>1061</v>
      </c>
      <c r="C283" s="62">
        <v>2853299.97</v>
      </c>
      <c r="D283" s="62">
        <v>156931.44</v>
      </c>
      <c r="E283" s="63">
        <v>156931.45000000001</v>
      </c>
    </row>
    <row r="284" spans="1:5" x14ac:dyDescent="0.25">
      <c r="A284" s="57">
        <v>966</v>
      </c>
      <c r="B284" s="61" t="s">
        <v>1062</v>
      </c>
      <c r="C284" s="62">
        <v>1358697.17</v>
      </c>
      <c r="D284" s="62">
        <v>74727.990000000005</v>
      </c>
      <c r="E284" s="63">
        <v>74728.160000000003</v>
      </c>
    </row>
    <row r="285" spans="1:5" x14ac:dyDescent="0.25">
      <c r="A285" s="57">
        <v>978</v>
      </c>
      <c r="B285" s="61" t="s">
        <v>1063</v>
      </c>
      <c r="C285" s="62">
        <v>1213176.06</v>
      </c>
      <c r="D285" s="62">
        <v>66724.37</v>
      </c>
      <c r="E285" s="63">
        <v>66724.350000000006</v>
      </c>
    </row>
    <row r="286" spans="1:5" x14ac:dyDescent="0.25">
      <c r="A286" s="57">
        <v>985</v>
      </c>
      <c r="B286" s="61" t="s">
        <v>1064</v>
      </c>
      <c r="C286" s="62">
        <v>112500</v>
      </c>
      <c r="D286" s="62">
        <v>6187.56</v>
      </c>
      <c r="E286" s="63">
        <v>6187.56</v>
      </c>
    </row>
    <row r="287" spans="1:5" x14ac:dyDescent="0.25">
      <c r="A287" s="57">
        <v>991</v>
      </c>
      <c r="B287" s="61" t="s">
        <v>1065</v>
      </c>
      <c r="C287" s="62">
        <v>7049132.75</v>
      </c>
      <c r="D287" s="62">
        <v>387705.09</v>
      </c>
      <c r="E287" s="63">
        <v>387703.65</v>
      </c>
    </row>
    <row r="288" spans="1:5" x14ac:dyDescent="0.25">
      <c r="A288" s="57">
        <v>993</v>
      </c>
      <c r="B288" s="61" t="s">
        <v>1066</v>
      </c>
      <c r="C288" s="62">
        <v>2502155.5499999998</v>
      </c>
      <c r="D288" s="62">
        <v>137617.97</v>
      </c>
      <c r="E288" s="63">
        <v>137617.81</v>
      </c>
    </row>
    <row r="289" spans="1:5" x14ac:dyDescent="0.25">
      <c r="A289" s="57">
        <v>997</v>
      </c>
      <c r="B289" s="61" t="s">
        <v>1067</v>
      </c>
      <c r="C289" s="62">
        <v>1569188.25</v>
      </c>
      <c r="D289" s="62">
        <v>86305.49</v>
      </c>
      <c r="E289" s="63">
        <v>86305.49</v>
      </c>
    </row>
    <row r="290" spans="1:5" x14ac:dyDescent="0.25">
      <c r="A290" s="57">
        <v>998</v>
      </c>
      <c r="B290" s="61" t="s">
        <v>1068</v>
      </c>
      <c r="C290" s="62">
        <v>3453971.59</v>
      </c>
      <c r="D290" s="62">
        <v>189968.15</v>
      </c>
      <c r="E290" s="63">
        <v>189967.49</v>
      </c>
    </row>
    <row r="291" spans="1:5" x14ac:dyDescent="0.25">
      <c r="A291" s="57">
        <v>2071</v>
      </c>
      <c r="B291" s="61" t="s">
        <v>1423</v>
      </c>
      <c r="C291" s="62">
        <v>2932081.1</v>
      </c>
      <c r="D291" s="62">
        <v>161264.6</v>
      </c>
      <c r="E291" s="63">
        <v>161264.66</v>
      </c>
    </row>
    <row r="292" spans="1:5" x14ac:dyDescent="0.25">
      <c r="A292" s="57">
        <v>2125</v>
      </c>
      <c r="B292" s="61" t="s">
        <v>1424</v>
      </c>
      <c r="C292" s="62">
        <v>4509446.3899999997</v>
      </c>
      <c r="D292" s="62">
        <v>248018.75</v>
      </c>
      <c r="E292" s="63">
        <v>248019.69</v>
      </c>
    </row>
    <row r="293" spans="1:5" x14ac:dyDescent="0.25">
      <c r="A293" s="57">
        <v>2134</v>
      </c>
      <c r="B293" s="61" t="s">
        <v>1425</v>
      </c>
      <c r="C293" s="62">
        <v>3264221.87</v>
      </c>
      <c r="D293" s="62">
        <v>179533.06</v>
      </c>
      <c r="E293" s="63">
        <v>179533.03</v>
      </c>
    </row>
    <row r="294" spans="1:5" x14ac:dyDescent="0.25">
      <c r="A294" s="57">
        <v>2135</v>
      </c>
      <c r="B294" s="61" t="s">
        <v>1426</v>
      </c>
      <c r="C294" s="62">
        <v>4912900.59</v>
      </c>
      <c r="D294" s="62">
        <v>270210.53000000003</v>
      </c>
      <c r="E294" s="63">
        <v>270210.53000000003</v>
      </c>
    </row>
    <row r="295" spans="1:5" x14ac:dyDescent="0.25">
      <c r="A295" s="57">
        <v>2137</v>
      </c>
      <c r="B295" s="61" t="s">
        <v>1427</v>
      </c>
      <c r="C295" s="62">
        <v>2632802.86</v>
      </c>
      <c r="D295" s="62">
        <v>144804.26999999999</v>
      </c>
      <c r="E295" s="63">
        <v>144803.64000000001</v>
      </c>
    </row>
    <row r="296" spans="1:5" x14ac:dyDescent="0.25">
      <c r="A296" s="57">
        <v>2142</v>
      </c>
      <c r="B296" s="61" t="s">
        <v>1428</v>
      </c>
      <c r="C296" s="62">
        <v>9755813.2799999993</v>
      </c>
      <c r="D296" s="62">
        <v>536571.84</v>
      </c>
      <c r="E296" s="63">
        <v>536566.34</v>
      </c>
    </row>
    <row r="297" spans="1:5" x14ac:dyDescent="0.25">
      <c r="A297" s="57">
        <v>2143</v>
      </c>
      <c r="B297" s="61" t="s">
        <v>1429</v>
      </c>
      <c r="C297" s="62">
        <v>4055528.34</v>
      </c>
      <c r="D297" s="62">
        <v>223054.43</v>
      </c>
      <c r="E297" s="63">
        <v>223054.1</v>
      </c>
    </row>
    <row r="298" spans="1:5" x14ac:dyDescent="0.25">
      <c r="A298" s="57">
        <v>2144</v>
      </c>
      <c r="B298" s="61" t="s">
        <v>1430</v>
      </c>
      <c r="C298" s="62">
        <v>13755504.33</v>
      </c>
      <c r="D298" s="62">
        <v>756556.08</v>
      </c>
      <c r="E298" s="63">
        <v>756554.56</v>
      </c>
    </row>
    <row r="299" spans="1:5" x14ac:dyDescent="0.25">
      <c r="A299" s="57">
        <v>2149</v>
      </c>
      <c r="B299" s="61" t="s">
        <v>1431</v>
      </c>
      <c r="C299" s="62">
        <v>5613788.5800000001</v>
      </c>
      <c r="D299" s="62">
        <v>308758.40999999997</v>
      </c>
      <c r="E299" s="63">
        <v>308757.31</v>
      </c>
    </row>
    <row r="300" spans="1:5" x14ac:dyDescent="0.25">
      <c r="A300" s="57">
        <v>2154</v>
      </c>
      <c r="B300" s="61" t="s">
        <v>1432</v>
      </c>
      <c r="C300" s="62">
        <v>4491280.34</v>
      </c>
      <c r="D300" s="62">
        <v>247020.05</v>
      </c>
      <c r="E300" s="63">
        <v>247018.67</v>
      </c>
    </row>
    <row r="301" spans="1:5" x14ac:dyDescent="0.25">
      <c r="A301" s="57">
        <v>2155</v>
      </c>
      <c r="B301" s="61" t="s">
        <v>1433</v>
      </c>
      <c r="C301" s="62">
        <v>4576635</v>
      </c>
      <c r="D301" s="62">
        <v>251714.73</v>
      </c>
      <c r="E301" s="63">
        <v>251713.41</v>
      </c>
    </row>
    <row r="302" spans="1:5" x14ac:dyDescent="0.25">
      <c r="A302" s="57">
        <v>2159</v>
      </c>
      <c r="B302" s="61" t="s">
        <v>1434</v>
      </c>
      <c r="C302" s="62">
        <v>2766600.32</v>
      </c>
      <c r="D302" s="62">
        <v>152163.67000000001</v>
      </c>
      <c r="E302" s="63">
        <v>152163.48000000001</v>
      </c>
    </row>
    <row r="303" spans="1:5" x14ac:dyDescent="0.25">
      <c r="A303" s="57">
        <v>2164</v>
      </c>
      <c r="B303" s="61" t="s">
        <v>1435</v>
      </c>
      <c r="C303" s="62">
        <v>5964517.4900000002</v>
      </c>
      <c r="D303" s="62">
        <v>328054.23</v>
      </c>
      <c r="E303" s="63">
        <v>328046.8</v>
      </c>
    </row>
    <row r="304" spans="1:5" x14ac:dyDescent="0.25">
      <c r="A304" s="57">
        <v>2165</v>
      </c>
      <c r="B304" s="61" t="s">
        <v>1436</v>
      </c>
      <c r="C304" s="62">
        <v>4530856.7</v>
      </c>
      <c r="D304" s="62">
        <v>249198.12</v>
      </c>
      <c r="E304" s="63">
        <v>249197.65</v>
      </c>
    </row>
    <row r="305" spans="1:5" x14ac:dyDescent="0.25">
      <c r="A305" s="57">
        <v>2167</v>
      </c>
      <c r="B305" s="61" t="s">
        <v>1437</v>
      </c>
      <c r="C305" s="62">
        <v>2410490.7200000002</v>
      </c>
      <c r="D305" s="62">
        <v>132576.76999999999</v>
      </c>
      <c r="E305" s="63">
        <v>132576.71</v>
      </c>
    </row>
    <row r="306" spans="1:5" x14ac:dyDescent="0.25">
      <c r="A306" s="57">
        <v>2168</v>
      </c>
      <c r="B306" s="61" t="s">
        <v>1438</v>
      </c>
      <c r="C306" s="62">
        <v>3567491.76</v>
      </c>
      <c r="D306" s="62">
        <v>196212.18</v>
      </c>
      <c r="E306" s="63">
        <v>196211.9</v>
      </c>
    </row>
    <row r="307" spans="1:5" x14ac:dyDescent="0.25">
      <c r="A307" s="57">
        <v>2169</v>
      </c>
      <c r="B307" s="61" t="s">
        <v>1439</v>
      </c>
      <c r="C307" s="62">
        <v>3079716.97</v>
      </c>
      <c r="D307" s="62">
        <v>169385.29</v>
      </c>
      <c r="E307" s="63">
        <v>169384.41</v>
      </c>
    </row>
    <row r="308" spans="1:5" x14ac:dyDescent="0.25">
      <c r="A308" s="57">
        <v>2170</v>
      </c>
      <c r="B308" s="61" t="s">
        <v>1440</v>
      </c>
      <c r="C308" s="62">
        <v>5046033.93</v>
      </c>
      <c r="D308" s="62">
        <v>277531.31</v>
      </c>
      <c r="E308" s="63">
        <v>277530.81</v>
      </c>
    </row>
    <row r="309" spans="1:5" x14ac:dyDescent="0.25">
      <c r="A309" s="57">
        <v>2171</v>
      </c>
      <c r="B309" s="61" t="s">
        <v>1441</v>
      </c>
      <c r="C309" s="62">
        <v>1552904.46</v>
      </c>
      <c r="D309" s="62">
        <v>85410.01</v>
      </c>
      <c r="E309" s="63">
        <v>85409.94</v>
      </c>
    </row>
    <row r="310" spans="1:5" x14ac:dyDescent="0.25">
      <c r="A310" s="57">
        <v>2172</v>
      </c>
      <c r="B310" s="61" t="s">
        <v>1442</v>
      </c>
      <c r="C310" s="62">
        <v>2757163.05</v>
      </c>
      <c r="D310" s="62">
        <v>151644.10999999999</v>
      </c>
      <c r="E310" s="63">
        <v>151643.04999999999</v>
      </c>
    </row>
    <row r="311" spans="1:5" x14ac:dyDescent="0.25">
      <c r="A311" s="57">
        <v>2174</v>
      </c>
      <c r="B311" s="61" t="s">
        <v>1443</v>
      </c>
      <c r="C311" s="62">
        <v>4044980.87</v>
      </c>
      <c r="D311" s="62">
        <v>222473.45</v>
      </c>
      <c r="E311" s="63">
        <v>222472.28</v>
      </c>
    </row>
    <row r="312" spans="1:5" x14ac:dyDescent="0.25">
      <c r="A312" s="57">
        <v>2176</v>
      </c>
      <c r="B312" s="61" t="s">
        <v>1444</v>
      </c>
      <c r="C312" s="62">
        <v>2505531.7999999998</v>
      </c>
      <c r="D312" s="62">
        <v>137804.35999999999</v>
      </c>
      <c r="E312" s="63">
        <v>137804.06</v>
      </c>
    </row>
    <row r="313" spans="1:5" x14ac:dyDescent="0.25">
      <c r="A313" s="57">
        <v>2180</v>
      </c>
      <c r="B313" s="61" t="s">
        <v>1445</v>
      </c>
      <c r="C313" s="62">
        <v>3280601.64</v>
      </c>
      <c r="D313" s="62">
        <v>180433.96</v>
      </c>
      <c r="E313" s="63">
        <v>180434.56</v>
      </c>
    </row>
    <row r="314" spans="1:5" x14ac:dyDescent="0.25">
      <c r="A314" s="57">
        <v>2184</v>
      </c>
      <c r="B314" s="61" t="s">
        <v>1446</v>
      </c>
      <c r="C314" s="62">
        <v>5605682.6799999997</v>
      </c>
      <c r="D314" s="62">
        <v>308312.28999999998</v>
      </c>
      <c r="E314" s="63">
        <v>308310.96999999997</v>
      </c>
    </row>
    <row r="315" spans="1:5" x14ac:dyDescent="0.25">
      <c r="A315" s="57">
        <v>2190</v>
      </c>
      <c r="B315" s="61" t="s">
        <v>1447</v>
      </c>
      <c r="C315" s="62">
        <v>3261608.77</v>
      </c>
      <c r="D315" s="62">
        <v>179388.57</v>
      </c>
      <c r="E315" s="63">
        <v>179388.22</v>
      </c>
    </row>
    <row r="316" spans="1:5" x14ac:dyDescent="0.25">
      <c r="A316" s="57">
        <v>2198</v>
      </c>
      <c r="B316" s="61" t="s">
        <v>1448</v>
      </c>
      <c r="C316" s="62">
        <v>2366014.42</v>
      </c>
      <c r="D316" s="62">
        <v>130130.78</v>
      </c>
      <c r="E316" s="63">
        <v>130130.63</v>
      </c>
    </row>
    <row r="317" spans="1:5" x14ac:dyDescent="0.25">
      <c r="A317" s="57">
        <v>2215</v>
      </c>
      <c r="B317" s="61" t="s">
        <v>1449</v>
      </c>
      <c r="C317" s="62">
        <v>1603635.03</v>
      </c>
      <c r="D317" s="62">
        <v>88200.48</v>
      </c>
      <c r="E317" s="63">
        <v>88199.82</v>
      </c>
    </row>
    <row r="318" spans="1:5" x14ac:dyDescent="0.25">
      <c r="A318" s="57">
        <v>2310</v>
      </c>
      <c r="B318" s="61" t="s">
        <v>1450</v>
      </c>
      <c r="C318" s="62">
        <v>5191420.83</v>
      </c>
      <c r="D318" s="62">
        <v>285528.44</v>
      </c>
      <c r="E318" s="63">
        <v>285527.34000000003</v>
      </c>
    </row>
    <row r="319" spans="1:5" x14ac:dyDescent="0.25">
      <c r="A319" s="57">
        <v>2311</v>
      </c>
      <c r="B319" s="61" t="s">
        <v>1451</v>
      </c>
      <c r="C319" s="62">
        <v>2120908.73</v>
      </c>
      <c r="D319" s="62">
        <v>116650.02</v>
      </c>
      <c r="E319" s="63">
        <v>116648.93</v>
      </c>
    </row>
    <row r="320" spans="1:5" x14ac:dyDescent="0.25">
      <c r="A320" s="57">
        <v>2342</v>
      </c>
      <c r="B320" s="61" t="s">
        <v>1452</v>
      </c>
      <c r="C320" s="62">
        <v>3056514.69</v>
      </c>
      <c r="D320" s="62">
        <v>168109.46</v>
      </c>
      <c r="E320" s="63">
        <v>168108.29</v>
      </c>
    </row>
    <row r="321" spans="1:5" x14ac:dyDescent="0.25">
      <c r="A321" s="57">
        <v>2358</v>
      </c>
      <c r="B321" s="61" t="s">
        <v>1453</v>
      </c>
      <c r="C321" s="62">
        <v>1500514.38</v>
      </c>
      <c r="D321" s="62">
        <v>82529.039999999994</v>
      </c>
      <c r="E321" s="63">
        <v>82528.63</v>
      </c>
    </row>
    <row r="322" spans="1:5" x14ac:dyDescent="0.25">
      <c r="A322" s="57">
        <v>2364</v>
      </c>
      <c r="B322" s="61" t="s">
        <v>1454</v>
      </c>
      <c r="C322" s="62">
        <v>2822416.77</v>
      </c>
      <c r="D322" s="62">
        <v>155233.07</v>
      </c>
      <c r="E322" s="63">
        <v>155232.38</v>
      </c>
    </row>
    <row r="323" spans="1:5" x14ac:dyDescent="0.25">
      <c r="A323" s="57">
        <v>2365</v>
      </c>
      <c r="B323" s="61" t="s">
        <v>1455</v>
      </c>
      <c r="C323" s="62">
        <v>3274991.82</v>
      </c>
      <c r="D323" s="62">
        <v>180125.54</v>
      </c>
      <c r="E323" s="63">
        <v>180124.53</v>
      </c>
    </row>
    <row r="324" spans="1:5" x14ac:dyDescent="0.25">
      <c r="A324" s="57">
        <v>2396</v>
      </c>
      <c r="B324" s="61" t="s">
        <v>1456</v>
      </c>
      <c r="C324" s="62">
        <v>3350648.79</v>
      </c>
      <c r="D324" s="62">
        <v>184286.1</v>
      </c>
      <c r="E324" s="63">
        <v>184286.19</v>
      </c>
    </row>
    <row r="325" spans="1:5" x14ac:dyDescent="0.25">
      <c r="A325" s="57">
        <v>2397</v>
      </c>
      <c r="B325" s="61" t="s">
        <v>1457</v>
      </c>
      <c r="C325" s="62">
        <v>4166587.46</v>
      </c>
      <c r="D325" s="62">
        <v>229171.56</v>
      </c>
      <c r="E325" s="63">
        <v>229170.64</v>
      </c>
    </row>
    <row r="326" spans="1:5" x14ac:dyDescent="0.25">
      <c r="A326" s="57">
        <v>2448</v>
      </c>
      <c r="B326" s="61" t="s">
        <v>1458</v>
      </c>
      <c r="C326" s="62">
        <v>2951364.64</v>
      </c>
      <c r="D326" s="62">
        <v>162325.41</v>
      </c>
      <c r="E326" s="63">
        <v>162324.89000000001</v>
      </c>
    </row>
    <row r="327" spans="1:5" x14ac:dyDescent="0.25">
      <c r="A327" s="57">
        <v>2527</v>
      </c>
      <c r="B327" s="61" t="s">
        <v>1459</v>
      </c>
      <c r="C327" s="62">
        <v>1159589.26</v>
      </c>
      <c r="D327" s="62">
        <v>63777.81</v>
      </c>
      <c r="E327" s="63">
        <v>63777.87</v>
      </c>
    </row>
    <row r="328" spans="1:5" x14ac:dyDescent="0.25">
      <c r="A328" s="57">
        <v>2534</v>
      </c>
      <c r="B328" s="61" t="s">
        <v>1460</v>
      </c>
      <c r="C328" s="62">
        <v>2998680.42</v>
      </c>
      <c r="D328" s="62">
        <v>164927.66</v>
      </c>
      <c r="E328" s="63">
        <v>164927.04000000001</v>
      </c>
    </row>
    <row r="329" spans="1:5" x14ac:dyDescent="0.25">
      <c r="A329" s="57">
        <v>2536</v>
      </c>
      <c r="B329" s="61" t="s">
        <v>1461</v>
      </c>
      <c r="C329" s="62">
        <v>1152565.83</v>
      </c>
      <c r="D329" s="62">
        <v>63391.1</v>
      </c>
      <c r="E329" s="63">
        <v>63391</v>
      </c>
    </row>
    <row r="330" spans="1:5" x14ac:dyDescent="0.25">
      <c r="A330" s="57">
        <v>2580</v>
      </c>
      <c r="B330" s="61" t="s">
        <v>1462</v>
      </c>
      <c r="C330" s="62">
        <v>3599308.81</v>
      </c>
      <c r="D330" s="62">
        <v>197961.79</v>
      </c>
      <c r="E330" s="63">
        <v>197961.60000000001</v>
      </c>
    </row>
    <row r="331" spans="1:5" x14ac:dyDescent="0.25">
      <c r="A331" s="57">
        <v>2609</v>
      </c>
      <c r="B331" s="61" t="s">
        <v>1463</v>
      </c>
      <c r="C331" s="62">
        <v>1754617.17</v>
      </c>
      <c r="D331" s="62">
        <v>96504.2</v>
      </c>
      <c r="E331" s="63">
        <v>96503.57</v>
      </c>
    </row>
    <row r="332" spans="1:5" x14ac:dyDescent="0.25">
      <c r="A332" s="57">
        <v>2683</v>
      </c>
      <c r="B332" s="61" t="s">
        <v>1464</v>
      </c>
      <c r="C332" s="62">
        <v>2036089.9</v>
      </c>
      <c r="D332" s="62">
        <v>111985.95</v>
      </c>
      <c r="E332" s="63">
        <v>111985.88</v>
      </c>
    </row>
    <row r="333" spans="1:5" x14ac:dyDescent="0.25">
      <c r="A333" s="57">
        <v>2687</v>
      </c>
      <c r="B333" s="61" t="s">
        <v>1465</v>
      </c>
      <c r="C333" s="62">
        <v>3889238.01</v>
      </c>
      <c r="D333" s="62">
        <v>213903.37</v>
      </c>
      <c r="E333" s="63">
        <v>213902.99</v>
      </c>
    </row>
    <row r="334" spans="1:5" x14ac:dyDescent="0.25">
      <c r="A334" s="57">
        <v>2689</v>
      </c>
      <c r="B334" s="61" t="s">
        <v>1466</v>
      </c>
      <c r="C334" s="62">
        <v>5055524.7300000004</v>
      </c>
      <c r="D334" s="62">
        <v>278054.23</v>
      </c>
      <c r="E334" s="63">
        <v>278053.40000000002</v>
      </c>
    </row>
    <row r="335" spans="1:5" x14ac:dyDescent="0.25">
      <c r="A335" s="57">
        <v>2711</v>
      </c>
      <c r="B335" s="61" t="s">
        <v>1467</v>
      </c>
      <c r="C335" s="62">
        <v>3701903.66</v>
      </c>
      <c r="D335" s="62">
        <v>203605.33</v>
      </c>
      <c r="E335" s="63">
        <v>203604.64</v>
      </c>
    </row>
    <row r="336" spans="1:5" x14ac:dyDescent="0.25">
      <c r="A336" s="57">
        <v>2752</v>
      </c>
      <c r="B336" s="61" t="s">
        <v>1468</v>
      </c>
      <c r="C336" s="62">
        <v>8697142.1799999997</v>
      </c>
      <c r="D336" s="62">
        <v>478342.53</v>
      </c>
      <c r="E336" s="63">
        <v>478341.03</v>
      </c>
    </row>
    <row r="337" spans="1:5" x14ac:dyDescent="0.25">
      <c r="A337" s="57">
        <v>2753</v>
      </c>
      <c r="B337" s="61" t="s">
        <v>1469</v>
      </c>
      <c r="C337" s="62">
        <v>4934182.12</v>
      </c>
      <c r="D337" s="62">
        <v>271395.57</v>
      </c>
      <c r="E337" s="63">
        <v>271394.05</v>
      </c>
    </row>
    <row r="338" spans="1:5" x14ac:dyDescent="0.25">
      <c r="A338" s="57">
        <v>2754</v>
      </c>
      <c r="B338" s="61" t="s">
        <v>1470</v>
      </c>
      <c r="C338" s="62">
        <v>1848595.14</v>
      </c>
      <c r="D338" s="62">
        <v>101673.09</v>
      </c>
      <c r="E338" s="63">
        <v>101672.83</v>
      </c>
    </row>
    <row r="339" spans="1:5" x14ac:dyDescent="0.25">
      <c r="A339" s="57">
        <v>2759</v>
      </c>
      <c r="B339" s="61" t="s">
        <v>1471</v>
      </c>
      <c r="C339" s="62">
        <v>1122324.3500000001</v>
      </c>
      <c r="D339" s="62">
        <v>61728.06</v>
      </c>
      <c r="E339" s="63">
        <v>61727.96</v>
      </c>
    </row>
    <row r="340" spans="1:5" x14ac:dyDescent="0.25">
      <c r="A340" s="57">
        <v>2805</v>
      </c>
      <c r="B340" s="61" t="s">
        <v>1472</v>
      </c>
      <c r="C340" s="62">
        <v>4437361.1100000003</v>
      </c>
      <c r="D340" s="62">
        <v>244054.44</v>
      </c>
      <c r="E340" s="63">
        <v>244053.14</v>
      </c>
    </row>
    <row r="341" spans="1:5" x14ac:dyDescent="0.25">
      <c r="A341" s="57">
        <v>2835</v>
      </c>
      <c r="B341" s="61" t="s">
        <v>1473</v>
      </c>
      <c r="C341" s="62">
        <v>2136777.5299999998</v>
      </c>
      <c r="D341" s="62">
        <v>117522.77</v>
      </c>
      <c r="E341" s="63">
        <v>117522.38</v>
      </c>
    </row>
    <row r="342" spans="1:5" x14ac:dyDescent="0.25">
      <c r="A342" s="57">
        <v>2853</v>
      </c>
      <c r="B342" s="61" t="s">
        <v>1474</v>
      </c>
      <c r="C342" s="62">
        <v>4089337.44</v>
      </c>
      <c r="D342" s="62">
        <v>224913.41</v>
      </c>
      <c r="E342" s="63">
        <v>224913.17</v>
      </c>
    </row>
    <row r="343" spans="1:5" x14ac:dyDescent="0.25">
      <c r="A343" s="57">
        <v>2854</v>
      </c>
      <c r="B343" s="61" t="s">
        <v>1475</v>
      </c>
      <c r="C343" s="62">
        <v>2542902.12</v>
      </c>
      <c r="D343" s="62">
        <v>139860.14000000001</v>
      </c>
      <c r="E343" s="63">
        <v>139860.01999999999</v>
      </c>
    </row>
    <row r="344" spans="1:5" x14ac:dyDescent="0.25">
      <c r="A344" s="57">
        <v>2856</v>
      </c>
      <c r="B344" s="61" t="s">
        <v>1476</v>
      </c>
      <c r="C344" s="62">
        <v>1739394.49</v>
      </c>
      <c r="D344" s="62">
        <v>95666.69</v>
      </c>
      <c r="E344" s="63">
        <v>95666.5</v>
      </c>
    </row>
    <row r="345" spans="1:5" x14ac:dyDescent="0.25">
      <c r="A345" s="57">
        <v>2859</v>
      </c>
      <c r="B345" s="61" t="s">
        <v>1477</v>
      </c>
      <c r="C345" s="62">
        <v>6488007.8700000001</v>
      </c>
      <c r="D345" s="62">
        <v>356841.9</v>
      </c>
      <c r="E345" s="63">
        <v>356842.55</v>
      </c>
    </row>
    <row r="346" spans="1:5" x14ac:dyDescent="0.25">
      <c r="A346" s="57">
        <v>2860</v>
      </c>
      <c r="B346" s="61" t="s">
        <v>1478</v>
      </c>
      <c r="C346" s="62">
        <v>5113154.5999999996</v>
      </c>
      <c r="D346" s="62">
        <v>281177.34000000003</v>
      </c>
      <c r="E346" s="63">
        <v>281176.09999999998</v>
      </c>
    </row>
    <row r="347" spans="1:5" x14ac:dyDescent="0.25">
      <c r="A347" s="57">
        <v>2884</v>
      </c>
      <c r="B347" s="61" t="s">
        <v>1479</v>
      </c>
      <c r="C347" s="62">
        <v>2425319.12</v>
      </c>
      <c r="D347" s="62">
        <v>133393.26999999999</v>
      </c>
      <c r="E347" s="63">
        <v>133392.18</v>
      </c>
    </row>
    <row r="348" spans="1:5" x14ac:dyDescent="0.25">
      <c r="A348" s="57">
        <v>2886</v>
      </c>
      <c r="B348" s="61" t="s">
        <v>1480</v>
      </c>
      <c r="C348" s="62">
        <v>1448284.31</v>
      </c>
      <c r="D348" s="62">
        <v>79655.509999999995</v>
      </c>
      <c r="E348" s="63">
        <v>79655.289999999994</v>
      </c>
    </row>
    <row r="349" spans="1:5" x14ac:dyDescent="0.25">
      <c r="A349" s="57">
        <v>2888</v>
      </c>
      <c r="B349" s="61" t="s">
        <v>1481</v>
      </c>
      <c r="C349" s="62">
        <v>1739796.34</v>
      </c>
      <c r="D349" s="62">
        <v>95689.07</v>
      </c>
      <c r="E349" s="63">
        <v>95689.11</v>
      </c>
    </row>
    <row r="350" spans="1:5" x14ac:dyDescent="0.25">
      <c r="A350" s="57">
        <v>2889</v>
      </c>
      <c r="B350" s="61" t="s">
        <v>1482</v>
      </c>
      <c r="C350" s="62">
        <v>2560739.06</v>
      </c>
      <c r="D350" s="62">
        <v>140840.45000000001</v>
      </c>
      <c r="E350" s="63">
        <v>140840.53</v>
      </c>
    </row>
    <row r="351" spans="1:5" x14ac:dyDescent="0.25">
      <c r="A351" s="57">
        <v>2890</v>
      </c>
      <c r="B351" s="61" t="s">
        <v>1483</v>
      </c>
      <c r="C351" s="62">
        <v>2533134.9500000002</v>
      </c>
      <c r="D351" s="62">
        <v>139323.43</v>
      </c>
      <c r="E351" s="63">
        <v>139322.87</v>
      </c>
    </row>
    <row r="352" spans="1:5" x14ac:dyDescent="0.25">
      <c r="A352" s="57">
        <v>2895</v>
      </c>
      <c r="B352" s="61" t="s">
        <v>1484</v>
      </c>
      <c r="C352" s="62">
        <v>5212850.8499999996</v>
      </c>
      <c r="D352" s="62">
        <v>286707.3</v>
      </c>
      <c r="E352" s="63">
        <v>286706.55</v>
      </c>
    </row>
    <row r="353" spans="1:5" x14ac:dyDescent="0.25">
      <c r="A353" s="57">
        <v>2897</v>
      </c>
      <c r="B353" s="61" t="s">
        <v>1485</v>
      </c>
      <c r="C353" s="62">
        <v>4881834.54</v>
      </c>
      <c r="D353" s="62">
        <v>268501.56</v>
      </c>
      <c r="E353" s="63">
        <v>268500.03999999998</v>
      </c>
    </row>
    <row r="354" spans="1:5" x14ac:dyDescent="0.25">
      <c r="A354" s="57">
        <v>2898</v>
      </c>
      <c r="B354" s="61" t="s">
        <v>1486</v>
      </c>
      <c r="C354" s="62">
        <v>2420602.44</v>
      </c>
      <c r="D354" s="62">
        <v>133133.09</v>
      </c>
      <c r="E354" s="63">
        <v>133132.65</v>
      </c>
    </row>
    <row r="355" spans="1:5" x14ac:dyDescent="0.25">
      <c r="A355" s="57">
        <v>2899</v>
      </c>
      <c r="B355" s="61" t="s">
        <v>1487</v>
      </c>
      <c r="C355" s="62">
        <v>5936180.2699999996</v>
      </c>
      <c r="D355" s="62">
        <v>326490.38</v>
      </c>
      <c r="E355" s="63">
        <v>326490.65000000002</v>
      </c>
    </row>
    <row r="356" spans="1:5" x14ac:dyDescent="0.25">
      <c r="A356" s="57">
        <v>2902</v>
      </c>
      <c r="B356" s="61" t="s">
        <v>1488</v>
      </c>
      <c r="C356" s="62">
        <v>2159619.7400000002</v>
      </c>
      <c r="D356" s="62">
        <v>118778.35</v>
      </c>
      <c r="E356" s="63">
        <v>118777.79</v>
      </c>
    </row>
    <row r="357" spans="1:5" x14ac:dyDescent="0.25">
      <c r="A357" s="57">
        <v>2903</v>
      </c>
      <c r="B357" s="61" t="s">
        <v>1489</v>
      </c>
      <c r="C357" s="62">
        <v>2881791.56</v>
      </c>
      <c r="D357" s="62">
        <v>158499.07999999999</v>
      </c>
      <c r="E357" s="63">
        <v>158499.51</v>
      </c>
    </row>
    <row r="358" spans="1:5" x14ac:dyDescent="0.25">
      <c r="A358" s="57">
        <v>2904</v>
      </c>
      <c r="B358" s="61" t="s">
        <v>1490</v>
      </c>
      <c r="C358" s="62">
        <v>3506826.67</v>
      </c>
      <c r="D358" s="62">
        <v>192876.39</v>
      </c>
      <c r="E358" s="63">
        <v>192875.44</v>
      </c>
    </row>
    <row r="359" spans="1:5" x14ac:dyDescent="0.25">
      <c r="A359" s="57">
        <v>3333</v>
      </c>
      <c r="B359" s="61" t="s">
        <v>1491</v>
      </c>
      <c r="C359" s="62">
        <v>670879.46</v>
      </c>
      <c r="D359" s="62">
        <v>36898.5</v>
      </c>
      <c r="E359" s="63">
        <v>36898.49</v>
      </c>
    </row>
    <row r="360" spans="1:5" x14ac:dyDescent="0.25">
      <c r="A360" s="57"/>
      <c r="B360" s="61"/>
      <c r="C360" s="62"/>
      <c r="D360" s="62"/>
      <c r="E360" s="63"/>
    </row>
    <row r="361" spans="1:5" x14ac:dyDescent="0.25">
      <c r="A361" s="57">
        <v>4000</v>
      </c>
      <c r="B361" s="61" t="s">
        <v>1492</v>
      </c>
      <c r="C361" s="62">
        <v>444394.1</v>
      </c>
      <c r="D361" s="62">
        <v>24441.67</v>
      </c>
      <c r="E361" s="63">
        <v>24441.67</v>
      </c>
    </row>
    <row r="362" spans="1:5" x14ac:dyDescent="0.25">
      <c r="A362" s="57">
        <v>4001</v>
      </c>
      <c r="B362" s="61" t="s">
        <v>1493</v>
      </c>
      <c r="C362" s="62">
        <v>675578.82</v>
      </c>
      <c r="D362" s="62">
        <v>37156.720000000001</v>
      </c>
      <c r="E362" s="63">
        <v>37156.29</v>
      </c>
    </row>
    <row r="363" spans="1:5" x14ac:dyDescent="0.25">
      <c r="A363" s="57">
        <v>4003</v>
      </c>
      <c r="B363" s="61" t="s">
        <v>1494</v>
      </c>
      <c r="C363" s="62">
        <v>654752.03</v>
      </c>
      <c r="D363" s="62">
        <v>36011.919999999998</v>
      </c>
      <c r="E363" s="63">
        <v>36011.919999999998</v>
      </c>
    </row>
    <row r="364" spans="1:5" x14ac:dyDescent="0.25">
      <c r="A364" s="57">
        <v>4004</v>
      </c>
      <c r="B364" s="61" t="s">
        <v>1495</v>
      </c>
      <c r="C364" s="62">
        <v>671218.49</v>
      </c>
      <c r="D364" s="62">
        <v>36916.92</v>
      </c>
      <c r="E364" s="63">
        <v>36916.449999999997</v>
      </c>
    </row>
    <row r="365" spans="1:5" x14ac:dyDescent="0.25">
      <c r="A365" s="57">
        <v>4005</v>
      </c>
      <c r="B365" s="61" t="s">
        <v>1496</v>
      </c>
      <c r="C365" s="62">
        <v>1842518.8</v>
      </c>
      <c r="D365" s="62">
        <v>101338.7</v>
      </c>
      <c r="E365" s="63">
        <v>101337.98</v>
      </c>
    </row>
    <row r="366" spans="1:5" x14ac:dyDescent="0.25">
      <c r="A366" s="57">
        <v>4007</v>
      </c>
      <c r="B366" s="61" t="s">
        <v>1497</v>
      </c>
      <c r="C366" s="62">
        <v>549672.46</v>
      </c>
      <c r="D366" s="62">
        <v>30231.96</v>
      </c>
      <c r="E366" s="63">
        <v>30231.96</v>
      </c>
    </row>
    <row r="367" spans="1:5" x14ac:dyDescent="0.25">
      <c r="A367" s="57">
        <v>4008</v>
      </c>
      <c r="B367" s="61" t="s">
        <v>1498</v>
      </c>
      <c r="C367" s="62">
        <v>1942553.03</v>
      </c>
      <c r="D367" s="62">
        <v>106840.85</v>
      </c>
      <c r="E367" s="63">
        <v>106840.59</v>
      </c>
    </row>
    <row r="368" spans="1:5" x14ac:dyDescent="0.25">
      <c r="A368" s="57">
        <v>4011</v>
      </c>
      <c r="B368" s="61" t="s">
        <v>1499</v>
      </c>
      <c r="C368" s="62">
        <v>1148580.1000000001</v>
      </c>
      <c r="D368" s="62">
        <v>63172.1</v>
      </c>
      <c r="E368" s="63">
        <v>63172.35</v>
      </c>
    </row>
    <row r="369" spans="1:5" x14ac:dyDescent="0.25">
      <c r="A369" s="57">
        <v>4012</v>
      </c>
      <c r="B369" s="61" t="s">
        <v>1500</v>
      </c>
      <c r="C369" s="62">
        <v>26664.41</v>
      </c>
      <c r="D369" s="62">
        <v>1466.62</v>
      </c>
      <c r="E369" s="63">
        <v>1466.62</v>
      </c>
    </row>
    <row r="370" spans="1:5" x14ac:dyDescent="0.25">
      <c r="A370" s="57">
        <v>4015</v>
      </c>
      <c r="B370" s="61" t="s">
        <v>1501</v>
      </c>
      <c r="C370" s="62">
        <v>3043226.48</v>
      </c>
      <c r="D370" s="62">
        <v>167377.9</v>
      </c>
      <c r="E370" s="63">
        <v>167377.54</v>
      </c>
    </row>
    <row r="371" spans="1:5" x14ac:dyDescent="0.25">
      <c r="A371" s="57">
        <v>4016</v>
      </c>
      <c r="B371" s="61" t="s">
        <v>1502</v>
      </c>
      <c r="C371" s="62">
        <v>485754.41</v>
      </c>
      <c r="D371" s="62">
        <v>26716.84</v>
      </c>
      <c r="E371" s="63">
        <v>26716.87</v>
      </c>
    </row>
    <row r="372" spans="1:5" x14ac:dyDescent="0.25">
      <c r="A372" s="57">
        <v>4017</v>
      </c>
      <c r="B372" s="61" t="s">
        <v>1503</v>
      </c>
      <c r="C372" s="62">
        <v>7415978.1600000001</v>
      </c>
      <c r="D372" s="62">
        <v>407879.95</v>
      </c>
      <c r="E372" s="63">
        <v>407880.25</v>
      </c>
    </row>
    <row r="373" spans="1:5" x14ac:dyDescent="0.25">
      <c r="A373" s="57">
        <v>4018</v>
      </c>
      <c r="B373" s="61" t="s">
        <v>1504</v>
      </c>
      <c r="C373" s="62">
        <v>1857731.9</v>
      </c>
      <c r="D373" s="62">
        <v>102175.45</v>
      </c>
      <c r="E373" s="63">
        <v>102175.17</v>
      </c>
    </row>
    <row r="374" spans="1:5" x14ac:dyDescent="0.25">
      <c r="A374" s="57">
        <v>4020</v>
      </c>
      <c r="B374" s="61" t="s">
        <v>1505</v>
      </c>
      <c r="C374" s="62">
        <v>3866559.79</v>
      </c>
      <c r="D374" s="62">
        <v>212661.82</v>
      </c>
      <c r="E374" s="63">
        <v>212661.82</v>
      </c>
    </row>
    <row r="375" spans="1:5" x14ac:dyDescent="0.25">
      <c r="A375" s="57">
        <v>4025</v>
      </c>
      <c r="B375" s="61" t="s">
        <v>1506</v>
      </c>
      <c r="C375" s="62">
        <v>460884.87</v>
      </c>
      <c r="D375" s="62">
        <v>25348.95</v>
      </c>
      <c r="E375" s="63">
        <v>25348.45</v>
      </c>
    </row>
    <row r="376" spans="1:5" x14ac:dyDescent="0.25">
      <c r="A376" s="57">
        <v>4026</v>
      </c>
      <c r="B376" s="61" t="s">
        <v>1507</v>
      </c>
      <c r="C376" s="62">
        <v>806925.15</v>
      </c>
      <c r="D376" s="62">
        <v>44380.800000000003</v>
      </c>
      <c r="E376" s="63">
        <v>44380.69</v>
      </c>
    </row>
    <row r="377" spans="1:5" x14ac:dyDescent="0.25">
      <c r="A377" s="57">
        <v>4027</v>
      </c>
      <c r="B377" s="61" t="s">
        <v>1508</v>
      </c>
      <c r="C377" s="62">
        <v>1719896.33</v>
      </c>
      <c r="D377" s="62">
        <v>94594.12</v>
      </c>
      <c r="E377" s="63">
        <v>94593.85</v>
      </c>
    </row>
    <row r="378" spans="1:5" x14ac:dyDescent="0.25">
      <c r="A378" s="57">
        <v>4029</v>
      </c>
      <c r="B378" s="61" t="s">
        <v>1509</v>
      </c>
      <c r="C378" s="62">
        <v>1498774.49</v>
      </c>
      <c r="D378" s="62">
        <v>82433.33</v>
      </c>
      <c r="E378" s="63">
        <v>82433.33</v>
      </c>
    </row>
    <row r="379" spans="1:5" x14ac:dyDescent="0.25">
      <c r="A379" s="57">
        <v>4030</v>
      </c>
      <c r="B379" s="61" t="s">
        <v>1510</v>
      </c>
      <c r="C379" s="62">
        <v>863478.77</v>
      </c>
      <c r="D379" s="62">
        <v>47491.65</v>
      </c>
      <c r="E379" s="63">
        <v>47491.62</v>
      </c>
    </row>
    <row r="380" spans="1:5" x14ac:dyDescent="0.25">
      <c r="A380" s="57">
        <v>4031</v>
      </c>
      <c r="B380" s="61" t="s">
        <v>1511</v>
      </c>
      <c r="C380" s="62">
        <v>246442.21</v>
      </c>
      <c r="D380" s="62">
        <v>13554.35</v>
      </c>
      <c r="E380" s="63">
        <v>13554.34</v>
      </c>
    </row>
    <row r="381" spans="1:5" x14ac:dyDescent="0.25">
      <c r="A381" s="57">
        <v>4032</v>
      </c>
      <c r="B381" s="61" t="s">
        <v>1512</v>
      </c>
      <c r="C381" s="62">
        <v>1041392.23</v>
      </c>
      <c r="D381" s="62">
        <v>57277.47</v>
      </c>
      <c r="E381" s="63">
        <v>57277.26</v>
      </c>
    </row>
    <row r="382" spans="1:5" x14ac:dyDescent="0.25">
      <c r="A382" s="57">
        <v>4035</v>
      </c>
      <c r="B382" s="61" t="s">
        <v>1513</v>
      </c>
      <c r="C382" s="62">
        <v>1412008.08</v>
      </c>
      <c r="D382" s="62">
        <v>77660.399999999994</v>
      </c>
      <c r="E382" s="63">
        <v>77660.289999999994</v>
      </c>
    </row>
    <row r="383" spans="1:5" x14ac:dyDescent="0.25">
      <c r="A383" s="57">
        <v>4036</v>
      </c>
      <c r="B383" s="61" t="s">
        <v>1514</v>
      </c>
      <c r="C383" s="62">
        <v>316078.83</v>
      </c>
      <c r="D383" s="62">
        <v>17384.05</v>
      </c>
      <c r="E383" s="63">
        <v>17384.04</v>
      </c>
    </row>
    <row r="384" spans="1:5" x14ac:dyDescent="0.25">
      <c r="A384" s="57">
        <v>4038</v>
      </c>
      <c r="B384" s="61" t="s">
        <v>1515</v>
      </c>
      <c r="C384" s="62">
        <v>1240782.3500000001</v>
      </c>
      <c r="D384" s="62">
        <v>68244.09</v>
      </c>
      <c r="E384" s="63">
        <v>68243.850000000006</v>
      </c>
    </row>
    <row r="385" spans="1:5" x14ac:dyDescent="0.25">
      <c r="A385" s="57">
        <v>4039</v>
      </c>
      <c r="B385" s="61" t="s">
        <v>1516</v>
      </c>
      <c r="C385" s="62">
        <v>481823.29</v>
      </c>
      <c r="D385" s="62">
        <v>26500.48</v>
      </c>
      <c r="E385" s="63">
        <v>26500.48</v>
      </c>
    </row>
    <row r="386" spans="1:5" x14ac:dyDescent="0.25">
      <c r="A386" s="57">
        <v>4042</v>
      </c>
      <c r="B386" s="61" t="s">
        <v>1517</v>
      </c>
      <c r="C386" s="62">
        <v>697022.89</v>
      </c>
      <c r="D386" s="62">
        <v>38336.370000000003</v>
      </c>
      <c r="E386" s="63">
        <v>38336.370000000003</v>
      </c>
    </row>
    <row r="387" spans="1:5" x14ac:dyDescent="0.25">
      <c r="A387" s="57">
        <v>4043</v>
      </c>
      <c r="B387" s="61" t="s">
        <v>1518</v>
      </c>
      <c r="C387" s="62">
        <v>1086914.6599999999</v>
      </c>
      <c r="D387" s="62">
        <v>59779.95</v>
      </c>
      <c r="E387" s="63">
        <v>59779.66</v>
      </c>
    </row>
    <row r="388" spans="1:5" x14ac:dyDescent="0.25">
      <c r="A388" s="57">
        <v>4045</v>
      </c>
      <c r="B388" s="61" t="s">
        <v>1519</v>
      </c>
      <c r="C388" s="62">
        <v>230408.59</v>
      </c>
      <c r="D388" s="62">
        <v>12672.5</v>
      </c>
      <c r="E388" s="63">
        <v>12672.35</v>
      </c>
    </row>
    <row r="389" spans="1:5" x14ac:dyDescent="0.25">
      <c r="A389" s="57">
        <v>4046</v>
      </c>
      <c r="B389" s="61" t="s">
        <v>1520</v>
      </c>
      <c r="C389" s="62">
        <v>398563.45</v>
      </c>
      <c r="D389" s="62">
        <v>21921.37</v>
      </c>
      <c r="E389" s="63">
        <v>21920.69</v>
      </c>
    </row>
    <row r="390" spans="1:5" x14ac:dyDescent="0.25">
      <c r="A390" s="57">
        <v>4048</v>
      </c>
      <c r="B390" s="61" t="s">
        <v>1521</v>
      </c>
      <c r="C390" s="62">
        <v>156429.65</v>
      </c>
      <c r="D390" s="62">
        <v>8603.75</v>
      </c>
      <c r="E390" s="63">
        <v>8603.75</v>
      </c>
    </row>
    <row r="391" spans="1:5" x14ac:dyDescent="0.25">
      <c r="A391" s="57">
        <v>4049</v>
      </c>
      <c r="B391" s="61" t="s">
        <v>1522</v>
      </c>
      <c r="C391" s="62">
        <v>628787.87</v>
      </c>
      <c r="D391" s="62">
        <v>34583.269999999997</v>
      </c>
      <c r="E391" s="63">
        <v>34583.599999999999</v>
      </c>
    </row>
    <row r="392" spans="1:5" x14ac:dyDescent="0.25">
      <c r="A392" s="57">
        <v>4050</v>
      </c>
      <c r="B392" s="61" t="s">
        <v>1523</v>
      </c>
      <c r="C392" s="62">
        <v>262977.99</v>
      </c>
      <c r="D392" s="62">
        <v>14463.66</v>
      </c>
      <c r="E392" s="63">
        <v>14463.66</v>
      </c>
    </row>
    <row r="393" spans="1:5" x14ac:dyDescent="0.25">
      <c r="A393" s="57">
        <v>4052</v>
      </c>
      <c r="B393" s="61" t="s">
        <v>1524</v>
      </c>
      <c r="C393" s="62">
        <v>333211.33</v>
      </c>
      <c r="D393" s="62">
        <v>18326.490000000002</v>
      </c>
      <c r="E393" s="63">
        <v>18326.490000000002</v>
      </c>
    </row>
    <row r="394" spans="1:5" x14ac:dyDescent="0.25">
      <c r="A394" s="57">
        <v>4053</v>
      </c>
      <c r="B394" s="61" t="s">
        <v>1525</v>
      </c>
      <c r="C394" s="62">
        <v>1314695.97</v>
      </c>
      <c r="D394" s="62">
        <v>72308</v>
      </c>
      <c r="E394" s="63">
        <v>72308</v>
      </c>
    </row>
    <row r="395" spans="1:5" x14ac:dyDescent="0.25">
      <c r="A395" s="57">
        <v>4054</v>
      </c>
      <c r="B395" s="61" t="s">
        <v>1526</v>
      </c>
      <c r="C395" s="62">
        <v>173391.62</v>
      </c>
      <c r="D395" s="62">
        <v>9536.65</v>
      </c>
      <c r="E395" s="63">
        <v>9536.65</v>
      </c>
    </row>
    <row r="396" spans="1:5" x14ac:dyDescent="0.25">
      <c r="A396" s="57">
        <v>4055</v>
      </c>
      <c r="B396" s="61" t="s">
        <v>1527</v>
      </c>
      <c r="C396" s="62">
        <v>465975.5</v>
      </c>
      <c r="D396" s="62">
        <v>25628.560000000001</v>
      </c>
      <c r="E396" s="63">
        <v>25628.560000000001</v>
      </c>
    </row>
    <row r="397" spans="1:5" x14ac:dyDescent="0.25">
      <c r="A397" s="57">
        <v>4056</v>
      </c>
      <c r="B397" s="61" t="s">
        <v>1528</v>
      </c>
      <c r="C397" s="62">
        <v>657244.91</v>
      </c>
      <c r="D397" s="62">
        <v>36148.480000000003</v>
      </c>
      <c r="E397" s="63">
        <v>36148.410000000003</v>
      </c>
    </row>
    <row r="398" spans="1:5" x14ac:dyDescent="0.25">
      <c r="A398" s="57">
        <v>4057</v>
      </c>
      <c r="B398" s="61" t="s">
        <v>1529</v>
      </c>
      <c r="C398" s="62">
        <v>440191.66</v>
      </c>
      <c r="D398" s="62">
        <v>24210.59</v>
      </c>
      <c r="E398" s="63">
        <v>24210.59</v>
      </c>
    </row>
    <row r="399" spans="1:5" x14ac:dyDescent="0.25">
      <c r="A399" s="57">
        <v>4058</v>
      </c>
      <c r="B399" s="61" t="s">
        <v>1530</v>
      </c>
      <c r="C399" s="62">
        <v>686914.7</v>
      </c>
      <c r="D399" s="62">
        <v>37780.32</v>
      </c>
      <c r="E399" s="63">
        <v>37780.32</v>
      </c>
    </row>
    <row r="400" spans="1:5" x14ac:dyDescent="0.25">
      <c r="A400" s="57">
        <v>4059</v>
      </c>
      <c r="B400" s="61" t="s">
        <v>1531</v>
      </c>
      <c r="C400" s="62">
        <v>460048.95</v>
      </c>
      <c r="D400" s="62">
        <v>25303.18</v>
      </c>
      <c r="E400" s="63">
        <v>25303.18</v>
      </c>
    </row>
    <row r="401" spans="1:5" x14ac:dyDescent="0.25">
      <c r="A401" s="57">
        <v>4061</v>
      </c>
      <c r="B401" s="61" t="s">
        <v>1532</v>
      </c>
      <c r="C401" s="62">
        <v>323348.78999999998</v>
      </c>
      <c r="D401" s="62">
        <v>18029.5</v>
      </c>
      <c r="E401" s="63">
        <v>18029.5</v>
      </c>
    </row>
    <row r="402" spans="1:5" x14ac:dyDescent="0.25">
      <c r="A402" s="57">
        <v>4064</v>
      </c>
      <c r="B402" s="61" t="s">
        <v>1533</v>
      </c>
      <c r="C402" s="62">
        <v>387062.75</v>
      </c>
      <c r="D402" s="62">
        <v>21288.74</v>
      </c>
      <c r="E402" s="63">
        <v>21288.74</v>
      </c>
    </row>
    <row r="403" spans="1:5" x14ac:dyDescent="0.25">
      <c r="A403" s="57">
        <v>4066</v>
      </c>
      <c r="B403" s="61" t="s">
        <v>1534</v>
      </c>
      <c r="C403" s="62">
        <v>351233.22</v>
      </c>
      <c r="D403" s="62">
        <v>19317.849999999999</v>
      </c>
      <c r="E403" s="63">
        <v>19317.849999999999</v>
      </c>
    </row>
    <row r="404" spans="1:5" x14ac:dyDescent="0.25">
      <c r="A404" s="57">
        <v>4067</v>
      </c>
      <c r="B404" s="61" t="s">
        <v>1535</v>
      </c>
      <c r="C404" s="62">
        <v>865849.48</v>
      </c>
      <c r="D404" s="62">
        <v>47622.39</v>
      </c>
      <c r="E404" s="63">
        <v>47622.38</v>
      </c>
    </row>
    <row r="405" spans="1:5" x14ac:dyDescent="0.25">
      <c r="A405" s="57">
        <v>4068</v>
      </c>
      <c r="B405" s="61" t="s">
        <v>1536</v>
      </c>
      <c r="C405" s="62">
        <v>1323785.07</v>
      </c>
      <c r="D405" s="62">
        <v>72808.08</v>
      </c>
      <c r="E405" s="63">
        <v>72808.08</v>
      </c>
    </row>
    <row r="406" spans="1:5" x14ac:dyDescent="0.25">
      <c r="A406" s="57">
        <v>4070</v>
      </c>
      <c r="B406" s="61" t="s">
        <v>1537</v>
      </c>
      <c r="C406" s="62">
        <v>1503299.84</v>
      </c>
      <c r="D406" s="62">
        <v>82681.960000000006</v>
      </c>
      <c r="E406" s="63">
        <v>82681.789999999994</v>
      </c>
    </row>
    <row r="407" spans="1:5" x14ac:dyDescent="0.25">
      <c r="A407" s="57">
        <v>4073</v>
      </c>
      <c r="B407" s="61" t="s">
        <v>1538</v>
      </c>
      <c r="C407" s="62">
        <v>854133.59</v>
      </c>
      <c r="D407" s="62">
        <v>46977.59</v>
      </c>
      <c r="E407" s="63">
        <v>46977.279999999999</v>
      </c>
    </row>
    <row r="408" spans="1:5" x14ac:dyDescent="0.25">
      <c r="A408" s="57">
        <v>4074</v>
      </c>
      <c r="B408" s="61" t="s">
        <v>1539</v>
      </c>
      <c r="C408" s="62">
        <v>715986.95</v>
      </c>
      <c r="D408" s="62">
        <v>39378.92</v>
      </c>
      <c r="E408" s="63">
        <v>39378.660000000003</v>
      </c>
    </row>
    <row r="409" spans="1:5" x14ac:dyDescent="0.25">
      <c r="A409" s="57">
        <v>4075</v>
      </c>
      <c r="B409" s="61" t="s">
        <v>1540</v>
      </c>
      <c r="C409" s="62">
        <v>783622.06</v>
      </c>
      <c r="D409" s="62">
        <v>43099.47</v>
      </c>
      <c r="E409" s="63">
        <v>43099.47</v>
      </c>
    </row>
    <row r="410" spans="1:5" x14ac:dyDescent="0.25">
      <c r="A410" s="57">
        <v>4077</v>
      </c>
      <c r="B410" s="61" t="s">
        <v>1541</v>
      </c>
      <c r="C410" s="62">
        <v>1970436.64</v>
      </c>
      <c r="D410" s="62">
        <v>108374.18</v>
      </c>
      <c r="E410" s="63">
        <v>108374.18</v>
      </c>
    </row>
    <row r="411" spans="1:5" x14ac:dyDescent="0.25">
      <c r="A411" s="57">
        <v>4078</v>
      </c>
      <c r="B411" s="61" t="s">
        <v>1542</v>
      </c>
      <c r="C411" s="62">
        <v>937990.17</v>
      </c>
      <c r="D411" s="62">
        <v>51589.18</v>
      </c>
      <c r="E411" s="63">
        <v>51589.120000000003</v>
      </c>
    </row>
    <row r="412" spans="1:5" x14ac:dyDescent="0.25">
      <c r="A412" s="57">
        <v>4079</v>
      </c>
      <c r="B412" s="61" t="s">
        <v>1543</v>
      </c>
      <c r="C412" s="62">
        <v>240715.99</v>
      </c>
      <c r="D412" s="62">
        <v>13239.59</v>
      </c>
      <c r="E412" s="63">
        <v>13239.59</v>
      </c>
    </row>
    <row r="413" spans="1:5" x14ac:dyDescent="0.25">
      <c r="A413" s="57">
        <v>4080</v>
      </c>
      <c r="B413" s="61" t="s">
        <v>1544</v>
      </c>
      <c r="C413" s="62">
        <v>251482.44</v>
      </c>
      <c r="D413" s="62">
        <v>13831.58</v>
      </c>
      <c r="E413" s="63">
        <v>13831.62</v>
      </c>
    </row>
    <row r="414" spans="1:5" x14ac:dyDescent="0.25">
      <c r="A414" s="57">
        <v>4081</v>
      </c>
      <c r="B414" s="61" t="s">
        <v>1545</v>
      </c>
      <c r="C414" s="62">
        <v>250181.49</v>
      </c>
      <c r="D414" s="62">
        <v>13760.21</v>
      </c>
      <c r="E414" s="63">
        <v>13760.12</v>
      </c>
    </row>
    <row r="415" spans="1:5" x14ac:dyDescent="0.25">
      <c r="A415" s="57">
        <v>4082</v>
      </c>
      <c r="B415" s="61" t="s">
        <v>1546</v>
      </c>
      <c r="C415" s="62">
        <v>3639363.55</v>
      </c>
      <c r="D415" s="62">
        <v>200167.04000000001</v>
      </c>
      <c r="E415" s="63">
        <v>200167.04000000001</v>
      </c>
    </row>
    <row r="416" spans="1:5" x14ac:dyDescent="0.25">
      <c r="A416" s="57">
        <v>4083</v>
      </c>
      <c r="B416" s="61" t="s">
        <v>1547</v>
      </c>
      <c r="C416" s="62">
        <v>242299.7</v>
      </c>
      <c r="D416" s="62">
        <v>13326.38</v>
      </c>
      <c r="E416" s="63">
        <v>13326.24</v>
      </c>
    </row>
    <row r="417" spans="1:5" x14ac:dyDescent="0.25">
      <c r="A417" s="57">
        <v>4084</v>
      </c>
      <c r="B417" s="61" t="s">
        <v>1548</v>
      </c>
      <c r="C417" s="62">
        <v>1053500.52</v>
      </c>
      <c r="D417" s="62">
        <v>57942.879999999997</v>
      </c>
      <c r="E417" s="63">
        <v>57942.18</v>
      </c>
    </row>
    <row r="418" spans="1:5" x14ac:dyDescent="0.25">
      <c r="A418" s="57">
        <v>4085</v>
      </c>
      <c r="B418" s="61" t="s">
        <v>1549</v>
      </c>
      <c r="C418" s="62">
        <v>691984.1</v>
      </c>
      <c r="D418" s="62">
        <v>38059.1</v>
      </c>
      <c r="E418" s="63">
        <v>38059.1</v>
      </c>
    </row>
    <row r="419" spans="1:5" x14ac:dyDescent="0.25">
      <c r="A419" s="57">
        <v>4086</v>
      </c>
      <c r="B419" s="61" t="s">
        <v>1550</v>
      </c>
      <c r="C419" s="62">
        <v>1143682.74</v>
      </c>
      <c r="D419" s="62">
        <v>62902.76</v>
      </c>
      <c r="E419" s="63">
        <v>62902.76</v>
      </c>
    </row>
    <row r="420" spans="1:5" x14ac:dyDescent="0.25">
      <c r="A420" s="57">
        <v>4087</v>
      </c>
      <c r="B420" s="61" t="s">
        <v>1551</v>
      </c>
      <c r="C420" s="62">
        <v>284347.36</v>
      </c>
      <c r="D420" s="62">
        <v>15639.13</v>
      </c>
      <c r="E420" s="63">
        <v>15639.13</v>
      </c>
    </row>
    <row r="421" spans="1:5" x14ac:dyDescent="0.25">
      <c r="A421" s="57">
        <v>4088</v>
      </c>
      <c r="B421" s="61" t="s">
        <v>1552</v>
      </c>
      <c r="C421" s="62">
        <v>777863.94</v>
      </c>
      <c r="D421" s="62">
        <v>42782.28</v>
      </c>
      <c r="E421" s="63">
        <v>42781.99</v>
      </c>
    </row>
    <row r="422" spans="1:5" x14ac:dyDescent="0.25">
      <c r="A422" s="57">
        <v>4089</v>
      </c>
      <c r="B422" s="61" t="s">
        <v>1553</v>
      </c>
      <c r="C422" s="62">
        <v>482769.27</v>
      </c>
      <c r="D422" s="62">
        <v>26552.43</v>
      </c>
      <c r="E422" s="63">
        <v>26552.400000000001</v>
      </c>
    </row>
    <row r="423" spans="1:5" x14ac:dyDescent="0.25">
      <c r="A423" s="57">
        <v>4090</v>
      </c>
      <c r="B423" s="61" t="s">
        <v>1554</v>
      </c>
      <c r="C423" s="62">
        <v>538351.30000000005</v>
      </c>
      <c r="D423" s="62">
        <v>29609.13</v>
      </c>
      <c r="E423" s="63">
        <v>29609.13</v>
      </c>
    </row>
    <row r="424" spans="1:5" x14ac:dyDescent="0.25">
      <c r="A424" s="57">
        <v>4091</v>
      </c>
      <c r="B424" s="61" t="s">
        <v>1555</v>
      </c>
      <c r="C424" s="62">
        <v>587039.89</v>
      </c>
      <c r="D424" s="62">
        <v>32287.65</v>
      </c>
      <c r="E424" s="63">
        <v>32287.65</v>
      </c>
    </row>
    <row r="425" spans="1:5" x14ac:dyDescent="0.25">
      <c r="A425" s="57">
        <v>4092</v>
      </c>
      <c r="B425" s="61" t="s">
        <v>1556</v>
      </c>
      <c r="C425" s="62">
        <v>340397.27</v>
      </c>
      <c r="D425" s="62">
        <v>18721.93</v>
      </c>
      <c r="E425" s="63">
        <v>18721.73</v>
      </c>
    </row>
    <row r="426" spans="1:5" x14ac:dyDescent="0.25">
      <c r="A426" s="57">
        <v>4093</v>
      </c>
      <c r="B426" s="61" t="s">
        <v>1557</v>
      </c>
      <c r="C426" s="62">
        <v>573751.78</v>
      </c>
      <c r="D426" s="62">
        <v>31556.49</v>
      </c>
      <c r="E426" s="63">
        <v>31556.49</v>
      </c>
    </row>
    <row r="427" spans="1:5" x14ac:dyDescent="0.25">
      <c r="A427" s="57">
        <v>4095</v>
      </c>
      <c r="B427" s="61" t="s">
        <v>1558</v>
      </c>
      <c r="C427" s="62">
        <v>535111.27</v>
      </c>
      <c r="D427" s="62">
        <v>29431.22</v>
      </c>
      <c r="E427" s="63">
        <v>29431.31</v>
      </c>
    </row>
    <row r="428" spans="1:5" x14ac:dyDescent="0.25">
      <c r="A428" s="57">
        <v>4097</v>
      </c>
      <c r="B428" s="61" t="s">
        <v>1559</v>
      </c>
      <c r="C428" s="62">
        <v>1109590.1000000001</v>
      </c>
      <c r="D428" s="62">
        <v>61027.8</v>
      </c>
      <c r="E428" s="63">
        <v>61027.41</v>
      </c>
    </row>
    <row r="429" spans="1:5" x14ac:dyDescent="0.25">
      <c r="A429" s="57">
        <v>4098</v>
      </c>
      <c r="B429" s="61" t="s">
        <v>1560</v>
      </c>
      <c r="C429" s="62">
        <v>1786008.05</v>
      </c>
      <c r="D429" s="62">
        <v>98231.08</v>
      </c>
      <c r="E429" s="63">
        <v>98231.47</v>
      </c>
    </row>
    <row r="430" spans="1:5" x14ac:dyDescent="0.25">
      <c r="A430" s="57">
        <v>4099</v>
      </c>
      <c r="B430" s="61" t="s">
        <v>1561</v>
      </c>
      <c r="C430" s="62">
        <v>863439.46</v>
      </c>
      <c r="D430" s="62">
        <v>47489.440000000002</v>
      </c>
      <c r="E430" s="63">
        <v>47489.01</v>
      </c>
    </row>
    <row r="431" spans="1:5" x14ac:dyDescent="0.25">
      <c r="A431" s="57">
        <v>4100</v>
      </c>
      <c r="B431" s="61" t="s">
        <v>1562</v>
      </c>
      <c r="C431" s="62">
        <v>197690.23</v>
      </c>
      <c r="D431" s="62">
        <v>10872.84</v>
      </c>
      <c r="E431" s="63">
        <v>10872.82</v>
      </c>
    </row>
    <row r="432" spans="1:5" x14ac:dyDescent="0.25">
      <c r="A432" s="57">
        <v>4102</v>
      </c>
      <c r="B432" s="61" t="s">
        <v>1563</v>
      </c>
      <c r="C432" s="62">
        <v>871073.42</v>
      </c>
      <c r="D432" s="62">
        <v>47909.27</v>
      </c>
      <c r="E432" s="63">
        <v>47908.4</v>
      </c>
    </row>
    <row r="433" spans="1:5" x14ac:dyDescent="0.25">
      <c r="A433" s="57">
        <v>4103</v>
      </c>
      <c r="B433" s="61" t="s">
        <v>1564</v>
      </c>
      <c r="C433" s="62">
        <v>2137367.89</v>
      </c>
      <c r="D433" s="62">
        <v>117555.3</v>
      </c>
      <c r="E433" s="63">
        <v>117554.48</v>
      </c>
    </row>
    <row r="434" spans="1:5" x14ac:dyDescent="0.25">
      <c r="A434" s="57">
        <v>4104</v>
      </c>
      <c r="B434" s="61" t="s">
        <v>1565</v>
      </c>
      <c r="C434" s="62">
        <v>449734.61</v>
      </c>
      <c r="D434" s="62">
        <v>24735.33</v>
      </c>
      <c r="E434" s="63">
        <v>24735.33</v>
      </c>
    </row>
    <row r="435" spans="1:5" x14ac:dyDescent="0.25">
      <c r="A435" s="57">
        <v>4105</v>
      </c>
      <c r="B435" s="61" t="s">
        <v>1566</v>
      </c>
      <c r="C435" s="62">
        <v>940348.38</v>
      </c>
      <c r="D435" s="62">
        <v>51720</v>
      </c>
      <c r="E435" s="63">
        <v>51720</v>
      </c>
    </row>
    <row r="436" spans="1:5" x14ac:dyDescent="0.25">
      <c r="A436" s="57">
        <v>4106</v>
      </c>
      <c r="B436" s="61" t="s">
        <v>1567</v>
      </c>
      <c r="C436" s="62">
        <v>672388</v>
      </c>
      <c r="D436" s="62">
        <v>36981.53</v>
      </c>
      <c r="E436" s="63">
        <v>36981.160000000003</v>
      </c>
    </row>
    <row r="437" spans="1:5" x14ac:dyDescent="0.25">
      <c r="A437" s="57">
        <v>4107</v>
      </c>
      <c r="B437" s="61" t="s">
        <v>1568</v>
      </c>
      <c r="C437" s="62">
        <v>279168.71999999997</v>
      </c>
      <c r="D437" s="62">
        <v>15354.13</v>
      </c>
      <c r="E437" s="63">
        <v>15354.13</v>
      </c>
    </row>
    <row r="438" spans="1:5" x14ac:dyDescent="0.25">
      <c r="A438" s="57">
        <v>4108</v>
      </c>
      <c r="B438" s="61" t="s">
        <v>1569</v>
      </c>
      <c r="C438" s="62">
        <v>202235.64</v>
      </c>
      <c r="D438" s="62">
        <v>11123.12</v>
      </c>
      <c r="E438" s="63">
        <v>11122.97</v>
      </c>
    </row>
    <row r="439" spans="1:5" x14ac:dyDescent="0.25">
      <c r="A439" s="57">
        <v>4109</v>
      </c>
      <c r="B439" s="61" t="s">
        <v>1570</v>
      </c>
      <c r="C439" s="62">
        <v>484190.51</v>
      </c>
      <c r="D439" s="62">
        <v>26630.52</v>
      </c>
      <c r="E439" s="63">
        <v>26630.52</v>
      </c>
    </row>
    <row r="440" spans="1:5" x14ac:dyDescent="0.25">
      <c r="A440" s="57">
        <v>4110</v>
      </c>
      <c r="B440" s="61" t="s">
        <v>1571</v>
      </c>
      <c r="C440" s="62">
        <v>904949.34</v>
      </c>
      <c r="D440" s="62">
        <v>49772.26</v>
      </c>
      <c r="E440" s="63">
        <v>49772.21</v>
      </c>
    </row>
    <row r="441" spans="1:5" x14ac:dyDescent="0.25">
      <c r="A441" s="57">
        <v>4111</v>
      </c>
      <c r="B441" s="61" t="s">
        <v>1572</v>
      </c>
      <c r="C441" s="62">
        <v>529248.59</v>
      </c>
      <c r="D441" s="62">
        <v>29108.560000000001</v>
      </c>
      <c r="E441" s="63">
        <v>29108.560000000001</v>
      </c>
    </row>
    <row r="442" spans="1:5" x14ac:dyDescent="0.25">
      <c r="A442" s="57">
        <v>4112</v>
      </c>
      <c r="B442" s="61" t="s">
        <v>1573</v>
      </c>
      <c r="C442" s="62">
        <v>1748572.27</v>
      </c>
      <c r="D442" s="62">
        <v>96171.88</v>
      </c>
      <c r="E442" s="63">
        <v>96171.86</v>
      </c>
    </row>
    <row r="443" spans="1:5" x14ac:dyDescent="0.25">
      <c r="A443" s="57">
        <v>4113</v>
      </c>
      <c r="B443" s="61" t="s">
        <v>1574</v>
      </c>
      <c r="C443" s="62">
        <v>652749.49</v>
      </c>
      <c r="D443" s="62">
        <v>35901.769999999997</v>
      </c>
      <c r="E443" s="63">
        <v>35901.660000000003</v>
      </c>
    </row>
    <row r="444" spans="1:5" x14ac:dyDescent="0.25">
      <c r="A444" s="57">
        <v>4114</v>
      </c>
      <c r="B444" s="61" t="s">
        <v>1575</v>
      </c>
      <c r="C444" s="62">
        <v>398938.07</v>
      </c>
      <c r="D444" s="62">
        <v>21941.55</v>
      </c>
      <c r="E444" s="63">
        <v>21941.53</v>
      </c>
    </row>
    <row r="445" spans="1:5" x14ac:dyDescent="0.25">
      <c r="A445" s="57">
        <v>4115</v>
      </c>
      <c r="B445" s="61" t="s">
        <v>1576</v>
      </c>
      <c r="C445" s="62">
        <v>549075.31000000006</v>
      </c>
      <c r="D445" s="62">
        <v>30199.360000000001</v>
      </c>
      <c r="E445" s="63">
        <v>30199.1</v>
      </c>
    </row>
    <row r="446" spans="1:5" x14ac:dyDescent="0.25">
      <c r="A446" s="57">
        <v>4116</v>
      </c>
      <c r="B446" s="61" t="s">
        <v>1577</v>
      </c>
      <c r="C446" s="62">
        <v>1668715.83</v>
      </c>
      <c r="D446" s="62">
        <v>91779.85</v>
      </c>
      <c r="E446" s="63">
        <v>91779.91</v>
      </c>
    </row>
    <row r="447" spans="1:5" x14ac:dyDescent="0.25">
      <c r="A447" s="57">
        <v>4118</v>
      </c>
      <c r="B447" s="61" t="s">
        <v>1578</v>
      </c>
      <c r="C447" s="62">
        <v>1203335.22</v>
      </c>
      <c r="D447" s="62">
        <v>66183.899999999994</v>
      </c>
      <c r="E447" s="63">
        <v>66183.8</v>
      </c>
    </row>
    <row r="448" spans="1:5" x14ac:dyDescent="0.25">
      <c r="A448" s="57">
        <v>4119</v>
      </c>
      <c r="B448" s="61" t="s">
        <v>1579</v>
      </c>
      <c r="C448" s="62">
        <v>210237.73</v>
      </c>
      <c r="D448" s="62">
        <v>11563.17</v>
      </c>
      <c r="E448" s="63">
        <v>11563.17</v>
      </c>
    </row>
    <row r="449" spans="1:5" x14ac:dyDescent="0.25">
      <c r="A449" s="57">
        <v>4120</v>
      </c>
      <c r="B449" s="61" t="s">
        <v>1580</v>
      </c>
      <c r="C449" s="62">
        <v>2518426.02</v>
      </c>
      <c r="D449" s="62">
        <v>138512.69</v>
      </c>
      <c r="E449" s="63">
        <v>138512.22</v>
      </c>
    </row>
    <row r="450" spans="1:5" x14ac:dyDescent="0.25">
      <c r="A450" s="57">
        <v>4121</v>
      </c>
      <c r="B450" s="61" t="s">
        <v>1581</v>
      </c>
      <c r="C450" s="62">
        <v>929809.74</v>
      </c>
      <c r="D450" s="62">
        <v>51139.23</v>
      </c>
      <c r="E450" s="63">
        <v>51139.23</v>
      </c>
    </row>
    <row r="451" spans="1:5" x14ac:dyDescent="0.25">
      <c r="A451" s="57">
        <v>4122</v>
      </c>
      <c r="B451" s="61" t="s">
        <v>1582</v>
      </c>
      <c r="C451" s="62">
        <v>1761386.42</v>
      </c>
      <c r="D451" s="62">
        <v>96877.13</v>
      </c>
      <c r="E451" s="63">
        <v>96876.74</v>
      </c>
    </row>
    <row r="452" spans="1:5" x14ac:dyDescent="0.25">
      <c r="A452" s="57">
        <v>4123</v>
      </c>
      <c r="B452" s="61" t="s">
        <v>1583</v>
      </c>
      <c r="C452" s="62">
        <v>162309.06</v>
      </c>
      <c r="D452" s="62">
        <v>8926.93</v>
      </c>
      <c r="E452" s="63">
        <v>8926.91</v>
      </c>
    </row>
    <row r="453" spans="1:5" x14ac:dyDescent="0.25">
      <c r="A453" s="57">
        <v>4124</v>
      </c>
      <c r="B453" s="61" t="s">
        <v>1584</v>
      </c>
      <c r="C453" s="62">
        <v>1451159.05</v>
      </c>
      <c r="D453" s="62">
        <v>79813.350000000006</v>
      </c>
      <c r="E453" s="63">
        <v>79813.37</v>
      </c>
    </row>
    <row r="454" spans="1:5" x14ac:dyDescent="0.25">
      <c r="A454" s="57">
        <v>4125</v>
      </c>
      <c r="B454" s="61" t="s">
        <v>1585</v>
      </c>
      <c r="C454" s="62">
        <v>39398.480000000003</v>
      </c>
      <c r="D454" s="62">
        <v>2166.9</v>
      </c>
      <c r="E454" s="63">
        <v>2166.9</v>
      </c>
    </row>
    <row r="455" spans="1:5" x14ac:dyDescent="0.25">
      <c r="A455" s="57">
        <v>4126</v>
      </c>
      <c r="B455" s="61" t="s">
        <v>1586</v>
      </c>
      <c r="C455" s="62">
        <v>1921893.56</v>
      </c>
      <c r="D455" s="62">
        <v>105704.48</v>
      </c>
      <c r="E455" s="63">
        <v>105704.57</v>
      </c>
    </row>
    <row r="456" spans="1:5" x14ac:dyDescent="0.25">
      <c r="A456" s="57">
        <v>4127</v>
      </c>
      <c r="B456" s="61" t="s">
        <v>1587</v>
      </c>
      <c r="C456" s="62">
        <v>507686.81</v>
      </c>
      <c r="D456" s="62">
        <v>27923.3</v>
      </c>
      <c r="E456" s="63">
        <v>27923.3</v>
      </c>
    </row>
    <row r="457" spans="1:5" x14ac:dyDescent="0.25">
      <c r="A457" s="57">
        <v>4131</v>
      </c>
      <c r="B457" s="61" t="s">
        <v>1588</v>
      </c>
      <c r="C457" s="62">
        <v>669829.99</v>
      </c>
      <c r="D457" s="62">
        <v>36841.01</v>
      </c>
      <c r="E457" s="63">
        <v>36839.839999999997</v>
      </c>
    </row>
    <row r="458" spans="1:5" x14ac:dyDescent="0.25">
      <c r="A458" s="57">
        <v>4132</v>
      </c>
      <c r="B458" s="61" t="s">
        <v>1589</v>
      </c>
      <c r="C458" s="62">
        <v>477756.52</v>
      </c>
      <c r="D458" s="62">
        <v>26276.76</v>
      </c>
      <c r="E458" s="63">
        <v>26276.76</v>
      </c>
    </row>
    <row r="459" spans="1:5" x14ac:dyDescent="0.25">
      <c r="A459" s="57">
        <v>4133</v>
      </c>
      <c r="B459" s="61" t="s">
        <v>1590</v>
      </c>
      <c r="C459" s="62">
        <v>299711.99</v>
      </c>
      <c r="D459" s="62">
        <v>16484.02</v>
      </c>
      <c r="E459" s="63">
        <v>16483.810000000001</v>
      </c>
    </row>
    <row r="460" spans="1:5" x14ac:dyDescent="0.25">
      <c r="A460" s="57">
        <v>4135</v>
      </c>
      <c r="B460" s="61" t="s">
        <v>1591</v>
      </c>
      <c r="C460" s="62">
        <v>542799.97</v>
      </c>
      <c r="D460" s="62">
        <v>29854.13</v>
      </c>
      <c r="E460" s="63">
        <v>29854.13</v>
      </c>
    </row>
    <row r="461" spans="1:5" x14ac:dyDescent="0.25">
      <c r="A461" s="57">
        <v>4137</v>
      </c>
      <c r="B461" s="61" t="s">
        <v>1592</v>
      </c>
      <c r="C461" s="62">
        <v>505819.26</v>
      </c>
      <c r="D461" s="62">
        <v>27820.3</v>
      </c>
      <c r="E461" s="63">
        <v>27820.3</v>
      </c>
    </row>
    <row r="462" spans="1:5" x14ac:dyDescent="0.25">
      <c r="A462" s="57">
        <v>4138</v>
      </c>
      <c r="B462" s="61" t="s">
        <v>1593</v>
      </c>
      <c r="C462" s="62">
        <v>146539.5</v>
      </c>
      <c r="D462" s="62">
        <v>8059.54</v>
      </c>
      <c r="E462" s="63">
        <v>8059.41</v>
      </c>
    </row>
    <row r="463" spans="1:5" x14ac:dyDescent="0.25">
      <c r="A463" s="57">
        <v>4139</v>
      </c>
      <c r="B463" s="61" t="s">
        <v>1594</v>
      </c>
      <c r="C463" s="62">
        <v>676363.89</v>
      </c>
      <c r="D463" s="62">
        <v>37194.879999999997</v>
      </c>
      <c r="E463" s="63">
        <v>37195.089999999997</v>
      </c>
    </row>
    <row r="464" spans="1:5" x14ac:dyDescent="0.25">
      <c r="A464" s="57">
        <v>4140</v>
      </c>
      <c r="B464" s="61" t="s">
        <v>1595</v>
      </c>
      <c r="C464" s="62">
        <v>1174071.05</v>
      </c>
      <c r="D464" s="62">
        <v>64574.18</v>
      </c>
      <c r="E464" s="63">
        <v>64573.84</v>
      </c>
    </row>
    <row r="465" spans="1:5" x14ac:dyDescent="0.25">
      <c r="A465" s="57">
        <v>4141</v>
      </c>
      <c r="B465" s="61" t="s">
        <v>1596</v>
      </c>
      <c r="C465" s="62">
        <v>1539261.88</v>
      </c>
      <c r="D465" s="62">
        <v>84661</v>
      </c>
      <c r="E465" s="63">
        <v>84658.59</v>
      </c>
    </row>
    <row r="466" spans="1:5" x14ac:dyDescent="0.25">
      <c r="A466" s="57">
        <v>4142</v>
      </c>
      <c r="B466" s="61" t="s">
        <v>1597</v>
      </c>
      <c r="C466" s="62">
        <v>1297460.6599999999</v>
      </c>
      <c r="D466" s="62">
        <v>71360.2</v>
      </c>
      <c r="E466" s="63">
        <v>71359.97</v>
      </c>
    </row>
    <row r="467" spans="1:5" x14ac:dyDescent="0.25">
      <c r="A467" s="57">
        <v>4143</v>
      </c>
      <c r="B467" s="61" t="s">
        <v>1598</v>
      </c>
      <c r="C467" s="62">
        <v>1145972.77</v>
      </c>
      <c r="D467" s="62">
        <v>63028.53</v>
      </c>
      <c r="E467" s="63">
        <v>63028.2</v>
      </c>
    </row>
    <row r="468" spans="1:5" x14ac:dyDescent="0.25">
      <c r="A468" s="57">
        <v>4144</v>
      </c>
      <c r="B468" s="61" t="s">
        <v>1599</v>
      </c>
      <c r="C468" s="62">
        <v>238392.18</v>
      </c>
      <c r="D468" s="62">
        <v>13111.62</v>
      </c>
      <c r="E468" s="63">
        <v>13111.62</v>
      </c>
    </row>
    <row r="469" spans="1:5" x14ac:dyDescent="0.25">
      <c r="A469" s="57">
        <v>4145</v>
      </c>
      <c r="B469" s="61" t="s">
        <v>1600</v>
      </c>
      <c r="C469" s="62">
        <v>114721.61</v>
      </c>
      <c r="D469" s="62">
        <v>6309.96</v>
      </c>
      <c r="E469" s="63">
        <v>6309.9</v>
      </c>
    </row>
    <row r="470" spans="1:5" x14ac:dyDescent="0.25">
      <c r="A470" s="57">
        <v>4146</v>
      </c>
      <c r="B470" s="61" t="s">
        <v>1601</v>
      </c>
      <c r="C470" s="62">
        <v>537874.25</v>
      </c>
      <c r="D470" s="62">
        <v>29583.25</v>
      </c>
      <c r="E470" s="63">
        <v>29583.25</v>
      </c>
    </row>
    <row r="471" spans="1:5" x14ac:dyDescent="0.25">
      <c r="A471" s="57">
        <v>4149</v>
      </c>
      <c r="B471" s="61" t="s">
        <v>1602</v>
      </c>
      <c r="C471" s="62">
        <v>42317.84</v>
      </c>
      <c r="D471" s="62">
        <v>2327.48</v>
      </c>
      <c r="E471" s="63">
        <v>2327.46</v>
      </c>
    </row>
    <row r="472" spans="1:5" x14ac:dyDescent="0.25">
      <c r="A472" s="57">
        <v>4150</v>
      </c>
      <c r="B472" s="61" t="s">
        <v>1603</v>
      </c>
      <c r="C472" s="62">
        <v>490282.9</v>
      </c>
      <c r="D472" s="62">
        <v>26965.89</v>
      </c>
      <c r="E472" s="63">
        <v>26965.26</v>
      </c>
    </row>
    <row r="473" spans="1:5" x14ac:dyDescent="0.25">
      <c r="A473" s="57">
        <v>4151</v>
      </c>
      <c r="B473" s="61" t="s">
        <v>1604</v>
      </c>
      <c r="C473" s="62">
        <v>383296.77</v>
      </c>
      <c r="D473" s="62">
        <v>21081.26</v>
      </c>
      <c r="E473" s="63">
        <v>21081.26</v>
      </c>
    </row>
    <row r="474" spans="1:5" x14ac:dyDescent="0.25">
      <c r="A474" s="57">
        <v>4152</v>
      </c>
      <c r="B474" s="61" t="s">
        <v>1605</v>
      </c>
      <c r="C474" s="62">
        <v>793552.51</v>
      </c>
      <c r="D474" s="62">
        <v>43645.59</v>
      </c>
      <c r="E474" s="63">
        <v>43645.25</v>
      </c>
    </row>
    <row r="475" spans="1:5" x14ac:dyDescent="0.25">
      <c r="A475" s="57">
        <v>4153</v>
      </c>
      <c r="B475" s="61" t="s">
        <v>1606</v>
      </c>
      <c r="C475" s="62">
        <v>849931.79</v>
      </c>
      <c r="D475" s="62">
        <v>46746.74</v>
      </c>
      <c r="E475" s="63">
        <v>46746.75</v>
      </c>
    </row>
    <row r="476" spans="1:5" x14ac:dyDescent="0.25">
      <c r="A476" s="57">
        <v>4155</v>
      </c>
      <c r="B476" s="61" t="s">
        <v>1607</v>
      </c>
      <c r="C476" s="62">
        <v>665203.84</v>
      </c>
      <c r="D476" s="62">
        <v>36586.230000000003</v>
      </c>
      <c r="E476" s="63">
        <v>36586.230000000003</v>
      </c>
    </row>
    <row r="477" spans="1:5" x14ac:dyDescent="0.25">
      <c r="A477" s="57">
        <v>4159</v>
      </c>
      <c r="B477" s="61" t="s">
        <v>1608</v>
      </c>
      <c r="C477" s="62">
        <v>1235209.29</v>
      </c>
      <c r="D477" s="62">
        <v>67936.42</v>
      </c>
      <c r="E477" s="63">
        <v>67936.160000000003</v>
      </c>
    </row>
    <row r="478" spans="1:5" x14ac:dyDescent="0.25">
      <c r="A478" s="57">
        <v>4160</v>
      </c>
      <c r="B478" s="61" t="s">
        <v>1609</v>
      </c>
      <c r="C478" s="62">
        <v>692019.28</v>
      </c>
      <c r="D478" s="62">
        <v>38061.17</v>
      </c>
      <c r="E478" s="63">
        <v>38060.639999999999</v>
      </c>
    </row>
    <row r="479" spans="1:5" x14ac:dyDescent="0.25">
      <c r="A479" s="57">
        <v>4161</v>
      </c>
      <c r="B479" s="61" t="s">
        <v>1610</v>
      </c>
      <c r="C479" s="62">
        <v>495914.26</v>
      </c>
      <c r="D479" s="62">
        <v>27275.25</v>
      </c>
      <c r="E479" s="63">
        <v>27274.9</v>
      </c>
    </row>
    <row r="480" spans="1:5" x14ac:dyDescent="0.25">
      <c r="A480" s="57">
        <v>4162</v>
      </c>
      <c r="B480" s="61" t="s">
        <v>1611</v>
      </c>
      <c r="C480" s="62">
        <v>354830.89</v>
      </c>
      <c r="D480" s="62">
        <v>19514.400000000001</v>
      </c>
      <c r="E480" s="63">
        <v>19514.400000000001</v>
      </c>
    </row>
    <row r="481" spans="1:5" x14ac:dyDescent="0.25">
      <c r="A481" s="57">
        <v>4163</v>
      </c>
      <c r="B481" s="61" t="s">
        <v>1612</v>
      </c>
      <c r="C481" s="62">
        <v>730160.89</v>
      </c>
      <c r="D481" s="62">
        <v>40158.720000000001</v>
      </c>
      <c r="E481" s="63">
        <v>40158.58</v>
      </c>
    </row>
    <row r="482" spans="1:5" x14ac:dyDescent="0.25">
      <c r="A482" s="57">
        <v>4164</v>
      </c>
      <c r="B482" s="61" t="s">
        <v>1613</v>
      </c>
      <c r="C482" s="62">
        <v>730987.5</v>
      </c>
      <c r="D482" s="62">
        <v>40204.629999999997</v>
      </c>
      <c r="E482" s="63">
        <v>40204.629999999997</v>
      </c>
    </row>
    <row r="483" spans="1:5" x14ac:dyDescent="0.25">
      <c r="A483" s="57">
        <v>4166</v>
      </c>
      <c r="B483" s="61" t="s">
        <v>1614</v>
      </c>
      <c r="C483" s="62">
        <v>472882.71</v>
      </c>
      <c r="D483" s="62">
        <v>26008.5</v>
      </c>
      <c r="E483" s="63">
        <v>26008.28</v>
      </c>
    </row>
    <row r="484" spans="1:5" x14ac:dyDescent="0.25">
      <c r="A484" s="57">
        <v>4167</v>
      </c>
      <c r="B484" s="61" t="s">
        <v>1615</v>
      </c>
      <c r="C484" s="62">
        <v>459293.71</v>
      </c>
      <c r="D484" s="62">
        <v>25261.01</v>
      </c>
      <c r="E484" s="63">
        <v>25261.040000000001</v>
      </c>
    </row>
    <row r="485" spans="1:5" x14ac:dyDescent="0.25">
      <c r="A485" s="57">
        <v>4168</v>
      </c>
      <c r="B485" s="61" t="s">
        <v>1616</v>
      </c>
      <c r="C485" s="62">
        <v>303577.62</v>
      </c>
      <c r="D485" s="62">
        <v>16696.78</v>
      </c>
      <c r="E485" s="63">
        <v>16696.75</v>
      </c>
    </row>
    <row r="486" spans="1:5" x14ac:dyDescent="0.25">
      <c r="A486" s="57">
        <v>4169</v>
      </c>
      <c r="B486" s="61" t="s">
        <v>1617</v>
      </c>
      <c r="C486" s="62">
        <v>441504.23</v>
      </c>
      <c r="D486" s="62">
        <v>24282.82</v>
      </c>
      <c r="E486" s="63">
        <v>24282.82</v>
      </c>
    </row>
    <row r="487" spans="1:5" x14ac:dyDescent="0.25">
      <c r="A487" s="57">
        <v>4170</v>
      </c>
      <c r="B487" s="61" t="s">
        <v>1618</v>
      </c>
      <c r="C487" s="62">
        <v>1248843.3600000001</v>
      </c>
      <c r="D487" s="62">
        <v>68686.710000000006</v>
      </c>
      <c r="E487" s="63">
        <v>68686.259999999995</v>
      </c>
    </row>
    <row r="488" spans="1:5" x14ac:dyDescent="0.25">
      <c r="A488" s="57">
        <v>4171</v>
      </c>
      <c r="B488" s="61" t="s">
        <v>1619</v>
      </c>
      <c r="C488" s="62">
        <v>1370001.02</v>
      </c>
      <c r="D488" s="62">
        <v>75349.75</v>
      </c>
      <c r="E488" s="63">
        <v>75349.13</v>
      </c>
    </row>
    <row r="489" spans="1:5" x14ac:dyDescent="0.25">
      <c r="A489" s="57">
        <v>4172</v>
      </c>
      <c r="B489" s="61" t="s">
        <v>1620</v>
      </c>
      <c r="C489" s="62">
        <v>235929.87</v>
      </c>
      <c r="D489" s="62">
        <v>12976.68</v>
      </c>
      <c r="E489" s="63">
        <v>12975.45</v>
      </c>
    </row>
    <row r="490" spans="1:5" x14ac:dyDescent="0.25">
      <c r="A490" s="57">
        <v>4173</v>
      </c>
      <c r="B490" s="61" t="s">
        <v>1621</v>
      </c>
      <c r="C490" s="62">
        <v>600001.68999999994</v>
      </c>
      <c r="D490" s="62">
        <v>33000.46</v>
      </c>
      <c r="E490" s="63">
        <v>33000.46</v>
      </c>
    </row>
    <row r="491" spans="1:5" x14ac:dyDescent="0.25">
      <c r="A491" s="57">
        <v>4174</v>
      </c>
      <c r="B491" s="61" t="s">
        <v>1622</v>
      </c>
      <c r="C491" s="62">
        <v>145121.71</v>
      </c>
      <c r="D491" s="62">
        <v>7981.53</v>
      </c>
      <c r="E491" s="63">
        <v>7981.53</v>
      </c>
    </row>
    <row r="492" spans="1:5" x14ac:dyDescent="0.25">
      <c r="A492" s="57">
        <v>4175</v>
      </c>
      <c r="B492" s="61" t="s">
        <v>1623</v>
      </c>
      <c r="C492" s="62">
        <v>331421.98</v>
      </c>
      <c r="D492" s="62">
        <v>18228.16</v>
      </c>
      <c r="E492" s="63">
        <v>18228.150000000001</v>
      </c>
    </row>
    <row r="493" spans="1:5" x14ac:dyDescent="0.25">
      <c r="A493" s="57">
        <v>4177</v>
      </c>
      <c r="B493" s="61" t="s">
        <v>1624</v>
      </c>
      <c r="C493" s="62">
        <v>248651.83</v>
      </c>
      <c r="D493" s="62">
        <v>13675.79</v>
      </c>
      <c r="E493" s="63">
        <v>13675.79</v>
      </c>
    </row>
    <row r="494" spans="1:5" x14ac:dyDescent="0.25">
      <c r="A494" s="57">
        <v>4178</v>
      </c>
      <c r="B494" s="61" t="s">
        <v>1625</v>
      </c>
      <c r="C494" s="62">
        <v>566601.39</v>
      </c>
      <c r="D494" s="62">
        <v>31163.63</v>
      </c>
      <c r="E494" s="63">
        <v>31163.63</v>
      </c>
    </row>
    <row r="495" spans="1:5" x14ac:dyDescent="0.25">
      <c r="A495" s="57">
        <v>4180</v>
      </c>
      <c r="B495" s="61" t="s">
        <v>1626</v>
      </c>
      <c r="C495" s="62">
        <v>755399.61</v>
      </c>
      <c r="D495" s="62">
        <v>41547.1</v>
      </c>
      <c r="E495" s="63">
        <v>41547.1</v>
      </c>
    </row>
    <row r="496" spans="1:5" x14ac:dyDescent="0.25">
      <c r="A496" s="57">
        <v>4181</v>
      </c>
      <c r="B496" s="61" t="s">
        <v>1627</v>
      </c>
      <c r="C496" s="62">
        <v>1931155.39</v>
      </c>
      <c r="D496" s="62">
        <v>106212.37</v>
      </c>
      <c r="E496" s="63">
        <v>106212.14</v>
      </c>
    </row>
    <row r="497" spans="1:5" x14ac:dyDescent="0.25">
      <c r="A497" s="57">
        <v>4182</v>
      </c>
      <c r="B497" s="61" t="s">
        <v>1628</v>
      </c>
      <c r="C497" s="62">
        <v>404965.14</v>
      </c>
      <c r="D497" s="62">
        <v>22272.87</v>
      </c>
      <c r="E497" s="63">
        <v>22272.82</v>
      </c>
    </row>
    <row r="498" spans="1:5" x14ac:dyDescent="0.25">
      <c r="A498" s="57">
        <v>4183</v>
      </c>
      <c r="B498" s="61" t="s">
        <v>1629</v>
      </c>
      <c r="C498" s="62">
        <v>1715218.1</v>
      </c>
      <c r="D498" s="62">
        <v>94337.38</v>
      </c>
      <c r="E498" s="63">
        <v>94337.38</v>
      </c>
    </row>
    <row r="499" spans="1:5" x14ac:dyDescent="0.25">
      <c r="A499" s="57">
        <v>4184</v>
      </c>
      <c r="B499" s="61" t="s">
        <v>1630</v>
      </c>
      <c r="C499" s="62">
        <v>691711.15</v>
      </c>
      <c r="D499" s="62">
        <v>38044.31</v>
      </c>
      <c r="E499" s="63">
        <v>38043.97</v>
      </c>
    </row>
    <row r="500" spans="1:5" x14ac:dyDescent="0.25">
      <c r="A500" s="57">
        <v>4185</v>
      </c>
      <c r="B500" s="61" t="s">
        <v>1631</v>
      </c>
      <c r="C500" s="62">
        <v>997866.89</v>
      </c>
      <c r="D500" s="62">
        <v>54883.05</v>
      </c>
      <c r="E500" s="63">
        <v>54881.760000000002</v>
      </c>
    </row>
    <row r="501" spans="1:5" x14ac:dyDescent="0.25">
      <c r="A501" s="57">
        <v>4186</v>
      </c>
      <c r="B501" s="61" t="s">
        <v>1632</v>
      </c>
      <c r="C501" s="62">
        <v>1368511.25</v>
      </c>
      <c r="D501" s="62">
        <v>75269.100000000006</v>
      </c>
      <c r="E501" s="63">
        <v>75269.19</v>
      </c>
    </row>
    <row r="502" spans="1:5" x14ac:dyDescent="0.25">
      <c r="A502" s="57">
        <v>4187</v>
      </c>
      <c r="B502" s="61" t="s">
        <v>1633</v>
      </c>
      <c r="C502" s="62">
        <v>205203.74</v>
      </c>
      <c r="D502" s="62">
        <v>11286.21</v>
      </c>
      <c r="E502" s="63">
        <v>11286.21</v>
      </c>
    </row>
    <row r="503" spans="1:5" x14ac:dyDescent="0.25">
      <c r="A503" s="57">
        <v>4188</v>
      </c>
      <c r="B503" s="61" t="s">
        <v>1634</v>
      </c>
      <c r="C503" s="62">
        <v>762994.16</v>
      </c>
      <c r="D503" s="62">
        <v>41965.05</v>
      </c>
      <c r="E503" s="63">
        <v>41964.25</v>
      </c>
    </row>
    <row r="504" spans="1:5" x14ac:dyDescent="0.25">
      <c r="A504" s="57">
        <v>4189</v>
      </c>
      <c r="B504" s="61" t="s">
        <v>1635</v>
      </c>
      <c r="C504" s="62">
        <v>323201.62</v>
      </c>
      <c r="D504" s="62">
        <v>17775.98</v>
      </c>
      <c r="E504" s="63">
        <v>17775.98</v>
      </c>
    </row>
    <row r="505" spans="1:5" x14ac:dyDescent="0.25">
      <c r="A505" s="57">
        <v>4190</v>
      </c>
      <c r="B505" s="61" t="s">
        <v>1636</v>
      </c>
      <c r="C505" s="62">
        <v>237035.23</v>
      </c>
      <c r="D505" s="62">
        <v>13036.52</v>
      </c>
      <c r="E505" s="63">
        <v>13036.46</v>
      </c>
    </row>
    <row r="506" spans="1:5" x14ac:dyDescent="0.25">
      <c r="A506" s="57">
        <v>4191</v>
      </c>
      <c r="B506" s="61" t="s">
        <v>1637</v>
      </c>
      <c r="C506" s="62">
        <v>504726.1</v>
      </c>
      <c r="D506" s="62">
        <v>27760.06</v>
      </c>
      <c r="E506" s="63">
        <v>27759.82</v>
      </c>
    </row>
    <row r="507" spans="1:5" x14ac:dyDescent="0.25">
      <c r="A507" s="57">
        <v>4192</v>
      </c>
      <c r="B507" s="61" t="s">
        <v>1638</v>
      </c>
      <c r="C507" s="62">
        <v>1628570.26</v>
      </c>
      <c r="D507" s="62">
        <v>89571.520000000004</v>
      </c>
      <c r="E507" s="63">
        <v>89571.44</v>
      </c>
    </row>
    <row r="508" spans="1:5" x14ac:dyDescent="0.25">
      <c r="A508" s="57">
        <v>4193</v>
      </c>
      <c r="B508" s="61" t="s">
        <v>1639</v>
      </c>
      <c r="C508" s="62">
        <v>590618.61</v>
      </c>
      <c r="D508" s="62">
        <v>32484.21</v>
      </c>
      <c r="E508" s="63">
        <v>32483.73</v>
      </c>
    </row>
    <row r="509" spans="1:5" x14ac:dyDescent="0.25">
      <c r="A509" s="57">
        <v>4194</v>
      </c>
      <c r="B509" s="61" t="s">
        <v>1640</v>
      </c>
      <c r="C509" s="62">
        <v>486121.04</v>
      </c>
      <c r="D509" s="62">
        <v>26736.62</v>
      </c>
      <c r="E509" s="63">
        <v>26736.62</v>
      </c>
    </row>
    <row r="510" spans="1:5" x14ac:dyDescent="0.25">
      <c r="A510" s="57">
        <v>4195</v>
      </c>
      <c r="B510" s="61" t="s">
        <v>1641</v>
      </c>
      <c r="C510" s="62">
        <v>173019.71</v>
      </c>
      <c r="D510" s="62">
        <v>9516.18</v>
      </c>
      <c r="E510" s="63">
        <v>9515.94</v>
      </c>
    </row>
    <row r="511" spans="1:5" x14ac:dyDescent="0.25">
      <c r="A511" s="57">
        <v>4196</v>
      </c>
      <c r="B511" s="61" t="s">
        <v>1642</v>
      </c>
      <c r="C511" s="62">
        <v>107725.34</v>
      </c>
      <c r="D511" s="62">
        <v>5924.82</v>
      </c>
      <c r="E511" s="63">
        <v>5924.81</v>
      </c>
    </row>
    <row r="512" spans="1:5" x14ac:dyDescent="0.25">
      <c r="A512" s="57">
        <v>4197</v>
      </c>
      <c r="B512" s="61" t="s">
        <v>1643</v>
      </c>
      <c r="C512" s="62">
        <v>471992.31</v>
      </c>
      <c r="D512" s="62">
        <v>25959.27</v>
      </c>
      <c r="E512" s="63">
        <v>25959.27</v>
      </c>
    </row>
    <row r="513" spans="1:5" x14ac:dyDescent="0.25">
      <c r="A513" s="57">
        <v>5001</v>
      </c>
      <c r="B513" s="61" t="s">
        <v>1069</v>
      </c>
      <c r="C513" s="62">
        <v>77190.929999999993</v>
      </c>
      <c r="D513" s="62">
        <v>4245.55</v>
      </c>
      <c r="E513" s="63">
        <v>4245.55</v>
      </c>
    </row>
    <row r="514" spans="1:5" x14ac:dyDescent="0.25">
      <c r="A514" s="57">
        <v>5002</v>
      </c>
      <c r="B514" s="61" t="s">
        <v>1070</v>
      </c>
      <c r="C514" s="62">
        <v>26152.91</v>
      </c>
      <c r="D514" s="62">
        <v>1438.44</v>
      </c>
      <c r="E514" s="63">
        <v>1438.44</v>
      </c>
    </row>
    <row r="515" spans="1:5" x14ac:dyDescent="0.25">
      <c r="A515" s="57">
        <v>5003</v>
      </c>
      <c r="B515" s="61" t="s">
        <v>1071</v>
      </c>
      <c r="C515" s="62">
        <v>63182.559999999998</v>
      </c>
      <c r="D515" s="62">
        <v>3474.96</v>
      </c>
      <c r="E515" s="63">
        <v>3475.21</v>
      </c>
    </row>
    <row r="516" spans="1:5" x14ac:dyDescent="0.25">
      <c r="A516" s="57">
        <v>5004</v>
      </c>
      <c r="B516" s="61" t="s">
        <v>1072</v>
      </c>
      <c r="C516" s="62">
        <v>58391.31</v>
      </c>
      <c r="D516" s="62">
        <v>3211.51</v>
      </c>
      <c r="E516" s="63">
        <v>3211.51</v>
      </c>
    </row>
    <row r="517" spans="1:5" x14ac:dyDescent="0.25">
      <c r="A517" s="57">
        <v>6004</v>
      </c>
      <c r="B517" s="61" t="s">
        <v>1073</v>
      </c>
      <c r="C517" s="62">
        <v>3234858.91</v>
      </c>
      <c r="D517" s="62">
        <v>177917.01</v>
      </c>
      <c r="E517" s="63">
        <v>177914.87</v>
      </c>
    </row>
    <row r="518" spans="1:5" x14ac:dyDescent="0.25">
      <c r="A518" s="57">
        <v>6012</v>
      </c>
      <c r="B518" s="61" t="s">
        <v>1074</v>
      </c>
      <c r="C518" s="62">
        <v>1989586.36</v>
      </c>
      <c r="D518" s="62">
        <v>109355.43</v>
      </c>
      <c r="E518" s="63">
        <v>109354.98</v>
      </c>
    </row>
    <row r="519" spans="1:5" x14ac:dyDescent="0.25">
      <c r="A519" s="57">
        <v>6013</v>
      </c>
      <c r="B519" s="61" t="s">
        <v>1075</v>
      </c>
      <c r="C519" s="62">
        <v>4018314.79</v>
      </c>
      <c r="D519" s="62">
        <v>221008.3</v>
      </c>
      <c r="E519" s="63">
        <v>221008.56</v>
      </c>
    </row>
    <row r="520" spans="1:5" x14ac:dyDescent="0.25">
      <c r="A520" s="57">
        <v>6014</v>
      </c>
      <c r="B520" s="61" t="s">
        <v>1076</v>
      </c>
      <c r="C520" s="62">
        <v>1151011.1499999999</v>
      </c>
      <c r="D520" s="62">
        <v>63305.63</v>
      </c>
      <c r="E520" s="63">
        <v>63305.63</v>
      </c>
    </row>
    <row r="521" spans="1:5" x14ac:dyDescent="0.25">
      <c r="A521" s="57">
        <v>6026</v>
      </c>
      <c r="B521" s="61" t="s">
        <v>1077</v>
      </c>
      <c r="C521" s="62">
        <v>1323961.8400000001</v>
      </c>
      <c r="D521" s="62">
        <v>72817.539999999994</v>
      </c>
      <c r="E521" s="63">
        <v>72817.279999999999</v>
      </c>
    </row>
    <row r="522" spans="1:5" x14ac:dyDescent="0.25">
      <c r="A522" s="57">
        <v>6027</v>
      </c>
      <c r="B522" s="61" t="s">
        <v>1078</v>
      </c>
      <c r="C522" s="62">
        <v>2522151.89</v>
      </c>
      <c r="D522" s="62">
        <v>138718.57999999999</v>
      </c>
      <c r="E522" s="63">
        <v>138718.82999999999</v>
      </c>
    </row>
    <row r="523" spans="1:5" x14ac:dyDescent="0.25">
      <c r="A523" s="57">
        <v>6049</v>
      </c>
      <c r="B523" s="61" t="s">
        <v>1079</v>
      </c>
      <c r="C523" s="62">
        <v>2074259.51</v>
      </c>
      <c r="D523" s="62">
        <v>114084.94</v>
      </c>
      <c r="E523" s="63">
        <v>114082.64</v>
      </c>
    </row>
    <row r="524" spans="1:5" x14ac:dyDescent="0.25">
      <c r="A524" s="57">
        <v>6051</v>
      </c>
      <c r="B524" s="61" t="s">
        <v>1080</v>
      </c>
      <c r="C524" s="62">
        <v>2424449.06</v>
      </c>
      <c r="D524" s="62">
        <v>133344.26999999999</v>
      </c>
      <c r="E524" s="63">
        <v>133344.28</v>
      </c>
    </row>
    <row r="525" spans="1:5" x14ac:dyDescent="0.25">
      <c r="A525" s="57">
        <v>6067</v>
      </c>
      <c r="B525" s="61" t="s">
        <v>1081</v>
      </c>
      <c r="C525" s="62">
        <v>5485482.8499999996</v>
      </c>
      <c r="D525" s="62">
        <v>301702.55</v>
      </c>
      <c r="E525" s="63">
        <v>301699.19</v>
      </c>
    </row>
    <row r="526" spans="1:5" x14ac:dyDescent="0.25">
      <c r="A526" s="57">
        <v>6069</v>
      </c>
      <c r="B526" s="61" t="s">
        <v>1082</v>
      </c>
      <c r="C526" s="62">
        <v>4712160.79</v>
      </c>
      <c r="D526" s="62">
        <v>259169.16</v>
      </c>
      <c r="E526" s="63">
        <v>259169.34</v>
      </c>
    </row>
    <row r="527" spans="1:5" x14ac:dyDescent="0.25">
      <c r="A527" s="57">
        <v>6070</v>
      </c>
      <c r="B527" s="61" t="s">
        <v>1083</v>
      </c>
      <c r="C527" s="62">
        <v>207749.54</v>
      </c>
      <c r="D527" s="62">
        <v>11426.21</v>
      </c>
      <c r="E527" s="63">
        <v>11426.21</v>
      </c>
    </row>
    <row r="528" spans="1:5" x14ac:dyDescent="0.25">
      <c r="A528" s="57">
        <v>6076</v>
      </c>
      <c r="B528" s="61" t="s">
        <v>1084</v>
      </c>
      <c r="C528" s="62">
        <v>1330127.96</v>
      </c>
      <c r="D528" s="62">
        <v>73156.69</v>
      </c>
      <c r="E528" s="63">
        <v>73156.34</v>
      </c>
    </row>
    <row r="529" spans="1:5" x14ac:dyDescent="0.25">
      <c r="A529" s="57">
        <v>6078</v>
      </c>
      <c r="B529" s="61" t="s">
        <v>1085</v>
      </c>
      <c r="C529" s="62">
        <v>181030.01</v>
      </c>
      <c r="D529" s="62">
        <v>9956.56</v>
      </c>
      <c r="E529" s="63">
        <v>9956.57</v>
      </c>
    </row>
    <row r="530" spans="1:5" x14ac:dyDescent="0.25">
      <c r="A530" s="57">
        <v>6080</v>
      </c>
      <c r="B530" s="61" t="s">
        <v>1086</v>
      </c>
      <c r="C530" s="62">
        <v>203290</v>
      </c>
      <c r="D530" s="62">
        <v>11181</v>
      </c>
      <c r="E530" s="63">
        <v>11180.91</v>
      </c>
    </row>
    <row r="531" spans="1:5" x14ac:dyDescent="0.25">
      <c r="A531" s="57">
        <v>6383</v>
      </c>
      <c r="B531" s="61" t="s">
        <v>1087</v>
      </c>
      <c r="C531" s="62">
        <v>2583904.91</v>
      </c>
      <c r="D531" s="62">
        <v>142114.15</v>
      </c>
      <c r="E531" s="63">
        <v>142113.9</v>
      </c>
    </row>
    <row r="532" spans="1:5" x14ac:dyDescent="0.25">
      <c r="A532" s="57">
        <v>6979</v>
      </c>
      <c r="B532" s="61" t="s">
        <v>1088</v>
      </c>
      <c r="C532" s="62">
        <v>1407545.03</v>
      </c>
      <c r="D532" s="62">
        <v>77415.14</v>
      </c>
      <c r="E532" s="63">
        <v>77414.63</v>
      </c>
    </row>
    <row r="533" spans="1:5" x14ac:dyDescent="0.25">
      <c r="A533" s="57">
        <v>8800037</v>
      </c>
      <c r="B533" s="61" t="s">
        <v>1089</v>
      </c>
      <c r="C533" s="62">
        <v>7675228.0899999999</v>
      </c>
      <c r="D533" s="62">
        <v>422138.9</v>
      </c>
      <c r="E533" s="63">
        <v>422138.9</v>
      </c>
    </row>
    <row r="534" spans="1:5" x14ac:dyDescent="0.25">
      <c r="A534" s="57">
        <v>8800069</v>
      </c>
      <c r="B534" s="61" t="s">
        <v>1090</v>
      </c>
      <c r="C534" s="62">
        <v>4870220.43</v>
      </c>
      <c r="D534" s="62">
        <v>267862.65999999997</v>
      </c>
      <c r="E534" s="63">
        <v>267862.65999999997</v>
      </c>
    </row>
    <row r="535" spans="1:5" x14ac:dyDescent="0.25">
      <c r="A535" s="57">
        <v>8825000</v>
      </c>
      <c r="B535" s="61" t="s">
        <v>1091</v>
      </c>
      <c r="C535" s="62">
        <v>1583960.36</v>
      </c>
      <c r="D535" s="62">
        <v>87118.6</v>
      </c>
      <c r="E535" s="63">
        <v>87118.6</v>
      </c>
    </row>
    <row r="536" spans="1:5" x14ac:dyDescent="0.25">
      <c r="A536" s="57">
        <v>8837001</v>
      </c>
      <c r="B536" s="61" t="s">
        <v>1092</v>
      </c>
      <c r="C536" s="62">
        <v>3149177.74</v>
      </c>
      <c r="D536" s="62">
        <v>173205.71</v>
      </c>
      <c r="E536" s="63">
        <v>173205.71</v>
      </c>
    </row>
    <row r="537" spans="1:5" x14ac:dyDescent="0.25">
      <c r="A537" s="57">
        <v>9200921</v>
      </c>
      <c r="B537" s="61" t="s">
        <v>1644</v>
      </c>
      <c r="C537" s="62">
        <v>46848</v>
      </c>
      <c r="D537" s="62">
        <v>2576.6</v>
      </c>
      <c r="E537" s="63">
        <v>2576.6</v>
      </c>
    </row>
    <row r="538" spans="1:5" x14ac:dyDescent="0.25">
      <c r="A538" s="57">
        <v>9700003</v>
      </c>
      <c r="B538" s="61" t="s">
        <v>1093</v>
      </c>
      <c r="C538" s="62">
        <v>71610</v>
      </c>
      <c r="D538" s="62">
        <v>3938.64</v>
      </c>
      <c r="E538" s="63">
        <v>3938.64</v>
      </c>
    </row>
    <row r="539" spans="1:5" x14ac:dyDescent="0.25">
      <c r="A539" s="57">
        <v>9700004</v>
      </c>
      <c r="B539" s="61" t="s">
        <v>1094</v>
      </c>
      <c r="C539" s="62">
        <v>270681</v>
      </c>
      <c r="D539" s="62">
        <v>14887.47</v>
      </c>
      <c r="E539" s="63">
        <v>14887.47</v>
      </c>
    </row>
    <row r="540" spans="1:5" x14ac:dyDescent="0.25">
      <c r="A540" s="57">
        <v>10100011</v>
      </c>
      <c r="B540" s="61" t="s">
        <v>1095</v>
      </c>
      <c r="C540" s="62">
        <v>2690274.37</v>
      </c>
      <c r="D540" s="62">
        <v>147964.56</v>
      </c>
      <c r="E540" s="63">
        <v>147964.56</v>
      </c>
    </row>
    <row r="541" spans="1:5" x14ac:dyDescent="0.25">
      <c r="A541" s="57">
        <v>10100012</v>
      </c>
      <c r="B541" s="61" t="s">
        <v>1096</v>
      </c>
      <c r="C541" s="62">
        <v>7267616.9500000002</v>
      </c>
      <c r="D541" s="62">
        <v>399724.5</v>
      </c>
      <c r="E541" s="63">
        <v>399724.5</v>
      </c>
    </row>
    <row r="542" spans="1:5" x14ac:dyDescent="0.25">
      <c r="A542" s="57">
        <v>10100013</v>
      </c>
      <c r="B542" s="61" t="s">
        <v>1097</v>
      </c>
      <c r="C542" s="62">
        <v>9858042.3399999999</v>
      </c>
      <c r="D542" s="62">
        <v>542286.47</v>
      </c>
      <c r="E542" s="63">
        <v>542301.41</v>
      </c>
    </row>
    <row r="543" spans="1:5" x14ac:dyDescent="0.25">
      <c r="A543" s="57">
        <v>10100014</v>
      </c>
      <c r="B543" s="61" t="s">
        <v>1098</v>
      </c>
      <c r="C543" s="62">
        <v>7362877.9800000004</v>
      </c>
      <c r="D543" s="62">
        <v>404716.05</v>
      </c>
      <c r="E543" s="63">
        <v>404718.2</v>
      </c>
    </row>
    <row r="544" spans="1:5" x14ac:dyDescent="0.25">
      <c r="A544" s="57">
        <v>10100015</v>
      </c>
      <c r="B544" s="61" t="s">
        <v>1099</v>
      </c>
      <c r="C544" s="62">
        <v>14135455.939999999</v>
      </c>
      <c r="D544" s="62">
        <v>777213.58</v>
      </c>
      <c r="E544" s="63">
        <v>777172.3</v>
      </c>
    </row>
    <row r="545" spans="1:5" x14ac:dyDescent="0.25">
      <c r="A545" s="57">
        <v>10100016</v>
      </c>
      <c r="B545" s="61" t="s">
        <v>1100</v>
      </c>
      <c r="C545" s="62">
        <v>3296865.5</v>
      </c>
      <c r="D545" s="62">
        <v>181277.58</v>
      </c>
      <c r="E545" s="63">
        <v>181277.58</v>
      </c>
    </row>
    <row r="546" spans="1:5" x14ac:dyDescent="0.25">
      <c r="A546" s="57">
        <v>10100017</v>
      </c>
      <c r="B546" s="61" t="s">
        <v>1101</v>
      </c>
      <c r="C546" s="62">
        <v>9203639.3499999996</v>
      </c>
      <c r="D546" s="62">
        <v>506011.1</v>
      </c>
      <c r="E546" s="63">
        <v>506039.03999999998</v>
      </c>
    </row>
    <row r="547" spans="1:5" x14ac:dyDescent="0.25">
      <c r="A547" s="57">
        <v>10100018</v>
      </c>
      <c r="B547" s="61" t="s">
        <v>1102</v>
      </c>
      <c r="C547" s="62">
        <v>4534252.1100000003</v>
      </c>
      <c r="D547" s="62">
        <v>249513.79</v>
      </c>
      <c r="E547" s="63">
        <v>249586.87</v>
      </c>
    </row>
    <row r="548" spans="1:5" x14ac:dyDescent="0.25">
      <c r="A548" s="57">
        <v>10100020</v>
      </c>
      <c r="B548" s="61" t="s">
        <v>1103</v>
      </c>
      <c r="C548" s="62">
        <v>4561651.37</v>
      </c>
      <c r="D548" s="62">
        <v>250897.45</v>
      </c>
      <c r="E548" s="63">
        <v>250897.45</v>
      </c>
    </row>
    <row r="549" spans="1:5" x14ac:dyDescent="0.25">
      <c r="A549" s="57">
        <v>10100021</v>
      </c>
      <c r="B549" s="61" t="s">
        <v>1104</v>
      </c>
      <c r="C549" s="62">
        <v>3343479.09</v>
      </c>
      <c r="D549" s="62">
        <v>183229.08</v>
      </c>
      <c r="E549" s="63">
        <v>183229.08</v>
      </c>
    </row>
    <row r="550" spans="1:5" x14ac:dyDescent="0.25">
      <c r="A550" s="57">
        <v>10100022</v>
      </c>
      <c r="B550" s="61" t="s">
        <v>1105</v>
      </c>
      <c r="C550" s="62">
        <v>5527943.1500000004</v>
      </c>
      <c r="D550" s="62">
        <v>303826.94</v>
      </c>
      <c r="E550" s="63">
        <v>303826.94</v>
      </c>
    </row>
    <row r="551" spans="1:5" x14ac:dyDescent="0.25">
      <c r="A551" s="57">
        <v>10100023</v>
      </c>
      <c r="B551" s="61" t="s">
        <v>1106</v>
      </c>
      <c r="C551" s="62">
        <v>3347448.33</v>
      </c>
      <c r="D551" s="62">
        <v>183417.42</v>
      </c>
      <c r="E551" s="63">
        <v>183417.42</v>
      </c>
    </row>
    <row r="552" spans="1:5" x14ac:dyDescent="0.25">
      <c r="A552" s="57">
        <v>10100024</v>
      </c>
      <c r="B552" s="61" t="s">
        <v>1107</v>
      </c>
      <c r="C552" s="62">
        <v>2373608.9900000002</v>
      </c>
      <c r="D552" s="62">
        <v>130547.35</v>
      </c>
      <c r="E552" s="63">
        <v>130547.35</v>
      </c>
    </row>
    <row r="553" spans="1:5" x14ac:dyDescent="0.25">
      <c r="A553" s="57">
        <v>10100025</v>
      </c>
      <c r="B553" s="61" t="s">
        <v>1108</v>
      </c>
      <c r="C553" s="62">
        <v>8468965.9399999995</v>
      </c>
      <c r="D553" s="62">
        <v>468559.65</v>
      </c>
      <c r="E553" s="63">
        <v>468213.76000000001</v>
      </c>
    </row>
    <row r="554" spans="1:5" x14ac:dyDescent="0.25">
      <c r="A554" s="57">
        <v>10100026</v>
      </c>
      <c r="B554" s="61" t="s">
        <v>1109</v>
      </c>
      <c r="C554" s="62">
        <v>6903721.6500000004</v>
      </c>
      <c r="D554" s="62">
        <v>379972.84</v>
      </c>
      <c r="E554" s="63">
        <v>379972.84</v>
      </c>
    </row>
    <row r="555" spans="1:5" x14ac:dyDescent="0.25">
      <c r="A555" s="57">
        <v>10100027</v>
      </c>
      <c r="B555" s="61" t="s">
        <v>1110</v>
      </c>
      <c r="C555" s="62">
        <v>7204429.2300000004</v>
      </c>
      <c r="D555" s="62">
        <v>398622.71999999997</v>
      </c>
      <c r="E555" s="63">
        <v>398765.9</v>
      </c>
    </row>
    <row r="556" spans="1:5" x14ac:dyDescent="0.25">
      <c r="A556" s="57">
        <v>10100028</v>
      </c>
      <c r="B556" s="61" t="s">
        <v>1111</v>
      </c>
      <c r="C556" s="62">
        <v>9071834.1300000008</v>
      </c>
      <c r="D556" s="62">
        <v>499160.02</v>
      </c>
      <c r="E556" s="63">
        <v>499155.96</v>
      </c>
    </row>
    <row r="557" spans="1:5" x14ac:dyDescent="0.25">
      <c r="A557" s="57">
        <v>10100029</v>
      </c>
      <c r="B557" s="61" t="s">
        <v>1112</v>
      </c>
      <c r="C557" s="62">
        <v>1336116.8899999999</v>
      </c>
      <c r="D557" s="62">
        <v>73536.479999999996</v>
      </c>
      <c r="E557" s="63">
        <v>73536.479999999996</v>
      </c>
    </row>
    <row r="558" spans="1:5" x14ac:dyDescent="0.25">
      <c r="A558" s="57">
        <v>10100030</v>
      </c>
      <c r="B558" s="61" t="s">
        <v>1113</v>
      </c>
      <c r="C558" s="62">
        <v>1165568.6000000001</v>
      </c>
      <c r="D558" s="62">
        <v>64106.43</v>
      </c>
      <c r="E558" s="63">
        <v>64106.43</v>
      </c>
    </row>
    <row r="559" spans="1:5" x14ac:dyDescent="0.25">
      <c r="A559" s="57">
        <v>10100031</v>
      </c>
      <c r="B559" s="61" t="s">
        <v>1114</v>
      </c>
      <c r="C559" s="62">
        <v>2664807.04</v>
      </c>
      <c r="D559" s="62">
        <v>146565.25</v>
      </c>
      <c r="E559" s="63">
        <v>146565.25</v>
      </c>
    </row>
    <row r="560" spans="1:5" x14ac:dyDescent="0.25">
      <c r="A560" s="57">
        <v>10100032</v>
      </c>
      <c r="B560" s="61" t="s">
        <v>1115</v>
      </c>
      <c r="C560" s="62">
        <v>3772367.89</v>
      </c>
      <c r="D560" s="62">
        <v>207315.49</v>
      </c>
      <c r="E560" s="63">
        <v>207315.49</v>
      </c>
    </row>
    <row r="561" spans="1:5" x14ac:dyDescent="0.25">
      <c r="A561" s="57">
        <v>10100033</v>
      </c>
      <c r="B561" s="61" t="s">
        <v>1116</v>
      </c>
      <c r="C561" s="62">
        <v>2966682.45</v>
      </c>
      <c r="D561" s="62">
        <v>163143.57999999999</v>
      </c>
      <c r="E561" s="63">
        <v>163143.57999999999</v>
      </c>
    </row>
    <row r="562" spans="1:5" x14ac:dyDescent="0.25">
      <c r="A562" s="57">
        <v>10100034</v>
      </c>
      <c r="B562" s="61" t="s">
        <v>1117</v>
      </c>
      <c r="C562" s="62">
        <v>4879817.93</v>
      </c>
      <c r="D562" s="62">
        <v>268077.76</v>
      </c>
      <c r="E562" s="63">
        <v>268005.45</v>
      </c>
    </row>
    <row r="563" spans="1:5" x14ac:dyDescent="0.25">
      <c r="A563" s="57">
        <v>10100035</v>
      </c>
      <c r="B563" s="61" t="s">
        <v>1118</v>
      </c>
      <c r="C563" s="62">
        <v>5306486.95</v>
      </c>
      <c r="D563" s="62">
        <v>291853.19</v>
      </c>
      <c r="E563" s="63">
        <v>291857.32</v>
      </c>
    </row>
    <row r="564" spans="1:5" x14ac:dyDescent="0.25">
      <c r="A564" s="57">
        <v>10100036</v>
      </c>
      <c r="B564" s="61" t="s">
        <v>1119</v>
      </c>
      <c r="C564" s="62">
        <v>5046086.3899999997</v>
      </c>
      <c r="D564" s="62">
        <v>277478.62</v>
      </c>
      <c r="E564" s="63">
        <v>277478.62</v>
      </c>
    </row>
    <row r="565" spans="1:5" x14ac:dyDescent="0.25">
      <c r="A565" s="57">
        <v>10100037</v>
      </c>
      <c r="B565" s="61" t="s">
        <v>1120</v>
      </c>
      <c r="C565" s="62">
        <v>5813614.6799999997</v>
      </c>
      <c r="D565" s="62">
        <v>319811.82</v>
      </c>
      <c r="E565" s="63">
        <v>319811.82</v>
      </c>
    </row>
    <row r="566" spans="1:5" x14ac:dyDescent="0.25">
      <c r="A566" s="57">
        <v>10100038</v>
      </c>
      <c r="B566" s="61" t="s">
        <v>1121</v>
      </c>
      <c r="C566" s="62">
        <v>3322349.09</v>
      </c>
      <c r="D566" s="62">
        <v>183102.75</v>
      </c>
      <c r="E566" s="63">
        <v>183153</v>
      </c>
    </row>
    <row r="567" spans="1:5" x14ac:dyDescent="0.25">
      <c r="A567" s="57">
        <v>10100039</v>
      </c>
      <c r="B567" s="61" t="s">
        <v>1122</v>
      </c>
      <c r="C567" s="62">
        <v>195653.58</v>
      </c>
      <c r="D567" s="62">
        <v>10760.75</v>
      </c>
      <c r="E567" s="63">
        <v>10760.75</v>
      </c>
    </row>
    <row r="568" spans="1:5" x14ac:dyDescent="0.25">
      <c r="A568" s="57">
        <v>10100040</v>
      </c>
      <c r="B568" s="61" t="s">
        <v>1123</v>
      </c>
      <c r="C568" s="62">
        <v>1329178.79</v>
      </c>
      <c r="D568" s="62">
        <v>73104.63</v>
      </c>
      <c r="E568" s="63">
        <v>73111.83</v>
      </c>
    </row>
    <row r="569" spans="1:5" x14ac:dyDescent="0.25">
      <c r="A569" s="57">
        <v>10100041</v>
      </c>
      <c r="B569" s="61" t="s">
        <v>1124</v>
      </c>
      <c r="C569" s="62">
        <v>5278733.29</v>
      </c>
      <c r="D569" s="62">
        <v>290892.96999999997</v>
      </c>
      <c r="E569" s="63">
        <v>290892.96999999997</v>
      </c>
    </row>
    <row r="570" spans="1:5" x14ac:dyDescent="0.25">
      <c r="A570" s="57">
        <v>10100042</v>
      </c>
      <c r="B570" s="61" t="s">
        <v>1125</v>
      </c>
      <c r="C570" s="62">
        <v>4402322.51</v>
      </c>
      <c r="D570" s="62">
        <v>242127.43</v>
      </c>
      <c r="E570" s="63">
        <v>242127.43</v>
      </c>
    </row>
    <row r="571" spans="1:5" x14ac:dyDescent="0.25">
      <c r="A571" s="57">
        <v>10100043</v>
      </c>
      <c r="B571" s="61" t="s">
        <v>1126</v>
      </c>
      <c r="C571" s="62">
        <v>6368384.5700000003</v>
      </c>
      <c r="D571" s="62">
        <v>350251.17</v>
      </c>
      <c r="E571" s="63">
        <v>350251.17</v>
      </c>
    </row>
    <row r="572" spans="1:5" x14ac:dyDescent="0.25">
      <c r="A572" s="57">
        <v>10100044</v>
      </c>
      <c r="B572" s="61" t="s">
        <v>1127</v>
      </c>
      <c r="C572" s="62">
        <v>3545337.18</v>
      </c>
      <c r="D572" s="62">
        <v>194956.41</v>
      </c>
      <c r="E572" s="63">
        <v>194956.41</v>
      </c>
    </row>
    <row r="573" spans="1:5" x14ac:dyDescent="0.25">
      <c r="A573" s="57">
        <v>10100045</v>
      </c>
      <c r="B573" s="61" t="s">
        <v>1128</v>
      </c>
      <c r="C573" s="62">
        <v>2221834.5699999998</v>
      </c>
      <c r="D573" s="62">
        <v>122145.2</v>
      </c>
      <c r="E573" s="63">
        <v>122145.2</v>
      </c>
    </row>
    <row r="574" spans="1:5" x14ac:dyDescent="0.25">
      <c r="A574" s="57">
        <v>10100046</v>
      </c>
      <c r="B574" s="61" t="s">
        <v>1129</v>
      </c>
      <c r="C574" s="62">
        <v>589334.05000000005</v>
      </c>
      <c r="D574" s="62">
        <v>32413.32</v>
      </c>
      <c r="E574" s="63">
        <v>32413.32</v>
      </c>
    </row>
    <row r="575" spans="1:5" x14ac:dyDescent="0.25">
      <c r="A575" s="57">
        <v>10100048</v>
      </c>
      <c r="B575" s="61" t="s">
        <v>1130</v>
      </c>
      <c r="C575" s="62">
        <v>4888891.07</v>
      </c>
      <c r="D575" s="62">
        <v>268986.63</v>
      </c>
      <c r="E575" s="63">
        <v>268986.63</v>
      </c>
    </row>
    <row r="576" spans="1:5" x14ac:dyDescent="0.25">
      <c r="A576" s="57">
        <v>10100049</v>
      </c>
      <c r="B576" s="61" t="s">
        <v>1131</v>
      </c>
      <c r="C576" s="62">
        <v>4282965.3600000003</v>
      </c>
      <c r="D576" s="62">
        <v>235581.15</v>
      </c>
      <c r="E576" s="63">
        <v>235548.86</v>
      </c>
    </row>
    <row r="577" spans="1:5" x14ac:dyDescent="0.25">
      <c r="A577" s="57">
        <v>10100050</v>
      </c>
      <c r="B577" s="61" t="s">
        <v>1132</v>
      </c>
      <c r="C577" s="62">
        <v>1120794.3600000001</v>
      </c>
      <c r="D577" s="62">
        <v>61644.11</v>
      </c>
      <c r="E577" s="63">
        <v>61644.11</v>
      </c>
    </row>
    <row r="578" spans="1:5" x14ac:dyDescent="0.25">
      <c r="A578" s="57">
        <v>10100051</v>
      </c>
      <c r="B578" s="61" t="s">
        <v>1133</v>
      </c>
      <c r="C578" s="62">
        <v>6661617.8799999999</v>
      </c>
      <c r="D578" s="62">
        <v>366564.1</v>
      </c>
      <c r="E578" s="63">
        <v>366583.73</v>
      </c>
    </row>
    <row r="579" spans="1:5" ht="13.3" thickBot="1" x14ac:dyDescent="0.3">
      <c r="A579" s="57" t="s">
        <v>1645</v>
      </c>
      <c r="B579" s="61" t="s">
        <v>1646</v>
      </c>
      <c r="C579" s="62">
        <v>224482688.81</v>
      </c>
      <c r="D579" s="62">
        <v>12495510.630000001</v>
      </c>
      <c r="E579" s="63">
        <v>20687038.109999999</v>
      </c>
    </row>
    <row r="580" spans="1:5" ht="14.95" thickBot="1" x14ac:dyDescent="0.35">
      <c r="A580" s="67" t="s">
        <v>1147</v>
      </c>
      <c r="B580" s="68"/>
      <c r="C580" s="64">
        <f>SUM(C3:C579)</f>
        <v>3898140705.0499964</v>
      </c>
      <c r="D580" s="64">
        <f>SUM(D3:D579)</f>
        <v>214547017.36000001</v>
      </c>
      <c r="E580" s="64">
        <f>SUM(E3:E579)</f>
        <v>222737493.29999971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Districts</vt:lpstr>
      <vt:lpstr>Report</vt:lpstr>
      <vt:lpstr>Consolidate 2903 2904</vt:lpstr>
      <vt:lpstr>Consolidate 2887</vt:lpstr>
      <vt:lpstr>Email</vt:lpstr>
      <vt:lpstr>ConsolidateFY07</vt:lpstr>
      <vt:lpstr>Law</vt:lpstr>
      <vt:lpstr>Minneapolis</vt:lpstr>
      <vt:lpstr>TRA</vt:lpstr>
      <vt:lpstr>Changes</vt:lpstr>
      <vt:lpstr>Salaries 2011</vt:lpstr>
      <vt:lpstr>Inputall</vt:lpstr>
      <vt:lpstr>'Consolidate 2887'!Print_Area</vt:lpstr>
      <vt:lpstr>ConsolidateFY07!Print_Area</vt:lpstr>
      <vt:lpstr>Districts!Print_Area</vt:lpstr>
      <vt:lpstr>Law!Print_Area</vt:lpstr>
      <vt:lpstr>Report!Print_Area</vt:lpstr>
      <vt:lpstr>Districts!Print_Titles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BOBP</dc:creator>
  <cp:lastModifiedBy>Kostelecky, Teri</cp:lastModifiedBy>
  <cp:lastPrinted>2013-04-26T12:14:15Z</cp:lastPrinted>
  <dcterms:created xsi:type="dcterms:W3CDTF">2006-06-27T21:02:25Z</dcterms:created>
  <dcterms:modified xsi:type="dcterms:W3CDTF">2013-04-26T12:18:09Z</dcterms:modified>
</cp:coreProperties>
</file>