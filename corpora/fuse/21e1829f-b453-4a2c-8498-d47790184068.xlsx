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96" windowWidth="17232" windowHeight="10536" tabRatio="400"/>
  </bookViews>
  <sheets>
    <sheet name="Travel Form" sheetId="3" r:id="rId1"/>
    <sheet name="Codes" sheetId="6" r:id="rId2"/>
    <sheet name="Macros" sheetId="5" state="hidden" r:id="rId3"/>
  </sheets>
  <definedNames>
    <definedName name="IBreakfast">'Travel Form'!$E$64</definedName>
    <definedName name="IDinner">'Travel Form'!$E$66</definedName>
    <definedName name="ILunch">'Travel Form'!$E$65</definedName>
    <definedName name="In_State">Codes!$B$6:$B$9</definedName>
    <definedName name="IOCells">'Travel Form'!$Q$50:$Q$60,'Travel Form'!$Q$72:$Q$124</definedName>
    <definedName name="IOList">Macros!$B$17:$B$19</definedName>
    <definedName name="OBreakfast">'Travel Form'!$F$64</definedName>
    <definedName name="ODinner">'Travel Form'!$F$66</definedName>
    <definedName name="OLunch">'Travel Form'!$F$65</definedName>
    <definedName name="OUT_OF_COUNTRY">Codes!#REF!</definedName>
    <definedName name="OUT_OF_STATE">Codes!$B$10:$B$15</definedName>
    <definedName name="_xlnm.Print_Area" localSheetId="0">'Travel Form'!$A$1:$S$130</definedName>
    <definedName name="rate">0.22</definedName>
    <definedName name="TRAVEL">'Travel Form'!$J$134:$K$217</definedName>
    <definedName name="TYPE">'Travel Form'!$C$134:$C$134</definedName>
  </definedNames>
  <calcPr calcId="144525"/>
</workbook>
</file>

<file path=xl/calcChain.xml><?xml version="1.0" encoding="utf-8"?>
<calcChain xmlns="http://schemas.openxmlformats.org/spreadsheetml/2006/main">
  <c r="J53" i="3" l="1"/>
  <c r="H53" i="3"/>
  <c r="E26" i="3"/>
  <c r="G26" i="3"/>
  <c r="E27" i="3"/>
  <c r="G27" i="3"/>
  <c r="E28" i="3"/>
  <c r="G28" i="3"/>
  <c r="H59" i="3"/>
  <c r="H75" i="3"/>
  <c r="H81" i="3"/>
  <c r="H87" i="3"/>
  <c r="H93" i="3"/>
  <c r="H99" i="3"/>
  <c r="H105" i="3"/>
  <c r="H111" i="3"/>
  <c r="H117" i="3"/>
  <c r="H123" i="3"/>
  <c r="J59" i="3"/>
  <c r="J75" i="3"/>
  <c r="J81" i="3"/>
  <c r="J87" i="3"/>
  <c r="J93" i="3"/>
  <c r="J99" i="3"/>
  <c r="J105" i="3"/>
  <c r="J111" i="3"/>
  <c r="J117" i="3"/>
  <c r="J123" i="3"/>
  <c r="J129" i="3"/>
  <c r="H24" i="3" s="1"/>
  <c r="E61" i="3"/>
  <c r="E60" i="3"/>
  <c r="N54" i="3"/>
  <c r="N60" i="3"/>
  <c r="N76" i="3"/>
  <c r="N82" i="3"/>
  <c r="N88" i="3"/>
  <c r="N94" i="3"/>
  <c r="N100" i="3"/>
  <c r="N106" i="3"/>
  <c r="N112" i="3"/>
  <c r="N118" i="3"/>
  <c r="N124" i="3"/>
  <c r="N129" i="3"/>
  <c r="F26" i="3" s="1"/>
  <c r="S65" i="3"/>
  <c r="S128" i="3" s="1"/>
  <c r="F28" i="3" s="1"/>
  <c r="H129" i="3"/>
  <c r="G25" i="3"/>
  <c r="G29" i="3"/>
  <c r="G24" i="3"/>
  <c r="E65" i="3"/>
  <c r="F65" i="3"/>
  <c r="E66" i="3"/>
  <c r="F66" i="3"/>
  <c r="F64" i="3"/>
  <c r="E64" i="3"/>
  <c r="A33" i="3"/>
  <c r="E24" i="3"/>
  <c r="E25" i="3"/>
  <c r="E29" i="3"/>
  <c r="E55" i="3"/>
  <c r="E54" i="3"/>
  <c r="E77" i="3"/>
  <c r="E76" i="3"/>
  <c r="E83" i="3"/>
  <c r="E82" i="3"/>
  <c r="E89" i="3"/>
  <c r="E88" i="3"/>
  <c r="E95" i="3"/>
  <c r="E94" i="3"/>
  <c r="E101" i="3"/>
  <c r="E100" i="3"/>
  <c r="E107" i="3"/>
  <c r="E106" i="3"/>
  <c r="E113" i="3"/>
  <c r="E112" i="3"/>
  <c r="E119" i="3"/>
  <c r="E118" i="3"/>
  <c r="E125" i="3"/>
  <c r="E124" i="3"/>
  <c r="G4" i="6"/>
  <c r="G2" i="6"/>
  <c r="O54" i="3"/>
  <c r="O60" i="3"/>
  <c r="O129" i="3"/>
  <c r="H26" i="3" s="1"/>
  <c r="H46" i="3"/>
  <c r="F29" i="3" s="1"/>
  <c r="J46" i="3"/>
  <c r="H29" i="3" s="1"/>
  <c r="O76" i="3"/>
  <c r="O82" i="3"/>
  <c r="O88" i="3"/>
  <c r="O94" i="3"/>
  <c r="O100" i="3"/>
  <c r="O106" i="3"/>
  <c r="O112" i="3"/>
  <c r="O118" i="3"/>
  <c r="O124" i="3"/>
  <c r="S66" i="3"/>
  <c r="S129" i="3" s="1"/>
  <c r="H28" i="3" s="1"/>
  <c r="F24" i="3"/>
  <c r="N65" i="3" l="1"/>
  <c r="N71" i="3" s="1"/>
  <c r="N128" i="3" s="1"/>
  <c r="F27" i="3" s="1"/>
  <c r="D128" i="3"/>
  <c r="J65" i="3"/>
  <c r="J71" i="3" s="1"/>
  <c r="J128" i="3" s="1"/>
  <c r="J130" i="3" s="1"/>
  <c r="H65" i="3"/>
  <c r="H71" i="3" s="1"/>
  <c r="H128" i="3" s="1"/>
  <c r="H130" i="3" s="1"/>
  <c r="D129" i="3"/>
  <c r="O65" i="3"/>
  <c r="O71" i="3" s="1"/>
  <c r="O128" i="3" s="1"/>
  <c r="O130" i="3" s="1"/>
  <c r="S130" i="3"/>
  <c r="A39" i="3" s="1"/>
  <c r="D130" i="3" l="1"/>
  <c r="F25" i="3"/>
  <c r="F32" i="3" s="1"/>
  <c r="N130" i="3"/>
  <c r="H27" i="3"/>
  <c r="H25" i="3"/>
  <c r="H32" i="3" l="1"/>
  <c r="O24" i="3" s="1"/>
  <c r="O28" i="3" s="1"/>
  <c r="O27" i="3" l="1"/>
</calcChain>
</file>

<file path=xl/sharedStrings.xml><?xml version="1.0" encoding="utf-8"?>
<sst xmlns="http://schemas.openxmlformats.org/spreadsheetml/2006/main" count="396" uniqueCount="189">
  <si>
    <t>NORTH CAROLINA CENTRAL UNIVERSITY</t>
  </si>
  <si>
    <t>INSTRUCTIONS TO CLAIMANT:  Prepare two (2) copies.  Attach all necessary receipts and other supporting documents</t>
  </si>
  <si>
    <t>to this form and submit the original and one (1) copy to the Travel Office.</t>
  </si>
  <si>
    <t>Payee's Name</t>
  </si>
  <si>
    <t>Date of this Request</t>
  </si>
  <si>
    <t>Payee's Address</t>
  </si>
  <si>
    <t>Department</t>
  </si>
  <si>
    <t>Title</t>
  </si>
  <si>
    <t>Account Number</t>
  </si>
  <si>
    <t>Controller's</t>
  </si>
  <si>
    <t>Amount</t>
  </si>
  <si>
    <t>use only</t>
  </si>
  <si>
    <t>In-State</t>
  </si>
  <si>
    <t>Out-of-State</t>
  </si>
  <si>
    <t>$</t>
  </si>
  <si>
    <t>Total Expense</t>
  </si>
  <si>
    <t>Deduct:  Advance</t>
  </si>
  <si>
    <t>Meals</t>
  </si>
  <si>
    <t>Deduct:</t>
  </si>
  <si>
    <t>Hotel</t>
  </si>
  <si>
    <t>Amount Due NCCU</t>
  </si>
  <si>
    <t>Other</t>
  </si>
  <si>
    <t>Amount Due Claimant</t>
  </si>
  <si>
    <t>Registration</t>
  </si>
  <si>
    <t>Under penalties of perjury, I certify this is a true and accurate</t>
  </si>
  <si>
    <t>statement of the lodging expenses and allowances incurred in</t>
  </si>
  <si>
    <t>the service of the State.</t>
  </si>
  <si>
    <t>(Claimant)</t>
  </si>
  <si>
    <t>(Supervisor)</t>
  </si>
  <si>
    <t>Bud Auth Code</t>
  </si>
  <si>
    <t>Travel (show each city visited)</t>
  </si>
  <si>
    <t>Transportation</t>
  </si>
  <si>
    <t>Subsistence</t>
  </si>
  <si>
    <t>Other Expenses</t>
  </si>
  <si>
    <t>Date</t>
  </si>
  <si>
    <t xml:space="preserve">   Out-of-State</t>
  </si>
  <si>
    <t>R</t>
  </si>
  <si>
    <t>B</t>
  </si>
  <si>
    <t>A</t>
  </si>
  <si>
    <t>L</t>
  </si>
  <si>
    <t>O</t>
  </si>
  <si>
    <t>D</t>
  </si>
  <si>
    <t>P</t>
  </si>
  <si>
    <t>H</t>
  </si>
  <si>
    <t>Total</t>
  </si>
  <si>
    <t>Mode of Travel</t>
  </si>
  <si>
    <t>Type of Subsistence</t>
  </si>
  <si>
    <t xml:space="preserve"> P=Private Car</t>
  </si>
  <si>
    <t xml:space="preserve">  In-State   Out-of-State</t>
  </si>
  <si>
    <t>Transport</t>
  </si>
  <si>
    <t xml:space="preserve"> A=Air</t>
  </si>
  <si>
    <t>Lunch</t>
  </si>
  <si>
    <t>Dinner</t>
  </si>
  <si>
    <t xml:space="preserve">           Totals brought forward</t>
  </si>
  <si>
    <t>Breakfast</t>
  </si>
  <si>
    <t>Campus Phone</t>
  </si>
  <si>
    <t>Amount subject to Federal and</t>
  </si>
  <si>
    <t>State Income Tax Law</t>
  </si>
  <si>
    <t xml:space="preserve"> </t>
  </si>
  <si>
    <t xml:space="preserve">Departed </t>
  </si>
  <si>
    <t>Ground</t>
  </si>
  <si>
    <t>Air</t>
  </si>
  <si>
    <t>Period Covered by this Voucher (from/to, date and time left and returned)</t>
  </si>
  <si>
    <t>Request For Reimbursement Of Travel And Other Expenses</t>
  </si>
  <si>
    <t>Incurred In The Discharge Of Official Duty - Including Per Diem</t>
  </si>
  <si>
    <t xml:space="preserve"> O=Other - Bus</t>
  </si>
  <si>
    <t xml:space="preserve"> R=Rental</t>
  </si>
  <si>
    <t>From/To:</t>
  </si>
  <si>
    <t>I have examined this reimbursement request and certify</t>
  </si>
  <si>
    <t>that it is just and reasonable.</t>
  </si>
  <si>
    <t>Explain</t>
  </si>
  <si>
    <t>I/O</t>
  </si>
  <si>
    <t>In-State:</t>
  </si>
  <si>
    <t>Out-of-State:</t>
  </si>
  <si>
    <t>Total:</t>
  </si>
  <si>
    <t>Sutotal</t>
  </si>
  <si>
    <t>Auto_Open</t>
  </si>
  <si>
    <t>Auto_Close</t>
  </si>
  <si>
    <t>Authorized</t>
  </si>
  <si>
    <t>Expenses</t>
  </si>
  <si>
    <t>I</t>
  </si>
  <si>
    <t>IOList</t>
  </si>
  <si>
    <t>Other Travel Expense</t>
  </si>
  <si>
    <t>N/A</t>
  </si>
  <si>
    <t>OUT OF COUNTRY Hotel</t>
  </si>
  <si>
    <t>OUT OF COUNTRY Meals</t>
  </si>
  <si>
    <t>OUT OF COUNTRY Other Travel Expense</t>
  </si>
  <si>
    <t>IN STATE</t>
  </si>
  <si>
    <t>OUT OF STATE</t>
  </si>
  <si>
    <t>73111G</t>
  </si>
  <si>
    <t>73112G</t>
  </si>
  <si>
    <t>73113G</t>
  </si>
  <si>
    <t>73114G</t>
  </si>
  <si>
    <t>73115G</t>
  </si>
  <si>
    <t>73116G</t>
  </si>
  <si>
    <t>73117G</t>
  </si>
  <si>
    <t>73119G</t>
  </si>
  <si>
    <t>73121G</t>
  </si>
  <si>
    <t>73122G</t>
  </si>
  <si>
    <t>73123G</t>
  </si>
  <si>
    <t>73124G</t>
  </si>
  <si>
    <t>73125G</t>
  </si>
  <si>
    <t>73126G</t>
  </si>
  <si>
    <t>73129G</t>
  </si>
  <si>
    <t>73131G</t>
  </si>
  <si>
    <t>73132G</t>
  </si>
  <si>
    <t>73133G</t>
  </si>
  <si>
    <t>73134G</t>
  </si>
  <si>
    <t>73135G</t>
  </si>
  <si>
    <t>73136G</t>
  </si>
  <si>
    <t>73139G</t>
  </si>
  <si>
    <t>73141G</t>
  </si>
  <si>
    <t>73142G</t>
  </si>
  <si>
    <t>73143G</t>
  </si>
  <si>
    <t>73144G</t>
  </si>
  <si>
    <t>73145G</t>
  </si>
  <si>
    <t>73146G</t>
  </si>
  <si>
    <t>73149G</t>
  </si>
  <si>
    <t>IN STATE Air Transportation</t>
  </si>
  <si>
    <t>Air Transportation</t>
  </si>
  <si>
    <t>Ground Transportation</t>
  </si>
  <si>
    <t>IN STATE Ground Transportation</t>
  </si>
  <si>
    <t>IN STATE Transportation Other</t>
  </si>
  <si>
    <t>IN STATE Hotel</t>
  </si>
  <si>
    <t>IN STATE Meals</t>
  </si>
  <si>
    <t>IN STATE Other Travel Expense</t>
  </si>
  <si>
    <t>IN STATE Trans Ground Motor Fleet</t>
  </si>
  <si>
    <t>IN STATE Registration</t>
  </si>
  <si>
    <t>OUT OF STATE Air Transportation</t>
  </si>
  <si>
    <t>OUT OF STATE Ground Transportation</t>
  </si>
  <si>
    <t>OUT OF STATE Transportation Other</t>
  </si>
  <si>
    <t>OUT OF STATE Meals</t>
  </si>
  <si>
    <t>OUT OF STATE Hotel</t>
  </si>
  <si>
    <t>OUT OF STATE Other Travel Expense</t>
  </si>
  <si>
    <t>OUT OF STATE Registration</t>
  </si>
  <si>
    <t>OUT OF COUNTRY Air Transportation</t>
  </si>
  <si>
    <t>OUT OF COUNTRY Ground Transportation</t>
  </si>
  <si>
    <t>OUT OF COUNTRY Transportation Other</t>
  </si>
  <si>
    <t>OUT OF COUNTRY Registration</t>
  </si>
  <si>
    <t>BRD/NONEMP Ground Transportation</t>
  </si>
  <si>
    <t>BRD/NONEMP Transportation Other</t>
  </si>
  <si>
    <t>BRD/NONEMP Meals</t>
  </si>
  <si>
    <t>BRD/NONEMP Other Travel Expense</t>
  </si>
  <si>
    <t>BRD/NONEMP Hotel</t>
  </si>
  <si>
    <t>C&amp;G IN STATE Air Transportation</t>
  </si>
  <si>
    <t>C&amp;G IN STATE Ground Transportation</t>
  </si>
  <si>
    <t>C&amp;G IN STATE Transportation Other</t>
  </si>
  <si>
    <t>C&amp;G IN STATE Hotel</t>
  </si>
  <si>
    <t>C&amp;G IN STATE Meals</t>
  </si>
  <si>
    <t>C&amp;G IN STATE Other Travel Expense</t>
  </si>
  <si>
    <t>C&amp;G IN STATE Trans Ground Motor Fleet</t>
  </si>
  <si>
    <t>C&amp;G IN STATE Registration</t>
  </si>
  <si>
    <t>C&amp;G OUT OF STATE Air Transportation</t>
  </si>
  <si>
    <t>C&amp;G OUT OF STATE Ground Transportation</t>
  </si>
  <si>
    <t>C&amp;G OUT OF STATE Transportation Other</t>
  </si>
  <si>
    <t>C&amp;G OUT OF STATE Hotel</t>
  </si>
  <si>
    <t>C&amp;G OUT OF STATE Meals</t>
  </si>
  <si>
    <t>C&amp;G OUT OF STATE Other Travel Expense</t>
  </si>
  <si>
    <t>C&amp;G OUT OF STATE Registration</t>
  </si>
  <si>
    <t>C&amp;G OUT OF COUNTRY Air Transportation</t>
  </si>
  <si>
    <t>C&amp;G OUT OF COUNTRY Ground Transportation</t>
  </si>
  <si>
    <t>C&amp;G OUT OF COUNTRY Transportation Other</t>
  </si>
  <si>
    <t>C&amp;G OUT OF COUNTRY Hotel</t>
  </si>
  <si>
    <t>C&amp;G OUT OF COUNTRY Meals</t>
  </si>
  <si>
    <t>C&amp;G OUT OF COUNTRY Other Travel Expense</t>
  </si>
  <si>
    <t>C&amp;G OUT OF COUNTRY Registration</t>
  </si>
  <si>
    <t>C&amp;G BRD/NONEMP Ground Transportation</t>
  </si>
  <si>
    <t>C&amp;G BRD/NONEMP Transportation Other</t>
  </si>
  <si>
    <t>C&amp;G BRD/NONEMP Hotel</t>
  </si>
  <si>
    <t>C&amp;G BRD/NONEMP Meals</t>
  </si>
  <si>
    <t>C&amp;G BRD/NONEMP Other Travel Expense</t>
  </si>
  <si>
    <t>C&amp;G BRD/NONEMP Registration</t>
  </si>
  <si>
    <t>OUT OF STATE Trans Ground Motor Fleet</t>
  </si>
  <si>
    <t xml:space="preserve">Daily Priv Car Mileage          </t>
  </si>
  <si>
    <t>C&amp;G IN STATE</t>
  </si>
  <si>
    <t>C&amp;G OUT OF STATE</t>
  </si>
  <si>
    <t>BRD/NONEMP</t>
  </si>
  <si>
    <t>BRD/NONEMP Air Transportation</t>
  </si>
  <si>
    <t>C&amp;G BRD/NONEMP</t>
  </si>
  <si>
    <t>C&amp;G BRD/NONEMP Air Transportation</t>
  </si>
  <si>
    <t>C&amp;G BRD/NONEMP Trans Ground Motor Fleet</t>
  </si>
  <si>
    <t>C&amp;G OUT OF COUNTRY Trans Ground Motor Fleet</t>
  </si>
  <si>
    <t>OUT OF COUNTRY Trans Ground Motor Fleet</t>
  </si>
  <si>
    <t>BRD/NONEMP Trans Ground Motor Fleet</t>
  </si>
  <si>
    <t>BRD/NONEMP Registration</t>
  </si>
  <si>
    <t>C&amp;G OUT OF STATE Trans Ground Motor Fleet</t>
  </si>
  <si>
    <t>OUT OF COUNTRY</t>
  </si>
  <si>
    <t>C&amp;G OUT OF COUNTRY</t>
  </si>
  <si>
    <t>Banner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</si>
</sst>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00\-00\-0000"/>
    <numFmt numFmtId="165" formatCode="m/d"/>
    <numFmt numFmtId="166" formatCode="#,##0.0\ "/>
    <numFmt numFmtId="167" formatCode="0\-00000"/>
    <numFmt numFmtId="168" formatCode="#,##0.00\ \ \ "/>
    <numFmt numFmtId="169" formatCode="&quot;$&quot;#,##0.00"/>
    <numFmt numFmtId="170" formatCode="000000000"/>
  </numFmts>
  <fonts count="1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i/>
      <sz val="8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6">
    <xf numFmtId="0" fontId="0" fillId="0" borderId="0" xfId="0"/>
    <xf numFmtId="0" fontId="0" fillId="0" borderId="0" xfId="0" applyBorder="1"/>
    <xf numFmtId="0" fontId="6" fillId="0" borderId="0" xfId="0" applyFont="1" applyBorder="1"/>
    <xf numFmtId="0" fontId="6" fillId="0" borderId="0" xfId="0" applyFont="1" applyBorder="1" applyAlignment="1">
      <alignment horizontal="centerContinuous"/>
    </xf>
    <xf numFmtId="0" fontId="0" fillId="0" borderId="0" xfId="0" applyAlignment="1" applyProtection="1">
      <alignment horizontal="centerContinuous"/>
    </xf>
    <xf numFmtId="0" fontId="0" fillId="0" borderId="0" xfId="0" applyProtection="1"/>
    <xf numFmtId="0" fontId="0" fillId="0" borderId="1" xfId="0" applyBorder="1" applyProtection="1"/>
    <xf numFmtId="0" fontId="0" fillId="0" borderId="2" xfId="0" applyBorder="1" applyProtection="1"/>
    <xf numFmtId="0" fontId="6" fillId="0" borderId="0" xfId="0" applyFont="1" applyBorder="1" applyProtection="1"/>
    <xf numFmtId="0" fontId="6" fillId="0" borderId="0" xfId="0" applyFont="1" applyProtection="1"/>
    <xf numFmtId="0" fontId="0" fillId="0" borderId="0" xfId="0" applyBorder="1" applyProtection="1"/>
    <xf numFmtId="0" fontId="0" fillId="0" borderId="3" xfId="0" applyBorder="1" applyProtection="1"/>
    <xf numFmtId="0" fontId="0" fillId="0" borderId="4" xfId="0" applyBorder="1" applyProtection="1"/>
    <xf numFmtId="0" fontId="6" fillId="0" borderId="4" xfId="0" applyFont="1" applyBorder="1" applyAlignment="1" applyProtection="1">
      <alignment horizontal="centerContinuous"/>
    </xf>
    <xf numFmtId="0" fontId="6" fillId="0" borderId="4" xfId="0" applyFont="1" applyBorder="1" applyProtection="1"/>
    <xf numFmtId="0" fontId="0" fillId="0" borderId="4" xfId="0" applyBorder="1" applyAlignment="1" applyProtection="1">
      <alignment horizontal="centerContinuous"/>
    </xf>
    <xf numFmtId="0" fontId="6" fillId="0" borderId="0" xfId="0" applyFont="1" applyBorder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4" xfId="0" applyFont="1" applyBorder="1" applyAlignment="1" applyProtection="1">
      <alignment horizontal="center"/>
    </xf>
    <xf numFmtId="0" fontId="6" fillId="0" borderId="0" xfId="0" applyFont="1" applyAlignment="1" applyProtection="1">
      <alignment horizontal="right"/>
    </xf>
    <xf numFmtId="0" fontId="6" fillId="2" borderId="0" xfId="0" applyFont="1" applyFill="1" applyProtection="1"/>
    <xf numFmtId="0" fontId="0" fillId="2" borderId="0" xfId="0" applyFill="1" applyProtection="1"/>
    <xf numFmtId="0" fontId="0" fillId="2" borderId="4" xfId="0" applyFill="1" applyBorder="1" applyProtection="1"/>
    <xf numFmtId="0" fontId="6" fillId="2" borderId="3" xfId="0" applyFont="1" applyFill="1" applyBorder="1" applyProtection="1"/>
    <xf numFmtId="0" fontId="6" fillId="2" borderId="0" xfId="0" applyFont="1" applyFill="1" applyBorder="1" applyProtection="1"/>
    <xf numFmtId="0" fontId="0" fillId="2" borderId="5" xfId="0" applyFill="1" applyBorder="1" applyProtection="1"/>
    <xf numFmtId="0" fontId="0" fillId="2" borderId="0" xfId="0" applyFill="1" applyBorder="1" applyProtection="1"/>
    <xf numFmtId="0" fontId="6" fillId="2" borderId="5" xfId="0" applyFont="1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0" fontId="0" fillId="2" borderId="3" xfId="0" applyFill="1" applyBorder="1" applyProtection="1"/>
    <xf numFmtId="0" fontId="9" fillId="2" borderId="3" xfId="0" applyFont="1" applyFill="1" applyBorder="1" applyProtection="1"/>
    <xf numFmtId="0" fontId="9" fillId="2" borderId="0" xfId="0" applyFont="1" applyFill="1" applyProtection="1"/>
    <xf numFmtId="0" fontId="0" fillId="0" borderId="0" xfId="0" applyFill="1" applyProtection="1"/>
    <xf numFmtId="0" fontId="11" fillId="0" borderId="0" xfId="0" applyFont="1" applyBorder="1" applyProtection="1"/>
    <xf numFmtId="0" fontId="11" fillId="0" borderId="0" xfId="0" applyFont="1" applyProtection="1"/>
    <xf numFmtId="0" fontId="9" fillId="2" borderId="0" xfId="0" applyFont="1" applyFill="1" applyBorder="1" applyProtection="1"/>
    <xf numFmtId="0" fontId="11" fillId="2" borderId="3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9" fillId="2" borderId="3" xfId="0" applyFont="1" applyFill="1" applyBorder="1" applyAlignment="1" applyProtection="1">
      <alignment horizontal="centerContinuous"/>
    </xf>
    <xf numFmtId="0" fontId="11" fillId="2" borderId="5" xfId="0" applyFont="1" applyFill="1" applyBorder="1" applyAlignment="1" applyProtection="1">
      <alignment horizontal="centerContinuous"/>
    </xf>
    <xf numFmtId="0" fontId="11" fillId="2" borderId="0" xfId="0" applyFont="1" applyFill="1" applyBorder="1" applyProtection="1"/>
    <xf numFmtId="0" fontId="9" fillId="2" borderId="6" xfId="0" applyFont="1" applyFill="1" applyBorder="1" applyAlignment="1" applyProtection="1">
      <alignment horizontal="centerContinuous"/>
    </xf>
    <xf numFmtId="0" fontId="9" fillId="2" borderId="4" xfId="0" applyFont="1" applyFill="1" applyBorder="1" applyAlignment="1" applyProtection="1">
      <alignment horizontal="centerContinuous"/>
    </xf>
    <xf numFmtId="0" fontId="9" fillId="2" borderId="4" xfId="0" applyFont="1" applyFill="1" applyBorder="1" applyProtection="1"/>
    <xf numFmtId="0" fontId="9" fillId="2" borderId="6" xfId="0" applyFont="1" applyFill="1" applyBorder="1" applyProtection="1"/>
    <xf numFmtId="0" fontId="9" fillId="2" borderId="1" xfId="0" applyFont="1" applyFill="1" applyBorder="1" applyAlignment="1" applyProtection="1">
      <alignment horizontal="centerContinuous"/>
    </xf>
    <xf numFmtId="0" fontId="11" fillId="2" borderId="1" xfId="0" applyFont="1" applyFill="1" applyBorder="1" applyAlignment="1" applyProtection="1">
      <alignment horizontal="centerContinuous"/>
    </xf>
    <xf numFmtId="0" fontId="9" fillId="2" borderId="8" xfId="0" applyFont="1" applyFill="1" applyBorder="1" applyAlignment="1" applyProtection="1">
      <alignment horizontal="centerContinuous"/>
    </xf>
    <xf numFmtId="0" fontId="9" fillId="2" borderId="9" xfId="0" applyFont="1" applyFill="1" applyBorder="1" applyAlignment="1" applyProtection="1">
      <alignment horizontal="center"/>
    </xf>
    <xf numFmtId="0" fontId="9" fillId="2" borderId="10" xfId="0" applyFont="1" applyFill="1" applyBorder="1" applyAlignment="1" applyProtection="1">
      <alignment horizontal="center"/>
    </xf>
    <xf numFmtId="0" fontId="11" fillId="2" borderId="4" xfId="0" applyFont="1" applyFill="1" applyBorder="1" applyProtection="1"/>
    <xf numFmtId="0" fontId="9" fillId="2" borderId="2" xfId="0" applyFont="1" applyFill="1" applyBorder="1" applyAlignment="1" applyProtection="1">
      <alignment horizontal="centerContinuous"/>
    </xf>
    <xf numFmtId="0" fontId="9" fillId="2" borderId="2" xfId="0" applyFont="1" applyFill="1" applyBorder="1" applyAlignment="1" applyProtection="1">
      <alignment horizontal="center"/>
    </xf>
    <xf numFmtId="0" fontId="11" fillId="2" borderId="2" xfId="0" applyFont="1" applyFill="1" applyBorder="1" applyAlignment="1" applyProtection="1">
      <alignment horizontal="centerContinuous"/>
    </xf>
    <xf numFmtId="0" fontId="9" fillId="2" borderId="4" xfId="0" applyFont="1" applyFill="1" applyBorder="1" applyAlignment="1" applyProtection="1">
      <alignment horizontal="left"/>
    </xf>
    <xf numFmtId="0" fontId="9" fillId="2" borderId="4" xfId="0" applyFont="1" applyFill="1" applyBorder="1" applyAlignment="1" applyProtection="1">
      <alignment horizontal="center"/>
    </xf>
    <xf numFmtId="0" fontId="9" fillId="2" borderId="7" xfId="0" applyFont="1" applyFill="1" applyBorder="1" applyProtection="1"/>
    <xf numFmtId="0" fontId="9" fillId="2" borderId="7" xfId="0" applyFont="1" applyFill="1" applyBorder="1" applyAlignment="1" applyProtection="1">
      <alignment horizontal="centerContinuous"/>
    </xf>
    <xf numFmtId="0" fontId="9" fillId="2" borderId="3" xfId="0" applyFont="1" applyFill="1" applyBorder="1" applyAlignment="1" applyProtection="1">
      <alignment horizontal="center"/>
    </xf>
    <xf numFmtId="0" fontId="9" fillId="2" borderId="5" xfId="0" applyFont="1" applyFill="1" applyBorder="1" applyAlignment="1" applyProtection="1">
      <alignment horizontal="center"/>
    </xf>
    <xf numFmtId="0" fontId="9" fillId="2" borderId="0" xfId="0" applyFont="1" applyFill="1" applyAlignment="1" applyProtection="1">
      <alignment horizontal="center"/>
    </xf>
    <xf numFmtId="0" fontId="11" fillId="2" borderId="5" xfId="0" applyFont="1" applyFill="1" applyBorder="1" applyProtection="1"/>
    <xf numFmtId="0" fontId="9" fillId="2" borderId="6" xfId="0" applyFont="1" applyFill="1" applyBorder="1" applyAlignment="1" applyProtection="1">
      <alignment horizontal="center"/>
    </xf>
    <xf numFmtId="0" fontId="9" fillId="2" borderId="7" xfId="0" applyFont="1" applyFill="1" applyBorder="1" applyAlignment="1" applyProtection="1">
      <alignment horizontal="center"/>
    </xf>
    <xf numFmtId="0" fontId="11" fillId="2" borderId="7" xfId="0" applyFont="1" applyFill="1" applyBorder="1" applyProtection="1"/>
    <xf numFmtId="0" fontId="9" fillId="2" borderId="5" xfId="0" applyFont="1" applyFill="1" applyBorder="1" applyProtection="1"/>
    <xf numFmtId="0" fontId="3" fillId="0" borderId="0" xfId="0" applyFont="1" applyFill="1" applyAlignment="1" applyProtection="1">
      <alignment horizontal="centerContinuous"/>
    </xf>
    <xf numFmtId="0" fontId="0" fillId="0" borderId="0" xfId="0" applyFill="1" applyAlignment="1" applyProtection="1">
      <alignment horizontal="centerContinuous"/>
    </xf>
    <xf numFmtId="0" fontId="4" fillId="0" borderId="0" xfId="0" applyFont="1" applyFill="1" applyAlignment="1" applyProtection="1">
      <alignment horizontal="centerContinuous"/>
    </xf>
    <xf numFmtId="0" fontId="5" fillId="0" borderId="0" xfId="0" applyFont="1" applyFill="1" applyAlignment="1" applyProtection="1">
      <alignment horizontal="centerContinuous"/>
    </xf>
    <xf numFmtId="0" fontId="7" fillId="0" borderId="0" xfId="0" applyFont="1" applyFill="1" applyProtection="1"/>
    <xf numFmtId="0" fontId="8" fillId="0" borderId="0" xfId="0" applyFont="1" applyFill="1" applyProtection="1"/>
    <xf numFmtId="0" fontId="6" fillId="2" borderId="9" xfId="0" applyFont="1" applyFill="1" applyBorder="1" applyProtection="1"/>
    <xf numFmtId="0" fontId="0" fillId="2" borderId="9" xfId="0" applyFill="1" applyBorder="1" applyProtection="1"/>
    <xf numFmtId="0" fontId="6" fillId="2" borderId="6" xfId="0" applyFont="1" applyFill="1" applyBorder="1" applyProtection="1"/>
    <xf numFmtId="0" fontId="9" fillId="2" borderId="11" xfId="0" applyFont="1" applyFill="1" applyBorder="1" applyProtection="1"/>
    <xf numFmtId="0" fontId="0" fillId="2" borderId="12" xfId="0" applyFill="1" applyBorder="1" applyProtection="1"/>
    <xf numFmtId="0" fontId="9" fillId="2" borderId="0" xfId="0" applyFont="1" applyFill="1" applyBorder="1" applyAlignment="1" applyProtection="1">
      <alignment horizontal="right"/>
    </xf>
    <xf numFmtId="0" fontId="9" fillId="2" borderId="4" xfId="0" applyFont="1" applyFill="1" applyBorder="1" applyAlignment="1" applyProtection="1">
      <alignment horizontal="right"/>
    </xf>
    <xf numFmtId="0" fontId="11" fillId="2" borderId="6" xfId="0" applyFont="1" applyFill="1" applyBorder="1" applyProtection="1"/>
    <xf numFmtId="0" fontId="11" fillId="2" borderId="9" xfId="0" applyFont="1" applyFill="1" applyBorder="1" applyProtection="1"/>
    <xf numFmtId="0" fontId="9" fillId="2" borderId="9" xfId="0" applyFont="1" applyFill="1" applyBorder="1" applyProtection="1"/>
    <xf numFmtId="4" fontId="9" fillId="2" borderId="10" xfId="0" applyNumberFormat="1" applyFont="1" applyFill="1" applyBorder="1" applyAlignment="1" applyProtection="1">
      <alignment horizontal="right"/>
    </xf>
    <xf numFmtId="0" fontId="9" fillId="0" borderId="0" xfId="0" applyFont="1" applyAlignment="1" applyProtection="1">
      <alignment horizontal="right"/>
    </xf>
    <xf numFmtId="4" fontId="9" fillId="2" borderId="3" xfId="0" applyNumberFormat="1" applyFont="1" applyFill="1" applyBorder="1" applyProtection="1"/>
    <xf numFmtId="4" fontId="9" fillId="2" borderId="5" xfId="0" applyNumberFormat="1" applyFont="1" applyFill="1" applyBorder="1" applyProtection="1"/>
    <xf numFmtId="4" fontId="9" fillId="2" borderId="0" xfId="0" applyNumberFormat="1" applyFont="1" applyFill="1" applyProtection="1"/>
    <xf numFmtId="4" fontId="9" fillId="2" borderId="7" xfId="0" applyNumberFormat="1" applyFont="1" applyFill="1" applyBorder="1" applyProtection="1"/>
    <xf numFmtId="4" fontId="9" fillId="2" borderId="9" xfId="0" applyNumberFormat="1" applyFont="1" applyFill="1" applyBorder="1" applyProtection="1"/>
    <xf numFmtId="4" fontId="9" fillId="2" borderId="2" xfId="0" applyNumberFormat="1" applyFont="1" applyFill="1" applyBorder="1" applyProtection="1"/>
    <xf numFmtId="4" fontId="9" fillId="2" borderId="6" xfId="0" applyNumberFormat="1" applyFont="1" applyFill="1" applyBorder="1" applyProtection="1"/>
    <xf numFmtId="4" fontId="9" fillId="2" borderId="10" xfId="0" applyNumberFormat="1" applyFont="1" applyFill="1" applyBorder="1" applyProtection="1"/>
    <xf numFmtId="0" fontId="11" fillId="2" borderId="10" xfId="0" applyFont="1" applyFill="1" applyBorder="1" applyProtection="1"/>
    <xf numFmtId="0" fontId="0" fillId="0" borderId="0" xfId="0" applyBorder="1" applyAlignment="1" applyProtection="1">
      <alignment horizontal="centerContinuous"/>
    </xf>
    <xf numFmtId="16" fontId="6" fillId="2" borderId="9" xfId="0" applyNumberFormat="1" applyFont="1" applyFill="1" applyBorder="1" applyProtection="1"/>
    <xf numFmtId="0" fontId="6" fillId="0" borderId="13" xfId="0" applyFont="1" applyBorder="1" applyProtection="1"/>
    <xf numFmtId="4" fontId="6" fillId="0" borderId="13" xfId="0" applyNumberFormat="1" applyFont="1" applyBorder="1" applyProtection="1"/>
    <xf numFmtId="0" fontId="6" fillId="0" borderId="14" xfId="0" applyFont="1" applyBorder="1" applyProtection="1"/>
    <xf numFmtId="0" fontId="6" fillId="0" borderId="13" xfId="0" applyFont="1" applyFill="1" applyBorder="1" applyProtection="1"/>
    <xf numFmtId="0" fontId="6" fillId="0" borderId="14" xfId="0" applyFont="1" applyFill="1" applyBorder="1" applyProtection="1"/>
    <xf numFmtId="0" fontId="0" fillId="2" borderId="14" xfId="0" applyFill="1" applyBorder="1" applyProtection="1"/>
    <xf numFmtId="4" fontId="9" fillId="2" borderId="15" xfId="0" applyNumberFormat="1" applyFont="1" applyFill="1" applyBorder="1" applyProtection="1"/>
    <xf numFmtId="0" fontId="6" fillId="2" borderId="14" xfId="0" applyFont="1" applyFill="1" applyBorder="1" applyProtection="1"/>
    <xf numFmtId="0" fontId="11" fillId="2" borderId="16" xfId="0" applyFont="1" applyFill="1" applyBorder="1" applyAlignment="1" applyProtection="1">
      <alignment horizontal="center"/>
    </xf>
    <xf numFmtId="0" fontId="9" fillId="2" borderId="17" xfId="0" applyFont="1" applyFill="1" applyBorder="1" applyAlignment="1" applyProtection="1">
      <alignment horizontal="center"/>
    </xf>
    <xf numFmtId="0" fontId="9" fillId="2" borderId="18" xfId="0" applyFont="1" applyFill="1" applyBorder="1" applyAlignment="1" applyProtection="1">
      <alignment horizontal="center"/>
    </xf>
    <xf numFmtId="0" fontId="9" fillId="2" borderId="16" xfId="0" applyFont="1" applyFill="1" applyBorder="1" applyAlignment="1" applyProtection="1">
      <alignment horizontal="center"/>
    </xf>
    <xf numFmtId="0" fontId="9" fillId="2" borderId="19" xfId="0" applyFont="1" applyFill="1" applyBorder="1" applyAlignment="1" applyProtection="1">
      <alignment horizontal="centerContinuous"/>
    </xf>
    <xf numFmtId="0" fontId="9" fillId="2" borderId="20" xfId="0" applyFont="1" applyFill="1" applyBorder="1" applyAlignment="1" applyProtection="1">
      <alignment horizontal="centerContinuous"/>
    </xf>
    <xf numFmtId="0" fontId="9" fillId="2" borderId="13" xfId="0" applyFont="1" applyFill="1" applyBorder="1" applyAlignment="1" applyProtection="1">
      <alignment horizontal="center"/>
    </xf>
    <xf numFmtId="0" fontId="9" fillId="2" borderId="21" xfId="0" applyFont="1" applyFill="1" applyBorder="1" applyProtection="1"/>
    <xf numFmtId="4" fontId="9" fillId="2" borderId="21" xfId="0" applyNumberFormat="1" applyFont="1" applyFill="1" applyBorder="1" applyProtection="1"/>
    <xf numFmtId="4" fontId="9" fillId="2" borderId="22" xfId="0" applyNumberFormat="1" applyFont="1" applyFill="1" applyBorder="1" applyProtection="1"/>
    <xf numFmtId="0" fontId="6" fillId="2" borderId="23" xfId="0" applyFont="1" applyFill="1" applyBorder="1" applyProtection="1"/>
    <xf numFmtId="0" fontId="9" fillId="2" borderId="14" xfId="0" applyFont="1" applyFill="1" applyBorder="1" applyAlignment="1" applyProtection="1">
      <alignment horizontal="center"/>
    </xf>
    <xf numFmtId="4" fontId="6" fillId="0" borderId="14" xfId="0" applyNumberFormat="1" applyFont="1" applyBorder="1" applyProtection="1"/>
    <xf numFmtId="4" fontId="0" fillId="0" borderId="14" xfId="0" applyNumberFormat="1" applyBorder="1" applyProtection="1"/>
    <xf numFmtId="4" fontId="9" fillId="2" borderId="14" xfId="0" applyNumberFormat="1" applyFont="1" applyFill="1" applyBorder="1" applyProtection="1"/>
    <xf numFmtId="0" fontId="9" fillId="2" borderId="23" xfId="0" applyFont="1" applyFill="1" applyBorder="1" applyAlignment="1" applyProtection="1">
      <alignment horizontal="center"/>
    </xf>
    <xf numFmtId="4" fontId="6" fillId="2" borderId="23" xfId="0" applyNumberFormat="1" applyFont="1" applyFill="1" applyBorder="1" applyProtection="1"/>
    <xf numFmtId="0" fontId="11" fillId="2" borderId="20" xfId="0" applyFont="1" applyFill="1" applyBorder="1" applyProtection="1"/>
    <xf numFmtId="0" fontId="11" fillId="2" borderId="19" xfId="0" applyFont="1" applyFill="1" applyBorder="1" applyProtection="1"/>
    <xf numFmtId="0" fontId="11" fillId="2" borderId="19" xfId="0" applyFont="1" applyFill="1" applyBorder="1" applyAlignment="1" applyProtection="1">
      <alignment horizontal="centerContinuous"/>
    </xf>
    <xf numFmtId="0" fontId="9" fillId="2" borderId="15" xfId="0" applyFont="1" applyFill="1" applyBorder="1" applyProtection="1"/>
    <xf numFmtId="0" fontId="9" fillId="2" borderId="22" xfId="0" applyFont="1" applyFill="1" applyBorder="1" applyProtection="1"/>
    <xf numFmtId="0" fontId="9" fillId="2" borderId="24" xfId="0" applyFont="1" applyFill="1" applyBorder="1" applyProtection="1"/>
    <xf numFmtId="0" fontId="6" fillId="2" borderId="20" xfId="0" applyFont="1" applyFill="1" applyBorder="1" applyProtection="1"/>
    <xf numFmtId="0" fontId="6" fillId="2" borderId="19" xfId="0" applyFont="1" applyFill="1" applyBorder="1" applyProtection="1"/>
    <xf numFmtId="0" fontId="0" fillId="2" borderId="19" xfId="0" applyFill="1" applyBorder="1" applyProtection="1"/>
    <xf numFmtId="0" fontId="6" fillId="2" borderId="20" xfId="0" applyFont="1" applyFill="1" applyBorder="1" applyAlignment="1" applyProtection="1">
      <alignment horizontal="center"/>
    </xf>
    <xf numFmtId="0" fontId="6" fillId="2" borderId="19" xfId="0" applyFont="1" applyFill="1" applyBorder="1" applyAlignment="1" applyProtection="1">
      <alignment horizontal="center"/>
    </xf>
    <xf numFmtId="0" fontId="0" fillId="2" borderId="13" xfId="0" applyFill="1" applyBorder="1" applyProtection="1"/>
    <xf numFmtId="0" fontId="0" fillId="2" borderId="21" xfId="0" applyFill="1" applyBorder="1" applyProtection="1"/>
    <xf numFmtId="0" fontId="6" fillId="2" borderId="21" xfId="0" applyFont="1" applyFill="1" applyBorder="1" applyProtection="1"/>
    <xf numFmtId="0" fontId="6" fillId="2" borderId="15" xfId="0" applyFont="1" applyFill="1" applyBorder="1" applyProtection="1"/>
    <xf numFmtId="0" fontId="0" fillId="2" borderId="15" xfId="0" applyFill="1" applyBorder="1" applyProtection="1"/>
    <xf numFmtId="0" fontId="0" fillId="2" borderId="24" xfId="0" applyFill="1" applyBorder="1" applyProtection="1"/>
    <xf numFmtId="0" fontId="0" fillId="2" borderId="22" xfId="0" applyFill="1" applyBorder="1" applyProtection="1"/>
    <xf numFmtId="0" fontId="0" fillId="2" borderId="23" xfId="0" applyFill="1" applyBorder="1" applyProtection="1"/>
    <xf numFmtId="0" fontId="6" fillId="0" borderId="25" xfId="0" applyFont="1" applyBorder="1" applyProtection="1"/>
    <xf numFmtId="0" fontId="9" fillId="2" borderId="26" xfId="0" applyFont="1" applyFill="1" applyBorder="1" applyAlignment="1" applyProtection="1">
      <alignment horizontal="center"/>
    </xf>
    <xf numFmtId="4" fontId="9" fillId="2" borderId="24" xfId="0" applyNumberFormat="1" applyFont="1" applyFill="1" applyBorder="1" applyProtection="1"/>
    <xf numFmtId="16" fontId="6" fillId="3" borderId="10" xfId="0" applyNumberFormat="1" applyFont="1" applyFill="1" applyBorder="1" applyAlignment="1" applyProtection="1">
      <alignment horizontal="center"/>
    </xf>
    <xf numFmtId="0" fontId="9" fillId="2" borderId="1" xfId="0" applyFont="1" applyFill="1" applyBorder="1" applyAlignment="1" applyProtection="1">
      <alignment horizontal="left"/>
    </xf>
    <xf numFmtId="0" fontId="9" fillId="2" borderId="1" xfId="0" applyFont="1" applyFill="1" applyBorder="1" applyAlignment="1" applyProtection="1">
      <alignment horizontal="center"/>
    </xf>
    <xf numFmtId="0" fontId="11" fillId="2" borderId="2" xfId="0" applyFont="1" applyFill="1" applyBorder="1" applyAlignment="1" applyProtection="1">
      <alignment horizontal="center"/>
    </xf>
    <xf numFmtId="0" fontId="11" fillId="3" borderId="2" xfId="0" applyFont="1" applyFill="1" applyBorder="1" applyAlignment="1" applyProtection="1">
      <alignment horizontal="center"/>
    </xf>
    <xf numFmtId="4" fontId="9" fillId="2" borderId="1" xfId="0" applyNumberFormat="1" applyFont="1" applyFill="1" applyBorder="1" applyAlignment="1" applyProtection="1">
      <alignment horizontal="right"/>
    </xf>
    <xf numFmtId="4" fontId="9" fillId="2" borderId="2" xfId="0" applyNumberFormat="1" applyFont="1" applyFill="1" applyBorder="1" applyAlignment="1" applyProtection="1">
      <alignment horizontal="centerContinuous"/>
    </xf>
    <xf numFmtId="0" fontId="6" fillId="3" borderId="10" xfId="0" applyFont="1" applyFill="1" applyBorder="1" applyAlignment="1" applyProtection="1">
      <alignment horizontal="center"/>
    </xf>
    <xf numFmtId="0" fontId="11" fillId="2" borderId="16" xfId="0" applyFont="1" applyFill="1" applyBorder="1" applyProtection="1"/>
    <xf numFmtId="0" fontId="11" fillId="2" borderId="13" xfId="0" applyFont="1" applyFill="1" applyBorder="1" applyAlignment="1" applyProtection="1">
      <alignment horizontal="centerContinuous"/>
    </xf>
    <xf numFmtId="0" fontId="9" fillId="2" borderId="24" xfId="0" applyFont="1" applyFill="1" applyBorder="1" applyAlignment="1" applyProtection="1">
      <alignment horizontal="left"/>
    </xf>
    <xf numFmtId="0" fontId="11" fillId="2" borderId="23" xfId="0" applyFont="1" applyFill="1" applyBorder="1" applyAlignment="1" applyProtection="1">
      <alignment horizontal="center"/>
    </xf>
    <xf numFmtId="0" fontId="9" fillId="2" borderId="24" xfId="0" applyFont="1" applyFill="1" applyBorder="1" applyAlignment="1" applyProtection="1">
      <alignment horizontal="center"/>
    </xf>
    <xf numFmtId="0" fontId="9" fillId="2" borderId="23" xfId="0" applyFont="1" applyFill="1" applyBorder="1" applyProtection="1"/>
    <xf numFmtId="0" fontId="9" fillId="2" borderId="23" xfId="0" applyFont="1" applyFill="1" applyBorder="1" applyAlignment="1" applyProtection="1">
      <alignment horizontal="centerContinuous"/>
    </xf>
    <xf numFmtId="0" fontId="6" fillId="2" borderId="18" xfId="0" applyFont="1" applyFill="1" applyBorder="1" applyAlignment="1" applyProtection="1">
      <alignment horizontal="center"/>
    </xf>
    <xf numFmtId="0" fontId="9" fillId="2" borderId="24" xfId="0" applyFont="1" applyFill="1" applyBorder="1" applyAlignment="1" applyProtection="1">
      <alignment horizontal="centerContinuous"/>
    </xf>
    <xf numFmtId="0" fontId="9" fillId="2" borderId="22" xfId="0" applyFont="1" applyFill="1" applyBorder="1" applyAlignment="1" applyProtection="1"/>
    <xf numFmtId="0" fontId="9" fillId="2" borderId="23" xfId="0" applyFont="1" applyFill="1" applyBorder="1" applyAlignment="1" applyProtection="1"/>
    <xf numFmtId="4" fontId="0" fillId="0" borderId="13" xfId="0" applyNumberFormat="1" applyBorder="1" applyProtection="1"/>
    <xf numFmtId="165" fontId="6" fillId="0" borderId="27" xfId="0" applyNumberFormat="1" applyFont="1" applyBorder="1" applyAlignment="1" applyProtection="1">
      <alignment horizontal="center"/>
      <protection locked="0"/>
    </xf>
    <xf numFmtId="4" fontId="6" fillId="0" borderId="20" xfId="0" applyNumberFormat="1" applyFont="1" applyBorder="1" applyProtection="1">
      <protection locked="0"/>
    </xf>
    <xf numFmtId="4" fontId="6" fillId="0" borderId="28" xfId="0" applyNumberFormat="1" applyFont="1" applyBorder="1" applyProtection="1">
      <protection locked="0"/>
    </xf>
    <xf numFmtId="4" fontId="6" fillId="0" borderId="29" xfId="0" applyNumberFormat="1" applyFont="1" applyBorder="1" applyProtection="1">
      <protection locked="0"/>
    </xf>
    <xf numFmtId="4" fontId="6" fillId="0" borderId="15" xfId="0" applyNumberFormat="1" applyFont="1" applyBorder="1" applyProtection="1">
      <protection locked="0"/>
    </xf>
    <xf numFmtId="4" fontId="6" fillId="0" borderId="21" xfId="0" applyNumberFormat="1" applyFont="1" applyBorder="1" applyProtection="1">
      <protection locked="0"/>
    </xf>
    <xf numFmtId="4" fontId="6" fillId="0" borderId="17" xfId="0" applyNumberFormat="1" applyFont="1" applyBorder="1" applyProtection="1">
      <protection locked="0"/>
    </xf>
    <xf numFmtId="4" fontId="6" fillId="0" borderId="24" xfId="0" applyNumberFormat="1" applyFont="1" applyBorder="1" applyProtection="1">
      <protection locked="0"/>
    </xf>
    <xf numFmtId="4" fontId="6" fillId="0" borderId="18" xfId="0" applyNumberFormat="1" applyFont="1" applyBorder="1" applyProtection="1">
      <protection locked="0"/>
    </xf>
    <xf numFmtId="165" fontId="6" fillId="0" borderId="10" xfId="0" applyNumberFormat="1" applyFont="1" applyBorder="1" applyAlignment="1" applyProtection="1">
      <alignment horizontal="center"/>
      <protection locked="0"/>
    </xf>
    <xf numFmtId="4" fontId="6" fillId="0" borderId="19" xfId="0" applyNumberFormat="1" applyFont="1" applyBorder="1" applyProtection="1">
      <protection locked="0"/>
    </xf>
    <xf numFmtId="4" fontId="0" fillId="0" borderId="19" xfId="0" applyNumberFormat="1" applyBorder="1" applyProtection="1">
      <protection locked="0"/>
    </xf>
    <xf numFmtId="4" fontId="6" fillId="0" borderId="16" xfId="0" applyNumberFormat="1" applyFont="1" applyBorder="1" applyProtection="1">
      <protection locked="0"/>
    </xf>
    <xf numFmtId="4" fontId="6" fillId="0" borderId="13" xfId="0" applyNumberFormat="1" applyFont="1" applyBorder="1" applyProtection="1">
      <protection locked="0"/>
    </xf>
    <xf numFmtId="4" fontId="6" fillId="0" borderId="14" xfId="0" applyNumberFormat="1" applyFont="1" applyBorder="1" applyProtection="1">
      <protection locked="0"/>
    </xf>
    <xf numFmtId="4" fontId="0" fillId="0" borderId="17" xfId="0" applyNumberFormat="1" applyBorder="1" applyProtection="1">
      <protection locked="0"/>
    </xf>
    <xf numFmtId="4" fontId="6" fillId="0" borderId="23" xfId="0" applyNumberFormat="1" applyFont="1" applyBorder="1" applyProtection="1">
      <protection locked="0"/>
    </xf>
    <xf numFmtId="0" fontId="6" fillId="2" borderId="30" xfId="0" applyFont="1" applyFill="1" applyBorder="1" applyProtection="1"/>
    <xf numFmtId="0" fontId="0" fillId="2" borderId="11" xfId="0" applyFill="1" applyBorder="1" applyProtection="1"/>
    <xf numFmtId="164" fontId="0" fillId="2" borderId="5" xfId="0" applyNumberFormat="1" applyFill="1" applyBorder="1" applyProtection="1"/>
    <xf numFmtId="0" fontId="6" fillId="0" borderId="9" xfId="0" applyFont="1" applyBorder="1" applyProtection="1"/>
    <xf numFmtId="4" fontId="6" fillId="0" borderId="26" xfId="0" applyNumberFormat="1" applyFont="1" applyFill="1" applyBorder="1" applyProtection="1">
      <protection locked="0"/>
    </xf>
    <xf numFmtId="2" fontId="9" fillId="2" borderId="27" xfId="0" applyNumberFormat="1" applyFont="1" applyFill="1" applyBorder="1" applyProtection="1"/>
    <xf numFmtId="4" fontId="6" fillId="0" borderId="24" xfId="0" applyNumberFormat="1" applyFont="1" applyFill="1" applyBorder="1" applyProtection="1">
      <protection locked="0"/>
    </xf>
    <xf numFmtId="4" fontId="6" fillId="0" borderId="18" xfId="0" applyNumberFormat="1" applyFont="1" applyFill="1" applyBorder="1" applyProtection="1">
      <protection locked="0"/>
    </xf>
    <xf numFmtId="4" fontId="9" fillId="2" borderId="31" xfId="0" applyNumberFormat="1" applyFont="1" applyFill="1" applyBorder="1" applyProtection="1"/>
    <xf numFmtId="0" fontId="13" fillId="4" borderId="32" xfId="0" applyFont="1" applyFill="1" applyBorder="1"/>
    <xf numFmtId="0" fontId="8" fillId="4" borderId="33" xfId="0" applyFont="1" applyFill="1" applyBorder="1"/>
    <xf numFmtId="0" fontId="14" fillId="4" borderId="34" xfId="0" applyFont="1" applyFill="1" applyBorder="1"/>
    <xf numFmtId="0" fontId="13" fillId="5" borderId="35" xfId="0" applyFont="1" applyFill="1" applyBorder="1"/>
    <xf numFmtId="0" fontId="13" fillId="6" borderId="0" xfId="0" applyFont="1" applyFill="1" applyBorder="1"/>
    <xf numFmtId="0" fontId="15" fillId="5" borderId="36" xfId="0" applyFont="1" applyFill="1" applyBorder="1"/>
    <xf numFmtId="0" fontId="13" fillId="5" borderId="37" xfId="0" applyFont="1" applyFill="1" applyBorder="1"/>
    <xf numFmtId="0" fontId="15" fillId="5" borderId="38" xfId="0" applyFont="1" applyFill="1" applyBorder="1"/>
    <xf numFmtId="4" fontId="9" fillId="2" borderId="0" xfId="0" applyNumberFormat="1" applyFont="1" applyFill="1" applyBorder="1" applyProtection="1"/>
    <xf numFmtId="4" fontId="6" fillId="0" borderId="0" xfId="0" applyNumberFormat="1" applyFont="1" applyFill="1" applyBorder="1" applyProtection="1">
      <protection locked="0"/>
    </xf>
    <xf numFmtId="4" fontId="6" fillId="0" borderId="9" xfId="0" applyNumberFormat="1" applyFont="1" applyFill="1" applyBorder="1" applyProtection="1">
      <protection locked="0"/>
    </xf>
    <xf numFmtId="4" fontId="6" fillId="2" borderId="5" xfId="0" applyNumberFormat="1" applyFont="1" applyFill="1" applyBorder="1" applyProtection="1"/>
    <xf numFmtId="4" fontId="6" fillId="0" borderId="5" xfId="0" applyNumberFormat="1" applyFont="1" applyBorder="1" applyProtection="1">
      <protection locked="0"/>
    </xf>
    <xf numFmtId="0" fontId="12" fillId="2" borderId="6" xfId="0" applyFont="1" applyFill="1" applyBorder="1" applyProtection="1"/>
    <xf numFmtId="0" fontId="12" fillId="2" borderId="4" xfId="0" applyFont="1" applyFill="1" applyBorder="1" applyProtection="1"/>
    <xf numFmtId="0" fontId="12" fillId="2" borderId="7" xfId="0" applyFont="1" applyFill="1" applyBorder="1" applyProtection="1"/>
    <xf numFmtId="166" fontId="10" fillId="0" borderId="4" xfId="0" applyNumberFormat="1" applyFont="1" applyBorder="1" applyAlignment="1" applyProtection="1">
      <alignment horizontal="right"/>
      <protection locked="0"/>
    </xf>
    <xf numFmtId="0" fontId="9" fillId="2" borderId="4" xfId="0" applyFont="1" applyFill="1" applyBorder="1" applyAlignment="1" applyProtection="1"/>
    <xf numFmtId="4" fontId="6" fillId="2" borderId="4" xfId="0" applyNumberFormat="1" applyFont="1" applyFill="1" applyBorder="1" applyProtection="1"/>
    <xf numFmtId="0" fontId="6" fillId="2" borderId="7" xfId="0" applyFont="1" applyFill="1" applyBorder="1" applyProtection="1"/>
    <xf numFmtId="4" fontId="6" fillId="2" borderId="6" xfId="0" applyNumberFormat="1" applyFont="1" applyFill="1" applyBorder="1" applyProtection="1"/>
    <xf numFmtId="0" fontId="12" fillId="2" borderId="20" xfId="0" applyFont="1" applyFill="1" applyBorder="1" applyProtection="1"/>
    <xf numFmtId="0" fontId="12" fillId="2" borderId="21" xfId="0" applyFont="1" applyFill="1" applyBorder="1" applyProtection="1"/>
    <xf numFmtId="0" fontId="12" fillId="2" borderId="14" xfId="0" applyFont="1" applyFill="1" applyBorder="1" applyProtection="1"/>
    <xf numFmtId="166" fontId="10" fillId="0" borderId="21" xfId="0" applyNumberFormat="1" applyFont="1" applyBorder="1" applyAlignment="1" applyProtection="1">
      <alignment horizontal="right"/>
      <protection locked="0"/>
    </xf>
    <xf numFmtId="0" fontId="9" fillId="2" borderId="21" xfId="0" applyFont="1" applyFill="1" applyBorder="1" applyAlignment="1" applyProtection="1"/>
    <xf numFmtId="4" fontId="6" fillId="2" borderId="21" xfId="0" applyNumberFormat="1" applyFont="1" applyFill="1" applyBorder="1" applyProtection="1"/>
    <xf numFmtId="4" fontId="6" fillId="2" borderId="15" xfId="0" applyNumberFormat="1" applyFont="1" applyFill="1" applyBorder="1" applyProtection="1"/>
    <xf numFmtId="0" fontId="9" fillId="0" borderId="0" xfId="0" applyFont="1" applyFill="1" applyBorder="1" applyAlignment="1" applyProtection="1">
      <alignment horizontal="center"/>
    </xf>
    <xf numFmtId="4" fontId="9" fillId="0" borderId="0" xfId="0" applyNumberFormat="1" applyFont="1" applyBorder="1" applyAlignment="1" applyProtection="1">
      <alignment horizontal="center"/>
      <protection locked="0"/>
    </xf>
    <xf numFmtId="4" fontId="9" fillId="2" borderId="31" xfId="0" applyNumberFormat="1" applyFont="1" applyFill="1" applyBorder="1" applyAlignment="1" applyProtection="1">
      <alignment horizontal="center"/>
      <protection locked="0"/>
    </xf>
    <xf numFmtId="4" fontId="9" fillId="2" borderId="3" xfId="0" applyNumberFormat="1" applyFont="1" applyFill="1" applyBorder="1" applyAlignment="1" applyProtection="1">
      <alignment horizontal="center"/>
    </xf>
    <xf numFmtId="4" fontId="9" fillId="2" borderId="9" xfId="0" applyNumberFormat="1" applyFont="1" applyFill="1" applyBorder="1" applyAlignment="1" applyProtection="1">
      <alignment horizontal="center"/>
      <protection locked="0"/>
    </xf>
    <xf numFmtId="0" fontId="9" fillId="2" borderId="27" xfId="0" applyFont="1" applyFill="1" applyBorder="1" applyAlignment="1" applyProtection="1">
      <alignment horizontal="center"/>
    </xf>
    <xf numFmtId="4" fontId="6" fillId="2" borderId="14" xfId="0" applyNumberFormat="1" applyFont="1" applyFill="1" applyBorder="1" applyProtection="1"/>
    <xf numFmtId="0" fontId="6" fillId="0" borderId="13" xfId="0" applyFont="1" applyFill="1" applyBorder="1" applyAlignment="1" applyProtection="1">
      <protection locked="0"/>
    </xf>
    <xf numFmtId="4" fontId="8" fillId="2" borderId="10" xfId="0" applyNumberFormat="1" applyFont="1" applyFill="1" applyBorder="1" applyProtection="1"/>
    <xf numFmtId="4" fontId="8" fillId="2" borderId="14" xfId="0" applyNumberFormat="1" applyFont="1" applyFill="1" applyBorder="1" applyProtection="1"/>
    <xf numFmtId="0" fontId="8" fillId="4" borderId="39" xfId="0" applyFont="1" applyFill="1" applyBorder="1"/>
    <xf numFmtId="0" fontId="13" fillId="6" borderId="40" xfId="0" applyFont="1" applyFill="1" applyBorder="1"/>
    <xf numFmtId="0" fontId="13" fillId="6" borderId="41" xfId="0" applyFont="1" applyFill="1" applyBorder="1"/>
    <xf numFmtId="0" fontId="16" fillId="0" borderId="4" xfId="0" applyFont="1" applyBorder="1" applyProtection="1"/>
    <xf numFmtId="0" fontId="6" fillId="0" borderId="0" xfId="0" applyFont="1" applyBorder="1" applyAlignment="1" applyProtection="1">
      <alignment horizontal="center"/>
    </xf>
    <xf numFmtId="0" fontId="6" fillId="0" borderId="16" xfId="0" applyFont="1" applyFill="1" applyBorder="1" applyAlignment="1" applyProtection="1">
      <alignment horizontal="center"/>
      <protection locked="0"/>
    </xf>
    <xf numFmtId="4" fontId="6" fillId="0" borderId="17" xfId="0" applyNumberFormat="1" applyFont="1" applyBorder="1" applyAlignment="1" applyProtection="1">
      <alignment horizontal="center"/>
      <protection locked="0"/>
    </xf>
    <xf numFmtId="4" fontId="6" fillId="0" borderId="18" xfId="0" applyNumberFormat="1" applyFont="1" applyFill="1" applyBorder="1" applyAlignment="1" applyProtection="1">
      <alignment horizontal="center"/>
      <protection locked="0"/>
    </xf>
    <xf numFmtId="4" fontId="6" fillId="0" borderId="9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Border="1" applyAlignment="1" applyProtection="1">
      <alignment horizontal="center"/>
      <protection locked="0"/>
    </xf>
    <xf numFmtId="4" fontId="6" fillId="0" borderId="18" xfId="0" applyNumberFormat="1" applyFont="1" applyBorder="1" applyAlignment="1" applyProtection="1">
      <alignment horizontal="center"/>
      <protection locked="0"/>
    </xf>
    <xf numFmtId="4" fontId="6" fillId="0" borderId="9" xfId="0" applyNumberFormat="1" applyFont="1" applyBorder="1" applyAlignment="1" applyProtection="1">
      <alignment horizontal="center"/>
      <protection locked="0"/>
    </xf>
    <xf numFmtId="0" fontId="9" fillId="2" borderId="10" xfId="0" applyFont="1" applyFill="1" applyBorder="1" applyProtection="1"/>
    <xf numFmtId="0" fontId="9" fillId="2" borderId="31" xfId="0" applyFont="1" applyFill="1" applyBorder="1" applyProtection="1"/>
    <xf numFmtId="4" fontId="9" fillId="2" borderId="8" xfId="0" applyNumberFormat="1" applyFont="1" applyFill="1" applyBorder="1" applyProtection="1"/>
    <xf numFmtId="0" fontId="6" fillId="2" borderId="2" xfId="0" applyFont="1" applyFill="1" applyBorder="1" applyProtection="1"/>
    <xf numFmtId="165" fontId="6" fillId="0" borderId="16" xfId="0" applyNumberFormat="1" applyFont="1" applyBorder="1" applyAlignment="1" applyProtection="1">
      <alignment horizontal="center"/>
      <protection locked="0"/>
    </xf>
    <xf numFmtId="165" fontId="6" fillId="0" borderId="17" xfId="0" applyNumberFormat="1" applyFont="1" applyBorder="1" applyAlignment="1" applyProtection="1">
      <alignment horizontal="center"/>
      <protection locked="0"/>
    </xf>
    <xf numFmtId="165" fontId="6" fillId="0" borderId="18" xfId="0" applyNumberFormat="1" applyFont="1" applyBorder="1" applyAlignment="1" applyProtection="1">
      <alignment horizontal="center"/>
      <protection locked="0"/>
    </xf>
    <xf numFmtId="4" fontId="6" fillId="0" borderId="22" xfId="0" applyNumberFormat="1" applyFont="1" applyBorder="1" applyProtection="1">
      <protection locked="0"/>
    </xf>
    <xf numFmtId="0" fontId="6" fillId="0" borderId="23" xfId="0" applyFont="1" applyFill="1" applyBorder="1" applyProtection="1"/>
    <xf numFmtId="0" fontId="6" fillId="0" borderId="23" xfId="0" applyFont="1" applyBorder="1" applyProtection="1"/>
    <xf numFmtId="169" fontId="9" fillId="2" borderId="0" xfId="0" applyNumberFormat="1" applyFont="1" applyFill="1" applyBorder="1" applyProtection="1"/>
    <xf numFmtId="169" fontId="9" fillId="2" borderId="4" xfId="0" applyNumberFormat="1" applyFont="1" applyFill="1" applyBorder="1" applyProtection="1"/>
    <xf numFmtId="0" fontId="0" fillId="0" borderId="0" xfId="0" applyFill="1" applyAlignment="1" applyProtection="1">
      <alignment horizontal="centerContinuous" wrapText="1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Border="1" applyAlignment="1"/>
    <xf numFmtId="0" fontId="8" fillId="2" borderId="0" xfId="0" applyFont="1" applyFill="1" applyBorder="1" applyAlignment="1" applyProtection="1">
      <alignment horizontal="center"/>
    </xf>
    <xf numFmtId="4" fontId="8" fillId="2" borderId="7" xfId="0" applyNumberFormat="1" applyFont="1" applyFill="1" applyBorder="1" applyProtection="1"/>
    <xf numFmtId="4" fontId="8" fillId="2" borderId="25" xfId="0" applyNumberFormat="1" applyFont="1" applyFill="1" applyBorder="1" applyProtection="1"/>
    <xf numFmtId="0" fontId="9" fillId="2" borderId="12" xfId="0" applyFont="1" applyFill="1" applyBorder="1" applyProtection="1"/>
    <xf numFmtId="0" fontId="6" fillId="2" borderId="12" xfId="0" applyFont="1" applyFill="1" applyBorder="1" applyProtection="1"/>
    <xf numFmtId="0" fontId="0" fillId="0" borderId="42" xfId="0" applyBorder="1"/>
    <xf numFmtId="0" fontId="0" fillId="0" borderId="35" xfId="0" applyBorder="1"/>
    <xf numFmtId="0" fontId="0" fillId="0" borderId="43" xfId="0" applyBorder="1"/>
    <xf numFmtId="0" fontId="0" fillId="0" borderId="41" xfId="0" applyBorder="1"/>
    <xf numFmtId="0" fontId="0" fillId="0" borderId="0" xfId="0" quotePrefix="1" applyBorder="1"/>
    <xf numFmtId="0" fontId="2" fillId="0" borderId="0" xfId="0" applyFont="1" applyProtection="1"/>
    <xf numFmtId="0" fontId="1" fillId="0" borderId="0" xfId="0" applyFont="1" applyAlignment="1" applyProtection="1">
      <alignment horizontal="right"/>
    </xf>
    <xf numFmtId="0" fontId="2" fillId="0" borderId="44" xfId="0" applyFont="1" applyBorder="1" applyProtection="1"/>
    <xf numFmtId="0" fontId="1" fillId="0" borderId="0" xfId="0" applyFont="1" applyProtection="1"/>
    <xf numFmtId="0" fontId="17" fillId="0" borderId="0" xfId="0" applyFont="1" applyProtection="1"/>
    <xf numFmtId="0" fontId="17" fillId="0" borderId="40" xfId="0" applyFont="1" applyBorder="1"/>
    <xf numFmtId="0" fontId="17" fillId="0" borderId="0" xfId="0" applyFont="1" applyBorder="1"/>
    <xf numFmtId="0" fontId="17" fillId="0" borderId="0" xfId="0" quotePrefix="1" applyFont="1" applyBorder="1"/>
    <xf numFmtId="0" fontId="17" fillId="0" borderId="0" xfId="0" applyFont="1" applyBorder="1" applyProtection="1"/>
    <xf numFmtId="0" fontId="0" fillId="0" borderId="0" xfId="0" applyFill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7" fillId="0" borderId="0" xfId="0" applyFont="1" applyBorder="1"/>
    <xf numFmtId="0" fontId="8" fillId="0" borderId="0" xfId="0" applyFont="1" applyBorder="1"/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8" fillId="0" borderId="0" xfId="0" applyFont="1" applyBorder="1"/>
    <xf numFmtId="0" fontId="6" fillId="0" borderId="0" xfId="0" applyFont="1" applyBorder="1" applyAlignment="1">
      <alignment horizontal="left"/>
    </xf>
    <xf numFmtId="0" fontId="9" fillId="0" borderId="0" xfId="0" applyFont="1" applyBorder="1"/>
    <xf numFmtId="49" fontId="3" fillId="0" borderId="0" xfId="0" applyNumberFormat="1" applyFont="1" applyBorder="1" applyAlignment="1"/>
    <xf numFmtId="49" fontId="0" fillId="0" borderId="45" xfId="0" applyNumberFormat="1" applyBorder="1" applyAlignment="1"/>
    <xf numFmtId="49" fontId="0" fillId="0" borderId="36" xfId="0" applyNumberFormat="1" applyBorder="1" applyAlignment="1"/>
    <xf numFmtId="49" fontId="0" fillId="0" borderId="36" xfId="0" applyNumberFormat="1" applyFill="1" applyBorder="1" applyAlignment="1"/>
    <xf numFmtId="49" fontId="0" fillId="0" borderId="46" xfId="0" applyNumberFormat="1" applyBorder="1" applyAlignment="1"/>
    <xf numFmtId="49" fontId="6" fillId="0" borderId="0" xfId="0" applyNumberFormat="1" applyFont="1" applyBorder="1" applyAlignment="1"/>
    <xf numFmtId="49" fontId="0" fillId="0" borderId="0" xfId="0" applyNumberFormat="1" applyBorder="1" applyAlignment="1"/>
    <xf numFmtId="0" fontId="17" fillId="0" borderId="0" xfId="0" applyFont="1" applyFill="1" applyBorder="1"/>
    <xf numFmtId="0" fontId="17" fillId="0" borderId="0" xfId="0" applyFont="1" applyFill="1" applyBorder="1" applyProtection="1"/>
    <xf numFmtId="0" fontId="9" fillId="0" borderId="0" xfId="0" applyFont="1" applyFill="1" applyBorder="1" applyProtection="1"/>
    <xf numFmtId="0" fontId="17" fillId="0" borderId="40" xfId="0" applyFont="1" applyFill="1" applyBorder="1" applyProtection="1"/>
    <xf numFmtId="0" fontId="2" fillId="0" borderId="0" xfId="0" applyFont="1" applyBorder="1" applyProtection="1"/>
    <xf numFmtId="0" fontId="1" fillId="0" borderId="0" xfId="0" applyFont="1" applyBorder="1" applyAlignment="1" applyProtection="1">
      <alignment horizontal="right"/>
    </xf>
    <xf numFmtId="0" fontId="1" fillId="0" borderId="0" xfId="0" applyFont="1" applyBorder="1" applyProtection="1"/>
    <xf numFmtId="0" fontId="0" fillId="0" borderId="0" xfId="0" applyFill="1" applyBorder="1"/>
    <xf numFmtId="0" fontId="2" fillId="0" borderId="0" xfId="0" applyFont="1"/>
    <xf numFmtId="0" fontId="2" fillId="0" borderId="0" xfId="0" quotePrefix="1" applyFont="1"/>
    <xf numFmtId="0" fontId="8" fillId="2" borderId="26" xfId="0" applyNumberFormat="1" applyFont="1" applyFill="1" applyBorder="1" applyAlignment="1" applyProtection="1">
      <alignment horizontal="center"/>
    </xf>
    <xf numFmtId="0" fontId="8" fillId="2" borderId="25" xfId="0" applyNumberFormat="1" applyFont="1" applyFill="1" applyBorder="1" applyProtection="1"/>
    <xf numFmtId="0" fontId="9" fillId="7" borderId="0" xfId="0" applyFont="1" applyFill="1" applyBorder="1" applyAlignment="1" applyProtection="1">
      <alignment horizontal="right"/>
    </xf>
    <xf numFmtId="169" fontId="9" fillId="7" borderId="0" xfId="0" applyNumberFormat="1" applyFont="1" applyFill="1" applyBorder="1" applyProtection="1"/>
    <xf numFmtId="0" fontId="9" fillId="7" borderId="47" xfId="0" applyFont="1" applyFill="1" applyBorder="1" applyAlignment="1" applyProtection="1">
      <alignment horizontal="right"/>
    </xf>
    <xf numFmtId="169" fontId="9" fillId="7" borderId="47" xfId="0" applyNumberFormat="1" applyFont="1" applyFill="1" applyBorder="1" applyProtection="1"/>
    <xf numFmtId="169" fontId="9" fillId="7" borderId="45" xfId="0" applyNumberFormat="1" applyFont="1" applyFill="1" applyBorder="1" applyProtection="1"/>
    <xf numFmtId="169" fontId="9" fillId="7" borderId="36" xfId="0" applyNumberFormat="1" applyFont="1" applyFill="1" applyBorder="1" applyProtection="1"/>
    <xf numFmtId="0" fontId="9" fillId="7" borderId="48" xfId="0" applyFont="1" applyFill="1" applyBorder="1" applyAlignment="1" applyProtection="1">
      <alignment horizontal="right"/>
    </xf>
    <xf numFmtId="169" fontId="9" fillId="7" borderId="48" xfId="0" applyNumberFormat="1" applyFont="1" applyFill="1" applyBorder="1" applyProtection="1"/>
    <xf numFmtId="169" fontId="9" fillId="7" borderId="46" xfId="0" applyNumberFormat="1" applyFont="1" applyFill="1" applyBorder="1" applyProtection="1"/>
    <xf numFmtId="0" fontId="8" fillId="2" borderId="29" xfId="0" applyNumberFormat="1" applyFont="1" applyFill="1" applyBorder="1" applyAlignment="1" applyProtection="1">
      <alignment horizontal="center"/>
    </xf>
    <xf numFmtId="4" fontId="8" fillId="2" borderId="17" xfId="0" applyNumberFormat="1" applyFont="1" applyFill="1" applyBorder="1" applyProtection="1"/>
    <xf numFmtId="4" fontId="8" fillId="2" borderId="0" xfId="0" applyNumberFormat="1" applyFont="1" applyFill="1" applyBorder="1" applyProtection="1"/>
    <xf numFmtId="0" fontId="0" fillId="0" borderId="40" xfId="0" applyBorder="1"/>
    <xf numFmtId="0" fontId="17" fillId="0" borderId="49" xfId="0" applyFont="1" applyBorder="1" applyProtection="1"/>
    <xf numFmtId="0" fontId="2" fillId="0" borderId="15" xfId="0" applyFont="1" applyFill="1" applyBorder="1" applyProtection="1">
      <protection locked="0"/>
    </xf>
    <xf numFmtId="0" fontId="0" fillId="0" borderId="21" xfId="0" applyFill="1" applyBorder="1" applyProtection="1">
      <protection locked="0"/>
    </xf>
    <xf numFmtId="0" fontId="0" fillId="0" borderId="50" xfId="0" applyFill="1" applyBorder="1" applyProtection="1">
      <protection locked="0"/>
    </xf>
    <xf numFmtId="0" fontId="12" fillId="2" borderId="6" xfId="0" applyFont="1" applyFill="1" applyBorder="1" applyAlignment="1" applyProtection="1"/>
    <xf numFmtId="0" fontId="12" fillId="2" borderId="4" xfId="0" applyFont="1" applyFill="1" applyBorder="1" applyAlignment="1" applyProtection="1"/>
    <xf numFmtId="0" fontId="12" fillId="2" borderId="7" xfId="0" applyFont="1" applyFill="1" applyBorder="1" applyAlignment="1" applyProtection="1"/>
    <xf numFmtId="167" fontId="1" fillId="0" borderId="22" xfId="0" applyNumberFormat="1" applyFont="1" applyFill="1" applyBorder="1" applyAlignment="1" applyProtection="1">
      <alignment horizontal="center"/>
      <protection locked="0"/>
    </xf>
    <xf numFmtId="167" fontId="11" fillId="0" borderId="24" xfId="0" applyNumberFormat="1" applyFont="1" applyFill="1" applyBorder="1" applyAlignment="1" applyProtection="1">
      <alignment horizontal="center"/>
      <protection locked="0"/>
    </xf>
    <xf numFmtId="0" fontId="6" fillId="0" borderId="15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14" xfId="0" applyFont="1" applyBorder="1" applyProtection="1">
      <protection locked="0"/>
    </xf>
    <xf numFmtId="0" fontId="9" fillId="2" borderId="8" xfId="0" applyFont="1" applyFill="1" applyBorder="1" applyAlignment="1" applyProtection="1">
      <alignment horizontal="center"/>
    </xf>
    <xf numFmtId="0" fontId="9" fillId="2" borderId="2" xfId="0" applyFont="1" applyFill="1" applyBorder="1" applyAlignment="1" applyProtection="1">
      <alignment horizontal="center"/>
    </xf>
    <xf numFmtId="0" fontId="9" fillId="2" borderId="20" xfId="0" applyFont="1" applyFill="1" applyBorder="1" applyAlignment="1" applyProtection="1">
      <alignment horizontal="center"/>
    </xf>
    <xf numFmtId="0" fontId="9" fillId="2" borderId="13" xfId="0" applyFont="1" applyFill="1" applyBorder="1" applyAlignment="1" applyProtection="1">
      <alignment horizontal="center"/>
    </xf>
    <xf numFmtId="0" fontId="9" fillId="2" borderId="22" xfId="0" applyFont="1" applyFill="1" applyBorder="1" applyAlignment="1" applyProtection="1">
      <alignment horizontal="center"/>
    </xf>
    <xf numFmtId="0" fontId="9" fillId="2" borderId="23" xfId="0" applyFont="1" applyFill="1" applyBorder="1" applyAlignment="1" applyProtection="1">
      <alignment horizontal="center"/>
    </xf>
    <xf numFmtId="168" fontId="9" fillId="2" borderId="8" xfId="0" applyNumberFormat="1" applyFont="1" applyFill="1" applyBorder="1" applyProtection="1"/>
    <xf numFmtId="168" fontId="9" fillId="2" borderId="2" xfId="0" applyNumberFormat="1" applyFont="1" applyFill="1" applyBorder="1" applyProtection="1"/>
    <xf numFmtId="0" fontId="9" fillId="2" borderId="11" xfId="0" applyFont="1" applyFill="1" applyBorder="1" applyAlignment="1" applyProtection="1">
      <alignment horizontal="center"/>
    </xf>
    <xf numFmtId="0" fontId="9" fillId="2" borderId="30" xfId="0" applyFont="1" applyFill="1" applyBorder="1" applyAlignment="1" applyProtection="1">
      <alignment horizontal="center"/>
    </xf>
    <xf numFmtId="0" fontId="9" fillId="2" borderId="6" xfId="0" applyFont="1" applyFill="1" applyBorder="1" applyAlignment="1" applyProtection="1">
      <alignment horizontal="center"/>
    </xf>
    <xf numFmtId="0" fontId="9" fillId="2" borderId="7" xfId="0" applyFont="1" applyFill="1" applyBorder="1" applyAlignment="1" applyProtection="1">
      <alignment horizontal="center"/>
    </xf>
    <xf numFmtId="168" fontId="9" fillId="2" borderId="6" xfId="0" applyNumberFormat="1" applyFont="1" applyFill="1" applyBorder="1" applyProtection="1"/>
    <xf numFmtId="168" fontId="9" fillId="2" borderId="7" xfId="0" applyNumberFormat="1" applyFont="1" applyFill="1" applyBorder="1" applyProtection="1"/>
    <xf numFmtId="168" fontId="9" fillId="2" borderId="11" xfId="0" applyNumberFormat="1" applyFont="1" applyFill="1" applyBorder="1" applyProtection="1"/>
    <xf numFmtId="168" fontId="9" fillId="2" borderId="30" xfId="0" applyNumberFormat="1" applyFont="1" applyFill="1" applyBorder="1" applyProtection="1"/>
    <xf numFmtId="0" fontId="9" fillId="2" borderId="3" xfId="0" applyFont="1" applyFill="1" applyBorder="1" applyAlignment="1" applyProtection="1">
      <alignment horizontal="center"/>
    </xf>
    <xf numFmtId="0" fontId="9" fillId="2" borderId="5" xfId="0" applyFont="1" applyFill="1" applyBorder="1" applyAlignment="1" applyProtection="1">
      <alignment horizontal="center"/>
    </xf>
    <xf numFmtId="0" fontId="6" fillId="0" borderId="24" xfId="0" applyFont="1" applyFill="1" applyBorder="1" applyAlignment="1" applyProtection="1">
      <alignment horizontal="center"/>
      <protection locked="0"/>
    </xf>
    <xf numFmtId="0" fontId="6" fillId="0" borderId="23" xfId="0" applyFont="1" applyFill="1" applyBorder="1" applyAlignment="1" applyProtection="1">
      <alignment horizontal="center"/>
      <protection locked="0"/>
    </xf>
    <xf numFmtId="0" fontId="9" fillId="2" borderId="12" xfId="0" applyFont="1" applyFill="1" applyBorder="1" applyAlignment="1" applyProtection="1">
      <alignment horizontal="center"/>
    </xf>
    <xf numFmtId="0" fontId="6" fillId="0" borderId="20" xfId="0" applyFont="1" applyBorder="1" applyAlignment="1" applyProtection="1">
      <protection locked="0"/>
    </xf>
    <xf numFmtId="0" fontId="6" fillId="0" borderId="19" xfId="0" applyFont="1" applyBorder="1" applyAlignment="1" applyProtection="1">
      <protection locked="0"/>
    </xf>
    <xf numFmtId="0" fontId="6" fillId="0" borderId="13" xfId="0" applyFont="1" applyBorder="1" applyAlignment="1" applyProtection="1">
      <protection locked="0"/>
    </xf>
    <xf numFmtId="0" fontId="6" fillId="0" borderId="19" xfId="0" applyFont="1" applyFill="1" applyBorder="1" applyAlignment="1" applyProtection="1">
      <alignment horizontal="center"/>
      <protection locked="0"/>
    </xf>
    <xf numFmtId="0" fontId="6" fillId="0" borderId="13" xfId="0" applyFont="1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7" xfId="0" applyBorder="1" applyProtection="1">
      <protection locked="0"/>
    </xf>
    <xf numFmtId="0" fontId="6" fillId="0" borderId="15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14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24" xfId="0" applyFont="1" applyBorder="1" applyAlignment="1" applyProtection="1">
      <protection locked="0"/>
    </xf>
    <xf numFmtId="0" fontId="6" fillId="0" borderId="23" xfId="0" applyFont="1" applyBorder="1" applyAlignment="1" applyProtection="1">
      <protection locked="0"/>
    </xf>
    <xf numFmtId="0" fontId="12" fillId="2" borderId="11" xfId="0" applyFont="1" applyFill="1" applyBorder="1" applyAlignment="1" applyProtection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9" fillId="2" borderId="11" xfId="0" applyFont="1" applyFill="1" applyBorder="1" applyAlignment="1" applyProtection="1">
      <alignment horizontal="center" wrapText="1"/>
    </xf>
    <xf numFmtId="0" fontId="9" fillId="2" borderId="30" xfId="0" applyFont="1" applyFill="1" applyBorder="1" applyAlignment="1" applyProtection="1">
      <alignment horizontal="center" wrapText="1"/>
    </xf>
    <xf numFmtId="0" fontId="9" fillId="2" borderId="6" xfId="0" applyFont="1" applyFill="1" applyBorder="1" applyAlignment="1" applyProtection="1">
      <alignment horizontal="center" wrapText="1"/>
    </xf>
    <xf numFmtId="0" fontId="9" fillId="2" borderId="7" xfId="0" applyFont="1" applyFill="1" applyBorder="1" applyAlignment="1" applyProtection="1">
      <alignment horizontal="center" wrapText="1"/>
    </xf>
    <xf numFmtId="4" fontId="9" fillId="2" borderId="15" xfId="1" applyNumberFormat="1" applyFont="1" applyFill="1" applyBorder="1" applyProtection="1"/>
    <xf numFmtId="4" fontId="9" fillId="2" borderId="21" xfId="1" applyNumberFormat="1" applyFont="1" applyFill="1" applyBorder="1" applyProtection="1"/>
    <xf numFmtId="4" fontId="9" fillId="2" borderId="14" xfId="1" applyNumberFormat="1" applyFont="1" applyFill="1" applyBorder="1" applyProtection="1"/>
    <xf numFmtId="2" fontId="6" fillId="0" borderId="15" xfId="0" applyNumberFormat="1" applyFont="1" applyBorder="1" applyProtection="1">
      <protection locked="0"/>
    </xf>
    <xf numFmtId="2" fontId="6" fillId="0" borderId="21" xfId="0" applyNumberFormat="1" applyFont="1" applyBorder="1" applyProtection="1">
      <protection locked="0"/>
    </xf>
    <xf numFmtId="2" fontId="6" fillId="0" borderId="14" xfId="0" applyNumberFormat="1" applyFont="1" applyBorder="1" applyProtection="1">
      <protection locked="0"/>
    </xf>
    <xf numFmtId="2" fontId="9" fillId="2" borderId="15" xfId="0" applyNumberFormat="1" applyFont="1" applyFill="1" applyBorder="1" applyProtection="1"/>
    <xf numFmtId="2" fontId="9" fillId="2" borderId="21" xfId="0" applyNumberFormat="1" applyFont="1" applyFill="1" applyBorder="1" applyProtection="1"/>
    <xf numFmtId="2" fontId="9" fillId="2" borderId="14" xfId="0" applyNumberFormat="1" applyFont="1" applyFill="1" applyBorder="1" applyProtection="1"/>
    <xf numFmtId="0" fontId="6" fillId="0" borderId="12" xfId="0" applyFont="1" applyBorder="1" applyAlignment="1" applyProtection="1">
      <alignment horizontal="center"/>
    </xf>
    <xf numFmtId="14" fontId="0" fillId="0" borderId="15" xfId="0" applyNumberFormat="1" applyFill="1" applyBorder="1" applyAlignment="1" applyProtection="1">
      <alignment horizontal="center"/>
      <protection locked="0"/>
    </xf>
    <xf numFmtId="14" fontId="0" fillId="0" borderId="21" xfId="0" applyNumberFormat="1" applyFill="1" applyBorder="1" applyAlignment="1" applyProtection="1">
      <alignment horizontal="center"/>
      <protection locked="0"/>
    </xf>
    <xf numFmtId="14" fontId="0" fillId="0" borderId="50" xfId="0" applyNumberFormat="1" applyFill="1" applyBorder="1" applyAlignment="1" applyProtection="1">
      <alignment horizontal="center"/>
      <protection locked="0"/>
    </xf>
    <xf numFmtId="170" fontId="0" fillId="0" borderId="15" xfId="0" applyNumberFormat="1" applyFill="1" applyBorder="1" applyAlignment="1" applyProtection="1">
      <alignment horizontal="center"/>
      <protection locked="0"/>
    </xf>
    <xf numFmtId="170" fontId="0" fillId="0" borderId="21" xfId="0" applyNumberFormat="1" applyFill="1" applyBorder="1" applyAlignment="1" applyProtection="1">
      <alignment horizontal="center"/>
      <protection locked="0"/>
    </xf>
    <xf numFmtId="170" fontId="0" fillId="0" borderId="50" xfId="0" applyNumberFormat="1" applyFill="1" applyBorder="1" applyAlignment="1" applyProtection="1">
      <alignment horizontal="center"/>
      <protection locked="0"/>
    </xf>
    <xf numFmtId="14" fontId="2" fillId="0" borderId="15" xfId="0" applyNumberFormat="1" applyFont="1" applyFill="1" applyBorder="1" applyProtection="1">
      <protection locked="0"/>
    </xf>
    <xf numFmtId="14" fontId="0" fillId="0" borderId="21" xfId="0" applyNumberFormat="1" applyFill="1" applyBorder="1" applyProtection="1">
      <protection locked="0"/>
    </xf>
    <xf numFmtId="14" fontId="0" fillId="0" borderId="50" xfId="0" applyNumberFormat="1" applyFill="1" applyBorder="1" applyProtection="1">
      <protection locked="0"/>
    </xf>
    <xf numFmtId="0" fontId="0" fillId="0" borderId="15" xfId="0" applyFill="1" applyBorder="1" applyAlignment="1" applyProtection="1">
      <alignment horizontal="center"/>
      <protection locked="0"/>
    </xf>
    <xf numFmtId="0" fontId="0" fillId="0" borderId="14" xfId="0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18"/>
  <sheetViews>
    <sheetView showGridLines="0" showZeros="0" tabSelected="1" workbookViewId="0">
      <selection activeCell="D55" sqref="D55"/>
    </sheetView>
  </sheetViews>
  <sheetFormatPr defaultColWidth="9.109375" defaultRowHeight="13.2" x14ac:dyDescent="0.25"/>
  <cols>
    <col min="1" max="1" width="6" style="5" customWidth="1"/>
    <col min="2" max="2" width="4.33203125" style="5" customWidth="1"/>
    <col min="3" max="3" width="6.33203125" style="5" customWidth="1"/>
    <col min="4" max="4" width="6.6640625" style="5" customWidth="1"/>
    <col min="5" max="5" width="8" style="5" customWidth="1"/>
    <col min="6" max="6" width="8.88671875" style="5" customWidth="1"/>
    <col min="7" max="7" width="7.109375" style="5" bestFit="1" customWidth="1"/>
    <col min="8" max="8" width="10.33203125" style="5" customWidth="1"/>
    <col min="9" max="9" width="1.109375" style="5" customWidth="1"/>
    <col min="10" max="10" width="8.6640625" style="5" customWidth="1"/>
    <col min="11" max="12" width="1.6640625" style="5" customWidth="1"/>
    <col min="13" max="13" width="5.5546875" style="5" bestFit="1" customWidth="1"/>
    <col min="14" max="14" width="9.6640625" style="5" customWidth="1"/>
    <col min="15" max="15" width="9.109375" style="5"/>
    <col min="16" max="16" width="1" style="5" customWidth="1"/>
    <col min="17" max="17" width="2.6640625" style="5" customWidth="1"/>
    <col min="18" max="18" width="8.44140625" style="5" customWidth="1"/>
    <col min="19" max="19" width="9.109375" style="5"/>
    <col min="20" max="20" width="8.88671875" style="268" customWidth="1"/>
    <col min="21" max="21" width="53.33203125" style="272" bestFit="1" customWidth="1"/>
    <col min="22" max="22" width="7.6640625" style="272" customWidth="1"/>
    <col min="23" max="23" width="21.33203125" style="5" customWidth="1"/>
    <col min="24" max="16384" width="9.109375" style="5"/>
  </cols>
  <sheetData>
    <row r="1" spans="1:24" ht="17.399999999999999" x14ac:dyDescent="0.3">
      <c r="A1" s="67" t="s">
        <v>0</v>
      </c>
      <c r="B1" s="67"/>
      <c r="C1" s="67"/>
      <c r="D1" s="67"/>
      <c r="E1" s="67"/>
      <c r="F1" s="67"/>
      <c r="G1" s="67"/>
      <c r="H1" s="67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264"/>
      <c r="U1" s="296"/>
      <c r="V1" s="296"/>
    </row>
    <row r="2" spans="1:24" ht="11.25" customHeigh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264"/>
      <c r="U2" s="296"/>
      <c r="V2" s="296"/>
    </row>
    <row r="3" spans="1:24" ht="13.8" x14ac:dyDescent="0.25">
      <c r="A3" s="69" t="s">
        <v>63</v>
      </c>
      <c r="B3" s="69"/>
      <c r="C3" s="69"/>
      <c r="D3" s="69"/>
      <c r="E3" s="69"/>
      <c r="F3" s="69"/>
      <c r="G3" s="69"/>
      <c r="H3" s="69"/>
      <c r="I3" s="68"/>
      <c r="J3" s="68"/>
      <c r="K3" s="68"/>
      <c r="L3" s="68"/>
      <c r="M3" s="68"/>
      <c r="N3" s="68"/>
      <c r="O3" s="68"/>
      <c r="P3" s="68"/>
      <c r="Q3" s="68"/>
      <c r="R3" s="251"/>
      <c r="S3" s="68"/>
      <c r="T3" s="264"/>
      <c r="U3" s="296"/>
      <c r="V3" s="296"/>
    </row>
    <row r="4" spans="1:24" ht="13.8" x14ac:dyDescent="0.25">
      <c r="A4" s="69" t="s">
        <v>64</v>
      </c>
      <c r="B4" s="69"/>
      <c r="C4" s="69"/>
      <c r="D4" s="69"/>
      <c r="E4" s="69"/>
      <c r="F4" s="69"/>
      <c r="G4" s="69"/>
      <c r="H4" s="69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264"/>
      <c r="U4" s="297"/>
      <c r="V4" s="296"/>
    </row>
    <row r="5" spans="1:24" ht="11.2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264"/>
      <c r="U5" s="298"/>
      <c r="V5" s="296"/>
    </row>
    <row r="6" spans="1:24" ht="15.6" x14ac:dyDescent="0.3">
      <c r="A6" s="70"/>
      <c r="B6" s="70"/>
      <c r="C6" s="70"/>
      <c r="D6" s="70"/>
      <c r="E6" s="70"/>
      <c r="F6" s="252"/>
      <c r="H6" s="252"/>
      <c r="I6" s="253"/>
      <c r="N6" s="68"/>
      <c r="O6" s="68"/>
      <c r="P6" s="68"/>
      <c r="Q6" s="68"/>
      <c r="R6" s="68"/>
      <c r="S6" s="68"/>
      <c r="T6" s="264"/>
      <c r="U6" s="297"/>
      <c r="V6" s="296"/>
    </row>
    <row r="7" spans="1:24" ht="11.25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264"/>
      <c r="U7" s="296"/>
      <c r="V7" s="296"/>
    </row>
    <row r="8" spans="1:24" ht="10.5" customHeight="1" x14ac:dyDescent="0.25">
      <c r="A8" s="71" t="s">
        <v>1</v>
      </c>
      <c r="B8" s="71"/>
      <c r="C8" s="71"/>
      <c r="D8" s="71"/>
      <c r="E8" s="71"/>
      <c r="F8" s="71"/>
      <c r="G8" s="71"/>
      <c r="H8" s="71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264"/>
      <c r="U8" s="296"/>
      <c r="V8" s="296"/>
    </row>
    <row r="9" spans="1:24" ht="10.5" customHeight="1" x14ac:dyDescent="0.25">
      <c r="A9" s="72" t="s">
        <v>2</v>
      </c>
      <c r="B9" s="72"/>
      <c r="C9" s="72"/>
      <c r="D9" s="72"/>
      <c r="E9" s="72"/>
      <c r="F9" s="72"/>
      <c r="G9" s="72"/>
      <c r="H9" s="72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264"/>
      <c r="U9" s="296"/>
      <c r="V9" s="296"/>
    </row>
    <row r="10" spans="1:24" ht="5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  <c r="T10" s="264"/>
      <c r="U10" s="296"/>
      <c r="V10" s="296"/>
    </row>
    <row r="11" spans="1:24" ht="11.25" customHeight="1" x14ac:dyDescent="0.25">
      <c r="A11" s="31" t="s">
        <v>3</v>
      </c>
      <c r="B11" s="24"/>
      <c r="C11" s="24"/>
      <c r="D11" s="24"/>
      <c r="E11" s="24"/>
      <c r="F11" s="24"/>
      <c r="G11" s="24"/>
      <c r="H11" s="24"/>
      <c r="I11" s="25"/>
      <c r="J11" s="32" t="s">
        <v>188</v>
      </c>
      <c r="K11" s="20"/>
      <c r="L11" s="21"/>
      <c r="M11" s="21"/>
      <c r="N11" s="21"/>
      <c r="O11" s="31" t="s">
        <v>4</v>
      </c>
      <c r="P11" s="21"/>
      <c r="Q11" s="21"/>
      <c r="R11" s="26"/>
      <c r="S11" s="27"/>
      <c r="T11" s="264"/>
      <c r="U11" s="298"/>
      <c r="V11" s="296"/>
    </row>
    <row r="12" spans="1:24" x14ac:dyDescent="0.25">
      <c r="A12" s="318"/>
      <c r="B12" s="319"/>
      <c r="C12" s="319"/>
      <c r="D12" s="319"/>
      <c r="E12" s="319"/>
      <c r="F12" s="319"/>
      <c r="G12" s="319"/>
      <c r="H12" s="320"/>
      <c r="I12" s="25"/>
      <c r="J12" s="388"/>
      <c r="K12" s="389"/>
      <c r="L12" s="389"/>
      <c r="M12" s="390"/>
      <c r="N12" s="182"/>
      <c r="O12" s="385"/>
      <c r="P12" s="386"/>
      <c r="Q12" s="386"/>
      <c r="R12" s="387"/>
      <c r="S12" s="25"/>
      <c r="T12" s="264"/>
      <c r="U12" s="296"/>
      <c r="V12" s="296"/>
    </row>
    <row r="13" spans="1:24" ht="8.25" customHeight="1" x14ac:dyDescent="0.25">
      <c r="A13" s="28"/>
      <c r="B13" s="22"/>
      <c r="C13" s="22"/>
      <c r="D13" s="22"/>
      <c r="E13" s="22"/>
      <c r="F13" s="22"/>
      <c r="G13" s="22"/>
      <c r="H13" s="22"/>
      <c r="I13" s="29"/>
      <c r="J13" s="22"/>
      <c r="K13" s="22"/>
      <c r="L13" s="22"/>
      <c r="M13" s="22"/>
      <c r="N13" s="22"/>
      <c r="O13" s="28"/>
      <c r="P13" s="22"/>
      <c r="Q13" s="22"/>
      <c r="R13" s="22"/>
      <c r="S13" s="29"/>
      <c r="T13" s="264"/>
      <c r="U13" s="1"/>
      <c r="V13" s="1"/>
      <c r="W13"/>
      <c r="X13"/>
    </row>
    <row r="14" spans="1:24" ht="11.25" customHeight="1" x14ac:dyDescent="0.25">
      <c r="A14" s="31" t="s">
        <v>5</v>
      </c>
      <c r="B14" s="24"/>
      <c r="C14" s="24"/>
      <c r="D14" s="24"/>
      <c r="E14" s="24"/>
      <c r="F14" s="24"/>
      <c r="G14" s="24"/>
      <c r="H14" s="24"/>
      <c r="I14" s="25"/>
      <c r="J14" s="32" t="s">
        <v>62</v>
      </c>
      <c r="K14" s="20"/>
      <c r="L14" s="21"/>
      <c r="M14" s="21"/>
      <c r="N14" s="21"/>
      <c r="O14" s="21"/>
      <c r="P14" s="21"/>
      <c r="Q14" s="21"/>
      <c r="R14" s="26"/>
      <c r="S14" s="25"/>
      <c r="T14" s="264"/>
      <c r="U14" s="1"/>
      <c r="V14" s="1"/>
      <c r="W14"/>
      <c r="X14"/>
    </row>
    <row r="15" spans="1:24" x14ac:dyDescent="0.25">
      <c r="A15" s="318"/>
      <c r="B15" s="319"/>
      <c r="C15" s="319"/>
      <c r="D15" s="319"/>
      <c r="E15" s="319"/>
      <c r="F15" s="319"/>
      <c r="G15" s="319"/>
      <c r="H15" s="320"/>
      <c r="I15" s="25"/>
      <c r="J15" s="391"/>
      <c r="K15" s="392"/>
      <c r="L15" s="392"/>
      <c r="M15" s="392"/>
      <c r="N15" s="392"/>
      <c r="O15" s="392"/>
      <c r="P15" s="392"/>
      <c r="Q15" s="392"/>
      <c r="R15" s="393"/>
      <c r="S15" s="25"/>
      <c r="T15" s="264"/>
      <c r="U15" s="1"/>
      <c r="V15" s="1"/>
      <c r="W15"/>
      <c r="X15"/>
    </row>
    <row r="16" spans="1:24" ht="8.25" customHeight="1" x14ac:dyDescent="0.25">
      <c r="A16" s="28"/>
      <c r="B16" s="22"/>
      <c r="C16" s="22"/>
      <c r="D16" s="22"/>
      <c r="E16" s="22"/>
      <c r="F16" s="22"/>
      <c r="G16" s="22"/>
      <c r="H16" s="22"/>
      <c r="I16" s="29"/>
      <c r="J16" s="22"/>
      <c r="K16" s="22"/>
      <c r="L16" s="22"/>
      <c r="M16" s="22"/>
      <c r="N16" s="22"/>
      <c r="O16" s="22"/>
      <c r="P16" s="22"/>
      <c r="Q16" s="22"/>
      <c r="R16" s="22"/>
      <c r="S16" s="29"/>
      <c r="T16" s="264"/>
      <c r="U16" s="1"/>
      <c r="V16" s="1"/>
      <c r="W16"/>
      <c r="X16"/>
    </row>
    <row r="17" spans="1:24" ht="11.25" customHeight="1" x14ac:dyDescent="0.25">
      <c r="A17" s="31" t="s">
        <v>6</v>
      </c>
      <c r="B17" s="24"/>
      <c r="C17" s="24"/>
      <c r="D17" s="24"/>
      <c r="E17" s="24"/>
      <c r="F17" s="24"/>
      <c r="G17" s="24"/>
      <c r="H17" s="24"/>
      <c r="I17" s="25"/>
      <c r="J17" s="32" t="s">
        <v>7</v>
      </c>
      <c r="K17" s="20"/>
      <c r="L17" s="21"/>
      <c r="M17" s="21"/>
      <c r="N17" s="21"/>
      <c r="O17" s="21"/>
      <c r="P17" s="21"/>
      <c r="Q17" s="21"/>
      <c r="R17" s="31" t="s">
        <v>55</v>
      </c>
      <c r="S17" s="25"/>
      <c r="T17" s="264"/>
      <c r="U17" s="1"/>
      <c r="V17" s="1"/>
      <c r="W17"/>
      <c r="X17"/>
    </row>
    <row r="18" spans="1:24" x14ac:dyDescent="0.25">
      <c r="A18" s="318"/>
      <c r="B18" s="319"/>
      <c r="C18" s="319"/>
      <c r="D18" s="319"/>
      <c r="E18" s="319"/>
      <c r="F18" s="319"/>
      <c r="G18" s="319"/>
      <c r="H18" s="320"/>
      <c r="I18" s="25"/>
      <c r="J18" s="318"/>
      <c r="K18" s="319"/>
      <c r="L18" s="319"/>
      <c r="M18" s="319"/>
      <c r="N18" s="319"/>
      <c r="O18" s="319"/>
      <c r="P18" s="320"/>
      <c r="Q18" s="21"/>
      <c r="R18" s="394"/>
      <c r="S18" s="395"/>
      <c r="T18" s="264"/>
      <c r="U18" s="1"/>
      <c r="V18" s="1"/>
      <c r="W18"/>
      <c r="X18"/>
    </row>
    <row r="19" spans="1:24" ht="8.25" customHeight="1" x14ac:dyDescent="0.25">
      <c r="A19" s="28"/>
      <c r="B19" s="22"/>
      <c r="C19" s="22"/>
      <c r="D19" s="22"/>
      <c r="E19" s="22"/>
      <c r="F19" s="22"/>
      <c r="G19" s="22"/>
      <c r="H19" s="22"/>
      <c r="I19" s="29"/>
      <c r="J19" s="22"/>
      <c r="K19" s="22"/>
      <c r="L19" s="22"/>
      <c r="M19" s="22"/>
      <c r="N19" s="22"/>
      <c r="O19" s="22"/>
      <c r="P19" s="22"/>
      <c r="Q19" s="22"/>
      <c r="R19" s="28"/>
      <c r="S19" s="25"/>
      <c r="T19" s="264"/>
      <c r="U19" s="1"/>
      <c r="V19" s="1"/>
      <c r="W19"/>
      <c r="X19"/>
    </row>
    <row r="20" spans="1:24" ht="5.25" customHeight="1" x14ac:dyDescent="0.25">
      <c r="A20" s="12"/>
      <c r="B20" s="12"/>
      <c r="C20" s="12"/>
      <c r="D20" s="12"/>
      <c r="E20" s="12"/>
      <c r="F20" s="12"/>
      <c r="G20" s="12"/>
      <c r="H20" s="12"/>
      <c r="I20" s="10"/>
      <c r="J20" s="12"/>
      <c r="K20" s="12"/>
      <c r="L20" s="12"/>
      <c r="M20" s="12"/>
      <c r="N20" s="12"/>
      <c r="O20" s="12"/>
      <c r="P20" s="12"/>
      <c r="Q20" s="12"/>
      <c r="R20" s="12"/>
      <c r="S20" s="7"/>
      <c r="T20" s="264"/>
      <c r="U20" s="1"/>
      <c r="V20" s="1"/>
      <c r="W20"/>
      <c r="X20"/>
    </row>
    <row r="21" spans="1:24" ht="11.25" customHeight="1" x14ac:dyDescent="0.25">
      <c r="A21" s="76" t="s">
        <v>8</v>
      </c>
      <c r="B21" s="257"/>
      <c r="C21" s="257"/>
      <c r="D21" s="257"/>
      <c r="E21" s="258"/>
      <c r="F21" s="258"/>
      <c r="G21" s="258"/>
      <c r="H21" s="180"/>
      <c r="I21" s="11"/>
      <c r="J21" s="181"/>
      <c r="K21" s="21"/>
      <c r="L21" s="21"/>
      <c r="M21" s="21"/>
      <c r="N21" s="21"/>
      <c r="O21" s="37"/>
      <c r="P21" s="38"/>
      <c r="Q21" s="38"/>
      <c r="R21" s="39" t="s">
        <v>9</v>
      </c>
      <c r="S21" s="40"/>
      <c r="T21" s="264"/>
      <c r="U21" s="1"/>
      <c r="V21" s="1"/>
      <c r="W21"/>
      <c r="X21"/>
    </row>
    <row r="22" spans="1:24" ht="12.75" customHeight="1" x14ac:dyDescent="0.25">
      <c r="A22" s="324"/>
      <c r="B22" s="325"/>
      <c r="C22" s="325"/>
      <c r="D22" s="325"/>
      <c r="E22" s="371" t="s">
        <v>87</v>
      </c>
      <c r="F22" s="372"/>
      <c r="G22" s="367" t="s">
        <v>88</v>
      </c>
      <c r="H22" s="368"/>
      <c r="I22" s="10"/>
      <c r="J22" s="28"/>
      <c r="K22" s="22"/>
      <c r="L22" s="22"/>
      <c r="M22" s="22"/>
      <c r="N22" s="22"/>
      <c r="O22" s="42" t="s">
        <v>10</v>
      </c>
      <c r="P22" s="43"/>
      <c r="Q22" s="43"/>
      <c r="R22" s="39" t="s">
        <v>11</v>
      </c>
      <c r="S22" s="40"/>
      <c r="V22"/>
      <c r="W22"/>
    </row>
    <row r="23" spans="1:24" ht="16.5" customHeight="1" x14ac:dyDescent="0.25">
      <c r="A23" s="121"/>
      <c r="B23" s="122"/>
      <c r="C23" s="108"/>
      <c r="D23" s="123"/>
      <c r="E23" s="373"/>
      <c r="F23" s="374"/>
      <c r="G23" s="369"/>
      <c r="H23" s="370"/>
      <c r="I23" s="10"/>
      <c r="J23" s="127"/>
      <c r="K23" s="128"/>
      <c r="L23" s="129"/>
      <c r="M23" s="129"/>
      <c r="N23" s="129"/>
      <c r="O23" s="130"/>
      <c r="P23" s="131"/>
      <c r="Q23" s="131"/>
      <c r="R23" s="130"/>
      <c r="S23" s="132"/>
      <c r="V23" s="273"/>
      <c r="W23"/>
    </row>
    <row r="24" spans="1:24" x14ac:dyDescent="0.25">
      <c r="A24" s="124" t="s">
        <v>119</v>
      </c>
      <c r="B24" s="111"/>
      <c r="C24" s="111"/>
      <c r="D24" s="111"/>
      <c r="E24" s="302">
        <f>VLOOKUP(CONCATENATE($E$22," ",$A24),Codes!B19:'Codes'!C83,2,)</f>
        <v>731111</v>
      </c>
      <c r="F24" s="303">
        <f>H129</f>
        <v>0</v>
      </c>
      <c r="G24" s="302">
        <f>VLOOKUP(CONCATENATE($G$22," ",$A24),Codes!$B$19:'Codes'!$C$83,2,)</f>
        <v>731211</v>
      </c>
      <c r="H24" s="256">
        <f>J129</f>
        <v>0</v>
      </c>
      <c r="I24" s="10"/>
      <c r="J24" s="124" t="s">
        <v>15</v>
      </c>
      <c r="K24" s="124"/>
      <c r="L24" s="133"/>
      <c r="M24" s="133"/>
      <c r="N24" s="133"/>
      <c r="O24" s="375">
        <f>F32+H32</f>
        <v>0</v>
      </c>
      <c r="P24" s="376"/>
      <c r="Q24" s="377"/>
      <c r="R24" s="135" t="s">
        <v>14</v>
      </c>
      <c r="S24" s="101"/>
      <c r="V24"/>
      <c r="W24"/>
    </row>
    <row r="25" spans="1:24" x14ac:dyDescent="0.25">
      <c r="A25" s="124" t="s">
        <v>120</v>
      </c>
      <c r="B25" s="111"/>
      <c r="C25" s="111"/>
      <c r="D25" s="111"/>
      <c r="E25" s="302">
        <f>VLOOKUP(CONCATENATE($E$22," ",$A25),Codes!B20:'Codes'!C84,2,)</f>
        <v>731121</v>
      </c>
      <c r="F25" s="256">
        <f>H128</f>
        <v>0</v>
      </c>
      <c r="G25" s="302">
        <f>VLOOKUP(CONCATENATE($G$22," ",$A25),Codes!$B$19:'Codes'!$C$83,2,)</f>
        <v>731221</v>
      </c>
      <c r="H25" s="226">
        <f>J128</f>
        <v>0</v>
      </c>
      <c r="I25" s="10"/>
      <c r="J25" s="124" t="s">
        <v>16</v>
      </c>
      <c r="K25" s="124"/>
      <c r="L25" s="133"/>
      <c r="M25" s="133"/>
      <c r="N25" s="133"/>
      <c r="O25" s="378">
        <v>0</v>
      </c>
      <c r="P25" s="379"/>
      <c r="Q25" s="380"/>
      <c r="R25" s="136"/>
      <c r="S25" s="101"/>
      <c r="V25"/>
      <c r="W25"/>
    </row>
    <row r="26" spans="1:24" x14ac:dyDescent="0.25">
      <c r="A26" s="124" t="s">
        <v>19</v>
      </c>
      <c r="B26" s="111"/>
      <c r="C26" s="111"/>
      <c r="D26" s="111"/>
      <c r="E26" s="302">
        <f>VLOOKUP(CONCATENATE($E$22," ",$A26),Codes!B22:'Codes'!C86,2,)</f>
        <v>731141</v>
      </c>
      <c r="F26" s="226">
        <f>N$129</f>
        <v>0</v>
      </c>
      <c r="G26" s="302">
        <f>VLOOKUP(CONCATENATE($G$22," ",$A26),Codes!$B$19:'Codes'!$C$83,2,)</f>
        <v>731241</v>
      </c>
      <c r="H26" s="226">
        <f>O$129</f>
        <v>0</v>
      </c>
      <c r="I26" s="10"/>
      <c r="J26" s="124" t="s">
        <v>18</v>
      </c>
      <c r="K26" s="111"/>
      <c r="L26" s="133"/>
      <c r="M26" s="133"/>
      <c r="N26" s="133"/>
      <c r="O26" s="326">
        <v>0</v>
      </c>
      <c r="P26" s="327"/>
      <c r="Q26" s="328"/>
      <c r="R26" s="136"/>
      <c r="S26" s="101"/>
      <c r="W26"/>
      <c r="X26"/>
    </row>
    <row r="27" spans="1:24" x14ac:dyDescent="0.25">
      <c r="A27" s="124" t="s">
        <v>17</v>
      </c>
      <c r="B27" s="111"/>
      <c r="C27" s="111"/>
      <c r="D27" s="111"/>
      <c r="E27" s="302">
        <f>VLOOKUP(CONCATENATE($E$22," ",$A27),Codes!B23:'Codes'!C87,2,)</f>
        <v>731151</v>
      </c>
      <c r="F27" s="226">
        <f>N$128</f>
        <v>0</v>
      </c>
      <c r="G27" s="302">
        <f>VLOOKUP(CONCATENATE($G$22," ",$A27),Codes!$B$19:'Codes'!$C$83,2,)</f>
        <v>731251</v>
      </c>
      <c r="H27" s="226">
        <f>O$128</f>
        <v>0</v>
      </c>
      <c r="I27" s="10"/>
      <c r="J27" s="124" t="s">
        <v>20</v>
      </c>
      <c r="K27" s="124"/>
      <c r="L27" s="133"/>
      <c r="M27" s="133"/>
      <c r="N27" s="133"/>
      <c r="O27" s="381">
        <f>IF(O24-O25-O26&lt;0,O24-O25-O26,0)</f>
        <v>0</v>
      </c>
      <c r="P27" s="382"/>
      <c r="Q27" s="383"/>
      <c r="R27" s="136"/>
      <c r="S27" s="101"/>
      <c r="W27"/>
      <c r="X27"/>
    </row>
    <row r="28" spans="1:24" x14ac:dyDescent="0.25">
      <c r="A28" s="124" t="s">
        <v>82</v>
      </c>
      <c r="B28" s="111"/>
      <c r="C28" s="111"/>
      <c r="D28" s="111"/>
      <c r="E28" s="302">
        <f>VLOOKUP(CONCATENATE($E$22," ",$A28),Codes!B24:'Codes'!C88,2,)</f>
        <v>731160</v>
      </c>
      <c r="F28" s="226">
        <f>S$128</f>
        <v>0</v>
      </c>
      <c r="G28" s="313">
        <f>VLOOKUP(CONCATENATE($G$22," ",$A28),Codes!$B$19:'Codes'!$C$83,2,)</f>
        <v>731260</v>
      </c>
      <c r="H28" s="314">
        <f>S$129</f>
        <v>0</v>
      </c>
      <c r="I28" s="10"/>
      <c r="J28" s="124" t="s">
        <v>22</v>
      </c>
      <c r="K28" s="124"/>
      <c r="L28" s="133"/>
      <c r="M28" s="133"/>
      <c r="N28" s="133"/>
      <c r="O28" s="375">
        <f>IF(O24-O25-O26&gt;0,O24-O25-O26,0)</f>
        <v>0</v>
      </c>
      <c r="P28" s="376"/>
      <c r="Q28" s="377"/>
      <c r="R28" s="136"/>
      <c r="S28" s="101"/>
      <c r="V28" s="1"/>
      <c r="W28"/>
      <c r="X28"/>
    </row>
    <row r="29" spans="1:24" ht="12.75" customHeight="1" x14ac:dyDescent="0.25">
      <c r="A29" s="124" t="s">
        <v>23</v>
      </c>
      <c r="B29" s="111"/>
      <c r="C29" s="111"/>
      <c r="D29" s="111"/>
      <c r="E29" s="302">
        <f>VLOOKUP(CONCATENATE($E$22," ",$A29),Codes!B26:'Codes'!C90,2,)</f>
        <v>731190</v>
      </c>
      <c r="F29" s="255">
        <f>H$46</f>
        <v>0</v>
      </c>
      <c r="G29" s="302">
        <f>VLOOKUP(CONCATENATE($G$22," ",$A29),Codes!$B$19:'Codes'!$C$83,2,)</f>
        <v>731290</v>
      </c>
      <c r="H29" s="255">
        <f>J$46</f>
        <v>0</v>
      </c>
      <c r="I29" s="10"/>
      <c r="J29" s="125"/>
      <c r="K29" s="126"/>
      <c r="L29" s="137"/>
      <c r="M29" s="137"/>
      <c r="N29" s="137"/>
      <c r="O29" s="138"/>
      <c r="P29" s="137"/>
      <c r="Q29" s="137"/>
      <c r="R29" s="138"/>
      <c r="S29" s="139"/>
      <c r="V29" s="1"/>
      <c r="W29"/>
      <c r="X29"/>
    </row>
    <row r="30" spans="1:24" ht="12.75" customHeight="1" x14ac:dyDescent="0.25">
      <c r="A30" s="21"/>
      <c r="B30" s="21"/>
      <c r="C30" s="21"/>
      <c r="D30" s="21"/>
      <c r="E30" s="21"/>
      <c r="F30" s="21"/>
      <c r="G30" s="21"/>
      <c r="H30" s="21"/>
      <c r="I30" s="10"/>
      <c r="J30" s="31"/>
      <c r="K30" s="36"/>
      <c r="L30" s="26"/>
      <c r="M30" s="26"/>
      <c r="N30" s="26"/>
      <c r="O30" s="30"/>
      <c r="P30" s="26"/>
      <c r="Q30" s="26"/>
      <c r="R30" s="30"/>
      <c r="S30" s="25"/>
      <c r="V30" s="1"/>
      <c r="W30"/>
      <c r="X30"/>
    </row>
    <row r="31" spans="1:24" ht="12.75" customHeight="1" x14ac:dyDescent="0.25">
      <c r="A31" s="31"/>
      <c r="B31" s="36"/>
      <c r="C31" s="36"/>
      <c r="D31" s="36"/>
      <c r="E31" s="254"/>
      <c r="F31" s="315"/>
      <c r="G31" s="254"/>
      <c r="H31" s="315"/>
      <c r="I31" s="10"/>
      <c r="J31" s="31"/>
      <c r="K31" s="36"/>
      <c r="L31" s="26"/>
      <c r="M31" s="26"/>
      <c r="N31" s="26"/>
      <c r="O31" s="30"/>
      <c r="P31" s="26"/>
      <c r="Q31" s="26"/>
      <c r="R31" s="30"/>
      <c r="S31" s="25"/>
      <c r="V31" s="1"/>
      <c r="W31"/>
      <c r="X31"/>
    </row>
    <row r="32" spans="1:24" ht="12" customHeight="1" x14ac:dyDescent="0.25">
      <c r="A32" s="31" t="s">
        <v>15</v>
      </c>
      <c r="B32" s="36"/>
      <c r="C32" s="41"/>
      <c r="D32" s="41"/>
      <c r="E32" s="26"/>
      <c r="F32" s="225">
        <f>SUM(F24:F29)</f>
        <v>0</v>
      </c>
      <c r="G32" s="26"/>
      <c r="H32" s="225">
        <f>SUM(H24:H29)</f>
        <v>0</v>
      </c>
      <c r="I32" s="10"/>
      <c r="J32" s="31" t="s">
        <v>56</v>
      </c>
      <c r="K32" s="36"/>
      <c r="L32" s="26"/>
      <c r="M32" s="26"/>
      <c r="N32" s="26"/>
      <c r="O32" s="355"/>
      <c r="P32" s="356"/>
      <c r="Q32" s="357"/>
      <c r="R32" s="30"/>
      <c r="S32" s="25"/>
      <c r="V32" s="1"/>
      <c r="W32"/>
      <c r="X32"/>
    </row>
    <row r="33" spans="1:24" ht="9.75" customHeight="1" x14ac:dyDescent="0.25">
      <c r="A33" s="321" t="str">
        <f>"  "&amp; E22 &amp;" and " &amp; G22</f>
        <v xml:space="preserve">  IN STATE and OUT OF STATE</v>
      </c>
      <c r="B33" s="322"/>
      <c r="C33" s="322"/>
      <c r="D33" s="322"/>
      <c r="E33" s="322"/>
      <c r="F33" s="322"/>
      <c r="G33" s="322"/>
      <c r="H33" s="323"/>
      <c r="I33" s="10"/>
      <c r="J33" s="45" t="s">
        <v>57</v>
      </c>
      <c r="K33" s="44"/>
      <c r="L33" s="22"/>
      <c r="M33" s="22"/>
      <c r="N33" s="22"/>
      <c r="O33" s="358"/>
      <c r="P33" s="359"/>
      <c r="Q33" s="360"/>
      <c r="R33" s="28"/>
      <c r="S33" s="29"/>
      <c r="V33" s="1"/>
      <c r="W33"/>
      <c r="X33"/>
    </row>
    <row r="34" spans="1:24" ht="6" customHeight="1" x14ac:dyDescent="0.25">
      <c r="A34" s="8"/>
      <c r="B34" s="8"/>
      <c r="C34" s="10"/>
      <c r="D34" s="10"/>
      <c r="E34" s="10"/>
      <c r="F34" s="8"/>
      <c r="G34" s="8"/>
      <c r="H34" s="10"/>
      <c r="I34" s="10"/>
      <c r="J34" s="9"/>
      <c r="K34" s="9"/>
      <c r="V34" s="1"/>
      <c r="W34"/>
      <c r="X34"/>
    </row>
    <row r="35" spans="1:24" ht="9.75" customHeight="1" x14ac:dyDescent="0.25">
      <c r="A35" s="8" t="s">
        <v>24</v>
      </c>
      <c r="B35" s="8"/>
      <c r="C35" s="10"/>
      <c r="D35" s="10"/>
      <c r="E35" s="10"/>
      <c r="F35" s="10"/>
      <c r="G35" s="8"/>
      <c r="H35" s="10"/>
      <c r="I35" s="10"/>
      <c r="J35" s="9" t="s">
        <v>68</v>
      </c>
      <c r="K35" s="9"/>
      <c r="V35" s="1"/>
      <c r="W35"/>
      <c r="X35"/>
    </row>
    <row r="36" spans="1:24" ht="9.75" customHeight="1" x14ac:dyDescent="0.25">
      <c r="A36" s="8" t="s">
        <v>25</v>
      </c>
      <c r="B36" s="8"/>
      <c r="C36" s="10"/>
      <c r="D36" s="10"/>
      <c r="E36" s="10"/>
      <c r="F36" s="10"/>
      <c r="G36" s="8"/>
      <c r="H36" s="10"/>
      <c r="I36" s="10"/>
      <c r="J36" s="9" t="s">
        <v>69</v>
      </c>
      <c r="K36" s="9"/>
      <c r="V36" s="1"/>
      <c r="W36"/>
      <c r="X36"/>
    </row>
    <row r="37" spans="1:24" ht="9.75" customHeight="1" x14ac:dyDescent="0.25">
      <c r="A37" s="8" t="s">
        <v>26</v>
      </c>
      <c r="B37" s="8"/>
      <c r="C37" s="10"/>
      <c r="D37" s="10"/>
      <c r="E37" s="10"/>
      <c r="F37" s="10"/>
      <c r="G37" s="8"/>
      <c r="H37" s="10"/>
      <c r="I37" s="10"/>
      <c r="J37" s="9"/>
      <c r="K37" s="9"/>
      <c r="V37" s="299"/>
      <c r="W37" s="273"/>
      <c r="X37"/>
    </row>
    <row r="38" spans="1:24" ht="12.75" customHeight="1" x14ac:dyDescent="0.25">
      <c r="A38" s="8"/>
      <c r="B38" s="8"/>
      <c r="C38" s="10"/>
      <c r="D38" s="10"/>
      <c r="E38" s="10"/>
      <c r="F38" s="10"/>
      <c r="G38" s="8"/>
      <c r="H38" s="10"/>
      <c r="I38" s="10"/>
      <c r="J38" s="9"/>
      <c r="K38" s="9"/>
      <c r="V38" s="299"/>
      <c r="W38" s="273"/>
      <c r="X38"/>
    </row>
    <row r="39" spans="1:24" x14ac:dyDescent="0.25">
      <c r="A39" s="230" t="str">
        <f>IF(SUM(S50:S60,S72:S124)=S130,"","WARNING! Some Other Expenses items have not been designated as In-State or Out-Of-State.")</f>
        <v/>
      </c>
      <c r="B39" s="14"/>
      <c r="C39" s="12"/>
      <c r="D39" s="12"/>
      <c r="E39" s="12"/>
      <c r="F39" s="12"/>
      <c r="G39" s="14"/>
      <c r="H39" s="10"/>
      <c r="I39" s="10"/>
      <c r="J39" s="14"/>
      <c r="K39" s="14"/>
      <c r="L39" s="12"/>
      <c r="M39" s="12"/>
      <c r="N39" s="12"/>
      <c r="O39" s="12"/>
      <c r="P39" s="10"/>
      <c r="Q39" s="12"/>
      <c r="R39" s="12"/>
      <c r="S39" s="12"/>
      <c r="T39" s="264"/>
      <c r="U39" s="1"/>
      <c r="V39" s="299"/>
      <c r="W39" s="273"/>
      <c r="X39"/>
    </row>
    <row r="40" spans="1:24" ht="9.75" customHeight="1" x14ac:dyDescent="0.25">
      <c r="A40" s="16" t="s">
        <v>27</v>
      </c>
      <c r="B40" s="16"/>
      <c r="C40" s="94"/>
      <c r="D40" s="94"/>
      <c r="E40" s="94"/>
      <c r="F40" s="94"/>
      <c r="G40" s="16"/>
      <c r="H40" s="10"/>
      <c r="I40" s="10"/>
      <c r="J40" s="17" t="s">
        <v>28</v>
      </c>
      <c r="K40" s="17"/>
      <c r="L40" s="4"/>
      <c r="M40" s="4"/>
      <c r="N40" s="4"/>
      <c r="O40" s="4"/>
      <c r="P40" s="4"/>
      <c r="Q40" s="384" t="s">
        <v>29</v>
      </c>
      <c r="R40" s="384"/>
      <c r="S40" s="384"/>
      <c r="T40" s="264"/>
      <c r="U40" s="1"/>
      <c r="V40" s="1"/>
      <c r="W40"/>
      <c r="X40"/>
    </row>
    <row r="41" spans="1:24" ht="8.25" customHeight="1" x14ac:dyDescent="0.25">
      <c r="A41" s="16"/>
      <c r="B41" s="16"/>
      <c r="C41" s="94"/>
      <c r="D41" s="94"/>
      <c r="E41" s="94"/>
      <c r="F41" s="94"/>
      <c r="G41" s="16"/>
      <c r="H41" s="10"/>
      <c r="I41" s="10"/>
      <c r="J41" s="16"/>
      <c r="K41" s="16"/>
      <c r="L41" s="94"/>
      <c r="M41" s="94"/>
      <c r="N41" s="94"/>
      <c r="O41" s="94"/>
      <c r="P41" s="94"/>
      <c r="Q41" s="231"/>
      <c r="R41" s="231"/>
      <c r="S41" s="231"/>
      <c r="T41" s="264"/>
      <c r="U41" s="1"/>
      <c r="V41" s="1"/>
      <c r="W41"/>
      <c r="X41"/>
    </row>
    <row r="42" spans="1:24" ht="11.25" customHeight="1" x14ac:dyDescent="0.25">
      <c r="A42" s="50" t="s">
        <v>34</v>
      </c>
      <c r="B42" s="46" t="s">
        <v>23</v>
      </c>
      <c r="C42" s="46"/>
      <c r="D42" s="47"/>
      <c r="E42" s="47"/>
      <c r="F42" s="47"/>
      <c r="G42" s="47"/>
      <c r="H42" s="329" t="s">
        <v>12</v>
      </c>
      <c r="I42" s="330"/>
      <c r="J42" s="329" t="s">
        <v>13</v>
      </c>
      <c r="K42" s="330"/>
      <c r="L42" s="94"/>
      <c r="M42" s="94"/>
      <c r="N42" s="94"/>
      <c r="O42" s="94"/>
      <c r="P42" s="94"/>
      <c r="Q42" s="231"/>
      <c r="R42" s="231"/>
      <c r="S42" s="231"/>
      <c r="V42" s="1"/>
      <c r="W42"/>
      <c r="X42"/>
    </row>
    <row r="43" spans="1:24" x14ac:dyDescent="0.25">
      <c r="A43" s="243"/>
      <c r="B43" s="350"/>
      <c r="C43" s="351"/>
      <c r="D43" s="351"/>
      <c r="E43" s="351"/>
      <c r="F43" s="351"/>
      <c r="G43" s="352"/>
      <c r="H43" s="164"/>
      <c r="I43" s="99"/>
      <c r="J43" s="164"/>
      <c r="K43" s="96"/>
      <c r="L43" s="94"/>
      <c r="M43" s="94"/>
      <c r="N43" s="94"/>
      <c r="Q43" s="231"/>
      <c r="R43" s="231"/>
      <c r="S43" s="231"/>
      <c r="V43" s="1"/>
      <c r="W43"/>
      <c r="X43"/>
    </row>
    <row r="44" spans="1:24" x14ac:dyDescent="0.25">
      <c r="A44" s="244"/>
      <c r="B44" s="361"/>
      <c r="C44" s="362"/>
      <c r="D44" s="362"/>
      <c r="E44" s="362"/>
      <c r="F44" s="362"/>
      <c r="G44" s="363"/>
      <c r="H44" s="167"/>
      <c r="I44" s="100"/>
      <c r="J44" s="167"/>
      <c r="K44" s="98"/>
      <c r="L44" s="94"/>
      <c r="M44" s="94"/>
      <c r="N44" s="94"/>
      <c r="Q44" s="231"/>
      <c r="R44" s="231"/>
      <c r="S44" s="231"/>
      <c r="V44" s="1"/>
      <c r="W44"/>
      <c r="X44"/>
    </row>
    <row r="45" spans="1:24" x14ac:dyDescent="0.25">
      <c r="A45" s="245"/>
      <c r="B45" s="364"/>
      <c r="C45" s="365"/>
      <c r="D45" s="365"/>
      <c r="E45" s="365"/>
      <c r="F45" s="365"/>
      <c r="G45" s="366"/>
      <c r="H45" s="246"/>
      <c r="I45" s="247"/>
      <c r="J45" s="246"/>
      <c r="K45" s="248"/>
      <c r="L45" s="94"/>
      <c r="M45" s="94"/>
      <c r="N45" s="94"/>
      <c r="O45" s="94"/>
      <c r="P45" s="94"/>
      <c r="Q45" s="231"/>
      <c r="R45" s="231"/>
      <c r="S45" s="231"/>
      <c r="V45" s="1"/>
      <c r="W45"/>
      <c r="X45"/>
    </row>
    <row r="46" spans="1:24" x14ac:dyDescent="0.25">
      <c r="A46" s="50" t="s">
        <v>44</v>
      </c>
      <c r="B46" s="46"/>
      <c r="C46" s="46"/>
      <c r="D46" s="47"/>
      <c r="E46" s="47"/>
      <c r="F46" s="47"/>
      <c r="G46" s="47"/>
      <c r="H46" s="241">
        <f>SUM(H43:H45)</f>
        <v>0</v>
      </c>
      <c r="I46" s="242"/>
      <c r="J46" s="241">
        <f>SUM(J43:J45)</f>
        <v>0</v>
      </c>
      <c r="K46" s="242"/>
      <c r="L46" s="94"/>
      <c r="M46" s="94"/>
      <c r="N46" s="94"/>
      <c r="O46" s="94"/>
      <c r="P46" s="94"/>
      <c r="Q46" s="231"/>
      <c r="R46" s="231"/>
      <c r="S46" s="231"/>
      <c r="V46" s="1"/>
      <c r="W46"/>
      <c r="X46"/>
    </row>
    <row r="47" spans="1:24" ht="6" customHeight="1" x14ac:dyDescent="0.25">
      <c r="A47" s="13"/>
      <c r="B47" s="13"/>
      <c r="C47" s="15"/>
      <c r="D47" s="15"/>
      <c r="E47" s="15"/>
      <c r="F47" s="15"/>
      <c r="G47" s="16"/>
      <c r="H47" s="10"/>
      <c r="I47" s="10"/>
      <c r="J47" s="16"/>
      <c r="K47" s="16"/>
      <c r="L47" s="94"/>
      <c r="M47" s="94"/>
      <c r="N47" s="94"/>
      <c r="O47" s="94"/>
      <c r="P47" s="94"/>
      <c r="Q47" s="18"/>
      <c r="R47" s="18"/>
      <c r="S47" s="18"/>
      <c r="V47" s="1"/>
      <c r="W47"/>
      <c r="X47"/>
    </row>
    <row r="48" spans="1:24" ht="11.25" customHeight="1" x14ac:dyDescent="0.25">
      <c r="A48" s="93"/>
      <c r="B48" s="46" t="s">
        <v>30</v>
      </c>
      <c r="C48" s="46"/>
      <c r="D48" s="47"/>
      <c r="E48" s="47"/>
      <c r="F48" s="47"/>
      <c r="G48" s="48" t="s">
        <v>31</v>
      </c>
      <c r="H48" s="47"/>
      <c r="I48" s="47"/>
      <c r="J48" s="47"/>
      <c r="K48" s="54"/>
      <c r="M48" s="48" t="s">
        <v>32</v>
      </c>
      <c r="N48" s="47"/>
      <c r="O48" s="47"/>
      <c r="P48" s="54"/>
      <c r="Q48" s="46" t="s">
        <v>33</v>
      </c>
      <c r="R48" s="46"/>
      <c r="S48" s="54"/>
      <c r="V48" s="1"/>
      <c r="W48"/>
      <c r="X48"/>
    </row>
    <row r="49" spans="1:24" x14ac:dyDescent="0.25">
      <c r="A49" s="50" t="s">
        <v>34</v>
      </c>
      <c r="B49" s="331" t="s">
        <v>67</v>
      </c>
      <c r="C49" s="332"/>
      <c r="D49" s="353"/>
      <c r="E49" s="353"/>
      <c r="F49" s="354"/>
      <c r="G49" s="104"/>
      <c r="H49" s="56" t="s">
        <v>12</v>
      </c>
      <c r="I49" s="57"/>
      <c r="J49" s="55" t="s">
        <v>35</v>
      </c>
      <c r="K49" s="58"/>
      <c r="M49" s="50"/>
      <c r="N49" s="46" t="s">
        <v>12</v>
      </c>
      <c r="O49" s="48" t="s">
        <v>13</v>
      </c>
      <c r="P49" s="52"/>
      <c r="Q49" s="52" t="s">
        <v>71</v>
      </c>
      <c r="R49" s="52" t="s">
        <v>70</v>
      </c>
      <c r="S49" s="53" t="s">
        <v>10</v>
      </c>
      <c r="V49" s="1"/>
      <c r="W49"/>
      <c r="X49"/>
    </row>
    <row r="50" spans="1:24" x14ac:dyDescent="0.25">
      <c r="A50" s="163"/>
      <c r="B50" s="326"/>
      <c r="C50" s="327"/>
      <c r="D50" s="327"/>
      <c r="E50" s="327"/>
      <c r="F50" s="328"/>
      <c r="G50" s="105" t="s">
        <v>36</v>
      </c>
      <c r="H50" s="164"/>
      <c r="I50" s="99"/>
      <c r="J50" s="164"/>
      <c r="K50" s="96"/>
      <c r="M50" s="141" t="s">
        <v>37</v>
      </c>
      <c r="N50" s="165"/>
      <c r="O50" s="166">
        <v>0</v>
      </c>
      <c r="P50" s="140"/>
      <c r="Q50" s="232"/>
      <c r="R50" s="224"/>
      <c r="S50" s="184"/>
      <c r="V50" s="1"/>
      <c r="W50"/>
      <c r="X50"/>
    </row>
    <row r="51" spans="1:24" x14ac:dyDescent="0.25">
      <c r="A51" s="73"/>
      <c r="B51" s="326" t="s">
        <v>58</v>
      </c>
      <c r="C51" s="327"/>
      <c r="D51" s="327"/>
      <c r="E51" s="327"/>
      <c r="F51" s="328"/>
      <c r="G51" s="105" t="s">
        <v>38</v>
      </c>
      <c r="H51" s="167"/>
      <c r="I51" s="100"/>
      <c r="J51" s="167">
        <v>0</v>
      </c>
      <c r="K51" s="98"/>
      <c r="M51" s="105" t="s">
        <v>39</v>
      </c>
      <c r="N51" s="168" t="s">
        <v>58</v>
      </c>
      <c r="O51" s="167">
        <v>0</v>
      </c>
      <c r="P51" s="98"/>
      <c r="Q51" s="233"/>
      <c r="R51" s="168"/>
      <c r="S51" s="169"/>
      <c r="V51" s="1"/>
      <c r="W51"/>
      <c r="X51"/>
    </row>
    <row r="52" spans="1:24" x14ac:dyDescent="0.25">
      <c r="A52" s="73"/>
      <c r="B52" s="326" t="s">
        <v>58</v>
      </c>
      <c r="C52" s="327"/>
      <c r="D52" s="327"/>
      <c r="E52" s="327"/>
      <c r="F52" s="328"/>
      <c r="G52" s="105" t="s">
        <v>40</v>
      </c>
      <c r="H52" s="167"/>
      <c r="I52" s="100"/>
      <c r="J52" s="167" t="s">
        <v>58</v>
      </c>
      <c r="K52" s="98"/>
      <c r="M52" s="105" t="s">
        <v>41</v>
      </c>
      <c r="N52" s="168" t="s">
        <v>58</v>
      </c>
      <c r="O52" s="167">
        <v>0</v>
      </c>
      <c r="P52" s="98"/>
      <c r="Q52" s="233"/>
      <c r="R52" s="168"/>
      <c r="S52" s="169"/>
      <c r="V52" s="1"/>
      <c r="W52"/>
      <c r="X52"/>
    </row>
    <row r="53" spans="1:24" x14ac:dyDescent="0.25">
      <c r="A53" s="73"/>
      <c r="B53" s="124" t="s">
        <v>59</v>
      </c>
      <c r="C53" s="134"/>
      <c r="D53" s="327"/>
      <c r="E53" s="327"/>
      <c r="F53" s="328"/>
      <c r="G53" s="105" t="s">
        <v>42</v>
      </c>
      <c r="H53" s="112">
        <f>$D54*Codes!$H$2</f>
        <v>0</v>
      </c>
      <c r="I53" s="118"/>
      <c r="J53" s="112">
        <f>$D55*Codes!$H$4</f>
        <v>0</v>
      </c>
      <c r="K53" s="103"/>
      <c r="M53" s="105" t="s">
        <v>43</v>
      </c>
      <c r="N53" s="168"/>
      <c r="O53" s="167">
        <v>0</v>
      </c>
      <c r="P53" s="98"/>
      <c r="Q53" s="233"/>
      <c r="R53" s="168" t="s">
        <v>58</v>
      </c>
      <c r="S53" s="169"/>
      <c r="V53" s="1"/>
      <c r="W53"/>
      <c r="X53"/>
    </row>
    <row r="54" spans="1:24" x14ac:dyDescent="0.25">
      <c r="A54" s="210" t="s">
        <v>173</v>
      </c>
      <c r="B54" s="211"/>
      <c r="C54" s="212"/>
      <c r="D54" s="213">
        <v>0</v>
      </c>
      <c r="E54" s="211" t="str">
        <f>"miles @ "&amp;TEXT(Codes!H$2,"$0.00")&amp;"/mile for In-State miles"</f>
        <v>miles @ $0.30/mile for In-State miles</v>
      </c>
      <c r="F54" s="211"/>
      <c r="G54" s="214"/>
      <c r="H54" s="215"/>
      <c r="I54" s="103"/>
      <c r="J54" s="216"/>
      <c r="K54" s="103"/>
      <c r="M54" s="106" t="s">
        <v>44</v>
      </c>
      <c r="N54" s="142">
        <f>SUM(N50:N53)</f>
        <v>0</v>
      </c>
      <c r="O54" s="113">
        <f>SUM(O50:O53)</f>
        <v>0</v>
      </c>
      <c r="P54" s="114"/>
      <c r="Q54" s="234"/>
      <c r="R54" s="186"/>
      <c r="S54" s="187"/>
      <c r="V54" s="1"/>
      <c r="W54"/>
      <c r="X54"/>
    </row>
    <row r="55" spans="1:24" x14ac:dyDescent="0.25">
      <c r="A55" s="202" t="s">
        <v>173</v>
      </c>
      <c r="B55" s="203"/>
      <c r="C55" s="204"/>
      <c r="D55" s="205"/>
      <c r="E55" s="203" t="str">
        <f>"miles @ "&amp;TEXT(Codes!H$4,"$0.00")&amp;"/mile for Out-of-State miles"</f>
        <v>miles @ $0.30/mile for Out-of-State miles</v>
      </c>
      <c r="F55" s="203"/>
      <c r="G55" s="206"/>
      <c r="H55" s="207"/>
      <c r="I55" s="208"/>
      <c r="J55" s="209"/>
      <c r="K55" s="208"/>
      <c r="M55" s="49"/>
      <c r="N55" s="197"/>
      <c r="O55" s="85"/>
      <c r="P55" s="27"/>
      <c r="Q55" s="235"/>
      <c r="R55" s="198"/>
      <c r="S55" s="199"/>
      <c r="V55" s="1"/>
      <c r="W55"/>
      <c r="X55"/>
    </row>
    <row r="56" spans="1:24" x14ac:dyDescent="0.25">
      <c r="A56" s="172"/>
      <c r="B56" s="326"/>
      <c r="C56" s="327"/>
      <c r="D56" s="327"/>
      <c r="E56" s="327"/>
      <c r="F56" s="328"/>
      <c r="G56" s="107" t="s">
        <v>36</v>
      </c>
      <c r="H56" s="164"/>
      <c r="I56" s="99"/>
      <c r="J56" s="164"/>
      <c r="K56" s="96"/>
      <c r="M56" s="107" t="s">
        <v>37</v>
      </c>
      <c r="N56" s="173" t="s">
        <v>58</v>
      </c>
      <c r="O56" s="164">
        <v>0</v>
      </c>
      <c r="P56" s="96"/>
      <c r="Q56" s="236"/>
      <c r="R56" s="173" t="s">
        <v>58</v>
      </c>
      <c r="S56" s="175">
        <v>0</v>
      </c>
      <c r="V56" s="1"/>
      <c r="W56"/>
      <c r="X56"/>
    </row>
    <row r="57" spans="1:24" x14ac:dyDescent="0.25">
      <c r="A57" s="73"/>
      <c r="B57" s="326"/>
      <c r="C57" s="327"/>
      <c r="D57" s="327"/>
      <c r="E57" s="327"/>
      <c r="F57" s="328"/>
      <c r="G57" s="105" t="s">
        <v>38</v>
      </c>
      <c r="H57" s="167"/>
      <c r="I57" s="100"/>
      <c r="J57" s="167"/>
      <c r="K57" s="98"/>
      <c r="M57" s="105" t="s">
        <v>39</v>
      </c>
      <c r="N57" s="168" t="s">
        <v>58</v>
      </c>
      <c r="O57" s="167">
        <v>0</v>
      </c>
      <c r="P57" s="98"/>
      <c r="Q57" s="233"/>
      <c r="R57" s="168"/>
      <c r="S57" s="169"/>
      <c r="U57" s="1"/>
      <c r="V57" s="1"/>
      <c r="W57"/>
      <c r="X57"/>
    </row>
    <row r="58" spans="1:24" x14ac:dyDescent="0.25">
      <c r="A58" s="73"/>
      <c r="B58" s="326"/>
      <c r="C58" s="327"/>
      <c r="D58" s="327"/>
      <c r="E58" s="327"/>
      <c r="F58" s="328"/>
      <c r="G58" s="105" t="s">
        <v>40</v>
      </c>
      <c r="H58" s="167"/>
      <c r="I58" s="100"/>
      <c r="J58" s="167"/>
      <c r="K58" s="98"/>
      <c r="M58" s="105" t="s">
        <v>41</v>
      </c>
      <c r="N58" s="168" t="s">
        <v>58</v>
      </c>
      <c r="O58" s="167">
        <v>0</v>
      </c>
      <c r="P58" s="98"/>
      <c r="Q58" s="233"/>
      <c r="R58" s="168"/>
      <c r="S58" s="169"/>
      <c r="U58" s="1"/>
      <c r="V58" s="1"/>
      <c r="W58"/>
      <c r="X58"/>
    </row>
    <row r="59" spans="1:24" x14ac:dyDescent="0.25">
      <c r="A59" s="73"/>
      <c r="B59" s="326"/>
      <c r="C59" s="327"/>
      <c r="D59" s="327"/>
      <c r="E59" s="327"/>
      <c r="F59" s="328"/>
      <c r="G59" s="105" t="s">
        <v>42</v>
      </c>
      <c r="H59" s="112">
        <f>$D60*Codes!$H$2</f>
        <v>0</v>
      </c>
      <c r="I59" s="118"/>
      <c r="J59" s="112">
        <f>$D61*Codes!$H$4</f>
        <v>0</v>
      </c>
      <c r="K59" s="103"/>
      <c r="M59" s="105" t="s">
        <v>43</v>
      </c>
      <c r="N59" s="168"/>
      <c r="O59" s="167">
        <v>0</v>
      </c>
      <c r="P59" s="98"/>
      <c r="Q59" s="233"/>
      <c r="R59" s="168"/>
      <c r="S59" s="169"/>
      <c r="U59" s="1"/>
      <c r="V59" s="1"/>
      <c r="W59"/>
      <c r="X59"/>
    </row>
    <row r="60" spans="1:24" x14ac:dyDescent="0.25">
      <c r="A60" s="210" t="s">
        <v>173</v>
      </c>
      <c r="B60" s="211"/>
      <c r="C60" s="212"/>
      <c r="D60" s="213"/>
      <c r="E60" s="211" t="str">
        <f>"miles @ "&amp;TEXT(Codes!H$2,"$0.00")&amp;"/mile for In-State miles"</f>
        <v>miles @ $0.30/mile for In-State miles</v>
      </c>
      <c r="F60" s="211"/>
      <c r="G60" s="214"/>
      <c r="H60" s="215"/>
      <c r="I60" s="103"/>
      <c r="J60" s="216"/>
      <c r="K60" s="103"/>
      <c r="M60" s="106" t="s">
        <v>44</v>
      </c>
      <c r="N60" s="142">
        <f>SUM(N56:N59)</f>
        <v>0</v>
      </c>
      <c r="O60" s="113">
        <f>SUM(O56:O59)</f>
        <v>0</v>
      </c>
      <c r="P60" s="114"/>
      <c r="Q60" s="237"/>
      <c r="R60" s="170"/>
      <c r="S60" s="171"/>
      <c r="U60" s="1"/>
      <c r="V60" s="1"/>
      <c r="W60"/>
      <c r="X60"/>
    </row>
    <row r="61" spans="1:24" x14ac:dyDescent="0.25">
      <c r="A61" s="202" t="s">
        <v>173</v>
      </c>
      <c r="B61" s="203"/>
      <c r="C61" s="204"/>
      <c r="D61" s="205"/>
      <c r="E61" s="203" t="str">
        <f>"miles @ "&amp;TEXT(Codes!H$4,"$0.00")&amp;"/mile for Out-of-State miles"</f>
        <v>miles @ $0.30/mile for Out-of-State miles</v>
      </c>
      <c r="F61" s="203"/>
      <c r="G61" s="206"/>
      <c r="H61" s="207"/>
      <c r="I61" s="208"/>
      <c r="J61" s="209"/>
      <c r="K61" s="208"/>
      <c r="M61" s="217"/>
      <c r="N61" s="219" t="s">
        <v>44</v>
      </c>
      <c r="O61" s="220" t="s">
        <v>44</v>
      </c>
      <c r="P61" s="60"/>
      <c r="Q61" s="218"/>
      <c r="R61" s="218"/>
      <c r="S61" s="221" t="s">
        <v>75</v>
      </c>
      <c r="U61" s="1"/>
      <c r="V61" s="1"/>
      <c r="W61"/>
      <c r="X61"/>
    </row>
    <row r="62" spans="1:24" ht="10.5" customHeight="1" x14ac:dyDescent="0.25">
      <c r="A62" s="76" t="s">
        <v>45</v>
      </c>
      <c r="B62" s="77"/>
      <c r="C62" s="77"/>
      <c r="D62" s="349" t="s">
        <v>46</v>
      </c>
      <c r="E62" s="349"/>
      <c r="F62" s="349"/>
      <c r="G62" s="338"/>
      <c r="H62" s="59" t="s">
        <v>44</v>
      </c>
      <c r="I62" s="60"/>
      <c r="J62" s="61" t="s">
        <v>44</v>
      </c>
      <c r="K62" s="62"/>
      <c r="N62" s="59" t="s">
        <v>78</v>
      </c>
      <c r="O62" s="345" t="s">
        <v>78</v>
      </c>
      <c r="P62" s="346"/>
      <c r="Q62" s="8"/>
      <c r="S62" s="49" t="s">
        <v>21</v>
      </c>
      <c r="U62" s="1"/>
      <c r="V62" s="1"/>
      <c r="W62"/>
      <c r="X62"/>
    </row>
    <row r="63" spans="1:24" ht="9.75" customHeight="1" x14ac:dyDescent="0.25">
      <c r="A63" s="31" t="s">
        <v>47</v>
      </c>
      <c r="B63" s="41"/>
      <c r="C63" s="41"/>
      <c r="D63" s="51"/>
      <c r="E63" s="44" t="s">
        <v>48</v>
      </c>
      <c r="F63" s="51"/>
      <c r="G63" s="65"/>
      <c r="H63" s="63" t="s">
        <v>49</v>
      </c>
      <c r="I63" s="64"/>
      <c r="J63" s="56" t="s">
        <v>49</v>
      </c>
      <c r="K63" s="65"/>
      <c r="N63" s="63" t="s">
        <v>32</v>
      </c>
      <c r="O63" s="339" t="s">
        <v>32</v>
      </c>
      <c r="P63" s="340"/>
      <c r="Q63" s="8"/>
      <c r="S63" s="222" t="s">
        <v>79</v>
      </c>
      <c r="U63" s="1"/>
      <c r="V63" s="1"/>
      <c r="W63"/>
      <c r="X63"/>
    </row>
    <row r="64" spans="1:24" ht="9.75" customHeight="1" x14ac:dyDescent="0.25">
      <c r="A64" s="31" t="s">
        <v>50</v>
      </c>
      <c r="B64" s="36"/>
      <c r="C64" s="36"/>
      <c r="D64" s="78" t="s">
        <v>54</v>
      </c>
      <c r="E64" s="249">
        <f>Codes!F7</f>
        <v>8.1999999999999993</v>
      </c>
      <c r="F64" s="249">
        <f>Codes!G7</f>
        <v>8.1999999999999993</v>
      </c>
      <c r="G64" s="62"/>
      <c r="H64" s="31"/>
      <c r="I64" s="66"/>
      <c r="J64" s="36"/>
      <c r="K64" s="66"/>
      <c r="N64" s="23"/>
      <c r="O64" s="23"/>
      <c r="P64" s="27"/>
      <c r="Q64" s="8"/>
      <c r="S64" s="73"/>
      <c r="U64" s="1"/>
      <c r="V64" s="1"/>
      <c r="W64"/>
      <c r="X64"/>
    </row>
    <row r="65" spans="1:24" ht="9.75" customHeight="1" x14ac:dyDescent="0.25">
      <c r="A65" s="31" t="s">
        <v>65</v>
      </c>
      <c r="B65" s="36"/>
      <c r="C65" s="36"/>
      <c r="D65" s="78" t="s">
        <v>51</v>
      </c>
      <c r="E65" s="249">
        <f>Codes!F8</f>
        <v>10.7</v>
      </c>
      <c r="F65" s="249">
        <f>Codes!G8</f>
        <v>10.7</v>
      </c>
      <c r="G65" s="62"/>
      <c r="H65" s="85">
        <f>SUM(H50:H59)</f>
        <v>0</v>
      </c>
      <c r="I65" s="86"/>
      <c r="J65" s="87">
        <f>SUM(J50:J59)</f>
        <v>0</v>
      </c>
      <c r="K65" s="66"/>
      <c r="N65" s="85">
        <f>N54+N60</f>
        <v>0</v>
      </c>
      <c r="O65" s="85">
        <f>O54+O60</f>
        <v>0</v>
      </c>
      <c r="P65" s="25"/>
      <c r="Q65" s="10"/>
      <c r="R65" s="84" t="s">
        <v>72</v>
      </c>
      <c r="S65" s="89">
        <f>SUMIF(Q50:Q60,"I",S50:S60)</f>
        <v>0</v>
      </c>
      <c r="U65" s="1"/>
      <c r="V65" s="1"/>
      <c r="W65"/>
      <c r="X65"/>
    </row>
    <row r="66" spans="1:24" ht="10.5" customHeight="1" x14ac:dyDescent="0.25">
      <c r="A66" s="45" t="s">
        <v>66</v>
      </c>
      <c r="B66" s="44"/>
      <c r="C66" s="44"/>
      <c r="D66" s="79" t="s">
        <v>52</v>
      </c>
      <c r="E66" s="250">
        <f>Codes!F9</f>
        <v>18.399999999999999</v>
      </c>
      <c r="F66" s="250">
        <f>Codes!G9</f>
        <v>20.9</v>
      </c>
      <c r="G66" s="65"/>
      <c r="H66" s="80"/>
      <c r="I66" s="57"/>
      <c r="J66" s="44" t="s">
        <v>58</v>
      </c>
      <c r="K66" s="57"/>
      <c r="N66" s="75"/>
      <c r="O66" s="75" t="s">
        <v>58</v>
      </c>
      <c r="P66" s="29"/>
      <c r="Q66" s="10"/>
      <c r="R66" s="84" t="s">
        <v>73</v>
      </c>
      <c r="S66" s="185">
        <f>SUMIF(Q50:Q60,"O",S50:S60)</f>
        <v>0</v>
      </c>
      <c r="U66" s="1"/>
      <c r="V66" s="1"/>
      <c r="W66"/>
      <c r="X66"/>
    </row>
    <row r="67" spans="1:24" ht="7.5" customHeight="1" x14ac:dyDescent="0.25">
      <c r="A67" s="9"/>
      <c r="B67" s="9"/>
      <c r="C67" s="9"/>
      <c r="D67" s="9"/>
      <c r="E67" s="9"/>
      <c r="F67" s="9"/>
      <c r="G67" s="35"/>
      <c r="U67" s="1"/>
      <c r="V67" s="1"/>
      <c r="W67"/>
      <c r="X67"/>
    </row>
    <row r="68" spans="1:24" ht="7.5" customHeight="1" x14ac:dyDescent="0.25">
      <c r="A68" s="10"/>
      <c r="B68" s="10"/>
      <c r="C68" s="10"/>
      <c r="D68" s="10"/>
      <c r="E68" s="10"/>
      <c r="F68" s="10"/>
      <c r="G68" s="34"/>
      <c r="H68" s="10"/>
      <c r="I68" s="10"/>
      <c r="J68" s="10"/>
      <c r="K68" s="10"/>
      <c r="L68" s="8"/>
      <c r="M68" s="10"/>
      <c r="N68" s="10"/>
      <c r="O68" s="10"/>
      <c r="P68" s="10"/>
      <c r="Q68" s="10"/>
      <c r="R68" s="10"/>
      <c r="S68" s="10"/>
      <c r="U68" s="1"/>
      <c r="V68" s="1"/>
      <c r="W68"/>
      <c r="X68"/>
    </row>
    <row r="69" spans="1:24" x14ac:dyDescent="0.25">
      <c r="A69" s="151"/>
      <c r="B69" s="108" t="s">
        <v>30</v>
      </c>
      <c r="C69" s="108"/>
      <c r="D69" s="123"/>
      <c r="E69" s="123"/>
      <c r="F69" s="123"/>
      <c r="G69" s="109" t="s">
        <v>31</v>
      </c>
      <c r="H69" s="123"/>
      <c r="I69" s="123"/>
      <c r="J69" s="123"/>
      <c r="K69" s="152"/>
      <c r="L69" s="183"/>
      <c r="M69" s="109" t="s">
        <v>32</v>
      </c>
      <c r="N69" s="123"/>
      <c r="O69" s="123"/>
      <c r="P69" s="152"/>
      <c r="Q69" s="108" t="s">
        <v>33</v>
      </c>
      <c r="R69" s="108"/>
      <c r="S69" s="152"/>
      <c r="W69"/>
      <c r="X69"/>
    </row>
    <row r="70" spans="1:24" x14ac:dyDescent="0.25">
      <c r="A70" s="106" t="s">
        <v>34</v>
      </c>
      <c r="B70" s="333" t="s">
        <v>67</v>
      </c>
      <c r="C70" s="334"/>
      <c r="D70" s="347"/>
      <c r="E70" s="347"/>
      <c r="F70" s="348"/>
      <c r="G70" s="154"/>
      <c r="H70" s="155" t="s">
        <v>12</v>
      </c>
      <c r="I70" s="156"/>
      <c r="J70" s="153" t="s">
        <v>35</v>
      </c>
      <c r="K70" s="157"/>
      <c r="L70" s="9"/>
      <c r="M70" s="158"/>
      <c r="N70" s="159" t="s">
        <v>12</v>
      </c>
      <c r="O70" s="160" t="s">
        <v>13</v>
      </c>
      <c r="P70" s="161"/>
      <c r="Q70" s="52"/>
      <c r="R70" s="52"/>
      <c r="S70" s="119"/>
    </row>
    <row r="71" spans="1:24" x14ac:dyDescent="0.25">
      <c r="A71" s="143"/>
      <c r="B71" s="144" t="s">
        <v>53</v>
      </c>
      <c r="C71" s="144"/>
      <c r="D71" s="145"/>
      <c r="E71" s="145"/>
      <c r="F71" s="146"/>
      <c r="G71" s="147"/>
      <c r="H71" s="148">
        <f>+H65</f>
        <v>0</v>
      </c>
      <c r="I71" s="90"/>
      <c r="J71" s="148">
        <f>+J65</f>
        <v>0</v>
      </c>
      <c r="K71" s="149"/>
      <c r="L71" s="9"/>
      <c r="M71" s="150"/>
      <c r="N71" s="83">
        <f>+N65</f>
        <v>0</v>
      </c>
      <c r="O71" s="148">
        <f>+O65</f>
        <v>0</v>
      </c>
      <c r="P71" s="149"/>
      <c r="Q71" s="53" t="s">
        <v>71</v>
      </c>
      <c r="R71" s="52" t="s">
        <v>70</v>
      </c>
      <c r="S71" s="119" t="s">
        <v>10</v>
      </c>
      <c r="U71" s="268"/>
    </row>
    <row r="72" spans="1:24" x14ac:dyDescent="0.25">
      <c r="A72" s="172"/>
      <c r="B72" s="326"/>
      <c r="C72" s="327"/>
      <c r="D72" s="327"/>
      <c r="E72" s="327"/>
      <c r="F72" s="328"/>
      <c r="G72" s="110" t="s">
        <v>36</v>
      </c>
      <c r="H72" s="173"/>
      <c r="I72" s="97"/>
      <c r="J72" s="173"/>
      <c r="K72" s="162"/>
      <c r="L72" s="9"/>
      <c r="M72" s="107" t="s">
        <v>37</v>
      </c>
      <c r="N72" s="173" t="s">
        <v>58</v>
      </c>
      <c r="O72" s="164">
        <v>0</v>
      </c>
      <c r="P72" s="97"/>
      <c r="Q72" s="236"/>
      <c r="R72" s="176" t="s">
        <v>58</v>
      </c>
      <c r="S72" s="176">
        <v>0</v>
      </c>
      <c r="U72" s="268"/>
    </row>
    <row r="73" spans="1:24" x14ac:dyDescent="0.25">
      <c r="A73" s="95"/>
      <c r="B73" s="326"/>
      <c r="C73" s="327"/>
      <c r="D73" s="327"/>
      <c r="E73" s="327"/>
      <c r="F73" s="328"/>
      <c r="G73" s="105" t="s">
        <v>38</v>
      </c>
      <c r="H73" s="168"/>
      <c r="I73" s="116"/>
      <c r="J73" s="168"/>
      <c r="K73" s="117"/>
      <c r="L73" s="9"/>
      <c r="M73" s="105" t="s">
        <v>39</v>
      </c>
      <c r="N73" s="168" t="s">
        <v>58</v>
      </c>
      <c r="O73" s="167">
        <v>0</v>
      </c>
      <c r="P73" s="116"/>
      <c r="Q73" s="233"/>
      <c r="R73" s="177"/>
      <c r="S73" s="177"/>
      <c r="U73" s="268"/>
    </row>
    <row r="74" spans="1:24" x14ac:dyDescent="0.25">
      <c r="A74" s="73"/>
      <c r="B74" s="326"/>
      <c r="C74" s="327"/>
      <c r="D74" s="327"/>
      <c r="E74" s="327"/>
      <c r="F74" s="328"/>
      <c r="G74" s="115" t="s">
        <v>40</v>
      </c>
      <c r="H74" s="168"/>
      <c r="I74" s="116"/>
      <c r="J74" s="168"/>
      <c r="K74" s="117"/>
      <c r="L74" s="9"/>
      <c r="M74" s="105" t="s">
        <v>41</v>
      </c>
      <c r="N74" s="168" t="s">
        <v>58</v>
      </c>
      <c r="O74" s="167">
        <v>0</v>
      </c>
      <c r="P74" s="116"/>
      <c r="Q74" s="233"/>
      <c r="R74" s="168"/>
      <c r="S74" s="178"/>
      <c r="U74" s="268"/>
    </row>
    <row r="75" spans="1:24" x14ac:dyDescent="0.25">
      <c r="A75" s="74"/>
      <c r="B75" s="326"/>
      <c r="C75" s="327"/>
      <c r="D75" s="327"/>
      <c r="E75" s="327"/>
      <c r="F75" s="328"/>
      <c r="G75" s="105" t="s">
        <v>42</v>
      </c>
      <c r="H75" s="112">
        <f>$D76*Codes!$H$2</f>
        <v>0</v>
      </c>
      <c r="I75" s="118"/>
      <c r="J75" s="112">
        <f>$D77*Codes!$H$4</f>
        <v>0</v>
      </c>
      <c r="K75" s="103"/>
      <c r="L75" s="9"/>
      <c r="M75" s="105" t="s">
        <v>43</v>
      </c>
      <c r="N75" s="168"/>
      <c r="O75" s="167">
        <v>0</v>
      </c>
      <c r="P75" s="116"/>
      <c r="Q75" s="233"/>
      <c r="R75" s="177"/>
      <c r="S75" s="177"/>
      <c r="U75" s="264"/>
      <c r="V75" s="1"/>
    </row>
    <row r="76" spans="1:24" x14ac:dyDescent="0.25">
      <c r="A76" s="210" t="s">
        <v>173</v>
      </c>
      <c r="B76" s="211"/>
      <c r="C76" s="212"/>
      <c r="D76" s="213"/>
      <c r="E76" s="211" t="str">
        <f>"miles @ "&amp;TEXT(Codes!H$2,"$0.00")&amp;"/mile for In-State miles"</f>
        <v>miles @ $0.30/mile for In-State miles</v>
      </c>
      <c r="F76" s="211"/>
      <c r="G76" s="214"/>
      <c r="H76" s="215"/>
      <c r="I76" s="103"/>
      <c r="J76" s="216"/>
      <c r="K76" s="103"/>
      <c r="L76" s="9"/>
      <c r="M76" s="105" t="s">
        <v>44</v>
      </c>
      <c r="N76" s="112">
        <f>SUM(N72:N75)</f>
        <v>0</v>
      </c>
      <c r="O76" s="102">
        <f>SUM(O72:O75)</f>
        <v>0</v>
      </c>
      <c r="P76" s="223"/>
      <c r="Q76" s="233"/>
      <c r="R76" s="177"/>
      <c r="S76" s="177"/>
      <c r="U76" s="264"/>
      <c r="V76" s="1"/>
    </row>
    <row r="77" spans="1:24" x14ac:dyDescent="0.25">
      <c r="A77" s="202" t="s">
        <v>173</v>
      </c>
      <c r="B77" s="203"/>
      <c r="C77" s="204"/>
      <c r="D77" s="205"/>
      <c r="E77" s="203" t="str">
        <f>"miles @ "&amp;TEXT(Codes!H$4,"$0.00")&amp;"/mile for Out-of-State miles"</f>
        <v>miles @ $0.30/mile for Out-of-State miles</v>
      </c>
      <c r="F77" s="203"/>
      <c r="G77" s="206"/>
      <c r="H77" s="207"/>
      <c r="I77" s="208"/>
      <c r="J77" s="209"/>
      <c r="K77" s="208"/>
      <c r="L77" s="9"/>
      <c r="M77" s="49"/>
      <c r="N77" s="197"/>
      <c r="O77" s="85"/>
      <c r="P77" s="200"/>
      <c r="Q77" s="238"/>
      <c r="R77" s="201"/>
      <c r="S77" s="201"/>
      <c r="U77" s="264"/>
      <c r="V77" s="1"/>
    </row>
    <row r="78" spans="1:24" x14ac:dyDescent="0.25">
      <c r="A78" s="172"/>
      <c r="B78" s="326"/>
      <c r="C78" s="327"/>
      <c r="D78" s="327"/>
      <c r="E78" s="327"/>
      <c r="F78" s="328"/>
      <c r="G78" s="110" t="s">
        <v>36</v>
      </c>
      <c r="H78" s="174"/>
      <c r="I78" s="97"/>
      <c r="J78" s="173"/>
      <c r="K78" s="162"/>
      <c r="L78" s="9"/>
      <c r="M78" s="107" t="s">
        <v>37</v>
      </c>
      <c r="N78" s="173" t="s">
        <v>58</v>
      </c>
      <c r="O78" s="164">
        <v>0</v>
      </c>
      <c r="P78" s="97"/>
      <c r="Q78" s="236" t="s">
        <v>58</v>
      </c>
      <c r="R78" s="176"/>
      <c r="S78" s="176"/>
      <c r="U78" s="264"/>
      <c r="V78" s="1"/>
    </row>
    <row r="79" spans="1:24" x14ac:dyDescent="0.25">
      <c r="A79" s="73"/>
      <c r="B79" s="326"/>
      <c r="C79" s="327"/>
      <c r="D79" s="327"/>
      <c r="E79" s="327"/>
      <c r="F79" s="328"/>
      <c r="G79" s="115" t="s">
        <v>38</v>
      </c>
      <c r="H79" s="168"/>
      <c r="I79" s="116"/>
      <c r="J79" s="168"/>
      <c r="K79" s="117"/>
      <c r="L79" s="9"/>
      <c r="M79" s="105" t="s">
        <v>39</v>
      </c>
      <c r="N79" s="168" t="s">
        <v>58</v>
      </c>
      <c r="O79" s="167">
        <v>0</v>
      </c>
      <c r="P79" s="116"/>
      <c r="Q79" s="233"/>
      <c r="R79" s="177"/>
      <c r="S79" s="177"/>
      <c r="U79" s="264"/>
      <c r="V79" s="1"/>
    </row>
    <row r="80" spans="1:24" x14ac:dyDescent="0.25">
      <c r="A80" s="73"/>
      <c r="B80" s="326"/>
      <c r="C80" s="327"/>
      <c r="D80" s="327"/>
      <c r="E80" s="327"/>
      <c r="F80" s="328"/>
      <c r="G80" s="115" t="s">
        <v>40</v>
      </c>
      <c r="H80" s="168"/>
      <c r="I80" s="116"/>
      <c r="J80" s="168"/>
      <c r="K80" s="117"/>
      <c r="L80" s="9"/>
      <c r="M80" s="105" t="s">
        <v>41</v>
      </c>
      <c r="N80" s="168" t="s">
        <v>58</v>
      </c>
      <c r="O80" s="167">
        <v>0</v>
      </c>
      <c r="P80" s="116"/>
      <c r="Q80" s="233"/>
      <c r="R80" s="177"/>
      <c r="S80" s="177"/>
      <c r="U80" s="264"/>
      <c r="V80" s="1"/>
    </row>
    <row r="81" spans="1:22" x14ac:dyDescent="0.25">
      <c r="A81" s="73"/>
      <c r="B81" s="326"/>
      <c r="C81" s="327"/>
      <c r="D81" s="327"/>
      <c r="E81" s="327"/>
      <c r="F81" s="328"/>
      <c r="G81" s="115" t="s">
        <v>42</v>
      </c>
      <c r="H81" s="112">
        <f>D82*Codes!$H$2</f>
        <v>0</v>
      </c>
      <c r="I81" s="118"/>
      <c r="J81" s="112">
        <f>$D83*Codes!$H$4</f>
        <v>0</v>
      </c>
      <c r="K81" s="103"/>
      <c r="L81" s="9"/>
      <c r="M81" s="105" t="s">
        <v>43</v>
      </c>
      <c r="N81" s="168"/>
      <c r="O81" s="167"/>
      <c r="P81" s="116"/>
      <c r="Q81" s="233"/>
      <c r="R81" s="177"/>
      <c r="S81" s="177"/>
      <c r="U81" s="264"/>
      <c r="V81" s="1"/>
    </row>
    <row r="82" spans="1:22" x14ac:dyDescent="0.25">
      <c r="A82" s="210" t="s">
        <v>173</v>
      </c>
      <c r="B82" s="211"/>
      <c r="C82" s="212"/>
      <c r="D82" s="213"/>
      <c r="E82" s="211" t="str">
        <f>"miles @ "&amp;TEXT(Codes!H$2,"$0.00")&amp;"/mile for In-State miles"</f>
        <v>miles @ $0.30/mile for In-State miles</v>
      </c>
      <c r="F82" s="211"/>
      <c r="G82" s="214"/>
      <c r="H82" s="215"/>
      <c r="I82" s="103"/>
      <c r="J82" s="216"/>
      <c r="K82" s="103"/>
      <c r="L82" s="9"/>
      <c r="M82" s="105" t="s">
        <v>44</v>
      </c>
      <c r="N82" s="112">
        <f>SUM(N78:N81)</f>
        <v>0</v>
      </c>
      <c r="O82" s="102">
        <f>SUM(O78:O81)</f>
        <v>0</v>
      </c>
      <c r="P82" s="223"/>
      <c r="Q82" s="233"/>
      <c r="R82" s="177"/>
      <c r="S82" s="177"/>
      <c r="U82" s="264"/>
      <c r="V82" s="1"/>
    </row>
    <row r="83" spans="1:22" x14ac:dyDescent="0.25">
      <c r="A83" s="202" t="s">
        <v>173</v>
      </c>
      <c r="B83" s="203"/>
      <c r="C83" s="204"/>
      <c r="D83" s="205"/>
      <c r="E83" s="203" t="str">
        <f>"miles @ "&amp;TEXT(Codes!H$4,"$0.00")&amp;"/mile for Out-of-State miles"</f>
        <v>miles @ $0.30/mile for Out-of-State miles</v>
      </c>
      <c r="F83" s="203"/>
      <c r="G83" s="206"/>
      <c r="H83" s="207"/>
      <c r="I83" s="208"/>
      <c r="J83" s="209"/>
      <c r="K83" s="208"/>
      <c r="L83" s="9"/>
      <c r="M83" s="49"/>
      <c r="N83" s="197"/>
      <c r="O83" s="85"/>
      <c r="P83" s="200"/>
      <c r="Q83" s="238"/>
      <c r="R83" s="201"/>
      <c r="S83" s="201"/>
      <c r="U83" s="264"/>
      <c r="V83" s="1"/>
    </row>
    <row r="84" spans="1:22" x14ac:dyDescent="0.25">
      <c r="A84" s="172"/>
      <c r="B84" s="326"/>
      <c r="C84" s="327"/>
      <c r="D84" s="327"/>
      <c r="E84" s="327"/>
      <c r="F84" s="328"/>
      <c r="G84" s="110" t="s">
        <v>36</v>
      </c>
      <c r="H84" s="173"/>
      <c r="I84" s="97"/>
      <c r="J84" s="173"/>
      <c r="K84" s="97"/>
      <c r="L84" s="9"/>
      <c r="M84" s="107" t="s">
        <v>37</v>
      </c>
      <c r="N84" s="173"/>
      <c r="O84" s="164"/>
      <c r="P84" s="97"/>
      <c r="Q84" s="236"/>
      <c r="R84" s="176"/>
      <c r="S84" s="176"/>
      <c r="U84" s="270"/>
      <c r="V84" s="271"/>
    </row>
    <row r="85" spans="1:22" x14ac:dyDescent="0.25">
      <c r="A85" s="73"/>
      <c r="B85" s="326"/>
      <c r="C85" s="327"/>
      <c r="D85" s="327"/>
      <c r="E85" s="327"/>
      <c r="F85" s="328"/>
      <c r="G85" s="115" t="s">
        <v>38</v>
      </c>
      <c r="H85" s="168"/>
      <c r="I85" s="116"/>
      <c r="J85" s="168"/>
      <c r="K85" s="116"/>
      <c r="L85" s="9"/>
      <c r="M85" s="105" t="s">
        <v>39</v>
      </c>
      <c r="N85" s="168"/>
      <c r="O85" s="167"/>
      <c r="P85" s="116"/>
      <c r="Q85" s="233"/>
      <c r="R85" s="177"/>
      <c r="S85" s="177"/>
      <c r="U85" s="270"/>
      <c r="V85" s="271"/>
    </row>
    <row r="86" spans="1:22" x14ac:dyDescent="0.25">
      <c r="A86" s="73"/>
      <c r="B86" s="326"/>
      <c r="C86" s="327"/>
      <c r="D86" s="327"/>
      <c r="E86" s="327"/>
      <c r="F86" s="328"/>
      <c r="G86" s="115" t="s">
        <v>40</v>
      </c>
      <c r="H86" s="168"/>
      <c r="I86" s="116"/>
      <c r="J86" s="168"/>
      <c r="K86" s="116"/>
      <c r="L86" s="9"/>
      <c r="M86" s="105" t="s">
        <v>41</v>
      </c>
      <c r="N86" s="168"/>
      <c r="O86" s="167"/>
      <c r="P86" s="116"/>
      <c r="Q86" s="233"/>
      <c r="R86" s="177"/>
      <c r="S86" s="177"/>
      <c r="U86" s="270"/>
      <c r="V86" s="271"/>
    </row>
    <row r="87" spans="1:22" x14ac:dyDescent="0.25">
      <c r="A87" s="73"/>
      <c r="B87" s="326"/>
      <c r="C87" s="327"/>
      <c r="D87" s="327"/>
      <c r="E87" s="327"/>
      <c r="F87" s="328"/>
      <c r="G87" s="115" t="s">
        <v>42</v>
      </c>
      <c r="H87" s="112">
        <f>D88*Codes!$H$2</f>
        <v>0</v>
      </c>
      <c r="I87" s="118"/>
      <c r="J87" s="112">
        <f>$D89*Codes!$H$4</f>
        <v>0</v>
      </c>
      <c r="K87" s="103"/>
      <c r="L87" s="9"/>
      <c r="M87" s="105" t="s">
        <v>43</v>
      </c>
      <c r="N87" s="168"/>
      <c r="O87" s="167"/>
      <c r="P87" s="116"/>
      <c r="Q87" s="233"/>
      <c r="R87" s="177"/>
      <c r="S87" s="177"/>
      <c r="U87" s="270"/>
      <c r="V87" s="271"/>
    </row>
    <row r="88" spans="1:22" x14ac:dyDescent="0.25">
      <c r="A88" s="210" t="s">
        <v>173</v>
      </c>
      <c r="B88" s="211"/>
      <c r="C88" s="212"/>
      <c r="D88" s="213"/>
      <c r="E88" s="211" t="str">
        <f>"miles @ "&amp;TEXT(Codes!H$2,"$0.00")&amp;"/mile for In-State miles"</f>
        <v>miles @ $0.30/mile for In-State miles</v>
      </c>
      <c r="F88" s="211"/>
      <c r="G88" s="214"/>
      <c r="H88" s="215"/>
      <c r="I88" s="103"/>
      <c r="J88" s="216"/>
      <c r="K88" s="103"/>
      <c r="L88" s="9"/>
      <c r="M88" s="105" t="s">
        <v>44</v>
      </c>
      <c r="N88" s="112">
        <f>SUM(N84:N87)</f>
        <v>0</v>
      </c>
      <c r="O88" s="102">
        <f>SUM(O84:O87)</f>
        <v>0</v>
      </c>
      <c r="P88" s="223"/>
      <c r="Q88" s="233"/>
      <c r="R88" s="177"/>
      <c r="S88" s="177"/>
      <c r="U88" s="270"/>
      <c r="V88" s="271"/>
    </row>
    <row r="89" spans="1:22" x14ac:dyDescent="0.25">
      <c r="A89" s="202" t="s">
        <v>173</v>
      </c>
      <c r="B89" s="203"/>
      <c r="C89" s="204"/>
      <c r="D89" s="205"/>
      <c r="E89" s="203" t="str">
        <f>"miles @ "&amp;TEXT(Codes!H$4,"$0.00")&amp;"/mile for Out-of-State miles"</f>
        <v>miles @ $0.30/mile for Out-of-State miles</v>
      </c>
      <c r="F89" s="203"/>
      <c r="G89" s="206"/>
      <c r="H89" s="207"/>
      <c r="I89" s="208"/>
      <c r="J89" s="209"/>
      <c r="K89" s="208"/>
      <c r="L89" s="9"/>
      <c r="M89" s="49"/>
      <c r="N89" s="197"/>
      <c r="O89" s="85"/>
      <c r="P89" s="200"/>
      <c r="Q89" s="238"/>
      <c r="R89" s="201"/>
      <c r="S89" s="201"/>
      <c r="U89" s="270"/>
      <c r="V89" s="271"/>
    </row>
    <row r="90" spans="1:22" x14ac:dyDescent="0.25">
      <c r="A90" s="172"/>
      <c r="B90" s="326"/>
      <c r="C90" s="327"/>
      <c r="D90" s="327"/>
      <c r="E90" s="327"/>
      <c r="F90" s="328"/>
      <c r="G90" s="110" t="s">
        <v>36</v>
      </c>
      <c r="H90" s="173"/>
      <c r="I90" s="97"/>
      <c r="J90" s="173"/>
      <c r="K90" s="97"/>
      <c r="L90" s="9"/>
      <c r="M90" s="107" t="s">
        <v>37</v>
      </c>
      <c r="N90" s="173"/>
      <c r="O90" s="164"/>
      <c r="P90" s="97"/>
      <c r="Q90" s="236"/>
      <c r="R90" s="176"/>
      <c r="S90" s="176"/>
      <c r="U90" s="270"/>
      <c r="V90" s="271"/>
    </row>
    <row r="91" spans="1:22" x14ac:dyDescent="0.25">
      <c r="A91" s="73"/>
      <c r="B91" s="326"/>
      <c r="C91" s="327"/>
      <c r="D91" s="327"/>
      <c r="E91" s="327"/>
      <c r="F91" s="328"/>
      <c r="G91" s="115" t="s">
        <v>38</v>
      </c>
      <c r="H91" s="168"/>
      <c r="I91" s="116"/>
      <c r="J91" s="168"/>
      <c r="K91" s="116"/>
      <c r="L91" s="9"/>
      <c r="M91" s="105" t="s">
        <v>39</v>
      </c>
      <c r="N91" s="168"/>
      <c r="O91" s="167"/>
      <c r="P91" s="116"/>
      <c r="Q91" s="233"/>
      <c r="R91" s="177"/>
      <c r="S91" s="177"/>
      <c r="U91" s="270"/>
      <c r="V91" s="270"/>
    </row>
    <row r="92" spans="1:22" x14ac:dyDescent="0.25">
      <c r="A92" s="73"/>
      <c r="B92" s="326" t="s">
        <v>58</v>
      </c>
      <c r="C92" s="327"/>
      <c r="D92" s="327"/>
      <c r="E92" s="327"/>
      <c r="F92" s="328"/>
      <c r="G92" s="115" t="s">
        <v>40</v>
      </c>
      <c r="H92" s="168"/>
      <c r="I92" s="116"/>
      <c r="J92" s="168">
        <v>0</v>
      </c>
      <c r="K92" s="116"/>
      <c r="L92" s="9"/>
      <c r="M92" s="105" t="s">
        <v>41</v>
      </c>
      <c r="N92" s="168">
        <v>0</v>
      </c>
      <c r="O92" s="167"/>
      <c r="P92" s="116"/>
      <c r="Q92" s="233"/>
      <c r="R92" s="177"/>
      <c r="S92" s="177"/>
    </row>
    <row r="93" spans="1:22" x14ac:dyDescent="0.25">
      <c r="A93" s="73"/>
      <c r="B93" s="326"/>
      <c r="C93" s="327"/>
      <c r="D93" s="327"/>
      <c r="E93" s="327"/>
      <c r="F93" s="328"/>
      <c r="G93" s="115" t="s">
        <v>42</v>
      </c>
      <c r="H93" s="112">
        <f>D94*Codes!$H$2</f>
        <v>0</v>
      </c>
      <c r="I93" s="118"/>
      <c r="J93" s="112">
        <f>$D95*Codes!$H$4</f>
        <v>0</v>
      </c>
      <c r="K93" s="103"/>
      <c r="L93" s="9"/>
      <c r="M93" s="105" t="s">
        <v>43</v>
      </c>
      <c r="N93" s="168"/>
      <c r="O93" s="167"/>
      <c r="P93" s="116"/>
      <c r="Q93" s="233"/>
      <c r="R93" s="177"/>
      <c r="S93" s="177"/>
    </row>
    <row r="94" spans="1:22" x14ac:dyDescent="0.25">
      <c r="A94" s="210" t="s">
        <v>173</v>
      </c>
      <c r="B94" s="211"/>
      <c r="C94" s="212"/>
      <c r="D94" s="213"/>
      <c r="E94" s="211" t="str">
        <f>"miles @ "&amp;TEXT(Codes!H$2,"$0.00")&amp;"/mile for In-State miles"</f>
        <v>miles @ $0.30/mile for In-State miles</v>
      </c>
      <c r="F94" s="211"/>
      <c r="G94" s="214"/>
      <c r="H94" s="215"/>
      <c r="I94" s="103"/>
      <c r="J94" s="216"/>
      <c r="K94" s="103"/>
      <c r="L94" s="9"/>
      <c r="M94" s="105" t="s">
        <v>44</v>
      </c>
      <c r="N94" s="112">
        <f>SUM(N90:N93)</f>
        <v>0</v>
      </c>
      <c r="O94" s="102">
        <f>SUM(O90:O93)</f>
        <v>0</v>
      </c>
      <c r="P94" s="223"/>
      <c r="Q94" s="233"/>
      <c r="R94" s="177"/>
      <c r="S94" s="177"/>
    </row>
    <row r="95" spans="1:22" x14ac:dyDescent="0.25">
      <c r="A95" s="202" t="s">
        <v>173</v>
      </c>
      <c r="B95" s="203"/>
      <c r="C95" s="204"/>
      <c r="D95" s="205">
        <v>0</v>
      </c>
      <c r="E95" s="203" t="str">
        <f>"miles @ "&amp;TEXT(Codes!H$4,"$0.00")&amp;"/mile for Out-of-State miles"</f>
        <v>miles @ $0.30/mile for Out-of-State miles</v>
      </c>
      <c r="F95" s="203"/>
      <c r="G95" s="206"/>
      <c r="H95" s="207"/>
      <c r="I95" s="208"/>
      <c r="J95" s="209"/>
      <c r="K95" s="208"/>
      <c r="L95" s="9"/>
      <c r="M95" s="49"/>
      <c r="N95" s="197"/>
      <c r="O95" s="85"/>
      <c r="P95" s="200"/>
      <c r="Q95" s="238"/>
      <c r="R95" s="201"/>
      <c r="S95" s="201"/>
    </row>
    <row r="96" spans="1:22" x14ac:dyDescent="0.25">
      <c r="A96" s="172"/>
      <c r="B96" s="326"/>
      <c r="C96" s="327"/>
      <c r="D96" s="327"/>
      <c r="E96" s="327"/>
      <c r="F96" s="328"/>
      <c r="G96" s="110" t="s">
        <v>36</v>
      </c>
      <c r="H96" s="173"/>
      <c r="I96" s="97"/>
      <c r="J96" s="173"/>
      <c r="K96" s="97"/>
      <c r="L96" s="9"/>
      <c r="M96" s="107" t="s">
        <v>37</v>
      </c>
      <c r="N96" s="173"/>
      <c r="O96" s="164"/>
      <c r="P96" s="97"/>
      <c r="Q96" s="236"/>
      <c r="R96" s="176" t="s">
        <v>58</v>
      </c>
      <c r="S96" s="176">
        <v>0</v>
      </c>
      <c r="U96" s="270"/>
    </row>
    <row r="97" spans="1:21" x14ac:dyDescent="0.25">
      <c r="A97" s="73"/>
      <c r="B97" s="326"/>
      <c r="C97" s="327"/>
      <c r="D97" s="327"/>
      <c r="E97" s="327"/>
      <c r="F97" s="328"/>
      <c r="G97" s="115" t="s">
        <v>38</v>
      </c>
      <c r="H97" s="168"/>
      <c r="I97" s="116"/>
      <c r="J97" s="168"/>
      <c r="K97" s="116"/>
      <c r="L97" s="9"/>
      <c r="M97" s="105" t="s">
        <v>39</v>
      </c>
      <c r="N97" s="168"/>
      <c r="O97" s="167"/>
      <c r="P97" s="116"/>
      <c r="Q97" s="233"/>
      <c r="R97" s="177"/>
      <c r="S97" s="177"/>
      <c r="U97" s="292"/>
    </row>
    <row r="98" spans="1:21" x14ac:dyDescent="0.25">
      <c r="A98" s="73"/>
      <c r="B98" s="326"/>
      <c r="C98" s="327"/>
      <c r="D98" s="327"/>
      <c r="E98" s="327"/>
      <c r="F98" s="328"/>
      <c r="G98" s="115" t="s">
        <v>40</v>
      </c>
      <c r="H98" s="168"/>
      <c r="I98" s="116"/>
      <c r="J98" s="168"/>
      <c r="K98" s="116"/>
      <c r="L98" s="9"/>
      <c r="M98" s="105" t="s">
        <v>41</v>
      </c>
      <c r="N98" s="168"/>
      <c r="O98" s="167"/>
      <c r="P98" s="116"/>
      <c r="Q98" s="233"/>
      <c r="R98" s="177"/>
      <c r="S98" s="177"/>
      <c r="U98" s="270"/>
    </row>
    <row r="99" spans="1:21" x14ac:dyDescent="0.25">
      <c r="A99" s="73"/>
      <c r="B99" s="326"/>
      <c r="C99" s="327"/>
      <c r="D99" s="327"/>
      <c r="E99" s="327"/>
      <c r="F99" s="328"/>
      <c r="G99" s="115" t="s">
        <v>42</v>
      </c>
      <c r="H99" s="112">
        <f>D100*Codes!$H$2</f>
        <v>0</v>
      </c>
      <c r="I99" s="118"/>
      <c r="J99" s="112">
        <f>$D101*Codes!$H$4</f>
        <v>0</v>
      </c>
      <c r="K99" s="103"/>
      <c r="L99" s="9"/>
      <c r="M99" s="105" t="s">
        <v>43</v>
      </c>
      <c r="N99" s="168"/>
      <c r="O99" s="167"/>
      <c r="P99" s="116"/>
      <c r="Q99" s="233"/>
      <c r="R99" s="177"/>
      <c r="S99" s="177"/>
      <c r="U99" s="270"/>
    </row>
    <row r="100" spans="1:21" x14ac:dyDescent="0.25">
      <c r="A100" s="210" t="s">
        <v>173</v>
      </c>
      <c r="B100" s="211"/>
      <c r="C100" s="212"/>
      <c r="D100" s="213"/>
      <c r="E100" s="211" t="str">
        <f>"miles @ "&amp;TEXT(Codes!H$2,"$0.00")&amp;"/mile for In-State miles"</f>
        <v>miles @ $0.30/mile for In-State miles</v>
      </c>
      <c r="F100" s="211"/>
      <c r="G100" s="214"/>
      <c r="H100" s="215"/>
      <c r="I100" s="103"/>
      <c r="J100" s="216"/>
      <c r="K100" s="103"/>
      <c r="L100" s="9"/>
      <c r="M100" s="105" t="s">
        <v>44</v>
      </c>
      <c r="N100" s="112">
        <f>SUM(N96:N99)</f>
        <v>0</v>
      </c>
      <c r="O100" s="102">
        <f>SUM(O96:O99)</f>
        <v>0</v>
      </c>
      <c r="P100" s="223"/>
      <c r="Q100" s="233"/>
      <c r="R100" s="177"/>
      <c r="S100" s="177"/>
    </row>
    <row r="101" spans="1:21" x14ac:dyDescent="0.25">
      <c r="A101" s="202" t="s">
        <v>173</v>
      </c>
      <c r="B101" s="203"/>
      <c r="C101" s="204"/>
      <c r="D101" s="205"/>
      <c r="E101" s="203" t="str">
        <f>"miles @ "&amp;TEXT(Codes!H$4,"$0.00")&amp;"/mile for Out-of-State miles"</f>
        <v>miles @ $0.30/mile for Out-of-State miles</v>
      </c>
      <c r="F101" s="203"/>
      <c r="G101" s="206"/>
      <c r="H101" s="207"/>
      <c r="I101" s="208"/>
      <c r="J101" s="209"/>
      <c r="K101" s="208"/>
      <c r="L101" s="9"/>
      <c r="M101" s="49"/>
      <c r="N101" s="197"/>
      <c r="O101" s="85"/>
      <c r="P101" s="200"/>
      <c r="Q101" s="238"/>
      <c r="R101" s="201"/>
      <c r="S101" s="201"/>
    </row>
    <row r="102" spans="1:21" x14ac:dyDescent="0.25">
      <c r="A102" s="172"/>
      <c r="B102" s="326"/>
      <c r="C102" s="327"/>
      <c r="D102" s="327"/>
      <c r="E102" s="327"/>
      <c r="F102" s="328"/>
      <c r="G102" s="110" t="s">
        <v>36</v>
      </c>
      <c r="H102" s="173"/>
      <c r="I102" s="97"/>
      <c r="J102" s="173"/>
      <c r="K102" s="97"/>
      <c r="L102" s="9"/>
      <c r="M102" s="107" t="s">
        <v>37</v>
      </c>
      <c r="N102" s="173"/>
      <c r="O102" s="164"/>
      <c r="P102" s="97"/>
      <c r="Q102" s="236"/>
      <c r="R102" s="176"/>
      <c r="S102" s="176"/>
    </row>
    <row r="103" spans="1:21" x14ac:dyDescent="0.25">
      <c r="A103" s="73"/>
      <c r="B103" s="326"/>
      <c r="C103" s="327"/>
      <c r="D103" s="327"/>
      <c r="E103" s="327"/>
      <c r="F103" s="328"/>
      <c r="G103" s="115" t="s">
        <v>38</v>
      </c>
      <c r="H103" s="168"/>
      <c r="I103" s="116"/>
      <c r="J103" s="168"/>
      <c r="K103" s="116"/>
      <c r="L103" s="9"/>
      <c r="M103" s="105" t="s">
        <v>39</v>
      </c>
      <c r="N103" s="168"/>
      <c r="O103" s="167"/>
      <c r="P103" s="116"/>
      <c r="Q103" s="233"/>
      <c r="R103" s="177"/>
      <c r="S103" s="177"/>
    </row>
    <row r="104" spans="1:21" x14ac:dyDescent="0.25">
      <c r="A104" s="73"/>
      <c r="B104" s="326" t="s">
        <v>58</v>
      </c>
      <c r="C104" s="327"/>
      <c r="D104" s="327"/>
      <c r="E104" s="327"/>
      <c r="F104" s="328"/>
      <c r="G104" s="115" t="s">
        <v>40</v>
      </c>
      <c r="H104" s="168"/>
      <c r="I104" s="116"/>
      <c r="J104" s="168">
        <v>0</v>
      </c>
      <c r="K104" s="116"/>
      <c r="L104" s="9"/>
      <c r="M104" s="105" t="s">
        <v>41</v>
      </c>
      <c r="N104" s="168"/>
      <c r="O104" s="167"/>
      <c r="P104" s="116"/>
      <c r="Q104" s="233"/>
      <c r="R104" s="177"/>
      <c r="S104" s="177"/>
      <c r="U104" s="293"/>
    </row>
    <row r="105" spans="1:21" x14ac:dyDescent="0.25">
      <c r="A105" s="73"/>
      <c r="B105" s="326"/>
      <c r="C105" s="327"/>
      <c r="D105" s="327"/>
      <c r="E105" s="327"/>
      <c r="F105" s="328"/>
      <c r="G105" s="115" t="s">
        <v>42</v>
      </c>
      <c r="H105" s="112">
        <f>D106*Codes!$H$2</f>
        <v>0</v>
      </c>
      <c r="I105" s="118"/>
      <c r="J105" s="112">
        <f>$D107*Codes!$H$4</f>
        <v>0</v>
      </c>
      <c r="K105" s="103"/>
      <c r="L105" s="9"/>
      <c r="M105" s="105" t="s">
        <v>43</v>
      </c>
      <c r="N105" s="168"/>
      <c r="O105" s="167"/>
      <c r="P105" s="116"/>
      <c r="Q105" s="233"/>
      <c r="R105" s="177"/>
      <c r="S105" s="177"/>
      <c r="U105" s="270"/>
    </row>
    <row r="106" spans="1:21" x14ac:dyDescent="0.25">
      <c r="A106" s="210" t="s">
        <v>173</v>
      </c>
      <c r="B106" s="211"/>
      <c r="C106" s="212"/>
      <c r="D106" s="213"/>
      <c r="E106" s="211" t="str">
        <f>"miles @ "&amp;TEXT(Codes!H$2,"$0.00")&amp;"/mile for In-State miles"</f>
        <v>miles @ $0.30/mile for In-State miles</v>
      </c>
      <c r="F106" s="211"/>
      <c r="G106" s="214"/>
      <c r="H106" s="215"/>
      <c r="I106" s="103"/>
      <c r="J106" s="216"/>
      <c r="K106" s="103"/>
      <c r="L106" s="9"/>
      <c r="M106" s="105" t="s">
        <v>44</v>
      </c>
      <c r="N106" s="112">
        <f>SUM(N102:N105)</f>
        <v>0</v>
      </c>
      <c r="O106" s="102">
        <f>SUM(O102:O105)</f>
        <v>0</v>
      </c>
      <c r="P106" s="223"/>
      <c r="Q106" s="233"/>
      <c r="R106" s="177"/>
      <c r="S106" s="177"/>
      <c r="U106" s="292"/>
    </row>
    <row r="107" spans="1:21" x14ac:dyDescent="0.25">
      <c r="A107" s="202" t="s">
        <v>173</v>
      </c>
      <c r="B107" s="203"/>
      <c r="C107" s="204"/>
      <c r="D107" s="205"/>
      <c r="E107" s="203" t="str">
        <f>"miles @ "&amp;TEXT(Codes!H$4,"$0.00")&amp;"/mile for Out-of-State miles"</f>
        <v>miles @ $0.30/mile for Out-of-State miles</v>
      </c>
      <c r="F107" s="203"/>
      <c r="G107" s="206"/>
      <c r="H107" s="207"/>
      <c r="I107" s="208"/>
      <c r="J107" s="209"/>
      <c r="K107" s="208"/>
      <c r="L107" s="9"/>
      <c r="M107" s="49"/>
      <c r="N107" s="197"/>
      <c r="O107" s="85"/>
      <c r="P107" s="200"/>
      <c r="Q107" s="238"/>
      <c r="R107" s="201"/>
      <c r="S107" s="201"/>
      <c r="U107" s="270"/>
    </row>
    <row r="108" spans="1:21" x14ac:dyDescent="0.25">
      <c r="A108" s="172"/>
      <c r="B108" s="326"/>
      <c r="C108" s="327"/>
      <c r="D108" s="327"/>
      <c r="E108" s="327"/>
      <c r="F108" s="328"/>
      <c r="G108" s="110" t="s">
        <v>36</v>
      </c>
      <c r="H108" s="173"/>
      <c r="I108" s="97"/>
      <c r="J108" s="173"/>
      <c r="K108" s="97"/>
      <c r="L108" s="9"/>
      <c r="M108" s="107" t="s">
        <v>37</v>
      </c>
      <c r="N108" s="173"/>
      <c r="O108" s="164"/>
      <c r="P108" s="97"/>
      <c r="Q108" s="236"/>
      <c r="R108" s="176" t="s">
        <v>58</v>
      </c>
      <c r="S108" s="176">
        <v>0</v>
      </c>
    </row>
    <row r="109" spans="1:21" x14ac:dyDescent="0.25">
      <c r="A109" s="73"/>
      <c r="B109" s="326"/>
      <c r="C109" s="327"/>
      <c r="D109" s="327"/>
      <c r="E109" s="327"/>
      <c r="F109" s="328"/>
      <c r="G109" s="115" t="s">
        <v>38</v>
      </c>
      <c r="H109" s="168"/>
      <c r="I109" s="116"/>
      <c r="J109" s="168"/>
      <c r="K109" s="116"/>
      <c r="L109" s="9"/>
      <c r="M109" s="105" t="s">
        <v>39</v>
      </c>
      <c r="N109" s="168"/>
      <c r="O109" s="167"/>
      <c r="P109" s="116"/>
      <c r="Q109" s="233"/>
      <c r="R109" s="177"/>
      <c r="S109" s="177"/>
    </row>
    <row r="110" spans="1:21" x14ac:dyDescent="0.25">
      <c r="A110" s="73"/>
      <c r="B110" s="326" t="s">
        <v>58</v>
      </c>
      <c r="C110" s="327"/>
      <c r="D110" s="327"/>
      <c r="E110" s="327"/>
      <c r="F110" s="328"/>
      <c r="G110" s="115" t="s">
        <v>40</v>
      </c>
      <c r="H110" s="168"/>
      <c r="I110" s="116"/>
      <c r="J110" s="168">
        <v>0</v>
      </c>
      <c r="K110" s="116"/>
      <c r="L110" s="9"/>
      <c r="M110" s="105" t="s">
        <v>41</v>
      </c>
      <c r="N110" s="168"/>
      <c r="O110" s="167">
        <v>0</v>
      </c>
      <c r="P110" s="116"/>
      <c r="Q110" s="233"/>
      <c r="R110" s="177"/>
      <c r="S110" s="177"/>
    </row>
    <row r="111" spans="1:21" x14ac:dyDescent="0.25">
      <c r="A111" s="73"/>
      <c r="B111" s="326"/>
      <c r="C111" s="327"/>
      <c r="D111" s="327"/>
      <c r="E111" s="327"/>
      <c r="F111" s="328"/>
      <c r="G111" s="115" t="s">
        <v>42</v>
      </c>
      <c r="H111" s="112">
        <f>D112*Codes!$H$2</f>
        <v>0</v>
      </c>
      <c r="I111" s="118"/>
      <c r="J111" s="112">
        <f>$D113*Codes!$H$4</f>
        <v>0</v>
      </c>
      <c r="K111" s="103"/>
      <c r="L111" s="9"/>
      <c r="M111" s="105" t="s">
        <v>43</v>
      </c>
      <c r="N111" s="168"/>
      <c r="O111" s="167">
        <v>0</v>
      </c>
      <c r="P111" s="116"/>
      <c r="Q111" s="233"/>
      <c r="R111" s="177"/>
      <c r="S111" s="177"/>
    </row>
    <row r="112" spans="1:21" x14ac:dyDescent="0.25">
      <c r="A112" s="210" t="s">
        <v>173</v>
      </c>
      <c r="B112" s="211"/>
      <c r="C112" s="212"/>
      <c r="D112" s="213"/>
      <c r="E112" s="211" t="str">
        <f>"miles @ "&amp;TEXT(Codes!H$2,"$0.00")&amp;"/mile for In-State miles"</f>
        <v>miles @ $0.30/mile for In-State miles</v>
      </c>
      <c r="F112" s="211"/>
      <c r="G112" s="214"/>
      <c r="H112" s="215"/>
      <c r="I112" s="103"/>
      <c r="J112" s="216"/>
      <c r="K112" s="103"/>
      <c r="L112" s="9"/>
      <c r="M112" s="105" t="s">
        <v>44</v>
      </c>
      <c r="N112" s="112">
        <f>SUM(N108:N111)</f>
        <v>0</v>
      </c>
      <c r="O112" s="102">
        <f>SUM(O108:O111)</f>
        <v>0</v>
      </c>
      <c r="P112" s="223"/>
      <c r="Q112" s="233"/>
      <c r="R112" s="177"/>
      <c r="S112" s="177"/>
    </row>
    <row r="113" spans="1:22" x14ac:dyDescent="0.25">
      <c r="A113" s="202" t="s">
        <v>173</v>
      </c>
      <c r="B113" s="203"/>
      <c r="C113" s="204"/>
      <c r="D113" s="205"/>
      <c r="E113" s="203" t="str">
        <f>"miles @ "&amp;TEXT(Codes!H$4,"$0.00")&amp;"/mile for Out-of-State miles"</f>
        <v>miles @ $0.30/mile for Out-of-State miles</v>
      </c>
      <c r="F113" s="203"/>
      <c r="G113" s="206"/>
      <c r="H113" s="207"/>
      <c r="I113" s="208"/>
      <c r="J113" s="209"/>
      <c r="K113" s="208"/>
      <c r="L113" s="9"/>
      <c r="M113" s="49"/>
      <c r="N113" s="197"/>
      <c r="O113" s="85"/>
      <c r="P113" s="200"/>
      <c r="Q113" s="238"/>
      <c r="R113" s="201"/>
      <c r="S113" s="201"/>
    </row>
    <row r="114" spans="1:22" x14ac:dyDescent="0.25">
      <c r="A114" s="172" t="s">
        <v>58</v>
      </c>
      <c r="B114" s="326"/>
      <c r="C114" s="327"/>
      <c r="D114" s="327"/>
      <c r="E114" s="327"/>
      <c r="F114" s="328"/>
      <c r="G114" s="110" t="s">
        <v>36</v>
      </c>
      <c r="H114" s="173"/>
      <c r="I114" s="97"/>
      <c r="J114" s="173"/>
      <c r="K114" s="97"/>
      <c r="L114" s="9"/>
      <c r="M114" s="107" t="s">
        <v>37</v>
      </c>
      <c r="N114" s="173"/>
      <c r="O114" s="164">
        <v>0</v>
      </c>
      <c r="P114" s="97"/>
      <c r="Q114" s="236"/>
      <c r="R114" s="176" t="s">
        <v>58</v>
      </c>
      <c r="S114" s="176">
        <v>0</v>
      </c>
    </row>
    <row r="115" spans="1:22" x14ac:dyDescent="0.25">
      <c r="A115" s="73"/>
      <c r="B115" s="326"/>
      <c r="C115" s="327"/>
      <c r="D115" s="327"/>
      <c r="E115" s="327"/>
      <c r="F115" s="328"/>
      <c r="G115" s="115" t="s">
        <v>38</v>
      </c>
      <c r="H115" s="168"/>
      <c r="I115" s="116"/>
      <c r="J115" s="168"/>
      <c r="K115" s="116"/>
      <c r="L115" s="9"/>
      <c r="M115" s="105" t="s">
        <v>39</v>
      </c>
      <c r="N115" s="168"/>
      <c r="O115" s="167">
        <v>0</v>
      </c>
      <c r="P115" s="116"/>
      <c r="Q115" s="233"/>
      <c r="R115" s="177"/>
      <c r="S115" s="177"/>
    </row>
    <row r="116" spans="1:22" x14ac:dyDescent="0.25">
      <c r="A116" s="73"/>
      <c r="B116" s="326" t="s">
        <v>58</v>
      </c>
      <c r="C116" s="327"/>
      <c r="D116" s="327"/>
      <c r="E116" s="327"/>
      <c r="F116" s="328"/>
      <c r="G116" s="115" t="s">
        <v>40</v>
      </c>
      <c r="H116" s="168"/>
      <c r="I116" s="116"/>
      <c r="J116" s="168">
        <v>0</v>
      </c>
      <c r="K116" s="116"/>
      <c r="L116" s="9"/>
      <c r="M116" s="105" t="s">
        <v>41</v>
      </c>
      <c r="N116" s="168"/>
      <c r="O116" s="167">
        <v>0</v>
      </c>
      <c r="P116" s="116"/>
      <c r="Q116" s="233"/>
      <c r="R116" s="177"/>
      <c r="S116" s="177"/>
      <c r="U116" s="270"/>
      <c r="V116" s="271"/>
    </row>
    <row r="117" spans="1:22" x14ac:dyDescent="0.25">
      <c r="A117" s="73"/>
      <c r="B117" s="326"/>
      <c r="C117" s="327"/>
      <c r="D117" s="327"/>
      <c r="E117" s="327"/>
      <c r="F117" s="328"/>
      <c r="G117" s="115" t="s">
        <v>42</v>
      </c>
      <c r="H117" s="112">
        <f>D118*Codes!$H$2</f>
        <v>0</v>
      </c>
      <c r="I117" s="118"/>
      <c r="J117" s="112">
        <f>$D119*Codes!$H$4</f>
        <v>0</v>
      </c>
      <c r="K117" s="103"/>
      <c r="L117" s="9"/>
      <c r="M117" s="105" t="s">
        <v>43</v>
      </c>
      <c r="N117" s="168"/>
      <c r="O117" s="167">
        <v>0</v>
      </c>
      <c r="P117" s="116"/>
      <c r="Q117" s="233"/>
      <c r="R117" s="177"/>
      <c r="S117" s="177"/>
      <c r="U117" s="270"/>
      <c r="V117" s="271"/>
    </row>
    <row r="118" spans="1:22" x14ac:dyDescent="0.25">
      <c r="A118" s="210" t="s">
        <v>173</v>
      </c>
      <c r="B118" s="211"/>
      <c r="C118" s="212"/>
      <c r="D118" s="213"/>
      <c r="E118" s="211" t="str">
        <f>"miles @ "&amp;TEXT(Codes!H$2,"$0.00")&amp;"/mile for In-State miles"</f>
        <v>miles @ $0.30/mile for In-State miles</v>
      </c>
      <c r="F118" s="211"/>
      <c r="G118" s="214"/>
      <c r="H118" s="215"/>
      <c r="I118" s="103"/>
      <c r="J118" s="216"/>
      <c r="K118" s="103"/>
      <c r="L118" s="9"/>
      <c r="M118" s="105" t="s">
        <v>44</v>
      </c>
      <c r="N118" s="112">
        <f>SUM(N114:N117)</f>
        <v>0</v>
      </c>
      <c r="O118" s="102">
        <f>SUM(O114:O117)</f>
        <v>0</v>
      </c>
      <c r="P118" s="223"/>
      <c r="Q118" s="233"/>
      <c r="R118" s="177"/>
      <c r="S118" s="177"/>
      <c r="U118" s="270"/>
      <c r="V118" s="271"/>
    </row>
    <row r="119" spans="1:22" x14ac:dyDescent="0.25">
      <c r="A119" s="202" t="s">
        <v>173</v>
      </c>
      <c r="B119" s="203"/>
      <c r="C119" s="204"/>
      <c r="D119" s="205"/>
      <c r="E119" s="203" t="str">
        <f>"miles @ "&amp;TEXT(Codes!H$4,"$0.00")&amp;"/mile for Out-of-State miles"</f>
        <v>miles @ $0.30/mile for Out-of-State miles</v>
      </c>
      <c r="F119" s="203"/>
      <c r="G119" s="206"/>
      <c r="H119" s="207"/>
      <c r="I119" s="208"/>
      <c r="J119" s="209"/>
      <c r="K119" s="208"/>
      <c r="L119" s="9"/>
      <c r="M119" s="49"/>
      <c r="N119" s="197"/>
      <c r="O119" s="85"/>
      <c r="P119" s="200"/>
      <c r="Q119" s="238"/>
      <c r="R119" s="201"/>
      <c r="S119" s="201"/>
      <c r="U119" s="270"/>
      <c r="V119" s="271"/>
    </row>
    <row r="120" spans="1:22" x14ac:dyDescent="0.25">
      <c r="A120" s="172" t="s">
        <v>58</v>
      </c>
      <c r="B120" s="326"/>
      <c r="C120" s="327"/>
      <c r="D120" s="327"/>
      <c r="E120" s="327"/>
      <c r="F120" s="328"/>
      <c r="G120" s="110" t="s">
        <v>36</v>
      </c>
      <c r="H120" s="173"/>
      <c r="I120" s="97"/>
      <c r="J120" s="173"/>
      <c r="K120" s="97"/>
      <c r="L120" s="9"/>
      <c r="M120" s="107" t="s">
        <v>37</v>
      </c>
      <c r="N120" s="173"/>
      <c r="O120" s="164">
        <v>0</v>
      </c>
      <c r="P120" s="97"/>
      <c r="Q120" s="236"/>
      <c r="R120" s="176"/>
      <c r="S120" s="176"/>
      <c r="U120" s="270"/>
      <c r="V120" s="270"/>
    </row>
    <row r="121" spans="1:22" x14ac:dyDescent="0.25">
      <c r="A121" s="73"/>
      <c r="B121" s="326"/>
      <c r="C121" s="327"/>
      <c r="D121" s="327"/>
      <c r="E121" s="327"/>
      <c r="F121" s="328"/>
      <c r="G121" s="115" t="s">
        <v>38</v>
      </c>
      <c r="H121" s="168"/>
      <c r="I121" s="116"/>
      <c r="J121" s="168"/>
      <c r="K121" s="116"/>
      <c r="L121" s="9"/>
      <c r="M121" s="105" t="s">
        <v>39</v>
      </c>
      <c r="N121" s="168"/>
      <c r="O121" s="167">
        <v>0</v>
      </c>
      <c r="P121" s="116"/>
      <c r="Q121" s="233"/>
      <c r="R121" s="177"/>
      <c r="S121" s="177"/>
      <c r="U121" s="270"/>
      <c r="V121" s="270"/>
    </row>
    <row r="122" spans="1:22" x14ac:dyDescent="0.25">
      <c r="A122" s="73"/>
      <c r="B122" s="326"/>
      <c r="C122" s="327"/>
      <c r="D122" s="327"/>
      <c r="E122" s="327"/>
      <c r="F122" s="328"/>
      <c r="G122" s="115" t="s">
        <v>40</v>
      </c>
      <c r="H122" s="168"/>
      <c r="I122" s="116"/>
      <c r="J122" s="168"/>
      <c r="K122" s="116"/>
      <c r="L122" s="9"/>
      <c r="M122" s="105" t="s">
        <v>41</v>
      </c>
      <c r="N122" s="168"/>
      <c r="O122" s="167">
        <v>0</v>
      </c>
      <c r="P122" s="116"/>
      <c r="Q122" s="233"/>
      <c r="R122" s="177"/>
      <c r="S122" s="177"/>
      <c r="U122" s="270"/>
      <c r="V122" s="270"/>
    </row>
    <row r="123" spans="1:22" x14ac:dyDescent="0.25">
      <c r="A123" s="73"/>
      <c r="B123" s="326"/>
      <c r="C123" s="327"/>
      <c r="D123" s="327"/>
      <c r="E123" s="327"/>
      <c r="F123" s="328"/>
      <c r="G123" s="115" t="s">
        <v>42</v>
      </c>
      <c r="H123" s="112">
        <f>D124*Codes!$H$2</f>
        <v>0</v>
      </c>
      <c r="I123" s="118"/>
      <c r="J123" s="112">
        <f>$D125*Codes!$H$4</f>
        <v>0</v>
      </c>
      <c r="K123" s="103"/>
      <c r="L123" s="9"/>
      <c r="M123" s="105" t="s">
        <v>43</v>
      </c>
      <c r="N123" s="168"/>
      <c r="O123" s="167"/>
      <c r="P123" s="116"/>
      <c r="Q123" s="233"/>
      <c r="R123" s="177"/>
      <c r="S123" s="177"/>
      <c r="U123" s="270"/>
      <c r="V123" s="270"/>
    </row>
    <row r="124" spans="1:22" x14ac:dyDescent="0.25">
      <c r="A124" s="210" t="s">
        <v>173</v>
      </c>
      <c r="B124" s="211"/>
      <c r="C124" s="212"/>
      <c r="D124" s="213"/>
      <c r="E124" s="211" t="str">
        <f>"miles @ "&amp;TEXT(Codes!H$2,"$0.00")&amp;"/mile for In-State miles"</f>
        <v>miles @ $0.30/mile for In-State miles</v>
      </c>
      <c r="F124" s="211"/>
      <c r="G124" s="214"/>
      <c r="H124" s="215"/>
      <c r="I124" s="103"/>
      <c r="J124" s="216"/>
      <c r="K124" s="103"/>
      <c r="L124" s="9"/>
      <c r="M124" s="106" t="s">
        <v>44</v>
      </c>
      <c r="N124" s="142">
        <f>SUM(N120:N123)</f>
        <v>0</v>
      </c>
      <c r="O124" s="113">
        <f>SUM(O120:O123)</f>
        <v>0</v>
      </c>
      <c r="P124" s="120"/>
      <c r="Q124" s="237"/>
      <c r="R124" s="179"/>
      <c r="S124" s="179"/>
    </row>
    <row r="125" spans="1:22" x14ac:dyDescent="0.25">
      <c r="A125" s="202" t="s">
        <v>173</v>
      </c>
      <c r="B125" s="203"/>
      <c r="C125" s="204"/>
      <c r="D125" s="205"/>
      <c r="E125" s="203" t="str">
        <f>"miles @ "&amp;TEXT(Codes!H$4,"$0.00")&amp;"/mile for Out-of-State miles"</f>
        <v>miles @ $0.30/mile for Out-of-State miles</v>
      </c>
      <c r="F125" s="203"/>
      <c r="G125" s="206"/>
      <c r="H125" s="207"/>
      <c r="I125" s="208"/>
      <c r="J125" s="209"/>
      <c r="K125" s="208"/>
      <c r="L125" s="9"/>
      <c r="M125" s="49"/>
      <c r="N125" s="219" t="s">
        <v>44</v>
      </c>
      <c r="O125" s="220" t="s">
        <v>44</v>
      </c>
      <c r="P125" s="60"/>
      <c r="Q125" s="218"/>
      <c r="R125" s="218"/>
      <c r="S125" s="221" t="s">
        <v>75</v>
      </c>
    </row>
    <row r="126" spans="1:22" ht="9.75" customHeight="1" x14ac:dyDescent="0.25">
      <c r="D126" s="337" t="s">
        <v>44</v>
      </c>
      <c r="E126" s="338"/>
      <c r="G126" s="81"/>
      <c r="H126" s="59" t="s">
        <v>44</v>
      </c>
      <c r="I126" s="60"/>
      <c r="J126" s="61" t="s">
        <v>44</v>
      </c>
      <c r="K126" s="66"/>
      <c r="L126" s="9"/>
      <c r="M126" s="81"/>
      <c r="N126" s="59" t="s">
        <v>78</v>
      </c>
      <c r="O126" s="345" t="s">
        <v>78</v>
      </c>
      <c r="P126" s="346"/>
      <c r="Q126" s="8"/>
      <c r="S126" s="49" t="s">
        <v>21</v>
      </c>
    </row>
    <row r="127" spans="1:22" ht="9.75" customHeight="1" x14ac:dyDescent="0.25">
      <c r="D127" s="339" t="s">
        <v>23</v>
      </c>
      <c r="E127" s="340"/>
      <c r="G127" s="81"/>
      <c r="H127" s="63" t="s">
        <v>49</v>
      </c>
      <c r="I127" s="64"/>
      <c r="J127" s="56" t="s">
        <v>49</v>
      </c>
      <c r="K127" s="57"/>
      <c r="L127" s="9"/>
      <c r="M127" s="81"/>
      <c r="N127" s="63" t="s">
        <v>32</v>
      </c>
      <c r="O127" s="339" t="s">
        <v>32</v>
      </c>
      <c r="P127" s="340"/>
      <c r="Q127" s="8"/>
      <c r="S127" s="222" t="s">
        <v>79</v>
      </c>
    </row>
    <row r="128" spans="1:22" ht="9.75" customHeight="1" x14ac:dyDescent="0.25">
      <c r="C128" s="84" t="s">
        <v>72</v>
      </c>
      <c r="D128" s="343">
        <f>H46</f>
        <v>0</v>
      </c>
      <c r="E128" s="344"/>
      <c r="G128" s="240" t="s">
        <v>60</v>
      </c>
      <c r="H128" s="85">
        <f>SUM(H71:H123)- H129</f>
        <v>0</v>
      </c>
      <c r="I128" s="86"/>
      <c r="J128" s="85">
        <f>SUM(J71:J123)- J129</f>
        <v>0</v>
      </c>
      <c r="K128" s="66"/>
      <c r="L128" s="9"/>
      <c r="M128" s="240" t="s">
        <v>17</v>
      </c>
      <c r="N128" s="85">
        <f>N71+SUM(N72:N124)/2-N129</f>
        <v>0</v>
      </c>
      <c r="O128" s="85">
        <f>O71+SUM(O72:O124)/2-O129</f>
        <v>0</v>
      </c>
      <c r="P128" s="66"/>
      <c r="Q128" s="8"/>
      <c r="R128" s="84" t="s">
        <v>72</v>
      </c>
      <c r="S128" s="188">
        <f>SUMIF(Q72:Q124,"I",S72:S124)+S65</f>
        <v>0</v>
      </c>
    </row>
    <row r="129" spans="3:19" ht="9.75" customHeight="1" x14ac:dyDescent="0.25">
      <c r="C129" s="84" t="s">
        <v>73</v>
      </c>
      <c r="D129" s="341">
        <f>J46</f>
        <v>0</v>
      </c>
      <c r="E129" s="342"/>
      <c r="G129" s="82" t="s">
        <v>61</v>
      </c>
      <c r="H129" s="91">
        <f>H51+H57+H73+H79+H85+H91+H97+H103+H109+H115+H121</f>
        <v>0</v>
      </c>
      <c r="I129" s="88"/>
      <c r="J129" s="91">
        <f>J51+J57+J73+J79+J85+J91+J97+J103+J109+J115+J121</f>
        <v>0</v>
      </c>
      <c r="K129" s="57"/>
      <c r="L129" s="9"/>
      <c r="M129" s="82" t="s">
        <v>19</v>
      </c>
      <c r="N129" s="91">
        <f>N53+N59+N75+N81+N87+N93+N99+N105+N111+N117+N123</f>
        <v>0</v>
      </c>
      <c r="O129" s="91">
        <f>O53+O59+O75+O81+O87+O93+O99+O105+O111+O117+O123</f>
        <v>0</v>
      </c>
      <c r="P129" s="65"/>
      <c r="Q129" s="10"/>
      <c r="R129" s="84" t="s">
        <v>73</v>
      </c>
      <c r="S129" s="89">
        <f>SUMIF(Q72:Q124,"O",S72:S124)+S66</f>
        <v>0</v>
      </c>
    </row>
    <row r="130" spans="3:19" ht="9.75" customHeight="1" x14ac:dyDescent="0.25">
      <c r="C130" s="84" t="s">
        <v>74</v>
      </c>
      <c r="D130" s="335">
        <f>SUM(D128:E129)</f>
        <v>0</v>
      </c>
      <c r="E130" s="336"/>
      <c r="G130" s="239" t="s">
        <v>44</v>
      </c>
      <c r="H130" s="91">
        <f>SUM(H128:H129)</f>
        <v>0</v>
      </c>
      <c r="I130" s="88"/>
      <c r="J130" s="91">
        <f>SUM(J128:J129)</f>
        <v>0</v>
      </c>
      <c r="K130" s="57"/>
      <c r="L130" s="9"/>
      <c r="M130" s="239" t="s">
        <v>44</v>
      </c>
      <c r="N130" s="91">
        <f>SUM(N128:N129)</f>
        <v>0</v>
      </c>
      <c r="O130" s="91">
        <f>SUM(O128:O129)</f>
        <v>0</v>
      </c>
      <c r="P130" s="65"/>
      <c r="Q130" s="19"/>
      <c r="R130" s="84" t="s">
        <v>74</v>
      </c>
      <c r="S130" s="92">
        <f>SUM(S128:S129)</f>
        <v>0</v>
      </c>
    </row>
    <row r="134" spans="3:19" x14ac:dyDescent="0.25">
      <c r="J134" s="300"/>
      <c r="K134" s="301"/>
    </row>
    <row r="136" spans="3:19" x14ac:dyDescent="0.25">
      <c r="J136" s="300"/>
      <c r="K136" s="301"/>
    </row>
    <row r="137" spans="3:19" x14ac:dyDescent="0.25">
      <c r="J137" s="300"/>
      <c r="K137" s="301"/>
    </row>
    <row r="138" spans="3:19" x14ac:dyDescent="0.25">
      <c r="J138" s="300"/>
      <c r="K138" s="300"/>
    </row>
    <row r="139" spans="3:19" x14ac:dyDescent="0.25">
      <c r="J139" s="300"/>
      <c r="K139" s="301"/>
    </row>
    <row r="140" spans="3:19" x14ac:dyDescent="0.25">
      <c r="J140" s="300"/>
      <c r="K140" s="301"/>
    </row>
    <row r="141" spans="3:19" x14ac:dyDescent="0.25">
      <c r="J141" s="300"/>
      <c r="K141" s="301"/>
    </row>
    <row r="142" spans="3:19" x14ac:dyDescent="0.25">
      <c r="J142" s="300"/>
      <c r="K142" s="301"/>
    </row>
    <row r="143" spans="3:19" x14ac:dyDescent="0.25">
      <c r="J143" s="300"/>
      <c r="K143" s="301"/>
    </row>
    <row r="144" spans="3:19" x14ac:dyDescent="0.25">
      <c r="J144" s="300"/>
      <c r="K144" s="301"/>
    </row>
    <row r="145" spans="10:11" x14ac:dyDescent="0.25">
      <c r="J145" s="300"/>
      <c r="K145" s="301"/>
    </row>
    <row r="146" spans="10:11" x14ac:dyDescent="0.25">
      <c r="J146" s="300"/>
      <c r="K146" s="301"/>
    </row>
    <row r="147" spans="10:11" x14ac:dyDescent="0.25">
      <c r="J147" s="300"/>
      <c r="K147" s="301"/>
    </row>
    <row r="148" spans="10:11" x14ac:dyDescent="0.25">
      <c r="J148" s="300"/>
      <c r="K148" s="301"/>
    </row>
    <row r="149" spans="10:11" x14ac:dyDescent="0.25">
      <c r="J149" s="300"/>
      <c r="K149" s="301"/>
    </row>
    <row r="150" spans="10:11" x14ac:dyDescent="0.25">
      <c r="J150" s="300"/>
      <c r="K150" s="301"/>
    </row>
    <row r="151" spans="10:11" x14ac:dyDescent="0.25">
      <c r="J151" s="300"/>
      <c r="K151" s="301"/>
    </row>
    <row r="152" spans="10:11" x14ac:dyDescent="0.25">
      <c r="J152" s="300"/>
      <c r="K152" s="301"/>
    </row>
    <row r="153" spans="10:11" x14ac:dyDescent="0.25">
      <c r="J153" s="300"/>
      <c r="K153" s="300"/>
    </row>
    <row r="154" spans="10:11" x14ac:dyDescent="0.25">
      <c r="J154" s="300"/>
      <c r="K154" s="301"/>
    </row>
    <row r="155" spans="10:11" x14ac:dyDescent="0.25">
      <c r="J155" s="300"/>
      <c r="K155" s="301"/>
    </row>
    <row r="156" spans="10:11" x14ac:dyDescent="0.25">
      <c r="J156" s="300"/>
      <c r="K156" s="301"/>
    </row>
    <row r="157" spans="10:11" x14ac:dyDescent="0.25">
      <c r="J157" s="300"/>
      <c r="K157" s="301"/>
    </row>
    <row r="158" spans="10:11" x14ac:dyDescent="0.25">
      <c r="J158" s="300"/>
      <c r="K158" s="301"/>
    </row>
    <row r="159" spans="10:11" x14ac:dyDescent="0.25">
      <c r="J159" s="300"/>
      <c r="K159" s="301"/>
    </row>
    <row r="160" spans="10:11" x14ac:dyDescent="0.25">
      <c r="J160" s="300"/>
      <c r="K160" s="301"/>
    </row>
    <row r="161" spans="10:11" x14ac:dyDescent="0.25">
      <c r="J161" s="300"/>
      <c r="K161" s="300"/>
    </row>
    <row r="162" spans="10:11" x14ac:dyDescent="0.25">
      <c r="J162" s="300"/>
      <c r="K162" s="301"/>
    </row>
    <row r="163" spans="10:11" x14ac:dyDescent="0.25">
      <c r="J163" s="300"/>
      <c r="K163" s="301"/>
    </row>
    <row r="164" spans="10:11" x14ac:dyDescent="0.25">
      <c r="J164" s="300"/>
      <c r="K164" s="301"/>
    </row>
    <row r="165" spans="10:11" x14ac:dyDescent="0.25">
      <c r="J165" s="300"/>
      <c r="K165" s="301"/>
    </row>
    <row r="166" spans="10:11" x14ac:dyDescent="0.25">
      <c r="J166" s="300"/>
      <c r="K166" s="301"/>
    </row>
    <row r="167" spans="10:11" x14ac:dyDescent="0.25">
      <c r="J167" s="300"/>
      <c r="K167" s="301"/>
    </row>
    <row r="168" spans="10:11" x14ac:dyDescent="0.25">
      <c r="J168" s="300"/>
      <c r="K168" s="301"/>
    </row>
    <row r="169" spans="10:11" x14ac:dyDescent="0.25">
      <c r="J169" s="300"/>
      <c r="K169" s="300"/>
    </row>
    <row r="170" spans="10:11" x14ac:dyDescent="0.25">
      <c r="J170" s="300"/>
      <c r="K170" s="301"/>
    </row>
    <row r="171" spans="10:11" x14ac:dyDescent="0.25">
      <c r="J171" s="300"/>
      <c r="K171" s="301"/>
    </row>
    <row r="172" spans="10:11" x14ac:dyDescent="0.25">
      <c r="J172" s="300"/>
      <c r="K172" s="301"/>
    </row>
    <row r="173" spans="10:11" x14ac:dyDescent="0.25">
      <c r="J173" s="300"/>
      <c r="K173" s="301"/>
    </row>
    <row r="174" spans="10:11" x14ac:dyDescent="0.25">
      <c r="J174" s="300"/>
      <c r="K174" s="301"/>
    </row>
    <row r="175" spans="10:11" x14ac:dyDescent="0.25">
      <c r="J175" s="300"/>
      <c r="K175" s="301"/>
    </row>
    <row r="176" spans="10:11" x14ac:dyDescent="0.25">
      <c r="J176" s="300"/>
      <c r="K176" s="301"/>
    </row>
    <row r="177" spans="10:11" x14ac:dyDescent="0.25">
      <c r="J177" s="300"/>
      <c r="K177" s="300"/>
    </row>
    <row r="178" spans="10:11" x14ac:dyDescent="0.25">
      <c r="J178" s="300"/>
      <c r="K178" s="301"/>
    </row>
    <row r="179" spans="10:11" x14ac:dyDescent="0.25">
      <c r="J179" s="300"/>
      <c r="K179" s="301"/>
    </row>
    <row r="180" spans="10:11" x14ac:dyDescent="0.25">
      <c r="J180" s="300"/>
      <c r="K180" s="301"/>
    </row>
    <row r="181" spans="10:11" x14ac:dyDescent="0.25">
      <c r="J181" s="300"/>
      <c r="K181" s="301"/>
    </row>
    <row r="182" spans="10:11" x14ac:dyDescent="0.25">
      <c r="J182" s="300"/>
      <c r="K182" s="301"/>
    </row>
    <row r="183" spans="10:11" x14ac:dyDescent="0.25">
      <c r="J183" s="300"/>
      <c r="K183" s="301"/>
    </row>
    <row r="184" spans="10:11" x14ac:dyDescent="0.25">
      <c r="J184" s="300"/>
      <c r="K184" s="301"/>
    </row>
    <row r="185" spans="10:11" x14ac:dyDescent="0.25">
      <c r="J185" s="300"/>
      <c r="K185" s="300"/>
    </row>
    <row r="186" spans="10:11" x14ac:dyDescent="0.25">
      <c r="J186" s="300"/>
      <c r="K186" s="301"/>
    </row>
    <row r="187" spans="10:11" x14ac:dyDescent="0.25">
      <c r="J187" s="300"/>
      <c r="K187" s="301"/>
    </row>
    <row r="188" spans="10:11" x14ac:dyDescent="0.25">
      <c r="J188" s="300"/>
      <c r="K188" s="301"/>
    </row>
    <row r="189" spans="10:11" x14ac:dyDescent="0.25">
      <c r="J189" s="300"/>
      <c r="K189" s="301"/>
    </row>
    <row r="190" spans="10:11" x14ac:dyDescent="0.25">
      <c r="J190" s="300"/>
      <c r="K190" s="301"/>
    </row>
    <row r="191" spans="10:11" x14ac:dyDescent="0.25">
      <c r="J191" s="300"/>
      <c r="K191" s="301"/>
    </row>
    <row r="192" spans="10:11" x14ac:dyDescent="0.25">
      <c r="J192" s="300"/>
      <c r="K192" s="301"/>
    </row>
    <row r="193" spans="10:11" x14ac:dyDescent="0.25">
      <c r="J193" s="300"/>
      <c r="K193" s="300"/>
    </row>
    <row r="194" spans="10:11" x14ac:dyDescent="0.25">
      <c r="J194" s="300"/>
      <c r="K194" s="301"/>
    </row>
    <row r="195" spans="10:11" x14ac:dyDescent="0.25">
      <c r="J195" s="300"/>
      <c r="K195" s="301"/>
    </row>
    <row r="196" spans="10:11" x14ac:dyDescent="0.25">
      <c r="J196" s="300"/>
      <c r="K196" s="301"/>
    </row>
    <row r="197" spans="10:11" x14ac:dyDescent="0.25">
      <c r="J197" s="300"/>
      <c r="K197" s="301"/>
    </row>
    <row r="198" spans="10:11" x14ac:dyDescent="0.25">
      <c r="J198" s="300"/>
      <c r="K198" s="301"/>
    </row>
    <row r="199" spans="10:11" x14ac:dyDescent="0.25">
      <c r="J199" s="300"/>
      <c r="K199" s="301"/>
    </row>
    <row r="200" spans="10:11" x14ac:dyDescent="0.25">
      <c r="J200" s="300"/>
      <c r="K200" s="301"/>
    </row>
    <row r="201" spans="10:11" x14ac:dyDescent="0.25">
      <c r="J201" s="300"/>
      <c r="K201" s="300"/>
    </row>
    <row r="202" spans="10:11" x14ac:dyDescent="0.25">
      <c r="J202" s="300"/>
      <c r="K202" s="301"/>
    </row>
    <row r="203" spans="10:11" x14ac:dyDescent="0.25">
      <c r="J203" s="300"/>
      <c r="K203" s="301"/>
    </row>
    <row r="204" spans="10:11" x14ac:dyDescent="0.25">
      <c r="J204" s="300"/>
      <c r="K204" s="301"/>
    </row>
    <row r="205" spans="10:11" x14ac:dyDescent="0.25">
      <c r="J205" s="300"/>
      <c r="K205" s="301"/>
    </row>
    <row r="206" spans="10:11" x14ac:dyDescent="0.25">
      <c r="J206" s="300"/>
      <c r="K206" s="301"/>
    </row>
    <row r="207" spans="10:11" x14ac:dyDescent="0.25">
      <c r="J207" s="300"/>
      <c r="K207" s="301"/>
    </row>
    <row r="208" spans="10:11" x14ac:dyDescent="0.25">
      <c r="J208" s="300"/>
      <c r="K208" s="301"/>
    </row>
    <row r="209" spans="10:11" x14ac:dyDescent="0.25">
      <c r="J209" s="300"/>
      <c r="K209" s="300"/>
    </row>
    <row r="210" spans="10:11" x14ac:dyDescent="0.25">
      <c r="J210" s="300"/>
      <c r="K210" s="301"/>
    </row>
    <row r="211" spans="10:11" x14ac:dyDescent="0.25">
      <c r="J211" s="300"/>
      <c r="K211" s="301"/>
    </row>
    <row r="212" spans="10:11" x14ac:dyDescent="0.25">
      <c r="J212" s="300"/>
      <c r="K212" s="301"/>
    </row>
    <row r="213" spans="10:11" x14ac:dyDescent="0.25">
      <c r="J213" s="300"/>
      <c r="K213" s="301"/>
    </row>
    <row r="214" spans="10:11" x14ac:dyDescent="0.25">
      <c r="J214" s="300"/>
      <c r="K214" s="300"/>
    </row>
    <row r="215" spans="10:11" x14ac:dyDescent="0.25">
      <c r="J215" s="300"/>
      <c r="K215" s="300"/>
    </row>
    <row r="216" spans="10:11" x14ac:dyDescent="0.25">
      <c r="J216" s="300"/>
      <c r="K216" s="300"/>
    </row>
    <row r="217" spans="10:11" x14ac:dyDescent="0.25">
      <c r="J217" s="300"/>
      <c r="K217" s="300"/>
    </row>
    <row r="218" spans="10:11" x14ac:dyDescent="0.25">
      <c r="J218"/>
      <c r="K218"/>
    </row>
  </sheetData>
  <sheetProtection password="E840" sheet="1" objects="1" scenarios="1"/>
  <protectedRanges>
    <protectedRange sqref="E22:H23" name="DropDowns"/>
  </protectedRanges>
  <mergeCells count="82">
    <mergeCell ref="O12:R12"/>
    <mergeCell ref="J12:M12"/>
    <mergeCell ref="J15:R15"/>
    <mergeCell ref="J18:P18"/>
    <mergeCell ref="R18:S18"/>
    <mergeCell ref="O32:Q33"/>
    <mergeCell ref="B44:G44"/>
    <mergeCell ref="B45:G45"/>
    <mergeCell ref="G22:H23"/>
    <mergeCell ref="E22:F23"/>
    <mergeCell ref="O24:Q24"/>
    <mergeCell ref="O25:Q25"/>
    <mergeCell ref="O26:Q26"/>
    <mergeCell ref="O27:Q27"/>
    <mergeCell ref="O28:Q28"/>
    <mergeCell ref="Q40:S40"/>
    <mergeCell ref="D53:F53"/>
    <mergeCell ref="B52:F52"/>
    <mergeCell ref="B50:F50"/>
    <mergeCell ref="B51:F51"/>
    <mergeCell ref="J42:K42"/>
    <mergeCell ref="B43:G43"/>
    <mergeCell ref="D49:F49"/>
    <mergeCell ref="O62:P62"/>
    <mergeCell ref="O63:P63"/>
    <mergeCell ref="O126:P126"/>
    <mergeCell ref="B109:F109"/>
    <mergeCell ref="B103:F103"/>
    <mergeCell ref="B104:F104"/>
    <mergeCell ref="B78:F78"/>
    <mergeCell ref="B79:F79"/>
    <mergeCell ref="B80:F80"/>
    <mergeCell ref="B81:F81"/>
    <mergeCell ref="B84:F84"/>
    <mergeCell ref="B85:F85"/>
    <mergeCell ref="B72:F72"/>
    <mergeCell ref="D70:F70"/>
    <mergeCell ref="D62:G62"/>
    <mergeCell ref="B73:F73"/>
    <mergeCell ref="O127:P127"/>
    <mergeCell ref="B121:F121"/>
    <mergeCell ref="B122:F122"/>
    <mergeCell ref="B123:F123"/>
    <mergeCell ref="B105:F105"/>
    <mergeCell ref="B108:F108"/>
    <mergeCell ref="B90:F90"/>
    <mergeCell ref="B91:F91"/>
    <mergeCell ref="D130:E130"/>
    <mergeCell ref="D126:E126"/>
    <mergeCell ref="D127:E127"/>
    <mergeCell ref="B114:F114"/>
    <mergeCell ref="D129:E129"/>
    <mergeCell ref="D128:E128"/>
    <mergeCell ref="B115:F115"/>
    <mergeCell ref="B116:F116"/>
    <mergeCell ref="B117:F117"/>
    <mergeCell ref="B120:F120"/>
    <mergeCell ref="B111:F111"/>
    <mergeCell ref="B99:F99"/>
    <mergeCell ref="B102:F102"/>
    <mergeCell ref="B110:F110"/>
    <mergeCell ref="B98:F98"/>
    <mergeCell ref="B92:F92"/>
    <mergeCell ref="B93:F93"/>
    <mergeCell ref="B96:F96"/>
    <mergeCell ref="H42:I42"/>
    <mergeCell ref="B49:C49"/>
    <mergeCell ref="B70:C70"/>
    <mergeCell ref="B74:F74"/>
    <mergeCell ref="B75:F75"/>
    <mergeCell ref="B57:F57"/>
    <mergeCell ref="B58:F58"/>
    <mergeCell ref="B59:F59"/>
    <mergeCell ref="B56:F56"/>
    <mergeCell ref="B97:F97"/>
    <mergeCell ref="B86:F86"/>
    <mergeCell ref="B87:F87"/>
    <mergeCell ref="A15:H15"/>
    <mergeCell ref="A12:H12"/>
    <mergeCell ref="A33:H33"/>
    <mergeCell ref="A18:H18"/>
    <mergeCell ref="A22:D22"/>
  </mergeCells>
  <phoneticPr fontId="0" type="noConversion"/>
  <dataValidations xWindow="1015" yWindow="611" count="4">
    <dataValidation type="list" allowBlank="1" showErrorMessage="1" errorTitle="Expense Code Error" error="You have entered an invalid expense code.  _x000a__x000a_Please enter I for in-state expenses or O for out-of-state expense." promptTitle="Other Expenses" prompt="Enter I for in-state expenses or O for out-of-state expenses." sqref="Q72:Q124 Q50:Q60">
      <formula1>IOList</formula1>
    </dataValidation>
    <dataValidation type="list" allowBlank="1" showInputMessage="1" showErrorMessage="1" sqref="I6">
      <formula1>$C$134:$C$134</formula1>
    </dataValidation>
    <dataValidation type="list" allowBlank="1" showInputMessage="1" showErrorMessage="1" sqref="E22:F23">
      <formula1>In_State</formula1>
    </dataValidation>
    <dataValidation type="list" allowBlank="1" showInputMessage="1" showErrorMessage="1" sqref="G22">
      <formula1>OUT_OF_STATE</formula1>
    </dataValidation>
  </dataValidations>
  <printOptions horizontalCentered="1"/>
  <pageMargins left="0" right="0" top="0.5" bottom="0.5" header="0.5" footer="0"/>
  <pageSetup scale="70" orientation="portrait" r:id="rId1"/>
  <headerFooter alignWithMargins="0">
    <oddHeader>&amp;L&amp;8Form 60-403&amp;R&amp;8Rev. 3/01</oddHeader>
    <oddFooter>&amp;C&amp;"Arial,Bold"Times of departure and return are required for reimbursement to be processed</oddFooter>
  </headerFooter>
  <rowBreaks count="1" manualBreakCount="1">
    <brk id="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141"/>
  <sheetViews>
    <sheetView showGridLines="0" workbookViewId="0">
      <selection activeCell="G10" sqref="G10"/>
    </sheetView>
  </sheetViews>
  <sheetFormatPr defaultColWidth="9.109375" defaultRowHeight="13.2" x14ac:dyDescent="0.25"/>
  <cols>
    <col min="1" max="1" width="5" style="1" customWidth="1"/>
    <col min="2" max="2" width="43.109375" style="1" customWidth="1"/>
    <col min="3" max="3" width="8.6640625" style="291" customWidth="1"/>
    <col min="4" max="4" width="4.5546875" style="1" customWidth="1"/>
    <col min="5" max="5" width="5.109375" style="1" customWidth="1"/>
    <col min="6" max="6" width="6.6640625" style="1" customWidth="1"/>
    <col min="7" max="7" width="7.109375" style="1" customWidth="1"/>
    <col min="8" max="8" width="7" style="1" customWidth="1"/>
    <col min="9" max="9" width="1.44140625" style="1" customWidth="1"/>
    <col min="10" max="10" width="9.109375" style="1"/>
    <col min="11" max="11" width="6.109375" style="1" customWidth="1"/>
    <col min="12" max="12" width="0.6640625" style="1" customWidth="1"/>
    <col min="13" max="13" width="4" style="1" customWidth="1"/>
    <col min="14" max="14" width="9.6640625" style="1" customWidth="1"/>
    <col min="15" max="15" width="1.109375" style="1" customWidth="1"/>
    <col min="16" max="16" width="9.109375" style="1"/>
    <col min="17" max="18" width="1.6640625" style="1" customWidth="1"/>
    <col min="19" max="19" width="10.6640625" style="1" customWidth="1"/>
    <col min="20" max="20" width="7.44140625" style="1" customWidth="1"/>
    <col min="21" max="21" width="5.33203125" style="1" customWidth="1"/>
    <col min="22" max="22" width="51.109375" style="1" customWidth="1"/>
    <col min="23" max="16384" width="9.109375" style="1"/>
  </cols>
  <sheetData>
    <row r="1" spans="2:8" ht="13.8" thickBot="1" x14ac:dyDescent="0.3"/>
    <row r="2" spans="2:8" ht="13.8" thickBot="1" x14ac:dyDescent="0.3">
      <c r="B2" s="275"/>
      <c r="C2" s="275"/>
      <c r="D2" s="275"/>
      <c r="E2" s="275"/>
      <c r="F2" s="275"/>
      <c r="G2" s="265" t="str">
        <f>"In State Mileage Rate per Mile" &amp;"   "</f>
        <v xml:space="preserve">In State Mileage Rate per Mile   </v>
      </c>
      <c r="H2" s="266">
        <v>0.3</v>
      </c>
    </row>
    <row r="3" spans="2:8" ht="14.4" thickBot="1" x14ac:dyDescent="0.3">
      <c r="B3" s="276"/>
      <c r="C3" s="276"/>
      <c r="D3" s="276"/>
      <c r="E3" s="276"/>
      <c r="F3" s="275"/>
      <c r="G3" s="267"/>
      <c r="H3" s="264"/>
    </row>
    <row r="4" spans="2:8" ht="14.4" thickBot="1" x14ac:dyDescent="0.3">
      <c r="B4" s="276"/>
      <c r="C4" s="276"/>
      <c r="D4" s="276"/>
      <c r="E4" s="276"/>
      <c r="F4" s="275"/>
      <c r="G4" s="265" t="str">
        <f>"Out of State Mileage Rate per Mile" &amp; "   "</f>
        <v xml:space="preserve">Out of State Mileage Rate per Mile   </v>
      </c>
      <c r="H4" s="266">
        <v>0.3</v>
      </c>
    </row>
    <row r="5" spans="2:8" ht="13.8" thickBot="1" x14ac:dyDescent="0.3"/>
    <row r="6" spans="2:8" ht="13.8" thickBot="1" x14ac:dyDescent="0.3">
      <c r="B6" s="317" t="s">
        <v>87</v>
      </c>
    </row>
    <row r="7" spans="2:8" x14ac:dyDescent="0.25">
      <c r="B7" s="269" t="s">
        <v>174</v>
      </c>
      <c r="D7" s="259"/>
      <c r="E7" s="306" t="s">
        <v>54</v>
      </c>
      <c r="F7" s="307">
        <v>8.1999999999999993</v>
      </c>
      <c r="G7" s="308">
        <v>8.1999999999999993</v>
      </c>
    </row>
    <row r="8" spans="2:8" x14ac:dyDescent="0.25">
      <c r="B8" s="269" t="s">
        <v>176</v>
      </c>
      <c r="D8" s="260"/>
      <c r="E8" s="304" t="s">
        <v>51</v>
      </c>
      <c r="F8" s="305">
        <v>10.7</v>
      </c>
      <c r="G8" s="309">
        <v>10.7</v>
      </c>
    </row>
    <row r="9" spans="2:8" ht="13.8" thickBot="1" x14ac:dyDescent="0.3">
      <c r="B9" s="269" t="s">
        <v>178</v>
      </c>
      <c r="D9" s="261"/>
      <c r="E9" s="310" t="s">
        <v>52</v>
      </c>
      <c r="F9" s="311">
        <v>18.399999999999999</v>
      </c>
      <c r="G9" s="312">
        <v>20.9</v>
      </c>
    </row>
    <row r="10" spans="2:8" x14ac:dyDescent="0.25">
      <c r="B10" s="295" t="s">
        <v>88</v>
      </c>
    </row>
    <row r="11" spans="2:8" x14ac:dyDescent="0.25">
      <c r="B11" s="269" t="s">
        <v>175</v>
      </c>
    </row>
    <row r="12" spans="2:8" x14ac:dyDescent="0.25">
      <c r="B12" s="295" t="s">
        <v>176</v>
      </c>
    </row>
    <row r="13" spans="2:8" x14ac:dyDescent="0.25">
      <c r="B13" s="316" t="s">
        <v>178</v>
      </c>
    </row>
    <row r="14" spans="2:8" x14ac:dyDescent="0.25">
      <c r="B14" s="295" t="s">
        <v>186</v>
      </c>
    </row>
    <row r="15" spans="2:8" ht="13.8" thickBot="1" x14ac:dyDescent="0.3">
      <c r="B15" s="262" t="s">
        <v>187</v>
      </c>
    </row>
    <row r="18" spans="1:23" ht="18" thickBot="1" x14ac:dyDescent="0.35">
      <c r="A18" s="274"/>
      <c r="B18" s="274"/>
      <c r="C18" s="285"/>
      <c r="D18" s="274"/>
      <c r="E18" s="274"/>
      <c r="F18" s="274"/>
      <c r="G18" s="274"/>
      <c r="H18" s="274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</row>
    <row r="19" spans="1:23" x14ac:dyDescent="0.25">
      <c r="A19" s="275"/>
      <c r="B19" s="259" t="s">
        <v>118</v>
      </c>
      <c r="C19" s="286">
        <v>731111</v>
      </c>
      <c r="D19" s="275"/>
      <c r="L19" s="275"/>
      <c r="M19" s="275"/>
      <c r="N19" s="275"/>
      <c r="O19" s="275"/>
      <c r="P19" s="275"/>
      <c r="Q19" s="275"/>
      <c r="R19" s="275"/>
      <c r="S19" s="275"/>
      <c r="T19" s="275"/>
    </row>
    <row r="20" spans="1:23" ht="13.8" x14ac:dyDescent="0.25">
      <c r="A20" s="276"/>
      <c r="B20" s="260" t="s">
        <v>121</v>
      </c>
      <c r="C20" s="287">
        <v>731121</v>
      </c>
      <c r="D20" s="276"/>
      <c r="L20" s="275"/>
      <c r="M20" s="275"/>
      <c r="N20" s="275"/>
      <c r="O20" s="275"/>
      <c r="P20" s="275"/>
      <c r="Q20" s="275"/>
      <c r="R20" s="275"/>
      <c r="S20" s="275"/>
      <c r="T20" s="275"/>
    </row>
    <row r="21" spans="1:23" ht="13.8" x14ac:dyDescent="0.25">
      <c r="A21" s="276"/>
      <c r="B21" s="260" t="s">
        <v>122</v>
      </c>
      <c r="C21" s="287">
        <v>731130</v>
      </c>
      <c r="D21" s="276"/>
      <c r="L21" s="275"/>
      <c r="M21" s="275"/>
      <c r="N21" s="275"/>
      <c r="O21" s="275"/>
      <c r="P21" s="275"/>
      <c r="Q21" s="275"/>
      <c r="R21" s="275"/>
      <c r="S21" s="275"/>
      <c r="T21" s="275"/>
    </row>
    <row r="22" spans="1:23" x14ac:dyDescent="0.25">
      <c r="B22" s="260" t="s">
        <v>123</v>
      </c>
      <c r="C22" s="287">
        <v>731141</v>
      </c>
    </row>
    <row r="23" spans="1:23" ht="15.6" x14ac:dyDescent="0.3">
      <c r="A23" s="277"/>
      <c r="B23" s="260" t="s">
        <v>124</v>
      </c>
      <c r="C23" s="287">
        <v>731151</v>
      </c>
      <c r="D23" s="277"/>
      <c r="E23" s="277"/>
      <c r="F23" s="277"/>
      <c r="G23" s="277"/>
      <c r="H23" s="277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</row>
    <row r="24" spans="1:23" x14ac:dyDescent="0.25">
      <c r="B24" s="260" t="s">
        <v>125</v>
      </c>
      <c r="C24" s="287">
        <v>731160</v>
      </c>
    </row>
    <row r="25" spans="1:23" x14ac:dyDescent="0.25">
      <c r="A25" s="278"/>
      <c r="B25" s="260" t="s">
        <v>126</v>
      </c>
      <c r="C25" s="287">
        <v>731170</v>
      </c>
      <c r="D25" s="278"/>
      <c r="E25" s="278"/>
      <c r="F25" s="278"/>
      <c r="G25" s="278"/>
      <c r="H25" s="278"/>
    </row>
    <row r="26" spans="1:23" x14ac:dyDescent="0.25">
      <c r="A26" s="279"/>
      <c r="B26" s="260" t="s">
        <v>127</v>
      </c>
      <c r="C26" s="287">
        <v>731190</v>
      </c>
      <c r="D26" s="279"/>
      <c r="E26" s="279"/>
      <c r="G26" s="279"/>
      <c r="H26" s="279"/>
    </row>
    <row r="27" spans="1:23" x14ac:dyDescent="0.25">
      <c r="B27" s="260" t="s">
        <v>128</v>
      </c>
      <c r="C27" s="287">
        <v>731211</v>
      </c>
    </row>
    <row r="28" spans="1:23" x14ac:dyDescent="0.25">
      <c r="A28" s="2"/>
      <c r="B28" s="260" t="s">
        <v>129</v>
      </c>
      <c r="C28" s="287">
        <v>731221</v>
      </c>
      <c r="D28" s="2"/>
      <c r="E28" s="2"/>
      <c r="G28" s="2"/>
      <c r="H28" s="2"/>
      <c r="J28" s="2"/>
      <c r="K28" s="2"/>
      <c r="P28" s="2"/>
      <c r="T28" s="2"/>
    </row>
    <row r="29" spans="1:23" x14ac:dyDescent="0.25">
      <c r="B29" s="260" t="s">
        <v>130</v>
      </c>
      <c r="C29" s="288">
        <v>731230</v>
      </c>
      <c r="W29" s="263"/>
    </row>
    <row r="30" spans="1:23" x14ac:dyDescent="0.25">
      <c r="B30" s="260" t="s">
        <v>132</v>
      </c>
      <c r="C30" s="287">
        <v>731241</v>
      </c>
      <c r="W30" s="263"/>
    </row>
    <row r="31" spans="1:23" x14ac:dyDescent="0.25">
      <c r="A31" s="2"/>
      <c r="B31" s="260" t="s">
        <v>131</v>
      </c>
      <c r="C31" s="287">
        <v>731251</v>
      </c>
      <c r="D31" s="2"/>
      <c r="E31" s="2"/>
      <c r="G31" s="2"/>
      <c r="H31" s="2"/>
      <c r="J31" s="2"/>
      <c r="K31" s="2"/>
      <c r="W31" s="263"/>
    </row>
    <row r="32" spans="1:23" x14ac:dyDescent="0.25">
      <c r="B32" s="260" t="s">
        <v>133</v>
      </c>
      <c r="C32" s="287">
        <v>731260</v>
      </c>
      <c r="F32" s="292"/>
      <c r="W32" s="263"/>
    </row>
    <row r="33" spans="1:23" x14ac:dyDescent="0.25">
      <c r="B33" s="260" t="s">
        <v>172</v>
      </c>
      <c r="C33" s="287" t="s">
        <v>83</v>
      </c>
      <c r="F33" s="292"/>
      <c r="W33" s="263"/>
    </row>
    <row r="34" spans="1:23" x14ac:dyDescent="0.25">
      <c r="B34" s="260" t="s">
        <v>134</v>
      </c>
      <c r="C34" s="287">
        <v>731290</v>
      </c>
      <c r="F34" s="270"/>
      <c r="W34" s="263"/>
    </row>
    <row r="35" spans="1:23" x14ac:dyDescent="0.25">
      <c r="A35" s="2"/>
      <c r="B35" s="260" t="s">
        <v>135</v>
      </c>
      <c r="C35" s="287">
        <v>731311</v>
      </c>
      <c r="D35" s="2"/>
      <c r="E35" s="2"/>
      <c r="F35" s="272"/>
      <c r="G35" s="2"/>
      <c r="H35" s="2"/>
      <c r="J35" s="2"/>
      <c r="K35" s="2"/>
      <c r="W35" s="263"/>
    </row>
    <row r="36" spans="1:23" x14ac:dyDescent="0.25">
      <c r="B36" s="260" t="s">
        <v>136</v>
      </c>
      <c r="C36" s="287">
        <v>731320</v>
      </c>
      <c r="W36" s="263"/>
    </row>
    <row r="37" spans="1:23" x14ac:dyDescent="0.25">
      <c r="B37" s="260" t="s">
        <v>137</v>
      </c>
      <c r="C37" s="287">
        <v>731330</v>
      </c>
      <c r="W37" s="263"/>
    </row>
    <row r="38" spans="1:23" x14ac:dyDescent="0.25">
      <c r="B38" s="260" t="s">
        <v>84</v>
      </c>
      <c r="C38" s="287">
        <v>731341</v>
      </c>
      <c r="W38" s="263"/>
    </row>
    <row r="39" spans="1:23" x14ac:dyDescent="0.25">
      <c r="A39" s="2"/>
      <c r="B39" s="260" t="s">
        <v>85</v>
      </c>
      <c r="C39" s="287">
        <v>731351</v>
      </c>
      <c r="D39" s="2"/>
      <c r="E39" s="294"/>
      <c r="F39" s="294"/>
      <c r="G39" s="2"/>
      <c r="H39" s="2"/>
      <c r="P39" s="280"/>
      <c r="Q39" s="280"/>
      <c r="R39" s="280"/>
      <c r="S39" s="281"/>
      <c r="W39" s="263"/>
    </row>
    <row r="40" spans="1:23" x14ac:dyDescent="0.25">
      <c r="B40" s="260" t="s">
        <v>86</v>
      </c>
      <c r="C40" s="287">
        <v>731360</v>
      </c>
      <c r="E40" s="294"/>
      <c r="F40" s="294"/>
      <c r="P40" s="281"/>
      <c r="Q40" s="281"/>
      <c r="R40" s="280"/>
      <c r="S40" s="281"/>
      <c r="W40" s="263"/>
    </row>
    <row r="41" spans="1:23" x14ac:dyDescent="0.25">
      <c r="B41" s="260" t="s">
        <v>138</v>
      </c>
      <c r="C41" s="287">
        <v>731390</v>
      </c>
      <c r="D41" s="275"/>
      <c r="E41" s="294"/>
      <c r="F41" s="294"/>
      <c r="J41" s="2"/>
      <c r="K41" s="2"/>
      <c r="P41" s="281"/>
      <c r="Q41" s="281"/>
      <c r="S41" s="281"/>
      <c r="W41" s="263"/>
    </row>
    <row r="42" spans="1:23" x14ac:dyDescent="0.25">
      <c r="B42" s="260" t="s">
        <v>182</v>
      </c>
      <c r="C42" s="287" t="s">
        <v>83</v>
      </c>
      <c r="D42" s="275"/>
      <c r="E42" s="294"/>
      <c r="F42" s="294"/>
      <c r="J42" s="2"/>
      <c r="K42" s="2"/>
      <c r="P42" s="281"/>
      <c r="Q42" s="281"/>
      <c r="S42" s="281"/>
      <c r="W42" s="263"/>
    </row>
    <row r="43" spans="1:23" x14ac:dyDescent="0.25">
      <c r="A43" s="282"/>
      <c r="B43" s="260" t="s">
        <v>177</v>
      </c>
      <c r="C43" s="287">
        <v>731411</v>
      </c>
      <c r="D43" s="2"/>
      <c r="E43" s="294"/>
      <c r="F43" s="294"/>
      <c r="G43" s="283"/>
      <c r="H43" s="2"/>
      <c r="J43" s="2"/>
      <c r="K43" s="2"/>
      <c r="P43" s="2"/>
      <c r="Q43" s="2"/>
      <c r="S43" s="2"/>
      <c r="W43" s="263"/>
    </row>
    <row r="44" spans="1:23" x14ac:dyDescent="0.25">
      <c r="A44" s="282"/>
      <c r="B44" s="260" t="s">
        <v>139</v>
      </c>
      <c r="C44" s="287">
        <v>731421</v>
      </c>
      <c r="D44" s="2"/>
      <c r="E44" s="294"/>
      <c r="F44" s="294"/>
      <c r="G44" s="281"/>
      <c r="H44" s="2"/>
      <c r="J44" s="2"/>
      <c r="K44" s="2"/>
      <c r="W44" s="263"/>
    </row>
    <row r="45" spans="1:23" x14ac:dyDescent="0.25">
      <c r="A45" s="282"/>
      <c r="B45" s="260" t="s">
        <v>140</v>
      </c>
      <c r="C45" s="287">
        <v>731431</v>
      </c>
      <c r="D45" s="2"/>
      <c r="E45" s="294"/>
      <c r="F45" s="294"/>
      <c r="G45" s="281"/>
      <c r="H45" s="2"/>
      <c r="J45" s="2"/>
      <c r="K45" s="2"/>
      <c r="W45" s="263"/>
    </row>
    <row r="46" spans="1:23" x14ac:dyDescent="0.25">
      <c r="A46" s="282"/>
      <c r="B46" s="260" t="s">
        <v>141</v>
      </c>
      <c r="C46" s="288">
        <v>731452</v>
      </c>
      <c r="D46" s="2"/>
      <c r="E46" s="294"/>
      <c r="F46" s="294"/>
      <c r="G46" s="281"/>
      <c r="H46" s="2"/>
      <c r="J46" s="2"/>
      <c r="K46" s="2"/>
      <c r="W46" s="263"/>
    </row>
    <row r="47" spans="1:23" x14ac:dyDescent="0.25">
      <c r="A47" s="282"/>
      <c r="B47" s="260" t="s">
        <v>142</v>
      </c>
      <c r="C47" s="288">
        <v>731461</v>
      </c>
      <c r="D47" s="2"/>
      <c r="E47" s="294"/>
      <c r="F47" s="294"/>
      <c r="G47" s="281"/>
      <c r="H47" s="2"/>
      <c r="T47" s="263"/>
    </row>
    <row r="48" spans="1:23" x14ac:dyDescent="0.25">
      <c r="A48" s="282"/>
      <c r="B48" s="260" t="s">
        <v>143</v>
      </c>
      <c r="C48" s="288">
        <v>731470</v>
      </c>
      <c r="D48" s="2"/>
      <c r="E48" s="281"/>
      <c r="F48" s="281"/>
      <c r="G48" s="281"/>
      <c r="H48" s="2"/>
      <c r="T48" s="263"/>
    </row>
    <row r="49" spans="1:23" x14ac:dyDescent="0.25">
      <c r="A49" s="282"/>
      <c r="B49" s="260" t="s">
        <v>141</v>
      </c>
      <c r="C49" s="287">
        <v>731490</v>
      </c>
      <c r="D49" s="2"/>
      <c r="E49" s="281"/>
      <c r="F49" s="281"/>
      <c r="G49" s="281"/>
      <c r="H49" s="2"/>
      <c r="J49" s="2"/>
      <c r="K49" s="2"/>
      <c r="W49" s="263"/>
    </row>
    <row r="50" spans="1:23" x14ac:dyDescent="0.25">
      <c r="A50" s="282"/>
      <c r="B50" s="260" t="s">
        <v>183</v>
      </c>
      <c r="C50" s="287" t="s">
        <v>83</v>
      </c>
      <c r="D50" s="2"/>
      <c r="E50" s="281"/>
      <c r="F50" s="281"/>
      <c r="G50" s="281"/>
      <c r="H50" s="2"/>
      <c r="J50" s="2"/>
      <c r="K50" s="2"/>
      <c r="W50" s="263"/>
    </row>
    <row r="51" spans="1:23" x14ac:dyDescent="0.25">
      <c r="A51" s="282"/>
      <c r="B51" s="260" t="s">
        <v>184</v>
      </c>
      <c r="C51" s="287" t="s">
        <v>83</v>
      </c>
      <c r="D51" s="2"/>
      <c r="E51" s="281"/>
      <c r="F51" s="281"/>
      <c r="G51" s="281"/>
      <c r="H51" s="2"/>
      <c r="J51" s="2"/>
      <c r="K51" s="2"/>
      <c r="W51" s="263"/>
    </row>
    <row r="52" spans="1:23" x14ac:dyDescent="0.25">
      <c r="A52" s="282"/>
      <c r="B52" s="260" t="s">
        <v>144</v>
      </c>
      <c r="C52" s="287" t="s">
        <v>89</v>
      </c>
      <c r="J52" s="2"/>
      <c r="K52" s="2"/>
      <c r="W52" s="263"/>
    </row>
    <row r="53" spans="1:23" x14ac:dyDescent="0.25">
      <c r="A53" s="282"/>
      <c r="B53" s="260" t="s">
        <v>145</v>
      </c>
      <c r="C53" s="287" t="s">
        <v>90</v>
      </c>
      <c r="G53" s="2"/>
      <c r="J53" s="2"/>
      <c r="K53" s="2"/>
      <c r="W53" s="263"/>
    </row>
    <row r="54" spans="1:23" x14ac:dyDescent="0.25">
      <c r="A54" s="2"/>
      <c r="B54" s="260" t="s">
        <v>146</v>
      </c>
      <c r="C54" s="287" t="s">
        <v>91</v>
      </c>
      <c r="G54" s="2"/>
      <c r="J54" s="2"/>
      <c r="K54" s="2"/>
      <c r="W54" s="263"/>
    </row>
    <row r="55" spans="1:23" x14ac:dyDescent="0.25">
      <c r="A55" s="2"/>
      <c r="B55" s="260" t="s">
        <v>147</v>
      </c>
      <c r="C55" s="287" t="s">
        <v>92</v>
      </c>
      <c r="G55" s="2"/>
      <c r="J55" s="2"/>
      <c r="K55" s="2"/>
      <c r="W55" s="263"/>
    </row>
    <row r="56" spans="1:23" x14ac:dyDescent="0.25">
      <c r="A56" s="2"/>
      <c r="B56" s="260" t="s">
        <v>148</v>
      </c>
      <c r="C56" s="287" t="s">
        <v>93</v>
      </c>
      <c r="G56" s="2"/>
      <c r="J56" s="2"/>
      <c r="K56" s="2"/>
      <c r="W56" s="263"/>
    </row>
    <row r="57" spans="1:23" x14ac:dyDescent="0.25">
      <c r="A57" s="2"/>
      <c r="B57" s="260" t="s">
        <v>149</v>
      </c>
      <c r="C57" s="287" t="s">
        <v>94</v>
      </c>
      <c r="G57" s="2"/>
      <c r="J57" s="2"/>
      <c r="K57" s="2"/>
      <c r="W57" s="263"/>
    </row>
    <row r="58" spans="1:23" x14ac:dyDescent="0.25">
      <c r="A58" s="2"/>
      <c r="B58" s="260" t="s">
        <v>150</v>
      </c>
      <c r="C58" s="287" t="s">
        <v>95</v>
      </c>
      <c r="G58" s="2"/>
      <c r="J58" s="2"/>
      <c r="K58" s="2"/>
    </row>
    <row r="59" spans="1:23" x14ac:dyDescent="0.25">
      <c r="A59" s="2"/>
      <c r="B59" s="260" t="s">
        <v>151</v>
      </c>
      <c r="C59" s="287" t="s">
        <v>96</v>
      </c>
      <c r="G59" s="2"/>
      <c r="J59" s="2"/>
      <c r="K59" s="2"/>
    </row>
    <row r="60" spans="1:23" x14ac:dyDescent="0.25">
      <c r="A60" s="3"/>
      <c r="B60" s="260" t="s">
        <v>152</v>
      </c>
      <c r="C60" s="287" t="s">
        <v>97</v>
      </c>
      <c r="D60" s="275"/>
      <c r="E60" s="275"/>
      <c r="F60" s="275"/>
      <c r="G60" s="3"/>
      <c r="J60" s="3"/>
      <c r="K60" s="3"/>
      <c r="L60" s="275"/>
      <c r="M60" s="275"/>
      <c r="N60" s="275"/>
      <c r="O60" s="275"/>
      <c r="P60" s="275"/>
      <c r="Q60" s="275"/>
      <c r="S60" s="3"/>
      <c r="T60" s="275"/>
    </row>
    <row r="61" spans="1:23" x14ac:dyDescent="0.25">
      <c r="B61" s="260" t="s">
        <v>153</v>
      </c>
      <c r="C61" s="287" t="s">
        <v>98</v>
      </c>
      <c r="D61" s="275"/>
      <c r="E61" s="275"/>
      <c r="F61" s="275"/>
      <c r="G61" s="3"/>
      <c r="H61" s="275"/>
      <c r="I61" s="275"/>
      <c r="J61" s="275"/>
      <c r="K61" s="275"/>
      <c r="L61" s="275"/>
      <c r="M61" s="3"/>
      <c r="N61" s="275"/>
      <c r="O61" s="275"/>
      <c r="P61" s="275"/>
      <c r="Q61" s="275"/>
      <c r="R61" s="253"/>
      <c r="S61" s="3"/>
      <c r="T61" s="275"/>
    </row>
    <row r="62" spans="1:23" x14ac:dyDescent="0.25">
      <c r="A62" s="281"/>
      <c r="B62" s="260" t="s">
        <v>154</v>
      </c>
      <c r="C62" s="287" t="s">
        <v>99</v>
      </c>
      <c r="D62" s="281"/>
      <c r="E62" s="281"/>
      <c r="F62" s="280"/>
      <c r="G62" s="280"/>
      <c r="H62" s="281"/>
      <c r="I62" s="2"/>
      <c r="J62" s="283"/>
      <c r="K62" s="3"/>
      <c r="L62" s="3"/>
      <c r="M62" s="281"/>
      <c r="N62" s="3"/>
      <c r="O62" s="3"/>
      <c r="P62" s="3"/>
      <c r="Q62" s="3"/>
      <c r="R62" s="281"/>
      <c r="S62" s="281"/>
      <c r="T62" s="281"/>
    </row>
    <row r="63" spans="1:23" x14ac:dyDescent="0.25">
      <c r="B63" s="260" t="s">
        <v>155</v>
      </c>
      <c r="C63" s="287" t="s">
        <v>100</v>
      </c>
      <c r="G63" s="281"/>
      <c r="M63" s="281"/>
      <c r="N63" s="2"/>
      <c r="O63" s="2"/>
      <c r="P63" s="2"/>
      <c r="Q63" s="2"/>
    </row>
    <row r="64" spans="1:23" x14ac:dyDescent="0.25">
      <c r="B64" s="260" t="s">
        <v>156</v>
      </c>
      <c r="C64" s="287" t="s">
        <v>101</v>
      </c>
      <c r="G64" s="281"/>
      <c r="M64" s="281"/>
      <c r="N64" s="2"/>
      <c r="O64" s="2"/>
      <c r="P64" s="2"/>
      <c r="Q64" s="2"/>
    </row>
    <row r="65" spans="1:23" x14ac:dyDescent="0.25">
      <c r="B65" s="260" t="s">
        <v>157</v>
      </c>
      <c r="C65" s="287" t="s">
        <v>102</v>
      </c>
      <c r="G65" s="281"/>
      <c r="M65" s="281"/>
      <c r="N65" s="2"/>
      <c r="O65" s="2"/>
      <c r="P65" s="2"/>
      <c r="Q65" s="2"/>
    </row>
    <row r="66" spans="1:23" x14ac:dyDescent="0.25">
      <c r="B66" s="260" t="s">
        <v>185</v>
      </c>
      <c r="C66" s="287" t="s">
        <v>83</v>
      </c>
      <c r="G66" s="281"/>
      <c r="M66" s="281"/>
      <c r="N66" s="2"/>
      <c r="O66" s="2"/>
      <c r="P66" s="2"/>
      <c r="Q66" s="2"/>
    </row>
    <row r="67" spans="1:23" x14ac:dyDescent="0.25">
      <c r="B67" s="260" t="s">
        <v>158</v>
      </c>
      <c r="C67" s="287" t="s">
        <v>103</v>
      </c>
      <c r="G67" s="281"/>
      <c r="M67" s="281"/>
      <c r="N67" s="2"/>
      <c r="O67" s="2"/>
      <c r="P67" s="2"/>
      <c r="Q67" s="2"/>
      <c r="W67" s="263"/>
    </row>
    <row r="68" spans="1:23" x14ac:dyDescent="0.25">
      <c r="A68" s="2"/>
      <c r="B68" s="260" t="s">
        <v>159</v>
      </c>
      <c r="C68" s="287" t="s">
        <v>104</v>
      </c>
      <c r="G68" s="281"/>
      <c r="M68" s="281"/>
      <c r="N68" s="2"/>
      <c r="O68" s="2"/>
      <c r="P68" s="2"/>
      <c r="Q68" s="2"/>
      <c r="W68" s="263"/>
    </row>
    <row r="69" spans="1:23" x14ac:dyDescent="0.25">
      <c r="B69" s="260" t="s">
        <v>160</v>
      </c>
      <c r="C69" s="287" t="s">
        <v>105</v>
      </c>
      <c r="G69" s="281"/>
      <c r="M69" s="281"/>
      <c r="N69" s="2"/>
      <c r="O69" s="2"/>
      <c r="P69" s="2"/>
      <c r="Q69" s="2"/>
      <c r="W69" s="263"/>
    </row>
    <row r="70" spans="1:23" x14ac:dyDescent="0.25">
      <c r="B70" s="260" t="s">
        <v>161</v>
      </c>
      <c r="C70" s="287" t="s">
        <v>106</v>
      </c>
      <c r="G70" s="281"/>
      <c r="M70" s="281"/>
      <c r="N70" s="2"/>
      <c r="O70" s="2"/>
      <c r="P70" s="2"/>
      <c r="Q70" s="2"/>
      <c r="W70" s="263"/>
    </row>
    <row r="71" spans="1:23" x14ac:dyDescent="0.25">
      <c r="B71" s="260" t="s">
        <v>162</v>
      </c>
      <c r="C71" s="287" t="s">
        <v>107</v>
      </c>
      <c r="G71" s="281"/>
      <c r="M71" s="281"/>
      <c r="N71" s="2"/>
      <c r="O71" s="2"/>
      <c r="P71" s="2"/>
      <c r="Q71" s="2"/>
      <c r="W71" s="263"/>
    </row>
    <row r="72" spans="1:23" x14ac:dyDescent="0.25">
      <c r="B72" s="260" t="s">
        <v>163</v>
      </c>
      <c r="C72" s="287" t="s">
        <v>108</v>
      </c>
      <c r="G72" s="281"/>
      <c r="M72" s="281"/>
      <c r="N72" s="2"/>
      <c r="O72" s="2"/>
      <c r="P72" s="2"/>
      <c r="Q72" s="2"/>
      <c r="W72" s="263"/>
    </row>
    <row r="73" spans="1:23" x14ac:dyDescent="0.25">
      <c r="A73" s="2"/>
      <c r="B73" s="260" t="s">
        <v>164</v>
      </c>
      <c r="C73" s="287" t="s">
        <v>109</v>
      </c>
      <c r="G73" s="281"/>
      <c r="M73" s="281"/>
      <c r="N73" s="2"/>
      <c r="O73" s="2"/>
      <c r="P73" s="2"/>
      <c r="Q73" s="2"/>
      <c r="W73" s="263"/>
    </row>
    <row r="74" spans="1:23" x14ac:dyDescent="0.25">
      <c r="B74" s="260" t="s">
        <v>165</v>
      </c>
      <c r="C74" s="287" t="s">
        <v>110</v>
      </c>
      <c r="G74" s="281"/>
      <c r="M74" s="281"/>
      <c r="N74" s="2"/>
      <c r="O74" s="2"/>
      <c r="P74" s="2"/>
      <c r="Q74" s="2"/>
      <c r="W74" s="263"/>
    </row>
    <row r="75" spans="1:23" x14ac:dyDescent="0.25">
      <c r="B75" s="260" t="s">
        <v>181</v>
      </c>
      <c r="C75" s="287" t="s">
        <v>83</v>
      </c>
      <c r="G75" s="281"/>
      <c r="M75" s="281"/>
      <c r="N75" s="2"/>
      <c r="O75" s="2"/>
      <c r="P75" s="2"/>
      <c r="Q75" s="2"/>
      <c r="W75" s="263"/>
    </row>
    <row r="76" spans="1:23" x14ac:dyDescent="0.25">
      <c r="B76" s="260" t="s">
        <v>179</v>
      </c>
      <c r="C76" s="287" t="s">
        <v>111</v>
      </c>
      <c r="G76" s="281"/>
      <c r="M76" s="281"/>
      <c r="N76" s="2"/>
      <c r="O76" s="2"/>
      <c r="P76" s="2"/>
      <c r="Q76" s="2"/>
      <c r="W76" s="263"/>
    </row>
    <row r="77" spans="1:23" x14ac:dyDescent="0.25">
      <c r="B77" s="260" t="s">
        <v>180</v>
      </c>
      <c r="C77" s="287" t="s">
        <v>83</v>
      </c>
      <c r="G77" s="281"/>
      <c r="M77" s="281"/>
      <c r="N77" s="2"/>
      <c r="O77" s="2"/>
      <c r="P77" s="2"/>
      <c r="Q77" s="2"/>
      <c r="W77" s="263"/>
    </row>
    <row r="78" spans="1:23" x14ac:dyDescent="0.25">
      <c r="B78" s="260" t="s">
        <v>166</v>
      </c>
      <c r="C78" s="287" t="s">
        <v>112</v>
      </c>
      <c r="G78" s="281"/>
      <c r="M78" s="281"/>
      <c r="N78" s="2"/>
      <c r="O78" s="2"/>
      <c r="P78" s="2"/>
      <c r="Q78" s="2"/>
      <c r="W78" s="263"/>
    </row>
    <row r="79" spans="1:23" x14ac:dyDescent="0.25">
      <c r="B79" s="260" t="s">
        <v>167</v>
      </c>
      <c r="C79" s="287" t="s">
        <v>113</v>
      </c>
      <c r="G79" s="281"/>
      <c r="M79" s="281"/>
      <c r="N79" s="2"/>
      <c r="O79" s="2"/>
      <c r="P79" s="2"/>
      <c r="Q79" s="2"/>
      <c r="W79" s="263"/>
    </row>
    <row r="80" spans="1:23" x14ac:dyDescent="0.25">
      <c r="A80" s="2"/>
      <c r="B80" s="260" t="s">
        <v>168</v>
      </c>
      <c r="C80" s="287" t="s">
        <v>114</v>
      </c>
      <c r="G80" s="281"/>
      <c r="M80" s="281"/>
      <c r="N80" s="2"/>
      <c r="O80" s="2"/>
      <c r="P80" s="2"/>
      <c r="Q80" s="2"/>
      <c r="W80" s="263"/>
    </row>
    <row r="81" spans="1:23" x14ac:dyDescent="0.25">
      <c r="A81" s="284"/>
      <c r="B81" s="260" t="s">
        <v>169</v>
      </c>
      <c r="C81" s="287" t="s">
        <v>115</v>
      </c>
      <c r="D81" s="284"/>
      <c r="H81" s="281"/>
      <c r="I81" s="281"/>
      <c r="J81" s="281"/>
      <c r="N81" s="281"/>
      <c r="O81" s="281"/>
      <c r="P81" s="281"/>
      <c r="Q81" s="2"/>
      <c r="T81" s="281"/>
    </row>
    <row r="82" spans="1:23" x14ac:dyDescent="0.25">
      <c r="A82" s="2"/>
      <c r="B82" s="260" t="s">
        <v>170</v>
      </c>
      <c r="C82" s="287" t="s">
        <v>116</v>
      </c>
      <c r="E82" s="2"/>
      <c r="H82" s="281"/>
      <c r="I82" s="281"/>
      <c r="J82" s="281"/>
      <c r="N82" s="281"/>
      <c r="O82" s="281"/>
      <c r="P82" s="281"/>
      <c r="Q82" s="2"/>
      <c r="T82" s="2"/>
    </row>
    <row r="83" spans="1:23" ht="13.8" thickBot="1" x14ac:dyDescent="0.3">
      <c r="A83" s="2"/>
      <c r="B83" s="261" t="s">
        <v>171</v>
      </c>
      <c r="C83" s="289" t="s">
        <v>117</v>
      </c>
      <c r="D83" s="2"/>
      <c r="E83" s="2"/>
      <c r="F83" s="281"/>
      <c r="N83" s="2"/>
      <c r="O83" s="2"/>
      <c r="P83" s="2"/>
      <c r="Q83" s="2"/>
      <c r="T83" s="2"/>
    </row>
    <row r="84" spans="1:23" x14ac:dyDescent="0.25">
      <c r="A84" s="2"/>
      <c r="B84" s="2"/>
      <c r="C84" s="290"/>
      <c r="D84" s="2"/>
      <c r="E84" s="2"/>
      <c r="F84" s="281"/>
    </row>
    <row r="85" spans="1:23" ht="10.5" customHeight="1" x14ac:dyDescent="0.25">
      <c r="A85" s="2"/>
      <c r="B85" s="2"/>
      <c r="C85" s="290"/>
      <c r="D85" s="2"/>
      <c r="E85" s="2"/>
      <c r="F85" s="281"/>
    </row>
    <row r="86" spans="1:23" x14ac:dyDescent="0.25">
      <c r="A86" s="2"/>
      <c r="B86" s="2"/>
      <c r="C86" s="290"/>
      <c r="D86" s="2"/>
      <c r="E86" s="2"/>
      <c r="F86" s="2"/>
    </row>
    <row r="87" spans="1:23" x14ac:dyDescent="0.25">
      <c r="A87" s="2"/>
      <c r="B87" s="2"/>
      <c r="C87" s="290"/>
      <c r="D87" s="2"/>
      <c r="E87" s="2"/>
      <c r="F87" s="2"/>
    </row>
    <row r="89" spans="1:23" x14ac:dyDescent="0.25">
      <c r="B89" s="3"/>
      <c r="C89" s="290"/>
      <c r="D89" s="275"/>
      <c r="E89" s="275"/>
      <c r="F89" s="275"/>
      <c r="G89" s="3"/>
      <c r="H89" s="275"/>
      <c r="I89" s="275"/>
      <c r="J89" s="275"/>
      <c r="K89" s="275"/>
      <c r="L89" s="275"/>
      <c r="M89" s="3"/>
      <c r="N89" s="275"/>
      <c r="O89" s="275"/>
      <c r="P89" s="275"/>
      <c r="Q89" s="275"/>
      <c r="R89" s="253"/>
      <c r="S89" s="3"/>
      <c r="T89" s="275"/>
      <c r="W89" s="263"/>
    </row>
    <row r="90" spans="1:23" x14ac:dyDescent="0.25">
      <c r="A90" s="281"/>
      <c r="B90" s="283"/>
      <c r="C90" s="290"/>
      <c r="D90" s="281"/>
      <c r="E90" s="281"/>
      <c r="F90" s="280"/>
      <c r="G90" s="280"/>
      <c r="H90" s="281"/>
      <c r="I90" s="2"/>
      <c r="J90" s="283"/>
      <c r="K90" s="3"/>
      <c r="L90" s="3"/>
      <c r="M90" s="281"/>
      <c r="N90" s="3"/>
      <c r="O90" s="3"/>
      <c r="P90" s="3"/>
      <c r="Q90" s="3"/>
      <c r="R90" s="281"/>
      <c r="S90" s="281"/>
      <c r="T90" s="281"/>
      <c r="W90" s="263"/>
    </row>
    <row r="91" spans="1:23" x14ac:dyDescent="0.25">
      <c r="A91" s="283"/>
      <c r="B91" s="283"/>
      <c r="C91" s="290"/>
      <c r="D91" s="281"/>
      <c r="E91" s="280"/>
      <c r="G91" s="281"/>
      <c r="M91" s="281"/>
      <c r="N91" s="3"/>
      <c r="O91" s="3"/>
      <c r="P91" s="3"/>
      <c r="Q91" s="281"/>
      <c r="R91" s="281"/>
      <c r="S91" s="281"/>
      <c r="V91" s="263"/>
    </row>
    <row r="92" spans="1:23" x14ac:dyDescent="0.25">
      <c r="G92" s="281"/>
      <c r="M92" s="281"/>
      <c r="N92" s="2"/>
      <c r="O92" s="2"/>
      <c r="P92" s="2"/>
      <c r="Q92" s="2"/>
      <c r="W92" s="263"/>
    </row>
    <row r="93" spans="1:23" x14ac:dyDescent="0.25">
      <c r="G93" s="281"/>
      <c r="M93" s="281"/>
      <c r="N93" s="2"/>
      <c r="O93" s="2"/>
      <c r="P93" s="2"/>
      <c r="Q93" s="2"/>
      <c r="W93" s="263"/>
    </row>
    <row r="94" spans="1:23" x14ac:dyDescent="0.25">
      <c r="G94" s="281"/>
      <c r="M94" s="281"/>
      <c r="N94" s="2"/>
      <c r="O94" s="2"/>
      <c r="P94" s="2"/>
      <c r="Q94" s="2"/>
      <c r="W94" s="263"/>
    </row>
    <row r="95" spans="1:23" x14ac:dyDescent="0.25">
      <c r="G95" s="281"/>
      <c r="M95" s="281"/>
      <c r="N95" s="2"/>
      <c r="O95" s="2"/>
      <c r="P95" s="2"/>
      <c r="Q95" s="2"/>
      <c r="W95" s="263"/>
    </row>
    <row r="96" spans="1:23" x14ac:dyDescent="0.25">
      <c r="A96" s="2"/>
      <c r="G96" s="281"/>
      <c r="M96" s="281"/>
      <c r="N96" s="2"/>
      <c r="O96" s="2"/>
      <c r="P96" s="2"/>
      <c r="Q96" s="2"/>
    </row>
    <row r="97" spans="1:23" x14ac:dyDescent="0.25">
      <c r="G97" s="281"/>
      <c r="M97" s="281"/>
      <c r="N97" s="2"/>
      <c r="O97" s="2"/>
      <c r="P97" s="2"/>
      <c r="Q97" s="2"/>
      <c r="W97" s="263"/>
    </row>
    <row r="98" spans="1:23" x14ac:dyDescent="0.25">
      <c r="G98" s="281"/>
      <c r="M98" s="281"/>
      <c r="N98" s="2"/>
      <c r="O98" s="2"/>
      <c r="P98" s="2"/>
      <c r="Q98" s="2"/>
      <c r="W98" s="263"/>
    </row>
    <row r="99" spans="1:23" x14ac:dyDescent="0.25">
      <c r="G99" s="281"/>
      <c r="M99" s="281"/>
      <c r="N99" s="2"/>
      <c r="O99" s="2"/>
      <c r="P99" s="2"/>
      <c r="Q99" s="2"/>
      <c r="W99" s="263"/>
    </row>
    <row r="100" spans="1:23" x14ac:dyDescent="0.25">
      <c r="G100" s="281"/>
      <c r="M100" s="281"/>
      <c r="N100" s="2"/>
      <c r="O100" s="2"/>
      <c r="P100" s="2"/>
      <c r="Q100" s="2"/>
      <c r="W100" s="263"/>
    </row>
    <row r="101" spans="1:23" x14ac:dyDescent="0.25">
      <c r="A101" s="2"/>
      <c r="G101" s="281"/>
      <c r="M101" s="281"/>
      <c r="N101" s="2"/>
      <c r="O101" s="2"/>
      <c r="P101" s="2"/>
      <c r="Q101" s="2"/>
      <c r="W101" s="263"/>
    </row>
    <row r="102" spans="1:23" x14ac:dyDescent="0.25">
      <c r="G102" s="281"/>
      <c r="M102" s="281"/>
      <c r="N102" s="2"/>
      <c r="O102" s="2"/>
      <c r="P102" s="2"/>
      <c r="Q102" s="2"/>
      <c r="W102" s="263"/>
    </row>
    <row r="103" spans="1:23" x14ac:dyDescent="0.25">
      <c r="G103" s="281"/>
      <c r="M103" s="281"/>
      <c r="N103" s="2"/>
      <c r="O103" s="2"/>
      <c r="P103" s="2"/>
      <c r="Q103" s="2"/>
      <c r="W103" s="263"/>
    </row>
    <row r="104" spans="1:23" x14ac:dyDescent="0.25">
      <c r="G104" s="281"/>
      <c r="M104" s="281"/>
      <c r="N104" s="2"/>
      <c r="O104" s="2"/>
      <c r="P104" s="2"/>
      <c r="Q104" s="2"/>
    </row>
    <row r="105" spans="1:23" x14ac:dyDescent="0.25">
      <c r="G105" s="281"/>
      <c r="M105" s="281"/>
      <c r="N105" s="2"/>
      <c r="O105" s="2"/>
      <c r="P105" s="2"/>
      <c r="Q105" s="2"/>
      <c r="W105" s="263"/>
    </row>
    <row r="106" spans="1:23" x14ac:dyDescent="0.25">
      <c r="A106" s="2"/>
      <c r="G106" s="281"/>
      <c r="M106" s="281"/>
      <c r="N106" s="2"/>
      <c r="O106" s="2"/>
      <c r="P106" s="2"/>
      <c r="Q106" s="2"/>
      <c r="W106" s="263"/>
    </row>
    <row r="107" spans="1:23" x14ac:dyDescent="0.25">
      <c r="G107" s="281"/>
      <c r="M107" s="281"/>
      <c r="N107" s="2"/>
      <c r="O107" s="2"/>
      <c r="P107" s="2"/>
      <c r="Q107" s="2"/>
      <c r="W107" s="263"/>
    </row>
    <row r="108" spans="1:23" x14ac:dyDescent="0.25">
      <c r="G108" s="281"/>
      <c r="M108" s="281"/>
      <c r="N108" s="2"/>
      <c r="O108" s="2"/>
      <c r="P108" s="2"/>
      <c r="Q108" s="2"/>
      <c r="W108" s="263"/>
    </row>
    <row r="109" spans="1:23" x14ac:dyDescent="0.25">
      <c r="G109" s="281"/>
      <c r="M109" s="281"/>
      <c r="N109" s="2"/>
      <c r="O109" s="2"/>
      <c r="P109" s="2"/>
      <c r="Q109" s="2"/>
      <c r="W109" s="263"/>
    </row>
    <row r="110" spans="1:23" x14ac:dyDescent="0.25">
      <c r="G110" s="281"/>
      <c r="M110" s="281"/>
      <c r="N110" s="2"/>
      <c r="O110" s="2"/>
      <c r="P110" s="2"/>
      <c r="Q110" s="2"/>
      <c r="W110" s="263"/>
    </row>
    <row r="111" spans="1:23" x14ac:dyDescent="0.25">
      <c r="A111" s="2"/>
      <c r="G111" s="281"/>
      <c r="M111" s="281"/>
      <c r="N111" s="2"/>
      <c r="O111" s="2"/>
      <c r="P111" s="2"/>
      <c r="Q111" s="2"/>
      <c r="W111" s="263"/>
    </row>
    <row r="112" spans="1:23" x14ac:dyDescent="0.25">
      <c r="G112" s="281"/>
      <c r="M112" s="281"/>
      <c r="N112" s="2"/>
      <c r="O112" s="2"/>
      <c r="P112" s="2"/>
      <c r="Q112" s="2"/>
    </row>
    <row r="113" spans="1:23" x14ac:dyDescent="0.25">
      <c r="G113" s="281"/>
      <c r="M113" s="281"/>
      <c r="N113" s="2"/>
      <c r="O113" s="2"/>
      <c r="P113" s="2"/>
      <c r="Q113" s="2"/>
    </row>
    <row r="114" spans="1:23" x14ac:dyDescent="0.25">
      <c r="G114" s="281"/>
      <c r="M114" s="281"/>
      <c r="N114" s="2"/>
      <c r="O114" s="2"/>
      <c r="P114" s="2"/>
      <c r="Q114" s="2"/>
    </row>
    <row r="115" spans="1:23" x14ac:dyDescent="0.25">
      <c r="G115" s="281"/>
      <c r="M115" s="281"/>
      <c r="N115" s="2"/>
      <c r="O115" s="2"/>
      <c r="P115" s="2"/>
      <c r="Q115" s="2"/>
    </row>
    <row r="116" spans="1:23" x14ac:dyDescent="0.25">
      <c r="A116" s="2"/>
      <c r="G116" s="281"/>
      <c r="M116" s="281"/>
      <c r="N116" s="2"/>
      <c r="O116" s="2"/>
      <c r="P116" s="2"/>
      <c r="Q116" s="2"/>
    </row>
    <row r="117" spans="1:23" x14ac:dyDescent="0.25">
      <c r="G117" s="281"/>
      <c r="M117" s="281"/>
      <c r="N117" s="2"/>
      <c r="O117" s="2"/>
      <c r="P117" s="2"/>
      <c r="Q117" s="2"/>
    </row>
    <row r="118" spans="1:23" x14ac:dyDescent="0.25">
      <c r="G118" s="281"/>
      <c r="M118" s="281"/>
      <c r="N118" s="2"/>
      <c r="O118" s="2"/>
      <c r="P118" s="2"/>
      <c r="Q118" s="2"/>
    </row>
    <row r="119" spans="1:23" x14ac:dyDescent="0.25">
      <c r="G119" s="281"/>
      <c r="M119" s="281"/>
      <c r="N119" s="2"/>
      <c r="O119" s="2"/>
      <c r="P119" s="2"/>
      <c r="Q119" s="2"/>
    </row>
    <row r="120" spans="1:23" x14ac:dyDescent="0.25">
      <c r="G120" s="281"/>
      <c r="M120" s="281"/>
      <c r="N120" s="2"/>
      <c r="O120" s="2"/>
      <c r="P120" s="2"/>
      <c r="Q120" s="2"/>
    </row>
    <row r="121" spans="1:23" x14ac:dyDescent="0.25">
      <c r="A121" s="2"/>
      <c r="G121" s="281"/>
      <c r="M121" s="281"/>
      <c r="N121" s="2"/>
      <c r="O121" s="2"/>
      <c r="P121" s="2"/>
      <c r="Q121" s="2"/>
      <c r="W121" s="263"/>
    </row>
    <row r="122" spans="1:23" x14ac:dyDescent="0.25">
      <c r="G122" s="281"/>
      <c r="M122" s="281"/>
      <c r="N122" s="2"/>
      <c r="O122" s="2"/>
      <c r="P122" s="2"/>
      <c r="Q122" s="2"/>
      <c r="W122" s="263"/>
    </row>
    <row r="123" spans="1:23" x14ac:dyDescent="0.25">
      <c r="G123" s="281"/>
      <c r="M123" s="281"/>
      <c r="N123" s="2"/>
      <c r="O123" s="2"/>
      <c r="P123" s="2"/>
      <c r="Q123" s="2"/>
      <c r="W123" s="263"/>
    </row>
    <row r="124" spans="1:23" x14ac:dyDescent="0.25">
      <c r="G124" s="281"/>
      <c r="M124" s="281"/>
      <c r="N124" s="2"/>
      <c r="O124" s="2"/>
      <c r="P124" s="2"/>
      <c r="Q124" s="2"/>
      <c r="W124" s="263"/>
    </row>
    <row r="125" spans="1:23" x14ac:dyDescent="0.25">
      <c r="G125" s="281"/>
      <c r="M125" s="281"/>
      <c r="N125" s="2"/>
      <c r="O125" s="2"/>
      <c r="P125" s="2"/>
      <c r="Q125" s="2"/>
      <c r="W125" s="263"/>
    </row>
    <row r="126" spans="1:23" x14ac:dyDescent="0.25">
      <c r="A126" s="2"/>
      <c r="G126" s="281"/>
      <c r="M126" s="281"/>
      <c r="N126" s="2"/>
      <c r="O126" s="2"/>
      <c r="P126" s="2"/>
      <c r="Q126" s="2"/>
      <c r="W126" s="263"/>
    </row>
    <row r="127" spans="1:23" x14ac:dyDescent="0.25">
      <c r="G127" s="281"/>
      <c r="M127" s="281"/>
      <c r="N127" s="2"/>
      <c r="O127" s="2"/>
      <c r="P127" s="2"/>
      <c r="Q127" s="2"/>
      <c r="W127" s="263"/>
    </row>
    <row r="128" spans="1:23" x14ac:dyDescent="0.25">
      <c r="G128" s="281"/>
      <c r="M128" s="281"/>
      <c r="N128" s="2"/>
      <c r="O128" s="2"/>
      <c r="P128" s="2"/>
      <c r="Q128" s="2"/>
    </row>
    <row r="129" spans="1:23" x14ac:dyDescent="0.25">
      <c r="G129" s="281"/>
      <c r="M129" s="281"/>
      <c r="N129" s="2"/>
      <c r="O129" s="2"/>
      <c r="P129" s="2"/>
      <c r="Q129" s="2"/>
      <c r="W129" s="263"/>
    </row>
    <row r="130" spans="1:23" x14ac:dyDescent="0.25">
      <c r="G130" s="281"/>
      <c r="M130" s="281"/>
      <c r="N130" s="2"/>
      <c r="O130" s="2"/>
      <c r="P130" s="2"/>
      <c r="Q130" s="2"/>
      <c r="W130" s="263"/>
    </row>
    <row r="131" spans="1:23" x14ac:dyDescent="0.25">
      <c r="A131" s="2"/>
      <c r="G131" s="281"/>
      <c r="M131" s="281"/>
      <c r="N131" s="2"/>
      <c r="O131" s="2"/>
      <c r="P131" s="2"/>
      <c r="Q131" s="2"/>
      <c r="W131" s="263"/>
    </row>
    <row r="132" spans="1:23" x14ac:dyDescent="0.25">
      <c r="G132" s="281"/>
      <c r="M132" s="281"/>
      <c r="N132" s="2"/>
      <c r="O132" s="2"/>
      <c r="P132" s="2"/>
      <c r="Q132" s="2"/>
      <c r="W132" s="263"/>
    </row>
    <row r="133" spans="1:23" x14ac:dyDescent="0.25">
      <c r="G133" s="281"/>
      <c r="M133" s="281"/>
      <c r="N133" s="2"/>
      <c r="O133" s="2"/>
      <c r="P133" s="2"/>
      <c r="Q133" s="2"/>
      <c r="W133" s="263"/>
    </row>
    <row r="134" spans="1:23" x14ac:dyDescent="0.25">
      <c r="H134" s="281"/>
      <c r="I134" s="281"/>
      <c r="J134" s="281"/>
      <c r="N134" s="2"/>
      <c r="O134" s="2"/>
      <c r="P134" s="2"/>
      <c r="Q134" s="2"/>
      <c r="W134" s="263"/>
    </row>
    <row r="135" spans="1:23" x14ac:dyDescent="0.25">
      <c r="H135" s="281"/>
      <c r="I135" s="281"/>
      <c r="J135" s="281"/>
      <c r="N135" s="2"/>
      <c r="O135" s="2"/>
      <c r="P135" s="2"/>
      <c r="Q135" s="2"/>
      <c r="W135" s="263"/>
    </row>
    <row r="136" spans="1:23" x14ac:dyDescent="0.25">
      <c r="A136" s="2"/>
      <c r="N136" s="2"/>
      <c r="O136" s="2"/>
      <c r="P136" s="2"/>
      <c r="Q136" s="2"/>
    </row>
    <row r="137" spans="1:23" ht="9.75" customHeight="1" x14ac:dyDescent="0.25">
      <c r="N137" s="281"/>
      <c r="O137" s="281"/>
      <c r="P137" s="281"/>
      <c r="Q137" s="2"/>
      <c r="T137" s="281"/>
    </row>
    <row r="138" spans="1:23" ht="9.75" customHeight="1" x14ac:dyDescent="0.25">
      <c r="N138" s="281"/>
      <c r="O138" s="281"/>
      <c r="P138" s="281"/>
      <c r="Q138" s="2"/>
      <c r="T138" s="2"/>
    </row>
    <row r="139" spans="1:23" ht="9.75" customHeight="1" x14ac:dyDescent="0.25">
      <c r="N139" s="2"/>
      <c r="O139" s="2"/>
      <c r="P139" s="2"/>
      <c r="Q139" s="2"/>
      <c r="T139" s="2"/>
    </row>
    <row r="140" spans="1:23" ht="9.75" customHeight="1" x14ac:dyDescent="0.25"/>
    <row r="141" spans="1:23" ht="9.75" customHeight="1" x14ac:dyDescent="0.25"/>
  </sheetData>
  <phoneticPr fontId="0" type="noConversion"/>
  <printOptions horizontalCentered="1"/>
  <pageMargins left="0" right="0" top="0.5" bottom="0.5" header="0.5" footer="0.5"/>
  <pageSetup orientation="portrait" horizontalDpi="4294967292" r:id="rId1"/>
  <headerFooter alignWithMargins="0">
    <oddHeader>&amp;L&amp;8Form 60-403&amp;R&amp;8Rev. 6/95</oddHeader>
    <oddFooter>&amp;CTimes of departure and return are required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9"/>
  <sheetViews>
    <sheetView showGridLines="0" zoomScale="200" workbookViewId="0">
      <selection activeCell="B24" sqref="B24"/>
    </sheetView>
  </sheetViews>
  <sheetFormatPr defaultRowHeight="13.2" x14ac:dyDescent="0.25"/>
  <cols>
    <col min="1" max="1" width="3.6640625" customWidth="1"/>
    <col min="2" max="2" width="20.6640625" customWidth="1"/>
    <col min="3" max="3" width="16.44140625" customWidth="1"/>
  </cols>
  <sheetData>
    <row r="1" spans="1:3" x14ac:dyDescent="0.25">
      <c r="A1" s="189"/>
      <c r="B1" s="190" t="s">
        <v>76</v>
      </c>
      <c r="C1" s="191"/>
    </row>
    <row r="2" spans="1:3" x14ac:dyDescent="0.25">
      <c r="A2" s="192"/>
      <c r="B2" s="193"/>
      <c r="C2" s="194"/>
    </row>
    <row r="3" spans="1:3" x14ac:dyDescent="0.25">
      <c r="A3" s="192"/>
      <c r="B3" s="193"/>
      <c r="C3" s="194"/>
    </row>
    <row r="4" spans="1:3" x14ac:dyDescent="0.25">
      <c r="A4" s="192"/>
      <c r="B4" s="193"/>
      <c r="C4" s="194"/>
    </row>
    <row r="5" spans="1:3" x14ac:dyDescent="0.25">
      <c r="A5" s="192"/>
      <c r="C5" s="194"/>
    </row>
    <row r="6" spans="1:3" ht="13.8" thickBot="1" x14ac:dyDescent="0.3">
      <c r="A6" s="195"/>
      <c r="C6" s="196"/>
    </row>
    <row r="7" spans="1:3" ht="13.8" thickBot="1" x14ac:dyDescent="0.3">
      <c r="B7" s="1"/>
    </row>
    <row r="8" spans="1:3" x14ac:dyDescent="0.25">
      <c r="A8" s="189"/>
      <c r="B8" s="190" t="s">
        <v>77</v>
      </c>
      <c r="C8" s="191"/>
    </row>
    <row r="9" spans="1:3" x14ac:dyDescent="0.25">
      <c r="A9" s="192"/>
      <c r="B9" s="193"/>
      <c r="C9" s="194"/>
    </row>
    <row r="10" spans="1:3" x14ac:dyDescent="0.25">
      <c r="A10" s="192"/>
      <c r="B10" s="193"/>
      <c r="C10" s="194"/>
    </row>
    <row r="11" spans="1:3" x14ac:dyDescent="0.25">
      <c r="A11" s="192"/>
      <c r="B11" s="193"/>
      <c r="C11" s="194"/>
    </row>
    <row r="12" spans="1:3" x14ac:dyDescent="0.25">
      <c r="A12" s="192"/>
      <c r="C12" s="194"/>
    </row>
    <row r="13" spans="1:3" ht="13.8" thickBot="1" x14ac:dyDescent="0.3">
      <c r="A13" s="195"/>
      <c r="C13" s="196"/>
    </row>
    <row r="15" spans="1:3" ht="13.8" thickBot="1" x14ac:dyDescent="0.3"/>
    <row r="16" spans="1:3" x14ac:dyDescent="0.25">
      <c r="B16" s="227" t="s">
        <v>81</v>
      </c>
    </row>
    <row r="17" spans="2:2" x14ac:dyDescent="0.25">
      <c r="B17" s="228" t="s">
        <v>80</v>
      </c>
    </row>
    <row r="18" spans="2:2" x14ac:dyDescent="0.25">
      <c r="B18" s="228" t="s">
        <v>40</v>
      </c>
    </row>
    <row r="19" spans="2:2" ht="13.8" thickBot="1" x14ac:dyDescent="0.3">
      <c r="B19" s="22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Travel Form</vt:lpstr>
      <vt:lpstr>Codes</vt:lpstr>
      <vt:lpstr>Macros</vt:lpstr>
      <vt:lpstr>IBreakfast</vt:lpstr>
      <vt:lpstr>IDinner</vt:lpstr>
      <vt:lpstr>ILunch</vt:lpstr>
      <vt:lpstr>In_State</vt:lpstr>
      <vt:lpstr>IOCells</vt:lpstr>
      <vt:lpstr>IOList</vt:lpstr>
      <vt:lpstr>OBreakfast</vt:lpstr>
      <vt:lpstr>ODinner</vt:lpstr>
      <vt:lpstr>OLunch</vt:lpstr>
      <vt:lpstr>OUT_OF_STATE</vt:lpstr>
      <vt:lpstr>'Travel Form'!Print_Area</vt:lpstr>
      <vt:lpstr>TRAVEL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Travel Form</dc:title>
  <dc:creator>Debbie Lell</dc:creator>
  <cp:lastModifiedBy>Thomas, Chevella L</cp:lastModifiedBy>
  <cp:lastPrinted>2014-06-02T14:30:56Z</cp:lastPrinted>
  <dcterms:created xsi:type="dcterms:W3CDTF">1998-07-28T14:48:32Z</dcterms:created>
  <dcterms:modified xsi:type="dcterms:W3CDTF">2014-07-02T19:22:20Z</dcterms:modified>
</cp:coreProperties>
</file>