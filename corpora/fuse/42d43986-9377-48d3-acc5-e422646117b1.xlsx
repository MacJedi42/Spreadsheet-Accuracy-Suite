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3.5" sheetId="1" r:id="rId1"/>
  </sheets>
  <externalReferences>
    <externalReference r:id="rId2"/>
    <externalReference r:id="rId3"/>
  </externalReferences>
  <definedNames>
    <definedName name="_xlnm.Print_Area" localSheetId="0">'Table 3.5'!$A$3:$L$60</definedName>
  </definedNames>
  <calcPr calcId="145621"/>
</workbook>
</file>

<file path=xl/calcChain.xml><?xml version="1.0" encoding="utf-8"?>
<calcChain xmlns="http://schemas.openxmlformats.org/spreadsheetml/2006/main">
  <c r="I60" i="1" l="1"/>
  <c r="E43" i="1"/>
  <c r="D43" i="1"/>
  <c r="C43" i="1"/>
  <c r="B43" i="1"/>
  <c r="E41" i="1"/>
  <c r="D41" i="1"/>
  <c r="C41" i="1"/>
  <c r="B41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D34" i="1"/>
  <c r="C34" i="1"/>
  <c r="B34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E27" i="1"/>
  <c r="D27" i="1"/>
  <c r="C27" i="1"/>
  <c r="B27" i="1"/>
  <c r="E25" i="1"/>
  <c r="D25" i="1"/>
  <c r="C25" i="1"/>
  <c r="B25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<sst xmlns="http://schemas.openxmlformats.org/spreadsheetml/2006/main" count="31" uniqueCount="22">
  <si>
    <t>Monthly Statistical Bulletin</t>
  </si>
  <si>
    <t>3.5 Labour productivity</t>
  </si>
  <si>
    <t>Quarter</t>
  </si>
  <si>
    <t>2008–09</t>
  </si>
  <si>
    <t>2009–10</t>
  </si>
  <si>
    <t>2010–11</t>
  </si>
  <si>
    <t>2011–12</t>
  </si>
  <si>
    <t>2012-13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</si>
  <si>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</si>
  <si>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</si>
  <si>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</si>
  <si>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</si>
  <si>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</si>
  <si>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</si>
  <si>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</si>
  <si>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</si>
  <si>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</si>
  <si>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</si>
  <si>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2009–10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</si>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</sst>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3.5'!$D$198:$D$218</c:f>
              <c:numCache>
                <c:formatCode>0.0</c:formatCode>
                <c:ptCount val="21"/>
                <c:pt idx="0">
                  <c:v>0.94438614900316509</c:v>
                </c:pt>
                <c:pt idx="1">
                  <c:v>0.10405827263268463</c:v>
                </c:pt>
                <c:pt idx="2">
                  <c:v>0.83769633507853314</c:v>
                </c:pt>
                <c:pt idx="3">
                  <c:v>0.83507306889352151</c:v>
                </c:pt>
                <c:pt idx="4">
                  <c:v>2.1829521829521639</c:v>
                </c:pt>
                <c:pt idx="5">
                  <c:v>3.4303534303534207</c:v>
                </c:pt>
                <c:pt idx="6">
                  <c:v>2.907580477673946</c:v>
                </c:pt>
                <c:pt idx="7">
                  <c:v>3.4161490683229943</c:v>
                </c:pt>
                <c:pt idx="8">
                  <c:v>1.2207527975584895</c:v>
                </c:pt>
                <c:pt idx="9">
                  <c:v>0.60301507537687371</c:v>
                </c:pt>
                <c:pt idx="10">
                  <c:v>0.90817356205852207</c:v>
                </c:pt>
                <c:pt idx="11">
                  <c:v>-0.90090090090090769</c:v>
                </c:pt>
                <c:pt idx="12">
                  <c:v>1.4070351758794146</c:v>
                </c:pt>
                <c:pt idx="13">
                  <c:v>1.2987012987013031</c:v>
                </c:pt>
                <c:pt idx="14">
                  <c:v>1.2999999999999829</c:v>
                </c:pt>
                <c:pt idx="15">
                  <c:v>4.2424242424242493</c:v>
                </c:pt>
                <c:pt idx="16">
                  <c:v>2.2794846382556955</c:v>
                </c:pt>
                <c:pt idx="17">
                  <c:v>2.169625246548307</c:v>
                </c:pt>
                <c:pt idx="18">
                  <c:v>3.2576505429417608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9424"/>
        <c:axId val="109965312"/>
      </c:lineChart>
      <c:catAx>
        <c:axId val="10995942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965312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109965312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95942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56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98">
          <cell r="A198">
            <v>39600</v>
          </cell>
          <cell r="D198">
            <v>0.94438614900316509</v>
          </cell>
        </row>
        <row r="199">
          <cell r="A199">
            <v>39692</v>
          </cell>
          <cell r="B199">
            <v>96.2</v>
          </cell>
          <cell r="D199">
            <v>0.10405827263268463</v>
          </cell>
        </row>
        <row r="200">
          <cell r="A200">
            <v>39783</v>
          </cell>
          <cell r="B200">
            <v>96.3</v>
          </cell>
          <cell r="C200">
            <v>0.10395010395009763</v>
          </cell>
          <cell r="D200">
            <v>0.83769633507853314</v>
          </cell>
        </row>
        <row r="201">
          <cell r="A201">
            <v>39873</v>
          </cell>
          <cell r="B201">
            <v>96.6</v>
          </cell>
          <cell r="C201">
            <v>0.31152647975076775</v>
          </cell>
          <cell r="D201">
            <v>0.83507306889352151</v>
          </cell>
        </row>
        <row r="202">
          <cell r="A202">
            <v>39965</v>
          </cell>
          <cell r="B202">
            <v>98.3</v>
          </cell>
          <cell r="C202">
            <v>1.7598343685300222</v>
          </cell>
          <cell r="D202">
            <v>2.1829521829521639</v>
          </cell>
          <cell r="G202">
            <v>97.5</v>
          </cell>
          <cell r="H202">
            <v>1.0362694300518172</v>
          </cell>
        </row>
        <row r="203">
          <cell r="A203">
            <v>40057</v>
          </cell>
          <cell r="B203">
            <v>99.5</v>
          </cell>
          <cell r="C203">
            <v>1.2207527975584895</v>
          </cell>
          <cell r="D203">
            <v>3.4303534303534207</v>
          </cell>
          <cell r="G203">
            <v>99.8</v>
          </cell>
          <cell r="H203">
            <v>2.3589743589743648</v>
          </cell>
        </row>
        <row r="204">
          <cell r="A204">
            <v>40148</v>
          </cell>
          <cell r="B204">
            <v>99.1</v>
          </cell>
          <cell r="C204">
            <v>-0.40201005025126335</v>
          </cell>
          <cell r="D204">
            <v>2.907580477673946</v>
          </cell>
          <cell r="G204">
            <v>100</v>
          </cell>
          <cell r="H204">
            <v>0.20040080160322304</v>
          </cell>
        </row>
        <row r="205">
          <cell r="A205">
            <v>40238</v>
          </cell>
          <cell r="B205">
            <v>99.9</v>
          </cell>
          <cell r="C205">
            <v>0.80726538849647511</v>
          </cell>
          <cell r="D205">
            <v>3.4161490683229943</v>
          </cell>
          <cell r="G205">
            <v>103</v>
          </cell>
          <cell r="H205">
            <v>3</v>
          </cell>
        </row>
        <row r="206">
          <cell r="A206">
            <v>40330</v>
          </cell>
          <cell r="B206">
            <v>99.5</v>
          </cell>
          <cell r="C206">
            <v>-0.40040040040040026</v>
          </cell>
          <cell r="D206">
            <v>1.2207527975584895</v>
          </cell>
        </row>
        <row r="207">
          <cell r="A207">
            <v>40422</v>
          </cell>
          <cell r="B207">
            <v>100.1</v>
          </cell>
          <cell r="C207">
            <v>0.60301507537687371</v>
          </cell>
          <cell r="D207">
            <v>0.60301507537687371</v>
          </cell>
        </row>
        <row r="208">
          <cell r="A208">
            <v>40513</v>
          </cell>
          <cell r="B208">
            <v>100</v>
          </cell>
          <cell r="C208">
            <v>-9.9900099900096961E-2</v>
          </cell>
          <cell r="D208">
            <v>0.90817356205852207</v>
          </cell>
        </row>
        <row r="209">
          <cell r="A209">
            <v>40603</v>
          </cell>
          <cell r="B209">
            <v>99</v>
          </cell>
          <cell r="C209">
            <v>-1</v>
          </cell>
          <cell r="D209">
            <v>-0.90090090090090769</v>
          </cell>
        </row>
        <row r="210">
          <cell r="A210">
            <v>40695</v>
          </cell>
          <cell r="B210">
            <v>100.9</v>
          </cell>
          <cell r="C210">
            <v>1.9191919191919169</v>
          </cell>
          <cell r="D210">
            <v>1.4070351758794146</v>
          </cell>
        </row>
        <row r="211">
          <cell r="A211">
            <v>40787</v>
          </cell>
          <cell r="B211">
            <v>101.4</v>
          </cell>
          <cell r="C211">
            <v>0.49554013875123815</v>
          </cell>
          <cell r="D211">
            <v>1.2987012987013031</v>
          </cell>
        </row>
        <row r="212">
          <cell r="A212">
            <v>40878</v>
          </cell>
          <cell r="B212">
            <v>101.3</v>
          </cell>
          <cell r="C212">
            <v>-9.8619329388569099E-2</v>
          </cell>
          <cell r="D212">
            <v>1.2999999999999829</v>
          </cell>
        </row>
        <row r="213">
          <cell r="A213">
            <v>40969</v>
          </cell>
          <cell r="B213">
            <v>103.2</v>
          </cell>
          <cell r="C213">
            <v>1.8756169792694948</v>
          </cell>
          <cell r="D213">
            <v>4.2424242424242493</v>
          </cell>
        </row>
        <row r="214">
          <cell r="A214">
            <v>41061</v>
          </cell>
          <cell r="B214">
            <v>103.2</v>
          </cell>
          <cell r="D214">
            <v>2.2794846382556955</v>
          </cell>
        </row>
        <row r="215">
          <cell r="A215">
            <v>41153</v>
          </cell>
          <cell r="B215">
            <v>103.6</v>
          </cell>
          <cell r="C215">
            <v>0.38759689922480334</v>
          </cell>
          <cell r="D215">
            <v>2.169625246548307</v>
          </cell>
        </row>
        <row r="216">
          <cell r="A216">
            <v>41244</v>
          </cell>
          <cell r="B216">
            <v>104.6</v>
          </cell>
          <cell r="C216">
            <v>0.96525096525097354</v>
          </cell>
          <cell r="D216">
            <v>3.2576505429417608</v>
          </cell>
        </row>
        <row r="217">
          <cell r="A217">
            <v>41334</v>
          </cell>
        </row>
        <row r="218">
          <cell r="A218">
            <v>41426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a Table - Indexes"/>
      <sheetName val="3.5b Table - Quarterly change"/>
      <sheetName val="3.5c Table - Annual change"/>
      <sheetName val="3.5 Graph"/>
      <sheetName val="3.5 Data"/>
    </sheetNames>
    <sheetDataSet>
      <sheetData sheetId="0"/>
      <sheetData sheetId="1">
        <row r="63">
          <cell r="B63">
            <v>41430</v>
          </cell>
        </row>
      </sheetData>
      <sheetData sheetId="2"/>
      <sheetData sheetId="3" refreshError="1"/>
      <sheetData sheetId="4">
        <row r="3">
          <cell r="B3">
            <v>54.964625850340134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0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f>IF('[1]Data 3.5'!$B199=0, " ",'[1]Data 3.5'!$B199)</f>
        <v>96.2</v>
      </c>
      <c r="C22" s="13">
        <f>IF('[1]Data 3.5'!$B203=0, " ",'[1]Data 3.5'!$B203)</f>
        <v>99.5</v>
      </c>
      <c r="D22" s="13">
        <f>IF('[1]Data 3.5'!$B207=0, " ",'[1]Data 3.5'!$B207)</f>
        <v>100.1</v>
      </c>
      <c r="E22" s="13">
        <f>IF('[1]Data 3.5'!$B211=0, " ",'[1]Data 3.5'!$B211)</f>
        <v>101.4</v>
      </c>
      <c r="F22" s="13">
        <f>IF('[1]Data 3.5'!$B215=0, " ",'[1]Data 3.5'!$B215)</f>
        <v>103.6</v>
      </c>
      <c r="H22" s="7"/>
    </row>
    <row r="23" spans="1:8" ht="11.1" customHeight="1" x14ac:dyDescent="0.2">
      <c r="A23" s="12" t="s">
        <v>10</v>
      </c>
      <c r="B23" s="13">
        <f>IF('[1]Data 3.5'!$B200=0, " ",'[1]Data 3.5'!$B200)</f>
        <v>96.3</v>
      </c>
      <c r="C23" s="13">
        <f>IF('[1]Data 3.5'!$B204=0, " ",'[1]Data 3.5'!$B204)</f>
        <v>99.1</v>
      </c>
      <c r="D23" s="13">
        <f>IF('[1]Data 3.5'!$B208=0, " ",'[1]Data 3.5'!$B208)</f>
        <v>100</v>
      </c>
      <c r="E23" s="13">
        <f>IF('[1]Data 3.5'!$B212=0, " ",'[1]Data 3.5'!$B212)</f>
        <v>101.3</v>
      </c>
      <c r="F23" s="13">
        <f>IF('[1]Data 3.5'!$B216=0, " ",'[1]Data 3.5'!$B216)</f>
        <v>104.6</v>
      </c>
      <c r="H23" s="7"/>
    </row>
    <row r="24" spans="1:8" ht="11.1" customHeight="1" x14ac:dyDescent="0.2">
      <c r="A24" s="12" t="s">
        <v>11</v>
      </c>
      <c r="B24" s="13">
        <f>IF('[1]Data 3.5'!$B201=0, " ",'[1]Data 3.5'!$B201)</f>
        <v>96.6</v>
      </c>
      <c r="C24" s="13">
        <f>IF('[1]Data 3.5'!$B205=0, " ",'[1]Data 3.5'!$B205)</f>
        <v>99.9</v>
      </c>
      <c r="D24" s="13">
        <f>IF('[1]Data 3.5'!$B209=0, " ",'[1]Data 3.5'!$B209)</f>
        <v>99</v>
      </c>
      <c r="E24" s="13">
        <f>IF('[1]Data 3.5'!$B213=0, " ",'[1]Data 3.5'!$B213)</f>
        <v>103.2</v>
      </c>
      <c r="H24" s="7"/>
    </row>
    <row r="25" spans="1:8" ht="11.1" customHeight="1" x14ac:dyDescent="0.2">
      <c r="A25" s="12" t="s">
        <v>12</v>
      </c>
      <c r="B25" s="13">
        <f>IF('[1]Data 3.5'!$B202=0, " ",'[1]Data 3.5'!$B202)</f>
        <v>98.3</v>
      </c>
      <c r="C25" s="13">
        <f>IF('[1]Data 3.5'!$B206=0, " ",'[1]Data 3.5'!$B206)</f>
        <v>99.5</v>
      </c>
      <c r="D25" s="13">
        <f>IF('[1]Data 3.5'!$B210=0, " ",'[1]Data 3.5'!$B210)</f>
        <v>100.9</v>
      </c>
      <c r="E25" s="13">
        <f>IF('[1]Data 3.5'!$B214=0, " ",'[1]Data 3.5'!$B214)</f>
        <v>103.2</v>
      </c>
      <c r="H25" s="7"/>
    </row>
    <row r="26" spans="1:8" ht="11.1" customHeight="1" x14ac:dyDescent="0.2">
      <c r="A26" s="12"/>
      <c r="B26" s="14"/>
      <c r="C26" s="14"/>
      <c r="D26" s="14"/>
      <c r="H26" s="7"/>
    </row>
    <row r="27" spans="1:8" ht="11.1" customHeight="1" x14ac:dyDescent="0.2">
      <c r="A27" s="12" t="s">
        <v>13</v>
      </c>
      <c r="B27" s="15">
        <f>IF('[1]Data 3.5'!$G202=0," ",'[1]Data 3.5'!$G202)</f>
        <v>97.5</v>
      </c>
      <c r="C27" s="15">
        <f>IF('[1]Data 3.5'!$G203=0," ",'[1]Data 3.5'!$G203)</f>
        <v>99.8</v>
      </c>
      <c r="D27" s="15">
        <f>IF('[1]Data 3.5'!$G204=0," ",'[1]Data 3.5'!$G204)</f>
        <v>100</v>
      </c>
      <c r="E27" s="15">
        <f>IF('[1]Data 3.5'!$G205=0," ",'[1]Data 3.5'!$G205)</f>
        <v>103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0</v>
      </c>
      <c r="C31" s="15">
        <f>'[1]Data 3.5'!$C203</f>
        <v>1.2207527975584895</v>
      </c>
      <c r="D31" s="15">
        <f>'[1]Data 3.5'!C207</f>
        <v>0.60301507537687371</v>
      </c>
      <c r="E31" s="15">
        <f>IF('[1]Data 3.5'!$C211=0," ",'[1]Data 3.5'!$C211)</f>
        <v>0.49554013875123815</v>
      </c>
      <c r="F31" s="15">
        <f>IF('[1]Data 3.5'!$C215=0," ",'[1]Data 3.5'!$C215)</f>
        <v>0.38759689922480334</v>
      </c>
      <c r="H31" s="7"/>
    </row>
    <row r="32" spans="1:8" ht="11.1" customHeight="1" x14ac:dyDescent="0.2">
      <c r="A32" s="12" t="s">
        <v>10</v>
      </c>
      <c r="B32" s="15">
        <f>IF('[1]Data 3.5'!$C200=0," ",'[1]Data 3.5'!$C200)</f>
        <v>0.10395010395009763</v>
      </c>
      <c r="C32" s="15">
        <f>'[1]Data 3.5'!$C204</f>
        <v>-0.40201005025126335</v>
      </c>
      <c r="D32" s="15">
        <f>'[1]Data 3.5'!$C208</f>
        <v>-9.9900099900096961E-2</v>
      </c>
      <c r="E32" s="15">
        <f>IF('[1]Data 3.5'!$C212=0," ",'[1]Data 3.5'!$C212)</f>
        <v>-9.8619329388569099E-2</v>
      </c>
      <c r="F32" s="15">
        <f>IF('[1]Data 3.5'!$C216=0," ",'[1]Data 3.5'!$C216)</f>
        <v>0.96525096525097354</v>
      </c>
      <c r="H32" s="7"/>
    </row>
    <row r="33" spans="1:8" ht="11.1" customHeight="1" x14ac:dyDescent="0.2">
      <c r="A33" s="12" t="s">
        <v>11</v>
      </c>
      <c r="B33" s="15">
        <f>IF('[1]Data 3.5'!$C201=0," ",'[1]Data 3.5'!$C201)</f>
        <v>0.31152647975076775</v>
      </c>
      <c r="C33" s="15">
        <f>'[1]Data 3.5'!$C205</f>
        <v>0.80726538849647511</v>
      </c>
      <c r="D33" s="15">
        <f>IF('[1]Data 3.5'!$C209=0," ",'[1]Data 3.5'!$C209)</f>
        <v>-1</v>
      </c>
      <c r="E33" s="15">
        <f>IF('[1]Data 3.5'!$C213=0," ",'[1]Data 3.5'!$C213)</f>
        <v>1.8756169792694948</v>
      </c>
      <c r="H33" s="7"/>
    </row>
    <row r="34" spans="1:8" ht="11.1" customHeight="1" x14ac:dyDescent="0.2">
      <c r="A34" s="12" t="s">
        <v>12</v>
      </c>
      <c r="B34" s="15">
        <f>IF('[1]Data 3.5'!$C202=0," ",'[1]Data 3.5'!$C202)</f>
        <v>1.7598343685300222</v>
      </c>
      <c r="C34" s="15">
        <f>'[1]Data 3.5'!$C206</f>
        <v>-0.40040040040040026</v>
      </c>
      <c r="D34" s="15">
        <f>IF('[1]Data 3.5'!$C210=0," ",'[1]Data 3.5'!$C210)</f>
        <v>1.9191919191919169</v>
      </c>
      <c r="E34" s="15">
        <v>0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f>IF('[1]Data 3.5'!$D199=0," ",'[1]Data 3.5'!$D199)</f>
        <v>0.10405827263268463</v>
      </c>
      <c r="C38" s="15">
        <f>'[1]Data 3.5'!$D203</f>
        <v>3.4303534303534207</v>
      </c>
      <c r="D38" s="15">
        <f>IF('[1]Data 3.5'!$D207=0," ",'[1]Data 3.5'!$D207)</f>
        <v>0.60301507537687371</v>
      </c>
      <c r="E38" s="15">
        <f>IF('[1]Data 3.5'!$D211=0," ",'[1]Data 3.5'!$D211)</f>
        <v>1.2987012987013031</v>
      </c>
      <c r="F38" s="15">
        <f>IF('[1]Data 3.5'!$D215=0," ",'[1]Data 3.5'!$D215)</f>
        <v>2.169625246548307</v>
      </c>
      <c r="H38" s="7"/>
    </row>
    <row r="39" spans="1:8" ht="11.1" customHeight="1" x14ac:dyDescent="0.2">
      <c r="A39" s="12" t="s">
        <v>10</v>
      </c>
      <c r="B39" s="15">
        <f>IF('[1]Data 3.5'!$D200=0," ",'[1]Data 3.5'!$D200)</f>
        <v>0.83769633507853314</v>
      </c>
      <c r="C39" s="15">
        <f>'[1]Data 3.5'!$D204</f>
        <v>2.907580477673946</v>
      </c>
      <c r="D39" s="15">
        <f>IF('[1]Data 3.5'!$D208=0," ",'[1]Data 3.5'!$D208)</f>
        <v>0.90817356205852207</v>
      </c>
      <c r="E39" s="15">
        <f>IF('[1]Data 3.5'!$D212=0," ",'[1]Data 3.5'!$D212)</f>
        <v>1.2999999999999829</v>
      </c>
      <c r="F39" s="15">
        <f>IF('[1]Data 3.5'!$D216=0," ",'[1]Data 3.5'!$D216)</f>
        <v>3.2576505429417608</v>
      </c>
      <c r="H39" s="7"/>
    </row>
    <row r="40" spans="1:8" ht="11.1" customHeight="1" x14ac:dyDescent="0.2">
      <c r="A40" s="12" t="s">
        <v>11</v>
      </c>
      <c r="B40" s="15">
        <f>IF('[1]Data 3.5'!$D201=0," ",'[1]Data 3.5'!$D201)</f>
        <v>0.83507306889352151</v>
      </c>
      <c r="C40" s="15">
        <f>'[1]Data 3.5'!$D205</f>
        <v>3.4161490683229943</v>
      </c>
      <c r="D40" s="15">
        <f>IF('[1]Data 3.5'!$D209=0," ",'[1]Data 3.5'!$D209)</f>
        <v>-0.90090090090090769</v>
      </c>
      <c r="E40" s="15">
        <f>IF('[1]Data 3.5'!$D213=0," ",'[1]Data 3.5'!$D213)</f>
        <v>4.2424242424242493</v>
      </c>
      <c r="H40" s="7"/>
    </row>
    <row r="41" spans="1:8" ht="11.1" customHeight="1" x14ac:dyDescent="0.2">
      <c r="A41" s="12" t="s">
        <v>12</v>
      </c>
      <c r="B41" s="15">
        <f>IF('[1]Data 3.5'!$D202=0," ",'[1]Data 3.5'!$D202)</f>
        <v>2.1829521829521639</v>
      </c>
      <c r="C41" s="15">
        <f>'[1]Data 3.5'!$D206</f>
        <v>1.2207527975584895</v>
      </c>
      <c r="D41" s="15">
        <f>IF('[1]Data 3.5'!$D210=0," ",'[1]Data 3.5'!$D210)</f>
        <v>1.4070351758794146</v>
      </c>
      <c r="E41" s="15">
        <f>IF('[1]Data 3.5'!$D214=0," ",'[1]Data 3.5'!$D214)</f>
        <v>2.2794846382556955</v>
      </c>
      <c r="H41" s="7"/>
    </row>
    <row r="42" spans="1:8" ht="11.1" customHeight="1" x14ac:dyDescent="0.2">
      <c r="A42" s="12"/>
      <c r="H42" s="7"/>
    </row>
    <row r="43" spans="1:8" ht="11.1" customHeight="1" x14ac:dyDescent="0.2">
      <c r="A43" s="21" t="s">
        <v>13</v>
      </c>
      <c r="B43" s="15">
        <f>IF('[1]Data 3.5'!$H202=0," ",'[1]Data 3.5'!$H202)</f>
        <v>1.0362694300518172</v>
      </c>
      <c r="C43" s="15">
        <f>IF('[1]Data 3.5'!$H203=0," ",'[1]Data 3.5'!$H203)</f>
        <v>2.3589743589743648</v>
      </c>
      <c r="D43" s="15">
        <f>IF('[1]Data 3.5'!$H204=0," ",'[1]Data 3.5'!$H204)</f>
        <v>0.20040080160322304</v>
      </c>
      <c r="E43" s="15">
        <f>IF('[1]Data 3.5'!$H205=0," ",'[1]Data 3.5'!$H205)</f>
        <v>3</v>
      </c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f>'[2]3.5b Table - Quarterly change'!$B$63</f>
        <v>41430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18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56</xdr:row>
                <xdr:rowOff>133350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2013-04-03T21:18:43Z</dcterms:created>
  <dcterms:modified xsi:type="dcterms:W3CDTF">2013-04-03T21:19:03Z</dcterms:modified>
</cp:coreProperties>
</file>