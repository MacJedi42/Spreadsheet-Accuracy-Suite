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5784" yWindow="420" windowWidth="12120" windowHeight="8940"/>
  </bookViews>
  <sheets>
    <sheet name="Pages 1-3" sheetId="8" r:id="rId1"/>
    <sheet name="Scoresheet" sheetId="5" r:id="rId2"/>
    <sheet name="Checklist" sheetId="1" r:id="rId3"/>
    <sheet name="CAR Duplication Instructions" sheetId="9" r:id="rId4"/>
    <sheet name="Corrective Action Report " sheetId="13" r:id="rId5"/>
  </sheets>
  <definedNames>
    <definedName name="_xlnm.Print_Titles" localSheetId="2">Checklist!$1:$3</definedName>
  </definedNames>
  <calcPr calcId="145621"/>
</workbook>
</file>

<file path=xl/calcChain.xml><?xml version="1.0" encoding="utf-8"?>
<calcChain xmlns="http://schemas.openxmlformats.org/spreadsheetml/2006/main">
  <c r="G8" i="13" l="1"/>
  <c r="F2" i="5"/>
  <c r="C8" i="13"/>
  <c r="C1" i="1"/>
  <c r="G16" i="5" l="1"/>
  <c r="F16" i="5"/>
  <c r="E16" i="5"/>
  <c r="D16" i="5" l="1"/>
  <c r="D15" i="5"/>
  <c r="G15" i="5"/>
  <c r="F15" i="5"/>
  <c r="E15" i="5"/>
  <c r="D14" i="5"/>
  <c r="G14" i="5"/>
  <c r="F14" i="5"/>
  <c r="E14" i="5"/>
  <c r="D13" i="5"/>
  <c r="G13" i="5"/>
  <c r="F13" i="5"/>
  <c r="E13" i="5"/>
  <c r="D12" i="5"/>
  <c r="G12" i="5"/>
  <c r="F12" i="5"/>
  <c r="E12" i="5"/>
  <c r="D11" i="5"/>
  <c r="G11" i="5"/>
  <c r="F11" i="5"/>
  <c r="E11" i="5"/>
  <c r="D10" i="5"/>
  <c r="G10" i="5"/>
  <c r="F10" i="5"/>
  <c r="E10" i="5"/>
  <c r="G9" i="5"/>
  <c r="F9" i="5"/>
  <c r="E9" i="5"/>
  <c r="D9" i="5"/>
  <c r="D8" i="5"/>
  <c r="G8" i="5"/>
  <c r="F8" i="5"/>
  <c r="E8" i="5"/>
  <c r="G7" i="5"/>
  <c r="F7" i="5"/>
  <c r="E7" i="5"/>
  <c r="D7" i="5"/>
  <c r="F4" i="5"/>
  <c r="D4" i="5"/>
  <c r="F1" i="5" l="1"/>
  <c r="C2" i="1"/>
  <c r="G6" i="5"/>
  <c r="F6" i="5"/>
  <c r="E6" i="5"/>
  <c r="D6" i="5"/>
  <c r="G5" i="5"/>
  <c r="F5" i="5"/>
  <c r="E5" i="5"/>
  <c r="D5" i="5"/>
  <c r="G4" i="5"/>
  <c r="E4" i="5"/>
</calcChain>
</file>

<file path=xl/sharedStrings.xml><?xml version="1.0" encoding="utf-8"?>
<sst xmlns="http://schemas.openxmlformats.org/spreadsheetml/2006/main" count="239" uniqueCount="230">
  <si>
    <t>Q #</t>
  </si>
  <si>
    <t>Requirement</t>
  </si>
  <si>
    <t>C</t>
  </si>
  <si>
    <t>CAN</t>
  </si>
  <si>
    <t>IAR</t>
  </si>
  <si>
    <t>NA</t>
  </si>
  <si>
    <t>Auditor Comments</t>
  </si>
  <si>
    <t>Operation has designated an individual responsible for food safety.</t>
  </si>
  <si>
    <t>Responsible individual has evidence of training in food safety relevant to tomatoes.</t>
  </si>
  <si>
    <t>Yes</t>
  </si>
  <si>
    <t>No</t>
  </si>
  <si>
    <t>Audited Operation Address/GPS:</t>
  </si>
  <si>
    <t>Description of Operation:</t>
  </si>
  <si>
    <t xml:space="preserve">Internal Use Only </t>
  </si>
  <si>
    <t>Audit Summary</t>
  </si>
  <si>
    <t>Management Responsibility</t>
  </si>
  <si>
    <t xml:space="preserve">Name of Auditee: </t>
  </si>
  <si>
    <t xml:space="preserve">Date of Audit: </t>
  </si>
  <si>
    <t xml:space="preserve">Produce Containers and Packaging Materials </t>
  </si>
  <si>
    <t>Operation has a written
pest control program,
performed by a trained
pest control operator.
Pest control operators
are licensed where
required by prevailing
regulation or law.</t>
  </si>
  <si>
    <t>There is no evidence of
significant pest
populations (birds,
rodents, insects)
reasonably likely to
contaminate tomatoes.</t>
  </si>
  <si>
    <t>Re-circulated and reused
water is changed
at least daily, and
records of changes are
kept.</t>
  </si>
  <si>
    <t>Shipping unit is clean,
functional and free of
objectionable odors
before loading. A
responsible individual
signs the completed
checklist.</t>
  </si>
  <si>
    <t>There is a program for
the sanitary disposal of
used toilet paper.</t>
  </si>
  <si>
    <t>Hand washing facilities,
with soap, water and
disposable hand-drying
towels, or air blowers,
and refuse containers
are provided.</t>
  </si>
  <si>
    <t>If portable hand wash
water tanks are used,
they are cleaned and
sanitized and the water
is changed periodically.</t>
  </si>
  <si>
    <t>There is a written policy
describing procedures
which specify
handling/disposition of
produce or treatment of
food contact surfaces
that have come into
contact with blood or
other bodily fluids.</t>
  </si>
  <si>
    <t>There is a written policy
instructing workers to
seek prompt treatment
for cuts, abrasions and
other injuries and first
aid supplies are
provided.</t>
  </si>
  <si>
    <t>There is a written policy
regarding jewelry, nail
polish and false nails in
the workplace.</t>
  </si>
  <si>
    <t>Food and tobacco
products are only in
designated areas as
specified in company
SOP.</t>
  </si>
  <si>
    <t>There is a written policy
prohibiting the storage
and use of personal
items outside of
designated areas.</t>
  </si>
  <si>
    <t>Supervisors are trained
to look for, recognize
and react to symptoms
of potentially infectious
illness.</t>
  </si>
  <si>
    <t>There are written
product tracing and
recall procedures.</t>
  </si>
  <si>
    <t xml:space="preserve">Date Approved: </t>
  </si>
  <si>
    <t xml:space="preserve">Reviewing Official Signature: </t>
  </si>
  <si>
    <t xml:space="preserve">Reviewing Official Name: </t>
  </si>
  <si>
    <t xml:space="preserve">Posted to Website: </t>
  </si>
  <si>
    <t xml:space="preserve">Certificate Mailed: </t>
  </si>
  <si>
    <t xml:space="preserve">Audit Received: </t>
  </si>
  <si>
    <t xml:space="preserve">Auditee Representative Name: </t>
  </si>
  <si>
    <t xml:space="preserve">Total Acres Covered by Audit: </t>
  </si>
  <si>
    <t>Commodities Covered by Audit:</t>
  </si>
  <si>
    <t>Other Contractors:</t>
  </si>
  <si>
    <t xml:space="preserve">Harvest Company Name (If Applicable): </t>
  </si>
  <si>
    <t xml:space="preserve">End Time: </t>
  </si>
  <si>
    <t xml:space="preserve">Start Time: </t>
  </si>
  <si>
    <t>AUDIT INFORMATION</t>
  </si>
  <si>
    <t xml:space="preserve">E-Mail Address: </t>
  </si>
  <si>
    <t>Fax Number:</t>
  </si>
  <si>
    <t>Phone Number:</t>
  </si>
  <si>
    <t>Company Contact Title:</t>
  </si>
  <si>
    <t xml:space="preserve">Company Contact: </t>
  </si>
  <si>
    <t xml:space="preserve">How Many? </t>
  </si>
  <si>
    <t>Are multiple sites covered by this audit?</t>
  </si>
  <si>
    <t>City, State, Zip:</t>
  </si>
  <si>
    <t xml:space="preserve">Street Address: </t>
  </si>
  <si>
    <t xml:space="preserve">Company Name: </t>
  </si>
  <si>
    <t xml:space="preserve">AUDITEE INFORMATION </t>
  </si>
  <si>
    <t>Name of Auditee:</t>
  </si>
  <si>
    <t>Date of audit:</t>
  </si>
  <si>
    <t>Section</t>
  </si>
  <si>
    <t>Questions</t>
  </si>
  <si>
    <t>Total # in Section</t>
  </si>
  <si>
    <t># of C</t>
  </si>
  <si>
    <t>#of CAN</t>
  </si>
  <si>
    <t># of IAR</t>
  </si>
  <si>
    <t># of NA</t>
  </si>
  <si>
    <t>Question # of any CAN or IAR</t>
  </si>
  <si>
    <t xml:space="preserve">Transportation </t>
  </si>
  <si>
    <t xml:space="preserve">Education and Training </t>
  </si>
  <si>
    <r>
      <t xml:space="preserve">Operation has current copies of the </t>
    </r>
    <r>
      <rPr>
        <i/>
        <sz val="11"/>
        <color theme="1"/>
        <rFont val="Arial"/>
        <family val="2"/>
      </rPr>
      <t>Commodity Specific Food Safety Guidelines for the Fresh Tomato Supply Chain, Food Safety Programs and Auditing Protocol for the Fresh Tomato Supply Chain</t>
    </r>
    <r>
      <rPr>
        <sz val="11"/>
        <color theme="1"/>
        <rFont val="Arial"/>
        <family val="2"/>
      </rPr>
      <t xml:space="preserve"> and additional food safety documents as required by state and/or federal regulation.</t>
    </r>
  </si>
  <si>
    <t xml:space="preserve">Management Responsibility </t>
  </si>
  <si>
    <t xml:space="preserve">Field Office: </t>
  </si>
  <si>
    <t xml:space="preserve">Persons Interviewed: </t>
  </si>
  <si>
    <r>
      <rPr>
        <b/>
        <sz val="11"/>
        <color theme="1"/>
        <rFont val="Arial"/>
        <family val="2"/>
      </rPr>
      <t>Tallying the Audit:</t>
    </r>
    <r>
      <rPr>
        <sz val="11"/>
        <color theme="1"/>
        <rFont val="Arial"/>
        <family val="2"/>
      </rPr>
      <t xml:space="preserve"> Once the auditor finishes the audit, the score sheet shall be filled out by recording the number of C, CAN, IAR, and NA's for each section of the audit. The question number of any question answered as CAN or IAR for each section shall be noted in the last column of the score sheet. </t>
    </r>
  </si>
  <si>
    <r>
      <rPr>
        <b/>
        <u/>
        <sz val="11"/>
        <color theme="1"/>
        <rFont val="Arial"/>
        <family val="2"/>
      </rPr>
      <t>Not Applicable (N/A)</t>
    </r>
    <r>
      <rPr>
        <sz val="11"/>
        <color theme="1"/>
        <rFont val="Arial"/>
        <family val="2"/>
      </rPr>
      <t xml:space="preserve"> - The question is not applicable to the operation.</t>
    </r>
  </si>
  <si>
    <t>AUDITOR COMPLETION INSTRUCTIONS</t>
  </si>
  <si>
    <t>Auditor(s) Name(s): (list lead auditor first)</t>
  </si>
  <si>
    <t>Auditor(s) Signature(s): (list lead auditor first)</t>
  </si>
  <si>
    <t>DUPLICATION OF CORRECTIVE ACTION TAB INSTRUCTIONS</t>
  </si>
  <si>
    <t>Any item on any checklist with a checkmark beside the Corrective Action Needed (CAN) box or the Immediate Action Required (IAR) box must be documented using a Corrective Action Report. A separate form is required for each item with either of these entities. If there is more than one form needed, follow the instructions below to duplicate the Corrective Action Report Tab:</t>
  </si>
  <si>
    <t>1. Right-click the "Corrective Action Report" Tab at the bottom of Excel.</t>
  </si>
  <si>
    <t>2. Click "Move or Copy.</t>
  </si>
  <si>
    <t xml:space="preserve">3. Under the box titled "Before Sheet," select "(move to end)" </t>
  </si>
  <si>
    <t>4. Place a check in the box beside "Create a Copy"</t>
  </si>
  <si>
    <t xml:space="preserve">5. Click "Ok" </t>
  </si>
  <si>
    <t xml:space="preserve">    Report #: </t>
  </si>
  <si>
    <t>Good Agricultural Practice &amp; Good Handling Practices</t>
  </si>
  <si>
    <t>of</t>
  </si>
  <si>
    <t>CORRECTIVE ACTION REPORT</t>
  </si>
  <si>
    <t>Company Name/Farm:</t>
  </si>
  <si>
    <t>Date:</t>
  </si>
  <si>
    <t xml:space="preserve">Lead Auditor: </t>
  </si>
  <si>
    <t xml:space="preserve">Crop(s): </t>
  </si>
  <si>
    <t xml:space="preserve">Company Representative Signature: </t>
  </si>
  <si>
    <t xml:space="preserve">Additional Information:  </t>
  </si>
  <si>
    <t>1. No questions are assessed as an "IAR", Immediate Action Required.</t>
  </si>
  <si>
    <r>
      <rPr>
        <b/>
        <sz val="11"/>
        <color theme="1"/>
        <rFont val="Arial"/>
        <family val="2"/>
      </rPr>
      <t>If an operation fails to meet the acceptance criteria</t>
    </r>
    <r>
      <rPr>
        <sz val="11"/>
        <color theme="1"/>
        <rFont val="Arial"/>
        <family val="2"/>
      </rPr>
      <t xml:space="preserve"> as outlined above, a corrective action report form will be issued for each non conformity noted on the audit.  The operation has the opportunity to take measures in order to address the issue and schedule a new audit in order to show compliance to the acceptance criteria.  </t>
    </r>
  </si>
  <si>
    <r>
      <rPr>
        <b/>
        <u/>
        <sz val="11"/>
        <color theme="1"/>
        <rFont val="Arial"/>
        <family val="2"/>
      </rPr>
      <t>Immediate Action Required (IAR)</t>
    </r>
    <r>
      <rPr>
        <sz val="11"/>
        <color theme="1"/>
        <rFont val="Arial"/>
        <family val="2"/>
      </rPr>
      <t xml:space="preserve"> - The operation does not meet the  requirement(s)  of the verification instructions and the non-conformance is  considered an imminent food safety risk.  An imminent food safety risk is present when produce is grown, processed, packed or held under conditions that promote or cause the produce to become contaminated.  Observation of employee practices (personal or hygienic) that jeopardize or may jeopardize the safety of the produce are considered an "IAR". The presence or evidence of rodents, an excessive amount of insects or pests are also considered an "IAR".</t>
    </r>
  </si>
  <si>
    <r>
      <rPr>
        <b/>
        <sz val="11"/>
        <color theme="1"/>
        <rFont val="Arial"/>
        <family val="2"/>
      </rPr>
      <t>Auditor Comments:</t>
    </r>
    <r>
      <rPr>
        <sz val="11"/>
        <color theme="1"/>
        <rFont val="Arial"/>
        <family val="2"/>
      </rPr>
      <t xml:space="preserve"> The auditor shall document the findings associated with any question answered "CAN" or "IAR" in the auditor comment section of the checklist. Auditors may also document observations associated with any question on the checklist whether or not the question is a non-conformity if the explanation clarifies why a question was answered compliant.  The auditor shall write a comment for each question answered "N/A" addressing why the question was answered "N/A".</t>
    </r>
  </si>
  <si>
    <t>2. Falsification of records is considered an "IAR".</t>
  </si>
  <si>
    <t>Does this Operation Field Pack Tomatoes?</t>
  </si>
  <si>
    <t>Food Safety Programs and Auditing Protocol for the Tomato Supply Chain</t>
  </si>
  <si>
    <t xml:space="preserve"> </t>
  </si>
  <si>
    <t xml:space="preserve">Description of Non Conformity: </t>
  </si>
  <si>
    <t>Top portion for AUDITOR USE ONLY; bottom portion for Company and Auditor use.</t>
  </si>
  <si>
    <r>
      <rPr>
        <b/>
        <u/>
        <sz val="11"/>
        <color theme="1"/>
        <rFont val="Arial"/>
        <family val="2"/>
      </rPr>
      <t>Corrective Action Needed (CAN)</t>
    </r>
    <r>
      <rPr>
        <sz val="11"/>
        <color theme="1"/>
        <rFont val="Arial"/>
        <family val="2"/>
      </rPr>
      <t xml:space="preserve"> - The operation does not meet the  requirement(s)  of the verification instructions, however the non-conformance  is not considered  to be an immediate food safety risk.</t>
    </r>
  </si>
  <si>
    <t>Farm History and Assessment</t>
  </si>
  <si>
    <t>Greenhouse</t>
  </si>
  <si>
    <t xml:space="preserve">Soil and Amendments </t>
  </si>
  <si>
    <t>PreHarvest Agricultural Water</t>
  </si>
  <si>
    <t>Pest Control and Pesticide Usage</t>
  </si>
  <si>
    <t>Record Keeping and Traceability</t>
  </si>
  <si>
    <t>Operation has a written
procedure and timelines
for implementing and
documenting corrective
actions.</t>
  </si>
  <si>
    <t>Operation has a “zero
tolerance” policy for
controllable practices
and conditions that
result in immediate food
safety risks.</t>
  </si>
  <si>
    <t>An environmental
assessment has been
conducted, including
potential hazards on the
property, past property
use and adjacent land.</t>
  </si>
  <si>
    <t>The environmental
assessment shall
consider domestic
animal operations.</t>
  </si>
  <si>
    <t>Grounds are reasonably
free of litter, debris and
standing water.</t>
  </si>
  <si>
    <t>System for removing
waste materials from
product handling area
works efficiently.</t>
  </si>
  <si>
    <t>Outside garbage
receptacles/dumpsters
are covered or are
located away from
greenhouse entrances,
and areas around such
sites are reasonably
clean.</t>
  </si>
  <si>
    <t>The greenhouse shall be
enclosed.</t>
  </si>
  <si>
    <t>A foot dip station or
other measure should be
used to prevent the
introduction of harmful
microorganisms or
agents and a written
record of the sanitizer
and maintenance kept.</t>
  </si>
  <si>
    <t>Glass and brittle plastic
items are excluded to
the extent practical from
and/or protected in
packing or processing
areas. Lights have
shatterproof bulbs or
covers in all areas where
tomatoes or packaging
are handled or held.</t>
  </si>
  <si>
    <t>Soil and Soil Amendments</t>
  </si>
  <si>
    <t>Soil or other growth
medium shall be stored
in a manner that
minimizes opportunities
for contamination.</t>
  </si>
  <si>
    <t>Fertilizer manufacturer’s
instructions for usage
and storage shall be
followed.</t>
  </si>
  <si>
    <t>If fertilizers containing
manures or composts
are used, only properly
treated (composted or
heat treated) manures
are allowed for use in
greenhouses. Biosolids
are not permitted.</t>
  </si>
  <si>
    <t>Preharvest Agricultural Water</t>
  </si>
  <si>
    <t>The sources of water
used in the greenhouse
are documented.</t>
  </si>
  <si>
    <t>The type of irrigation
used (flood, drip,
sprinkler overhead,
others) is documented.</t>
  </si>
  <si>
    <t>A sanitary survey was
completed for each
water source.</t>
  </si>
  <si>
    <t xml:space="preserve">Water tests are conducted. </t>
  </si>
  <si>
    <t>If water is treated to
bring it into compliance,
records are maintained
of treatments and
testing.</t>
  </si>
  <si>
    <r>
      <rPr>
        <b/>
        <sz val="11"/>
        <color theme="1"/>
        <rFont val="Arial"/>
        <family val="2"/>
      </rPr>
      <t xml:space="preserve">Non-Foliar </t>
    </r>
    <r>
      <rPr>
        <sz val="11"/>
        <color theme="1"/>
        <rFont val="Arial"/>
        <family val="2"/>
      </rPr>
      <t>The water
test meets EPA
recreational water
standards for E. coli; i.e.,
40 CFR Part 131.41(c).</t>
    </r>
  </si>
  <si>
    <r>
      <rPr>
        <b/>
        <sz val="11"/>
        <color theme="1"/>
        <rFont val="Arial"/>
        <family val="2"/>
      </rPr>
      <t>Foliar</t>
    </r>
    <r>
      <rPr>
        <sz val="11"/>
        <color theme="1"/>
        <rFont val="Arial"/>
        <family val="2"/>
      </rPr>
      <t xml:space="preserve"> The water test
meets EPA microbial
standards for drinking
water; i.e., 40 CFR Part
141.63.</t>
    </r>
  </si>
  <si>
    <t>There is a clear area
surrounding the facility
to deter pest infestation.</t>
  </si>
  <si>
    <t>There are no bait
stations containing toxic
baits inside the facility.</t>
  </si>
  <si>
    <t>Traps do not contain
toxic bait and are placed
at the interval and
location recommended
by the pest control
operator. Traps must be
labeled with a number or
other identifier and their
locations are
documented on a map.</t>
  </si>
  <si>
    <t>Bug zappers and insect
attractant devices, if
used, are not placed in a
location where product
or food handling
equipment or food
packaging materials may
become adulterated.</t>
  </si>
  <si>
    <t>Operation has a written
policy prohibiting
domestic animals in the
greenhouse.</t>
  </si>
  <si>
    <t xml:space="preserve">A. Pest Control in Facility </t>
  </si>
  <si>
    <t>B. Pesticide Usage</t>
  </si>
  <si>
    <t>Pesticide chemicals and
their use must comply
with all requirements of
national (e.g., EPA)
registration and any
federal, state or local
regulations.</t>
  </si>
  <si>
    <t>Equipment used to apply
pesticides shall be
maintained and
calibrated at a frequency
sufficient to assure
accuracy of delivery.</t>
  </si>
  <si>
    <t>Water used to mix
pesticides meets EPA
microbial standards for
drinking water; i.e., 40
CFR Part 141.63.</t>
  </si>
  <si>
    <t>Tomato or Equipment Sanitizing Agents Used During Harvest</t>
  </si>
  <si>
    <t>All compounds used to
clean or sanitize food
contact containers, tools,
utensils, equipment or
other food contact
surfaces are approved
for that use by the US
EPA, FDA or other
prevailing agency.
Actual use conforms to
label directions.</t>
  </si>
  <si>
    <t>Chemicals used on
product that are not
registered pesticides
may be permitted for
food contact use if
allowed under
regulations of the FDA
or prevailing agency.</t>
  </si>
  <si>
    <t>All chemicals, cleaning
compounds and solvents
are stored in a secure
and locked location.</t>
  </si>
  <si>
    <t>Equipment, Containers and Packaging Materials</t>
  </si>
  <si>
    <t>Harvest and other food
contact implements,
buckets and totes are
clean and sanitized as
necessary according to
SOP.</t>
  </si>
  <si>
    <t>All containers shall be
marked for their
intended use (finished
produce containers,
trash containers, etc.).</t>
  </si>
  <si>
    <t>Operation has a written
procedure for inspecting
incoming packaging
material.</t>
  </si>
  <si>
    <t>Finished product
containers are prohibited
from direct contact with
the floor, and pallets, slip
sheets, and supports
used to keep product
containers off the floor
are clean and in good
condition.</t>
  </si>
  <si>
    <t>Bins, trays, and pallets
shall be stored in a
secure, clean location.</t>
  </si>
  <si>
    <t>Cleaning and Washing Procedures</t>
  </si>
  <si>
    <t>A. Cleaning Materials Including Cloths</t>
  </si>
  <si>
    <t>Operation shall have a
policy that cloths, towels,
or other cleaning
materials shall not be
used to wipe tomatoes.</t>
  </si>
  <si>
    <t>B. Product Wash Water Management</t>
  </si>
  <si>
    <t>Only sanitizers or
sanitizer systems
registered or approved
by EPA or the prevailing
regulatory agency for
their specific intended
use may be used in the
dump tank wash water,
on the spray line or other
food contact purposes.</t>
  </si>
  <si>
    <t>Wash water sanitizer is
used in accordance with
operational procedure,
manufacturer
instructions, and records
are kept.</t>
  </si>
  <si>
    <t>In systems where
tomatoes are
submerged or dwell in
water, water
temperature is
monitored and
controlled. Water
temperature should be
at least 10ºF above
highest measured pulp
temperature of tomatoes
when entering the water.
If operation can
demonstrate retention
times are never more
than two minutes and
water submersion does
not exceed 1 ft, water
temperature shall be
controlled to be not be
less than highest
measured pulp
temperature.</t>
  </si>
  <si>
    <t>Operations utilizing
spray systems in place
of whole tomato
immersion shall design
the line so that the entire
tomato surface is rinsed.</t>
  </si>
  <si>
    <t>If water quality is based
upon a chlorine-based
sanitizer and Oxidation
Reduction Potential
(ORP), the process shall
be targeted to be at least
800 mV. ORP levels
shall not be less than
650 mV, measured at
the exit of the product
from the water system,
unless validation data
are available to
demonstrate a lower
ORP is effective under
operating conditions.</t>
  </si>
  <si>
    <t>If an ORP system is
used, an independent
measurement is used to
verify compliance.</t>
  </si>
  <si>
    <t>If water quality is based
upon an aqueous
chlorine dioxide
sanitizer, chlorine
dioxide levels shall not
be less than 1 ppm,
measured at the exit of
the product from the
water system, unless
validation data are
available to demonstrate
a lower level is effective
under operating
conditions.</t>
  </si>
  <si>
    <t>If water quality is based
upon a peroxyacetic,
peracetic or peracid
system, levels shall not
be less than 30 ppm,
measured at the exit of
the product from the
water system, unless
validation data are
available to demonstrate
a lower level is effective
under operating
conditions.</t>
  </si>
  <si>
    <t>All instruments used to
measure temperature,
pH, sanitizer levels and
or other important
devices used to monitor
requirements in this
section shall be
calibrated at a frequency
sufficient to assure
continuous accuracy.</t>
  </si>
  <si>
    <t>Instruments, test
methods or test strips
used to monitor
requirements shall be
appropriate to their use
and sufficiently sensitive
to their intended
purpose.</t>
  </si>
  <si>
    <t>Transportation</t>
  </si>
  <si>
    <t>Vehicles and containers
used to transport
produce shall not be
used to transport trash,
animal carcasses or raw
animal products that
may be a source of
microbial contamination
unless cleaned and
sanitized by a procedure
sufficient to ensure that
microbial contamination
of produce does not
occur.</t>
  </si>
  <si>
    <t>Employee Hygiene Policies and Employee Training</t>
  </si>
  <si>
    <t xml:space="preserve">                                               </t>
  </si>
  <si>
    <t>A. Employee Hygiene Policies and Employee Training</t>
  </si>
  <si>
    <t>The number of toilet
facilities meets state and
federal requirements.</t>
  </si>
  <si>
    <t>Toilets are located within
a five minute walk of
work areas.</t>
  </si>
  <si>
    <t>Restrooms should not
open directly into
greenhouse production
areas.</t>
  </si>
  <si>
    <t>All toilet facilities contain
toilet paper.</t>
  </si>
  <si>
    <t>If permanent
handwashing facilities
are not used, gray water
is captured and
disposed of away from
tomato handling areas.</t>
  </si>
  <si>
    <t>The source of water
used to fill hand washing
tanks meets the
microbial standard for
potable water and is
documented.</t>
  </si>
  <si>
    <t>Toilet and hand washing
facilities are inspected
by a designated
individual at a sufficient
frequency during use to
assure cleanliness,
condition and adequate
supplies.</t>
  </si>
  <si>
    <t>B. First Aid Policies</t>
  </si>
  <si>
    <t xml:space="preserve">C. Habits and Conditions </t>
  </si>
  <si>
    <t>There is a written
Hygiene Practices policy
including, but not limited
to, policies and
procedures on hand
washing, toilet use, and
requiring handwashing
at beginning of shift and
prior to returning to
production line, for all
employees and visitors.</t>
  </si>
  <si>
    <t>Policies shall require
hand washing with soap
and potable water at the
appropriate time, such
as before starting work,
after use of toilet
facilities, after breaks
and when hands may
have become
contaminated. Policy
shall apply to
employees, outside
contractors, inspectors,
and visitors. Compliance
is emphasized by
management.</t>
  </si>
  <si>
    <t>There are signs, either in
the appropriate
language or pictorially,
reminding workers to
wash their hands after
using the toilet.</t>
  </si>
  <si>
    <t>If gloves are used, there
must be a written SOP
regarding their use.</t>
  </si>
  <si>
    <t>Operation shall have a
written policy regarding
employees’ outer
garments.</t>
  </si>
  <si>
    <t>SOPs establishing the
operation’s illness policy
provide that workers
who show signs of
illness (vomiting,
jaundice, diarrhea) or
open or exposed sores
or lesions on their hands
are not permitted to
perform job duties where
they will come in direct
contact with raw product
or food contact surfaces.</t>
  </si>
  <si>
    <t>There is a written policy
regarding the use of hair
restraints.</t>
  </si>
  <si>
    <t>Drinking water shall be
provided in fountains or
single use containers.
Drinking water
containers shall be
handled in a manner that
prevents them from
becoming sources of
contamination.</t>
  </si>
  <si>
    <t>Employees shall receive
mandatory safe product
handling and personal
hygiene education at
time of hire with
reinforcements as
detailed in company
SOP.</t>
  </si>
  <si>
    <t>Individuals shall be
trained on all food safety
requirements specific to
their assigned duties.</t>
  </si>
  <si>
    <t>Workers are trained and
follow the policy that
product dropped on the
floor is discarded.</t>
  </si>
  <si>
    <t xml:space="preserve">Record Keeping and Traceability </t>
  </si>
  <si>
    <t xml:space="preserve">A. Greenhouse Packing </t>
  </si>
  <si>
    <t>Documentation of
greenhouse packed
tomatoes shall include
sufficient information
about the growing and
harvest of each lot (i.e.
greenhouse location and
history, grower,
personnel/crew involved
in the harvesting and
packing) as well as the
customer receiving the
product to allow for the
appropriate tracing of
product.</t>
  </si>
  <si>
    <t>Containers shall be
accurately labeled with
commodity name,
greenhouse firm name
and information
sufficient to allow for
source and lot
identification.</t>
  </si>
  <si>
    <t>Documentation
maintained for each lot
shipped shall include
sufficient information
about the customer
receiving the product to
allow for the appropriate
tracing of product.</t>
  </si>
  <si>
    <t xml:space="preserve">B. Packinghouse Packed Greenhouse Tomatoes </t>
  </si>
  <si>
    <t>The greenhouse shall
maintain supply chain
information available to
the packinghouse to
facilitate accurate
traceability; i.e., quantity,
greenhouse
identification and date of
harvest/pack.</t>
  </si>
  <si>
    <t xml:space="preserve">C. Other </t>
  </si>
  <si>
    <t>Operation routinely tests
the product tracing
procedures.</t>
  </si>
  <si>
    <t>A successful mock recall
test has been performed
in the last 12 months.</t>
  </si>
  <si>
    <t xml:space="preserve">Greenhouse - USDA Checklist </t>
  </si>
  <si>
    <t>If a sanitizer system
other than aqueous
chlorine dioxide, peracid,
or hypochlorous and
ORP is used, the system
shall be operated and
controlled to levels of
equivalent efficacy of
pathogen cross contamination
control in
tomato wash systems.</t>
  </si>
  <si>
    <t>USDA, AMS, Fruit and Vegetable Program</t>
  </si>
  <si>
    <t>Notified company staff at time of finding non-conformity: (Yes or No)</t>
  </si>
  <si>
    <t>Checklist question number and/or section of auditee food safety plan associated with non-conformity:</t>
  </si>
  <si>
    <r>
      <t xml:space="preserve">Corrective Action Proposed and Time Frame for Implementation: </t>
    </r>
    <r>
      <rPr>
        <b/>
        <i/>
        <sz val="9"/>
        <color theme="1"/>
        <rFont val="Arial"/>
        <family val="2"/>
      </rPr>
      <t xml:space="preserve"> </t>
    </r>
    <r>
      <rPr>
        <i/>
        <sz val="9"/>
        <color theme="1"/>
        <rFont val="Arial"/>
        <family val="2"/>
      </rPr>
      <t>(Attach separate sheet if necessary)</t>
    </r>
  </si>
  <si>
    <t>Signature affirms statements concerning Non-Conformity, Corrective Action, and Implementation are correct.</t>
  </si>
  <si>
    <r>
      <rPr>
        <b/>
        <sz val="9"/>
        <color theme="1"/>
        <rFont val="Arial"/>
        <family val="2"/>
      </rPr>
      <t>Auditor signature</t>
    </r>
    <r>
      <rPr>
        <b/>
        <sz val="9"/>
        <color theme="1"/>
        <rFont val="Calibri"/>
        <family val="2"/>
        <scheme val="minor"/>
      </rPr>
      <t xml:space="preserve"> </t>
    </r>
    <r>
      <rPr>
        <b/>
        <sz val="9"/>
        <color theme="1"/>
        <rFont val="Arial"/>
        <family val="2"/>
      </rPr>
      <t xml:space="preserve">for acceptance of proposed corrective action and timetable for implementation: </t>
    </r>
  </si>
  <si>
    <t>USDA ACCEPTANCE CRITERIA</t>
  </si>
  <si>
    <r>
      <rPr>
        <b/>
        <u/>
        <sz val="11"/>
        <color theme="1"/>
        <rFont val="Arial"/>
        <family val="2"/>
      </rPr>
      <t>Compliant (C)</t>
    </r>
    <r>
      <rPr>
        <sz val="11"/>
        <color theme="1"/>
        <rFont val="Arial"/>
        <family val="2"/>
      </rPr>
      <t xml:space="preserve"> - The operation meets the requirements of the Food Safety Programs and Auditing Protocol for the Fresh Tomato Supply Chain, 2011 - Greenhouse standard.</t>
    </r>
  </si>
  <si>
    <r>
      <rPr>
        <b/>
        <sz val="11"/>
        <color theme="1"/>
        <rFont val="Arial"/>
        <family val="2"/>
      </rPr>
      <t>If an operation meets the acceptance criteria</t>
    </r>
    <r>
      <rPr>
        <sz val="11"/>
        <color theme="1"/>
        <rFont val="Arial"/>
        <family val="2"/>
      </rPr>
      <t xml:space="preserve"> as outlined above, the operation will receive a certificate stating its conformance to the </t>
    </r>
    <r>
      <rPr>
        <i/>
        <sz val="11"/>
        <color theme="1"/>
        <rFont val="Arial"/>
        <family val="2"/>
      </rPr>
      <t>Commodity Specific Food Safety Guidelines for the Fresh Tomato Supply Chain 2nd Edition - July 2008 and the Food Safety Programs and Auditing Protocol for the Fresh Tomato Supply Chain, 2011 - Greenhouse</t>
    </r>
    <r>
      <rPr>
        <sz val="11"/>
        <color theme="1"/>
        <rFont val="Arial"/>
        <family val="2"/>
      </rPr>
      <t xml:space="preserve"> standard as well as being posted to the USDA website.  Corrective action reports will still be supplied to the auditee for all nonconformances.  </t>
    </r>
  </si>
  <si>
    <t>Auditee representative informed of non-conformances during closing meeting? (Yes or No)</t>
  </si>
  <si>
    <t xml:space="preserve">Food Safety Programs and Auditing Protocol </t>
  </si>
  <si>
    <t>for the Fresh Tomato Supply Chain</t>
  </si>
  <si>
    <t>Greenhouse Standard</t>
  </si>
  <si>
    <t>Audit Performed By:  United States Department of Agriculture, Agricultural Marketing Service</t>
  </si>
  <si>
    <t xml:space="preserve">                                      Fruit and Vegetable Program, Specialty Crops Inspection Division</t>
  </si>
  <si>
    <r>
      <t xml:space="preserve">All questions on the Food Safety Programs and Auditing Protocol for the Fresh Tomato Supply Chain, Greenhouse - USDA Checklist shall be assessed according to the verification instructions outlined in the </t>
    </r>
    <r>
      <rPr>
        <i/>
        <sz val="11"/>
        <color theme="1"/>
        <rFont val="Arial"/>
        <family val="2"/>
      </rPr>
      <t>Commodity Specific Food Safety Guidelines for the Fresh Tomato Supply Chain 2nd Edition - July 2008</t>
    </r>
    <r>
      <rPr>
        <sz val="11"/>
        <color theme="1"/>
        <rFont val="Arial"/>
        <family val="2"/>
      </rPr>
      <t xml:space="preserve"> and the </t>
    </r>
    <r>
      <rPr>
        <i/>
        <sz val="11"/>
        <color theme="1"/>
        <rFont val="Arial"/>
        <family val="2"/>
      </rPr>
      <t>Food Safety Programs and Auditing Protocol for the Fresh Tomato Supply Chain, 2011 - Greenhouse</t>
    </r>
    <r>
      <rPr>
        <sz val="11"/>
        <color theme="1"/>
        <rFont val="Arial"/>
        <family val="2"/>
      </rPr>
      <t xml:space="preserve"> standard. Auditors shall have a copy of these verification instructions with them when performing audits to verify questions are assessed appropriately. All questions shall be assessed using one of the following:</t>
    </r>
  </si>
  <si>
    <t xml:space="preserve">Tomato or Equipment Sanitizing Agents Used During Harvest </t>
  </si>
  <si>
    <t xml:space="preserve">For more information about USDA, AMS, FV, SCI Division audit services, please go to www.ams.usda.gov/gapghp, or call 202-720-5021.  </t>
  </si>
  <si>
    <t>5. If a major section has less than 5 questions, one "CAN" can be assessed and the section will still meet the minimum acceptance criteria.</t>
  </si>
  <si>
    <t>Reusable containers and food contact equipment and utensils shall be constructed of impervious materials that can be easily cleaned and sanitized.</t>
  </si>
  <si>
    <t>Operation has procedures for conducting self-audits and conducts self-audits to verify compliance with established internal policies and procedures.</t>
  </si>
  <si>
    <t>Clean and sanitary toilet facilities are provided for all employees and toilets are made from cleanable materials and are cleaned and sanitized daily or sufficiently often to be maintained in a clean and sanitary manner.</t>
  </si>
  <si>
    <t xml:space="preserve">4. In each major section (1 through 13) of the audit, at least 80% of the questions not answered as "N/A" must be answered as compliant.  </t>
  </si>
  <si>
    <t>3. Questions 1.1 and 13.5 must be assessed as compliant</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</si>
</sst>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409]h:mm\ AM/PM;@"/>
    <numFmt numFmtId="165" formatCode="[&lt;=9999999]###\-####;\(###\)\ ###\-####"/>
    <numFmt numFmtId="166" formatCode="0.0"/>
  </numFmts>
  <fonts count="20" x14ac:knownFonts="1">
    <font>
      <sz val="11"/>
      <color theme="1"/>
      <name val="Calibri"/>
      <family val="2"/>
      <scheme val="minor"/>
    </font>
    <font>
      <sz val="11"/>
      <color theme="1"/>
      <name val="Arial"/>
      <family val="2"/>
    </font>
    <font>
      <sz val="11"/>
      <color theme="1"/>
      <name val="Arial"/>
      <family val="2"/>
    </font>
    <font>
      <sz val="11"/>
      <color theme="1"/>
      <name val="Arial"/>
      <family val="2"/>
    </font>
    <font>
      <b/>
      <sz val="11"/>
      <color theme="1"/>
      <name val="Calibri"/>
      <family val="2"/>
      <scheme val="minor"/>
    </font>
    <font>
      <sz val="11"/>
      <color theme="1"/>
      <name val="Arial"/>
      <family val="2"/>
    </font>
    <font>
      <b/>
      <sz val="11"/>
      <color theme="1"/>
      <name val="Arial"/>
      <family val="2"/>
    </font>
    <font>
      <b/>
      <sz val="14"/>
      <color theme="1"/>
      <name val="Arial"/>
      <family val="2"/>
    </font>
    <font>
      <sz val="10"/>
      <color theme="1"/>
      <name val="Arial"/>
      <family val="2"/>
    </font>
    <font>
      <b/>
      <sz val="12"/>
      <color theme="1"/>
      <name val="Arial"/>
      <family val="2"/>
    </font>
    <font>
      <sz val="14"/>
      <color theme="1"/>
      <name val="Arial"/>
      <family val="2"/>
    </font>
    <font>
      <b/>
      <sz val="14"/>
      <color theme="1"/>
      <name val="Calibri"/>
      <family val="2"/>
      <scheme val="minor"/>
    </font>
    <font>
      <i/>
      <sz val="11"/>
      <color theme="1"/>
      <name val="Arial"/>
      <family val="2"/>
    </font>
    <font>
      <b/>
      <u/>
      <sz val="11"/>
      <color theme="1"/>
      <name val="Arial"/>
      <family val="2"/>
    </font>
    <font>
      <b/>
      <sz val="9"/>
      <color theme="1"/>
      <name val="Arial"/>
      <family val="2"/>
    </font>
    <font>
      <sz val="9"/>
      <color theme="1"/>
      <name val="Arial"/>
      <family val="2"/>
    </font>
    <font>
      <i/>
      <sz val="9"/>
      <color theme="1"/>
      <name val="Arial"/>
      <family val="2"/>
    </font>
    <font>
      <b/>
      <i/>
      <sz val="9"/>
      <color theme="1"/>
      <name val="Arial"/>
      <family val="2"/>
    </font>
    <font>
      <i/>
      <sz val="10"/>
      <color theme="1"/>
      <name val="Calibri"/>
      <family val="2"/>
      <scheme val="minor"/>
    </font>
    <font>
      <b/>
      <sz val="9"/>
      <color theme="1"/>
      <name val="Calibri"/>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0.24994659260841701"/>
        <bgColor indexed="64"/>
      </patternFill>
    </fill>
    <fill>
      <patternFill patternType="solid">
        <fgColor theme="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thick">
        <color auto="1"/>
      </right>
      <top/>
      <bottom style="thick">
        <color auto="1"/>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style="thick">
        <color auto="1"/>
      </left>
      <right/>
      <top/>
      <bottom/>
      <diagonal/>
    </border>
    <border>
      <left/>
      <right style="thick">
        <color auto="1"/>
      </right>
      <top style="thin">
        <color auto="1"/>
      </top>
      <bottom style="thin">
        <color auto="1"/>
      </bottom>
      <diagonal/>
    </border>
    <border>
      <left/>
      <right/>
      <top style="thin">
        <color indexed="64"/>
      </top>
      <bottom style="thin">
        <color indexed="64"/>
      </bottom>
      <diagonal/>
    </border>
    <border>
      <left/>
      <right style="thick">
        <color auto="1"/>
      </right>
      <top/>
      <bottom style="thin">
        <color auto="1"/>
      </bottom>
      <diagonal/>
    </border>
    <border>
      <left/>
      <right style="thick">
        <color auto="1"/>
      </right>
      <top style="thick">
        <color auto="1"/>
      </top>
      <bottom/>
      <diagonal/>
    </border>
    <border>
      <left/>
      <right/>
      <top style="thick">
        <color auto="1"/>
      </top>
      <bottom/>
      <diagonal/>
    </border>
    <border>
      <left style="thick">
        <color auto="1"/>
      </left>
      <right/>
      <top style="thick">
        <color auto="1"/>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auto="1"/>
      </left>
      <right/>
      <top style="medium">
        <color auto="1"/>
      </top>
      <bottom/>
      <diagonal/>
    </border>
    <border>
      <left/>
      <right/>
      <top style="medium">
        <color auto="1"/>
      </top>
      <bottom/>
      <diagonal/>
    </border>
  </borders>
  <cellStyleXfs count="1">
    <xf numFmtId="0" fontId="0" fillId="0" borderId="0"/>
  </cellStyleXfs>
  <cellXfs count="261">
    <xf numFmtId="0" fontId="0" fillId="0" borderId="0" xfId="0"/>
    <xf numFmtId="0" fontId="0" fillId="0" borderId="0" xfId="0" applyAlignment="1">
      <alignment wrapText="1"/>
    </xf>
    <xf numFmtId="0" fontId="0" fillId="0" borderId="0" xfId="0" applyNumberFormat="1"/>
    <xf numFmtId="0" fontId="10" fillId="0" borderId="22" xfId="0" applyFont="1" applyBorder="1" applyAlignment="1" applyProtection="1">
      <alignment horizontal="center" vertical="center"/>
      <protection locked="0"/>
    </xf>
    <xf numFmtId="0" fontId="10" fillId="0" borderId="2" xfId="0" applyFont="1" applyBorder="1" applyAlignment="1" applyProtection="1">
      <alignment horizontal="center" vertical="center"/>
      <protection locked="0"/>
    </xf>
    <xf numFmtId="0" fontId="8" fillId="0" borderId="0" xfId="0" applyFont="1" applyBorder="1" applyAlignment="1"/>
    <xf numFmtId="0" fontId="6" fillId="3" borderId="13" xfId="0" applyFont="1" applyFill="1" applyBorder="1" applyAlignment="1">
      <alignment wrapText="1"/>
    </xf>
    <xf numFmtId="0" fontId="0" fillId="0" borderId="0" xfId="0" applyFont="1"/>
    <xf numFmtId="0" fontId="5" fillId="0" borderId="1" xfId="0" applyFont="1" applyBorder="1" applyAlignment="1">
      <alignment wrapText="1"/>
    </xf>
    <xf numFmtId="0" fontId="6" fillId="2" borderId="1" xfId="0" applyFont="1" applyFill="1" applyBorder="1" applyAlignment="1">
      <alignment horizontal="center" vertical="center" wrapText="1"/>
    </xf>
    <xf numFmtId="0" fontId="5" fillId="0" borderId="1" xfId="0" applyFont="1" applyBorder="1" applyAlignment="1">
      <alignment vertical="top" wrapText="1"/>
    </xf>
    <xf numFmtId="0" fontId="6" fillId="4" borderId="1" xfId="0" applyFont="1" applyFill="1" applyBorder="1" applyAlignment="1">
      <alignment horizontal="center" wrapText="1"/>
    </xf>
    <xf numFmtId="0" fontId="6" fillId="4" borderId="1" xfId="0" applyFont="1" applyFill="1" applyBorder="1" applyAlignment="1">
      <alignment horizontal="center"/>
    </xf>
    <xf numFmtId="0" fontId="0" fillId="4" borderId="0" xfId="0" applyFill="1"/>
    <xf numFmtId="0" fontId="0" fillId="0" borderId="0" xfId="0" applyFill="1"/>
    <xf numFmtId="0" fontId="6" fillId="4" borderId="1" xfId="0" applyNumberFormat="1" applyFont="1" applyFill="1" applyBorder="1" applyAlignment="1">
      <alignment horizontal="left"/>
    </xf>
    <xf numFmtId="0" fontId="5" fillId="0" borderId="1" xfId="0" applyNumberFormat="1" applyFont="1" applyBorder="1" applyAlignment="1">
      <alignment horizontal="left"/>
    </xf>
    <xf numFmtId="2" fontId="5" fillId="0" borderId="1" xfId="0" applyNumberFormat="1" applyFont="1" applyBorder="1" applyAlignment="1">
      <alignment horizontal="left"/>
    </xf>
    <xf numFmtId="0" fontId="6" fillId="0" borderId="1" xfId="0" applyNumberFormat="1" applyFont="1" applyBorder="1" applyAlignment="1">
      <alignment horizontal="left"/>
    </xf>
    <xf numFmtId="0" fontId="4" fillId="0" borderId="0" xfId="0" applyFont="1"/>
    <xf numFmtId="0" fontId="4" fillId="3" borderId="11" xfId="0" applyFont="1" applyFill="1" applyBorder="1" applyProtection="1"/>
    <xf numFmtId="0" fontId="6" fillId="3" borderId="12" xfId="0" applyFont="1" applyFill="1" applyBorder="1" applyProtection="1"/>
    <xf numFmtId="0" fontId="6" fillId="3" borderId="12" xfId="0" applyFont="1" applyFill="1" applyBorder="1" applyAlignment="1" applyProtection="1">
      <alignment horizontal="center" vertical="center" wrapText="1"/>
    </xf>
    <xf numFmtId="0" fontId="4" fillId="0" borderId="14" xfId="0" applyNumberFormat="1" applyFont="1" applyBorder="1" applyAlignment="1" applyProtection="1">
      <alignment horizontal="center" vertical="center"/>
    </xf>
    <xf numFmtId="0" fontId="6" fillId="0" borderId="6" xfId="0" applyFont="1" applyBorder="1" applyAlignment="1" applyProtection="1">
      <alignment horizontal="center" vertical="center"/>
    </xf>
    <xf numFmtId="0" fontId="4" fillId="0" borderId="15" xfId="0" applyNumberFormat="1" applyFont="1" applyBorder="1" applyAlignment="1" applyProtection="1">
      <alignment horizontal="center" vertical="center"/>
    </xf>
    <xf numFmtId="0" fontId="6" fillId="0" borderId="1" xfId="0" applyFont="1" applyBorder="1" applyAlignment="1" applyProtection="1">
      <alignment horizontal="center" vertical="center"/>
    </xf>
    <xf numFmtId="0" fontId="6" fillId="0" borderId="1" xfId="0" applyFont="1" applyBorder="1" applyAlignment="1" applyProtection="1">
      <alignment horizontal="center" vertical="center" wrapText="1"/>
      <protection locked="0"/>
    </xf>
    <xf numFmtId="0" fontId="8" fillId="0" borderId="0" xfId="0" applyFont="1" applyAlignment="1">
      <alignment horizontal="right"/>
    </xf>
    <xf numFmtId="0" fontId="8" fillId="0" borderId="0" xfId="0" applyFont="1"/>
    <xf numFmtId="0" fontId="8" fillId="0" borderId="22" xfId="0" applyFont="1" applyBorder="1" applyAlignment="1" applyProtection="1">
      <alignment horizontal="center"/>
      <protection locked="0"/>
    </xf>
    <xf numFmtId="0" fontId="0" fillId="0" borderId="0" xfId="0"/>
    <xf numFmtId="0" fontId="0" fillId="0" borderId="0" xfId="0" applyAlignment="1">
      <alignment wrapText="1"/>
    </xf>
    <xf numFmtId="0" fontId="0" fillId="0" borderId="0" xfId="0" applyAlignment="1"/>
    <xf numFmtId="0" fontId="0" fillId="0" borderId="0" xfId="0" applyAlignment="1">
      <alignment vertical="top" wrapText="1"/>
    </xf>
    <xf numFmtId="0" fontId="5" fillId="0" borderId="0" xfId="0" applyFont="1" applyAlignment="1">
      <alignment wrapText="1"/>
    </xf>
    <xf numFmtId="0" fontId="5" fillId="0" borderId="0" xfId="0" applyFont="1" applyAlignment="1">
      <alignment vertical="top" wrapText="1"/>
    </xf>
    <xf numFmtId="0" fontId="7" fillId="0" borderId="0" xfId="0" applyFont="1" applyAlignment="1"/>
    <xf numFmtId="0" fontId="0" fillId="0" borderId="0" xfId="0"/>
    <xf numFmtId="0" fontId="0" fillId="0" borderId="34" xfId="0" applyBorder="1" applyAlignment="1"/>
    <xf numFmtId="0" fontId="15" fillId="0" borderId="2" xfId="0" applyFont="1" applyBorder="1" applyAlignment="1" applyProtection="1">
      <alignment horizontal="center"/>
      <protection locked="0"/>
    </xf>
    <xf numFmtId="0" fontId="15" fillId="0" borderId="0" xfId="0" applyFont="1" applyBorder="1" applyAlignment="1">
      <alignment horizontal="center"/>
    </xf>
    <xf numFmtId="0" fontId="15" fillId="0" borderId="9" xfId="0" applyFont="1" applyBorder="1" applyAlignment="1" applyProtection="1">
      <alignment horizontal="center"/>
      <protection locked="0"/>
    </xf>
    <xf numFmtId="0" fontId="0" fillId="0" borderId="0" xfId="0"/>
    <xf numFmtId="0" fontId="8" fillId="0" borderId="0" xfId="0" applyFont="1" applyBorder="1" applyAlignment="1" applyProtection="1">
      <alignment horizontal="center"/>
      <protection locked="0"/>
    </xf>
    <xf numFmtId="0" fontId="0" fillId="0" borderId="0" xfId="0" applyProtection="1"/>
    <xf numFmtId="0" fontId="0" fillId="0" borderId="0" xfId="0" applyAlignment="1">
      <alignment wrapText="1"/>
    </xf>
    <xf numFmtId="0" fontId="0" fillId="0" borderId="0" xfId="0"/>
    <xf numFmtId="166" fontId="6" fillId="0" borderId="1" xfId="0" applyNumberFormat="1" applyFont="1" applyFill="1" applyBorder="1" applyAlignment="1">
      <alignment horizontal="left"/>
    </xf>
    <xf numFmtId="166" fontId="6" fillId="0" borderId="1" xfId="0" applyNumberFormat="1" applyFont="1" applyBorder="1" applyAlignment="1">
      <alignment horizontal="left"/>
    </xf>
    <xf numFmtId="166" fontId="5" fillId="0" borderId="1" xfId="0" applyNumberFormat="1" applyFont="1" applyBorder="1" applyAlignment="1">
      <alignment horizontal="left"/>
    </xf>
    <xf numFmtId="166" fontId="6" fillId="0" borderId="1" xfId="0" applyNumberFormat="1" applyFont="1" applyBorder="1" applyAlignment="1">
      <alignment horizontal="right"/>
    </xf>
    <xf numFmtId="2" fontId="5" fillId="5" borderId="1" xfId="0" applyNumberFormat="1" applyFont="1" applyFill="1" applyBorder="1" applyAlignment="1">
      <alignment horizontal="left"/>
    </xf>
    <xf numFmtId="0" fontId="0" fillId="5" borderId="0" xfId="0" applyFill="1"/>
    <xf numFmtId="2" fontId="6" fillId="5" borderId="1" xfId="0" applyNumberFormat="1" applyFont="1" applyFill="1" applyBorder="1" applyAlignment="1">
      <alignment horizontal="left"/>
    </xf>
    <xf numFmtId="166" fontId="6" fillId="5" borderId="1" xfId="0" applyNumberFormat="1" applyFont="1" applyFill="1" applyBorder="1" applyAlignment="1">
      <alignment horizontal="left"/>
    </xf>
    <xf numFmtId="0" fontId="5" fillId="5" borderId="1" xfId="0" applyFont="1" applyFill="1" applyBorder="1" applyAlignment="1">
      <alignment wrapText="1"/>
    </xf>
    <xf numFmtId="0" fontId="5" fillId="5" borderId="1" xfId="0" applyNumberFormat="1" applyFont="1" applyFill="1" applyBorder="1" applyAlignment="1">
      <alignment horizontal="left"/>
    </xf>
    <xf numFmtId="0" fontId="6" fillId="5" borderId="1" xfId="0" applyFont="1" applyFill="1" applyBorder="1" applyAlignment="1" applyProtection="1">
      <alignment horizontal="center" vertical="center" wrapText="1"/>
      <protection locked="0"/>
    </xf>
    <xf numFmtId="0" fontId="4" fillId="5" borderId="0" xfId="0" applyFont="1" applyFill="1"/>
    <xf numFmtId="166" fontId="5" fillId="5" borderId="1" xfId="0" applyNumberFormat="1" applyFont="1" applyFill="1" applyBorder="1" applyAlignment="1">
      <alignment horizontal="left"/>
    </xf>
    <xf numFmtId="0" fontId="0" fillId="0" borderId="0" xfId="0"/>
    <xf numFmtId="0" fontId="8" fillId="0" borderId="0" xfId="0" applyFont="1"/>
    <xf numFmtId="0" fontId="8" fillId="0" borderId="0" xfId="0" applyFont="1" applyBorder="1"/>
    <xf numFmtId="0" fontId="0" fillId="0" borderId="0" xfId="0" applyBorder="1"/>
    <xf numFmtId="0" fontId="0" fillId="0" borderId="0" xfId="0"/>
    <xf numFmtId="0" fontId="8" fillId="0" borderId="0" xfId="0" applyFont="1"/>
    <xf numFmtId="0" fontId="8" fillId="0" borderId="0" xfId="0" applyFont="1" applyBorder="1" applyAlignment="1" applyProtection="1">
      <alignment horizontal="center"/>
      <protection locked="0"/>
    </xf>
    <xf numFmtId="0" fontId="0" fillId="0" borderId="0" xfId="0" applyBorder="1"/>
    <xf numFmtId="0" fontId="14" fillId="0" borderId="32" xfId="0" applyFont="1" applyBorder="1" applyAlignment="1"/>
    <xf numFmtId="0" fontId="14" fillId="0" borderId="3" xfId="0" applyFont="1" applyBorder="1" applyAlignment="1"/>
    <xf numFmtId="0" fontId="6" fillId="0" borderId="6" xfId="0" applyFont="1" applyBorder="1" applyAlignment="1" applyProtection="1">
      <alignment horizontal="left" vertical="center" wrapText="1"/>
    </xf>
    <xf numFmtId="0" fontId="6" fillId="0" borderId="1" xfId="0" applyFont="1" applyBorder="1" applyAlignment="1" applyProtection="1">
      <alignment horizontal="left" vertical="center" wrapText="1"/>
    </xf>
    <xf numFmtId="0" fontId="5" fillId="0" borderId="1" xfId="0" applyFont="1" applyBorder="1" applyAlignment="1" applyProtection="1">
      <alignment horizontal="left" wrapText="1"/>
      <protection locked="0"/>
    </xf>
    <xf numFmtId="0" fontId="7" fillId="0" borderId="0" xfId="0" applyFont="1" applyAlignment="1">
      <alignment horizontal="center" wrapText="1"/>
    </xf>
    <xf numFmtId="0" fontId="0" fillId="0" borderId="0" xfId="0"/>
    <xf numFmtId="0" fontId="0" fillId="0" borderId="34" xfId="0" applyBorder="1"/>
    <xf numFmtId="0" fontId="0" fillId="0" borderId="3" xfId="0" applyBorder="1"/>
    <xf numFmtId="0" fontId="14" fillId="0" borderId="32" xfId="0" applyFont="1" applyBorder="1"/>
    <xf numFmtId="0" fontId="0" fillId="0" borderId="36" xfId="0" applyBorder="1"/>
    <xf numFmtId="0" fontId="0" fillId="0" borderId="2" xfId="0" applyBorder="1"/>
    <xf numFmtId="0" fontId="0" fillId="0" borderId="0" xfId="0"/>
    <xf numFmtId="0" fontId="5" fillId="0" borderId="0" xfId="0" applyFont="1" applyAlignment="1">
      <alignment horizontal="left" wrapText="1"/>
    </xf>
    <xf numFmtId="0" fontId="0" fillId="0" borderId="0" xfId="0" applyAlignment="1">
      <alignment horizontal="left" vertical="center"/>
    </xf>
    <xf numFmtId="0" fontId="6" fillId="0" borderId="0" xfId="0" applyFont="1" applyBorder="1" applyAlignment="1" applyProtection="1">
      <alignment horizontal="center" vertical="center"/>
    </xf>
    <xf numFmtId="0" fontId="4" fillId="0" borderId="11" xfId="0" applyNumberFormat="1" applyFont="1" applyBorder="1" applyAlignment="1" applyProtection="1">
      <alignment horizontal="center" vertical="center"/>
    </xf>
    <xf numFmtId="0" fontId="6" fillId="0" borderId="12" xfId="0" applyFont="1" applyBorder="1" applyAlignment="1" applyProtection="1">
      <alignment horizontal="left" vertical="center" wrapText="1"/>
    </xf>
    <xf numFmtId="0" fontId="6" fillId="0" borderId="12" xfId="0" applyFont="1" applyBorder="1" applyAlignment="1" applyProtection="1">
      <alignment horizontal="center" vertical="center"/>
    </xf>
    <xf numFmtId="0" fontId="15" fillId="0" borderId="25" xfId="0" applyFont="1" applyBorder="1" applyProtection="1"/>
    <xf numFmtId="0" fontId="15" fillId="0" borderId="24" xfId="0" applyFont="1" applyBorder="1" applyProtection="1"/>
    <xf numFmtId="0" fontId="15" fillId="0" borderId="20" xfId="0" applyFont="1" applyBorder="1" applyAlignment="1" applyProtection="1">
      <alignment vertical="center" wrapText="1"/>
    </xf>
    <xf numFmtId="0" fontId="15" fillId="0" borderId="0" xfId="0" applyFont="1" applyBorder="1" applyAlignment="1" applyProtection="1">
      <alignment vertical="center" wrapText="1"/>
    </xf>
    <xf numFmtId="14" fontId="15" fillId="0" borderId="2" xfId="0" applyNumberFormat="1" applyFont="1" applyBorder="1" applyAlignment="1" applyProtection="1">
      <alignment horizontal="center"/>
    </xf>
    <xf numFmtId="0" fontId="15" fillId="0" borderId="20" xfId="0" applyFont="1" applyBorder="1" applyProtection="1"/>
    <xf numFmtId="0" fontId="15" fillId="0" borderId="0" xfId="0" applyFont="1" applyBorder="1" applyProtection="1"/>
    <xf numFmtId="0" fontId="15" fillId="0" borderId="19" xfId="0" applyFont="1" applyBorder="1" applyProtection="1"/>
    <xf numFmtId="0" fontId="0" fillId="0" borderId="18" xfId="0" applyBorder="1" applyProtection="1"/>
    <xf numFmtId="0" fontId="0" fillId="0" borderId="17" xfId="0" applyBorder="1" applyProtection="1"/>
    <xf numFmtId="0" fontId="0" fillId="0" borderId="16" xfId="0" applyBorder="1" applyProtection="1"/>
    <xf numFmtId="0" fontId="0" fillId="0" borderId="0" xfId="0"/>
    <xf numFmtId="49" fontId="5" fillId="0" borderId="7" xfId="0" applyNumberFormat="1" applyFont="1" applyFill="1" applyBorder="1" applyAlignment="1" applyProtection="1">
      <alignment horizontal="left" vertical="center" wrapText="1"/>
      <protection locked="0"/>
    </xf>
    <xf numFmtId="49" fontId="5" fillId="0" borderId="10" xfId="0" applyNumberFormat="1" applyFont="1" applyBorder="1" applyAlignment="1" applyProtection="1">
      <alignment horizontal="left" vertical="center" wrapText="1"/>
      <protection locked="0"/>
    </xf>
    <xf numFmtId="49" fontId="5" fillId="0" borderId="13" xfId="0" applyNumberFormat="1" applyFont="1" applyBorder="1" applyAlignment="1" applyProtection="1">
      <alignment horizontal="left" vertical="center" wrapText="1"/>
      <protection locked="0"/>
    </xf>
    <xf numFmtId="0" fontId="14" fillId="0" borderId="1" xfId="0" applyFont="1" applyBorder="1" applyAlignment="1" applyProtection="1">
      <alignment horizontal="center" vertical="center" wrapText="1"/>
      <protection locked="0"/>
    </xf>
    <xf numFmtId="0" fontId="1" fillId="0" borderId="1" xfId="0" applyFont="1" applyBorder="1" applyAlignment="1">
      <alignment wrapText="1"/>
    </xf>
    <xf numFmtId="0" fontId="1" fillId="5" borderId="1" xfId="0" applyFont="1" applyFill="1" applyBorder="1" applyAlignment="1">
      <alignment horizontal="left" wrapText="1"/>
    </xf>
    <xf numFmtId="0" fontId="6" fillId="5" borderId="1" xfId="0" applyFont="1" applyFill="1" applyBorder="1" applyAlignment="1" applyProtection="1">
      <alignment horizontal="center" vertical="center"/>
      <protection locked="0"/>
    </xf>
    <xf numFmtId="0" fontId="8" fillId="0" borderId="2" xfId="0" applyFont="1" applyBorder="1" applyAlignment="1" applyProtection="1">
      <alignment horizontal="center"/>
      <protection locked="0"/>
    </xf>
    <xf numFmtId="0" fontId="7" fillId="0" borderId="0" xfId="0" applyFont="1" applyAlignment="1">
      <alignment horizontal="center" wrapText="1"/>
    </xf>
    <xf numFmtId="0" fontId="11" fillId="0" borderId="0" xfId="0" applyFont="1" applyAlignment="1">
      <alignment horizontal="center" wrapText="1"/>
    </xf>
    <xf numFmtId="0" fontId="10" fillId="0" borderId="0" xfId="0" applyFont="1" applyAlignment="1">
      <alignment horizontal="center" wrapText="1"/>
    </xf>
    <xf numFmtId="0" fontId="9" fillId="3" borderId="28" xfId="0" applyFont="1" applyFill="1" applyBorder="1"/>
    <xf numFmtId="0" fontId="9" fillId="3" borderId="22" xfId="0" applyFont="1" applyFill="1" applyBorder="1"/>
    <xf numFmtId="0" fontId="9" fillId="3" borderId="27" xfId="0" applyFont="1" applyFill="1" applyBorder="1"/>
    <xf numFmtId="0" fontId="8" fillId="0" borderId="22" xfId="0" applyFont="1" applyBorder="1" applyAlignment="1" applyProtection="1">
      <alignment horizontal="center"/>
      <protection locked="0"/>
    </xf>
    <xf numFmtId="0" fontId="8" fillId="0" borderId="3" xfId="0" applyFont="1" applyBorder="1" applyAlignment="1">
      <alignment horizontal="right"/>
    </xf>
    <xf numFmtId="0" fontId="8" fillId="0" borderId="0" xfId="0" applyFont="1"/>
    <xf numFmtId="0" fontId="8" fillId="0" borderId="0" xfId="0" applyFont="1" applyAlignment="1">
      <alignment vertical="center"/>
    </xf>
    <xf numFmtId="165" fontId="8" fillId="0" borderId="22" xfId="0" applyNumberFormat="1" applyFont="1" applyBorder="1" applyAlignment="1" applyProtection="1">
      <alignment horizontal="center"/>
      <protection locked="0"/>
    </xf>
    <xf numFmtId="0" fontId="8" fillId="0" borderId="0" xfId="0" applyFont="1" applyBorder="1" applyAlignment="1" applyProtection="1">
      <alignment horizontal="center" vertical="top" wrapText="1"/>
      <protection locked="0"/>
    </xf>
    <xf numFmtId="0" fontId="0" fillId="0" borderId="2" xfId="0" applyBorder="1" applyAlignment="1" applyProtection="1">
      <alignment horizontal="center" vertical="top" wrapText="1"/>
      <protection locked="0"/>
    </xf>
    <xf numFmtId="14" fontId="8" fillId="0" borderId="2" xfId="0" applyNumberFormat="1" applyFont="1" applyBorder="1" applyAlignment="1" applyProtection="1">
      <alignment horizontal="center"/>
      <protection locked="0"/>
    </xf>
    <xf numFmtId="164" fontId="8" fillId="0" borderId="2" xfId="0" applyNumberFormat="1" applyFont="1" applyBorder="1" applyAlignment="1" applyProtection="1">
      <alignment horizontal="center"/>
      <protection locked="0"/>
    </xf>
    <xf numFmtId="0" fontId="8" fillId="0" borderId="0" xfId="0" applyFont="1" applyBorder="1"/>
    <xf numFmtId="0" fontId="0" fillId="0" borderId="3" xfId="0" applyBorder="1" applyAlignment="1" applyProtection="1">
      <alignment vertical="top" wrapText="1"/>
      <protection locked="0"/>
    </xf>
    <xf numFmtId="0" fontId="0" fillId="0" borderId="3" xfId="0" applyBorder="1" applyAlignment="1">
      <alignment vertical="top" wrapText="1"/>
    </xf>
    <xf numFmtId="0" fontId="0" fillId="0" borderId="2" xfId="0" applyBorder="1" applyAlignment="1" applyProtection="1">
      <alignment vertical="top" wrapText="1"/>
      <protection locked="0"/>
    </xf>
    <xf numFmtId="0" fontId="0" fillId="0" borderId="2" xfId="0" applyBorder="1" applyAlignment="1">
      <alignment vertical="top" wrapText="1"/>
    </xf>
    <xf numFmtId="0" fontId="8" fillId="0" borderId="2" xfId="0" applyFont="1" applyBorder="1" applyProtection="1">
      <protection locked="0"/>
    </xf>
    <xf numFmtId="0" fontId="15" fillId="0" borderId="22" xfId="0" applyFont="1" applyBorder="1" applyAlignment="1" applyProtection="1">
      <alignment horizontal="center"/>
    </xf>
    <xf numFmtId="0" fontId="15" fillId="0" borderId="21" xfId="0" applyFont="1" applyBorder="1" applyAlignment="1" applyProtection="1">
      <alignment horizontal="center"/>
    </xf>
    <xf numFmtId="0" fontId="15" fillId="0" borderId="2" xfId="0" applyFont="1" applyBorder="1" applyAlignment="1" applyProtection="1">
      <alignment horizontal="center"/>
    </xf>
    <xf numFmtId="0" fontId="7" fillId="0" borderId="0" xfId="0" applyFont="1" applyAlignment="1">
      <alignment horizontal="center"/>
    </xf>
    <xf numFmtId="0" fontId="5" fillId="0" borderId="0" xfId="0" applyFont="1" applyAlignment="1">
      <alignment wrapText="1"/>
    </xf>
    <xf numFmtId="0" fontId="0" fillId="0" borderId="0" xfId="0" applyAlignment="1">
      <alignment wrapText="1"/>
    </xf>
    <xf numFmtId="0" fontId="15" fillId="0" borderId="0" xfId="0" applyFont="1"/>
    <xf numFmtId="0" fontId="2" fillId="0" borderId="0" xfId="0" applyFont="1" applyAlignment="1">
      <alignment vertical="top" wrapText="1"/>
    </xf>
    <xf numFmtId="0" fontId="5" fillId="0" borderId="0" xfId="0" applyFont="1" applyAlignment="1">
      <alignment vertical="top" wrapText="1"/>
    </xf>
    <xf numFmtId="0" fontId="0" fillId="0" borderId="0" xfId="0"/>
    <xf numFmtId="0" fontId="3" fillId="0" borderId="0" xfId="0" applyFont="1" applyAlignment="1">
      <alignment wrapText="1"/>
    </xf>
    <xf numFmtId="0" fontId="8" fillId="0" borderId="0" xfId="0" applyFont="1" applyBorder="1" applyAlignment="1" applyProtection="1">
      <alignment horizontal="center"/>
      <protection locked="0"/>
    </xf>
    <xf numFmtId="0" fontId="14" fillId="0" borderId="26" xfId="0" applyFont="1" applyBorder="1" applyProtection="1"/>
    <xf numFmtId="0" fontId="14" fillId="0" borderId="25" xfId="0" applyFont="1" applyBorder="1" applyProtection="1"/>
    <xf numFmtId="14" fontId="15" fillId="0" borderId="2" xfId="0" applyNumberFormat="1" applyFont="1" applyBorder="1" applyAlignment="1" applyProtection="1">
      <alignment horizontal="center"/>
    </xf>
    <xf numFmtId="0" fontId="15" fillId="0" borderId="0" xfId="0" applyFont="1" applyBorder="1" applyAlignment="1" applyProtection="1">
      <alignment horizontal="center" vertical="center" wrapText="1"/>
    </xf>
    <xf numFmtId="0" fontId="15" fillId="0" borderId="23" xfId="0" applyFont="1" applyBorder="1" applyAlignment="1" applyProtection="1">
      <alignment horizontal="center"/>
    </xf>
    <xf numFmtId="0" fontId="15" fillId="0" borderId="20" xfId="0" applyFont="1" applyBorder="1" applyAlignment="1" applyProtection="1">
      <alignment horizontal="left"/>
    </xf>
    <xf numFmtId="0" fontId="15" fillId="0" borderId="0" xfId="0" applyFont="1" applyBorder="1" applyAlignment="1" applyProtection="1">
      <alignment horizontal="left"/>
    </xf>
    <xf numFmtId="0" fontId="1" fillId="0" borderId="0" xfId="0" applyFont="1"/>
    <xf numFmtId="0" fontId="5" fillId="0" borderId="0" xfId="0" applyFont="1"/>
    <xf numFmtId="0" fontId="1" fillId="0" borderId="0" xfId="0" applyFont="1" applyAlignment="1">
      <alignment horizontal="left" wrapText="1"/>
    </xf>
    <xf numFmtId="0" fontId="5" fillId="0" borderId="0" xfId="0" applyFont="1" applyAlignment="1">
      <alignment horizontal="left" wrapText="1"/>
    </xf>
    <xf numFmtId="0" fontId="0" fillId="0" borderId="0" xfId="0" applyAlignment="1">
      <alignment vertical="top" wrapText="1"/>
    </xf>
    <xf numFmtId="0" fontId="1" fillId="0" borderId="0" xfId="0" applyFont="1" applyAlignment="1">
      <alignment horizontal="left" vertical="top" wrapText="1"/>
    </xf>
    <xf numFmtId="0" fontId="3" fillId="0" borderId="0" xfId="0" applyFont="1" applyAlignment="1">
      <alignment horizontal="left" wrapText="1"/>
    </xf>
    <xf numFmtId="0" fontId="6" fillId="4" borderId="28" xfId="0" applyFont="1" applyFill="1" applyBorder="1"/>
    <xf numFmtId="0" fontId="6" fillId="4" borderId="22" xfId="0" applyFont="1" applyFill="1" applyBorder="1"/>
    <xf numFmtId="0" fontId="6" fillId="4" borderId="27" xfId="0" applyFont="1" applyFill="1" applyBorder="1"/>
    <xf numFmtId="0" fontId="0" fillId="0" borderId="28" xfId="0" applyBorder="1" applyAlignment="1" applyProtection="1">
      <alignment horizontal="left" vertical="top" wrapText="1"/>
      <protection locked="0"/>
    </xf>
    <xf numFmtId="0" fontId="0" fillId="0" borderId="22" xfId="0" applyBorder="1" applyAlignment="1" applyProtection="1">
      <alignment horizontal="left" vertical="top" wrapText="1"/>
      <protection locked="0"/>
    </xf>
    <xf numFmtId="0" fontId="0" fillId="0" borderId="27" xfId="0" applyBorder="1" applyAlignment="1" applyProtection="1">
      <alignment horizontal="left" vertical="top" wrapText="1"/>
      <protection locked="0"/>
    </xf>
    <xf numFmtId="0" fontId="7" fillId="0" borderId="4" xfId="0" applyFont="1" applyBorder="1" applyAlignment="1" applyProtection="1">
      <alignment horizontal="center" vertical="center"/>
    </xf>
    <xf numFmtId="0" fontId="11" fillId="0" borderId="5" xfId="0" applyFont="1" applyBorder="1" applyAlignment="1" applyProtection="1">
      <alignment horizontal="center" vertical="center"/>
    </xf>
    <xf numFmtId="0" fontId="11" fillId="0" borderId="8" xfId="0" applyFont="1" applyBorder="1" applyAlignment="1" applyProtection="1">
      <alignment horizontal="center" vertical="center"/>
    </xf>
    <xf numFmtId="0" fontId="11" fillId="0" borderId="9" xfId="0" applyFont="1" applyBorder="1" applyAlignment="1" applyProtection="1">
      <alignment horizontal="center" vertical="center"/>
    </xf>
    <xf numFmtId="0" fontId="6" fillId="0" borderId="6" xfId="0" applyFont="1" applyBorder="1" applyAlignment="1" applyProtection="1">
      <alignment horizontal="center"/>
    </xf>
    <xf numFmtId="0" fontId="6" fillId="0" borderId="29" xfId="0" applyFont="1" applyBorder="1" applyAlignment="1" applyProtection="1">
      <alignment horizontal="center"/>
    </xf>
    <xf numFmtId="0" fontId="6" fillId="0" borderId="30" xfId="0" applyFont="1" applyBorder="1" applyAlignment="1" applyProtection="1">
      <alignment horizontal="center"/>
    </xf>
    <xf numFmtId="0" fontId="6" fillId="0" borderId="31" xfId="0" applyFont="1" applyBorder="1" applyAlignment="1" applyProtection="1">
      <alignment horizontal="center"/>
    </xf>
    <xf numFmtId="0" fontId="6" fillId="0" borderId="1" xfId="0" applyFont="1" applyBorder="1" applyAlignment="1" applyProtection="1">
      <alignment horizontal="center"/>
    </xf>
    <xf numFmtId="14" fontId="5" fillId="0" borderId="1" xfId="0" applyNumberFormat="1" applyFont="1" applyBorder="1" applyAlignment="1" applyProtection="1">
      <alignment horizontal="center"/>
    </xf>
    <xf numFmtId="0" fontId="5" fillId="0" borderId="1" xfId="0" applyNumberFormat="1" applyFont="1" applyBorder="1" applyAlignment="1" applyProtection="1">
      <alignment horizontal="center"/>
    </xf>
    <xf numFmtId="0" fontId="5" fillId="0" borderId="10" xfId="0" applyNumberFormat="1" applyFont="1" applyBorder="1" applyAlignment="1" applyProtection="1">
      <alignment horizontal="center"/>
    </xf>
    <xf numFmtId="166" fontId="5" fillId="5" borderId="22" xfId="0" applyNumberFormat="1" applyFont="1" applyFill="1" applyBorder="1" applyAlignment="1">
      <alignment horizontal="left"/>
    </xf>
    <xf numFmtId="0" fontId="0" fillId="0" borderId="22" xfId="0" applyBorder="1" applyAlignment="1"/>
    <xf numFmtId="0" fontId="5" fillId="0" borderId="22" xfId="0" applyNumberFormat="1" applyFont="1" applyBorder="1" applyAlignment="1">
      <alignment horizontal="left"/>
    </xf>
    <xf numFmtId="2" fontId="5" fillId="0" borderId="0" xfId="0" applyNumberFormat="1" applyFont="1" applyBorder="1" applyAlignment="1">
      <alignment horizontal="left"/>
    </xf>
    <xf numFmtId="0" fontId="0" fillId="0" borderId="0" xfId="0" applyBorder="1" applyAlignment="1"/>
    <xf numFmtId="2" fontId="5" fillId="5" borderId="22" xfId="0" applyNumberFormat="1" applyFont="1" applyFill="1" applyBorder="1" applyAlignment="1">
      <alignment horizontal="left"/>
    </xf>
    <xf numFmtId="0" fontId="5" fillId="0" borderId="0" xfId="0" applyNumberFormat="1" applyFont="1" applyBorder="1" applyAlignment="1">
      <alignment horizontal="left"/>
    </xf>
    <xf numFmtId="0" fontId="6" fillId="5" borderId="28" xfId="0" applyFont="1" applyFill="1" applyBorder="1" applyAlignment="1">
      <alignment wrapText="1"/>
    </xf>
    <xf numFmtId="0" fontId="6" fillId="5" borderId="22" xfId="0" applyFont="1" applyFill="1" applyBorder="1" applyAlignment="1">
      <alignment wrapText="1"/>
    </xf>
    <xf numFmtId="0" fontId="6" fillId="5" borderId="27" xfId="0" applyFont="1" applyFill="1" applyBorder="1" applyAlignment="1">
      <alignment wrapText="1"/>
    </xf>
    <xf numFmtId="0" fontId="6" fillId="0" borderId="28" xfId="0" applyFont="1" applyBorder="1" applyAlignment="1">
      <alignment wrapText="1"/>
    </xf>
    <xf numFmtId="0" fontId="6" fillId="0" borderId="22" xfId="0" applyFont="1" applyBorder="1" applyAlignment="1">
      <alignment wrapText="1"/>
    </xf>
    <xf numFmtId="0" fontId="6" fillId="0" borderId="27" xfId="0" applyFont="1" applyBorder="1" applyAlignment="1">
      <alignment wrapText="1"/>
    </xf>
    <xf numFmtId="0" fontId="6" fillId="5" borderId="28" xfId="0" applyFont="1" applyFill="1" applyBorder="1" applyAlignment="1">
      <alignment horizontal="left" wrapText="1"/>
    </xf>
    <xf numFmtId="0" fontId="6" fillId="5" borderId="22" xfId="0" applyFont="1" applyFill="1" applyBorder="1" applyAlignment="1">
      <alignment horizontal="left" wrapText="1"/>
    </xf>
    <xf numFmtId="0" fontId="6" fillId="5" borderId="27" xfId="0" applyFont="1" applyFill="1" applyBorder="1" applyAlignment="1">
      <alignment horizontal="left" wrapText="1"/>
    </xf>
    <xf numFmtId="0" fontId="5" fillId="0" borderId="1" xfId="0" applyNumberFormat="1" applyFont="1" applyBorder="1"/>
    <xf numFmtId="0" fontId="5" fillId="0" borderId="28" xfId="0" applyFont="1" applyBorder="1" applyAlignment="1">
      <alignment horizontal="center" vertical="center"/>
    </xf>
    <xf numFmtId="0" fontId="5" fillId="0" borderId="22" xfId="0" applyFont="1" applyBorder="1" applyAlignment="1">
      <alignment horizontal="center" vertical="center"/>
    </xf>
    <xf numFmtId="0" fontId="5" fillId="0" borderId="27" xfId="0" applyFont="1" applyBorder="1" applyAlignment="1">
      <alignment horizontal="center" vertical="center"/>
    </xf>
    <xf numFmtId="14" fontId="5" fillId="0" borderId="28" xfId="0" applyNumberFormat="1" applyFont="1" applyBorder="1" applyAlignment="1">
      <alignment horizontal="center"/>
    </xf>
    <xf numFmtId="0" fontId="5" fillId="0" borderId="22" xfId="0" applyFont="1" applyBorder="1" applyAlignment="1">
      <alignment horizontal="center"/>
    </xf>
    <xf numFmtId="0" fontId="5" fillId="0" borderId="27" xfId="0" applyFont="1" applyBorder="1" applyAlignment="1">
      <alignment horizontal="center"/>
    </xf>
    <xf numFmtId="0" fontId="6" fillId="0" borderId="28" xfId="0" applyFont="1" applyFill="1" applyBorder="1" applyAlignment="1">
      <alignment horizontal="left" wrapText="1"/>
    </xf>
    <xf numFmtId="0" fontId="6" fillId="0" borderId="22" xfId="0" applyFont="1" applyFill="1" applyBorder="1" applyAlignment="1">
      <alignment horizontal="left" wrapText="1"/>
    </xf>
    <xf numFmtId="0" fontId="6" fillId="0" borderId="27" xfId="0" applyFont="1" applyFill="1" applyBorder="1" applyAlignment="1">
      <alignment horizontal="left" wrapText="1"/>
    </xf>
    <xf numFmtId="2" fontId="5" fillId="0" borderId="22" xfId="0" applyNumberFormat="1" applyFont="1" applyBorder="1" applyAlignment="1">
      <alignment horizontal="left"/>
    </xf>
    <xf numFmtId="0" fontId="5" fillId="0" borderId="0" xfId="0" applyFont="1" applyAlignment="1">
      <alignment horizontal="left" vertical="top"/>
    </xf>
    <xf numFmtId="0" fontId="14" fillId="4" borderId="36" xfId="0" applyFont="1" applyFill="1" applyBorder="1" applyAlignment="1">
      <alignment horizontal="center"/>
    </xf>
    <xf numFmtId="0" fontId="14" fillId="4" borderId="2" xfId="0" applyFont="1" applyFill="1" applyBorder="1" applyAlignment="1">
      <alignment horizontal="center"/>
    </xf>
    <xf numFmtId="0" fontId="14" fillId="4" borderId="9" xfId="0" applyFont="1" applyFill="1" applyBorder="1" applyAlignment="1">
      <alignment horizontal="center"/>
    </xf>
    <xf numFmtId="0" fontId="8" fillId="0" borderId="34" xfId="0" applyFont="1" applyBorder="1" applyAlignment="1" applyProtection="1">
      <alignment horizontal="left" vertical="top" wrapText="1"/>
      <protection locked="0"/>
    </xf>
    <xf numFmtId="0" fontId="8" fillId="0" borderId="0" xfId="0" applyFont="1" applyAlignment="1" applyProtection="1">
      <alignment horizontal="left" vertical="top" wrapText="1"/>
      <protection locked="0"/>
    </xf>
    <xf numFmtId="0" fontId="8" fillId="0" borderId="35" xfId="0" applyFont="1" applyBorder="1" applyAlignment="1" applyProtection="1">
      <alignment horizontal="left" vertical="top" wrapText="1"/>
      <protection locked="0"/>
    </xf>
    <xf numFmtId="0" fontId="8" fillId="0" borderId="36" xfId="0" applyFont="1" applyBorder="1" applyAlignment="1" applyProtection="1">
      <alignment horizontal="left" vertical="top" wrapText="1"/>
      <protection locked="0"/>
    </xf>
    <xf numFmtId="0" fontId="8" fillId="0" borderId="2" xfId="0" applyFont="1" applyBorder="1" applyAlignment="1" applyProtection="1">
      <alignment horizontal="left" vertical="top" wrapText="1"/>
      <protection locked="0"/>
    </xf>
    <xf numFmtId="0" fontId="8" fillId="0" borderId="9" xfId="0" applyFont="1" applyBorder="1" applyAlignment="1" applyProtection="1">
      <alignment horizontal="left" vertical="top" wrapText="1"/>
      <protection locked="0"/>
    </xf>
    <xf numFmtId="0" fontId="8" fillId="0" borderId="28" xfId="0" applyFont="1" applyBorder="1" applyAlignment="1" applyProtection="1">
      <alignment horizontal="center" vertical="center" wrapText="1"/>
      <protection locked="0"/>
    </xf>
    <xf numFmtId="0" fontId="8" fillId="0" borderId="22" xfId="0" applyFont="1" applyBorder="1" applyAlignment="1" applyProtection="1">
      <alignment horizontal="center" vertical="center" wrapText="1"/>
      <protection locked="0"/>
    </xf>
    <xf numFmtId="0" fontId="8" fillId="0" borderId="27" xfId="0" applyFont="1" applyBorder="1" applyAlignment="1" applyProtection="1">
      <alignment horizontal="center" vertical="center" wrapText="1"/>
      <protection locked="0"/>
    </xf>
    <xf numFmtId="0" fontId="14" fillId="0" borderId="32" xfId="0" applyFont="1" applyBorder="1"/>
    <xf numFmtId="0" fontId="14" fillId="0" borderId="3" xfId="0" applyFont="1" applyBorder="1"/>
    <xf numFmtId="0" fontId="14" fillId="0" borderId="33" xfId="0" applyFont="1" applyBorder="1"/>
    <xf numFmtId="0" fontId="0" fillId="0" borderId="36" xfId="0" applyBorder="1"/>
    <xf numFmtId="0" fontId="0" fillId="0" borderId="2" xfId="0" applyBorder="1"/>
    <xf numFmtId="0" fontId="0" fillId="0" borderId="9" xfId="0" applyBorder="1"/>
    <xf numFmtId="0" fontId="8" fillId="0" borderId="3" xfId="0" applyFont="1" applyBorder="1" applyAlignment="1" applyProtection="1">
      <alignment horizontal="center" vertical="center" wrapText="1"/>
    </xf>
    <xf numFmtId="0" fontId="8" fillId="0" borderId="33" xfId="0" applyFont="1" applyBorder="1" applyAlignment="1" applyProtection="1">
      <alignment horizontal="center" vertical="center" wrapText="1"/>
    </xf>
    <xf numFmtId="0" fontId="8" fillId="0" borderId="2" xfId="0" applyFont="1" applyBorder="1" applyAlignment="1" applyProtection="1">
      <alignment horizontal="center" vertical="center" wrapText="1"/>
    </xf>
    <xf numFmtId="0" fontId="8" fillId="0" borderId="9" xfId="0" applyFont="1" applyBorder="1" applyAlignment="1" applyProtection="1">
      <alignment horizontal="center" vertical="center" wrapText="1"/>
    </xf>
    <xf numFmtId="14" fontId="8" fillId="0" borderId="3" xfId="0" applyNumberFormat="1" applyFont="1" applyBorder="1" applyAlignment="1" applyProtection="1">
      <alignment horizontal="center" vertical="center" wrapText="1"/>
    </xf>
    <xf numFmtId="0" fontId="14" fillId="4" borderId="34" xfId="0" applyFont="1" applyFill="1" applyBorder="1" applyAlignment="1">
      <alignment horizontal="center" vertical="top"/>
    </xf>
    <xf numFmtId="0" fontId="14" fillId="4" borderId="0" xfId="0" applyFont="1" applyFill="1" applyBorder="1" applyAlignment="1">
      <alignment horizontal="center" vertical="top"/>
    </xf>
    <xf numFmtId="0" fontId="14" fillId="4" borderId="35" xfId="0" applyFont="1" applyFill="1" applyBorder="1" applyAlignment="1">
      <alignment horizontal="center" vertical="top"/>
    </xf>
    <xf numFmtId="0" fontId="14" fillId="4" borderId="32" xfId="0" applyFont="1" applyFill="1" applyBorder="1" applyAlignment="1">
      <alignment horizontal="center"/>
    </xf>
    <xf numFmtId="0" fontId="14" fillId="4" borderId="3" xfId="0" applyFont="1" applyFill="1" applyBorder="1" applyAlignment="1">
      <alignment horizontal="center"/>
    </xf>
    <xf numFmtId="0" fontId="14" fillId="4" borderId="33" xfId="0" applyFont="1" applyFill="1" applyBorder="1" applyAlignment="1">
      <alignment horizontal="center"/>
    </xf>
    <xf numFmtId="0" fontId="8" fillId="0" borderId="3" xfId="0" applyFont="1" applyBorder="1" applyAlignment="1" applyProtection="1">
      <alignment horizontal="left" vertical="top" wrapText="1"/>
      <protection locked="0"/>
    </xf>
    <xf numFmtId="0" fontId="8" fillId="0" borderId="33" xfId="0" applyFont="1" applyBorder="1" applyAlignment="1" applyProtection="1">
      <alignment horizontal="left" vertical="top" wrapText="1"/>
      <protection locked="0"/>
    </xf>
    <xf numFmtId="0" fontId="15" fillId="0" borderId="3" xfId="0" applyFont="1" applyBorder="1" applyAlignment="1" applyProtection="1">
      <alignment horizontal="center"/>
    </xf>
    <xf numFmtId="0" fontId="14" fillId="0" borderId="37" xfId="0" applyFont="1" applyBorder="1" applyAlignment="1" applyProtection="1">
      <alignment wrapText="1"/>
    </xf>
    <xf numFmtId="0" fontId="14" fillId="0" borderId="38" xfId="0" applyFont="1" applyBorder="1" applyAlignment="1" applyProtection="1">
      <alignment wrapText="1"/>
    </xf>
    <xf numFmtId="0" fontId="16" fillId="0" borderId="38" xfId="0" applyFont="1" applyBorder="1" applyAlignment="1" applyProtection="1">
      <alignment horizontal="center" vertical="center" wrapText="1"/>
    </xf>
    <xf numFmtId="0" fontId="16" fillId="0" borderId="5" xfId="0" applyFont="1" applyBorder="1" applyAlignment="1" applyProtection="1">
      <alignment horizontal="center" vertical="center" wrapText="1"/>
    </xf>
    <xf numFmtId="0" fontId="16" fillId="0" borderId="0" xfId="0" applyFont="1" applyBorder="1" applyAlignment="1" applyProtection="1">
      <alignment horizontal="center" vertical="center" wrapText="1"/>
    </xf>
    <xf numFmtId="0" fontId="16" fillId="0" borderId="35" xfId="0" applyFont="1" applyBorder="1" applyAlignment="1" applyProtection="1">
      <alignment horizontal="center" vertical="center" wrapText="1"/>
    </xf>
    <xf numFmtId="0" fontId="0" fillId="0" borderId="34" xfId="0" applyBorder="1" applyProtection="1"/>
    <xf numFmtId="0" fontId="0" fillId="0" borderId="0" xfId="0" applyBorder="1" applyProtection="1"/>
    <xf numFmtId="0" fontId="18" fillId="0" borderId="36" xfId="0" applyFont="1" applyBorder="1" applyAlignment="1" applyProtection="1"/>
    <xf numFmtId="0" fontId="18" fillId="0" borderId="2" xfId="0" applyFont="1" applyBorder="1" applyAlignment="1" applyProtection="1"/>
    <xf numFmtId="0" fontId="18" fillId="0" borderId="9" xfId="0" applyFont="1" applyBorder="1" applyAlignment="1" applyProtection="1"/>
    <xf numFmtId="0" fontId="19" fillId="0" borderId="32" xfId="0" applyFont="1" applyBorder="1" applyProtection="1"/>
    <xf numFmtId="0" fontId="0" fillId="0" borderId="3" xfId="0" applyBorder="1" applyProtection="1"/>
    <xf numFmtId="0" fontId="0" fillId="0" borderId="33" xfId="0" applyBorder="1" applyProtection="1"/>
    <xf numFmtId="0" fontId="15" fillId="0" borderId="34" xfId="0" applyFont="1" applyBorder="1" applyAlignment="1" applyProtection="1">
      <alignment horizontal="left" vertical="top" wrapText="1"/>
    </xf>
    <xf numFmtId="0" fontId="15" fillId="0" borderId="0" xfId="0" applyFont="1" applyAlignment="1" applyProtection="1">
      <alignment horizontal="left" vertical="top" wrapText="1"/>
    </xf>
    <xf numFmtId="0" fontId="15" fillId="0" borderId="35" xfId="0" applyFont="1" applyBorder="1" applyAlignment="1" applyProtection="1">
      <alignment horizontal="left" vertical="top" wrapText="1"/>
    </xf>
    <xf numFmtId="0" fontId="15" fillId="0" borderId="34" xfId="0" applyFont="1" applyBorder="1" applyAlignment="1" applyProtection="1">
      <alignment horizontal="left" vertical="top" wrapText="1"/>
      <protection locked="0"/>
    </xf>
    <xf numFmtId="0" fontId="15" fillId="0" borderId="0" xfId="0" applyFont="1" applyAlignment="1">
      <alignment horizontal="left" vertical="top" wrapText="1"/>
    </xf>
    <xf numFmtId="0" fontId="15" fillId="0" borderId="35" xfId="0" applyFont="1" applyBorder="1" applyAlignment="1">
      <alignment horizontal="left" vertical="top" wrapText="1"/>
    </xf>
    <xf numFmtId="0" fontId="15" fillId="0" borderId="34" xfId="0" applyFont="1" applyBorder="1" applyAlignment="1">
      <alignment horizontal="left" vertical="top" wrapText="1"/>
    </xf>
    <xf numFmtId="0" fontId="15" fillId="0" borderId="0" xfId="0" applyFont="1" applyBorder="1" applyAlignment="1">
      <alignment horizontal="left" vertical="top" wrapText="1"/>
    </xf>
    <xf numFmtId="0" fontId="0" fillId="0" borderId="34" xfId="0" applyBorder="1" applyAlignment="1">
      <alignment horizontal="left" vertical="top" wrapText="1"/>
    </xf>
    <xf numFmtId="0" fontId="0" fillId="0" borderId="0" xfId="0" applyAlignment="1">
      <alignment horizontal="left" vertical="top" wrapText="1"/>
    </xf>
    <xf numFmtId="0" fontId="0" fillId="0" borderId="35" xfId="0" applyBorder="1" applyAlignment="1">
      <alignment horizontal="left" vertical="top" wrapText="1"/>
    </xf>
    <xf numFmtId="0" fontId="0" fillId="0" borderId="36" xfId="0" applyBorder="1" applyAlignment="1">
      <alignment horizontal="left" vertical="top" wrapText="1"/>
    </xf>
    <xf numFmtId="0" fontId="0" fillId="0" borderId="2"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347133</xdr:colOff>
      <xdr:row>2</xdr:row>
      <xdr:rowOff>67734</xdr:rowOff>
    </xdr:from>
    <xdr:to>
      <xdr:col>5</xdr:col>
      <xdr:colOff>73334</xdr:colOff>
      <xdr:row>2</xdr:row>
      <xdr:rowOff>818187</xdr:rowOff>
    </xdr:to>
    <xdr:pic>
      <xdr:nvPicPr>
        <xdr:cNvPr id="3" name="Picture 2" descr="USDA LOGO.jpg"/>
        <xdr:cNvPicPr>
          <a:picLocks noChangeAspect="1"/>
        </xdr:cNvPicPr>
      </xdr:nvPicPr>
      <xdr:blipFill>
        <a:blip xmlns:r="http://schemas.openxmlformats.org/officeDocument/2006/relationships" r:embed="rId1" cstate="print"/>
        <a:stretch>
          <a:fillRect/>
        </a:stretch>
      </xdr:blipFill>
      <xdr:spPr>
        <a:xfrm>
          <a:off x="2683933" y="516467"/>
          <a:ext cx="1309468" cy="75045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81"/>
  <sheetViews>
    <sheetView tabSelected="1" view="pageLayout" zoomScale="90" zoomScaleNormal="100" zoomScalePageLayoutView="90" workbookViewId="0">
      <selection activeCell="B6" sqref="B6:I6"/>
    </sheetView>
  </sheetViews>
  <sheetFormatPr defaultColWidth="9.109375" defaultRowHeight="14.4" x14ac:dyDescent="0.3"/>
  <cols>
    <col min="1" max="1" width="15.44140625" style="31" customWidth="1"/>
    <col min="2" max="2" width="10.44140625" style="31" customWidth="1"/>
    <col min="3" max="3" width="6.6640625" style="31" customWidth="1"/>
    <col min="4" max="4" width="9.5546875" style="31" customWidth="1"/>
    <col min="5" max="5" width="12.5546875" style="31" customWidth="1"/>
    <col min="6" max="6" width="10.6640625" style="31" customWidth="1"/>
    <col min="7" max="7" width="8.6640625" style="31" customWidth="1"/>
    <col min="8" max="8" width="8.88671875" style="31" customWidth="1"/>
    <col min="9" max="9" width="7.33203125" style="31" customWidth="1"/>
    <col min="10" max="16384" width="9.109375" style="31"/>
  </cols>
  <sheetData>
    <row r="1" spans="1:9" ht="18" x14ac:dyDescent="0.35">
      <c r="A1" s="108" t="s">
        <v>102</v>
      </c>
      <c r="B1" s="109"/>
      <c r="C1" s="109"/>
      <c r="D1" s="109"/>
      <c r="E1" s="109"/>
      <c r="F1" s="109"/>
      <c r="G1" s="109"/>
      <c r="H1" s="109"/>
      <c r="I1" s="109"/>
    </row>
    <row r="2" spans="1:9" ht="17.399999999999999" x14ac:dyDescent="0.3">
      <c r="A2" s="108" t="s">
        <v>204</v>
      </c>
      <c r="B2" s="108"/>
      <c r="C2" s="108"/>
      <c r="D2" s="108"/>
      <c r="E2" s="108"/>
      <c r="F2" s="108"/>
      <c r="G2" s="108"/>
      <c r="H2" s="108"/>
      <c r="I2" s="108"/>
    </row>
    <row r="3" spans="1:9" ht="69.599999999999994" customHeight="1" x14ac:dyDescent="0.3">
      <c r="A3" s="110"/>
      <c r="B3" s="110"/>
      <c r="C3" s="110"/>
      <c r="D3" s="110"/>
      <c r="E3" s="110"/>
      <c r="F3" s="110"/>
      <c r="G3" s="110"/>
      <c r="H3" s="110"/>
      <c r="I3" s="110"/>
    </row>
    <row r="4" spans="1:9" ht="1.8" hidden="1" customHeight="1" x14ac:dyDescent="0.3"/>
    <row r="5" spans="1:9" ht="15.6" x14ac:dyDescent="0.3">
      <c r="A5" s="111" t="s">
        <v>57</v>
      </c>
      <c r="B5" s="112"/>
      <c r="C5" s="112"/>
      <c r="D5" s="112"/>
      <c r="E5" s="112"/>
      <c r="F5" s="112"/>
      <c r="G5" s="112"/>
      <c r="H5" s="112"/>
      <c r="I5" s="113"/>
    </row>
    <row r="6" spans="1:9" ht="16.5" customHeight="1" x14ac:dyDescent="0.3">
      <c r="A6" s="5" t="s">
        <v>56</v>
      </c>
      <c r="B6" s="107"/>
      <c r="C6" s="107"/>
      <c r="D6" s="107"/>
      <c r="E6" s="107"/>
      <c r="F6" s="107"/>
      <c r="G6" s="107"/>
      <c r="H6" s="107"/>
      <c r="I6" s="107"/>
    </row>
    <row r="7" spans="1:9" ht="16.5" customHeight="1" x14ac:dyDescent="0.3">
      <c r="A7" s="29" t="s">
        <v>55</v>
      </c>
      <c r="B7" s="114"/>
      <c r="C7" s="114"/>
      <c r="D7" s="114"/>
      <c r="E7" s="115" t="s">
        <v>54</v>
      </c>
      <c r="F7" s="115"/>
      <c r="G7" s="114"/>
      <c r="H7" s="114"/>
      <c r="I7" s="114"/>
    </row>
    <row r="8" spans="1:9" ht="16.5" customHeight="1" x14ac:dyDescent="0.3">
      <c r="A8" s="116" t="s">
        <v>53</v>
      </c>
      <c r="B8" s="116"/>
      <c r="C8" s="116"/>
      <c r="D8" s="28" t="s">
        <v>9</v>
      </c>
      <c r="E8" s="4"/>
      <c r="F8" s="28" t="s">
        <v>10</v>
      </c>
      <c r="G8" s="3"/>
      <c r="H8" s="29" t="s">
        <v>52</v>
      </c>
      <c r="I8" s="30"/>
    </row>
    <row r="9" spans="1:9" ht="16.5" customHeight="1" x14ac:dyDescent="0.3">
      <c r="A9" s="117" t="s">
        <v>11</v>
      </c>
      <c r="B9" s="117"/>
      <c r="C9" s="117"/>
      <c r="D9" s="119"/>
      <c r="E9" s="119"/>
      <c r="F9" s="119"/>
      <c r="G9" s="119"/>
      <c r="H9" s="119"/>
      <c r="I9" s="119"/>
    </row>
    <row r="10" spans="1:9" x14ac:dyDescent="0.3">
      <c r="A10" s="117"/>
      <c r="B10" s="117"/>
      <c r="C10" s="117"/>
      <c r="D10" s="120"/>
      <c r="E10" s="120"/>
      <c r="F10" s="120"/>
      <c r="G10" s="120"/>
      <c r="H10" s="120"/>
      <c r="I10" s="120"/>
    </row>
    <row r="11" spans="1:9" ht="16.5" customHeight="1" x14ac:dyDescent="0.3">
      <c r="A11" s="29" t="s">
        <v>51</v>
      </c>
      <c r="B11" s="107"/>
      <c r="C11" s="107"/>
      <c r="D11" s="107"/>
      <c r="E11" s="115" t="s">
        <v>50</v>
      </c>
      <c r="F11" s="115"/>
      <c r="G11" s="114"/>
      <c r="H11" s="114"/>
      <c r="I11" s="114"/>
    </row>
    <row r="12" spans="1:9" ht="16.5" customHeight="1" x14ac:dyDescent="0.3">
      <c r="A12" s="29" t="s">
        <v>49</v>
      </c>
      <c r="B12" s="118"/>
      <c r="C12" s="118"/>
      <c r="D12" s="118"/>
      <c r="E12" s="29"/>
      <c r="F12" s="29" t="s">
        <v>48</v>
      </c>
      <c r="G12" s="118"/>
      <c r="H12" s="118"/>
      <c r="I12" s="118"/>
    </row>
    <row r="13" spans="1:9" ht="16.5" customHeight="1" x14ac:dyDescent="0.3">
      <c r="A13" s="29" t="s">
        <v>47</v>
      </c>
      <c r="B13" s="107"/>
      <c r="C13" s="107"/>
      <c r="D13" s="107"/>
      <c r="E13" s="107"/>
      <c r="F13" s="107"/>
      <c r="G13" s="107"/>
      <c r="H13" s="107"/>
      <c r="I13" s="107"/>
    </row>
    <row r="14" spans="1:9" ht="15.6" x14ac:dyDescent="0.3">
      <c r="A14" s="111" t="s">
        <v>46</v>
      </c>
      <c r="B14" s="112"/>
      <c r="C14" s="112"/>
      <c r="D14" s="112"/>
      <c r="E14" s="112"/>
      <c r="F14" s="112"/>
      <c r="G14" s="112"/>
      <c r="H14" s="112"/>
      <c r="I14" s="113"/>
    </row>
    <row r="15" spans="1:9" ht="16.5" customHeight="1" x14ac:dyDescent="0.3">
      <c r="A15" s="29" t="s">
        <v>17</v>
      </c>
      <c r="B15" s="121"/>
      <c r="C15" s="121"/>
      <c r="D15" s="29" t="s">
        <v>45</v>
      </c>
      <c r="E15" s="122"/>
      <c r="F15" s="122"/>
      <c r="G15" s="29" t="s">
        <v>44</v>
      </c>
      <c r="H15" s="122"/>
      <c r="I15" s="122"/>
    </row>
    <row r="16" spans="1:9" ht="16.5" customHeight="1" x14ac:dyDescent="0.3">
      <c r="A16" s="116" t="s">
        <v>12</v>
      </c>
      <c r="B16" s="116"/>
      <c r="C16" s="107"/>
      <c r="D16" s="107"/>
      <c r="E16" s="107"/>
      <c r="F16" s="107"/>
      <c r="G16" s="107"/>
      <c r="H16" s="107"/>
      <c r="I16" s="107"/>
    </row>
    <row r="17" spans="1:9" s="43" customFormat="1" ht="16.5" customHeight="1" x14ac:dyDescent="0.3">
      <c r="A17" s="123" t="s">
        <v>101</v>
      </c>
      <c r="B17" s="123"/>
      <c r="C17" s="123"/>
      <c r="D17" s="123"/>
      <c r="E17" s="28" t="s">
        <v>9</v>
      </c>
      <c r="F17" s="4"/>
      <c r="G17" s="28" t="s">
        <v>10</v>
      </c>
      <c r="H17" s="4"/>
      <c r="I17" s="44"/>
    </row>
    <row r="18" spans="1:9" ht="16.5" customHeight="1" x14ac:dyDescent="0.3">
      <c r="A18" s="116" t="s">
        <v>43</v>
      </c>
      <c r="B18" s="116"/>
      <c r="C18" s="116"/>
      <c r="D18" s="114"/>
      <c r="E18" s="114"/>
      <c r="F18" s="114"/>
      <c r="G18" s="114"/>
      <c r="H18" s="114"/>
      <c r="I18" s="114"/>
    </row>
    <row r="19" spans="1:9" ht="16.5" customHeight="1" x14ac:dyDescent="0.3">
      <c r="A19" s="29" t="s">
        <v>42</v>
      </c>
      <c r="B19" s="107"/>
      <c r="C19" s="107"/>
      <c r="D19" s="107"/>
      <c r="E19" s="107"/>
      <c r="F19" s="107"/>
      <c r="G19" s="107"/>
      <c r="H19" s="107"/>
      <c r="I19" s="107"/>
    </row>
    <row r="20" spans="1:9" ht="16.5" customHeight="1" x14ac:dyDescent="0.3">
      <c r="A20" s="116" t="s">
        <v>41</v>
      </c>
      <c r="B20" s="116"/>
      <c r="C20" s="114"/>
      <c r="D20" s="114"/>
      <c r="E20" s="114"/>
      <c r="F20" s="114"/>
      <c r="G20" s="114"/>
      <c r="H20" s="114"/>
      <c r="I20" s="114"/>
    </row>
    <row r="21" spans="1:9" ht="16.5" customHeight="1" x14ac:dyDescent="0.3">
      <c r="A21" s="116" t="s">
        <v>40</v>
      </c>
      <c r="B21" s="116"/>
      <c r="C21" s="114"/>
      <c r="D21" s="114"/>
      <c r="E21" s="114"/>
      <c r="F21" s="114"/>
      <c r="G21" s="114"/>
      <c r="H21" s="114"/>
      <c r="I21" s="114"/>
    </row>
    <row r="22" spans="1:9" s="43" customFormat="1" ht="17.25" customHeight="1" x14ac:dyDescent="0.3">
      <c r="A22" s="116" t="s">
        <v>219</v>
      </c>
      <c r="B22" s="116"/>
      <c r="C22" s="116"/>
      <c r="D22" s="116"/>
      <c r="E22" s="116"/>
      <c r="F22" s="116"/>
      <c r="G22" s="116"/>
      <c r="H22" s="116"/>
      <c r="I22" s="116"/>
    </row>
    <row r="23" spans="1:9" s="43" customFormat="1" ht="16.5" customHeight="1" x14ac:dyDescent="0.3">
      <c r="A23" s="116" t="s">
        <v>220</v>
      </c>
      <c r="B23" s="116"/>
      <c r="C23" s="116"/>
      <c r="D23" s="116"/>
      <c r="E23" s="116"/>
      <c r="F23" s="116"/>
      <c r="G23" s="116"/>
      <c r="H23" s="116"/>
      <c r="I23" s="116"/>
    </row>
    <row r="24" spans="1:9" ht="16.5" customHeight="1" x14ac:dyDescent="0.3">
      <c r="A24" s="29" t="s">
        <v>72</v>
      </c>
      <c r="B24" s="128"/>
      <c r="C24" s="128"/>
      <c r="D24" s="128"/>
      <c r="E24" s="128"/>
      <c r="F24" s="128"/>
      <c r="G24" s="128"/>
      <c r="H24" s="128"/>
      <c r="I24" s="128"/>
    </row>
    <row r="25" spans="1:9" ht="16.5" customHeight="1" x14ac:dyDescent="0.3">
      <c r="A25" s="62" t="s">
        <v>77</v>
      </c>
      <c r="B25" s="62"/>
      <c r="C25" s="62"/>
      <c r="D25" s="63"/>
      <c r="E25" s="124"/>
      <c r="F25" s="124"/>
      <c r="G25" s="124"/>
      <c r="H25" s="124"/>
      <c r="I25" s="124"/>
    </row>
    <row r="26" spans="1:9" ht="16.5" customHeight="1" x14ac:dyDescent="0.3">
      <c r="A26" s="62"/>
      <c r="B26" s="62"/>
      <c r="C26" s="62"/>
      <c r="D26" s="63"/>
      <c r="E26" s="126"/>
      <c r="F26" s="126"/>
      <c r="G26" s="126"/>
      <c r="H26" s="126"/>
      <c r="I26" s="126"/>
    </row>
    <row r="27" spans="1:9" ht="17.25" customHeight="1" x14ac:dyDescent="0.3">
      <c r="A27" s="116" t="s">
        <v>78</v>
      </c>
      <c r="B27" s="116"/>
      <c r="C27" s="116"/>
      <c r="D27" s="116"/>
      <c r="E27" s="124"/>
      <c r="F27" s="124"/>
      <c r="G27" s="124"/>
      <c r="H27" s="124"/>
      <c r="I27" s="124"/>
    </row>
    <row r="28" spans="1:9" ht="17.25" customHeight="1" x14ac:dyDescent="0.3">
      <c r="A28" s="116"/>
      <c r="B28" s="116"/>
      <c r="C28" s="116"/>
      <c r="D28" s="116"/>
      <c r="E28" s="126"/>
      <c r="F28" s="126"/>
      <c r="G28" s="126"/>
      <c r="H28" s="126"/>
      <c r="I28" s="126"/>
    </row>
    <row r="29" spans="1:9" ht="16.5" customHeight="1" x14ac:dyDescent="0.3">
      <c r="A29" s="62" t="s">
        <v>73</v>
      </c>
      <c r="B29" s="62"/>
      <c r="C29" s="124"/>
      <c r="D29" s="124"/>
      <c r="E29" s="124"/>
      <c r="F29" s="124"/>
      <c r="G29" s="124"/>
      <c r="H29" s="125"/>
      <c r="I29" s="125"/>
    </row>
    <row r="30" spans="1:9" s="43" customFormat="1" ht="16.5" customHeight="1" x14ac:dyDescent="0.3">
      <c r="A30" s="62"/>
      <c r="B30" s="62"/>
      <c r="C30" s="126"/>
      <c r="D30" s="126"/>
      <c r="E30" s="126"/>
      <c r="F30" s="126"/>
      <c r="G30" s="126"/>
      <c r="H30" s="127"/>
      <c r="I30" s="127"/>
    </row>
    <row r="31" spans="1:9" ht="8.25" customHeight="1" x14ac:dyDescent="0.3">
      <c r="A31" s="116" t="s">
        <v>39</v>
      </c>
      <c r="B31" s="116"/>
      <c r="C31" s="124"/>
      <c r="D31" s="124"/>
      <c r="E31" s="124"/>
      <c r="F31" s="124"/>
      <c r="G31" s="124"/>
      <c r="H31" s="125"/>
      <c r="I31" s="125"/>
    </row>
    <row r="32" spans="1:9" ht="8.25" customHeight="1" x14ac:dyDescent="0.3">
      <c r="A32" s="116"/>
      <c r="B32" s="116"/>
      <c r="C32" s="126"/>
      <c r="D32" s="126"/>
      <c r="E32" s="126"/>
      <c r="F32" s="126"/>
      <c r="G32" s="126"/>
      <c r="H32" s="127"/>
      <c r="I32" s="127"/>
    </row>
    <row r="33" spans="1:10" s="65" customFormat="1" ht="8.25" hidden="1" customHeight="1" x14ac:dyDescent="0.3">
      <c r="A33" s="66"/>
      <c r="B33" s="66"/>
      <c r="C33" s="67"/>
      <c r="D33" s="67"/>
      <c r="E33" s="67"/>
      <c r="F33" s="67"/>
      <c r="G33" s="67"/>
      <c r="H33" s="67"/>
      <c r="I33" s="67"/>
    </row>
    <row r="34" spans="1:10" ht="9" customHeight="1" x14ac:dyDescent="0.3">
      <c r="A34" s="135" t="s">
        <v>215</v>
      </c>
      <c r="B34" s="135"/>
      <c r="C34" s="135"/>
      <c r="D34" s="135"/>
      <c r="E34" s="135"/>
      <c r="F34" s="135"/>
      <c r="G34" s="135"/>
      <c r="H34" s="140"/>
      <c r="I34" s="140"/>
    </row>
    <row r="35" spans="1:10" ht="8.25" customHeight="1" thickBot="1" x14ac:dyDescent="0.35">
      <c r="A35" s="135"/>
      <c r="B35" s="135"/>
      <c r="C35" s="135"/>
      <c r="D35" s="135"/>
      <c r="E35" s="135"/>
      <c r="F35" s="135"/>
      <c r="G35" s="135"/>
      <c r="H35" s="107"/>
      <c r="I35" s="107"/>
    </row>
    <row r="36" spans="1:10" ht="15" thickTop="1" x14ac:dyDescent="0.3">
      <c r="A36" s="141" t="s">
        <v>13</v>
      </c>
      <c r="B36" s="142"/>
      <c r="C36" s="88"/>
      <c r="D36" s="88"/>
      <c r="E36" s="88"/>
      <c r="F36" s="88"/>
      <c r="G36" s="88"/>
      <c r="H36" s="88"/>
      <c r="I36" s="89"/>
    </row>
    <row r="37" spans="1:10" ht="22.8" x14ac:dyDescent="0.3">
      <c r="A37" s="90" t="s">
        <v>38</v>
      </c>
      <c r="B37" s="143"/>
      <c r="C37" s="131"/>
      <c r="D37" s="91" t="s">
        <v>37</v>
      </c>
      <c r="E37" s="92"/>
      <c r="F37" s="144" t="s">
        <v>36</v>
      </c>
      <c r="G37" s="144"/>
      <c r="H37" s="143"/>
      <c r="I37" s="145"/>
    </row>
    <row r="38" spans="1:10" ht="16.5" customHeight="1" x14ac:dyDescent="0.3">
      <c r="A38" s="146" t="s">
        <v>35</v>
      </c>
      <c r="B38" s="147"/>
      <c r="C38" s="131"/>
      <c r="D38" s="131"/>
      <c r="E38" s="131"/>
      <c r="F38" s="131"/>
      <c r="G38" s="131"/>
      <c r="H38" s="131"/>
      <c r="I38" s="145"/>
    </row>
    <row r="39" spans="1:10" ht="16.5" customHeight="1" x14ac:dyDescent="0.3">
      <c r="A39" s="93" t="s">
        <v>34</v>
      </c>
      <c r="B39" s="94"/>
      <c r="C39" s="129"/>
      <c r="D39" s="129"/>
      <c r="E39" s="129"/>
      <c r="F39" s="129"/>
      <c r="G39" s="129"/>
      <c r="H39" s="129"/>
      <c r="I39" s="130"/>
    </row>
    <row r="40" spans="1:10" ht="16.5" customHeight="1" x14ac:dyDescent="0.3">
      <c r="A40" s="93" t="s">
        <v>33</v>
      </c>
      <c r="B40" s="131"/>
      <c r="C40" s="131"/>
      <c r="D40" s="131"/>
      <c r="E40" s="131"/>
      <c r="F40" s="94"/>
      <c r="G40" s="94"/>
      <c r="H40" s="94"/>
      <c r="I40" s="95"/>
    </row>
    <row r="41" spans="1:10" ht="5.25" customHeight="1" thickBot="1" x14ac:dyDescent="0.35">
      <c r="A41" s="96"/>
      <c r="B41" s="97"/>
      <c r="C41" s="97"/>
      <c r="D41" s="97"/>
      <c r="E41" s="97"/>
      <c r="F41" s="97"/>
      <c r="G41" s="97"/>
      <c r="H41" s="97"/>
      <c r="I41" s="98"/>
    </row>
    <row r="42" spans="1:10" s="65" customFormat="1" ht="11.25" customHeight="1" thickTop="1" x14ac:dyDescent="0.3">
      <c r="A42" s="68"/>
      <c r="B42" s="68"/>
      <c r="C42" s="68"/>
      <c r="D42" s="68"/>
      <c r="E42" s="68"/>
      <c r="F42" s="68"/>
      <c r="G42" s="68"/>
      <c r="H42" s="68"/>
      <c r="I42" s="68"/>
    </row>
    <row r="43" spans="1:10" ht="17.399999999999999" x14ac:dyDescent="0.3">
      <c r="A43" s="132" t="s">
        <v>76</v>
      </c>
      <c r="B43" s="132"/>
      <c r="C43" s="132"/>
      <c r="D43" s="132"/>
      <c r="E43" s="132"/>
      <c r="F43" s="132"/>
      <c r="G43" s="132"/>
      <c r="H43" s="132"/>
      <c r="I43" s="132"/>
      <c r="J43" s="37"/>
    </row>
    <row r="44" spans="1:10" ht="17.399999999999999" x14ac:dyDescent="0.3">
      <c r="A44" s="132"/>
      <c r="B44" s="132"/>
      <c r="C44" s="132"/>
      <c r="D44" s="132"/>
      <c r="E44" s="132"/>
      <c r="F44" s="132"/>
      <c r="G44" s="132"/>
      <c r="H44" s="132"/>
      <c r="I44" s="132"/>
      <c r="J44" s="36"/>
    </row>
    <row r="45" spans="1:10" ht="105" customHeight="1" x14ac:dyDescent="0.3">
      <c r="A45" s="136" t="s">
        <v>221</v>
      </c>
      <c r="B45" s="137"/>
      <c r="C45" s="137"/>
      <c r="D45" s="137"/>
      <c r="E45" s="137"/>
      <c r="F45" s="137"/>
      <c r="G45" s="137"/>
      <c r="H45" s="137"/>
      <c r="I45" s="137"/>
      <c r="J45" s="33"/>
    </row>
    <row r="46" spans="1:10" ht="6" customHeight="1" x14ac:dyDescent="0.3">
      <c r="A46" s="138"/>
      <c r="B46" s="138"/>
      <c r="C46" s="138"/>
      <c r="D46" s="138"/>
      <c r="E46" s="138"/>
      <c r="F46" s="138"/>
      <c r="G46" s="138"/>
      <c r="H46" s="138"/>
      <c r="I46" s="138"/>
      <c r="J46" s="32"/>
    </row>
    <row r="47" spans="1:10" ht="45" customHeight="1" x14ac:dyDescent="0.3">
      <c r="A47" s="81"/>
      <c r="B47" s="139" t="s">
        <v>213</v>
      </c>
      <c r="C47" s="134"/>
      <c r="D47" s="134"/>
      <c r="E47" s="134"/>
      <c r="F47" s="134"/>
      <c r="G47" s="134"/>
      <c r="H47" s="134"/>
      <c r="I47" s="134"/>
      <c r="J47" s="32"/>
    </row>
    <row r="48" spans="1:10" ht="45" customHeight="1" x14ac:dyDescent="0.3">
      <c r="A48" s="81"/>
      <c r="B48" s="133" t="s">
        <v>106</v>
      </c>
      <c r="C48" s="134"/>
      <c r="D48" s="134"/>
      <c r="E48" s="134"/>
      <c r="F48" s="134"/>
      <c r="G48" s="134"/>
      <c r="H48" s="134"/>
      <c r="I48" s="134"/>
      <c r="J48" s="32"/>
    </row>
    <row r="49" spans="1:10" ht="120" customHeight="1" x14ac:dyDescent="0.3">
      <c r="A49" s="81"/>
      <c r="B49" s="133" t="s">
        <v>98</v>
      </c>
      <c r="C49" s="134"/>
      <c r="D49" s="134"/>
      <c r="E49" s="134"/>
      <c r="F49" s="134"/>
      <c r="G49" s="134"/>
      <c r="H49" s="134"/>
      <c r="I49" s="134"/>
      <c r="J49" s="35"/>
    </row>
    <row r="50" spans="1:10" x14ac:dyDescent="0.3">
      <c r="A50" s="81"/>
      <c r="B50" s="133" t="s">
        <v>75</v>
      </c>
      <c r="C50" s="133"/>
      <c r="D50" s="133"/>
      <c r="E50" s="133"/>
      <c r="F50" s="133"/>
      <c r="G50" s="133"/>
      <c r="H50" s="133"/>
      <c r="I50" s="133"/>
      <c r="J50" s="33"/>
    </row>
    <row r="51" spans="1:10" ht="7.5" customHeight="1" x14ac:dyDescent="0.3">
      <c r="A51" s="138"/>
      <c r="B51" s="138"/>
      <c r="C51" s="138"/>
      <c r="D51" s="138"/>
      <c r="E51" s="138"/>
      <c r="F51" s="138"/>
      <c r="G51" s="138"/>
      <c r="H51" s="138"/>
      <c r="I51" s="138"/>
      <c r="J51" s="34"/>
    </row>
    <row r="52" spans="1:10" ht="75" customHeight="1" x14ac:dyDescent="0.3">
      <c r="A52" s="137" t="s">
        <v>99</v>
      </c>
      <c r="B52" s="152"/>
      <c r="C52" s="152"/>
      <c r="D52" s="152"/>
      <c r="E52" s="152"/>
      <c r="F52" s="152"/>
      <c r="G52" s="152"/>
      <c r="H52" s="152"/>
      <c r="I52" s="152"/>
      <c r="J52" s="33"/>
    </row>
    <row r="53" spans="1:10" ht="7.5" customHeight="1" x14ac:dyDescent="0.3">
      <c r="A53" s="138"/>
      <c r="B53" s="138"/>
      <c r="C53" s="138"/>
      <c r="D53" s="138"/>
      <c r="E53" s="138"/>
      <c r="F53" s="138"/>
      <c r="G53" s="138"/>
      <c r="H53" s="138"/>
      <c r="I53" s="138"/>
      <c r="J53" s="32"/>
    </row>
    <row r="54" spans="1:10" ht="44.25" customHeight="1" x14ac:dyDescent="0.3">
      <c r="A54" s="133" t="s">
        <v>74</v>
      </c>
      <c r="B54" s="134"/>
      <c r="C54" s="134"/>
      <c r="D54" s="134"/>
      <c r="E54" s="134"/>
      <c r="F54" s="134"/>
      <c r="G54" s="134"/>
      <c r="H54" s="134"/>
      <c r="I54" s="134"/>
    </row>
    <row r="55" spans="1:10" x14ac:dyDescent="0.3">
      <c r="A55" s="81"/>
      <c r="B55" s="81"/>
      <c r="C55" s="81"/>
      <c r="D55" s="81"/>
      <c r="E55" s="81"/>
      <c r="F55" s="81"/>
      <c r="G55" s="81"/>
      <c r="H55" s="81"/>
      <c r="I55" s="81"/>
    </row>
    <row r="56" spans="1:10" ht="17.399999999999999" x14ac:dyDescent="0.3">
      <c r="A56" s="132" t="s">
        <v>212</v>
      </c>
      <c r="B56" s="132"/>
      <c r="C56" s="132"/>
      <c r="D56" s="132"/>
      <c r="E56" s="132"/>
      <c r="F56" s="132"/>
      <c r="G56" s="132"/>
      <c r="H56" s="132"/>
      <c r="I56" s="132"/>
    </row>
    <row r="57" spans="1:10" ht="7.2" customHeight="1" x14ac:dyDescent="0.3">
      <c r="A57" s="83"/>
      <c r="B57" s="83"/>
      <c r="C57" s="83"/>
      <c r="D57" s="83"/>
      <c r="E57" s="83"/>
      <c r="F57" s="83"/>
      <c r="G57" s="83"/>
      <c r="H57" s="83"/>
      <c r="I57" s="83"/>
    </row>
    <row r="58" spans="1:10" x14ac:dyDescent="0.3">
      <c r="A58" s="149" t="s">
        <v>96</v>
      </c>
      <c r="B58" s="149"/>
      <c r="C58" s="149"/>
      <c r="D58" s="149"/>
      <c r="E58" s="149"/>
      <c r="F58" s="149"/>
      <c r="G58" s="149"/>
      <c r="H58" s="149"/>
      <c r="I58" s="149"/>
    </row>
    <row r="59" spans="1:10" s="43" customFormat="1" x14ac:dyDescent="0.3">
      <c r="A59" s="149" t="s">
        <v>100</v>
      </c>
      <c r="B59" s="149"/>
      <c r="C59" s="149"/>
      <c r="D59" s="149"/>
      <c r="E59" s="149"/>
      <c r="F59" s="149"/>
      <c r="G59" s="149"/>
      <c r="H59" s="149"/>
      <c r="I59" s="149"/>
    </row>
    <row r="60" spans="1:10" x14ac:dyDescent="0.3">
      <c r="A60" s="148" t="s">
        <v>229</v>
      </c>
      <c r="B60" s="149"/>
      <c r="C60" s="149"/>
      <c r="D60" s="149"/>
      <c r="E60" s="149"/>
      <c r="F60" s="149"/>
      <c r="G60" s="149"/>
      <c r="H60" s="149"/>
      <c r="I60" s="149"/>
    </row>
    <row r="61" spans="1:10" x14ac:dyDescent="0.3">
      <c r="A61" s="150" t="s">
        <v>228</v>
      </c>
      <c r="B61" s="151"/>
      <c r="C61" s="151"/>
      <c r="D61" s="151"/>
      <c r="E61" s="151"/>
      <c r="F61" s="151"/>
      <c r="G61" s="151"/>
      <c r="H61" s="151"/>
      <c r="I61" s="151"/>
    </row>
    <row r="62" spans="1:10" x14ac:dyDescent="0.3">
      <c r="A62" s="151"/>
      <c r="B62" s="151"/>
      <c r="C62" s="151"/>
      <c r="D62" s="151"/>
      <c r="E62" s="151"/>
      <c r="F62" s="151"/>
      <c r="G62" s="151"/>
      <c r="H62" s="151"/>
      <c r="I62" s="151"/>
    </row>
    <row r="63" spans="1:10" x14ac:dyDescent="0.3">
      <c r="A63" s="150" t="s">
        <v>224</v>
      </c>
      <c r="B63" s="151"/>
      <c r="C63" s="151"/>
      <c r="D63" s="151"/>
      <c r="E63" s="151"/>
      <c r="F63" s="151"/>
      <c r="G63" s="151"/>
      <c r="H63" s="151"/>
      <c r="I63" s="151"/>
    </row>
    <row r="64" spans="1:10" x14ac:dyDescent="0.3">
      <c r="A64" s="151"/>
      <c r="B64" s="151"/>
      <c r="C64" s="151"/>
      <c r="D64" s="151"/>
      <c r="E64" s="151"/>
      <c r="F64" s="151"/>
      <c r="G64" s="151"/>
      <c r="H64" s="151"/>
      <c r="I64" s="151"/>
    </row>
    <row r="65" spans="1:9" ht="45" customHeight="1" x14ac:dyDescent="0.3">
      <c r="A65" s="154" t="s">
        <v>214</v>
      </c>
      <c r="B65" s="151"/>
      <c r="C65" s="151"/>
      <c r="D65" s="151"/>
      <c r="E65" s="151"/>
      <c r="F65" s="151"/>
      <c r="G65" s="151"/>
      <c r="H65" s="151"/>
      <c r="I65" s="151"/>
    </row>
    <row r="66" spans="1:9" x14ac:dyDescent="0.3">
      <c r="A66" s="151"/>
      <c r="B66" s="151"/>
      <c r="C66" s="151"/>
      <c r="D66" s="151"/>
      <c r="E66" s="151"/>
      <c r="F66" s="151"/>
      <c r="G66" s="151"/>
      <c r="H66" s="151"/>
      <c r="I66" s="151"/>
    </row>
    <row r="67" spans="1:9" x14ac:dyDescent="0.3">
      <c r="A67" s="151"/>
      <c r="B67" s="151"/>
      <c r="C67" s="151"/>
      <c r="D67" s="151"/>
      <c r="E67" s="151"/>
      <c r="F67" s="151"/>
      <c r="G67" s="151"/>
      <c r="H67" s="151"/>
      <c r="I67" s="151"/>
    </row>
    <row r="68" spans="1:9" x14ac:dyDescent="0.3">
      <c r="A68" s="151"/>
      <c r="B68" s="151"/>
      <c r="C68" s="151"/>
      <c r="D68" s="151"/>
      <c r="E68" s="151"/>
      <c r="F68" s="151"/>
      <c r="G68" s="151"/>
      <c r="H68" s="151"/>
      <c r="I68" s="151"/>
    </row>
    <row r="69" spans="1:9" x14ac:dyDescent="0.3">
      <c r="A69" s="82"/>
      <c r="B69" s="82"/>
      <c r="C69" s="82"/>
      <c r="D69" s="82"/>
      <c r="E69" s="82"/>
      <c r="F69" s="82"/>
      <c r="G69" s="82"/>
      <c r="H69" s="82"/>
      <c r="I69" s="82"/>
    </row>
    <row r="70" spans="1:9" ht="15" customHeight="1" x14ac:dyDescent="0.3">
      <c r="A70" s="151" t="s">
        <v>97</v>
      </c>
      <c r="B70" s="151"/>
      <c r="C70" s="151"/>
      <c r="D70" s="151"/>
      <c r="E70" s="151"/>
      <c r="F70" s="151"/>
      <c r="G70" s="151"/>
      <c r="H70" s="151"/>
      <c r="I70" s="151"/>
    </row>
    <row r="71" spans="1:9" x14ac:dyDescent="0.3">
      <c r="A71" s="151"/>
      <c r="B71" s="151"/>
      <c r="C71" s="151"/>
      <c r="D71" s="151"/>
      <c r="E71" s="151"/>
      <c r="F71" s="151"/>
      <c r="G71" s="151"/>
      <c r="H71" s="151"/>
      <c r="I71" s="151"/>
    </row>
    <row r="72" spans="1:9" x14ac:dyDescent="0.3">
      <c r="A72" s="151"/>
      <c r="B72" s="151"/>
      <c r="C72" s="151"/>
      <c r="D72" s="151"/>
      <c r="E72" s="151"/>
      <c r="F72" s="151"/>
      <c r="G72" s="151"/>
      <c r="H72" s="151"/>
      <c r="I72" s="151"/>
    </row>
    <row r="73" spans="1:9" x14ac:dyDescent="0.3">
      <c r="A73" s="151"/>
      <c r="B73" s="151"/>
      <c r="C73" s="151"/>
      <c r="D73" s="151"/>
      <c r="E73" s="151"/>
      <c r="F73" s="151"/>
      <c r="G73" s="151"/>
      <c r="H73" s="151"/>
      <c r="I73" s="151"/>
    </row>
    <row r="74" spans="1:9" x14ac:dyDescent="0.3">
      <c r="A74" s="81"/>
      <c r="B74" s="81"/>
      <c r="C74" s="81"/>
      <c r="D74" s="81"/>
      <c r="E74" s="81"/>
      <c r="F74" s="81"/>
      <c r="G74" s="81"/>
      <c r="H74" s="81"/>
      <c r="I74" s="81"/>
    </row>
    <row r="75" spans="1:9" s="61" customFormat="1" x14ac:dyDescent="0.3">
      <c r="A75" s="155" t="s">
        <v>95</v>
      </c>
      <c r="B75" s="156"/>
      <c r="C75" s="156"/>
      <c r="D75" s="156"/>
      <c r="E75" s="156"/>
      <c r="F75" s="156"/>
      <c r="G75" s="156"/>
      <c r="H75" s="156"/>
      <c r="I75" s="157"/>
    </row>
    <row r="76" spans="1:9" s="61" customFormat="1" ht="396" customHeight="1" x14ac:dyDescent="0.3">
      <c r="A76" s="158"/>
      <c r="B76" s="159"/>
      <c r="C76" s="159"/>
      <c r="D76" s="159"/>
      <c r="E76" s="159"/>
      <c r="F76" s="159"/>
      <c r="G76" s="159"/>
      <c r="H76" s="159"/>
      <c r="I76" s="160"/>
    </row>
    <row r="78" spans="1:9" ht="12" customHeight="1" x14ac:dyDescent="0.3">
      <c r="A78" s="153" t="s">
        <v>223</v>
      </c>
      <c r="B78" s="153"/>
      <c r="C78" s="153"/>
      <c r="D78" s="153"/>
      <c r="E78" s="153"/>
      <c r="F78" s="153"/>
      <c r="G78" s="153"/>
      <c r="H78" s="153"/>
      <c r="I78" s="153"/>
    </row>
    <row r="79" spans="1:9" ht="12" customHeight="1" x14ac:dyDescent="0.3">
      <c r="A79" s="153"/>
      <c r="B79" s="153"/>
      <c r="C79" s="153"/>
      <c r="D79" s="153"/>
      <c r="E79" s="153"/>
      <c r="F79" s="153"/>
      <c r="G79" s="153"/>
      <c r="H79" s="153"/>
      <c r="I79" s="153"/>
    </row>
    <row r="80" spans="1:9" ht="12" customHeight="1" x14ac:dyDescent="0.3">
      <c r="A80" s="153"/>
      <c r="B80" s="153"/>
      <c r="C80" s="153"/>
      <c r="D80" s="153"/>
      <c r="E80" s="153"/>
      <c r="F80" s="153"/>
      <c r="G80" s="153"/>
      <c r="H80" s="153"/>
      <c r="I80" s="153"/>
    </row>
    <row r="81" spans="1:9" ht="12" customHeight="1" x14ac:dyDescent="0.3">
      <c r="A81" s="153"/>
      <c r="B81" s="153"/>
      <c r="C81" s="153"/>
      <c r="D81" s="153"/>
      <c r="E81" s="153"/>
      <c r="F81" s="153"/>
      <c r="G81" s="153"/>
      <c r="H81" s="153"/>
      <c r="I81" s="153"/>
    </row>
  </sheetData>
  <sheetProtection password="D6D7" sheet="1" objects="1" scenarios="1" formatCells="0" formatColumns="0" formatRows="0"/>
  <mergeCells count="74">
    <mergeCell ref="A78:I81"/>
    <mergeCell ref="A65:I68"/>
    <mergeCell ref="A70:I73"/>
    <mergeCell ref="A75:I75"/>
    <mergeCell ref="A76:I76"/>
    <mergeCell ref="A60:I60"/>
    <mergeCell ref="A61:I62"/>
    <mergeCell ref="A63:I64"/>
    <mergeCell ref="B50:I50"/>
    <mergeCell ref="A44:I44"/>
    <mergeCell ref="A51:I51"/>
    <mergeCell ref="A52:I52"/>
    <mergeCell ref="A53:I53"/>
    <mergeCell ref="A54:I54"/>
    <mergeCell ref="A59:I59"/>
    <mergeCell ref="A56:I56"/>
    <mergeCell ref="A58:I58"/>
    <mergeCell ref="C39:I39"/>
    <mergeCell ref="B40:E40"/>
    <mergeCell ref="A43:I43"/>
    <mergeCell ref="B49:I49"/>
    <mergeCell ref="A34:G35"/>
    <mergeCell ref="A45:I45"/>
    <mergeCell ref="A46:I46"/>
    <mergeCell ref="B47:I47"/>
    <mergeCell ref="B48:I48"/>
    <mergeCell ref="H34:I35"/>
    <mergeCell ref="A36:B36"/>
    <mergeCell ref="B37:C37"/>
    <mergeCell ref="F37:G37"/>
    <mergeCell ref="H37:I37"/>
    <mergeCell ref="A38:B38"/>
    <mergeCell ref="C38:I38"/>
    <mergeCell ref="A21:B21"/>
    <mergeCell ref="C21:I21"/>
    <mergeCell ref="E25:I26"/>
    <mergeCell ref="E27:I28"/>
    <mergeCell ref="A28:D28"/>
    <mergeCell ref="A31:B32"/>
    <mergeCell ref="C31:I32"/>
    <mergeCell ref="B24:I24"/>
    <mergeCell ref="A27:D27"/>
    <mergeCell ref="A22:I22"/>
    <mergeCell ref="A23:I23"/>
    <mergeCell ref="C29:I30"/>
    <mergeCell ref="A20:B20"/>
    <mergeCell ref="C20:I20"/>
    <mergeCell ref="A14:I14"/>
    <mergeCell ref="B15:C15"/>
    <mergeCell ref="E15:F15"/>
    <mergeCell ref="H15:I15"/>
    <mergeCell ref="A16:B16"/>
    <mergeCell ref="C16:I16"/>
    <mergeCell ref="A17:D17"/>
    <mergeCell ref="A18:C18"/>
    <mergeCell ref="D18:I18"/>
    <mergeCell ref="B19:I19"/>
    <mergeCell ref="B13:I13"/>
    <mergeCell ref="B7:D7"/>
    <mergeCell ref="E7:F7"/>
    <mergeCell ref="G7:I7"/>
    <mergeCell ref="A8:C8"/>
    <mergeCell ref="A9:C10"/>
    <mergeCell ref="B11:D11"/>
    <mergeCell ref="E11:F11"/>
    <mergeCell ref="G11:I11"/>
    <mergeCell ref="B12:D12"/>
    <mergeCell ref="G12:I12"/>
    <mergeCell ref="D9:I10"/>
    <mergeCell ref="B6:I6"/>
    <mergeCell ref="A1:I1"/>
    <mergeCell ref="A2:I2"/>
    <mergeCell ref="A3:I3"/>
    <mergeCell ref="A5:I5"/>
  </mergeCells>
  <dataValidations disablePrompts="1" count="1">
    <dataValidation type="list" allowBlank="1" showInputMessage="1" showErrorMessage="1" sqref="E8 G8 F17 H17">
      <formula1>"✓, -----"</formula1>
    </dataValidation>
  </dataValidations>
  <printOptions horizontalCentered="1"/>
  <pageMargins left="0.7" right="0.7" top="0.75" bottom="1" header="0.3" footer="0.3"/>
  <pageSetup orientation="portrait" r:id="rId1"/>
  <headerFooter>
    <oddFooter>&amp;L&amp;"Arial,Regular"&amp;10For Official Government Use Only
USDA, AMS, FV, Specialty Crops Inspection Division
Based on Food Safety Programs and Auditing Protocol for the Fresh Tomato Supply Chain&amp;R&amp;"Arial,Regular"
USDA Checklist
Version 1.1</oddFooter>
  </headerFooter>
  <rowBreaks count="1" manualBreakCount="1">
    <brk id="64"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view="pageLayout" topLeftCell="A15" zoomScaleNormal="100" workbookViewId="0">
      <selection activeCell="H17" sqref="H17"/>
    </sheetView>
  </sheetViews>
  <sheetFormatPr defaultColWidth="8.88671875" defaultRowHeight="14.4" x14ac:dyDescent="0.3"/>
  <cols>
    <col min="2" max="2" width="40.21875" customWidth="1"/>
    <col min="3" max="3" width="10.44140625" bestFit="1" customWidth="1"/>
    <col min="4" max="7" width="5.77734375" customWidth="1"/>
    <col min="8" max="8" width="38.44140625" customWidth="1"/>
  </cols>
  <sheetData>
    <row r="1" spans="1:8" x14ac:dyDescent="0.3">
      <c r="A1" s="161" t="s">
        <v>14</v>
      </c>
      <c r="B1" s="162"/>
      <c r="C1" s="165" t="s">
        <v>58</v>
      </c>
      <c r="D1" s="165"/>
      <c r="E1" s="165"/>
      <c r="F1" s="166">
        <f>'Pages 1-3'!B6</f>
        <v>0</v>
      </c>
      <c r="G1" s="167"/>
      <c r="H1" s="168"/>
    </row>
    <row r="2" spans="1:8" x14ac:dyDescent="0.3">
      <c r="A2" s="163"/>
      <c r="B2" s="164"/>
      <c r="C2" s="169" t="s">
        <v>59</v>
      </c>
      <c r="D2" s="169"/>
      <c r="E2" s="169"/>
      <c r="F2" s="170">
        <f>'Pages 1-3'!B15</f>
        <v>0</v>
      </c>
      <c r="G2" s="171"/>
      <c r="H2" s="172"/>
    </row>
    <row r="3" spans="1:8" ht="30" customHeight="1" thickBot="1" x14ac:dyDescent="0.35">
      <c r="A3" s="20" t="s">
        <v>60</v>
      </c>
      <c r="B3" s="21" t="s">
        <v>61</v>
      </c>
      <c r="C3" s="22" t="s">
        <v>62</v>
      </c>
      <c r="D3" s="22" t="s">
        <v>63</v>
      </c>
      <c r="E3" s="22" t="s">
        <v>64</v>
      </c>
      <c r="F3" s="22" t="s">
        <v>65</v>
      </c>
      <c r="G3" s="22" t="s">
        <v>66</v>
      </c>
      <c r="H3" s="6" t="s">
        <v>67</v>
      </c>
    </row>
    <row r="4" spans="1:8" s="7" customFormat="1" ht="32.4" customHeight="1" x14ac:dyDescent="0.3">
      <c r="A4" s="23">
        <v>1</v>
      </c>
      <c r="B4" s="71" t="s">
        <v>15</v>
      </c>
      <c r="C4" s="24">
        <v>6</v>
      </c>
      <c r="D4" s="24">
        <f>COUNTIF(Checklist!C5:C10,"✓")</f>
        <v>0</v>
      </c>
      <c r="E4" s="24">
        <f>COUNTIF(Checklist!D5:D10,"✓")</f>
        <v>0</v>
      </c>
      <c r="F4" s="24">
        <f>COUNTIF(Checklist!E5:E10,"✓")</f>
        <v>0</v>
      </c>
      <c r="G4" s="24">
        <f>COUNTIF(Checklist!F5:F10,"✓")</f>
        <v>0</v>
      </c>
      <c r="H4" s="100"/>
    </row>
    <row r="5" spans="1:8" ht="32.4" customHeight="1" x14ac:dyDescent="0.3">
      <c r="A5" s="25">
        <v>2</v>
      </c>
      <c r="B5" s="72" t="s">
        <v>107</v>
      </c>
      <c r="C5" s="26">
        <v>5</v>
      </c>
      <c r="D5" s="26">
        <f>COUNTIF(Checklist!C13:C17,"✓")</f>
        <v>0</v>
      </c>
      <c r="E5" s="84">
        <f>COUNTIF(Checklist!D13:D17,"✓")</f>
        <v>0</v>
      </c>
      <c r="F5" s="26">
        <f>COUNTIF(Checklist!E13:E17,"✓")</f>
        <v>0</v>
      </c>
      <c r="G5" s="26">
        <f>COUNTIF(Checklist!F13:F17,"✓")</f>
        <v>0</v>
      </c>
      <c r="H5" s="101"/>
    </row>
    <row r="6" spans="1:8" ht="32.4" customHeight="1" x14ac:dyDescent="0.3">
      <c r="A6" s="25">
        <v>3</v>
      </c>
      <c r="B6" s="72" t="s">
        <v>108</v>
      </c>
      <c r="C6" s="26">
        <v>3</v>
      </c>
      <c r="D6" s="26">
        <f>COUNTIF(Checklist!C20:C22,"✓")</f>
        <v>0</v>
      </c>
      <c r="E6" s="26">
        <f>COUNTIF(Checklist!D20:D22,"✓")</f>
        <v>0</v>
      </c>
      <c r="F6" s="26">
        <f>COUNTIF(Checklist!E20:E22,"✓")</f>
        <v>0</v>
      </c>
      <c r="G6" s="26">
        <f>COUNTIF(Checklist!F20:F22,"✓")</f>
        <v>0</v>
      </c>
      <c r="H6" s="101"/>
    </row>
    <row r="7" spans="1:8" ht="32.4" customHeight="1" x14ac:dyDescent="0.3">
      <c r="A7" s="25">
        <v>4</v>
      </c>
      <c r="B7" s="72" t="s">
        <v>109</v>
      </c>
      <c r="C7" s="26">
        <v>3</v>
      </c>
      <c r="D7" s="26">
        <f>COUNTIF(Checklist!C25:C27,"✓")</f>
        <v>0</v>
      </c>
      <c r="E7" s="26">
        <f>COUNTIF(Checklist!D25:D27,"✓")</f>
        <v>0</v>
      </c>
      <c r="F7" s="26">
        <f>COUNTIF(Checklist!E25:E27,"✓")</f>
        <v>0</v>
      </c>
      <c r="G7" s="26">
        <f>COUNTIF(Checklist!F25:F27,"✓")</f>
        <v>0</v>
      </c>
      <c r="H7" s="101"/>
    </row>
    <row r="8" spans="1:8" ht="32.4" customHeight="1" x14ac:dyDescent="0.3">
      <c r="A8" s="25">
        <v>5</v>
      </c>
      <c r="B8" s="72" t="s">
        <v>110</v>
      </c>
      <c r="C8" s="26">
        <v>7</v>
      </c>
      <c r="D8" s="26">
        <f>COUNTIF(Checklist!C30:C36,"✓")</f>
        <v>0</v>
      </c>
      <c r="E8" s="26">
        <f>COUNTIF(Checklist!D30:D36,"✓")</f>
        <v>0</v>
      </c>
      <c r="F8" s="26">
        <f>COUNTIF(Checklist!E30:E36,"✓")</f>
        <v>0</v>
      </c>
      <c r="G8" s="26">
        <f>COUNTIF(Checklist!F30:F36,"✓")</f>
        <v>0</v>
      </c>
      <c r="H8" s="101"/>
    </row>
    <row r="9" spans="1:8" ht="32.4" customHeight="1" x14ac:dyDescent="0.3">
      <c r="A9" s="25">
        <v>6</v>
      </c>
      <c r="B9" s="72" t="s">
        <v>111</v>
      </c>
      <c r="C9" s="26">
        <v>10</v>
      </c>
      <c r="D9" s="26">
        <f>COUNTIF(Checklist!C40:C50,"✓")</f>
        <v>0</v>
      </c>
      <c r="E9" s="26">
        <f>COUNTIF(Checklist!D40:D50,"✓")</f>
        <v>0</v>
      </c>
      <c r="F9" s="26">
        <f>COUNTIF(Checklist!E40:E50,"✓")</f>
        <v>0</v>
      </c>
      <c r="G9" s="26">
        <f>COUNTIF(Checklist!F40:F50,"✓")</f>
        <v>0</v>
      </c>
      <c r="H9" s="101"/>
    </row>
    <row r="10" spans="1:8" ht="32.4" customHeight="1" x14ac:dyDescent="0.3">
      <c r="A10" s="25">
        <v>7</v>
      </c>
      <c r="B10" s="72" t="s">
        <v>222</v>
      </c>
      <c r="C10" s="26">
        <v>3</v>
      </c>
      <c r="D10" s="26">
        <f>COUNTIF(Checklist!C53:C55,"✓")</f>
        <v>0</v>
      </c>
      <c r="E10" s="26">
        <f>COUNTIF(Checklist!D53:D55,"✓")</f>
        <v>0</v>
      </c>
      <c r="F10" s="26">
        <f>COUNTIF(Checklist!E53:E55,"✓")</f>
        <v>0</v>
      </c>
      <c r="G10" s="26">
        <f>COUNTIF(Checklist!F53:F55,"✓")</f>
        <v>0</v>
      </c>
      <c r="H10" s="101"/>
    </row>
    <row r="11" spans="1:8" ht="32.4" customHeight="1" x14ac:dyDescent="0.3">
      <c r="A11" s="25">
        <v>8</v>
      </c>
      <c r="B11" s="72" t="s">
        <v>149</v>
      </c>
      <c r="C11" s="26">
        <v>6</v>
      </c>
      <c r="D11" s="26">
        <f>COUNTIF(Checklist!C58:C63,"✓")</f>
        <v>0</v>
      </c>
      <c r="E11" s="26">
        <f>COUNTIF(Checklist!D58:D63,"✓")</f>
        <v>0</v>
      </c>
      <c r="F11" s="26">
        <f>COUNTIF(Checklist!E58:E63,"✓")</f>
        <v>0</v>
      </c>
      <c r="G11" s="26">
        <f>COUNTIF(Checklist!F58:F63,"✓")</f>
        <v>0</v>
      </c>
      <c r="H11" s="101"/>
    </row>
    <row r="12" spans="1:8" ht="32.4" customHeight="1" x14ac:dyDescent="0.3">
      <c r="A12" s="25">
        <v>9</v>
      </c>
      <c r="B12" s="72" t="s">
        <v>155</v>
      </c>
      <c r="C12" s="26">
        <v>13</v>
      </c>
      <c r="D12" s="26">
        <f>COUNTIF(Checklist!C67:C80,"✓")</f>
        <v>0</v>
      </c>
      <c r="E12" s="26">
        <f>COUNTIF(Checklist!D67:D80,"✓")</f>
        <v>0</v>
      </c>
      <c r="F12" s="26">
        <f>COUNTIF(Checklist!E67:E80,"✓")</f>
        <v>0</v>
      </c>
      <c r="G12" s="26">
        <f>COUNTIF(Checklist!F67:F80,"✓")</f>
        <v>0</v>
      </c>
      <c r="H12" s="101"/>
    </row>
    <row r="13" spans="1:8" ht="32.4" customHeight="1" x14ac:dyDescent="0.3">
      <c r="A13" s="25">
        <v>10</v>
      </c>
      <c r="B13" s="72" t="s">
        <v>68</v>
      </c>
      <c r="C13" s="26">
        <v>2</v>
      </c>
      <c r="D13" s="26">
        <f>COUNTIF(Checklist!C83:C84,"✓")</f>
        <v>0</v>
      </c>
      <c r="E13" s="26">
        <f>COUNTIF(Checklist!D83:D84,"✓")</f>
        <v>0</v>
      </c>
      <c r="F13" s="26">
        <f>COUNTIF(Checklist!E83:E84,"✓")</f>
        <v>0</v>
      </c>
      <c r="G13" s="26">
        <f>COUNTIF(Checklist!F83:F84,"✓")</f>
        <v>0</v>
      </c>
      <c r="H13" s="101"/>
    </row>
    <row r="14" spans="1:8" ht="32.4" customHeight="1" x14ac:dyDescent="0.3">
      <c r="A14" s="25">
        <v>11</v>
      </c>
      <c r="B14" s="72" t="s">
        <v>171</v>
      </c>
      <c r="C14" s="26">
        <v>24</v>
      </c>
      <c r="D14" s="26">
        <f>COUNTIF(Checklist!C88:C113,"✓")</f>
        <v>0</v>
      </c>
      <c r="E14" s="26">
        <f>COUNTIF(Checklist!D88:D113,"✓")</f>
        <v>0</v>
      </c>
      <c r="F14" s="26">
        <f>COUNTIF(Checklist!E88:E113,"✓")</f>
        <v>0</v>
      </c>
      <c r="G14" s="26">
        <f>COUNTIF(Checklist!F88:F113,"✓")</f>
        <v>0</v>
      </c>
      <c r="H14" s="101"/>
    </row>
    <row r="15" spans="1:8" ht="32.4" customHeight="1" x14ac:dyDescent="0.3">
      <c r="A15" s="25">
        <v>12</v>
      </c>
      <c r="B15" s="72" t="s">
        <v>69</v>
      </c>
      <c r="C15" s="26">
        <v>4</v>
      </c>
      <c r="D15" s="26">
        <f>COUNTIF(Checklist!C116:C119,"✓")</f>
        <v>0</v>
      </c>
      <c r="E15" s="26">
        <f>COUNTIF(Checklist!D116:D119,"✓")</f>
        <v>0</v>
      </c>
      <c r="F15" s="26">
        <f>COUNTIF(Checklist!E116:E119,"✓")</f>
        <v>0</v>
      </c>
      <c r="G15" s="26">
        <f>COUNTIF(Checklist!F116:F119,"✓")</f>
        <v>0</v>
      </c>
      <c r="H15" s="101"/>
    </row>
    <row r="16" spans="1:8" ht="32.4" customHeight="1" thickBot="1" x14ac:dyDescent="0.35">
      <c r="A16" s="85">
        <v>13</v>
      </c>
      <c r="B16" s="86" t="s">
        <v>112</v>
      </c>
      <c r="C16" s="87">
        <v>7</v>
      </c>
      <c r="D16" s="87">
        <f>COUNTIF(Checklist!C123:C131,"✓")</f>
        <v>0</v>
      </c>
      <c r="E16" s="87">
        <f>COUNTIF(Checklist!D123:D131,"✓")</f>
        <v>0</v>
      </c>
      <c r="F16" s="87">
        <f>COUNTIF(Checklist!E123:E131,"✓")</f>
        <v>0</v>
      </c>
      <c r="G16" s="87">
        <f>COUNTIF(Checklist!F123:F131,"✓")</f>
        <v>0</v>
      </c>
      <c r="H16" s="102"/>
    </row>
  </sheetData>
  <sheetProtection password="D6D7" sheet="1" objects="1" scenarios="1" formatCells="0" formatColumns="0" formatRows="0"/>
  <mergeCells count="5">
    <mergeCell ref="A1:B2"/>
    <mergeCell ref="C1:E1"/>
    <mergeCell ref="F1:H1"/>
    <mergeCell ref="C2:E2"/>
    <mergeCell ref="F2:H2"/>
  </mergeCells>
  <pageMargins left="0.7" right="0.7" top="0.75" bottom="0.75" header="0.3" footer="0.3"/>
  <pageSetup firstPageNumber="4" orientation="landscape" useFirstPageNumber="1" r:id="rId1"/>
  <headerFooter>
    <oddHeader>&amp;C&amp;"Arial,Bold"&amp;12Food Safety Programs and Auditing Protocol for the Tomato Supply Chain
Greenhouse - USDA Checklist</oddHeader>
    <oddFooter>&amp;L&amp;"Arial,Regular"For Official Government Use Only
USDA, AMS, FV, Specialty Crops Inspection Division
Based on Food Safety Programs and Auditing Protocol for the Fresh Tomato Supply Chain&amp;R&amp;"Arial,Regular"USDA Checklist 
Version 1.1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31"/>
  <sheetViews>
    <sheetView view="pageLayout" topLeftCell="A138" zoomScale="90" zoomScaleNormal="100" zoomScalePageLayoutView="90" workbookViewId="0">
      <selection activeCell="B131" sqref="B131"/>
    </sheetView>
  </sheetViews>
  <sheetFormatPr defaultColWidth="8.88671875" defaultRowHeight="14.4" x14ac:dyDescent="0.3"/>
  <cols>
    <col min="1" max="1" width="10.6640625" style="2" customWidth="1"/>
    <col min="2" max="2" width="27.77734375" style="1" customWidth="1"/>
    <col min="3" max="6" width="5.109375" customWidth="1"/>
    <col min="7" max="7" width="59.33203125" style="46" customWidth="1"/>
    <col min="19" max="20" width="9.109375" customWidth="1"/>
  </cols>
  <sheetData>
    <row r="1" spans="1:7" x14ac:dyDescent="0.3">
      <c r="A1" s="189" t="s">
        <v>16</v>
      </c>
      <c r="B1" s="189"/>
      <c r="C1" s="190">
        <f>'Pages 1-3'!B6</f>
        <v>0</v>
      </c>
      <c r="D1" s="191"/>
      <c r="E1" s="191"/>
      <c r="F1" s="191"/>
      <c r="G1" s="192"/>
    </row>
    <row r="2" spans="1:7" x14ac:dyDescent="0.3">
      <c r="A2" s="189" t="s">
        <v>17</v>
      </c>
      <c r="B2" s="189"/>
      <c r="C2" s="193">
        <f>'Pages 1-3'!B15</f>
        <v>0</v>
      </c>
      <c r="D2" s="194"/>
      <c r="E2" s="194"/>
      <c r="F2" s="194"/>
      <c r="G2" s="195"/>
    </row>
    <row r="3" spans="1:7" s="13" customFormat="1" x14ac:dyDescent="0.3">
      <c r="A3" s="15" t="s">
        <v>0</v>
      </c>
      <c r="B3" s="11" t="s">
        <v>1</v>
      </c>
      <c r="C3" s="12" t="s">
        <v>2</v>
      </c>
      <c r="D3" s="12" t="s">
        <v>3</v>
      </c>
      <c r="E3" s="12" t="s">
        <v>4</v>
      </c>
      <c r="F3" s="12" t="s">
        <v>5</v>
      </c>
      <c r="G3" s="11" t="s">
        <v>6</v>
      </c>
    </row>
    <row r="4" spans="1:7" s="14" customFormat="1" x14ac:dyDescent="0.3">
      <c r="A4" s="48">
        <v>1</v>
      </c>
      <c r="B4" s="196" t="s">
        <v>71</v>
      </c>
      <c r="C4" s="197"/>
      <c r="D4" s="197"/>
      <c r="E4" s="197"/>
      <c r="F4" s="197"/>
      <c r="G4" s="198"/>
    </row>
    <row r="5" spans="1:7" ht="42" x14ac:dyDescent="0.3">
      <c r="A5" s="16">
        <v>1.1000000000000001</v>
      </c>
      <c r="B5" s="8" t="s">
        <v>7</v>
      </c>
      <c r="C5" s="27"/>
      <c r="D5" s="27"/>
      <c r="E5" s="9"/>
      <c r="F5" s="27"/>
      <c r="G5" s="73"/>
    </row>
    <row r="6" spans="1:7" ht="42" x14ac:dyDescent="0.3">
      <c r="A6" s="16">
        <v>1.2</v>
      </c>
      <c r="B6" s="8" t="s">
        <v>8</v>
      </c>
      <c r="C6" s="27"/>
      <c r="D6" s="27"/>
      <c r="E6" s="9"/>
      <c r="F6" s="27"/>
      <c r="G6" s="73"/>
    </row>
    <row r="7" spans="1:7" ht="170.4" x14ac:dyDescent="0.3">
      <c r="A7" s="16">
        <v>1.3</v>
      </c>
      <c r="B7" s="8" t="s">
        <v>70</v>
      </c>
      <c r="C7" s="27"/>
      <c r="D7" s="27"/>
      <c r="E7" s="9"/>
      <c r="F7" s="27"/>
      <c r="G7" s="73"/>
    </row>
    <row r="8" spans="1:7" ht="83.4" x14ac:dyDescent="0.3">
      <c r="A8" s="16">
        <v>1.4</v>
      </c>
      <c r="B8" s="104" t="s">
        <v>226</v>
      </c>
      <c r="C8" s="27"/>
      <c r="D8" s="27"/>
      <c r="E8" s="9"/>
      <c r="F8" s="27"/>
      <c r="G8" s="73"/>
    </row>
    <row r="9" spans="1:7" ht="69.599999999999994" x14ac:dyDescent="0.3">
      <c r="A9" s="16">
        <v>1.5</v>
      </c>
      <c r="B9" s="8" t="s">
        <v>113</v>
      </c>
      <c r="C9" s="27"/>
      <c r="D9" s="27"/>
      <c r="E9" s="9"/>
      <c r="F9" s="27"/>
      <c r="G9" s="73"/>
    </row>
    <row r="10" spans="1:7" ht="87.75" customHeight="1" x14ac:dyDescent="0.3">
      <c r="A10" s="16">
        <v>1.6</v>
      </c>
      <c r="B10" s="8" t="s">
        <v>114</v>
      </c>
      <c r="C10" s="27"/>
      <c r="D10" s="27"/>
      <c r="E10" s="9"/>
      <c r="F10" s="27"/>
      <c r="G10" s="73"/>
    </row>
    <row r="11" spans="1:7" s="61" customFormat="1" x14ac:dyDescent="0.3">
      <c r="A11" s="179"/>
      <c r="B11" s="177"/>
      <c r="C11" s="177"/>
      <c r="D11" s="177"/>
      <c r="E11" s="177"/>
      <c r="F11" s="177"/>
      <c r="G11" s="177"/>
    </row>
    <row r="12" spans="1:7" s="19" customFormat="1" ht="14.25" customHeight="1" x14ac:dyDescent="0.3">
      <c r="A12" s="49">
        <v>2</v>
      </c>
      <c r="B12" s="183" t="s">
        <v>107</v>
      </c>
      <c r="C12" s="184"/>
      <c r="D12" s="184"/>
      <c r="E12" s="184"/>
      <c r="F12" s="184"/>
      <c r="G12" s="185"/>
    </row>
    <row r="13" spans="1:7" ht="83.4" x14ac:dyDescent="0.3">
      <c r="A13" s="50">
        <v>2.1</v>
      </c>
      <c r="B13" s="8" t="s">
        <v>115</v>
      </c>
      <c r="C13" s="27"/>
      <c r="D13" s="27"/>
      <c r="E13" s="27"/>
      <c r="F13" s="27"/>
      <c r="G13" s="73"/>
    </row>
    <row r="14" spans="1:7" ht="55.8" x14ac:dyDescent="0.3">
      <c r="A14" s="16">
        <v>2.2000000000000002</v>
      </c>
      <c r="B14" s="8" t="s">
        <v>116</v>
      </c>
      <c r="C14" s="27"/>
      <c r="D14" s="27"/>
      <c r="E14" s="27"/>
      <c r="F14" s="27"/>
      <c r="G14" s="73"/>
    </row>
    <row r="15" spans="1:7" ht="42" x14ac:dyDescent="0.3">
      <c r="A15" s="16">
        <v>2.2999999999999998</v>
      </c>
      <c r="B15" s="8" t="s">
        <v>117</v>
      </c>
      <c r="C15" s="27"/>
      <c r="D15" s="27"/>
      <c r="E15" s="27"/>
      <c r="F15" s="27"/>
      <c r="G15" s="73"/>
    </row>
    <row r="16" spans="1:7" ht="60.75" customHeight="1" x14ac:dyDescent="0.3">
      <c r="A16" s="16">
        <v>2.4</v>
      </c>
      <c r="B16" s="10" t="s">
        <v>118</v>
      </c>
      <c r="C16" s="27"/>
      <c r="D16" s="27"/>
      <c r="E16" s="27"/>
      <c r="F16" s="27"/>
      <c r="G16" s="73"/>
    </row>
    <row r="17" spans="1:7" ht="111" x14ac:dyDescent="0.3">
      <c r="A17" s="16">
        <v>2.5</v>
      </c>
      <c r="B17" s="8" t="s">
        <v>119</v>
      </c>
      <c r="C17" s="27"/>
      <c r="D17" s="27"/>
      <c r="E17" s="27"/>
      <c r="F17" s="27"/>
      <c r="G17" s="73"/>
    </row>
    <row r="18" spans="1:7" s="61" customFormat="1" x14ac:dyDescent="0.3">
      <c r="A18" s="175"/>
      <c r="B18" s="174"/>
      <c r="C18" s="174"/>
      <c r="D18" s="174"/>
      <c r="E18" s="174"/>
      <c r="F18" s="174"/>
      <c r="G18" s="174"/>
    </row>
    <row r="19" spans="1:7" s="19" customFormat="1" x14ac:dyDescent="0.3">
      <c r="A19" s="49">
        <v>3</v>
      </c>
      <c r="B19" s="183" t="s">
        <v>108</v>
      </c>
      <c r="C19" s="184"/>
      <c r="D19" s="184"/>
      <c r="E19" s="184"/>
      <c r="F19" s="184"/>
      <c r="G19" s="185"/>
    </row>
    <row r="20" spans="1:7" ht="28.2" x14ac:dyDescent="0.3">
      <c r="A20" s="16">
        <v>3.1</v>
      </c>
      <c r="B20" s="8" t="s">
        <v>120</v>
      </c>
      <c r="C20" s="27"/>
      <c r="D20" s="27"/>
      <c r="E20" s="27"/>
      <c r="F20" s="27"/>
      <c r="G20" s="73"/>
    </row>
    <row r="21" spans="1:7" ht="111" x14ac:dyDescent="0.3">
      <c r="A21" s="16">
        <v>3.2</v>
      </c>
      <c r="B21" s="8" t="s">
        <v>121</v>
      </c>
      <c r="C21" s="27"/>
      <c r="D21" s="27"/>
      <c r="E21" s="27"/>
      <c r="F21" s="27"/>
      <c r="G21" s="73"/>
    </row>
    <row r="22" spans="1:7" ht="138.6" x14ac:dyDescent="0.3">
      <c r="A22" s="16">
        <v>3.3</v>
      </c>
      <c r="B22" s="8" t="s">
        <v>122</v>
      </c>
      <c r="C22" s="27"/>
      <c r="D22" s="27"/>
      <c r="E22" s="27"/>
      <c r="F22" s="27"/>
      <c r="G22" s="73"/>
    </row>
    <row r="23" spans="1:7" s="61" customFormat="1" x14ac:dyDescent="0.3">
      <c r="A23" s="175"/>
      <c r="B23" s="174"/>
      <c r="C23" s="174"/>
      <c r="D23" s="174"/>
      <c r="E23" s="174"/>
      <c r="F23" s="174"/>
      <c r="G23" s="174"/>
    </row>
    <row r="24" spans="1:7" s="19" customFormat="1" x14ac:dyDescent="0.3">
      <c r="A24" s="49">
        <v>4</v>
      </c>
      <c r="B24" s="183" t="s">
        <v>123</v>
      </c>
      <c r="C24" s="184"/>
      <c r="D24" s="184"/>
      <c r="E24" s="184"/>
      <c r="F24" s="184"/>
      <c r="G24" s="185"/>
    </row>
    <row r="25" spans="1:7" ht="69.599999999999994" x14ac:dyDescent="0.3">
      <c r="A25" s="16">
        <v>4.0999999999999996</v>
      </c>
      <c r="B25" s="8" t="s">
        <v>124</v>
      </c>
      <c r="C25" s="27"/>
      <c r="D25" s="27"/>
      <c r="E25" s="27"/>
      <c r="F25" s="27"/>
      <c r="G25" s="73"/>
    </row>
    <row r="26" spans="1:7" ht="55.8" x14ac:dyDescent="0.3">
      <c r="A26" s="16">
        <v>4.2</v>
      </c>
      <c r="B26" s="8" t="s">
        <v>125</v>
      </c>
      <c r="C26" s="27"/>
      <c r="D26" s="27"/>
      <c r="E26" s="27"/>
      <c r="F26" s="27"/>
      <c r="G26" s="73"/>
    </row>
    <row r="27" spans="1:7" ht="111" x14ac:dyDescent="0.3">
      <c r="A27" s="16">
        <v>4.3</v>
      </c>
      <c r="B27" s="8" t="s">
        <v>126</v>
      </c>
      <c r="C27" s="27"/>
      <c r="D27" s="27"/>
      <c r="E27" s="27"/>
      <c r="F27" s="27"/>
      <c r="G27" s="73"/>
    </row>
    <row r="28" spans="1:7" s="61" customFormat="1" x14ac:dyDescent="0.3">
      <c r="A28" s="175"/>
      <c r="B28" s="174"/>
      <c r="C28" s="174"/>
      <c r="D28" s="174"/>
      <c r="E28" s="174"/>
      <c r="F28" s="174"/>
      <c r="G28" s="174"/>
    </row>
    <row r="29" spans="1:7" s="19" customFormat="1" x14ac:dyDescent="0.3">
      <c r="A29" s="51">
        <v>5</v>
      </c>
      <c r="B29" s="183" t="s">
        <v>127</v>
      </c>
      <c r="C29" s="184"/>
      <c r="D29" s="184"/>
      <c r="E29" s="184"/>
      <c r="F29" s="184"/>
      <c r="G29" s="185"/>
    </row>
    <row r="30" spans="1:7" ht="45.75" customHeight="1" x14ac:dyDescent="0.3">
      <c r="A30" s="16">
        <v>5.0999999999999996</v>
      </c>
      <c r="B30" s="8" t="s">
        <v>128</v>
      </c>
      <c r="C30" s="27"/>
      <c r="D30" s="27"/>
      <c r="E30" s="27"/>
      <c r="F30" s="27"/>
      <c r="G30" s="73"/>
    </row>
    <row r="31" spans="1:7" s="47" customFormat="1" ht="55.8" x14ac:dyDescent="0.3">
      <c r="A31" s="16">
        <v>5.2</v>
      </c>
      <c r="B31" s="8" t="s">
        <v>129</v>
      </c>
      <c r="C31" s="27"/>
      <c r="D31" s="27"/>
      <c r="E31" s="27"/>
      <c r="F31" s="27"/>
      <c r="G31" s="73"/>
    </row>
    <row r="32" spans="1:7" s="47" customFormat="1" ht="42" x14ac:dyDescent="0.3">
      <c r="A32" s="16">
        <v>5.3</v>
      </c>
      <c r="B32" s="8" t="s">
        <v>130</v>
      </c>
      <c r="C32" s="27"/>
      <c r="D32" s="27"/>
      <c r="E32" s="27"/>
      <c r="F32" s="27"/>
      <c r="G32" s="73"/>
    </row>
    <row r="33" spans="1:7" s="47" customFormat="1" x14ac:dyDescent="0.3">
      <c r="A33" s="16">
        <v>5.4</v>
      </c>
      <c r="B33" s="8" t="s">
        <v>131</v>
      </c>
      <c r="C33" s="27"/>
      <c r="D33" s="27"/>
      <c r="E33" s="27"/>
      <c r="F33" s="27"/>
      <c r="G33" s="73"/>
    </row>
    <row r="34" spans="1:7" ht="69.599999999999994" x14ac:dyDescent="0.3">
      <c r="A34" s="16">
        <v>5.5</v>
      </c>
      <c r="B34" s="8" t="s">
        <v>132</v>
      </c>
      <c r="C34" s="27"/>
      <c r="D34" s="27"/>
      <c r="E34" s="27"/>
      <c r="F34" s="27"/>
      <c r="G34" s="73"/>
    </row>
    <row r="35" spans="1:7" s="47" customFormat="1" ht="69.599999999999994" x14ac:dyDescent="0.3">
      <c r="A35" s="16">
        <v>5.6</v>
      </c>
      <c r="B35" s="8" t="s">
        <v>133</v>
      </c>
      <c r="C35" s="27"/>
      <c r="D35" s="27"/>
      <c r="E35" s="27"/>
      <c r="F35" s="27"/>
      <c r="G35" s="73"/>
    </row>
    <row r="36" spans="1:7" ht="69.599999999999994" x14ac:dyDescent="0.3">
      <c r="A36" s="16">
        <v>5.7</v>
      </c>
      <c r="B36" s="8" t="s">
        <v>134</v>
      </c>
      <c r="C36" s="27"/>
      <c r="D36" s="27"/>
      <c r="E36" s="27"/>
      <c r="F36" s="27"/>
      <c r="G36" s="73"/>
    </row>
    <row r="37" spans="1:7" s="61" customFormat="1" x14ac:dyDescent="0.3">
      <c r="A37" s="175"/>
      <c r="B37" s="174"/>
      <c r="C37" s="174"/>
      <c r="D37" s="174"/>
      <c r="E37" s="174"/>
      <c r="F37" s="174"/>
      <c r="G37" s="174"/>
    </row>
    <row r="38" spans="1:7" s="19" customFormat="1" x14ac:dyDescent="0.3">
      <c r="A38" s="49">
        <v>6</v>
      </c>
      <c r="B38" s="183" t="s">
        <v>18</v>
      </c>
      <c r="C38" s="184"/>
      <c r="D38" s="184"/>
      <c r="E38" s="184"/>
      <c r="F38" s="184"/>
      <c r="G38" s="185"/>
    </row>
    <row r="39" spans="1:7" s="19" customFormat="1" x14ac:dyDescent="0.3">
      <c r="A39" s="49"/>
      <c r="B39" s="183" t="s">
        <v>140</v>
      </c>
      <c r="C39" s="184"/>
      <c r="D39" s="184"/>
      <c r="E39" s="184"/>
      <c r="F39" s="184"/>
      <c r="G39" s="185"/>
    </row>
    <row r="40" spans="1:7" ht="111" x14ac:dyDescent="0.3">
      <c r="A40" s="16">
        <v>6.1</v>
      </c>
      <c r="B40" s="8" t="s">
        <v>19</v>
      </c>
      <c r="C40" s="27"/>
      <c r="D40" s="27"/>
      <c r="E40" s="27"/>
      <c r="F40" s="27"/>
      <c r="G40" s="73"/>
    </row>
    <row r="41" spans="1:7" s="47" customFormat="1" ht="42" x14ac:dyDescent="0.3">
      <c r="A41" s="16">
        <v>6.2</v>
      </c>
      <c r="B41" s="8" t="s">
        <v>135</v>
      </c>
      <c r="C41" s="27"/>
      <c r="D41" s="27"/>
      <c r="E41" s="27"/>
      <c r="F41" s="27"/>
      <c r="G41" s="73"/>
    </row>
    <row r="42" spans="1:7" s="47" customFormat="1" ht="83.4" x14ac:dyDescent="0.3">
      <c r="A42" s="16">
        <v>6.3</v>
      </c>
      <c r="B42" s="8" t="s">
        <v>20</v>
      </c>
      <c r="C42" s="27"/>
      <c r="D42" s="27"/>
      <c r="E42" s="27"/>
      <c r="F42" s="27"/>
      <c r="G42" s="73"/>
    </row>
    <row r="43" spans="1:7" s="47" customFormat="1" ht="42" x14ac:dyDescent="0.3">
      <c r="A43" s="16">
        <v>6.4</v>
      </c>
      <c r="B43" s="8" t="s">
        <v>136</v>
      </c>
      <c r="C43" s="27"/>
      <c r="D43" s="27"/>
      <c r="E43" s="27"/>
      <c r="F43" s="27"/>
      <c r="G43" s="73"/>
    </row>
    <row r="44" spans="1:7" s="47" customFormat="1" ht="138.6" x14ac:dyDescent="0.3">
      <c r="A44" s="16">
        <v>6.5</v>
      </c>
      <c r="B44" s="8" t="s">
        <v>137</v>
      </c>
      <c r="C44" s="27"/>
      <c r="D44" s="27"/>
      <c r="E44" s="27"/>
      <c r="F44" s="27"/>
      <c r="G44" s="73"/>
    </row>
    <row r="45" spans="1:7" ht="111" x14ac:dyDescent="0.3">
      <c r="A45" s="16">
        <v>6.6</v>
      </c>
      <c r="B45" s="8" t="s">
        <v>138</v>
      </c>
      <c r="C45" s="27"/>
      <c r="D45" s="27"/>
      <c r="E45" s="27"/>
      <c r="F45" s="27"/>
      <c r="G45" s="73"/>
    </row>
    <row r="46" spans="1:7" ht="55.8" x14ac:dyDescent="0.3">
      <c r="A46" s="16">
        <v>6.7</v>
      </c>
      <c r="B46" s="8" t="s">
        <v>139</v>
      </c>
      <c r="C46" s="27"/>
      <c r="D46" s="27"/>
      <c r="E46" s="27"/>
      <c r="F46" s="27"/>
      <c r="G46" s="73"/>
    </row>
    <row r="47" spans="1:7" s="19" customFormat="1" x14ac:dyDescent="0.3">
      <c r="A47" s="18"/>
      <c r="B47" s="183" t="s">
        <v>141</v>
      </c>
      <c r="C47" s="184"/>
      <c r="D47" s="184"/>
      <c r="E47" s="184"/>
      <c r="F47" s="184"/>
      <c r="G47" s="185"/>
    </row>
    <row r="48" spans="1:7" ht="97.2" x14ac:dyDescent="0.3">
      <c r="A48" s="16">
        <v>6.8</v>
      </c>
      <c r="B48" s="8" t="s">
        <v>142</v>
      </c>
      <c r="C48" s="27"/>
      <c r="D48" s="27"/>
      <c r="E48" s="27"/>
      <c r="F48" s="27"/>
      <c r="G48" s="73"/>
    </row>
    <row r="49" spans="1:7" s="47" customFormat="1" ht="83.4" x14ac:dyDescent="0.3">
      <c r="A49" s="16">
        <v>6.9</v>
      </c>
      <c r="B49" s="8" t="s">
        <v>143</v>
      </c>
      <c r="C49" s="27"/>
      <c r="D49" s="27"/>
      <c r="E49" s="27"/>
      <c r="F49" s="27"/>
      <c r="G49" s="73"/>
    </row>
    <row r="50" spans="1:7" ht="69.599999999999994" x14ac:dyDescent="0.3">
      <c r="A50" s="17">
        <v>6.1</v>
      </c>
      <c r="B50" s="8" t="s">
        <v>144</v>
      </c>
      <c r="C50" s="27"/>
      <c r="D50" s="27"/>
      <c r="E50" s="27"/>
      <c r="F50" s="27"/>
      <c r="G50" s="73"/>
    </row>
    <row r="51" spans="1:7" s="61" customFormat="1" x14ac:dyDescent="0.3">
      <c r="A51" s="199"/>
      <c r="B51" s="174"/>
      <c r="C51" s="174"/>
      <c r="D51" s="174"/>
      <c r="E51" s="174"/>
      <c r="F51" s="174"/>
      <c r="G51" s="174"/>
    </row>
    <row r="52" spans="1:7" s="19" customFormat="1" x14ac:dyDescent="0.3">
      <c r="A52" s="18">
        <v>7</v>
      </c>
      <c r="B52" s="183" t="s">
        <v>145</v>
      </c>
      <c r="C52" s="184"/>
      <c r="D52" s="184"/>
      <c r="E52" s="184"/>
      <c r="F52" s="184"/>
      <c r="G52" s="185"/>
    </row>
    <row r="53" spans="1:7" ht="152.4" x14ac:dyDescent="0.3">
      <c r="A53" s="16">
        <v>7.1</v>
      </c>
      <c r="B53" s="8" t="s">
        <v>146</v>
      </c>
      <c r="C53" s="27"/>
      <c r="D53" s="27"/>
      <c r="E53" s="27"/>
      <c r="F53" s="27"/>
      <c r="G53" s="73"/>
    </row>
    <row r="54" spans="1:7" ht="111" x14ac:dyDescent="0.3">
      <c r="A54" s="16">
        <v>7.2</v>
      </c>
      <c r="B54" s="8" t="s">
        <v>147</v>
      </c>
      <c r="C54" s="27"/>
      <c r="D54" s="27"/>
      <c r="E54" s="27"/>
      <c r="F54" s="27"/>
      <c r="G54" s="73"/>
    </row>
    <row r="55" spans="1:7" ht="55.8" x14ac:dyDescent="0.3">
      <c r="A55" s="16">
        <v>7.3</v>
      </c>
      <c r="B55" s="8" t="s">
        <v>148</v>
      </c>
      <c r="C55" s="27"/>
      <c r="D55" s="27"/>
      <c r="E55" s="27"/>
      <c r="F55" s="27"/>
      <c r="G55" s="73"/>
    </row>
    <row r="56" spans="1:7" s="61" customFormat="1" x14ac:dyDescent="0.3">
      <c r="A56" s="175"/>
      <c r="B56" s="174"/>
      <c r="C56" s="174"/>
      <c r="D56" s="174"/>
      <c r="E56" s="174"/>
      <c r="F56" s="174"/>
      <c r="G56" s="174"/>
    </row>
    <row r="57" spans="1:7" s="47" customFormat="1" ht="15.75" customHeight="1" x14ac:dyDescent="0.3">
      <c r="A57" s="49">
        <v>8</v>
      </c>
      <c r="B57" s="183" t="s">
        <v>149</v>
      </c>
      <c r="C57" s="184"/>
      <c r="D57" s="184"/>
      <c r="E57" s="184"/>
      <c r="F57" s="184"/>
      <c r="G57" s="185"/>
    </row>
    <row r="58" spans="1:7" ht="83.4" x14ac:dyDescent="0.3">
      <c r="A58" s="16">
        <v>8.1</v>
      </c>
      <c r="B58" s="8" t="s">
        <v>150</v>
      </c>
      <c r="C58" s="27"/>
      <c r="D58" s="27"/>
      <c r="E58" s="27"/>
      <c r="F58" s="27"/>
      <c r="G58" s="73"/>
    </row>
    <row r="59" spans="1:7" s="99" customFormat="1" ht="83.4" x14ac:dyDescent="0.3">
      <c r="A59" s="16">
        <v>8.1999999999999993</v>
      </c>
      <c r="B59" s="8" t="s">
        <v>225</v>
      </c>
      <c r="C59" s="27"/>
      <c r="D59" s="27"/>
      <c r="E59" s="27"/>
      <c r="F59" s="27"/>
      <c r="G59" s="73"/>
    </row>
    <row r="60" spans="1:7" s="47" customFormat="1" ht="69.599999999999994" x14ac:dyDescent="0.3">
      <c r="A60" s="16">
        <v>8.3000000000000007</v>
      </c>
      <c r="B60" s="8" t="s">
        <v>151</v>
      </c>
      <c r="C60" s="27"/>
      <c r="D60" s="27"/>
      <c r="E60" s="27"/>
      <c r="F60" s="27"/>
      <c r="G60" s="73"/>
    </row>
    <row r="61" spans="1:7" s="47" customFormat="1" ht="55.8" x14ac:dyDescent="0.3">
      <c r="A61" s="16">
        <v>8.4</v>
      </c>
      <c r="B61" s="8" t="s">
        <v>152</v>
      </c>
      <c r="C61" s="27"/>
      <c r="D61" s="27"/>
      <c r="E61" s="27"/>
      <c r="F61" s="27"/>
      <c r="G61" s="73"/>
    </row>
    <row r="62" spans="1:7" s="47" customFormat="1" ht="124.8" x14ac:dyDescent="0.3">
      <c r="A62" s="16">
        <v>8.5</v>
      </c>
      <c r="B62" s="8" t="s">
        <v>153</v>
      </c>
      <c r="C62" s="27"/>
      <c r="D62" s="27"/>
      <c r="E62" s="27"/>
      <c r="F62" s="27"/>
      <c r="G62" s="73"/>
    </row>
    <row r="63" spans="1:7" s="47" customFormat="1" ht="42" x14ac:dyDescent="0.3">
      <c r="A63" s="16">
        <v>8.6</v>
      </c>
      <c r="B63" s="8" t="s">
        <v>154</v>
      </c>
      <c r="C63" s="27"/>
      <c r="D63" s="27"/>
      <c r="E63" s="27"/>
      <c r="F63" s="27"/>
      <c r="G63" s="73"/>
    </row>
    <row r="64" spans="1:7" s="61" customFormat="1" x14ac:dyDescent="0.3">
      <c r="A64" s="175"/>
      <c r="B64" s="174"/>
      <c r="C64" s="174"/>
      <c r="D64" s="174"/>
      <c r="E64" s="174"/>
      <c r="F64" s="174"/>
      <c r="G64" s="174"/>
    </row>
    <row r="65" spans="1:7" s="43" customFormat="1" x14ac:dyDescent="0.3">
      <c r="A65" s="51">
        <v>9</v>
      </c>
      <c r="B65" s="183" t="s">
        <v>155</v>
      </c>
      <c r="C65" s="184"/>
      <c r="D65" s="184"/>
      <c r="E65" s="184"/>
      <c r="F65" s="184"/>
      <c r="G65" s="185"/>
    </row>
    <row r="66" spans="1:7" s="47" customFormat="1" x14ac:dyDescent="0.3">
      <c r="A66" s="51"/>
      <c r="B66" s="183" t="s">
        <v>156</v>
      </c>
      <c r="C66" s="184"/>
      <c r="D66" s="184"/>
      <c r="E66" s="184"/>
      <c r="F66" s="184"/>
      <c r="G66" s="185"/>
    </row>
    <row r="67" spans="1:7" ht="69.599999999999994" x14ac:dyDescent="0.3">
      <c r="A67" s="16">
        <v>9.1</v>
      </c>
      <c r="B67" s="8" t="s">
        <v>157</v>
      </c>
      <c r="C67" s="27"/>
      <c r="D67" s="27"/>
      <c r="E67" s="27"/>
      <c r="F67" s="27"/>
      <c r="G67" s="73"/>
    </row>
    <row r="68" spans="1:7" s="19" customFormat="1" x14ac:dyDescent="0.3">
      <c r="A68" s="18"/>
      <c r="B68" s="183" t="s">
        <v>158</v>
      </c>
      <c r="C68" s="184"/>
      <c r="D68" s="184"/>
      <c r="E68" s="184"/>
      <c r="F68" s="184"/>
      <c r="G68" s="185"/>
    </row>
    <row r="69" spans="1:7" s="47" customFormat="1" ht="138.6" x14ac:dyDescent="0.3">
      <c r="A69" s="16">
        <v>9.1999999999999993</v>
      </c>
      <c r="B69" s="8" t="s">
        <v>159</v>
      </c>
      <c r="C69" s="27"/>
      <c r="D69" s="27"/>
      <c r="E69" s="27"/>
      <c r="F69" s="27"/>
      <c r="G69" s="73"/>
    </row>
    <row r="70" spans="1:7" s="47" customFormat="1" ht="83.4" x14ac:dyDescent="0.3">
      <c r="A70" s="16">
        <v>9.3000000000000007</v>
      </c>
      <c r="B70" s="8" t="s">
        <v>160</v>
      </c>
      <c r="C70" s="27"/>
      <c r="D70" s="27"/>
      <c r="E70" s="27"/>
      <c r="F70" s="27"/>
      <c r="G70" s="73"/>
    </row>
    <row r="71" spans="1:7" ht="325.8" customHeight="1" x14ac:dyDescent="0.3">
      <c r="A71" s="16">
        <v>9.4</v>
      </c>
      <c r="B71" s="8" t="s">
        <v>161</v>
      </c>
      <c r="C71" s="27"/>
      <c r="D71" s="27"/>
      <c r="E71" s="27"/>
      <c r="F71" s="27"/>
      <c r="G71" s="73"/>
    </row>
    <row r="72" spans="1:7" ht="93" customHeight="1" x14ac:dyDescent="0.3">
      <c r="A72" s="50">
        <v>9.5</v>
      </c>
      <c r="B72" s="8" t="s">
        <v>162</v>
      </c>
      <c r="C72" s="27"/>
      <c r="D72" s="27"/>
      <c r="E72" s="9"/>
      <c r="F72" s="27"/>
      <c r="G72" s="73"/>
    </row>
    <row r="73" spans="1:7" s="47" customFormat="1" ht="72.75" customHeight="1" x14ac:dyDescent="0.3">
      <c r="A73" s="50">
        <v>9.6</v>
      </c>
      <c r="B73" s="8" t="s">
        <v>21</v>
      </c>
      <c r="C73" s="27"/>
      <c r="D73" s="27"/>
      <c r="E73" s="9"/>
      <c r="F73" s="27"/>
      <c r="G73" s="73"/>
    </row>
    <row r="74" spans="1:7" s="47" customFormat="1" ht="233.25" customHeight="1" x14ac:dyDescent="0.3">
      <c r="A74" s="50">
        <v>9.6999999999999993</v>
      </c>
      <c r="B74" s="8" t="s">
        <v>163</v>
      </c>
      <c r="C74" s="27"/>
      <c r="D74" s="27"/>
      <c r="E74" s="9"/>
      <c r="F74" s="27"/>
      <c r="G74" s="73"/>
    </row>
    <row r="75" spans="1:7" s="47" customFormat="1" ht="60.75" customHeight="1" x14ac:dyDescent="0.3">
      <c r="A75" s="50">
        <v>9.8000000000000007</v>
      </c>
      <c r="B75" s="8" t="s">
        <v>164</v>
      </c>
      <c r="C75" s="27"/>
      <c r="D75" s="27"/>
      <c r="E75" s="9"/>
      <c r="F75" s="27"/>
      <c r="G75" s="73"/>
    </row>
    <row r="76" spans="1:7" s="47" customFormat="1" ht="204" customHeight="1" x14ac:dyDescent="0.3">
      <c r="A76" s="50">
        <v>9.9</v>
      </c>
      <c r="B76" s="8" t="s">
        <v>165</v>
      </c>
      <c r="C76" s="27"/>
      <c r="D76" s="27"/>
      <c r="E76" s="9"/>
      <c r="F76" s="27"/>
      <c r="G76" s="73"/>
    </row>
    <row r="77" spans="1:7" s="47" customFormat="1" ht="189.75" customHeight="1" x14ac:dyDescent="0.3">
      <c r="A77" s="17">
        <v>9.1</v>
      </c>
      <c r="B77" s="8" t="s">
        <v>166</v>
      </c>
      <c r="C77" s="27"/>
      <c r="D77" s="27"/>
      <c r="E77" s="9"/>
      <c r="F77" s="27"/>
      <c r="G77" s="73"/>
    </row>
    <row r="78" spans="1:7" s="47" customFormat="1" ht="174.75" customHeight="1" x14ac:dyDescent="0.3">
      <c r="A78" s="17">
        <v>9.11</v>
      </c>
      <c r="B78" s="8" t="s">
        <v>205</v>
      </c>
      <c r="C78" s="27"/>
      <c r="D78" s="27"/>
      <c r="E78" s="9"/>
      <c r="F78" s="27"/>
      <c r="G78" s="73"/>
    </row>
    <row r="79" spans="1:7" s="47" customFormat="1" ht="145.19999999999999" customHeight="1" x14ac:dyDescent="0.3">
      <c r="A79" s="17">
        <v>9.1199999999999992</v>
      </c>
      <c r="B79" s="8" t="s">
        <v>167</v>
      </c>
      <c r="C79" s="27"/>
      <c r="D79" s="27"/>
      <c r="E79" s="9"/>
      <c r="F79" s="27"/>
      <c r="G79" s="73"/>
    </row>
    <row r="80" spans="1:7" ht="111" x14ac:dyDescent="0.3">
      <c r="A80" s="17">
        <v>9.1300000000000008</v>
      </c>
      <c r="B80" s="8" t="s">
        <v>168</v>
      </c>
      <c r="C80" s="27"/>
      <c r="D80" s="27"/>
      <c r="E80" s="27"/>
      <c r="F80" s="27"/>
      <c r="G80" s="73"/>
    </row>
    <row r="81" spans="1:7" s="64" customFormat="1" x14ac:dyDescent="0.3">
      <c r="A81" s="176"/>
      <c r="B81" s="177"/>
      <c r="C81" s="177"/>
      <c r="D81" s="177"/>
      <c r="E81" s="177"/>
      <c r="F81" s="177"/>
      <c r="G81" s="177"/>
    </row>
    <row r="82" spans="1:7" s="53" customFormat="1" x14ac:dyDescent="0.3">
      <c r="A82" s="55">
        <v>10</v>
      </c>
      <c r="B82" s="186" t="s">
        <v>169</v>
      </c>
      <c r="C82" s="187"/>
      <c r="D82" s="187"/>
      <c r="E82" s="187"/>
      <c r="F82" s="187"/>
      <c r="G82" s="188"/>
    </row>
    <row r="83" spans="1:7" ht="97.2" x14ac:dyDescent="0.3">
      <c r="A83" s="16">
        <v>10.1</v>
      </c>
      <c r="B83" s="8" t="s">
        <v>22</v>
      </c>
      <c r="C83" s="27"/>
      <c r="D83" s="27"/>
      <c r="E83" s="27"/>
      <c r="F83" s="27"/>
      <c r="G83" s="73"/>
    </row>
    <row r="84" spans="1:7" ht="197.4" customHeight="1" x14ac:dyDescent="0.3">
      <c r="A84" s="16">
        <v>10.199999999999999</v>
      </c>
      <c r="B84" s="56" t="s">
        <v>170</v>
      </c>
      <c r="C84" s="27"/>
      <c r="D84" s="27"/>
      <c r="E84" s="27"/>
      <c r="F84" s="27"/>
      <c r="G84" s="73" t="s">
        <v>172</v>
      </c>
    </row>
    <row r="85" spans="1:7" s="61" customFormat="1" x14ac:dyDescent="0.3">
      <c r="A85" s="175"/>
      <c r="B85" s="174"/>
      <c r="C85" s="174"/>
      <c r="D85" s="174"/>
      <c r="E85" s="174"/>
      <c r="F85" s="174"/>
      <c r="G85" s="174"/>
    </row>
    <row r="86" spans="1:7" s="19" customFormat="1" x14ac:dyDescent="0.3">
      <c r="A86" s="18">
        <v>11</v>
      </c>
      <c r="B86" s="183" t="s">
        <v>171</v>
      </c>
      <c r="C86" s="184"/>
      <c r="D86" s="184"/>
      <c r="E86" s="184"/>
      <c r="F86" s="184"/>
      <c r="G86" s="185"/>
    </row>
    <row r="87" spans="1:7" s="19" customFormat="1" x14ac:dyDescent="0.3">
      <c r="A87" s="18"/>
      <c r="B87" s="183" t="s">
        <v>173</v>
      </c>
      <c r="C87" s="184"/>
      <c r="D87" s="184"/>
      <c r="E87" s="184"/>
      <c r="F87" s="184"/>
      <c r="G87" s="185"/>
    </row>
    <row r="88" spans="1:7" s="53" customFormat="1" ht="124.8" x14ac:dyDescent="0.3">
      <c r="A88" s="57">
        <v>11.1</v>
      </c>
      <c r="B88" s="105" t="s">
        <v>227</v>
      </c>
      <c r="C88" s="106"/>
      <c r="D88" s="106"/>
      <c r="E88" s="106"/>
      <c r="F88" s="106"/>
      <c r="G88" s="73"/>
    </row>
    <row r="89" spans="1:7" s="53" customFormat="1" ht="42" x14ac:dyDescent="0.3">
      <c r="A89" s="57">
        <v>11.2</v>
      </c>
      <c r="B89" s="56" t="s">
        <v>174</v>
      </c>
      <c r="C89" s="106"/>
      <c r="D89" s="106"/>
      <c r="E89" s="106"/>
      <c r="F89" s="106"/>
      <c r="G89" s="73"/>
    </row>
    <row r="90" spans="1:7" s="53" customFormat="1" ht="42" x14ac:dyDescent="0.3">
      <c r="A90" s="57">
        <v>11.3</v>
      </c>
      <c r="B90" s="56" t="s">
        <v>175</v>
      </c>
      <c r="C90" s="106"/>
      <c r="D90" s="106"/>
      <c r="E90" s="106"/>
      <c r="F90" s="106"/>
      <c r="G90" s="73"/>
    </row>
    <row r="91" spans="1:7" s="53" customFormat="1" ht="55.8" x14ac:dyDescent="0.3">
      <c r="A91" s="57">
        <v>11.4</v>
      </c>
      <c r="B91" s="56" t="s">
        <v>176</v>
      </c>
      <c r="C91" s="106"/>
      <c r="D91" s="106"/>
      <c r="E91" s="106"/>
      <c r="F91" s="106"/>
      <c r="G91" s="73"/>
    </row>
    <row r="92" spans="1:7" s="53" customFormat="1" ht="28.2" x14ac:dyDescent="0.3">
      <c r="A92" s="57">
        <v>11.5</v>
      </c>
      <c r="B92" s="56" t="s">
        <v>177</v>
      </c>
      <c r="C92" s="106"/>
      <c r="D92" s="106"/>
      <c r="E92" s="106"/>
      <c r="F92" s="106"/>
      <c r="G92" s="73"/>
    </row>
    <row r="93" spans="1:7" s="53" customFormat="1" ht="42" x14ac:dyDescent="0.3">
      <c r="A93" s="57">
        <v>11.6</v>
      </c>
      <c r="B93" s="56" t="s">
        <v>23</v>
      </c>
      <c r="C93" s="106"/>
      <c r="D93" s="106"/>
      <c r="E93" s="106"/>
      <c r="F93" s="106"/>
      <c r="G93" s="73"/>
    </row>
    <row r="94" spans="1:7" s="53" customFormat="1" ht="83.4" x14ac:dyDescent="0.3">
      <c r="A94" s="57">
        <v>11.7</v>
      </c>
      <c r="B94" s="56" t="s">
        <v>24</v>
      </c>
      <c r="C94" s="106"/>
      <c r="D94" s="106"/>
      <c r="E94" s="106"/>
      <c r="F94" s="106"/>
      <c r="G94" s="73"/>
    </row>
    <row r="95" spans="1:7" s="53" customFormat="1" ht="83.4" x14ac:dyDescent="0.3">
      <c r="A95" s="57">
        <v>11.8</v>
      </c>
      <c r="B95" s="56" t="s">
        <v>178</v>
      </c>
      <c r="C95" s="58"/>
      <c r="D95" s="58"/>
      <c r="E95" s="58"/>
      <c r="F95" s="58"/>
      <c r="G95" s="73"/>
    </row>
    <row r="96" spans="1:7" s="53" customFormat="1" ht="69.599999999999994" x14ac:dyDescent="0.3">
      <c r="A96" s="57">
        <v>11.9</v>
      </c>
      <c r="B96" s="56" t="s">
        <v>25</v>
      </c>
      <c r="C96" s="58"/>
      <c r="D96" s="58"/>
      <c r="E96" s="58"/>
      <c r="F96" s="58"/>
      <c r="G96" s="73"/>
    </row>
    <row r="97" spans="1:7" s="53" customFormat="1" ht="83.4" x14ac:dyDescent="0.3">
      <c r="A97" s="52">
        <v>11.1</v>
      </c>
      <c r="B97" s="56" t="s">
        <v>179</v>
      </c>
      <c r="C97" s="58"/>
      <c r="D97" s="58"/>
      <c r="E97" s="58"/>
      <c r="F97" s="58"/>
      <c r="G97" s="73"/>
    </row>
    <row r="98" spans="1:7" s="53" customFormat="1" ht="111" x14ac:dyDescent="0.3">
      <c r="A98" s="52">
        <v>11.11</v>
      </c>
      <c r="B98" s="56" t="s">
        <v>180</v>
      </c>
      <c r="C98" s="58"/>
      <c r="D98" s="58"/>
      <c r="E98" s="58"/>
      <c r="F98" s="58"/>
      <c r="G98" s="73"/>
    </row>
    <row r="99" spans="1:7" s="59" customFormat="1" x14ac:dyDescent="0.3">
      <c r="A99" s="54"/>
      <c r="B99" s="180" t="s">
        <v>181</v>
      </c>
      <c r="C99" s="181"/>
      <c r="D99" s="181"/>
      <c r="E99" s="181"/>
      <c r="F99" s="181"/>
      <c r="G99" s="182"/>
    </row>
    <row r="100" spans="1:7" s="53" customFormat="1" ht="124.8" x14ac:dyDescent="0.3">
      <c r="A100" s="52">
        <v>11.12</v>
      </c>
      <c r="B100" s="56" t="s">
        <v>26</v>
      </c>
      <c r="C100" s="58"/>
      <c r="D100" s="58"/>
      <c r="E100" s="58"/>
      <c r="F100" s="58"/>
      <c r="G100" s="73"/>
    </row>
    <row r="101" spans="1:7" s="53" customFormat="1" ht="97.2" x14ac:dyDescent="0.3">
      <c r="A101" s="52">
        <v>11.13</v>
      </c>
      <c r="B101" s="56" t="s">
        <v>27</v>
      </c>
      <c r="C101" s="58"/>
      <c r="D101" s="58"/>
      <c r="E101" s="58"/>
      <c r="F101" s="58"/>
      <c r="G101" s="73"/>
    </row>
    <row r="102" spans="1:7" s="59" customFormat="1" x14ac:dyDescent="0.3">
      <c r="A102" s="54"/>
      <c r="B102" s="180" t="s">
        <v>182</v>
      </c>
      <c r="C102" s="181"/>
      <c r="D102" s="181"/>
      <c r="E102" s="181"/>
      <c r="F102" s="181"/>
      <c r="G102" s="182"/>
    </row>
    <row r="103" spans="1:7" s="53" customFormat="1" ht="152.4" x14ac:dyDescent="0.3">
      <c r="A103" s="52">
        <v>11.14</v>
      </c>
      <c r="B103" s="56" t="s">
        <v>183</v>
      </c>
      <c r="C103" s="58"/>
      <c r="D103" s="58"/>
      <c r="E103" s="58"/>
      <c r="F103" s="58"/>
      <c r="G103" s="73"/>
    </row>
    <row r="104" spans="1:7" s="53" customFormat="1" ht="221.4" x14ac:dyDescent="0.3">
      <c r="A104" s="52">
        <v>11.15</v>
      </c>
      <c r="B104" s="56" t="s">
        <v>184</v>
      </c>
      <c r="C104" s="58"/>
      <c r="D104" s="58"/>
      <c r="E104" s="58"/>
      <c r="F104" s="58"/>
      <c r="G104" s="73"/>
    </row>
    <row r="105" spans="1:7" s="53" customFormat="1" ht="83.4" x14ac:dyDescent="0.3">
      <c r="A105" s="52">
        <v>11.16</v>
      </c>
      <c r="B105" s="56" t="s">
        <v>185</v>
      </c>
      <c r="C105" s="58"/>
      <c r="D105" s="58"/>
      <c r="E105" s="58"/>
      <c r="F105" s="58"/>
      <c r="G105" s="73"/>
    </row>
    <row r="106" spans="1:7" s="53" customFormat="1" ht="42" x14ac:dyDescent="0.3">
      <c r="A106" s="52">
        <v>11.17</v>
      </c>
      <c r="B106" s="56" t="s">
        <v>186</v>
      </c>
      <c r="C106" s="58"/>
      <c r="D106" s="58"/>
      <c r="E106" s="58"/>
      <c r="F106" s="58"/>
      <c r="G106" s="73"/>
    </row>
    <row r="107" spans="1:7" s="53" customFormat="1" ht="55.8" x14ac:dyDescent="0.3">
      <c r="A107" s="52">
        <v>11.18</v>
      </c>
      <c r="B107" s="56" t="s">
        <v>187</v>
      </c>
      <c r="C107" s="58"/>
      <c r="D107" s="58"/>
      <c r="E107" s="58"/>
      <c r="F107" s="58"/>
      <c r="G107" s="73"/>
    </row>
    <row r="108" spans="1:7" s="53" customFormat="1" ht="180" x14ac:dyDescent="0.3">
      <c r="A108" s="52">
        <v>11.19</v>
      </c>
      <c r="B108" s="56" t="s">
        <v>188</v>
      </c>
      <c r="C108" s="58"/>
      <c r="D108" s="58"/>
      <c r="E108" s="58"/>
      <c r="F108" s="58"/>
      <c r="G108" s="73"/>
    </row>
    <row r="109" spans="1:7" s="53" customFormat="1" ht="46.5" customHeight="1" x14ac:dyDescent="0.3">
      <c r="A109" s="52">
        <v>11.2</v>
      </c>
      <c r="B109" s="56" t="s">
        <v>189</v>
      </c>
      <c r="C109" s="58"/>
      <c r="D109" s="58"/>
      <c r="E109" s="58"/>
      <c r="F109" s="58"/>
      <c r="G109" s="73"/>
    </row>
    <row r="110" spans="1:7" s="53" customFormat="1" ht="55.8" x14ac:dyDescent="0.3">
      <c r="A110" s="52">
        <v>11.21</v>
      </c>
      <c r="B110" s="56" t="s">
        <v>28</v>
      </c>
      <c r="C110" s="58"/>
      <c r="D110" s="58"/>
      <c r="E110" s="58"/>
      <c r="F110" s="58"/>
      <c r="G110" s="73"/>
    </row>
    <row r="111" spans="1:7" s="53" customFormat="1" ht="69.599999999999994" x14ac:dyDescent="0.3">
      <c r="A111" s="52">
        <v>11.22</v>
      </c>
      <c r="B111" s="56" t="s">
        <v>29</v>
      </c>
      <c r="C111" s="58"/>
      <c r="D111" s="58"/>
      <c r="E111" s="58"/>
      <c r="F111" s="58"/>
      <c r="G111" s="73"/>
    </row>
    <row r="112" spans="1:7" s="53" customFormat="1" ht="124.8" x14ac:dyDescent="0.3">
      <c r="A112" s="52">
        <v>11.23</v>
      </c>
      <c r="B112" s="56" t="s">
        <v>190</v>
      </c>
      <c r="C112" s="58"/>
      <c r="D112" s="58"/>
      <c r="E112" s="58"/>
      <c r="F112" s="58"/>
      <c r="G112" s="73"/>
    </row>
    <row r="113" spans="1:7" s="53" customFormat="1" ht="69.599999999999994" x14ac:dyDescent="0.3">
      <c r="A113" s="52">
        <v>11.24</v>
      </c>
      <c r="B113" s="56" t="s">
        <v>30</v>
      </c>
      <c r="C113" s="58"/>
      <c r="D113" s="58"/>
      <c r="E113" s="58"/>
      <c r="F113" s="58"/>
      <c r="G113" s="73"/>
    </row>
    <row r="114" spans="1:7" s="53" customFormat="1" x14ac:dyDescent="0.3">
      <c r="A114" s="178"/>
      <c r="B114" s="174"/>
      <c r="C114" s="174"/>
      <c r="D114" s="174"/>
      <c r="E114" s="174"/>
      <c r="F114" s="174"/>
      <c r="G114" s="174"/>
    </row>
    <row r="115" spans="1:7" s="59" customFormat="1" x14ac:dyDescent="0.3">
      <c r="A115" s="55">
        <v>12</v>
      </c>
      <c r="B115" s="180" t="s">
        <v>69</v>
      </c>
      <c r="C115" s="181"/>
      <c r="D115" s="181"/>
      <c r="E115" s="181"/>
      <c r="F115" s="181"/>
      <c r="G115" s="182"/>
    </row>
    <row r="116" spans="1:7" s="53" customFormat="1" ht="118.5" customHeight="1" x14ac:dyDescent="0.3">
      <c r="A116" s="60">
        <v>12.1</v>
      </c>
      <c r="B116" s="56" t="s">
        <v>191</v>
      </c>
      <c r="C116" s="58"/>
      <c r="D116" s="58"/>
      <c r="E116" s="58"/>
      <c r="F116" s="58"/>
      <c r="G116" s="73"/>
    </row>
    <row r="117" spans="1:7" s="53" customFormat="1" ht="60" customHeight="1" x14ac:dyDescent="0.3">
      <c r="A117" s="60">
        <v>12.2</v>
      </c>
      <c r="B117" s="56" t="s">
        <v>192</v>
      </c>
      <c r="C117" s="58"/>
      <c r="D117" s="58"/>
      <c r="E117" s="58"/>
      <c r="F117" s="58"/>
      <c r="G117" s="73"/>
    </row>
    <row r="118" spans="1:7" s="53" customFormat="1" ht="62.25" customHeight="1" x14ac:dyDescent="0.3">
      <c r="A118" s="60">
        <v>12.3</v>
      </c>
      <c r="B118" s="56" t="s">
        <v>193</v>
      </c>
      <c r="C118" s="58"/>
      <c r="D118" s="58"/>
      <c r="E118" s="58"/>
      <c r="F118" s="58"/>
      <c r="G118" s="73"/>
    </row>
    <row r="119" spans="1:7" s="53" customFormat="1" ht="69.599999999999994" x14ac:dyDescent="0.3">
      <c r="A119" s="60">
        <v>12.4</v>
      </c>
      <c r="B119" s="56" t="s">
        <v>31</v>
      </c>
      <c r="C119" s="58"/>
      <c r="D119" s="58"/>
      <c r="E119" s="58"/>
      <c r="F119" s="58"/>
      <c r="G119" s="73"/>
    </row>
    <row r="120" spans="1:7" s="53" customFormat="1" x14ac:dyDescent="0.3">
      <c r="A120" s="173"/>
      <c r="B120" s="174"/>
      <c r="C120" s="174"/>
      <c r="D120" s="174"/>
      <c r="E120" s="174"/>
      <c r="F120" s="174"/>
      <c r="G120" s="174"/>
    </row>
    <row r="121" spans="1:7" s="59" customFormat="1" x14ac:dyDescent="0.3">
      <c r="A121" s="55">
        <v>13</v>
      </c>
      <c r="B121" s="180" t="s">
        <v>194</v>
      </c>
      <c r="C121" s="181"/>
      <c r="D121" s="181"/>
      <c r="E121" s="181"/>
      <c r="F121" s="181"/>
      <c r="G121" s="182"/>
    </row>
    <row r="122" spans="1:7" s="59" customFormat="1" x14ac:dyDescent="0.3">
      <c r="A122" s="55"/>
      <c r="B122" s="180" t="s">
        <v>195</v>
      </c>
      <c r="C122" s="181"/>
      <c r="D122" s="181"/>
      <c r="E122" s="181"/>
      <c r="F122" s="181"/>
      <c r="G122" s="182"/>
    </row>
    <row r="123" spans="1:7" s="53" customFormat="1" ht="207.6" x14ac:dyDescent="0.3">
      <c r="A123" s="60">
        <v>13.1</v>
      </c>
      <c r="B123" s="56" t="s">
        <v>196</v>
      </c>
      <c r="C123" s="58"/>
      <c r="D123" s="58"/>
      <c r="E123" s="58"/>
      <c r="F123" s="58"/>
      <c r="G123" s="73"/>
    </row>
    <row r="124" spans="1:7" s="53" customFormat="1" ht="117.75" customHeight="1" x14ac:dyDescent="0.3">
      <c r="A124" s="60">
        <v>13.2</v>
      </c>
      <c r="B124" s="56" t="s">
        <v>197</v>
      </c>
      <c r="C124" s="58"/>
      <c r="D124" s="58"/>
      <c r="E124" s="58"/>
      <c r="F124" s="58"/>
      <c r="G124" s="73"/>
    </row>
    <row r="125" spans="1:7" s="53" customFormat="1" ht="120" customHeight="1" x14ac:dyDescent="0.3">
      <c r="A125" s="60">
        <v>13.3</v>
      </c>
      <c r="B125" s="56" t="s">
        <v>198</v>
      </c>
      <c r="C125" s="58"/>
      <c r="D125" s="58"/>
      <c r="E125" s="58"/>
      <c r="F125" s="58"/>
      <c r="G125" s="73"/>
    </row>
    <row r="126" spans="1:7" s="59" customFormat="1" x14ac:dyDescent="0.3">
      <c r="A126" s="55"/>
      <c r="B126" s="180" t="s">
        <v>199</v>
      </c>
      <c r="C126" s="181"/>
      <c r="D126" s="181"/>
      <c r="E126" s="181"/>
      <c r="F126" s="181"/>
      <c r="G126" s="182"/>
    </row>
    <row r="127" spans="1:7" s="53" customFormat="1" ht="132" customHeight="1" x14ac:dyDescent="0.3">
      <c r="A127" s="60">
        <v>13.4</v>
      </c>
      <c r="B127" s="56" t="s">
        <v>200</v>
      </c>
      <c r="C127" s="58"/>
      <c r="D127" s="58"/>
      <c r="E127" s="58"/>
      <c r="F127" s="58"/>
      <c r="G127" s="73"/>
    </row>
    <row r="128" spans="1:7" s="59" customFormat="1" x14ac:dyDescent="0.3">
      <c r="A128" s="55"/>
      <c r="B128" s="180" t="s">
        <v>201</v>
      </c>
      <c r="C128" s="181"/>
      <c r="D128" s="181"/>
      <c r="E128" s="181"/>
      <c r="F128" s="181"/>
      <c r="G128" s="182"/>
    </row>
    <row r="129" spans="1:7" s="53" customFormat="1" ht="47.25" customHeight="1" x14ac:dyDescent="0.3">
      <c r="A129" s="60">
        <v>13.5</v>
      </c>
      <c r="B129" s="56" t="s">
        <v>32</v>
      </c>
      <c r="C129" s="58"/>
      <c r="D129" s="58"/>
      <c r="E129" s="58"/>
      <c r="F129" s="58"/>
      <c r="G129" s="73"/>
    </row>
    <row r="130" spans="1:7" s="53" customFormat="1" ht="46.5" customHeight="1" x14ac:dyDescent="0.3">
      <c r="A130" s="60">
        <v>13.6</v>
      </c>
      <c r="B130" s="56" t="s">
        <v>202</v>
      </c>
      <c r="C130" s="58"/>
      <c r="D130" s="58"/>
      <c r="E130" s="58"/>
      <c r="F130" s="58"/>
      <c r="G130" s="73"/>
    </row>
    <row r="131" spans="1:7" ht="45.75" customHeight="1" x14ac:dyDescent="0.3">
      <c r="A131" s="50">
        <v>13.7</v>
      </c>
      <c r="B131" s="8" t="s">
        <v>203</v>
      </c>
      <c r="C131" s="58"/>
      <c r="D131" s="58"/>
      <c r="E131" s="58"/>
      <c r="F131" s="58"/>
      <c r="G131" s="73"/>
    </row>
  </sheetData>
  <sheetProtection password="D6D7" sheet="1" objects="1" scenarios="1" formatCells="0" formatColumns="0" formatRows="0"/>
  <mergeCells count="39">
    <mergeCell ref="B52:G52"/>
    <mergeCell ref="B12:G12"/>
    <mergeCell ref="B19:G19"/>
    <mergeCell ref="B24:G24"/>
    <mergeCell ref="B38:G38"/>
    <mergeCell ref="B29:G29"/>
    <mergeCell ref="A51:G51"/>
    <mergeCell ref="A1:B1"/>
    <mergeCell ref="A2:B2"/>
    <mergeCell ref="C1:G1"/>
    <mergeCell ref="C2:G2"/>
    <mergeCell ref="B4:G4"/>
    <mergeCell ref="B121:G121"/>
    <mergeCell ref="B122:G122"/>
    <mergeCell ref="B126:G126"/>
    <mergeCell ref="B128:G128"/>
    <mergeCell ref="B39:G39"/>
    <mergeCell ref="B47:G47"/>
    <mergeCell ref="B66:G66"/>
    <mergeCell ref="B68:G68"/>
    <mergeCell ref="B82:G82"/>
    <mergeCell ref="B57:G57"/>
    <mergeCell ref="B65:G65"/>
    <mergeCell ref="B86:G86"/>
    <mergeCell ref="B87:G87"/>
    <mergeCell ref="B99:G99"/>
    <mergeCell ref="B102:G102"/>
    <mergeCell ref="B115:G115"/>
    <mergeCell ref="A11:G11"/>
    <mergeCell ref="A18:G18"/>
    <mergeCell ref="A23:G23"/>
    <mergeCell ref="A28:G28"/>
    <mergeCell ref="A37:G37"/>
    <mergeCell ref="A120:G120"/>
    <mergeCell ref="A56:G56"/>
    <mergeCell ref="A64:G64"/>
    <mergeCell ref="A81:G81"/>
    <mergeCell ref="A85:G85"/>
    <mergeCell ref="A114:G114"/>
  </mergeCells>
  <dataValidations disablePrompts="1" count="1">
    <dataValidation type="list" allowBlank="1" showInputMessage="1" showErrorMessage="1" sqref="C103:F113 C123:F125 C80:E80 C60:F63 C69:F71 C45:F46 C20:F21 C9:D10 C13:F15 C5:D8 F5:F8 F9:F10 C53:F55 C127:F127 C16:F17 C25:F27 C22:F22 C48:F50 C40:F44 C30:F36 C129:F131 C67:F67 C72:D79 F72:F80 C88:F98 C100:F101 C83:F84 C58:F59 C116:F119">
      <formula1>"✓, -----"</formula1>
    </dataValidation>
  </dataValidations>
  <pageMargins left="0.7" right="0.7" top="0.75" bottom="1" header="0.3" footer="0.3"/>
  <pageSetup firstPageNumber="5" orientation="landscape" useFirstPageNumber="1" r:id="rId1"/>
  <headerFooter>
    <oddHeader xml:space="preserve">&amp;C&amp;"Arial,Regular"&amp;12Food Safety Programs and Auditing Protocol for the Fresh Tomato Supply Chain
Greenhouse - USDA Checklist </oddHeader>
    <oddFooter>&amp;L&amp;"Arial,Regular"&amp;10For Official Government Use Only
USDA, AMS, FV, Specialty Crops Inspection Division
Based on Food Safety Programs and Auditing Protocol for the Fresh Tomato Supply Chain&amp;R&amp;"Arial,Regular"USDA Checklist
Version 1.1</oddFooter>
  </headerFooter>
  <rowBreaks count="1" manualBreakCount="1">
    <brk id="87"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view="pageLayout" topLeftCell="A8" zoomScaleNormal="100" workbookViewId="0">
      <selection activeCell="H4" sqref="H4"/>
    </sheetView>
  </sheetViews>
  <sheetFormatPr defaultColWidth="9.109375" defaultRowHeight="14.4" x14ac:dyDescent="0.3"/>
  <cols>
    <col min="1" max="16384" width="9.109375" style="38"/>
  </cols>
  <sheetData>
    <row r="1" spans="1:9" ht="17.399999999999999" x14ac:dyDescent="0.3">
      <c r="A1" s="132" t="s">
        <v>79</v>
      </c>
      <c r="B1" s="132"/>
      <c r="C1" s="132"/>
      <c r="D1" s="132"/>
      <c r="E1" s="132"/>
      <c r="F1" s="132"/>
      <c r="G1" s="132"/>
      <c r="H1" s="132"/>
      <c r="I1" s="132"/>
    </row>
    <row r="2" spans="1:9" ht="17.399999999999999" x14ac:dyDescent="0.3">
      <c r="A2" s="132"/>
      <c r="B2" s="132"/>
      <c r="C2" s="132"/>
      <c r="D2" s="132"/>
      <c r="E2" s="132"/>
      <c r="F2" s="132"/>
      <c r="G2" s="132"/>
      <c r="H2" s="132"/>
      <c r="I2" s="132"/>
    </row>
    <row r="3" spans="1:9" ht="75.75" customHeight="1" x14ac:dyDescent="0.3">
      <c r="A3" s="137" t="s">
        <v>80</v>
      </c>
      <c r="B3" s="137"/>
      <c r="C3" s="137"/>
      <c r="D3" s="137"/>
      <c r="E3" s="137"/>
      <c r="F3" s="137"/>
      <c r="G3" s="137"/>
      <c r="H3" s="137"/>
      <c r="I3" s="137"/>
    </row>
    <row r="4" spans="1:9" x14ac:dyDescent="0.3">
      <c r="B4" s="137" t="s">
        <v>81</v>
      </c>
      <c r="C4" s="137"/>
      <c r="D4" s="137"/>
      <c r="E4" s="137"/>
      <c r="F4" s="137"/>
      <c r="G4" s="137"/>
    </row>
    <row r="5" spans="1:9" ht="15.75" customHeight="1" x14ac:dyDescent="0.3">
      <c r="B5" s="137"/>
      <c r="C5" s="137"/>
      <c r="D5" s="137"/>
      <c r="E5" s="137"/>
      <c r="F5" s="137"/>
      <c r="G5" s="137"/>
    </row>
    <row r="6" spans="1:9" x14ac:dyDescent="0.3">
      <c r="B6" s="200" t="s">
        <v>82</v>
      </c>
      <c r="C6" s="200"/>
      <c r="D6" s="200"/>
      <c r="E6" s="200"/>
      <c r="F6" s="200"/>
      <c r="G6" s="200"/>
    </row>
    <row r="7" spans="1:9" ht="2.25" customHeight="1" x14ac:dyDescent="0.3">
      <c r="B7" s="200"/>
      <c r="C7" s="200"/>
      <c r="D7" s="200"/>
      <c r="E7" s="200"/>
      <c r="F7" s="200"/>
      <c r="G7" s="200"/>
    </row>
    <row r="8" spans="1:9" x14ac:dyDescent="0.3">
      <c r="B8" s="200" t="s">
        <v>83</v>
      </c>
      <c r="C8" s="200"/>
      <c r="D8" s="200"/>
      <c r="E8" s="200"/>
      <c r="F8" s="200"/>
      <c r="G8" s="200"/>
    </row>
    <row r="9" spans="1:9" ht="4.5" customHeight="1" x14ac:dyDescent="0.3">
      <c r="B9" s="200"/>
      <c r="C9" s="200"/>
      <c r="D9" s="200"/>
      <c r="E9" s="200"/>
      <c r="F9" s="200"/>
      <c r="G9" s="200"/>
    </row>
    <row r="10" spans="1:9" x14ac:dyDescent="0.3">
      <c r="B10" s="200" t="s">
        <v>84</v>
      </c>
      <c r="C10" s="200"/>
      <c r="D10" s="200"/>
      <c r="E10" s="200"/>
      <c r="F10" s="200"/>
      <c r="G10" s="200"/>
    </row>
    <row r="11" spans="1:9" ht="3.75" customHeight="1" x14ac:dyDescent="0.3">
      <c r="B11" s="200"/>
      <c r="C11" s="200"/>
      <c r="D11" s="200"/>
      <c r="E11" s="200"/>
      <c r="F11" s="200"/>
      <c r="G11" s="200"/>
    </row>
    <row r="12" spans="1:9" x14ac:dyDescent="0.3">
      <c r="B12" s="200" t="s">
        <v>85</v>
      </c>
      <c r="C12" s="200"/>
      <c r="D12" s="200"/>
      <c r="E12" s="200"/>
      <c r="F12" s="200"/>
      <c r="G12" s="200"/>
    </row>
    <row r="13" spans="1:9" x14ac:dyDescent="0.3">
      <c r="B13" s="200"/>
      <c r="C13" s="200"/>
      <c r="D13" s="200"/>
      <c r="E13" s="200"/>
      <c r="F13" s="200"/>
      <c r="G13" s="200"/>
    </row>
  </sheetData>
  <sheetProtection password="D6D7" sheet="1" objects="1" scenarios="1"/>
  <mergeCells count="8">
    <mergeCell ref="B10:G11"/>
    <mergeCell ref="B12:G13"/>
    <mergeCell ref="A1:I1"/>
    <mergeCell ref="A2:I2"/>
    <mergeCell ref="A3:I3"/>
    <mergeCell ref="B4:G5"/>
    <mergeCell ref="B6:G7"/>
    <mergeCell ref="B8:G9"/>
  </mergeCells>
  <printOptions horizontalCentered="1"/>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5"/>
  <sheetViews>
    <sheetView view="pageLayout" topLeftCell="A45" zoomScaleNormal="100" workbookViewId="0">
      <selection activeCell="C10" sqref="C10:I11"/>
    </sheetView>
  </sheetViews>
  <sheetFormatPr defaultColWidth="9.109375" defaultRowHeight="14.4" x14ac:dyDescent="0.3"/>
  <cols>
    <col min="1" max="1" width="15.109375" style="75" customWidth="1"/>
    <col min="2" max="2" width="7.109375" style="75" customWidth="1"/>
    <col min="3" max="3" width="9.109375" style="75"/>
    <col min="4" max="4" width="12.33203125" style="75" customWidth="1"/>
    <col min="5" max="5" width="12.88671875" style="75" customWidth="1"/>
    <col min="6" max="6" width="8.5546875" style="75" customWidth="1"/>
    <col min="7" max="7" width="9.109375" style="75" customWidth="1"/>
    <col min="8" max="8" width="3.44140625" style="75" customWidth="1"/>
    <col min="9" max="9" width="9.109375" style="75" customWidth="1"/>
    <col min="10" max="16384" width="9.109375" style="75"/>
  </cols>
  <sheetData>
    <row r="1" spans="1:9" ht="18" customHeight="1" x14ac:dyDescent="0.35">
      <c r="A1" s="108" t="s">
        <v>216</v>
      </c>
      <c r="B1" s="109"/>
      <c r="C1" s="109"/>
      <c r="D1" s="109"/>
      <c r="E1" s="109"/>
      <c r="F1" s="109"/>
      <c r="G1" s="109"/>
      <c r="H1" s="109"/>
      <c r="I1" s="109"/>
    </row>
    <row r="2" spans="1:9" ht="18" customHeight="1" x14ac:dyDescent="0.3">
      <c r="A2" s="108" t="s">
        <v>217</v>
      </c>
      <c r="B2" s="108"/>
      <c r="C2" s="108"/>
      <c r="D2" s="108"/>
      <c r="E2" s="108"/>
      <c r="F2" s="108"/>
      <c r="G2" s="108"/>
      <c r="H2" s="108"/>
      <c r="I2" s="108"/>
    </row>
    <row r="3" spans="1:9" ht="18" customHeight="1" x14ac:dyDescent="0.3">
      <c r="A3" s="108" t="s">
        <v>218</v>
      </c>
      <c r="B3" s="108"/>
      <c r="C3" s="108"/>
      <c r="D3" s="108"/>
      <c r="E3" s="108"/>
      <c r="F3" s="108"/>
      <c r="G3" s="108"/>
      <c r="H3" s="108"/>
      <c r="I3" s="108"/>
    </row>
    <row r="4" spans="1:9" ht="7.5" customHeight="1" x14ac:dyDescent="0.3">
      <c r="A4" s="74"/>
      <c r="B4" s="74"/>
      <c r="C4" s="74"/>
      <c r="D4" s="74"/>
      <c r="E4" s="74"/>
      <c r="F4" s="74"/>
      <c r="G4" s="74"/>
      <c r="H4" s="74"/>
      <c r="I4" s="74"/>
    </row>
    <row r="5" spans="1:9" x14ac:dyDescent="0.3">
      <c r="A5" s="227" t="s">
        <v>206</v>
      </c>
      <c r="B5" s="228"/>
      <c r="C5" s="228"/>
      <c r="D5" s="228"/>
      <c r="E5" s="229"/>
      <c r="F5" s="213" t="s">
        <v>86</v>
      </c>
      <c r="G5" s="214"/>
      <c r="H5" s="214"/>
      <c r="I5" s="215"/>
    </row>
    <row r="6" spans="1:9" ht="15.75" customHeight="1" x14ac:dyDescent="0.3">
      <c r="A6" s="224" t="s">
        <v>87</v>
      </c>
      <c r="B6" s="225"/>
      <c r="C6" s="225"/>
      <c r="D6" s="225"/>
      <c r="E6" s="226"/>
      <c r="F6" s="39"/>
      <c r="G6" s="40"/>
      <c r="H6" s="41" t="s">
        <v>88</v>
      </c>
      <c r="I6" s="42"/>
    </row>
    <row r="7" spans="1:9" x14ac:dyDescent="0.3">
      <c r="A7" s="201" t="s">
        <v>89</v>
      </c>
      <c r="B7" s="202"/>
      <c r="C7" s="202"/>
      <c r="D7" s="202"/>
      <c r="E7" s="203"/>
      <c r="F7" s="216"/>
      <c r="G7" s="217"/>
      <c r="H7" s="217"/>
      <c r="I7" s="218"/>
    </row>
    <row r="8" spans="1:9" ht="14.4" customHeight="1" x14ac:dyDescent="0.3">
      <c r="A8" s="78" t="s">
        <v>90</v>
      </c>
      <c r="B8" s="77"/>
      <c r="C8" s="219">
        <f>'Pages 1-3'!B6</f>
        <v>0</v>
      </c>
      <c r="D8" s="219"/>
      <c r="E8" s="220"/>
      <c r="F8" s="78" t="s">
        <v>91</v>
      </c>
      <c r="G8" s="223">
        <f>'Pages 1-3'!B15</f>
        <v>0</v>
      </c>
      <c r="H8" s="219"/>
      <c r="I8" s="220"/>
    </row>
    <row r="9" spans="1:9" ht="14.4" customHeight="1" x14ac:dyDescent="0.3">
      <c r="A9" s="79"/>
      <c r="B9" s="80"/>
      <c r="C9" s="221"/>
      <c r="D9" s="221"/>
      <c r="E9" s="222"/>
      <c r="F9" s="76"/>
      <c r="G9" s="221"/>
      <c r="H9" s="221"/>
      <c r="I9" s="222"/>
    </row>
    <row r="10" spans="1:9" x14ac:dyDescent="0.3">
      <c r="A10" s="213" t="s">
        <v>92</v>
      </c>
      <c r="B10" s="214"/>
      <c r="C10" s="230" t="s">
        <v>103</v>
      </c>
      <c r="D10" s="230"/>
      <c r="E10" s="230"/>
      <c r="F10" s="230"/>
      <c r="G10" s="230"/>
      <c r="H10" s="230"/>
      <c r="I10" s="231"/>
    </row>
    <row r="11" spans="1:9" x14ac:dyDescent="0.3">
      <c r="A11" s="216"/>
      <c r="B11" s="217"/>
      <c r="C11" s="208"/>
      <c r="D11" s="208"/>
      <c r="E11" s="208"/>
      <c r="F11" s="208"/>
      <c r="G11" s="208"/>
      <c r="H11" s="208"/>
      <c r="I11" s="209"/>
    </row>
    <row r="12" spans="1:9" x14ac:dyDescent="0.3">
      <c r="A12" s="78" t="s">
        <v>93</v>
      </c>
      <c r="B12" s="230"/>
      <c r="C12" s="230"/>
      <c r="D12" s="230"/>
      <c r="E12" s="230"/>
      <c r="F12" s="230"/>
      <c r="G12" s="230"/>
      <c r="H12" s="230"/>
      <c r="I12" s="231"/>
    </row>
    <row r="13" spans="1:9" x14ac:dyDescent="0.3">
      <c r="A13" s="79"/>
      <c r="B13" s="208"/>
      <c r="C13" s="208"/>
      <c r="D13" s="208"/>
      <c r="E13" s="208"/>
      <c r="F13" s="208"/>
      <c r="G13" s="208"/>
      <c r="H13" s="208"/>
      <c r="I13" s="209"/>
    </row>
    <row r="14" spans="1:9" x14ac:dyDescent="0.3">
      <c r="A14" s="213" t="s">
        <v>104</v>
      </c>
      <c r="B14" s="214"/>
      <c r="C14" s="214"/>
      <c r="D14" s="214"/>
      <c r="E14" s="214"/>
      <c r="F14" s="214"/>
      <c r="G14" s="214"/>
      <c r="H14" s="214"/>
      <c r="I14" s="215"/>
    </row>
    <row r="15" spans="1:9" ht="15" customHeight="1" x14ac:dyDescent="0.3">
      <c r="A15" s="204"/>
      <c r="B15" s="205"/>
      <c r="C15" s="205"/>
      <c r="D15" s="205"/>
      <c r="E15" s="205"/>
      <c r="F15" s="205"/>
      <c r="G15" s="205"/>
      <c r="H15" s="205"/>
      <c r="I15" s="206"/>
    </row>
    <row r="16" spans="1:9" x14ac:dyDescent="0.3">
      <c r="A16" s="204"/>
      <c r="B16" s="205"/>
      <c r="C16" s="205"/>
      <c r="D16" s="205"/>
      <c r="E16" s="205"/>
      <c r="F16" s="205"/>
      <c r="G16" s="205"/>
      <c r="H16" s="205"/>
      <c r="I16" s="206"/>
    </row>
    <row r="17" spans="1:10" x14ac:dyDescent="0.3">
      <c r="A17" s="204"/>
      <c r="B17" s="205"/>
      <c r="C17" s="205"/>
      <c r="D17" s="205"/>
      <c r="E17" s="205"/>
      <c r="F17" s="205"/>
      <c r="G17" s="205"/>
      <c r="H17" s="205"/>
      <c r="I17" s="206"/>
    </row>
    <row r="18" spans="1:10" x14ac:dyDescent="0.3">
      <c r="A18" s="204"/>
      <c r="B18" s="205"/>
      <c r="C18" s="205"/>
      <c r="D18" s="205"/>
      <c r="E18" s="205"/>
      <c r="F18" s="205"/>
      <c r="G18" s="205"/>
      <c r="H18" s="205"/>
      <c r="I18" s="206"/>
    </row>
    <row r="19" spans="1:10" x14ac:dyDescent="0.3">
      <c r="A19" s="204"/>
      <c r="B19" s="205"/>
      <c r="C19" s="205"/>
      <c r="D19" s="205"/>
      <c r="E19" s="205"/>
      <c r="F19" s="205"/>
      <c r="G19" s="205"/>
      <c r="H19" s="205"/>
      <c r="I19" s="206"/>
    </row>
    <row r="20" spans="1:10" x14ac:dyDescent="0.3">
      <c r="A20" s="204"/>
      <c r="B20" s="205"/>
      <c r="C20" s="205"/>
      <c r="D20" s="205"/>
      <c r="E20" s="205"/>
      <c r="F20" s="205"/>
      <c r="G20" s="205"/>
      <c r="H20" s="205"/>
      <c r="I20" s="206"/>
    </row>
    <row r="21" spans="1:10" x14ac:dyDescent="0.3">
      <c r="A21" s="204"/>
      <c r="B21" s="205"/>
      <c r="C21" s="205"/>
      <c r="D21" s="205"/>
      <c r="E21" s="205"/>
      <c r="F21" s="205"/>
      <c r="G21" s="205"/>
      <c r="H21" s="205"/>
      <c r="I21" s="206"/>
    </row>
    <row r="22" spans="1:10" x14ac:dyDescent="0.3">
      <c r="A22" s="204"/>
      <c r="B22" s="205"/>
      <c r="C22" s="205"/>
      <c r="D22" s="205"/>
      <c r="E22" s="205"/>
      <c r="F22" s="205"/>
      <c r="G22" s="205"/>
      <c r="H22" s="205"/>
      <c r="I22" s="206"/>
    </row>
    <row r="23" spans="1:10" x14ac:dyDescent="0.3">
      <c r="A23" s="207"/>
      <c r="B23" s="208"/>
      <c r="C23" s="208"/>
      <c r="D23" s="208"/>
      <c r="E23" s="208"/>
      <c r="F23" s="208"/>
      <c r="G23" s="208"/>
      <c r="H23" s="208"/>
      <c r="I23" s="209"/>
    </row>
    <row r="24" spans="1:10" ht="15.75" customHeight="1" x14ac:dyDescent="0.3">
      <c r="A24" s="69" t="s">
        <v>207</v>
      </c>
      <c r="B24" s="70"/>
      <c r="C24" s="70"/>
      <c r="D24" s="70"/>
      <c r="E24" s="70"/>
      <c r="F24" s="210"/>
      <c r="G24" s="211"/>
      <c r="H24" s="211"/>
      <c r="I24" s="212"/>
      <c r="J24" s="45"/>
    </row>
    <row r="25" spans="1:10" ht="15.75" customHeight="1" x14ac:dyDescent="0.3">
      <c r="A25" s="69" t="s">
        <v>208</v>
      </c>
      <c r="B25" s="70"/>
      <c r="C25" s="70"/>
      <c r="D25" s="70"/>
      <c r="E25" s="70"/>
      <c r="F25" s="70"/>
      <c r="G25" s="70"/>
      <c r="H25" s="70"/>
      <c r="I25" s="103"/>
    </row>
    <row r="26" spans="1:10" x14ac:dyDescent="0.3">
      <c r="A26" s="213" t="s">
        <v>209</v>
      </c>
      <c r="B26" s="214"/>
      <c r="C26" s="214"/>
      <c r="D26" s="214"/>
      <c r="E26" s="214"/>
      <c r="F26" s="214"/>
      <c r="G26" s="214"/>
      <c r="H26" s="214"/>
      <c r="I26" s="215"/>
    </row>
    <row r="27" spans="1:10" ht="15" customHeight="1" x14ac:dyDescent="0.3">
      <c r="A27" s="250"/>
      <c r="B27" s="251"/>
      <c r="C27" s="251"/>
      <c r="D27" s="251"/>
      <c r="E27" s="251"/>
      <c r="F27" s="251"/>
      <c r="G27" s="251"/>
      <c r="H27" s="251"/>
      <c r="I27" s="252"/>
    </row>
    <row r="28" spans="1:10" x14ac:dyDescent="0.3">
      <c r="A28" s="253"/>
      <c r="B28" s="251"/>
      <c r="C28" s="251"/>
      <c r="D28" s="251"/>
      <c r="E28" s="251"/>
      <c r="F28" s="251"/>
      <c r="G28" s="251"/>
      <c r="H28" s="251"/>
      <c r="I28" s="252"/>
    </row>
    <row r="29" spans="1:10" x14ac:dyDescent="0.3">
      <c r="A29" s="253"/>
      <c r="B29" s="251"/>
      <c r="C29" s="251"/>
      <c r="D29" s="251"/>
      <c r="E29" s="251"/>
      <c r="F29" s="251"/>
      <c r="G29" s="251"/>
      <c r="H29" s="251"/>
      <c r="I29" s="252"/>
    </row>
    <row r="30" spans="1:10" x14ac:dyDescent="0.3">
      <c r="A30" s="253"/>
      <c r="B30" s="251"/>
      <c r="C30" s="251"/>
      <c r="D30" s="251"/>
      <c r="E30" s="251"/>
      <c r="F30" s="251"/>
      <c r="G30" s="251"/>
      <c r="H30" s="251"/>
      <c r="I30" s="252"/>
    </row>
    <row r="31" spans="1:10" x14ac:dyDescent="0.3">
      <c r="A31" s="253"/>
      <c r="B31" s="251"/>
      <c r="C31" s="251"/>
      <c r="D31" s="251"/>
      <c r="E31" s="251"/>
      <c r="F31" s="251"/>
      <c r="G31" s="251"/>
      <c r="H31" s="251"/>
      <c r="I31" s="252"/>
    </row>
    <row r="32" spans="1:10" x14ac:dyDescent="0.3">
      <c r="A32" s="253"/>
      <c r="B32" s="251"/>
      <c r="C32" s="251"/>
      <c r="D32" s="251"/>
      <c r="E32" s="251"/>
      <c r="F32" s="251"/>
      <c r="G32" s="251"/>
      <c r="H32" s="251"/>
      <c r="I32" s="252"/>
    </row>
    <row r="33" spans="1:9" x14ac:dyDescent="0.3">
      <c r="A33" s="253"/>
      <c r="B33" s="251"/>
      <c r="C33" s="251"/>
      <c r="D33" s="251"/>
      <c r="E33" s="251"/>
      <c r="F33" s="251"/>
      <c r="G33" s="251"/>
      <c r="H33" s="251"/>
      <c r="I33" s="252"/>
    </row>
    <row r="34" spans="1:9" x14ac:dyDescent="0.3">
      <c r="A34" s="253"/>
      <c r="B34" s="251"/>
      <c r="C34" s="251"/>
      <c r="D34" s="251"/>
      <c r="E34" s="251"/>
      <c r="F34" s="251"/>
      <c r="G34" s="251"/>
      <c r="H34" s="251"/>
      <c r="I34" s="252"/>
    </row>
    <row r="35" spans="1:9" x14ac:dyDescent="0.3">
      <c r="A35" s="253"/>
      <c r="B35" s="254"/>
      <c r="C35" s="254"/>
      <c r="D35" s="254"/>
      <c r="E35" s="254"/>
      <c r="F35" s="254"/>
      <c r="G35" s="254"/>
      <c r="H35" s="254"/>
      <c r="I35" s="252"/>
    </row>
    <row r="36" spans="1:9" x14ac:dyDescent="0.3">
      <c r="A36" s="255"/>
      <c r="B36" s="256"/>
      <c r="C36" s="256"/>
      <c r="D36" s="256"/>
      <c r="E36" s="256"/>
      <c r="F36" s="256"/>
      <c r="G36" s="256"/>
      <c r="H36" s="256"/>
      <c r="I36" s="257"/>
    </row>
    <row r="37" spans="1:9" x14ac:dyDescent="0.3">
      <c r="A37" s="255"/>
      <c r="B37" s="256"/>
      <c r="C37" s="256"/>
      <c r="D37" s="256"/>
      <c r="E37" s="256"/>
      <c r="F37" s="256"/>
      <c r="G37" s="256"/>
      <c r="H37" s="256"/>
      <c r="I37" s="257"/>
    </row>
    <row r="38" spans="1:9" ht="15" thickBot="1" x14ac:dyDescent="0.35">
      <c r="A38" s="258"/>
      <c r="B38" s="259"/>
      <c r="C38" s="259"/>
      <c r="D38" s="259"/>
      <c r="E38" s="259"/>
      <c r="F38" s="259"/>
      <c r="G38" s="259"/>
      <c r="H38" s="259"/>
      <c r="I38" s="260"/>
    </row>
    <row r="39" spans="1:9" x14ac:dyDescent="0.3">
      <c r="A39" s="233" t="s">
        <v>94</v>
      </c>
      <c r="B39" s="234"/>
      <c r="C39" s="234"/>
      <c r="D39" s="235"/>
      <c r="E39" s="235"/>
      <c r="F39" s="235"/>
      <c r="G39" s="235"/>
      <c r="H39" s="235"/>
      <c r="I39" s="236"/>
    </row>
    <row r="40" spans="1:9" x14ac:dyDescent="0.3">
      <c r="A40" s="239"/>
      <c r="B40" s="240"/>
      <c r="C40" s="240"/>
      <c r="D40" s="237"/>
      <c r="E40" s="237"/>
      <c r="F40" s="237"/>
      <c r="G40" s="237"/>
      <c r="H40" s="237"/>
      <c r="I40" s="238"/>
    </row>
    <row r="41" spans="1:9" x14ac:dyDescent="0.3">
      <c r="A41" s="241" t="s">
        <v>210</v>
      </c>
      <c r="B41" s="242"/>
      <c r="C41" s="242"/>
      <c r="D41" s="242"/>
      <c r="E41" s="242"/>
      <c r="F41" s="242"/>
      <c r="G41" s="242"/>
      <c r="H41" s="242"/>
      <c r="I41" s="243"/>
    </row>
    <row r="42" spans="1:9" x14ac:dyDescent="0.3">
      <c r="A42" s="244" t="s">
        <v>211</v>
      </c>
      <c r="B42" s="245"/>
      <c r="C42" s="245"/>
      <c r="D42" s="245"/>
      <c r="E42" s="245"/>
      <c r="F42" s="245"/>
      <c r="G42" s="245"/>
      <c r="H42" s="245"/>
      <c r="I42" s="246"/>
    </row>
    <row r="43" spans="1:9" x14ac:dyDescent="0.3">
      <c r="A43" s="247"/>
      <c r="B43" s="248"/>
      <c r="C43" s="248"/>
      <c r="D43" s="248"/>
      <c r="E43" s="248"/>
      <c r="F43" s="248"/>
      <c r="G43" s="248"/>
      <c r="H43" s="248"/>
      <c r="I43" s="249"/>
    </row>
    <row r="44" spans="1:9" x14ac:dyDescent="0.3">
      <c r="A44" s="247"/>
      <c r="B44" s="248"/>
      <c r="C44" s="248"/>
      <c r="D44" s="248"/>
      <c r="E44" s="248"/>
      <c r="F44" s="248"/>
      <c r="G44" s="248"/>
      <c r="H44" s="248"/>
      <c r="I44" s="249"/>
    </row>
    <row r="45" spans="1:9" x14ac:dyDescent="0.3">
      <c r="A45" s="232" t="s">
        <v>105</v>
      </c>
      <c r="B45" s="232"/>
      <c r="C45" s="232"/>
      <c r="D45" s="232"/>
      <c r="E45" s="232"/>
      <c r="F45" s="232"/>
      <c r="G45" s="232"/>
      <c r="H45" s="232"/>
      <c r="I45" s="232"/>
    </row>
  </sheetData>
  <sheetProtection password="D6D7" sheet="1" objects="1" scenarios="1" formatCells="0" formatColumns="0" formatRows="0"/>
  <dataConsolidate/>
  <mergeCells count="26">
    <mergeCell ref="A27:I38"/>
    <mergeCell ref="B12:I13"/>
    <mergeCell ref="A14:I14"/>
    <mergeCell ref="A45:I45"/>
    <mergeCell ref="A39:C39"/>
    <mergeCell ref="D39:I40"/>
    <mergeCell ref="A40:C40"/>
    <mergeCell ref="A41:I41"/>
    <mergeCell ref="A42:I42"/>
    <mergeCell ref="A43:I44"/>
    <mergeCell ref="A6:E6"/>
    <mergeCell ref="A1:I1"/>
    <mergeCell ref="A2:I2"/>
    <mergeCell ref="A3:I3"/>
    <mergeCell ref="A5:E5"/>
    <mergeCell ref="F5:I5"/>
    <mergeCell ref="A7:E7"/>
    <mergeCell ref="A15:I23"/>
    <mergeCell ref="F24:I24"/>
    <mergeCell ref="A26:I26"/>
    <mergeCell ref="F7:I7"/>
    <mergeCell ref="C8:E9"/>
    <mergeCell ref="G8:I9"/>
    <mergeCell ref="A10:B10"/>
    <mergeCell ref="C10:I11"/>
    <mergeCell ref="A11:B11"/>
  </mergeCells>
  <printOptions horizontalCentered="1"/>
  <pageMargins left="0.7" right="0.7" top="0.75" bottom="0.75" header="0.3" footer="0.3"/>
  <pageSetup orientation="portrait" r:id="rId1"/>
  <headerFooter>
    <oddFooter>&amp;LFor Official Government Use Only
USDA, AMS, FV, Specialty Crops Inspection Division&amp;R
USDA Checklist 
Version 1.1</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Pages 1-3</vt:lpstr>
      <vt:lpstr>Scoresheet</vt:lpstr>
      <vt:lpstr>Checklist</vt:lpstr>
      <vt:lpstr>CAR Duplication Instructions</vt:lpstr>
      <vt:lpstr>Corrective Action Report </vt:lpstr>
      <vt:lpstr>Checklist!Print_Titles</vt:lpstr>
    </vt:vector>
  </TitlesOfParts>
  <Company>USDA AMS FV</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kpetersen</dc:creator>
  <cp:lastModifiedBy>Burke-Fonda, Donna - AMS</cp:lastModifiedBy>
  <cp:lastPrinted>2012-08-24T18:13:07Z</cp:lastPrinted>
  <dcterms:created xsi:type="dcterms:W3CDTF">2011-01-10T16:10:11Z</dcterms:created>
  <dcterms:modified xsi:type="dcterms:W3CDTF">2013-05-01T16:22:03Z</dcterms:modified>
</cp:coreProperties>
</file>