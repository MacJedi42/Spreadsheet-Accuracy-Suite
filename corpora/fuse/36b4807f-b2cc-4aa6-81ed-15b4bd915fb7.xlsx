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875" yWindow="15" windowWidth="7500" windowHeight="8310" tabRatio="984" activeTab="3"/>
  </bookViews>
  <sheets>
    <sheet name="2011-12" sheetId="17" r:id="rId1"/>
    <sheet name="2010-11" sheetId="16" r:id="rId2"/>
    <sheet name="2009-10" sheetId="15" r:id="rId3"/>
    <sheet name="2008-09" sheetId="14" r:id="rId4"/>
    <sheet name="2007-08" sheetId="13" r:id="rId5"/>
    <sheet name="2006-07" sheetId="12" r:id="rId6"/>
    <sheet name="2005-06" sheetId="11" r:id="rId7"/>
    <sheet name="2004-05" sheetId="10" r:id="rId8"/>
    <sheet name="2003-04" sheetId="9" r:id="rId9"/>
    <sheet name="2002-03" sheetId="8" r:id="rId10"/>
    <sheet name="2001-02" sheetId="7" r:id="rId11"/>
    <sheet name="2000-01" sheetId="6" r:id="rId12"/>
    <sheet name="1999-00" sheetId="5" r:id="rId13"/>
    <sheet name="1998-99" sheetId="4" r:id="rId14"/>
    <sheet name="1997-98" sheetId="3" r:id="rId15"/>
    <sheet name="1996-97" sheetId="2" r:id="rId16"/>
    <sheet name="1995-96" sheetId="1" r:id="rId17"/>
  </sheets>
  <definedNames>
    <definedName name="_xlnm.Print_Titles" localSheetId="16">'1995-96'!$5:$6</definedName>
    <definedName name="_xlnm.Print_Titles" localSheetId="15">'1996-97'!$5:$6</definedName>
    <definedName name="_xlnm.Print_Titles" localSheetId="14">'1997-98'!$5:$6</definedName>
    <definedName name="_xlnm.Print_Titles" localSheetId="13">'1998-99'!$5:$6</definedName>
    <definedName name="_xlnm.Print_Titles" localSheetId="12">'1999-00'!$5:$6</definedName>
    <definedName name="_xlnm.Print_Titles" localSheetId="11">'2000-01'!$5:$6</definedName>
    <definedName name="_xlnm.Print_Titles" localSheetId="10">'2001-02'!$5:$6</definedName>
    <definedName name="_xlnm.Print_Titles" localSheetId="9">'2002-03'!$5:$6</definedName>
    <definedName name="_xlnm.Print_Titles" localSheetId="8">'2003-04'!$5:$6</definedName>
    <definedName name="_xlnm.Print_Titles" localSheetId="7">'2004-05'!$5:$6</definedName>
    <definedName name="_xlnm.Print_Titles" localSheetId="6">'2005-06'!$5:$6</definedName>
    <definedName name="_xlnm.Print_Titles" localSheetId="5">'2006-07'!$5:$6</definedName>
    <definedName name="_xlnm.Print_Titles" localSheetId="4">'2007-08'!$5:$6</definedName>
    <definedName name="_xlnm.Print_Titles" localSheetId="3">'2008-09'!$5:$6</definedName>
    <definedName name="_xlnm.Print_Titles" localSheetId="2">'2009-10'!$5:$6</definedName>
    <definedName name="_xlnm.Print_Titles" localSheetId="1">'2010-11'!$5:$6</definedName>
    <definedName name="_xlnm.Print_Titles" localSheetId="0">'2011-12'!$5:$6</definedName>
  </definedNames>
  <calcPr calcId="145621"/>
</workbook>
</file>

<file path=xl/calcChain.xml><?xml version="1.0" encoding="utf-8"?>
<calcChain xmlns="http://schemas.openxmlformats.org/spreadsheetml/2006/main">
  <c r="F11" i="11" l="1"/>
  <c r="E11" i="11"/>
  <c r="C11" i="11"/>
  <c r="B11" i="11"/>
  <c r="C10" i="11"/>
  <c r="I9" i="11"/>
  <c r="H9" i="11"/>
  <c r="G9" i="11"/>
  <c r="F10" i="11" s="1"/>
  <c r="D9" i="11"/>
  <c r="B10" i="11" s="1"/>
  <c r="I7" i="11"/>
  <c r="H7" i="11"/>
  <c r="H11" i="11" s="1"/>
  <c r="G7" i="11"/>
  <c r="D7" i="11"/>
  <c r="D11" i="11" s="1"/>
  <c r="D9" i="14"/>
  <c r="F11" i="17"/>
  <c r="E11" i="17"/>
  <c r="C11" i="17"/>
  <c r="B11" i="17"/>
  <c r="F10" i="17"/>
  <c r="E10" i="17"/>
  <c r="I9" i="17"/>
  <c r="J9" i="17" s="1"/>
  <c r="H9" i="17"/>
  <c r="G9" i="17"/>
  <c r="D9" i="17"/>
  <c r="C10" i="17" s="1"/>
  <c r="C8" i="17"/>
  <c r="I7" i="17"/>
  <c r="H7" i="17"/>
  <c r="H11" i="17" s="1"/>
  <c r="G7" i="17"/>
  <c r="G11" i="17" s="1"/>
  <c r="D7" i="17"/>
  <c r="F11" i="16"/>
  <c r="E11" i="16"/>
  <c r="C11" i="16"/>
  <c r="B11" i="16"/>
  <c r="I9" i="16"/>
  <c r="H9" i="16"/>
  <c r="G9" i="16"/>
  <c r="F10" i="16" s="1"/>
  <c r="D9" i="16"/>
  <c r="C10" i="16" s="1"/>
  <c r="I7" i="16"/>
  <c r="H7" i="16"/>
  <c r="H11" i="16" s="1"/>
  <c r="G7" i="16"/>
  <c r="D7" i="16"/>
  <c r="F11" i="15"/>
  <c r="E11" i="15"/>
  <c r="C11" i="15"/>
  <c r="B11" i="15"/>
  <c r="C10" i="15"/>
  <c r="B10" i="15"/>
  <c r="I9" i="15"/>
  <c r="I11" i="15" s="1"/>
  <c r="H9" i="15"/>
  <c r="G9" i="15"/>
  <c r="E10" i="15" s="1"/>
  <c r="D9" i="15"/>
  <c r="I7" i="15"/>
  <c r="H7" i="15"/>
  <c r="G7" i="15"/>
  <c r="D7" i="15"/>
  <c r="D11" i="15" s="1"/>
  <c r="C12" i="15" s="1"/>
  <c r="F11" i="14"/>
  <c r="E11" i="14"/>
  <c r="C11" i="14"/>
  <c r="B11" i="14"/>
  <c r="F10" i="14"/>
  <c r="E10" i="14"/>
  <c r="I9" i="14"/>
  <c r="H9" i="14"/>
  <c r="G9" i="14"/>
  <c r="C10" i="14"/>
  <c r="C8" i="14"/>
  <c r="I7" i="14"/>
  <c r="H7" i="14"/>
  <c r="H11" i="14" s="1"/>
  <c r="G7" i="14"/>
  <c r="G11" i="14" s="1"/>
  <c r="D7" i="14"/>
  <c r="F11" i="13"/>
  <c r="E11" i="13"/>
  <c r="C11" i="13"/>
  <c r="B11" i="13"/>
  <c r="I9" i="13"/>
  <c r="H9" i="13"/>
  <c r="G9" i="13"/>
  <c r="F10" i="13" s="1"/>
  <c r="D9" i="13"/>
  <c r="B10" i="13" s="1"/>
  <c r="C8" i="13"/>
  <c r="B8" i="13"/>
  <c r="I7" i="13"/>
  <c r="I11" i="13" s="1"/>
  <c r="H7" i="13"/>
  <c r="G7" i="13"/>
  <c r="D7" i="13"/>
  <c r="D7" i="12"/>
  <c r="B8" i="12" s="1"/>
  <c r="G7" i="12"/>
  <c r="E8" i="12" s="1"/>
  <c r="H7" i="12"/>
  <c r="I7" i="12"/>
  <c r="J7" i="12" s="1"/>
  <c r="D9" i="12"/>
  <c r="B10" i="12" s="1"/>
  <c r="G9" i="12"/>
  <c r="E10" i="12" s="1"/>
  <c r="H9" i="12"/>
  <c r="I9" i="12"/>
  <c r="J9" i="12" s="1"/>
  <c r="G7" i="9"/>
  <c r="E10" i="11" l="1"/>
  <c r="G11" i="11"/>
  <c r="I11" i="11"/>
  <c r="B8" i="11"/>
  <c r="C8" i="11"/>
  <c r="B12" i="11"/>
  <c r="C12" i="11"/>
  <c r="E12" i="11"/>
  <c r="F12" i="11"/>
  <c r="E8" i="11"/>
  <c r="J9" i="11"/>
  <c r="I10" i="11" s="1"/>
  <c r="F8" i="11"/>
  <c r="J7" i="11"/>
  <c r="D11" i="17"/>
  <c r="E8" i="17"/>
  <c r="E10" i="16"/>
  <c r="G11" i="16"/>
  <c r="I11" i="16"/>
  <c r="D11" i="16"/>
  <c r="E8" i="16"/>
  <c r="F8" i="16"/>
  <c r="E12" i="16"/>
  <c r="F12" i="16"/>
  <c r="C8" i="16"/>
  <c r="B8" i="16"/>
  <c r="G11" i="15"/>
  <c r="F10" i="15"/>
  <c r="H11" i="15"/>
  <c r="E8" i="15"/>
  <c r="F8" i="15"/>
  <c r="B8" i="15"/>
  <c r="C8" i="15"/>
  <c r="I11" i="14"/>
  <c r="D11" i="14"/>
  <c r="E8" i="14"/>
  <c r="F8" i="14"/>
  <c r="E12" i="14"/>
  <c r="B8" i="14"/>
  <c r="C12" i="14"/>
  <c r="G11" i="13"/>
  <c r="E10" i="13"/>
  <c r="D11" i="13"/>
  <c r="H11" i="13"/>
  <c r="C10" i="13"/>
  <c r="B12" i="13"/>
  <c r="I10" i="12"/>
  <c r="H10" i="12"/>
  <c r="F8" i="12"/>
  <c r="C8" i="12"/>
  <c r="H10" i="17"/>
  <c r="B12" i="17"/>
  <c r="C12" i="17"/>
  <c r="E12" i="17"/>
  <c r="F12" i="17"/>
  <c r="B8" i="17"/>
  <c r="I10" i="17"/>
  <c r="I11" i="17"/>
  <c r="F8" i="17"/>
  <c r="B10" i="17"/>
  <c r="J7" i="17"/>
  <c r="J11" i="17" s="1"/>
  <c r="H12" i="17" s="1"/>
  <c r="B12" i="16"/>
  <c r="C12" i="16"/>
  <c r="J9" i="16"/>
  <c r="I10" i="16" s="1"/>
  <c r="B10" i="16"/>
  <c r="J7" i="16"/>
  <c r="E12" i="15"/>
  <c r="B12" i="15"/>
  <c r="F12" i="15"/>
  <c r="J9" i="15"/>
  <c r="I10" i="15" s="1"/>
  <c r="J7" i="15"/>
  <c r="H8" i="15" s="1"/>
  <c r="B12" i="14"/>
  <c r="F12" i="14"/>
  <c r="J9" i="14"/>
  <c r="I10" i="14" s="1"/>
  <c r="B10" i="14"/>
  <c r="J7" i="14"/>
  <c r="I10" i="13"/>
  <c r="C12" i="13"/>
  <c r="E12" i="13"/>
  <c r="F12" i="13"/>
  <c r="E8" i="13"/>
  <c r="J9" i="13"/>
  <c r="H10" i="13" s="1"/>
  <c r="F8" i="13"/>
  <c r="J7" i="13"/>
  <c r="H8" i="12"/>
  <c r="F10" i="12"/>
  <c r="I8" i="12"/>
  <c r="C10" i="12"/>
  <c r="I11" i="12"/>
  <c r="H11" i="12"/>
  <c r="F11" i="12"/>
  <c r="E11" i="12"/>
  <c r="C11" i="12"/>
  <c r="B11" i="12"/>
  <c r="G11" i="12"/>
  <c r="D11" i="12"/>
  <c r="I11" i="10"/>
  <c r="H11" i="10"/>
  <c r="F11" i="10"/>
  <c r="E11" i="10"/>
  <c r="C11" i="10"/>
  <c r="B11" i="10"/>
  <c r="J9" i="10"/>
  <c r="I10" i="10" s="1"/>
  <c r="G9" i="10"/>
  <c r="F10" i="10" s="1"/>
  <c r="D9" i="10"/>
  <c r="B10" i="10" s="1"/>
  <c r="J7" i="10"/>
  <c r="H8" i="10" s="1"/>
  <c r="G7" i="10"/>
  <c r="E8" i="10" s="1"/>
  <c r="D7" i="10"/>
  <c r="D11" i="10" s="1"/>
  <c r="I11" i="9"/>
  <c r="H11" i="9"/>
  <c r="F11" i="9"/>
  <c r="E11" i="9"/>
  <c r="C11" i="9"/>
  <c r="B11" i="9"/>
  <c r="J9" i="9"/>
  <c r="H10" i="9" s="1"/>
  <c r="G9" i="9"/>
  <c r="F10" i="9" s="1"/>
  <c r="D9" i="9"/>
  <c r="B10" i="9" s="1"/>
  <c r="J7" i="9"/>
  <c r="I8" i="9" s="1"/>
  <c r="E8" i="9"/>
  <c r="D7" i="9"/>
  <c r="I11" i="8"/>
  <c r="H11" i="8"/>
  <c r="F11" i="8"/>
  <c r="E11" i="8"/>
  <c r="C11" i="8"/>
  <c r="B11" i="8"/>
  <c r="J9" i="8"/>
  <c r="H10" i="8" s="1"/>
  <c r="G9" i="8"/>
  <c r="F10" i="8" s="1"/>
  <c r="D9" i="8"/>
  <c r="B10" i="8" s="1"/>
  <c r="J7" i="8"/>
  <c r="G7" i="8"/>
  <c r="D7" i="8"/>
  <c r="I11" i="7"/>
  <c r="H11" i="7"/>
  <c r="F11" i="7"/>
  <c r="E11" i="7"/>
  <c r="C11" i="7"/>
  <c r="B11" i="7"/>
  <c r="F10" i="7"/>
  <c r="J9" i="7"/>
  <c r="H10" i="7" s="1"/>
  <c r="E10" i="7"/>
  <c r="C10" i="7"/>
  <c r="B8" i="7"/>
  <c r="J7" i="7"/>
  <c r="G7" i="7"/>
  <c r="F8" i="7" s="1"/>
  <c r="D7" i="7"/>
  <c r="D11" i="7" s="1"/>
  <c r="I11" i="6"/>
  <c r="H11" i="6"/>
  <c r="F11" i="6"/>
  <c r="E11" i="6"/>
  <c r="C11" i="6"/>
  <c r="B11" i="6"/>
  <c r="J9" i="6"/>
  <c r="H10" i="6" s="1"/>
  <c r="G9" i="6"/>
  <c r="E10" i="6" s="1"/>
  <c r="D9" i="6"/>
  <c r="B10" i="6" s="1"/>
  <c r="J7" i="6"/>
  <c r="I8" i="6" s="1"/>
  <c r="G7" i="6"/>
  <c r="D7" i="6"/>
  <c r="I11" i="5"/>
  <c r="H11" i="5"/>
  <c r="F11" i="5"/>
  <c r="E11" i="5"/>
  <c r="C11" i="5"/>
  <c r="B11" i="5"/>
  <c r="I10" i="5"/>
  <c r="J9" i="5"/>
  <c r="H10" i="5" s="1"/>
  <c r="G9" i="5"/>
  <c r="F10" i="5" s="1"/>
  <c r="D9" i="5"/>
  <c r="B10" i="5" s="1"/>
  <c r="J7" i="5"/>
  <c r="I8" i="5" s="1"/>
  <c r="G7" i="5"/>
  <c r="G11" i="5" s="1"/>
  <c r="D7" i="5"/>
  <c r="I11" i="4"/>
  <c r="H11" i="4"/>
  <c r="F11" i="4"/>
  <c r="E11" i="4"/>
  <c r="C11" i="4"/>
  <c r="B11" i="4"/>
  <c r="J9" i="4"/>
  <c r="H10" i="4" s="1"/>
  <c r="G9" i="4"/>
  <c r="E10" i="4" s="1"/>
  <c r="D9" i="4"/>
  <c r="B10" i="4" s="1"/>
  <c r="J7" i="4"/>
  <c r="I8" i="4" s="1"/>
  <c r="G7" i="4"/>
  <c r="D7" i="4"/>
  <c r="I11" i="3"/>
  <c r="H11" i="3"/>
  <c r="F11" i="3"/>
  <c r="E11" i="3"/>
  <c r="C11" i="3"/>
  <c r="B11" i="3"/>
  <c r="J9" i="3"/>
  <c r="H10" i="3" s="1"/>
  <c r="G9" i="3"/>
  <c r="F10" i="3" s="1"/>
  <c r="D9" i="3"/>
  <c r="B10" i="3" s="1"/>
  <c r="J7" i="3"/>
  <c r="I8" i="3" s="1"/>
  <c r="G7" i="3"/>
  <c r="D7" i="3"/>
  <c r="H10" i="11" l="1"/>
  <c r="I8" i="11"/>
  <c r="H8" i="11"/>
  <c r="J11" i="11"/>
  <c r="J11" i="16"/>
  <c r="H12" i="16" s="1"/>
  <c r="H8" i="17"/>
  <c r="I12" i="17"/>
  <c r="I8" i="17"/>
  <c r="I12" i="16"/>
  <c r="I8" i="16"/>
  <c r="H10" i="16"/>
  <c r="H8" i="16"/>
  <c r="H10" i="15"/>
  <c r="I8" i="15"/>
  <c r="J11" i="15"/>
  <c r="H10" i="14"/>
  <c r="I8" i="14"/>
  <c r="H8" i="14"/>
  <c r="J11" i="14"/>
  <c r="I8" i="13"/>
  <c r="H8" i="13"/>
  <c r="J11" i="13"/>
  <c r="H10" i="10"/>
  <c r="I8" i="10"/>
  <c r="I10" i="9"/>
  <c r="D11" i="9"/>
  <c r="B8" i="9"/>
  <c r="I10" i="8"/>
  <c r="I8" i="8"/>
  <c r="H8" i="8"/>
  <c r="G11" i="8"/>
  <c r="E12" i="8" s="1"/>
  <c r="D11" i="8"/>
  <c r="J11" i="7"/>
  <c r="H12" i="7" s="1"/>
  <c r="B10" i="7"/>
  <c r="H8" i="7"/>
  <c r="I8" i="7"/>
  <c r="G11" i="7"/>
  <c r="E12" i="7" s="1"/>
  <c r="B12" i="7"/>
  <c r="G11" i="6"/>
  <c r="F10" i="6"/>
  <c r="D11" i="6"/>
  <c r="B12" i="6" s="1"/>
  <c r="H8" i="6"/>
  <c r="E12" i="6"/>
  <c r="B8" i="6"/>
  <c r="D11" i="5"/>
  <c r="E12" i="5"/>
  <c r="F12" i="5"/>
  <c r="H8" i="4"/>
  <c r="G11" i="4"/>
  <c r="F10" i="4"/>
  <c r="D11" i="4"/>
  <c r="B12" i="4" s="1"/>
  <c r="E12" i="4"/>
  <c r="B8" i="4"/>
  <c r="I10" i="3"/>
  <c r="G11" i="3"/>
  <c r="D11" i="3"/>
  <c r="B8" i="3"/>
  <c r="E12" i="12"/>
  <c r="F12" i="12"/>
  <c r="B12" i="12"/>
  <c r="C12" i="12"/>
  <c r="J11" i="12"/>
  <c r="I12" i="12" s="1"/>
  <c r="B12" i="10"/>
  <c r="C12" i="10"/>
  <c r="F8" i="10"/>
  <c r="E10" i="10"/>
  <c r="J11" i="10"/>
  <c r="I12" i="10" s="1"/>
  <c r="B8" i="10"/>
  <c r="G11" i="10"/>
  <c r="F12" i="10" s="1"/>
  <c r="C10" i="10"/>
  <c r="C8" i="10"/>
  <c r="B12" i="9"/>
  <c r="C12" i="9"/>
  <c r="F8" i="9"/>
  <c r="E10" i="9"/>
  <c r="J11" i="9"/>
  <c r="H12" i="9" s="1"/>
  <c r="C10" i="9"/>
  <c r="H8" i="9"/>
  <c r="G11" i="9"/>
  <c r="E12" i="9" s="1"/>
  <c r="C8" i="9"/>
  <c r="F12" i="8"/>
  <c r="B12" i="8"/>
  <c r="C12" i="8"/>
  <c r="E8" i="8"/>
  <c r="F8" i="8"/>
  <c r="E10" i="8"/>
  <c r="J11" i="8"/>
  <c r="I12" i="8" s="1"/>
  <c r="B8" i="8"/>
  <c r="C10" i="8"/>
  <c r="C8" i="8"/>
  <c r="C12" i="7"/>
  <c r="I12" i="7"/>
  <c r="E8" i="7"/>
  <c r="I10" i="7"/>
  <c r="C8" i="7"/>
  <c r="F12" i="6"/>
  <c r="C12" i="6"/>
  <c r="E8" i="6"/>
  <c r="C10" i="6"/>
  <c r="I10" i="6"/>
  <c r="F8" i="6"/>
  <c r="J11" i="6"/>
  <c r="H12" i="6" s="1"/>
  <c r="C8" i="6"/>
  <c r="B12" i="5"/>
  <c r="C12" i="5"/>
  <c r="E8" i="5"/>
  <c r="F8" i="5"/>
  <c r="E10" i="5"/>
  <c r="J11" i="5"/>
  <c r="H12" i="5" s="1"/>
  <c r="B8" i="5"/>
  <c r="H8" i="5"/>
  <c r="C10" i="5"/>
  <c r="C8" i="5"/>
  <c r="F12" i="4"/>
  <c r="C12" i="4"/>
  <c r="E8" i="4"/>
  <c r="C10" i="4"/>
  <c r="I10" i="4"/>
  <c r="F8" i="4"/>
  <c r="J11" i="4"/>
  <c r="H12" i="4" s="1"/>
  <c r="C8" i="4"/>
  <c r="E12" i="3"/>
  <c r="F12" i="3"/>
  <c r="B12" i="3"/>
  <c r="C12" i="3"/>
  <c r="E8" i="3"/>
  <c r="C10" i="3"/>
  <c r="F8" i="3"/>
  <c r="E10" i="3"/>
  <c r="J11" i="3"/>
  <c r="H12" i="3" s="1"/>
  <c r="H8" i="3"/>
  <c r="C8" i="3"/>
  <c r="I11" i="2"/>
  <c r="H11" i="2"/>
  <c r="F11" i="2"/>
  <c r="E11" i="2"/>
  <c r="C11" i="2"/>
  <c r="B11" i="2"/>
  <c r="J9" i="2"/>
  <c r="H10" i="2" s="1"/>
  <c r="G9" i="2"/>
  <c r="E10" i="2" s="1"/>
  <c r="D9" i="2"/>
  <c r="B10" i="2" s="1"/>
  <c r="J7" i="2"/>
  <c r="I8" i="2" s="1"/>
  <c r="G7" i="2"/>
  <c r="F8" i="2" s="1"/>
  <c r="D7" i="2"/>
  <c r="H12" i="11" l="1"/>
  <c r="I12" i="11"/>
  <c r="H12" i="15"/>
  <c r="I12" i="15"/>
  <c r="H12" i="14"/>
  <c r="I12" i="14"/>
  <c r="H12" i="13"/>
  <c r="I12" i="13"/>
  <c r="H12" i="10"/>
  <c r="E12" i="10"/>
  <c r="I12" i="9"/>
  <c r="H12" i="8"/>
  <c r="F12" i="7"/>
  <c r="H12" i="12"/>
  <c r="F12" i="9"/>
  <c r="I12" i="6"/>
  <c r="I12" i="5"/>
  <c r="I12" i="4"/>
  <c r="I12" i="3"/>
  <c r="I10" i="2"/>
  <c r="D11" i="2"/>
  <c r="C12" i="2" s="1"/>
  <c r="E8" i="2"/>
  <c r="C10" i="2"/>
  <c r="J11" i="2"/>
  <c r="H12" i="2" s="1"/>
  <c r="B8" i="2"/>
  <c r="H8" i="2"/>
  <c r="F10" i="2"/>
  <c r="G11" i="2"/>
  <c r="E12" i="2" s="1"/>
  <c r="C8" i="2"/>
  <c r="I12" i="1"/>
  <c r="H12" i="1"/>
  <c r="F12" i="1"/>
  <c r="E12" i="1"/>
  <c r="H11" i="1"/>
  <c r="I11" i="1"/>
  <c r="J11" i="1"/>
  <c r="E11" i="1"/>
  <c r="F11" i="1"/>
  <c r="G11" i="1"/>
  <c r="C12" i="1"/>
  <c r="D11" i="1"/>
  <c r="B12" i="1" s="1"/>
  <c r="C11" i="1"/>
  <c r="B11" i="1"/>
  <c r="G9" i="1"/>
  <c r="E10" i="1" s="1"/>
  <c r="J9" i="1"/>
  <c r="I10" i="1" s="1"/>
  <c r="J7" i="1"/>
  <c r="I8" i="1" s="1"/>
  <c r="G7" i="1"/>
  <c r="F8" i="1" s="1"/>
  <c r="D9" i="1"/>
  <c r="C10" i="1" s="1"/>
  <c r="D7" i="1"/>
  <c r="C8" i="1" s="1"/>
  <c r="B12" i="2" l="1"/>
  <c r="I12" i="2"/>
  <c r="F12" i="2"/>
  <c r="B8" i="1"/>
  <c r="B10" i="1"/>
  <c r="E8" i="1"/>
  <c r="F10" i="1"/>
  <c r="H8" i="1"/>
  <c r="H10" i="1"/>
</calcChain>
</file>

<file path=xl/sharedStrings.xml><?xml version="1.0" encoding="utf-8"?>
<sst xmlns="http://schemas.openxmlformats.org/spreadsheetml/2006/main" count="340" uniqueCount="27">
  <si>
    <t>Total</t>
  </si>
  <si>
    <t>1995-96</t>
  </si>
  <si>
    <t>Undergraduate</t>
  </si>
  <si>
    <t>Graduate</t>
  </si>
  <si>
    <t>Full Time</t>
  </si>
  <si>
    <t>Part Time</t>
  </si>
  <si>
    <t>Table F</t>
  </si>
  <si>
    <t>Student Numbers by Gender and Method of Study</t>
  </si>
  <si>
    <t>Male</t>
  </si>
  <si>
    <t>Female</t>
  </si>
  <si>
    <t>%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</si>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</sst>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4" xfId="0" applyFont="1" applyBorder="1"/>
    <xf numFmtId="0" fontId="3" fillId="0" borderId="6" xfId="0" applyFont="1" applyBorder="1"/>
    <xf numFmtId="0" fontId="6" fillId="0" borderId="8" xfId="0" applyFont="1" applyBorder="1"/>
    <xf numFmtId="0" fontId="8" fillId="2" borderId="15" xfId="0" applyFont="1" applyFill="1" applyBorder="1" applyAlignment="1">
      <alignment horizontal="center"/>
    </xf>
    <xf numFmtId="0" fontId="6" fillId="0" borderId="13" xfId="0" applyFont="1" applyBorder="1"/>
    <xf numFmtId="0" fontId="8" fillId="2" borderId="16" xfId="0" applyFont="1" applyFill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8" fillId="2" borderId="22" xfId="0" applyFont="1" applyFill="1" applyBorder="1" applyAlignment="1">
      <alignment horizontal="center"/>
    </xf>
    <xf numFmtId="0" fontId="6" fillId="0" borderId="23" xfId="0" applyFont="1" applyBorder="1"/>
    <xf numFmtId="0" fontId="3" fillId="0" borderId="9" xfId="0" applyFont="1" applyBorder="1"/>
    <xf numFmtId="0" fontId="8" fillId="2" borderId="21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9" fontId="6" fillId="0" borderId="13" xfId="0" applyNumberFormat="1" applyFont="1" applyBorder="1"/>
    <xf numFmtId="9" fontId="3" fillId="0" borderId="2" xfId="0" applyNumberFormat="1" applyFont="1" applyBorder="1"/>
    <xf numFmtId="9" fontId="3" fillId="0" borderId="17" xfId="0" applyNumberFormat="1" applyFont="1" applyBorder="1"/>
    <xf numFmtId="9" fontId="6" fillId="0" borderId="1" xfId="0" applyNumberFormat="1" applyFont="1" applyBorder="1"/>
    <xf numFmtId="0" fontId="8" fillId="2" borderId="11" xfId="0" applyFont="1" applyFill="1" applyBorder="1" applyAlignment="1">
      <alignment horizontal="center"/>
    </xf>
    <xf numFmtId="0" fontId="4" fillId="0" borderId="25" xfId="0" applyFont="1" applyBorder="1"/>
    <xf numFmtId="0" fontId="4" fillId="0" borderId="12" xfId="0" applyFont="1" applyBorder="1"/>
    <xf numFmtId="0" fontId="4" fillId="0" borderId="26" xfId="0" applyFont="1" applyBorder="1"/>
    <xf numFmtId="9" fontId="4" fillId="0" borderId="20" xfId="0" applyNumberFormat="1" applyFont="1" applyBorder="1"/>
    <xf numFmtId="9" fontId="4" fillId="0" borderId="27" xfId="0" applyNumberFormat="1" applyFont="1" applyBorder="1"/>
    <xf numFmtId="0" fontId="4" fillId="0" borderId="28" xfId="0" applyFont="1" applyBorder="1"/>
    <xf numFmtId="0" fontId="6" fillId="0" borderId="30" xfId="0" applyFont="1" applyBorder="1"/>
    <xf numFmtId="0" fontId="4" fillId="0" borderId="5" xfId="0" applyFont="1" applyBorder="1"/>
    <xf numFmtId="0" fontId="4" fillId="0" borderId="31" xfId="0" applyFont="1" applyBorder="1"/>
    <xf numFmtId="0" fontId="2" fillId="0" borderId="0" xfId="0" applyFont="1" applyAlignment="1">
      <alignment horizontal="left"/>
    </xf>
    <xf numFmtId="0" fontId="7" fillId="2" borderId="3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topLeftCell="A4" zoomScaleNormal="100" workbookViewId="0">
      <selection activeCell="A3" sqref="A3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26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6475</v>
      </c>
      <c r="C7" s="12">
        <v>7029</v>
      </c>
      <c r="D7" s="14">
        <f>B7+C7</f>
        <v>13504</v>
      </c>
      <c r="E7" s="11">
        <v>167</v>
      </c>
      <c r="F7" s="12">
        <v>101</v>
      </c>
      <c r="G7" s="14">
        <f>E7+F7</f>
        <v>268</v>
      </c>
      <c r="H7" s="11">
        <f>B7+E7</f>
        <v>6642</v>
      </c>
      <c r="I7" s="12">
        <f>C7+F7</f>
        <v>7130</v>
      </c>
      <c r="J7" s="14">
        <f>H7+I7</f>
        <v>13772</v>
      </c>
    </row>
    <row r="8" spans="1:10" x14ac:dyDescent="0.25">
      <c r="A8" s="5" t="s">
        <v>10</v>
      </c>
      <c r="B8" s="21">
        <f>B7/D7</f>
        <v>0.47948755924170616</v>
      </c>
      <c r="C8" s="18">
        <f>C7/D7</f>
        <v>0.52051244075829384</v>
      </c>
      <c r="D8" s="7"/>
      <c r="E8" s="21">
        <f>E7/G7</f>
        <v>0.62313432835820892</v>
      </c>
      <c r="F8" s="18">
        <f>F7/G7</f>
        <v>0.37686567164179102</v>
      </c>
      <c r="G8" s="7"/>
      <c r="H8" s="21">
        <f>H7/J7</f>
        <v>0.48228289282602382</v>
      </c>
      <c r="I8" s="18">
        <f>I7/J7</f>
        <v>0.51771710717397623</v>
      </c>
      <c r="J8" s="7"/>
    </row>
    <row r="9" spans="1:10" x14ac:dyDescent="0.25">
      <c r="A9" s="5" t="s">
        <v>3</v>
      </c>
      <c r="B9" s="4">
        <v>3584</v>
      </c>
      <c r="C9" s="9">
        <v>4498</v>
      </c>
      <c r="D9" s="7">
        <f>B9+C9</f>
        <v>8082</v>
      </c>
      <c r="E9" s="4">
        <v>1403</v>
      </c>
      <c r="F9" s="9">
        <v>1602</v>
      </c>
      <c r="G9" s="7">
        <f>E9+F9</f>
        <v>3005</v>
      </c>
      <c r="H9" s="4">
        <f>B9+E9</f>
        <v>4987</v>
      </c>
      <c r="I9" s="9">
        <f>C9+F9</f>
        <v>6100</v>
      </c>
      <c r="J9" s="7">
        <f>H9+I9</f>
        <v>11087</v>
      </c>
    </row>
    <row r="10" spans="1:10" ht="15.75" thickBot="1" x14ac:dyDescent="0.3">
      <c r="A10" s="6" t="s">
        <v>10</v>
      </c>
      <c r="B10" s="19">
        <f>B9/D9</f>
        <v>0.44345459044790891</v>
      </c>
      <c r="C10" s="20">
        <f>C9/D9</f>
        <v>0.55654540955209109</v>
      </c>
      <c r="D10" s="15"/>
      <c r="E10" s="19">
        <f>E9/G9</f>
        <v>0.46688851913477536</v>
      </c>
      <c r="F10" s="20">
        <f>F9/G9</f>
        <v>0.53311148086522464</v>
      </c>
      <c r="G10" s="15"/>
      <c r="H10" s="19">
        <f>H9/J9</f>
        <v>0.44980607919184629</v>
      </c>
      <c r="I10" s="20">
        <f>I9/J9</f>
        <v>0.55019392080815366</v>
      </c>
      <c r="J10" s="15"/>
    </row>
    <row r="11" spans="1:10" ht="15.75" thickTop="1" x14ac:dyDescent="0.25">
      <c r="A11" s="30" t="s">
        <v>0</v>
      </c>
      <c r="B11" s="24">
        <f>B7+B9</f>
        <v>10059</v>
      </c>
      <c r="C11" s="23">
        <f>C7+C9</f>
        <v>11527</v>
      </c>
      <c r="D11" s="25">
        <f>D7+D9</f>
        <v>21586</v>
      </c>
      <c r="E11" s="24">
        <f t="shared" ref="E11:F11" si="0">E7+E9</f>
        <v>1570</v>
      </c>
      <c r="F11" s="23">
        <f t="shared" si="0"/>
        <v>1703</v>
      </c>
      <c r="G11" s="25">
        <f>G7+G9</f>
        <v>3273</v>
      </c>
      <c r="H11" s="24">
        <f t="shared" ref="H11:J11" si="1">H7+H9</f>
        <v>11629</v>
      </c>
      <c r="I11" s="23">
        <f t="shared" si="1"/>
        <v>13230</v>
      </c>
      <c r="J11" s="25">
        <f t="shared" si="1"/>
        <v>24859</v>
      </c>
    </row>
    <row r="12" spans="1:10" ht="15.75" thickBot="1" x14ac:dyDescent="0.3">
      <c r="A12" s="31"/>
      <c r="B12" s="26">
        <f>B11/D11</f>
        <v>0.46599647919948117</v>
      </c>
      <c r="C12" s="27">
        <f>C11/D11</f>
        <v>0.53400352080051883</v>
      </c>
      <c r="D12" s="28"/>
      <c r="E12" s="26">
        <f>E11/G11</f>
        <v>0.47968224870149712</v>
      </c>
      <c r="F12" s="27">
        <f>F11/G11</f>
        <v>0.52031775129850288</v>
      </c>
      <c r="G12" s="28"/>
      <c r="H12" s="26">
        <f>H11/J11</f>
        <v>0.46779838287944003</v>
      </c>
      <c r="I12" s="27">
        <f>I11/J11</f>
        <v>0.53220161712055991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25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6458</v>
      </c>
      <c r="C7" s="12">
        <v>6852</v>
      </c>
      <c r="D7" s="14">
        <f>B7+C7</f>
        <v>13310</v>
      </c>
      <c r="E7" s="11">
        <v>176</v>
      </c>
      <c r="F7" s="12">
        <v>126</v>
      </c>
      <c r="G7" s="14">
        <f>E7+F7</f>
        <v>302</v>
      </c>
      <c r="H7" s="11">
        <f>B7+E7</f>
        <v>6634</v>
      </c>
      <c r="I7" s="12">
        <f>C7+F7</f>
        <v>6978</v>
      </c>
      <c r="J7" s="14">
        <f>H7+I7</f>
        <v>13612</v>
      </c>
    </row>
    <row r="8" spans="1:10" x14ac:dyDescent="0.25">
      <c r="A8" s="5" t="s">
        <v>10</v>
      </c>
      <c r="B8" s="21">
        <f>B7/D7</f>
        <v>0.48519909842223891</v>
      </c>
      <c r="C8" s="18">
        <f>C7/D7</f>
        <v>0.51480090157776104</v>
      </c>
      <c r="D8" s="7"/>
      <c r="E8" s="21">
        <f>E7/G7</f>
        <v>0.58278145695364236</v>
      </c>
      <c r="F8" s="18">
        <f>F7/G7</f>
        <v>0.41721854304635764</v>
      </c>
      <c r="G8" s="7"/>
      <c r="H8" s="21">
        <f>H7/J7</f>
        <v>0.48736409050837498</v>
      </c>
      <c r="I8" s="18">
        <f>I7/J7</f>
        <v>0.51263590949162507</v>
      </c>
      <c r="J8" s="7"/>
    </row>
    <row r="9" spans="1:10" x14ac:dyDescent="0.25">
      <c r="A9" s="5" t="s">
        <v>3</v>
      </c>
      <c r="B9" s="4">
        <v>3401</v>
      </c>
      <c r="C9" s="9">
        <v>4096</v>
      </c>
      <c r="D9" s="7">
        <f>B9+C9</f>
        <v>7497</v>
      </c>
      <c r="E9" s="4">
        <v>1430</v>
      </c>
      <c r="F9" s="9">
        <v>1538</v>
      </c>
      <c r="G9" s="7">
        <f>E9+F9</f>
        <v>2968</v>
      </c>
      <c r="H9" s="4">
        <f>B9+E9</f>
        <v>4831</v>
      </c>
      <c r="I9" s="9">
        <f>C9+F9</f>
        <v>5634</v>
      </c>
      <c r="J9" s="7">
        <f>H9+I9</f>
        <v>10465</v>
      </c>
    </row>
    <row r="10" spans="1:10" ht="15.75" thickBot="1" x14ac:dyDescent="0.3">
      <c r="A10" s="6" t="s">
        <v>10</v>
      </c>
      <c r="B10" s="19">
        <f>B9/D9</f>
        <v>0.45364812591703346</v>
      </c>
      <c r="C10" s="20">
        <f>C9/D9</f>
        <v>0.54635187408296648</v>
      </c>
      <c r="D10" s="15"/>
      <c r="E10" s="19">
        <f>E9/G9</f>
        <v>0.48180592991913745</v>
      </c>
      <c r="F10" s="20">
        <f>F9/G9</f>
        <v>0.51819407008086249</v>
      </c>
      <c r="G10" s="15"/>
      <c r="H10" s="19">
        <f>H9/J9</f>
        <v>0.46163401815575728</v>
      </c>
      <c r="I10" s="20">
        <f>I9/J9</f>
        <v>0.53836598184424267</v>
      </c>
      <c r="J10" s="15"/>
    </row>
    <row r="11" spans="1:10" ht="15.75" thickTop="1" x14ac:dyDescent="0.25">
      <c r="A11" s="30" t="s">
        <v>0</v>
      </c>
      <c r="B11" s="24">
        <f>B7+B9</f>
        <v>9859</v>
      </c>
      <c r="C11" s="23">
        <f>C7+C9</f>
        <v>10948</v>
      </c>
      <c r="D11" s="25">
        <f>D7+D9</f>
        <v>20807</v>
      </c>
      <c r="E11" s="24">
        <f t="shared" ref="E11:F11" si="0">E7+E9</f>
        <v>1606</v>
      </c>
      <c r="F11" s="23">
        <f t="shared" si="0"/>
        <v>1664</v>
      </c>
      <c r="G11" s="25">
        <f>G7+G9</f>
        <v>3270</v>
      </c>
      <c r="H11" s="24">
        <f t="shared" ref="H11:J11" si="1">H7+H9</f>
        <v>11465</v>
      </c>
      <c r="I11" s="23">
        <f t="shared" si="1"/>
        <v>12612</v>
      </c>
      <c r="J11" s="25">
        <f t="shared" si="1"/>
        <v>24077</v>
      </c>
    </row>
    <row r="12" spans="1:10" ht="15.75" thickBot="1" x14ac:dyDescent="0.3">
      <c r="A12" s="31"/>
      <c r="B12" s="26">
        <f>B11/D11</f>
        <v>0.47383092228576923</v>
      </c>
      <c r="C12" s="27">
        <f>C11/D11</f>
        <v>0.52616907771423083</v>
      </c>
      <c r="D12" s="28"/>
      <c r="E12" s="26">
        <f>E11/G11</f>
        <v>0.491131498470948</v>
      </c>
      <c r="F12" s="27">
        <f>F11/G11</f>
        <v>0.50886850152905194</v>
      </c>
      <c r="G12" s="28"/>
      <c r="H12" s="26">
        <f>H11/J11</f>
        <v>0.47618058728246876</v>
      </c>
      <c r="I12" s="27">
        <f>I11/J11</f>
        <v>0.5238194127175313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topLeftCell="A22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24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6066</v>
      </c>
      <c r="C7" s="12">
        <v>6691</v>
      </c>
      <c r="D7" s="14">
        <f>B7+C7</f>
        <v>12757</v>
      </c>
      <c r="E7" s="11">
        <v>175</v>
      </c>
      <c r="F7" s="12">
        <v>100</v>
      </c>
      <c r="G7" s="14">
        <f>E7+F7</f>
        <v>275</v>
      </c>
      <c r="H7" s="11">
        <f>B7+E7</f>
        <v>6241</v>
      </c>
      <c r="I7" s="12">
        <f>C7+F7</f>
        <v>6791</v>
      </c>
      <c r="J7" s="14">
        <f>H7+I7</f>
        <v>13032</v>
      </c>
    </row>
    <row r="8" spans="1:10" x14ac:dyDescent="0.25">
      <c r="A8" s="5" t="s">
        <v>10</v>
      </c>
      <c r="B8" s="21">
        <f>B7/D7</f>
        <v>0.47550364505761544</v>
      </c>
      <c r="C8" s="18">
        <f>C7/D7</f>
        <v>0.52449635494238456</v>
      </c>
      <c r="D8" s="7"/>
      <c r="E8" s="21">
        <f>E7/G7</f>
        <v>0.63636363636363635</v>
      </c>
      <c r="F8" s="18">
        <f>F7/G7</f>
        <v>0.36363636363636365</v>
      </c>
      <c r="G8" s="7"/>
      <c r="H8" s="21">
        <f>H7/J7</f>
        <v>0.47889809699201963</v>
      </c>
      <c r="I8" s="18">
        <f>I7/J7</f>
        <v>0.52110190300798032</v>
      </c>
      <c r="J8" s="7"/>
    </row>
    <row r="9" spans="1:10" x14ac:dyDescent="0.25">
      <c r="A9" s="5" t="s">
        <v>3</v>
      </c>
      <c r="B9" s="4">
        <v>3036</v>
      </c>
      <c r="C9" s="9">
        <v>3701</v>
      </c>
      <c r="D9" s="7">
        <f>B9+C9</f>
        <v>6737</v>
      </c>
      <c r="E9" s="4">
        <v>1405</v>
      </c>
      <c r="F9" s="9">
        <v>1454</v>
      </c>
      <c r="G9" s="7">
        <f>E9+F9</f>
        <v>2859</v>
      </c>
      <c r="H9" s="4">
        <f>B9+E9</f>
        <v>4441</v>
      </c>
      <c r="I9" s="9">
        <f>C9+F9</f>
        <v>5155</v>
      </c>
      <c r="J9" s="7">
        <f>H9+I9</f>
        <v>9596</v>
      </c>
    </row>
    <row r="10" spans="1:10" ht="15.75" thickBot="1" x14ac:dyDescent="0.3">
      <c r="A10" s="6" t="s">
        <v>10</v>
      </c>
      <c r="B10" s="19">
        <f>B9/D9</f>
        <v>0.45064568799168769</v>
      </c>
      <c r="C10" s="20">
        <f>C9/D9</f>
        <v>0.54935431200831231</v>
      </c>
      <c r="D10" s="15"/>
      <c r="E10" s="19">
        <f>E9/G9</f>
        <v>0.49143057012941588</v>
      </c>
      <c r="F10" s="20">
        <f>F9/G9</f>
        <v>0.50856942987058407</v>
      </c>
      <c r="G10" s="15"/>
      <c r="H10" s="19">
        <f>H9/J9</f>
        <v>0.46279699874947894</v>
      </c>
      <c r="I10" s="20">
        <f>I9/J9</f>
        <v>0.53720300125052101</v>
      </c>
      <c r="J10" s="15"/>
    </row>
    <row r="11" spans="1:10" ht="15.75" thickTop="1" x14ac:dyDescent="0.25">
      <c r="A11" s="30" t="s">
        <v>0</v>
      </c>
      <c r="B11" s="24">
        <f>B7+B9</f>
        <v>9102</v>
      </c>
      <c r="C11" s="23">
        <f>C7+C9</f>
        <v>10392</v>
      </c>
      <c r="D11" s="25">
        <f>D7+D9</f>
        <v>19494</v>
      </c>
      <c r="E11" s="24">
        <f t="shared" ref="E11:F11" si="0">E7+E9</f>
        <v>1580</v>
      </c>
      <c r="F11" s="23">
        <f t="shared" si="0"/>
        <v>1554</v>
      </c>
      <c r="G11" s="25">
        <f>G7+G9</f>
        <v>3134</v>
      </c>
      <c r="H11" s="24">
        <f t="shared" ref="H11:J11" si="1">H7+H9</f>
        <v>10682</v>
      </c>
      <c r="I11" s="23">
        <f t="shared" si="1"/>
        <v>11946</v>
      </c>
      <c r="J11" s="25">
        <f t="shared" si="1"/>
        <v>22628</v>
      </c>
    </row>
    <row r="12" spans="1:10" ht="15.75" thickBot="1" x14ac:dyDescent="0.3">
      <c r="A12" s="31"/>
      <c r="B12" s="26">
        <f>B11/D11</f>
        <v>0.46691289627577715</v>
      </c>
      <c r="C12" s="27">
        <f>C11/D11</f>
        <v>0.53308710372422285</v>
      </c>
      <c r="D12" s="28"/>
      <c r="E12" s="26">
        <f>E11/G11</f>
        <v>0.50414805360561588</v>
      </c>
      <c r="F12" s="27">
        <f>F11/G11</f>
        <v>0.49585194639438418</v>
      </c>
      <c r="G12" s="28"/>
      <c r="H12" s="26">
        <f>H11/J11</f>
        <v>0.4720700017677214</v>
      </c>
      <c r="I12" s="27">
        <f>I11/J11</f>
        <v>0.5279299982322786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2"/>
  <sheetViews>
    <sheetView tabSelected="1" view="pageLayout" zoomScaleNormal="100" workbookViewId="0">
      <selection activeCell="D18" sqref="D18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23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5982</v>
      </c>
      <c r="C7" s="12">
        <v>6401</v>
      </c>
      <c r="D7" s="14">
        <f>B7+C7</f>
        <v>12383</v>
      </c>
      <c r="E7" s="11">
        <v>147</v>
      </c>
      <c r="F7" s="12">
        <v>104</v>
      </c>
      <c r="G7" s="14">
        <f>E7+F7</f>
        <v>251</v>
      </c>
      <c r="H7" s="11">
        <f>B7+E7</f>
        <v>6129</v>
      </c>
      <c r="I7" s="12">
        <f>C7+F7</f>
        <v>6505</v>
      </c>
      <c r="J7" s="14">
        <f>H7+I7</f>
        <v>12634</v>
      </c>
    </row>
    <row r="8" spans="1:10" x14ac:dyDescent="0.25">
      <c r="A8" s="5" t="s">
        <v>10</v>
      </c>
      <c r="B8" s="21">
        <f>B7/D7</f>
        <v>0.4830816441896148</v>
      </c>
      <c r="C8" s="18">
        <f>C7/D7</f>
        <v>0.51691835581038525</v>
      </c>
      <c r="D8" s="7"/>
      <c r="E8" s="21">
        <f>E7/G7</f>
        <v>0.58565737051792832</v>
      </c>
      <c r="F8" s="18">
        <f>F7/G7</f>
        <v>0.41434262948207173</v>
      </c>
      <c r="G8" s="7"/>
      <c r="H8" s="21">
        <f>H7/J7</f>
        <v>0.48511951875890452</v>
      </c>
      <c r="I8" s="18">
        <f>I7/J7</f>
        <v>0.51488048124109542</v>
      </c>
      <c r="J8" s="7"/>
    </row>
    <row r="9" spans="1:10" x14ac:dyDescent="0.25">
      <c r="A9" s="5" t="s">
        <v>3</v>
      </c>
      <c r="B9" s="4">
        <v>2529</v>
      </c>
      <c r="C9" s="9">
        <v>3039</v>
      </c>
      <c r="D9" s="7">
        <f>B9+C9</f>
        <v>5568</v>
      </c>
      <c r="E9" s="4">
        <v>1319</v>
      </c>
      <c r="F9" s="9">
        <v>1533</v>
      </c>
      <c r="G9" s="7">
        <f>E9+F9</f>
        <v>2852</v>
      </c>
      <c r="H9" s="4">
        <f>B9+E9</f>
        <v>3848</v>
      </c>
      <c r="I9" s="9">
        <f>C9+F9</f>
        <v>4572</v>
      </c>
      <c r="J9" s="7">
        <f>H9+I9</f>
        <v>8420</v>
      </c>
    </row>
    <row r="10" spans="1:10" ht="15.75" thickBot="1" x14ac:dyDescent="0.3">
      <c r="A10" s="6" t="s">
        <v>10</v>
      </c>
      <c r="B10" s="19">
        <f>B9/D9</f>
        <v>0.45420258620689657</v>
      </c>
      <c r="C10" s="20">
        <f>C9/D9</f>
        <v>0.54579741379310343</v>
      </c>
      <c r="D10" s="15"/>
      <c r="E10" s="19">
        <f>E9/G9</f>
        <v>0.46248246844319774</v>
      </c>
      <c r="F10" s="20">
        <f>F9/G9</f>
        <v>0.53751753155680226</v>
      </c>
      <c r="G10" s="15"/>
      <c r="H10" s="19">
        <f>H9/J9</f>
        <v>0.45700712589073633</v>
      </c>
      <c r="I10" s="20">
        <f>I9/J9</f>
        <v>0.54299287410926367</v>
      </c>
      <c r="J10" s="15"/>
    </row>
    <row r="11" spans="1:10" ht="15.75" thickTop="1" x14ac:dyDescent="0.25">
      <c r="A11" s="30" t="s">
        <v>0</v>
      </c>
      <c r="B11" s="24">
        <f>B7+B9</f>
        <v>8511</v>
      </c>
      <c r="C11" s="23">
        <f>C7+C9</f>
        <v>9440</v>
      </c>
      <c r="D11" s="25">
        <f>D7+D9</f>
        <v>17951</v>
      </c>
      <c r="E11" s="24">
        <f t="shared" ref="E11:F11" si="0">E7+E9</f>
        <v>1466</v>
      </c>
      <c r="F11" s="23">
        <f t="shared" si="0"/>
        <v>1637</v>
      </c>
      <c r="G11" s="25">
        <f>G7+G9</f>
        <v>3103</v>
      </c>
      <c r="H11" s="24">
        <f t="shared" ref="H11:J11" si="1">H7+H9</f>
        <v>9977</v>
      </c>
      <c r="I11" s="23">
        <f t="shared" si="1"/>
        <v>11077</v>
      </c>
      <c r="J11" s="25">
        <f t="shared" si="1"/>
        <v>21054</v>
      </c>
    </row>
    <row r="12" spans="1:10" ht="15.75" thickBot="1" x14ac:dyDescent="0.3">
      <c r="A12" s="31"/>
      <c r="B12" s="26">
        <f>B11/D11</f>
        <v>0.4741240042337474</v>
      </c>
      <c r="C12" s="27">
        <f>C11/D11</f>
        <v>0.52587599576625255</v>
      </c>
      <c r="D12" s="28"/>
      <c r="E12" s="26">
        <f>E11/G11</f>
        <v>0.47244601998066388</v>
      </c>
      <c r="F12" s="27">
        <f>F11/G11</f>
        <v>0.52755398001933618</v>
      </c>
      <c r="G12" s="28"/>
      <c r="H12" s="26">
        <f>H11/J11</f>
        <v>0.47387669801462906</v>
      </c>
      <c r="I12" s="27">
        <f>I11/J11</f>
        <v>0.52612330198537094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2"/>
  <sheetViews>
    <sheetView tabSelected="1" view="pageLayout" zoomScaleNormal="100" workbookViewId="0">
      <selection activeCell="D18" sqref="D18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22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5698</v>
      </c>
      <c r="C7" s="12">
        <v>6158</v>
      </c>
      <c r="D7" s="14">
        <f>B7+C7</f>
        <v>11856</v>
      </c>
      <c r="E7" s="11">
        <v>1756</v>
      </c>
      <c r="F7" s="12">
        <v>125</v>
      </c>
      <c r="G7" s="14">
        <f>E7+F7</f>
        <v>1881</v>
      </c>
      <c r="H7" s="11">
        <f>B7+E7</f>
        <v>7454</v>
      </c>
      <c r="I7" s="12">
        <f>C7+F7</f>
        <v>6283</v>
      </c>
      <c r="J7" s="14">
        <f>H7+I7</f>
        <v>13737</v>
      </c>
    </row>
    <row r="8" spans="1:10" x14ac:dyDescent="0.25">
      <c r="A8" s="5" t="s">
        <v>10</v>
      </c>
      <c r="B8" s="21">
        <f>B7/D7</f>
        <v>0.48060053981106615</v>
      </c>
      <c r="C8" s="18">
        <f>C7/D7</f>
        <v>0.5193994601889339</v>
      </c>
      <c r="D8" s="7"/>
      <c r="E8" s="21">
        <f>E7/G7</f>
        <v>0.93354598617756512</v>
      </c>
      <c r="F8" s="18">
        <f>F7/G7</f>
        <v>6.6454013822434876E-2</v>
      </c>
      <c r="G8" s="7"/>
      <c r="H8" s="21">
        <f>H7/J7</f>
        <v>0.54262211545461159</v>
      </c>
      <c r="I8" s="18">
        <f>I7/J7</f>
        <v>0.45737788454538836</v>
      </c>
      <c r="J8" s="7"/>
    </row>
    <row r="9" spans="1:10" x14ac:dyDescent="0.25">
      <c r="A9" s="5" t="s">
        <v>3</v>
      </c>
      <c r="B9" s="4">
        <v>2340</v>
      </c>
      <c r="C9" s="9">
        <v>2826</v>
      </c>
      <c r="D9" s="7">
        <f>B9+C9</f>
        <v>5166</v>
      </c>
      <c r="E9" s="4">
        <v>1415</v>
      </c>
      <c r="F9" s="9">
        <v>1433</v>
      </c>
      <c r="G9" s="7">
        <f>E9+F9</f>
        <v>2848</v>
      </c>
      <c r="H9" s="4">
        <f>B9+E9</f>
        <v>3755</v>
      </c>
      <c r="I9" s="9">
        <f>C9+F9</f>
        <v>4259</v>
      </c>
      <c r="J9" s="7">
        <f>H9+I9</f>
        <v>8014</v>
      </c>
    </row>
    <row r="10" spans="1:10" ht="15.75" thickBot="1" x14ac:dyDescent="0.3">
      <c r="A10" s="6" t="s">
        <v>10</v>
      </c>
      <c r="B10" s="19">
        <f>B9/D9</f>
        <v>0.45296167247386759</v>
      </c>
      <c r="C10" s="20">
        <f>C9/D9</f>
        <v>0.54703832752613235</v>
      </c>
      <c r="D10" s="15"/>
      <c r="E10" s="19">
        <f>E9/G9</f>
        <v>0.49683988764044945</v>
      </c>
      <c r="F10" s="20">
        <f>F9/G9</f>
        <v>0.5031601123595506</v>
      </c>
      <c r="G10" s="15"/>
      <c r="H10" s="19">
        <f>H9/J9</f>
        <v>0.46855502869977539</v>
      </c>
      <c r="I10" s="20">
        <f>I9/J9</f>
        <v>0.53144497130022461</v>
      </c>
      <c r="J10" s="15"/>
    </row>
    <row r="11" spans="1:10" ht="15.75" thickTop="1" x14ac:dyDescent="0.25">
      <c r="A11" s="30" t="s">
        <v>0</v>
      </c>
      <c r="B11" s="24">
        <f>B7+B9</f>
        <v>8038</v>
      </c>
      <c r="C11" s="23">
        <f>C7+C9</f>
        <v>8984</v>
      </c>
      <c r="D11" s="25">
        <f>D7+D9</f>
        <v>17022</v>
      </c>
      <c r="E11" s="24">
        <f t="shared" ref="E11:F11" si="0">E7+E9</f>
        <v>3171</v>
      </c>
      <c r="F11" s="23">
        <f t="shared" si="0"/>
        <v>1558</v>
      </c>
      <c r="G11" s="25">
        <f>G7+G9</f>
        <v>4729</v>
      </c>
      <c r="H11" s="24">
        <f t="shared" ref="H11:J11" si="1">H7+H9</f>
        <v>11209</v>
      </c>
      <c r="I11" s="23">
        <f t="shared" si="1"/>
        <v>10542</v>
      </c>
      <c r="J11" s="25">
        <f t="shared" si="1"/>
        <v>21751</v>
      </c>
    </row>
    <row r="12" spans="1:10" ht="15.75" thickBot="1" x14ac:dyDescent="0.3">
      <c r="A12" s="31"/>
      <c r="B12" s="26">
        <f>B11/D11</f>
        <v>0.47221243097168369</v>
      </c>
      <c r="C12" s="27">
        <f>C11/D11</f>
        <v>0.52778756902831625</v>
      </c>
      <c r="D12" s="28"/>
      <c r="E12" s="26">
        <f>E11/G11</f>
        <v>0.67054345527595682</v>
      </c>
      <c r="F12" s="27">
        <f>F11/G11</f>
        <v>0.32945654472404312</v>
      </c>
      <c r="G12" s="28"/>
      <c r="H12" s="26">
        <f>H11/J11</f>
        <v>0.51533262838490179</v>
      </c>
      <c r="I12" s="27">
        <f>I11/J11</f>
        <v>0.48466737161509815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21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5572</v>
      </c>
      <c r="C7" s="12">
        <v>6107</v>
      </c>
      <c r="D7" s="14">
        <f>B7+C7</f>
        <v>11679</v>
      </c>
      <c r="E7" s="11">
        <v>156</v>
      </c>
      <c r="F7" s="12">
        <v>95</v>
      </c>
      <c r="G7" s="14">
        <f>E7+F7</f>
        <v>251</v>
      </c>
      <c r="H7" s="11">
        <f>B7+E7</f>
        <v>5728</v>
      </c>
      <c r="I7" s="12">
        <f>C7+F7</f>
        <v>6202</v>
      </c>
      <c r="J7" s="14">
        <f>H7+I7</f>
        <v>11930</v>
      </c>
    </row>
    <row r="8" spans="1:10" x14ac:dyDescent="0.25">
      <c r="A8" s="5" t="s">
        <v>10</v>
      </c>
      <c r="B8" s="21">
        <f>B7/D7</f>
        <v>0.47709564175014985</v>
      </c>
      <c r="C8" s="18">
        <f>C7/D7</f>
        <v>0.52290435824985015</v>
      </c>
      <c r="D8" s="7"/>
      <c r="E8" s="21">
        <f>E7/G7</f>
        <v>0.62151394422310757</v>
      </c>
      <c r="F8" s="18">
        <f>F7/G7</f>
        <v>0.37848605577689243</v>
      </c>
      <c r="G8" s="7"/>
      <c r="H8" s="21">
        <f>H7/J7</f>
        <v>0.48013411567476949</v>
      </c>
      <c r="I8" s="18">
        <f>I7/J7</f>
        <v>0.51986588432523051</v>
      </c>
      <c r="J8" s="7"/>
    </row>
    <row r="9" spans="1:10" x14ac:dyDescent="0.25">
      <c r="A9" s="5" t="s">
        <v>3</v>
      </c>
      <c r="B9" s="4">
        <v>2212</v>
      </c>
      <c r="C9" s="9">
        <v>2613</v>
      </c>
      <c r="D9" s="7">
        <f>B9+C9</f>
        <v>4825</v>
      </c>
      <c r="E9" s="4">
        <v>1305</v>
      </c>
      <c r="F9" s="9">
        <v>1305</v>
      </c>
      <c r="G9" s="7">
        <f>E9+F9</f>
        <v>2610</v>
      </c>
      <c r="H9" s="4">
        <f>B9+E9</f>
        <v>3517</v>
      </c>
      <c r="I9" s="9">
        <f>C9+F9</f>
        <v>3918</v>
      </c>
      <c r="J9" s="7">
        <f>H9+I9</f>
        <v>7435</v>
      </c>
    </row>
    <row r="10" spans="1:10" ht="15.75" thickBot="1" x14ac:dyDescent="0.3">
      <c r="A10" s="6" t="s">
        <v>10</v>
      </c>
      <c r="B10" s="19">
        <f>B9/D9</f>
        <v>0.45844559585492228</v>
      </c>
      <c r="C10" s="20">
        <f>C9/D9</f>
        <v>0.54155440414507772</v>
      </c>
      <c r="D10" s="15"/>
      <c r="E10" s="19">
        <f>E9/G9</f>
        <v>0.5</v>
      </c>
      <c r="F10" s="20">
        <f>F9/G9</f>
        <v>0.5</v>
      </c>
      <c r="G10" s="15"/>
      <c r="H10" s="19">
        <f>H9/J9</f>
        <v>0.47303295225285813</v>
      </c>
      <c r="I10" s="20">
        <f>I9/J9</f>
        <v>0.52696704774714187</v>
      </c>
      <c r="J10" s="15"/>
    </row>
    <row r="11" spans="1:10" ht="15.75" thickTop="1" x14ac:dyDescent="0.25">
      <c r="A11" s="30" t="s">
        <v>0</v>
      </c>
      <c r="B11" s="24">
        <f>B7+B9</f>
        <v>7784</v>
      </c>
      <c r="C11" s="23">
        <f>C7+C9</f>
        <v>8720</v>
      </c>
      <c r="D11" s="25">
        <f>D7+D9</f>
        <v>16504</v>
      </c>
      <c r="E11" s="24">
        <f t="shared" ref="E11:F11" si="0">E7+E9</f>
        <v>1461</v>
      </c>
      <c r="F11" s="23">
        <f t="shared" si="0"/>
        <v>1400</v>
      </c>
      <c r="G11" s="25">
        <f>G7+G9</f>
        <v>2861</v>
      </c>
      <c r="H11" s="24">
        <f t="shared" ref="H11:J11" si="1">H7+H9</f>
        <v>9245</v>
      </c>
      <c r="I11" s="23">
        <f t="shared" si="1"/>
        <v>10120</v>
      </c>
      <c r="J11" s="25">
        <f t="shared" si="1"/>
        <v>19365</v>
      </c>
    </row>
    <row r="12" spans="1:10" ht="15.75" thickBot="1" x14ac:dyDescent="0.3">
      <c r="A12" s="31"/>
      <c r="B12" s="26">
        <f>B11/D11</f>
        <v>0.47164323800290836</v>
      </c>
      <c r="C12" s="27">
        <f>C11/D11</f>
        <v>0.52835676199709158</v>
      </c>
      <c r="D12" s="28"/>
      <c r="E12" s="26">
        <f>E11/G11</f>
        <v>0.51066060817895842</v>
      </c>
      <c r="F12" s="27">
        <f>F11/G11</f>
        <v>0.48933939182104158</v>
      </c>
      <c r="G12" s="28"/>
      <c r="H12" s="26">
        <f>H11/J11</f>
        <v>0.47740769429382907</v>
      </c>
      <c r="I12" s="27">
        <f>I11/J11</f>
        <v>0.52259230570617088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20</v>
      </c>
    </row>
    <row r="4" spans="1:10" ht="15.75" thickBot="1" x14ac:dyDescent="0.3">
      <c r="A4" s="3"/>
    </row>
    <row r="5" spans="1:10" ht="15" customHeight="1" thickBot="1" x14ac:dyDescent="0.3">
      <c r="A5" s="33"/>
      <c r="B5" s="35" t="s">
        <v>4</v>
      </c>
      <c r="C5" s="36"/>
      <c r="D5" s="37"/>
      <c r="E5" s="35" t="s">
        <v>5</v>
      </c>
      <c r="F5" s="36"/>
      <c r="G5" s="37"/>
      <c r="H5" s="38" t="s">
        <v>0</v>
      </c>
      <c r="I5" s="39"/>
      <c r="J5" s="40"/>
    </row>
    <row r="6" spans="1:10" x14ac:dyDescent="0.25">
      <c r="A6" s="34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5629</v>
      </c>
      <c r="C7" s="12">
        <v>6265</v>
      </c>
      <c r="D7" s="14">
        <f>B7+C7</f>
        <v>11894</v>
      </c>
      <c r="E7" s="11">
        <v>103</v>
      </c>
      <c r="F7" s="12">
        <v>87</v>
      </c>
      <c r="G7" s="14">
        <f>E7+F7</f>
        <v>190</v>
      </c>
      <c r="H7" s="11">
        <f>B7+E7</f>
        <v>5732</v>
      </c>
      <c r="I7" s="12">
        <f>C7+F7</f>
        <v>6352</v>
      </c>
      <c r="J7" s="14">
        <f>H7+I7</f>
        <v>12084</v>
      </c>
    </row>
    <row r="8" spans="1:10" x14ac:dyDescent="0.25">
      <c r="A8" s="5" t="s">
        <v>10</v>
      </c>
      <c r="B8" s="21">
        <f>B7/D7</f>
        <v>0.47326383050277449</v>
      </c>
      <c r="C8" s="18">
        <f>C7/D7</f>
        <v>0.52673616949722546</v>
      </c>
      <c r="D8" s="7"/>
      <c r="E8" s="21">
        <f>E7/G7</f>
        <v>0.54210526315789476</v>
      </c>
      <c r="F8" s="18">
        <f>F7/G7</f>
        <v>0.45789473684210524</v>
      </c>
      <c r="G8" s="7"/>
      <c r="H8" s="21">
        <f>H7/J7</f>
        <v>0.47434624296590533</v>
      </c>
      <c r="I8" s="18">
        <f>I7/J7</f>
        <v>0.52565375703409467</v>
      </c>
      <c r="J8" s="7"/>
    </row>
    <row r="9" spans="1:10" x14ac:dyDescent="0.25">
      <c r="A9" s="5" t="s">
        <v>3</v>
      </c>
      <c r="B9" s="4">
        <v>2236</v>
      </c>
      <c r="C9" s="9">
        <v>2501</v>
      </c>
      <c r="D9" s="7">
        <f>B9+C9</f>
        <v>4737</v>
      </c>
      <c r="E9" s="4">
        <v>1263</v>
      </c>
      <c r="F9" s="9">
        <v>1215</v>
      </c>
      <c r="G9" s="7">
        <f>E9+F9</f>
        <v>2478</v>
      </c>
      <c r="H9" s="4">
        <f>B9+E9</f>
        <v>3499</v>
      </c>
      <c r="I9" s="9">
        <f>C9+F9</f>
        <v>3716</v>
      </c>
      <c r="J9" s="7">
        <f>H9+I9</f>
        <v>7215</v>
      </c>
    </row>
    <row r="10" spans="1:10" ht="15.75" thickBot="1" x14ac:dyDescent="0.3">
      <c r="A10" s="6" t="s">
        <v>10</v>
      </c>
      <c r="B10" s="19">
        <f>B9/D9</f>
        <v>0.47202871015410597</v>
      </c>
      <c r="C10" s="20">
        <f>C9/D9</f>
        <v>0.52797128984589403</v>
      </c>
      <c r="D10" s="15"/>
      <c r="E10" s="19">
        <f>E9/G9</f>
        <v>0.50968523002421307</v>
      </c>
      <c r="F10" s="20">
        <f>F9/G9</f>
        <v>0.49031476997578693</v>
      </c>
      <c r="G10" s="15"/>
      <c r="H10" s="19">
        <f>H9/J9</f>
        <v>0.48496188496188497</v>
      </c>
      <c r="I10" s="20">
        <f>I9/J9</f>
        <v>0.51503811503811503</v>
      </c>
      <c r="J10" s="15"/>
    </row>
    <row r="11" spans="1:10" ht="15.75" thickTop="1" x14ac:dyDescent="0.25">
      <c r="A11" s="30" t="s">
        <v>0</v>
      </c>
      <c r="B11" s="24">
        <f>B7+B9</f>
        <v>7865</v>
      </c>
      <c r="C11" s="23">
        <f>C7+C9</f>
        <v>8766</v>
      </c>
      <c r="D11" s="25">
        <f>D7+D9</f>
        <v>16631</v>
      </c>
      <c r="E11" s="24">
        <f t="shared" ref="E11:F11" si="0">E7+E9</f>
        <v>1366</v>
      </c>
      <c r="F11" s="23">
        <f t="shared" si="0"/>
        <v>1302</v>
      </c>
      <c r="G11" s="25">
        <f>G7+G9</f>
        <v>2668</v>
      </c>
      <c r="H11" s="24">
        <f t="shared" ref="H11:J11" si="1">H7+H9</f>
        <v>9231</v>
      </c>
      <c r="I11" s="23">
        <f t="shared" si="1"/>
        <v>10068</v>
      </c>
      <c r="J11" s="25">
        <f t="shared" si="1"/>
        <v>19299</v>
      </c>
    </row>
    <row r="12" spans="1:10" ht="15.75" thickBot="1" x14ac:dyDescent="0.3">
      <c r="A12" s="31"/>
      <c r="B12" s="26">
        <f>B11/D11</f>
        <v>0.47291203174794061</v>
      </c>
      <c r="C12" s="27">
        <f>C11/D11</f>
        <v>0.52708796825205939</v>
      </c>
      <c r="D12" s="28"/>
      <c r="E12" s="26">
        <f>E11/G11</f>
        <v>0.51199400299850073</v>
      </c>
      <c r="F12" s="27">
        <f>F11/G11</f>
        <v>0.48800599700149927</v>
      </c>
      <c r="G12" s="28"/>
      <c r="H12" s="26">
        <f>H11/J11</f>
        <v>0.47831493859785479</v>
      </c>
      <c r="I12" s="27">
        <f>I11/J11</f>
        <v>0.52168506140214521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topLeftCell="A4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19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5567</v>
      </c>
      <c r="C7" s="12">
        <v>6321</v>
      </c>
      <c r="D7" s="14">
        <f>B7+C7</f>
        <v>11888</v>
      </c>
      <c r="E7" s="11">
        <v>141</v>
      </c>
      <c r="F7" s="12">
        <v>112</v>
      </c>
      <c r="G7" s="14">
        <f>E7+F7</f>
        <v>253</v>
      </c>
      <c r="H7" s="11">
        <v>5708</v>
      </c>
      <c r="I7" s="12">
        <v>6433</v>
      </c>
      <c r="J7" s="14">
        <f>H7+I7</f>
        <v>12141</v>
      </c>
    </row>
    <row r="8" spans="1:10" x14ac:dyDescent="0.25">
      <c r="A8" s="5" t="s">
        <v>10</v>
      </c>
      <c r="B8" s="21">
        <f>B7/D7</f>
        <v>0.4682873485868102</v>
      </c>
      <c r="C8" s="18">
        <f>C7/D7</f>
        <v>0.5317126514131898</v>
      </c>
      <c r="D8" s="7"/>
      <c r="E8" s="21">
        <f>E7/G7</f>
        <v>0.55731225296442688</v>
      </c>
      <c r="F8" s="18">
        <f>F7/G7</f>
        <v>0.44268774703557312</v>
      </c>
      <c r="G8" s="7"/>
      <c r="H8" s="21">
        <f>H7/J7</f>
        <v>0.47014249238118772</v>
      </c>
      <c r="I8" s="18">
        <f>I7/J7</f>
        <v>0.52985750761881234</v>
      </c>
      <c r="J8" s="7"/>
    </row>
    <row r="9" spans="1:10" x14ac:dyDescent="0.25">
      <c r="A9" s="5" t="s">
        <v>3</v>
      </c>
      <c r="B9" s="4">
        <v>2281</v>
      </c>
      <c r="C9" s="9">
        <v>2515</v>
      </c>
      <c r="D9" s="7">
        <f>B9+C9</f>
        <v>4796</v>
      </c>
      <c r="E9" s="4">
        <v>1273</v>
      </c>
      <c r="F9" s="9">
        <v>1204</v>
      </c>
      <c r="G9" s="7">
        <f>E9+F9</f>
        <v>2477</v>
      </c>
      <c r="H9" s="4">
        <v>3554</v>
      </c>
      <c r="I9" s="9">
        <v>3719</v>
      </c>
      <c r="J9" s="7">
        <f>H9+I9</f>
        <v>7273</v>
      </c>
    </row>
    <row r="10" spans="1:10" ht="15.75" thickBot="1" x14ac:dyDescent="0.3">
      <c r="A10" s="6" t="s">
        <v>10</v>
      </c>
      <c r="B10" s="19">
        <f>B9/D9</f>
        <v>0.47560467055879901</v>
      </c>
      <c r="C10" s="20">
        <f>C9/D9</f>
        <v>0.52439532944120104</v>
      </c>
      <c r="D10" s="15"/>
      <c r="E10" s="19">
        <f>E9/G9</f>
        <v>0.51392813887767463</v>
      </c>
      <c r="F10" s="20">
        <f>F9/G9</f>
        <v>0.48607186112232537</v>
      </c>
      <c r="G10" s="15"/>
      <c r="H10" s="19">
        <f>H9/J9</f>
        <v>0.48865667537467344</v>
      </c>
      <c r="I10" s="20">
        <f>I9/J9</f>
        <v>0.5113433246253265</v>
      </c>
      <c r="J10" s="15"/>
    </row>
    <row r="11" spans="1:10" ht="15.75" thickTop="1" x14ac:dyDescent="0.25">
      <c r="A11" s="30" t="s">
        <v>0</v>
      </c>
      <c r="B11" s="24">
        <f>B7+B9</f>
        <v>7848</v>
      </c>
      <c r="C11" s="23">
        <f>C7+C9</f>
        <v>8836</v>
      </c>
      <c r="D11" s="25">
        <f>D7+D9</f>
        <v>16684</v>
      </c>
      <c r="E11" s="24">
        <f t="shared" ref="E11:F11" si="0">E7+E9</f>
        <v>1414</v>
      </c>
      <c r="F11" s="23">
        <f t="shared" si="0"/>
        <v>1316</v>
      </c>
      <c r="G11" s="25">
        <f>G7+G9</f>
        <v>2730</v>
      </c>
      <c r="H11" s="24">
        <f t="shared" ref="H11:J11" si="1">H7+H9</f>
        <v>9262</v>
      </c>
      <c r="I11" s="23">
        <f t="shared" si="1"/>
        <v>10152</v>
      </c>
      <c r="J11" s="25">
        <f t="shared" si="1"/>
        <v>19414</v>
      </c>
    </row>
    <row r="12" spans="1:10" ht="15.75" thickBot="1" x14ac:dyDescent="0.3">
      <c r="A12" s="31"/>
      <c r="B12" s="26">
        <f>B11/D11</f>
        <v>0.47039079357468233</v>
      </c>
      <c r="C12" s="27">
        <f>C11/D11</f>
        <v>0.52960920642531772</v>
      </c>
      <c r="D12" s="28"/>
      <c r="E12" s="26">
        <f>E11/G11</f>
        <v>0.517948717948718</v>
      </c>
      <c r="F12" s="27">
        <f>F11/G11</f>
        <v>0.48205128205128206</v>
      </c>
      <c r="G12" s="28"/>
      <c r="H12" s="26">
        <f>H11/J11</f>
        <v>0.47707839703306892</v>
      </c>
      <c r="I12" s="27">
        <f>I11/J11</f>
        <v>0.52292160296693113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18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5489</v>
      </c>
      <c r="C7" s="12">
        <v>6247</v>
      </c>
      <c r="D7" s="14">
        <f>B7+C7</f>
        <v>11736</v>
      </c>
      <c r="E7" s="11">
        <v>145</v>
      </c>
      <c r="F7" s="12">
        <v>105</v>
      </c>
      <c r="G7" s="14">
        <f>E7+F7</f>
        <v>250</v>
      </c>
      <c r="H7" s="11">
        <v>5634</v>
      </c>
      <c r="I7" s="12">
        <v>6352</v>
      </c>
      <c r="J7" s="14">
        <f>H7+I7</f>
        <v>11986</v>
      </c>
    </row>
    <row r="8" spans="1:10" x14ac:dyDescent="0.25">
      <c r="A8" s="5" t="s">
        <v>10</v>
      </c>
      <c r="B8" s="21">
        <f>B7/D7</f>
        <v>0.46770620313565098</v>
      </c>
      <c r="C8" s="18">
        <f>C7/D7</f>
        <v>0.53229379686434897</v>
      </c>
      <c r="D8" s="7"/>
      <c r="E8" s="21">
        <f>E7/G7</f>
        <v>0.57999999999999996</v>
      </c>
      <c r="F8" s="18">
        <f>F7/G7</f>
        <v>0.42</v>
      </c>
      <c r="G8" s="7"/>
      <c r="H8" s="21">
        <f>H7/J7</f>
        <v>0.47004838978808611</v>
      </c>
      <c r="I8" s="18">
        <f>I7/J7</f>
        <v>0.52995161021191395</v>
      </c>
      <c r="J8" s="7"/>
    </row>
    <row r="9" spans="1:10" x14ac:dyDescent="0.25">
      <c r="A9" s="5" t="s">
        <v>3</v>
      </c>
      <c r="B9" s="4">
        <v>2328</v>
      </c>
      <c r="C9" s="9">
        <v>2351</v>
      </c>
      <c r="D9" s="7">
        <f>B9+C9</f>
        <v>4679</v>
      </c>
      <c r="E9" s="4">
        <v>1230</v>
      </c>
      <c r="F9" s="9">
        <v>1096</v>
      </c>
      <c r="G9" s="7">
        <f>E9+F9</f>
        <v>2326</v>
      </c>
      <c r="H9" s="4">
        <v>3558</v>
      </c>
      <c r="I9" s="9">
        <v>3447</v>
      </c>
      <c r="J9" s="7">
        <f>H9+I9</f>
        <v>7005</v>
      </c>
    </row>
    <row r="10" spans="1:10" ht="15.75" thickBot="1" x14ac:dyDescent="0.3">
      <c r="A10" s="6" t="s">
        <v>10</v>
      </c>
      <c r="B10" s="19">
        <f>B9/D9</f>
        <v>0.49754220987390468</v>
      </c>
      <c r="C10" s="20">
        <f>C9/D9</f>
        <v>0.50245779012609537</v>
      </c>
      <c r="D10" s="15"/>
      <c r="E10" s="19">
        <f>E9/G9</f>
        <v>0.52880481513327604</v>
      </c>
      <c r="F10" s="20">
        <f>F9/G9</f>
        <v>0.47119518486672402</v>
      </c>
      <c r="G10" s="15"/>
      <c r="H10" s="19">
        <f>H9/J9</f>
        <v>0.5079229122055674</v>
      </c>
      <c r="I10" s="20">
        <f>I9/J9</f>
        <v>0.49207708779443254</v>
      </c>
      <c r="J10" s="15"/>
    </row>
    <row r="11" spans="1:10" ht="15.75" thickTop="1" x14ac:dyDescent="0.25">
      <c r="A11" s="30" t="s">
        <v>0</v>
      </c>
      <c r="B11" s="24">
        <f>B7+B9</f>
        <v>7817</v>
      </c>
      <c r="C11" s="23">
        <f>C7+C9</f>
        <v>8598</v>
      </c>
      <c r="D11" s="25">
        <f>D7+D9</f>
        <v>16415</v>
      </c>
      <c r="E11" s="24">
        <f t="shared" ref="E11:F11" si="0">E7+E9</f>
        <v>1375</v>
      </c>
      <c r="F11" s="23">
        <f t="shared" si="0"/>
        <v>1201</v>
      </c>
      <c r="G11" s="25">
        <f>G7+G9</f>
        <v>2576</v>
      </c>
      <c r="H11" s="24">
        <f t="shared" ref="H11:J11" si="1">H7+H9</f>
        <v>9192</v>
      </c>
      <c r="I11" s="23">
        <f t="shared" si="1"/>
        <v>9799</v>
      </c>
      <c r="J11" s="25">
        <f t="shared" si="1"/>
        <v>18991</v>
      </c>
    </row>
    <row r="12" spans="1:10" ht="15.75" thickBot="1" x14ac:dyDescent="0.3">
      <c r="A12" s="31"/>
      <c r="B12" s="26">
        <f>B11/D11</f>
        <v>0.47621078282059093</v>
      </c>
      <c r="C12" s="27">
        <f>C11/D11</f>
        <v>0.52378921717940907</v>
      </c>
      <c r="D12" s="28"/>
      <c r="E12" s="26">
        <f>E11/G11</f>
        <v>0.53377329192546585</v>
      </c>
      <c r="F12" s="27">
        <f>F11/G11</f>
        <v>0.46622670807453415</v>
      </c>
      <c r="G12" s="28"/>
      <c r="H12" s="26">
        <f>H11/J11</f>
        <v>0.48401874572165765</v>
      </c>
      <c r="I12" s="27">
        <f>I11/J11</f>
        <v>0.5159812542783424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17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5372</v>
      </c>
      <c r="C7" s="12">
        <v>6030</v>
      </c>
      <c r="D7" s="14">
        <f>B7+C7</f>
        <v>11402</v>
      </c>
      <c r="E7" s="11">
        <v>172</v>
      </c>
      <c r="F7" s="12">
        <v>95</v>
      </c>
      <c r="G7" s="14">
        <f>E7+F7</f>
        <v>267</v>
      </c>
      <c r="H7" s="11">
        <v>5544</v>
      </c>
      <c r="I7" s="12">
        <v>6125</v>
      </c>
      <c r="J7" s="14">
        <f>H7+I7</f>
        <v>11669</v>
      </c>
    </row>
    <row r="8" spans="1:10" x14ac:dyDescent="0.25">
      <c r="A8" s="5" t="s">
        <v>10</v>
      </c>
      <c r="B8" s="21">
        <f>B7/D7</f>
        <v>0.47114541308542363</v>
      </c>
      <c r="C8" s="18">
        <f>C7/D7</f>
        <v>0.52885458691457643</v>
      </c>
      <c r="D8" s="7"/>
      <c r="E8" s="21">
        <f>E7/G7</f>
        <v>0.64419475655430714</v>
      </c>
      <c r="F8" s="18">
        <f>F7/G7</f>
        <v>0.35580524344569286</v>
      </c>
      <c r="G8" s="7"/>
      <c r="H8" s="21">
        <f>H7/J7</f>
        <v>0.47510497900419918</v>
      </c>
      <c r="I8" s="18">
        <f>I7/J7</f>
        <v>0.52489502099580088</v>
      </c>
      <c r="J8" s="7"/>
    </row>
    <row r="9" spans="1:10" x14ac:dyDescent="0.25">
      <c r="A9" s="5" t="s">
        <v>3</v>
      </c>
      <c r="B9" s="4">
        <v>2216</v>
      </c>
      <c r="C9" s="9">
        <v>2305</v>
      </c>
      <c r="D9" s="7">
        <f>B9+C9</f>
        <v>4521</v>
      </c>
      <c r="E9" s="4">
        <v>1130</v>
      </c>
      <c r="F9" s="9">
        <v>1017</v>
      </c>
      <c r="G9" s="7">
        <f>E9+F9</f>
        <v>2147</v>
      </c>
      <c r="H9" s="4">
        <v>3346</v>
      </c>
      <c r="I9" s="9">
        <v>3322</v>
      </c>
      <c r="J9" s="7">
        <f>H9+I9</f>
        <v>6668</v>
      </c>
    </row>
    <row r="10" spans="1:10" ht="15.75" thickBot="1" x14ac:dyDescent="0.3">
      <c r="A10" s="6" t="s">
        <v>10</v>
      </c>
      <c r="B10" s="19">
        <f>B9/D9</f>
        <v>0.49015704490157047</v>
      </c>
      <c r="C10" s="20">
        <f>C9/D9</f>
        <v>0.50984295509842958</v>
      </c>
      <c r="D10" s="15"/>
      <c r="E10" s="19">
        <f>E9/G9</f>
        <v>0.52631578947368418</v>
      </c>
      <c r="F10" s="20">
        <f>F9/G9</f>
        <v>0.47368421052631576</v>
      </c>
      <c r="G10" s="15"/>
      <c r="H10" s="19">
        <f>H9/J9</f>
        <v>0.50179964007198563</v>
      </c>
      <c r="I10" s="20">
        <f>I9/J9</f>
        <v>0.49820035992801442</v>
      </c>
      <c r="J10" s="15"/>
    </row>
    <row r="11" spans="1:10" ht="15.75" thickTop="1" x14ac:dyDescent="0.25">
      <c r="A11" s="30" t="s">
        <v>0</v>
      </c>
      <c r="B11" s="24">
        <f>B7+B9</f>
        <v>7588</v>
      </c>
      <c r="C11" s="23">
        <f>C7+C9</f>
        <v>8335</v>
      </c>
      <c r="D11" s="25">
        <f>D7+D9</f>
        <v>15923</v>
      </c>
      <c r="E11" s="24">
        <f t="shared" ref="E11:F11" si="0">E7+E9</f>
        <v>1302</v>
      </c>
      <c r="F11" s="23">
        <f t="shared" si="0"/>
        <v>1112</v>
      </c>
      <c r="G11" s="25">
        <f>G7+G9</f>
        <v>2414</v>
      </c>
      <c r="H11" s="24">
        <f t="shared" ref="H11:J11" si="1">H7+H9</f>
        <v>8890</v>
      </c>
      <c r="I11" s="23">
        <f t="shared" si="1"/>
        <v>9447</v>
      </c>
      <c r="J11" s="25">
        <f t="shared" si="1"/>
        <v>18337</v>
      </c>
    </row>
    <row r="12" spans="1:10" ht="15.75" thickBot="1" x14ac:dyDescent="0.3">
      <c r="A12" s="31"/>
      <c r="B12" s="26">
        <f>B11/D11</f>
        <v>0.47654336494379201</v>
      </c>
      <c r="C12" s="27">
        <f>C11/D11</f>
        <v>0.52345663505620799</v>
      </c>
      <c r="D12" s="28"/>
      <c r="E12" s="26">
        <f>E11/G11</f>
        <v>0.53935376967688486</v>
      </c>
      <c r="F12" s="27">
        <f>F11/G11</f>
        <v>0.46064623032311514</v>
      </c>
      <c r="G12" s="28"/>
      <c r="H12" s="26">
        <f>H11/J11</f>
        <v>0.48481212848339422</v>
      </c>
      <c r="I12" s="27">
        <f>I11/J11</f>
        <v>0.51518787151660572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16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5125</v>
      </c>
      <c r="C7" s="12">
        <v>5833</v>
      </c>
      <c r="D7" s="14">
        <f>B7+C7</f>
        <v>10958</v>
      </c>
      <c r="E7" s="11">
        <v>131</v>
      </c>
      <c r="F7" s="12">
        <v>77</v>
      </c>
      <c r="G7" s="14">
        <f>E7+F7</f>
        <v>208</v>
      </c>
      <c r="H7" s="11">
        <v>5256</v>
      </c>
      <c r="I7" s="12">
        <v>5910</v>
      </c>
      <c r="J7" s="14">
        <f>H7+I7</f>
        <v>11166</v>
      </c>
    </row>
    <row r="8" spans="1:10" x14ac:dyDescent="0.25">
      <c r="A8" s="5" t="s">
        <v>10</v>
      </c>
      <c r="B8" s="21">
        <f>B7/D7</f>
        <v>0.46769483482387297</v>
      </c>
      <c r="C8" s="18">
        <f>C7/D7</f>
        <v>0.53230516517612703</v>
      </c>
      <c r="D8" s="7"/>
      <c r="E8" s="21">
        <f>E7/G7</f>
        <v>0.62980769230769229</v>
      </c>
      <c r="F8" s="18">
        <f>F7/G7</f>
        <v>0.37019230769230771</v>
      </c>
      <c r="G8" s="7"/>
      <c r="H8" s="21">
        <f>H7/J7</f>
        <v>0.4707146695325094</v>
      </c>
      <c r="I8" s="18">
        <f>I7/J7</f>
        <v>0.5292853304674906</v>
      </c>
      <c r="J8" s="7"/>
    </row>
    <row r="9" spans="1:10" x14ac:dyDescent="0.25">
      <c r="A9" s="5" t="s">
        <v>3</v>
      </c>
      <c r="B9" s="4">
        <v>2047</v>
      </c>
      <c r="C9" s="9">
        <v>2113</v>
      </c>
      <c r="D9" s="7">
        <v>4160</v>
      </c>
      <c r="E9" s="4">
        <v>1065</v>
      </c>
      <c r="F9" s="9">
        <v>926</v>
      </c>
      <c r="G9" s="7">
        <v>1991</v>
      </c>
      <c r="H9" s="4">
        <v>3112</v>
      </c>
      <c r="I9" s="9">
        <v>3039</v>
      </c>
      <c r="J9" s="7">
        <f>H9+I9</f>
        <v>6151</v>
      </c>
    </row>
    <row r="10" spans="1:10" ht="15.75" thickBot="1" x14ac:dyDescent="0.3">
      <c r="A10" s="6" t="s">
        <v>10</v>
      </c>
      <c r="B10" s="19">
        <f>B9/D9</f>
        <v>0.49206730769230766</v>
      </c>
      <c r="C10" s="20">
        <f>C9/D9</f>
        <v>0.50793269230769234</v>
      </c>
      <c r="D10" s="15"/>
      <c r="E10" s="19">
        <f>E9/G9</f>
        <v>0.53490708186840785</v>
      </c>
      <c r="F10" s="20">
        <f>F9/G9</f>
        <v>0.46509291813159215</v>
      </c>
      <c r="G10" s="15"/>
      <c r="H10" s="19">
        <f>H9/J9</f>
        <v>0.50593399447244347</v>
      </c>
      <c r="I10" s="20">
        <f>I9/J9</f>
        <v>0.49406600552755647</v>
      </c>
      <c r="J10" s="15"/>
    </row>
    <row r="11" spans="1:10" ht="15.75" thickTop="1" x14ac:dyDescent="0.25">
      <c r="A11" s="30" t="s">
        <v>0</v>
      </c>
      <c r="B11" s="24">
        <f>B7+B9</f>
        <v>7172</v>
      </c>
      <c r="C11" s="23">
        <f>C7+C9</f>
        <v>7946</v>
      </c>
      <c r="D11" s="25">
        <f>D7+D9</f>
        <v>15118</v>
      </c>
      <c r="E11" s="24">
        <f t="shared" ref="E11:F11" si="0">E7+E9</f>
        <v>1196</v>
      </c>
      <c r="F11" s="23">
        <f t="shared" si="0"/>
        <v>1003</v>
      </c>
      <c r="G11" s="25">
        <f>G7+G9</f>
        <v>2199</v>
      </c>
      <c r="H11" s="24">
        <f t="shared" ref="H11:J11" si="1">H7+H9</f>
        <v>8368</v>
      </c>
      <c r="I11" s="23">
        <f t="shared" si="1"/>
        <v>8949</v>
      </c>
      <c r="J11" s="25">
        <f t="shared" si="1"/>
        <v>17317</v>
      </c>
    </row>
    <row r="12" spans="1:10" ht="15.75" thickBot="1" x14ac:dyDescent="0.3">
      <c r="A12" s="31"/>
      <c r="B12" s="26">
        <f>B11/D11</f>
        <v>0.4744013758433655</v>
      </c>
      <c r="C12" s="27">
        <f>C11/D11</f>
        <v>0.5255986241566345</v>
      </c>
      <c r="D12" s="28"/>
      <c r="E12" s="26">
        <f>E11/G11</f>
        <v>0.54388358344702137</v>
      </c>
      <c r="F12" s="27">
        <f>F11/G11</f>
        <v>0.45611641655297863</v>
      </c>
      <c r="G12" s="28"/>
      <c r="H12" s="26">
        <f>H11/J11</f>
        <v>0.48322457700525495</v>
      </c>
      <c r="I12" s="27">
        <f>I11/J11</f>
        <v>0.51677542299474499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15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5102</v>
      </c>
      <c r="C7" s="12">
        <v>5592</v>
      </c>
      <c r="D7" s="14">
        <f>B7+C7</f>
        <v>10694</v>
      </c>
      <c r="E7" s="11">
        <v>114</v>
      </c>
      <c r="F7" s="12">
        <v>89</v>
      </c>
      <c r="G7" s="14">
        <f>E7+F7</f>
        <v>203</v>
      </c>
      <c r="H7" s="11">
        <v>5216</v>
      </c>
      <c r="I7" s="12">
        <v>5681</v>
      </c>
      <c r="J7" s="14">
        <f>H7+I7</f>
        <v>10897</v>
      </c>
    </row>
    <row r="8" spans="1:10" x14ac:dyDescent="0.25">
      <c r="A8" s="5" t="s">
        <v>10</v>
      </c>
      <c r="B8" s="21">
        <f>B7/D7</f>
        <v>0.47708995698522538</v>
      </c>
      <c r="C8" s="18">
        <f>C7/D7</f>
        <v>0.52291004301477462</v>
      </c>
      <c r="D8" s="7"/>
      <c r="E8" s="21">
        <f>E7/G7</f>
        <v>0.56157635467980294</v>
      </c>
      <c r="F8" s="18">
        <f>F7/G7</f>
        <v>0.43842364532019706</v>
      </c>
      <c r="G8" s="7"/>
      <c r="H8" s="21">
        <f>H7/J7</f>
        <v>0.47866385243645038</v>
      </c>
      <c r="I8" s="18">
        <f>I7/J7</f>
        <v>0.52133614756354962</v>
      </c>
      <c r="J8" s="7"/>
    </row>
    <row r="9" spans="1:10" x14ac:dyDescent="0.25">
      <c r="A9" s="5" t="s">
        <v>3</v>
      </c>
      <c r="B9" s="4">
        <v>1971</v>
      </c>
      <c r="C9" s="9">
        <v>2089</v>
      </c>
      <c r="D9" s="7">
        <f>B9+C9</f>
        <v>4060</v>
      </c>
      <c r="E9" s="4">
        <v>988</v>
      </c>
      <c r="F9" s="9">
        <v>905</v>
      </c>
      <c r="G9" s="7">
        <f>E9+F9</f>
        <v>1893</v>
      </c>
      <c r="H9" s="4">
        <v>2959</v>
      </c>
      <c r="I9" s="9">
        <v>2994</v>
      </c>
      <c r="J9" s="7">
        <f>H9+I9</f>
        <v>5953</v>
      </c>
    </row>
    <row r="10" spans="1:10" ht="15.75" thickBot="1" x14ac:dyDescent="0.3">
      <c r="A10" s="6" t="s">
        <v>10</v>
      </c>
      <c r="B10" s="19">
        <f>B9/D9</f>
        <v>0.48546798029556648</v>
      </c>
      <c r="C10" s="20">
        <f>C9/D9</f>
        <v>0.51453201970443352</v>
      </c>
      <c r="D10" s="15"/>
      <c r="E10" s="19">
        <f>E9/G9</f>
        <v>0.52192287374537771</v>
      </c>
      <c r="F10" s="20">
        <f>F9/G9</f>
        <v>0.47807712625462229</v>
      </c>
      <c r="G10" s="15"/>
      <c r="H10" s="19">
        <f>H9/J9</f>
        <v>0.49706030572820425</v>
      </c>
      <c r="I10" s="20">
        <f>I9/J9</f>
        <v>0.50293969427179575</v>
      </c>
      <c r="J10" s="15"/>
    </row>
    <row r="11" spans="1:10" ht="15.75" thickTop="1" x14ac:dyDescent="0.25">
      <c r="A11" s="30" t="s">
        <v>0</v>
      </c>
      <c r="B11" s="24">
        <f>B7+B9</f>
        <v>7073</v>
      </c>
      <c r="C11" s="23">
        <f>C7+C9</f>
        <v>7681</v>
      </c>
      <c r="D11" s="25">
        <f>D7+D9</f>
        <v>14754</v>
      </c>
      <c r="E11" s="24">
        <f t="shared" ref="E11:F11" si="0">E7+E9</f>
        <v>1102</v>
      </c>
      <c r="F11" s="23">
        <f t="shared" si="0"/>
        <v>994</v>
      </c>
      <c r="G11" s="25">
        <f>G7+G9</f>
        <v>2096</v>
      </c>
      <c r="H11" s="24">
        <f t="shared" ref="H11:J11" si="1">H7+H9</f>
        <v>8175</v>
      </c>
      <c r="I11" s="23">
        <f t="shared" si="1"/>
        <v>8675</v>
      </c>
      <c r="J11" s="25">
        <f t="shared" si="1"/>
        <v>16850</v>
      </c>
    </row>
    <row r="12" spans="1:10" ht="15.75" thickBot="1" x14ac:dyDescent="0.3">
      <c r="A12" s="31"/>
      <c r="B12" s="26">
        <f>B11/D11</f>
        <v>0.47939541819167686</v>
      </c>
      <c r="C12" s="27">
        <f>C11/D11</f>
        <v>0.52060458180832314</v>
      </c>
      <c r="D12" s="28"/>
      <c r="E12" s="26">
        <f>E11/G11</f>
        <v>0.5257633587786259</v>
      </c>
      <c r="F12" s="27">
        <f>F11/G11</f>
        <v>0.47423664122137404</v>
      </c>
      <c r="G12" s="28"/>
      <c r="H12" s="26">
        <f>H11/J11</f>
        <v>0.48516320474777447</v>
      </c>
      <c r="I12" s="27">
        <f>I11/J11</f>
        <v>0.51483679525222548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14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4958</v>
      </c>
      <c r="C7" s="12">
        <v>5376</v>
      </c>
      <c r="D7" s="14">
        <f>B7+C7</f>
        <v>10334</v>
      </c>
      <c r="E7" s="11">
        <v>111</v>
      </c>
      <c r="F7" s="12">
        <v>80</v>
      </c>
      <c r="G7" s="14">
        <f>E7+F7</f>
        <v>191</v>
      </c>
      <c r="H7" s="11">
        <v>5069</v>
      </c>
      <c r="I7" s="12">
        <v>5456</v>
      </c>
      <c r="J7" s="14">
        <f>H7+I7</f>
        <v>10525</v>
      </c>
    </row>
    <row r="8" spans="1:10" x14ac:dyDescent="0.25">
      <c r="A8" s="5" t="s">
        <v>10</v>
      </c>
      <c r="B8" s="21">
        <f>B7/D7</f>
        <v>0.47977549835494482</v>
      </c>
      <c r="C8" s="18">
        <f>C7/D7</f>
        <v>0.52022450164505518</v>
      </c>
      <c r="D8" s="7"/>
      <c r="E8" s="21">
        <f>E7/G7</f>
        <v>0.58115183246073299</v>
      </c>
      <c r="F8" s="18">
        <f>F7/G7</f>
        <v>0.41884816753926701</v>
      </c>
      <c r="G8" s="7"/>
      <c r="H8" s="21">
        <f>H7/J7</f>
        <v>0.48161520190023754</v>
      </c>
      <c r="I8" s="18">
        <f>I7/J7</f>
        <v>0.51838479809976246</v>
      </c>
      <c r="J8" s="7"/>
    </row>
    <row r="9" spans="1:10" x14ac:dyDescent="0.25">
      <c r="A9" s="5" t="s">
        <v>3</v>
      </c>
      <c r="B9" s="4">
        <v>2040</v>
      </c>
      <c r="C9" s="9">
        <v>2081</v>
      </c>
      <c r="D9" s="7">
        <f>B9+C9</f>
        <v>4121</v>
      </c>
      <c r="E9" s="4">
        <v>915</v>
      </c>
      <c r="F9" s="9">
        <v>775</v>
      </c>
      <c r="G9" s="7">
        <f>E9+F9</f>
        <v>1690</v>
      </c>
      <c r="H9" s="4">
        <v>2955</v>
      </c>
      <c r="I9" s="9">
        <v>2856</v>
      </c>
      <c r="J9" s="7">
        <f>H9+I9</f>
        <v>5811</v>
      </c>
    </row>
    <row r="10" spans="1:10" ht="15.75" thickBot="1" x14ac:dyDescent="0.3">
      <c r="A10" s="6" t="s">
        <v>10</v>
      </c>
      <c r="B10" s="19">
        <f>B9/D9</f>
        <v>0.49502547925260859</v>
      </c>
      <c r="C10" s="20">
        <f>C9/D9</f>
        <v>0.50497452074739146</v>
      </c>
      <c r="D10" s="15"/>
      <c r="E10" s="19">
        <f>E9/G9</f>
        <v>0.54142011834319526</v>
      </c>
      <c r="F10" s="20">
        <f>F9/G9</f>
        <v>0.45857988165680474</v>
      </c>
      <c r="G10" s="15"/>
      <c r="H10" s="19">
        <f>H9/J9</f>
        <v>0.50851832731027358</v>
      </c>
      <c r="I10" s="20">
        <f>I9/J9</f>
        <v>0.49148167268972637</v>
      </c>
      <c r="J10" s="15"/>
    </row>
    <row r="11" spans="1:10" ht="15.75" thickTop="1" x14ac:dyDescent="0.25">
      <c r="A11" s="30" t="s">
        <v>0</v>
      </c>
      <c r="B11" s="24">
        <f>B7+B9</f>
        <v>6998</v>
      </c>
      <c r="C11" s="23">
        <f>C7+C9</f>
        <v>7457</v>
      </c>
      <c r="D11" s="25">
        <f>D7+D9</f>
        <v>14455</v>
      </c>
      <c r="E11" s="24">
        <f t="shared" ref="E11:F11" si="0">E7+E9</f>
        <v>1026</v>
      </c>
      <c r="F11" s="23">
        <f t="shared" si="0"/>
        <v>855</v>
      </c>
      <c r="G11" s="25">
        <f>G7+G9</f>
        <v>1881</v>
      </c>
      <c r="H11" s="24">
        <f t="shared" ref="H11:J11" si="1">H7+H9</f>
        <v>8024</v>
      </c>
      <c r="I11" s="23">
        <f t="shared" si="1"/>
        <v>8312</v>
      </c>
      <c r="J11" s="25">
        <f t="shared" si="1"/>
        <v>16336</v>
      </c>
    </row>
    <row r="12" spans="1:10" ht="15.75" thickBot="1" x14ac:dyDescent="0.3">
      <c r="A12" s="31"/>
      <c r="B12" s="26">
        <f>B11/D11</f>
        <v>0.48412314078173641</v>
      </c>
      <c r="C12" s="27">
        <f>C11/D11</f>
        <v>0.51587685921826354</v>
      </c>
      <c r="D12" s="28"/>
      <c r="E12" s="26">
        <f>E11/G11</f>
        <v>0.54545454545454541</v>
      </c>
      <c r="F12" s="27">
        <f>F11/G11</f>
        <v>0.45454545454545453</v>
      </c>
      <c r="G12" s="28"/>
      <c r="H12" s="26">
        <f>H11/J11</f>
        <v>0.49118511263467191</v>
      </c>
      <c r="I12" s="27">
        <f>I11/J11</f>
        <v>0.50881488736532809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13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4923</v>
      </c>
      <c r="C7" s="12">
        <v>5207</v>
      </c>
      <c r="D7" s="14">
        <f>B7+C7</f>
        <v>10130</v>
      </c>
      <c r="E7" s="11">
        <v>134</v>
      </c>
      <c r="F7" s="12">
        <v>74</v>
      </c>
      <c r="G7" s="14">
        <f>E7+F7</f>
        <v>208</v>
      </c>
      <c r="H7" s="11">
        <v>5057</v>
      </c>
      <c r="I7" s="12">
        <v>5281</v>
      </c>
      <c r="J7" s="14">
        <f>H7+I7</f>
        <v>10338</v>
      </c>
    </row>
    <row r="8" spans="1:10" x14ac:dyDescent="0.25">
      <c r="A8" s="5" t="s">
        <v>10</v>
      </c>
      <c r="B8" s="21">
        <f>B7/D7</f>
        <v>0.48598223099703852</v>
      </c>
      <c r="C8" s="18">
        <f>C7/D7</f>
        <v>0.51401776900296148</v>
      </c>
      <c r="D8" s="7"/>
      <c r="E8" s="21">
        <f>E7/G7</f>
        <v>0.64423076923076927</v>
      </c>
      <c r="F8" s="18">
        <f>F7/G7</f>
        <v>0.35576923076923078</v>
      </c>
      <c r="G8" s="7"/>
      <c r="H8" s="21">
        <f>H7/J7</f>
        <v>0.48916618301412268</v>
      </c>
      <c r="I8" s="18">
        <f>I7/J7</f>
        <v>0.51083381698587738</v>
      </c>
      <c r="J8" s="7"/>
    </row>
    <row r="9" spans="1:10" x14ac:dyDescent="0.25">
      <c r="A9" s="5" t="s">
        <v>3</v>
      </c>
      <c r="B9" s="4">
        <v>1905</v>
      </c>
      <c r="C9" s="9">
        <v>1915</v>
      </c>
      <c r="D9" s="7">
        <f>B9+C9</f>
        <v>3820</v>
      </c>
      <c r="E9" s="4">
        <v>835</v>
      </c>
      <c r="F9" s="9">
        <v>625</v>
      </c>
      <c r="G9" s="7">
        <f>E9+F9</f>
        <v>1460</v>
      </c>
      <c r="H9" s="4">
        <v>2740</v>
      </c>
      <c r="I9" s="9">
        <v>2540</v>
      </c>
      <c r="J9" s="7">
        <f>H9+I9</f>
        <v>5280</v>
      </c>
    </row>
    <row r="10" spans="1:10" ht="15.75" thickBot="1" x14ac:dyDescent="0.3">
      <c r="A10" s="6" t="s">
        <v>10</v>
      </c>
      <c r="B10" s="19">
        <f>B9/D9</f>
        <v>0.4986910994764398</v>
      </c>
      <c r="C10" s="20">
        <f>C9/D9</f>
        <v>0.50130890052356025</v>
      </c>
      <c r="D10" s="15"/>
      <c r="E10" s="19">
        <f>E9/G9</f>
        <v>0.57191780821917804</v>
      </c>
      <c r="F10" s="20">
        <f>F9/G9</f>
        <v>0.42808219178082191</v>
      </c>
      <c r="G10" s="15"/>
      <c r="H10" s="19">
        <f>H9/J9</f>
        <v>0.51893939393939392</v>
      </c>
      <c r="I10" s="20">
        <f>I9/J9</f>
        <v>0.48106060606060608</v>
      </c>
      <c r="J10" s="15"/>
    </row>
    <row r="11" spans="1:10" ht="15.75" thickTop="1" x14ac:dyDescent="0.25">
      <c r="A11" s="30" t="s">
        <v>0</v>
      </c>
      <c r="B11" s="24">
        <f>B7+B9</f>
        <v>6828</v>
      </c>
      <c r="C11" s="23">
        <f>C7+C9</f>
        <v>7122</v>
      </c>
      <c r="D11" s="25">
        <f>D7+D9</f>
        <v>13950</v>
      </c>
      <c r="E11" s="24">
        <f t="shared" ref="E11:F11" si="0">E7+E9</f>
        <v>969</v>
      </c>
      <c r="F11" s="23">
        <f t="shared" si="0"/>
        <v>699</v>
      </c>
      <c r="G11" s="25">
        <f>G7+G9</f>
        <v>1668</v>
      </c>
      <c r="H11" s="24">
        <f t="shared" ref="H11:J11" si="1">H7+H9</f>
        <v>7797</v>
      </c>
      <c r="I11" s="23">
        <f t="shared" si="1"/>
        <v>7821</v>
      </c>
      <c r="J11" s="25">
        <f t="shared" si="1"/>
        <v>15618</v>
      </c>
    </row>
    <row r="12" spans="1:10" ht="15.75" thickBot="1" x14ac:dyDescent="0.3">
      <c r="A12" s="31"/>
      <c r="B12" s="26">
        <f>B11/D11</f>
        <v>0.48946236559139783</v>
      </c>
      <c r="C12" s="27">
        <f>C11/D11</f>
        <v>0.51053763440860211</v>
      </c>
      <c r="D12" s="28"/>
      <c r="E12" s="26">
        <f>E11/G11</f>
        <v>0.5809352517985612</v>
      </c>
      <c r="F12" s="27">
        <f>F11/G11</f>
        <v>0.41906474820143885</v>
      </c>
      <c r="G12" s="28"/>
      <c r="H12" s="26">
        <f>H11/J11</f>
        <v>0.49923165578179024</v>
      </c>
      <c r="I12" s="27">
        <f>I11/J11</f>
        <v>0.5007683442182097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12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4699</v>
      </c>
      <c r="C7" s="12">
        <v>4897</v>
      </c>
      <c r="D7" s="14">
        <f>B7+C7</f>
        <v>9596</v>
      </c>
      <c r="E7" s="11">
        <v>155</v>
      </c>
      <c r="F7" s="12">
        <v>91</v>
      </c>
      <c r="G7" s="14">
        <f>E7+F7</f>
        <v>246</v>
      </c>
      <c r="H7" s="11">
        <v>4854</v>
      </c>
      <c r="I7" s="12">
        <v>4988</v>
      </c>
      <c r="J7" s="14">
        <f>H7+I7</f>
        <v>9842</v>
      </c>
    </row>
    <row r="8" spans="1:10" x14ac:dyDescent="0.25">
      <c r="A8" s="5" t="s">
        <v>10</v>
      </c>
      <c r="B8" s="21">
        <f>B7/D7</f>
        <v>0.4896832013338891</v>
      </c>
      <c r="C8" s="18">
        <f>C7/D7</f>
        <v>0.5103167986661109</v>
      </c>
      <c r="D8" s="7"/>
      <c r="E8" s="21">
        <f>E7/G7</f>
        <v>0.63008130081300817</v>
      </c>
      <c r="F8" s="18">
        <f>F7/G7</f>
        <v>0.36991869918699188</v>
      </c>
      <c r="G8" s="7"/>
      <c r="H8" s="21">
        <f>H7/J7</f>
        <v>0.49319244056086159</v>
      </c>
      <c r="I8" s="18">
        <f>I7/J7</f>
        <v>0.50680755943913836</v>
      </c>
      <c r="J8" s="7"/>
    </row>
    <row r="9" spans="1:10" x14ac:dyDescent="0.25">
      <c r="A9" s="5" t="s">
        <v>3</v>
      </c>
      <c r="B9" s="4">
        <v>1961</v>
      </c>
      <c r="C9" s="9">
        <v>1836</v>
      </c>
      <c r="D9" s="7">
        <f>B9+C9</f>
        <v>3797</v>
      </c>
      <c r="E9" s="4">
        <v>746</v>
      </c>
      <c r="F9" s="9">
        <v>630</v>
      </c>
      <c r="G9" s="7">
        <f>E9+F9</f>
        <v>1376</v>
      </c>
      <c r="H9" s="4">
        <v>2707</v>
      </c>
      <c r="I9" s="9">
        <v>2466</v>
      </c>
      <c r="J9" s="7">
        <f>H9+I9</f>
        <v>5173</v>
      </c>
    </row>
    <row r="10" spans="1:10" ht="15.75" thickBot="1" x14ac:dyDescent="0.3">
      <c r="A10" s="6" t="s">
        <v>10</v>
      </c>
      <c r="B10" s="19">
        <f>B9/D9</f>
        <v>0.51646036344482482</v>
      </c>
      <c r="C10" s="20">
        <f>C9/D9</f>
        <v>0.48353963655517512</v>
      </c>
      <c r="D10" s="15"/>
      <c r="E10" s="19">
        <f>E9/G9</f>
        <v>0.54215116279069764</v>
      </c>
      <c r="F10" s="20">
        <f>F9/G9</f>
        <v>0.45784883720930231</v>
      </c>
      <c r="G10" s="15"/>
      <c r="H10" s="19">
        <f>H9/J9</f>
        <v>0.52329402667697666</v>
      </c>
      <c r="I10" s="20">
        <f>I9/J9</f>
        <v>0.47670597332302339</v>
      </c>
      <c r="J10" s="15"/>
    </row>
    <row r="11" spans="1:10" ht="15.75" thickTop="1" x14ac:dyDescent="0.25">
      <c r="A11" s="30" t="s">
        <v>0</v>
      </c>
      <c r="B11" s="24">
        <f>B7+B9</f>
        <v>6660</v>
      </c>
      <c r="C11" s="23">
        <f>C7+C9</f>
        <v>6733</v>
      </c>
      <c r="D11" s="25">
        <f>D7+D9</f>
        <v>13393</v>
      </c>
      <c r="E11" s="24">
        <f t="shared" ref="E11:F11" si="0">E7+E9</f>
        <v>901</v>
      </c>
      <c r="F11" s="23">
        <f t="shared" si="0"/>
        <v>721</v>
      </c>
      <c r="G11" s="25">
        <f>G7+G9</f>
        <v>1622</v>
      </c>
      <c r="H11" s="24">
        <f t="shared" ref="H11:J11" si="1">H7+H9</f>
        <v>7561</v>
      </c>
      <c r="I11" s="23">
        <f t="shared" si="1"/>
        <v>7454</v>
      </c>
      <c r="J11" s="25">
        <f t="shared" si="1"/>
        <v>15015</v>
      </c>
    </row>
    <row r="12" spans="1:10" ht="15.75" thickBot="1" x14ac:dyDescent="0.3">
      <c r="A12" s="31"/>
      <c r="B12" s="26">
        <f>B11/D11</f>
        <v>0.49727469573657879</v>
      </c>
      <c r="C12" s="27">
        <f>C11/D11</f>
        <v>0.50272530426342121</v>
      </c>
      <c r="D12" s="28"/>
      <c r="E12" s="26">
        <f>E11/G11</f>
        <v>0.5554870530209618</v>
      </c>
      <c r="F12" s="27">
        <f>F11/G11</f>
        <v>0.4445129469790382</v>
      </c>
      <c r="G12" s="28"/>
      <c r="H12" s="26">
        <f>H11/J11</f>
        <v>0.50356310356310352</v>
      </c>
      <c r="I12" s="27">
        <f>I11/J11</f>
        <v>0.49643689643689642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="85" zoomScaleNormal="100" zoomScalePageLayoutView="85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11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4602</v>
      </c>
      <c r="C7" s="12">
        <v>4665</v>
      </c>
      <c r="D7" s="14">
        <f>B7+C7</f>
        <v>9267</v>
      </c>
      <c r="E7" s="11">
        <v>90</v>
      </c>
      <c r="F7" s="12">
        <v>75</v>
      </c>
      <c r="G7" s="14">
        <f>E7+F7</f>
        <v>165</v>
      </c>
      <c r="H7" s="11">
        <v>4692</v>
      </c>
      <c r="I7" s="12">
        <v>4740</v>
      </c>
      <c r="J7" s="14">
        <f>H7+I7</f>
        <v>9432</v>
      </c>
    </row>
    <row r="8" spans="1:10" x14ac:dyDescent="0.25">
      <c r="A8" s="5" t="s">
        <v>10</v>
      </c>
      <c r="B8" s="21">
        <f>B7/D7</f>
        <v>0.49660084169634183</v>
      </c>
      <c r="C8" s="18">
        <f>C7/D7</f>
        <v>0.50339915830365811</v>
      </c>
      <c r="D8" s="7"/>
      <c r="E8" s="21">
        <f>E7/G7</f>
        <v>0.54545454545454541</v>
      </c>
      <c r="F8" s="18">
        <f>F7/G7</f>
        <v>0.45454545454545453</v>
      </c>
      <c r="G8" s="7"/>
      <c r="H8" s="21">
        <f>H7/J7</f>
        <v>0.49745547073791346</v>
      </c>
      <c r="I8" s="18">
        <f>I7/J7</f>
        <v>0.50254452926208648</v>
      </c>
      <c r="J8" s="7"/>
    </row>
    <row r="9" spans="1:10" x14ac:dyDescent="0.25">
      <c r="A9" s="5" t="s">
        <v>3</v>
      </c>
      <c r="B9" s="4">
        <v>1888</v>
      </c>
      <c r="C9" s="9">
        <v>1630</v>
      </c>
      <c r="D9" s="7">
        <f>B9+C9</f>
        <v>3518</v>
      </c>
      <c r="E9" s="4">
        <v>657</v>
      </c>
      <c r="F9" s="9">
        <v>670</v>
      </c>
      <c r="G9" s="7">
        <f>E9+F9</f>
        <v>1327</v>
      </c>
      <c r="H9" s="4">
        <v>2545</v>
      </c>
      <c r="I9" s="9">
        <v>2300</v>
      </c>
      <c r="J9" s="7">
        <f>H9+I9</f>
        <v>4845</v>
      </c>
    </row>
    <row r="10" spans="1:10" ht="15.75" thickBot="1" x14ac:dyDescent="0.3">
      <c r="A10" s="6" t="s">
        <v>10</v>
      </c>
      <c r="B10" s="19">
        <f>B9/D9</f>
        <v>0.53666856168277433</v>
      </c>
      <c r="C10" s="20">
        <f>C9/D9</f>
        <v>0.46333143831722567</v>
      </c>
      <c r="D10" s="15"/>
      <c r="E10" s="19">
        <f>E9/G9</f>
        <v>0.49510173323285606</v>
      </c>
      <c r="F10" s="20">
        <f>F9/G9</f>
        <v>0.50489826676714389</v>
      </c>
      <c r="G10" s="15"/>
      <c r="H10" s="19">
        <f>H9/J9</f>
        <v>0.5252837977296182</v>
      </c>
      <c r="I10" s="20">
        <f>I9/J9</f>
        <v>0.47471620227038186</v>
      </c>
      <c r="J10" s="15"/>
    </row>
    <row r="11" spans="1:10" ht="15.75" thickTop="1" x14ac:dyDescent="0.25">
      <c r="A11" s="30" t="s">
        <v>0</v>
      </c>
      <c r="B11" s="24">
        <f>B7+B9</f>
        <v>6490</v>
      </c>
      <c r="C11" s="23">
        <f>C7+C9</f>
        <v>6295</v>
      </c>
      <c r="D11" s="25">
        <f>D7+D9</f>
        <v>12785</v>
      </c>
      <c r="E11" s="24">
        <f t="shared" ref="E11:F11" si="0">E7+E9</f>
        <v>747</v>
      </c>
      <c r="F11" s="23">
        <f t="shared" si="0"/>
        <v>745</v>
      </c>
      <c r="G11" s="25">
        <f>G7+G9</f>
        <v>1492</v>
      </c>
      <c r="H11" s="24">
        <f t="shared" ref="H11:J11" si="1">H7+H9</f>
        <v>7237</v>
      </c>
      <c r="I11" s="23">
        <f t="shared" si="1"/>
        <v>7040</v>
      </c>
      <c r="J11" s="25">
        <f t="shared" si="1"/>
        <v>14277</v>
      </c>
    </row>
    <row r="12" spans="1:10" ht="15.75" thickBot="1" x14ac:dyDescent="0.3">
      <c r="A12" s="31"/>
      <c r="B12" s="26">
        <f>B11/D11</f>
        <v>0.50762612436448962</v>
      </c>
      <c r="C12" s="27">
        <f>C11/D11</f>
        <v>0.49237387563551038</v>
      </c>
      <c r="D12" s="28"/>
      <c r="E12" s="26">
        <f>E11/G11</f>
        <v>0.50067024128686322</v>
      </c>
      <c r="F12" s="27">
        <f>F11/G11</f>
        <v>0.49932975871313673</v>
      </c>
      <c r="G12" s="28"/>
      <c r="H12" s="26">
        <f>H11/J11</f>
        <v>0.5068992085171955</v>
      </c>
      <c r="I12" s="27">
        <f>I11/J11</f>
        <v>0.4931007914828045</v>
      </c>
      <c r="J12" s="28"/>
    </row>
  </sheetData>
  <mergeCells count="5">
    <mergeCell ref="A2:J2"/>
    <mergeCell ref="A5:A6"/>
    <mergeCell ref="B5:D5"/>
    <mergeCell ref="E5:G5"/>
    <mergeCell ref="H5:J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view="pageLayout" zoomScaleNormal="100" workbookViewId="0">
      <selection activeCell="D27" sqref="D27"/>
    </sheetView>
  </sheetViews>
  <sheetFormatPr defaultRowHeight="15" x14ac:dyDescent="0.25"/>
  <cols>
    <col min="1" max="1" width="14" customWidth="1"/>
    <col min="2" max="10" width="8.28515625" customWidth="1"/>
  </cols>
  <sheetData>
    <row r="1" spans="1:10" ht="18" x14ac:dyDescent="0.25">
      <c r="A1" s="1" t="s">
        <v>6</v>
      </c>
    </row>
    <row r="2" spans="1:10" x14ac:dyDescent="0.25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2" t="s">
        <v>1</v>
      </c>
    </row>
    <row r="4" spans="1:10" ht="15.75" thickBot="1" x14ac:dyDescent="0.3">
      <c r="A4" s="3"/>
    </row>
    <row r="5" spans="1:10" ht="15" customHeight="1" thickBot="1" x14ac:dyDescent="0.3">
      <c r="A5" s="41"/>
      <c r="B5" s="43" t="s">
        <v>4</v>
      </c>
      <c r="C5" s="44"/>
      <c r="D5" s="45"/>
      <c r="E5" s="43" t="s">
        <v>5</v>
      </c>
      <c r="F5" s="44"/>
      <c r="G5" s="45"/>
      <c r="H5" s="46" t="s">
        <v>0</v>
      </c>
      <c r="I5" s="47"/>
      <c r="J5" s="48"/>
    </row>
    <row r="6" spans="1:10" x14ac:dyDescent="0.25">
      <c r="A6" s="42"/>
      <c r="B6" s="16" t="s">
        <v>8</v>
      </c>
      <c r="C6" s="10" t="s">
        <v>9</v>
      </c>
      <c r="D6" s="17" t="s">
        <v>0</v>
      </c>
      <c r="E6" s="16" t="s">
        <v>8</v>
      </c>
      <c r="F6" s="10" t="s">
        <v>9</v>
      </c>
      <c r="G6" s="17" t="s">
        <v>0</v>
      </c>
      <c r="H6" s="22" t="s">
        <v>8</v>
      </c>
      <c r="I6" s="8" t="s">
        <v>9</v>
      </c>
      <c r="J6" s="13" t="s">
        <v>0</v>
      </c>
    </row>
    <row r="7" spans="1:10" x14ac:dyDescent="0.25">
      <c r="A7" s="29" t="s">
        <v>2</v>
      </c>
      <c r="B7" s="11">
        <v>4580</v>
      </c>
      <c r="C7" s="12">
        <v>4494</v>
      </c>
      <c r="D7" s="14">
        <f>B7+C7</f>
        <v>9074</v>
      </c>
      <c r="E7" s="11">
        <v>82</v>
      </c>
      <c r="F7" s="12">
        <v>61</v>
      </c>
      <c r="G7" s="14">
        <f>E7+F7</f>
        <v>143</v>
      </c>
      <c r="H7" s="11">
        <v>4662</v>
      </c>
      <c r="I7" s="12">
        <v>4555</v>
      </c>
      <c r="J7" s="14">
        <f>H7+I7</f>
        <v>9217</v>
      </c>
    </row>
    <row r="8" spans="1:10" x14ac:dyDescent="0.25">
      <c r="A8" s="5" t="s">
        <v>10</v>
      </c>
      <c r="B8" s="21">
        <f>B7/D7</f>
        <v>0.50473881419440159</v>
      </c>
      <c r="C8" s="18">
        <f>C7/D7</f>
        <v>0.49526118580559841</v>
      </c>
      <c r="D8" s="7"/>
      <c r="E8" s="21">
        <f>E7/G7</f>
        <v>0.57342657342657344</v>
      </c>
      <c r="F8" s="18">
        <f>F7/G7</f>
        <v>0.42657342657342656</v>
      </c>
      <c r="G8" s="7"/>
      <c r="H8" s="21">
        <f>H7/J7</f>
        <v>0.50580449170011932</v>
      </c>
      <c r="I8" s="18">
        <f>I7/J7</f>
        <v>0.49419550829988068</v>
      </c>
      <c r="J8" s="7"/>
    </row>
    <row r="9" spans="1:10" x14ac:dyDescent="0.25">
      <c r="A9" s="5" t="s">
        <v>3</v>
      </c>
      <c r="B9" s="4">
        <v>1720</v>
      </c>
      <c r="C9" s="9">
        <v>1321</v>
      </c>
      <c r="D9" s="7">
        <f>B9+C9</f>
        <v>3041</v>
      </c>
      <c r="E9" s="4">
        <v>642</v>
      </c>
      <c r="F9" s="9">
        <v>587</v>
      </c>
      <c r="G9" s="7">
        <f>E9+F9</f>
        <v>1229</v>
      </c>
      <c r="H9" s="4">
        <v>2362</v>
      </c>
      <c r="I9" s="9">
        <v>1908</v>
      </c>
      <c r="J9" s="7">
        <f>H9+I9</f>
        <v>4270</v>
      </c>
    </row>
    <row r="10" spans="1:10" ht="15.75" thickBot="1" x14ac:dyDescent="0.3">
      <c r="A10" s="6" t="s">
        <v>10</v>
      </c>
      <c r="B10" s="19">
        <f>B9/D9</f>
        <v>0.56560341992765539</v>
      </c>
      <c r="C10" s="20">
        <f>C9/D9</f>
        <v>0.43439658007234461</v>
      </c>
      <c r="D10" s="15"/>
      <c r="E10" s="19">
        <f>E9/G9</f>
        <v>0.52237591537835637</v>
      </c>
      <c r="F10" s="20">
        <f>F9/G9</f>
        <v>0.47762408462164363</v>
      </c>
      <c r="G10" s="15"/>
      <c r="H10" s="19">
        <f>H9/J9</f>
        <v>0.55316159250585484</v>
      </c>
      <c r="I10" s="20">
        <f>I9/J9</f>
        <v>0.44683840749414522</v>
      </c>
      <c r="J10" s="15"/>
    </row>
    <row r="11" spans="1:10" ht="15.75" thickTop="1" x14ac:dyDescent="0.25">
      <c r="A11" s="30" t="s">
        <v>0</v>
      </c>
      <c r="B11" s="24">
        <f>B7+B9</f>
        <v>6300</v>
      </c>
      <c r="C11" s="23">
        <f>C7+C9</f>
        <v>5815</v>
      </c>
      <c r="D11" s="25">
        <f>D7+D9</f>
        <v>12115</v>
      </c>
      <c r="E11" s="24">
        <f t="shared" ref="E11:F11" si="0">E7+E9</f>
        <v>724</v>
      </c>
      <c r="F11" s="23">
        <f t="shared" si="0"/>
        <v>648</v>
      </c>
      <c r="G11" s="25">
        <f>G7+G9</f>
        <v>1372</v>
      </c>
      <c r="H11" s="24">
        <f t="shared" ref="H11:J11" si="1">H7+H9</f>
        <v>7024</v>
      </c>
      <c r="I11" s="23">
        <f t="shared" si="1"/>
        <v>6463</v>
      </c>
      <c r="J11" s="25">
        <f t="shared" si="1"/>
        <v>13487</v>
      </c>
    </row>
    <row r="12" spans="1:10" ht="15.75" thickBot="1" x14ac:dyDescent="0.3">
      <c r="A12" s="31"/>
      <c r="B12" s="26">
        <f>B11/D11</f>
        <v>0.520016508460586</v>
      </c>
      <c r="C12" s="27">
        <f>C11/D11</f>
        <v>0.47998349153941394</v>
      </c>
      <c r="D12" s="28"/>
      <c r="E12" s="26">
        <f>E11/G11</f>
        <v>0.5276967930029155</v>
      </c>
      <c r="F12" s="27">
        <f>F11/G11</f>
        <v>0.47230320699708456</v>
      </c>
      <c r="G12" s="28"/>
      <c r="H12" s="26">
        <f>H11/J11</f>
        <v>0.52079780529398678</v>
      </c>
      <c r="I12" s="27">
        <f>I11/J11</f>
        <v>0.47920219470601322</v>
      </c>
      <c r="J12" s="28"/>
    </row>
  </sheetData>
  <mergeCells count="5">
    <mergeCell ref="E5:G5"/>
    <mergeCell ref="H5:J5"/>
    <mergeCell ref="A2:J2"/>
    <mergeCell ref="B5:D5"/>
    <mergeCell ref="A5:A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&amp;CUCL Student Data Statistics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'1995-96'!Print_Titles</vt:lpstr>
      <vt:lpstr>'1996-97'!Print_Titles</vt:lpstr>
      <vt:lpstr>'1997-98'!Print_Titles</vt:lpstr>
      <vt:lpstr>'1998-99'!Print_Titles</vt:lpstr>
      <vt:lpstr>'1999-00'!Print_Titles</vt:lpstr>
      <vt:lpstr>'2000-01'!Print_Titles</vt:lpstr>
      <vt:lpstr>'2001-02'!Print_Titles</vt:lpstr>
      <vt:lpstr>'2002-03'!Print_Titles</vt:lpstr>
      <vt:lpstr>'2003-04'!Print_Titles</vt:lpstr>
      <vt:lpstr>'2004-05'!Print_Titles</vt:lpstr>
      <vt:lpstr>'2005-06'!Print_Titles</vt:lpstr>
      <vt:lpstr>'2006-07'!Print_Titles</vt:lpstr>
      <vt:lpstr>'2007-08'!Print_Titles</vt:lpstr>
      <vt:lpstr>'2008-09'!Print_Titles</vt:lpstr>
      <vt:lpstr>'2009-10'!Print_Titles</vt:lpstr>
      <vt:lpstr>'2010-11'!Print_Titles</vt:lpstr>
      <vt:lpstr>'2011-12'!Print_Titles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2013-05-23T15:55:34Z</cp:lastPrinted>
  <dcterms:created xsi:type="dcterms:W3CDTF">2013-05-17T14:02:41Z</dcterms:created>
  <dcterms:modified xsi:type="dcterms:W3CDTF">2013-06-18T14:44:10Z</dcterms:modified>
</cp:coreProperties>
</file>