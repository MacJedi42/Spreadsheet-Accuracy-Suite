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1405"/>
  <workbookPr autoCompressPictures="0"/>
  <bookViews>
    <workbookView xWindow="0" yWindow="0" windowWidth="23420" windowHeight="18560"/>
  </bookViews>
  <sheets>
    <sheet name="$$ Total Library Expenditures" sheetId="1" r:id="rId1"/>
    <sheet name="$$ Total Library Materials" sheetId="2" r:id="rId2"/>
    <sheet name="$$ Current Serials" sheetId="3" r:id="rId3"/>
    <sheet name="$$ Monographs" sheetId="4" r:id="rId4"/>
    <sheet name="# Current Serials" sheetId="5" r:id="rId5"/>
    <sheet name="# Monographs purchased" sheetId="6" r:id="rId6"/>
    <sheet name="$$ Professional Staff" sheetId="7" r:id="rId7"/>
    <sheet name="$$ Support Staff" sheetId="8" r:id="rId8"/>
    <sheet name="# Professional Staff" sheetId="9" r:id="rId9"/>
    <sheet name="# Support Staff" sheetId="10" r:id="rId10"/>
    <sheet name="$$ Per Student FTE" sheetId="11" r:id="rId11"/>
  </sheets>
  <definedNames>
    <definedName name="_xlnm.Print_Area" localSheetId="4">'# Current Serials'!$A$1:$G$20</definedName>
    <definedName name="_xlnm.Print_Area" localSheetId="5">'# Monographs purchased'!$A$1:$G$20</definedName>
    <definedName name="_xlnm.Print_Area" localSheetId="8">'# Professional Staff'!$A$1:$G$20</definedName>
    <definedName name="_xlnm.Print_Area" localSheetId="9">'# Support Staff'!$A$1:$G$20</definedName>
    <definedName name="_xlnm.Print_Area" localSheetId="2">'$$ Current Serials'!$A$1:$G$20</definedName>
    <definedName name="_xlnm.Print_Area" localSheetId="3">'$$ Monographs'!$A$1:$G$20</definedName>
    <definedName name="_xlnm.Print_Area" localSheetId="10">'$$ Per Student FTE'!$A$1:$G$20</definedName>
    <definedName name="_xlnm.Print_Area" localSheetId="6">'$$ Professional Staff'!$A$1:$G$20</definedName>
    <definedName name="_xlnm.Print_Area" localSheetId="7">'$$ Support Staff'!$A$1:$G$20</definedName>
    <definedName name="_xlnm.Print_Area" localSheetId="0">'$$ Total Library Expenditures'!$A$1:$G$20</definedName>
    <definedName name="_xlnm.Print_Area" localSheetId="1">'$$ Total Library Materials'!$A$1:$G$20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0" i="1" l="1"/>
  <c r="G16" i="1"/>
  <c r="G14" i="1"/>
  <c r="G13" i="1"/>
  <c r="G11" i="1"/>
  <c r="G9" i="1"/>
  <c r="G7" i="1"/>
  <c r="G6" i="1"/>
  <c r="G12" i="2"/>
  <c r="G16" i="2"/>
  <c r="G14" i="2"/>
  <c r="G13" i="2"/>
  <c r="G11" i="2"/>
  <c r="G9" i="2"/>
  <c r="G7" i="2"/>
  <c r="G6" i="2"/>
  <c r="G16" i="3"/>
  <c r="G14" i="3"/>
  <c r="G13" i="3"/>
  <c r="G11" i="3"/>
  <c r="G10" i="3"/>
  <c r="G9" i="3"/>
  <c r="G7" i="3"/>
  <c r="G6" i="3"/>
  <c r="G16" i="4"/>
  <c r="G14" i="4"/>
  <c r="G13" i="4"/>
  <c r="G11" i="4"/>
  <c r="G10" i="4"/>
  <c r="G9" i="4"/>
  <c r="G7" i="4"/>
  <c r="G6" i="4"/>
  <c r="G11" i="5"/>
  <c r="G16" i="5"/>
  <c r="G14" i="5"/>
  <c r="G13" i="5"/>
  <c r="G10" i="5"/>
  <c r="G9" i="5"/>
  <c r="G7" i="5"/>
  <c r="G6" i="5"/>
  <c r="G16" i="6"/>
  <c r="G14" i="6"/>
  <c r="G13" i="6"/>
  <c r="G10" i="6"/>
  <c r="G9" i="6"/>
  <c r="G7" i="6"/>
  <c r="G6" i="6"/>
  <c r="G16" i="7"/>
  <c r="G14" i="7"/>
  <c r="G13" i="7"/>
  <c r="G11" i="7"/>
  <c r="G10" i="7"/>
  <c r="G9" i="7"/>
  <c r="G7" i="7"/>
  <c r="G6" i="7"/>
  <c r="G16" i="8"/>
  <c r="G14" i="8"/>
  <c r="G13" i="8"/>
  <c r="G11" i="8"/>
  <c r="G10" i="8"/>
  <c r="G9" i="8"/>
  <c r="G7" i="8"/>
  <c r="G6" i="8"/>
  <c r="G16" i="9"/>
  <c r="G14" i="9"/>
  <c r="G13" i="9"/>
  <c r="G11" i="9"/>
  <c r="G10" i="9"/>
  <c r="G9" i="9"/>
  <c r="G7" i="9"/>
  <c r="G6" i="9"/>
  <c r="G16" i="10"/>
  <c r="G14" i="10"/>
  <c r="G13" i="10"/>
  <c r="G11" i="10"/>
  <c r="G10" i="10"/>
  <c r="G9" i="10"/>
  <c r="G7" i="10"/>
  <c r="G6" i="10"/>
  <c r="G16" i="11"/>
  <c r="G15" i="11"/>
  <c r="G14" i="11"/>
  <c r="G13" i="11"/>
  <c r="G11" i="11"/>
  <c r="G10" i="11"/>
  <c r="G9" i="11"/>
  <c r="G7" i="11"/>
  <c r="G6" i="11"/>
  <c r="F6" i="11"/>
  <c r="F7" i="11"/>
  <c r="F7" i="10"/>
  <c r="F6" i="10"/>
  <c r="F7" i="9"/>
  <c r="F6" i="9"/>
  <c r="F7" i="8"/>
  <c r="F6" i="8"/>
  <c r="F7" i="7"/>
  <c r="F6" i="7"/>
  <c r="F7" i="6"/>
  <c r="F6" i="6"/>
  <c r="F7" i="5"/>
  <c r="F6" i="5"/>
  <c r="F7" i="4"/>
  <c r="F6" i="4"/>
  <c r="F7" i="3"/>
  <c r="F6" i="3"/>
  <c r="F7" i="2"/>
  <c r="F6" i="2"/>
  <c r="F7" i="1"/>
  <c r="F6" i="1"/>
  <c r="C7" i="11"/>
  <c r="E6" i="11"/>
  <c r="E7" i="11"/>
  <c r="E6" i="10"/>
  <c r="E7" i="10"/>
  <c r="E6" i="9"/>
  <c r="E7" i="9"/>
  <c r="E6" i="1"/>
  <c r="E7" i="1"/>
  <c r="E6" i="8"/>
  <c r="E7" i="8"/>
  <c r="E6" i="7"/>
  <c r="E7" i="7"/>
  <c r="E6" i="2"/>
  <c r="E7" i="2"/>
  <c r="E6" i="3"/>
  <c r="E7" i="3"/>
  <c r="E6" i="4"/>
  <c r="E7" i="4"/>
  <c r="E6" i="5"/>
  <c r="E7" i="5"/>
  <c r="E6" i="6"/>
  <c r="E7" i="6"/>
  <c r="D6" i="11"/>
  <c r="D7" i="11"/>
  <c r="D6" i="10"/>
  <c r="D7" i="10"/>
  <c r="D6" i="9"/>
  <c r="D7" i="9"/>
  <c r="D6" i="1"/>
  <c r="D7" i="1"/>
  <c r="D6" i="8"/>
  <c r="D7" i="8"/>
  <c r="D6" i="7"/>
  <c r="D7" i="7"/>
  <c r="D6" i="2"/>
  <c r="D7" i="2"/>
  <c r="D6" i="3"/>
  <c r="D7" i="3"/>
  <c r="D6" i="4"/>
  <c r="D7" i="4"/>
  <c r="D6" i="5"/>
  <c r="D7" i="5"/>
  <c r="D6" i="6"/>
  <c r="D7" i="6"/>
  <c r="C6" i="11"/>
  <c r="C6" i="10"/>
  <c r="C7" i="10"/>
  <c r="C7" i="9"/>
  <c r="C6" i="9"/>
  <c r="C6" i="8"/>
  <c r="C7" i="8"/>
  <c r="C6" i="7"/>
  <c r="C7" i="7"/>
  <c r="C7" i="6"/>
  <c r="C6" i="6"/>
  <c r="C7" i="5"/>
  <c r="C6" i="5"/>
  <c r="C6" i="4"/>
  <c r="C7" i="4"/>
  <c r="C6" i="3"/>
  <c r="C7" i="3"/>
  <c r="C7" i="2"/>
  <c r="C6" i="2"/>
  <c r="C6" i="1"/>
  <c r="C7" i="1"/>
  <c r="B7" i="5"/>
  <c r="B6" i="5"/>
  <c r="B7" i="10"/>
  <c r="B6" i="10"/>
  <c r="B7" i="9"/>
  <c r="B6" i="9"/>
  <c r="B7" i="1"/>
  <c r="B6" i="1"/>
  <c r="B7" i="8"/>
  <c r="B6" i="8"/>
  <c r="B7" i="7"/>
  <c r="B6" i="7"/>
  <c r="B6" i="6"/>
  <c r="B7" i="2"/>
  <c r="B6" i="2"/>
  <c r="B7" i="3"/>
  <c r="B6" i="3"/>
  <c r="B7" i="4"/>
  <c r="B6" i="4"/>
  <c r="B7" i="6"/>
</calcChain>
</file>

<file path=xl/sharedStrings.xml><?xml version="1.0" encoding="utf-8"?>
<sst xmlns="http://schemas.openxmlformats.org/spreadsheetml/2006/main" count="290" uniqueCount="31">
  <si>
    <t>Peer Average</t>
  </si>
  <si>
    <t>Peer Median</t>
  </si>
  <si>
    <t>University of Rhode Island</t>
  </si>
  <si>
    <t>James Madison University</t>
  </si>
  <si>
    <t>Montana State University - Bozeman</t>
  </si>
  <si>
    <t>North Dakota State University - Main Campus</t>
  </si>
  <si>
    <t>University of Maine</t>
  </si>
  <si>
    <t>University of New Hampshire - Main Campus</t>
  </si>
  <si>
    <t>University of Vermont and State Ag. Coll.</t>
  </si>
  <si>
    <t>University of Wyoming</t>
  </si>
  <si>
    <t>FY 2006</t>
  </si>
  <si>
    <t>FY 2007</t>
  </si>
  <si>
    <t>FY 2008</t>
  </si>
  <si>
    <t>FY 2009</t>
  </si>
  <si>
    <t>URI vs. Peers</t>
  </si>
  <si>
    <t>Source: ACRLMetrics</t>
  </si>
  <si>
    <t>Current Serial Subscriptions</t>
  </si>
  <si>
    <t>Number of Monographic Volumes Purchased</t>
  </si>
  <si>
    <t>U/A</t>
  </si>
  <si>
    <t>Monographs Expenditures</t>
  </si>
  <si>
    <t>Current Serials Expenditures</t>
  </si>
  <si>
    <t>Salaries &amp; Wages Professional Staff</t>
  </si>
  <si>
    <t>Salaries &amp; Wages Support Staff</t>
  </si>
  <si>
    <t>Professional Staff (FTE)</t>
  </si>
  <si>
    <t>Support Staff (FTE)</t>
  </si>
  <si>
    <t>Total Library Expenditures</t>
  </si>
  <si>
    <t>Total Library Materials Expenditures</t>
  </si>
  <si>
    <t>FY 2010</t>
  </si>
  <si>
    <t>Revised: October 24, 2011, ajr</t>
  </si>
  <si>
    <t>Total Library Materials Expenditures Per Student FTE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</si>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</sst>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"/>
    <numFmt numFmtId="165" formatCode="#,##0.0"/>
    <numFmt numFmtId="166" formatCode="&quot;$&quot;#,##0.00"/>
    <numFmt numFmtId="167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1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3" fontId="0" fillId="2" borderId="1" xfId="0" applyNumberFormat="1" applyFill="1" applyBorder="1" applyAlignment="1">
      <alignment horizontal="right"/>
    </xf>
    <xf numFmtId="3" fontId="0" fillId="0" borderId="1" xfId="0" applyNumberFormat="1" applyBorder="1" applyAlignment="1">
      <alignment horizontal="right"/>
    </xf>
    <xf numFmtId="3" fontId="0" fillId="0" borderId="1" xfId="0" applyNumberFormat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0" borderId="1" xfId="0" applyNumberFormat="1" applyBorder="1" applyAlignment="1">
      <alignment horizontal="right"/>
    </xf>
    <xf numFmtId="3" fontId="0" fillId="2" borderId="1" xfId="0" applyNumberFormat="1" applyFill="1" applyBorder="1"/>
    <xf numFmtId="164" fontId="0" fillId="2" borderId="1" xfId="0" applyNumberFormat="1" applyFill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0" fillId="0" borderId="1" xfId="0" applyNumberFormat="1" applyBorder="1"/>
    <xf numFmtId="165" fontId="0" fillId="2" borderId="1" xfId="0" applyNumberFormat="1" applyFill="1" applyBorder="1" applyAlignment="1">
      <alignment horizontal="right"/>
    </xf>
    <xf numFmtId="165" fontId="0" fillId="2" borderId="1" xfId="0" applyNumberFormat="1" applyFill="1" applyBorder="1"/>
    <xf numFmtId="166" fontId="0" fillId="2" borderId="1" xfId="0" applyNumberFormat="1" applyFill="1" applyBorder="1"/>
    <xf numFmtId="166" fontId="0" fillId="0" borderId="1" xfId="0" applyNumberFormat="1" applyBorder="1"/>
    <xf numFmtId="167" fontId="0" fillId="0" borderId="1" xfId="0" applyNumberFormat="1" applyBorder="1"/>
    <xf numFmtId="167" fontId="0" fillId="2" borderId="1" xfId="0" applyNumberFormat="1" applyFill="1" applyBorder="1"/>
  </cellXfs>
  <cellStyles count="1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tabSelected="1" zoomScale="150" zoomScaleNormal="150" zoomScalePageLayoutView="150" workbookViewId="0"/>
  </sheetViews>
  <sheetFormatPr baseColWidth="10" defaultColWidth="8.83203125" defaultRowHeight="14" x14ac:dyDescent="0"/>
  <cols>
    <col min="1" max="1" width="41.83203125" customWidth="1"/>
    <col min="2" max="2" width="10.1640625" bestFit="1" customWidth="1"/>
    <col min="3" max="5" width="11.1640625" bestFit="1" customWidth="1"/>
    <col min="6" max="6" width="10.5" bestFit="1" customWidth="1"/>
  </cols>
  <sheetData>
    <row r="1" spans="1:7" ht="18">
      <c r="A1" s="2" t="s">
        <v>14</v>
      </c>
    </row>
    <row r="2" spans="1:7" ht="23">
      <c r="A2" s="3" t="s">
        <v>25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2">
        <f>AVERAGE(B10:B16)</f>
        <v>6277522.9883333333</v>
      </c>
      <c r="C6" s="12">
        <f>AVERAGE(C10:C16)</f>
        <v>7192022.5714285718</v>
      </c>
      <c r="D6" s="12">
        <f>AVERAGE(D10:D16)</f>
        <v>8218146.4285714282</v>
      </c>
      <c r="E6" s="12">
        <f>AVERAGE(E10:E16)</f>
        <v>8683409</v>
      </c>
      <c r="F6" s="12">
        <f>AVERAGE(F10:F16)</f>
        <v>9574210.833333334</v>
      </c>
      <c r="G6" s="23">
        <f>(F6-B6)/B6</f>
        <v>0.52515743090496636</v>
      </c>
    </row>
    <row r="7" spans="1:7">
      <c r="A7" s="4" t="s">
        <v>1</v>
      </c>
      <c r="B7" s="12">
        <f>MEDIAN(B10:B16)</f>
        <v>6331395</v>
      </c>
      <c r="C7" s="12">
        <f>MEDIAN(C10:C16)</f>
        <v>7117286</v>
      </c>
      <c r="D7" s="12">
        <f>MEDIAN(D10:D16)</f>
        <v>7709318</v>
      </c>
      <c r="E7" s="12">
        <f>MEDIAN(E10:E16)</f>
        <v>8434390</v>
      </c>
      <c r="F7" s="12">
        <f>MEDIAN(F10:F16)</f>
        <v>9846708</v>
      </c>
      <c r="G7" s="23">
        <f>(F7-B7)/B7</f>
        <v>0.55521934739500534</v>
      </c>
    </row>
    <row r="8" spans="1:7">
      <c r="A8" s="4"/>
      <c r="B8" s="12"/>
      <c r="C8" s="12"/>
      <c r="D8" s="12"/>
      <c r="E8" s="12"/>
      <c r="F8" s="12"/>
    </row>
    <row r="9" spans="1:7">
      <c r="A9" s="6" t="s">
        <v>2</v>
      </c>
      <c r="B9" s="13">
        <v>5176620</v>
      </c>
      <c r="C9" s="13">
        <v>6019655</v>
      </c>
      <c r="D9" s="13">
        <v>7220518</v>
      </c>
      <c r="E9" s="13">
        <v>5809771</v>
      </c>
      <c r="F9" s="13">
        <v>5758100</v>
      </c>
      <c r="G9" s="24">
        <f>(F9-B9)/B9</f>
        <v>0.11232812143831303</v>
      </c>
    </row>
    <row r="10" spans="1:7">
      <c r="A10" s="4" t="s">
        <v>3</v>
      </c>
      <c r="B10" s="12">
        <v>6088297</v>
      </c>
      <c r="C10" s="12">
        <v>6586523</v>
      </c>
      <c r="D10" s="12">
        <v>7702932</v>
      </c>
      <c r="E10" s="12">
        <v>8434390</v>
      </c>
      <c r="F10" s="12">
        <v>11126066</v>
      </c>
      <c r="G10" s="23">
        <f>(F10-B10)/B10</f>
        <v>0.82745125607374281</v>
      </c>
    </row>
    <row r="11" spans="1:7">
      <c r="A11" s="4" t="s">
        <v>4</v>
      </c>
      <c r="B11" s="12">
        <v>5400307</v>
      </c>
      <c r="C11" s="12">
        <v>5437986</v>
      </c>
      <c r="D11" s="12">
        <v>6693091</v>
      </c>
      <c r="E11" s="12">
        <v>6955865</v>
      </c>
      <c r="F11" s="12">
        <v>6957580</v>
      </c>
      <c r="G11" s="23">
        <f>(F11-B11)/B11</f>
        <v>0.28836749466280343</v>
      </c>
    </row>
    <row r="12" spans="1:7">
      <c r="A12" s="4" t="s">
        <v>5</v>
      </c>
      <c r="B12" s="12">
        <v>3896985.93</v>
      </c>
      <c r="C12" s="12">
        <v>3863271</v>
      </c>
      <c r="D12" s="12">
        <v>3601283</v>
      </c>
      <c r="E12" s="12">
        <v>4478805</v>
      </c>
      <c r="F12" s="14" t="s">
        <v>18</v>
      </c>
      <c r="G12" s="17" t="s">
        <v>18</v>
      </c>
    </row>
    <row r="13" spans="1:7">
      <c r="A13" s="4" t="s">
        <v>6</v>
      </c>
      <c r="B13" s="12">
        <v>6574493</v>
      </c>
      <c r="C13" s="12">
        <v>7208428</v>
      </c>
      <c r="D13" s="12">
        <v>7709318</v>
      </c>
      <c r="E13" s="12">
        <v>7875447</v>
      </c>
      <c r="F13" s="12">
        <v>8876360</v>
      </c>
      <c r="G13" s="23">
        <f>(F13-B13)/B13</f>
        <v>0.35012083821520534</v>
      </c>
    </row>
    <row r="14" spans="1:7">
      <c r="A14" s="4" t="s">
        <v>7</v>
      </c>
      <c r="B14" s="12">
        <v>8724552</v>
      </c>
      <c r="C14" s="12">
        <v>9868593</v>
      </c>
      <c r="D14" s="12">
        <v>10339301</v>
      </c>
      <c r="E14" s="12">
        <v>10460546</v>
      </c>
      <c r="F14" s="12">
        <v>10817056</v>
      </c>
      <c r="G14" s="23">
        <f>(F14-B14)/B14</f>
        <v>0.23984085371948038</v>
      </c>
    </row>
    <row r="15" spans="1:7">
      <c r="A15" s="4" t="s">
        <v>8</v>
      </c>
      <c r="B15" s="14" t="s">
        <v>18</v>
      </c>
      <c r="C15" s="12">
        <v>10262071</v>
      </c>
      <c r="D15" s="12">
        <v>9635970</v>
      </c>
      <c r="E15" s="12">
        <v>11089572</v>
      </c>
      <c r="F15" s="12">
        <v>11502744</v>
      </c>
      <c r="G15" s="17" t="s">
        <v>18</v>
      </c>
    </row>
    <row r="16" spans="1:7">
      <c r="A16" s="4" t="s">
        <v>9</v>
      </c>
      <c r="B16" s="12">
        <v>6980503</v>
      </c>
      <c r="C16" s="12">
        <v>7117286</v>
      </c>
      <c r="D16" s="12">
        <v>11845130</v>
      </c>
      <c r="E16" s="12">
        <v>11489238</v>
      </c>
      <c r="F16" s="12">
        <v>8165459</v>
      </c>
      <c r="G16" s="23">
        <f>(F16-B16)/B16</f>
        <v>0.16975223705225828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D6:D7 E6:E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G4" sqref="G4:G16"/>
    </sheetView>
  </sheetViews>
  <sheetFormatPr baseColWidth="10" defaultColWidth="8.83203125" defaultRowHeight="14" x14ac:dyDescent="0"/>
  <cols>
    <col min="1" max="1" width="41.83203125" bestFit="1" customWidth="1"/>
    <col min="2" max="5" width="10.1640625" bestFit="1" customWidth="1"/>
    <col min="6" max="6" width="9.6640625" bestFit="1" customWidth="1"/>
  </cols>
  <sheetData>
    <row r="1" spans="1:7" ht="18">
      <c r="A1" s="2" t="s">
        <v>14</v>
      </c>
    </row>
    <row r="2" spans="1:7" ht="23">
      <c r="A2" s="3" t="s">
        <v>26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2">
        <f>AVERAGE(B10:B16)</f>
        <v>3423513.5766666667</v>
      </c>
      <c r="C6" s="12">
        <f>AVERAGE(C10:C16)</f>
        <v>3922290.2857142859</v>
      </c>
      <c r="D6" s="12">
        <f>AVERAGE(D10:D16)</f>
        <v>4439138.7142857146</v>
      </c>
      <c r="E6" s="12">
        <f>AVERAGE(E10:E16)</f>
        <v>4874847.5714285718</v>
      </c>
      <c r="F6" s="12">
        <f>AVERAGE(F10:F16)</f>
        <v>5377241.666666667</v>
      </c>
      <c r="G6" s="23">
        <f>(F6-B6)/B6</f>
        <v>0.57067922946643146</v>
      </c>
    </row>
    <row r="7" spans="1:7">
      <c r="A7" s="4" t="s">
        <v>1</v>
      </c>
      <c r="B7" s="12">
        <f>MEDIAN(B10:B16)</f>
        <v>3216814.5</v>
      </c>
      <c r="C7" s="12">
        <f>MEDIAN(C10:C16)</f>
        <v>3389989</v>
      </c>
      <c r="D7" s="12">
        <f>MEDIAN(D10:D16)</f>
        <v>4873825</v>
      </c>
      <c r="E7" s="12">
        <f>MEDIAN(E10:E16)</f>
        <v>5359933</v>
      </c>
      <c r="F7" s="12">
        <f>MEDIAN(F10:F16)</f>
        <v>5597940</v>
      </c>
      <c r="G7" s="23">
        <f>(F7-B7)/B7</f>
        <v>0.74021225034890881</v>
      </c>
    </row>
    <row r="8" spans="1:7">
      <c r="A8" s="4"/>
      <c r="B8" s="12"/>
      <c r="C8" s="12"/>
      <c r="D8" s="12"/>
      <c r="E8" s="12"/>
      <c r="F8" s="12"/>
    </row>
    <row r="9" spans="1:7">
      <c r="A9" s="6" t="s">
        <v>2</v>
      </c>
      <c r="B9" s="13">
        <v>1989005</v>
      </c>
      <c r="C9" s="13">
        <v>2821741</v>
      </c>
      <c r="D9" s="13">
        <v>3649073</v>
      </c>
      <c r="E9" s="13">
        <v>2890769</v>
      </c>
      <c r="F9" s="13">
        <v>3035546</v>
      </c>
      <c r="G9" s="24">
        <f>(F9-B9)/B9</f>
        <v>0.52616308154077041</v>
      </c>
    </row>
    <row r="10" spans="1:7">
      <c r="A10" s="4" t="s">
        <v>3</v>
      </c>
      <c r="B10" s="12">
        <v>2926620</v>
      </c>
      <c r="C10" s="12">
        <v>3115250</v>
      </c>
      <c r="D10" s="12">
        <v>3314446</v>
      </c>
      <c r="E10" s="12">
        <v>3690264</v>
      </c>
      <c r="F10" s="14" t="s">
        <v>18</v>
      </c>
      <c r="G10" s="17" t="s">
        <v>18</v>
      </c>
    </row>
    <row r="11" spans="1:7">
      <c r="A11" s="4" t="s">
        <v>4</v>
      </c>
      <c r="B11" s="12">
        <v>3113528</v>
      </c>
      <c r="C11" s="12">
        <v>3369724</v>
      </c>
      <c r="D11" s="12">
        <v>4451757</v>
      </c>
      <c r="E11" s="12">
        <v>3706460</v>
      </c>
      <c r="F11" s="12">
        <v>4607546</v>
      </c>
      <c r="G11" s="23">
        <f>(F11-B11)/B11</f>
        <v>0.4798472986271522</v>
      </c>
    </row>
    <row r="12" spans="1:7">
      <c r="A12" s="4" t="s">
        <v>5</v>
      </c>
      <c r="B12" s="12">
        <v>2034877.46</v>
      </c>
      <c r="C12" s="12">
        <v>2016400</v>
      </c>
      <c r="D12" s="12">
        <v>1984766</v>
      </c>
      <c r="E12" s="12">
        <v>2525703</v>
      </c>
      <c r="F12" s="12">
        <v>5881695</v>
      </c>
      <c r="G12" s="23">
        <f>(F12-B12)/B12</f>
        <v>1.8904418647401009</v>
      </c>
    </row>
    <row r="13" spans="1:7">
      <c r="A13" s="4" t="s">
        <v>6</v>
      </c>
      <c r="B13" s="12">
        <v>4348390</v>
      </c>
      <c r="C13" s="12">
        <v>4767951</v>
      </c>
      <c r="D13" s="12">
        <v>5326359</v>
      </c>
      <c r="E13" s="12">
        <v>5453793</v>
      </c>
      <c r="F13" s="12">
        <v>5564070</v>
      </c>
      <c r="G13" s="23">
        <f>(F13-B13)/B13</f>
        <v>0.27957013975287404</v>
      </c>
    </row>
    <row r="14" spans="1:7">
      <c r="A14" s="4" t="s">
        <v>7</v>
      </c>
      <c r="B14" s="12">
        <v>4797565</v>
      </c>
      <c r="C14" s="12">
        <v>5227921</v>
      </c>
      <c r="D14" s="12">
        <v>5246136</v>
      </c>
      <c r="E14" s="12">
        <v>5359933</v>
      </c>
      <c r="F14" s="12">
        <v>5631810</v>
      </c>
      <c r="G14" s="23">
        <f>(F14-B14)/B14</f>
        <v>0.17388925423626361</v>
      </c>
    </row>
    <row r="15" spans="1:7">
      <c r="A15" s="4" t="s">
        <v>8</v>
      </c>
      <c r="B15" s="14" t="s">
        <v>18</v>
      </c>
      <c r="C15" s="12">
        <v>5568797</v>
      </c>
      <c r="D15" s="12">
        <v>4873825</v>
      </c>
      <c r="E15" s="12">
        <v>6178040</v>
      </c>
      <c r="F15" s="12">
        <v>6599826</v>
      </c>
      <c r="G15" s="17" t="s">
        <v>18</v>
      </c>
    </row>
    <row r="16" spans="1:7">
      <c r="A16" s="4" t="s">
        <v>9</v>
      </c>
      <c r="B16" s="12">
        <v>3320101</v>
      </c>
      <c r="C16" s="12">
        <v>3389989</v>
      </c>
      <c r="D16" s="12">
        <v>5876682</v>
      </c>
      <c r="E16" s="12">
        <v>7209740</v>
      </c>
      <c r="F16" s="12">
        <v>3978503</v>
      </c>
      <c r="G16" s="23">
        <f>(F16-B16)/B16</f>
        <v>0.19830782256322926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D6:D7 E6:E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G4" sqref="G4:G16"/>
    </sheetView>
  </sheetViews>
  <sheetFormatPr baseColWidth="10" defaultColWidth="8.83203125" defaultRowHeight="14" x14ac:dyDescent="0"/>
  <cols>
    <col min="1" max="1" width="41.83203125" bestFit="1" customWidth="1"/>
    <col min="2" max="5" width="10.1640625" bestFit="1" customWidth="1"/>
    <col min="6" max="6" width="9.6640625" bestFit="1" customWidth="1"/>
  </cols>
  <sheetData>
    <row r="1" spans="1:7" ht="18">
      <c r="A1" s="2" t="s">
        <v>14</v>
      </c>
    </row>
    <row r="2" spans="1:7" ht="23">
      <c r="A2" s="3" t="s">
        <v>20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2">
        <f>AVERAGE(B10:B16)</f>
        <v>2533216.5283333333</v>
      </c>
      <c r="C6" s="12">
        <f>AVERAGE(C10:C16)</f>
        <v>2786955.4285714286</v>
      </c>
      <c r="D6" s="12">
        <f>AVERAGE(D10:D16)</f>
        <v>3372317.5714285714</v>
      </c>
      <c r="E6" s="12">
        <f>AVERAGE(E10:E16)</f>
        <v>3362670.1428571427</v>
      </c>
      <c r="F6" s="12">
        <f>AVERAGE(F10:F16)</f>
        <v>3859005.5</v>
      </c>
      <c r="G6" s="23">
        <f>(F6-B6)/B6</f>
        <v>0.523361882743966</v>
      </c>
    </row>
    <row r="7" spans="1:7">
      <c r="A7" s="4" t="s">
        <v>1</v>
      </c>
      <c r="B7" s="12">
        <f>MEDIAN(B10:B16)</f>
        <v>2453812.5</v>
      </c>
      <c r="C7" s="12">
        <f>MEDIAN(C10:C16)</f>
        <v>2906724</v>
      </c>
      <c r="D7" s="12">
        <f>MEDIAN(D10:D16)</f>
        <v>2891380</v>
      </c>
      <c r="E7" s="12">
        <f>MEDIAN(E10:E16)</f>
        <v>3057402</v>
      </c>
      <c r="F7" s="12">
        <f>MEDIAN(F10:F16)</f>
        <v>4093576.5</v>
      </c>
      <c r="G7" s="23">
        <f>(F7-B7)/B7</f>
        <v>0.66825154733705205</v>
      </c>
    </row>
    <row r="8" spans="1:7">
      <c r="A8" s="4"/>
      <c r="B8" s="12"/>
      <c r="C8" s="12"/>
      <c r="D8" s="12"/>
      <c r="E8" s="12"/>
      <c r="F8" s="12"/>
    </row>
    <row r="9" spans="1:7">
      <c r="A9" s="6" t="s">
        <v>2</v>
      </c>
      <c r="B9" s="13">
        <v>1622313</v>
      </c>
      <c r="C9" s="13">
        <v>2497582</v>
      </c>
      <c r="D9" s="13">
        <v>2880140</v>
      </c>
      <c r="E9" s="13">
        <v>2320637</v>
      </c>
      <c r="F9" s="13">
        <v>2514951</v>
      </c>
      <c r="G9" s="24">
        <f>(F9-B9)/B9</f>
        <v>0.5502255113532345</v>
      </c>
    </row>
    <row r="10" spans="1:7">
      <c r="A10" s="4" t="s">
        <v>3</v>
      </c>
      <c r="B10" s="12">
        <v>1043365</v>
      </c>
      <c r="C10" s="12">
        <v>1005679</v>
      </c>
      <c r="D10" s="12">
        <v>2267977</v>
      </c>
      <c r="E10" s="12">
        <v>2770253</v>
      </c>
      <c r="F10" s="12">
        <v>2435420</v>
      </c>
      <c r="G10" s="23">
        <f>(F10-B10)/B10</f>
        <v>1.3341975243562896</v>
      </c>
    </row>
    <row r="11" spans="1:7">
      <c r="A11" s="4" t="s">
        <v>4</v>
      </c>
      <c r="B11" s="12">
        <v>2452664</v>
      </c>
      <c r="C11" s="12">
        <v>2906724</v>
      </c>
      <c r="D11" s="12">
        <v>2891380</v>
      </c>
      <c r="E11" s="12">
        <v>2266768</v>
      </c>
      <c r="F11" s="12">
        <v>4349575</v>
      </c>
      <c r="G11" s="23">
        <f>(F11-B11)/B11</f>
        <v>0.77340842447232883</v>
      </c>
    </row>
    <row r="12" spans="1:7">
      <c r="A12" s="4" t="s">
        <v>5</v>
      </c>
      <c r="B12" s="12">
        <v>1766683.17</v>
      </c>
      <c r="C12" s="12">
        <v>1640828</v>
      </c>
      <c r="D12" s="12">
        <v>1984766</v>
      </c>
      <c r="E12" s="12">
        <v>1956497</v>
      </c>
      <c r="F12" s="14" t="s">
        <v>18</v>
      </c>
      <c r="G12" s="17" t="s">
        <v>18</v>
      </c>
    </row>
    <row r="13" spans="1:7">
      <c r="A13" s="4" t="s">
        <v>6</v>
      </c>
      <c r="B13" s="12">
        <v>3590270</v>
      </c>
      <c r="C13" s="12">
        <v>4097049</v>
      </c>
      <c r="D13" s="12">
        <v>4283694</v>
      </c>
      <c r="E13" s="12">
        <v>4598530</v>
      </c>
      <c r="F13" s="12">
        <v>4811192</v>
      </c>
      <c r="G13" s="23">
        <f>(F13-B13)/B13</f>
        <v>0.34006411774044848</v>
      </c>
    </row>
    <row r="14" spans="1:7">
      <c r="A14" s="4" t="s">
        <v>7</v>
      </c>
      <c r="B14" s="12">
        <v>3891356</v>
      </c>
      <c r="C14" s="12">
        <v>4542637</v>
      </c>
      <c r="D14" s="12">
        <v>4563804</v>
      </c>
      <c r="E14" s="12">
        <v>3674497</v>
      </c>
      <c r="F14" s="12">
        <v>3837578</v>
      </c>
      <c r="G14" s="23">
        <f>(F14-B14)/B14</f>
        <v>-1.3819861251450651E-2</v>
      </c>
    </row>
    <row r="15" spans="1:7">
      <c r="A15" s="4" t="s">
        <v>8</v>
      </c>
      <c r="B15" s="14" t="s">
        <v>18</v>
      </c>
      <c r="C15" s="12">
        <v>3464428</v>
      </c>
      <c r="D15" s="12">
        <v>4873825</v>
      </c>
      <c r="E15" s="12">
        <v>5214744</v>
      </c>
      <c r="F15" s="12">
        <v>5375404</v>
      </c>
      <c r="G15" s="17" t="s">
        <v>18</v>
      </c>
    </row>
    <row r="16" spans="1:7">
      <c r="A16" s="4" t="s">
        <v>9</v>
      </c>
      <c r="B16" s="12">
        <v>2454961</v>
      </c>
      <c r="C16" s="12">
        <v>1851343</v>
      </c>
      <c r="D16" s="12">
        <v>2740777</v>
      </c>
      <c r="E16" s="12">
        <v>3057402</v>
      </c>
      <c r="F16" s="12">
        <v>2344864</v>
      </c>
      <c r="G16" s="23">
        <f>(F16-B16)/B16</f>
        <v>-4.4846740946190185E-2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D6:D7 E6:E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G4" sqref="G4:G16"/>
    </sheetView>
  </sheetViews>
  <sheetFormatPr baseColWidth="10" defaultColWidth="8.83203125" defaultRowHeight="14" x14ac:dyDescent="0"/>
  <cols>
    <col min="1" max="1" width="41.83203125" bestFit="1" customWidth="1"/>
    <col min="4" max="5" width="10.1640625" bestFit="1" customWidth="1"/>
    <col min="6" max="6" width="9.6640625" bestFit="1" customWidth="1"/>
  </cols>
  <sheetData>
    <row r="1" spans="1:7" ht="18">
      <c r="A1" s="2" t="s">
        <v>14</v>
      </c>
    </row>
    <row r="2" spans="1:7" ht="23">
      <c r="A2" s="3" t="s">
        <v>19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2">
        <f>AVERAGE(B10:B16)</f>
        <v>488710</v>
      </c>
      <c r="C6" s="12">
        <f>AVERAGE(C10:C16)</f>
        <v>565892.42857142852</v>
      </c>
      <c r="D6" s="12">
        <f>AVERAGE(D10:D16)</f>
        <v>902873.59999999998</v>
      </c>
      <c r="E6" s="12">
        <f>AVERAGE(E10:E16)</f>
        <v>886764</v>
      </c>
      <c r="F6" s="12">
        <f>AVERAGE(F10:F16)</f>
        <v>668339</v>
      </c>
      <c r="G6" s="23">
        <f>(F6-B6)/B6</f>
        <v>0.36755744715680055</v>
      </c>
    </row>
    <row r="7" spans="1:7">
      <c r="A7" s="4" t="s">
        <v>1</v>
      </c>
      <c r="B7" s="12">
        <f>MEDIAN(B10:B16)</f>
        <v>414923</v>
      </c>
      <c r="C7" s="12">
        <f>MEDIAN(C10:C16)</f>
        <v>592903</v>
      </c>
      <c r="D7" s="12">
        <f>MEDIAN(D10:D16)</f>
        <v>736352</v>
      </c>
      <c r="E7" s="12">
        <f>MEDIAN(E10:E16)</f>
        <v>514404</v>
      </c>
      <c r="F7" s="12">
        <f>MEDIAN(F10:F16)</f>
        <v>557321</v>
      </c>
      <c r="G7" s="23">
        <f>(F7-B7)/B7</f>
        <v>0.34319138731764687</v>
      </c>
    </row>
    <row r="8" spans="1:7">
      <c r="A8" s="4"/>
      <c r="B8" s="12"/>
      <c r="C8" s="12"/>
      <c r="D8" s="12"/>
      <c r="E8" s="12"/>
      <c r="F8" s="12"/>
    </row>
    <row r="9" spans="1:7">
      <c r="A9" s="6" t="s">
        <v>2</v>
      </c>
      <c r="B9" s="13">
        <v>348430</v>
      </c>
      <c r="C9" s="13">
        <v>303998</v>
      </c>
      <c r="D9" s="13">
        <v>441062</v>
      </c>
      <c r="E9" s="13">
        <v>304317</v>
      </c>
      <c r="F9" s="13">
        <v>329296</v>
      </c>
      <c r="G9" s="24">
        <f>(F9-B9)/B9</f>
        <v>-5.4914903997933591E-2</v>
      </c>
    </row>
    <row r="10" spans="1:7">
      <c r="A10" s="4" t="s">
        <v>3</v>
      </c>
      <c r="B10" s="12">
        <v>900414</v>
      </c>
      <c r="C10" s="12">
        <v>964945</v>
      </c>
      <c r="D10" s="12">
        <v>879874</v>
      </c>
      <c r="E10" s="12">
        <v>658887</v>
      </c>
      <c r="F10" s="12">
        <v>667657</v>
      </c>
      <c r="G10" s="23">
        <f>(F10-B10)/B10</f>
        <v>-0.25849997889859555</v>
      </c>
    </row>
    <row r="11" spans="1:7">
      <c r="A11" s="4" t="s">
        <v>4</v>
      </c>
      <c r="B11" s="12">
        <v>254293</v>
      </c>
      <c r="C11" s="12">
        <v>413799</v>
      </c>
      <c r="D11" s="12">
        <v>289576</v>
      </c>
      <c r="E11" s="12">
        <v>297853</v>
      </c>
      <c r="F11" s="12">
        <v>257971</v>
      </c>
      <c r="G11" s="23">
        <f>(F11-B11)/B11</f>
        <v>1.446363053642845E-2</v>
      </c>
    </row>
    <row r="12" spans="1:7">
      <c r="A12" s="4" t="s">
        <v>5</v>
      </c>
      <c r="B12" s="12">
        <v>169032</v>
      </c>
      <c r="C12" s="12">
        <v>173682</v>
      </c>
      <c r="D12" s="14" t="s">
        <v>18</v>
      </c>
      <c r="E12" s="12">
        <v>144956</v>
      </c>
      <c r="F12" s="14" t="s">
        <v>18</v>
      </c>
      <c r="G12" s="17" t="s">
        <v>18</v>
      </c>
    </row>
    <row r="13" spans="1:7">
      <c r="A13" s="4" t="s">
        <v>6</v>
      </c>
      <c r="B13" s="12">
        <v>575553</v>
      </c>
      <c r="C13" s="12">
        <v>592903</v>
      </c>
      <c r="D13" s="12">
        <v>736352</v>
      </c>
      <c r="E13" s="12">
        <v>514404</v>
      </c>
      <c r="F13" s="12">
        <v>446985</v>
      </c>
      <c r="G13" s="23">
        <f>(F13-B13)/B13</f>
        <v>-0.2233816868298836</v>
      </c>
    </row>
    <row r="14" spans="1:7">
      <c r="A14" s="4" t="s">
        <v>7</v>
      </c>
      <c r="B14" s="12">
        <v>784145</v>
      </c>
      <c r="C14" s="12">
        <v>652488</v>
      </c>
      <c r="D14" s="12">
        <v>548383</v>
      </c>
      <c r="E14" s="12">
        <v>400948</v>
      </c>
      <c r="F14" s="12">
        <v>405917</v>
      </c>
      <c r="G14" s="23">
        <f>(F14-B14)/B14</f>
        <v>-0.48234446435289391</v>
      </c>
    </row>
    <row r="15" spans="1:7">
      <c r="A15" s="4" t="s">
        <v>8</v>
      </c>
      <c r="B15" s="14" t="s">
        <v>18</v>
      </c>
      <c r="C15" s="12">
        <v>816624</v>
      </c>
      <c r="D15" s="14" t="s">
        <v>18</v>
      </c>
      <c r="E15" s="12">
        <v>754363</v>
      </c>
      <c r="F15" s="12">
        <v>758392</v>
      </c>
      <c r="G15" s="17" t="s">
        <v>18</v>
      </c>
    </row>
    <row r="16" spans="1:7">
      <c r="A16" s="4" t="s">
        <v>9</v>
      </c>
      <c r="B16" s="12">
        <v>248823</v>
      </c>
      <c r="C16" s="12">
        <v>346806</v>
      </c>
      <c r="D16" s="12">
        <v>2060183</v>
      </c>
      <c r="E16" s="12">
        <v>3435937</v>
      </c>
      <c r="F16" s="12">
        <v>1473112</v>
      </c>
      <c r="G16" s="23">
        <f>(F16-B16)/B16</f>
        <v>4.9203208706590624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E6:E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E30" sqref="E30"/>
    </sheetView>
  </sheetViews>
  <sheetFormatPr baseColWidth="10" defaultColWidth="8.83203125" defaultRowHeight="14" x14ac:dyDescent="0"/>
  <cols>
    <col min="1" max="1" width="41.83203125" bestFit="1" customWidth="1"/>
  </cols>
  <sheetData>
    <row r="1" spans="1:7" ht="18">
      <c r="A1" s="2" t="s">
        <v>14</v>
      </c>
    </row>
    <row r="2" spans="1:7" ht="23">
      <c r="A2" s="3" t="s">
        <v>16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1">
        <f>AVERAGE(B10:B16)</f>
        <v>32439.5</v>
      </c>
      <c r="C6" s="11">
        <f>AVERAGE(C10:C16)</f>
        <v>31023.333333333332</v>
      </c>
      <c r="D6" s="11">
        <f>AVERAGE(D10:D16)</f>
        <v>50055</v>
      </c>
      <c r="E6" s="11">
        <f>AVERAGE(E10:E16)</f>
        <v>55419.833333333336</v>
      </c>
      <c r="F6" s="11">
        <f>AVERAGE(F10:F16)</f>
        <v>40957</v>
      </c>
      <c r="G6" s="23">
        <f>(F6-B6)/B6</f>
        <v>0.26256569922471062</v>
      </c>
    </row>
    <row r="7" spans="1:7">
      <c r="A7" s="4" t="s">
        <v>1</v>
      </c>
      <c r="B7" s="11">
        <f>MEDIAN(B10:B16)</f>
        <v>32238</v>
      </c>
      <c r="C7" s="11">
        <f>MEDIAN(C10:C16)</f>
        <v>28245.5</v>
      </c>
      <c r="D7" s="11">
        <f>MEDIAN(D10:D16)</f>
        <v>58849</v>
      </c>
      <c r="E7" s="11">
        <f>MEDIAN(E10:E16)</f>
        <v>61334.5</v>
      </c>
      <c r="F7" s="11">
        <f>MEDIAN(F10:F16)</f>
        <v>44139.5</v>
      </c>
      <c r="G7" s="23">
        <f>(F7-B7)/B7</f>
        <v>0.36917612755133694</v>
      </c>
    </row>
    <row r="8" spans="1:7">
      <c r="A8" s="4"/>
      <c r="B8" s="11"/>
      <c r="C8" s="11"/>
      <c r="D8" s="11"/>
      <c r="E8" s="11"/>
      <c r="F8" s="11"/>
    </row>
    <row r="9" spans="1:7">
      <c r="A9" s="6" t="s">
        <v>2</v>
      </c>
      <c r="B9" s="15">
        <v>31892</v>
      </c>
      <c r="C9" s="15">
        <v>20079</v>
      </c>
      <c r="D9" s="15">
        <v>31443</v>
      </c>
      <c r="E9" s="15">
        <v>38795</v>
      </c>
      <c r="F9" s="15">
        <v>24392</v>
      </c>
      <c r="G9" s="24">
        <f>(F9-B9)/B9</f>
        <v>-0.23516869434340901</v>
      </c>
    </row>
    <row r="10" spans="1:7">
      <c r="A10" s="4" t="s">
        <v>3</v>
      </c>
      <c r="B10" s="11">
        <v>27930</v>
      </c>
      <c r="C10" s="11">
        <v>45551</v>
      </c>
      <c r="D10" s="11">
        <v>66766</v>
      </c>
      <c r="E10" s="11">
        <v>69418</v>
      </c>
      <c r="F10" s="11">
        <v>52277</v>
      </c>
      <c r="G10" s="23">
        <f>(F10-B10)/B10</f>
        <v>0.87171500179018979</v>
      </c>
    </row>
    <row r="11" spans="1:7">
      <c r="A11" s="4" t="s">
        <v>4</v>
      </c>
      <c r="B11" s="11">
        <v>51555</v>
      </c>
      <c r="C11" s="11">
        <v>60794</v>
      </c>
      <c r="D11" s="10" t="s">
        <v>18</v>
      </c>
      <c r="E11" s="10" t="s">
        <v>18</v>
      </c>
      <c r="F11" s="11">
        <v>15089</v>
      </c>
      <c r="G11" s="23">
        <f>(F11-B11)/B11</f>
        <v>-0.70732227717971097</v>
      </c>
    </row>
    <row r="12" spans="1:7">
      <c r="A12" s="4" t="s">
        <v>5</v>
      </c>
      <c r="B12" s="11">
        <v>18229</v>
      </c>
      <c r="C12" s="11">
        <v>16300</v>
      </c>
      <c r="D12" s="10" t="s">
        <v>18</v>
      </c>
      <c r="E12" s="11">
        <v>36546</v>
      </c>
      <c r="F12" s="10" t="s">
        <v>18</v>
      </c>
      <c r="G12" s="17" t="s">
        <v>18</v>
      </c>
    </row>
    <row r="13" spans="1:7">
      <c r="A13" s="4" t="s">
        <v>6</v>
      </c>
      <c r="B13" s="11">
        <v>21449</v>
      </c>
      <c r="C13" s="11">
        <v>7004</v>
      </c>
      <c r="D13" s="11">
        <v>58300</v>
      </c>
      <c r="E13" s="11">
        <v>68162</v>
      </c>
      <c r="F13" s="11">
        <v>17480</v>
      </c>
      <c r="G13" s="23">
        <f>(F13-B13)/B13</f>
        <v>-0.18504359177584037</v>
      </c>
    </row>
    <row r="14" spans="1:7">
      <c r="A14" s="4" t="s">
        <v>7</v>
      </c>
      <c r="B14" s="11">
        <v>36546</v>
      </c>
      <c r="C14" s="10" t="s">
        <v>18</v>
      </c>
      <c r="D14" s="11">
        <v>59398</v>
      </c>
      <c r="E14" s="11">
        <v>54507</v>
      </c>
      <c r="F14" s="11">
        <v>37413</v>
      </c>
      <c r="G14" s="23">
        <f>(F14-B14)/B14</f>
        <v>2.3723526514529632E-2</v>
      </c>
    </row>
    <row r="15" spans="1:7">
      <c r="A15" s="4" t="s">
        <v>8</v>
      </c>
      <c r="B15" s="10" t="s">
        <v>18</v>
      </c>
      <c r="C15" s="11">
        <v>18892</v>
      </c>
      <c r="D15" s="10" t="s">
        <v>18</v>
      </c>
      <c r="E15" s="11">
        <v>35665</v>
      </c>
      <c r="F15" s="11">
        <v>50866</v>
      </c>
      <c r="G15" s="17" t="s">
        <v>18</v>
      </c>
    </row>
    <row r="16" spans="1:7">
      <c r="A16" s="4" t="s">
        <v>9</v>
      </c>
      <c r="B16" s="11">
        <v>38928</v>
      </c>
      <c r="C16" s="11">
        <v>37599</v>
      </c>
      <c r="D16" s="11">
        <v>15756</v>
      </c>
      <c r="E16" s="11">
        <v>68221</v>
      </c>
      <c r="F16" s="11">
        <v>72617</v>
      </c>
      <c r="G16" s="23">
        <f>(F16-B16)/B16</f>
        <v>0.86541820797369506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B29" sqref="B29"/>
    </sheetView>
  </sheetViews>
  <sheetFormatPr baseColWidth="10" defaultColWidth="8.83203125" defaultRowHeight="14" x14ac:dyDescent="0"/>
  <cols>
    <col min="1" max="1" width="42" bestFit="1" customWidth="1"/>
    <col min="5" max="5" width="9.1640625" bestFit="1" customWidth="1"/>
  </cols>
  <sheetData>
    <row r="1" spans="1:7" ht="18">
      <c r="A1" s="2" t="s">
        <v>14</v>
      </c>
    </row>
    <row r="2" spans="1:7" ht="23">
      <c r="A2" s="3" t="s">
        <v>17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0">
        <f>AVERAGE(B10:B16)</f>
        <v>10054.200000000001</v>
      </c>
      <c r="C6" s="10">
        <f>AVERAGE(C10:C16)</f>
        <v>13646.2</v>
      </c>
      <c r="D6" s="10">
        <f>AVERAGE(D10:D16)</f>
        <v>14367.6</v>
      </c>
      <c r="E6" s="10">
        <f>AVERAGE(E10:E16)</f>
        <v>410962.28571428574</v>
      </c>
      <c r="F6" s="10">
        <f>AVERAGE(F10:F16)</f>
        <v>76070.600000000006</v>
      </c>
      <c r="G6" s="23">
        <f>(F6-B6)/B6</f>
        <v>6.566051998169919</v>
      </c>
    </row>
    <row r="7" spans="1:7">
      <c r="A7" s="4" t="s">
        <v>1</v>
      </c>
      <c r="B7" s="11">
        <f>MEDIAN(B10:B16)</f>
        <v>8516</v>
      </c>
      <c r="C7" s="11">
        <f>MEDIAN(C10:C16)</f>
        <v>12899</v>
      </c>
      <c r="D7" s="11">
        <f>MEDIAN(D10:D16)</f>
        <v>10958</v>
      </c>
      <c r="E7" s="11">
        <f>MEDIAN(E10:E16)</f>
        <v>14303</v>
      </c>
      <c r="F7" s="11">
        <f>MEDIAN(F10:F16)</f>
        <v>13283</v>
      </c>
      <c r="G7" s="23">
        <f>(F7-B7)/B7</f>
        <v>0.55976984499765148</v>
      </c>
    </row>
    <row r="8" spans="1:7">
      <c r="A8" s="4"/>
      <c r="B8" s="5"/>
      <c r="C8" s="5"/>
      <c r="D8" s="5"/>
      <c r="E8" s="5"/>
      <c r="F8" s="5"/>
    </row>
    <row r="9" spans="1:7">
      <c r="A9" s="6" t="s">
        <v>2</v>
      </c>
      <c r="B9" s="9">
        <v>8039</v>
      </c>
      <c r="C9" s="9">
        <v>6417</v>
      </c>
      <c r="D9" s="9">
        <v>6111</v>
      </c>
      <c r="E9" s="9">
        <v>7124</v>
      </c>
      <c r="F9" s="9">
        <v>7634</v>
      </c>
      <c r="G9" s="24">
        <f>(F9-B9)/B9</f>
        <v>-5.0379400422938175E-2</v>
      </c>
    </row>
    <row r="10" spans="1:7">
      <c r="A10" s="4" t="s">
        <v>3</v>
      </c>
      <c r="B10" s="10">
        <v>17106</v>
      </c>
      <c r="C10" s="10">
        <v>17729</v>
      </c>
      <c r="D10" s="10">
        <v>18987</v>
      </c>
      <c r="E10" s="10">
        <v>14303</v>
      </c>
      <c r="F10" s="10">
        <v>13283</v>
      </c>
      <c r="G10" s="23">
        <f>(F10-B10)/B10</f>
        <v>-0.22348883432713668</v>
      </c>
    </row>
    <row r="11" spans="1:7">
      <c r="A11" s="4" t="s">
        <v>4</v>
      </c>
      <c r="B11" s="10">
        <v>7717</v>
      </c>
      <c r="C11" s="10">
        <v>8392</v>
      </c>
      <c r="D11" s="10">
        <v>5776</v>
      </c>
      <c r="E11" s="10">
        <v>136576</v>
      </c>
      <c r="F11" s="8" t="s">
        <v>18</v>
      </c>
      <c r="G11" s="17" t="s">
        <v>18</v>
      </c>
    </row>
    <row r="12" spans="1:7">
      <c r="A12" s="4" t="s">
        <v>5</v>
      </c>
      <c r="B12" s="8" t="s">
        <v>18</v>
      </c>
      <c r="C12" s="8" t="s">
        <v>18</v>
      </c>
      <c r="D12" s="8" t="s">
        <v>18</v>
      </c>
      <c r="E12" s="10">
        <v>2513</v>
      </c>
      <c r="F12" s="8" t="s">
        <v>18</v>
      </c>
      <c r="G12" s="17" t="s">
        <v>18</v>
      </c>
    </row>
    <row r="13" spans="1:7">
      <c r="A13" s="4" t="s">
        <v>6</v>
      </c>
      <c r="B13" s="10">
        <v>9804</v>
      </c>
      <c r="C13" s="10">
        <v>11419</v>
      </c>
      <c r="D13" s="10">
        <v>10958</v>
      </c>
      <c r="E13" s="10">
        <v>11671</v>
      </c>
      <c r="F13" s="10">
        <v>10447</v>
      </c>
      <c r="G13" s="23">
        <f>(F13-B13)/B13</f>
        <v>6.5585475316197475E-2</v>
      </c>
    </row>
    <row r="14" spans="1:7">
      <c r="A14" s="4" t="s">
        <v>7</v>
      </c>
      <c r="B14" s="10">
        <v>7128</v>
      </c>
      <c r="C14" s="10">
        <v>12899</v>
      </c>
      <c r="D14" s="10">
        <v>10224</v>
      </c>
      <c r="E14" s="10">
        <v>9805</v>
      </c>
      <c r="F14" s="10">
        <v>9029</v>
      </c>
      <c r="G14" s="23">
        <f>(F14-B14)/B14</f>
        <v>0.26669472502805835</v>
      </c>
    </row>
    <row r="15" spans="1:7">
      <c r="A15" s="4" t="s">
        <v>8</v>
      </c>
      <c r="B15" s="8" t="s">
        <v>18</v>
      </c>
      <c r="C15" s="8" t="s">
        <v>18</v>
      </c>
      <c r="D15" s="8" t="s">
        <v>18</v>
      </c>
      <c r="E15" s="10">
        <v>2666748</v>
      </c>
      <c r="F15" s="10">
        <v>323586</v>
      </c>
      <c r="G15" s="17" t="s">
        <v>18</v>
      </c>
    </row>
    <row r="16" spans="1:7">
      <c r="A16" s="4" t="s">
        <v>9</v>
      </c>
      <c r="B16" s="10">
        <v>8516</v>
      </c>
      <c r="C16" s="10">
        <v>17792</v>
      </c>
      <c r="D16" s="10">
        <v>25893</v>
      </c>
      <c r="E16" s="10">
        <v>35120</v>
      </c>
      <c r="F16" s="10">
        <v>24008</v>
      </c>
      <c r="G16" s="23">
        <f>(F16-B16)/B16</f>
        <v>1.8191639267261626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E6:E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D30" sqref="D30"/>
    </sheetView>
  </sheetViews>
  <sheetFormatPr baseColWidth="10" defaultColWidth="8.83203125" defaultRowHeight="14" x14ac:dyDescent="0"/>
  <cols>
    <col min="1" max="1" width="42.1640625" customWidth="1"/>
    <col min="2" max="5" width="10.1640625" bestFit="1" customWidth="1"/>
    <col min="6" max="6" width="9.6640625" bestFit="1" customWidth="1"/>
  </cols>
  <sheetData>
    <row r="1" spans="1:7" ht="18">
      <c r="A1" s="2" t="s">
        <v>14</v>
      </c>
    </row>
    <row r="2" spans="1:7" ht="23">
      <c r="A2" s="3" t="s">
        <v>21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4">
        <f>AVERAGE(B10:B16)</f>
        <v>1325761.3333333333</v>
      </c>
      <c r="C6" s="14">
        <f>AVERAGE(C10:C16)</f>
        <v>1673822.5714285714</v>
      </c>
      <c r="D6" s="14">
        <f>AVERAGE(D10:D16)</f>
        <v>1913233.7142857143</v>
      </c>
      <c r="E6" s="14">
        <f>AVERAGE(E10:E16)</f>
        <v>2025901.5</v>
      </c>
      <c r="F6" s="14">
        <f>AVERAGE(F10:F16)</f>
        <v>2105317</v>
      </c>
      <c r="G6" s="23">
        <f>(F6-B6)/B6</f>
        <v>0.58800603628003445</v>
      </c>
    </row>
    <row r="7" spans="1:7">
      <c r="A7" s="4" t="s">
        <v>1</v>
      </c>
      <c r="B7" s="12">
        <f>MEDIAN(B10:B16)</f>
        <v>1161332</v>
      </c>
      <c r="C7" s="12">
        <f>MEDIAN(C10:C16)</f>
        <v>1337453</v>
      </c>
      <c r="D7" s="12">
        <f>MEDIAN(D10:D16)</f>
        <v>1501201</v>
      </c>
      <c r="E7" s="12">
        <f>MEDIAN(E10:E16)</f>
        <v>2256433.5</v>
      </c>
      <c r="F7" s="12">
        <f>MEDIAN(F10:F16)</f>
        <v>2101313</v>
      </c>
      <c r="G7" s="23">
        <f>(F7-B7)/B7</f>
        <v>0.80939903490130294</v>
      </c>
    </row>
    <row r="8" spans="1:7">
      <c r="A8" s="4"/>
      <c r="B8" s="12"/>
      <c r="C8" s="12"/>
      <c r="D8" s="12"/>
      <c r="E8" s="12"/>
      <c r="F8" s="12"/>
    </row>
    <row r="9" spans="1:7">
      <c r="A9" s="6" t="s">
        <v>2</v>
      </c>
      <c r="B9" s="16">
        <v>1818401</v>
      </c>
      <c r="C9" s="13">
        <v>1105278</v>
      </c>
      <c r="D9" s="13">
        <v>1690926</v>
      </c>
      <c r="E9" s="13">
        <v>1493061</v>
      </c>
      <c r="F9" s="13">
        <v>1522246</v>
      </c>
      <c r="G9" s="24">
        <f>(F9-B9)/B9</f>
        <v>-0.1628656165499249</v>
      </c>
    </row>
    <row r="10" spans="1:7">
      <c r="A10" s="4" t="s">
        <v>3</v>
      </c>
      <c r="B10" s="14">
        <v>1186335</v>
      </c>
      <c r="C10" s="12">
        <v>1337453</v>
      </c>
      <c r="D10" s="12">
        <v>1501201</v>
      </c>
      <c r="E10" s="12">
        <v>1896539</v>
      </c>
      <c r="F10" s="12">
        <v>1954289</v>
      </c>
      <c r="G10" s="23">
        <f>(F10-B10)/B10</f>
        <v>0.64733317317621075</v>
      </c>
    </row>
    <row r="11" spans="1:7">
      <c r="A11" s="4" t="s">
        <v>4</v>
      </c>
      <c r="B11" s="14">
        <v>1136329</v>
      </c>
      <c r="C11" s="12">
        <v>679547</v>
      </c>
      <c r="D11" s="12">
        <v>1251233</v>
      </c>
      <c r="E11" s="14" t="s">
        <v>18</v>
      </c>
      <c r="F11" s="12">
        <v>1251233</v>
      </c>
      <c r="G11" s="23">
        <f>(F11-B11)/B11</f>
        <v>0.10111860209499185</v>
      </c>
    </row>
    <row r="12" spans="1:7">
      <c r="A12" s="4" t="s">
        <v>5</v>
      </c>
      <c r="B12" s="14">
        <v>814882</v>
      </c>
      <c r="C12" s="12">
        <v>828365</v>
      </c>
      <c r="D12" s="12">
        <v>884183</v>
      </c>
      <c r="E12" s="12">
        <v>845276</v>
      </c>
      <c r="F12" s="14" t="s">
        <v>18</v>
      </c>
      <c r="G12" s="17" t="s">
        <v>18</v>
      </c>
    </row>
    <row r="13" spans="1:7">
      <c r="A13" s="4" t="s">
        <v>6</v>
      </c>
      <c r="B13" s="14">
        <v>1020001</v>
      </c>
      <c r="C13" s="12">
        <v>1028896</v>
      </c>
      <c r="D13" s="12">
        <v>1046460</v>
      </c>
      <c r="E13" s="12">
        <v>1107519</v>
      </c>
      <c r="F13" s="12">
        <v>1072280</v>
      </c>
      <c r="G13" s="23">
        <f>(F13-B13)/B13</f>
        <v>5.1253871319734003E-2</v>
      </c>
    </row>
    <row r="14" spans="1:7">
      <c r="A14" s="4" t="s">
        <v>7</v>
      </c>
      <c r="B14" s="14">
        <v>1605117</v>
      </c>
      <c r="C14" s="12">
        <v>2596086</v>
      </c>
      <c r="D14" s="12">
        <v>2984568</v>
      </c>
      <c r="E14" s="12">
        <v>2616328</v>
      </c>
      <c r="F14" s="12">
        <v>2248337</v>
      </c>
      <c r="G14" s="23">
        <f>(F14-B14)/B14</f>
        <v>0.40073091245061887</v>
      </c>
    </row>
    <row r="15" spans="1:7">
      <c r="A15" s="4" t="s">
        <v>8</v>
      </c>
      <c r="B15" s="14" t="s">
        <v>18</v>
      </c>
      <c r="C15" s="12">
        <v>2942645</v>
      </c>
      <c r="D15" s="12">
        <v>3217991</v>
      </c>
      <c r="E15" s="12">
        <v>2974527</v>
      </c>
      <c r="F15" s="12">
        <v>3350672</v>
      </c>
      <c r="G15" s="17" t="s">
        <v>18</v>
      </c>
    </row>
    <row r="16" spans="1:7">
      <c r="A16" s="4" t="s">
        <v>9</v>
      </c>
      <c r="B16" s="14">
        <v>2191904</v>
      </c>
      <c r="C16" s="12">
        <v>2303766</v>
      </c>
      <c r="D16" s="12">
        <v>2507000</v>
      </c>
      <c r="E16" s="12">
        <v>2715220</v>
      </c>
      <c r="F16" s="12">
        <v>2755091</v>
      </c>
      <c r="G16" s="23">
        <f>(F16-B16)/B16</f>
        <v>0.25693962874286463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G4" sqref="G4:G16"/>
    </sheetView>
  </sheetViews>
  <sheetFormatPr baseColWidth="10" defaultColWidth="8.83203125" defaultRowHeight="14" x14ac:dyDescent="0"/>
  <cols>
    <col min="1" max="1" width="42.6640625" customWidth="1"/>
    <col min="2" max="5" width="10.1640625" bestFit="1" customWidth="1"/>
    <col min="6" max="6" width="9.6640625" bestFit="1" customWidth="1"/>
  </cols>
  <sheetData>
    <row r="1" spans="1:7" ht="18">
      <c r="A1" s="2" t="s">
        <v>14</v>
      </c>
    </row>
    <row r="2" spans="1:7" ht="23">
      <c r="A2" s="3" t="s">
        <v>22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4">
        <f>AVERAGE(B10:B16)</f>
        <v>986989</v>
      </c>
      <c r="C6" s="14">
        <f>AVERAGE(C10:C16)</f>
        <v>953703.42857142852</v>
      </c>
      <c r="D6" s="14">
        <f>AVERAGE(D10:D16)</f>
        <v>970824</v>
      </c>
      <c r="E6" s="14">
        <f>AVERAGE(E10:E16)</f>
        <v>1183952.6666666667</v>
      </c>
      <c r="F6" s="14">
        <f>AVERAGE(F10:F16)</f>
        <v>1311558.5</v>
      </c>
      <c r="G6" s="23">
        <f>(F6-B6)/B6</f>
        <v>0.32884814319105887</v>
      </c>
    </row>
    <row r="7" spans="1:7">
      <c r="A7" s="4" t="s">
        <v>1</v>
      </c>
      <c r="B7" s="12">
        <f>MEDIAN(B10:B16)</f>
        <v>818089.5</v>
      </c>
      <c r="C7" s="12">
        <f>MEDIAN(C10:C16)</f>
        <v>968158</v>
      </c>
      <c r="D7" s="12">
        <f>MEDIAN(D10:D16)</f>
        <v>935919</v>
      </c>
      <c r="E7" s="12">
        <f>MEDIAN(E10:E16)</f>
        <v>1135621</v>
      </c>
      <c r="F7" s="12">
        <f>MEDIAN(F10:F16)</f>
        <v>1068309</v>
      </c>
      <c r="G7" s="23">
        <f>(F7-B7)/B7</f>
        <v>0.30585834434985415</v>
      </c>
    </row>
    <row r="8" spans="1:7">
      <c r="A8" s="4"/>
      <c r="B8" s="12"/>
      <c r="C8" s="12"/>
      <c r="D8" s="12"/>
      <c r="E8" s="12"/>
      <c r="F8" s="12"/>
    </row>
    <row r="9" spans="1:7">
      <c r="A9" s="6" t="s">
        <v>2</v>
      </c>
      <c r="B9" s="16">
        <v>1095332</v>
      </c>
      <c r="C9" s="13">
        <v>1818401</v>
      </c>
      <c r="D9" s="13">
        <v>1237998</v>
      </c>
      <c r="E9" s="13">
        <v>946693</v>
      </c>
      <c r="F9" s="13">
        <v>702628</v>
      </c>
      <c r="G9" s="24">
        <f>(F9-B9)/B9</f>
        <v>-0.35852508645780456</v>
      </c>
    </row>
    <row r="10" spans="1:7">
      <c r="A10" s="4" t="s">
        <v>3</v>
      </c>
      <c r="B10" s="14">
        <v>1236222</v>
      </c>
      <c r="C10" s="12">
        <v>1245393</v>
      </c>
      <c r="D10" s="12">
        <v>1403579</v>
      </c>
      <c r="E10" s="12">
        <v>2070387</v>
      </c>
      <c r="F10" s="12">
        <v>2236541</v>
      </c>
      <c r="G10" s="23">
        <f>(F10-B10)/B10</f>
        <v>0.80917424216685996</v>
      </c>
    </row>
    <row r="11" spans="1:7">
      <c r="A11" s="4" t="s">
        <v>4</v>
      </c>
      <c r="B11" s="14">
        <v>769668</v>
      </c>
      <c r="C11" s="12">
        <v>794138</v>
      </c>
      <c r="D11" s="12">
        <v>886801</v>
      </c>
      <c r="E11" s="14" t="s">
        <v>18</v>
      </c>
      <c r="F11" s="12">
        <v>886801</v>
      </c>
      <c r="G11" s="23">
        <f>(F11-B11)/B11</f>
        <v>0.15218639725180208</v>
      </c>
    </row>
    <row r="12" spans="1:7">
      <c r="A12" s="4" t="s">
        <v>5</v>
      </c>
      <c r="B12" s="14">
        <v>607193</v>
      </c>
      <c r="C12" s="12">
        <v>616202</v>
      </c>
      <c r="D12" s="12">
        <v>630907</v>
      </c>
      <c r="E12" s="12">
        <v>700646</v>
      </c>
      <c r="F12" s="14" t="s">
        <v>18</v>
      </c>
      <c r="G12" s="17" t="s">
        <v>18</v>
      </c>
    </row>
    <row r="13" spans="1:7">
      <c r="A13" s="4" t="s">
        <v>6</v>
      </c>
      <c r="B13" s="14">
        <v>866511</v>
      </c>
      <c r="C13" s="12">
        <v>968158</v>
      </c>
      <c r="D13" s="12">
        <v>935919</v>
      </c>
      <c r="E13" s="12">
        <v>981486</v>
      </c>
      <c r="F13" s="12">
        <v>902468</v>
      </c>
      <c r="G13" s="23">
        <f>(F13-B13)/B13</f>
        <v>4.1496299527645927E-2</v>
      </c>
    </row>
    <row r="14" spans="1:7">
      <c r="A14" s="4" t="s">
        <v>7</v>
      </c>
      <c r="B14" s="14">
        <v>1744212</v>
      </c>
      <c r="C14" s="12">
        <v>1109109</v>
      </c>
      <c r="D14" s="12">
        <v>1111621</v>
      </c>
      <c r="E14" s="12">
        <v>1289756</v>
      </c>
      <c r="F14" s="12">
        <v>1934106</v>
      </c>
      <c r="G14" s="23">
        <f>(F14-B14)/B14</f>
        <v>0.10887094000041279</v>
      </c>
    </row>
    <row r="15" spans="1:7">
      <c r="A15" s="4" t="s">
        <v>8</v>
      </c>
      <c r="B15" s="14" t="s">
        <v>18</v>
      </c>
      <c r="C15" s="12">
        <v>1278459</v>
      </c>
      <c r="D15" s="12">
        <v>1191871</v>
      </c>
      <c r="E15" s="12">
        <v>1442874</v>
      </c>
      <c r="F15" s="12">
        <v>1234150</v>
      </c>
      <c r="G15" s="17" t="s">
        <v>18</v>
      </c>
    </row>
    <row r="16" spans="1:7">
      <c r="A16" s="4" t="s">
        <v>9</v>
      </c>
      <c r="B16" s="14">
        <v>698128</v>
      </c>
      <c r="C16" s="12">
        <v>664465</v>
      </c>
      <c r="D16" s="12">
        <v>635070</v>
      </c>
      <c r="E16" s="12">
        <v>618567</v>
      </c>
      <c r="F16" s="12">
        <v>675285</v>
      </c>
      <c r="G16" s="23">
        <f>(F16-B16)/B16</f>
        <v>-3.2720360736140076E-2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D6:D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C28" sqref="C28"/>
    </sheetView>
  </sheetViews>
  <sheetFormatPr baseColWidth="10" defaultColWidth="8.83203125" defaultRowHeight="14" x14ac:dyDescent="0"/>
  <cols>
    <col min="1" max="1" width="41.83203125" bestFit="1" customWidth="1"/>
    <col min="2" max="2" width="8.6640625" customWidth="1"/>
  </cols>
  <sheetData>
    <row r="1" spans="1:7" ht="18">
      <c r="A1" s="2" t="s">
        <v>14</v>
      </c>
    </row>
    <row r="2" spans="1:7" ht="23">
      <c r="A2" s="3" t="s">
        <v>23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7">
        <f>AVERAGE(B10:B16)</f>
        <v>26.5</v>
      </c>
      <c r="C6" s="17">
        <f>AVERAGE(C10:C16)</f>
        <v>33.878571428571426</v>
      </c>
      <c r="D6" s="17">
        <f>AVERAGE(D10:D16)</f>
        <v>34.978571428571428</v>
      </c>
      <c r="E6" s="17">
        <f>AVERAGE(E10:E16)</f>
        <v>35.014285714285712</v>
      </c>
      <c r="F6" s="17">
        <f>AVERAGE(F10:F16)</f>
        <v>35.5</v>
      </c>
      <c r="G6" s="23">
        <f>(F6-B6)/B6</f>
        <v>0.33962264150943394</v>
      </c>
    </row>
    <row r="7" spans="1:7">
      <c r="A7" s="4" t="s">
        <v>1</v>
      </c>
      <c r="B7" s="18">
        <f>MEDIAN(B10:B16)</f>
        <v>21.5</v>
      </c>
      <c r="C7" s="18">
        <f>MEDIAN(C10:C16)</f>
        <v>24</v>
      </c>
      <c r="D7" s="18">
        <f>MEDIAN(D10:D16)</f>
        <v>28</v>
      </c>
      <c r="E7" s="18">
        <f>MEDIAN(E10:E16)</f>
        <v>29</v>
      </c>
      <c r="F7" s="18">
        <f>MEDIAN(F10:F16)</f>
        <v>29.5</v>
      </c>
      <c r="G7" s="23">
        <f>(F7-B7)/B7</f>
        <v>0.37209302325581395</v>
      </c>
    </row>
    <row r="8" spans="1:7">
      <c r="A8" s="4"/>
      <c r="B8" s="18"/>
      <c r="C8" s="18"/>
      <c r="D8" s="18"/>
      <c r="E8" s="18"/>
      <c r="F8" s="18"/>
    </row>
    <row r="9" spans="1:7">
      <c r="A9" s="6" t="s">
        <v>2</v>
      </c>
      <c r="B9" s="19">
        <v>17.5</v>
      </c>
      <c r="C9" s="20">
        <v>21.25</v>
      </c>
      <c r="D9" s="20">
        <v>16.5</v>
      </c>
      <c r="E9" s="20">
        <v>15.5</v>
      </c>
      <c r="F9" s="20">
        <v>15.5</v>
      </c>
      <c r="G9" s="24">
        <f>(F9-B9)/B9</f>
        <v>-0.11428571428571428</v>
      </c>
    </row>
    <row r="10" spans="1:7">
      <c r="A10" s="4" t="s">
        <v>3</v>
      </c>
      <c r="B10" s="17">
        <v>22</v>
      </c>
      <c r="C10" s="18">
        <v>24</v>
      </c>
      <c r="D10" s="18">
        <v>28</v>
      </c>
      <c r="E10" s="18">
        <v>29</v>
      </c>
      <c r="F10" s="18">
        <v>30</v>
      </c>
      <c r="G10" s="23">
        <f>(F10-B10)/B10</f>
        <v>0.36363636363636365</v>
      </c>
    </row>
    <row r="11" spans="1:7">
      <c r="A11" s="4" t="s">
        <v>4</v>
      </c>
      <c r="B11" s="17">
        <v>21</v>
      </c>
      <c r="C11" s="18">
        <v>18</v>
      </c>
      <c r="D11" s="18">
        <v>21</v>
      </c>
      <c r="E11" s="18">
        <v>21</v>
      </c>
      <c r="F11" s="18">
        <v>21</v>
      </c>
      <c r="G11" s="23">
        <f>(F11-B11)/B11</f>
        <v>0</v>
      </c>
    </row>
    <row r="12" spans="1:7">
      <c r="A12" s="4" t="s">
        <v>5</v>
      </c>
      <c r="B12" s="17">
        <v>17</v>
      </c>
      <c r="C12" s="18">
        <v>17</v>
      </c>
      <c r="D12" s="18">
        <v>18</v>
      </c>
      <c r="E12" s="18">
        <v>16</v>
      </c>
      <c r="F12" s="17" t="s">
        <v>18</v>
      </c>
      <c r="G12" s="17" t="s">
        <v>18</v>
      </c>
    </row>
    <row r="13" spans="1:7">
      <c r="A13" s="4" t="s">
        <v>6</v>
      </c>
      <c r="B13" s="17">
        <v>21</v>
      </c>
      <c r="C13" s="18">
        <v>21</v>
      </c>
      <c r="D13" s="18">
        <v>20.66</v>
      </c>
      <c r="E13" s="18">
        <v>21</v>
      </c>
      <c r="F13" s="18">
        <v>21</v>
      </c>
      <c r="G13" s="23">
        <f>(F13-B13)/B13</f>
        <v>0</v>
      </c>
    </row>
    <row r="14" spans="1:7">
      <c r="A14" s="4" t="s">
        <v>7</v>
      </c>
      <c r="B14" s="17">
        <v>24</v>
      </c>
      <c r="C14" s="18">
        <v>44.15</v>
      </c>
      <c r="D14" s="18">
        <v>40.75</v>
      </c>
      <c r="E14" s="18">
        <v>43.1</v>
      </c>
      <c r="F14" s="18">
        <v>29</v>
      </c>
      <c r="G14" s="23">
        <f>(F14-B14)/B14</f>
        <v>0.20833333333333334</v>
      </c>
    </row>
    <row r="15" spans="1:7">
      <c r="A15" s="4" t="s">
        <v>8</v>
      </c>
      <c r="B15" s="17" t="s">
        <v>18</v>
      </c>
      <c r="C15" s="18">
        <v>58</v>
      </c>
      <c r="D15" s="18">
        <v>61.25</v>
      </c>
      <c r="E15" s="18">
        <v>60</v>
      </c>
      <c r="F15" s="18">
        <v>60</v>
      </c>
      <c r="G15" s="17" t="s">
        <v>18</v>
      </c>
    </row>
    <row r="16" spans="1:7">
      <c r="A16" s="4" t="s">
        <v>9</v>
      </c>
      <c r="B16" s="17">
        <v>54</v>
      </c>
      <c r="C16" s="18">
        <v>55</v>
      </c>
      <c r="D16" s="18">
        <v>55.19</v>
      </c>
      <c r="E16" s="18">
        <v>55</v>
      </c>
      <c r="F16" s="18">
        <v>52</v>
      </c>
      <c r="G16" s="23">
        <f>(F16-B16)/B16</f>
        <v>-3.7037037037037035E-2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D6:D7 E6:E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C27" sqref="C27"/>
    </sheetView>
  </sheetViews>
  <sheetFormatPr baseColWidth="10" defaultColWidth="8.83203125" defaultRowHeight="14" x14ac:dyDescent="0"/>
  <cols>
    <col min="1" max="1" width="41.83203125" bestFit="1" customWidth="1"/>
  </cols>
  <sheetData>
    <row r="1" spans="1:7" ht="18">
      <c r="A1" s="2" t="s">
        <v>14</v>
      </c>
    </row>
    <row r="2" spans="1:7" ht="23">
      <c r="A2" s="3" t="s">
        <v>24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7">
        <f>AVERAGE(B10:B16)</f>
        <v>38.25</v>
      </c>
      <c r="C6" s="17">
        <f>AVERAGE(C10:C16)</f>
        <v>35.25714285714286</v>
      </c>
      <c r="D6" s="17">
        <f>AVERAGE(D10:D16)</f>
        <v>35.464285714285715</v>
      </c>
      <c r="E6" s="17">
        <f>AVERAGE(E10:E16)</f>
        <v>37.871428571428574</v>
      </c>
      <c r="F6" s="17">
        <f>AVERAGE(F10:F16)</f>
        <v>41.291666666666664</v>
      </c>
      <c r="G6" s="23">
        <f>(F6-B6)/B6</f>
        <v>7.9520697167755935E-2</v>
      </c>
    </row>
    <row r="7" spans="1:7">
      <c r="A7" s="4" t="s">
        <v>1</v>
      </c>
      <c r="B7" s="18">
        <f>MEDIAN(B10:B16)</f>
        <v>35.25</v>
      </c>
      <c r="C7" s="18">
        <f>MEDIAN(C10:C16)</f>
        <v>37.799999999999997</v>
      </c>
      <c r="D7" s="18">
        <f>MEDIAN(D10:D16)</f>
        <v>34.75</v>
      </c>
      <c r="E7" s="18">
        <f>MEDIAN(E10:E16)</f>
        <v>35</v>
      </c>
      <c r="F7" s="18">
        <f>MEDIAN(F10:F16)</f>
        <v>36</v>
      </c>
      <c r="G7" s="23">
        <f>(F7-B7)/B7</f>
        <v>2.1276595744680851E-2</v>
      </c>
    </row>
    <row r="8" spans="1:7">
      <c r="A8" s="4"/>
      <c r="B8" s="18"/>
      <c r="C8" s="18"/>
      <c r="D8" s="18"/>
      <c r="E8" s="18"/>
      <c r="F8" s="18"/>
    </row>
    <row r="9" spans="1:7">
      <c r="A9" s="6" t="s">
        <v>2</v>
      </c>
      <c r="B9" s="19">
        <v>30</v>
      </c>
      <c r="C9" s="20">
        <v>32</v>
      </c>
      <c r="D9" s="20">
        <v>24</v>
      </c>
      <c r="E9" s="20">
        <v>20</v>
      </c>
      <c r="F9" s="20">
        <v>20</v>
      </c>
      <c r="G9" s="24">
        <f>(F9-B9)/B9</f>
        <v>-0.33333333333333331</v>
      </c>
    </row>
    <row r="10" spans="1:7">
      <c r="A10" s="4" t="s">
        <v>3</v>
      </c>
      <c r="B10" s="17">
        <v>46</v>
      </c>
      <c r="C10" s="18">
        <v>45</v>
      </c>
      <c r="D10" s="18">
        <v>59</v>
      </c>
      <c r="E10" s="18">
        <v>68</v>
      </c>
      <c r="F10" s="18">
        <v>66</v>
      </c>
      <c r="G10" s="23">
        <f>(F10-B10)/B10</f>
        <v>0.43478260869565216</v>
      </c>
    </row>
    <row r="11" spans="1:7">
      <c r="A11" s="4" t="s">
        <v>4</v>
      </c>
      <c r="B11" s="17">
        <v>32.5</v>
      </c>
      <c r="C11" s="18">
        <v>31</v>
      </c>
      <c r="D11" s="18">
        <v>31</v>
      </c>
      <c r="E11" s="18">
        <v>31</v>
      </c>
      <c r="F11" s="18">
        <v>31</v>
      </c>
      <c r="G11" s="23">
        <f>(F11-B11)/B11</f>
        <v>-4.6153846153846156E-2</v>
      </c>
    </row>
    <row r="12" spans="1:7">
      <c r="A12" s="4" t="s">
        <v>5</v>
      </c>
      <c r="B12" s="17">
        <v>26</v>
      </c>
      <c r="C12" s="18">
        <v>26</v>
      </c>
      <c r="D12" s="18">
        <v>25</v>
      </c>
      <c r="E12" s="18">
        <v>25</v>
      </c>
      <c r="F12" s="17" t="s">
        <v>18</v>
      </c>
      <c r="G12" s="17" t="s">
        <v>18</v>
      </c>
    </row>
    <row r="13" spans="1:7">
      <c r="A13" s="4" t="s">
        <v>6</v>
      </c>
      <c r="B13" s="17">
        <v>38</v>
      </c>
      <c r="C13" s="18">
        <v>38</v>
      </c>
      <c r="D13" s="18">
        <v>34.75</v>
      </c>
      <c r="E13" s="18">
        <v>35</v>
      </c>
      <c r="F13" s="18">
        <v>35</v>
      </c>
      <c r="G13" s="23">
        <f>(F13-B13)/B13</f>
        <v>-7.8947368421052627E-2</v>
      </c>
    </row>
    <row r="14" spans="1:7">
      <c r="A14" s="4" t="s">
        <v>7</v>
      </c>
      <c r="B14" s="17">
        <v>60</v>
      </c>
      <c r="C14" s="18">
        <v>37.799999999999997</v>
      </c>
      <c r="D14" s="18">
        <v>37.5</v>
      </c>
      <c r="E14" s="18">
        <v>37.6</v>
      </c>
      <c r="F14" s="18">
        <v>53.75</v>
      </c>
      <c r="G14" s="23">
        <f>(F14-B14)/B14</f>
        <v>-0.10416666666666667</v>
      </c>
    </row>
    <row r="15" spans="1:7">
      <c r="A15" s="4" t="s">
        <v>8</v>
      </c>
      <c r="B15" s="17" t="s">
        <v>18</v>
      </c>
      <c r="C15" s="18">
        <v>41</v>
      </c>
      <c r="D15" s="18">
        <v>35.5</v>
      </c>
      <c r="E15" s="18">
        <v>44.5</v>
      </c>
      <c r="F15" s="18">
        <v>37</v>
      </c>
      <c r="G15" s="17" t="s">
        <v>18</v>
      </c>
    </row>
    <row r="16" spans="1:7">
      <c r="A16" s="4" t="s">
        <v>9</v>
      </c>
      <c r="B16" s="17">
        <v>27</v>
      </c>
      <c r="C16" s="18">
        <v>28</v>
      </c>
      <c r="D16" s="18">
        <v>25.5</v>
      </c>
      <c r="E16" s="18">
        <v>24</v>
      </c>
      <c r="F16" s="18">
        <v>25</v>
      </c>
      <c r="G16" s="23">
        <f>(F16-B16)/B16</f>
        <v>-7.407407407407407E-2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D6:D7 E6:E7" formulaRange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zoomScale="150" zoomScaleNormal="150" zoomScalePageLayoutView="150" workbookViewId="0">
      <selection activeCell="D27" sqref="D27"/>
    </sheetView>
  </sheetViews>
  <sheetFormatPr baseColWidth="10" defaultColWidth="8.83203125" defaultRowHeight="14" x14ac:dyDescent="0"/>
  <cols>
    <col min="1" max="1" width="42.83203125" customWidth="1"/>
  </cols>
  <sheetData>
    <row r="1" spans="1:7" ht="18">
      <c r="A1" s="2" t="s">
        <v>14</v>
      </c>
    </row>
    <row r="2" spans="1:7" ht="23">
      <c r="A2" s="3" t="s">
        <v>29</v>
      </c>
    </row>
    <row r="4" spans="1:7">
      <c r="B4" s="1" t="s">
        <v>10</v>
      </c>
      <c r="C4" s="1" t="s">
        <v>11</v>
      </c>
      <c r="D4" s="1" t="s">
        <v>12</v>
      </c>
      <c r="E4" s="1" t="s">
        <v>13</v>
      </c>
      <c r="F4" s="1" t="s">
        <v>27</v>
      </c>
      <c r="G4" s="1" t="s">
        <v>30</v>
      </c>
    </row>
    <row r="6" spans="1:7">
      <c r="A6" s="4" t="s">
        <v>0</v>
      </c>
      <c r="B6" s="10" t="s">
        <v>18</v>
      </c>
      <c r="C6" s="22">
        <f>AVERAGE(C10:C16)</f>
        <v>349.69142857142862</v>
      </c>
      <c r="D6" s="22">
        <f>AVERAGE(D10:D16)</f>
        <v>462.70400000000001</v>
      </c>
      <c r="E6" s="22">
        <f>AVERAGE(E10:E16)</f>
        <v>463.75</v>
      </c>
      <c r="F6" s="22">
        <f>AVERAGE(F10:F16)</f>
        <v>471.78833333333324</v>
      </c>
      <c r="G6" s="23">
        <f>(F6-C6)/C6</f>
        <v>0.34915612676209729</v>
      </c>
    </row>
    <row r="7" spans="1:7">
      <c r="A7" s="4" t="s">
        <v>1</v>
      </c>
      <c r="B7" s="10" t="s">
        <v>18</v>
      </c>
      <c r="C7" s="22">
        <f>MEDIAN(C10:C16)</f>
        <v>338.86</v>
      </c>
      <c r="D7" s="22">
        <f>MEDIAN(D10:D16)</f>
        <v>469.1</v>
      </c>
      <c r="E7" s="22">
        <f>MEDIAN(E10:E16)</f>
        <v>399.76</v>
      </c>
      <c r="F7" s="22">
        <f>MEDIAN(F10:F16)</f>
        <v>441.68</v>
      </c>
      <c r="G7" s="23">
        <f>(F7-C7)/C7</f>
        <v>0.30342914477955496</v>
      </c>
    </row>
    <row r="8" spans="1:7">
      <c r="A8" s="4"/>
      <c r="B8" s="5"/>
      <c r="C8" s="12"/>
      <c r="D8" s="12"/>
      <c r="E8" s="12"/>
      <c r="F8" s="12"/>
    </row>
    <row r="9" spans="1:7">
      <c r="A9" s="6" t="s">
        <v>2</v>
      </c>
      <c r="B9" s="7" t="s">
        <v>18</v>
      </c>
      <c r="C9" s="21">
        <v>224.2</v>
      </c>
      <c r="D9" s="21">
        <v>335.98</v>
      </c>
      <c r="E9" s="21">
        <v>257.87</v>
      </c>
      <c r="F9" s="21">
        <v>185.22</v>
      </c>
      <c r="G9" s="24">
        <f>(F9-C9)/C9</f>
        <v>-0.17386262265834074</v>
      </c>
    </row>
    <row r="10" spans="1:7">
      <c r="A10" s="4" t="s">
        <v>3</v>
      </c>
      <c r="B10" s="10" t="s">
        <v>18</v>
      </c>
      <c r="C10" s="22">
        <v>185.49</v>
      </c>
      <c r="D10" s="22">
        <v>193.85</v>
      </c>
      <c r="E10" s="22">
        <v>215.83</v>
      </c>
      <c r="F10" s="22">
        <v>349.17</v>
      </c>
      <c r="G10" s="23">
        <f>(F10-C10)/C10</f>
        <v>0.88241953744137147</v>
      </c>
    </row>
    <row r="11" spans="1:7">
      <c r="A11" s="4" t="s">
        <v>4</v>
      </c>
      <c r="B11" s="10" t="s">
        <v>18</v>
      </c>
      <c r="C11" s="22">
        <v>334.4</v>
      </c>
      <c r="D11" s="22">
        <v>469.1</v>
      </c>
      <c r="E11" s="22">
        <v>389.42</v>
      </c>
      <c r="F11" s="22">
        <v>459.47</v>
      </c>
      <c r="G11" s="23">
        <f>(F11-C11)/C11</f>
        <v>0.37401315789473699</v>
      </c>
    </row>
    <row r="12" spans="1:7">
      <c r="A12" s="4" t="s">
        <v>5</v>
      </c>
      <c r="B12" s="10" t="s">
        <v>18</v>
      </c>
      <c r="C12" s="22">
        <v>184.31</v>
      </c>
      <c r="D12" s="17" t="s">
        <v>18</v>
      </c>
      <c r="E12" s="22">
        <v>229.53</v>
      </c>
      <c r="F12" s="17" t="s">
        <v>18</v>
      </c>
      <c r="G12" s="17" t="s">
        <v>18</v>
      </c>
    </row>
    <row r="13" spans="1:7">
      <c r="A13" s="4" t="s">
        <v>6</v>
      </c>
      <c r="B13" s="10" t="s">
        <v>18</v>
      </c>
      <c r="C13" s="22">
        <v>481.37</v>
      </c>
      <c r="D13" s="22">
        <v>596.05999999999995</v>
      </c>
      <c r="E13" s="22">
        <v>597.22</v>
      </c>
      <c r="F13" s="22">
        <v>605.65</v>
      </c>
      <c r="G13" s="23">
        <f>(F13-C13)/C13</f>
        <v>0.25817977854872548</v>
      </c>
    </row>
    <row r="14" spans="1:7">
      <c r="A14" s="4" t="s">
        <v>7</v>
      </c>
      <c r="B14" s="10" t="s">
        <v>18</v>
      </c>
      <c r="C14" s="22">
        <v>374.87</v>
      </c>
      <c r="D14" s="22">
        <v>409.92</v>
      </c>
      <c r="E14" s="22">
        <v>399.76</v>
      </c>
      <c r="F14" s="22">
        <v>423.89</v>
      </c>
      <c r="G14" s="23">
        <f>(F14-C14)/C14</f>
        <v>0.13076533198175364</v>
      </c>
    </row>
    <row r="15" spans="1:7">
      <c r="A15" s="4" t="s">
        <v>8</v>
      </c>
      <c r="B15" s="10" t="s">
        <v>18</v>
      </c>
      <c r="C15" s="22">
        <v>548.54</v>
      </c>
      <c r="D15" s="17" t="s">
        <v>18</v>
      </c>
      <c r="E15" s="22">
        <v>635.4</v>
      </c>
      <c r="F15" s="22">
        <v>578.67999999999995</v>
      </c>
      <c r="G15" s="23">
        <f>(F15-C15)/C15</f>
        <v>5.4945856273015618E-2</v>
      </c>
    </row>
    <row r="16" spans="1:7">
      <c r="A16" s="4" t="s">
        <v>9</v>
      </c>
      <c r="B16" s="10" t="s">
        <v>18</v>
      </c>
      <c r="C16" s="22">
        <v>338.86</v>
      </c>
      <c r="D16" s="22">
        <v>644.59</v>
      </c>
      <c r="E16" s="22">
        <v>779.09</v>
      </c>
      <c r="F16" s="22">
        <v>413.87</v>
      </c>
      <c r="G16" s="23">
        <f>(F16-C16)/C16</f>
        <v>0.22135985362686653</v>
      </c>
    </row>
    <row r="19" spans="1:1">
      <c r="A19" t="s">
        <v>15</v>
      </c>
    </row>
    <row r="20" spans="1:1">
      <c r="A20" t="s">
        <v>28</v>
      </c>
    </row>
  </sheetData>
  <phoneticPr fontId="6" type="noConversion"/>
  <pageMargins left="0.7" right="0.7" top="0.75" bottom="0.75" header="0.3" footer="0.3"/>
  <pageSetup orientation="landscape"/>
  <headerFooter>
    <oddFooter>&amp;LURI vs. Peers&amp;R&amp;A</oddFooter>
  </headerFooter>
  <ignoredErrors>
    <ignoredError sqref="C6:C7 E6:E7" formulaRange="1"/>
  </ignoredErrors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$$ Total Library Expenditures</vt:lpstr>
      <vt:lpstr>$$ Total Library Materials</vt:lpstr>
      <vt:lpstr>$$ Current Serials</vt:lpstr>
      <vt:lpstr>$$ Monographs</vt:lpstr>
      <vt:lpstr># Current Serials</vt:lpstr>
      <vt:lpstr># Monographs purchased</vt:lpstr>
      <vt:lpstr>$$ Professional Staff</vt:lpstr>
      <vt:lpstr>$$ Support Staff</vt:lpstr>
      <vt:lpstr># Professional Staff</vt:lpstr>
      <vt:lpstr># Support Staff</vt:lpstr>
      <vt:lpstr>$$ Per Student FTE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Andree Rathemacher</cp:lastModifiedBy>
  <cp:lastPrinted>2011-01-31T21:15:18Z</cp:lastPrinted>
  <dcterms:created xsi:type="dcterms:W3CDTF">2011-01-31T19:11:15Z</dcterms:created>
  <dcterms:modified xsi:type="dcterms:W3CDTF">2011-10-24T16:55:29Z</dcterms:modified>
</cp:coreProperties>
</file>