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externalReferences>
    <externalReference r:id="rId2"/>
    <externalReference r:id="rId3"/>
  </externalReferences>
  <calcPr calcId="145621"/>
</workbook>
</file>

<file path=xl/calcChain.xml><?xml version="1.0" encoding="utf-8"?>
<calcChain xmlns="http://schemas.openxmlformats.org/spreadsheetml/2006/main">
  <c r="B30" i="1" l="1"/>
  <c r="B29" i="1"/>
  <c r="B28" i="1"/>
  <c r="B27" i="1"/>
  <c r="B26" i="1"/>
  <c r="B25" i="1"/>
  <c r="B24" i="1"/>
  <c r="B23" i="1"/>
  <c r="B22" i="1"/>
  <c r="B19" i="1"/>
  <c r="B18" i="1"/>
  <c r="B17" i="1"/>
  <c r="B16" i="1"/>
  <c r="B15" i="1"/>
  <c r="B14" i="1"/>
  <c r="B13" i="1"/>
  <c r="B12" i="1"/>
  <c r="B11" i="1"/>
  <c r="B8" i="1"/>
  <c r="B7" i="1"/>
  <c r="B6" i="1"/>
  <c r="B5" i="1"/>
  <c r="C3" i="1" l="1"/>
  <c r="C29" i="1" l="1"/>
  <c r="C27" i="1"/>
  <c r="C25" i="1"/>
  <c r="C23" i="1"/>
  <c r="C19" i="1"/>
  <c r="C17" i="1"/>
  <c r="C15" i="1"/>
  <c r="C13" i="1"/>
  <c r="C11" i="1"/>
  <c r="C7" i="1"/>
  <c r="C5" i="1"/>
  <c r="C30" i="1"/>
  <c r="C28" i="1"/>
  <c r="C26" i="1"/>
  <c r="C24" i="1"/>
  <c r="C22" i="1"/>
  <c r="C18" i="1"/>
  <c r="C16" i="1"/>
  <c r="C14" i="1"/>
  <c r="C12" i="1"/>
  <c r="C8" i="1"/>
  <c r="C6" i="1"/>
  <c r="D3" i="1"/>
  <c r="D30" i="1" l="1"/>
  <c r="D28" i="1"/>
  <c r="D26" i="1"/>
  <c r="D24" i="1"/>
  <c r="D22" i="1"/>
  <c r="D18" i="1"/>
  <c r="D16" i="1"/>
  <c r="D14" i="1"/>
  <c r="D12" i="1"/>
  <c r="D8" i="1"/>
  <c r="D6" i="1"/>
  <c r="D29" i="1"/>
  <c r="D27" i="1"/>
  <c r="D25" i="1"/>
  <c r="D23" i="1"/>
  <c r="D19" i="1"/>
  <c r="D17" i="1"/>
  <c r="D15" i="1"/>
  <c r="D13" i="1"/>
  <c r="D11" i="1"/>
  <c r="D7" i="1"/>
  <c r="D5" i="1"/>
  <c r="E3" i="1"/>
  <c r="E29" i="1" l="1"/>
  <c r="E27" i="1"/>
  <c r="E25" i="1"/>
  <c r="E23" i="1"/>
  <c r="E19" i="1"/>
  <c r="E17" i="1"/>
  <c r="E15" i="1"/>
  <c r="E13" i="1"/>
  <c r="E11" i="1"/>
  <c r="E7" i="1"/>
  <c r="E5" i="1"/>
  <c r="E30" i="1"/>
  <c r="E28" i="1"/>
  <c r="E26" i="1"/>
  <c r="E24" i="1"/>
  <c r="E22" i="1"/>
  <c r="E18" i="1"/>
  <c r="E16" i="1"/>
  <c r="E14" i="1"/>
  <c r="E12" i="1"/>
  <c r="E8" i="1"/>
  <c r="E6" i="1"/>
  <c r="F3" i="1"/>
  <c r="F30" i="1" l="1"/>
  <c r="F28" i="1"/>
  <c r="F26" i="1"/>
  <c r="F24" i="1"/>
  <c r="F22" i="1"/>
  <c r="F18" i="1"/>
  <c r="F16" i="1"/>
  <c r="F14" i="1"/>
  <c r="F12" i="1"/>
  <c r="F8" i="1"/>
  <c r="F6" i="1"/>
  <c r="F29" i="1"/>
  <c r="F27" i="1"/>
  <c r="F25" i="1"/>
  <c r="F23" i="1"/>
  <c r="F19" i="1"/>
  <c r="F17" i="1"/>
  <c r="F15" i="1"/>
  <c r="F13" i="1"/>
  <c r="F11" i="1"/>
  <c r="F7" i="1"/>
  <c r="F5" i="1"/>
</calcChain>
</file>

<file path=xl/sharedStrings.xml><?xml version="1.0" encoding="utf-8"?>
<sst xmlns="http://schemas.openxmlformats.org/spreadsheetml/2006/main" count="56" uniqueCount="34">
  <si>
    <t>Gender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</si>
  <si>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</si>
  <si>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</si>
  <si>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</si>
  <si>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</si>
  <si>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</si>
  <si>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</si>
  <si>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</si>
  <si>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</si>
  <si>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</si>
  <si>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</si>
  <si>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</si>
  <si>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</si>
  <si>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</si>
  <si>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</si>
  <si>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</si>
  <si>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</si>
  <si>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</si>
  <si>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</si>
  <si>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</si>
  <si>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</si>
  <si>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</si>
  <si>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Retention Rates</t>
  </si>
  <si>
    <t>50 +</t>
  </si>
  <si>
    <t>AY 07-08</t>
  </si>
  <si>
    <t>A08-09</t>
  </si>
  <si>
    <t>AY09-10</t>
  </si>
  <si>
    <t>AY10-11</t>
  </si>
  <si>
    <t>AY-11-12</t>
  </si>
  <si>
    <t>MSJC DEV LEVEL DATA</t>
  </si>
  <si>
    <t>DEV LEVEL = Courses 70 to 90 level</t>
  </si>
  <si>
    <t>#3  Course Retention</t>
  </si>
  <si>
    <t>AY12-13</t>
  </si>
  <si>
    <t>AY 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</si>
</sst>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58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0" fillId="0" borderId="0" xfId="0"/>
    <xf numFmtId="0" fontId="1" fillId="0" borderId="0" xfId="0" applyFont="1"/>
    <xf numFmtId="0" fontId="22" fillId="0" borderId="13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2" fillId="0" borderId="10" xfId="2" applyFont="1" applyBorder="1" applyAlignment="1">
      <alignment horizontal="center"/>
    </xf>
    <xf numFmtId="0" fontId="26" fillId="33" borderId="20" xfId="2" applyFont="1" applyFill="1" applyBorder="1" applyAlignment="1">
      <alignment wrapText="1"/>
    </xf>
    <xf numFmtId="0" fontId="21" fillId="0" borderId="19" xfId="2" applyFont="1" applyFill="1" applyBorder="1" applyAlignment="1">
      <alignment wrapText="1"/>
    </xf>
    <xf numFmtId="0" fontId="21" fillId="0" borderId="20" xfId="2" applyFont="1" applyFill="1" applyBorder="1" applyAlignment="1">
      <alignment wrapText="1"/>
    </xf>
    <xf numFmtId="0" fontId="21" fillId="0" borderId="16" xfId="2" applyFont="1" applyFill="1" applyBorder="1" applyAlignment="1">
      <alignment horizontal="left" vertical="center" wrapText="1"/>
    </xf>
    <xf numFmtId="0" fontId="22" fillId="0" borderId="14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/>
    </xf>
    <xf numFmtId="0" fontId="24" fillId="0" borderId="15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16" xfId="2" applyFont="1" applyBorder="1"/>
    <xf numFmtId="0" fontId="16" fillId="0" borderId="17" xfId="2" applyFont="1" applyBorder="1"/>
    <xf numFmtId="0" fontId="21" fillId="0" borderId="24" xfId="49" applyFont="1" applyBorder="1" applyAlignment="1" applyProtection="1"/>
    <xf numFmtId="0" fontId="21" fillId="0" borderId="17" xfId="49" applyFont="1" applyBorder="1" applyAlignment="1" applyProtection="1"/>
    <xf numFmtId="0" fontId="21" fillId="0" borderId="21" xfId="49" applyFont="1" applyBorder="1" applyAlignment="1" applyProtection="1"/>
    <xf numFmtId="0" fontId="16" fillId="0" borderId="23" xfId="2" applyFont="1" applyBorder="1" applyAlignment="1">
      <alignment horizontal="right"/>
    </xf>
    <xf numFmtId="0" fontId="16" fillId="0" borderId="22" xfId="2" applyFont="1" applyBorder="1"/>
    <xf numFmtId="0" fontId="24" fillId="0" borderId="21" xfId="2" applyFont="1" applyBorder="1" applyAlignment="1"/>
    <xf numFmtId="0" fontId="24" fillId="0" borderId="12" xfId="2" applyFont="1" applyBorder="1" applyAlignment="1"/>
    <xf numFmtId="9" fontId="23" fillId="0" borderId="11" xfId="117" applyFont="1" applyBorder="1" applyAlignment="1">
      <alignment horizontal="center" vertical="center"/>
    </xf>
    <xf numFmtId="0" fontId="25" fillId="0" borderId="23" xfId="2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24" fillId="0" borderId="15" xfId="2" applyFont="1" applyBorder="1" applyAlignment="1">
      <alignment horizontal="center" vertical="center"/>
    </xf>
    <xf numFmtId="0" fontId="25" fillId="0" borderId="25" xfId="2" applyFont="1" applyBorder="1" applyAlignment="1">
      <alignment horizontal="center" vertical="center" wrapText="1"/>
    </xf>
    <xf numFmtId="0" fontId="25" fillId="0" borderId="26" xfId="2" applyFont="1" applyBorder="1" applyAlignment="1">
      <alignment horizontal="center" vertical="center" wrapText="1"/>
    </xf>
    <xf numFmtId="0" fontId="27" fillId="0" borderId="27" xfId="2" applyFont="1" applyBorder="1" applyAlignment="1">
      <alignment horizontal="center"/>
    </xf>
    <xf numFmtId="0" fontId="27" fillId="0" borderId="0" xfId="2" applyFont="1" applyBorder="1" applyAlignment="1">
      <alignment horizontal="center"/>
    </xf>
    <xf numFmtId="9" fontId="0" fillId="0" borderId="0" xfId="117" applyFont="1"/>
  </cellXfs>
  <cellStyles count="158">
    <cellStyle name="20% - Accent1" xfId="135" builtinId="30" customBuiltin="1"/>
    <cellStyle name="20% - Accent1 2" xfId="78"/>
    <cellStyle name="20% - Accent1 3" xfId="23"/>
    <cellStyle name="20% - Accent2" xfId="139" builtinId="34" customBuiltin="1"/>
    <cellStyle name="20% - Accent2 2" xfId="82"/>
    <cellStyle name="20% - Accent2 3" xfId="27"/>
    <cellStyle name="20% - Accent3" xfId="143" builtinId="38" customBuiltin="1"/>
    <cellStyle name="20% - Accent3 2" xfId="86"/>
    <cellStyle name="20% - Accent3 3" xfId="31"/>
    <cellStyle name="20% - Accent4" xfId="147" builtinId="42" customBuiltin="1"/>
    <cellStyle name="20% - Accent4 2" xfId="90"/>
    <cellStyle name="20% - Accent4 3" xfId="35"/>
    <cellStyle name="20% - Accent5" xfId="151" builtinId="46" customBuiltin="1"/>
    <cellStyle name="20% - Accent5 2" xfId="94"/>
    <cellStyle name="20% - Accent5 3" xfId="39"/>
    <cellStyle name="20% - Accent6" xfId="155" builtinId="50" customBuiltin="1"/>
    <cellStyle name="20% - Accent6 2" xfId="98"/>
    <cellStyle name="20% - Accent6 3" xfId="43"/>
    <cellStyle name="40% - Accent1" xfId="136" builtinId="31" customBuiltin="1"/>
    <cellStyle name="40% - Accent1 2" xfId="79"/>
    <cellStyle name="40% - Accent1 3" xfId="24"/>
    <cellStyle name="40% - Accent2" xfId="140" builtinId="35" customBuiltin="1"/>
    <cellStyle name="40% - Accent2 2" xfId="83"/>
    <cellStyle name="40% - Accent2 3" xfId="28"/>
    <cellStyle name="40% - Accent3" xfId="144" builtinId="39" customBuiltin="1"/>
    <cellStyle name="40% - Accent3 2" xfId="87"/>
    <cellStyle name="40% - Accent3 3" xfId="32"/>
    <cellStyle name="40% - Accent4" xfId="148" builtinId="43" customBuiltin="1"/>
    <cellStyle name="40% - Accent4 2" xfId="91"/>
    <cellStyle name="40% - Accent4 3" xfId="36"/>
    <cellStyle name="40% - Accent5" xfId="152" builtinId="47" customBuiltin="1"/>
    <cellStyle name="40% - Accent5 2" xfId="95"/>
    <cellStyle name="40% - Accent5 3" xfId="40"/>
    <cellStyle name="40% - Accent6" xfId="156" builtinId="51" customBuiltin="1"/>
    <cellStyle name="40% - Accent6 2" xfId="99"/>
    <cellStyle name="40% - Accent6 3" xfId="44"/>
    <cellStyle name="60% - Accent1" xfId="137" builtinId="32" customBuiltin="1"/>
    <cellStyle name="60% - Accent1 2" xfId="80"/>
    <cellStyle name="60% - Accent1 3" xfId="25"/>
    <cellStyle name="60% - Accent2" xfId="141" builtinId="36" customBuiltin="1"/>
    <cellStyle name="60% - Accent2 2" xfId="84"/>
    <cellStyle name="60% - Accent2 3" xfId="29"/>
    <cellStyle name="60% - Accent3" xfId="145" builtinId="40" customBuiltin="1"/>
    <cellStyle name="60% - Accent3 2" xfId="88"/>
    <cellStyle name="60% - Accent3 3" xfId="33"/>
    <cellStyle name="60% - Accent4" xfId="149" builtinId="44" customBuiltin="1"/>
    <cellStyle name="60% - Accent4 2" xfId="92"/>
    <cellStyle name="60% - Accent4 3" xfId="37"/>
    <cellStyle name="60% - Accent5" xfId="153" builtinId="48" customBuiltin="1"/>
    <cellStyle name="60% - Accent5 2" xfId="96"/>
    <cellStyle name="60% - Accent5 3" xfId="41"/>
    <cellStyle name="60% - Accent6" xfId="157" builtinId="52" customBuiltin="1"/>
    <cellStyle name="60% - Accent6 2" xfId="100"/>
    <cellStyle name="60% - Accent6 3" xfId="45"/>
    <cellStyle name="Accent1" xfId="134" builtinId="29" customBuiltin="1"/>
    <cellStyle name="Accent1 2" xfId="77"/>
    <cellStyle name="Accent1 3" xfId="22"/>
    <cellStyle name="Accent2" xfId="138" builtinId="33" customBuiltin="1"/>
    <cellStyle name="Accent2 2" xfId="81"/>
    <cellStyle name="Accent2 3" xfId="26"/>
    <cellStyle name="Accent3" xfId="142" builtinId="37" customBuiltin="1"/>
    <cellStyle name="Accent3 2" xfId="85"/>
    <cellStyle name="Accent3 3" xfId="30"/>
    <cellStyle name="Accent4" xfId="146" builtinId="41" customBuiltin="1"/>
    <cellStyle name="Accent4 2" xfId="89"/>
    <cellStyle name="Accent4 3" xfId="34"/>
    <cellStyle name="Accent5" xfId="150" builtinId="45" customBuiltin="1"/>
    <cellStyle name="Accent5 2" xfId="93"/>
    <cellStyle name="Accent5 3" xfId="38"/>
    <cellStyle name="Accent6" xfId="154" builtinId="49" customBuiltin="1"/>
    <cellStyle name="Accent6 2" xfId="97"/>
    <cellStyle name="Accent6 3" xfId="42"/>
    <cellStyle name="Bad" xfId="123" builtinId="27" customBuiltin="1"/>
    <cellStyle name="Bad 2" xfId="66"/>
    <cellStyle name="Bad 3" xfId="11"/>
    <cellStyle name="Calculation" xfId="127" builtinId="22" customBuiltin="1"/>
    <cellStyle name="Calculation 2" xfId="70"/>
    <cellStyle name="Calculation 3" xfId="15"/>
    <cellStyle name="Check Cell" xfId="129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2" builtinId="53" customBuiltin="1"/>
    <cellStyle name="Explanatory Text 2" xfId="75"/>
    <cellStyle name="Explanatory Text 3" xfId="20"/>
    <cellStyle name="Good" xfId="122" builtinId="26" customBuiltin="1"/>
    <cellStyle name="Good 2" xfId="65"/>
    <cellStyle name="Good 3" xfId="10"/>
    <cellStyle name="Heading 1" xfId="118" builtinId="16" customBuiltin="1"/>
    <cellStyle name="Heading 1 2" xfId="61"/>
    <cellStyle name="Heading 1 3" xfId="6"/>
    <cellStyle name="Heading 2" xfId="119" builtinId="17" customBuiltin="1"/>
    <cellStyle name="Heading 2 2" xfId="62"/>
    <cellStyle name="Heading 2 3" xfId="7"/>
    <cellStyle name="Heading 3" xfId="120" builtinId="18" customBuiltin="1"/>
    <cellStyle name="Heading 3 2" xfId="63"/>
    <cellStyle name="Heading 3 3" xfId="8"/>
    <cellStyle name="Heading 4" xfId="121" builtinId="19" customBuiltin="1"/>
    <cellStyle name="Heading 4 2" xfId="64"/>
    <cellStyle name="Heading 4 3" xfId="9"/>
    <cellStyle name="Hyperlink" xfId="49" builtinId="8"/>
    <cellStyle name="Hyperlink 2" xfId="53"/>
    <cellStyle name="Input" xfId="125" builtinId="20" customBuiltin="1"/>
    <cellStyle name="Input 2" xfId="68"/>
    <cellStyle name="Input 3" xfId="13"/>
    <cellStyle name="Linked Cell" xfId="128" builtinId="24" customBuiltin="1"/>
    <cellStyle name="Linked Cell 2" xfId="71"/>
    <cellStyle name="Linked Cell 3" xfId="16"/>
    <cellStyle name="Neutral" xfId="124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1" builtinId="10" customBuiltin="1"/>
    <cellStyle name="Note 2" xfId="48"/>
    <cellStyle name="Note 3" xfId="74"/>
    <cellStyle name="Note 4" xfId="19"/>
    <cellStyle name="Output" xfId="126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Title" xfId="1" builtinId="15" customBuiltin="1"/>
    <cellStyle name="Total" xfId="133" builtinId="25" customBuiltin="1"/>
    <cellStyle name="Total 2" xfId="76"/>
    <cellStyle name="Total 3" xfId="21"/>
    <cellStyle name="Warning Text" xfId="130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Equity\1.District\3.%20Retention\retention%20base\base.retention%20-%20D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Equity\1.District\2.%20Course%20Completion%20(Success)\base.graded%20-%20D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>
            <v>0</v>
          </cell>
          <cell r="H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5440</v>
          </cell>
          <cell r="C6">
            <v>6210</v>
          </cell>
          <cell r="D6">
            <v>6525</v>
          </cell>
          <cell r="E6">
            <v>5369</v>
          </cell>
          <cell r="F6">
            <v>4725</v>
          </cell>
        </row>
        <row r="7">
          <cell r="A7" t="str">
            <v>Male</v>
          </cell>
          <cell r="B7">
            <v>2857</v>
          </cell>
          <cell r="C7">
            <v>3472</v>
          </cell>
          <cell r="D7">
            <v>3579</v>
          </cell>
          <cell r="E7">
            <v>3104</v>
          </cell>
          <cell r="F7">
            <v>2866</v>
          </cell>
        </row>
        <row r="8">
          <cell r="A8" t="str">
            <v>Unknown</v>
          </cell>
          <cell r="B8">
            <v>76</v>
          </cell>
          <cell r="C8">
            <v>143</v>
          </cell>
          <cell r="D8">
            <v>122</v>
          </cell>
          <cell r="E8">
            <v>90</v>
          </cell>
          <cell r="F8">
            <v>66</v>
          </cell>
        </row>
        <row r="9">
          <cell r="A9" t="str">
            <v>AY Average</v>
          </cell>
          <cell r="B9">
            <v>8373</v>
          </cell>
          <cell r="C9">
            <v>9825</v>
          </cell>
          <cell r="D9">
            <v>10226</v>
          </cell>
          <cell r="E9">
            <v>8563</v>
          </cell>
          <cell r="F9">
            <v>7657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3805</v>
          </cell>
          <cell r="C12">
            <v>4252</v>
          </cell>
          <cell r="D12">
            <v>4225</v>
          </cell>
          <cell r="E12">
            <v>3484</v>
          </cell>
          <cell r="F12">
            <v>2922</v>
          </cell>
        </row>
        <row r="13">
          <cell r="A13" t="str">
            <v>Hispanic</v>
          </cell>
          <cell r="B13">
            <v>2399</v>
          </cell>
          <cell r="C13">
            <v>2934</v>
          </cell>
          <cell r="D13">
            <v>3322</v>
          </cell>
          <cell r="E13">
            <v>2952</v>
          </cell>
          <cell r="F13">
            <v>3054</v>
          </cell>
        </row>
        <row r="14">
          <cell r="A14" t="str">
            <v>African American</v>
          </cell>
          <cell r="B14">
            <v>652</v>
          </cell>
          <cell r="C14">
            <v>839</v>
          </cell>
          <cell r="D14">
            <v>835</v>
          </cell>
          <cell r="E14">
            <v>622</v>
          </cell>
          <cell r="F14">
            <v>494</v>
          </cell>
        </row>
        <row r="15">
          <cell r="A15" t="str">
            <v>Asian</v>
          </cell>
          <cell r="B15">
            <v>219</v>
          </cell>
          <cell r="C15">
            <v>273</v>
          </cell>
          <cell r="D15">
            <v>250</v>
          </cell>
          <cell r="E15">
            <v>227</v>
          </cell>
          <cell r="F15">
            <v>174</v>
          </cell>
        </row>
        <row r="16">
          <cell r="A16" t="str">
            <v>Native American</v>
          </cell>
          <cell r="B16">
            <v>98</v>
          </cell>
          <cell r="C16">
            <v>134</v>
          </cell>
          <cell r="D16">
            <v>112</v>
          </cell>
          <cell r="E16">
            <v>88</v>
          </cell>
          <cell r="F16">
            <v>57</v>
          </cell>
        </row>
        <row r="17">
          <cell r="A17" t="str">
            <v>Filipino</v>
          </cell>
          <cell r="B17">
            <v>391</v>
          </cell>
          <cell r="C17">
            <v>421</v>
          </cell>
          <cell r="D17">
            <v>362</v>
          </cell>
          <cell r="E17">
            <v>311</v>
          </cell>
          <cell r="F17">
            <v>259</v>
          </cell>
        </row>
        <row r="18">
          <cell r="A18" t="str">
            <v>Pacific Islander</v>
          </cell>
          <cell r="B18">
            <v>58</v>
          </cell>
          <cell r="C18">
            <v>87</v>
          </cell>
          <cell r="D18">
            <v>76</v>
          </cell>
          <cell r="E18">
            <v>72</v>
          </cell>
          <cell r="F18">
            <v>52</v>
          </cell>
        </row>
        <row r="19">
          <cell r="A19" t="str">
            <v>Multi-Race</v>
          </cell>
          <cell r="B19">
            <v>91</v>
          </cell>
          <cell r="C19">
            <v>128</v>
          </cell>
          <cell r="D19">
            <v>233</v>
          </cell>
          <cell r="E19">
            <v>283</v>
          </cell>
          <cell r="F19">
            <v>387</v>
          </cell>
        </row>
        <row r="20">
          <cell r="A20" t="str">
            <v>Unknown</v>
          </cell>
          <cell r="B20">
            <v>648</v>
          </cell>
          <cell r="C20">
            <v>745</v>
          </cell>
          <cell r="D20">
            <v>778</v>
          </cell>
          <cell r="E20">
            <v>510</v>
          </cell>
          <cell r="F20">
            <v>240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236</v>
          </cell>
          <cell r="C23">
            <v>228</v>
          </cell>
          <cell r="D23">
            <v>141</v>
          </cell>
          <cell r="E23">
            <v>119</v>
          </cell>
          <cell r="F23">
            <v>96</v>
          </cell>
        </row>
        <row r="24">
          <cell r="A24" t="str">
            <v>18 &amp; 19</v>
          </cell>
          <cell r="B24">
            <v>3157</v>
          </cell>
          <cell r="C24">
            <v>3796</v>
          </cell>
          <cell r="D24">
            <v>3388</v>
          </cell>
          <cell r="E24">
            <v>2618</v>
          </cell>
          <cell r="F24">
            <v>2619</v>
          </cell>
        </row>
        <row r="25">
          <cell r="A25" t="str">
            <v>20 to 24</v>
          </cell>
          <cell r="B25">
            <v>2166</v>
          </cell>
          <cell r="C25">
            <v>2508</v>
          </cell>
          <cell r="D25">
            <v>2695</v>
          </cell>
          <cell r="E25">
            <v>2531</v>
          </cell>
          <cell r="F25">
            <v>2510</v>
          </cell>
        </row>
        <row r="26">
          <cell r="A26" t="str">
            <v>25 to 29</v>
          </cell>
          <cell r="B26">
            <v>767</v>
          </cell>
          <cell r="C26">
            <v>891</v>
          </cell>
          <cell r="D26">
            <v>1224</v>
          </cell>
          <cell r="E26">
            <v>1038</v>
          </cell>
          <cell r="F26">
            <v>778</v>
          </cell>
        </row>
        <row r="27">
          <cell r="A27" t="str">
            <v>30 to 34</v>
          </cell>
          <cell r="B27">
            <v>550</v>
          </cell>
          <cell r="C27">
            <v>669</v>
          </cell>
          <cell r="D27">
            <v>712</v>
          </cell>
          <cell r="E27">
            <v>654</v>
          </cell>
          <cell r="F27">
            <v>533</v>
          </cell>
        </row>
        <row r="28">
          <cell r="A28" t="str">
            <v>35 to 39</v>
          </cell>
          <cell r="B28">
            <v>507</v>
          </cell>
          <cell r="C28">
            <v>578</v>
          </cell>
          <cell r="D28">
            <v>618</v>
          </cell>
          <cell r="E28">
            <v>495</v>
          </cell>
          <cell r="F28">
            <v>333</v>
          </cell>
        </row>
        <row r="29">
          <cell r="A29" t="str">
            <v>40 to 49</v>
          </cell>
          <cell r="B29">
            <v>682</v>
          </cell>
          <cell r="C29">
            <v>795</v>
          </cell>
          <cell r="D29">
            <v>965</v>
          </cell>
          <cell r="E29">
            <v>729</v>
          </cell>
          <cell r="F29">
            <v>530</v>
          </cell>
        </row>
        <row r="30">
          <cell r="A30" t="str">
            <v>50 +</v>
          </cell>
          <cell r="B30">
            <v>307</v>
          </cell>
          <cell r="C30">
            <v>360</v>
          </cell>
          <cell r="D30">
            <v>482</v>
          </cell>
          <cell r="E30">
            <v>378</v>
          </cell>
          <cell r="F30">
            <v>256</v>
          </cell>
        </row>
        <row r="31">
          <cell r="A31" t="str">
            <v>Unknown</v>
          </cell>
          <cell r="B31">
            <v>0</v>
          </cell>
          <cell r="C31">
            <v>0</v>
          </cell>
          <cell r="D31">
            <v>1</v>
          </cell>
          <cell r="E31">
            <v>1</v>
          </cell>
          <cell r="F31">
            <v>2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age"/>
    </sheetNames>
    <sheetDataSet>
      <sheetData sheetId="0">
        <row r="1">
          <cell r="A1">
            <v>0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#2  Course Completion</v>
          </cell>
          <cell r="B3" t="str">
            <v>MSJC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A4">
            <v>0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</row>
        <row r="5">
          <cell r="A5" t="str">
            <v>Gender</v>
          </cell>
          <cell r="B5" t="str">
            <v>Seats</v>
          </cell>
          <cell r="C5" t="str">
            <v>Seats</v>
          </cell>
          <cell r="D5" t="str">
            <v>Seats</v>
          </cell>
          <cell r="E5" t="str">
            <v>Seats</v>
          </cell>
          <cell r="F5" t="str">
            <v>Seats</v>
          </cell>
        </row>
        <row r="6">
          <cell r="A6" t="str">
            <v>Female</v>
          </cell>
          <cell r="B6">
            <v>6615</v>
          </cell>
          <cell r="C6">
            <v>7434</v>
          </cell>
          <cell r="D6">
            <v>7810</v>
          </cell>
          <cell r="E6">
            <v>6367</v>
          </cell>
          <cell r="F6">
            <v>5677</v>
          </cell>
        </row>
        <row r="7">
          <cell r="A7" t="str">
            <v>Male</v>
          </cell>
          <cell r="B7">
            <v>3546</v>
          </cell>
          <cell r="C7">
            <v>4227</v>
          </cell>
          <cell r="D7">
            <v>4377</v>
          </cell>
          <cell r="E7">
            <v>3753</v>
          </cell>
          <cell r="F7">
            <v>3516</v>
          </cell>
        </row>
        <row r="8">
          <cell r="A8" t="str">
            <v>Unknown</v>
          </cell>
          <cell r="B8">
            <v>95</v>
          </cell>
          <cell r="C8">
            <v>161</v>
          </cell>
          <cell r="D8">
            <v>143</v>
          </cell>
          <cell r="E8">
            <v>107</v>
          </cell>
          <cell r="F8">
            <v>76</v>
          </cell>
        </row>
        <row r="9">
          <cell r="A9" t="str">
            <v>AY Average</v>
          </cell>
          <cell r="B9">
            <v>10256</v>
          </cell>
          <cell r="C9">
            <v>11822</v>
          </cell>
          <cell r="D9">
            <v>12330</v>
          </cell>
          <cell r="E9">
            <v>10227</v>
          </cell>
          <cell r="F9">
            <v>9269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 t="str">
            <v>Ethnicity</v>
          </cell>
          <cell r="B11" t="str">
            <v>Seats</v>
          </cell>
          <cell r="C11" t="str">
            <v>Seats</v>
          </cell>
          <cell r="D11" t="str">
            <v>Seats</v>
          </cell>
          <cell r="E11" t="str">
            <v>Seats</v>
          </cell>
          <cell r="F11" t="str">
            <v>Seats</v>
          </cell>
        </row>
        <row r="12">
          <cell r="A12" t="str">
            <v>White</v>
          </cell>
          <cell r="B12">
            <v>4673</v>
          </cell>
          <cell r="C12">
            <v>5058</v>
          </cell>
          <cell r="D12">
            <v>5055</v>
          </cell>
          <cell r="E12">
            <v>4123</v>
          </cell>
          <cell r="F12">
            <v>3489</v>
          </cell>
        </row>
        <row r="13">
          <cell r="A13" t="str">
            <v>Hispanic</v>
          </cell>
          <cell r="B13">
            <v>2965</v>
          </cell>
          <cell r="C13">
            <v>3593</v>
          </cell>
          <cell r="D13">
            <v>4024</v>
          </cell>
          <cell r="E13">
            <v>3554</v>
          </cell>
          <cell r="F13">
            <v>3704</v>
          </cell>
        </row>
        <row r="14">
          <cell r="A14" t="str">
            <v>African American</v>
          </cell>
          <cell r="B14">
            <v>823</v>
          </cell>
          <cell r="C14">
            <v>1051</v>
          </cell>
          <cell r="D14">
            <v>1070</v>
          </cell>
          <cell r="E14">
            <v>763</v>
          </cell>
          <cell r="F14">
            <v>631</v>
          </cell>
        </row>
        <row r="15">
          <cell r="A15" t="str">
            <v>Asian</v>
          </cell>
          <cell r="B15">
            <v>254</v>
          </cell>
          <cell r="C15">
            <v>305</v>
          </cell>
          <cell r="D15">
            <v>286</v>
          </cell>
          <cell r="E15">
            <v>259</v>
          </cell>
          <cell r="F15">
            <v>198</v>
          </cell>
        </row>
        <row r="16">
          <cell r="A16" t="str">
            <v>Native American</v>
          </cell>
          <cell r="B16">
            <v>132</v>
          </cell>
          <cell r="C16">
            <v>165</v>
          </cell>
          <cell r="D16">
            <v>137</v>
          </cell>
          <cell r="E16">
            <v>110</v>
          </cell>
          <cell r="F16">
            <v>73</v>
          </cell>
        </row>
        <row r="17">
          <cell r="A17" t="str">
            <v>Filipino</v>
          </cell>
          <cell r="B17">
            <v>441</v>
          </cell>
          <cell r="C17">
            <v>464</v>
          </cell>
          <cell r="D17">
            <v>430</v>
          </cell>
          <cell r="E17">
            <v>353</v>
          </cell>
          <cell r="F17">
            <v>302</v>
          </cell>
        </row>
        <row r="18">
          <cell r="A18" t="str">
            <v>Pacific Islander</v>
          </cell>
          <cell r="B18">
            <v>75</v>
          </cell>
          <cell r="C18">
            <v>103</v>
          </cell>
          <cell r="D18">
            <v>89</v>
          </cell>
          <cell r="E18">
            <v>84</v>
          </cell>
          <cell r="F18">
            <v>61</v>
          </cell>
        </row>
        <row r="19">
          <cell r="A19" t="str">
            <v>Multi-Race</v>
          </cell>
          <cell r="B19">
            <v>1290</v>
          </cell>
          <cell r="C19">
            <v>1412</v>
          </cell>
          <cell r="D19">
            <v>2479</v>
          </cell>
          <cell r="E19">
            <v>3350</v>
          </cell>
          <cell r="F19">
            <v>4122</v>
          </cell>
        </row>
        <row r="20">
          <cell r="A20" t="str">
            <v>Unknown</v>
          </cell>
          <cell r="B20">
            <v>756</v>
          </cell>
          <cell r="C20">
            <v>886</v>
          </cell>
          <cell r="D20">
            <v>918</v>
          </cell>
          <cell r="E20">
            <v>610</v>
          </cell>
          <cell r="F20">
            <v>313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A22" t="str">
            <v xml:space="preserve">Age </v>
          </cell>
          <cell r="B22" t="str">
            <v>Seats</v>
          </cell>
          <cell r="C22" t="str">
            <v>Seats</v>
          </cell>
          <cell r="D22" t="str">
            <v>Seats</v>
          </cell>
          <cell r="E22" t="str">
            <v>Seats</v>
          </cell>
          <cell r="F22" t="str">
            <v>Seats</v>
          </cell>
        </row>
        <row r="23">
          <cell r="A23" t="str">
            <v>&lt;18</v>
          </cell>
          <cell r="B23">
            <v>267</v>
          </cell>
          <cell r="C23">
            <v>264</v>
          </cell>
          <cell r="D23">
            <v>169</v>
          </cell>
          <cell r="E23">
            <v>128</v>
          </cell>
          <cell r="F23">
            <v>107</v>
          </cell>
        </row>
        <row r="24">
          <cell r="A24" t="str">
            <v>18 &amp; 19</v>
          </cell>
          <cell r="B24">
            <v>3870</v>
          </cell>
          <cell r="C24">
            <v>4552</v>
          </cell>
          <cell r="D24">
            <v>4024</v>
          </cell>
          <cell r="E24">
            <v>3089</v>
          </cell>
          <cell r="F24">
            <v>3038</v>
          </cell>
        </row>
        <row r="25">
          <cell r="A25" t="str">
            <v>20 to 24</v>
          </cell>
          <cell r="B25">
            <v>2701</v>
          </cell>
          <cell r="C25">
            <v>3112</v>
          </cell>
          <cell r="D25">
            <v>3354</v>
          </cell>
          <cell r="E25">
            <v>3104</v>
          </cell>
          <cell r="F25">
            <v>3102</v>
          </cell>
        </row>
        <row r="26">
          <cell r="A26" t="str">
            <v>25 to 29</v>
          </cell>
          <cell r="B26">
            <v>969</v>
          </cell>
          <cell r="C26">
            <v>1088</v>
          </cell>
          <cell r="D26">
            <v>1455</v>
          </cell>
          <cell r="E26">
            <v>1237</v>
          </cell>
          <cell r="F26">
            <v>988</v>
          </cell>
        </row>
        <row r="27">
          <cell r="A27" t="str">
            <v>30 to 34</v>
          </cell>
          <cell r="B27">
            <v>656</v>
          </cell>
          <cell r="C27">
            <v>779</v>
          </cell>
          <cell r="D27">
            <v>858</v>
          </cell>
          <cell r="E27">
            <v>784</v>
          </cell>
          <cell r="F27">
            <v>662</v>
          </cell>
        </row>
        <row r="28">
          <cell r="A28" t="str">
            <v>35 to 39</v>
          </cell>
          <cell r="B28">
            <v>622</v>
          </cell>
          <cell r="C28">
            <v>682</v>
          </cell>
          <cell r="D28">
            <v>748</v>
          </cell>
          <cell r="E28">
            <v>584</v>
          </cell>
          <cell r="F28">
            <v>416</v>
          </cell>
        </row>
        <row r="29">
          <cell r="A29" t="str">
            <v>40 to 49</v>
          </cell>
          <cell r="B29">
            <v>803</v>
          </cell>
          <cell r="C29">
            <v>930</v>
          </cell>
          <cell r="D29">
            <v>1162</v>
          </cell>
          <cell r="E29">
            <v>865</v>
          </cell>
          <cell r="F29">
            <v>642</v>
          </cell>
        </row>
        <row r="30">
          <cell r="A30" t="str">
            <v>50 +</v>
          </cell>
          <cell r="B30">
            <v>368</v>
          </cell>
          <cell r="C30">
            <v>415</v>
          </cell>
          <cell r="D30">
            <v>559</v>
          </cell>
          <cell r="E30">
            <v>435</v>
          </cell>
          <cell r="F30">
            <v>312</v>
          </cell>
        </row>
        <row r="31">
          <cell r="A31" t="str">
            <v>Unknown</v>
          </cell>
          <cell r="B31">
            <v>0</v>
          </cell>
          <cell r="C31">
            <v>0</v>
          </cell>
          <cell r="D31">
            <v>1</v>
          </cell>
          <cell r="E31">
            <v>1</v>
          </cell>
          <cell r="F31">
            <v>2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0</v>
          </cell>
          <cell r="B33" t="str">
            <v>Seats</v>
          </cell>
          <cell r="C33" t="str">
            <v>Seats</v>
          </cell>
          <cell r="D33" t="str">
            <v>Seats</v>
          </cell>
          <cell r="E33" t="str">
            <v>Seats</v>
          </cell>
          <cell r="F33" t="str">
            <v>Seats</v>
          </cell>
        </row>
        <row r="34">
          <cell r="A34" t="str">
            <v>DSPS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J7" sqref="J7"/>
    </sheetView>
  </sheetViews>
  <sheetFormatPr defaultRowHeight="15" x14ac:dyDescent="0.25"/>
  <cols>
    <col min="1" max="1" width="16.28515625" bestFit="1" customWidth="1"/>
    <col min="2" max="8" width="13.7109375" bestFit="1" customWidth="1"/>
  </cols>
  <sheetData>
    <row r="1" spans="1:8" s="1" customFormat="1" x14ac:dyDescent="0.25">
      <c r="A1" s="30" t="s">
        <v>31</v>
      </c>
      <c r="B1" s="32" t="s">
        <v>29</v>
      </c>
      <c r="C1" s="33"/>
      <c r="D1" s="33"/>
      <c r="E1" s="33"/>
      <c r="F1" s="33"/>
      <c r="G1" s="33"/>
    </row>
    <row r="2" spans="1:8" ht="15" customHeight="1" thickBot="1" x14ac:dyDescent="0.3">
      <c r="A2" s="31"/>
      <c r="B2" s="27" t="s">
        <v>24</v>
      </c>
      <c r="C2" s="27" t="s">
        <v>25</v>
      </c>
      <c r="D2" s="27" t="s">
        <v>26</v>
      </c>
      <c r="E2" s="27" t="s">
        <v>27</v>
      </c>
      <c r="F2" s="27" t="s">
        <v>28</v>
      </c>
      <c r="G2" s="27" t="s">
        <v>32</v>
      </c>
      <c r="H2" s="27" t="s">
        <v>33</v>
      </c>
    </row>
    <row r="3" spans="1:8" ht="15.75" hidden="1" customHeight="1" thickBot="1" x14ac:dyDescent="0.3">
      <c r="A3" s="26"/>
      <c r="B3" s="23">
        <v>2007</v>
      </c>
      <c r="C3" s="24">
        <f>B3+1</f>
        <v>2008</v>
      </c>
      <c r="D3" s="24">
        <f t="shared" ref="D3:F3" si="0">C3+1</f>
        <v>2009</v>
      </c>
      <c r="E3" s="24">
        <f t="shared" si="0"/>
        <v>2010</v>
      </c>
      <c r="F3" s="24">
        <f t="shared" si="0"/>
        <v>2011</v>
      </c>
      <c r="G3" s="24"/>
      <c r="H3" s="24"/>
    </row>
    <row r="4" spans="1:8" ht="15.75" thickBot="1" x14ac:dyDescent="0.3">
      <c r="A4" s="3" t="s">
        <v>0</v>
      </c>
      <c r="B4" s="29" t="s">
        <v>22</v>
      </c>
      <c r="C4" s="29" t="s">
        <v>22</v>
      </c>
      <c r="D4" s="29" t="s">
        <v>22</v>
      </c>
      <c r="E4" s="29" t="s">
        <v>22</v>
      </c>
      <c r="F4" s="29" t="s">
        <v>22</v>
      </c>
      <c r="G4" s="29" t="s">
        <v>22</v>
      </c>
      <c r="H4" s="29" t="s">
        <v>22</v>
      </c>
    </row>
    <row r="5" spans="1:8" ht="15.75" thickBot="1" x14ac:dyDescent="0.3">
      <c r="A5" s="16" t="s">
        <v>1</v>
      </c>
      <c r="B5" s="25">
        <f>(VLOOKUP($A5,[1]Sheet1!$A:$F,HLOOKUP(B$3,[1]Sheet1!$1:$2,2,FALSE),FALSE))/(VLOOKUP($A5,[2]Sheet1!$A:$F,HLOOKUP(B$3,[2]Sheet1!$1:$2,2,FALSE),FALSE))</f>
        <v>0.82237339380196528</v>
      </c>
      <c r="C5" s="25">
        <f>(VLOOKUP($A5,[1]Sheet1!$A:$F,HLOOKUP(C$3,[1]Sheet1!$1:$2,2,FALSE),FALSE))/(VLOOKUP($A5,[2]Sheet1!$A:$F,HLOOKUP(C$3,[2]Sheet1!$1:$2,2,FALSE),FALSE))</f>
        <v>0.83535108958837767</v>
      </c>
      <c r="D5" s="25">
        <f>(VLOOKUP($A5,[1]Sheet1!$A:$F,HLOOKUP(D$3,[1]Sheet1!$1:$2,2,FALSE),FALSE))/(VLOOKUP($A5,[2]Sheet1!$A:$F,HLOOKUP(D$3,[2]Sheet1!$1:$2,2,FALSE),FALSE))</f>
        <v>0.83546734955185664</v>
      </c>
      <c r="E5" s="25">
        <f>(VLOOKUP($A5,[1]Sheet1!$A:$F,HLOOKUP(E$3,[1]Sheet1!$1:$2,2,FALSE),FALSE))/(VLOOKUP($A5,[2]Sheet1!$A:$F,HLOOKUP(E$3,[2]Sheet1!$1:$2,2,FALSE),FALSE))</f>
        <v>0.84325427988063451</v>
      </c>
      <c r="F5" s="25">
        <f>(VLOOKUP($A5,[1]Sheet1!$A:$F,HLOOKUP(F$3,[1]Sheet1!$1:$2,2,FALSE),FALSE))/(VLOOKUP($A5,[2]Sheet1!$A:$F,HLOOKUP(F$3,[2]Sheet1!$1:$2,2,FALSE),FALSE))</f>
        <v>0.83230579531442661</v>
      </c>
      <c r="G5" s="25">
        <v>0.8256</v>
      </c>
      <c r="H5" s="25">
        <v>0.835443037974684</v>
      </c>
    </row>
    <row r="6" spans="1:8" ht="15.75" thickBot="1" x14ac:dyDescent="0.3">
      <c r="A6" s="17" t="s">
        <v>2</v>
      </c>
      <c r="B6" s="25">
        <f>(VLOOKUP($A6,[1]Sheet1!$A:$F,HLOOKUP(B$3,[1]Sheet1!$1:$2,2,FALSE),FALSE))/(VLOOKUP($A6,[2]Sheet1!$A:$F,HLOOKUP(B$3,[2]Sheet1!$1:$2,2,FALSE),FALSE))</f>
        <v>0.80569655950366614</v>
      </c>
      <c r="C6" s="25">
        <f>(VLOOKUP($A6,[1]Sheet1!$A:$F,HLOOKUP(C$3,[1]Sheet1!$1:$2,2,FALSE),FALSE))/(VLOOKUP($A6,[2]Sheet1!$A:$F,HLOOKUP(C$3,[2]Sheet1!$1:$2,2,FALSE),FALSE))</f>
        <v>0.82138632599952688</v>
      </c>
      <c r="D6" s="25">
        <f>(VLOOKUP($A6,[1]Sheet1!$A:$F,HLOOKUP(D$3,[1]Sheet1!$1:$2,2,FALSE),FALSE))/(VLOOKUP($A6,[2]Sheet1!$A:$F,HLOOKUP(D$3,[2]Sheet1!$1:$2,2,FALSE),FALSE))</f>
        <v>0.8176833447566827</v>
      </c>
      <c r="E6" s="25">
        <f>(VLOOKUP($A6,[1]Sheet1!$A:$F,HLOOKUP(E$3,[1]Sheet1!$1:$2,2,FALSE),FALSE))/(VLOOKUP($A6,[2]Sheet1!$A:$F,HLOOKUP(E$3,[2]Sheet1!$1:$2,2,FALSE),FALSE))</f>
        <v>0.82707167599253928</v>
      </c>
      <c r="F6" s="25">
        <f>(VLOOKUP($A6,[1]Sheet1!$A:$F,HLOOKUP(F$3,[1]Sheet1!$1:$2,2,FALSE),FALSE))/(VLOOKUP($A6,[2]Sheet1!$A:$F,HLOOKUP(F$3,[2]Sheet1!$1:$2,2,FALSE),FALSE))</f>
        <v>0.81513083048919222</v>
      </c>
      <c r="G6" s="25">
        <v>0.80810000000000004</v>
      </c>
      <c r="H6" s="25">
        <v>0.82187802516940955</v>
      </c>
    </row>
    <row r="7" spans="1:8" ht="15.75" thickBot="1" x14ac:dyDescent="0.3">
      <c r="A7" s="22" t="s">
        <v>3</v>
      </c>
      <c r="B7" s="25">
        <f>(VLOOKUP($A7,[1]Sheet1!$A:$F,HLOOKUP(B$3,[1]Sheet1!$1:$2,2,FALSE),FALSE))/(VLOOKUP($A7,[2]Sheet1!$A:$F,HLOOKUP(B$3,[2]Sheet1!$1:$2,2,FALSE),FALSE))</f>
        <v>0.8</v>
      </c>
      <c r="C7" s="25">
        <f>(VLOOKUP($A7,[1]Sheet1!$A:$F,HLOOKUP(C$3,[1]Sheet1!$1:$2,2,FALSE),FALSE))/(VLOOKUP($A7,[2]Sheet1!$A:$F,HLOOKUP(C$3,[2]Sheet1!$1:$2,2,FALSE),FALSE))</f>
        <v>0.88819875776397517</v>
      </c>
      <c r="D7" s="25">
        <f>(VLOOKUP($A7,[1]Sheet1!$A:$F,HLOOKUP(D$3,[1]Sheet1!$1:$2,2,FALSE),FALSE))/(VLOOKUP($A7,[2]Sheet1!$A:$F,HLOOKUP(D$3,[2]Sheet1!$1:$2,2,FALSE),FALSE))</f>
        <v>0.85314685314685312</v>
      </c>
      <c r="E7" s="25">
        <f>(VLOOKUP($A7,[1]Sheet1!$A:$F,HLOOKUP(E$3,[1]Sheet1!$1:$2,2,FALSE),FALSE))/(VLOOKUP($A7,[2]Sheet1!$A:$F,HLOOKUP(E$3,[2]Sheet1!$1:$2,2,FALSE),FALSE))</f>
        <v>0.84112149532710279</v>
      </c>
      <c r="F7" s="25">
        <f>(VLOOKUP($A7,[1]Sheet1!$A:$F,HLOOKUP(F$3,[1]Sheet1!$1:$2,2,FALSE),FALSE))/(VLOOKUP($A7,[2]Sheet1!$A:$F,HLOOKUP(F$3,[2]Sheet1!$1:$2,2,FALSE),FALSE))</f>
        <v>0.86842105263157898</v>
      </c>
      <c r="G7" s="25">
        <v>0.85709999999999997</v>
      </c>
      <c r="H7" s="25">
        <v>0.89743589743589747</v>
      </c>
    </row>
    <row r="8" spans="1:8" ht="16.5" thickTop="1" thickBot="1" x14ac:dyDescent="0.3">
      <c r="A8" s="21" t="s">
        <v>21</v>
      </c>
      <c r="B8" s="25">
        <f>(VLOOKUP($A8,[1]Sheet1!$A:$F,HLOOKUP(B$3,[1]Sheet1!$1:$2,2,FALSE),FALSE))/(VLOOKUP($A8,[2]Sheet1!$A:$F,HLOOKUP(B$3,[2]Sheet1!$1:$2,2,FALSE),FALSE))</f>
        <v>0.81640015600624027</v>
      </c>
      <c r="C8" s="25">
        <f>(VLOOKUP($A8,[1]Sheet1!$A:$F,HLOOKUP(C$3,[1]Sheet1!$1:$2,2,FALSE),FALSE))/(VLOOKUP($A8,[2]Sheet1!$A:$F,HLOOKUP(C$3,[2]Sheet1!$1:$2,2,FALSE),FALSE))</f>
        <v>0.83107765183556082</v>
      </c>
      <c r="D8" s="25">
        <f>(VLOOKUP($A8,[1]Sheet1!$A:$F,HLOOKUP(D$3,[1]Sheet1!$1:$2,2,FALSE),FALSE))/(VLOOKUP($A8,[2]Sheet1!$A:$F,HLOOKUP(D$3,[2]Sheet1!$1:$2,2,FALSE),FALSE))</f>
        <v>0.8293592862935929</v>
      </c>
      <c r="E8" s="25">
        <f>(VLOOKUP($A8,[1]Sheet1!$A:$F,HLOOKUP(E$3,[1]Sheet1!$1:$2,2,FALSE),FALSE))/(VLOOKUP($A8,[2]Sheet1!$A:$F,HLOOKUP(E$3,[2]Sheet1!$1:$2,2,FALSE),FALSE))</f>
        <v>0.83729343893614938</v>
      </c>
      <c r="F8" s="25">
        <f>(VLOOKUP($A8,[1]Sheet1!$A:$F,HLOOKUP(F$3,[1]Sheet1!$1:$2,2,FALSE),FALSE))/(VLOOKUP($A8,[2]Sheet1!$A:$F,HLOOKUP(F$3,[2]Sheet1!$1:$2,2,FALSE),FALSE))</f>
        <v>0.82608695652173914</v>
      </c>
      <c r="G8" s="25">
        <v>0.81879999999999997</v>
      </c>
      <c r="H8" s="25">
        <v>0.83026874115983029</v>
      </c>
    </row>
    <row r="9" spans="1:8" ht="15.75" thickBot="1" x14ac:dyDescent="0.3">
      <c r="A9" s="4"/>
      <c r="B9" s="11"/>
      <c r="C9" s="11"/>
      <c r="D9" s="11"/>
      <c r="E9" s="11"/>
      <c r="F9" s="11"/>
      <c r="G9" s="11"/>
      <c r="H9" s="11"/>
    </row>
    <row r="10" spans="1:8" ht="15.75" thickBot="1" x14ac:dyDescent="0.3">
      <c r="A10" s="5" t="s">
        <v>4</v>
      </c>
      <c r="B10" s="12" t="s">
        <v>22</v>
      </c>
      <c r="C10" s="12" t="s">
        <v>22</v>
      </c>
      <c r="D10" s="12" t="s">
        <v>22</v>
      </c>
      <c r="E10" s="12" t="s">
        <v>22</v>
      </c>
      <c r="F10" s="12" t="s">
        <v>22</v>
      </c>
      <c r="G10" s="29" t="s">
        <v>22</v>
      </c>
      <c r="H10" s="29" t="s">
        <v>22</v>
      </c>
    </row>
    <row r="11" spans="1:8" ht="15.75" thickBot="1" x14ac:dyDescent="0.3">
      <c r="A11" s="18" t="s">
        <v>5</v>
      </c>
      <c r="B11" s="25">
        <f>(VLOOKUP($A11,[1]Sheet1!$A:$F,HLOOKUP(B$3,[1]Sheet1!$1:$2,2,FALSE),FALSE))/(VLOOKUP($A11,[2]Sheet1!$A:$F,HLOOKUP(B$3,[2]Sheet1!$1:$2,2,FALSE),FALSE))</f>
        <v>0.81425208645409797</v>
      </c>
      <c r="C11" s="25">
        <f>(VLOOKUP($A11,[1]Sheet1!$A:$F,HLOOKUP(C$3,[1]Sheet1!$1:$2,2,FALSE),FALSE))/(VLOOKUP($A11,[2]Sheet1!$A:$F,HLOOKUP(C$3,[2]Sheet1!$1:$2,2,FALSE),FALSE))</f>
        <v>0.84064847765915385</v>
      </c>
      <c r="D11" s="25">
        <f>(VLOOKUP($A11,[1]Sheet1!$A:$F,HLOOKUP(D$3,[1]Sheet1!$1:$2,2,FALSE),FALSE))/(VLOOKUP($A11,[2]Sheet1!$A:$F,HLOOKUP(D$3,[2]Sheet1!$1:$2,2,FALSE),FALSE))</f>
        <v>0.83580613254203762</v>
      </c>
      <c r="E11" s="25">
        <f>(VLOOKUP($A11,[1]Sheet1!$A:$F,HLOOKUP(E$3,[1]Sheet1!$1:$2,2,FALSE),FALSE))/(VLOOKUP($A11,[2]Sheet1!$A:$F,HLOOKUP(E$3,[2]Sheet1!$1:$2,2,FALSE),FALSE))</f>
        <v>0.84501576521950039</v>
      </c>
      <c r="F11" s="25">
        <f>(VLOOKUP($A11,[1]Sheet1!$A:$F,HLOOKUP(F$3,[1]Sheet1!$1:$2,2,FALSE),FALSE))/(VLOOKUP($A11,[2]Sheet1!$A:$F,HLOOKUP(F$3,[2]Sheet1!$1:$2,2,FALSE),FALSE))</f>
        <v>0.83748925193465173</v>
      </c>
      <c r="G11" s="25">
        <v>0.8196</v>
      </c>
      <c r="H11" s="25">
        <v>0.82431118314424634</v>
      </c>
    </row>
    <row r="12" spans="1:8" ht="15.75" thickBot="1" x14ac:dyDescent="0.3">
      <c r="A12" s="19" t="s">
        <v>6</v>
      </c>
      <c r="B12" s="25">
        <f>(VLOOKUP($A12,[1]Sheet1!$A:$F,HLOOKUP(B$3,[1]Sheet1!$1:$2,2,FALSE),FALSE))/(VLOOKUP($A12,[2]Sheet1!$A:$F,HLOOKUP(B$3,[2]Sheet1!$1:$2,2,FALSE),FALSE))</f>
        <v>0.80910623946037097</v>
      </c>
      <c r="C12" s="25">
        <f>(VLOOKUP($A12,[1]Sheet1!$A:$F,HLOOKUP(C$3,[1]Sheet1!$1:$2,2,FALSE),FALSE))/(VLOOKUP($A12,[2]Sheet1!$A:$F,HLOOKUP(C$3,[2]Sheet1!$1:$2,2,FALSE),FALSE))</f>
        <v>0.81658780962983579</v>
      </c>
      <c r="D12" s="25">
        <f>(VLOOKUP($A12,[1]Sheet1!$A:$F,HLOOKUP(D$3,[1]Sheet1!$1:$2,2,FALSE),FALSE))/(VLOOKUP($A12,[2]Sheet1!$A:$F,HLOOKUP(D$3,[2]Sheet1!$1:$2,2,FALSE),FALSE))</f>
        <v>0.82554671968190851</v>
      </c>
      <c r="E12" s="25">
        <f>(VLOOKUP($A12,[1]Sheet1!$A:$F,HLOOKUP(E$3,[1]Sheet1!$1:$2,2,FALSE),FALSE))/(VLOOKUP($A12,[2]Sheet1!$A:$F,HLOOKUP(E$3,[2]Sheet1!$1:$2,2,FALSE),FALSE))</f>
        <v>0.83061339335959483</v>
      </c>
      <c r="F12" s="25">
        <f>(VLOOKUP($A12,[1]Sheet1!$A:$F,HLOOKUP(F$3,[1]Sheet1!$1:$2,2,FALSE),FALSE))/(VLOOKUP($A12,[2]Sheet1!$A:$F,HLOOKUP(F$3,[2]Sheet1!$1:$2,2,FALSE),FALSE))</f>
        <v>0.8245140388768899</v>
      </c>
      <c r="G12" s="25">
        <v>0.82140000000000002</v>
      </c>
      <c r="H12" s="25">
        <v>0.82757899142079938</v>
      </c>
    </row>
    <row r="13" spans="1:8" ht="15.75" thickBot="1" x14ac:dyDescent="0.3">
      <c r="A13" s="19" t="s">
        <v>7</v>
      </c>
      <c r="B13" s="25">
        <f>(VLOOKUP($A13,[1]Sheet1!$A:$F,HLOOKUP(B$3,[1]Sheet1!$1:$2,2,FALSE),FALSE))/(VLOOKUP($A13,[2]Sheet1!$A:$F,HLOOKUP(B$3,[2]Sheet1!$1:$2,2,FALSE),FALSE))</f>
        <v>0.79222357229647633</v>
      </c>
      <c r="C13" s="25">
        <f>(VLOOKUP($A13,[1]Sheet1!$A:$F,HLOOKUP(C$3,[1]Sheet1!$1:$2,2,FALSE),FALSE))/(VLOOKUP($A13,[2]Sheet1!$A:$F,HLOOKUP(C$3,[2]Sheet1!$1:$2,2,FALSE),FALSE))</f>
        <v>0.79828734538534729</v>
      </c>
      <c r="D13" s="25">
        <f>(VLOOKUP($A13,[1]Sheet1!$A:$F,HLOOKUP(D$3,[1]Sheet1!$1:$2,2,FALSE),FALSE))/(VLOOKUP($A13,[2]Sheet1!$A:$F,HLOOKUP(D$3,[2]Sheet1!$1:$2,2,FALSE),FALSE))</f>
        <v>0.78037383177570097</v>
      </c>
      <c r="E13" s="25">
        <f>(VLOOKUP($A13,[1]Sheet1!$A:$F,HLOOKUP(E$3,[1]Sheet1!$1:$2,2,FALSE),FALSE))/(VLOOKUP($A13,[2]Sheet1!$A:$F,HLOOKUP(E$3,[2]Sheet1!$1:$2,2,FALSE),FALSE))</f>
        <v>0.8152031454783748</v>
      </c>
      <c r="F13" s="25">
        <f>(VLOOKUP($A13,[1]Sheet1!$A:$F,HLOOKUP(F$3,[1]Sheet1!$1:$2,2,FALSE),FALSE))/(VLOOKUP($A13,[2]Sheet1!$A:$F,HLOOKUP(F$3,[2]Sheet1!$1:$2,2,FALSE),FALSE))</f>
        <v>0.78288431061806651</v>
      </c>
      <c r="G13" s="25">
        <v>0.78100000000000003</v>
      </c>
      <c r="H13" s="25">
        <v>0.82913907284768218</v>
      </c>
    </row>
    <row r="14" spans="1:8" ht="15.75" thickBot="1" x14ac:dyDescent="0.3">
      <c r="A14" s="19" t="s">
        <v>8</v>
      </c>
      <c r="B14" s="25">
        <f>(VLOOKUP($A14,[1]Sheet1!$A:$F,HLOOKUP(B$3,[1]Sheet1!$1:$2,2,FALSE),FALSE))/(VLOOKUP($A14,[2]Sheet1!$A:$F,HLOOKUP(B$3,[2]Sheet1!$1:$2,2,FALSE),FALSE))</f>
        <v>0.86220472440944884</v>
      </c>
      <c r="C14" s="25">
        <f>(VLOOKUP($A14,[1]Sheet1!$A:$F,HLOOKUP(C$3,[1]Sheet1!$1:$2,2,FALSE),FALSE))/(VLOOKUP($A14,[2]Sheet1!$A:$F,HLOOKUP(C$3,[2]Sheet1!$1:$2,2,FALSE),FALSE))</f>
        <v>0.89508196721311473</v>
      </c>
      <c r="D14" s="25">
        <f>(VLOOKUP($A14,[1]Sheet1!$A:$F,HLOOKUP(D$3,[1]Sheet1!$1:$2,2,FALSE),FALSE))/(VLOOKUP($A14,[2]Sheet1!$A:$F,HLOOKUP(D$3,[2]Sheet1!$1:$2,2,FALSE),FALSE))</f>
        <v>0.87412587412587417</v>
      </c>
      <c r="E14" s="25">
        <f>(VLOOKUP($A14,[1]Sheet1!$A:$F,HLOOKUP(E$3,[1]Sheet1!$1:$2,2,FALSE),FALSE))/(VLOOKUP($A14,[2]Sheet1!$A:$F,HLOOKUP(E$3,[2]Sheet1!$1:$2,2,FALSE),FALSE))</f>
        <v>0.87644787644787647</v>
      </c>
      <c r="F14" s="25">
        <f>(VLOOKUP($A14,[1]Sheet1!$A:$F,HLOOKUP(F$3,[1]Sheet1!$1:$2,2,FALSE),FALSE))/(VLOOKUP($A14,[2]Sheet1!$A:$F,HLOOKUP(F$3,[2]Sheet1!$1:$2,2,FALSE),FALSE))</f>
        <v>0.87878787878787878</v>
      </c>
      <c r="G14" s="25">
        <v>0.91879999999999995</v>
      </c>
      <c r="H14" s="25">
        <v>0.92682926829268297</v>
      </c>
    </row>
    <row r="15" spans="1:8" ht="15.75" thickBot="1" x14ac:dyDescent="0.3">
      <c r="A15" s="19" t="s">
        <v>9</v>
      </c>
      <c r="B15" s="25">
        <f>(VLOOKUP($A15,[1]Sheet1!$A:$F,HLOOKUP(B$3,[1]Sheet1!$1:$2,2,FALSE),FALSE))/(VLOOKUP($A15,[2]Sheet1!$A:$F,HLOOKUP(B$3,[2]Sheet1!$1:$2,2,FALSE),FALSE))</f>
        <v>0.74242424242424243</v>
      </c>
      <c r="C15" s="25">
        <f>(VLOOKUP($A15,[1]Sheet1!$A:$F,HLOOKUP(C$3,[1]Sheet1!$1:$2,2,FALSE),FALSE))/(VLOOKUP($A15,[2]Sheet1!$A:$F,HLOOKUP(C$3,[2]Sheet1!$1:$2,2,FALSE),FALSE))</f>
        <v>0.81212121212121213</v>
      </c>
      <c r="D15" s="25">
        <f>(VLOOKUP($A15,[1]Sheet1!$A:$F,HLOOKUP(D$3,[1]Sheet1!$1:$2,2,FALSE),FALSE))/(VLOOKUP($A15,[2]Sheet1!$A:$F,HLOOKUP(D$3,[2]Sheet1!$1:$2,2,FALSE),FALSE))</f>
        <v>0.81751824817518248</v>
      </c>
      <c r="E15" s="25">
        <f>(VLOOKUP($A15,[1]Sheet1!$A:$F,HLOOKUP(E$3,[1]Sheet1!$1:$2,2,FALSE),FALSE))/(VLOOKUP($A15,[2]Sheet1!$A:$F,HLOOKUP(E$3,[2]Sheet1!$1:$2,2,FALSE),FALSE))</f>
        <v>0.8</v>
      </c>
      <c r="F15" s="25">
        <f>(VLOOKUP($A15,[1]Sheet1!$A:$F,HLOOKUP(F$3,[1]Sheet1!$1:$2,2,FALSE),FALSE))/(VLOOKUP($A15,[2]Sheet1!$A:$F,HLOOKUP(F$3,[2]Sheet1!$1:$2,2,FALSE),FALSE))</f>
        <v>0.78082191780821919</v>
      </c>
      <c r="G15" s="25">
        <v>0.63160000000000005</v>
      </c>
      <c r="H15" s="25">
        <v>0.8085106382978724</v>
      </c>
    </row>
    <row r="16" spans="1:8" ht="15.75" thickBot="1" x14ac:dyDescent="0.3">
      <c r="A16" s="19" t="s">
        <v>10</v>
      </c>
      <c r="B16" s="25">
        <f>(VLOOKUP($A16,[1]Sheet1!$A:$F,HLOOKUP(B$3,[1]Sheet1!$1:$2,2,FALSE),FALSE))/(VLOOKUP($A16,[2]Sheet1!$A:$F,HLOOKUP(B$3,[2]Sheet1!$1:$2,2,FALSE),FALSE))</f>
        <v>0.88662131519274379</v>
      </c>
      <c r="C16" s="25">
        <f>(VLOOKUP($A16,[1]Sheet1!$A:$F,HLOOKUP(C$3,[1]Sheet1!$1:$2,2,FALSE),FALSE))/(VLOOKUP($A16,[2]Sheet1!$A:$F,HLOOKUP(C$3,[2]Sheet1!$1:$2,2,FALSE),FALSE))</f>
        <v>0.90732758620689657</v>
      </c>
      <c r="D16" s="25">
        <f>(VLOOKUP($A16,[1]Sheet1!$A:$F,HLOOKUP(D$3,[1]Sheet1!$1:$2,2,FALSE),FALSE))/(VLOOKUP($A16,[2]Sheet1!$A:$F,HLOOKUP(D$3,[2]Sheet1!$1:$2,2,FALSE),FALSE))</f>
        <v>0.8418604651162791</v>
      </c>
      <c r="E16" s="25">
        <f>(VLOOKUP($A16,[1]Sheet1!$A:$F,HLOOKUP(E$3,[1]Sheet1!$1:$2,2,FALSE),FALSE))/(VLOOKUP($A16,[2]Sheet1!$A:$F,HLOOKUP(E$3,[2]Sheet1!$1:$2,2,FALSE),FALSE))</f>
        <v>0.88101983002832862</v>
      </c>
      <c r="F16" s="25">
        <f>(VLOOKUP($A16,[1]Sheet1!$A:$F,HLOOKUP(F$3,[1]Sheet1!$1:$2,2,FALSE),FALSE))/(VLOOKUP($A16,[2]Sheet1!$A:$F,HLOOKUP(F$3,[2]Sheet1!$1:$2,2,FALSE),FALSE))</f>
        <v>0.85761589403973515</v>
      </c>
      <c r="G16" s="25">
        <v>0.8407</v>
      </c>
      <c r="H16" s="25">
        <v>0.8848920863309353</v>
      </c>
    </row>
    <row r="17" spans="1:8" ht="15.75" thickBot="1" x14ac:dyDescent="0.3">
      <c r="A17" s="19" t="s">
        <v>11</v>
      </c>
      <c r="B17" s="25">
        <f>(VLOOKUP($A17,[1]Sheet1!$A:$F,HLOOKUP(B$3,[1]Sheet1!$1:$2,2,FALSE),FALSE))/(VLOOKUP($A17,[2]Sheet1!$A:$F,HLOOKUP(B$3,[2]Sheet1!$1:$2,2,FALSE),FALSE))</f>
        <v>0.77333333333333332</v>
      </c>
      <c r="C17" s="25">
        <f>(VLOOKUP($A17,[1]Sheet1!$A:$F,HLOOKUP(C$3,[1]Sheet1!$1:$2,2,FALSE),FALSE))/(VLOOKUP($A17,[2]Sheet1!$A:$F,HLOOKUP(C$3,[2]Sheet1!$1:$2,2,FALSE),FALSE))</f>
        <v>0.84466019417475724</v>
      </c>
      <c r="D17" s="25">
        <f>(VLOOKUP($A17,[1]Sheet1!$A:$F,HLOOKUP(D$3,[1]Sheet1!$1:$2,2,FALSE),FALSE))/(VLOOKUP($A17,[2]Sheet1!$A:$F,HLOOKUP(D$3,[2]Sheet1!$1:$2,2,FALSE),FALSE))</f>
        <v>0.8539325842696629</v>
      </c>
      <c r="E17" s="25">
        <f>(VLOOKUP($A17,[1]Sheet1!$A:$F,HLOOKUP(E$3,[1]Sheet1!$1:$2,2,FALSE),FALSE))/(VLOOKUP($A17,[2]Sheet1!$A:$F,HLOOKUP(E$3,[2]Sheet1!$1:$2,2,FALSE),FALSE))</f>
        <v>0.8571428571428571</v>
      </c>
      <c r="F17" s="25">
        <f>(VLOOKUP($A17,[1]Sheet1!$A:$F,HLOOKUP(F$3,[1]Sheet1!$1:$2,2,FALSE),FALSE))/(VLOOKUP($A17,[2]Sheet1!$A:$F,HLOOKUP(F$3,[2]Sheet1!$1:$2,2,FALSE),FALSE))</f>
        <v>0.85245901639344257</v>
      </c>
      <c r="G17" s="25">
        <v>0.8</v>
      </c>
      <c r="H17" s="25">
        <v>0.76</v>
      </c>
    </row>
    <row r="18" spans="1:8" ht="15.75" thickBot="1" x14ac:dyDescent="0.3">
      <c r="A18" s="19" t="s">
        <v>12</v>
      </c>
      <c r="B18" s="25">
        <f>(VLOOKUP($A18,[1]Sheet1!$A:$F,HLOOKUP(B$3,[1]Sheet1!$1:$2,2,FALSE),FALSE))/(VLOOKUP($A18,[2]Sheet1!$A:$F,HLOOKUP(B$3,[2]Sheet1!$1:$2,2,FALSE),FALSE))</f>
        <v>7.0542635658914735E-2</v>
      </c>
      <c r="C18" s="25">
        <f>(VLOOKUP($A18,[1]Sheet1!$A:$F,HLOOKUP(C$3,[1]Sheet1!$1:$2,2,FALSE),FALSE))/(VLOOKUP($A18,[2]Sheet1!$A:$F,HLOOKUP(C$3,[2]Sheet1!$1:$2,2,FALSE),FALSE))</f>
        <v>9.0651558073654395E-2</v>
      </c>
      <c r="D18" s="25">
        <f>(VLOOKUP($A18,[1]Sheet1!$A:$F,HLOOKUP(D$3,[1]Sheet1!$1:$2,2,FALSE),FALSE))/(VLOOKUP($A18,[2]Sheet1!$A:$F,HLOOKUP(D$3,[2]Sheet1!$1:$2,2,FALSE),FALSE))</f>
        <v>9.398951189995966E-2</v>
      </c>
      <c r="E18" s="25">
        <f>(VLOOKUP($A18,[1]Sheet1!$A:$F,HLOOKUP(E$3,[1]Sheet1!$1:$2,2,FALSE),FALSE))/(VLOOKUP($A18,[2]Sheet1!$A:$F,HLOOKUP(E$3,[2]Sheet1!$1:$2,2,FALSE),FALSE))</f>
        <v>8.4477611940298514E-2</v>
      </c>
      <c r="F18" s="25">
        <f>(VLOOKUP($A18,[1]Sheet1!$A:$F,HLOOKUP(F$3,[1]Sheet1!$1:$2,2,FALSE),FALSE))/(VLOOKUP($A18,[2]Sheet1!$A:$F,HLOOKUP(F$3,[2]Sheet1!$1:$2,2,FALSE),FALSE))</f>
        <v>9.3886462882096067E-2</v>
      </c>
      <c r="G18" s="25">
        <v>0.81320000000000003</v>
      </c>
      <c r="H18" s="25">
        <v>0.82888540031397173</v>
      </c>
    </row>
    <row r="19" spans="1:8" ht="15.75" thickBot="1" x14ac:dyDescent="0.3">
      <c r="A19" s="20" t="s">
        <v>3</v>
      </c>
      <c r="B19" s="25">
        <f>(VLOOKUP($A19,[1]Sheet1!$A:$F,HLOOKUP(B$3,[1]Sheet1!$1:$2,2,FALSE),FALSE))/(VLOOKUP($A19,[2]Sheet1!$A:$F,HLOOKUP(B$3,[2]Sheet1!$1:$2,2,FALSE),FALSE))</f>
        <v>0.8</v>
      </c>
      <c r="C19" s="25">
        <f>(VLOOKUP($A19,[1]Sheet1!$A:$F,HLOOKUP(C$3,[1]Sheet1!$1:$2,2,FALSE),FALSE))/(VLOOKUP($A19,[2]Sheet1!$A:$F,HLOOKUP(C$3,[2]Sheet1!$1:$2,2,FALSE),FALSE))</f>
        <v>0.88819875776397517</v>
      </c>
      <c r="D19" s="25">
        <f>(VLOOKUP($A19,[1]Sheet1!$A:$F,HLOOKUP(D$3,[1]Sheet1!$1:$2,2,FALSE),FALSE))/(VLOOKUP($A19,[2]Sheet1!$A:$F,HLOOKUP(D$3,[2]Sheet1!$1:$2,2,FALSE),FALSE))</f>
        <v>0.85314685314685312</v>
      </c>
      <c r="E19" s="25">
        <f>(VLOOKUP($A19,[1]Sheet1!$A:$F,HLOOKUP(E$3,[1]Sheet1!$1:$2,2,FALSE),FALSE))/(VLOOKUP($A19,[2]Sheet1!$A:$F,HLOOKUP(E$3,[2]Sheet1!$1:$2,2,FALSE),FALSE))</f>
        <v>0.84112149532710279</v>
      </c>
      <c r="F19" s="25">
        <f>(VLOOKUP($A19,[1]Sheet1!$A:$F,HLOOKUP(F$3,[1]Sheet1!$1:$2,2,FALSE),FALSE))/(VLOOKUP($A19,[2]Sheet1!$A:$F,HLOOKUP(F$3,[2]Sheet1!$1:$2,2,FALSE),FALSE))</f>
        <v>0.86842105263157898</v>
      </c>
      <c r="G19" s="25">
        <v>0.8</v>
      </c>
      <c r="H19" s="25">
        <v>0.89320388349514568</v>
      </c>
    </row>
    <row r="20" spans="1:8" ht="15.75" thickBot="1" x14ac:dyDescent="0.3">
      <c r="A20" s="2"/>
      <c r="B20" s="13"/>
      <c r="C20" s="13"/>
      <c r="D20" s="13"/>
      <c r="E20" s="15"/>
      <c r="F20" s="13"/>
      <c r="G20" s="27"/>
      <c r="H20" s="34"/>
    </row>
    <row r="21" spans="1:8" ht="15.75" thickBot="1" x14ac:dyDescent="0.3">
      <c r="A21" s="10" t="s">
        <v>13</v>
      </c>
      <c r="B21" s="12" t="s">
        <v>22</v>
      </c>
      <c r="C21" s="12" t="s">
        <v>22</v>
      </c>
      <c r="D21" s="12" t="s">
        <v>22</v>
      </c>
      <c r="E21" s="12" t="s">
        <v>22</v>
      </c>
      <c r="F21" s="12" t="s">
        <v>22</v>
      </c>
      <c r="G21" s="29" t="s">
        <v>22</v>
      </c>
      <c r="H21" s="29" t="s">
        <v>22</v>
      </c>
    </row>
    <row r="22" spans="1:8" ht="15.75" thickBot="1" x14ac:dyDescent="0.3">
      <c r="A22" s="9" t="s">
        <v>14</v>
      </c>
      <c r="B22" s="25">
        <f>(VLOOKUP($A22,[1]Sheet1!$A:$F,HLOOKUP(B$3,[1]Sheet1!$1:$2,2,FALSE),FALSE))/(VLOOKUP($A22,[2]Sheet1!$A:$F,HLOOKUP(B$3,[2]Sheet1!$1:$2,2,FALSE),FALSE))</f>
        <v>0.88389513108614237</v>
      </c>
      <c r="C22" s="25">
        <f>(VLOOKUP($A22,[1]Sheet1!$A:$F,HLOOKUP(C$3,[1]Sheet1!$1:$2,2,FALSE),FALSE))/(VLOOKUP($A22,[2]Sheet1!$A:$F,HLOOKUP(C$3,[2]Sheet1!$1:$2,2,FALSE),FALSE))</f>
        <v>0.86363636363636365</v>
      </c>
      <c r="D22" s="25">
        <f>(VLOOKUP($A22,[1]Sheet1!$A:$F,HLOOKUP(D$3,[1]Sheet1!$1:$2,2,FALSE),FALSE))/(VLOOKUP($A22,[2]Sheet1!$A:$F,HLOOKUP(D$3,[2]Sheet1!$1:$2,2,FALSE),FALSE))</f>
        <v>0.83431952662721898</v>
      </c>
      <c r="E22" s="25">
        <f>(VLOOKUP($A22,[1]Sheet1!$A:$F,HLOOKUP(E$3,[1]Sheet1!$1:$2,2,FALSE),FALSE))/(VLOOKUP($A22,[2]Sheet1!$A:$F,HLOOKUP(E$3,[2]Sheet1!$1:$2,2,FALSE),FALSE))</f>
        <v>0.9296875</v>
      </c>
      <c r="F22" s="25">
        <f>(VLOOKUP($A22,[1]Sheet1!$A:$F,HLOOKUP(F$3,[1]Sheet1!$1:$2,2,FALSE),FALSE))/(VLOOKUP($A22,[2]Sheet1!$A:$F,HLOOKUP(F$3,[2]Sheet1!$1:$2,2,FALSE),FALSE))</f>
        <v>0.89719626168224298</v>
      </c>
      <c r="G22" s="25">
        <v>0.875</v>
      </c>
      <c r="H22" s="25">
        <v>0.88888888888888884</v>
      </c>
    </row>
    <row r="23" spans="1:8" ht="15.75" thickBot="1" x14ac:dyDescent="0.3">
      <c r="A23" s="7" t="s">
        <v>15</v>
      </c>
      <c r="B23" s="25">
        <f>(VLOOKUP($A23,[1]Sheet1!$A:$F,HLOOKUP(B$3,[1]Sheet1!$1:$2,2,FALSE),FALSE))/(VLOOKUP($A23,[2]Sheet1!$A:$F,HLOOKUP(B$3,[2]Sheet1!$1:$2,2,FALSE),FALSE))</f>
        <v>0.81576227390180878</v>
      </c>
      <c r="C23" s="25">
        <f>(VLOOKUP($A23,[1]Sheet1!$A:$F,HLOOKUP(C$3,[1]Sheet1!$1:$2,2,FALSE),FALSE))/(VLOOKUP($A23,[2]Sheet1!$A:$F,HLOOKUP(C$3,[2]Sheet1!$1:$2,2,FALSE),FALSE))</f>
        <v>0.83391915641476277</v>
      </c>
      <c r="D23" s="25">
        <f>(VLOOKUP($A23,[1]Sheet1!$A:$F,HLOOKUP(D$3,[1]Sheet1!$1:$2,2,FALSE),FALSE))/(VLOOKUP($A23,[2]Sheet1!$A:$F,HLOOKUP(D$3,[2]Sheet1!$1:$2,2,FALSE),FALSE))</f>
        <v>0.84194831013916505</v>
      </c>
      <c r="E23" s="25">
        <f>(VLOOKUP($A23,[1]Sheet1!$A:$F,HLOOKUP(E$3,[1]Sheet1!$1:$2,2,FALSE),FALSE))/(VLOOKUP($A23,[2]Sheet1!$A:$F,HLOOKUP(E$3,[2]Sheet1!$1:$2,2,FALSE),FALSE))</f>
        <v>0.8475234703787633</v>
      </c>
      <c r="F23" s="25">
        <f>(VLOOKUP($A23,[1]Sheet1!$A:$F,HLOOKUP(F$3,[1]Sheet1!$1:$2,2,FALSE),FALSE))/(VLOOKUP($A23,[2]Sheet1!$A:$F,HLOOKUP(F$3,[2]Sheet1!$1:$2,2,FALSE),FALSE))</f>
        <v>0.86208031599736668</v>
      </c>
      <c r="G23" s="25">
        <v>0.85250000000000004</v>
      </c>
      <c r="H23" s="25">
        <v>0.86132423984086381</v>
      </c>
    </row>
    <row r="24" spans="1:8" ht="15.75" thickBot="1" x14ac:dyDescent="0.3">
      <c r="A24" s="8" t="s">
        <v>16</v>
      </c>
      <c r="B24" s="25">
        <f>(VLOOKUP($A24,[1]Sheet1!$A:$F,HLOOKUP(B$3,[1]Sheet1!$1:$2,2,FALSE),FALSE))/(VLOOKUP($A24,[2]Sheet1!$A:$F,HLOOKUP(B$3,[2]Sheet1!$1:$2,2,FALSE),FALSE))</f>
        <v>0.801925212884117</v>
      </c>
      <c r="C24" s="25">
        <f>(VLOOKUP($A24,[1]Sheet1!$A:$F,HLOOKUP(C$3,[1]Sheet1!$1:$2,2,FALSE),FALSE))/(VLOOKUP($A24,[2]Sheet1!$A:$F,HLOOKUP(C$3,[2]Sheet1!$1:$2,2,FALSE),FALSE))</f>
        <v>0.8059125964010283</v>
      </c>
      <c r="D24" s="25">
        <f>(VLOOKUP($A24,[1]Sheet1!$A:$F,HLOOKUP(D$3,[1]Sheet1!$1:$2,2,FALSE),FALSE))/(VLOOKUP($A24,[2]Sheet1!$A:$F,HLOOKUP(D$3,[2]Sheet1!$1:$2,2,FALSE),FALSE))</f>
        <v>0.8035181872391175</v>
      </c>
      <c r="E24" s="25">
        <f>(VLOOKUP($A24,[1]Sheet1!$A:$F,HLOOKUP(E$3,[1]Sheet1!$1:$2,2,FALSE),FALSE))/(VLOOKUP($A24,[2]Sheet1!$A:$F,HLOOKUP(E$3,[2]Sheet1!$1:$2,2,FALSE),FALSE))</f>
        <v>0.81539948453608246</v>
      </c>
      <c r="F24" s="25">
        <f>(VLOOKUP($A24,[1]Sheet1!$A:$F,HLOOKUP(F$3,[1]Sheet1!$1:$2,2,FALSE),FALSE))/(VLOOKUP($A24,[2]Sheet1!$A:$F,HLOOKUP(F$3,[2]Sheet1!$1:$2,2,FALSE),FALSE))</f>
        <v>0.80915538362346873</v>
      </c>
      <c r="G24" s="25">
        <v>0.8</v>
      </c>
      <c r="H24" s="25">
        <v>0.81204819277108431</v>
      </c>
    </row>
    <row r="25" spans="1:8" ht="15.75" thickBot="1" x14ac:dyDescent="0.3">
      <c r="A25" s="8" t="s">
        <v>17</v>
      </c>
      <c r="B25" s="25">
        <f>(VLOOKUP($A25,[1]Sheet1!$A:$F,HLOOKUP(B$3,[1]Sheet1!$1:$2,2,FALSE),FALSE))/(VLOOKUP($A25,[2]Sheet1!$A:$F,HLOOKUP(B$3,[2]Sheet1!$1:$2,2,FALSE),FALSE))</f>
        <v>0.79153766769865841</v>
      </c>
      <c r="C25" s="25">
        <f>(VLOOKUP($A25,[1]Sheet1!$A:$F,HLOOKUP(C$3,[1]Sheet1!$1:$2,2,FALSE),FALSE))/(VLOOKUP($A25,[2]Sheet1!$A:$F,HLOOKUP(C$3,[2]Sheet1!$1:$2,2,FALSE),FALSE))</f>
        <v>0.8189338235294118</v>
      </c>
      <c r="D25" s="25">
        <f>(VLOOKUP($A25,[1]Sheet1!$A:$F,HLOOKUP(D$3,[1]Sheet1!$1:$2,2,FALSE),FALSE))/(VLOOKUP($A25,[2]Sheet1!$A:$F,HLOOKUP(D$3,[2]Sheet1!$1:$2,2,FALSE),FALSE))</f>
        <v>0.84123711340206186</v>
      </c>
      <c r="E25" s="25">
        <f>(VLOOKUP($A25,[1]Sheet1!$A:$F,HLOOKUP(E$3,[1]Sheet1!$1:$2,2,FALSE),FALSE))/(VLOOKUP($A25,[2]Sheet1!$A:$F,HLOOKUP(E$3,[2]Sheet1!$1:$2,2,FALSE),FALSE))</f>
        <v>0.83912691996766375</v>
      </c>
      <c r="F25" s="25">
        <f>(VLOOKUP($A25,[1]Sheet1!$A:$F,HLOOKUP(F$3,[1]Sheet1!$1:$2,2,FALSE),FALSE))/(VLOOKUP($A25,[2]Sheet1!$A:$F,HLOOKUP(F$3,[2]Sheet1!$1:$2,2,FALSE),FALSE))</f>
        <v>0.78744939271255066</v>
      </c>
      <c r="G25" s="25">
        <v>0.82140000000000002</v>
      </c>
      <c r="H25" s="25">
        <v>0.82587548638132291</v>
      </c>
    </row>
    <row r="26" spans="1:8" ht="15.75" thickBot="1" x14ac:dyDescent="0.3">
      <c r="A26" s="8" t="s">
        <v>18</v>
      </c>
      <c r="B26" s="25">
        <f>(VLOOKUP($A26,[1]Sheet1!$A:$F,HLOOKUP(B$3,[1]Sheet1!$1:$2,2,FALSE),FALSE))/(VLOOKUP($A26,[2]Sheet1!$A:$F,HLOOKUP(B$3,[2]Sheet1!$1:$2,2,FALSE),FALSE))</f>
        <v>0.83841463414634143</v>
      </c>
      <c r="C26" s="25">
        <f>(VLOOKUP($A26,[1]Sheet1!$A:$F,HLOOKUP(C$3,[1]Sheet1!$1:$2,2,FALSE),FALSE))/(VLOOKUP($A26,[2]Sheet1!$A:$F,HLOOKUP(C$3,[2]Sheet1!$1:$2,2,FALSE),FALSE))</f>
        <v>0.85879332477535297</v>
      </c>
      <c r="D26" s="25">
        <f>(VLOOKUP($A26,[1]Sheet1!$A:$F,HLOOKUP(D$3,[1]Sheet1!$1:$2,2,FALSE),FALSE))/(VLOOKUP($A26,[2]Sheet1!$A:$F,HLOOKUP(D$3,[2]Sheet1!$1:$2,2,FALSE),FALSE))</f>
        <v>0.82983682983682983</v>
      </c>
      <c r="E26" s="25">
        <f>(VLOOKUP($A26,[1]Sheet1!$A:$F,HLOOKUP(E$3,[1]Sheet1!$1:$2,2,FALSE),FALSE))/(VLOOKUP($A26,[2]Sheet1!$A:$F,HLOOKUP(E$3,[2]Sheet1!$1:$2,2,FALSE),FALSE))</f>
        <v>0.83418367346938771</v>
      </c>
      <c r="F26" s="25">
        <f>(VLOOKUP($A26,[1]Sheet1!$A:$F,HLOOKUP(F$3,[1]Sheet1!$1:$2,2,FALSE),FALSE))/(VLOOKUP($A26,[2]Sheet1!$A:$F,HLOOKUP(F$3,[2]Sheet1!$1:$2,2,FALSE),FALSE))</f>
        <v>0.80513595166163143</v>
      </c>
      <c r="G26" s="25">
        <v>0.79759999999999998</v>
      </c>
      <c r="H26" s="25">
        <v>0.80623973727422005</v>
      </c>
    </row>
    <row r="27" spans="1:8" ht="15.75" thickBot="1" x14ac:dyDescent="0.3">
      <c r="A27" s="8" t="s">
        <v>19</v>
      </c>
      <c r="B27" s="25">
        <f>(VLOOKUP($A27,[1]Sheet1!$A:$F,HLOOKUP(B$3,[1]Sheet1!$1:$2,2,FALSE),FALSE))/(VLOOKUP($A27,[2]Sheet1!$A:$F,HLOOKUP(B$3,[2]Sheet1!$1:$2,2,FALSE),FALSE))</f>
        <v>0.81511254019292601</v>
      </c>
      <c r="C27" s="25">
        <f>(VLOOKUP($A27,[1]Sheet1!$A:$F,HLOOKUP(C$3,[1]Sheet1!$1:$2,2,FALSE),FALSE))/(VLOOKUP($A27,[2]Sheet1!$A:$F,HLOOKUP(C$3,[2]Sheet1!$1:$2,2,FALSE),FALSE))</f>
        <v>0.84750733137829914</v>
      </c>
      <c r="D27" s="25">
        <f>(VLOOKUP($A27,[1]Sheet1!$A:$F,HLOOKUP(D$3,[1]Sheet1!$1:$2,2,FALSE),FALSE))/(VLOOKUP($A27,[2]Sheet1!$A:$F,HLOOKUP(D$3,[2]Sheet1!$1:$2,2,FALSE),FALSE))</f>
        <v>0.8262032085561497</v>
      </c>
      <c r="E27" s="25">
        <f>(VLOOKUP($A27,[1]Sheet1!$A:$F,HLOOKUP(E$3,[1]Sheet1!$1:$2,2,FALSE),FALSE))/(VLOOKUP($A27,[2]Sheet1!$A:$F,HLOOKUP(E$3,[2]Sheet1!$1:$2,2,FALSE),FALSE))</f>
        <v>0.8476027397260274</v>
      </c>
      <c r="F27" s="25">
        <f>(VLOOKUP($A27,[1]Sheet1!$A:$F,HLOOKUP(F$3,[1]Sheet1!$1:$2,2,FALSE),FALSE))/(VLOOKUP($A27,[2]Sheet1!$A:$F,HLOOKUP(F$3,[2]Sheet1!$1:$2,2,FALSE),FALSE))</f>
        <v>0.80048076923076927</v>
      </c>
      <c r="G27" s="25">
        <v>0.8206</v>
      </c>
      <c r="H27" s="25">
        <v>0.80965909090909094</v>
      </c>
    </row>
    <row r="28" spans="1:8" ht="15.75" thickBot="1" x14ac:dyDescent="0.3">
      <c r="A28" s="6" t="s">
        <v>20</v>
      </c>
      <c r="B28" s="25">
        <f>(VLOOKUP($A28,[1]Sheet1!$A:$F,HLOOKUP(B$3,[1]Sheet1!$1:$2,2,FALSE),FALSE))/(VLOOKUP($A28,[2]Sheet1!$A:$F,HLOOKUP(B$3,[2]Sheet1!$1:$2,2,FALSE),FALSE))</f>
        <v>0.84931506849315064</v>
      </c>
      <c r="C28" s="25">
        <f>(VLOOKUP($A28,[1]Sheet1!$A:$F,HLOOKUP(C$3,[1]Sheet1!$1:$2,2,FALSE),FALSE))/(VLOOKUP($A28,[2]Sheet1!$A:$F,HLOOKUP(C$3,[2]Sheet1!$1:$2,2,FALSE),FALSE))</f>
        <v>0.85483870967741937</v>
      </c>
      <c r="D28" s="25">
        <f>(VLOOKUP($A28,[1]Sheet1!$A:$F,HLOOKUP(D$3,[1]Sheet1!$1:$2,2,FALSE),FALSE))/(VLOOKUP($A28,[2]Sheet1!$A:$F,HLOOKUP(D$3,[2]Sheet1!$1:$2,2,FALSE),FALSE))</f>
        <v>0.83046471600688465</v>
      </c>
      <c r="E28" s="25">
        <f>(VLOOKUP($A28,[1]Sheet1!$A:$F,HLOOKUP(E$3,[1]Sheet1!$1:$2,2,FALSE),FALSE))/(VLOOKUP($A28,[2]Sheet1!$A:$F,HLOOKUP(E$3,[2]Sheet1!$1:$2,2,FALSE),FALSE))</f>
        <v>0.84277456647398841</v>
      </c>
      <c r="F28" s="25">
        <f>(VLOOKUP($A28,[1]Sheet1!$A:$F,HLOOKUP(F$3,[1]Sheet1!$1:$2,2,FALSE),FALSE))/(VLOOKUP($A28,[2]Sheet1!$A:$F,HLOOKUP(F$3,[2]Sheet1!$1:$2,2,FALSE),FALSE))</f>
        <v>0.82554517133956384</v>
      </c>
      <c r="G28" s="25">
        <v>0.8276</v>
      </c>
      <c r="H28" s="25">
        <v>0.79041916167664672</v>
      </c>
    </row>
    <row r="29" spans="1:8" ht="15.75" thickBot="1" x14ac:dyDescent="0.3">
      <c r="A29" s="6" t="s">
        <v>23</v>
      </c>
      <c r="B29" s="25">
        <f>(VLOOKUP($A29,[1]Sheet1!$A:$F,HLOOKUP(B$3,[1]Sheet1!$1:$2,2,FALSE),FALSE))/(VLOOKUP($A29,[2]Sheet1!$A:$F,HLOOKUP(B$3,[2]Sheet1!$1:$2,2,FALSE),FALSE))</f>
        <v>0.83423913043478259</v>
      </c>
      <c r="C29" s="25">
        <f>(VLOOKUP($A29,[1]Sheet1!$A:$F,HLOOKUP(C$3,[1]Sheet1!$1:$2,2,FALSE),FALSE))/(VLOOKUP($A29,[2]Sheet1!$A:$F,HLOOKUP(C$3,[2]Sheet1!$1:$2,2,FALSE),FALSE))</f>
        <v>0.86746987951807231</v>
      </c>
      <c r="D29" s="25">
        <f>(VLOOKUP($A29,[1]Sheet1!$A:$F,HLOOKUP(D$3,[1]Sheet1!$1:$2,2,FALSE),FALSE))/(VLOOKUP($A29,[2]Sheet1!$A:$F,HLOOKUP(D$3,[2]Sheet1!$1:$2,2,FALSE),FALSE))</f>
        <v>0.86225402504472271</v>
      </c>
      <c r="E29" s="25">
        <f>(VLOOKUP($A29,[1]Sheet1!$A:$F,HLOOKUP(E$3,[1]Sheet1!$1:$2,2,FALSE),FALSE))/(VLOOKUP($A29,[2]Sheet1!$A:$F,HLOOKUP(E$3,[2]Sheet1!$1:$2,2,FALSE),FALSE))</f>
        <v>0.86896551724137927</v>
      </c>
      <c r="F29" s="25">
        <f>(VLOOKUP($A29,[1]Sheet1!$A:$F,HLOOKUP(F$3,[1]Sheet1!$1:$2,2,FALSE),FALSE))/(VLOOKUP($A29,[2]Sheet1!$A:$F,HLOOKUP(F$3,[2]Sheet1!$1:$2,2,FALSE),FALSE))</f>
        <v>0.82051282051282048</v>
      </c>
      <c r="G29" s="25">
        <v>0.81789999999999996</v>
      </c>
      <c r="H29" s="25">
        <v>0.76156583629893237</v>
      </c>
    </row>
    <row r="30" spans="1:8" ht="15.75" thickBot="1" x14ac:dyDescent="0.3">
      <c r="A30" s="20" t="s">
        <v>3</v>
      </c>
      <c r="B30" s="25">
        <f>(VLOOKUP($A30,[1]Sheet1!$A:$F,HLOOKUP(B$3,[1]Sheet1!$1:$2,2,FALSE),FALSE))/(VLOOKUP($A30,[2]Sheet1!$A:$F,HLOOKUP(B$3,[2]Sheet1!$1:$2,2,FALSE),FALSE))</f>
        <v>0.8</v>
      </c>
      <c r="C30" s="25">
        <f>(VLOOKUP($A30,[1]Sheet1!$A:$F,HLOOKUP(C$3,[1]Sheet1!$1:$2,2,FALSE),FALSE))/(VLOOKUP($A30,[2]Sheet1!$A:$F,HLOOKUP(C$3,[2]Sheet1!$1:$2,2,FALSE),FALSE))</f>
        <v>0.88819875776397517</v>
      </c>
      <c r="D30" s="25">
        <f>(VLOOKUP($A30,[1]Sheet1!$A:$F,HLOOKUP(D$3,[1]Sheet1!$1:$2,2,FALSE),FALSE))/(VLOOKUP($A30,[2]Sheet1!$A:$F,HLOOKUP(D$3,[2]Sheet1!$1:$2,2,FALSE),FALSE))</f>
        <v>0.85314685314685312</v>
      </c>
      <c r="E30" s="25">
        <f>(VLOOKUP($A30,[1]Sheet1!$A:$F,HLOOKUP(E$3,[1]Sheet1!$1:$2,2,FALSE),FALSE))/(VLOOKUP($A30,[2]Sheet1!$A:$F,HLOOKUP(E$3,[2]Sheet1!$1:$2,2,FALSE),FALSE))</f>
        <v>0.84112149532710279</v>
      </c>
      <c r="F30" s="25">
        <f>(VLOOKUP($A30,[1]Sheet1!$A:$F,HLOOKUP(F$3,[1]Sheet1!$1:$2,2,FALSE),FALSE))/(VLOOKUP($A30,[2]Sheet1!$A:$F,HLOOKUP(F$3,[2]Sheet1!$1:$2,2,FALSE),FALSE))</f>
        <v>0.86842105263157898</v>
      </c>
      <c r="G30" s="25">
        <v>1</v>
      </c>
      <c r="H30" s="25"/>
    </row>
    <row r="31" spans="1:8" x14ac:dyDescent="0.25">
      <c r="A31" s="2"/>
      <c r="B31" s="14"/>
      <c r="C31" s="14"/>
      <c r="D31" s="14"/>
      <c r="E31" s="14"/>
      <c r="F31" s="14"/>
    </row>
    <row r="32" spans="1:8" x14ac:dyDescent="0.25">
      <c r="A32" s="28" t="s">
        <v>30</v>
      </c>
      <c r="B32" s="13"/>
      <c r="C32" s="13"/>
      <c r="D32" s="13"/>
      <c r="E32" s="13"/>
      <c r="F32" s="13"/>
    </row>
    <row r="33" spans="1:6" x14ac:dyDescent="0.25">
      <c r="A33" s="1"/>
      <c r="B33" s="13"/>
      <c r="C33" s="13"/>
      <c r="D33" s="13"/>
      <c r="E33" s="13"/>
      <c r="F33" s="13"/>
    </row>
  </sheetData>
  <mergeCells count="2">
    <mergeCell ref="A1:A2"/>
    <mergeCell ref="B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25BB3E-C483-416D-991F-430A1C2B16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965BFA-7FA3-4EDE-BDE5-356DB07A0626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B07DE9E-02EF-4C18-A10E-23887457BC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equity retention DEV</dc:title>
  <dc:creator>nmesaris</dc:creator>
  <cp:lastModifiedBy>Wesley Klein</cp:lastModifiedBy>
  <dcterms:created xsi:type="dcterms:W3CDTF">2012-06-05T22:10:59Z</dcterms:created>
  <dcterms:modified xsi:type="dcterms:W3CDTF">2014-07-23T20:35:09Z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