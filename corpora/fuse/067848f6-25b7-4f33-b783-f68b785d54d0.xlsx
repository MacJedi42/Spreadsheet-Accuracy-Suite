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80" yWindow="120" windowWidth="10965" windowHeight="6180"/>
  </bookViews>
  <sheets>
    <sheet name="Calculator" sheetId="1" r:id="rId1"/>
    <sheet name="Sheet2" sheetId="2" r:id="rId2"/>
  </sheets>
  <definedNames>
    <definedName name="ACYR">Sheet2!$C$1:$C$31</definedName>
    <definedName name="FY">Sheet2!$A$1:$D$31</definedName>
    <definedName name="fyend">Sheet2!$B$1:$B$31</definedName>
    <definedName name="fyst">Sheet2!$A$1:$A$31</definedName>
  </definedNames>
  <calcPr calcId="145621"/>
</workbook>
</file>

<file path=xl/calcChain.xml><?xml version="1.0" encoding="utf-8"?>
<calcChain xmlns="http://schemas.openxmlformats.org/spreadsheetml/2006/main">
  <c r="C24" i="1" l="1"/>
  <c r="E24" i="1"/>
  <c r="C11" i="1"/>
  <c r="E25" i="1" s="1"/>
  <c r="E26" i="1" s="1"/>
  <c r="E27" i="1" s="1"/>
  <c r="E28" i="1" s="1"/>
  <c r="E29" i="1" s="1"/>
  <c r="E30" i="1" s="1"/>
  <c r="E31" i="1" s="1"/>
  <c r="C16" i="1"/>
  <c r="C10" i="1"/>
  <c r="C13" i="1" l="1"/>
  <c r="C25" i="1"/>
  <c r="C26" i="1"/>
  <c r="C27" i="1" s="1"/>
  <c r="C28" i="1" s="1"/>
  <c r="C29" i="1" s="1"/>
  <c r="C30" i="1" l="1"/>
  <c r="C31" i="1" s="1"/>
  <c r="C14" i="1"/>
  <c r="C15" i="1" l="1"/>
</calcChain>
</file>

<file path=xl/sharedStrings.xml><?xml version="1.0" encoding="utf-8"?>
<sst xmlns="http://schemas.openxmlformats.org/spreadsheetml/2006/main" count="65" uniqueCount="58">
  <si>
    <t>TENURE PROBATION PERIOD CALCULATOR</t>
  </si>
  <si>
    <t>Enter start date:</t>
  </si>
  <si>
    <t>FY_ST</t>
  </si>
  <si>
    <t>FY_END</t>
  </si>
  <si>
    <t>AC_YEAR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</si>
  <si>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</si>
  <si>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</si>
  <si>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</si>
  <si>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</si>
  <si>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</si>
  <si>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</si>
  <si>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</si>
  <si>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</si>
  <si>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</si>
  <si>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</si>
  <si>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</si>
  <si>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</si>
  <si>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</si>
  <si>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</si>
  <si>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</si>
  <si>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</si>
  <si>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2025 - 2026</t>
  </si>
  <si>
    <t>2026 - 2027</t>
  </si>
  <si>
    <t>2027 - 2028</t>
  </si>
  <si>
    <t>2028 - 2029</t>
  </si>
  <si>
    <t>2029 - 2030</t>
  </si>
  <si>
    <t>2030 - 2031</t>
  </si>
  <si>
    <t>2031 - 2032</t>
  </si>
  <si>
    <t>2032 - 2033</t>
  </si>
  <si>
    <t>2033 - 2034</t>
  </si>
  <si>
    <t>Was a Mid-Year Extension approved?</t>
  </si>
  <si>
    <t>Years toward tenure granted upon hire:</t>
  </si>
  <si>
    <t>2008-2009</t>
  </si>
  <si>
    <t>2007-2008</t>
  </si>
  <si>
    <t>2006-2007</t>
  </si>
  <si>
    <t>2005-2006</t>
  </si>
  <si>
    <t>2004-2005</t>
  </si>
  <si>
    <t>CALCULATION: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</si>
  <si>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</si>
  <si>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</si>
  <si>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</si>
  <si>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</si>
  <si>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</si>
  <si>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</si>
  <si>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</si>
  <si>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</si>
  <si>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TENURE STATUS DATE</t>
  </si>
  <si>
    <t>Enter data in these three fields:</t>
  </si>
  <si>
    <t>No</t>
  </si>
  <si>
    <t>*  HR - Print and retain copy of this calculation with offer letter</t>
  </si>
  <si>
    <t>Timeline:</t>
  </si>
  <si>
    <t>Calculation:</t>
  </si>
  <si>
    <t>Third year review</t>
  </si>
  <si>
    <t>Tenure package submittal</t>
  </si>
  <si>
    <t>Tenure case consideration year</t>
  </si>
  <si>
    <t>Tenure probation end date</t>
  </si>
  <si>
    <t>-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</si>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</sst>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i/>
      <sz val="11"/>
      <color theme="3" tint="0.3999755851924192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4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2" borderId="0" xfId="0" quotePrefix="1" applyFont="1" applyFill="1" applyAlignment="1">
      <alignment horizontal="right"/>
    </xf>
    <xf numFmtId="14" fontId="0" fillId="2" borderId="9" xfId="0" applyNumberFormat="1" applyFill="1" applyBorder="1"/>
    <xf numFmtId="1" fontId="0" fillId="2" borderId="9" xfId="0" applyNumberFormat="1" applyFill="1" applyBorder="1"/>
    <xf numFmtId="0" fontId="0" fillId="2" borderId="9" xfId="0" applyFill="1" applyBorder="1" applyAlignment="1">
      <alignment horizontal="right"/>
    </xf>
    <xf numFmtId="0" fontId="0" fillId="2" borderId="0" xfId="0" applyFill="1"/>
    <xf numFmtId="0" fontId="0" fillId="2" borderId="9" xfId="0" applyFill="1" applyBorder="1"/>
    <xf numFmtId="0" fontId="3" fillId="2" borderId="0" xfId="0" applyFont="1" applyFill="1" applyAlignment="1">
      <alignment horizontal="center"/>
    </xf>
    <xf numFmtId="0" fontId="6" fillId="2" borderId="0" xfId="0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2" fillId="2" borderId="0" xfId="0" applyFont="1" applyFill="1"/>
    <xf numFmtId="14" fontId="2" fillId="2" borderId="0" xfId="0" applyNumberFormat="1" applyFont="1" applyFill="1" applyBorder="1" applyAlignment="1">
      <alignment horizontal="right"/>
    </xf>
    <xf numFmtId="0" fontId="0" fillId="2" borderId="0" xfId="0" quotePrefix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0" fillId="2" borderId="1" xfId="0" applyFill="1" applyBorder="1"/>
    <xf numFmtId="0" fontId="5" fillId="2" borderId="2" xfId="0" applyFont="1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0" xfId="0" applyFill="1" applyBorder="1" applyAlignment="1">
      <alignment horizontal="right"/>
    </xf>
    <xf numFmtId="14" fontId="0" fillId="2" borderId="0" xfId="0" applyNumberFormat="1" applyFill="1" applyBorder="1" applyAlignment="1">
      <alignment horizontal="right"/>
    </xf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7" fillId="2" borderId="0" xfId="0" applyFont="1" applyFill="1"/>
    <xf numFmtId="0" fontId="8" fillId="2" borderId="0" xfId="0" applyFont="1" applyFill="1" applyAlignment="1"/>
    <xf numFmtId="0" fontId="9" fillId="2" borderId="0" xfId="0" applyFont="1" applyFill="1"/>
    <xf numFmtId="0" fontId="10" fillId="2" borderId="0" xfId="0" applyFont="1" applyFill="1" applyBorder="1" applyAlignment="1">
      <alignment horizontal="left"/>
    </xf>
    <xf numFmtId="0" fontId="11" fillId="2" borderId="0" xfId="0" applyFont="1" applyFill="1"/>
    <xf numFmtId="0" fontId="12" fillId="2" borderId="0" xfId="0" applyFont="1" applyFill="1" applyBorder="1" applyAlignment="1">
      <alignment horizontal="left"/>
    </xf>
    <xf numFmtId="0" fontId="13" fillId="2" borderId="0" xfId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nr.edu/Documents/administration-finance/hr/hr-hiring-compensation/TenureExtensionRequestForm.do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workbookViewId="0">
      <selection activeCell="B9" sqref="B9"/>
    </sheetView>
  </sheetViews>
  <sheetFormatPr defaultColWidth="8.85546875" defaultRowHeight="15" x14ac:dyDescent="0.25"/>
  <cols>
    <col min="1" max="1" width="8.85546875" style="8"/>
    <col min="2" max="2" width="39.85546875" style="8" customWidth="1"/>
    <col min="3" max="3" width="20.28515625" style="8" customWidth="1"/>
    <col min="4" max="4" width="2.85546875" style="8" customWidth="1"/>
    <col min="5" max="5" width="10.7109375" style="8" customWidth="1"/>
    <col min="6" max="6" width="4.28515625" style="8" customWidth="1"/>
    <col min="7" max="16384" width="8.85546875" style="8"/>
  </cols>
  <sheetData>
    <row r="1" spans="1:5" ht="12.95" customHeight="1" thickBot="1" x14ac:dyDescent="0.3"/>
    <row r="2" spans="1:5" ht="38.25" customHeight="1" thickTop="1" thickBot="1" x14ac:dyDescent="0.3">
      <c r="A2" s="36" t="s">
        <v>57</v>
      </c>
      <c r="B2" s="9"/>
    </row>
    <row r="3" spans="1:5" ht="15.75" thickTop="1" x14ac:dyDescent="0.25"/>
    <row r="4" spans="1:5" ht="42.75" customHeight="1" x14ac:dyDescent="0.35">
      <c r="B4" s="33" t="s">
        <v>0</v>
      </c>
      <c r="C4" s="33"/>
      <c r="D4" s="10"/>
      <c r="E4" s="10"/>
    </row>
    <row r="5" spans="1:5" ht="18.75" x14ac:dyDescent="0.3">
      <c r="B5" s="10"/>
      <c r="C5" s="10"/>
      <c r="D5" s="10"/>
      <c r="E5" s="10"/>
    </row>
    <row r="6" spans="1:5" ht="16.5" thickBot="1" x14ac:dyDescent="0.3">
      <c r="A6" s="11" t="s">
        <v>47</v>
      </c>
      <c r="B6" s="34"/>
    </row>
    <row r="7" spans="1:5" ht="24.75" customHeight="1" thickTop="1" thickBot="1" x14ac:dyDescent="0.3">
      <c r="B7" s="12" t="s">
        <v>1</v>
      </c>
      <c r="C7" s="5">
        <v>41091</v>
      </c>
    </row>
    <row r="8" spans="1:5" ht="24.75" customHeight="1" thickTop="1" thickBot="1" x14ac:dyDescent="0.3">
      <c r="B8" s="12" t="s">
        <v>31</v>
      </c>
      <c r="C8" s="6">
        <v>0</v>
      </c>
    </row>
    <row r="9" spans="1:5" ht="24.75" customHeight="1" thickTop="1" thickBot="1" x14ac:dyDescent="0.3">
      <c r="B9" s="38" t="s">
        <v>30</v>
      </c>
      <c r="C9" s="7" t="s">
        <v>48</v>
      </c>
    </row>
    <row r="10" spans="1:5" ht="15.75" hidden="1" thickTop="1" x14ac:dyDescent="0.25">
      <c r="C10" s="13">
        <f>IF(C9="Yes",1,0)</f>
        <v>0</v>
      </c>
      <c r="D10" s="13"/>
      <c r="E10" s="13"/>
    </row>
    <row r="11" spans="1:5" ht="18.399999999999999" hidden="1" customHeight="1" x14ac:dyDescent="0.25">
      <c r="C11" s="14" t="str">
        <f>"6/30/"&amp;(VLOOKUP(C7,FY,4,TRUE))-C8</f>
        <v>6/30/2013</v>
      </c>
      <c r="D11" s="14"/>
      <c r="E11" s="14"/>
    </row>
    <row r="12" spans="1:5" ht="26.45" customHeight="1" thickTop="1" x14ac:dyDescent="0.25">
      <c r="A12" s="35" t="s">
        <v>50</v>
      </c>
      <c r="C12" s="14"/>
      <c r="D12" s="14"/>
      <c r="E12" s="14"/>
    </row>
    <row r="13" spans="1:5" ht="23.25" customHeight="1" x14ac:dyDescent="0.25">
      <c r="B13" s="15" t="s">
        <v>52</v>
      </c>
      <c r="C13" s="16" t="str">
        <f>"Spring "&amp;YEAR($E$27)</f>
        <v>Spring 2015</v>
      </c>
      <c r="D13" s="14"/>
      <c r="E13" s="14"/>
    </row>
    <row r="14" spans="1:5" ht="23.25" customHeight="1" x14ac:dyDescent="0.25">
      <c r="B14" s="15" t="s">
        <v>53</v>
      </c>
      <c r="C14" s="16" t="str">
        <f>"November 1, "&amp;YEAR($C$29)+1</f>
        <v>November 1, 2017</v>
      </c>
      <c r="D14" s="14"/>
      <c r="E14" s="14"/>
    </row>
    <row r="15" spans="1:5" ht="23.25" customHeight="1" x14ac:dyDescent="0.25">
      <c r="B15" s="15" t="s">
        <v>54</v>
      </c>
      <c r="C15" s="16" t="str">
        <f>("7/1/"&amp;YEAR($C$30)&amp;"-"&amp;("6/30/"&amp;YEAR($E$30)))</f>
        <v>7/1/2017-6/30/2018</v>
      </c>
      <c r="D15" s="17"/>
    </row>
    <row r="16" spans="1:5" ht="23.25" customHeight="1" x14ac:dyDescent="0.25">
      <c r="B16" s="15" t="s">
        <v>55</v>
      </c>
      <c r="C16" s="18" t="str">
        <f>"6/30/"&amp;((VLOOKUP(C7,FY,4,TRUE))+6)+IF(C9="Yes",1,0)-C8</f>
        <v>6/30/2019</v>
      </c>
      <c r="D16" s="18"/>
      <c r="E16" s="18"/>
    </row>
    <row r="17" spans="1:6" x14ac:dyDescent="0.25">
      <c r="C17" s="14"/>
      <c r="D17" s="14"/>
      <c r="E17" s="14"/>
    </row>
    <row r="18" spans="1:6" hidden="1" x14ac:dyDescent="0.25">
      <c r="C18" s="14"/>
      <c r="D18" s="14"/>
      <c r="E18" s="14"/>
    </row>
    <row r="19" spans="1:6" ht="18.75" x14ac:dyDescent="0.3">
      <c r="A19" s="37" t="s">
        <v>51</v>
      </c>
    </row>
    <row r="20" spans="1:6" x14ac:dyDescent="0.25">
      <c r="A20" s="19"/>
      <c r="B20" s="20"/>
      <c r="C20" s="21"/>
      <c r="D20" s="21"/>
      <c r="E20" s="21"/>
      <c r="F20" s="22"/>
    </row>
    <row r="21" spans="1:6" x14ac:dyDescent="0.25">
      <c r="A21" s="23"/>
      <c r="B21" s="24"/>
      <c r="C21" s="24"/>
      <c r="D21" s="24"/>
      <c r="E21" s="24"/>
      <c r="F21" s="25"/>
    </row>
    <row r="22" spans="1:6" x14ac:dyDescent="0.25">
      <c r="A22" s="23"/>
      <c r="B22" s="24" t="s">
        <v>46</v>
      </c>
      <c r="C22" s="24"/>
      <c r="D22" s="24"/>
      <c r="E22" s="24"/>
      <c r="F22" s="25"/>
    </row>
    <row r="23" spans="1:6" x14ac:dyDescent="0.25">
      <c r="A23" s="23"/>
      <c r="B23" s="24" t="s">
        <v>37</v>
      </c>
      <c r="C23" s="24"/>
      <c r="D23" s="24"/>
      <c r="E23" s="24"/>
      <c r="F23" s="25"/>
    </row>
    <row r="24" spans="1:6" x14ac:dyDescent="0.25">
      <c r="A24" s="23"/>
      <c r="B24" s="26" t="s">
        <v>38</v>
      </c>
      <c r="C24" s="27" t="str">
        <f>IF(C9="Yes",MONTH(C7)&amp;"/"&amp;DAY(C7)&amp;"/"&amp;(YEAR(C7)-C8),"N/A")</f>
        <v>N/A</v>
      </c>
      <c r="D24" s="4" t="s">
        <v>56</v>
      </c>
      <c r="E24" s="27" t="str">
        <f>IF(C9="Yes","6/30/"&amp;(VLOOKUP(C7,FY,4,TRUE))-C8,"N/A")</f>
        <v>N/A</v>
      </c>
      <c r="F24" s="25"/>
    </row>
    <row r="25" spans="1:6" x14ac:dyDescent="0.25">
      <c r="A25" s="23"/>
      <c r="B25" s="26" t="s">
        <v>39</v>
      </c>
      <c r="C25" s="27" t="str">
        <f>IF(C9="Yes","7/1/"&amp;YEAR(C11),MONTH(C7)&amp;"/"&amp;DAY(C7)&amp;"/"&amp;(YEAR(C7)-C8))</f>
        <v>7/1/2012</v>
      </c>
      <c r="D25" s="4" t="s">
        <v>56</v>
      </c>
      <c r="E25" s="27" t="str">
        <f>IF(C9="Yes","6/30/"&amp;YEAR(C11)+1,C11)</f>
        <v>6/30/2013</v>
      </c>
      <c r="F25" s="25"/>
    </row>
    <row r="26" spans="1:6" x14ac:dyDescent="0.25">
      <c r="A26" s="23"/>
      <c r="B26" s="26" t="s">
        <v>40</v>
      </c>
      <c r="C26" s="27" t="str">
        <f>"7/1/"&amp;YEAR($E$25)</f>
        <v>7/1/2013</v>
      </c>
      <c r="D26" s="4" t="s">
        <v>56</v>
      </c>
      <c r="E26" s="27" t="str">
        <f>"6/30/"&amp;YEAR($E$25)+1</f>
        <v>6/30/2014</v>
      </c>
      <c r="F26" s="25"/>
    </row>
    <row r="27" spans="1:6" x14ac:dyDescent="0.25">
      <c r="A27" s="23"/>
      <c r="B27" s="26" t="s">
        <v>41</v>
      </c>
      <c r="C27" s="27" t="str">
        <f>"7/1/"&amp;YEAR($C$26)+1</f>
        <v>7/1/2014</v>
      </c>
      <c r="D27" s="4" t="s">
        <v>56</v>
      </c>
      <c r="E27" s="27" t="str">
        <f>"6/30/"&amp;YEAR($E$26)+1</f>
        <v>6/30/2015</v>
      </c>
      <c r="F27" s="25"/>
    </row>
    <row r="28" spans="1:6" x14ac:dyDescent="0.25">
      <c r="A28" s="23"/>
      <c r="B28" s="26" t="s">
        <v>42</v>
      </c>
      <c r="C28" s="27" t="str">
        <f>"7/1/"&amp;YEAR($C$27)+1</f>
        <v>7/1/2015</v>
      </c>
      <c r="D28" s="4" t="s">
        <v>56</v>
      </c>
      <c r="E28" s="27" t="str">
        <f>"6/30/"&amp;YEAR($E$27)+1</f>
        <v>6/30/2016</v>
      </c>
      <c r="F28" s="25"/>
    </row>
    <row r="29" spans="1:6" x14ac:dyDescent="0.25">
      <c r="A29" s="23"/>
      <c r="B29" s="26" t="s">
        <v>43</v>
      </c>
      <c r="C29" s="27" t="str">
        <f>"7/1/"&amp;YEAR($C$28)+1</f>
        <v>7/1/2016</v>
      </c>
      <c r="D29" s="4" t="s">
        <v>56</v>
      </c>
      <c r="E29" s="27" t="str">
        <f>"6/30/"&amp;YEAR($E$28)+1</f>
        <v>6/30/2017</v>
      </c>
      <c r="F29" s="25"/>
    </row>
    <row r="30" spans="1:6" x14ac:dyDescent="0.25">
      <c r="A30" s="23"/>
      <c r="B30" s="26" t="s">
        <v>44</v>
      </c>
      <c r="C30" s="27" t="str">
        <f>"7/1/"&amp;YEAR($C$29)+1</f>
        <v>7/1/2017</v>
      </c>
      <c r="D30" s="4" t="s">
        <v>56</v>
      </c>
      <c r="E30" s="27" t="str">
        <f>"6/30/"&amp;YEAR($E$29)+1</f>
        <v>6/30/2018</v>
      </c>
      <c r="F30" s="25"/>
    </row>
    <row r="31" spans="1:6" x14ac:dyDescent="0.25">
      <c r="A31" s="23"/>
      <c r="B31" s="26" t="s">
        <v>45</v>
      </c>
      <c r="C31" s="27" t="str">
        <f>"7/1/"&amp;YEAR($C$30)+1</f>
        <v>7/1/2018</v>
      </c>
      <c r="D31" s="4" t="s">
        <v>56</v>
      </c>
      <c r="E31" s="27" t="str">
        <f>"6/30/"&amp;YEAR($E$30)+1</f>
        <v>6/30/2019</v>
      </c>
      <c r="F31" s="25"/>
    </row>
    <row r="32" spans="1:6" x14ac:dyDescent="0.25">
      <c r="A32" s="23"/>
      <c r="B32" s="24"/>
      <c r="C32" s="24"/>
      <c r="D32" s="24"/>
      <c r="E32" s="24"/>
      <c r="F32" s="25"/>
    </row>
    <row r="33" spans="1:6" x14ac:dyDescent="0.25">
      <c r="A33" s="28"/>
      <c r="B33" s="29" t="s">
        <v>49</v>
      </c>
      <c r="C33" s="30"/>
      <c r="D33" s="30"/>
      <c r="E33" s="30"/>
      <c r="F33" s="31"/>
    </row>
    <row r="45" spans="1:6" x14ac:dyDescent="0.25">
      <c r="A45" s="32"/>
    </row>
  </sheetData>
  <dataValidations count="2">
    <dataValidation type="list" allowBlank="1" showInputMessage="1" showErrorMessage="1" sqref="C9">
      <formula1>"No, Yes"</formula1>
    </dataValidation>
    <dataValidation type="whole" allowBlank="1" showInputMessage="1" showErrorMessage="1" error="Maximum 3 years" sqref="C8">
      <formula1>0</formula1>
      <formula2>3</formula2>
    </dataValidation>
  </dataValidations>
  <hyperlinks>
    <hyperlink ref="B9" r:id="rId1"/>
  </hyperlinks>
  <printOptions horizontalCentered="1"/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D32" sqref="D32"/>
    </sheetView>
  </sheetViews>
  <sheetFormatPr defaultRowHeight="15" x14ac:dyDescent="0.25"/>
  <cols>
    <col min="1" max="2" width="10.28515625" style="1" bestFit="1" customWidth="1"/>
    <col min="3" max="3" width="10.28515625" style="2" bestFit="1" customWidth="1"/>
    <col min="4" max="4" width="8.85546875" style="3"/>
  </cols>
  <sheetData>
    <row r="1" spans="1:4" x14ac:dyDescent="0.25">
      <c r="A1" s="1" t="s">
        <v>2</v>
      </c>
      <c r="B1" s="1" t="s">
        <v>3</v>
      </c>
      <c r="C1" s="2" t="s">
        <v>4</v>
      </c>
    </row>
    <row r="2" spans="1:4" x14ac:dyDescent="0.25">
      <c r="A2" s="1">
        <v>38169</v>
      </c>
      <c r="B2" s="1">
        <v>38533</v>
      </c>
      <c r="C2" s="2" t="s">
        <v>36</v>
      </c>
      <c r="D2" s="3">
        <v>2005</v>
      </c>
    </row>
    <row r="3" spans="1:4" x14ac:dyDescent="0.25">
      <c r="A3" s="1">
        <v>38534</v>
      </c>
      <c r="B3" s="1">
        <v>38898</v>
      </c>
      <c r="C3" s="2" t="s">
        <v>35</v>
      </c>
      <c r="D3" s="3">
        <v>2006</v>
      </c>
    </row>
    <row r="4" spans="1:4" x14ac:dyDescent="0.25">
      <c r="A4" s="1">
        <v>38899</v>
      </c>
      <c r="B4" s="1">
        <v>39263</v>
      </c>
      <c r="C4" s="2" t="s">
        <v>34</v>
      </c>
      <c r="D4" s="3">
        <v>2007</v>
      </c>
    </row>
    <row r="5" spans="1:4" x14ac:dyDescent="0.25">
      <c r="A5" s="1">
        <v>39264</v>
      </c>
      <c r="B5" s="1">
        <v>39629</v>
      </c>
      <c r="C5" s="2" t="s">
        <v>33</v>
      </c>
      <c r="D5" s="3">
        <v>2008</v>
      </c>
    </row>
    <row r="6" spans="1:4" x14ac:dyDescent="0.25">
      <c r="A6" s="1">
        <v>39630</v>
      </c>
      <c r="B6" s="1">
        <v>39994</v>
      </c>
      <c r="C6" s="2" t="s">
        <v>32</v>
      </c>
      <c r="D6" s="3">
        <v>2009</v>
      </c>
    </row>
    <row r="7" spans="1:4" x14ac:dyDescent="0.25">
      <c r="A7" s="1">
        <v>39995</v>
      </c>
      <c r="B7" s="1">
        <v>40359</v>
      </c>
      <c r="C7" s="2" t="s">
        <v>5</v>
      </c>
      <c r="D7" s="3">
        <v>2010</v>
      </c>
    </row>
    <row r="8" spans="1:4" x14ac:dyDescent="0.25">
      <c r="A8" s="1">
        <v>40360</v>
      </c>
      <c r="B8" s="1">
        <v>40724</v>
      </c>
      <c r="C8" s="2" t="s">
        <v>6</v>
      </c>
      <c r="D8" s="3">
        <v>2011</v>
      </c>
    </row>
    <row r="9" spans="1:4" x14ac:dyDescent="0.25">
      <c r="A9" s="1">
        <v>40725</v>
      </c>
      <c r="B9" s="1">
        <v>41090</v>
      </c>
      <c r="C9" s="2" t="s">
        <v>7</v>
      </c>
      <c r="D9" s="3">
        <v>2012</v>
      </c>
    </row>
    <row r="10" spans="1:4" x14ac:dyDescent="0.25">
      <c r="A10" s="1">
        <v>41091</v>
      </c>
      <c r="B10" s="1">
        <v>41455</v>
      </c>
      <c r="C10" s="2" t="s">
        <v>8</v>
      </c>
      <c r="D10" s="3">
        <v>2013</v>
      </c>
    </row>
    <row r="11" spans="1:4" x14ac:dyDescent="0.25">
      <c r="A11" s="1">
        <v>41456</v>
      </c>
      <c r="B11" s="1">
        <v>41820</v>
      </c>
      <c r="C11" s="2" t="s">
        <v>9</v>
      </c>
      <c r="D11" s="3">
        <v>2014</v>
      </c>
    </row>
    <row r="12" spans="1:4" x14ac:dyDescent="0.25">
      <c r="A12" s="1">
        <v>41821</v>
      </c>
      <c r="B12" s="1">
        <v>42185</v>
      </c>
      <c r="C12" s="2" t="s">
        <v>10</v>
      </c>
      <c r="D12" s="3">
        <v>2015</v>
      </c>
    </row>
    <row r="13" spans="1:4" x14ac:dyDescent="0.25">
      <c r="A13" s="1">
        <v>42186</v>
      </c>
      <c r="B13" s="1">
        <v>42551</v>
      </c>
      <c r="C13" s="2" t="s">
        <v>11</v>
      </c>
      <c r="D13" s="3">
        <v>2016</v>
      </c>
    </row>
    <row r="14" spans="1:4" x14ac:dyDescent="0.25">
      <c r="A14" s="1">
        <v>42552</v>
      </c>
      <c r="B14" s="1">
        <v>42916</v>
      </c>
      <c r="C14" s="2" t="s">
        <v>12</v>
      </c>
      <c r="D14" s="3">
        <v>2017</v>
      </c>
    </row>
    <row r="15" spans="1:4" x14ac:dyDescent="0.25">
      <c r="A15" s="1">
        <v>42917</v>
      </c>
      <c r="B15" s="1">
        <v>43281</v>
      </c>
      <c r="C15" s="2" t="s">
        <v>13</v>
      </c>
      <c r="D15" s="3">
        <v>2018</v>
      </c>
    </row>
    <row r="16" spans="1:4" x14ac:dyDescent="0.25">
      <c r="A16" s="1">
        <v>43282</v>
      </c>
      <c r="B16" s="1">
        <v>43646</v>
      </c>
      <c r="C16" s="2" t="s">
        <v>14</v>
      </c>
      <c r="D16" s="3">
        <v>2019</v>
      </c>
    </row>
    <row r="17" spans="1:4" x14ac:dyDescent="0.25">
      <c r="A17" s="1">
        <v>43647</v>
      </c>
      <c r="B17" s="1">
        <v>44012</v>
      </c>
      <c r="C17" s="2" t="s">
        <v>15</v>
      </c>
      <c r="D17" s="3">
        <v>2020</v>
      </c>
    </row>
    <row r="18" spans="1:4" x14ac:dyDescent="0.25">
      <c r="A18" s="1">
        <v>44013</v>
      </c>
      <c r="B18" s="1">
        <v>44377</v>
      </c>
      <c r="C18" s="2" t="s">
        <v>16</v>
      </c>
      <c r="D18" s="3">
        <v>2021</v>
      </c>
    </row>
    <row r="19" spans="1:4" x14ac:dyDescent="0.25">
      <c r="A19" s="1">
        <v>44378</v>
      </c>
      <c r="B19" s="1">
        <v>44742</v>
      </c>
      <c r="C19" s="2" t="s">
        <v>17</v>
      </c>
      <c r="D19" s="3">
        <v>2022</v>
      </c>
    </row>
    <row r="20" spans="1:4" x14ac:dyDescent="0.25">
      <c r="A20" s="1">
        <v>44743</v>
      </c>
      <c r="B20" s="1">
        <v>45107</v>
      </c>
      <c r="C20" s="2" t="s">
        <v>18</v>
      </c>
      <c r="D20" s="3">
        <v>2023</v>
      </c>
    </row>
    <row r="21" spans="1:4" x14ac:dyDescent="0.25">
      <c r="A21" s="1">
        <v>45108</v>
      </c>
      <c r="B21" s="1">
        <v>45473</v>
      </c>
      <c r="C21" s="2" t="s">
        <v>19</v>
      </c>
      <c r="D21" s="3">
        <v>2024</v>
      </c>
    </row>
    <row r="22" spans="1:4" x14ac:dyDescent="0.25">
      <c r="A22" s="1">
        <v>45474</v>
      </c>
      <c r="B22" s="1">
        <v>45838</v>
      </c>
      <c r="C22" s="2" t="s">
        <v>20</v>
      </c>
      <c r="D22" s="3">
        <v>2025</v>
      </c>
    </row>
    <row r="23" spans="1:4" x14ac:dyDescent="0.25">
      <c r="A23" s="1">
        <v>45839</v>
      </c>
      <c r="B23" s="1">
        <v>46203</v>
      </c>
      <c r="C23" s="2" t="s">
        <v>21</v>
      </c>
      <c r="D23" s="3">
        <v>2026</v>
      </c>
    </row>
    <row r="24" spans="1:4" x14ac:dyDescent="0.25">
      <c r="A24" s="1">
        <v>46204</v>
      </c>
      <c r="B24" s="1">
        <v>46568</v>
      </c>
      <c r="C24" s="2" t="s">
        <v>22</v>
      </c>
      <c r="D24" s="3">
        <v>2027</v>
      </c>
    </row>
    <row r="25" spans="1:4" x14ac:dyDescent="0.25">
      <c r="A25" s="1">
        <v>46569</v>
      </c>
      <c r="B25" s="1">
        <v>46934</v>
      </c>
      <c r="C25" s="2" t="s">
        <v>23</v>
      </c>
      <c r="D25" s="3">
        <v>2028</v>
      </c>
    </row>
    <row r="26" spans="1:4" x14ac:dyDescent="0.25">
      <c r="A26" s="1">
        <v>46935</v>
      </c>
      <c r="B26" s="1">
        <v>47299</v>
      </c>
      <c r="C26" s="2" t="s">
        <v>24</v>
      </c>
      <c r="D26" s="3">
        <v>2029</v>
      </c>
    </row>
    <row r="27" spans="1:4" x14ac:dyDescent="0.25">
      <c r="A27" s="1">
        <v>47300</v>
      </c>
      <c r="B27" s="1">
        <v>47664</v>
      </c>
      <c r="C27" s="2" t="s">
        <v>25</v>
      </c>
      <c r="D27" s="3">
        <v>2030</v>
      </c>
    </row>
    <row r="28" spans="1:4" x14ac:dyDescent="0.25">
      <c r="A28" s="1">
        <v>47665</v>
      </c>
      <c r="B28" s="1">
        <v>48029</v>
      </c>
      <c r="C28" s="2" t="s">
        <v>26</v>
      </c>
      <c r="D28" s="3">
        <v>2031</v>
      </c>
    </row>
    <row r="29" spans="1:4" x14ac:dyDescent="0.25">
      <c r="A29" s="1">
        <v>48030</v>
      </c>
      <c r="B29" s="1">
        <v>48395</v>
      </c>
      <c r="C29" s="2" t="s">
        <v>27</v>
      </c>
      <c r="D29" s="3">
        <v>2032</v>
      </c>
    </row>
    <row r="30" spans="1:4" x14ac:dyDescent="0.25">
      <c r="A30" s="1">
        <v>48396</v>
      </c>
      <c r="B30" s="1">
        <v>48760</v>
      </c>
      <c r="C30" s="2" t="s">
        <v>28</v>
      </c>
      <c r="D30" s="3">
        <v>2033</v>
      </c>
    </row>
    <row r="31" spans="1:4" x14ac:dyDescent="0.25">
      <c r="A31" s="1">
        <v>48761</v>
      </c>
      <c r="B31" s="1">
        <v>49125</v>
      </c>
      <c r="C31" s="2" t="s">
        <v>29</v>
      </c>
      <c r="D31" s="3">
        <v>2034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Calculator</vt:lpstr>
      <vt:lpstr>Sheet2</vt:lpstr>
      <vt:lpstr>ACYR</vt:lpstr>
      <vt:lpstr>FY</vt:lpstr>
      <vt:lpstr>fyend</vt:lpstr>
      <vt:lpstr>fyst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Lisbette M Lanuza Alfaro</cp:lastModifiedBy>
  <cp:lastPrinted>2012-01-13T19:30:18Z</cp:lastPrinted>
  <dcterms:created xsi:type="dcterms:W3CDTF">2010-05-20T23:02:17Z</dcterms:created>
  <dcterms:modified xsi:type="dcterms:W3CDTF">2014-02-07T17:23:09Z</dcterms:modified>
</cp:coreProperties>
</file>