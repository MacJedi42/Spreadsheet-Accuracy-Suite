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gif" ContentType="image/gif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40" windowWidth="20700" windowHeight="9915" activeTab="3"/>
  </bookViews>
  <sheets>
    <sheet name="Protracts" sheetId="1" r:id="rId1"/>
    <sheet name="Easements" sheetId="3" r:id="rId2"/>
    <sheet name="TA" sheetId="5" r:id="rId3"/>
    <sheet name="Summary" sheetId="4" r:id="rId4"/>
  </sheets>
  <externalReferences>
    <externalReference r:id="rId5"/>
    <externalReference r:id="rId6"/>
  </externalReferences>
  <calcPr calcId="125725"/>
</workbook>
</file>

<file path=xl/calcChain.xml><?xml version="1.0" encoding="utf-8"?>
<calcChain xmlns="http://schemas.openxmlformats.org/spreadsheetml/2006/main">
  <c r="C20" i="5"/>
  <c r="G10" i="4" l="1"/>
  <c r="F10"/>
  <c r="E10"/>
  <c r="D10"/>
  <c r="C10"/>
  <c r="I9"/>
  <c r="H9"/>
  <c r="I8"/>
  <c r="H8"/>
  <c r="I7"/>
  <c r="H7"/>
  <c r="I6"/>
  <c r="H6"/>
  <c r="H5"/>
  <c r="B10"/>
  <c r="I4"/>
  <c r="H4"/>
  <c r="I3"/>
  <c r="H3"/>
  <c r="C10" i="3"/>
  <c r="C9"/>
  <c r="C8"/>
  <c r="C7"/>
  <c r="E7" s="1"/>
  <c r="C6"/>
  <c r="I84" i="1"/>
  <c r="I83"/>
  <c r="I82"/>
  <c r="I81"/>
  <c r="I78"/>
  <c r="I77"/>
  <c r="I72"/>
  <c r="H72"/>
  <c r="I71"/>
  <c r="H71"/>
  <c r="I70"/>
  <c r="H70"/>
  <c r="I69"/>
  <c r="H69"/>
  <c r="I68"/>
  <c r="H68"/>
  <c r="I67"/>
  <c r="H67"/>
  <c r="I66"/>
  <c r="H66"/>
  <c r="I65"/>
  <c r="H65"/>
  <c r="I64"/>
  <c r="H64"/>
  <c r="I63"/>
  <c r="H63"/>
  <c r="I62"/>
  <c r="H62"/>
  <c r="I61"/>
  <c r="H61"/>
  <c r="I60"/>
  <c r="I79" s="1"/>
  <c r="H60"/>
  <c r="I59"/>
  <c r="I80" s="1"/>
  <c r="H59"/>
  <c r="I58"/>
  <c r="I73" s="1"/>
  <c r="H58"/>
  <c r="G57"/>
  <c r="F57"/>
  <c r="E57"/>
  <c r="D57"/>
  <c r="G56"/>
  <c r="F56"/>
  <c r="E56"/>
  <c r="D56"/>
  <c r="G55"/>
  <c r="F55"/>
  <c r="E55"/>
  <c r="D55"/>
  <c r="G54"/>
  <c r="F54"/>
  <c r="E54"/>
  <c r="D54"/>
  <c r="G53"/>
  <c r="F53"/>
  <c r="E53"/>
  <c r="D53"/>
  <c r="G52"/>
  <c r="F52"/>
  <c r="E52"/>
  <c r="D52"/>
  <c r="G51"/>
  <c r="F51"/>
  <c r="E51"/>
  <c r="D51"/>
  <c r="G50"/>
  <c r="F50"/>
  <c r="E50"/>
  <c r="D50"/>
  <c r="G49"/>
  <c r="F49"/>
  <c r="E49"/>
  <c r="D49"/>
  <c r="G48"/>
  <c r="F48"/>
  <c r="E48"/>
  <c r="D48"/>
  <c r="G47"/>
  <c r="F47"/>
  <c r="E47"/>
  <c r="D47"/>
  <c r="G46"/>
  <c r="F46"/>
  <c r="E46"/>
  <c r="D46"/>
  <c r="G45"/>
  <c r="F45"/>
  <c r="E45"/>
  <c r="D45"/>
  <c r="G44"/>
  <c r="F44"/>
  <c r="E44"/>
  <c r="D44"/>
  <c r="G43"/>
  <c r="F43"/>
  <c r="E43"/>
  <c r="D43"/>
  <c r="G42"/>
  <c r="F42"/>
  <c r="E42"/>
  <c r="D42"/>
  <c r="G41"/>
  <c r="F41"/>
  <c r="E41"/>
  <c r="D41"/>
  <c r="G40"/>
  <c r="F40"/>
  <c r="E40"/>
  <c r="D40"/>
  <c r="G39"/>
  <c r="G77" s="1"/>
  <c r="F39"/>
  <c r="E39"/>
  <c r="E77" s="1"/>
  <c r="D39"/>
  <c r="G38"/>
  <c r="F38"/>
  <c r="E38"/>
  <c r="D38"/>
  <c r="G37"/>
  <c r="F37"/>
  <c r="E37"/>
  <c r="D37"/>
  <c r="G36"/>
  <c r="F36"/>
  <c r="E36"/>
  <c r="D36"/>
  <c r="G35"/>
  <c r="F35"/>
  <c r="E35"/>
  <c r="D35"/>
  <c r="G34"/>
  <c r="F34"/>
  <c r="E34"/>
  <c r="D34"/>
  <c r="G33"/>
  <c r="F33"/>
  <c r="E33"/>
  <c r="D33"/>
  <c r="G32"/>
  <c r="F32"/>
  <c r="E32"/>
  <c r="D32"/>
  <c r="G31"/>
  <c r="F31"/>
  <c r="E31"/>
  <c r="D31"/>
  <c r="G30"/>
  <c r="F30"/>
  <c r="E30"/>
  <c r="D30"/>
  <c r="G29"/>
  <c r="F29"/>
  <c r="E29"/>
  <c r="D29"/>
  <c r="G28"/>
  <c r="F28"/>
  <c r="E28"/>
  <c r="D28"/>
  <c r="G27"/>
  <c r="F27"/>
  <c r="E27"/>
  <c r="D27"/>
  <c r="G26"/>
  <c r="G82" s="1"/>
  <c r="F26"/>
  <c r="E26"/>
  <c r="E82" s="1"/>
  <c r="D26"/>
  <c r="G25"/>
  <c r="F25"/>
  <c r="E25"/>
  <c r="D25"/>
  <c r="G24"/>
  <c r="F24"/>
  <c r="E24"/>
  <c r="D24"/>
  <c r="G23"/>
  <c r="F23"/>
  <c r="E23"/>
  <c r="D23"/>
  <c r="G22"/>
  <c r="F22"/>
  <c r="E22"/>
  <c r="D22"/>
  <c r="G21"/>
  <c r="F21"/>
  <c r="E21"/>
  <c r="D21"/>
  <c r="G20"/>
  <c r="F20"/>
  <c r="E20"/>
  <c r="D20"/>
  <c r="G19"/>
  <c r="F19"/>
  <c r="E19"/>
  <c r="D19"/>
  <c r="G18"/>
  <c r="F18"/>
  <c r="E18"/>
  <c r="D18"/>
  <c r="G17"/>
  <c r="F17"/>
  <c r="E17"/>
  <c r="D17"/>
  <c r="G16"/>
  <c r="G78" s="1"/>
  <c r="F16"/>
  <c r="E16"/>
  <c r="E78" s="1"/>
  <c r="D16"/>
  <c r="G15"/>
  <c r="F15"/>
  <c r="E15"/>
  <c r="D15"/>
  <c r="G14"/>
  <c r="F14"/>
  <c r="E14"/>
  <c r="D14"/>
  <c r="G13"/>
  <c r="F13"/>
  <c r="E13"/>
  <c r="D13"/>
  <c r="G12"/>
  <c r="F12"/>
  <c r="E12"/>
  <c r="D12"/>
  <c r="G11"/>
  <c r="F11"/>
  <c r="E11"/>
  <c r="D11"/>
  <c r="G10"/>
  <c r="F10"/>
  <c r="E10"/>
  <c r="D10"/>
  <c r="G9"/>
  <c r="F9"/>
  <c r="E9"/>
  <c r="D9"/>
  <c r="G8"/>
  <c r="G76" s="1"/>
  <c r="F8"/>
  <c r="E8"/>
  <c r="E76" s="1"/>
  <c r="D8"/>
  <c r="G7"/>
  <c r="G80" s="1"/>
  <c r="F7"/>
  <c r="E7"/>
  <c r="E80" s="1"/>
  <c r="D7"/>
  <c r="G6"/>
  <c r="G81" s="1"/>
  <c r="F6"/>
  <c r="E6"/>
  <c r="E81" s="1"/>
  <c r="D6"/>
  <c r="G5"/>
  <c r="G83" s="1"/>
  <c r="F5"/>
  <c r="E5"/>
  <c r="E83" s="1"/>
  <c r="D5"/>
  <c r="G4"/>
  <c r="G84" s="1"/>
  <c r="F4"/>
  <c r="E4"/>
  <c r="E84" s="1"/>
  <c r="D4"/>
  <c r="G3"/>
  <c r="G79" s="1"/>
  <c r="F3"/>
  <c r="E3"/>
  <c r="E79" s="1"/>
  <c r="D3"/>
  <c r="C11" i="3" l="1"/>
  <c r="E6"/>
  <c r="I10" i="4"/>
  <c r="H10"/>
  <c r="I5"/>
  <c r="G73" i="1"/>
  <c r="I76"/>
  <c r="E73"/>
</calcChain>
</file>

<file path=xl/sharedStrings.xml><?xml version="1.0" encoding="utf-8"?>
<sst xmlns="http://schemas.openxmlformats.org/spreadsheetml/2006/main" count="220" uniqueCount="148">
  <si>
    <t>IMPLAN Sector</t>
  </si>
  <si>
    <t>EQIP</t>
  </si>
  <si>
    <t>WHIP</t>
  </si>
  <si>
    <t>CSP</t>
  </si>
  <si>
    <t>Practice</t>
  </si>
  <si>
    <t>Unit</t>
  </si>
  <si>
    <t>Units</t>
  </si>
  <si>
    <t>Access Control</t>
  </si>
  <si>
    <t>Ac</t>
  </si>
  <si>
    <t>Agricultural Energy Management Plan</t>
  </si>
  <si>
    <t>No.</t>
  </si>
  <si>
    <t>Animal Mortality Facility</t>
  </si>
  <si>
    <t>Animal Trails and Walkways</t>
  </si>
  <si>
    <t>Brush Management</t>
  </si>
  <si>
    <t>Conservation Crop Rotation</t>
  </si>
  <si>
    <t>Cover Crop</t>
  </si>
  <si>
    <t>Critical Area Planting</t>
  </si>
  <si>
    <t>Diversion</t>
  </si>
  <si>
    <t>Ft.</t>
  </si>
  <si>
    <t>Fence</t>
  </si>
  <si>
    <t>Field Border</t>
  </si>
  <si>
    <t>Filter Strip</t>
  </si>
  <si>
    <t>Firebreak</t>
  </si>
  <si>
    <t>Forage Harvest Management</t>
  </si>
  <si>
    <t>Forest Stand Improvement</t>
  </si>
  <si>
    <t>Grade Stabilization Structure</t>
  </si>
  <si>
    <t>Grassed Waterway</t>
  </si>
  <si>
    <t>Grazing Land Mechanical Treatment</t>
  </si>
  <si>
    <t>Heavy Use Area Protection</t>
  </si>
  <si>
    <t>Irrigation System, Sprinkler</t>
  </si>
  <si>
    <t>Irrigation Water Conveyance, Pipeline, High-Pressure, Underground, Plastic</t>
  </si>
  <si>
    <t>Irrigation Water Conveyance, Pipeline, Low-Pressure, Underground, Plastic</t>
  </si>
  <si>
    <t>Irrigation Water Management</t>
  </si>
  <si>
    <t>Manure Transfer</t>
  </si>
  <si>
    <t>Mulching</t>
  </si>
  <si>
    <t>Nutrient Management</t>
  </si>
  <si>
    <t>Obstruction Removal</t>
  </si>
  <si>
    <t>Open Channel</t>
  </si>
  <si>
    <t>Pasture and Hayland Planting</t>
  </si>
  <si>
    <t>Pest Management</t>
  </si>
  <si>
    <t>Pipeline</t>
  </si>
  <si>
    <t>Pond</t>
  </si>
  <si>
    <t>Prescribed Grazing</t>
  </si>
  <si>
    <t>Pumping Plant</t>
  </si>
  <si>
    <t>Range Planting</t>
  </si>
  <si>
    <t>Residue Management, No-Till/Strip Till/Direct Seed</t>
  </si>
  <si>
    <t>Seasonal High Tunnel System for Crops</t>
  </si>
  <si>
    <t>Sq.Ft.</t>
  </si>
  <si>
    <t>Streambank and Shoreline Protection</t>
  </si>
  <si>
    <t>Technical Assistance Application</t>
  </si>
  <si>
    <t>Technical Assistance Check-out</t>
  </si>
  <si>
    <t>Technical Assistance Design</t>
  </si>
  <si>
    <t>Terrace</t>
  </si>
  <si>
    <t>Tree/Shrub Establishment</t>
  </si>
  <si>
    <t>Underground Outlet</t>
  </si>
  <si>
    <t>Upland Wildlife Habitat Management</t>
  </si>
  <si>
    <t>Use Exclusion</t>
  </si>
  <si>
    <t>Waste Storage Facility</t>
  </si>
  <si>
    <t>Water Well</t>
  </si>
  <si>
    <t>Watering Facility</t>
  </si>
  <si>
    <t>Well Decommissioning</t>
  </si>
  <si>
    <t>Wetland Creation</t>
  </si>
  <si>
    <t>Wetland Restoration</t>
  </si>
  <si>
    <t>Wetland Wildlife Habitat Management</t>
  </si>
  <si>
    <t>Windbreak/Shelterbelt Establishment</t>
  </si>
  <si>
    <t>Windbreak/Shelterbelt Renovation</t>
  </si>
  <si>
    <t>Enhancement - Air Resource Management</t>
  </si>
  <si>
    <t>Enhancement - Energy Management</t>
  </si>
  <si>
    <t>Enhancement - Grazing Management</t>
  </si>
  <si>
    <t>Enhancement - Habitat Management</t>
  </si>
  <si>
    <t>Enhancement - Nutrient Management</t>
  </si>
  <si>
    <t>Enhancement - Pest Management</t>
  </si>
  <si>
    <t>Enhancement - Soil Management</t>
  </si>
  <si>
    <t>Enhancement - Water Management</t>
  </si>
  <si>
    <t>Existing Practice Payment</t>
  </si>
  <si>
    <t>Stewardship Payment</t>
  </si>
  <si>
    <t>Cropland Annual Payment</t>
  </si>
  <si>
    <t>Pasture Annual Payment</t>
  </si>
  <si>
    <t>Rangeland Annual Payment</t>
  </si>
  <si>
    <t>Supplemental Payment</t>
  </si>
  <si>
    <t>Pastured Cropland Annual Payment</t>
  </si>
  <si>
    <t>Grain Farming</t>
  </si>
  <si>
    <t>Greenhouse- nursery - and floriculture product</t>
  </si>
  <si>
    <t>All other crop farming</t>
  </si>
  <si>
    <t>Cattle ranching and farming</t>
  </si>
  <si>
    <t>Support activities for agriculture and forest</t>
  </si>
  <si>
    <t>Mining and quarrying sand - gravel - clay and</t>
  </si>
  <si>
    <t>Water - sewage and other treatment and delivery</t>
  </si>
  <si>
    <t>Construct other new nonresidential structures</t>
  </si>
  <si>
    <t>Environmental and other technical consulting services</t>
  </si>
  <si>
    <t>Permanent Easement</t>
  </si>
  <si>
    <t>30 Year Easements</t>
  </si>
  <si>
    <t>Restoration</t>
  </si>
  <si>
    <t>Survey Costs</t>
  </si>
  <si>
    <t>Closing Costs</t>
  </si>
  <si>
    <t>WRP</t>
  </si>
  <si>
    <t>Program</t>
  </si>
  <si>
    <t xml:space="preserve"> Federal Cost </t>
  </si>
  <si>
    <t xml:space="preserve"> Direct Impacts </t>
  </si>
  <si>
    <t xml:space="preserve"> Total Output </t>
  </si>
  <si>
    <t xml:space="preserve"> Total Value Added  </t>
  </si>
  <si>
    <t xml:space="preserve"> Direct Jobs </t>
  </si>
  <si>
    <t xml:space="preserve"> Total Jobs </t>
  </si>
  <si>
    <t xml:space="preserve"> Jobs per $1 Million of Federal Cost </t>
  </si>
  <si>
    <t>Federal Cost Output Multiplier</t>
  </si>
  <si>
    <t>CSP 2008</t>
  </si>
  <si>
    <t>CSP 2002</t>
  </si>
  <si>
    <t>NRCS TA</t>
  </si>
  <si>
    <t>Totals</t>
  </si>
  <si>
    <t>GRP</t>
  </si>
  <si>
    <t>RENT COMMUNICATIONS&amp;UTILITIES</t>
  </si>
  <si>
    <t>PRINTING AND REPRODUCTION</t>
  </si>
  <si>
    <t>PERSONNEL COMPENSATION</t>
  </si>
  <si>
    <t> 1131</t>
  </si>
  <si>
    <t>BS PY USNON-WGE FLL TIME TEMP</t>
  </si>
  <si>
    <t> 1151</t>
  </si>
  <si>
    <t>CASH AND SUGGESTION AWARDS</t>
  </si>
  <si>
    <t> 1200</t>
  </si>
  <si>
    <t>PERSONNEL BENEFITS</t>
  </si>
  <si>
    <t> 1290</t>
  </si>
  <si>
    <t>EMPLOYEE TOS BENEFITS</t>
  </si>
  <si>
    <t> 2100</t>
  </si>
  <si>
    <t>TRVL &amp; TRANSP OF PERSONS</t>
  </si>
  <si>
    <t> 2200</t>
  </si>
  <si>
    <t>SHIPMENT OF HOUSEHOLD GOODS</t>
  </si>
  <si>
    <t> 2300</t>
  </si>
  <si>
    <t> 2400</t>
  </si>
  <si>
    <t> 2500</t>
  </si>
  <si>
    <t>OTHER SERVICES</t>
  </si>
  <si>
    <t> 2550</t>
  </si>
  <si>
    <t>AGREEMENTS</t>
  </si>
  <si>
    <t> 2600</t>
  </si>
  <si>
    <t>GASOHOL</t>
  </si>
  <si>
    <t>NON-ACCT&amp;NON-CAP&amp;NON-SNSTV EQP</t>
  </si>
  <si>
    <t>FURNTR&amp;FIXTURES ACCTBLNON-CAP</t>
  </si>
  <si>
    <t>MOTOR VEHICLES ACCTBLNON-CAP</t>
  </si>
  <si>
    <t> 4200</t>
  </si>
  <si>
    <t>INSURANCE CLAIMS AND INDEMNIT</t>
  </si>
  <si>
    <t> 4300</t>
  </si>
  <si>
    <t>PROMPT PAYMENT ACT-INTEREST</t>
  </si>
  <si>
    <t>In FY2010:</t>
  </si>
  <si>
    <t>NRCS had $63.6 million in direct expenditures into the South Dakota economy.</t>
  </si>
  <si>
    <t>Source:  IMPLAN</t>
  </si>
  <si>
    <t>NRCS Programmatic and TA Economic Impacts in the State of South Dakota, FY2010</t>
  </si>
  <si>
    <t>This includes the direct impact on business activity and the indirect impact (businesses and households purchasing goods and services within the state).</t>
  </si>
  <si>
    <t>Create or support 914 jobs in South Dakota (not including NRCS employees).</t>
  </si>
  <si>
    <t>For every $1.00 expenditure, an additional $0.60 of economic activity was created (multiplier effect).</t>
  </si>
  <si>
    <t>These expenditures resulted in $101.7 million in total output (sales of goods and services) and $54.4 million in local wages and profits.</t>
  </si>
</sst>
</file>

<file path=xl/styles.xml><?xml version="1.0" encoding="utf-8"?>
<styleSheet xmlns="http://schemas.openxmlformats.org/spreadsheetml/2006/main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&quot;$&quot;#,##0"/>
    <numFmt numFmtId="166" formatCode="0.0"/>
    <numFmt numFmtId="167" formatCode="_(&quot;$&quot;* #,##0_);_(&quot;$&quot;* \(#,##0\);_(&quot;$&quot;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 style="medium">
        <color indexed="8"/>
      </bottom>
      <diagonal/>
    </border>
    <border>
      <left/>
      <right/>
      <top style="thick">
        <color indexed="8"/>
      </top>
      <bottom style="medium">
        <color indexed="8"/>
      </bottom>
      <diagonal/>
    </border>
    <border>
      <left/>
      <right style="medium">
        <color indexed="8"/>
      </right>
      <top style="thick">
        <color indexed="8"/>
      </top>
      <bottom style="medium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thick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ck">
        <color indexed="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49" fontId="0" fillId="0" borderId="0" xfId="0" applyNumberFormat="1" applyAlignment="1">
      <alignment wrapText="1"/>
    </xf>
    <xf numFmtId="0" fontId="0" fillId="0" borderId="0" xfId="0" applyNumberFormat="1" applyAlignment="1">
      <alignment wrapText="1"/>
    </xf>
    <xf numFmtId="43" fontId="0" fillId="0" borderId="0" xfId="1" applyFont="1"/>
    <xf numFmtId="164" fontId="0" fillId="0" borderId="0" xfId="1" applyNumberFormat="1" applyFont="1"/>
    <xf numFmtId="44" fontId="0" fillId="0" borderId="0" xfId="2" applyFont="1"/>
    <xf numFmtId="44" fontId="0" fillId="0" borderId="0" xfId="0" applyNumberFormat="1"/>
    <xf numFmtId="0" fontId="2" fillId="0" borderId="0" xfId="0" applyFont="1"/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horizontal="center" wrapText="1"/>
    </xf>
    <xf numFmtId="0" fontId="5" fillId="0" borderId="7" xfId="0" applyFont="1" applyBorder="1" applyAlignment="1">
      <alignment wrapText="1"/>
    </xf>
    <xf numFmtId="165" fontId="5" fillId="0" borderId="8" xfId="0" applyNumberFormat="1" applyFont="1" applyBorder="1" applyAlignment="1">
      <alignment horizontal="right" wrapText="1"/>
    </xf>
    <xf numFmtId="166" fontId="6" fillId="0" borderId="8" xfId="0" applyNumberFormat="1" applyFont="1" applyBorder="1" applyAlignment="1">
      <alignment horizontal="right" wrapText="1"/>
    </xf>
    <xf numFmtId="166" fontId="5" fillId="0" borderId="8" xfId="0" applyNumberFormat="1" applyFont="1" applyBorder="1" applyAlignment="1">
      <alignment horizontal="right" wrapText="1"/>
    </xf>
    <xf numFmtId="0" fontId="5" fillId="0" borderId="8" xfId="0" applyFont="1" applyBorder="1" applyAlignment="1">
      <alignment horizontal="right" wrapText="1"/>
    </xf>
    <xf numFmtId="0" fontId="5" fillId="0" borderId="9" xfId="0" applyFont="1" applyBorder="1" applyAlignment="1">
      <alignment wrapText="1"/>
    </xf>
    <xf numFmtId="165" fontId="5" fillId="0" borderId="10" xfId="0" applyNumberFormat="1" applyFont="1" applyBorder="1" applyAlignment="1">
      <alignment horizontal="right" wrapText="1"/>
    </xf>
    <xf numFmtId="3" fontId="5" fillId="0" borderId="10" xfId="0" applyNumberFormat="1" applyFont="1" applyBorder="1" applyAlignment="1">
      <alignment horizontal="right" wrapText="1"/>
    </xf>
    <xf numFmtId="0" fontId="0" fillId="0" borderId="0" xfId="0" applyFill="1"/>
    <xf numFmtId="0" fontId="7" fillId="0" borderId="11" xfId="0" applyFont="1" applyFill="1" applyBorder="1" applyAlignment="1">
      <alignment horizontal="left" vertical="top" wrapText="1"/>
    </xf>
    <xf numFmtId="0" fontId="7" fillId="0" borderId="11" xfId="0" applyFont="1" applyFill="1" applyBorder="1" applyAlignment="1">
      <alignment horizontal="right" vertical="top" wrapText="1"/>
    </xf>
    <xf numFmtId="0" fontId="8" fillId="0" borderId="11" xfId="0" applyFont="1" applyFill="1" applyBorder="1" applyAlignment="1">
      <alignment horizontal="center" vertical="top" wrapText="1"/>
    </xf>
    <xf numFmtId="0" fontId="8" fillId="0" borderId="11" xfId="0" applyFont="1" applyFill="1" applyBorder="1" applyAlignment="1">
      <alignment horizontal="left" vertical="top" wrapText="1"/>
    </xf>
    <xf numFmtId="0" fontId="8" fillId="0" borderId="11" xfId="0" applyFont="1" applyFill="1" applyBorder="1" applyAlignment="1">
      <alignment horizontal="right" vertical="top" wrapText="1" readingOrder="1"/>
    </xf>
    <xf numFmtId="0" fontId="7" fillId="0" borderId="11" xfId="0" applyFont="1" applyFill="1" applyBorder="1" applyAlignment="1">
      <alignment horizontal="right" vertical="top" wrapText="1" readingOrder="1"/>
    </xf>
    <xf numFmtId="167" fontId="7" fillId="0" borderId="11" xfId="2" applyNumberFormat="1" applyFont="1" applyFill="1" applyBorder="1" applyAlignment="1">
      <alignment horizontal="right" vertical="top" wrapText="1"/>
    </xf>
    <xf numFmtId="167" fontId="8" fillId="0" borderId="11" xfId="2" applyNumberFormat="1" applyFont="1" applyFill="1" applyBorder="1" applyAlignment="1">
      <alignment horizontal="right" vertical="top" wrapText="1"/>
    </xf>
    <xf numFmtId="167" fontId="0" fillId="0" borderId="0" xfId="0" applyNumberFormat="1" applyFill="1"/>
    <xf numFmtId="165" fontId="5" fillId="0" borderId="8" xfId="0" applyNumberFormat="1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166" fontId="5" fillId="0" borderId="8" xfId="0" applyNumberFormat="1" applyFont="1" applyBorder="1" applyAlignment="1">
      <alignment horizont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FY2010 NRCS Total Expenditures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0.2213687664041995"/>
          <c:y val="0.14814814814814828"/>
          <c:w val="0.46111111111111114"/>
          <c:h val="0.76851851851851904"/>
        </c:manualLayout>
      </c:layout>
      <c:pieChart>
        <c:varyColors val="1"/>
        <c:ser>
          <c:idx val="1"/>
          <c:order val="1"/>
          <c:dLbls>
            <c:dLblPos val="bestFit"/>
            <c:showVal val="1"/>
          </c:dLbls>
          <c:cat>
            <c:strRef>
              <c:f>Summary!$A$3:$A$9</c:f>
              <c:strCache>
                <c:ptCount val="7"/>
                <c:pt idx="0">
                  <c:v>EQIP</c:v>
                </c:pt>
                <c:pt idx="1">
                  <c:v>WHIP</c:v>
                </c:pt>
                <c:pt idx="2">
                  <c:v>CSP 2008</c:v>
                </c:pt>
                <c:pt idx="3">
                  <c:v>CSP 2002</c:v>
                </c:pt>
                <c:pt idx="4">
                  <c:v>WRP</c:v>
                </c:pt>
                <c:pt idx="5">
                  <c:v>GRP</c:v>
                </c:pt>
                <c:pt idx="6">
                  <c:v>NRCS TA</c:v>
                </c:pt>
              </c:strCache>
            </c:strRef>
          </c:cat>
          <c:val>
            <c:numRef>
              <c:f>Summary!$B$3:$B$9</c:f>
              <c:numCache>
                <c:formatCode>"$"#,##0</c:formatCode>
                <c:ptCount val="7"/>
                <c:pt idx="0">
                  <c:v>12102144</c:v>
                </c:pt>
                <c:pt idx="1">
                  <c:v>505024</c:v>
                </c:pt>
                <c:pt idx="2">
                  <c:v>12719169</c:v>
                </c:pt>
                <c:pt idx="3">
                  <c:v>3883204</c:v>
                </c:pt>
                <c:pt idx="4">
                  <c:v>6787936</c:v>
                </c:pt>
                <c:pt idx="5">
                  <c:v>978625</c:v>
                </c:pt>
                <c:pt idx="6">
                  <c:v>26584792.760000002</c:v>
                </c:pt>
              </c:numCache>
            </c:numRef>
          </c:val>
        </c:ser>
        <c:ser>
          <c:idx val="0"/>
          <c:order val="0"/>
          <c:cat>
            <c:strRef>
              <c:f>Summary!$A$3:$A$9</c:f>
              <c:strCache>
                <c:ptCount val="7"/>
                <c:pt idx="0">
                  <c:v>EQIP</c:v>
                </c:pt>
                <c:pt idx="1">
                  <c:v>WHIP</c:v>
                </c:pt>
                <c:pt idx="2">
                  <c:v>CSP 2008</c:v>
                </c:pt>
                <c:pt idx="3">
                  <c:v>CSP 2002</c:v>
                </c:pt>
                <c:pt idx="4">
                  <c:v>WRP</c:v>
                </c:pt>
                <c:pt idx="5">
                  <c:v>GRP</c:v>
                </c:pt>
                <c:pt idx="6">
                  <c:v>NRCS TA</c:v>
                </c:pt>
              </c:strCache>
            </c:strRef>
          </c:cat>
          <c:val>
            <c:numRef>
              <c:f>Summary!$B$3:$B$9</c:f>
              <c:numCache>
                <c:formatCode>"$"#,##0</c:formatCode>
                <c:ptCount val="7"/>
                <c:pt idx="0">
                  <c:v>12102144</c:v>
                </c:pt>
                <c:pt idx="1">
                  <c:v>505024</c:v>
                </c:pt>
                <c:pt idx="2">
                  <c:v>12719169</c:v>
                </c:pt>
                <c:pt idx="3">
                  <c:v>3883204</c:v>
                </c:pt>
                <c:pt idx="4">
                  <c:v>6787936</c:v>
                </c:pt>
                <c:pt idx="5">
                  <c:v>978625</c:v>
                </c:pt>
                <c:pt idx="6">
                  <c:v>26584792.760000002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spPr>
    <a:scene3d>
      <a:camera prst="orthographicFront"/>
      <a:lightRig rig="threePt" dir="t"/>
    </a:scene3d>
    <a:sp3d>
      <a:bevelT/>
    </a:sp3d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FY2010</a:t>
            </a:r>
            <a:r>
              <a:rPr lang="en-US" baseline="0"/>
              <a:t> NRCS Program Expenditures</a:t>
            </a:r>
            <a:endParaRPr lang="en-US"/>
          </a:p>
        </c:rich>
      </c:tx>
      <c:layout/>
    </c:title>
    <c:plotArea>
      <c:layout>
        <c:manualLayout>
          <c:layoutTarget val="inner"/>
          <c:xMode val="edge"/>
          <c:yMode val="edge"/>
          <c:x val="0.16581321084864395"/>
          <c:y val="0.14351851851851852"/>
          <c:w val="0.4861111111111111"/>
          <c:h val="0.81018518518518523"/>
        </c:manualLayout>
      </c:layout>
      <c:pieChart>
        <c:varyColors val="1"/>
        <c:ser>
          <c:idx val="1"/>
          <c:order val="0"/>
          <c:dLbls>
            <c:dLbl>
              <c:idx val="5"/>
              <c:layout>
                <c:manualLayout>
                  <c:x val="2.2712379702537182E-2"/>
                  <c:y val="0.12102143482064742"/>
                </c:manualLayout>
              </c:layout>
              <c:dLblPos val="bestFit"/>
              <c:showVal val="1"/>
            </c:dLbl>
            <c:dLblPos val="bestFit"/>
            <c:showVal val="1"/>
            <c:showLeaderLines val="1"/>
          </c:dLbls>
          <c:cat>
            <c:strRef>
              <c:f>Summary!$A$3:$A$8</c:f>
              <c:strCache>
                <c:ptCount val="6"/>
                <c:pt idx="0">
                  <c:v>EQIP</c:v>
                </c:pt>
                <c:pt idx="1">
                  <c:v>WHIP</c:v>
                </c:pt>
                <c:pt idx="2">
                  <c:v>CSP 2008</c:v>
                </c:pt>
                <c:pt idx="3">
                  <c:v>CSP 2002</c:v>
                </c:pt>
                <c:pt idx="4">
                  <c:v>WRP</c:v>
                </c:pt>
                <c:pt idx="5">
                  <c:v>GRP</c:v>
                </c:pt>
              </c:strCache>
            </c:strRef>
          </c:cat>
          <c:val>
            <c:numRef>
              <c:f>Summary!$B$3:$B$8</c:f>
              <c:numCache>
                <c:formatCode>"$"#,##0</c:formatCode>
                <c:ptCount val="6"/>
                <c:pt idx="0">
                  <c:v>12102144</c:v>
                </c:pt>
                <c:pt idx="1">
                  <c:v>505024</c:v>
                </c:pt>
                <c:pt idx="2">
                  <c:v>12719169</c:v>
                </c:pt>
                <c:pt idx="3">
                  <c:v>3883204</c:v>
                </c:pt>
                <c:pt idx="4">
                  <c:v>6787936</c:v>
                </c:pt>
                <c:pt idx="5">
                  <c:v>978625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spPr>
    <a:scene3d>
      <a:camera prst="orthographicFront"/>
      <a:lightRig rig="threePt" dir="t"/>
    </a:scene3d>
    <a:sp3d>
      <a:bevelT/>
    </a:sp3d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85725</xdr:colOff>
      <xdr:row>3</xdr:row>
      <xdr:rowOff>85725</xdr:rowOff>
    </xdr:to>
    <xdr:pic>
      <xdr:nvPicPr>
        <xdr:cNvPr id="3073" name="Picture 1" descr="https://ideareports.sc.egov.usda.gov/ReportServer/Reserved.ReportViewerWebControl.axd?ExecutionID=40lcmveyi4z1cnrmyohvyn45&amp;ControlID=dcf4e093836248c0a03e7a351184bbcf&amp;Culture=127&amp;UICulture=9&amp;ReportStack=1&amp;OpType=ReportImage&amp;ResourceStreamID=9.00.4053.00ToggleMinus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10391775"/>
          <a:ext cx="85725" cy="857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85725</xdr:colOff>
      <xdr:row>4</xdr:row>
      <xdr:rowOff>85725</xdr:rowOff>
    </xdr:to>
    <xdr:pic>
      <xdr:nvPicPr>
        <xdr:cNvPr id="3074" name="Picture 2" descr="https://ideareports.sc.egov.usda.gov/ReportServer/Reserved.ReportViewerWebControl.axd?ExecutionID=40lcmveyi4z1cnrmyohvyn45&amp;ControlID=dcf4e093836248c0a03e7a351184bbcf&amp;Culture=127&amp;UICulture=9&amp;ReportStack=1&amp;OpType=ReportImage&amp;ResourceStreamID=9.00.4053.00ToggleMinus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11915775"/>
          <a:ext cx="85725" cy="857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85725</xdr:colOff>
      <xdr:row>5</xdr:row>
      <xdr:rowOff>85725</xdr:rowOff>
    </xdr:to>
    <xdr:pic>
      <xdr:nvPicPr>
        <xdr:cNvPr id="3075" name="Picture 3" descr="https://ideareports.sc.egov.usda.gov/ReportServer/Reserved.ReportViewerWebControl.axd?ExecutionID=40lcmveyi4z1cnrmyohvyn45&amp;ControlID=dcf4e093836248c0a03e7a351184bbcf&amp;Culture=127&amp;UICulture=9&amp;ReportStack=1&amp;OpType=ReportImage&amp;ResourceStreamID=9.00.4053.00ToggleMinus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13801725"/>
          <a:ext cx="85725" cy="857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85725</xdr:colOff>
      <xdr:row>6</xdr:row>
      <xdr:rowOff>85725</xdr:rowOff>
    </xdr:to>
    <xdr:pic>
      <xdr:nvPicPr>
        <xdr:cNvPr id="3076" name="Picture 4" descr="https://ideareports.sc.egov.usda.gov/ReportServer/Reserved.ReportViewerWebControl.axd?ExecutionID=40lcmveyi4z1cnrmyohvyn45&amp;ControlID=dcf4e093836248c0a03e7a351184bbcf&amp;Culture=127&amp;UICulture=9&amp;ReportStack=1&amp;OpType=ReportImage&amp;ResourceStreamID=9.00.4053.00ToggleMinus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19783425"/>
          <a:ext cx="85725" cy="857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85725</xdr:colOff>
      <xdr:row>7</xdr:row>
      <xdr:rowOff>85725</xdr:rowOff>
    </xdr:to>
    <xdr:pic>
      <xdr:nvPicPr>
        <xdr:cNvPr id="3077" name="Picture 5" descr="https://ideareports.sc.egov.usda.gov/ReportServer/Reserved.ReportViewerWebControl.axd?ExecutionID=40lcmveyi4z1cnrmyohvyn45&amp;ControlID=dcf4e093836248c0a03e7a351184bbcf&amp;Culture=127&amp;UICulture=9&amp;ReportStack=1&amp;OpType=ReportImage&amp;ResourceStreamID=9.00.4053.00ToggleMinus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22021800"/>
          <a:ext cx="85725" cy="857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85725</xdr:colOff>
      <xdr:row>8</xdr:row>
      <xdr:rowOff>85725</xdr:rowOff>
    </xdr:to>
    <xdr:pic>
      <xdr:nvPicPr>
        <xdr:cNvPr id="3078" name="Picture 6" descr="https://ideareports.sc.egov.usda.gov/ReportServer/Reserved.ReportViewerWebControl.axd?ExecutionID=40lcmveyi4z1cnrmyohvyn45&amp;ControlID=dcf4e093836248c0a03e7a351184bbcf&amp;Culture=127&amp;UICulture=9&amp;ReportStack=1&amp;OpType=ReportImage&amp;ResourceStreamID=9.00.4053.00ToggleMinus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26850975"/>
          <a:ext cx="85725" cy="857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85725</xdr:colOff>
      <xdr:row>9</xdr:row>
      <xdr:rowOff>85725</xdr:rowOff>
    </xdr:to>
    <xdr:pic>
      <xdr:nvPicPr>
        <xdr:cNvPr id="3079" name="Picture 7" descr="https://ideareports.sc.egov.usda.gov/ReportServer/Reserved.ReportViewerWebControl.axd?ExecutionID=40lcmveyi4z1cnrmyohvyn45&amp;ControlID=dcf4e093836248c0a03e7a351184bbcf&amp;Culture=127&amp;UICulture=9&amp;ReportStack=1&amp;OpType=ReportImage&amp;ResourceStreamID=9.00.4053.00ToggleMinus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28374975"/>
          <a:ext cx="85725" cy="857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85725</xdr:colOff>
      <xdr:row>10</xdr:row>
      <xdr:rowOff>85725</xdr:rowOff>
    </xdr:to>
    <xdr:pic>
      <xdr:nvPicPr>
        <xdr:cNvPr id="3080" name="Picture 8" descr="https://ideareports.sc.egov.usda.gov/ReportServer/Reserved.ReportViewerWebControl.axd?ExecutionID=40lcmveyi4z1cnrmyohvyn45&amp;ControlID=dcf4e093836248c0a03e7a351184bbcf&amp;Culture=127&amp;UICulture=9&amp;ReportStack=1&amp;OpType=ReportImage&amp;ResourceStreamID=9.00.4053.00ToggleMinus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32546925"/>
          <a:ext cx="85725" cy="857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85725</xdr:colOff>
      <xdr:row>11</xdr:row>
      <xdr:rowOff>85725</xdr:rowOff>
    </xdr:to>
    <xdr:pic>
      <xdr:nvPicPr>
        <xdr:cNvPr id="3081" name="Picture 9" descr="https://ideareports.sc.egov.usda.gov/ReportServer/Reserved.ReportViewerWebControl.axd?ExecutionID=40lcmveyi4z1cnrmyohvyn45&amp;ControlID=dcf4e093836248c0a03e7a351184bbcf&amp;Culture=127&amp;UICulture=9&amp;ReportStack=1&amp;OpType=ReportImage&amp;ResourceStreamID=9.00.4053.00ToggleMinus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34432875"/>
          <a:ext cx="85725" cy="857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pic>
      <xdr:nvPicPr>
        <xdr:cNvPr id="3082" name="Picture 10" descr="https://ideareports.sc.egov.usda.gov/ReportServer/Reserved.ReportViewerWebControl.axd?ExecutionID=40lcmveyi4z1cnrmyohvyn45&amp;ControlID=dcf4e093836248c0a03e7a351184bbcf&amp;Culture=127&amp;UICulture=9&amp;ReportStack=1&amp;OpType=ReportImage&amp;ResourceStreamID=9.00.4053.00ToggleMinus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39576375"/>
          <a:ext cx="85725" cy="857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85725</xdr:colOff>
      <xdr:row>13</xdr:row>
      <xdr:rowOff>85725</xdr:rowOff>
    </xdr:to>
    <xdr:pic>
      <xdr:nvPicPr>
        <xdr:cNvPr id="3083" name="Picture 11" descr="https://ideareports.sc.egov.usda.gov/ReportServer/Reserved.ReportViewerWebControl.axd?ExecutionID=40lcmveyi4z1cnrmyohvyn45&amp;ControlID=dcf4e093836248c0a03e7a351184bbcf&amp;Culture=127&amp;UICulture=9&amp;ReportStack=1&amp;OpType=ReportImage&amp;ResourceStreamID=9.00.4053.00ToggleMinus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40366950"/>
          <a:ext cx="85725" cy="857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85725</xdr:colOff>
      <xdr:row>14</xdr:row>
      <xdr:rowOff>85725</xdr:rowOff>
    </xdr:to>
    <xdr:pic>
      <xdr:nvPicPr>
        <xdr:cNvPr id="3084" name="Picture 12" descr="https://ideareports.sc.egov.usda.gov/ReportServer/Reserved.ReportViewerWebControl.axd?ExecutionID=40lcmveyi4z1cnrmyohvyn45&amp;ControlID=dcf4e093836248c0a03e7a351184bbcf&amp;Culture=127&amp;UICulture=9&amp;ReportStack=1&amp;OpType=ReportImage&amp;ResourceStreamID=9.00.4053.00ToggleMinus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42700575"/>
          <a:ext cx="85725" cy="857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85725</xdr:colOff>
      <xdr:row>17</xdr:row>
      <xdr:rowOff>85725</xdr:rowOff>
    </xdr:to>
    <xdr:pic>
      <xdr:nvPicPr>
        <xdr:cNvPr id="3085" name="Picture 13" descr="https://ideareports.sc.egov.usda.gov/ReportServer/Reserved.ReportViewerWebControl.axd?ExecutionID=40lcmveyi4z1cnrmyohvyn45&amp;ControlID=dcf4e093836248c0a03e7a351184bbcf&amp;Culture=127&amp;UICulture=9&amp;ReportStack=1&amp;OpType=ReportImage&amp;ResourceStreamID=9.00.4053.00ToggleMinus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44567475"/>
          <a:ext cx="85725" cy="857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85725</xdr:colOff>
      <xdr:row>18</xdr:row>
      <xdr:rowOff>85725</xdr:rowOff>
    </xdr:to>
    <xdr:pic>
      <xdr:nvPicPr>
        <xdr:cNvPr id="3086" name="Picture 14" descr="https://ideareports.sc.egov.usda.gov/ReportServer/Reserved.ReportViewerWebControl.axd?ExecutionID=40lcmveyi4z1cnrmyohvyn45&amp;ControlID=dcf4e093836248c0a03e7a351184bbcf&amp;Culture=127&amp;UICulture=9&amp;ReportStack=1&amp;OpType=ReportImage&amp;ResourceStreamID=9.00.4053.00ToggleMinus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45624750"/>
          <a:ext cx="85725" cy="857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485775</xdr:colOff>
      <xdr:row>0</xdr:row>
      <xdr:rowOff>180975</xdr:rowOff>
    </xdr:from>
    <xdr:to>
      <xdr:col>17</xdr:col>
      <xdr:colOff>180975</xdr:colOff>
      <xdr:row>8</xdr:row>
      <xdr:rowOff>200025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504825</xdr:colOff>
      <xdr:row>9</xdr:row>
      <xdr:rowOff>104775</xdr:rowOff>
    </xdr:from>
    <xdr:to>
      <xdr:col>17</xdr:col>
      <xdr:colOff>200025</xdr:colOff>
      <xdr:row>22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10Protrac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rp%20201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ontract Data"/>
      <sheetName val="EQIP1996"/>
      <sheetName val="EQIP2002"/>
      <sheetName val="EQIP2008"/>
      <sheetName val="WHIP2002"/>
      <sheetName val="WHIP2008"/>
      <sheetName val="CSP2002"/>
      <sheetName val="CSP2008"/>
      <sheetName val="Sheet2"/>
      <sheetName val="GRP"/>
    </sheetNames>
    <sheetDataSet>
      <sheetData sheetId="0"/>
      <sheetData sheetId="1"/>
      <sheetData sheetId="2">
        <row r="2">
          <cell r="B2">
            <v>0</v>
          </cell>
          <cell r="D2">
            <v>0</v>
          </cell>
        </row>
        <row r="3">
          <cell r="B3">
            <v>0</v>
          </cell>
          <cell r="D3">
            <v>0</v>
          </cell>
        </row>
        <row r="4">
          <cell r="B4">
            <v>0</v>
          </cell>
          <cell r="D4">
            <v>0</v>
          </cell>
        </row>
        <row r="5">
          <cell r="B5">
            <v>0</v>
          </cell>
          <cell r="D5">
            <v>0</v>
          </cell>
        </row>
        <row r="6">
          <cell r="B6">
            <v>0</v>
          </cell>
          <cell r="D6">
            <v>0</v>
          </cell>
        </row>
        <row r="7">
          <cell r="B7">
            <v>0</v>
          </cell>
          <cell r="D7">
            <v>0</v>
          </cell>
        </row>
        <row r="8">
          <cell r="B8">
            <v>0</v>
          </cell>
          <cell r="D8">
            <v>0</v>
          </cell>
        </row>
        <row r="9">
          <cell r="B9">
            <v>0</v>
          </cell>
          <cell r="D9">
            <v>0</v>
          </cell>
        </row>
        <row r="10">
          <cell r="B10">
            <v>0</v>
          </cell>
          <cell r="D10">
            <v>0</v>
          </cell>
        </row>
        <row r="11">
          <cell r="B11">
            <v>1815</v>
          </cell>
          <cell r="D11">
            <v>0</v>
          </cell>
        </row>
        <row r="12">
          <cell r="B12">
            <v>0</v>
          </cell>
          <cell r="D12">
            <v>0</v>
          </cell>
        </row>
        <row r="13">
          <cell r="B13">
            <v>0</v>
          </cell>
          <cell r="D13">
            <v>0</v>
          </cell>
        </row>
        <row r="14">
          <cell r="B14">
            <v>0</v>
          </cell>
          <cell r="D14">
            <v>0</v>
          </cell>
        </row>
        <row r="15">
          <cell r="B15">
            <v>0</v>
          </cell>
          <cell r="D15">
            <v>0</v>
          </cell>
        </row>
        <row r="16">
          <cell r="B16">
            <v>0</v>
          </cell>
          <cell r="D16">
            <v>0</v>
          </cell>
        </row>
        <row r="17">
          <cell r="B17">
            <v>0</v>
          </cell>
          <cell r="D17">
            <v>0</v>
          </cell>
        </row>
        <row r="18">
          <cell r="B18">
            <v>0</v>
          </cell>
          <cell r="D18">
            <v>0</v>
          </cell>
        </row>
        <row r="19">
          <cell r="B19">
            <v>0</v>
          </cell>
          <cell r="D19">
            <v>0</v>
          </cell>
        </row>
        <row r="20">
          <cell r="B20">
            <v>0</v>
          </cell>
          <cell r="D20">
            <v>0</v>
          </cell>
        </row>
        <row r="21">
          <cell r="B21">
            <v>0</v>
          </cell>
          <cell r="D21">
            <v>0</v>
          </cell>
        </row>
        <row r="22">
          <cell r="B22">
            <v>0</v>
          </cell>
          <cell r="D22">
            <v>0</v>
          </cell>
        </row>
        <row r="23">
          <cell r="B23">
            <v>0</v>
          </cell>
          <cell r="D23">
            <v>0</v>
          </cell>
        </row>
        <row r="24">
          <cell r="B24">
            <v>0</v>
          </cell>
          <cell r="D24">
            <v>0</v>
          </cell>
        </row>
        <row r="25">
          <cell r="B25">
            <v>0</v>
          </cell>
          <cell r="D25">
            <v>0</v>
          </cell>
        </row>
        <row r="26">
          <cell r="B26">
            <v>0</v>
          </cell>
          <cell r="D26">
            <v>0</v>
          </cell>
        </row>
        <row r="27">
          <cell r="B27">
            <v>350</v>
          </cell>
          <cell r="D27">
            <v>0</v>
          </cell>
        </row>
        <row r="28">
          <cell r="B28">
            <v>0</v>
          </cell>
          <cell r="D28">
            <v>0</v>
          </cell>
        </row>
        <row r="29">
          <cell r="B29">
            <v>0</v>
          </cell>
          <cell r="D29">
            <v>0</v>
          </cell>
        </row>
        <row r="30">
          <cell r="B30">
            <v>61</v>
          </cell>
          <cell r="D30">
            <v>1594.96</v>
          </cell>
        </row>
        <row r="31">
          <cell r="B31">
            <v>1566</v>
          </cell>
          <cell r="D31">
            <v>0</v>
          </cell>
        </row>
        <row r="32">
          <cell r="B32">
            <v>0</v>
          </cell>
          <cell r="D32">
            <v>0</v>
          </cell>
        </row>
        <row r="33">
          <cell r="B33">
            <v>0</v>
          </cell>
          <cell r="D33">
            <v>0</v>
          </cell>
        </row>
        <row r="34">
          <cell r="B34">
            <v>0</v>
          </cell>
          <cell r="D34">
            <v>0</v>
          </cell>
        </row>
        <row r="35">
          <cell r="B35">
            <v>0</v>
          </cell>
          <cell r="D35">
            <v>0</v>
          </cell>
        </row>
        <row r="36">
          <cell r="B36">
            <v>0</v>
          </cell>
          <cell r="D36">
            <v>0</v>
          </cell>
        </row>
        <row r="37">
          <cell r="B37">
            <v>0</v>
          </cell>
          <cell r="D37">
            <v>0</v>
          </cell>
        </row>
        <row r="38">
          <cell r="B38">
            <v>0</v>
          </cell>
          <cell r="D38">
            <v>0</v>
          </cell>
        </row>
        <row r="39">
          <cell r="B39">
            <v>0</v>
          </cell>
          <cell r="D39">
            <v>0</v>
          </cell>
        </row>
        <row r="40">
          <cell r="B40">
            <v>0</v>
          </cell>
          <cell r="D40">
            <v>0</v>
          </cell>
        </row>
        <row r="41">
          <cell r="B41">
            <v>0</v>
          </cell>
          <cell r="D41">
            <v>0</v>
          </cell>
        </row>
        <row r="42">
          <cell r="B42">
            <v>0</v>
          </cell>
          <cell r="D42">
            <v>0</v>
          </cell>
        </row>
        <row r="43">
          <cell r="B43">
            <v>0</v>
          </cell>
          <cell r="D43">
            <v>0</v>
          </cell>
        </row>
        <row r="44">
          <cell r="B44">
            <v>0</v>
          </cell>
          <cell r="D44">
            <v>0</v>
          </cell>
        </row>
        <row r="45">
          <cell r="B45">
            <v>0</v>
          </cell>
          <cell r="D45">
            <v>0</v>
          </cell>
        </row>
        <row r="46">
          <cell r="B46">
            <v>0</v>
          </cell>
          <cell r="D46">
            <v>0</v>
          </cell>
        </row>
        <row r="47">
          <cell r="B47">
            <v>0</v>
          </cell>
          <cell r="D47">
            <v>0</v>
          </cell>
        </row>
        <row r="48">
          <cell r="B48">
            <v>0</v>
          </cell>
          <cell r="D48">
            <v>0</v>
          </cell>
        </row>
        <row r="49">
          <cell r="B49">
            <v>0</v>
          </cell>
          <cell r="D49">
            <v>0</v>
          </cell>
        </row>
        <row r="50">
          <cell r="B50">
            <v>16</v>
          </cell>
          <cell r="D50">
            <v>11119.800000000001</v>
          </cell>
        </row>
        <row r="51">
          <cell r="B51">
            <v>0</v>
          </cell>
          <cell r="D51">
            <v>0</v>
          </cell>
        </row>
        <row r="52">
          <cell r="B52">
            <v>0</v>
          </cell>
          <cell r="D52">
            <v>0</v>
          </cell>
        </row>
        <row r="53">
          <cell r="B53">
            <v>0</v>
          </cell>
          <cell r="D53">
            <v>0</v>
          </cell>
        </row>
        <row r="54">
          <cell r="B54">
            <v>0</v>
          </cell>
          <cell r="D54">
            <v>0</v>
          </cell>
        </row>
        <row r="55">
          <cell r="B55">
            <v>0</v>
          </cell>
          <cell r="D55">
            <v>0</v>
          </cell>
        </row>
        <row r="56">
          <cell r="B56">
            <v>0</v>
          </cell>
          <cell r="D56">
            <v>0</v>
          </cell>
        </row>
      </sheetData>
      <sheetData sheetId="3">
        <row r="2">
          <cell r="B2">
            <v>0</v>
          </cell>
          <cell r="D2">
            <v>0</v>
          </cell>
        </row>
        <row r="3">
          <cell r="B3">
            <v>0</v>
          </cell>
          <cell r="D3">
            <v>0</v>
          </cell>
        </row>
        <row r="4">
          <cell r="B4">
            <v>0</v>
          </cell>
          <cell r="D4">
            <v>0</v>
          </cell>
        </row>
        <row r="5">
          <cell r="B5">
            <v>1</v>
          </cell>
          <cell r="D5">
            <v>719.4</v>
          </cell>
        </row>
        <row r="6">
          <cell r="B6">
            <v>0</v>
          </cell>
          <cell r="D6">
            <v>0</v>
          </cell>
        </row>
        <row r="7">
          <cell r="B7">
            <v>0</v>
          </cell>
          <cell r="D7">
            <v>0</v>
          </cell>
        </row>
        <row r="8">
          <cell r="B8">
            <v>0</v>
          </cell>
          <cell r="D8">
            <v>0</v>
          </cell>
        </row>
        <row r="9">
          <cell r="B9">
            <v>149</v>
          </cell>
          <cell r="D9">
            <v>7869.3</v>
          </cell>
        </row>
        <row r="10">
          <cell r="B10">
            <v>8430</v>
          </cell>
          <cell r="D10">
            <v>12173.21</v>
          </cell>
        </row>
        <row r="11">
          <cell r="B11">
            <v>802174.3</v>
          </cell>
          <cell r="D11">
            <v>440810.98000000027</v>
          </cell>
        </row>
        <row r="12">
          <cell r="B12">
            <v>0</v>
          </cell>
          <cell r="D12">
            <v>0</v>
          </cell>
        </row>
        <row r="13">
          <cell r="B13">
            <v>6.5</v>
          </cell>
          <cell r="D13">
            <v>455</v>
          </cell>
        </row>
        <row r="14">
          <cell r="B14">
            <v>0</v>
          </cell>
          <cell r="D14">
            <v>0</v>
          </cell>
        </row>
        <row r="15">
          <cell r="B15">
            <v>253.7</v>
          </cell>
          <cell r="D15">
            <v>16957.310000000001</v>
          </cell>
        </row>
        <row r="16">
          <cell r="B16">
            <v>0</v>
          </cell>
          <cell r="D16">
            <v>0</v>
          </cell>
        </row>
        <row r="17">
          <cell r="B17">
            <v>0</v>
          </cell>
          <cell r="D17">
            <v>0</v>
          </cell>
        </row>
        <row r="18">
          <cell r="B18">
            <v>6.6999999999999993</v>
          </cell>
          <cell r="D18">
            <v>4244.6000000000004</v>
          </cell>
        </row>
        <row r="19">
          <cell r="B19">
            <v>129.5</v>
          </cell>
          <cell r="D19">
            <v>410.68</v>
          </cell>
        </row>
        <row r="20">
          <cell r="B20">
            <v>194.7</v>
          </cell>
          <cell r="D20">
            <v>39868.61</v>
          </cell>
        </row>
        <row r="21">
          <cell r="B21">
            <v>123</v>
          </cell>
          <cell r="D21">
            <v>15990</v>
          </cell>
        </row>
        <row r="22">
          <cell r="B22">
            <v>1268</v>
          </cell>
          <cell r="D22">
            <v>6460</v>
          </cell>
        </row>
        <row r="23">
          <cell r="B23">
            <v>0</v>
          </cell>
          <cell r="D23">
            <v>0</v>
          </cell>
        </row>
        <row r="24">
          <cell r="B24">
            <v>6687.5999999999985</v>
          </cell>
          <cell r="D24">
            <v>24027.510000000002</v>
          </cell>
        </row>
        <row r="25">
          <cell r="B25">
            <v>1</v>
          </cell>
          <cell r="D25">
            <v>24069.32</v>
          </cell>
        </row>
        <row r="26">
          <cell r="B26">
            <v>34059.1</v>
          </cell>
          <cell r="D26">
            <v>66069.38</v>
          </cell>
        </row>
        <row r="27">
          <cell r="B27">
            <v>0</v>
          </cell>
          <cell r="D27">
            <v>0</v>
          </cell>
        </row>
        <row r="28">
          <cell r="B28">
            <v>1</v>
          </cell>
          <cell r="D28">
            <v>2700</v>
          </cell>
        </row>
        <row r="29">
          <cell r="B29">
            <v>1778</v>
          </cell>
          <cell r="D29">
            <v>1066.8</v>
          </cell>
        </row>
        <row r="30">
          <cell r="B30">
            <v>5839.3000000000011</v>
          </cell>
          <cell r="D30">
            <v>193344.02</v>
          </cell>
        </row>
        <row r="31">
          <cell r="B31">
            <v>2570.2999999999993</v>
          </cell>
          <cell r="D31">
            <v>17482.049999999996</v>
          </cell>
        </row>
        <row r="32">
          <cell r="B32">
            <v>825461.70000000007</v>
          </cell>
          <cell r="D32">
            <v>1249022.8700000013</v>
          </cell>
        </row>
        <row r="33">
          <cell r="B33">
            <v>7623.8</v>
          </cell>
          <cell r="D33">
            <v>35340.159999999996</v>
          </cell>
        </row>
        <row r="34">
          <cell r="B34">
            <v>0</v>
          </cell>
          <cell r="D34">
            <v>0</v>
          </cell>
        </row>
        <row r="35">
          <cell r="B35">
            <v>123</v>
          </cell>
          <cell r="D35">
            <v>95112.280000000013</v>
          </cell>
        </row>
        <row r="36">
          <cell r="B36">
            <v>487.90000000000003</v>
          </cell>
          <cell r="D36">
            <v>34540.11</v>
          </cell>
        </row>
        <row r="37">
          <cell r="B37">
            <v>0</v>
          </cell>
          <cell r="D37">
            <v>0</v>
          </cell>
        </row>
        <row r="38">
          <cell r="B38">
            <v>0</v>
          </cell>
          <cell r="D38">
            <v>0</v>
          </cell>
        </row>
        <row r="39">
          <cell r="B39">
            <v>0</v>
          </cell>
          <cell r="D39">
            <v>0</v>
          </cell>
        </row>
        <row r="40">
          <cell r="B40">
            <v>4705.3999999999996</v>
          </cell>
          <cell r="D40">
            <v>14060.050000000001</v>
          </cell>
        </row>
        <row r="41">
          <cell r="B41">
            <v>6130.1</v>
          </cell>
          <cell r="D41">
            <v>17011.84</v>
          </cell>
        </row>
        <row r="42">
          <cell r="B42">
            <v>3</v>
          </cell>
          <cell r="D42">
            <v>17420.45</v>
          </cell>
        </row>
        <row r="43">
          <cell r="B43">
            <v>378</v>
          </cell>
          <cell r="D43">
            <v>340.2</v>
          </cell>
        </row>
        <row r="44">
          <cell r="B44">
            <v>0</v>
          </cell>
          <cell r="D44">
            <v>0</v>
          </cell>
        </row>
        <row r="45">
          <cell r="B45">
            <v>1341</v>
          </cell>
          <cell r="D45">
            <v>1341</v>
          </cell>
        </row>
        <row r="46">
          <cell r="B46">
            <v>28.900000000000002</v>
          </cell>
          <cell r="D46">
            <v>792.64</v>
          </cell>
        </row>
        <row r="47">
          <cell r="B47">
            <v>0</v>
          </cell>
          <cell r="D47">
            <v>0</v>
          </cell>
        </row>
        <row r="48">
          <cell r="B48">
            <v>8</v>
          </cell>
          <cell r="D48">
            <v>648450.12</v>
          </cell>
        </row>
        <row r="49">
          <cell r="B49">
            <v>16</v>
          </cell>
          <cell r="D49">
            <v>108047.67</v>
          </cell>
        </row>
        <row r="50">
          <cell r="B50">
            <v>452</v>
          </cell>
          <cell r="D50">
            <v>530307.3600000001</v>
          </cell>
        </row>
        <row r="51">
          <cell r="B51">
            <v>3</v>
          </cell>
          <cell r="D51">
            <v>895</v>
          </cell>
        </row>
        <row r="52">
          <cell r="B52">
            <v>0</v>
          </cell>
          <cell r="D52">
            <v>0</v>
          </cell>
        </row>
        <row r="53">
          <cell r="B53">
            <v>2</v>
          </cell>
          <cell r="D53">
            <v>7402.5</v>
          </cell>
        </row>
        <row r="54">
          <cell r="B54">
            <v>0</v>
          </cell>
          <cell r="D54">
            <v>0</v>
          </cell>
        </row>
        <row r="55">
          <cell r="B55">
            <v>155536.59999999998</v>
          </cell>
          <cell r="D55">
            <v>41603.909999999996</v>
          </cell>
        </row>
        <row r="56">
          <cell r="B56">
            <v>2864.1</v>
          </cell>
          <cell r="D56">
            <v>4547.75</v>
          </cell>
        </row>
      </sheetData>
      <sheetData sheetId="4">
        <row r="2">
          <cell r="B2">
            <v>6055.4999999999991</v>
          </cell>
          <cell r="D2">
            <v>90124.059999999983</v>
          </cell>
        </row>
        <row r="3">
          <cell r="B3">
            <v>1</v>
          </cell>
          <cell r="D3">
            <v>1339</v>
          </cell>
        </row>
        <row r="4">
          <cell r="B4">
            <v>4</v>
          </cell>
          <cell r="D4">
            <v>107100</v>
          </cell>
        </row>
        <row r="5">
          <cell r="B5">
            <v>0</v>
          </cell>
          <cell r="D5">
            <v>0</v>
          </cell>
        </row>
        <row r="6">
          <cell r="B6">
            <v>84.2</v>
          </cell>
          <cell r="D6">
            <v>23576</v>
          </cell>
        </row>
        <row r="7">
          <cell r="B7">
            <v>2705.1</v>
          </cell>
          <cell r="D7">
            <v>17981.5</v>
          </cell>
        </row>
        <row r="8">
          <cell r="B8">
            <v>26285.600000000006</v>
          </cell>
          <cell r="D8">
            <v>489280.50999999995</v>
          </cell>
        </row>
        <row r="9">
          <cell r="B9">
            <v>69.400000000000006</v>
          </cell>
          <cell r="D9">
            <v>4010.46</v>
          </cell>
        </row>
        <row r="10">
          <cell r="B10">
            <v>6539</v>
          </cell>
          <cell r="D10">
            <v>9828.4</v>
          </cell>
        </row>
        <row r="11">
          <cell r="B11">
            <v>444481.8</v>
          </cell>
          <cell r="D11">
            <v>389114.19999999995</v>
          </cell>
        </row>
        <row r="12">
          <cell r="B12">
            <v>6.2</v>
          </cell>
          <cell r="D12">
            <v>439.64</v>
          </cell>
        </row>
        <row r="13">
          <cell r="B13">
            <v>0</v>
          </cell>
          <cell r="D13">
            <v>0</v>
          </cell>
        </row>
        <row r="14">
          <cell r="B14">
            <v>8</v>
          </cell>
          <cell r="D14">
            <v>1840</v>
          </cell>
        </row>
        <row r="15">
          <cell r="B15">
            <v>962.1</v>
          </cell>
          <cell r="D15">
            <v>20416.980000000003</v>
          </cell>
        </row>
        <row r="16">
          <cell r="B16">
            <v>257.8</v>
          </cell>
          <cell r="D16">
            <v>55656.35</v>
          </cell>
        </row>
        <row r="17">
          <cell r="B17">
            <v>1</v>
          </cell>
          <cell r="D17">
            <v>13600</v>
          </cell>
        </row>
        <row r="18">
          <cell r="B18">
            <v>0.8</v>
          </cell>
          <cell r="D18">
            <v>1098</v>
          </cell>
        </row>
        <row r="19">
          <cell r="B19">
            <v>45.4</v>
          </cell>
          <cell r="D19">
            <v>551.89</v>
          </cell>
        </row>
        <row r="20">
          <cell r="B20">
            <v>1854.7000000000003</v>
          </cell>
          <cell r="D20">
            <v>136492.5</v>
          </cell>
        </row>
        <row r="21">
          <cell r="B21">
            <v>870.49999999999989</v>
          </cell>
          <cell r="D21">
            <v>135947</v>
          </cell>
        </row>
        <row r="22">
          <cell r="B22">
            <v>5740</v>
          </cell>
          <cell r="D22">
            <v>45177.2</v>
          </cell>
        </row>
        <row r="23">
          <cell r="B23">
            <v>12853</v>
          </cell>
          <cell r="D23">
            <v>89546.3</v>
          </cell>
        </row>
        <row r="24">
          <cell r="B24">
            <v>732.40000000000009</v>
          </cell>
          <cell r="D24">
            <v>6061.89</v>
          </cell>
        </row>
        <row r="25">
          <cell r="B25">
            <v>3</v>
          </cell>
          <cell r="D25">
            <v>34200</v>
          </cell>
        </row>
        <row r="26">
          <cell r="B26">
            <v>13667.699999999999</v>
          </cell>
          <cell r="D26">
            <v>56410.709999999992</v>
          </cell>
        </row>
        <row r="27">
          <cell r="B27">
            <v>5472</v>
          </cell>
          <cell r="D27">
            <v>121468.65</v>
          </cell>
        </row>
        <row r="28">
          <cell r="B28">
            <v>0</v>
          </cell>
          <cell r="D28">
            <v>0</v>
          </cell>
        </row>
        <row r="29">
          <cell r="B29">
            <v>2900</v>
          </cell>
          <cell r="D29">
            <v>1895.53</v>
          </cell>
        </row>
        <row r="30">
          <cell r="B30">
            <v>5859.7</v>
          </cell>
          <cell r="D30">
            <v>233320.46</v>
          </cell>
        </row>
        <row r="31">
          <cell r="B31">
            <v>11481.900000000003</v>
          </cell>
          <cell r="D31">
            <v>104814.61000000002</v>
          </cell>
        </row>
        <row r="32">
          <cell r="B32">
            <v>1189333</v>
          </cell>
          <cell r="D32">
            <v>2104905.5500000012</v>
          </cell>
        </row>
        <row r="33">
          <cell r="B33">
            <v>9</v>
          </cell>
          <cell r="D33">
            <v>112432.89</v>
          </cell>
        </row>
        <row r="34">
          <cell r="B34">
            <v>114629.5</v>
          </cell>
          <cell r="D34">
            <v>665999.57000000007</v>
          </cell>
        </row>
        <row r="35">
          <cell r="B35">
            <v>54</v>
          </cell>
          <cell r="D35">
            <v>174800.5</v>
          </cell>
        </row>
        <row r="36">
          <cell r="B36">
            <v>1019.5</v>
          </cell>
          <cell r="D36">
            <v>82783.069999999992</v>
          </cell>
        </row>
        <row r="37">
          <cell r="B37">
            <v>574.1</v>
          </cell>
          <cell r="D37">
            <v>6315.1</v>
          </cell>
        </row>
        <row r="38">
          <cell r="B38">
            <v>8298</v>
          </cell>
          <cell r="D38">
            <v>25226.1</v>
          </cell>
        </row>
        <row r="39">
          <cell r="B39">
            <v>95</v>
          </cell>
          <cell r="D39">
            <v>4845</v>
          </cell>
        </row>
        <row r="40">
          <cell r="B40">
            <v>10</v>
          </cell>
          <cell r="D40">
            <v>11982.439999999999</v>
          </cell>
        </row>
        <row r="41">
          <cell r="B41">
            <v>1210</v>
          </cell>
          <cell r="D41">
            <v>8815.93</v>
          </cell>
        </row>
        <row r="42">
          <cell r="B42">
            <v>5711.5</v>
          </cell>
          <cell r="D42">
            <v>5364.4800000000005</v>
          </cell>
        </row>
        <row r="43">
          <cell r="B43">
            <v>8912</v>
          </cell>
          <cell r="D43">
            <v>12022.4</v>
          </cell>
        </row>
        <row r="44">
          <cell r="B44">
            <v>0</v>
          </cell>
          <cell r="D44">
            <v>0</v>
          </cell>
        </row>
        <row r="45">
          <cell r="B45">
            <v>0</v>
          </cell>
          <cell r="D45">
            <v>0</v>
          </cell>
        </row>
        <row r="46">
          <cell r="B46">
            <v>0</v>
          </cell>
          <cell r="D46">
            <v>0</v>
          </cell>
        </row>
        <row r="47">
          <cell r="B47">
            <v>0</v>
          </cell>
          <cell r="D47">
            <v>0</v>
          </cell>
        </row>
        <row r="48">
          <cell r="B48">
            <v>13</v>
          </cell>
          <cell r="D48">
            <v>899990</v>
          </cell>
        </row>
        <row r="49">
          <cell r="B49">
            <v>65</v>
          </cell>
          <cell r="D49">
            <v>1245787.27</v>
          </cell>
        </row>
        <row r="50">
          <cell r="B50">
            <v>444</v>
          </cell>
          <cell r="D50">
            <v>631335.7799999998</v>
          </cell>
        </row>
        <row r="51">
          <cell r="B51">
            <v>4</v>
          </cell>
          <cell r="D51">
            <v>4500</v>
          </cell>
        </row>
        <row r="52">
          <cell r="B52">
            <v>0</v>
          </cell>
          <cell r="D52">
            <v>0</v>
          </cell>
        </row>
        <row r="53">
          <cell r="B53">
            <v>0</v>
          </cell>
          <cell r="D53">
            <v>0</v>
          </cell>
        </row>
        <row r="54">
          <cell r="B54">
            <v>0</v>
          </cell>
          <cell r="D54">
            <v>0</v>
          </cell>
        </row>
        <row r="55">
          <cell r="B55">
            <v>103754.2</v>
          </cell>
          <cell r="D55">
            <v>78699.889999999985</v>
          </cell>
        </row>
        <row r="56">
          <cell r="B56">
            <v>39480.600000000006</v>
          </cell>
          <cell r="D56">
            <v>141377.65000000002</v>
          </cell>
        </row>
      </sheetData>
      <sheetData sheetId="5">
        <row r="2">
          <cell r="B2">
            <v>0</v>
          </cell>
          <cell r="D2">
            <v>0</v>
          </cell>
        </row>
        <row r="3">
          <cell r="B3">
            <v>0</v>
          </cell>
          <cell r="D3">
            <v>0</v>
          </cell>
        </row>
        <row r="4">
          <cell r="B4">
            <v>0</v>
          </cell>
          <cell r="D4">
            <v>0</v>
          </cell>
        </row>
        <row r="5">
          <cell r="B5">
            <v>0</v>
          </cell>
          <cell r="D5">
            <v>0</v>
          </cell>
        </row>
        <row r="6">
          <cell r="B6">
            <v>14.5</v>
          </cell>
          <cell r="D6">
            <v>3262.5</v>
          </cell>
        </row>
        <row r="7">
          <cell r="B7">
            <v>137</v>
          </cell>
          <cell r="D7">
            <v>0</v>
          </cell>
        </row>
        <row r="8">
          <cell r="B8">
            <v>0</v>
          </cell>
          <cell r="D8">
            <v>0</v>
          </cell>
        </row>
        <row r="9">
          <cell r="B9">
            <v>0</v>
          </cell>
          <cell r="D9">
            <v>0</v>
          </cell>
        </row>
        <row r="10">
          <cell r="B10">
            <v>0</v>
          </cell>
          <cell r="D10">
            <v>0</v>
          </cell>
        </row>
        <row r="11">
          <cell r="B11">
            <v>5190</v>
          </cell>
          <cell r="D11">
            <v>4128.01</v>
          </cell>
        </row>
        <row r="12">
          <cell r="B12">
            <v>0</v>
          </cell>
          <cell r="D12">
            <v>0</v>
          </cell>
        </row>
        <row r="13">
          <cell r="B13">
            <v>0</v>
          </cell>
          <cell r="D13">
            <v>0</v>
          </cell>
        </row>
        <row r="14">
          <cell r="B14">
            <v>0</v>
          </cell>
          <cell r="D14">
            <v>0</v>
          </cell>
        </row>
        <row r="15">
          <cell r="B15">
            <v>0</v>
          </cell>
          <cell r="D15">
            <v>0</v>
          </cell>
        </row>
        <row r="16">
          <cell r="B16">
            <v>0</v>
          </cell>
          <cell r="D16">
            <v>0</v>
          </cell>
        </row>
        <row r="17">
          <cell r="B17">
            <v>0</v>
          </cell>
          <cell r="D17">
            <v>0</v>
          </cell>
        </row>
        <row r="18">
          <cell r="B18">
            <v>0</v>
          </cell>
          <cell r="D18">
            <v>0</v>
          </cell>
        </row>
        <row r="19">
          <cell r="B19">
            <v>0</v>
          </cell>
          <cell r="D19">
            <v>0</v>
          </cell>
        </row>
        <row r="20">
          <cell r="B20">
            <v>0</v>
          </cell>
          <cell r="D20">
            <v>0</v>
          </cell>
        </row>
        <row r="21">
          <cell r="B21">
            <v>0</v>
          </cell>
          <cell r="D21">
            <v>0</v>
          </cell>
        </row>
        <row r="22">
          <cell r="B22">
            <v>0</v>
          </cell>
          <cell r="D22">
            <v>0</v>
          </cell>
        </row>
        <row r="23">
          <cell r="B23">
            <v>0</v>
          </cell>
          <cell r="D23">
            <v>0</v>
          </cell>
        </row>
        <row r="24">
          <cell r="B24">
            <v>0</v>
          </cell>
          <cell r="D24">
            <v>0</v>
          </cell>
        </row>
        <row r="25">
          <cell r="B25">
            <v>0</v>
          </cell>
          <cell r="D25">
            <v>0</v>
          </cell>
        </row>
        <row r="26">
          <cell r="B26">
            <v>10.6</v>
          </cell>
          <cell r="D26">
            <v>19677.160000000003</v>
          </cell>
        </row>
        <row r="27">
          <cell r="B27">
            <v>0</v>
          </cell>
          <cell r="D27">
            <v>0</v>
          </cell>
        </row>
        <row r="28">
          <cell r="B28">
            <v>0</v>
          </cell>
          <cell r="D28">
            <v>0</v>
          </cell>
        </row>
        <row r="29">
          <cell r="B29">
            <v>0</v>
          </cell>
          <cell r="D29">
            <v>0</v>
          </cell>
        </row>
        <row r="30">
          <cell r="B30">
            <v>94</v>
          </cell>
          <cell r="D30">
            <v>5396.13</v>
          </cell>
        </row>
        <row r="31">
          <cell r="B31">
            <v>8915.8000000000047</v>
          </cell>
          <cell r="D31">
            <v>8010.8799999999992</v>
          </cell>
        </row>
        <row r="32">
          <cell r="B32">
            <v>5582</v>
          </cell>
          <cell r="D32">
            <v>9431.07</v>
          </cell>
        </row>
        <row r="33">
          <cell r="B33">
            <v>5</v>
          </cell>
          <cell r="D33">
            <v>19523.93</v>
          </cell>
        </row>
        <row r="34">
          <cell r="B34">
            <v>0</v>
          </cell>
          <cell r="D34">
            <v>0</v>
          </cell>
        </row>
        <row r="35">
          <cell r="B35">
            <v>1</v>
          </cell>
          <cell r="D35">
            <v>3750</v>
          </cell>
        </row>
        <row r="36">
          <cell r="B36">
            <v>9.6</v>
          </cell>
          <cell r="D36">
            <v>816.73</v>
          </cell>
        </row>
        <row r="37">
          <cell r="B37">
            <v>0</v>
          </cell>
          <cell r="D37">
            <v>0</v>
          </cell>
        </row>
        <row r="38">
          <cell r="B38">
            <v>0</v>
          </cell>
          <cell r="D38">
            <v>0</v>
          </cell>
        </row>
        <row r="39">
          <cell r="B39">
            <v>0</v>
          </cell>
          <cell r="D39">
            <v>0</v>
          </cell>
        </row>
        <row r="40">
          <cell r="B40">
            <v>0</v>
          </cell>
          <cell r="D40">
            <v>0</v>
          </cell>
        </row>
        <row r="41">
          <cell r="B41">
            <v>0</v>
          </cell>
          <cell r="D41">
            <v>0</v>
          </cell>
        </row>
        <row r="42">
          <cell r="B42">
            <v>0</v>
          </cell>
          <cell r="D42">
            <v>0</v>
          </cell>
        </row>
        <row r="43">
          <cell r="B43">
            <v>0</v>
          </cell>
          <cell r="D43">
            <v>0</v>
          </cell>
        </row>
        <row r="44">
          <cell r="B44">
            <v>0</v>
          </cell>
          <cell r="D44">
            <v>0</v>
          </cell>
        </row>
        <row r="45">
          <cell r="B45">
            <v>0</v>
          </cell>
          <cell r="D45">
            <v>0</v>
          </cell>
        </row>
        <row r="46">
          <cell r="B46">
            <v>10138.300000000001</v>
          </cell>
          <cell r="D46">
            <v>25103.429999999993</v>
          </cell>
        </row>
        <row r="47">
          <cell r="B47">
            <v>414.2000000000001</v>
          </cell>
          <cell r="D47">
            <v>0</v>
          </cell>
        </row>
        <row r="48">
          <cell r="B48">
            <v>0</v>
          </cell>
          <cell r="D48">
            <v>0</v>
          </cell>
        </row>
        <row r="49">
          <cell r="B49">
            <v>0</v>
          </cell>
          <cell r="D49">
            <v>0</v>
          </cell>
        </row>
        <row r="50">
          <cell r="B50">
            <v>13</v>
          </cell>
          <cell r="D50">
            <v>13081</v>
          </cell>
        </row>
        <row r="51">
          <cell r="B51">
            <v>0</v>
          </cell>
          <cell r="D51">
            <v>0</v>
          </cell>
        </row>
        <row r="52">
          <cell r="B52">
            <v>15.7</v>
          </cell>
          <cell r="D52">
            <v>2056.84</v>
          </cell>
        </row>
        <row r="53">
          <cell r="B53">
            <v>0</v>
          </cell>
          <cell r="D53">
            <v>0</v>
          </cell>
        </row>
        <row r="54">
          <cell r="B54">
            <v>16.600000000000001</v>
          </cell>
          <cell r="D54">
            <v>0</v>
          </cell>
        </row>
        <row r="55">
          <cell r="B55">
            <v>25647</v>
          </cell>
          <cell r="D55">
            <v>7826.21</v>
          </cell>
        </row>
        <row r="56">
          <cell r="B56">
            <v>2260</v>
          </cell>
          <cell r="D56">
            <v>8254.89</v>
          </cell>
        </row>
      </sheetData>
      <sheetData sheetId="6">
        <row r="2">
          <cell r="B2">
            <v>108.6</v>
          </cell>
          <cell r="D2">
            <v>1566.01</v>
          </cell>
        </row>
        <row r="3">
          <cell r="B3">
            <v>0</v>
          </cell>
          <cell r="D3">
            <v>0</v>
          </cell>
        </row>
        <row r="4">
          <cell r="B4">
            <v>0</v>
          </cell>
          <cell r="D4">
            <v>0</v>
          </cell>
        </row>
        <row r="5">
          <cell r="B5">
            <v>0</v>
          </cell>
          <cell r="D5">
            <v>0</v>
          </cell>
        </row>
        <row r="6">
          <cell r="B6">
            <v>436.99999999999994</v>
          </cell>
          <cell r="D6">
            <v>120038.63</v>
          </cell>
        </row>
        <row r="7">
          <cell r="B7">
            <v>0</v>
          </cell>
          <cell r="D7">
            <v>0</v>
          </cell>
        </row>
        <row r="8">
          <cell r="B8">
            <v>0</v>
          </cell>
          <cell r="D8">
            <v>0</v>
          </cell>
        </row>
        <row r="9">
          <cell r="B9">
            <v>0</v>
          </cell>
          <cell r="D9">
            <v>0</v>
          </cell>
        </row>
        <row r="10">
          <cell r="B10">
            <v>0</v>
          </cell>
          <cell r="D10">
            <v>0</v>
          </cell>
        </row>
        <row r="11">
          <cell r="B11">
            <v>24962</v>
          </cell>
          <cell r="D11">
            <v>22759.789999999997</v>
          </cell>
        </row>
        <row r="12">
          <cell r="B12">
            <v>0</v>
          </cell>
          <cell r="D12">
            <v>0</v>
          </cell>
        </row>
        <row r="13">
          <cell r="B13">
            <v>0</v>
          </cell>
          <cell r="D13">
            <v>0</v>
          </cell>
        </row>
        <row r="14">
          <cell r="B14">
            <v>0</v>
          </cell>
          <cell r="D14">
            <v>0</v>
          </cell>
        </row>
        <row r="15">
          <cell r="B15">
            <v>0</v>
          </cell>
          <cell r="D15">
            <v>0</v>
          </cell>
        </row>
        <row r="16">
          <cell r="B16">
            <v>0</v>
          </cell>
          <cell r="D16">
            <v>0</v>
          </cell>
        </row>
        <row r="17">
          <cell r="B17">
            <v>0</v>
          </cell>
          <cell r="D17">
            <v>0</v>
          </cell>
        </row>
        <row r="18">
          <cell r="B18">
            <v>0</v>
          </cell>
          <cell r="D18">
            <v>0</v>
          </cell>
        </row>
        <row r="19">
          <cell r="B19">
            <v>0</v>
          </cell>
          <cell r="D19">
            <v>0</v>
          </cell>
        </row>
        <row r="20">
          <cell r="B20">
            <v>0</v>
          </cell>
          <cell r="D20">
            <v>0</v>
          </cell>
        </row>
        <row r="21">
          <cell r="B21">
            <v>0</v>
          </cell>
          <cell r="D21">
            <v>0</v>
          </cell>
        </row>
        <row r="22">
          <cell r="B22">
            <v>0</v>
          </cell>
          <cell r="D22">
            <v>0</v>
          </cell>
        </row>
        <row r="23">
          <cell r="B23">
            <v>0</v>
          </cell>
          <cell r="D23">
            <v>0</v>
          </cell>
        </row>
        <row r="24">
          <cell r="B24">
            <v>0</v>
          </cell>
          <cell r="D24">
            <v>0</v>
          </cell>
        </row>
        <row r="25">
          <cell r="B25">
            <v>0</v>
          </cell>
          <cell r="D25">
            <v>0</v>
          </cell>
        </row>
        <row r="26">
          <cell r="B26">
            <v>46.8</v>
          </cell>
          <cell r="D26">
            <v>81483.959999999992</v>
          </cell>
        </row>
        <row r="27">
          <cell r="B27">
            <v>0</v>
          </cell>
          <cell r="D27">
            <v>0</v>
          </cell>
        </row>
        <row r="28">
          <cell r="B28">
            <v>0</v>
          </cell>
          <cell r="D28">
            <v>0</v>
          </cell>
        </row>
        <row r="29">
          <cell r="B29">
            <v>0</v>
          </cell>
          <cell r="D29">
            <v>0</v>
          </cell>
        </row>
        <row r="30">
          <cell r="B30">
            <v>0</v>
          </cell>
          <cell r="D30">
            <v>0</v>
          </cell>
        </row>
        <row r="31">
          <cell r="B31">
            <v>6845.8</v>
          </cell>
          <cell r="D31">
            <v>12692.899999999998</v>
          </cell>
        </row>
        <row r="32">
          <cell r="B32">
            <v>9430</v>
          </cell>
          <cell r="D32">
            <v>15135.32</v>
          </cell>
        </row>
        <row r="33">
          <cell r="B33">
            <v>1</v>
          </cell>
          <cell r="D33">
            <v>35652.270000000004</v>
          </cell>
        </row>
        <row r="34">
          <cell r="B34">
            <v>0</v>
          </cell>
          <cell r="D34">
            <v>0</v>
          </cell>
        </row>
        <row r="35">
          <cell r="B35">
            <v>0</v>
          </cell>
          <cell r="D35">
            <v>0</v>
          </cell>
        </row>
        <row r="36">
          <cell r="B36">
            <v>19.899999999999999</v>
          </cell>
          <cell r="D36">
            <v>1688</v>
          </cell>
        </row>
        <row r="37">
          <cell r="B37">
            <v>0</v>
          </cell>
          <cell r="D37">
            <v>0</v>
          </cell>
        </row>
        <row r="38">
          <cell r="B38">
            <v>0</v>
          </cell>
          <cell r="D38">
            <v>0</v>
          </cell>
        </row>
        <row r="39">
          <cell r="B39">
            <v>0</v>
          </cell>
          <cell r="D39">
            <v>0</v>
          </cell>
        </row>
        <row r="40">
          <cell r="B40">
            <v>0</v>
          </cell>
          <cell r="D40">
            <v>0</v>
          </cell>
        </row>
        <row r="41">
          <cell r="B41">
            <v>0</v>
          </cell>
          <cell r="D41">
            <v>0</v>
          </cell>
        </row>
        <row r="42">
          <cell r="B42">
            <v>0</v>
          </cell>
          <cell r="D42">
            <v>0</v>
          </cell>
        </row>
        <row r="43">
          <cell r="B43">
            <v>0</v>
          </cell>
          <cell r="D43">
            <v>0</v>
          </cell>
        </row>
        <row r="44">
          <cell r="B44">
            <v>0.7</v>
          </cell>
          <cell r="D44">
            <v>1261.75</v>
          </cell>
        </row>
        <row r="45">
          <cell r="B45">
            <v>0</v>
          </cell>
          <cell r="D45">
            <v>0</v>
          </cell>
        </row>
        <row r="46">
          <cell r="B46">
            <v>898</v>
          </cell>
          <cell r="D46">
            <v>2322</v>
          </cell>
        </row>
        <row r="47">
          <cell r="B47">
            <v>0</v>
          </cell>
          <cell r="D47">
            <v>0</v>
          </cell>
        </row>
        <row r="48">
          <cell r="B48">
            <v>0</v>
          </cell>
          <cell r="D48">
            <v>0</v>
          </cell>
        </row>
        <row r="49">
          <cell r="B49">
            <v>0</v>
          </cell>
          <cell r="D49">
            <v>0</v>
          </cell>
        </row>
        <row r="50">
          <cell r="B50">
            <v>7</v>
          </cell>
          <cell r="D50">
            <v>8446.8000000000011</v>
          </cell>
        </row>
        <row r="51">
          <cell r="B51">
            <v>0</v>
          </cell>
          <cell r="D51">
            <v>0</v>
          </cell>
        </row>
        <row r="52">
          <cell r="B52">
            <v>0</v>
          </cell>
          <cell r="D52">
            <v>0</v>
          </cell>
        </row>
        <row r="53">
          <cell r="B53">
            <v>0</v>
          </cell>
          <cell r="D53">
            <v>0</v>
          </cell>
        </row>
        <row r="54">
          <cell r="B54">
            <v>0</v>
          </cell>
          <cell r="D54">
            <v>0</v>
          </cell>
        </row>
        <row r="55">
          <cell r="B55">
            <v>29301.599999999999</v>
          </cell>
          <cell r="D55">
            <v>56185.27</v>
          </cell>
        </row>
        <row r="56">
          <cell r="B56">
            <v>2470</v>
          </cell>
          <cell r="D56">
            <v>15473</v>
          </cell>
        </row>
      </sheetData>
      <sheetData sheetId="7">
        <row r="2">
          <cell r="C2">
            <v>3016</v>
          </cell>
          <cell r="E2">
            <v>3048</v>
          </cell>
        </row>
        <row r="3">
          <cell r="C3">
            <v>252423.24</v>
          </cell>
          <cell r="E3">
            <v>40180</v>
          </cell>
        </row>
        <row r="4">
          <cell r="C4">
            <v>34733.9</v>
          </cell>
          <cell r="E4">
            <v>16181</v>
          </cell>
        </row>
        <row r="5">
          <cell r="C5">
            <v>20835.600000000002</v>
          </cell>
          <cell r="E5">
            <v>12926</v>
          </cell>
        </row>
        <row r="6">
          <cell r="C6">
            <v>182337.54</v>
          </cell>
          <cell r="E6">
            <v>173155</v>
          </cell>
        </row>
        <row r="7">
          <cell r="C7">
            <v>386231</v>
          </cell>
          <cell r="E7">
            <v>949298.55</v>
          </cell>
        </row>
        <row r="8">
          <cell r="C8">
            <v>369295.74000000005</v>
          </cell>
          <cell r="E8">
            <v>1450711.73</v>
          </cell>
        </row>
        <row r="9">
          <cell r="C9">
            <v>3886.9</v>
          </cell>
          <cell r="E9">
            <v>19801.79</v>
          </cell>
        </row>
        <row r="10">
          <cell r="C10">
            <v>464240.99999999988</v>
          </cell>
          <cell r="E10">
            <v>244723.33999999997</v>
          </cell>
        </row>
        <row r="11">
          <cell r="C11">
            <v>464240.99999999988</v>
          </cell>
          <cell r="E11">
            <v>973178.64999999991</v>
          </cell>
        </row>
      </sheetData>
      <sheetData sheetId="8">
        <row r="2">
          <cell r="C2">
            <v>176698.35999999993</v>
          </cell>
          <cell r="E2">
            <v>8717595</v>
          </cell>
        </row>
        <row r="3">
          <cell r="C3">
            <v>49559.700000000004</v>
          </cell>
          <cell r="E3">
            <v>508429</v>
          </cell>
        </row>
        <row r="4">
          <cell r="C4">
            <v>131604.96000000002</v>
          </cell>
          <cell r="E4">
            <v>3322732</v>
          </cell>
        </row>
        <row r="5">
          <cell r="C5">
            <v>15469.89</v>
          </cell>
          <cell r="E5">
            <v>165588</v>
          </cell>
        </row>
        <row r="6">
          <cell r="C6">
            <v>1821.78</v>
          </cell>
          <cell r="E6">
            <v>4825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>
        <row r="2">
          <cell r="D2">
            <v>4416243.2300000004</v>
          </cell>
        </row>
        <row r="3">
          <cell r="D3">
            <v>1893212.1</v>
          </cell>
        </row>
        <row r="4">
          <cell r="D4">
            <v>32742.82</v>
          </cell>
        </row>
        <row r="5">
          <cell r="D5">
            <v>277451.5</v>
          </cell>
        </row>
        <row r="6">
          <cell r="D6">
            <v>168287.06000000003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4"/>
  <sheetViews>
    <sheetView topLeftCell="A49" workbookViewId="0">
      <selection activeCell="I66" sqref="I66:I72"/>
    </sheetView>
  </sheetViews>
  <sheetFormatPr defaultRowHeight="15"/>
  <cols>
    <col min="1" max="1" width="77.42578125" customWidth="1"/>
    <col min="2" max="2" width="8.28515625" customWidth="1"/>
    <col min="3" max="3" width="13.140625" customWidth="1"/>
    <col min="4" max="4" width="12.28515625" customWidth="1"/>
    <col min="5" max="5" width="15.140625" customWidth="1"/>
    <col min="6" max="6" width="9.85546875" customWidth="1"/>
    <col min="7" max="7" width="12.5703125" customWidth="1"/>
    <col min="8" max="8" width="10.42578125" customWidth="1"/>
    <col min="9" max="9" width="15.7109375" customWidth="1"/>
    <col min="10" max="10" width="15.85546875" customWidth="1"/>
  </cols>
  <sheetData>
    <row r="1" spans="1:9">
      <c r="B1" s="32" t="s">
        <v>0</v>
      </c>
      <c r="D1" s="33" t="s">
        <v>1</v>
      </c>
      <c r="E1" s="33"/>
      <c r="F1" s="34" t="s">
        <v>2</v>
      </c>
      <c r="G1" s="35"/>
      <c r="H1" s="33" t="s">
        <v>3</v>
      </c>
      <c r="I1" s="33"/>
    </row>
    <row r="2" spans="1:9">
      <c r="A2" s="1" t="s">
        <v>4</v>
      </c>
      <c r="B2" s="32"/>
      <c r="C2" s="1" t="s">
        <v>5</v>
      </c>
      <c r="D2" s="2" t="s">
        <v>6</v>
      </c>
      <c r="E2" s="3"/>
      <c r="F2" s="2" t="s">
        <v>6</v>
      </c>
      <c r="G2" s="3"/>
      <c r="H2" s="2" t="s">
        <v>6</v>
      </c>
      <c r="I2" s="3"/>
    </row>
    <row r="3" spans="1:9">
      <c r="A3" s="4" t="s">
        <v>7</v>
      </c>
      <c r="B3" s="5">
        <v>11</v>
      </c>
      <c r="C3" s="6" t="s">
        <v>8</v>
      </c>
      <c r="D3" s="7">
        <f>[1]EQIP1996!B2+[1]EQIP2002!B2+[1]EQIP2008!B2</f>
        <v>6055.4999999999991</v>
      </c>
      <c r="E3" s="8">
        <f>[1]EQIP1996!D2+[1]EQIP2002!D2+[1]EQIP2008!D2</f>
        <v>90124.059999999983</v>
      </c>
      <c r="F3" s="7">
        <f>[1]WHIP2002!B2+[1]WHIP2008!B2</f>
        <v>108.6</v>
      </c>
      <c r="G3" s="8">
        <f>[1]WHIP2002!D2+[1]WHIP2008!D2</f>
        <v>1566.01</v>
      </c>
      <c r="H3" s="7">
        <v>0</v>
      </c>
      <c r="I3" s="7">
        <v>0</v>
      </c>
    </row>
    <row r="4" spans="1:9">
      <c r="A4" s="4" t="s">
        <v>9</v>
      </c>
      <c r="B4" s="5">
        <v>375</v>
      </c>
      <c r="C4" s="6" t="s">
        <v>10</v>
      </c>
      <c r="D4" s="7">
        <f>[1]EQIP1996!B3+[1]EQIP2002!B3+[1]EQIP2008!B3</f>
        <v>1</v>
      </c>
      <c r="E4" s="8">
        <f>[1]EQIP1996!D3+[1]EQIP2002!D3+[1]EQIP2008!D3</f>
        <v>1339</v>
      </c>
      <c r="F4" s="7">
        <f>[1]WHIP2002!B3+[1]WHIP2008!B3</f>
        <v>0</v>
      </c>
      <c r="G4" s="8">
        <f>[1]WHIP2002!D3+[1]WHIP2008!D3</f>
        <v>0</v>
      </c>
      <c r="H4" s="7">
        <v>0</v>
      </c>
      <c r="I4" s="7">
        <v>0</v>
      </c>
    </row>
    <row r="5" spans="1:9">
      <c r="A5" s="4" t="s">
        <v>11</v>
      </c>
      <c r="B5" s="5">
        <v>36</v>
      </c>
      <c r="C5" s="6" t="s">
        <v>10</v>
      </c>
      <c r="D5" s="7">
        <f>[1]EQIP1996!B4+[1]EQIP2002!B4+[1]EQIP2008!B4</f>
        <v>4</v>
      </c>
      <c r="E5" s="8">
        <f>[1]EQIP1996!D4+[1]EQIP2002!D4+[1]EQIP2008!D4</f>
        <v>107100</v>
      </c>
      <c r="F5" s="7">
        <f>[1]WHIP2002!B4+[1]WHIP2008!B4</f>
        <v>0</v>
      </c>
      <c r="G5" s="8">
        <f>[1]WHIP2002!D4+[1]WHIP2008!D4</f>
        <v>0</v>
      </c>
      <c r="H5" s="7">
        <v>0</v>
      </c>
      <c r="I5" s="7">
        <v>0</v>
      </c>
    </row>
    <row r="6" spans="1:9">
      <c r="A6" s="4" t="s">
        <v>12</v>
      </c>
      <c r="B6" s="5">
        <v>26</v>
      </c>
      <c r="C6" s="6" t="s">
        <v>10</v>
      </c>
      <c r="D6" s="7">
        <f>[1]EQIP1996!B5+[1]EQIP2002!B5+[1]EQIP2008!B5</f>
        <v>1</v>
      </c>
      <c r="E6" s="8">
        <f>[1]EQIP1996!D5+[1]EQIP2002!D5+[1]EQIP2008!D5</f>
        <v>719.4</v>
      </c>
      <c r="F6" s="7">
        <f>[1]WHIP2002!B5+[1]WHIP2008!B5</f>
        <v>0</v>
      </c>
      <c r="G6" s="8">
        <f>[1]WHIP2002!D5+[1]WHIP2008!D5</f>
        <v>0</v>
      </c>
      <c r="H6" s="7">
        <v>0</v>
      </c>
      <c r="I6" s="7">
        <v>0</v>
      </c>
    </row>
    <row r="7" spans="1:9">
      <c r="A7" s="4" t="s">
        <v>13</v>
      </c>
      <c r="B7" s="5">
        <v>19</v>
      </c>
      <c r="C7" s="6" t="s">
        <v>8</v>
      </c>
      <c r="D7" s="7">
        <f>[1]EQIP1996!B6+[1]EQIP2002!B6+[1]EQIP2008!B6</f>
        <v>84.2</v>
      </c>
      <c r="E7" s="8">
        <f>[1]EQIP1996!D6+[1]EQIP2002!D6+[1]EQIP2008!D6</f>
        <v>23576</v>
      </c>
      <c r="F7" s="7">
        <f>[1]WHIP2002!B6+[1]WHIP2008!B6</f>
        <v>451.49999999999994</v>
      </c>
      <c r="G7" s="8">
        <f>[1]WHIP2002!D6+[1]WHIP2008!D6</f>
        <v>123301.13</v>
      </c>
      <c r="H7" s="7">
        <v>0</v>
      </c>
      <c r="I7" s="7">
        <v>0</v>
      </c>
    </row>
    <row r="8" spans="1:9">
      <c r="A8" s="4" t="s">
        <v>14</v>
      </c>
      <c r="B8" s="5">
        <v>2</v>
      </c>
      <c r="C8" s="6" t="s">
        <v>8</v>
      </c>
      <c r="D8" s="7">
        <f>[1]EQIP1996!B7+[1]EQIP2002!B7+[1]EQIP2008!B7</f>
        <v>2705.1</v>
      </c>
      <c r="E8" s="8">
        <f>[1]EQIP1996!D7+[1]EQIP2002!D7+[1]EQIP2008!D7</f>
        <v>17981.5</v>
      </c>
      <c r="F8" s="7">
        <f>[1]WHIP2002!B7+[1]WHIP2008!B7</f>
        <v>137</v>
      </c>
      <c r="G8" s="8">
        <f>[1]WHIP2002!D7+[1]WHIP2008!D7</f>
        <v>0</v>
      </c>
      <c r="H8" s="7">
        <v>0</v>
      </c>
      <c r="I8" s="7">
        <v>0</v>
      </c>
    </row>
    <row r="9" spans="1:9">
      <c r="A9" s="4" t="s">
        <v>15</v>
      </c>
      <c r="B9" s="5">
        <v>2</v>
      </c>
      <c r="C9" s="6" t="s">
        <v>8</v>
      </c>
      <c r="D9" s="7">
        <f>[1]EQIP1996!B8+[1]EQIP2002!B8+[1]EQIP2008!B8</f>
        <v>26285.600000000006</v>
      </c>
      <c r="E9" s="8">
        <f>[1]EQIP1996!D8+[1]EQIP2002!D8+[1]EQIP2008!D8</f>
        <v>489280.50999999995</v>
      </c>
      <c r="F9" s="7">
        <f>[1]WHIP2002!B8+[1]WHIP2008!B8</f>
        <v>0</v>
      </c>
      <c r="G9" s="8">
        <f>[1]WHIP2002!D8+[1]WHIP2008!D8</f>
        <v>0</v>
      </c>
      <c r="H9" s="7">
        <v>0</v>
      </c>
      <c r="I9" s="7">
        <v>0</v>
      </c>
    </row>
    <row r="10" spans="1:9">
      <c r="A10" s="4" t="s">
        <v>16</v>
      </c>
      <c r="B10" s="5">
        <v>2</v>
      </c>
      <c r="C10" s="6" t="s">
        <v>8</v>
      </c>
      <c r="D10" s="7">
        <f>[1]EQIP1996!B9+[1]EQIP2002!B9+[1]EQIP2008!B9</f>
        <v>218.4</v>
      </c>
      <c r="E10" s="8">
        <f>[1]EQIP1996!D9+[1]EQIP2002!D9+[1]EQIP2008!D9</f>
        <v>11879.76</v>
      </c>
      <c r="F10" s="7">
        <f>[1]WHIP2002!B9+[1]WHIP2008!B9</f>
        <v>0</v>
      </c>
      <c r="G10" s="8">
        <f>[1]WHIP2002!D9+[1]WHIP2008!D9</f>
        <v>0</v>
      </c>
      <c r="H10" s="7">
        <v>0</v>
      </c>
      <c r="I10" s="7">
        <v>0</v>
      </c>
    </row>
    <row r="11" spans="1:9">
      <c r="A11" s="4" t="s">
        <v>17</v>
      </c>
      <c r="B11" s="5">
        <v>26</v>
      </c>
      <c r="C11" s="6" t="s">
        <v>18</v>
      </c>
      <c r="D11" s="7">
        <f>[1]EQIP1996!B10+[1]EQIP2002!B10+[1]EQIP2008!B10</f>
        <v>14969</v>
      </c>
      <c r="E11" s="8">
        <f>[1]EQIP1996!D10+[1]EQIP2002!D10+[1]EQIP2008!D10</f>
        <v>22001.61</v>
      </c>
      <c r="F11" s="7">
        <f>[1]WHIP2002!B10+[1]WHIP2008!B10</f>
        <v>0</v>
      </c>
      <c r="G11" s="8">
        <f>[1]WHIP2002!D10+[1]WHIP2008!D10</f>
        <v>0</v>
      </c>
      <c r="H11" s="7">
        <v>0</v>
      </c>
      <c r="I11" s="7">
        <v>0</v>
      </c>
    </row>
    <row r="12" spans="1:9">
      <c r="A12" s="4" t="s">
        <v>19</v>
      </c>
      <c r="B12" s="5">
        <v>11</v>
      </c>
      <c r="C12" s="6" t="s">
        <v>18</v>
      </c>
      <c r="D12" s="7">
        <f>[1]EQIP1996!B11+[1]EQIP2002!B11+[1]EQIP2008!B11</f>
        <v>1248471.1000000001</v>
      </c>
      <c r="E12" s="8">
        <f>[1]EQIP1996!D11+[1]EQIP2002!D11+[1]EQIP2008!D11</f>
        <v>829925.18000000017</v>
      </c>
      <c r="F12" s="7">
        <f>[1]WHIP2002!B11+[1]WHIP2008!B11</f>
        <v>30152</v>
      </c>
      <c r="G12" s="8">
        <f>[1]WHIP2002!D11+[1]WHIP2008!D11</f>
        <v>26887.799999999996</v>
      </c>
      <c r="H12" s="7">
        <v>0</v>
      </c>
      <c r="I12" s="7">
        <v>0</v>
      </c>
    </row>
    <row r="13" spans="1:9">
      <c r="A13" s="4" t="s">
        <v>20</v>
      </c>
      <c r="B13" s="5">
        <v>2</v>
      </c>
      <c r="C13" s="6" t="s">
        <v>8</v>
      </c>
      <c r="D13" s="7">
        <f>[1]EQIP1996!B12+[1]EQIP2002!B12+[1]EQIP2008!B12</f>
        <v>6.2</v>
      </c>
      <c r="E13" s="8">
        <f>[1]EQIP1996!D12+[1]EQIP2002!D12+[1]EQIP2008!D12</f>
        <v>439.64</v>
      </c>
      <c r="F13" s="7">
        <f>[1]WHIP2002!B12+[1]WHIP2008!B12</f>
        <v>0</v>
      </c>
      <c r="G13" s="8">
        <f>[1]WHIP2002!D12+[1]WHIP2008!D12</f>
        <v>0</v>
      </c>
      <c r="H13" s="7">
        <v>0</v>
      </c>
      <c r="I13" s="7">
        <v>0</v>
      </c>
    </row>
    <row r="14" spans="1:9">
      <c r="A14" s="4" t="s">
        <v>21</v>
      </c>
      <c r="B14" s="5">
        <v>2</v>
      </c>
      <c r="C14" s="6" t="s">
        <v>8</v>
      </c>
      <c r="D14" s="7">
        <f>[1]EQIP1996!B13+[1]EQIP2002!B13+[1]EQIP2008!B13</f>
        <v>6.5</v>
      </c>
      <c r="E14" s="8">
        <f>[1]EQIP1996!D13+[1]EQIP2002!D13+[1]EQIP2008!D13</f>
        <v>455</v>
      </c>
      <c r="F14" s="7">
        <f>[1]WHIP2002!B13+[1]WHIP2008!B13</f>
        <v>0</v>
      </c>
      <c r="G14" s="8">
        <f>[1]WHIP2002!D13+[1]WHIP2008!D13</f>
        <v>0</v>
      </c>
      <c r="H14" s="7">
        <v>0</v>
      </c>
      <c r="I14" s="7">
        <v>0</v>
      </c>
    </row>
    <row r="15" spans="1:9">
      <c r="A15" s="4" t="s">
        <v>22</v>
      </c>
      <c r="B15" s="5">
        <v>19</v>
      </c>
      <c r="C15" s="6" t="s">
        <v>18</v>
      </c>
      <c r="D15" s="7">
        <f>[1]EQIP1996!B14+[1]EQIP2002!B14+[1]EQIP2008!B14</f>
        <v>8</v>
      </c>
      <c r="E15" s="8">
        <f>[1]EQIP1996!D14+[1]EQIP2002!D14+[1]EQIP2008!D14</f>
        <v>1840</v>
      </c>
      <c r="F15" s="7">
        <f>[1]WHIP2002!B14+[1]WHIP2008!B14</f>
        <v>0</v>
      </c>
      <c r="G15" s="8">
        <f>[1]WHIP2002!D14+[1]WHIP2008!D14</f>
        <v>0</v>
      </c>
      <c r="H15" s="7">
        <v>0</v>
      </c>
      <c r="I15" s="7">
        <v>0</v>
      </c>
    </row>
    <row r="16" spans="1:9">
      <c r="A16" s="4" t="s">
        <v>23</v>
      </c>
      <c r="B16" s="5">
        <v>10</v>
      </c>
      <c r="C16" s="6" t="s">
        <v>8</v>
      </c>
      <c r="D16" s="7">
        <f>[1]EQIP1996!B15+[1]EQIP2002!B15+[1]EQIP2008!B15</f>
        <v>1215.8</v>
      </c>
      <c r="E16" s="8">
        <f>[1]EQIP1996!D15+[1]EQIP2002!D15+[1]EQIP2008!D15</f>
        <v>37374.290000000008</v>
      </c>
      <c r="F16" s="7">
        <f>[1]WHIP2002!B15+[1]WHIP2008!B15</f>
        <v>0</v>
      </c>
      <c r="G16" s="8">
        <f>[1]WHIP2002!D15+[1]WHIP2008!D15</f>
        <v>0</v>
      </c>
      <c r="H16" s="7">
        <v>0</v>
      </c>
      <c r="I16" s="7">
        <v>0</v>
      </c>
    </row>
    <row r="17" spans="1:9">
      <c r="A17" s="4" t="s">
        <v>24</v>
      </c>
      <c r="B17" s="5">
        <v>19</v>
      </c>
      <c r="C17" s="6" t="s">
        <v>8</v>
      </c>
      <c r="D17" s="7">
        <f>[1]EQIP1996!B16+[1]EQIP2002!B16+[1]EQIP2008!B16</f>
        <v>257.8</v>
      </c>
      <c r="E17" s="8">
        <f>[1]EQIP1996!D16+[1]EQIP2002!D16+[1]EQIP2008!D16</f>
        <v>55656.35</v>
      </c>
      <c r="F17" s="7">
        <f>[1]WHIP2002!B16+[1]WHIP2008!B16</f>
        <v>0</v>
      </c>
      <c r="G17" s="8">
        <f>[1]WHIP2002!D16+[1]WHIP2008!D16</f>
        <v>0</v>
      </c>
      <c r="H17" s="7">
        <v>0</v>
      </c>
      <c r="I17" s="7">
        <v>0</v>
      </c>
    </row>
    <row r="18" spans="1:9">
      <c r="A18" s="4" t="s">
        <v>25</v>
      </c>
      <c r="B18" s="5">
        <v>26</v>
      </c>
      <c r="C18" s="6" t="s">
        <v>8</v>
      </c>
      <c r="D18" s="7">
        <f>[1]EQIP1996!B17+[1]EQIP2002!B17+[1]EQIP2008!B17</f>
        <v>1</v>
      </c>
      <c r="E18" s="8">
        <f>[1]EQIP1996!D17+[1]EQIP2002!D17+[1]EQIP2008!D17</f>
        <v>13600</v>
      </c>
      <c r="F18" s="7">
        <f>[1]WHIP2002!B17+[1]WHIP2008!B17</f>
        <v>0</v>
      </c>
      <c r="G18" s="8">
        <f>[1]WHIP2002!D17+[1]WHIP2008!D17</f>
        <v>0</v>
      </c>
      <c r="H18" s="7">
        <v>0</v>
      </c>
      <c r="I18" s="7">
        <v>0</v>
      </c>
    </row>
    <row r="19" spans="1:9">
      <c r="A19" s="4" t="s">
        <v>26</v>
      </c>
      <c r="B19" s="5">
        <v>26</v>
      </c>
      <c r="C19" s="6" t="s">
        <v>8</v>
      </c>
      <c r="D19" s="7">
        <f>[1]EQIP1996!B18+[1]EQIP2002!B18+[1]EQIP2008!B18</f>
        <v>7.4999999999999991</v>
      </c>
      <c r="E19" s="8">
        <f>[1]EQIP1996!D18+[1]EQIP2002!D18+[1]EQIP2008!D18</f>
        <v>5342.6</v>
      </c>
      <c r="F19" s="7">
        <f>[1]WHIP2002!B18+[1]WHIP2008!B18</f>
        <v>0</v>
      </c>
      <c r="G19" s="8">
        <f>[1]WHIP2002!D18+[1]WHIP2008!D18</f>
        <v>0</v>
      </c>
      <c r="H19" s="7">
        <v>0</v>
      </c>
      <c r="I19" s="7">
        <v>0</v>
      </c>
    </row>
    <row r="20" spans="1:9">
      <c r="A20" s="4" t="s">
        <v>27</v>
      </c>
      <c r="B20" s="5">
        <v>11</v>
      </c>
      <c r="C20" s="6" t="s">
        <v>8</v>
      </c>
      <c r="D20" s="7">
        <f>[1]EQIP1996!B19+[1]EQIP2002!B19+[1]EQIP2008!B19</f>
        <v>174.9</v>
      </c>
      <c r="E20" s="8">
        <f>[1]EQIP1996!D19+[1]EQIP2002!D19+[1]EQIP2008!D19</f>
        <v>962.56999999999994</v>
      </c>
      <c r="F20" s="7">
        <f>[1]WHIP2002!B19+[1]WHIP2008!B19</f>
        <v>0</v>
      </c>
      <c r="G20" s="8">
        <f>[1]WHIP2002!D19+[1]WHIP2008!D19</f>
        <v>0</v>
      </c>
      <c r="H20" s="7">
        <v>0</v>
      </c>
      <c r="I20" s="7">
        <v>0</v>
      </c>
    </row>
    <row r="21" spans="1:9">
      <c r="A21" s="4" t="s">
        <v>28</v>
      </c>
      <c r="B21" s="5">
        <v>26</v>
      </c>
      <c r="C21" s="6" t="s">
        <v>8</v>
      </c>
      <c r="D21" s="7">
        <f>[1]EQIP1996!B20+[1]EQIP2002!B20+[1]EQIP2008!B20</f>
        <v>2049.4</v>
      </c>
      <c r="E21" s="8">
        <f>[1]EQIP1996!D20+[1]EQIP2002!D20+[1]EQIP2008!D20</f>
        <v>176361.11</v>
      </c>
      <c r="F21" s="7">
        <f>[1]WHIP2002!B20+[1]WHIP2008!B20</f>
        <v>0</v>
      </c>
      <c r="G21" s="8">
        <f>[1]WHIP2002!D20+[1]WHIP2008!D20</f>
        <v>0</v>
      </c>
      <c r="H21" s="7">
        <v>0</v>
      </c>
      <c r="I21" s="7">
        <v>0</v>
      </c>
    </row>
    <row r="22" spans="1:9">
      <c r="A22" s="4" t="s">
        <v>29</v>
      </c>
      <c r="B22" s="5">
        <v>19</v>
      </c>
      <c r="C22" s="6" t="s">
        <v>8</v>
      </c>
      <c r="D22" s="7">
        <f>[1]EQIP1996!B21+[1]EQIP2002!B21+[1]EQIP2008!B21</f>
        <v>993.49999999999989</v>
      </c>
      <c r="E22" s="8">
        <f>[1]EQIP1996!D21+[1]EQIP2002!D21+[1]EQIP2008!D21</f>
        <v>151937</v>
      </c>
      <c r="F22" s="7">
        <f>[1]WHIP2002!B21+[1]WHIP2008!B21</f>
        <v>0</v>
      </c>
      <c r="G22" s="8">
        <f>[1]WHIP2002!D21+[1]WHIP2008!D21</f>
        <v>0</v>
      </c>
      <c r="H22" s="7">
        <v>0</v>
      </c>
      <c r="I22" s="7">
        <v>0</v>
      </c>
    </row>
    <row r="23" spans="1:9">
      <c r="A23" s="4" t="s">
        <v>30</v>
      </c>
      <c r="B23" s="5">
        <v>19</v>
      </c>
      <c r="C23" s="6" t="s">
        <v>18</v>
      </c>
      <c r="D23" s="7">
        <f>[1]EQIP1996!B22+[1]EQIP2002!B22+[1]EQIP2008!B22</f>
        <v>7008</v>
      </c>
      <c r="E23" s="8">
        <f>[1]EQIP1996!D22+[1]EQIP2002!D22+[1]EQIP2008!D22</f>
        <v>51637.2</v>
      </c>
      <c r="F23" s="7">
        <f>[1]WHIP2002!B22+[1]WHIP2008!B22</f>
        <v>0</v>
      </c>
      <c r="G23" s="8">
        <f>[1]WHIP2002!D22+[1]WHIP2008!D22</f>
        <v>0</v>
      </c>
      <c r="H23" s="7">
        <v>0</v>
      </c>
      <c r="I23" s="7">
        <v>0</v>
      </c>
    </row>
    <row r="24" spans="1:9">
      <c r="A24" s="4" t="s">
        <v>31</v>
      </c>
      <c r="B24" s="5">
        <v>19</v>
      </c>
      <c r="C24" s="6" t="s">
        <v>18</v>
      </c>
      <c r="D24" s="7">
        <f>[1]EQIP1996!B23+[1]EQIP2002!B23+[1]EQIP2008!B23</f>
        <v>12853</v>
      </c>
      <c r="E24" s="8">
        <f>[1]EQIP1996!D23+[1]EQIP2002!D23+[1]EQIP2008!D23</f>
        <v>89546.3</v>
      </c>
      <c r="F24" s="7">
        <f>[1]WHIP2002!B23+[1]WHIP2008!B23</f>
        <v>0</v>
      </c>
      <c r="G24" s="8">
        <f>[1]WHIP2002!D23+[1]WHIP2008!D23</f>
        <v>0</v>
      </c>
      <c r="H24" s="7">
        <v>0</v>
      </c>
      <c r="I24" s="7">
        <v>0</v>
      </c>
    </row>
    <row r="25" spans="1:9">
      <c r="A25" s="4" t="s">
        <v>32</v>
      </c>
      <c r="B25" s="5">
        <v>19</v>
      </c>
      <c r="C25" s="6" t="s">
        <v>8</v>
      </c>
      <c r="D25" s="7">
        <f>[1]EQIP1996!B24+[1]EQIP2002!B24+[1]EQIP2008!B24</f>
        <v>7419.9999999999982</v>
      </c>
      <c r="E25" s="8">
        <f>[1]EQIP1996!D24+[1]EQIP2002!D24+[1]EQIP2008!D24</f>
        <v>30089.4</v>
      </c>
      <c r="F25" s="7">
        <f>[1]WHIP2002!B24+[1]WHIP2008!B24</f>
        <v>0</v>
      </c>
      <c r="G25" s="8">
        <f>[1]WHIP2002!D24+[1]WHIP2008!D24</f>
        <v>0</v>
      </c>
      <c r="H25" s="7">
        <v>0</v>
      </c>
      <c r="I25" s="7">
        <v>0</v>
      </c>
    </row>
    <row r="26" spans="1:9">
      <c r="A26" s="4" t="s">
        <v>33</v>
      </c>
      <c r="B26" s="5">
        <v>33</v>
      </c>
      <c r="C26" s="6" t="s">
        <v>10</v>
      </c>
      <c r="D26" s="7">
        <f>[1]EQIP1996!B25+[1]EQIP2002!B25+[1]EQIP2008!B25</f>
        <v>4</v>
      </c>
      <c r="E26" s="8">
        <f>[1]EQIP1996!D25+[1]EQIP2002!D25+[1]EQIP2008!D25</f>
        <v>58269.32</v>
      </c>
      <c r="F26" s="7">
        <f>[1]WHIP2002!B25+[1]WHIP2008!B25</f>
        <v>0</v>
      </c>
      <c r="G26" s="8">
        <f>[1]WHIP2002!D25+[1]WHIP2008!D25</f>
        <v>0</v>
      </c>
      <c r="H26" s="7">
        <v>0</v>
      </c>
      <c r="I26" s="7">
        <v>0</v>
      </c>
    </row>
    <row r="27" spans="1:9">
      <c r="A27" s="4" t="s">
        <v>34</v>
      </c>
      <c r="B27" s="5">
        <v>2</v>
      </c>
      <c r="C27" s="6" t="s">
        <v>8</v>
      </c>
      <c r="D27" s="7">
        <f>[1]EQIP1996!B26+[1]EQIP2002!B26+[1]EQIP2008!B26</f>
        <v>47726.799999999996</v>
      </c>
      <c r="E27" s="8">
        <f>[1]EQIP1996!D26+[1]EQIP2002!D26+[1]EQIP2008!D26</f>
        <v>122480.09</v>
      </c>
      <c r="F27" s="7">
        <f>[1]WHIP2002!B26+[1]WHIP2008!B26</f>
        <v>57.4</v>
      </c>
      <c r="G27" s="8">
        <f>[1]WHIP2002!D26+[1]WHIP2008!D26</f>
        <v>101161.12</v>
      </c>
      <c r="H27" s="7">
        <v>0</v>
      </c>
      <c r="I27" s="7">
        <v>0</v>
      </c>
    </row>
    <row r="28" spans="1:9">
      <c r="A28" s="4" t="s">
        <v>35</v>
      </c>
      <c r="B28" s="5">
        <v>19</v>
      </c>
      <c r="C28" s="6" t="s">
        <v>8</v>
      </c>
      <c r="D28" s="7">
        <f>[1]EQIP1996!B27+[1]EQIP2002!B27+[1]EQIP2008!B27</f>
        <v>5822</v>
      </c>
      <c r="E28" s="8">
        <f>[1]EQIP1996!D27+[1]EQIP2002!D27+[1]EQIP2008!D27</f>
        <v>121468.65</v>
      </c>
      <c r="F28" s="7">
        <f>[1]WHIP2002!B27+[1]WHIP2008!B27</f>
        <v>0</v>
      </c>
      <c r="G28" s="8">
        <f>[1]WHIP2002!D27+[1]WHIP2008!D27</f>
        <v>0</v>
      </c>
      <c r="H28" s="7">
        <v>0</v>
      </c>
      <c r="I28" s="7">
        <v>0</v>
      </c>
    </row>
    <row r="29" spans="1:9">
      <c r="A29" s="4" t="s">
        <v>36</v>
      </c>
      <c r="B29" s="5">
        <v>26</v>
      </c>
      <c r="C29" s="6" t="s">
        <v>8</v>
      </c>
      <c r="D29" s="7">
        <f>[1]EQIP1996!B28+[1]EQIP2002!B28+[1]EQIP2008!B28</f>
        <v>1</v>
      </c>
      <c r="E29" s="8">
        <f>[1]EQIP1996!D28+[1]EQIP2002!D28+[1]EQIP2008!D28</f>
        <v>2700</v>
      </c>
      <c r="F29" s="7">
        <f>[1]WHIP2002!B28+[1]WHIP2008!B28</f>
        <v>0</v>
      </c>
      <c r="G29" s="8">
        <f>[1]WHIP2002!D28+[1]WHIP2008!D28</f>
        <v>0</v>
      </c>
      <c r="H29" s="7">
        <v>0</v>
      </c>
      <c r="I29" s="7">
        <v>0</v>
      </c>
    </row>
    <row r="30" spans="1:9">
      <c r="A30" s="4" t="s">
        <v>37</v>
      </c>
      <c r="B30" s="5">
        <v>26</v>
      </c>
      <c r="C30" s="6" t="s">
        <v>18</v>
      </c>
      <c r="D30" s="7">
        <f>[1]EQIP1996!B29+[1]EQIP2002!B29+[1]EQIP2008!B29</f>
        <v>4678</v>
      </c>
      <c r="E30" s="8">
        <f>[1]EQIP1996!D29+[1]EQIP2002!D29+[1]EQIP2008!D29</f>
        <v>2962.33</v>
      </c>
      <c r="F30" s="7">
        <f>[1]WHIP2002!B29+[1]WHIP2008!B29</f>
        <v>0</v>
      </c>
      <c r="G30" s="8">
        <f>[1]WHIP2002!D29+[1]WHIP2008!D29</f>
        <v>0</v>
      </c>
      <c r="H30" s="7">
        <v>0</v>
      </c>
      <c r="I30" s="7">
        <v>0</v>
      </c>
    </row>
    <row r="31" spans="1:9">
      <c r="A31" s="4" t="s">
        <v>38</v>
      </c>
      <c r="B31" s="5">
        <v>10</v>
      </c>
      <c r="C31" s="6" t="s">
        <v>8</v>
      </c>
      <c r="D31" s="7">
        <f>[1]EQIP1996!B30+[1]EQIP2002!B30+[1]EQIP2008!B30</f>
        <v>11760</v>
      </c>
      <c r="E31" s="8">
        <f>[1]EQIP1996!D30+[1]EQIP2002!D30+[1]EQIP2008!D30</f>
        <v>428259.43999999994</v>
      </c>
      <c r="F31" s="7">
        <f>[1]WHIP2002!B30+[1]WHIP2008!B30</f>
        <v>94</v>
      </c>
      <c r="G31" s="8">
        <f>[1]WHIP2002!D30+[1]WHIP2008!D30</f>
        <v>5396.13</v>
      </c>
      <c r="H31" s="7">
        <v>0</v>
      </c>
      <c r="I31" s="7">
        <v>0</v>
      </c>
    </row>
    <row r="32" spans="1:9">
      <c r="A32" s="4" t="s">
        <v>39</v>
      </c>
      <c r="B32" s="5">
        <v>19</v>
      </c>
      <c r="C32" s="6" t="s">
        <v>8</v>
      </c>
      <c r="D32" s="7">
        <f>[1]EQIP1996!B31+[1]EQIP2002!B31+[1]EQIP2008!B31</f>
        <v>15618.200000000003</v>
      </c>
      <c r="E32" s="8">
        <f>[1]EQIP1996!D31+[1]EQIP2002!D31+[1]EQIP2008!D31</f>
        <v>122296.66</v>
      </c>
      <c r="F32" s="7">
        <f>[1]WHIP2002!B31+[1]WHIP2008!B31</f>
        <v>15761.600000000006</v>
      </c>
      <c r="G32" s="8">
        <f>[1]WHIP2002!D31+[1]WHIP2008!D31</f>
        <v>20703.78</v>
      </c>
      <c r="H32" s="7">
        <v>0</v>
      </c>
      <c r="I32" s="7">
        <v>0</v>
      </c>
    </row>
    <row r="33" spans="1:9">
      <c r="A33" s="4" t="s">
        <v>40</v>
      </c>
      <c r="B33" s="5">
        <v>11</v>
      </c>
      <c r="C33" s="6" t="s">
        <v>18</v>
      </c>
      <c r="D33" s="7">
        <f>[1]EQIP1996!B32+[1]EQIP2002!B32+[1]EQIP2008!B32</f>
        <v>2014794.7000000002</v>
      </c>
      <c r="E33" s="8">
        <f>[1]EQIP1996!D32+[1]EQIP2002!D32+[1]EQIP2008!D32</f>
        <v>3353928.4200000027</v>
      </c>
      <c r="F33" s="7">
        <f>[1]WHIP2002!B32+[1]WHIP2008!B32</f>
        <v>15012</v>
      </c>
      <c r="G33" s="8">
        <f>[1]WHIP2002!D32+[1]WHIP2008!D32</f>
        <v>24566.39</v>
      </c>
      <c r="H33" s="7">
        <v>0</v>
      </c>
      <c r="I33" s="7">
        <v>0</v>
      </c>
    </row>
    <row r="34" spans="1:9">
      <c r="A34" s="4" t="s">
        <v>41</v>
      </c>
      <c r="B34" s="5">
        <v>26</v>
      </c>
      <c r="C34" s="6" t="s">
        <v>10</v>
      </c>
      <c r="D34" s="7">
        <f>[1]EQIP1996!B33+[1]EQIP2002!B33+[1]EQIP2008!B33</f>
        <v>7632.8</v>
      </c>
      <c r="E34" s="8">
        <f>[1]EQIP1996!D33+[1]EQIP2002!D33+[1]EQIP2008!D33</f>
        <v>147773.04999999999</v>
      </c>
      <c r="F34" s="7">
        <f>[1]WHIP2002!B33+[1]WHIP2008!B33</f>
        <v>6</v>
      </c>
      <c r="G34" s="8">
        <f>[1]WHIP2002!D33+[1]WHIP2008!D33</f>
        <v>55176.200000000004</v>
      </c>
      <c r="H34" s="7">
        <v>0</v>
      </c>
      <c r="I34" s="7">
        <v>0</v>
      </c>
    </row>
    <row r="35" spans="1:9">
      <c r="A35" s="4" t="s">
        <v>42</v>
      </c>
      <c r="B35" s="5">
        <v>11</v>
      </c>
      <c r="C35" s="6" t="s">
        <v>8</v>
      </c>
      <c r="D35" s="7">
        <f>[1]EQIP1996!B34+[1]EQIP2002!B34+[1]EQIP2008!B34</f>
        <v>114629.5</v>
      </c>
      <c r="E35" s="8">
        <f>[1]EQIP1996!D34+[1]EQIP2002!D34+[1]EQIP2008!D34</f>
        <v>665999.57000000007</v>
      </c>
      <c r="F35" s="7">
        <f>[1]WHIP2002!B34+[1]WHIP2008!B34</f>
        <v>0</v>
      </c>
      <c r="G35" s="8">
        <f>[1]WHIP2002!D34+[1]WHIP2008!D34</f>
        <v>0</v>
      </c>
      <c r="H35" s="7">
        <v>0</v>
      </c>
      <c r="I35" s="7">
        <v>0</v>
      </c>
    </row>
    <row r="36" spans="1:9">
      <c r="A36" s="4" t="s">
        <v>43</v>
      </c>
      <c r="B36" s="5">
        <v>33</v>
      </c>
      <c r="C36" s="6" t="s">
        <v>10</v>
      </c>
      <c r="D36" s="7">
        <f>[1]EQIP1996!B35+[1]EQIP2002!B35+[1]EQIP2008!B35</f>
        <v>177</v>
      </c>
      <c r="E36" s="8">
        <f>[1]EQIP1996!D35+[1]EQIP2002!D35+[1]EQIP2008!D35</f>
        <v>269912.78000000003</v>
      </c>
      <c r="F36" s="7">
        <f>[1]WHIP2002!B35+[1]WHIP2008!B35</f>
        <v>1</v>
      </c>
      <c r="G36" s="8">
        <f>[1]WHIP2002!D35+[1]WHIP2008!D35</f>
        <v>3750</v>
      </c>
      <c r="H36" s="7">
        <v>0</v>
      </c>
      <c r="I36" s="7">
        <v>0</v>
      </c>
    </row>
    <row r="37" spans="1:9">
      <c r="A37" s="4" t="s">
        <v>44</v>
      </c>
      <c r="B37" s="5">
        <v>11</v>
      </c>
      <c r="C37" s="6" t="s">
        <v>8</v>
      </c>
      <c r="D37" s="7">
        <f>[1]EQIP1996!B36+[1]EQIP2002!B36+[1]EQIP2008!B36</f>
        <v>1507.4</v>
      </c>
      <c r="E37" s="8">
        <f>[1]EQIP1996!D36+[1]EQIP2002!D36+[1]EQIP2008!D36</f>
        <v>117323.18</v>
      </c>
      <c r="F37" s="7">
        <f>[1]WHIP2002!B36+[1]WHIP2008!B36</f>
        <v>29.5</v>
      </c>
      <c r="G37" s="8">
        <f>[1]WHIP2002!D36+[1]WHIP2008!D36</f>
        <v>2504.73</v>
      </c>
      <c r="H37" s="7">
        <v>0</v>
      </c>
      <c r="I37" s="7">
        <v>0</v>
      </c>
    </row>
    <row r="38" spans="1:9">
      <c r="A38" s="4" t="s">
        <v>45</v>
      </c>
      <c r="B38" s="5">
        <v>2</v>
      </c>
      <c r="C38" s="6" t="s">
        <v>8</v>
      </c>
      <c r="D38" s="7">
        <f>[1]EQIP1996!B37+[1]EQIP2002!B37+[1]EQIP2008!B37</f>
        <v>574.1</v>
      </c>
      <c r="E38" s="8">
        <f>[1]EQIP1996!D37+[1]EQIP2002!D37+[1]EQIP2008!D37</f>
        <v>6315.1</v>
      </c>
      <c r="F38" s="7">
        <f>[1]WHIP2002!B37+[1]WHIP2008!B37</f>
        <v>0</v>
      </c>
      <c r="G38" s="8">
        <f>[1]WHIP2002!D37+[1]WHIP2008!D37</f>
        <v>0</v>
      </c>
      <c r="H38" s="7">
        <v>0</v>
      </c>
      <c r="I38" s="7">
        <v>0</v>
      </c>
    </row>
    <row r="39" spans="1:9">
      <c r="A39" s="4" t="s">
        <v>46</v>
      </c>
      <c r="B39" s="5">
        <v>6</v>
      </c>
      <c r="C39" s="6" t="s">
        <v>47</v>
      </c>
      <c r="D39" s="7">
        <f>[1]EQIP1996!B38+[1]EQIP2002!B38+[1]EQIP2008!B38</f>
        <v>8298</v>
      </c>
      <c r="E39" s="8">
        <f>[1]EQIP1996!D38+[1]EQIP2002!D38+[1]EQIP2008!D38</f>
        <v>25226.1</v>
      </c>
      <c r="F39" s="7">
        <f>[1]WHIP2002!B38+[1]WHIP2008!B38</f>
        <v>0</v>
      </c>
      <c r="G39" s="8">
        <f>[1]WHIP2002!D38+[1]WHIP2008!D38</f>
        <v>0</v>
      </c>
      <c r="H39" s="7">
        <v>0</v>
      </c>
      <c r="I39" s="7">
        <v>0</v>
      </c>
    </row>
    <row r="40" spans="1:9">
      <c r="A40" s="4" t="s">
        <v>48</v>
      </c>
      <c r="B40" s="5">
        <v>26</v>
      </c>
      <c r="C40" s="6" t="s">
        <v>8</v>
      </c>
      <c r="D40" s="7">
        <f>[1]EQIP1996!B39+[1]EQIP2002!B39+[1]EQIP2008!B39</f>
        <v>95</v>
      </c>
      <c r="E40" s="8">
        <f>[1]EQIP1996!D39+[1]EQIP2002!D39+[1]EQIP2008!D39</f>
        <v>4845</v>
      </c>
      <c r="F40" s="7">
        <f>[1]WHIP2002!B39+[1]WHIP2008!B39</f>
        <v>0</v>
      </c>
      <c r="G40" s="8">
        <f>[1]WHIP2002!D39+[1]WHIP2008!D39</f>
        <v>0</v>
      </c>
      <c r="H40" s="7">
        <v>0</v>
      </c>
      <c r="I40" s="7">
        <v>0</v>
      </c>
    </row>
    <row r="41" spans="1:9">
      <c r="A41" s="4" t="s">
        <v>49</v>
      </c>
      <c r="B41" s="5">
        <v>375</v>
      </c>
      <c r="C41" s="6" t="s">
        <v>10</v>
      </c>
      <c r="D41" s="7">
        <f>[1]EQIP1996!B40+[1]EQIP2002!B40+[1]EQIP2008!B40</f>
        <v>4715.3999999999996</v>
      </c>
      <c r="E41" s="8">
        <f>[1]EQIP1996!D40+[1]EQIP2002!D40+[1]EQIP2008!D40</f>
        <v>26042.489999999998</v>
      </c>
      <c r="F41" s="7">
        <f>[1]WHIP2002!B40+[1]WHIP2008!B40</f>
        <v>0</v>
      </c>
      <c r="G41" s="8">
        <f>[1]WHIP2002!D40+[1]WHIP2008!D40</f>
        <v>0</v>
      </c>
      <c r="H41" s="7">
        <v>0</v>
      </c>
      <c r="I41" s="7">
        <v>0</v>
      </c>
    </row>
    <row r="42" spans="1:9">
      <c r="A42" s="4" t="s">
        <v>50</v>
      </c>
      <c r="B42" s="5">
        <v>375</v>
      </c>
      <c r="C42" s="6" t="s">
        <v>10</v>
      </c>
      <c r="D42" s="7">
        <f>[1]EQIP1996!B41+[1]EQIP2002!B41+[1]EQIP2008!B41</f>
        <v>7340.1</v>
      </c>
      <c r="E42" s="8">
        <f>[1]EQIP1996!D41+[1]EQIP2002!D41+[1]EQIP2008!D41</f>
        <v>25827.77</v>
      </c>
      <c r="F42" s="7">
        <f>[1]WHIP2002!B41+[1]WHIP2008!B41</f>
        <v>0</v>
      </c>
      <c r="G42" s="8">
        <f>[1]WHIP2002!D41+[1]WHIP2008!D41</f>
        <v>0</v>
      </c>
      <c r="H42" s="7">
        <v>0</v>
      </c>
      <c r="I42" s="7">
        <v>0</v>
      </c>
    </row>
    <row r="43" spans="1:9">
      <c r="A43" s="4" t="s">
        <v>51</v>
      </c>
      <c r="B43" s="5">
        <v>375</v>
      </c>
      <c r="C43" s="6" t="s">
        <v>10</v>
      </c>
      <c r="D43" s="7">
        <f>[1]EQIP1996!B42+[1]EQIP2002!B42+[1]EQIP2008!B42</f>
        <v>5714.5</v>
      </c>
      <c r="E43" s="8">
        <f>[1]EQIP1996!D42+[1]EQIP2002!D42+[1]EQIP2008!D42</f>
        <v>22784.93</v>
      </c>
      <c r="F43" s="7">
        <f>[1]WHIP2002!B42+[1]WHIP2008!B42</f>
        <v>0</v>
      </c>
      <c r="G43" s="8">
        <f>[1]WHIP2002!D42+[1]WHIP2008!D42</f>
        <v>0</v>
      </c>
      <c r="H43" s="7">
        <v>0</v>
      </c>
      <c r="I43" s="7">
        <v>0</v>
      </c>
    </row>
    <row r="44" spans="1:9">
      <c r="A44" s="4" t="s">
        <v>52</v>
      </c>
      <c r="B44" s="5">
        <v>26</v>
      </c>
      <c r="C44" s="6" t="s">
        <v>18</v>
      </c>
      <c r="D44" s="7">
        <f>[1]EQIP1996!B43+[1]EQIP2002!B43+[1]EQIP2008!B43</f>
        <v>9290</v>
      </c>
      <c r="E44" s="8">
        <f>[1]EQIP1996!D43+[1]EQIP2002!D43+[1]EQIP2008!D43</f>
        <v>12362.6</v>
      </c>
      <c r="F44" s="7">
        <f>[1]WHIP2002!B43+[1]WHIP2008!B43</f>
        <v>0</v>
      </c>
      <c r="G44" s="8">
        <f>[1]WHIP2002!D43+[1]WHIP2008!D43</f>
        <v>0</v>
      </c>
      <c r="H44" s="7">
        <v>0</v>
      </c>
      <c r="I44" s="7">
        <v>0</v>
      </c>
    </row>
    <row r="45" spans="1:9">
      <c r="A45" s="4" t="s">
        <v>53</v>
      </c>
      <c r="B45" s="5">
        <v>6</v>
      </c>
      <c r="C45" s="6" t="s">
        <v>8</v>
      </c>
      <c r="D45" s="7">
        <f>[1]EQIP1996!B44+[1]EQIP2002!B44+[1]EQIP2008!B44</f>
        <v>0</v>
      </c>
      <c r="E45" s="8">
        <f>[1]EQIP1996!D44+[1]EQIP2002!D44+[1]EQIP2008!D44</f>
        <v>0</v>
      </c>
      <c r="F45" s="7">
        <f>[1]WHIP2002!B44+[1]WHIP2008!B44</f>
        <v>0.7</v>
      </c>
      <c r="G45" s="8">
        <f>[1]WHIP2002!D44+[1]WHIP2008!D44</f>
        <v>1261.75</v>
      </c>
      <c r="H45" s="7">
        <v>0</v>
      </c>
      <c r="I45" s="7">
        <v>0</v>
      </c>
    </row>
    <row r="46" spans="1:9">
      <c r="A46" s="4" t="s">
        <v>54</v>
      </c>
      <c r="B46" s="5">
        <v>26</v>
      </c>
      <c r="C46" s="6" t="s">
        <v>18</v>
      </c>
      <c r="D46" s="7">
        <f>[1]EQIP1996!B45+[1]EQIP2002!B45+[1]EQIP2008!B45</f>
        <v>1341</v>
      </c>
      <c r="E46" s="8">
        <f>[1]EQIP1996!D45+[1]EQIP2002!D45+[1]EQIP2008!D45</f>
        <v>1341</v>
      </c>
      <c r="F46" s="7">
        <f>[1]WHIP2002!B45+[1]WHIP2008!B45</f>
        <v>0</v>
      </c>
      <c r="G46" s="8">
        <f>[1]WHIP2002!D45+[1]WHIP2008!D45</f>
        <v>0</v>
      </c>
      <c r="H46" s="7">
        <v>0</v>
      </c>
      <c r="I46" s="7">
        <v>0</v>
      </c>
    </row>
    <row r="47" spans="1:9">
      <c r="A47" s="4" t="s">
        <v>55</v>
      </c>
      <c r="B47" s="5">
        <v>2</v>
      </c>
      <c r="C47" s="6" t="s">
        <v>8</v>
      </c>
      <c r="D47" s="7">
        <f>[1]EQIP1996!B46+[1]EQIP2002!B46+[1]EQIP2008!B46</f>
        <v>28.900000000000002</v>
      </c>
      <c r="E47" s="8">
        <f>[1]EQIP1996!D46+[1]EQIP2002!D46+[1]EQIP2008!D46</f>
        <v>792.64</v>
      </c>
      <c r="F47" s="7">
        <f>[1]WHIP2002!B46+[1]WHIP2008!B46</f>
        <v>11036.300000000001</v>
      </c>
      <c r="G47" s="8">
        <f>[1]WHIP2002!D46+[1]WHIP2008!D46</f>
        <v>27425.429999999993</v>
      </c>
      <c r="H47" s="7">
        <v>0</v>
      </c>
      <c r="I47" s="7">
        <v>0</v>
      </c>
    </row>
    <row r="48" spans="1:9">
      <c r="A48" s="4" t="s">
        <v>56</v>
      </c>
      <c r="B48" s="5">
        <v>11</v>
      </c>
      <c r="C48" s="6" t="s">
        <v>8</v>
      </c>
      <c r="D48" s="7">
        <f>[1]EQIP1996!B47+[1]EQIP2002!B47+[1]EQIP2008!B47</f>
        <v>0</v>
      </c>
      <c r="E48" s="8">
        <f>[1]EQIP1996!D47+[1]EQIP2002!D47+[1]EQIP2008!D47</f>
        <v>0</v>
      </c>
      <c r="F48" s="7">
        <f>[1]WHIP2002!B47+[1]WHIP2008!B47</f>
        <v>414.2000000000001</v>
      </c>
      <c r="G48" s="8">
        <f>[1]WHIP2002!D47+[1]WHIP2008!D47</f>
        <v>0</v>
      </c>
      <c r="H48" s="7">
        <v>0</v>
      </c>
      <c r="I48" s="7">
        <v>0</v>
      </c>
    </row>
    <row r="49" spans="1:9">
      <c r="A49" s="4" t="s">
        <v>57</v>
      </c>
      <c r="B49" s="5">
        <v>26</v>
      </c>
      <c r="C49" s="6" t="s">
        <v>10</v>
      </c>
      <c r="D49" s="7">
        <f>[1]EQIP1996!B48+[1]EQIP2002!B48+[1]EQIP2008!B48</f>
        <v>21</v>
      </c>
      <c r="E49" s="8">
        <f>[1]EQIP1996!D48+[1]EQIP2002!D48+[1]EQIP2008!D48</f>
        <v>1548440.12</v>
      </c>
      <c r="F49" s="7">
        <f>[1]WHIP2002!B48+[1]WHIP2008!B48</f>
        <v>0</v>
      </c>
      <c r="G49" s="8">
        <f>[1]WHIP2002!D48+[1]WHIP2008!D48</f>
        <v>0</v>
      </c>
      <c r="H49" s="7">
        <v>0</v>
      </c>
      <c r="I49" s="7">
        <v>0</v>
      </c>
    </row>
    <row r="50" spans="1:9">
      <c r="A50" s="4" t="s">
        <v>58</v>
      </c>
      <c r="B50" s="5">
        <v>33</v>
      </c>
      <c r="C50" s="6" t="s">
        <v>10</v>
      </c>
      <c r="D50" s="7">
        <f>[1]EQIP1996!B49+[1]EQIP2002!B49+[1]EQIP2008!B49</f>
        <v>81</v>
      </c>
      <c r="E50" s="8">
        <f>[1]EQIP1996!D49+[1]EQIP2002!D49+[1]EQIP2008!D49</f>
        <v>1353834.94</v>
      </c>
      <c r="F50" s="7">
        <f>[1]WHIP2002!B49+[1]WHIP2008!B49</f>
        <v>0</v>
      </c>
      <c r="G50" s="8">
        <f>[1]WHIP2002!D49+[1]WHIP2008!D49</f>
        <v>0</v>
      </c>
      <c r="H50" s="7">
        <v>0</v>
      </c>
      <c r="I50" s="7">
        <v>0</v>
      </c>
    </row>
    <row r="51" spans="1:9">
      <c r="A51" s="4" t="s">
        <v>59</v>
      </c>
      <c r="B51" s="5">
        <v>11</v>
      </c>
      <c r="C51" s="6" t="s">
        <v>10</v>
      </c>
      <c r="D51" s="7">
        <f>[1]EQIP1996!B50+[1]EQIP2002!B50+[1]EQIP2008!B50</f>
        <v>912</v>
      </c>
      <c r="E51" s="8">
        <f>[1]EQIP1996!D50+[1]EQIP2002!D50+[1]EQIP2008!D50</f>
        <v>1172762.94</v>
      </c>
      <c r="F51" s="7">
        <f>[1]WHIP2002!B50+[1]WHIP2008!B50</f>
        <v>20</v>
      </c>
      <c r="G51" s="8">
        <f>[1]WHIP2002!D50+[1]WHIP2008!D50</f>
        <v>21527.800000000003</v>
      </c>
      <c r="H51" s="7">
        <v>0</v>
      </c>
      <c r="I51" s="7">
        <v>0</v>
      </c>
    </row>
    <row r="52" spans="1:9">
      <c r="A52" s="4" t="s">
        <v>60</v>
      </c>
      <c r="B52" s="5">
        <v>26</v>
      </c>
      <c r="C52" s="6" t="s">
        <v>8</v>
      </c>
      <c r="D52" s="7">
        <f>[1]EQIP1996!B51+[1]EQIP2002!B51+[1]EQIP2008!B51</f>
        <v>7</v>
      </c>
      <c r="E52" s="8">
        <f>[1]EQIP1996!D51+[1]EQIP2002!D51+[1]EQIP2008!D51</f>
        <v>5395</v>
      </c>
      <c r="F52" s="7">
        <f>[1]WHIP2002!B51+[1]WHIP2008!B51</f>
        <v>0</v>
      </c>
      <c r="G52" s="8">
        <f>[1]WHIP2002!D51+[1]WHIP2008!D51</f>
        <v>0</v>
      </c>
      <c r="H52" s="7">
        <v>0</v>
      </c>
      <c r="I52" s="7">
        <v>0</v>
      </c>
    </row>
    <row r="53" spans="1:9">
      <c r="A53" s="4" t="s">
        <v>61</v>
      </c>
      <c r="B53" s="5">
        <v>26</v>
      </c>
      <c r="C53" s="6" t="s">
        <v>8</v>
      </c>
      <c r="D53" s="7">
        <f>[1]EQIP1996!B52+[1]EQIP2002!B52+[1]EQIP2008!B52</f>
        <v>0</v>
      </c>
      <c r="E53" s="8">
        <f>[1]EQIP1996!D52+[1]EQIP2002!D52+[1]EQIP2008!D52</f>
        <v>0</v>
      </c>
      <c r="F53" s="7">
        <f>[1]WHIP2002!B52+[1]WHIP2008!B52</f>
        <v>15.7</v>
      </c>
      <c r="G53" s="8">
        <f>[1]WHIP2002!D52+[1]WHIP2008!D52</f>
        <v>2056.84</v>
      </c>
      <c r="H53" s="7">
        <v>0</v>
      </c>
      <c r="I53" s="7">
        <v>0</v>
      </c>
    </row>
    <row r="54" spans="1:9">
      <c r="A54" s="4" t="s">
        <v>62</v>
      </c>
      <c r="B54" s="5">
        <v>26</v>
      </c>
      <c r="C54" s="6" t="s">
        <v>8</v>
      </c>
      <c r="D54" s="7">
        <f>[1]EQIP1996!B53+[1]EQIP2002!B53+[1]EQIP2008!B53</f>
        <v>2</v>
      </c>
      <c r="E54" s="8">
        <f>[1]EQIP1996!D53+[1]EQIP2002!D53+[1]EQIP2008!D53</f>
        <v>7402.5</v>
      </c>
      <c r="F54" s="7">
        <f>[1]WHIP2002!B53+[1]WHIP2008!B53</f>
        <v>0</v>
      </c>
      <c r="G54" s="8">
        <f>[1]WHIP2002!D53+[1]WHIP2008!D53</f>
        <v>0</v>
      </c>
      <c r="H54" s="7">
        <v>0</v>
      </c>
      <c r="I54" s="7">
        <v>0</v>
      </c>
    </row>
    <row r="55" spans="1:9">
      <c r="A55" s="4" t="s">
        <v>63</v>
      </c>
      <c r="B55" s="5">
        <v>2</v>
      </c>
      <c r="C55" s="6" t="s">
        <v>8</v>
      </c>
      <c r="D55" s="7">
        <f>[1]EQIP1996!B54+[1]EQIP2002!B54+[1]EQIP2008!B54</f>
        <v>0</v>
      </c>
      <c r="E55" s="8">
        <f>[1]EQIP1996!D54+[1]EQIP2002!D54+[1]EQIP2008!D54</f>
        <v>0</v>
      </c>
      <c r="F55" s="7">
        <f>[1]WHIP2002!B54+[1]WHIP2008!B54</f>
        <v>16.600000000000001</v>
      </c>
      <c r="G55" s="8">
        <f>[1]WHIP2002!D54+[1]WHIP2008!D54</f>
        <v>0</v>
      </c>
      <c r="H55" s="7">
        <v>0</v>
      </c>
      <c r="I55" s="7">
        <v>0</v>
      </c>
    </row>
    <row r="56" spans="1:9">
      <c r="A56" s="4" t="s">
        <v>64</v>
      </c>
      <c r="B56" s="5">
        <v>6</v>
      </c>
      <c r="C56" s="6" t="s">
        <v>18</v>
      </c>
      <c r="D56" s="7">
        <f>[1]EQIP1996!B55+[1]EQIP2002!B55+[1]EQIP2008!B55</f>
        <v>259290.8</v>
      </c>
      <c r="E56" s="8">
        <f>[1]EQIP1996!D55+[1]EQIP2002!D55+[1]EQIP2008!D55</f>
        <v>120303.79999999999</v>
      </c>
      <c r="F56" s="7">
        <f>[1]WHIP2002!B55+[1]WHIP2008!B55</f>
        <v>54948.6</v>
      </c>
      <c r="G56" s="8">
        <f>[1]WHIP2002!D55+[1]WHIP2008!D55</f>
        <v>64011.479999999996</v>
      </c>
      <c r="H56" s="7">
        <v>0</v>
      </c>
      <c r="I56" s="7">
        <v>0</v>
      </c>
    </row>
    <row r="57" spans="1:9">
      <c r="A57" s="4" t="s">
        <v>65</v>
      </c>
      <c r="B57" s="5">
        <v>6</v>
      </c>
      <c r="C57" s="6" t="s">
        <v>18</v>
      </c>
      <c r="D57" s="7">
        <f>[1]EQIP1996!B56+[1]EQIP2002!B56+[1]EQIP2008!B56</f>
        <v>42344.700000000004</v>
      </c>
      <c r="E57" s="8">
        <f>[1]EQIP1996!D56+[1]EQIP2002!D56+[1]EQIP2008!D56</f>
        <v>145925.40000000002</v>
      </c>
      <c r="F57" s="7">
        <f>[1]WHIP2002!B56+[1]WHIP2008!B56</f>
        <v>4730</v>
      </c>
      <c r="G57" s="8">
        <f>[1]WHIP2002!D56+[1]WHIP2008!D56</f>
        <v>23727.89</v>
      </c>
      <c r="H57" s="7">
        <v>0</v>
      </c>
      <c r="I57" s="7">
        <v>0</v>
      </c>
    </row>
    <row r="58" spans="1:9">
      <c r="A58" s="4" t="s">
        <v>66</v>
      </c>
      <c r="B58" s="5">
        <v>2</v>
      </c>
      <c r="C58" s="6" t="s">
        <v>8</v>
      </c>
      <c r="D58" s="7">
        <v>0</v>
      </c>
      <c r="E58" s="7">
        <v>0</v>
      </c>
      <c r="F58" s="7">
        <v>0</v>
      </c>
      <c r="G58" s="7">
        <v>0</v>
      </c>
      <c r="H58" s="7">
        <f>[1]CSP2002!C2</f>
        <v>3016</v>
      </c>
      <c r="I58" s="8">
        <f>[1]CSP2002!E2</f>
        <v>3048</v>
      </c>
    </row>
    <row r="59" spans="1:9">
      <c r="A59" s="4" t="s">
        <v>67</v>
      </c>
      <c r="B59" s="5">
        <v>19</v>
      </c>
      <c r="C59" s="6" t="s">
        <v>8</v>
      </c>
      <c r="D59" s="7">
        <v>0</v>
      </c>
      <c r="E59" s="7">
        <v>0</v>
      </c>
      <c r="F59" s="7">
        <v>0</v>
      </c>
      <c r="G59" s="7">
        <v>0</v>
      </c>
      <c r="H59" s="7">
        <f>[1]CSP2002!C3</f>
        <v>252423.24</v>
      </c>
      <c r="I59" s="8">
        <f>[1]CSP2002!E3</f>
        <v>40180</v>
      </c>
    </row>
    <row r="60" spans="1:9">
      <c r="A60" s="4" t="s">
        <v>68</v>
      </c>
      <c r="B60" s="5">
        <v>11</v>
      </c>
      <c r="C60" s="6" t="s">
        <v>8</v>
      </c>
      <c r="D60" s="7">
        <v>0</v>
      </c>
      <c r="E60" s="7">
        <v>0</v>
      </c>
      <c r="F60" s="7">
        <v>0</v>
      </c>
      <c r="G60" s="7">
        <v>0</v>
      </c>
      <c r="H60" s="7">
        <f>[1]CSP2002!C4</f>
        <v>34733.9</v>
      </c>
      <c r="I60" s="8">
        <f>[1]CSP2002!E4</f>
        <v>16181</v>
      </c>
    </row>
    <row r="61" spans="1:9">
      <c r="A61" s="4" t="s">
        <v>69</v>
      </c>
      <c r="B61" s="5">
        <v>2</v>
      </c>
      <c r="C61" s="6" t="s">
        <v>8</v>
      </c>
      <c r="D61" s="7">
        <v>0</v>
      </c>
      <c r="E61" s="7">
        <v>0</v>
      </c>
      <c r="F61" s="7">
        <v>0</v>
      </c>
      <c r="G61" s="7">
        <v>0</v>
      </c>
      <c r="H61" s="7">
        <f>[1]CSP2002!C5</f>
        <v>20835.600000000002</v>
      </c>
      <c r="I61" s="8">
        <f>[1]CSP2002!E5</f>
        <v>12926</v>
      </c>
    </row>
    <row r="62" spans="1:9">
      <c r="A62" s="4" t="s">
        <v>70</v>
      </c>
      <c r="B62" s="5">
        <v>2</v>
      </c>
      <c r="C62" s="6" t="s">
        <v>8</v>
      </c>
      <c r="D62" s="7">
        <v>0</v>
      </c>
      <c r="E62" s="7">
        <v>0</v>
      </c>
      <c r="F62" s="7">
        <v>0</v>
      </c>
      <c r="G62" s="7">
        <v>0</v>
      </c>
      <c r="H62" s="7">
        <f>[1]CSP2002!C6</f>
        <v>182337.54</v>
      </c>
      <c r="I62" s="8">
        <f>[1]CSP2002!E6</f>
        <v>173155</v>
      </c>
    </row>
    <row r="63" spans="1:9">
      <c r="A63" s="4" t="s">
        <v>71</v>
      </c>
      <c r="B63" s="5">
        <v>2</v>
      </c>
      <c r="C63" s="6" t="s">
        <v>8</v>
      </c>
      <c r="D63" s="7">
        <v>0</v>
      </c>
      <c r="E63" s="7">
        <v>0</v>
      </c>
      <c r="F63" s="7">
        <v>0</v>
      </c>
      <c r="G63" s="7">
        <v>0</v>
      </c>
      <c r="H63" s="7">
        <f>[1]CSP2002!C7</f>
        <v>386231</v>
      </c>
      <c r="I63" s="8">
        <f>[1]CSP2002!E7</f>
        <v>949298.55</v>
      </c>
    </row>
    <row r="64" spans="1:9">
      <c r="A64" s="4" t="s">
        <v>72</v>
      </c>
      <c r="B64" s="5">
        <v>2</v>
      </c>
      <c r="C64" s="6" t="s">
        <v>8</v>
      </c>
      <c r="D64" s="7">
        <v>0</v>
      </c>
      <c r="E64" s="7">
        <v>0</v>
      </c>
      <c r="F64" s="7">
        <v>0</v>
      </c>
      <c r="G64" s="7">
        <v>0</v>
      </c>
      <c r="H64" s="7">
        <f>[1]CSP2002!C8</f>
        <v>369295.74000000005</v>
      </c>
      <c r="I64" s="8">
        <f>[1]CSP2002!E8</f>
        <v>1450711.73</v>
      </c>
    </row>
    <row r="65" spans="1:10">
      <c r="A65" s="4" t="s">
        <v>73</v>
      </c>
      <c r="B65" s="5">
        <v>2</v>
      </c>
      <c r="C65" s="6" t="s">
        <v>8</v>
      </c>
      <c r="D65" s="7">
        <v>0</v>
      </c>
      <c r="E65" s="7">
        <v>0</v>
      </c>
      <c r="F65" s="7">
        <v>0</v>
      </c>
      <c r="G65" s="7">
        <v>0</v>
      </c>
      <c r="H65" s="7">
        <f>[1]CSP2002!C9</f>
        <v>3886.9</v>
      </c>
      <c r="I65" s="8">
        <f>[1]CSP2002!E9</f>
        <v>19801.79</v>
      </c>
    </row>
    <row r="66" spans="1:10">
      <c r="A66" s="4" t="s">
        <v>74</v>
      </c>
      <c r="B66" s="5">
        <v>2</v>
      </c>
      <c r="C66" s="6" t="s">
        <v>8</v>
      </c>
      <c r="D66" s="7">
        <v>0</v>
      </c>
      <c r="E66" s="7">
        <v>0</v>
      </c>
      <c r="F66" s="7">
        <v>0</v>
      </c>
      <c r="G66" s="7">
        <v>0</v>
      </c>
      <c r="H66" s="7">
        <f>[1]CSP2002!C10</f>
        <v>464240.99999999988</v>
      </c>
      <c r="I66" s="8">
        <f>[1]CSP2002!E10</f>
        <v>244723.33999999997</v>
      </c>
    </row>
    <row r="67" spans="1:10">
      <c r="A67" s="4" t="s">
        <v>75</v>
      </c>
      <c r="B67" s="5">
        <v>2</v>
      </c>
      <c r="C67" s="6" t="s">
        <v>8</v>
      </c>
      <c r="D67" s="7">
        <v>0</v>
      </c>
      <c r="E67" s="7">
        <v>0</v>
      </c>
      <c r="F67" s="7">
        <v>0</v>
      </c>
      <c r="G67" s="7">
        <v>0</v>
      </c>
      <c r="H67" s="7">
        <f>[1]CSP2002!C11</f>
        <v>464240.99999999988</v>
      </c>
      <c r="I67" s="8">
        <f>[1]CSP2002!E11</f>
        <v>973178.64999999991</v>
      </c>
    </row>
    <row r="68" spans="1:10">
      <c r="A68" s="4" t="s">
        <v>76</v>
      </c>
      <c r="B68" s="5">
        <v>2</v>
      </c>
      <c r="C68" s="6" t="s">
        <v>8</v>
      </c>
      <c r="D68" s="7">
        <v>0</v>
      </c>
      <c r="E68" s="7">
        <v>0</v>
      </c>
      <c r="F68" s="7">
        <v>0</v>
      </c>
      <c r="G68" s="7">
        <v>0</v>
      </c>
      <c r="H68" s="7">
        <f>[1]CSP2008!C2</f>
        <v>176698.35999999993</v>
      </c>
      <c r="I68" s="8">
        <f>[1]CSP2008!E2</f>
        <v>8717595</v>
      </c>
    </row>
    <row r="69" spans="1:10">
      <c r="A69" s="4" t="s">
        <v>77</v>
      </c>
      <c r="B69" s="5">
        <v>11</v>
      </c>
      <c r="C69" s="6" t="s">
        <v>8</v>
      </c>
      <c r="D69" s="7">
        <v>0</v>
      </c>
      <c r="E69" s="7">
        <v>0</v>
      </c>
      <c r="F69" s="7">
        <v>0</v>
      </c>
      <c r="G69" s="7">
        <v>0</v>
      </c>
      <c r="H69" s="7">
        <f>[1]CSP2008!C3</f>
        <v>49559.700000000004</v>
      </c>
      <c r="I69" s="8">
        <f>[1]CSP2008!E3</f>
        <v>508429</v>
      </c>
    </row>
    <row r="70" spans="1:10">
      <c r="A70" s="4" t="s">
        <v>78</v>
      </c>
      <c r="B70" s="5">
        <v>11</v>
      </c>
      <c r="C70" s="6" t="s">
        <v>8</v>
      </c>
      <c r="D70" s="7">
        <v>0</v>
      </c>
      <c r="E70" s="7">
        <v>0</v>
      </c>
      <c r="F70" s="7">
        <v>0</v>
      </c>
      <c r="G70" s="7">
        <v>0</v>
      </c>
      <c r="H70" s="7">
        <f>[1]CSP2008!C4</f>
        <v>131604.96000000002</v>
      </c>
      <c r="I70" s="8">
        <f>[1]CSP2008!E4</f>
        <v>3322732</v>
      </c>
    </row>
    <row r="71" spans="1:10">
      <c r="A71" s="4" t="s">
        <v>79</v>
      </c>
      <c r="B71" s="5">
        <v>2</v>
      </c>
      <c r="C71" s="6" t="s">
        <v>8</v>
      </c>
      <c r="D71" s="7">
        <v>0</v>
      </c>
      <c r="E71" s="7">
        <v>0</v>
      </c>
      <c r="F71" s="7">
        <v>0</v>
      </c>
      <c r="G71" s="7">
        <v>0</v>
      </c>
      <c r="H71" s="7">
        <f>[1]CSP2008!C5</f>
        <v>15469.89</v>
      </c>
      <c r="I71" s="8">
        <f>[1]CSP2008!E5</f>
        <v>165588</v>
      </c>
    </row>
    <row r="72" spans="1:10">
      <c r="A72" s="4" t="s">
        <v>80</v>
      </c>
      <c r="B72" s="5">
        <v>2</v>
      </c>
      <c r="C72" s="6" t="s">
        <v>8</v>
      </c>
      <c r="D72" s="7">
        <v>0</v>
      </c>
      <c r="E72" s="7">
        <v>0</v>
      </c>
      <c r="F72" s="7">
        <v>0</v>
      </c>
      <c r="G72" s="7">
        <v>0</v>
      </c>
      <c r="H72" s="7">
        <f>[1]CSP2008!C6</f>
        <v>1821.78</v>
      </c>
      <c r="I72" s="8">
        <f>[1]CSP2008!E6</f>
        <v>4825</v>
      </c>
    </row>
    <row r="73" spans="1:10">
      <c r="D73" s="6"/>
      <c r="E73" s="9">
        <f>SUM(E3:E72)</f>
        <v>12102144.300000001</v>
      </c>
      <c r="G73" s="9">
        <f>SUM(G3:G72)</f>
        <v>505024.48</v>
      </c>
      <c r="I73" s="9">
        <f>SUM(I3:I72)</f>
        <v>16602373.060000001</v>
      </c>
    </row>
    <row r="76" spans="1:10">
      <c r="A76" t="s">
        <v>81</v>
      </c>
      <c r="B76" s="5">
        <v>2</v>
      </c>
      <c r="E76" s="8">
        <f>SUMIF($B$3:$B$72,$B76,E$3:E$72)</f>
        <v>649624.24</v>
      </c>
      <c r="G76" s="8">
        <f>SUMIF($B$3:$B$72,$B76,G$3:G$72)</f>
        <v>128586.54999999999</v>
      </c>
      <c r="I76" s="8">
        <f>SUMIF($B$3:$B$72,$B76,I$3:I$72)</f>
        <v>12714851.060000001</v>
      </c>
      <c r="J76" s="9"/>
    </row>
    <row r="77" spans="1:10">
      <c r="A77" t="s">
        <v>82</v>
      </c>
      <c r="B77" s="5">
        <v>6</v>
      </c>
      <c r="E77" s="8">
        <f t="shared" ref="E77:E84" si="0">SUMIF($B$3:$B$72,$B77,E$3:E$72)</f>
        <v>291455.30000000005</v>
      </c>
      <c r="G77" s="8">
        <f t="shared" ref="G77:G84" si="1">SUMIF($B$3:$B$72,$B77,G$3:G$72)</f>
        <v>89001.12</v>
      </c>
      <c r="I77" s="8">
        <f t="shared" ref="I77:I84" si="2">SUMIF($B$3:$B$72,$B77,I$3:I$72)</f>
        <v>0</v>
      </c>
      <c r="J77" s="9"/>
    </row>
    <row r="78" spans="1:10">
      <c r="A78" t="s">
        <v>83</v>
      </c>
      <c r="B78" s="5">
        <v>10</v>
      </c>
      <c r="E78" s="8">
        <f t="shared" si="0"/>
        <v>465633.73</v>
      </c>
      <c r="G78" s="8">
        <f t="shared" si="1"/>
        <v>5396.13</v>
      </c>
      <c r="I78" s="8">
        <f t="shared" si="2"/>
        <v>0</v>
      </c>
      <c r="J78" s="9"/>
    </row>
    <row r="79" spans="1:10">
      <c r="A79" t="s">
        <v>84</v>
      </c>
      <c r="B79" s="5">
        <v>11</v>
      </c>
      <c r="E79" s="8">
        <f t="shared" si="0"/>
        <v>6231025.9200000018</v>
      </c>
      <c r="G79" s="8">
        <f t="shared" si="1"/>
        <v>77052.73000000001</v>
      </c>
      <c r="I79" s="8">
        <f t="shared" si="2"/>
        <v>3847342</v>
      </c>
      <c r="J79" s="9"/>
    </row>
    <row r="80" spans="1:10">
      <c r="A80" t="s">
        <v>85</v>
      </c>
      <c r="B80" s="5">
        <v>19</v>
      </c>
      <c r="E80" s="8">
        <f t="shared" si="0"/>
        <v>648047.56000000006</v>
      </c>
      <c r="G80" s="8">
        <f t="shared" si="1"/>
        <v>144004.91</v>
      </c>
      <c r="I80" s="8">
        <f t="shared" si="2"/>
        <v>40180</v>
      </c>
      <c r="J80" s="9"/>
    </row>
    <row r="81" spans="1:10">
      <c r="A81" t="s">
        <v>86</v>
      </c>
      <c r="B81" s="5">
        <v>26</v>
      </c>
      <c r="E81" s="8">
        <f t="shared" si="0"/>
        <v>1951246.32</v>
      </c>
      <c r="G81" s="8">
        <f t="shared" si="1"/>
        <v>57233.040000000008</v>
      </c>
      <c r="I81" s="8">
        <f t="shared" si="2"/>
        <v>0</v>
      </c>
      <c r="J81" s="9"/>
    </row>
    <row r="82" spans="1:10">
      <c r="A82" t="s">
        <v>87</v>
      </c>
      <c r="B82" s="5">
        <v>33</v>
      </c>
      <c r="E82" s="8">
        <f t="shared" si="0"/>
        <v>1682017.04</v>
      </c>
      <c r="G82" s="8">
        <f t="shared" si="1"/>
        <v>3750</v>
      </c>
      <c r="I82" s="8">
        <f t="shared" si="2"/>
        <v>0</v>
      </c>
      <c r="J82" s="9"/>
    </row>
    <row r="83" spans="1:10">
      <c r="A83" t="s">
        <v>88</v>
      </c>
      <c r="B83" s="5">
        <v>36</v>
      </c>
      <c r="E83" s="8">
        <f t="shared" si="0"/>
        <v>107100</v>
      </c>
      <c r="G83" s="8">
        <f t="shared" si="1"/>
        <v>0</v>
      </c>
      <c r="I83" s="8">
        <f t="shared" si="2"/>
        <v>0</v>
      </c>
      <c r="J83" s="9"/>
    </row>
    <row r="84" spans="1:10">
      <c r="A84" t="s">
        <v>89</v>
      </c>
      <c r="B84" s="5">
        <v>375</v>
      </c>
      <c r="E84" s="8">
        <f t="shared" si="0"/>
        <v>75994.19</v>
      </c>
      <c r="G84" s="8">
        <f t="shared" si="1"/>
        <v>0</v>
      </c>
      <c r="I84" s="8">
        <f t="shared" si="2"/>
        <v>0</v>
      </c>
      <c r="J84" s="9"/>
    </row>
  </sheetData>
  <mergeCells count="4">
    <mergeCell ref="B1:B2"/>
    <mergeCell ref="D1:E1"/>
    <mergeCell ref="F1:G1"/>
    <mergeCell ref="H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4:E11"/>
  <sheetViews>
    <sheetView workbookViewId="0">
      <selection activeCell="C11" sqref="C11"/>
    </sheetView>
  </sheetViews>
  <sheetFormatPr defaultRowHeight="15"/>
  <cols>
    <col min="1" max="1" width="40.28515625" customWidth="1"/>
    <col min="2" max="2" width="11.28515625" customWidth="1"/>
    <col min="3" max="3" width="14.28515625" bestFit="1" customWidth="1"/>
    <col min="5" max="5" width="23.140625" customWidth="1"/>
  </cols>
  <sheetData>
    <row r="4" spans="1:5">
      <c r="B4" s="32" t="s">
        <v>0</v>
      </c>
    </row>
    <row r="5" spans="1:5" ht="14.25" customHeight="1">
      <c r="A5" s="10" t="s">
        <v>95</v>
      </c>
      <c r="B5" s="32"/>
    </row>
    <row r="6" spans="1:5">
      <c r="A6" t="s">
        <v>90</v>
      </c>
      <c r="B6">
        <v>10007</v>
      </c>
      <c r="C6" s="8">
        <f>[2]Sheet2!$D$2</f>
        <v>4416243.2300000004</v>
      </c>
      <c r="D6">
        <v>0.7</v>
      </c>
      <c r="E6" s="9">
        <f>C6*D6</f>
        <v>3091370.2609999999</v>
      </c>
    </row>
    <row r="7" spans="1:5">
      <c r="A7" t="s">
        <v>91</v>
      </c>
      <c r="B7">
        <v>10007</v>
      </c>
      <c r="C7" s="8">
        <f>[2]Sheet2!$D$3</f>
        <v>1893212.1</v>
      </c>
      <c r="D7">
        <v>0.7</v>
      </c>
      <c r="E7" s="9">
        <f>C7*D7</f>
        <v>1325248.47</v>
      </c>
    </row>
    <row r="8" spans="1:5">
      <c r="A8" t="s">
        <v>92</v>
      </c>
      <c r="B8">
        <v>11</v>
      </c>
      <c r="C8" s="8">
        <f>[2]Sheet2!$D$4</f>
        <v>32742.82</v>
      </c>
    </row>
    <row r="9" spans="1:5">
      <c r="A9" t="s">
        <v>93</v>
      </c>
      <c r="B9">
        <v>369</v>
      </c>
      <c r="C9" s="8">
        <f>[2]Sheet2!$D$5</f>
        <v>277451.5</v>
      </c>
    </row>
    <row r="10" spans="1:5">
      <c r="A10" t="s">
        <v>94</v>
      </c>
      <c r="B10">
        <v>367</v>
      </c>
      <c r="C10" s="8">
        <f>[2]Sheet2!$D$6</f>
        <v>168287.06000000003</v>
      </c>
    </row>
    <row r="11" spans="1:5">
      <c r="C11" s="9">
        <f>SUM(C6:C10)</f>
        <v>6787936.71</v>
      </c>
    </row>
  </sheetData>
  <mergeCells count="1">
    <mergeCell ref="B4:B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F20"/>
  <sheetViews>
    <sheetView workbookViewId="0">
      <selection activeCell="C20" sqref="C20"/>
    </sheetView>
  </sheetViews>
  <sheetFormatPr defaultRowHeight="15"/>
  <cols>
    <col min="1" max="1" width="9.140625" style="21"/>
    <col min="2" max="2" width="45" style="21" customWidth="1"/>
    <col min="3" max="3" width="16" style="21" customWidth="1"/>
    <col min="4" max="4" width="14.85546875" style="21" customWidth="1"/>
    <col min="5" max="5" width="4.42578125" style="21" customWidth="1"/>
    <col min="6" max="6" width="8.5703125" style="21" customWidth="1"/>
    <col min="7" max="16384" width="9.140625" style="21"/>
  </cols>
  <sheetData>
    <row r="2" spans="1:6" ht="15.75" thickBot="1"/>
    <row r="3" spans="1:6" ht="15.75" thickBot="1">
      <c r="A3" s="22">
        <v>1101</v>
      </c>
      <c r="B3" s="22" t="s">
        <v>112</v>
      </c>
      <c r="C3" s="28">
        <v>15268062.18</v>
      </c>
      <c r="D3" s="23">
        <v>237.07</v>
      </c>
      <c r="F3" s="21">
        <v>439</v>
      </c>
    </row>
    <row r="4" spans="1:6" ht="15.75" thickBot="1">
      <c r="A4" s="22" t="s">
        <v>113</v>
      </c>
      <c r="B4" s="22" t="s">
        <v>114</v>
      </c>
      <c r="C4" s="28">
        <v>194540</v>
      </c>
      <c r="D4" s="23">
        <v>6.54</v>
      </c>
      <c r="F4" s="21">
        <v>439</v>
      </c>
    </row>
    <row r="5" spans="1:6" ht="15.75" thickBot="1">
      <c r="A5" s="22" t="s">
        <v>115</v>
      </c>
      <c r="B5" s="22" t="s">
        <v>116</v>
      </c>
      <c r="C5" s="28">
        <v>145145.34</v>
      </c>
      <c r="D5" s="23">
        <v>0.05</v>
      </c>
      <c r="F5" s="21">
        <v>439</v>
      </c>
    </row>
    <row r="6" spans="1:6" ht="15.75" thickBot="1">
      <c r="A6" s="22" t="s">
        <v>117</v>
      </c>
      <c r="B6" s="22" t="s">
        <v>118</v>
      </c>
      <c r="C6" s="28">
        <v>4712085.7699999996</v>
      </c>
      <c r="D6" s="27"/>
      <c r="F6" s="21">
        <v>11003</v>
      </c>
    </row>
    <row r="7" spans="1:6" ht="15.75" thickBot="1">
      <c r="A7" s="22" t="s">
        <v>119</v>
      </c>
      <c r="B7" s="22" t="s">
        <v>120</v>
      </c>
      <c r="C7" s="28">
        <v>177470.66</v>
      </c>
      <c r="D7" s="27"/>
      <c r="F7" s="21">
        <v>360</v>
      </c>
    </row>
    <row r="8" spans="1:6" ht="15.75" thickBot="1">
      <c r="A8" s="22" t="s">
        <v>121</v>
      </c>
      <c r="B8" s="22" t="s">
        <v>122</v>
      </c>
      <c r="C8" s="28">
        <v>356008.13</v>
      </c>
      <c r="D8" s="27"/>
      <c r="F8" s="21">
        <v>411</v>
      </c>
    </row>
    <row r="9" spans="1:6" ht="15.75" thickBot="1">
      <c r="A9" s="22" t="s">
        <v>123</v>
      </c>
      <c r="B9" s="22" t="s">
        <v>124</v>
      </c>
      <c r="C9" s="28">
        <v>48115.19</v>
      </c>
      <c r="D9" s="27"/>
      <c r="F9" s="21">
        <v>335</v>
      </c>
    </row>
    <row r="10" spans="1:6" ht="15.75" thickBot="1">
      <c r="A10" s="22" t="s">
        <v>125</v>
      </c>
      <c r="B10" s="22" t="s">
        <v>110</v>
      </c>
      <c r="C10" s="28">
        <v>1471463.34</v>
      </c>
      <c r="D10" s="27"/>
      <c r="F10" s="21">
        <v>360</v>
      </c>
    </row>
    <row r="11" spans="1:6" ht="15.75" thickBot="1">
      <c r="A11" s="22" t="s">
        <v>126</v>
      </c>
      <c r="B11" s="22" t="s">
        <v>111</v>
      </c>
      <c r="C11" s="28">
        <v>4437.18</v>
      </c>
      <c r="D11" s="27"/>
      <c r="F11" s="21">
        <v>386</v>
      </c>
    </row>
    <row r="12" spans="1:6" ht="15.75" thickBot="1">
      <c r="A12" s="22" t="s">
        <v>127</v>
      </c>
      <c r="B12" s="22" t="s">
        <v>128</v>
      </c>
      <c r="C12" s="28">
        <v>1089872.1599999999</v>
      </c>
      <c r="D12" s="27"/>
      <c r="F12" s="21">
        <v>389</v>
      </c>
    </row>
    <row r="13" spans="1:6" ht="15.75" thickBot="1">
      <c r="A13" s="22" t="s">
        <v>129</v>
      </c>
      <c r="B13" s="22" t="s">
        <v>130</v>
      </c>
      <c r="C13" s="28">
        <v>1631427.3</v>
      </c>
      <c r="D13" s="27"/>
      <c r="F13" s="21">
        <v>437</v>
      </c>
    </row>
    <row r="14" spans="1:6" ht="15.75" thickBot="1">
      <c r="A14" s="22" t="s">
        <v>131</v>
      </c>
      <c r="B14" s="22" t="s">
        <v>132</v>
      </c>
      <c r="C14" s="28">
        <v>702843.85</v>
      </c>
      <c r="D14" s="27"/>
      <c r="F14" s="21">
        <v>326</v>
      </c>
    </row>
    <row r="15" spans="1:6" ht="15.75" thickBot="1">
      <c r="A15" s="24">
        <v>3140</v>
      </c>
      <c r="B15" s="25" t="s">
        <v>133</v>
      </c>
      <c r="C15" s="29">
        <v>490803.11</v>
      </c>
      <c r="D15" s="26"/>
      <c r="F15" s="21">
        <v>234</v>
      </c>
    </row>
    <row r="16" spans="1:6" ht="15.75" thickBot="1">
      <c r="A16" s="24">
        <v>3154</v>
      </c>
      <c r="B16" s="25" t="s">
        <v>134</v>
      </c>
      <c r="C16" s="29">
        <v>51011.64</v>
      </c>
      <c r="D16" s="26"/>
      <c r="F16" s="21">
        <v>301</v>
      </c>
    </row>
    <row r="17" spans="1:6" ht="15.75" thickBot="1">
      <c r="A17" s="24">
        <v>3155</v>
      </c>
      <c r="B17" s="25" t="s">
        <v>135</v>
      </c>
      <c r="C17" s="29">
        <v>236236.3</v>
      </c>
      <c r="D17" s="26"/>
      <c r="F17" s="21">
        <v>277</v>
      </c>
    </row>
    <row r="18" spans="1:6" ht="15.75" thickBot="1">
      <c r="A18" s="22" t="s">
        <v>136</v>
      </c>
      <c r="B18" s="22" t="s">
        <v>137</v>
      </c>
      <c r="C18" s="28">
        <v>4515.18</v>
      </c>
      <c r="D18" s="27"/>
      <c r="F18" s="21">
        <v>367</v>
      </c>
    </row>
    <row r="19" spans="1:6" ht="15.75" thickBot="1">
      <c r="A19" s="22" t="s">
        <v>138</v>
      </c>
      <c r="B19" s="22" t="s">
        <v>139</v>
      </c>
      <c r="C19" s="28">
        <v>755.43</v>
      </c>
      <c r="D19" s="27"/>
      <c r="F19" s="21">
        <v>354</v>
      </c>
    </row>
    <row r="20" spans="1:6">
      <c r="C20" s="30">
        <f>SUM(C3:C19)</f>
        <v>26584792.760000002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>
      <selection activeCell="H3" sqref="H3"/>
    </sheetView>
  </sheetViews>
  <sheetFormatPr defaultRowHeight="15"/>
  <cols>
    <col min="1" max="1" width="12" customWidth="1"/>
    <col min="2" max="2" width="16.140625" customWidth="1"/>
    <col min="3" max="3" width="16.5703125" customWidth="1"/>
    <col min="4" max="4" width="13.85546875" customWidth="1"/>
    <col min="5" max="5" width="13.42578125" customWidth="1"/>
    <col min="6" max="6" width="10.140625" customWidth="1"/>
    <col min="7" max="7" width="9.85546875" customWidth="1"/>
    <col min="8" max="8" width="10.140625" customWidth="1"/>
    <col min="9" max="9" width="11.7109375" customWidth="1"/>
  </cols>
  <sheetData>
    <row r="1" spans="1:9" ht="20.25" thickTop="1" thickBot="1">
      <c r="A1" s="36" t="s">
        <v>143</v>
      </c>
      <c r="B1" s="37"/>
      <c r="C1" s="37"/>
      <c r="D1" s="37"/>
      <c r="E1" s="37"/>
      <c r="F1" s="37"/>
      <c r="G1" s="37"/>
      <c r="H1" s="37"/>
      <c r="I1" s="38"/>
    </row>
    <row r="2" spans="1:9" ht="95.25" thickBot="1">
      <c r="A2" s="11" t="s">
        <v>96</v>
      </c>
      <c r="B2" s="12" t="s">
        <v>97</v>
      </c>
      <c r="C2" s="12" t="s">
        <v>98</v>
      </c>
      <c r="D2" s="12" t="s">
        <v>99</v>
      </c>
      <c r="E2" s="12" t="s">
        <v>100</v>
      </c>
      <c r="F2" s="12" t="s">
        <v>101</v>
      </c>
      <c r="G2" s="12" t="s">
        <v>102</v>
      </c>
      <c r="H2" s="12" t="s">
        <v>103</v>
      </c>
      <c r="I2" s="12" t="s">
        <v>104</v>
      </c>
    </row>
    <row r="3" spans="1:9" ht="16.5" thickBot="1">
      <c r="A3" s="13" t="s">
        <v>1</v>
      </c>
      <c r="B3" s="14">
        <v>12102144</v>
      </c>
      <c r="C3" s="14">
        <v>12102144</v>
      </c>
      <c r="D3" s="31">
        <v>23185604</v>
      </c>
      <c r="E3" s="14">
        <v>9908593</v>
      </c>
      <c r="F3" s="15">
        <v>81.2</v>
      </c>
      <c r="G3" s="15">
        <v>172.3</v>
      </c>
      <c r="H3" s="40">
        <f t="shared" ref="H3:H8" si="0">+G3/B3*1000000</f>
        <v>14.237146740280071</v>
      </c>
      <c r="I3" s="40">
        <f t="shared" ref="I3:I8" si="1">+D3/B3</f>
        <v>1.9158261544400728</v>
      </c>
    </row>
    <row r="4" spans="1:9" ht="16.5" thickBot="1">
      <c r="A4" s="13" t="s">
        <v>2</v>
      </c>
      <c r="B4" s="14">
        <v>505024</v>
      </c>
      <c r="C4" s="14">
        <v>505024</v>
      </c>
      <c r="D4" s="14">
        <v>888458</v>
      </c>
      <c r="E4" s="14">
        <v>489515</v>
      </c>
      <c r="F4" s="15">
        <v>7</v>
      </c>
      <c r="G4" s="15">
        <v>10.7</v>
      </c>
      <c r="H4" s="40">
        <f t="shared" si="0"/>
        <v>21.187111899632491</v>
      </c>
      <c r="I4" s="40">
        <f t="shared" si="1"/>
        <v>1.7592391648713726</v>
      </c>
    </row>
    <row r="5" spans="1:9" ht="16.5" thickBot="1">
      <c r="A5" s="13" t="s">
        <v>105</v>
      </c>
      <c r="B5" s="14">
        <v>12719169</v>
      </c>
      <c r="C5" s="14">
        <v>12719169</v>
      </c>
      <c r="D5" s="14">
        <v>22395990</v>
      </c>
      <c r="E5" s="14">
        <v>8870969</v>
      </c>
      <c r="F5" s="15">
        <v>94.5</v>
      </c>
      <c r="G5" s="15">
        <v>178.6</v>
      </c>
      <c r="H5" s="40">
        <f t="shared" si="0"/>
        <v>14.041797856448012</v>
      </c>
      <c r="I5" s="40">
        <f t="shared" si="1"/>
        <v>1.7608060715287297</v>
      </c>
    </row>
    <row r="6" spans="1:9" ht="16.5" thickBot="1">
      <c r="A6" s="13" t="s">
        <v>106</v>
      </c>
      <c r="B6" s="14">
        <v>3883204</v>
      </c>
      <c r="C6" s="14">
        <v>3883204</v>
      </c>
      <c r="D6" s="14">
        <v>6273870</v>
      </c>
      <c r="E6" s="14">
        <v>2809972</v>
      </c>
      <c r="F6" s="17">
        <v>35.299999999999997</v>
      </c>
      <c r="G6" s="17">
        <v>58.8</v>
      </c>
      <c r="H6" s="40">
        <f t="shared" si="0"/>
        <v>15.142135205876384</v>
      </c>
      <c r="I6" s="40">
        <f t="shared" si="1"/>
        <v>1.6156426497294503</v>
      </c>
    </row>
    <row r="7" spans="1:9" ht="16.5" thickBot="1">
      <c r="A7" s="13" t="s">
        <v>95</v>
      </c>
      <c r="B7" s="14">
        <v>6787936</v>
      </c>
      <c r="C7" s="14">
        <v>4580939</v>
      </c>
      <c r="D7" s="14">
        <v>6959476</v>
      </c>
      <c r="E7" s="14">
        <v>3119754</v>
      </c>
      <c r="F7" s="16">
        <v>35.799999999999997</v>
      </c>
      <c r="G7" s="16">
        <v>59.8</v>
      </c>
      <c r="H7" s="40">
        <f t="shared" si="0"/>
        <v>8.8097471749880967</v>
      </c>
      <c r="I7" s="40">
        <f t="shared" si="1"/>
        <v>1.0252713048561448</v>
      </c>
    </row>
    <row r="8" spans="1:9" ht="16.5" thickBot="1">
      <c r="A8" s="13" t="s">
        <v>109</v>
      </c>
      <c r="B8" s="14">
        <v>978625</v>
      </c>
      <c r="C8" s="14">
        <v>636310</v>
      </c>
      <c r="D8" s="14">
        <v>945742</v>
      </c>
      <c r="E8" s="14">
        <v>407186</v>
      </c>
      <c r="F8" s="16">
        <v>4.7</v>
      </c>
      <c r="G8" s="16">
        <v>7.8</v>
      </c>
      <c r="H8" s="40">
        <f t="shared" si="0"/>
        <v>7.9703665857708517</v>
      </c>
      <c r="I8" s="40">
        <f t="shared" si="1"/>
        <v>0.96639877378975603</v>
      </c>
    </row>
    <row r="9" spans="1:9" ht="16.5" thickBot="1">
      <c r="A9" s="13" t="s">
        <v>107</v>
      </c>
      <c r="B9" s="14">
        <v>26584792.760000002</v>
      </c>
      <c r="C9" s="14">
        <v>26584792.760000002</v>
      </c>
      <c r="D9" s="14">
        <v>41090355</v>
      </c>
      <c r="E9" s="14">
        <v>28821873</v>
      </c>
      <c r="F9" s="16">
        <v>254.8</v>
      </c>
      <c r="G9" s="16">
        <v>426.4</v>
      </c>
      <c r="H9" s="40">
        <f>+G9/B9*1000000</f>
        <v>16.039244836302419</v>
      </c>
      <c r="I9" s="40">
        <f>+D9/B9</f>
        <v>1.5456338279915183</v>
      </c>
    </row>
    <row r="10" spans="1:9" ht="16.5" thickBot="1">
      <c r="A10" s="18" t="s">
        <v>108</v>
      </c>
      <c r="B10" s="19">
        <f t="shared" ref="B10:G10" si="2">SUM(B3:B9)</f>
        <v>63560894.760000005</v>
      </c>
      <c r="C10" s="19">
        <f t="shared" si="2"/>
        <v>61011582.760000005</v>
      </c>
      <c r="D10" s="19">
        <f t="shared" si="2"/>
        <v>101739495</v>
      </c>
      <c r="E10" s="19">
        <f t="shared" si="2"/>
        <v>54427862</v>
      </c>
      <c r="F10" s="20">
        <f t="shared" si="2"/>
        <v>513.29999999999995</v>
      </c>
      <c r="G10" s="20">
        <f t="shared" si="2"/>
        <v>914.40000000000009</v>
      </c>
      <c r="H10" s="40">
        <f>+G10/B10*1000000</f>
        <v>14.386204024545108</v>
      </c>
      <c r="I10" s="40">
        <f>+D10/B10</f>
        <v>1.6006617808663459</v>
      </c>
    </row>
    <row r="11" spans="1:9" ht="15.75" thickTop="1"/>
    <row r="14" spans="1:9">
      <c r="B14" t="s">
        <v>140</v>
      </c>
    </row>
    <row r="15" spans="1:9">
      <c r="B15" t="s">
        <v>141</v>
      </c>
    </row>
    <row r="16" spans="1:9" ht="30" customHeight="1">
      <c r="B16" s="39" t="s">
        <v>147</v>
      </c>
      <c r="C16" s="39"/>
      <c r="D16" s="39"/>
      <c r="E16" s="39"/>
      <c r="F16" s="39"/>
      <c r="G16" s="39"/>
      <c r="H16" s="39"/>
      <c r="I16" s="39"/>
    </row>
    <row r="17" spans="2:9" ht="33" customHeight="1">
      <c r="B17" s="39" t="s">
        <v>144</v>
      </c>
      <c r="C17" s="39"/>
      <c r="D17" s="39"/>
      <c r="E17" s="39"/>
      <c r="F17" s="39"/>
      <c r="G17" s="39"/>
      <c r="H17" s="39"/>
      <c r="I17" s="39"/>
    </row>
    <row r="18" spans="2:9">
      <c r="B18" t="s">
        <v>145</v>
      </c>
    </row>
    <row r="19" spans="2:9">
      <c r="B19" t="s">
        <v>146</v>
      </c>
    </row>
    <row r="20" spans="2:9">
      <c r="B20" t="s">
        <v>142</v>
      </c>
    </row>
  </sheetData>
  <mergeCells count="3">
    <mergeCell ref="A1:I1"/>
    <mergeCell ref="B17:I17"/>
    <mergeCell ref="B16:I16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Protracts</vt:lpstr>
      <vt:lpstr>Easements</vt:lpstr>
      <vt:lpstr>TA</vt:lpstr>
      <vt:lpstr>Summary</vt:lpstr>
    </vt:vector>
  </TitlesOfParts>
  <Company>USDA OCIO-ITS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douglas.vik</dc:creator>
  <cp:lastModifiedBy>douglas.vik</cp:lastModifiedBy>
  <cp:lastPrinted>2011-02-07T22:08:15Z</cp:lastPrinted>
  <dcterms:created xsi:type="dcterms:W3CDTF">2011-01-14T16:56:50Z</dcterms:created>
  <dcterms:modified xsi:type="dcterms:W3CDTF">2011-02-07T22:08:18Z</dcterms:modified>
</cp:coreProperties>
</file>