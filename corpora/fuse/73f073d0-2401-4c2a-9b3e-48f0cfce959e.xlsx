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425" yWindow="-75" windowWidth="12615" windowHeight="154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50" i="1" l="1"/>
  <c r="D37" i="1"/>
  <c r="D38" i="1"/>
  <c r="D46" i="1"/>
  <c r="D49" i="1" s="1"/>
  <c r="D30" i="1"/>
  <c r="E24" i="1"/>
  <c r="E31" i="1"/>
  <c r="E41" i="1"/>
  <c r="E53" i="1"/>
  <c r="E40" i="1"/>
  <c r="D36" i="1"/>
  <c r="D40" i="1"/>
  <c r="D29" i="1"/>
  <c r="D28" i="1"/>
  <c r="D13" i="1"/>
  <c r="D12" i="1"/>
  <c r="D14" i="1"/>
  <c r="D18" i="1"/>
  <c r="D16" i="1"/>
  <c r="D17" i="1"/>
  <c r="D19" i="1"/>
  <c r="D27" i="1"/>
  <c r="D26" i="1"/>
  <c r="D20" i="1"/>
  <c r="D21" i="1"/>
  <c r="D51" i="1" l="1"/>
  <c r="D31" i="1"/>
  <c r="D22" i="1"/>
  <c r="D23" i="1"/>
  <c r="D24" i="1"/>
  <c r="D41" i="1" l="1"/>
  <c r="D53" i="1"/>
</calcChain>
</file>

<file path=xl/sharedStrings.xml><?xml version="1.0" encoding="utf-8"?>
<sst xmlns="http://schemas.openxmlformats.org/spreadsheetml/2006/main" count="50" uniqueCount="46">
  <si>
    <t>Cost</t>
  </si>
  <si>
    <t>Qty</t>
  </si>
  <si>
    <t>Total</t>
  </si>
  <si>
    <t>Flights</t>
  </si>
  <si>
    <t>Event Registration</t>
  </si>
  <si>
    <t>Travel Total</t>
  </si>
  <si>
    <t>Catering Total</t>
  </si>
  <si>
    <t>Event Expenses</t>
  </si>
  <si>
    <t>Event Expenses Total</t>
  </si>
  <si>
    <t>Travel</t>
  </si>
  <si>
    <t>Symposium Expenses</t>
  </si>
  <si>
    <t>Symposium Income</t>
  </si>
  <si>
    <t>A/V Tech Support</t>
  </si>
  <si>
    <t>Lunch</t>
  </si>
  <si>
    <t>Break</t>
  </si>
  <si>
    <t>Dinner</t>
  </si>
  <si>
    <t>Expenses</t>
  </si>
  <si>
    <t xml:space="preserve">Reception </t>
  </si>
  <si>
    <t xml:space="preserve">2 Breaks </t>
  </si>
  <si>
    <t xml:space="preserve">Continental Breakfast </t>
  </si>
  <si>
    <t>Tax</t>
  </si>
  <si>
    <t>Service &amp; Extra Charges</t>
  </si>
  <si>
    <t>Catering Subtotal</t>
  </si>
  <si>
    <t>Subtotal</t>
  </si>
  <si>
    <t>Parking Passes</t>
  </si>
  <si>
    <t>Avg Payment</t>
  </si>
  <si>
    <t>Total Net Cost</t>
  </si>
  <si>
    <t xml:space="preserve">   Shuttle</t>
  </si>
  <si>
    <t>Lunch (presenters / guests)</t>
  </si>
  <si>
    <t>Budget</t>
  </si>
  <si>
    <t xml:space="preserve">   Space Rental</t>
  </si>
  <si>
    <t>Final</t>
  </si>
  <si>
    <t>Attendees</t>
  </si>
  <si>
    <t>Big 2 Day Symposium</t>
  </si>
  <si>
    <t xml:space="preserve">   Graphic Design</t>
  </si>
  <si>
    <t xml:space="preserve">   Printing &amp; Mailing</t>
  </si>
  <si>
    <t>Estimate Attendees</t>
  </si>
  <si>
    <t>Sponsorship</t>
  </si>
  <si>
    <t>UC Fee</t>
  </si>
  <si>
    <t>Catering: Meeting</t>
  </si>
  <si>
    <t>Catering: Conference</t>
  </si>
  <si>
    <t>Hotel ($180 x 2 nights)</t>
  </si>
  <si>
    <t>Taxi ($85 x 2)</t>
  </si>
  <si>
    <t>Name Tag</t>
  </si>
  <si>
    <t>Table Tens</t>
  </si>
  <si>
    <t>Nice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</si>
</sst>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10"/>
      <name val="Arial"/>
    </font>
    <font>
      <b/>
      <sz val="14"/>
      <name val="Arial"/>
      <family val="2"/>
    </font>
    <font>
      <b/>
      <sz val="10"/>
      <color indexed="9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5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2" borderId="1" xfId="0" applyFont="1" applyFill="1" applyBorder="1"/>
    <xf numFmtId="0" fontId="2" fillId="0" borderId="0" xfId="0" applyFont="1" applyBorder="1" applyAlignment="1">
      <alignment horizontal="right"/>
    </xf>
    <xf numFmtId="164" fontId="0" fillId="0" borderId="0" xfId="0" applyNumberFormat="1"/>
    <xf numFmtId="164" fontId="2" fillId="0" borderId="0" xfId="0" applyNumberFormat="1" applyFont="1" applyBorder="1" applyAlignment="1">
      <alignment horizontal="right"/>
    </xf>
    <xf numFmtId="0" fontId="2" fillId="3" borderId="1" xfId="0" applyFont="1" applyFill="1" applyBorder="1"/>
    <xf numFmtId="164" fontId="0" fillId="3" borderId="2" xfId="0" applyNumberFormat="1" applyFill="1" applyBorder="1"/>
    <xf numFmtId="0" fontId="0" fillId="3" borderId="2" xfId="0" applyFill="1" applyBorder="1"/>
    <xf numFmtId="3" fontId="2" fillId="3" borderId="3" xfId="0" applyNumberFormat="1" applyFont="1" applyFill="1" applyBorder="1"/>
    <xf numFmtId="164" fontId="2" fillId="3" borderId="2" xfId="0" applyNumberFormat="1" applyFont="1" applyFill="1" applyBorder="1"/>
    <xf numFmtId="0" fontId="2" fillId="3" borderId="2" xfId="0" applyFont="1" applyFill="1" applyBorder="1"/>
    <xf numFmtId="3" fontId="2" fillId="0" borderId="4" xfId="0" applyNumberFormat="1" applyFont="1" applyBorder="1" applyAlignment="1">
      <alignment horizontal="right"/>
    </xf>
    <xf numFmtId="164" fontId="0" fillId="0" borderId="0" xfId="0" applyNumberFormat="1" applyBorder="1"/>
    <xf numFmtId="0" fontId="0" fillId="0" borderId="0" xfId="0" applyBorder="1"/>
    <xf numFmtId="3" fontId="0" fillId="0" borderId="4" xfId="0" applyNumberFormat="1" applyBorder="1"/>
    <xf numFmtId="164" fontId="4" fillId="0" borderId="0" xfId="0" applyNumberFormat="1" applyFont="1" applyBorder="1"/>
    <xf numFmtId="0" fontId="4" fillId="0" borderId="0" xfId="0" applyFont="1" applyBorder="1"/>
    <xf numFmtId="3" fontId="4" fillId="0" borderId="4" xfId="0" applyNumberFormat="1" applyFont="1" applyBorder="1"/>
    <xf numFmtId="3" fontId="3" fillId="0" borderId="0" xfId="0" applyNumberFormat="1" applyFont="1"/>
    <xf numFmtId="0" fontId="5" fillId="0" borderId="0" xfId="0" applyFont="1"/>
    <xf numFmtId="0" fontId="6" fillId="4" borderId="0" xfId="0" applyFont="1" applyFill="1"/>
    <xf numFmtId="164" fontId="6" fillId="4" borderId="0" xfId="0" applyNumberFormat="1" applyFont="1" applyFill="1"/>
    <xf numFmtId="3" fontId="6" fillId="4" borderId="0" xfId="0" applyNumberFormat="1" applyFont="1" applyFill="1"/>
    <xf numFmtId="0" fontId="0" fillId="0" borderId="0" xfId="0" applyFill="1"/>
    <xf numFmtId="0" fontId="0" fillId="0" borderId="5" xfId="0" applyFill="1" applyBorder="1" applyAlignment="1">
      <alignment horizontal="left" indent="1"/>
    </xf>
    <xf numFmtId="164" fontId="0" fillId="0" borderId="0" xfId="0" applyNumberFormat="1" applyFill="1" applyBorder="1"/>
    <xf numFmtId="0" fontId="0" fillId="0" borderId="0" xfId="0" applyFill="1" applyBorder="1"/>
    <xf numFmtId="3" fontId="0" fillId="0" borderId="4" xfId="0" applyNumberFormat="1" applyFill="1" applyBorder="1"/>
    <xf numFmtId="3" fontId="2" fillId="0" borderId="4" xfId="0" applyNumberFormat="1" applyFont="1" applyFill="1" applyBorder="1"/>
    <xf numFmtId="0" fontId="7" fillId="0" borderId="5" xfId="0" applyFont="1" applyBorder="1"/>
    <xf numFmtId="0" fontId="7" fillId="0" borderId="5" xfId="0" applyFont="1" applyFill="1" applyBorder="1"/>
    <xf numFmtId="0" fontId="2" fillId="5" borderId="1" xfId="0" applyFont="1" applyFill="1" applyBorder="1"/>
    <xf numFmtId="164" fontId="0" fillId="5" borderId="2" xfId="0" applyNumberFormat="1" applyFill="1" applyBorder="1"/>
    <xf numFmtId="0" fontId="0" fillId="5" borderId="2" xfId="0" applyFill="1" applyBorder="1"/>
    <xf numFmtId="3" fontId="2" fillId="5" borderId="3" xfId="0" applyNumberFormat="1" applyFont="1" applyFill="1" applyBorder="1"/>
    <xf numFmtId="0" fontId="2" fillId="3" borderId="1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3" fontId="2" fillId="2" borderId="3" xfId="0" applyNumberFormat="1" applyFont="1" applyFill="1" applyBorder="1" applyAlignment="1">
      <alignment horizontal="right"/>
    </xf>
    <xf numFmtId="3" fontId="0" fillId="0" borderId="0" xfId="0" applyNumberFormat="1" applyFill="1" applyBorder="1"/>
    <xf numFmtId="9" fontId="0" fillId="0" borderId="0" xfId="0" applyNumberFormat="1" applyFill="1" applyBorder="1"/>
    <xf numFmtId="0" fontId="2" fillId="6" borderId="1" xfId="0" applyFont="1" applyFill="1" applyBorder="1"/>
    <xf numFmtId="164" fontId="0" fillId="6" borderId="2" xfId="0" applyNumberFormat="1" applyFill="1" applyBorder="1"/>
    <xf numFmtId="0" fontId="0" fillId="6" borderId="2" xfId="0" applyFill="1" applyBorder="1"/>
    <xf numFmtId="3" fontId="2" fillId="6" borderId="3" xfId="0" applyNumberFormat="1" applyFont="1" applyFill="1" applyBorder="1"/>
    <xf numFmtId="0" fontId="8" fillId="0" borderId="5" xfId="0" applyFont="1" applyBorder="1"/>
    <xf numFmtId="0" fontId="8" fillId="0" borderId="5" xfId="0" applyFont="1" applyBorder="1" applyAlignment="1">
      <alignment horizontal="left" indent="1"/>
    </xf>
    <xf numFmtId="0" fontId="8" fillId="0" borderId="5" xfId="0" applyFont="1" applyFill="1" applyBorder="1" applyAlignment="1">
      <alignment horizontal="left" indent="1"/>
    </xf>
    <xf numFmtId="0" fontId="0" fillId="0" borderId="0" xfId="0" applyFont="1" applyFill="1" applyBorder="1"/>
    <xf numFmtId="0" fontId="8" fillId="0" borderId="5" xfId="0" applyFont="1" applyFill="1" applyBorder="1" applyAlignment="1">
      <alignment horizontal="left"/>
    </xf>
    <xf numFmtId="3" fontId="4" fillId="0" borderId="6" xfId="0" applyNumberFormat="1" applyFont="1" applyBorder="1"/>
    <xf numFmtId="3" fontId="0" fillId="0" borderId="4" xfId="0" applyNumberFormat="1" applyBorder="1" applyAlignment="1">
      <alignment horizontal="right"/>
    </xf>
    <xf numFmtId="3" fontId="0" fillId="0" borderId="6" xfId="0" applyNumberFormat="1" applyFont="1" applyBorder="1" applyAlignment="1">
      <alignment horizontal="right"/>
    </xf>
    <xf numFmtId="164" fontId="0" fillId="0" borderId="0" xfId="0" applyNumberFormat="1" applyFont="1" applyFill="1" applyBorder="1"/>
    <xf numFmtId="0" fontId="8" fillId="0" borderId="0" xfId="0" applyFont="1" applyFill="1" applyBorder="1" applyAlignment="1">
      <alignment horizontal="left"/>
    </xf>
    <xf numFmtId="0" fontId="8" fillId="0" borderId="7" xfId="0" applyFont="1" applyBorder="1" applyAlignment="1">
      <alignment horizontal="left" indent="1"/>
    </xf>
    <xf numFmtId="164" fontId="8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164" fontId="2" fillId="0" borderId="0" xfId="0" applyNumberFormat="1" applyFont="1" applyFill="1" applyBorder="1"/>
    <xf numFmtId="0" fontId="8" fillId="0" borderId="0" xfId="0" applyFont="1"/>
    <xf numFmtId="9" fontId="0" fillId="0" borderId="0" xfId="1" applyFont="1" applyFill="1" applyBorder="1"/>
    <xf numFmtId="164" fontId="9" fillId="0" borderId="0" xfId="0" applyNumberFormat="1" applyFont="1" applyFill="1" applyBorder="1"/>
    <xf numFmtId="3" fontId="9" fillId="0" borderId="0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266700</xdr:colOff>
      <xdr:row>4</xdr:row>
      <xdr:rowOff>66675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050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53"/>
  <sheetViews>
    <sheetView tabSelected="1" zoomScale="160" zoomScaleNormal="160" workbookViewId="0">
      <selection activeCell="I20" sqref="I20"/>
    </sheetView>
  </sheetViews>
  <sheetFormatPr defaultColWidth="8.85546875" defaultRowHeight="12.75" x14ac:dyDescent="0.2"/>
  <cols>
    <col min="1" max="1" width="27.5703125" customWidth="1"/>
    <col min="2" max="2" width="14.140625" style="5" customWidth="1"/>
    <col min="3" max="3" width="10" customWidth="1"/>
    <col min="4" max="4" width="11.5703125" style="1" customWidth="1"/>
  </cols>
  <sheetData>
    <row r="6" spans="1:5" ht="15" customHeight="1" x14ac:dyDescent="0.25">
      <c r="A6" s="21" t="s">
        <v>33</v>
      </c>
    </row>
    <row r="7" spans="1:5" ht="15" customHeight="1" x14ac:dyDescent="0.2"/>
    <row r="8" spans="1:5" ht="15" customHeight="1" x14ac:dyDescent="0.2">
      <c r="A8" s="2" t="s">
        <v>36</v>
      </c>
      <c r="B8" s="20">
        <v>100</v>
      </c>
    </row>
    <row r="9" spans="1:5" ht="15" customHeight="1" x14ac:dyDescent="0.2"/>
    <row r="10" spans="1:5" ht="15" customHeight="1" x14ac:dyDescent="0.2">
      <c r="A10" s="3" t="s">
        <v>16</v>
      </c>
      <c r="B10" s="38" t="s">
        <v>0</v>
      </c>
      <c r="C10" s="39" t="s">
        <v>1</v>
      </c>
      <c r="D10" s="40" t="s">
        <v>29</v>
      </c>
      <c r="E10" s="40" t="s">
        <v>31</v>
      </c>
    </row>
    <row r="11" spans="1:5" ht="15" customHeight="1" x14ac:dyDescent="0.2">
      <c r="A11" s="31" t="s">
        <v>39</v>
      </c>
      <c r="B11" s="6"/>
      <c r="C11" s="4"/>
      <c r="D11" s="13"/>
      <c r="E11" s="13"/>
    </row>
    <row r="12" spans="1:5" ht="15" customHeight="1" x14ac:dyDescent="0.2">
      <c r="A12" s="26" t="s">
        <v>13</v>
      </c>
      <c r="B12" s="27">
        <v>16</v>
      </c>
      <c r="C12" s="28">
        <v>100</v>
      </c>
      <c r="D12" s="29">
        <f>B12*C12</f>
        <v>1600</v>
      </c>
      <c r="E12" s="29"/>
    </row>
    <row r="13" spans="1:5" ht="15" customHeight="1" x14ac:dyDescent="0.2">
      <c r="A13" s="26" t="s">
        <v>14</v>
      </c>
      <c r="B13" s="27">
        <v>7</v>
      </c>
      <c r="C13" s="28">
        <v>100</v>
      </c>
      <c r="D13" s="29">
        <f>B13*C13</f>
        <v>700</v>
      </c>
      <c r="E13" s="29"/>
    </row>
    <row r="14" spans="1:5" ht="15" customHeight="1" x14ac:dyDescent="0.2">
      <c r="A14" s="26" t="s">
        <v>15</v>
      </c>
      <c r="B14" s="27">
        <v>74</v>
      </c>
      <c r="C14" s="28">
        <v>30</v>
      </c>
      <c r="D14" s="29">
        <f>B14*C14</f>
        <v>2220</v>
      </c>
      <c r="E14" s="29"/>
    </row>
    <row r="15" spans="1:5" ht="15" customHeight="1" x14ac:dyDescent="0.2">
      <c r="A15" s="31" t="s">
        <v>40</v>
      </c>
      <c r="B15" s="6"/>
      <c r="C15" s="4"/>
      <c r="D15" s="13"/>
      <c r="E15" s="13"/>
    </row>
    <row r="16" spans="1:5" ht="15" customHeight="1" x14ac:dyDescent="0.2">
      <c r="A16" s="26" t="s">
        <v>19</v>
      </c>
      <c r="B16" s="27">
        <v>12</v>
      </c>
      <c r="C16" s="28">
        <v>85</v>
      </c>
      <c r="D16" s="29">
        <f>B16*C16</f>
        <v>1020</v>
      </c>
      <c r="E16" s="29"/>
    </row>
    <row r="17" spans="1:7" ht="15" customHeight="1" x14ac:dyDescent="0.2">
      <c r="A17" s="26" t="s">
        <v>28</v>
      </c>
      <c r="B17" s="27">
        <v>18</v>
      </c>
      <c r="C17" s="28">
        <v>100</v>
      </c>
      <c r="D17" s="29">
        <f>B17*C17</f>
        <v>1800</v>
      </c>
      <c r="E17" s="29"/>
    </row>
    <row r="18" spans="1:7" ht="15" customHeight="1" x14ac:dyDescent="0.2">
      <c r="A18" s="26" t="s">
        <v>18</v>
      </c>
      <c r="B18" s="27">
        <v>14</v>
      </c>
      <c r="C18" s="28">
        <v>90</v>
      </c>
      <c r="D18" s="29">
        <f>B18*C18</f>
        <v>1260</v>
      </c>
      <c r="E18" s="29"/>
    </row>
    <row r="19" spans="1:7" ht="15" customHeight="1" x14ac:dyDescent="0.2">
      <c r="A19" s="26" t="s">
        <v>17</v>
      </c>
      <c r="B19" s="27">
        <v>17</v>
      </c>
      <c r="C19" s="28">
        <v>80</v>
      </c>
      <c r="D19" s="29">
        <f>B19*C19</f>
        <v>1360</v>
      </c>
      <c r="E19" s="29"/>
    </row>
    <row r="20" spans="1:7" ht="15" customHeight="1" x14ac:dyDescent="0.2">
      <c r="A20" s="43" t="s">
        <v>22</v>
      </c>
      <c r="B20" s="44"/>
      <c r="C20" s="45"/>
      <c r="D20" s="46">
        <f>SUM(D12:D19)</f>
        <v>9960</v>
      </c>
      <c r="E20" s="46"/>
    </row>
    <row r="21" spans="1:7" s="25" customFormat="1" ht="15" customHeight="1" x14ac:dyDescent="0.2">
      <c r="A21" s="26" t="s">
        <v>21</v>
      </c>
      <c r="B21" s="27"/>
      <c r="C21" s="42">
        <v>0.17</v>
      </c>
      <c r="D21" s="29">
        <f>(D20*C21)</f>
        <v>1693.2</v>
      </c>
      <c r="E21" s="29"/>
      <c r="F21"/>
      <c r="G21"/>
    </row>
    <row r="22" spans="1:7" s="25" customFormat="1" ht="15" customHeight="1" x14ac:dyDescent="0.2">
      <c r="A22" s="43" t="s">
        <v>23</v>
      </c>
      <c r="B22" s="44"/>
      <c r="C22" s="45"/>
      <c r="D22" s="46">
        <f>SUM(D20:D21)</f>
        <v>11653.2</v>
      </c>
      <c r="E22" s="46"/>
      <c r="F22"/>
      <c r="G22"/>
    </row>
    <row r="23" spans="1:7" s="25" customFormat="1" ht="15" customHeight="1" x14ac:dyDescent="0.2">
      <c r="A23" s="26" t="s">
        <v>20</v>
      </c>
      <c r="B23" s="27"/>
      <c r="C23" s="42">
        <v>8.7499999999999994E-2</v>
      </c>
      <c r="D23" s="29">
        <f>(D22*C23)</f>
        <v>1019.655</v>
      </c>
      <c r="E23" s="29"/>
      <c r="F23"/>
      <c r="G23"/>
    </row>
    <row r="24" spans="1:7" ht="15" customHeight="1" x14ac:dyDescent="0.2">
      <c r="A24" s="7" t="s">
        <v>6</v>
      </c>
      <c r="B24" s="8"/>
      <c r="C24" s="9"/>
      <c r="D24" s="10">
        <f>SUM(D22:D23)</f>
        <v>12672.855000000001</v>
      </c>
      <c r="E24" s="10">
        <f>SUM(E14:E22)</f>
        <v>0</v>
      </c>
    </row>
    <row r="25" spans="1:7" ht="15" customHeight="1" x14ac:dyDescent="0.2">
      <c r="A25" s="32" t="s">
        <v>9</v>
      </c>
      <c r="B25" s="27"/>
      <c r="C25" s="28"/>
      <c r="D25" s="30"/>
      <c r="E25" s="30"/>
    </row>
    <row r="26" spans="1:7" ht="15" customHeight="1" x14ac:dyDescent="0.2">
      <c r="A26" s="49" t="s">
        <v>24</v>
      </c>
      <c r="B26" s="27">
        <v>10</v>
      </c>
      <c r="C26" s="28">
        <v>15</v>
      </c>
      <c r="D26" s="29">
        <f>B26*C26</f>
        <v>150</v>
      </c>
      <c r="E26" s="29"/>
      <c r="F26" s="25"/>
      <c r="G26" s="25"/>
    </row>
    <row r="27" spans="1:7" ht="15" customHeight="1" x14ac:dyDescent="0.2">
      <c r="A27" s="49" t="s">
        <v>41</v>
      </c>
      <c r="B27" s="27">
        <v>360</v>
      </c>
      <c r="C27" s="28">
        <v>10</v>
      </c>
      <c r="D27" s="29">
        <f>B27*C27</f>
        <v>3600</v>
      </c>
      <c r="E27" s="29"/>
      <c r="F27" s="25"/>
      <c r="G27" s="25"/>
    </row>
    <row r="28" spans="1:7" ht="15" customHeight="1" x14ac:dyDescent="0.2">
      <c r="A28" s="49" t="s">
        <v>3</v>
      </c>
      <c r="B28" s="27">
        <v>750</v>
      </c>
      <c r="C28" s="28">
        <v>10</v>
      </c>
      <c r="D28" s="29">
        <f>B28*C28</f>
        <v>7500</v>
      </c>
      <c r="E28" s="29"/>
      <c r="F28" s="25"/>
      <c r="G28" s="25"/>
    </row>
    <row r="29" spans="1:7" ht="15" customHeight="1" x14ac:dyDescent="0.2">
      <c r="A29" s="48" t="s">
        <v>42</v>
      </c>
      <c r="B29" s="17">
        <v>170</v>
      </c>
      <c r="C29" s="28">
        <v>8</v>
      </c>
      <c r="D29" s="29">
        <f>B29*C29</f>
        <v>1360</v>
      </c>
      <c r="E29" s="29"/>
    </row>
    <row r="30" spans="1:7" ht="15" customHeight="1" x14ac:dyDescent="0.2">
      <c r="A30" s="51" t="s">
        <v>27</v>
      </c>
      <c r="B30" s="17">
        <v>400</v>
      </c>
      <c r="C30" s="50">
        <v>1</v>
      </c>
      <c r="D30" s="29">
        <f>B30*C30</f>
        <v>400</v>
      </c>
      <c r="E30" s="19"/>
    </row>
    <row r="31" spans="1:7" ht="15" customHeight="1" x14ac:dyDescent="0.2">
      <c r="A31" s="7" t="s">
        <v>5</v>
      </c>
      <c r="B31" s="11"/>
      <c r="C31" s="12"/>
      <c r="D31" s="10">
        <f>SUM(D25:D30)</f>
        <v>13010</v>
      </c>
      <c r="E31" s="10">
        <f>SUM(E25:E30)</f>
        <v>0</v>
      </c>
    </row>
    <row r="32" spans="1:7" ht="15" customHeight="1" x14ac:dyDescent="0.2">
      <c r="A32" s="31" t="s">
        <v>7</v>
      </c>
      <c r="B32" s="14"/>
      <c r="C32" s="15"/>
      <c r="D32" s="16"/>
      <c r="E32" s="16"/>
    </row>
    <row r="33" spans="1:5" x14ac:dyDescent="0.2">
      <c r="A33" s="47" t="s">
        <v>30</v>
      </c>
      <c r="B33" s="14"/>
      <c r="C33" s="15"/>
      <c r="D33" s="53">
        <v>500</v>
      </c>
      <c r="E33" s="16"/>
    </row>
    <row r="34" spans="1:5" x14ac:dyDescent="0.2">
      <c r="A34" s="47" t="s">
        <v>34</v>
      </c>
      <c r="B34" s="14"/>
      <c r="C34" s="15"/>
      <c r="D34" s="53">
        <v>2500</v>
      </c>
      <c r="E34" s="16"/>
    </row>
    <row r="35" spans="1:5" x14ac:dyDescent="0.2">
      <c r="A35" s="47" t="s">
        <v>35</v>
      </c>
      <c r="B35" s="14"/>
      <c r="C35" s="15"/>
      <c r="D35" s="53">
        <v>1000</v>
      </c>
      <c r="E35" s="16"/>
    </row>
    <row r="36" spans="1:5" x14ac:dyDescent="0.2">
      <c r="A36" s="48" t="s">
        <v>43</v>
      </c>
      <c r="B36" s="17">
        <v>25</v>
      </c>
      <c r="C36" s="18">
        <v>3</v>
      </c>
      <c r="D36" s="19">
        <f>B36*C36</f>
        <v>75</v>
      </c>
      <c r="E36" s="19">
        <v>0</v>
      </c>
    </row>
    <row r="37" spans="1:5" x14ac:dyDescent="0.2">
      <c r="A37" s="48" t="s">
        <v>44</v>
      </c>
      <c r="B37" s="17">
        <v>20</v>
      </c>
      <c r="C37" s="18">
        <v>1</v>
      </c>
      <c r="D37" s="19">
        <f t="shared" ref="D37:D38" si="0">B37*C37</f>
        <v>20</v>
      </c>
      <c r="E37" s="19"/>
    </row>
    <row r="38" spans="1:5" x14ac:dyDescent="0.2">
      <c r="A38" s="48" t="s">
        <v>45</v>
      </c>
      <c r="B38" s="17">
        <v>10</v>
      </c>
      <c r="C38" s="18">
        <v>1</v>
      </c>
      <c r="D38" s="19">
        <f t="shared" si="0"/>
        <v>10</v>
      </c>
      <c r="E38" s="19"/>
    </row>
    <row r="39" spans="1:5" x14ac:dyDescent="0.2">
      <c r="A39" s="57" t="s">
        <v>12</v>
      </c>
      <c r="B39" s="17"/>
      <c r="C39" s="18"/>
      <c r="D39" s="54">
        <v>1200</v>
      </c>
      <c r="E39" s="52"/>
    </row>
    <row r="40" spans="1:5" x14ac:dyDescent="0.2">
      <c r="A40" s="37" t="s">
        <v>8</v>
      </c>
      <c r="B40" s="8"/>
      <c r="C40" s="9"/>
      <c r="D40" s="10">
        <f>SUM(D32:D39)</f>
        <v>5305</v>
      </c>
      <c r="E40" s="10">
        <f>SUM(E32:E39)</f>
        <v>0</v>
      </c>
    </row>
    <row r="41" spans="1:5" x14ac:dyDescent="0.2">
      <c r="A41" s="33" t="s">
        <v>10</v>
      </c>
      <c r="B41" s="34"/>
      <c r="C41" s="35"/>
      <c r="D41" s="36">
        <f>SUM(-D40-D31-D24)</f>
        <v>-30987.855000000003</v>
      </c>
      <c r="E41" s="36">
        <f>SUM(-E40-E31-E24)</f>
        <v>0</v>
      </c>
    </row>
    <row r="42" spans="1:5" x14ac:dyDescent="0.2">
      <c r="E42" s="1"/>
    </row>
    <row r="43" spans="1:5" x14ac:dyDescent="0.2">
      <c r="E43" s="1"/>
    </row>
    <row r="44" spans="1:5" x14ac:dyDescent="0.2">
      <c r="A44" s="3" t="s">
        <v>11</v>
      </c>
      <c r="B44" s="38"/>
      <c r="C44" s="39"/>
      <c r="D44" s="40" t="s">
        <v>2</v>
      </c>
      <c r="E44" s="40" t="s">
        <v>2</v>
      </c>
    </row>
    <row r="45" spans="1:5" x14ac:dyDescent="0.2">
      <c r="A45" s="56" t="s">
        <v>4</v>
      </c>
      <c r="B45" s="59" t="s">
        <v>32</v>
      </c>
      <c r="C45" s="60" t="s">
        <v>25</v>
      </c>
      <c r="E45" s="1"/>
    </row>
    <row r="46" spans="1:5" x14ac:dyDescent="0.2">
      <c r="B46" s="56">
        <v>100</v>
      </c>
      <c r="C46" s="55">
        <v>275</v>
      </c>
      <c r="D46" s="41">
        <f>SUM(B46*C46)</f>
        <v>27500</v>
      </c>
      <c r="E46" s="41"/>
    </row>
    <row r="47" spans="1:5" x14ac:dyDescent="0.2">
      <c r="A47" s="61" t="s">
        <v>37</v>
      </c>
      <c r="B47" s="56"/>
      <c r="C47" s="58"/>
      <c r="D47" s="41">
        <v>2500</v>
      </c>
      <c r="E47" s="41"/>
    </row>
    <row r="48" spans="1:5" x14ac:dyDescent="0.2">
      <c r="A48" s="61" t="s">
        <v>37</v>
      </c>
      <c r="B48" s="56"/>
      <c r="C48" s="58"/>
      <c r="D48" s="41">
        <v>3500</v>
      </c>
      <c r="E48" s="41"/>
    </row>
    <row r="49" spans="1:5" x14ac:dyDescent="0.2">
      <c r="A49" s="61"/>
      <c r="B49" s="56"/>
      <c r="C49" s="63" t="s">
        <v>23</v>
      </c>
      <c r="D49" s="64">
        <f>SUM(D46:D48)</f>
        <v>33500</v>
      </c>
      <c r="E49" s="41"/>
    </row>
    <row r="50" spans="1:5" x14ac:dyDescent="0.2">
      <c r="B50" s="56" t="s">
        <v>38</v>
      </c>
      <c r="C50" s="62">
        <v>-7.0000000000000007E-2</v>
      </c>
      <c r="D50" s="41">
        <f>SUM(C50*D49)</f>
        <v>-2345</v>
      </c>
      <c r="E50" s="41"/>
    </row>
    <row r="51" spans="1:5" x14ac:dyDescent="0.2">
      <c r="A51" s="33" t="s">
        <v>11</v>
      </c>
      <c r="B51" s="34"/>
      <c r="C51" s="35"/>
      <c r="D51" s="36">
        <f>SUM(D49:D50)</f>
        <v>31155</v>
      </c>
      <c r="E51" s="36"/>
    </row>
    <row r="52" spans="1:5" x14ac:dyDescent="0.2">
      <c r="E52" s="1"/>
    </row>
    <row r="53" spans="1:5" x14ac:dyDescent="0.2">
      <c r="A53" s="22" t="s">
        <v>26</v>
      </c>
      <c r="B53" s="23"/>
      <c r="C53" s="22"/>
      <c r="D53" s="24">
        <f>SUM(D41+D51)</f>
        <v>167.1449999999968</v>
      </c>
      <c r="E53" s="24">
        <f>SUM(E41+E51)</f>
        <v>0</v>
      </c>
    </row>
  </sheetData>
  <phoneticPr fontId="1" type="noConversion"/>
  <pageMargins left="0.75" right="0.75" top="0.4895833333333333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 Berkeley School of Law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 Grady</dc:creator>
  <cp:lastModifiedBy>David M Grady</cp:lastModifiedBy>
  <cp:lastPrinted>2012-02-10T01:44:43Z</cp:lastPrinted>
  <dcterms:created xsi:type="dcterms:W3CDTF">2005-09-28T22:57:58Z</dcterms:created>
  <dcterms:modified xsi:type="dcterms:W3CDTF">2013-02-28T22:09:00Z</dcterms:modified>
</cp:coreProperties>
</file>