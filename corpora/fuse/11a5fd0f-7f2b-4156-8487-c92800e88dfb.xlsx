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6210" windowWidth="18600" windowHeight="5565" tabRatio="783"/>
  </bookViews>
  <sheets>
    <sheet name="unit productivity" sheetId="13" r:id="rId1"/>
    <sheet name="$ serials totals" sheetId="4" r:id="rId2"/>
    <sheet name="$ by format" sheetId="5" r:id="rId3"/>
    <sheet name="serials v mono" sheetId="14" r:id="rId4"/>
    <sheet name="$ backfiles" sheetId="2" r:id="rId5"/>
    <sheet name="vs. allocation" sheetId="18" r:id="rId6"/>
    <sheet name="$ by fund" sheetId="9" r:id="rId7"/>
    <sheet name="$ by vendor" sheetId="3" r:id="rId8"/>
    <sheet name="$ by location" sheetId="15" r:id="rId9"/>
    <sheet name="Count by location" sheetId="25" r:id="rId10"/>
    <sheet name="serials cut 2009" sheetId="23" r:id="rId11"/>
    <sheet name="serials cut stats" sheetId="24" r:id="rId12"/>
    <sheet name="$ FY09 content" sheetId="10" r:id="rId13"/>
    <sheet name="$ FY10 est" sheetId="11" r:id="rId14"/>
    <sheet name="Packages" sheetId="16" r:id="rId15"/>
    <sheet name="Reference Databases" sheetId="17" r:id="rId16"/>
    <sheet name="ACRL1" sheetId="20" r:id="rId17"/>
    <sheet name="ACRL2" sheetId="21" r:id="rId18"/>
    <sheet name="IPEDS" sheetId="22" r:id="rId19"/>
  </sheets>
  <definedNames>
    <definedName name="_xlnm.Print_Area" localSheetId="4">'$ backfiles'!$A$1:$E$24</definedName>
    <definedName name="_xlnm.Print_Area" localSheetId="2">'$ by format'!$A$1:$E$63</definedName>
    <definedName name="_xlnm.Print_Area" localSheetId="6">'$ by fund'!$A$1:$G$79</definedName>
    <definedName name="_xlnm.Print_Area" localSheetId="8">'$ by location'!$A$1:$H$29</definedName>
    <definedName name="_xlnm.Print_Area" localSheetId="7">'$ by vendor'!$A$1:$G$72</definedName>
    <definedName name="_xlnm.Print_Area" localSheetId="12">'$ FY09 content'!$A$1:$E$76</definedName>
    <definedName name="_xlnm.Print_Area" localSheetId="13">'$ FY10 est'!$A$1:$C$38</definedName>
    <definedName name="_xlnm.Print_Area" localSheetId="1">'$ serials totals'!$A$1:$H$49</definedName>
    <definedName name="_xlnm.Print_Area" localSheetId="16">ACRL1!$A$1:$D$151</definedName>
    <definedName name="_xlnm.Print_Area" localSheetId="17">ACRL2!$A$1:$D$69</definedName>
    <definedName name="_xlnm.Print_Area" localSheetId="9">'Count by location'!$A$1:$D$69</definedName>
    <definedName name="_xlnm.Print_Area" localSheetId="18">IPEDS!$A$1:$D$77</definedName>
    <definedName name="_xlnm.Print_Area" localSheetId="14">Packages!$A$1:$F$26</definedName>
    <definedName name="_xlnm.Print_Area" localSheetId="15">'Reference Databases'!$A$1:$F$127</definedName>
    <definedName name="_xlnm.Print_Area" localSheetId="10">'serials cut 2009'!$A$1:$E$914</definedName>
    <definedName name="_xlnm.Print_Area" localSheetId="11">'serials cut stats'!$A$1:$F$97</definedName>
    <definedName name="_xlnm.Print_Area" localSheetId="3">'serials v mono'!$A$1:$F$61</definedName>
    <definedName name="_xlnm.Print_Area" localSheetId="0">'unit productivity'!$A$1:$E$34</definedName>
    <definedName name="_xlnm.Print_Area" localSheetId="5">'vs. allocation'!$A$1:$J$31</definedName>
  </definedNames>
  <calcPr calcId="125725"/>
</workbook>
</file>

<file path=xl/calcChain.xml><?xml version="1.0" encoding="utf-8"?>
<calcChain xmlns="http://schemas.openxmlformats.org/spreadsheetml/2006/main">
  <c r="F5" i="15"/>
  <c r="F6"/>
  <c r="F7"/>
  <c r="F8"/>
  <c r="F9"/>
  <c r="F10"/>
  <c r="F11"/>
  <c r="F4"/>
  <c r="C11" i="20"/>
  <c r="B9" i="11"/>
  <c r="B5"/>
  <c r="B12" s="1"/>
  <c r="B27"/>
  <c r="B33"/>
  <c r="B26"/>
  <c r="B28" s="1"/>
  <c r="B32"/>
  <c r="B34" s="1"/>
  <c r="B17"/>
  <c r="B16"/>
  <c r="B19" s="1"/>
  <c r="B21" s="1"/>
  <c r="B16" i="10"/>
  <c r="D15"/>
  <c r="D14"/>
  <c r="D13"/>
  <c r="D12"/>
  <c r="E5" i="5"/>
  <c r="E3"/>
  <c r="D8"/>
  <c r="F101" i="17"/>
  <c r="F102"/>
  <c r="F104"/>
  <c r="F105"/>
  <c r="F108"/>
  <c r="F110"/>
  <c r="F113"/>
  <c r="F115"/>
  <c r="F119"/>
  <c r="F121"/>
  <c r="F122"/>
  <c r="F97"/>
  <c r="F96"/>
  <c r="F94"/>
  <c r="F92"/>
  <c r="F88"/>
  <c r="F86"/>
  <c r="F84"/>
  <c r="F83"/>
  <c r="F78"/>
  <c r="F77"/>
  <c r="F72"/>
  <c r="F69"/>
  <c r="F68"/>
  <c r="F65"/>
  <c r="F66"/>
  <c r="F64"/>
  <c r="E62"/>
  <c r="E127" s="1"/>
  <c r="F61"/>
  <c r="F60"/>
  <c r="F58"/>
  <c r="F93"/>
  <c r="F55"/>
  <c r="F48"/>
  <c r="F45"/>
  <c r="F46"/>
  <c r="F44"/>
  <c r="F39"/>
  <c r="F38"/>
  <c r="F37"/>
  <c r="F31"/>
  <c r="F35"/>
  <c r="F29"/>
  <c r="F33"/>
  <c r="F19"/>
  <c r="F28"/>
  <c r="F25"/>
  <c r="F20"/>
  <c r="F21"/>
  <c r="F22"/>
  <c r="F24"/>
  <c r="F16"/>
  <c r="F18"/>
  <c r="F17"/>
  <c r="F15"/>
  <c r="F12"/>
  <c r="F11"/>
  <c r="F9"/>
  <c r="F8"/>
  <c r="F5"/>
  <c r="E26" i="16"/>
  <c r="G5"/>
  <c r="G6"/>
  <c r="G7"/>
  <c r="G8"/>
  <c r="G9"/>
  <c r="G11"/>
  <c r="G12"/>
  <c r="G14"/>
  <c r="G15"/>
  <c r="G16"/>
  <c r="G17"/>
  <c r="G18"/>
  <c r="G19"/>
  <c r="G20"/>
  <c r="G21"/>
  <c r="G22"/>
  <c r="G23"/>
  <c r="G24"/>
  <c r="G25"/>
  <c r="G4"/>
  <c r="F26"/>
  <c r="G26" s="1"/>
  <c r="B26"/>
  <c r="D13" i="5"/>
  <c r="E12" s="1"/>
  <c r="D17"/>
  <c r="D31"/>
  <c r="E30" s="1"/>
  <c r="D26"/>
  <c r="D29"/>
  <c r="E28" s="1"/>
  <c r="D20"/>
  <c r="D21" s="1"/>
  <c r="F93" i="24"/>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95" s="1"/>
  <c r="D8"/>
  <c r="E92" s="1"/>
  <c r="B8"/>
  <c r="C93" s="1"/>
  <c r="E7"/>
  <c r="C7"/>
  <c r="E6"/>
  <c r="C6"/>
  <c r="E5"/>
  <c r="C5"/>
  <c r="D667" i="23"/>
  <c r="D913" s="1"/>
  <c r="B10" i="2"/>
  <c r="D5" i="14"/>
  <c r="D6"/>
  <c r="B7"/>
  <c r="C7"/>
  <c r="D7"/>
  <c r="D20"/>
  <c r="D15"/>
  <c r="C21"/>
  <c r="C16"/>
  <c r="D8"/>
  <c r="D9"/>
  <c r="C10"/>
  <c r="C25" s="1"/>
  <c r="B14"/>
  <c r="D14" s="1"/>
  <c r="B19"/>
  <c r="B10"/>
  <c r="B25" s="1"/>
  <c r="D19"/>
  <c r="E4" i="15"/>
  <c r="F35" i="3"/>
  <c r="F36"/>
  <c r="F45"/>
  <c r="F46"/>
  <c r="E17"/>
  <c r="F21"/>
  <c r="F33"/>
  <c r="F31"/>
  <c r="F6"/>
  <c r="C10" i="18"/>
  <c r="C7"/>
  <c r="C4"/>
  <c r="E53" i="9"/>
  <c r="D20" i="4"/>
  <c r="C27" s="1"/>
  <c r="C20"/>
  <c r="B27" s="1"/>
  <c r="E19"/>
  <c r="E18"/>
  <c r="E17"/>
  <c r="E16"/>
  <c r="E15"/>
  <c r="C63" i="9"/>
  <c r="D31" i="13"/>
  <c r="D32"/>
  <c r="D33"/>
  <c r="B30"/>
  <c r="D30" s="1"/>
  <c r="D28"/>
  <c r="D26"/>
  <c r="D23"/>
  <c r="D24"/>
  <c r="D21"/>
  <c r="D10"/>
  <c r="D11"/>
  <c r="D12"/>
  <c r="D14"/>
  <c r="D15"/>
  <c r="D9"/>
  <c r="D6"/>
  <c r="C4" i="21"/>
  <c r="C14" i="20"/>
  <c r="C17"/>
  <c r="C60" i="14"/>
  <c r="D60"/>
  <c r="B13" i="18"/>
  <c r="D5"/>
  <c r="D7"/>
  <c r="D14" i="17"/>
  <c r="F14" s="1"/>
  <c r="D62"/>
  <c r="D4" i="10"/>
  <c r="E6" i="15"/>
  <c r="E7"/>
  <c r="E8"/>
  <c r="E9"/>
  <c r="E10"/>
  <c r="E11"/>
  <c r="E5"/>
  <c r="F34" i="3"/>
  <c r="F37"/>
  <c r="F38"/>
  <c r="F39"/>
  <c r="F40"/>
  <c r="F41"/>
  <c r="F42"/>
  <c r="F43"/>
  <c r="F44"/>
  <c r="F47"/>
  <c r="F48"/>
  <c r="F49"/>
  <c r="F50"/>
  <c r="F51"/>
  <c r="F52"/>
  <c r="F25"/>
  <c r="F26"/>
  <c r="F28"/>
  <c r="F29"/>
  <c r="F30"/>
  <c r="F32"/>
  <c r="F11"/>
  <c r="F12"/>
  <c r="F13"/>
  <c r="F14"/>
  <c r="F16"/>
  <c r="F17"/>
  <c r="F18"/>
  <c r="F19"/>
  <c r="F20"/>
  <c r="F22"/>
  <c r="F23"/>
  <c r="F24"/>
  <c r="F5"/>
  <c r="F8"/>
  <c r="F9"/>
  <c r="F4"/>
  <c r="D63" i="9"/>
  <c r="F11" s="1"/>
  <c r="B9" i="4"/>
  <c r="B26" s="1"/>
  <c r="E54" i="9"/>
  <c r="E55"/>
  <c r="E56"/>
  <c r="E57"/>
  <c r="E58"/>
  <c r="E59"/>
  <c r="E60"/>
  <c r="E62"/>
  <c r="E41"/>
  <c r="E42"/>
  <c r="E43"/>
  <c r="E44"/>
  <c r="E45"/>
  <c r="E46"/>
  <c r="E47"/>
  <c r="E48"/>
  <c r="E49"/>
  <c r="E50"/>
  <c r="E51"/>
  <c r="E52"/>
  <c r="E29"/>
  <c r="E30"/>
  <c r="E31"/>
  <c r="E32"/>
  <c r="E33"/>
  <c r="E34"/>
  <c r="E35"/>
  <c r="E36"/>
  <c r="E37"/>
  <c r="E38"/>
  <c r="E39"/>
  <c r="E40"/>
  <c r="E18"/>
  <c r="E19"/>
  <c r="E20"/>
  <c r="E21"/>
  <c r="E22"/>
  <c r="E23"/>
  <c r="E24"/>
  <c r="E25"/>
  <c r="E26"/>
  <c r="E27"/>
  <c r="E28"/>
  <c r="E5"/>
  <c r="E6"/>
  <c r="E7"/>
  <c r="E8"/>
  <c r="E9"/>
  <c r="E10"/>
  <c r="E12"/>
  <c r="E13"/>
  <c r="E14"/>
  <c r="E15"/>
  <c r="E16"/>
  <c r="E17"/>
  <c r="E4"/>
  <c r="D8" i="4"/>
  <c r="D7"/>
  <c r="B8" i="10"/>
  <c r="D4" i="18"/>
  <c r="F6" i="9"/>
  <c r="D6" i="4"/>
  <c r="C9"/>
  <c r="E8" s="1"/>
  <c r="C13" i="18"/>
  <c r="D13" s="1"/>
  <c r="D7" i="10"/>
  <c r="C8"/>
  <c r="E7" s="1"/>
  <c r="F62" i="17" l="1"/>
  <c r="D127"/>
  <c r="F127" s="1"/>
  <c r="E7" i="5"/>
  <c r="E9"/>
  <c r="E11"/>
  <c r="E14"/>
  <c r="E19"/>
  <c r="E23"/>
  <c r="E25"/>
  <c r="E27"/>
  <c r="B37" i="11"/>
  <c r="D27" i="4"/>
  <c r="E4" i="5"/>
  <c r="E6"/>
  <c r="E10"/>
  <c r="E20"/>
  <c r="E22"/>
  <c r="E24"/>
  <c r="E53" i="3"/>
  <c r="G17" s="1"/>
  <c r="C13" i="20"/>
  <c r="E12" i="10"/>
  <c r="E13"/>
  <c r="E14"/>
  <c r="E15"/>
  <c r="C16"/>
  <c r="D18" i="5"/>
  <c r="D32"/>
  <c r="E26" s="1"/>
  <c r="E12" i="24"/>
  <c r="E13"/>
  <c r="E14"/>
  <c r="E15"/>
  <c r="E19"/>
  <c r="E20"/>
  <c r="E21"/>
  <c r="E22"/>
  <c r="E23"/>
  <c r="E24"/>
  <c r="E25"/>
  <c r="E29"/>
  <c r="E30"/>
  <c r="E31"/>
  <c r="E32"/>
  <c r="E33"/>
  <c r="E34"/>
  <c r="E39"/>
  <c r="C40"/>
  <c r="E41"/>
  <c r="C42"/>
  <c r="E43"/>
  <c r="C44"/>
  <c r="E45"/>
  <c r="C46"/>
  <c r="E47"/>
  <c r="C48"/>
  <c r="E49"/>
  <c r="C50"/>
  <c r="E51"/>
  <c r="C52"/>
  <c r="E53"/>
  <c r="C54"/>
  <c r="E55"/>
  <c r="C56"/>
  <c r="E57"/>
  <c r="C58"/>
  <c r="E59"/>
  <c r="C60"/>
  <c r="E61"/>
  <c r="C62"/>
  <c r="E63"/>
  <c r="C64"/>
  <c r="E65"/>
  <c r="C66"/>
  <c r="E67"/>
  <c r="C68"/>
  <c r="E69"/>
  <c r="C70"/>
  <c r="E71"/>
  <c r="C72"/>
  <c r="E73"/>
  <c r="C74"/>
  <c r="E75"/>
  <c r="C76"/>
  <c r="E77"/>
  <c r="C78"/>
  <c r="E79"/>
  <c r="C80"/>
  <c r="E81"/>
  <c r="C82"/>
  <c r="E83"/>
  <c r="C84"/>
  <c r="E85"/>
  <c r="C86"/>
  <c r="E87"/>
  <c r="C88"/>
  <c r="E89"/>
  <c r="C90"/>
  <c r="E91"/>
  <c r="C92"/>
  <c r="E93"/>
  <c r="C12"/>
  <c r="C13"/>
  <c r="C14"/>
  <c r="C15"/>
  <c r="C19"/>
  <c r="C20"/>
  <c r="C21"/>
  <c r="C22"/>
  <c r="C23"/>
  <c r="C24"/>
  <c r="C25"/>
  <c r="C29"/>
  <c r="C30"/>
  <c r="C31"/>
  <c r="C32"/>
  <c r="C33"/>
  <c r="C34"/>
  <c r="C39"/>
  <c r="E40"/>
  <c r="C41"/>
  <c r="E42"/>
  <c r="C43"/>
  <c r="E44"/>
  <c r="C45"/>
  <c r="E46"/>
  <c r="C47"/>
  <c r="E48"/>
  <c r="C49"/>
  <c r="E50"/>
  <c r="C51"/>
  <c r="E52"/>
  <c r="C53"/>
  <c r="E54"/>
  <c r="C55"/>
  <c r="E56"/>
  <c r="C57"/>
  <c r="E58"/>
  <c r="C59"/>
  <c r="E60"/>
  <c r="C61"/>
  <c r="E62"/>
  <c r="C63"/>
  <c r="E64"/>
  <c r="C65"/>
  <c r="E66"/>
  <c r="C67"/>
  <c r="E68"/>
  <c r="C69"/>
  <c r="E70"/>
  <c r="C71"/>
  <c r="E72"/>
  <c r="C73"/>
  <c r="E74"/>
  <c r="C75"/>
  <c r="E76"/>
  <c r="C77"/>
  <c r="E78"/>
  <c r="C79"/>
  <c r="E80"/>
  <c r="C81"/>
  <c r="E82"/>
  <c r="C83"/>
  <c r="E84"/>
  <c r="C85"/>
  <c r="E86"/>
  <c r="C87"/>
  <c r="E88"/>
  <c r="C89"/>
  <c r="E90"/>
  <c r="C91"/>
  <c r="D914" i="23"/>
  <c r="B11" i="14"/>
  <c r="C11"/>
  <c r="D10"/>
  <c r="E10"/>
  <c r="B24"/>
  <c r="B26" s="1"/>
  <c r="C24"/>
  <c r="C26" s="1"/>
  <c r="B21"/>
  <c r="D21" s="1"/>
  <c r="B16"/>
  <c r="D16" s="1"/>
  <c r="E15"/>
  <c r="E14"/>
  <c r="F44" i="9"/>
  <c r="F35"/>
  <c r="F28"/>
  <c r="F62"/>
  <c r="F53"/>
  <c r="F52"/>
  <c r="F43"/>
  <c r="F14"/>
  <c r="F45"/>
  <c r="F36"/>
  <c r="F21"/>
  <c r="F29"/>
  <c r="F58"/>
  <c r="F48"/>
  <c r="F31"/>
  <c r="F39"/>
  <c r="F24"/>
  <c r="F9"/>
  <c r="F18"/>
  <c r="F59"/>
  <c r="F49"/>
  <c r="F32"/>
  <c r="F40"/>
  <c r="F25"/>
  <c r="F10"/>
  <c r="F15"/>
  <c r="F19"/>
  <c r="F56"/>
  <c r="F60"/>
  <c r="F46"/>
  <c r="F50"/>
  <c r="F54"/>
  <c r="F33"/>
  <c r="F37"/>
  <c r="F41"/>
  <c r="F22"/>
  <c r="F26"/>
  <c r="F30"/>
  <c r="F12"/>
  <c r="F16"/>
  <c r="F20"/>
  <c r="F5"/>
  <c r="E63"/>
  <c r="F57"/>
  <c r="F61"/>
  <c r="F47"/>
  <c r="F51"/>
  <c r="F55"/>
  <c r="F34"/>
  <c r="F38"/>
  <c r="F42"/>
  <c r="F23"/>
  <c r="F27"/>
  <c r="F8"/>
  <c r="F13"/>
  <c r="F17"/>
  <c r="F4"/>
  <c r="F7"/>
  <c r="D6" i="10"/>
  <c r="C26" i="4"/>
  <c r="D26" s="1"/>
  <c r="E6"/>
  <c r="E4" i="10"/>
  <c r="E5"/>
  <c r="E7" i="4"/>
  <c r="E9" s="1"/>
  <c r="E6" i="10"/>
  <c r="E8"/>
  <c r="D5"/>
  <c r="C28" i="4"/>
  <c r="E27" s="1"/>
  <c r="E20"/>
  <c r="D9"/>
  <c r="D8" i="10"/>
  <c r="D33" i="5" l="1"/>
  <c r="E21" s="1"/>
  <c r="E31"/>
  <c r="E8"/>
  <c r="G35" i="3"/>
  <c r="G37"/>
  <c r="G39"/>
  <c r="G41"/>
  <c r="G43"/>
  <c r="G45"/>
  <c r="G47"/>
  <c r="G49"/>
  <c r="G51"/>
  <c r="G20"/>
  <c r="G22"/>
  <c r="G24"/>
  <c r="G26"/>
  <c r="G28"/>
  <c r="G30"/>
  <c r="G32"/>
  <c r="G5"/>
  <c r="G7"/>
  <c r="G9"/>
  <c r="G11"/>
  <c r="G13"/>
  <c r="G15"/>
  <c r="G19"/>
  <c r="G34"/>
  <c r="G36"/>
  <c r="G38"/>
  <c r="G40"/>
  <c r="G42"/>
  <c r="G44"/>
  <c r="G46"/>
  <c r="G48"/>
  <c r="G50"/>
  <c r="G52"/>
  <c r="G21"/>
  <c r="G23"/>
  <c r="G25"/>
  <c r="G27"/>
  <c r="G29"/>
  <c r="G31"/>
  <c r="G33"/>
  <c r="G6"/>
  <c r="G8"/>
  <c r="G10"/>
  <c r="G12"/>
  <c r="G14"/>
  <c r="G16"/>
  <c r="G18"/>
  <c r="G4"/>
  <c r="E32" i="5"/>
  <c r="E29"/>
  <c r="E13"/>
  <c r="E17"/>
  <c r="D16" i="10"/>
  <c r="E16"/>
  <c r="D11" i="14"/>
  <c r="E7"/>
  <c r="E11" s="1"/>
  <c r="E16"/>
  <c r="E20"/>
  <c r="D24"/>
  <c r="D26"/>
  <c r="D25"/>
  <c r="E25"/>
  <c r="E19"/>
  <c r="F63" i="9"/>
  <c r="E26" i="4"/>
  <c r="E28" s="1"/>
  <c r="B28"/>
  <c r="D28" s="1"/>
  <c r="E18" i="5" l="1"/>
  <c r="E33" s="1"/>
  <c r="E21" i="14"/>
  <c r="E24"/>
  <c r="E26" s="1"/>
</calcChain>
</file>

<file path=xl/sharedStrings.xml><?xml version="1.0" encoding="utf-8"?>
<sst xmlns="http://schemas.openxmlformats.org/spreadsheetml/2006/main" count="5082" uniqueCount="2616">
  <si>
    <t>online only</t>
  </si>
  <si>
    <t>HDFP</t>
  </si>
  <si>
    <t>PHYP</t>
  </si>
  <si>
    <t>BIOP</t>
  </si>
  <si>
    <t>MTHP</t>
  </si>
  <si>
    <t>LRSP</t>
  </si>
  <si>
    <t>print + online</t>
  </si>
  <si>
    <t>NURP</t>
  </si>
  <si>
    <t>SOCP</t>
  </si>
  <si>
    <t>BUSP</t>
  </si>
  <si>
    <t>BMMP</t>
  </si>
  <si>
    <t>ZZAP</t>
  </si>
  <si>
    <t>BPSP</t>
  </si>
  <si>
    <t>EDCP</t>
  </si>
  <si>
    <t>ECNP</t>
  </si>
  <si>
    <t>RENP</t>
  </si>
  <si>
    <t>PLSP</t>
  </si>
  <si>
    <t>NRSP</t>
  </si>
  <si>
    <t>MAFP</t>
  </si>
  <si>
    <t>LANP</t>
  </si>
  <si>
    <t>PSCP</t>
  </si>
  <si>
    <t>CVEP</t>
  </si>
  <si>
    <t>HISP</t>
  </si>
  <si>
    <t>ARTP</t>
  </si>
  <si>
    <t>XIIP</t>
  </si>
  <si>
    <t>NFSP</t>
  </si>
  <si>
    <t>CPLP</t>
  </si>
  <si>
    <t>GEOP</t>
  </si>
  <si>
    <t>PHLP</t>
  </si>
  <si>
    <t>ENGP</t>
  </si>
  <si>
    <t>PSYP</t>
  </si>
  <si>
    <t>LSCP</t>
  </si>
  <si>
    <t>HLTP</t>
  </si>
  <si>
    <t>ELEP</t>
  </si>
  <si>
    <t>IMEP</t>
  </si>
  <si>
    <t>MUSP</t>
  </si>
  <si>
    <t>Oxford</t>
  </si>
  <si>
    <t>FLMP</t>
  </si>
  <si>
    <t>CMDP</t>
  </si>
  <si>
    <t>MCEP</t>
  </si>
  <si>
    <t>Springer</t>
  </si>
  <si>
    <t>COEP</t>
  </si>
  <si>
    <t>Taylor &amp; Francis</t>
  </si>
  <si>
    <t>AAFP</t>
  </si>
  <si>
    <t>THEP</t>
  </si>
  <si>
    <t>CSCP</t>
  </si>
  <si>
    <t>CHEP</t>
  </si>
  <si>
    <t>COMP</t>
  </si>
  <si>
    <t>WMSP</t>
  </si>
  <si>
    <t>TMDP</t>
  </si>
  <si>
    <t>Title</t>
  </si>
  <si>
    <t>ISSN</t>
  </si>
  <si>
    <t>Format</t>
  </si>
  <si>
    <t>Price</t>
  </si>
  <si>
    <t>EBSCO</t>
  </si>
  <si>
    <t>Vendor</t>
  </si>
  <si>
    <t>FY08</t>
  </si>
  <si>
    <t>ARTstor</t>
  </si>
  <si>
    <t>Art Index Retro</t>
  </si>
  <si>
    <t>Education Index Retro</t>
  </si>
  <si>
    <t>NRC Research Press Backfile Collection</t>
  </si>
  <si>
    <t>American Society of Agronomy Journals</t>
  </si>
  <si>
    <t>Geology Archives C-W Geological Society of America Bulletin Archives</t>
  </si>
  <si>
    <t>FY09</t>
  </si>
  <si>
    <t>Amount (Capital fee only)</t>
  </si>
  <si>
    <t>Backfile name</t>
  </si>
  <si>
    <t>TOTAL</t>
  </si>
  <si>
    <t>Library</t>
  </si>
  <si>
    <t>CCE (ccep)</t>
  </si>
  <si>
    <t>Kingston serials funds</t>
  </si>
  <si>
    <t>Fund</t>
  </si>
  <si>
    <t>Fund code</t>
  </si>
  <si>
    <t>xbwp</t>
  </si>
  <si>
    <t>xcap</t>
  </si>
  <si>
    <t>xclp</t>
  </si>
  <si>
    <t>xgap</t>
  </si>
  <si>
    <t>xiip</t>
  </si>
  <si>
    <t>B.Woods serials</t>
  </si>
  <si>
    <t>Carr fund serials</t>
  </si>
  <si>
    <t>Cloudman serials</t>
  </si>
  <si>
    <t>Galanti serials</t>
  </si>
  <si>
    <t>Ind.Ins.Agt serials</t>
  </si>
  <si>
    <t>TOTALS</t>
  </si>
  <si>
    <t>Pell (pelp)</t>
  </si>
  <si>
    <t>ccep</t>
  </si>
  <si>
    <t>aafp</t>
  </si>
  <si>
    <t>% change</t>
  </si>
  <si>
    <t>artp</t>
  </si>
  <si>
    <t>biop</t>
  </si>
  <si>
    <t>bmmp</t>
  </si>
  <si>
    <t>bpsp</t>
  </si>
  <si>
    <t>busp</t>
  </si>
  <si>
    <t>chep</t>
  </si>
  <si>
    <t>chmp</t>
  </si>
  <si>
    <t>cmdp</t>
  </si>
  <si>
    <t>coep</t>
  </si>
  <si>
    <t>comp</t>
  </si>
  <si>
    <t>cplp</t>
  </si>
  <si>
    <t>cscp</t>
  </si>
  <si>
    <t>cvep</t>
  </si>
  <si>
    <t>ecnp</t>
  </si>
  <si>
    <t>edcp</t>
  </si>
  <si>
    <t>elep</t>
  </si>
  <si>
    <t>engp</t>
  </si>
  <si>
    <t>feep</t>
  </si>
  <si>
    <t>flmp</t>
  </si>
  <si>
    <t>fstp</t>
  </si>
  <si>
    <t>geop</t>
  </si>
  <si>
    <t>hdfp</t>
  </si>
  <si>
    <t>hisp</t>
  </si>
  <si>
    <t>hltp</t>
  </si>
  <si>
    <t>imep</t>
  </si>
  <si>
    <t>jorp</t>
  </si>
  <si>
    <t>kinp</t>
  </si>
  <si>
    <t>lanp</t>
  </si>
  <si>
    <t>lrsp</t>
  </si>
  <si>
    <t>lscp</t>
  </si>
  <si>
    <t>mafp</t>
  </si>
  <si>
    <t>mcep</t>
  </si>
  <si>
    <t>mthp</t>
  </si>
  <si>
    <t>musp</t>
  </si>
  <si>
    <t>nfsp</t>
  </si>
  <si>
    <t>nrsp</t>
  </si>
  <si>
    <t>nurp</t>
  </si>
  <si>
    <t>ocep</t>
  </si>
  <si>
    <t>peep</t>
  </si>
  <si>
    <t>pelp</t>
  </si>
  <si>
    <t>phlp</t>
  </si>
  <si>
    <t>phpp</t>
  </si>
  <si>
    <t>phyp</t>
  </si>
  <si>
    <t>plsp</t>
  </si>
  <si>
    <t>pscp</t>
  </si>
  <si>
    <t>psyp</t>
  </si>
  <si>
    <t>pthp</t>
  </si>
  <si>
    <t>renp</t>
  </si>
  <si>
    <t>socp</t>
  </si>
  <si>
    <t>thep</t>
  </si>
  <si>
    <t>tmdp</t>
  </si>
  <si>
    <t>wmsp</t>
  </si>
  <si>
    <t>zzap</t>
  </si>
  <si>
    <t>zzrp</t>
  </si>
  <si>
    <t>zzsp</t>
  </si>
  <si>
    <t>zzwp</t>
  </si>
  <si>
    <t>Afro/Amer St serial</t>
  </si>
  <si>
    <t>Art serials</t>
  </si>
  <si>
    <t>Biology serials</t>
  </si>
  <si>
    <t>BioMM serials</t>
  </si>
  <si>
    <t>Biopharmacy serials</t>
  </si>
  <si>
    <t>Business Serial</t>
  </si>
  <si>
    <t>cce serials</t>
  </si>
  <si>
    <t>Chem Engin. serials</t>
  </si>
  <si>
    <t>Chemistry serials</t>
  </si>
  <si>
    <t>Com Disorder serial</t>
  </si>
  <si>
    <t>Gen Engineer serial</t>
  </si>
  <si>
    <t>Comm Studies serial</t>
  </si>
  <si>
    <t>Com Planning serial</t>
  </si>
  <si>
    <t>Computer Sci serial</t>
  </si>
  <si>
    <t>Civil Engin serials</t>
  </si>
  <si>
    <t>Economics serials</t>
  </si>
  <si>
    <t>Education serials</t>
  </si>
  <si>
    <t>Elec Engin serials</t>
  </si>
  <si>
    <t>English serials</t>
  </si>
  <si>
    <t>Film Studies serial</t>
  </si>
  <si>
    <t>Fisheries serials</t>
  </si>
  <si>
    <t>Geology Serials</t>
  </si>
  <si>
    <t>Hum Dev Fam serials</t>
  </si>
  <si>
    <t>History serials</t>
  </si>
  <si>
    <t>Gen Health serials</t>
  </si>
  <si>
    <t>Indus Engin serials</t>
  </si>
  <si>
    <t>Journalism serials</t>
  </si>
  <si>
    <t>Kinesiology serials</t>
  </si>
  <si>
    <t>Languages serials</t>
  </si>
  <si>
    <t>Labor Stud serials</t>
  </si>
  <si>
    <t>Lib Science serials</t>
  </si>
  <si>
    <t>Marine Aff serials</t>
  </si>
  <si>
    <t>Mech Engin serials</t>
  </si>
  <si>
    <t>Mathematics serials</t>
  </si>
  <si>
    <t>Music serials</t>
  </si>
  <si>
    <t>Nut/Food Sci Serial</t>
  </si>
  <si>
    <t>Nat Resource serial</t>
  </si>
  <si>
    <t>Nursing serials</t>
  </si>
  <si>
    <t>Ocean Engin serials</t>
  </si>
  <si>
    <t>Pell E-journals</t>
  </si>
  <si>
    <t>Pell serials</t>
  </si>
  <si>
    <t>Philosophy serials</t>
  </si>
  <si>
    <t>Pharm Prac serials</t>
  </si>
  <si>
    <t>Physics serials</t>
  </si>
  <si>
    <t>Plant Sci serials</t>
  </si>
  <si>
    <t>Political Sc serial</t>
  </si>
  <si>
    <t>Psychology serials</t>
  </si>
  <si>
    <t>Resource Eco serial</t>
  </si>
  <si>
    <t>Soc &amp; Anthro serial</t>
  </si>
  <si>
    <t>Theater serials</t>
  </si>
  <si>
    <t>Textiles serials</t>
  </si>
  <si>
    <t>Womens Stud serials</t>
  </si>
  <si>
    <t>General serials</t>
  </si>
  <si>
    <t>Reference serials</t>
  </si>
  <si>
    <t>Special Col serials</t>
  </si>
  <si>
    <t>zzw electr.</t>
  </si>
  <si>
    <t>N/A</t>
  </si>
  <si>
    <t>Phys Therapy ser (new code for FY08)</t>
  </si>
  <si>
    <t>Code</t>
  </si>
  <si>
    <t>nagu</t>
  </si>
  <si>
    <t>nebs</t>
  </si>
  <si>
    <t>saaa</t>
  </si>
  <si>
    <t>sams</t>
  </si>
  <si>
    <t>sasce</t>
  </si>
  <si>
    <t>sben</t>
  </si>
  <si>
    <t>sbna</t>
  </si>
  <si>
    <t>sbow</t>
  </si>
  <si>
    <t>scch</t>
  </si>
  <si>
    <t>sebs</t>
  </si>
  <si>
    <t>sgale</t>
  </si>
  <si>
    <t>sgpo</t>
  </si>
  <si>
    <t>shar</t>
  </si>
  <si>
    <t>shel</t>
  </si>
  <si>
    <t>shun</t>
  </si>
  <si>
    <t>sinfo</t>
  </si>
  <si>
    <t>slex</t>
  </si>
  <si>
    <t>snap</t>
  </si>
  <si>
    <t>snatu</t>
  </si>
  <si>
    <t>snem</t>
  </si>
  <si>
    <t>snrc</t>
  </si>
  <si>
    <t>sproq</t>
  </si>
  <si>
    <t>srit</t>
  </si>
  <si>
    <t>sthom</t>
  </si>
  <si>
    <t>sumi</t>
  </si>
  <si>
    <t>susbe</t>
  </si>
  <si>
    <t>swes</t>
  </si>
  <si>
    <t>swil</t>
  </si>
  <si>
    <t>xala</t>
  </si>
  <si>
    <t>xben</t>
  </si>
  <si>
    <t>xbowk</t>
  </si>
  <si>
    <t>xcqp</t>
  </si>
  <si>
    <t>xdnb</t>
  </si>
  <si>
    <t>xebs</t>
  </si>
  <si>
    <t>xgree</t>
  </si>
  <si>
    <t>ximf</t>
  </si>
  <si>
    <t>xinfo</t>
  </si>
  <si>
    <t>xmar</t>
  </si>
  <si>
    <t>xmerg</t>
  </si>
  <si>
    <t>xnap</t>
  </si>
  <si>
    <t>xpqil</t>
  </si>
  <si>
    <t>xstp</t>
  </si>
  <si>
    <t>xwil</t>
  </si>
  <si>
    <t>xwkh</t>
  </si>
  <si>
    <t>xwlda</t>
  </si>
  <si>
    <t>Pell</t>
  </si>
  <si>
    <t>URI</t>
  </si>
  <si>
    <t>CCE</t>
  </si>
  <si>
    <t>PELL American Geophysical Union</t>
  </si>
  <si>
    <t>Pell EBSCO Subs Svc</t>
  </si>
  <si>
    <t>URI American Accounting Assn</t>
  </si>
  <si>
    <t>URI Am Math Soc</t>
  </si>
  <si>
    <t>URI Am Soc Civil Eng</t>
  </si>
  <si>
    <t>URI LexisNexis Matthew Bender</t>
  </si>
  <si>
    <t>URI Bureau of Nat Aff</t>
  </si>
  <si>
    <t>URI Bowker Reed</t>
  </si>
  <si>
    <t>URI CCH</t>
  </si>
  <si>
    <t>URI EBSCO</t>
  </si>
  <si>
    <t>URI Gale (serials)</t>
  </si>
  <si>
    <t>URI GPO</t>
  </si>
  <si>
    <t>URI Harrassowitz</t>
  </si>
  <si>
    <t>URI HELIN</t>
  </si>
  <si>
    <t>Bad Code</t>
  </si>
  <si>
    <t>URI Information Today</t>
  </si>
  <si>
    <t>URI LexisNexis</t>
  </si>
  <si>
    <t>URI National Archive Publishing Company</t>
  </si>
  <si>
    <t>URI Nature Publishing Group</t>
  </si>
  <si>
    <t>URI NE Micrographics</t>
  </si>
  <si>
    <t>URI NRC Research Press</t>
  </si>
  <si>
    <t>URI ProQuest I&amp;L</t>
  </si>
  <si>
    <t>URI Rittenhouse</t>
  </si>
  <si>
    <t>URI Thomson</t>
  </si>
  <si>
    <t>URI UMI</t>
  </si>
  <si>
    <t>URI Serials USBE</t>
  </si>
  <si>
    <t>URI Thomson West</t>
  </si>
  <si>
    <t>URI H.W. Wilson</t>
  </si>
  <si>
    <t>CCE American Library Assn</t>
  </si>
  <si>
    <t>CCE Lexis Bender</t>
  </si>
  <si>
    <t>CCE Bowker</t>
  </si>
  <si>
    <t>CCE CongressQuart</t>
  </si>
  <si>
    <t>CCE Dun&amp;Brad</t>
  </si>
  <si>
    <t>CCE EBSCO</t>
  </si>
  <si>
    <t>CCE IMF</t>
  </si>
  <si>
    <t>CCE Info Today</t>
  </si>
  <si>
    <t>CCE Mergent</t>
  </si>
  <si>
    <t>CCE Ntl Archive Pub</t>
  </si>
  <si>
    <t>CCE ProQuest InfoLearn</t>
  </si>
  <si>
    <t>CCE S&amp;P</t>
  </si>
  <si>
    <t>CCE Wilson</t>
  </si>
  <si>
    <t>CCE WoltersKluwer Health</t>
  </si>
  <si>
    <t>CCE World Almanac</t>
  </si>
  <si>
    <t>Volumes processed</t>
  </si>
  <si>
    <t>Volumes temp bound</t>
  </si>
  <si>
    <t>Mform pieces added (total)</t>
  </si>
  <si>
    <t>Pieces checked in</t>
  </si>
  <si>
    <t>Claims sent</t>
  </si>
  <si>
    <t>Kingston</t>
  </si>
  <si>
    <t>Endowments (Kingston)</t>
  </si>
  <si>
    <t>Print only</t>
  </si>
  <si>
    <t>Print + online</t>
  </si>
  <si>
    <t>Online only</t>
  </si>
  <si>
    <t>Kingston only</t>
  </si>
  <si>
    <t>Meaning</t>
  </si>
  <si>
    <t>riu24</t>
  </si>
  <si>
    <t>riuep</t>
  </si>
  <si>
    <t>riuin</t>
  </si>
  <si>
    <t>rium</t>
  </si>
  <si>
    <t>rium1</t>
  </si>
  <si>
    <t>riun</t>
  </si>
  <si>
    <t>riup</t>
  </si>
  <si>
    <t>rius</t>
  </si>
  <si>
    <t>URI CML Periodicals</t>
  </si>
  <si>
    <t>URI Eichenberg Serials</t>
  </si>
  <si>
    <t>URI E-Resource</t>
  </si>
  <si>
    <t>URI Microform Area</t>
  </si>
  <si>
    <t>URI Mform Area/Sect.1</t>
  </si>
  <si>
    <t>URI Newspaper Area</t>
  </si>
  <si>
    <t>URI Serial Stacks</t>
  </si>
  <si>
    <t>URI Current Periodical Rm</t>
  </si>
  <si>
    <t>monographs</t>
  </si>
  <si>
    <t>serials</t>
  </si>
  <si>
    <t>All branches</t>
  </si>
  <si>
    <t>Year posted</t>
  </si>
  <si>
    <t>Gale</t>
  </si>
  <si>
    <t>Question 4a</t>
  </si>
  <si>
    <t>Notes</t>
  </si>
  <si>
    <t>Measure</t>
  </si>
  <si>
    <t>Question</t>
  </si>
  <si>
    <t>Total</t>
  </si>
  <si>
    <t>Package</t>
  </si>
  <si>
    <t>No. of Titles</t>
  </si>
  <si>
    <t>American Accounting Association</t>
  </si>
  <si>
    <t>Source</t>
  </si>
  <si>
    <t>American Chemical Society Web Editions</t>
  </si>
  <si>
    <t>IOP Journal Archive</t>
  </si>
  <si>
    <t>AIP Select</t>
  </si>
  <si>
    <t>Choice Reviews online</t>
  </si>
  <si>
    <t>MathSciNet</t>
  </si>
  <si>
    <t>Annual Reviews Custom Package</t>
  </si>
  <si>
    <t>ACM Digital Library Core Package</t>
  </si>
  <si>
    <t>KCDL (Kraus Curriculum Development Library</t>
  </si>
  <si>
    <t>BNA Labor &amp; Employment Law Library</t>
  </si>
  <si>
    <t>Cambridge Journals Online</t>
  </si>
  <si>
    <t>SciFinder Scholar</t>
  </si>
  <si>
    <t>CIAO (Columbia International Affairs Online)</t>
  </si>
  <si>
    <t>ASFA</t>
  </si>
  <si>
    <t>Platform</t>
  </si>
  <si>
    <t>Choice.online</t>
  </si>
  <si>
    <t>KCDL</t>
  </si>
  <si>
    <t>BNA</t>
  </si>
  <si>
    <t>SciFinder</t>
  </si>
  <si>
    <t>CIAO</t>
  </si>
  <si>
    <t>CSA</t>
  </si>
  <si>
    <t>Communication Abstracts</t>
  </si>
  <si>
    <t>GeoRef</t>
  </si>
  <si>
    <t>International Pharmaceutical Abstracts</t>
  </si>
  <si>
    <t>Meteorology &amp; Geoastrophysical Abstracts</t>
  </si>
  <si>
    <t>EconLit</t>
  </si>
  <si>
    <t>Anthrosource</t>
  </si>
  <si>
    <t>Duke E-Journals Package</t>
  </si>
  <si>
    <t>IEEE All-Society Periodicals Package</t>
  </si>
  <si>
    <t>JSTOR</t>
  </si>
  <si>
    <t>Project Muse</t>
  </si>
  <si>
    <t>Journals @ OVID LWW Custom Package</t>
  </si>
  <si>
    <t>Wiley Chemical Journal Package International Edition</t>
  </si>
  <si>
    <t>America History and Life</t>
  </si>
  <si>
    <t>ABC-CLIO</t>
  </si>
  <si>
    <t>Historical Abstracts</t>
  </si>
  <si>
    <t>Alexander Street Press</t>
  </si>
  <si>
    <t>Theatre in Video with BBC Shakespeare</t>
  </si>
  <si>
    <t>College Source</t>
  </si>
  <si>
    <t>Career Guidance</t>
  </si>
  <si>
    <t>MLA International</t>
  </si>
  <si>
    <t>PAIS (plus Archive)</t>
  </si>
  <si>
    <t>Philosopher's Index</t>
  </si>
  <si>
    <t>Physical Education Index</t>
  </si>
  <si>
    <t>PsycInfo</t>
  </si>
  <si>
    <t>Sociological Abstracts</t>
  </si>
  <si>
    <t>Academic Search Premier</t>
  </si>
  <si>
    <t>EBSCOhost</t>
  </si>
  <si>
    <t>CINAHL</t>
  </si>
  <si>
    <t>Film &amp; Television Literature Index</t>
  </si>
  <si>
    <t>Inspec Current</t>
  </si>
  <si>
    <t>LISTA with Full Text</t>
  </si>
  <si>
    <t>Textile Technology Index</t>
  </si>
  <si>
    <t>Women's Studies International</t>
  </si>
  <si>
    <t>Compendex</t>
  </si>
  <si>
    <t>Elsevier</t>
  </si>
  <si>
    <t>EMBASE.com</t>
  </si>
  <si>
    <t>Encyclopedia of Ocean Sciences</t>
  </si>
  <si>
    <t>Literature Resource Center</t>
  </si>
  <si>
    <t>Music Index</t>
  </si>
  <si>
    <t>FSTA</t>
  </si>
  <si>
    <t>IFIS</t>
  </si>
  <si>
    <t>Reference USA</t>
  </si>
  <si>
    <t>Info USA</t>
  </si>
  <si>
    <t xml:space="preserve">LexisNexis Environmental </t>
  </si>
  <si>
    <t>LexisNexis</t>
  </si>
  <si>
    <t>Mergent Online</t>
  </si>
  <si>
    <t>Mergent</t>
  </si>
  <si>
    <t>Grove</t>
  </si>
  <si>
    <t>LexisNexis Academic</t>
  </si>
  <si>
    <t>FirstSearch Base Package</t>
  </si>
  <si>
    <t>FirstSearch</t>
  </si>
  <si>
    <t>Oxford English Dictionary</t>
  </si>
  <si>
    <t>Oceana Treaties and International Agreements Online</t>
  </si>
  <si>
    <t>ProQuest</t>
  </si>
  <si>
    <t>National Newspapers Core</t>
  </si>
  <si>
    <t>Providence Journal</t>
  </si>
  <si>
    <t>Statistical Warehouse</t>
  </si>
  <si>
    <t>Regional OneSource</t>
  </si>
  <si>
    <t>Thomson ISI</t>
  </si>
  <si>
    <t>Web of Science</t>
  </si>
  <si>
    <t>Cochrane Library</t>
  </si>
  <si>
    <t>Wiley</t>
  </si>
  <si>
    <t>Art Abstracts</t>
  </si>
  <si>
    <t>Biological &amp; Agricultural Index Plus</t>
  </si>
  <si>
    <t>Readers Guide Retro 1890-1982</t>
  </si>
  <si>
    <t>ABI/Inform Dateline</t>
  </si>
  <si>
    <t>ABI/Inform Global</t>
  </si>
  <si>
    <t>ABI/Inform Trade &amp; Industry</t>
  </si>
  <si>
    <t>ArticleFirst</t>
  </si>
  <si>
    <t>Clase and Periodica</t>
  </si>
  <si>
    <t>EBSCO Animals</t>
  </si>
  <si>
    <t>ERIC</t>
  </si>
  <si>
    <t>Funk &amp; Wagnall's New World Encyclopedia</t>
  </si>
  <si>
    <t>GPO Monthly Catalog</t>
  </si>
  <si>
    <t>MAS Ultra - School Edition</t>
  </si>
  <si>
    <t>MEDLINE</t>
  </si>
  <si>
    <t>Military &amp; Government Collection</t>
  </si>
  <si>
    <t>MLA Directory of Periodicals</t>
  </si>
  <si>
    <t>Oceanic Abstracts</t>
  </si>
  <si>
    <t>OCLC Electronic Books</t>
  </si>
  <si>
    <t>OCLC Electronic Collections Online</t>
  </si>
  <si>
    <t>Papers First</t>
  </si>
  <si>
    <t>PILOTS</t>
  </si>
  <si>
    <t>Primary Search</t>
  </si>
  <si>
    <t>Proceedings First</t>
  </si>
  <si>
    <t>Social Services Abstracts</t>
  </si>
  <si>
    <t>Teacher Reference Center</t>
  </si>
  <si>
    <t>World Almanac</t>
  </si>
  <si>
    <t>WorldCat</t>
  </si>
  <si>
    <t>WorldCat Dissertations &amp; Theses</t>
  </si>
  <si>
    <t>Readex</t>
  </si>
  <si>
    <t>U.S. Congressional Serial Set</t>
  </si>
  <si>
    <t>Humanities &amp; Social Sciences Retro</t>
  </si>
  <si>
    <t>http://journals.aip.org/aip_09_prices.pdf</t>
  </si>
  <si>
    <t>http://pubs.asce.org/journals/</t>
  </si>
  <si>
    <t>See HELIN record o237772x</t>
  </si>
  <si>
    <t>http://www.acm.org/membership/library/dlcore</t>
  </si>
  <si>
    <t>http://journals.cambridge.org/action/subscribedTo</t>
  </si>
  <si>
    <t>http://ej.iop.org/pdf/historic_archive.pdf</t>
  </si>
  <si>
    <t>http://pubs.acs.org/about.html</t>
  </si>
  <si>
    <t>http://www.dukeupress.edu/library/eDuke/</t>
  </si>
  <si>
    <t>http://www.anthrosource.net/page/holdings</t>
  </si>
  <si>
    <t>http://www.apa.org/psycarticles/covlist.html</t>
  </si>
  <si>
    <t>Serials Solutions Client Center</t>
  </si>
  <si>
    <t>ScienceDirect Freedom Collection</t>
  </si>
  <si>
    <t>http://www.ieee.org/web/publications/subscriptions/prod/aspp_overview.html</t>
  </si>
  <si>
    <t>http://www.jstor.org/about/collection.list.html</t>
  </si>
  <si>
    <t>http://muse.jhu.edu/journals/index.html</t>
  </si>
  <si>
    <t xml:space="preserve">See HELIN record o2314848 </t>
  </si>
  <si>
    <t>Royal Society of Chemistry Package B</t>
  </si>
  <si>
    <t>Kingston monographs</t>
  </si>
  <si>
    <t>Kingston serials</t>
  </si>
  <si>
    <t>Pell serials (pelp)</t>
  </si>
  <si>
    <t>Pell monographs</t>
  </si>
  <si>
    <t>CCE serials (ccep)</t>
  </si>
  <si>
    <t>CCE monographs</t>
  </si>
  <si>
    <t>xbwf</t>
  </si>
  <si>
    <t>B.Woods firm</t>
  </si>
  <si>
    <t>xbws</t>
  </si>
  <si>
    <t>B.Woods S.O.</t>
  </si>
  <si>
    <t>xcaf</t>
  </si>
  <si>
    <t>Carr fund firm</t>
  </si>
  <si>
    <t>xclf</t>
  </si>
  <si>
    <t>Cloudman firm</t>
  </si>
  <si>
    <t>xcls</t>
  </si>
  <si>
    <t>Cloudman S.O.</t>
  </si>
  <si>
    <t>xgaf</t>
  </si>
  <si>
    <t>Galanti firm</t>
  </si>
  <si>
    <t>xhof</t>
  </si>
  <si>
    <t>Hoban firm</t>
  </si>
  <si>
    <t>xiif</t>
  </si>
  <si>
    <t>Ind.Ins.Agt firm</t>
  </si>
  <si>
    <t>xirf</t>
  </si>
  <si>
    <t>Irmgard rarebks</t>
  </si>
  <si>
    <t>xwsf</t>
  </si>
  <si>
    <t>Report for  URI Endowment Monographs FY08</t>
  </si>
  <si>
    <t>$ FY08</t>
  </si>
  <si>
    <t>Question 4b</t>
  </si>
  <si>
    <t>Question 6</t>
  </si>
  <si>
    <t>ACRL Statistics - OTHER COLLECTIONS</t>
  </si>
  <si>
    <t>Question 16</t>
  </si>
  <si>
    <t>Contract binding</t>
  </si>
  <si>
    <t>Question 22</t>
  </si>
  <si>
    <t>Gifts</t>
  </si>
  <si>
    <t>Question 1b.</t>
  </si>
  <si>
    <t>Volumes added during the year (1.b.i - 1.b.ii)</t>
  </si>
  <si>
    <t>—</t>
  </si>
  <si>
    <t>Question 1b.i</t>
  </si>
  <si>
    <t>Volumes added - Gross</t>
  </si>
  <si>
    <t>By Serials Unit</t>
  </si>
  <si>
    <t>By MACC</t>
  </si>
  <si>
    <t>Question 1b.ii</t>
  </si>
  <si>
    <t>Volumes withdrawn during year</t>
  </si>
  <si>
    <t>By cataloging</t>
  </si>
  <si>
    <t>Question 2</t>
  </si>
  <si>
    <t>Number of monographic volumes purchased</t>
  </si>
  <si>
    <t>Question 3</t>
  </si>
  <si>
    <t>Basis of volume count is:</t>
  </si>
  <si>
    <t>Physical</t>
  </si>
  <si>
    <t>Question 4</t>
  </si>
  <si>
    <t>Number of serial titles currently received, including periodicals (4.a + 4.b)</t>
  </si>
  <si>
    <t>Question 4a.i</t>
  </si>
  <si>
    <t>Electronic</t>
  </si>
  <si>
    <t>Question 4a.ii</t>
  </si>
  <si>
    <t>Print (and other format) serials purchased</t>
  </si>
  <si>
    <t>Number of serial titles currently received but not purchased (4b.i + 4b.ii + 4b.iii + 4b.iv)</t>
  </si>
  <si>
    <t>Question 4b.i</t>
  </si>
  <si>
    <t>Consortial</t>
  </si>
  <si>
    <t>Question 4b.ii</t>
  </si>
  <si>
    <t>Freely accessible</t>
  </si>
  <si>
    <t>Question 4b.iii</t>
  </si>
  <si>
    <t>Print (and other format ) - Exchanges, gifts, etc.</t>
  </si>
  <si>
    <t>Govt. Pubs not included.</t>
  </si>
  <si>
    <t>Question 4b.iv</t>
  </si>
  <si>
    <t>Government documents</t>
  </si>
  <si>
    <t>Question 5</t>
  </si>
  <si>
    <t>Government documents included in count of Current Serials</t>
  </si>
  <si>
    <t>yes</t>
  </si>
  <si>
    <t>Microform units</t>
  </si>
  <si>
    <t>Added by Serials Unit</t>
  </si>
  <si>
    <t>Question 15</t>
  </si>
  <si>
    <t>Total Library Materials Expenditures (15.a + 15.b + 15.c + 15.d)</t>
  </si>
  <si>
    <t>Question 15a.</t>
  </si>
  <si>
    <t>Monographs</t>
  </si>
  <si>
    <t>Question 15b.</t>
  </si>
  <si>
    <t>Serial titles, including periodicals</t>
  </si>
  <si>
    <t>Question 15c.</t>
  </si>
  <si>
    <t>Other Library Materials</t>
  </si>
  <si>
    <t>Includes electronic serial back files and audiovisual materials</t>
  </si>
  <si>
    <t>Question 15d.</t>
  </si>
  <si>
    <t>Miscellaneous</t>
  </si>
  <si>
    <t>Question 21</t>
  </si>
  <si>
    <t>One-time electronic resource purchases</t>
  </si>
  <si>
    <t>Ongoing electronic resource purchases (e.g. subscriptions, annual license fees)</t>
  </si>
  <si>
    <t>Line 300</t>
  </si>
  <si>
    <t>One time purchases of books, serial backfiles, and other materials</t>
  </si>
  <si>
    <t>Includes all branches, endowments, serial back files purchased.</t>
  </si>
  <si>
    <t>Line 301</t>
  </si>
  <si>
    <t>Serial and electronic one-time back files purchased.</t>
  </si>
  <si>
    <t>Line 302</t>
  </si>
  <si>
    <t>Audiovisual</t>
  </si>
  <si>
    <t>Line 303</t>
  </si>
  <si>
    <t>Ongoing commitments to serial subscriptions</t>
  </si>
  <si>
    <t>All branches. Includes endowment. Does not include back files.</t>
  </si>
  <si>
    <t>Line 304</t>
  </si>
  <si>
    <t>Electronic serials</t>
  </si>
  <si>
    <t>Line 309</t>
  </si>
  <si>
    <t>Bibliographic utilities, networks, and consortia</t>
  </si>
  <si>
    <t>ACRL Statistics - EXPENDITURES</t>
  </si>
  <si>
    <t>Volumes mended (in-house)</t>
  </si>
  <si>
    <t>COLLECTION METRICS</t>
  </si>
  <si>
    <t>Serial volumes withdrawn</t>
  </si>
  <si>
    <t>Mform pieces withdrawn</t>
  </si>
  <si>
    <t xml:space="preserve"> Subscriptions</t>
  </si>
  <si>
    <t xml:space="preserve"> Binding</t>
  </si>
  <si>
    <t xml:space="preserve"> </t>
  </si>
  <si>
    <t xml:space="preserve"> Film</t>
  </si>
  <si>
    <t xml:space="preserve"> Fiche</t>
  </si>
  <si>
    <t>PRODUCTIVITY METRICS</t>
  </si>
  <si>
    <t>Repairs</t>
  </si>
  <si>
    <t>Non-Library</t>
  </si>
  <si>
    <t>Serial volumes added (total)</t>
  </si>
  <si>
    <t>Volumes returned from bindery (total)</t>
  </si>
  <si>
    <t>Journals and other materials</t>
  </si>
  <si>
    <t>Serials Unit Statistics FY08 and FY09</t>
  </si>
  <si>
    <t>Total Serials Expenditures by Library FY08 and FY09</t>
  </si>
  <si>
    <t xml:space="preserve">% change </t>
  </si>
  <si>
    <t>% of total FY09 expend.</t>
  </si>
  <si>
    <t>Total Serials Endowment Expenditures FY08 and FY09</t>
  </si>
  <si>
    <t>University Libraries</t>
  </si>
  <si>
    <t>Total Serials Expenditures FY08 and FY09</t>
  </si>
  <si>
    <t>One-Time Purchases of Back Files FY09</t>
  </si>
  <si>
    <t>Total Serials Expenditures (Including Endowments):</t>
  </si>
  <si>
    <t>Serials Expenditures, Library Budget Only (No Endowments):</t>
  </si>
  <si>
    <t>Endowments</t>
  </si>
  <si>
    <t xml:space="preserve">% difference </t>
  </si>
  <si>
    <t>FY09 Allocation</t>
  </si>
  <si>
    <t>FY09 Actual</t>
  </si>
  <si>
    <t>ceep</t>
  </si>
  <si>
    <t>CCE E-journals</t>
  </si>
  <si>
    <t>URI Fees (HELIN membership)</t>
  </si>
  <si>
    <t>Serials Expenditures by Vendor FY08 and FY09</t>
  </si>
  <si>
    <t>saea</t>
  </si>
  <si>
    <t>URI Amer Econ Assn</t>
  </si>
  <si>
    <t>sast</t>
  </si>
  <si>
    <t>URI ASTM</t>
  </si>
  <si>
    <t>sdood</t>
  </si>
  <si>
    <t>URI Doody's</t>
  </si>
  <si>
    <t>suip</t>
  </si>
  <si>
    <t>URI Univ of Illinois</t>
  </si>
  <si>
    <t>CCE Greenwood Press</t>
  </si>
  <si>
    <t>serials endowments</t>
  </si>
  <si>
    <t>monographs endowments</t>
  </si>
  <si>
    <t>MONOGRAPHS TOTAL</t>
  </si>
  <si>
    <t>SERIALS TOTAL</t>
  </si>
  <si>
    <t>KINGSTON SUBTOTAL</t>
  </si>
  <si>
    <t>CCE SUBTOTAL</t>
  </si>
  <si>
    <t>PELL SUBTOTAL</t>
  </si>
  <si>
    <t>$ FY09</t>
  </si>
  <si>
    <t>Serials vs. Monograph Expenditures by Branch FY08 and FY09</t>
  </si>
  <si>
    <t>xwdf</t>
  </si>
  <si>
    <t>Carl Woodward firm</t>
  </si>
  <si>
    <t>Carlson Wom Stud firm</t>
  </si>
  <si>
    <t>Year purchased</t>
  </si>
  <si>
    <t>2007-2008</t>
  </si>
  <si>
    <t>2008-2009</t>
  </si>
  <si>
    <t>Springer Online Journal Archives (OJA) [Entire Collection]</t>
  </si>
  <si>
    <t>BIOSIS archive 1985-1989</t>
  </si>
  <si>
    <t>Web of Science Backfile 1965-1997</t>
  </si>
  <si>
    <t>Serials Cut for 2009</t>
  </si>
  <si>
    <t>Last updated: 11/12/2008 ajr</t>
  </si>
  <si>
    <t>AASLH Technical Leaflet</t>
  </si>
  <si>
    <t>0516-9216</t>
  </si>
  <si>
    <t>print only</t>
  </si>
  <si>
    <t>Abstracts in Anthropology</t>
  </si>
  <si>
    <t>0001-3455</t>
  </si>
  <si>
    <t>ZZRP</t>
  </si>
  <si>
    <t>Abstracts with Programs - Geological Society of America</t>
  </si>
  <si>
    <t>0016-7592</t>
  </si>
  <si>
    <t>Acarologia</t>
  </si>
  <si>
    <t>0044-586X</t>
  </si>
  <si>
    <t>ACI Structural Journal</t>
  </si>
  <si>
    <t>0889-3241</t>
  </si>
  <si>
    <t>Acoustical Imaging</t>
  </si>
  <si>
    <t>0270-5117</t>
  </si>
  <si>
    <t>Ad Astra To the Stars</t>
  </si>
  <si>
    <t>1041-102x</t>
  </si>
  <si>
    <t>Adult Basic Education &amp; Literacy Journal</t>
  </si>
  <si>
    <t>1934-2322</t>
  </si>
  <si>
    <t>Adult Learning</t>
  </si>
  <si>
    <t>1045-1595</t>
  </si>
  <si>
    <t>Advances in Accounting</t>
  </si>
  <si>
    <t>0882-6110</t>
  </si>
  <si>
    <t>Advances in Applied Mechanics</t>
  </si>
  <si>
    <t>0065-2156</t>
  </si>
  <si>
    <t>Advances in Applied Microbiology</t>
  </si>
  <si>
    <t>0065-2164</t>
  </si>
  <si>
    <t>Advances in Botanical Research</t>
  </si>
  <si>
    <t>0065-2296</t>
  </si>
  <si>
    <t>Advances in Chemical Engineering</t>
  </si>
  <si>
    <t>0065-2377</t>
  </si>
  <si>
    <t>Advances in Child Development and Behavior</t>
  </si>
  <si>
    <t>0065-2407</t>
  </si>
  <si>
    <t>Advances in Clinical Chemistry</t>
  </si>
  <si>
    <t>0065-2423</t>
  </si>
  <si>
    <t>Advances in Consumer Research</t>
  </si>
  <si>
    <t>0098-9258</t>
  </si>
  <si>
    <t>Advances in Ecological Research</t>
  </si>
  <si>
    <t>0065-2504</t>
  </si>
  <si>
    <t>PELP</t>
  </si>
  <si>
    <t>Advances in Enzymology and Related Subjects</t>
  </si>
  <si>
    <t>0065-258X</t>
  </si>
  <si>
    <t>Advances in Experimental Social Psychology</t>
  </si>
  <si>
    <t>0065-2601</t>
  </si>
  <si>
    <t>Advances in Genetics</t>
  </si>
  <si>
    <t>0065-2660</t>
  </si>
  <si>
    <t>Advances in Heterocyclic Chemistry</t>
  </si>
  <si>
    <t>0065-2725</t>
  </si>
  <si>
    <t>CHMP</t>
  </si>
  <si>
    <t>Advances in Imaging and Electron Physics</t>
  </si>
  <si>
    <t>1076-5670</t>
  </si>
  <si>
    <t>Advances in Immunology</t>
  </si>
  <si>
    <t>0065-2776</t>
  </si>
  <si>
    <t>Advances in Insect Physiology</t>
  </si>
  <si>
    <t>0065-2806</t>
  </si>
  <si>
    <t>Advances in Limnology (Ergebnisse der Limnologie)</t>
  </si>
  <si>
    <t>0071-1128</t>
  </si>
  <si>
    <t>Advances in Microbial Physiology</t>
  </si>
  <si>
    <t>0065-2911</t>
  </si>
  <si>
    <t>Advances in Parasitology</t>
  </si>
  <si>
    <t>0065-308X</t>
  </si>
  <si>
    <t>Advances in Pharmacology</t>
  </si>
  <si>
    <t>1054-3589</t>
  </si>
  <si>
    <t>Advances in Protein Chemistry</t>
  </si>
  <si>
    <t>0065-3233</t>
  </si>
  <si>
    <t>Advances in the Study of Behavior</t>
  </si>
  <si>
    <t>0065-3454</t>
  </si>
  <si>
    <t>Africa Contemporary Record</t>
  </si>
  <si>
    <t>0065-3845</t>
  </si>
  <si>
    <t>African Affairs</t>
  </si>
  <si>
    <t>0001-9909</t>
  </si>
  <si>
    <t>Against the Grain</t>
  </si>
  <si>
    <t>1043-2094</t>
  </si>
  <si>
    <t>Agricultural and Resource Economics Review</t>
  </si>
  <si>
    <t>1068-2805</t>
  </si>
  <si>
    <t>AGU Geophysical Monograph Series (.b33383583)</t>
  </si>
  <si>
    <t>AHA Guide to the Health Care Field</t>
  </si>
  <si>
    <t>AHFS Drug Information</t>
  </si>
  <si>
    <t>1063-8792</t>
  </si>
  <si>
    <t>Al-Ahram</t>
  </si>
  <si>
    <t>1110-2977</t>
  </si>
  <si>
    <t>Alkaloids: Chemistry and Biology</t>
  </si>
  <si>
    <t>1099-4831</t>
  </si>
  <si>
    <t>Allured's Cosmetics and Toiletries : C &amp; T</t>
  </si>
  <si>
    <t>0361-4387</t>
  </si>
  <si>
    <t>Ambio</t>
  </si>
  <si>
    <t>0044-7447</t>
  </si>
  <si>
    <t>America Votes</t>
  </si>
  <si>
    <t>0065-678X</t>
  </si>
  <si>
    <t>American Artist</t>
  </si>
  <si>
    <t>0002-7375</t>
  </si>
  <si>
    <t>American Association for State and Local History</t>
  </si>
  <si>
    <t>American Bee Journal</t>
  </si>
  <si>
    <t>0002-7626</t>
  </si>
  <si>
    <t>American book publishing record. ABPR cumulative</t>
  </si>
  <si>
    <t>0002-7707</t>
  </si>
  <si>
    <t>American Catholic Philosophical Quarterly</t>
  </si>
  <si>
    <t>1051-3558</t>
  </si>
  <si>
    <t>American Ceramic Society Bulletin</t>
  </si>
  <si>
    <t>0002-7812</t>
  </si>
  <si>
    <t>American Educator</t>
  </si>
  <si>
    <t>0148-432X</t>
  </si>
  <si>
    <t>American Entomologist</t>
  </si>
  <si>
    <t>1046-2821</t>
  </si>
  <si>
    <t>American Fern Journal</t>
  </si>
  <si>
    <t>0002-8444</t>
  </si>
  <si>
    <t>American Forests</t>
  </si>
  <si>
    <t>0002-8541</t>
  </si>
  <si>
    <t>American Fruit Grower</t>
  </si>
  <si>
    <t>0002-8568</t>
  </si>
  <si>
    <t>American Gardener</t>
  </si>
  <si>
    <t>1087-9978</t>
  </si>
  <si>
    <t>American Geographical Society's Focus on Geography</t>
  </si>
  <si>
    <t>1549-4934</t>
  </si>
  <si>
    <t>American Horticultural Society Membership</t>
  </si>
  <si>
    <t>American Journal of Ancient History</t>
  </si>
  <si>
    <t>0362-8914</t>
  </si>
  <si>
    <t>American Journal of Distance Education</t>
  </si>
  <si>
    <t>0892-3647</t>
  </si>
  <si>
    <t>CCEP</t>
  </si>
  <si>
    <t>American Journal of Health Education</t>
  </si>
  <si>
    <t>1055-6699</t>
  </si>
  <si>
    <t>American Journal of Pathology</t>
  </si>
  <si>
    <t>0002-9440</t>
  </si>
  <si>
    <t>FSTP</t>
  </si>
  <si>
    <t>American Journal of Physiology - Cell Physiology</t>
  </si>
  <si>
    <t>0363-6143</t>
  </si>
  <si>
    <t>American Journal of Physiology - Consolidated Ed.</t>
  </si>
  <si>
    <t>American Journal of Physiology - Endocrinology &amp; Metabolism</t>
  </si>
  <si>
    <t>0193-1849</t>
  </si>
  <si>
    <t>American Journal of Physiology - Gastrointestinal &amp; Liver Physiology</t>
  </si>
  <si>
    <t>0193-1857</t>
  </si>
  <si>
    <t>American Journal of Physiology - Heart &amp; Circulatory Physiology</t>
  </si>
  <si>
    <t>0363-6135</t>
  </si>
  <si>
    <t>American Journal of Physiology - Lung Cellular &amp; Molecular Physiology</t>
  </si>
  <si>
    <t>1040-0605</t>
  </si>
  <si>
    <t>American Journal of Physiology - Regulatory Integrative &amp; Comparative Physiology</t>
  </si>
  <si>
    <t>0363-6119</t>
  </si>
  <si>
    <t>American Journal of Physiology - Renal Physiology</t>
  </si>
  <si>
    <t>0363-6127</t>
  </si>
  <si>
    <t>American Journal of Psychology</t>
  </si>
  <si>
    <t>0002-9556</t>
  </si>
  <si>
    <t>American Journal of Respiratory and Critical Care Medicine</t>
  </si>
  <si>
    <t>1073-449x</t>
  </si>
  <si>
    <t>American Journal of Tropical Medicine &amp; Hygiene</t>
  </si>
  <si>
    <t>0002-9637</t>
  </si>
  <si>
    <t>American Jurisprudence</t>
  </si>
  <si>
    <t>American law reports. ALR 3d. Cases and annotations</t>
  </si>
  <si>
    <t xml:space="preserve">AMERICAN LIBRARY ASSOCIATION MEMBERSHIP </t>
  </si>
  <si>
    <t>membership</t>
  </si>
  <si>
    <t>American Library Directory</t>
  </si>
  <si>
    <t>0065-910X</t>
  </si>
  <si>
    <t>American Littoral Society Membership</t>
  </si>
  <si>
    <t>American Machinist</t>
  </si>
  <si>
    <t>1041-7958</t>
  </si>
  <si>
    <t>American Machinist. Metalworking Buyer's Guide</t>
  </si>
  <si>
    <t>0002-9858</t>
  </si>
  <si>
    <t>American Malacological Bulletin</t>
  </si>
  <si>
    <t>0740-2783</t>
  </si>
  <si>
    <t>American Malacological Society Directory</t>
  </si>
  <si>
    <t>American Malacological Society Membership</t>
  </si>
  <si>
    <t>American Malacological Society Newsletter</t>
  </si>
  <si>
    <t>American Maritime Cases</t>
  </si>
  <si>
    <t>0160-6786</t>
  </si>
  <si>
    <t>American Midland Naturalist</t>
  </si>
  <si>
    <t>0003-0031</t>
  </si>
  <si>
    <t>American Nurseryman</t>
  </si>
  <si>
    <t>0003-0198</t>
  </si>
  <si>
    <t>American Psychologist</t>
  </si>
  <si>
    <t>0003-066X</t>
  </si>
  <si>
    <t>American Salaries and Wages Survey</t>
  </si>
  <si>
    <t>1055-7628</t>
  </si>
  <si>
    <t>American Scholar</t>
  </si>
  <si>
    <t>0003-0937</t>
  </si>
  <si>
    <t>American School Board Journal</t>
  </si>
  <si>
    <t>0003-0953</t>
  </si>
  <si>
    <t>American Scientist</t>
  </si>
  <si>
    <t>0003-0996</t>
  </si>
  <si>
    <t>American Secondary Education</t>
  </si>
  <si>
    <t>0003-1003</t>
  </si>
  <si>
    <t>American Statistician</t>
  </si>
  <si>
    <t>0003-1305</t>
  </si>
  <si>
    <t>American Studies</t>
  </si>
  <si>
    <t>0026-3079</t>
  </si>
  <si>
    <t>American Teacher</t>
  </si>
  <si>
    <t>0003-1380</t>
  </si>
  <si>
    <t>American Vegetable Grower</t>
  </si>
  <si>
    <t>0161-8946</t>
  </si>
  <si>
    <t>American Water Works Association Journal</t>
  </si>
  <si>
    <t>0003-150X</t>
  </si>
  <si>
    <t>Analog Science Fiction and Fact</t>
  </si>
  <si>
    <t>1059-2113</t>
  </si>
  <si>
    <t>Analyses of Social Issues and Public Policy</t>
  </si>
  <si>
    <t>1529-7489</t>
  </si>
  <si>
    <t>Analysis</t>
  </si>
  <si>
    <t>0003-2638</t>
  </si>
  <si>
    <t>Anglia - Zeitschrift fuer Englische Philologie</t>
  </si>
  <si>
    <t>0340-5222</t>
  </si>
  <si>
    <t>Annals of Dyslexia</t>
  </si>
  <si>
    <t>0736-9387</t>
  </si>
  <si>
    <t>Annals of Otology, Rhinology &amp; Laryngology</t>
  </si>
  <si>
    <t>0003-4894</t>
  </si>
  <si>
    <t>Annals of the Missouri Botanical Garden</t>
  </si>
  <si>
    <t>0026-6493</t>
  </si>
  <si>
    <t>Annual Index of SAE Papers</t>
  </si>
  <si>
    <t>Annual Index to the Current Digest of the Post-Soviet Press</t>
  </si>
  <si>
    <t>Annual Progress in Child Psychiatry and Child Develop.</t>
  </si>
  <si>
    <t>0066-4030</t>
  </si>
  <si>
    <t>Annual Report of the International Whaling Commission</t>
  </si>
  <si>
    <t>1561-0721</t>
  </si>
  <si>
    <t>Annual Report: Atlantic Salmon Federation</t>
  </si>
  <si>
    <t>Annual Reports in Medicinal Chemistry</t>
  </si>
  <si>
    <t>0065-7743</t>
  </si>
  <si>
    <t>Annual Review of Gerontology and Geriatrics</t>
  </si>
  <si>
    <t>0198-8794</t>
  </si>
  <si>
    <t>Anthropology Today</t>
  </si>
  <si>
    <t>0268-540X</t>
  </si>
  <si>
    <t>Antimicrobial Agents and Chemotherapy</t>
  </si>
  <si>
    <t>0066-4804</t>
  </si>
  <si>
    <t>PHPP</t>
  </si>
  <si>
    <t>Antitrust Law &amp; Economics Review</t>
  </si>
  <si>
    <t>0003-6048</t>
  </si>
  <si>
    <t>AORN Journal</t>
  </si>
  <si>
    <t>0001-2092</t>
  </si>
  <si>
    <t>Applied Microbiology and Biotechnology</t>
  </si>
  <si>
    <t>0175-7598</t>
  </si>
  <si>
    <t>Applied Spectroscopy</t>
  </si>
  <si>
    <t>0003-7028</t>
  </si>
  <si>
    <t>Aquaculture Europe</t>
  </si>
  <si>
    <t>0773-6940</t>
  </si>
  <si>
    <t>Aquatic Conservation</t>
  </si>
  <si>
    <t>1052-7613</t>
  </si>
  <si>
    <t>PEEP</t>
  </si>
  <si>
    <t>Archaeology</t>
  </si>
  <si>
    <t>0003-8113</t>
  </si>
  <si>
    <t>Archaeometry</t>
  </si>
  <si>
    <t>0003-813X</t>
  </si>
  <si>
    <t>Architectural Record</t>
  </si>
  <si>
    <t>0003-858X</t>
  </si>
  <si>
    <t>Archives D'Histoire Doctrinale et Litteraire du Moyen Age</t>
  </si>
  <si>
    <t>0373-5478</t>
  </si>
  <si>
    <t>Archives of Environmental &amp; Occupational Health</t>
  </si>
  <si>
    <t>1933-8244</t>
  </si>
  <si>
    <t>Archives of Neurology</t>
  </si>
  <si>
    <t>0003-9942</t>
  </si>
  <si>
    <t>Arkansas Review</t>
  </si>
  <si>
    <t>0022-8745</t>
  </si>
  <si>
    <t>Art Bulletin</t>
  </si>
  <si>
    <t>0004-3079</t>
  </si>
  <si>
    <t>Art Journal</t>
  </si>
  <si>
    <t>0004-3249</t>
  </si>
  <si>
    <t>Art Libraries Journal</t>
  </si>
  <si>
    <t>0307-4722</t>
  </si>
  <si>
    <t>Artforum International (includes Bookforum)</t>
  </si>
  <si>
    <t>1086-7058</t>
  </si>
  <si>
    <t>ARTnews</t>
  </si>
  <si>
    <t>0004-3273</t>
  </si>
  <si>
    <t>Arts Education Policy Review</t>
  </si>
  <si>
    <t>1063-2913</t>
  </si>
  <si>
    <t>ASHA Leader</t>
  </si>
  <si>
    <t>1085-9586</t>
  </si>
  <si>
    <t>ASHRAE Handbook. Fundamentals</t>
  </si>
  <si>
    <t>0732-8591</t>
  </si>
  <si>
    <t>ASHRAE Handbook. HVAC Applications</t>
  </si>
  <si>
    <t>1078-6074</t>
  </si>
  <si>
    <t>ASHRAE Handbook. HVAC Systems &amp; Equipment</t>
  </si>
  <si>
    <t>1078-6066</t>
  </si>
  <si>
    <t>ASHRAE Handbook. Refrigeration</t>
  </si>
  <si>
    <t>1930-7209</t>
  </si>
  <si>
    <t>ASHRAE Journal</t>
  </si>
  <si>
    <t>0001-2491</t>
  </si>
  <si>
    <t>Asian Fisheries Science</t>
  </si>
  <si>
    <t>0116-6514</t>
  </si>
  <si>
    <t>online + CD</t>
  </si>
  <si>
    <t>Atlantic Geology</t>
  </si>
  <si>
    <t>0843-5561</t>
  </si>
  <si>
    <t>Atlantic Salmon Federation Membership</t>
  </si>
  <si>
    <t>Atlantic Salmon Journal</t>
  </si>
  <si>
    <t>0044-992X</t>
  </si>
  <si>
    <t>Atomic Spectroscopy</t>
  </si>
  <si>
    <t>0195-5373</t>
  </si>
  <si>
    <t>Audubon</t>
  </si>
  <si>
    <t>0097-7136</t>
  </si>
  <si>
    <t>Auk, The</t>
  </si>
  <si>
    <t>0004-8038</t>
  </si>
  <si>
    <t>Australian Journal of Earth Sciences</t>
  </si>
  <si>
    <t>0812-0099</t>
  </si>
  <si>
    <t>Automotive News</t>
  </si>
  <si>
    <t>0005-1551</t>
  </si>
  <si>
    <t>AV Market Place</t>
  </si>
  <si>
    <t>1044-0445</t>
  </si>
  <si>
    <t>Aviation Week &amp; Space Technology</t>
  </si>
  <si>
    <t>0005-2175</t>
  </si>
  <si>
    <t>Barron's (MICROFILM)</t>
  </si>
  <si>
    <t>1077-8039</t>
  </si>
  <si>
    <t>mfilm</t>
  </si>
  <si>
    <t>BBG Members News</t>
  </si>
  <si>
    <t>Benn's Media</t>
  </si>
  <si>
    <t>0968-4557</t>
  </si>
  <si>
    <t>Best Plays Theatre Yearbook</t>
  </si>
  <si>
    <t>1942-339X</t>
  </si>
  <si>
    <t>Bibliographie der französischen Literaturwissenschaft</t>
  </si>
  <si>
    <t>0523-2465</t>
  </si>
  <si>
    <t>Bibliography of Systematic Mycology</t>
  </si>
  <si>
    <t>0006-1573</t>
  </si>
  <si>
    <t>Biological Reviews of the Cambridge Philosophical Soc</t>
  </si>
  <si>
    <t>1464-7931</t>
  </si>
  <si>
    <t>Biomedical Sciences &amp; Instrumentation</t>
  </si>
  <si>
    <t>0067-8856</t>
  </si>
  <si>
    <t>Biometrika</t>
  </si>
  <si>
    <t>0006-3444</t>
  </si>
  <si>
    <t>BioScience</t>
  </si>
  <si>
    <t>0006-3568</t>
  </si>
  <si>
    <t>Birth</t>
  </si>
  <si>
    <t>0730-7659</t>
  </si>
  <si>
    <t>Book Collector</t>
  </si>
  <si>
    <t>0006-7237</t>
  </si>
  <si>
    <t>Book Review Digest</t>
  </si>
  <si>
    <t>0006-7326</t>
  </si>
  <si>
    <t>Books in Print (and Supplement)</t>
  </si>
  <si>
    <t>0068-0214</t>
  </si>
  <si>
    <t>Boreas</t>
  </si>
  <si>
    <t>0300-9483</t>
  </si>
  <si>
    <t>Botanica Marina</t>
  </si>
  <si>
    <t>0006-8055</t>
  </si>
  <si>
    <t>Boundary 2</t>
  </si>
  <si>
    <t>0190-3659</t>
  </si>
  <si>
    <t>Bowker annual of library and book trade information</t>
  </si>
  <si>
    <t>Brain</t>
  </si>
  <si>
    <t>0006-8950</t>
  </si>
  <si>
    <t>Britannia: A Journal of Romano-British and Kindred St.</t>
  </si>
  <si>
    <t>0068-113X</t>
  </si>
  <si>
    <t>British Journal of Clinical Psychology</t>
  </si>
  <si>
    <t>0144-6657</t>
  </si>
  <si>
    <t>British Journal of Pharmacology</t>
  </si>
  <si>
    <t>0007-1188</t>
  </si>
  <si>
    <t>British Journal of Social Psychology</t>
  </si>
  <si>
    <t>0144-6665</t>
  </si>
  <si>
    <t>British National Formulary</t>
  </si>
  <si>
    <t>Brooklyn Botanic Garden All-Region Guides</t>
  </si>
  <si>
    <t>Brooklyn Botanic Garden Subscriber Membership</t>
  </si>
  <si>
    <t>Bryologist</t>
  </si>
  <si>
    <t>0007-2745</t>
  </si>
  <si>
    <t>Bulbs</t>
  </si>
  <si>
    <t>Bulletin of the Museum of Comparative Zoology at Harvard College</t>
  </si>
  <si>
    <t>0027-4100</t>
  </si>
  <si>
    <t>Bulletin of Zoological Nomenclature</t>
  </si>
  <si>
    <t>0007-5167</t>
  </si>
  <si>
    <t>Business and Professional Ethics Journal</t>
  </si>
  <si>
    <t>0277-2027</t>
  </si>
  <si>
    <t>Business and society review</t>
  </si>
  <si>
    <t>0045-3609</t>
  </si>
  <si>
    <t>Business periodicals index</t>
  </si>
  <si>
    <t>0007-6961</t>
  </si>
  <si>
    <t>Business Week (MICROFICHE)</t>
  </si>
  <si>
    <t>0007-7135</t>
  </si>
  <si>
    <t>mfiche</t>
  </si>
  <si>
    <t>Cahiers de Biologie Marine</t>
  </si>
  <si>
    <t>0007-9723</t>
  </si>
  <si>
    <t>Calypso Log</t>
  </si>
  <si>
    <t>8756-6354</t>
  </si>
  <si>
    <t>Canadian Journal of African Studies</t>
  </si>
  <si>
    <t>0008-3968</t>
  </si>
  <si>
    <t>Canadian Journal of Animal Science</t>
  </si>
  <si>
    <t>0008-3984</t>
  </si>
  <si>
    <t>Canadian Journal of Development Studies / Revue Canadienne D'Etudes Du Developpement</t>
  </si>
  <si>
    <t>0225-5189</t>
  </si>
  <si>
    <t>Canadian Journal of Dietetic Practice &amp; Research</t>
  </si>
  <si>
    <t>1486-3847</t>
  </si>
  <si>
    <t>Canadian Journal of Microbiology</t>
  </si>
  <si>
    <t>0008-4166</t>
  </si>
  <si>
    <t>Canadian Journal of Soil Science</t>
  </si>
  <si>
    <t>0008-4271</t>
  </si>
  <si>
    <t>Canadian Journal of Veterinary Research</t>
  </si>
  <si>
    <t>0830-9000</t>
  </si>
  <si>
    <t>Canadian Review of Sociology and Anthropology</t>
  </si>
  <si>
    <t>0008-4948</t>
  </si>
  <si>
    <t xml:space="preserve">Cancer  </t>
  </si>
  <si>
    <t>0008-543X</t>
  </si>
  <si>
    <t>Cancer Cytopathology</t>
  </si>
  <si>
    <t>1934-662X</t>
  </si>
  <si>
    <t>Cancer Research</t>
  </si>
  <si>
    <t>0008-5472</t>
  </si>
  <si>
    <t>Cancer Research C/W Clinical Cancer Research</t>
  </si>
  <si>
    <t>Caribbean Journal of Science</t>
  </si>
  <si>
    <t>0008-6452</t>
  </si>
  <si>
    <t>Castanea: The Journal of the Southern Appalachian Botanical Club</t>
  </si>
  <si>
    <t>0008-7475</t>
  </si>
  <si>
    <t>Cell Motility and the Cytoskeleton</t>
  </si>
  <si>
    <t>0886-1544</t>
  </si>
  <si>
    <t>Ceramic Engineering and Science Proceedings</t>
  </si>
  <si>
    <t>0196-6219</t>
  </si>
  <si>
    <t>Cereal Chemistry</t>
  </si>
  <si>
    <t>0009-0352</t>
  </si>
  <si>
    <t>Challenge</t>
  </si>
  <si>
    <t>0577-5132</t>
  </si>
  <si>
    <t>Chem Sources U.S.A.</t>
  </si>
  <si>
    <t>0094-6567</t>
  </si>
  <si>
    <t>Chemical &amp; Engineering News</t>
  </si>
  <si>
    <t>0009-2347</t>
  </si>
  <si>
    <t>Chemical Society Reviews</t>
  </si>
  <si>
    <t>0306-0012</t>
  </si>
  <si>
    <t>Chemie-Ingenieur-Technik</t>
  </si>
  <si>
    <t>0009-286X</t>
  </si>
  <si>
    <t>Chemistry and Industry</t>
  </si>
  <si>
    <t>0009-3068</t>
  </si>
  <si>
    <t>Chemistry Letters</t>
  </si>
  <si>
    <t>0366-7022</t>
  </si>
  <si>
    <t>Chest</t>
  </si>
  <si>
    <t>0012-3692</t>
  </si>
  <si>
    <t>Child Development</t>
  </si>
  <si>
    <t>0009-3920</t>
  </si>
  <si>
    <t>Child Psychiatry and Human Development</t>
  </si>
  <si>
    <t>0009-398X</t>
  </si>
  <si>
    <t>Child Study Journal</t>
  </si>
  <si>
    <t>0009-4005</t>
  </si>
  <si>
    <t>Chinese Journal of Oceanology &amp; Limnology</t>
  </si>
  <si>
    <t>0254-405</t>
  </si>
  <si>
    <t>Chronicle of higher education</t>
  </si>
  <si>
    <t>0009-5982</t>
  </si>
  <si>
    <t>CILIP Membership</t>
  </si>
  <si>
    <t>CILIP Special Interest Group Membership</t>
  </si>
  <si>
    <t>CIRP Annals… Manufacturing Technology</t>
  </si>
  <si>
    <t>0007-8506</t>
  </si>
  <si>
    <t>Clearing House</t>
  </si>
  <si>
    <t>0009-8655</t>
  </si>
  <si>
    <t>Clinical Cancer Research</t>
  </si>
  <si>
    <t>1078-0432</t>
  </si>
  <si>
    <t>Clinical Chemistry</t>
  </si>
  <si>
    <t>0009-9147</t>
  </si>
  <si>
    <t>Clinical Chemistry &amp; Laboratory Medicine</t>
  </si>
  <si>
    <t>1434-6621</t>
  </si>
  <si>
    <t>Clinical Kinesiology</t>
  </si>
  <si>
    <t>0896-9620</t>
  </si>
  <si>
    <t>KINP</t>
  </si>
  <si>
    <t>Clio</t>
  </si>
  <si>
    <t>0884-2043</t>
  </si>
  <si>
    <t>Clothing and Textile Arts Index</t>
  </si>
  <si>
    <t>0887-302X</t>
  </si>
  <si>
    <t>College &amp; Research Libraries</t>
  </si>
  <si>
    <t>0010-0870</t>
  </si>
  <si>
    <t>College &amp; Research Libraries News</t>
  </si>
  <si>
    <t>0099-0086</t>
  </si>
  <si>
    <t>College and University</t>
  </si>
  <si>
    <t>0010-0889</t>
  </si>
  <si>
    <t>College Art Association of America Basic Membership</t>
  </si>
  <si>
    <t>College Blue Book</t>
  </si>
  <si>
    <t>0069-5572</t>
  </si>
  <si>
    <t>College composition and communication</t>
  </si>
  <si>
    <t>0010-096X</t>
  </si>
  <si>
    <t>College English</t>
  </si>
  <si>
    <t>0010-0994</t>
  </si>
  <si>
    <t>Commentary</t>
  </si>
  <si>
    <t>0010-2610</t>
  </si>
  <si>
    <t>Communication Education</t>
  </si>
  <si>
    <t>0363-4523</t>
  </si>
  <si>
    <t>Communication Monographs</t>
  </si>
  <si>
    <t>0363-7751</t>
  </si>
  <si>
    <t>Communication Studies</t>
  </si>
  <si>
    <t>1051-0974</t>
  </si>
  <si>
    <t>Community Mental Health Journal</t>
  </si>
  <si>
    <t>0010-3853</t>
  </si>
  <si>
    <t>Comparative Medicine</t>
  </si>
  <si>
    <t>1532-0820</t>
  </si>
  <si>
    <t>Comprehensive Accreditation Manual for Hospitals</t>
  </si>
  <si>
    <t>1076-5638</t>
  </si>
  <si>
    <t>Comprehensive Accreditation Manual for Integrated Delivery Systems</t>
  </si>
  <si>
    <t>1551-1561</t>
  </si>
  <si>
    <t>Computer Journal</t>
  </si>
  <si>
    <t>0010-4620</t>
  </si>
  <si>
    <t>Condor</t>
  </si>
  <si>
    <t>0010-5422</t>
  </si>
  <si>
    <t>Congressional Digest</t>
  </si>
  <si>
    <t>0010-5899</t>
  </si>
  <si>
    <t>Congressional Quarterly Almanac</t>
  </si>
  <si>
    <t>1935-8334</t>
  </si>
  <si>
    <t>Congressional Quarterly Weekly Report</t>
  </si>
  <si>
    <t>1521-5997</t>
  </si>
  <si>
    <t>Congressional quarterly weekly report (MICROFICHE)</t>
  </si>
  <si>
    <t>0589-3178</t>
  </si>
  <si>
    <t>Conn's Current Therapy</t>
  </si>
  <si>
    <t>8755-8823</t>
  </si>
  <si>
    <t>Consumer Reports</t>
  </si>
  <si>
    <t>0010-7174</t>
  </si>
  <si>
    <t>Consumer Reports (MICROFICHE)</t>
  </si>
  <si>
    <t>Contemporary Family Therapy</t>
  </si>
  <si>
    <t>0892-2764</t>
  </si>
  <si>
    <t>Contributions to Mineralogy &amp; Petrology</t>
  </si>
  <si>
    <t>0010-7999</t>
  </si>
  <si>
    <t>Copeia</t>
  </si>
  <si>
    <t>0045-8511</t>
  </si>
  <si>
    <t>Cornell Plantations Magazine</t>
  </si>
  <si>
    <t>0010-8863</t>
  </si>
  <si>
    <t>Cornell Plantations Membership</t>
  </si>
  <si>
    <t>Cortex</t>
  </si>
  <si>
    <t>0010-9452</t>
  </si>
  <si>
    <t>Cousteau Kids (formerly Dolphin Log)</t>
  </si>
  <si>
    <t>Cousteau Society Family Membership</t>
  </si>
  <si>
    <t>CQ Weekly Full Service</t>
  </si>
  <si>
    <t>Critical Care Nurse</t>
  </si>
  <si>
    <t>0279-5442</t>
  </si>
  <si>
    <t>Critical Reviews in Food Science &amp; Nutrition</t>
  </si>
  <si>
    <t>1040-8398</t>
  </si>
  <si>
    <t>Critical Studies in Media Communication</t>
  </si>
  <si>
    <t>1529-5036</t>
  </si>
  <si>
    <t>Crustaceana</t>
  </si>
  <si>
    <t>0011-216X</t>
  </si>
  <si>
    <t>Cryptogamie-Algologie</t>
  </si>
  <si>
    <t>0181-1568</t>
  </si>
  <si>
    <t>CUPA-HR Journal</t>
  </si>
  <si>
    <t>1046-9508</t>
  </si>
  <si>
    <t>Current Digest of the Post-Soviet Press</t>
  </si>
  <si>
    <t>1067-7542</t>
  </si>
  <si>
    <t>Current Pediatric Therapy</t>
  </si>
  <si>
    <t>0070-2021</t>
  </si>
  <si>
    <t>PTHP</t>
  </si>
  <si>
    <t>Current Topics in Microbiology &amp; Immunology</t>
  </si>
  <si>
    <t>0070-217X</t>
  </si>
  <si>
    <t>D &amp; B regional business directory. New England area</t>
  </si>
  <si>
    <t>1521-8619</t>
  </si>
  <si>
    <t>D&amp;B million dollar directory</t>
  </si>
  <si>
    <t>1093-4812</t>
  </si>
  <si>
    <t>D. H. Lawrence Review</t>
  </si>
  <si>
    <t>0011-4936</t>
  </si>
  <si>
    <t>Demographics USA (County AND Zip editions -- combo)</t>
  </si>
  <si>
    <t>Denver Quarterly</t>
  </si>
  <si>
    <t>0011-8869</t>
  </si>
  <si>
    <t>Derwent Journal of Synthetic Methods</t>
  </si>
  <si>
    <t>1260-8847</t>
  </si>
  <si>
    <t>Developmental Medicine and Child Neurology</t>
  </si>
  <si>
    <t>0012-1622</t>
  </si>
  <si>
    <t>Developmental Neuropsychology</t>
  </si>
  <si>
    <t>8756-5641</t>
  </si>
  <si>
    <t>Diabetes Care</t>
  </si>
  <si>
    <t>0149-5992</t>
  </si>
  <si>
    <t>Differential and Integral Equations</t>
  </si>
  <si>
    <t>0893-4983</t>
  </si>
  <si>
    <t>Directory of American Firms Operating in Foreign Countries</t>
  </si>
  <si>
    <t>0070-5071</t>
  </si>
  <si>
    <t>Directory of Foreign Firms Operating in the United States</t>
  </si>
  <si>
    <t>0070-5543</t>
  </si>
  <si>
    <t>Directory of Health Care Management Education</t>
  </si>
  <si>
    <t>1930-8361</t>
  </si>
  <si>
    <t>Disability Studies Quarterly</t>
  </si>
  <si>
    <t>1041-5718</t>
  </si>
  <si>
    <t>Dispatch online</t>
  </si>
  <si>
    <t>Dispute Resolution Journal</t>
  </si>
  <si>
    <t>1074-8105</t>
  </si>
  <si>
    <t>Dossier de la Recherche</t>
  </si>
  <si>
    <t>1772-3809</t>
  </si>
  <si>
    <t>Drama Criticism</t>
  </si>
  <si>
    <t>1056-4349</t>
  </si>
  <si>
    <t>Drug Facts &amp; Comparisons</t>
  </si>
  <si>
    <t>0277-9714</t>
  </si>
  <si>
    <t>Drug Store News</t>
  </si>
  <si>
    <t>0191-7587</t>
  </si>
  <si>
    <t>Ear, Nose &amp; Throat Journal</t>
  </si>
  <si>
    <t>0145-5613</t>
  </si>
  <si>
    <t>Earth (Formerly Geotimes)</t>
  </si>
  <si>
    <t>1943-345X</t>
  </si>
  <si>
    <t>East European Quarterly</t>
  </si>
  <si>
    <t>0012-8449</t>
  </si>
  <si>
    <t>Ecology Law Quarterly</t>
  </si>
  <si>
    <t>0046-1121</t>
  </si>
  <si>
    <t>Economic Botany</t>
  </si>
  <si>
    <t>0013-0001</t>
  </si>
  <si>
    <t>Economic Geography</t>
  </si>
  <si>
    <t>0013-0095</t>
  </si>
  <si>
    <t>Economic Geology and the Bulletin of the Society of Economic Geologists</t>
  </si>
  <si>
    <t>0361-0128</t>
  </si>
  <si>
    <t>Economist</t>
  </si>
  <si>
    <t>0013-0613</t>
  </si>
  <si>
    <t>Education</t>
  </si>
  <si>
    <t>0013-1172</t>
  </si>
  <si>
    <t>Education and Training in Developmental Disabilities</t>
  </si>
  <si>
    <t>1547-0350</t>
  </si>
  <si>
    <t>Education Index</t>
  </si>
  <si>
    <t>0013-1385</t>
  </si>
  <si>
    <t>Educational Forum</t>
  </si>
  <si>
    <t>0013-1725</t>
  </si>
  <si>
    <t>Educational Horizons</t>
  </si>
  <si>
    <t>0013-175X</t>
  </si>
  <si>
    <t>Employee Relations Law Journal</t>
  </si>
  <si>
    <t>0098-8898</t>
  </si>
  <si>
    <t>Employment and Earnings</t>
  </si>
  <si>
    <t>0013-6840</t>
  </si>
  <si>
    <t>Encounter: Education for Meaning and Social Justice</t>
  </si>
  <si>
    <t>1094-3838</t>
  </si>
  <si>
    <t>Encyclopedia of Business Information Sources</t>
  </si>
  <si>
    <t>0071-0210</t>
  </si>
  <si>
    <t>Encyclopedia of Library and Information Science</t>
  </si>
  <si>
    <t>Endocrinology</t>
  </si>
  <si>
    <t>0013-7227</t>
  </si>
  <si>
    <t>Energy Engineering</t>
  </si>
  <si>
    <t>0199-8595</t>
  </si>
  <si>
    <t>ENR</t>
  </si>
  <si>
    <t>0891-9526</t>
  </si>
  <si>
    <t>Entomological News</t>
  </si>
  <si>
    <t>0013-872X</t>
  </si>
  <si>
    <t>Environment Reporter</t>
  </si>
  <si>
    <t>0013-9211</t>
  </si>
  <si>
    <t>Environmental &amp; Engineering Geoscience</t>
  </si>
  <si>
    <t>1078-7275</t>
  </si>
  <si>
    <t>Environmental Biology of Fishes</t>
  </si>
  <si>
    <t>0378-1909</t>
  </si>
  <si>
    <t>Environmental Progress</t>
  </si>
  <si>
    <t>0278-4491</t>
  </si>
  <si>
    <t>Episodes: International Geoscience Newsmagazine</t>
  </si>
  <si>
    <t>0705-3797</t>
  </si>
  <si>
    <t>Ergonomics: The Official Publication of the Erg…</t>
  </si>
  <si>
    <t>0014-0139</t>
  </si>
  <si>
    <t>Essay and General Literature Index</t>
  </si>
  <si>
    <t>0014-083X</t>
  </si>
  <si>
    <t>Essays in Biochemistry</t>
  </si>
  <si>
    <t>0071-1365</t>
  </si>
  <si>
    <t>Estuaries &amp; Coasts</t>
  </si>
  <si>
    <t>1559-2723</t>
  </si>
  <si>
    <t>Etudes Anglaises, Grande-Bretagne, Etats-Unis</t>
  </si>
  <si>
    <t>0014-195X</t>
  </si>
  <si>
    <t>European Journal of Clinical Microbiology &amp; Infectious Diseases</t>
  </si>
  <si>
    <t>0934-9723</t>
  </si>
  <si>
    <t>European Journal of Personality</t>
  </si>
  <si>
    <t>0890-2070</t>
  </si>
  <si>
    <t>European Journal of Protistology</t>
  </si>
  <si>
    <t>0932-4739</t>
  </si>
  <si>
    <t>Exceptional Children</t>
  </si>
  <si>
    <t>0014-4029</t>
  </si>
  <si>
    <t>Exceptional Parent</t>
  </si>
  <si>
    <t>0046-9157</t>
  </si>
  <si>
    <t>Experimental Mechanics</t>
  </si>
  <si>
    <t>0014-4851</t>
  </si>
  <si>
    <t>Fairplay</t>
  </si>
  <si>
    <t>1745-5456</t>
  </si>
  <si>
    <t>Fairplay Solutions</t>
  </si>
  <si>
    <t>Families in Society</t>
  </si>
  <si>
    <t>1044-3894</t>
  </si>
  <si>
    <t>Family Law Quarterly</t>
  </si>
  <si>
    <t>0014-729X</t>
  </si>
  <si>
    <t>Faraday Discussions</t>
  </si>
  <si>
    <t>0301-7249</t>
  </si>
  <si>
    <t>Feminist Studies</t>
  </si>
  <si>
    <t>0046-3663</t>
  </si>
  <si>
    <t>Fiddlehead Forum: Bulletin of the American Fern Society</t>
  </si>
  <si>
    <t>0733-8015</t>
  </si>
  <si>
    <t>Fieldiana. Botany</t>
  </si>
  <si>
    <t>0015-0746</t>
  </si>
  <si>
    <t>Fiesers Reagents for Organic Synthesis</t>
  </si>
  <si>
    <t>1937-5182</t>
  </si>
  <si>
    <t>Fish Farming International</t>
  </si>
  <si>
    <t>0262-0820</t>
  </si>
  <si>
    <t>Fisheries Management &amp; Ecology</t>
  </si>
  <si>
    <t>0969-997X</t>
  </si>
  <si>
    <t>Fishing News International</t>
  </si>
  <si>
    <t>0015-3044</t>
  </si>
  <si>
    <t>Fishing News International [microform]</t>
  </si>
  <si>
    <t>Florists Review</t>
  </si>
  <si>
    <t>0015-4423</t>
  </si>
  <si>
    <t>Florists Review [microform]</t>
  </si>
  <si>
    <t>Food and Drug Law Journal</t>
  </si>
  <si>
    <t>1064-590x</t>
  </si>
  <si>
    <t>Food Processing</t>
  </si>
  <si>
    <t>0015-6523</t>
  </si>
  <si>
    <t>0264-9462</t>
  </si>
  <si>
    <t>Food Technology</t>
  </si>
  <si>
    <t>0015-6639</t>
  </si>
  <si>
    <t>Forum for promoting 3-19 comprehensive education</t>
  </si>
  <si>
    <t>1474-7685</t>
  </si>
  <si>
    <t>Forum Journal</t>
  </si>
  <si>
    <t>1536-1012</t>
  </si>
  <si>
    <t>Forum News</t>
  </si>
  <si>
    <t>1534-2948</t>
  </si>
  <si>
    <t>Forum Online</t>
  </si>
  <si>
    <t>Freeman: Ideas on Liberty</t>
  </si>
  <si>
    <t>1559-1638</t>
  </si>
  <si>
    <t>Galathea Report</t>
  </si>
  <si>
    <t>General Science Index</t>
  </si>
  <si>
    <t>0162-1963</t>
  </si>
  <si>
    <t>Genesis</t>
  </si>
  <si>
    <t>1526-954X</t>
  </si>
  <si>
    <t>Geochemical Journal</t>
  </si>
  <si>
    <t>0016-7002</t>
  </si>
  <si>
    <t>Geologisches Jahrbuch. Reihe C: Hydrogeologie, Ingenieurgeologie</t>
  </si>
  <si>
    <t>0341-6410</t>
  </si>
  <si>
    <t>Geo-Marine Letters</t>
  </si>
  <si>
    <t>0276-0460</t>
  </si>
  <si>
    <t>Germanisch-Romanisch-Romanische Monatsschrift</t>
  </si>
  <si>
    <t>0016-8904</t>
  </si>
  <si>
    <t>Gesta</t>
  </si>
  <si>
    <t>0016-920X</t>
  </si>
  <si>
    <t>Government Employee Relations Report</t>
  </si>
  <si>
    <t>0017-260X</t>
  </si>
  <si>
    <t>GQ [microfilm]</t>
  </si>
  <si>
    <t>0016-6979</t>
  </si>
  <si>
    <t>Griffithiana</t>
  </si>
  <si>
    <t>0393-3857</t>
  </si>
  <si>
    <t>Guitar Review</t>
  </si>
  <si>
    <t>0017-5471</t>
  </si>
  <si>
    <t>Handbook of Binary Phase Diagrams</t>
  </si>
  <si>
    <t>Handbook of Cenozoic calcareous nannoplankton</t>
  </si>
  <si>
    <t>HAPI Hispanic American Periodicals Index</t>
  </si>
  <si>
    <t>0270-8558</t>
  </si>
  <si>
    <t>Harvard Educational Review</t>
  </si>
  <si>
    <t>0017-8055</t>
  </si>
  <si>
    <t>Health Affairs</t>
  </si>
  <si>
    <t>0278-2715</t>
  </si>
  <si>
    <t>Herbertia</t>
  </si>
  <si>
    <t>8756-9418</t>
  </si>
  <si>
    <t>Hermathena</t>
  </si>
  <si>
    <t>0018-0750</t>
  </si>
  <si>
    <t>Historia Mexicana</t>
  </si>
  <si>
    <t>0185-0172</t>
  </si>
  <si>
    <t>Historic Documents</t>
  </si>
  <si>
    <t>0892-080X</t>
  </si>
  <si>
    <t>Historical New Hampshire</t>
  </si>
  <si>
    <t>0018-2508</t>
  </si>
  <si>
    <t>History News</t>
  </si>
  <si>
    <t>0363-7492</t>
  </si>
  <si>
    <t>History Teacher</t>
  </si>
  <si>
    <t>0018-2745</t>
  </si>
  <si>
    <t>Horticultural Reviews</t>
  </si>
  <si>
    <t>0163-7851</t>
  </si>
  <si>
    <t>Horticulture</t>
  </si>
  <si>
    <t>0018-5329</t>
  </si>
  <si>
    <t>Hospital Pharmacy</t>
  </si>
  <si>
    <t>0018-5787</t>
  </si>
  <si>
    <t>Human Development</t>
  </si>
  <si>
    <t>0018-716X</t>
  </si>
  <si>
    <t>Humanist</t>
  </si>
  <si>
    <t>0018-7399</t>
  </si>
  <si>
    <t>Humanities Index</t>
  </si>
  <si>
    <t>0095-5981</t>
  </si>
  <si>
    <t>ICMA Newsletter</t>
  </si>
  <si>
    <t>IDS Bulletin</t>
  </si>
  <si>
    <t>0265-5012</t>
  </si>
  <si>
    <t>IDS Policy Briefings</t>
  </si>
  <si>
    <t>IMI Descriptions of Fungi and Bacteria</t>
  </si>
  <si>
    <t>0009-9716</t>
  </si>
  <si>
    <t>In Practice</t>
  </si>
  <si>
    <t>0263-841X</t>
  </si>
  <si>
    <t>Index to Legal Periodicals and Books</t>
  </si>
  <si>
    <t>1079-4719</t>
  </si>
  <si>
    <t>India Today International</t>
  </si>
  <si>
    <t>0254-8399</t>
  </si>
  <si>
    <t>Indian Economic Journal</t>
  </si>
  <si>
    <t>0019-4662</t>
  </si>
  <si>
    <t>Indian Journal of Marine Sciences</t>
  </si>
  <si>
    <t>0379-5136</t>
  </si>
  <si>
    <t>Institute of Development Studies Package C</t>
  </si>
  <si>
    <t>Intellectual and Developmental Disabilities</t>
  </si>
  <si>
    <t>1934-9491</t>
  </si>
  <si>
    <t>Interciencia</t>
  </si>
  <si>
    <t>0378-1844</t>
  </si>
  <si>
    <t>Interior Design</t>
  </si>
  <si>
    <t>0020-5508</t>
  </si>
  <si>
    <t>International Association for Great Lakes Research Membership</t>
  </si>
  <si>
    <t>International Bulb Society Membership</t>
  </si>
  <si>
    <t>International Center of Medieval Art Membership</t>
  </si>
  <si>
    <t>International directory of little magazines &amp; small presses</t>
  </si>
  <si>
    <t>0092-3974</t>
  </si>
  <si>
    <t>International Directory of Philosophy and Philosophers</t>
  </si>
  <si>
    <t>0074-4603</t>
  </si>
  <si>
    <t>International Financial Statistics</t>
  </si>
  <si>
    <t>0020-6725</t>
  </si>
  <si>
    <t>International History Review</t>
  </si>
  <si>
    <t>0707-5332</t>
  </si>
  <si>
    <t>International Jerusalem Post</t>
  </si>
  <si>
    <t>International Journal for Numerical &amp; Analytical Methods in Geomechanics</t>
  </si>
  <si>
    <t>0363-9061</t>
  </si>
  <si>
    <t>International Journal of Aging &amp; Human Development</t>
  </si>
  <si>
    <t>0091-4150</t>
  </si>
  <si>
    <t>International Journal of Disability, Development, and Education</t>
  </si>
  <si>
    <t>1034-912X</t>
  </si>
  <si>
    <t>International Journal of Eating Disorders</t>
  </si>
  <si>
    <t>0276-3478</t>
  </si>
  <si>
    <t>International journal of ecohydrology &amp; hydrobiology</t>
  </si>
  <si>
    <t>1642-3593</t>
  </si>
  <si>
    <t>International Journal of Group Psychotherapy</t>
  </si>
  <si>
    <t>0020-7284</t>
  </si>
  <si>
    <t>International Journal of Sports Medicine</t>
  </si>
  <si>
    <t>0172-4622</t>
  </si>
  <si>
    <t>International Journal, Advanced Manufacturing Technology</t>
  </si>
  <si>
    <t>0268-3768</t>
  </si>
  <si>
    <t>International Legal Materials</t>
  </si>
  <si>
    <t>0020-7829</t>
  </si>
  <si>
    <t>International Review of Hydrobiology</t>
  </si>
  <si>
    <t>1434-2944</t>
  </si>
  <si>
    <t>International Review of Neurobiology</t>
  </si>
  <si>
    <t>0074-7742</t>
  </si>
  <si>
    <t>International Social Science Journal</t>
  </si>
  <si>
    <t>0020-8701</t>
  </si>
  <si>
    <t>International Trade Statistics Yearbook / Annuaire Statistique du Commerce International</t>
  </si>
  <si>
    <t>Iowa Review</t>
  </si>
  <si>
    <t>0021-065X</t>
  </si>
  <si>
    <t>Izvestiia</t>
  </si>
  <si>
    <t>Jewish Journal of Sociology</t>
  </si>
  <si>
    <t>0021-6534</t>
  </si>
  <si>
    <t>Jokull Journal of the Icelandic Glaciological Society</t>
  </si>
  <si>
    <t>0449-0576</t>
  </si>
  <si>
    <t>JOPERD [microfilm]</t>
  </si>
  <si>
    <t>0730-3084</t>
  </si>
  <si>
    <t>Journal for the Education of the Gifted</t>
  </si>
  <si>
    <t>0162-3532</t>
  </si>
  <si>
    <t>Journal of Agricultural and Resource Economics</t>
  </si>
  <si>
    <t>1068-5502</t>
  </si>
  <si>
    <t>Journal of American History</t>
  </si>
  <si>
    <t>0021-8723</t>
  </si>
  <si>
    <t>Journal of Anthropological Research</t>
  </si>
  <si>
    <t>0091-7710</t>
  </si>
  <si>
    <t>Journal of Antibiotics</t>
  </si>
  <si>
    <t>0021-8820</t>
  </si>
  <si>
    <t>Journal of Applied Communication Research</t>
  </si>
  <si>
    <t>0090-9882</t>
  </si>
  <si>
    <t>Journal of Applied Meteorology &amp; Climatology</t>
  </si>
  <si>
    <t>1558-8424</t>
  </si>
  <si>
    <t>Journal of Applied Physiology</t>
  </si>
  <si>
    <t>8750-7587</t>
  </si>
  <si>
    <t>Journal of Arts Management Law and Society</t>
  </si>
  <si>
    <t>1063-2921</t>
  </si>
  <si>
    <t>Journal of Bacteriology</t>
  </si>
  <si>
    <t>0021-9193</t>
  </si>
  <si>
    <t>Journal of British Studies Online</t>
  </si>
  <si>
    <t>0021-9371</t>
  </si>
  <si>
    <t>Journal of Broadcasting and Electronic Media</t>
  </si>
  <si>
    <t>0883-8151</t>
  </si>
  <si>
    <t>JORP</t>
  </si>
  <si>
    <t>Journal of Bryology</t>
  </si>
  <si>
    <t>0373-6687</t>
  </si>
  <si>
    <t>Journal of Cell Biology</t>
  </si>
  <si>
    <t>0021-9525</t>
  </si>
  <si>
    <t>Journal of Cell Science</t>
  </si>
  <si>
    <t>0021-9533</t>
  </si>
  <si>
    <t>Journal of Cellular Physiology</t>
  </si>
  <si>
    <t>0021-9541</t>
  </si>
  <si>
    <t>Journal of Cetacean Research &amp; Management</t>
  </si>
  <si>
    <t>1561-0713</t>
  </si>
  <si>
    <t>Journal of Cetacean Research &amp; Management Special Issue Series</t>
  </si>
  <si>
    <t>1561-073X</t>
  </si>
  <si>
    <t>Journal of Chemical Education</t>
  </si>
  <si>
    <t>0021-9584</t>
  </si>
  <si>
    <t>Journal of Child Psychology and Psychiatry and Allied…</t>
  </si>
  <si>
    <t>0021-9630</t>
  </si>
  <si>
    <t>Journal of Conchology</t>
  </si>
  <si>
    <t>0022-0019</t>
  </si>
  <si>
    <t>Journal of Continuing Education in Nursing</t>
  </si>
  <si>
    <t>0022-0124</t>
  </si>
  <si>
    <t>Journal of Creative Behavior</t>
  </si>
  <si>
    <t>0022-0175</t>
  </si>
  <si>
    <t>Journal of Developmental Education</t>
  </si>
  <si>
    <t>0894-3907</t>
  </si>
  <si>
    <t>Journal of Divorce and Remarriage</t>
  </si>
  <si>
    <t>1050-2556</t>
  </si>
  <si>
    <t>Journal of Economic Development</t>
  </si>
  <si>
    <t>0254-8372</t>
  </si>
  <si>
    <t>Journal of Economic Education</t>
  </si>
  <si>
    <t>0022-0485</t>
  </si>
  <si>
    <t>Journal of Education for Library and Information Science</t>
  </si>
  <si>
    <t>0748-5786</t>
  </si>
  <si>
    <t>Journal of Elder Abuse and Neglect</t>
  </si>
  <si>
    <t>0894-6566</t>
  </si>
  <si>
    <t>Journal of Endocrinology</t>
  </si>
  <si>
    <t>0022-0795</t>
  </si>
  <si>
    <t>Journal of Energy and Development</t>
  </si>
  <si>
    <t>0361-4476</t>
  </si>
  <si>
    <t>Journal of Experiential Education</t>
  </si>
  <si>
    <t>1053-8259</t>
  </si>
  <si>
    <t>Journal of Experimental Education</t>
  </si>
  <si>
    <t>0022-0973</t>
  </si>
  <si>
    <t>Journal of Family and Consumer Sciences</t>
  </si>
  <si>
    <t>1082-1651</t>
  </si>
  <si>
    <t>Journal of Food Protection</t>
  </si>
  <si>
    <t>0362-028X</t>
  </si>
  <si>
    <t>Journal of Foraminiferal Research</t>
  </si>
  <si>
    <t>0096-1191</t>
  </si>
  <si>
    <t>Journal of General Physiology</t>
  </si>
  <si>
    <t>0022-1295</t>
  </si>
  <si>
    <t>Journal of Geoscience Education</t>
  </si>
  <si>
    <t>1089-9995</t>
  </si>
  <si>
    <t>Journal of Geriatric Psychiatry</t>
  </si>
  <si>
    <t>0022-1414</t>
  </si>
  <si>
    <t>Journal of Great Lakes Research</t>
  </si>
  <si>
    <t>0380-1330</t>
  </si>
  <si>
    <t>Journal of Group Psychotherapy, Psychodrama, and Soc.</t>
  </si>
  <si>
    <t>1545-3855</t>
  </si>
  <si>
    <t>Journal of Homosexuality</t>
  </si>
  <si>
    <t>0091-8369</t>
  </si>
  <si>
    <t>Journal of Humanistic Counseling, Education &amp; Develop</t>
  </si>
  <si>
    <t>1931-0293</t>
  </si>
  <si>
    <t>Journal of Interior Design</t>
  </si>
  <si>
    <t>1071-7641</t>
  </si>
  <si>
    <t>Journal of Investigative Medicine</t>
  </si>
  <si>
    <t>1081-5589</t>
  </si>
  <si>
    <t>Journal of Law &amp; Education</t>
  </si>
  <si>
    <t>0275-6072</t>
  </si>
  <si>
    <t>Journal of Learning Disabilities</t>
  </si>
  <si>
    <t>0022-2194</t>
  </si>
  <si>
    <t>Journal of Leisure Research</t>
  </si>
  <si>
    <t>0022-2216</t>
  </si>
  <si>
    <t>Journal of Maritime Law and Commerce</t>
  </si>
  <si>
    <t>0022-2410</t>
  </si>
  <si>
    <t>Journal of Medical Genetics</t>
  </si>
  <si>
    <t>0022-2593</t>
  </si>
  <si>
    <t>Journal of micropalaeontology : the journal of the British Micropalaeontological Society</t>
  </si>
  <si>
    <t>0262-821X</t>
  </si>
  <si>
    <t>Journal of Molluscan Studies</t>
  </si>
  <si>
    <t>0260-1230</t>
  </si>
  <si>
    <t>Journal of Negro Education</t>
  </si>
  <si>
    <t>0022-2984</t>
  </si>
  <si>
    <t>Journal of Nematology</t>
  </si>
  <si>
    <t>0022-300X</t>
  </si>
  <si>
    <t>Journal of Neural Transmission</t>
  </si>
  <si>
    <t>0300-9564</t>
  </si>
  <si>
    <t>Journal of Neurochemistry</t>
  </si>
  <si>
    <t>0022-3042</t>
  </si>
  <si>
    <t>Journal of Neurotrauma</t>
  </si>
  <si>
    <t>0897-7151</t>
  </si>
  <si>
    <t>Journal of Northwest Atlantic Fishery Science</t>
  </si>
  <si>
    <t>0250-6408</t>
  </si>
  <si>
    <t>Journal of Nursing Education</t>
  </si>
  <si>
    <t>0148-4834</t>
  </si>
  <si>
    <t>Journal of Pathology</t>
  </si>
  <si>
    <t>0022-3417</t>
  </si>
  <si>
    <t>Journal of Petrology</t>
  </si>
  <si>
    <t>0022-3530</t>
  </si>
  <si>
    <t>Journal of Physical and Chemical Reference Data</t>
  </si>
  <si>
    <t>0047-2689</t>
  </si>
  <si>
    <t>Journal of Physics B, Atomic, Molecular &amp; Optical Physics</t>
  </si>
  <si>
    <t>0953-4075</t>
  </si>
  <si>
    <t>Journal of Physics G</t>
  </si>
  <si>
    <t>0954-3899</t>
  </si>
  <si>
    <t>Journal of Policy Analysis and Management</t>
  </si>
  <si>
    <t>0276-8739</t>
  </si>
  <si>
    <t>Journal of Psychohistory</t>
  </si>
  <si>
    <t>0145-3378</t>
  </si>
  <si>
    <t>Journal of Psychopathology and Behavioral Assessment</t>
  </si>
  <si>
    <t>0882-2689</t>
  </si>
  <si>
    <t>Journal of Regional Science</t>
  </si>
  <si>
    <t>0022-4146</t>
  </si>
  <si>
    <t>Journal of Social Issues</t>
  </si>
  <si>
    <t>0022-4537</t>
  </si>
  <si>
    <t>Journal of Speech, Language, and Hearing Research</t>
  </si>
  <si>
    <t>1092-4388</t>
  </si>
  <si>
    <t>Journal of Staff Development</t>
  </si>
  <si>
    <t>0276-928X</t>
  </si>
  <si>
    <t>Journal of Studies on Alcohol</t>
  </si>
  <si>
    <t>0096-882X</t>
  </si>
  <si>
    <t>Journal of the American Dental Association</t>
  </si>
  <si>
    <t>0002-8177</t>
  </si>
  <si>
    <t>Journal of the American Mosquito Control Association</t>
  </si>
  <si>
    <t>8756-971X</t>
  </si>
  <si>
    <t>Journal of the American Oriental Society</t>
  </si>
  <si>
    <t>0003-0279</t>
  </si>
  <si>
    <t>Journal of the American Planning Association</t>
  </si>
  <si>
    <t>0194-4363</t>
  </si>
  <si>
    <t>Journal of the American Society for Horticultural Science</t>
  </si>
  <si>
    <t>0003-1062</t>
  </si>
  <si>
    <t>Journal of the Geological Society of Japan (Chishitsugaku Zasshi)</t>
  </si>
  <si>
    <t>0016-7630</t>
  </si>
  <si>
    <t>Journal of the History of the Behavioral Sciences</t>
  </si>
  <si>
    <t>0022-5061</t>
  </si>
  <si>
    <t>Journal of the Marine Biological Association of India</t>
  </si>
  <si>
    <t>0025-3146</t>
  </si>
  <si>
    <t>Journal of the Midwest Modern Language Association: MMLA</t>
  </si>
  <si>
    <t>0742-5562</t>
  </si>
  <si>
    <t>Journal of the New York Entomological Society (now: Entomologica Americana)</t>
  </si>
  <si>
    <t>0028-7199</t>
  </si>
  <si>
    <t>Journal of the North Carolina Academy of Sciences</t>
  </si>
  <si>
    <t>0013-6220</t>
  </si>
  <si>
    <t>Journal of the Royal Anthropological Institute</t>
  </si>
  <si>
    <t>1359-0987</t>
  </si>
  <si>
    <t>Journal of the Science of Food &amp; Agriculture</t>
  </si>
  <si>
    <t>0022-5142</t>
  </si>
  <si>
    <t>Journal of the Textile Institute</t>
  </si>
  <si>
    <t>0040-5000</t>
  </si>
  <si>
    <t>Journal of the World Aquaculture Society</t>
  </si>
  <si>
    <t>0893-8849</t>
  </si>
  <si>
    <t>Journal of Toxicology and Environmental Health Part A</t>
  </si>
  <si>
    <t>1528-7394</t>
  </si>
  <si>
    <t>Journal of Transport Economics and Policy</t>
  </si>
  <si>
    <t>0022-5258</t>
  </si>
  <si>
    <t>Journal of Wildlife Management</t>
  </si>
  <si>
    <t>0022-541X</t>
  </si>
  <si>
    <t>Journal of World Trade</t>
  </si>
  <si>
    <t>1011-6702</t>
  </si>
  <si>
    <t>Journal of Wound Care</t>
  </si>
  <si>
    <t>0969-0700</t>
  </si>
  <si>
    <t>Judaism</t>
  </si>
  <si>
    <t>0022-5762</t>
  </si>
  <si>
    <t>Keesings Record of World Events</t>
  </si>
  <si>
    <t>0950-6128</t>
  </si>
  <si>
    <t>Kent County Daily Times [microfilm]</t>
  </si>
  <si>
    <t>Knowledge Quest</t>
  </si>
  <si>
    <t>1094-9046</t>
  </si>
  <si>
    <t>Kunstpreis-Jahrbuch (Art Price Yearbook)</t>
  </si>
  <si>
    <t>0174-3511</t>
  </si>
  <si>
    <t>Labor Law Journal</t>
  </si>
  <si>
    <t>0023-6586</t>
  </si>
  <si>
    <t>Labor's Heritage</t>
  </si>
  <si>
    <t>1041-5904</t>
  </si>
  <si>
    <t>Labour Capital and Society</t>
  </si>
  <si>
    <t>0706-1706</t>
  </si>
  <si>
    <t>Land Use Law Report</t>
  </si>
  <si>
    <t>1064-0401</t>
  </si>
  <si>
    <t>Landscape Architecture</t>
  </si>
  <si>
    <t>0023-8031</t>
  </si>
  <si>
    <t>Language, Speech &amp; Hearing Services in Schools</t>
  </si>
  <si>
    <t>0161-1461</t>
  </si>
  <si>
    <t>Latomus</t>
  </si>
  <si>
    <t>0023-8856</t>
  </si>
  <si>
    <t>Law of Environmental Protection</t>
  </si>
  <si>
    <t>Le journal français</t>
  </si>
  <si>
    <t>1089-1862</t>
  </si>
  <si>
    <t>Learning Disability Quarterly</t>
  </si>
  <si>
    <t>0731-9487</t>
  </si>
  <si>
    <t>Legal Reference Services Quarterly</t>
  </si>
  <si>
    <t>0270-319X</t>
  </si>
  <si>
    <t>Lexis Nexis Corporate Affiliations</t>
  </si>
  <si>
    <t>1543-9763</t>
  </si>
  <si>
    <t>Libraries &amp; culture : a journal of library history</t>
  </si>
  <si>
    <t>0894-8631</t>
  </si>
  <si>
    <t>Library Administrator's Digest</t>
  </si>
  <si>
    <t>0746-6129</t>
  </si>
  <si>
    <t>Library and Information Update</t>
  </si>
  <si>
    <t>1476-7171</t>
  </si>
  <si>
    <t>Library Hi-Tech</t>
  </si>
  <si>
    <t>0737-8831</t>
  </si>
  <si>
    <t>Library Journal</t>
  </si>
  <si>
    <t>0363-0277</t>
  </si>
  <si>
    <t>Library Technology</t>
  </si>
  <si>
    <t>1362-1122</t>
  </si>
  <si>
    <t>List of Members - Society for Nautical Research</t>
  </si>
  <si>
    <t>0306-9850</t>
  </si>
  <si>
    <t>Littorally Speaking: American Littoral Society Newsletter</t>
  </si>
  <si>
    <t>Lloyd's Register Fairplay ports &amp; terminals guide</t>
  </si>
  <si>
    <t>1478-4947</t>
  </si>
  <si>
    <t>Lloyd's Register Fairplay world shipping directory</t>
  </si>
  <si>
    <t>1477-3236</t>
  </si>
  <si>
    <t>Lloyd's ship manager : LSM</t>
  </si>
  <si>
    <t>0265-2455</t>
  </si>
  <si>
    <t>L'Oeil</t>
  </si>
  <si>
    <t>0029-862X</t>
  </si>
  <si>
    <t>Magazine Antiques</t>
  </si>
  <si>
    <t>0161-9284</t>
  </si>
  <si>
    <t>Mainstream</t>
  </si>
  <si>
    <t>0542-1462</t>
  </si>
  <si>
    <t>Malacologia</t>
  </si>
  <si>
    <t>0076-2997</t>
  </si>
  <si>
    <t>Marine Biological Association of India Membership</t>
  </si>
  <si>
    <t>Marine Geodesy</t>
  </si>
  <si>
    <t>0149-0419</t>
  </si>
  <si>
    <t>Marine Geophysical Researches</t>
  </si>
  <si>
    <t>0025-3235</t>
  </si>
  <si>
    <t>Marine Geosources &amp; Geotechnology</t>
  </si>
  <si>
    <t>1064-119X</t>
  </si>
  <si>
    <t>Marine Resource Economics</t>
  </si>
  <si>
    <t>0738-1360</t>
  </si>
  <si>
    <t>Marine Technology Society Journal</t>
  </si>
  <si>
    <t>0025-3324</t>
  </si>
  <si>
    <t>Mariner's Mirror</t>
  </si>
  <si>
    <t>0025-3359</t>
  </si>
  <si>
    <t>Mariner's mirror bibliography for..</t>
  </si>
  <si>
    <t>Mass Communication &amp; Society</t>
  </si>
  <si>
    <t>1520-5436</t>
  </si>
  <si>
    <t>Mathematical Gazette</t>
  </si>
  <si>
    <t>0025-5572</t>
  </si>
  <si>
    <t>Mathematics and Computer Education</t>
  </si>
  <si>
    <t>0730-8639</t>
  </si>
  <si>
    <t>Mathematics Magazine</t>
  </si>
  <si>
    <t>0025-570X</t>
  </si>
  <si>
    <t>Mathematics of Operations Research Online</t>
  </si>
  <si>
    <t>0364-765X</t>
  </si>
  <si>
    <t>Mediaeval Studies</t>
  </si>
  <si>
    <t>0076-5872</t>
  </si>
  <si>
    <t>Medical Clinics of North America</t>
  </si>
  <si>
    <t>0025-7125</t>
  </si>
  <si>
    <t>Medicine &amp; Health Rhode Island</t>
  </si>
  <si>
    <t>1086-5462</t>
  </si>
  <si>
    <t>Medievalia et Humanistica</t>
  </si>
  <si>
    <t>0076-6127</t>
  </si>
  <si>
    <t>Medium Aevum</t>
  </si>
  <si>
    <t>0025-8385</t>
  </si>
  <si>
    <t>Membership Handbook (Music Library Association)</t>
  </si>
  <si>
    <t>1074-1259</t>
  </si>
  <si>
    <t>Memoirs of the American Entomological Society</t>
  </si>
  <si>
    <t>0065-8170</t>
  </si>
  <si>
    <t>Mergent municipal &amp; government manual</t>
  </si>
  <si>
    <t>Methods in Microbiology</t>
  </si>
  <si>
    <t>0580-9517</t>
  </si>
  <si>
    <t>Methods of Biochemical Analysis</t>
  </si>
  <si>
    <t>0076-6941</t>
  </si>
  <si>
    <t>Methods of Information in Medicine</t>
  </si>
  <si>
    <t>0026-1270</t>
  </si>
  <si>
    <t>Micropaleontology</t>
  </si>
  <si>
    <t>0026-2803</t>
  </si>
  <si>
    <t>Midamerica</t>
  </si>
  <si>
    <t>0190-2911</t>
  </si>
  <si>
    <t>Middle East and North Africa</t>
  </si>
  <si>
    <t>0076-8502</t>
  </si>
  <si>
    <t>Midwestern Miscellany</t>
  </si>
  <si>
    <t>0885-4742</t>
  </si>
  <si>
    <t>Mind</t>
  </si>
  <si>
    <t>0026-4423</t>
  </si>
  <si>
    <t>Mineralogical Record</t>
  </si>
  <si>
    <t>0026-4628</t>
  </si>
  <si>
    <t>MIT Sloan Management Review</t>
  </si>
  <si>
    <t>1532-9194</t>
  </si>
  <si>
    <t>Modern Language Studies</t>
  </si>
  <si>
    <t>0047-7729</t>
  </si>
  <si>
    <t>Modern Plastics Worldwide</t>
  </si>
  <si>
    <t>1554-8589</t>
  </si>
  <si>
    <t>Modern Plastics Worldwide World Encyclopedia</t>
  </si>
  <si>
    <t>1539-4344</t>
  </si>
  <si>
    <t>Modern Schoolman</t>
  </si>
  <si>
    <t>0026-8402</t>
  </si>
  <si>
    <t>Molecular Genetics and Genomics</t>
  </si>
  <si>
    <t>1617-4615</t>
  </si>
  <si>
    <t>Monist</t>
  </si>
  <si>
    <t>0026-9662</t>
  </si>
  <si>
    <t>Moreana</t>
  </si>
  <si>
    <t>0047-8105</t>
  </si>
  <si>
    <t>Mosaic</t>
  </si>
  <si>
    <t>0027-1276</t>
  </si>
  <si>
    <t>Mosby's Pharmacology in Nursing</t>
  </si>
  <si>
    <t>0737-8882</t>
  </si>
  <si>
    <t>Motor Control</t>
  </si>
  <si>
    <t>1087-1640</t>
  </si>
  <si>
    <t>Movement Disorders</t>
  </si>
  <si>
    <t>0885-3185</t>
  </si>
  <si>
    <t>Museum Studies</t>
  </si>
  <si>
    <t>0069-3235</t>
  </si>
  <si>
    <t>Music Library Association Membership</t>
  </si>
  <si>
    <t>Mycologia</t>
  </si>
  <si>
    <t>0027-5514</t>
  </si>
  <si>
    <t>Mycotaxon</t>
  </si>
  <si>
    <t>0093-4666</t>
  </si>
  <si>
    <t>NAFO Scientific Council Reports</t>
  </si>
  <si>
    <t>0250-6416</t>
  </si>
  <si>
    <t>NAFO Scientific Council Studies Series</t>
  </si>
  <si>
    <t>0250-6432</t>
  </si>
  <si>
    <t>National Fisherman</t>
  </si>
  <si>
    <t>0027-9250</t>
  </si>
  <si>
    <t>National Trust Forum Membership</t>
  </si>
  <si>
    <t>National Wildlife</t>
  </si>
  <si>
    <t>0028-0402</t>
  </si>
  <si>
    <t>Natural History</t>
  </si>
  <si>
    <t>0028-0712</t>
  </si>
  <si>
    <t>Natural Resources Journal</t>
  </si>
  <si>
    <t>0028-0739</t>
  </si>
  <si>
    <t>Nautical Magazine: A Journal…</t>
  </si>
  <si>
    <t>0028-1336</t>
  </si>
  <si>
    <t>Nautilus</t>
  </si>
  <si>
    <t>0028-1344</t>
  </si>
  <si>
    <t>Nebraska Symposium on Motivation</t>
  </si>
  <si>
    <t>0146-7875</t>
  </si>
  <si>
    <t>Negro Educational Review</t>
  </si>
  <si>
    <t>0548-1457</t>
  </si>
  <si>
    <t>Neues Jahrbuch fur Geologie und Palaontologie. Abhandlungen</t>
  </si>
  <si>
    <t>0077-7749</t>
  </si>
  <si>
    <t>Neues Jahrbuch fur Mineralogie. Abhandlungen</t>
  </si>
  <si>
    <t>0077-7757</t>
  </si>
  <si>
    <t>New Directions for Adult and Continuing Education</t>
  </si>
  <si>
    <t>1052-2891</t>
  </si>
  <si>
    <t>New England Journal of Public Policy</t>
  </si>
  <si>
    <t>0749-016X</t>
  </si>
  <si>
    <t>New England Quarterly</t>
  </si>
  <si>
    <t>0028-4866</t>
  </si>
  <si>
    <t>New England Reading Association Journal</t>
  </si>
  <si>
    <t>0028-4882</t>
  </si>
  <si>
    <t>New Hampshire Historical Society Active Membership</t>
  </si>
  <si>
    <t>New Hampshire Historical Society Newsletter</t>
  </si>
  <si>
    <t>New Pittsburgh Courier [microform]</t>
  </si>
  <si>
    <t>1047-806X</t>
  </si>
  <si>
    <t>New Scientist</t>
  </si>
  <si>
    <t>0262-4079</t>
  </si>
  <si>
    <t>New Times</t>
  </si>
  <si>
    <t>0206-1473</t>
  </si>
  <si>
    <t>New York History</t>
  </si>
  <si>
    <t>0146-437X</t>
  </si>
  <si>
    <t>New York Review of Books</t>
  </si>
  <si>
    <t>0028-7504</t>
  </si>
  <si>
    <t>New York State Conservationist</t>
  </si>
  <si>
    <t>0010-650x</t>
  </si>
  <si>
    <t>New York Times (Daily)</t>
  </si>
  <si>
    <t>0362-4331</t>
  </si>
  <si>
    <t>New York Times (MICROFILM)</t>
  </si>
  <si>
    <t>New York Times (Sunday)</t>
  </si>
  <si>
    <t>New York Times Book Review</t>
  </si>
  <si>
    <t>0028-7806</t>
  </si>
  <si>
    <t>New York Times Index</t>
  </si>
  <si>
    <t>0147-538X</t>
  </si>
  <si>
    <t>New York Times Magazine</t>
  </si>
  <si>
    <t>0028-7822</t>
  </si>
  <si>
    <t>New Yorker, The</t>
  </si>
  <si>
    <t>0028-792X</t>
  </si>
  <si>
    <t>New Zealand Journal of Geology &amp; Geophysics</t>
  </si>
  <si>
    <t>0028-8306</t>
  </si>
  <si>
    <t>New Zealand Marine Sciences Society Review</t>
  </si>
  <si>
    <t>0028-842X</t>
  </si>
  <si>
    <t>Newsletter - Society for Nautical Research</t>
  </si>
  <si>
    <t>Newsletter (Music Library Assocation)</t>
  </si>
  <si>
    <t>Newsweek</t>
  </si>
  <si>
    <t>0028-9604</t>
  </si>
  <si>
    <t>Nielsen Media Research Report on Television</t>
  </si>
  <si>
    <t>Nineteenth Century Theatre and Film</t>
  </si>
  <si>
    <t>1748-3727</t>
  </si>
  <si>
    <t>Nonlinearity</t>
  </si>
  <si>
    <t>0951-7715</t>
  </si>
  <si>
    <t>Norsk Geologisk Tidsskrift (Norwegian Journal of Geology)</t>
  </si>
  <si>
    <t>0029-196X</t>
  </si>
  <si>
    <t>Northeastern Geology and Environmental Sciences</t>
  </si>
  <si>
    <t>0194-1453</t>
  </si>
  <si>
    <t>Northern History</t>
  </si>
  <si>
    <t>0078-172X</t>
  </si>
  <si>
    <t>Northwest Review</t>
  </si>
  <si>
    <t>0029-3423</t>
  </si>
  <si>
    <t>0027-4380</t>
  </si>
  <si>
    <t>Notulae Naturae of the Academy of Natural Sciences of P</t>
  </si>
  <si>
    <t>0029-4608</t>
  </si>
  <si>
    <t>Nouvel Observateur, Le</t>
  </si>
  <si>
    <t>0029-4713</t>
  </si>
  <si>
    <t>Nova Hedwigia</t>
  </si>
  <si>
    <t>0029-5035</t>
  </si>
  <si>
    <t>Novon</t>
  </si>
  <si>
    <t>1055-3177</t>
  </si>
  <si>
    <t>Nucleus, The</t>
  </si>
  <si>
    <t>0029-568X</t>
  </si>
  <si>
    <t>Nuovo cimento della Società italiana di fisica. Sezione B</t>
  </si>
  <si>
    <t>0369-3554</t>
  </si>
  <si>
    <t>Nuovo cimento della Società italiana di fisica. Sezione C, Geophysics and space physics</t>
  </si>
  <si>
    <t>1124-1896</t>
  </si>
  <si>
    <t>Nursing Law's Regan Report</t>
  </si>
  <si>
    <t>1528-848X</t>
  </si>
  <si>
    <t>Nursing Law's Regan Report [microfilm]</t>
  </si>
  <si>
    <t>Obstetrics and Gynecology</t>
  </si>
  <si>
    <t>1873-233X</t>
  </si>
  <si>
    <t>Occasional Papers in Eastern Botany</t>
  </si>
  <si>
    <t>Occasional Papers on Mollusks</t>
  </si>
  <si>
    <t>0073-0807</t>
  </si>
  <si>
    <t>Ocean and coastal law journal</t>
  </si>
  <si>
    <t>1073-8843</t>
  </si>
  <si>
    <t>Ocean Yearbook</t>
  </si>
  <si>
    <t>0191-8575</t>
  </si>
  <si>
    <t>Official Museum Directory</t>
  </si>
  <si>
    <t>0090-6700</t>
  </si>
  <si>
    <t>Offshore</t>
  </si>
  <si>
    <t>0030-0608</t>
  </si>
  <si>
    <t>Oikos</t>
  </si>
  <si>
    <t>0030-1299</t>
  </si>
  <si>
    <t>Oil, Gas, Coal and Electricity Quarterly Statistics</t>
  </si>
  <si>
    <t>1025-9988</t>
  </si>
  <si>
    <t>Oktiabr</t>
  </si>
  <si>
    <t>0132-0637</t>
  </si>
  <si>
    <t>Old Farmer's Almanac</t>
  </si>
  <si>
    <t>0078-4516</t>
  </si>
  <si>
    <t>Old-House Journal</t>
  </si>
  <si>
    <t>0094-0178</t>
  </si>
  <si>
    <t>Oncology Nursing Forum</t>
  </si>
  <si>
    <t>0190-535X</t>
  </si>
  <si>
    <t>Online Information Review</t>
  </si>
  <si>
    <t>1468-4527</t>
  </si>
  <si>
    <t>Optical Engineering: The Journal of the Society…</t>
  </si>
  <si>
    <t>0091-3286</t>
  </si>
  <si>
    <t>Organic Reactions</t>
  </si>
  <si>
    <t>0078-6179</t>
  </si>
  <si>
    <t>Organic Synthesis</t>
  </si>
  <si>
    <t>0078-6209</t>
  </si>
  <si>
    <t>Organometallic Chemistry</t>
  </si>
  <si>
    <t>0301-0074</t>
  </si>
  <si>
    <t>Organophosphorus Chemistry</t>
  </si>
  <si>
    <t>0306-0713</t>
  </si>
  <si>
    <t>Pacific Science</t>
  </si>
  <si>
    <t>0030-8870</t>
  </si>
  <si>
    <t>Palaeontographica. Abteilung B: Paläophytologie</t>
  </si>
  <si>
    <t>0375-0299</t>
  </si>
  <si>
    <t>Palaios</t>
  </si>
  <si>
    <t>0883-1351</t>
  </si>
  <si>
    <t>Paleobiology</t>
  </si>
  <si>
    <t>0094-8373</t>
  </si>
  <si>
    <t>Parasite</t>
  </si>
  <si>
    <t>1252-607X</t>
  </si>
  <si>
    <t>Paris Match</t>
  </si>
  <si>
    <t>0397-1635</t>
  </si>
  <si>
    <t>Parks and Recreation</t>
  </si>
  <si>
    <t>0031-2215</t>
  </si>
  <si>
    <t>PDA Journal of Pharmaceutical Science and Technology</t>
  </si>
  <si>
    <t>1079-7440</t>
  </si>
  <si>
    <t>PE&amp;RS : Photogrammetric Engineering &amp; Remote Sensing</t>
  </si>
  <si>
    <t>0099-1112</t>
  </si>
  <si>
    <t>Pediatric Nursing</t>
  </si>
  <si>
    <t>0097-9805</t>
  </si>
  <si>
    <t>Pediatric Research</t>
  </si>
  <si>
    <t>0031-3998</t>
  </si>
  <si>
    <t>Perception</t>
  </si>
  <si>
    <t>0301-0066</t>
  </si>
  <si>
    <t>Persoonia</t>
  </si>
  <si>
    <t>0031-5850</t>
  </si>
  <si>
    <t>Perspecta</t>
  </si>
  <si>
    <t>0079-0958</t>
  </si>
  <si>
    <t>Perspectives in Psychiatric Care</t>
  </si>
  <si>
    <t>0031-5990</t>
  </si>
  <si>
    <t>Pest Management Professional</t>
  </si>
  <si>
    <t>1939-9227</t>
  </si>
  <si>
    <t>Pharmacologist</t>
  </si>
  <si>
    <t>0031-7004</t>
  </si>
  <si>
    <t>Pharmacy Times</t>
  </si>
  <si>
    <t>0003-0627</t>
  </si>
  <si>
    <t>Phi Delta Kappan</t>
  </si>
  <si>
    <t>0031-7217</t>
  </si>
  <si>
    <t xml:space="preserve">Philosophical transactions of the Royal Society of London. Series A: Mathematical, physical, and engineering sciences </t>
  </si>
  <si>
    <t>1364-503X</t>
  </si>
  <si>
    <t>Philosophy Today</t>
  </si>
  <si>
    <t>0031-8256</t>
  </si>
  <si>
    <t>Phykos</t>
  </si>
  <si>
    <t>0554-1182</t>
  </si>
  <si>
    <t>Physics Teacher</t>
  </si>
  <si>
    <t>0031-921X</t>
  </si>
  <si>
    <t>Physiological Reviews</t>
  </si>
  <si>
    <t>0031-9333</t>
  </si>
  <si>
    <t>Physiotherapy Research International</t>
  </si>
  <si>
    <t>1358-2267</t>
  </si>
  <si>
    <t>Phytopathology</t>
  </si>
  <si>
    <t>0031-949X</t>
  </si>
  <si>
    <t>Places</t>
  </si>
  <si>
    <t>0731-0455</t>
  </si>
  <si>
    <t>Plains Anthropological Society Membership</t>
  </si>
  <si>
    <t>Plains Anthropologist</t>
  </si>
  <si>
    <t>0032-0447</t>
  </si>
  <si>
    <t>Planning and Environment Law</t>
  </si>
  <si>
    <t>1548-0755</t>
  </si>
  <si>
    <t>Plant Disease</t>
  </si>
  <si>
    <t>0191-2917</t>
  </si>
  <si>
    <t>Plant Molecular Biology</t>
  </si>
  <si>
    <t>0167-4412</t>
  </si>
  <si>
    <t>Planta Medica Journal of Medicinal Plant Research</t>
  </si>
  <si>
    <t>0032-0943</t>
  </si>
  <si>
    <t>Plants and Gardens News</t>
  </si>
  <si>
    <t>Plants and People</t>
  </si>
  <si>
    <t>Poetry Criticism</t>
  </si>
  <si>
    <t>1052-4851</t>
  </si>
  <si>
    <t>Policy and practice of public human services</t>
  </si>
  <si>
    <t>1520-801X</t>
  </si>
  <si>
    <t>Policy Review</t>
  </si>
  <si>
    <t>0146-5945</t>
  </si>
  <si>
    <t>Polin</t>
  </si>
  <si>
    <t>0268-1056</t>
  </si>
  <si>
    <t>Population and environment</t>
  </si>
  <si>
    <t>0199-0039</t>
  </si>
  <si>
    <t>Portuguese Studies</t>
  </si>
  <si>
    <t>0267-5315</t>
  </si>
  <si>
    <t>Power</t>
  </si>
  <si>
    <t>0032-5929</t>
  </si>
  <si>
    <t>Preservation</t>
  </si>
  <si>
    <t>1090-9931</t>
  </si>
  <si>
    <t>Presidency, The</t>
  </si>
  <si>
    <t>1099-3681</t>
  </si>
  <si>
    <t>Proceedings - Oil Spill Conference, prevention, behavior, control, cleanup</t>
  </si>
  <si>
    <t>0275-1046</t>
  </si>
  <si>
    <t>Proceedings in Marine Science</t>
  </si>
  <si>
    <t>Proceedings of the American Academy of Arts &amp; Letters</t>
  </si>
  <si>
    <t>0145-8493</t>
  </si>
  <si>
    <t>Proceedings of the American Philosophical Society</t>
  </si>
  <si>
    <t>0003-049x</t>
  </si>
  <si>
    <t>Proceedings of the Annual Conf of the Law of the Sea Inst</t>
  </si>
  <si>
    <t>0557-8620</t>
  </si>
  <si>
    <t>Proceedings of the Annual Gulf and Caribbean Fisheries Instit and Annual Intl Game Fish Research Conf</t>
  </si>
  <si>
    <t>0361-2953</t>
  </si>
  <si>
    <t>Proceedings of the Heat Transfer &amp; Fluid Mechanics Institute</t>
  </si>
  <si>
    <t>0097-059X</t>
  </si>
  <si>
    <t>Proceedings, Annual Meeting, New Jersey Mosquito Control Association</t>
  </si>
  <si>
    <t>0198-7267</t>
  </si>
  <si>
    <t>Proceeings of the Annual Meeting of the Northeastern Weed Science Society</t>
  </si>
  <si>
    <t>0078-1703</t>
  </si>
  <si>
    <t>Process Safety Progress</t>
  </si>
  <si>
    <t>1066-8527</t>
  </si>
  <si>
    <t>Profiles of Drug Substances Excipients and Related…</t>
  </si>
  <si>
    <t>0099-5428</t>
  </si>
  <si>
    <t>Program and Abstracts of the Conference on Great Lakes Research</t>
  </si>
  <si>
    <t>1059-7859</t>
  </si>
  <si>
    <t>Progress in Industrial Microbiology</t>
  </si>
  <si>
    <t>0079-6352</t>
  </si>
  <si>
    <t>Progress in Inorganic Chemistry</t>
  </si>
  <si>
    <t>0079-6379</t>
  </si>
  <si>
    <t>Progress in Medicinal Chemistry</t>
  </si>
  <si>
    <t>0079-6468</t>
  </si>
  <si>
    <t>Progress in Nucleic Acid Research</t>
  </si>
  <si>
    <t>0079-6603</t>
  </si>
  <si>
    <t>Prologue: The Journal of the National Archives</t>
  </si>
  <si>
    <t>0033-1031</t>
  </si>
  <si>
    <t>Promotion &amp; Education</t>
  </si>
  <si>
    <t>1025-3823</t>
  </si>
  <si>
    <t>Psychoanalytic Quarterly</t>
  </si>
  <si>
    <t>0033-2828</t>
  </si>
  <si>
    <t>Psychoanalytic Review</t>
  </si>
  <si>
    <t>0033-2836</t>
  </si>
  <si>
    <t>Psychological Reports</t>
  </si>
  <si>
    <t>0033-2941</t>
  </si>
  <si>
    <t>Public Management</t>
  </si>
  <si>
    <t>0033-3611</t>
  </si>
  <si>
    <t>Public Works [City County State]</t>
  </si>
  <si>
    <t>0033-3840</t>
  </si>
  <si>
    <t>Public Works [City County State] [microfilm]</t>
  </si>
  <si>
    <t>Public Works Manual</t>
  </si>
  <si>
    <t>0742-0412</t>
  </si>
  <si>
    <t>Publications of the Carnegie Institution of Washington</t>
  </si>
  <si>
    <t>Pure and Applied Geophysics</t>
  </si>
  <si>
    <t>0033-4553</t>
  </si>
  <si>
    <t>Pushcart Prize</t>
  </si>
  <si>
    <t>0149-7863</t>
  </si>
  <si>
    <t>Quaderni ibero-americani</t>
  </si>
  <si>
    <t>0033-4960</t>
  </si>
  <si>
    <t xml:space="preserve">Quaderni Urbinati di Cultura Classica  </t>
  </si>
  <si>
    <t>0033-4987</t>
  </si>
  <si>
    <t>Quarterly Journal of Engineering Geology and Hydrogeology</t>
  </si>
  <si>
    <t>1470-9236</t>
  </si>
  <si>
    <t>Quarterly Journal of Mechanics &amp; Applied Mathematics</t>
  </si>
  <si>
    <t>0033-5614</t>
  </si>
  <si>
    <t>Quarterly Journal of Speech</t>
  </si>
  <si>
    <t>0033-5630</t>
  </si>
  <si>
    <t>Queen's Quarterly</t>
  </si>
  <si>
    <t>0033-6041</t>
  </si>
  <si>
    <t>Quekett Journal of Microscopy</t>
  </si>
  <si>
    <t>0969-3823</t>
  </si>
  <si>
    <t>Radio Science</t>
  </si>
  <si>
    <t>0048-6604</t>
  </si>
  <si>
    <t>Rand Journal of Economics</t>
  </si>
  <si>
    <t>0741-6261</t>
  </si>
  <si>
    <t>Reader's Guide to Periodical Literature</t>
  </si>
  <si>
    <t>0034-0464</t>
  </si>
  <si>
    <t>Reading Improvement</t>
  </si>
  <si>
    <t>0034-0510</t>
  </si>
  <si>
    <t>Recherche, La</t>
  </si>
  <si>
    <t>0029-5671</t>
  </si>
  <si>
    <t>Red Book: Pharmacy's Fundamental Reference</t>
  </si>
  <si>
    <t>1556-3391</t>
  </si>
  <si>
    <t>Remedial and Special Education</t>
  </si>
  <si>
    <t>0741-9325</t>
  </si>
  <si>
    <t>Ren Min Ri Bao (People's Daily)</t>
  </si>
  <si>
    <t>Renaissance and Reformation</t>
  </si>
  <si>
    <t>0034-429x</t>
  </si>
  <si>
    <t>Report, Audubon Society of America</t>
  </si>
  <si>
    <t>0274-502X</t>
  </si>
  <si>
    <t>Reproduction</t>
  </si>
  <si>
    <t>1470-1626</t>
  </si>
  <si>
    <t>Research and Practice for Persons with Sever Disab.</t>
  </si>
  <si>
    <t>1540-7969</t>
  </si>
  <si>
    <t>Research Communications in Molecular Pathology and P…</t>
  </si>
  <si>
    <t>1078-0297</t>
  </si>
  <si>
    <t>Research in Organizational Behavior</t>
  </si>
  <si>
    <t>0191-3085</t>
  </si>
  <si>
    <t>Research in Philosophy &amp; Technology</t>
  </si>
  <si>
    <t>0161-7249</t>
  </si>
  <si>
    <t>Research Quarterly for Exercise and Sport</t>
  </si>
  <si>
    <t>0270-1367</t>
  </si>
  <si>
    <t>Restaurator</t>
  </si>
  <si>
    <t>0034-5806</t>
  </si>
  <si>
    <t>Review of Economics and Statistics</t>
  </si>
  <si>
    <t>0034-6535</t>
  </si>
  <si>
    <t>Review of Educational Research</t>
  </si>
  <si>
    <t>0034-6543</t>
  </si>
  <si>
    <t>Review of Natural Products</t>
  </si>
  <si>
    <t>1089-5302</t>
  </si>
  <si>
    <t>Reviews in Fisheries Science</t>
  </si>
  <si>
    <t>1064-1262</t>
  </si>
  <si>
    <t>Reviews in Inorganic Chemistry</t>
  </si>
  <si>
    <t>0193-4929</t>
  </si>
  <si>
    <t>Reviews of Environmental Contamination and Toxicology</t>
  </si>
  <si>
    <t>0179-5953</t>
  </si>
  <si>
    <t>Revista de Historia de America</t>
  </si>
  <si>
    <t>0034-8325</t>
  </si>
  <si>
    <t>Revista de Occidente</t>
  </si>
  <si>
    <t>0034-8635</t>
  </si>
  <si>
    <t>Revista Espanola de Micropaleontology</t>
  </si>
  <si>
    <t>0556-655X</t>
  </si>
  <si>
    <t>Rhode Island Business-to-Business Sales &amp; Marketing D</t>
  </si>
  <si>
    <t>1048-7166</t>
  </si>
  <si>
    <t>Rhodora</t>
  </si>
  <si>
    <t>0035-4902</t>
  </si>
  <si>
    <t>RILM Abstracts of Music Literature</t>
  </si>
  <si>
    <t>0033-6955</t>
  </si>
  <si>
    <t>Romanic Review</t>
  </si>
  <si>
    <t>0035-8118</t>
  </si>
  <si>
    <t>Romanische Forschungen</t>
  </si>
  <si>
    <t>0035-8126</t>
  </si>
  <si>
    <t>Rural Sociology</t>
  </si>
  <si>
    <t>0036-0112</t>
  </si>
  <si>
    <t>Russian Journal of Marine Biology</t>
  </si>
  <si>
    <t>1063-0740</t>
  </si>
  <si>
    <t>S.A.E. Transactions</t>
  </si>
  <si>
    <t>0096-736X</t>
  </si>
  <si>
    <t>S.A.M. Advanced Management Journal</t>
  </si>
  <si>
    <t>0749-7075</t>
  </si>
  <si>
    <t>Sales &amp; Marketing Management</t>
  </si>
  <si>
    <t>0163-7517</t>
  </si>
  <si>
    <t>School Science and Mathematics</t>
  </si>
  <si>
    <t>0036-6803</t>
  </si>
  <si>
    <t>Science Books and Films</t>
  </si>
  <si>
    <t>0098-342X</t>
  </si>
  <si>
    <t>Science-Fiction Studies</t>
  </si>
  <si>
    <t>0091-7729</t>
  </si>
  <si>
    <t>Scientific American</t>
  </si>
  <si>
    <t>0036-8733</t>
  </si>
  <si>
    <t>Sea Technology</t>
  </si>
  <si>
    <t>0093-3651</t>
  </si>
  <si>
    <t>Seed World</t>
  </si>
  <si>
    <t>0037-0797</t>
  </si>
  <si>
    <t>Sexually Transmitted Diseases</t>
  </si>
  <si>
    <t>0148-5717</t>
  </si>
  <si>
    <t>Shepards United States Citations</t>
  </si>
  <si>
    <t>Short Story Criticism</t>
  </si>
  <si>
    <t>0895-9439</t>
  </si>
  <si>
    <t>Short Story Index</t>
  </si>
  <si>
    <t>0360-9774</t>
  </si>
  <si>
    <t>Shukan Asahi</t>
  </si>
  <si>
    <t>Sight and Sound</t>
  </si>
  <si>
    <t>0037-4806</t>
  </si>
  <si>
    <t>Sixteenth Century Journal</t>
  </si>
  <si>
    <t>0361-0160</t>
  </si>
  <si>
    <t>Sky and Telescope</t>
  </si>
  <si>
    <t>0037-6604</t>
  </si>
  <si>
    <t>Slavic and East European Journal</t>
  </si>
  <si>
    <t>0037-6752</t>
  </si>
  <si>
    <t>Slavic Review</t>
  </si>
  <si>
    <t>0037-6779</t>
  </si>
  <si>
    <t>Social Behavior and Personality</t>
  </si>
  <si>
    <t>0301-2212</t>
  </si>
  <si>
    <t>Social Biology</t>
  </si>
  <si>
    <t>0037-766X</t>
  </si>
  <si>
    <t>Social Indicators Research</t>
  </si>
  <si>
    <t>0303-8300</t>
  </si>
  <si>
    <t>Social Sciences Index</t>
  </si>
  <si>
    <t>0094-4920</t>
  </si>
  <si>
    <t>Society for Nautical Research Membership</t>
  </si>
  <si>
    <t>Society for the Study of Midwestern Literature Membership</t>
  </si>
  <si>
    <t>Southeastern Geology</t>
  </si>
  <si>
    <t>0038-3678</t>
  </si>
  <si>
    <t>Southern Economic Journal</t>
  </si>
  <si>
    <t>0038-4038</t>
  </si>
  <si>
    <t>Spec Kit</t>
  </si>
  <si>
    <t>0160-3582</t>
  </si>
  <si>
    <t>Special Publication / Cushman Foundation for Foramineral Research</t>
  </si>
  <si>
    <t>0070-2242</t>
  </si>
  <si>
    <t>Special Publications / American Littoral Society</t>
  </si>
  <si>
    <t>0065-9150</t>
  </si>
  <si>
    <t>Spectator</t>
  </si>
  <si>
    <t>0038-6952</t>
  </si>
  <si>
    <t>Spectator [microfilm]</t>
  </si>
  <si>
    <t>Spectrum</t>
  </si>
  <si>
    <t>0038-7061</t>
  </si>
  <si>
    <t>Spiegle, Der</t>
  </si>
  <si>
    <t>0038-7452</t>
  </si>
  <si>
    <t>Sport Psychologist</t>
  </si>
  <si>
    <t>0888-4781</t>
  </si>
  <si>
    <t>Stampa, La</t>
  </si>
  <si>
    <t>1122-1763</t>
  </si>
  <si>
    <t>Standard &amp; Poor's Analyst's Handbook</t>
  </si>
  <si>
    <t>Standard &amp; Poor's Industry Surveys</t>
  </si>
  <si>
    <t>0196-4666</t>
  </si>
  <si>
    <t>Standard &amp; Poor's Register of Corporations</t>
  </si>
  <si>
    <t>0361-3623</t>
  </si>
  <si>
    <t>Standard &amp; Poor's Statistical Service</t>
  </si>
  <si>
    <t>0517-820x</t>
  </si>
  <si>
    <t>Standard &amp; Poor's Stock Reports (Quarterly Bound)</t>
  </si>
  <si>
    <t>Standard Methods for the Examination of Water &amp; Wastewater</t>
  </si>
  <si>
    <t>8755-3546</t>
  </si>
  <si>
    <t>State Yellow Book</t>
  </si>
  <si>
    <t>0899-2207</t>
  </si>
  <si>
    <t>Stratiegies</t>
  </si>
  <si>
    <t>0982-4562</t>
  </si>
  <si>
    <t>Stratigraphy</t>
  </si>
  <si>
    <t>1547-139X</t>
  </si>
  <si>
    <t>Structurist</t>
  </si>
  <si>
    <t>0081-6027</t>
  </si>
  <si>
    <t>Studi Veneziani</t>
  </si>
  <si>
    <t>0392-0437</t>
  </si>
  <si>
    <t>Studies in Art Education</t>
  </si>
  <si>
    <t>0039-3541</t>
  </si>
  <si>
    <t>Studies in Avian Biology</t>
  </si>
  <si>
    <t>0197-9922</t>
  </si>
  <si>
    <t>Studies in Romanticism</t>
  </si>
  <si>
    <t>0039-3762</t>
  </si>
  <si>
    <t>Studies in Short Fiction</t>
  </si>
  <si>
    <t>0039-3789</t>
  </si>
  <si>
    <t>Suicide &amp; Life-Threatening Behavior</t>
  </si>
  <si>
    <t>0363-0234</t>
  </si>
  <si>
    <t>Surveys in Geophysics</t>
  </si>
  <si>
    <t>0169-3298</t>
  </si>
  <si>
    <t>Swiss Journal of Geosciences</t>
  </si>
  <si>
    <t>1661-8726</t>
  </si>
  <si>
    <t>Symbiosis</t>
  </si>
  <si>
    <t>0334-5114</t>
  </si>
  <si>
    <t>Synthesis</t>
  </si>
  <si>
    <t>0039-7881</t>
  </si>
  <si>
    <t>Systems Research and Behavioral Science</t>
  </si>
  <si>
    <t>1092-7026</t>
  </si>
  <si>
    <t>TASH Connections</t>
  </si>
  <si>
    <t>TASH Membership</t>
  </si>
  <si>
    <t>TCE: The Chemical Engineer</t>
  </si>
  <si>
    <t>0302-0797</t>
  </si>
  <si>
    <t>Teaching Exceptional Children</t>
  </si>
  <si>
    <t>0040-0599</t>
  </si>
  <si>
    <t>Technicalities</t>
  </si>
  <si>
    <t>0272-0884</t>
  </si>
  <si>
    <t>Technometrics</t>
  </si>
  <si>
    <t>0040-1706</t>
  </si>
  <si>
    <t>Tectonics</t>
  </si>
  <si>
    <t>0278-7407</t>
  </si>
  <si>
    <t>Television &amp; Cable Factbook</t>
  </si>
  <si>
    <t>0732-8648</t>
  </si>
  <si>
    <t>Theatre Notebook</t>
  </si>
  <si>
    <t>0040-5523</t>
  </si>
  <si>
    <t>Theoretical and Applied Genetics</t>
  </si>
  <si>
    <t>0040-5752</t>
  </si>
  <si>
    <t>Thomist</t>
  </si>
  <si>
    <t>0040-6325</t>
  </si>
  <si>
    <t>Time</t>
  </si>
  <si>
    <t>0040-781X</t>
  </si>
  <si>
    <t>Times of India</t>
  </si>
  <si>
    <t>Topics in Stereochemistry</t>
  </si>
  <si>
    <t>0082-500X</t>
  </si>
  <si>
    <t>Town and Country Planning</t>
  </si>
  <si>
    <t>0040-9960</t>
  </si>
  <si>
    <t>Traditio</t>
  </si>
  <si>
    <t>0362-1529</t>
  </si>
  <si>
    <t>Transactions -- the Society of Naval Architects and Marine Engineers</t>
  </si>
  <si>
    <t>0081-1661</t>
  </si>
  <si>
    <t>OCEP</t>
  </si>
  <si>
    <t>Transactions of the American Entomological Society</t>
  </si>
  <si>
    <t>0002-8320</t>
  </si>
  <si>
    <t>Transactions of the American Philosophical Society</t>
  </si>
  <si>
    <t>0065-9746</t>
  </si>
  <si>
    <t>Transactions of the Canadian Soc for Mechanical Eng</t>
  </si>
  <si>
    <t>0315-8977</t>
  </si>
  <si>
    <t>Transactions of the North American Wildlife and Natural Resources Conference</t>
  </si>
  <si>
    <t>0078-1355</t>
  </si>
  <si>
    <t>Transport : international transport treaties</t>
  </si>
  <si>
    <t>Tribology &amp; Lubrication Technology [microfilm]</t>
  </si>
  <si>
    <t>1545-858X</t>
  </si>
  <si>
    <t>U.S. News &amp; World Report</t>
  </si>
  <si>
    <t>0041-5537</t>
  </si>
  <si>
    <t>Underwater Naturalist</t>
  </si>
  <si>
    <t>0041-6606</t>
  </si>
  <si>
    <t>Union Membership and Earnings Databook</t>
  </si>
  <si>
    <t>1087-8629</t>
  </si>
  <si>
    <t>United States Banker</t>
  </si>
  <si>
    <t>0148-8848</t>
  </si>
  <si>
    <t>Urban Lawyer</t>
  </si>
  <si>
    <t>0042-0905</t>
  </si>
  <si>
    <t>Urblan Land [microfilm]</t>
  </si>
  <si>
    <t>0042-0891</t>
  </si>
  <si>
    <t>Value Line Investment Survey</t>
  </si>
  <si>
    <t>0042-2401</t>
  </si>
  <si>
    <t>Veliger</t>
  </si>
  <si>
    <t>0042-3211</t>
  </si>
  <si>
    <t>Verhandlungen Des Bundesrates. Stenographische Berichte</t>
  </si>
  <si>
    <t>0720-7999</t>
  </si>
  <si>
    <t>Veterinary Clinics of North America - Small Animal Practice</t>
  </si>
  <si>
    <t>0195-5616</t>
  </si>
  <si>
    <t>Veterinary Medicine</t>
  </si>
  <si>
    <t>8750-7943</t>
  </si>
  <si>
    <t xml:space="preserve">Veterinary Record  </t>
  </si>
  <si>
    <t>0042-4900</t>
  </si>
  <si>
    <t>Veterinary Record C-W In Practice</t>
  </si>
  <si>
    <t>Victorian Newsletter</t>
  </si>
  <si>
    <t>0042-5192</t>
  </si>
  <si>
    <t>Videography</t>
  </si>
  <si>
    <t>0363-1001</t>
  </si>
  <si>
    <t>Volta Review</t>
  </si>
  <si>
    <t>0042-8639</t>
  </si>
  <si>
    <t>Volta Voices</t>
  </si>
  <si>
    <t>1074-8016</t>
  </si>
  <si>
    <t xml:space="preserve">Voprosty Istorri </t>
  </si>
  <si>
    <t>0042-8779</t>
  </si>
  <si>
    <t>Wall Street Journal (MICROFILM)</t>
  </si>
  <si>
    <t>0099-9660</t>
  </si>
  <si>
    <t>Wall Street Journal Index</t>
  </si>
  <si>
    <t>1042-9840</t>
  </si>
  <si>
    <t>Washington University Journal of Law and Policy</t>
  </si>
  <si>
    <t>1533-4686</t>
  </si>
  <si>
    <t>Weather and Forecasting</t>
  </si>
  <si>
    <t>0882-8156</t>
  </si>
  <si>
    <t>Welding Journal</t>
  </si>
  <si>
    <t>0043-2296</t>
  </si>
  <si>
    <t>Welding Journal [microfilm]</t>
  </si>
  <si>
    <t>Wellness Foods</t>
  </si>
  <si>
    <t>1545-6366</t>
  </si>
  <si>
    <t>West Coast Line</t>
  </si>
  <si>
    <t>0043-311X</t>
  </si>
  <si>
    <t>Western American Literature</t>
  </si>
  <si>
    <t>0043-3462</t>
  </si>
  <si>
    <t>Wetlands: The Journal of the Society of the Wetlands Scientists</t>
  </si>
  <si>
    <t>0277-5212</t>
  </si>
  <si>
    <t>Wildlife Monographs Online</t>
  </si>
  <si>
    <t>0084-0173</t>
  </si>
  <si>
    <t>Women Studies Abstracts</t>
  </si>
  <si>
    <t>0049-7835</t>
  </si>
  <si>
    <t>World Almanac and Book of Facts</t>
  </si>
  <si>
    <t>0084-1382</t>
  </si>
  <si>
    <t>World Chamber of Commerce Directory</t>
  </si>
  <si>
    <t>1048-2849</t>
  </si>
  <si>
    <t>World Economic Outlook</t>
  </si>
  <si>
    <t>0256-6877</t>
  </si>
  <si>
    <t>World Fishing</t>
  </si>
  <si>
    <t>0043-8480</t>
  </si>
  <si>
    <t>World Textile Abstracts</t>
  </si>
  <si>
    <t>0043-9118</t>
  </si>
  <si>
    <t>Wyoming Law Review</t>
  </si>
  <si>
    <t>Yale University Art Gallery Bulletin</t>
  </si>
  <si>
    <t>0084-3539</t>
  </si>
  <si>
    <t>Yankee</t>
  </si>
  <si>
    <t>0044-0191</t>
  </si>
  <si>
    <t>Year Book of Medicine</t>
  </si>
  <si>
    <t>0084-3873</t>
  </si>
  <si>
    <t>Year Book of Pediatrics</t>
  </si>
  <si>
    <t>0084-3954</t>
  </si>
  <si>
    <t>Yearbook of Comparative and General Literature</t>
  </si>
  <si>
    <t>0084-3695</t>
  </si>
  <si>
    <t>Yearbook of International Organizations</t>
  </si>
  <si>
    <t>0084-3814</t>
  </si>
  <si>
    <t>Zeitschrift für Deutsches Altertum und Deutsche Literatur</t>
  </si>
  <si>
    <t>0044-2518</t>
  </si>
  <si>
    <t>Zeitschrift fur franzosische Sprache und Literatur</t>
  </si>
  <si>
    <t>0044-2747</t>
  </si>
  <si>
    <t>Zeitschrift für Naturforschung. A, A journal of physical sciences</t>
  </si>
  <si>
    <t>0932-0784</t>
  </si>
  <si>
    <t>Zoning and Planning Law Handbook</t>
  </si>
  <si>
    <t>0731-5791</t>
  </si>
  <si>
    <t>Zoning Bulletin</t>
  </si>
  <si>
    <t>0514-7905</t>
  </si>
  <si>
    <t>SUM</t>
  </si>
  <si>
    <t>AVERAGE</t>
  </si>
  <si>
    <t>2009 Serials Cut Statistics</t>
  </si>
  <si>
    <t>Last updated: 11/12/2008</t>
  </si>
  <si>
    <t>Total canceled</t>
  </si>
  <si>
    <t>titles cut</t>
  </si>
  <si>
    <t>% of titles cut</t>
  </si>
  <si>
    <t>$$ cut</t>
  </si>
  <si>
    <t>% of $$ cut</t>
  </si>
  <si>
    <t>By format</t>
  </si>
  <si>
    <t>Mform</t>
  </si>
  <si>
    <t>By vendor</t>
  </si>
  <si>
    <t>ProQuest (mform+indexes)</t>
  </si>
  <si>
    <t>Thomson West</t>
  </si>
  <si>
    <t>H.W. Wilson</t>
  </si>
  <si>
    <t>National Archive (mform)</t>
  </si>
  <si>
    <t>HELIN</t>
  </si>
  <si>
    <t>By publisher</t>
  </si>
  <si>
    <t>Wiley Blackwell</t>
  </si>
  <si>
    <t>By fund</t>
  </si>
  <si>
    <t>Titles</t>
  </si>
  <si>
    <t>% of all titles cut</t>
  </si>
  <si>
    <t>Amount cut</t>
  </si>
  <si>
    <t>% of total amount cut</t>
  </si>
  <si>
    <t>% of fund's own FY08 expenditure</t>
  </si>
  <si>
    <t>* Includes titles moved to endowment.</t>
  </si>
  <si>
    <r>
      <t>Congressional Staff Directory (</t>
    </r>
    <r>
      <rPr>
        <sz val="11"/>
        <color indexed="10"/>
        <rFont val="Calibri"/>
        <family val="2"/>
        <scheme val="minor"/>
      </rPr>
      <t>2 copies canceled</t>
    </r>
    <r>
      <rPr>
        <sz val="11"/>
        <rFont val="Calibri"/>
        <family val="2"/>
        <scheme val="minor"/>
      </rPr>
      <t>)</t>
    </r>
  </si>
  <si>
    <t>BUSP*</t>
  </si>
  <si>
    <t>MTHP**</t>
  </si>
  <si>
    <t>** Other titles were moved to endowment, so actual cut from library budget was 36.5%</t>
  </si>
  <si>
    <t>Reference Databases</t>
  </si>
  <si>
    <t>Total monographs</t>
  </si>
  <si>
    <t>Firm orders</t>
  </si>
  <si>
    <t>Packages of Serials Subscribed FY09</t>
  </si>
  <si>
    <t>Kingston endowments</t>
  </si>
  <si>
    <t>Reference databases</t>
  </si>
  <si>
    <t>Standing orders</t>
  </si>
  <si>
    <t>Approval Plan</t>
  </si>
  <si>
    <t>Total subscriptions</t>
  </si>
  <si>
    <t>Print</t>
  </si>
  <si>
    <t>Microfilm</t>
  </si>
  <si>
    <t>One-time serial purchases</t>
  </si>
  <si>
    <t>Backfiles</t>
  </si>
  <si>
    <t>Grand total</t>
  </si>
  <si>
    <t>E-journal packages</t>
  </si>
  <si>
    <t>Individual e-journals</t>
  </si>
  <si>
    <t>Kingston journals &amp; magazines</t>
  </si>
  <si>
    <t>Kingston newspapers</t>
  </si>
  <si>
    <t>APS All Online (American Physical Society)</t>
  </si>
  <si>
    <t>http://librarians.aps.org/institutional.html</t>
  </si>
  <si>
    <t>FY09 Price</t>
  </si>
  <si>
    <t>ASCE Combination (American Society of Civil Engineers)</t>
  </si>
  <si>
    <t>ASME Transactions Package 2 (American Society of Mechanical Engineers Transactions)</t>
  </si>
  <si>
    <t>http://www.asme.org/Publications/Journals/Subscriptions/Discount_Packages.cfm</t>
  </si>
  <si>
    <t>http://aaahq.org/pubs.cfm</t>
  </si>
  <si>
    <t>PsycARTICLES (EBSCO)</t>
  </si>
  <si>
    <t>Serials Solutions Client Center overlap analysis</t>
  </si>
  <si>
    <t>http://www.rsc.org/Publishing/librarians/ourproducts.asp</t>
  </si>
  <si>
    <t>Sage Premier 2009</t>
  </si>
  <si>
    <t>http://www.sagepub.com/librarians/purchase_consortia.sp</t>
  </si>
  <si>
    <t>http://www.wiley-vch.de/pdf/Wiley_Pricelist_2009.pdf</t>
  </si>
  <si>
    <t>Brill Journals Package (NERL)</t>
  </si>
  <si>
    <t>Software**</t>
  </si>
  <si>
    <t>Access fees to purchased content*</t>
  </si>
  <si>
    <t>FY08 Price</t>
  </si>
  <si>
    <t>Biological Abstracts / BIOSIS Previews</t>
  </si>
  <si>
    <t>Academic Search Complete</t>
  </si>
  <si>
    <t>Statewide</t>
  </si>
  <si>
    <t>ARBA Online</t>
  </si>
  <si>
    <t>Greenwood</t>
  </si>
  <si>
    <t>Bibliography &amp; Index of Micropaleontology</t>
  </si>
  <si>
    <t>BIM</t>
  </si>
  <si>
    <t>Classification Web</t>
  </si>
  <si>
    <t>LC</t>
  </si>
  <si>
    <t>Doody's Core Titles in the Health Sciences</t>
  </si>
  <si>
    <t>Doody's</t>
  </si>
  <si>
    <t>Direct</t>
  </si>
  <si>
    <t>ComDisDome</t>
  </si>
  <si>
    <t>CSA =&gt; EBSCOhost</t>
  </si>
  <si>
    <t>CQ Researcher</t>
  </si>
  <si>
    <t>CQ</t>
  </si>
  <si>
    <t>Dissertations &amp; Theses</t>
  </si>
  <si>
    <t>Dissertations &amp; Theses @ University of Rhode Island</t>
  </si>
  <si>
    <t>Education Full Text</t>
  </si>
  <si>
    <t>Guide to Computing Literature</t>
  </si>
  <si>
    <t>ACM</t>
  </si>
  <si>
    <t>GeoRef In Process</t>
  </si>
  <si>
    <t>GreenFILE</t>
  </si>
  <si>
    <t>WilsonWeb</t>
  </si>
  <si>
    <t>HealthSource: Nursing/Academic Edition</t>
  </si>
  <si>
    <t>HeritageQuest Online</t>
  </si>
  <si>
    <t>History Reference Center</t>
  </si>
  <si>
    <t>Oxford Grove Music Online</t>
  </si>
  <si>
    <t>Homeland Security Digital Library</t>
  </si>
  <si>
    <t>HSDL</t>
  </si>
  <si>
    <t>GPO</t>
  </si>
  <si>
    <t>ICPSR Direct</t>
  </si>
  <si>
    <t>ICPSR</t>
  </si>
  <si>
    <t>LexisNexis Congressional (with indexes)</t>
  </si>
  <si>
    <t>LISTA</t>
  </si>
  <si>
    <t>MasterFILE Premier</t>
  </si>
  <si>
    <t>OVID</t>
  </si>
  <si>
    <t>Mental Measurements Yearbook</t>
  </si>
  <si>
    <t>Middle Search Plus</t>
  </si>
  <si>
    <t>Harmonie =&gt; EBSCOhost</t>
  </si>
  <si>
    <t>MINABS</t>
  </si>
  <si>
    <t>National Climatic Data Center</t>
  </si>
  <si>
    <t>NCDC</t>
  </si>
  <si>
    <t>Lexi-Comp Online</t>
  </si>
  <si>
    <t>Lexi-Comp</t>
  </si>
  <si>
    <t>Turfgrass Information Center</t>
  </si>
  <si>
    <t>TGIF</t>
  </si>
  <si>
    <t>U.S.A. Trade Online</t>
  </si>
  <si>
    <t>UTO</t>
  </si>
  <si>
    <t>R.I.A. Checkpoint</t>
  </si>
  <si>
    <t>RIA</t>
  </si>
  <si>
    <t>STAT-USA</t>
  </si>
  <si>
    <t>PubMed</t>
  </si>
  <si>
    <t>NLM</t>
  </si>
  <si>
    <t>SPIN (InfoEd)</t>
  </si>
  <si>
    <t>SPIN</t>
  </si>
  <si>
    <t>NTIS</t>
  </si>
  <si>
    <t>NTIS/GPO Depository Access to Reports, Technical &amp; Scientific (DARTS)</t>
  </si>
  <si>
    <t>WorldCat Quick Start</t>
  </si>
  <si>
    <t>TOPICsearch</t>
  </si>
  <si>
    <t>Regional Business News</t>
  </si>
  <si>
    <t>Estimated Expenditures by Format FY09</t>
  </si>
  <si>
    <t>% of category</t>
  </si>
  <si>
    <t>Expenditures for Year's Content, FY08 and FY09</t>
  </si>
  <si>
    <t>Serials</t>
  </si>
  <si>
    <t xml:space="preserve">Pell </t>
  </si>
  <si>
    <t xml:space="preserve">CCE </t>
  </si>
  <si>
    <t>MONOGRAPHS</t>
  </si>
  <si>
    <t>Kingston firm</t>
  </si>
  <si>
    <t>Kingston standing</t>
  </si>
  <si>
    <t>Kingston approval</t>
  </si>
  <si>
    <t>FY10</t>
  </si>
  <si>
    <t>SERIALS</t>
  </si>
  <si>
    <t>FY09 expenditues plus 5%</t>
  </si>
  <si>
    <t>FY09 expenditures plus 5%</t>
  </si>
  <si>
    <t>Endowment accommodation</t>
  </si>
  <si>
    <t>HELIN reconciliation</t>
  </si>
  <si>
    <t>HELIN prepay for FY11</t>
  </si>
  <si>
    <t>FY09 expenditures less 20,000 for AGU titles going to PEEP, then plus 5%</t>
  </si>
  <si>
    <t>PELL</t>
  </si>
  <si>
    <t>Other vendors</t>
  </si>
  <si>
    <t>HELIN Big Invoice</t>
  </si>
  <si>
    <t>HELIN membership</t>
  </si>
  <si>
    <t>Estimated</t>
  </si>
  <si>
    <t>Actual</t>
  </si>
  <si>
    <t>FY09 expenditures plus 5%, plus additional $21,730 for Pell AGU online</t>
  </si>
  <si>
    <t>FY09 expenditures, assuming we will have no endowment income.</t>
  </si>
  <si>
    <t>FY09 expenditures plus 5% and we need to accommodate $20K of endowment spending for next year, assuming we will have no endowment income.</t>
  </si>
  <si>
    <t>Estimated Materials Expenditures for FY10</t>
  </si>
  <si>
    <t>SERIALS SUBTOTAL</t>
  </si>
  <si>
    <t>FY2010</t>
  </si>
  <si>
    <t>MONOGRAPHS SUBTOTAL</t>
  </si>
  <si>
    <t>KINGSTON</t>
  </si>
  <si>
    <t>KINGSTON TOTAL</t>
  </si>
  <si>
    <t>CCE TOTAL</t>
  </si>
  <si>
    <t>PELL TOTAL</t>
  </si>
  <si>
    <t>GRAND TOTAL</t>
  </si>
  <si>
    <t>Strand ships $12,000 each month, for $144,000 each year. As of the beginning of FY10, we had $145,148.70 on deposit with Strand. So ideally, at the end of FY10, we'd deposit another $144,000 with Strand.</t>
  </si>
  <si>
    <r>
      <t xml:space="preserve">Number of serial titles currently </t>
    </r>
    <r>
      <rPr>
        <u/>
        <sz val="11"/>
        <rFont val="Calibri"/>
        <family val="2"/>
        <scheme val="minor"/>
      </rPr>
      <t>purchased</t>
    </r>
    <r>
      <rPr>
        <sz val="11"/>
        <rFont val="Calibri"/>
        <family val="2"/>
        <scheme val="minor"/>
      </rPr>
      <t xml:space="preserve"> (4.a.i. + 4.a.ii)</t>
    </r>
  </si>
  <si>
    <t>Total FY09</t>
  </si>
  <si>
    <t>HELIN membership dues.</t>
  </si>
  <si>
    <t xml:space="preserve">HELIN + NELINET + MARCIVE fees. </t>
  </si>
  <si>
    <t>NCES (IPEDS) Academic Libraries Survey. Library expenditures, FY 2009</t>
  </si>
  <si>
    <t>All branches. Includes endowment. Does not include one-time back files or software.</t>
  </si>
  <si>
    <t>Online is 436. See Govt. Pubs. For hard copy</t>
  </si>
  <si>
    <t>Only online govt. pubs.</t>
  </si>
  <si>
    <t>Serials Expenditures by Location FY08 and FY09, Kingston</t>
  </si>
  <si>
    <t>Total Serials Expenditures, All Libraries, FY09, Compared to Allocations</t>
  </si>
  <si>
    <t>Serials Count by Location FY09</t>
  </si>
  <si>
    <t>Record count</t>
  </si>
  <si>
    <t>rinb</t>
  </si>
  <si>
    <t>PELL Narr Bay</t>
  </si>
  <si>
    <t>rinc</t>
  </si>
  <si>
    <t>PELL Challenger Rm</t>
  </si>
  <si>
    <t>ring</t>
  </si>
  <si>
    <t>PELL GSO Arch</t>
  </si>
  <si>
    <t>rini</t>
  </si>
  <si>
    <t>PELL Index</t>
  </si>
  <si>
    <t>rinj</t>
  </si>
  <si>
    <t>PELL Current Period. Rm</t>
  </si>
  <si>
    <t>rinl</t>
  </si>
  <si>
    <t>PELL Newsletter</t>
  </si>
  <si>
    <t>rinn</t>
  </si>
  <si>
    <t>rinp</t>
  </si>
  <si>
    <t>PELL Serial Stacks</t>
  </si>
  <si>
    <t>rinr</t>
  </si>
  <si>
    <t>PELL Reference</t>
  </si>
  <si>
    <t>rinv</t>
  </si>
  <si>
    <t>PELL Video</t>
  </si>
  <si>
    <t>rinw</t>
  </si>
  <si>
    <t>PELL E-Resource</t>
  </si>
  <si>
    <t>rinxd</t>
  </si>
  <si>
    <t>Pell DVD</t>
  </si>
  <si>
    <t>rinxx</t>
  </si>
  <si>
    <t>PELL CD ROM</t>
  </si>
  <si>
    <t>riny</t>
  </si>
  <si>
    <t>riu</t>
  </si>
  <si>
    <t>riu1e</t>
  </si>
  <si>
    <t>URI e-resource</t>
  </si>
  <si>
    <t>riua</t>
  </si>
  <si>
    <t>URI Archives</t>
  </si>
  <si>
    <t>riuf</t>
  </si>
  <si>
    <t>URI Reference</t>
  </si>
  <si>
    <t>riuf1</t>
  </si>
  <si>
    <t>URI Reference Desk</t>
  </si>
  <si>
    <t>riuf3</t>
  </si>
  <si>
    <t>URI REF NAT'L BIBL.</t>
  </si>
  <si>
    <t>riuf4</t>
  </si>
  <si>
    <t>URI REF INDEX</t>
  </si>
  <si>
    <t>riufg</t>
  </si>
  <si>
    <t>riug</t>
  </si>
  <si>
    <t xml:space="preserve">URI Govt Pub </t>
  </si>
  <si>
    <t>riug9</t>
  </si>
  <si>
    <t>URI Govt Pub</t>
  </si>
  <si>
    <t>riuge</t>
  </si>
  <si>
    <t>URI Gov Pub CD</t>
  </si>
  <si>
    <t>riugm</t>
  </si>
  <si>
    <t>URI Govt Pub Microform</t>
  </si>
  <si>
    <t>riugn</t>
  </si>
  <si>
    <t>riugr</t>
  </si>
  <si>
    <t>URI Govt Pub Reference</t>
  </si>
  <si>
    <t>riugs</t>
  </si>
  <si>
    <t>URI Govt. Pubs Office</t>
  </si>
  <si>
    <t>riui</t>
  </si>
  <si>
    <t>URI RI Collection</t>
  </si>
  <si>
    <t>rium2</t>
  </si>
  <si>
    <t>URI Mform Area/Sect.2</t>
  </si>
  <si>
    <t>rium3</t>
  </si>
  <si>
    <t>URI Mform Area/Sect.3</t>
  </si>
  <si>
    <t>riupd</t>
  </si>
  <si>
    <t>URI Mezzanine</t>
  </si>
  <si>
    <t>riupg</t>
  </si>
  <si>
    <t>riur</t>
  </si>
  <si>
    <t>URI Rare Books</t>
  </si>
  <si>
    <t>riurm</t>
  </si>
  <si>
    <t>URI Merrymount</t>
  </si>
  <si>
    <t>riurp</t>
  </si>
  <si>
    <t>URI Comm. Pattern Archive</t>
  </si>
  <si>
    <t>riurz</t>
  </si>
  <si>
    <t>URI Pound Collection</t>
  </si>
  <si>
    <t>riusg</t>
  </si>
  <si>
    <t>riut</t>
  </si>
  <si>
    <t>URI State Pub</t>
  </si>
  <si>
    <t>riutr</t>
  </si>
  <si>
    <t>URI State Pub Reference</t>
  </si>
  <si>
    <t>riuu</t>
  </si>
  <si>
    <t>riuw</t>
  </si>
  <si>
    <t>URI Whitman Collection</t>
  </si>
  <si>
    <t>rixi</t>
  </si>
  <si>
    <t>CCE Index</t>
  </si>
  <si>
    <t>rixn</t>
  </si>
  <si>
    <t>CCE Newspaper Area</t>
  </si>
  <si>
    <t>rixp</t>
  </si>
  <si>
    <t>CCE Periodical Collection</t>
  </si>
  <si>
    <t>rixr</t>
  </si>
  <si>
    <t>CCE Reference</t>
  </si>
  <si>
    <t>rixx</t>
  </si>
  <si>
    <t>CCE Main Collection</t>
  </si>
  <si>
    <t>% of total FY09</t>
  </si>
</sst>
</file>

<file path=xl/styles.xml><?xml version="1.0" encoding="utf-8"?>
<styleSheet xmlns="http://schemas.openxmlformats.org/spreadsheetml/2006/main">
  <numFmts count="5">
    <numFmt numFmtId="6" formatCode="&quot;$&quot;#,##0_);[Red]\(&quot;$&quot;#,##0\)"/>
    <numFmt numFmtId="8" formatCode="&quot;$&quot;#,##0.00_);[Red]\(&quot;$&quot;#,##0.00\)"/>
    <numFmt numFmtId="164" formatCode="&quot;$&quot;#,##0.00"/>
    <numFmt numFmtId="165" formatCode="0.0%"/>
    <numFmt numFmtId="166" formatCode="&quot;$&quot;#,##0"/>
  </numFmts>
  <fonts count="20">
    <font>
      <sz val="10"/>
      <name val="Arial"/>
    </font>
    <font>
      <sz val="10"/>
      <name val="Arial"/>
      <family val="2"/>
    </font>
    <font>
      <sz val="8"/>
      <name val="Arial"/>
      <family val="2"/>
    </font>
    <font>
      <b/>
      <sz val="10"/>
      <name val="Arial"/>
      <family val="2"/>
    </font>
    <font>
      <b/>
      <sz val="10"/>
      <name val="Arial"/>
      <family val="2"/>
    </font>
    <font>
      <sz val="10"/>
      <name val="Arial"/>
      <family val="2"/>
    </font>
    <font>
      <sz val="10"/>
      <color indexed="8"/>
      <name val="Arial"/>
      <family val="2"/>
    </font>
    <font>
      <b/>
      <sz val="10"/>
      <color indexed="8"/>
      <name val="arial,sans-serif"/>
    </font>
    <font>
      <sz val="10"/>
      <color indexed="8"/>
      <name val="arial,sans-serif"/>
    </font>
    <font>
      <b/>
      <sz val="12"/>
      <name val="Calibri"/>
      <family val="2"/>
      <scheme val="minor"/>
    </font>
    <font>
      <sz val="10"/>
      <name val="Calibri"/>
      <family val="2"/>
      <scheme val="minor"/>
    </font>
    <font>
      <b/>
      <sz val="11"/>
      <name val="Calibri"/>
      <family val="2"/>
      <scheme val="minor"/>
    </font>
    <font>
      <sz val="11"/>
      <name val="Calibri"/>
      <family val="2"/>
      <scheme val="minor"/>
    </font>
    <font>
      <b/>
      <sz val="11"/>
      <color indexed="8"/>
      <name val="Calibri"/>
      <family val="2"/>
      <scheme val="minor"/>
    </font>
    <font>
      <sz val="11"/>
      <color indexed="8"/>
      <name val="Calibri"/>
      <family val="2"/>
      <scheme val="minor"/>
    </font>
    <font>
      <b/>
      <sz val="14"/>
      <name val="Calibri"/>
      <family val="2"/>
      <scheme val="minor"/>
    </font>
    <font>
      <sz val="10"/>
      <color indexed="10"/>
      <name val="Arial"/>
      <family val="2"/>
    </font>
    <font>
      <sz val="11"/>
      <color indexed="10"/>
      <name val="Calibri"/>
      <family val="2"/>
      <scheme val="minor"/>
    </font>
    <font>
      <b/>
      <sz val="11"/>
      <color theme="0"/>
      <name val="Calibri"/>
      <family val="2"/>
      <scheme val="minor"/>
    </font>
    <font>
      <u/>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499984740745262"/>
        <bgColor indexed="64"/>
      </patternFill>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234">
    <xf numFmtId="0" fontId="0" fillId="0" borderId="0" xfId="0"/>
    <xf numFmtId="164" fontId="0" fillId="0" borderId="0" xfId="0" applyNumberFormat="1"/>
    <xf numFmtId="0" fontId="4" fillId="0" borderId="0" xfId="0" applyFont="1" applyAlignment="1"/>
    <xf numFmtId="0" fontId="0" fillId="0" borderId="0" xfId="0" applyFill="1"/>
    <xf numFmtId="3" fontId="0" fillId="0" borderId="0" xfId="0" applyNumberFormat="1"/>
    <xf numFmtId="4" fontId="0" fillId="0" borderId="0" xfId="0" applyNumberFormat="1"/>
    <xf numFmtId="0" fontId="6" fillId="0" borderId="0" xfId="0" applyNumberFormat="1" applyFont="1" applyFill="1" applyBorder="1" applyAlignment="1">
      <alignment wrapText="1"/>
    </xf>
    <xf numFmtId="0" fontId="8" fillId="0" borderId="0" xfId="0" applyNumberFormat="1" applyFont="1" applyFill="1" applyBorder="1" applyAlignment="1"/>
    <xf numFmtId="0" fontId="7" fillId="0" borderId="0" xfId="0" applyNumberFormat="1" applyFont="1" applyFill="1" applyBorder="1" applyAlignment="1"/>
    <xf numFmtId="0" fontId="9" fillId="0" borderId="0" xfId="0" applyFont="1"/>
    <xf numFmtId="0" fontId="10" fillId="0" borderId="0" xfId="0" applyFont="1"/>
    <xf numFmtId="0" fontId="11" fillId="0" borderId="0" xfId="0" applyFont="1"/>
    <xf numFmtId="0" fontId="12" fillId="0" borderId="0" xfId="0" applyFont="1"/>
    <xf numFmtId="0" fontId="14" fillId="0" borderId="0" xfId="0" applyNumberFormat="1" applyFont="1" applyFill="1" applyBorder="1" applyAlignment="1">
      <alignment wrapText="1"/>
    </xf>
    <xf numFmtId="0" fontId="14" fillId="0" borderId="1" xfId="0" applyNumberFormat="1" applyFont="1" applyFill="1" applyBorder="1" applyAlignment="1"/>
    <xf numFmtId="0" fontId="13" fillId="0" borderId="1" xfId="0" applyNumberFormat="1" applyFont="1" applyFill="1" applyBorder="1" applyAlignment="1"/>
    <xf numFmtId="3" fontId="14" fillId="0" borderId="1" xfId="0" applyNumberFormat="1" applyFont="1" applyFill="1" applyBorder="1" applyAlignment="1"/>
    <xf numFmtId="165" fontId="14" fillId="0" borderId="1" xfId="0" applyNumberFormat="1" applyFont="1" applyFill="1" applyBorder="1" applyAlignment="1"/>
    <xf numFmtId="3" fontId="14" fillId="3" borderId="1" xfId="0" applyNumberFormat="1" applyFont="1" applyFill="1" applyBorder="1" applyAlignment="1"/>
    <xf numFmtId="165" fontId="14" fillId="3" borderId="1" xfId="0" applyNumberFormat="1" applyFont="1" applyFill="1" applyBorder="1" applyAlignment="1"/>
    <xf numFmtId="0" fontId="13" fillId="0" borderId="1" xfId="0" applyNumberFormat="1" applyFont="1" applyFill="1" applyBorder="1" applyAlignment="1">
      <alignment horizontal="right"/>
    </xf>
    <xf numFmtId="165" fontId="14" fillId="2" borderId="1" xfId="0" applyNumberFormat="1" applyFont="1" applyFill="1" applyBorder="1" applyAlignment="1"/>
    <xf numFmtId="165" fontId="14" fillId="2" borderId="1" xfId="0" applyNumberFormat="1" applyFont="1" applyFill="1" applyBorder="1" applyAlignment="1">
      <alignment horizontal="right"/>
    </xf>
    <xf numFmtId="0" fontId="14" fillId="0" borderId="0" xfId="0" applyNumberFormat="1" applyFont="1" applyFill="1" applyBorder="1" applyAlignment="1"/>
    <xf numFmtId="0" fontId="13" fillId="0" borderId="0" xfId="0" applyNumberFormat="1" applyFont="1" applyFill="1" applyBorder="1" applyAlignment="1"/>
    <xf numFmtId="0" fontId="13" fillId="2" borderId="1" xfId="0" applyNumberFormat="1" applyFont="1" applyFill="1" applyBorder="1" applyAlignment="1">
      <alignment horizontal="center"/>
    </xf>
    <xf numFmtId="0" fontId="13" fillId="0" borderId="1" xfId="0" applyNumberFormat="1" applyFont="1" applyFill="1" applyBorder="1" applyAlignment="1">
      <alignment horizontal="left"/>
    </xf>
    <xf numFmtId="3" fontId="14" fillId="0" borderId="1" xfId="0" applyNumberFormat="1" applyFont="1" applyFill="1" applyBorder="1" applyAlignment="1">
      <alignment horizontal="right"/>
    </xf>
    <xf numFmtId="0" fontId="13" fillId="0" borderId="1" xfId="0" applyNumberFormat="1" applyFont="1" applyFill="1" applyBorder="1" applyAlignment="1">
      <alignment horizontal="center"/>
    </xf>
    <xf numFmtId="3" fontId="14" fillId="3" borderId="1" xfId="0" applyNumberFormat="1" applyFont="1" applyFill="1" applyBorder="1" applyAlignment="1">
      <alignment horizontal="right"/>
    </xf>
    <xf numFmtId="0" fontId="15" fillId="0" borderId="0" xfId="0" applyFont="1"/>
    <xf numFmtId="0" fontId="11" fillId="0" borderId="3" xfId="0" applyFont="1" applyBorder="1"/>
    <xf numFmtId="0" fontId="11" fillId="0" borderId="3" xfId="0" applyFont="1" applyBorder="1" applyAlignment="1">
      <alignment wrapText="1"/>
    </xf>
    <xf numFmtId="0" fontId="12" fillId="0" borderId="2" xfId="0" applyFont="1" applyBorder="1"/>
    <xf numFmtId="8" fontId="12" fillId="0" borderId="2" xfId="0" applyNumberFormat="1" applyFont="1" applyBorder="1"/>
    <xf numFmtId="165" fontId="12" fillId="0" borderId="1" xfId="0" applyNumberFormat="1" applyFont="1" applyBorder="1"/>
    <xf numFmtId="165" fontId="12" fillId="0" borderId="2" xfId="0" applyNumberFormat="1" applyFont="1" applyBorder="1"/>
    <xf numFmtId="0" fontId="12" fillId="0" borderId="1" xfId="0" applyFont="1" applyBorder="1"/>
    <xf numFmtId="8" fontId="12" fillId="0" borderId="1" xfId="0" applyNumberFormat="1" applyFont="1" applyFill="1" applyBorder="1"/>
    <xf numFmtId="0" fontId="12" fillId="0" borderId="4" xfId="0" applyFont="1" applyBorder="1"/>
    <xf numFmtId="8" fontId="12" fillId="0" borderId="4" xfId="0" applyNumberFormat="1" applyFont="1" applyFill="1" applyBorder="1"/>
    <xf numFmtId="165" fontId="12" fillId="0" borderId="4" xfId="0" applyNumberFormat="1" applyFont="1" applyBorder="1"/>
    <xf numFmtId="8" fontId="11" fillId="0" borderId="6" xfId="0" applyNumberFormat="1" applyFont="1" applyBorder="1"/>
    <xf numFmtId="165" fontId="11" fillId="0" borderId="6" xfId="0" applyNumberFormat="1" applyFont="1" applyBorder="1"/>
    <xf numFmtId="0" fontId="11" fillId="0" borderId="0" xfId="0" applyFont="1" applyBorder="1" applyAlignment="1">
      <alignment horizontal="right"/>
    </xf>
    <xf numFmtId="8" fontId="11" fillId="0" borderId="0" xfId="0" applyNumberFormat="1" applyFont="1" applyBorder="1"/>
    <xf numFmtId="165" fontId="11" fillId="0" borderId="0" xfId="0" applyNumberFormat="1" applyFont="1" applyBorder="1"/>
    <xf numFmtId="8" fontId="12" fillId="0" borderId="4" xfId="0" applyNumberFormat="1" applyFont="1" applyBorder="1"/>
    <xf numFmtId="0" fontId="11" fillId="0" borderId="0" xfId="0" applyFont="1" applyAlignment="1">
      <alignment wrapText="1"/>
    </xf>
    <xf numFmtId="0" fontId="12" fillId="0" borderId="2" xfId="0" applyFont="1" applyFill="1" applyBorder="1"/>
    <xf numFmtId="8" fontId="12" fillId="0" borderId="2" xfId="0" applyNumberFormat="1" applyFont="1" applyFill="1" applyBorder="1"/>
    <xf numFmtId="0" fontId="12" fillId="0" borderId="1" xfId="0" applyFont="1" applyFill="1" applyBorder="1"/>
    <xf numFmtId="0" fontId="12" fillId="0" borderId="4" xfId="0" applyFont="1" applyFill="1" applyBorder="1"/>
    <xf numFmtId="0" fontId="11" fillId="0" borderId="5" xfId="0" applyFont="1" applyFill="1" applyBorder="1" applyAlignment="1">
      <alignment horizontal="right"/>
    </xf>
    <xf numFmtId="0" fontId="11" fillId="0" borderId="0" xfId="0" applyFont="1" applyFill="1" applyBorder="1" applyAlignment="1">
      <alignment horizontal="right"/>
    </xf>
    <xf numFmtId="165" fontId="12" fillId="0" borderId="1" xfId="0" applyNumberFormat="1" applyFont="1" applyBorder="1" applyAlignment="1">
      <alignment horizontal="right"/>
    </xf>
    <xf numFmtId="165" fontId="12" fillId="0" borderId="0" xfId="0" applyNumberFormat="1" applyFont="1"/>
    <xf numFmtId="164" fontId="12" fillId="0" borderId="0" xfId="0" applyNumberFormat="1" applyFont="1"/>
    <xf numFmtId="8" fontId="12" fillId="0" borderId="1" xfId="0" applyNumberFormat="1" applyFont="1" applyBorder="1"/>
    <xf numFmtId="165" fontId="12" fillId="0" borderId="2" xfId="0" applyNumberFormat="1" applyFont="1" applyBorder="1" applyAlignment="1">
      <alignment horizontal="right"/>
    </xf>
    <xf numFmtId="8" fontId="12" fillId="5" borderId="1" xfId="0" applyNumberFormat="1" applyFont="1" applyFill="1" applyBorder="1"/>
    <xf numFmtId="0" fontId="12" fillId="0" borderId="1" xfId="0" applyFont="1" applyBorder="1" applyAlignment="1">
      <alignment horizontal="right"/>
    </xf>
    <xf numFmtId="164" fontId="12" fillId="0" borderId="1" xfId="0" applyNumberFormat="1" applyFont="1" applyBorder="1"/>
    <xf numFmtId="0" fontId="11" fillId="5" borderId="1" xfId="0" applyFont="1" applyFill="1" applyBorder="1" applyAlignment="1">
      <alignment horizontal="right"/>
    </xf>
    <xf numFmtId="164" fontId="11" fillId="5" borderId="1" xfId="0" applyNumberFormat="1" applyFont="1" applyFill="1" applyBorder="1"/>
    <xf numFmtId="165" fontId="11" fillId="5" borderId="1" xfId="0" applyNumberFormat="1" applyFont="1" applyFill="1" applyBorder="1"/>
    <xf numFmtId="0" fontId="11" fillId="6" borderId="1" xfId="0" applyFont="1" applyFill="1" applyBorder="1" applyAlignment="1">
      <alignment horizontal="right"/>
    </xf>
    <xf numFmtId="164" fontId="11" fillId="6" borderId="1" xfId="0" applyNumberFormat="1" applyFont="1" applyFill="1" applyBorder="1"/>
    <xf numFmtId="165" fontId="11" fillId="6" borderId="1" xfId="0" applyNumberFormat="1" applyFont="1" applyFill="1" applyBorder="1"/>
    <xf numFmtId="0" fontId="12" fillId="4" borderId="1" xfId="0" applyFont="1" applyFill="1" applyBorder="1" applyAlignment="1">
      <alignment horizontal="right"/>
    </xf>
    <xf numFmtId="164" fontId="12" fillId="4" borderId="1" xfId="0" applyNumberFormat="1" applyFont="1" applyFill="1" applyBorder="1"/>
    <xf numFmtId="165" fontId="12" fillId="4" borderId="1" xfId="0" applyNumberFormat="1" applyFont="1" applyFill="1" applyBorder="1"/>
    <xf numFmtId="0" fontId="12" fillId="4" borderId="4" xfId="0" applyFont="1" applyFill="1" applyBorder="1" applyAlignment="1">
      <alignment horizontal="right"/>
    </xf>
    <xf numFmtId="164" fontId="12" fillId="4" borderId="4" xfId="0" applyNumberFormat="1" applyFont="1" applyFill="1" applyBorder="1"/>
    <xf numFmtId="165" fontId="12" fillId="4" borderId="4" xfId="0" applyNumberFormat="1" applyFont="1" applyFill="1" applyBorder="1"/>
    <xf numFmtId="164" fontId="11" fillId="7" borderId="6" xfId="0" applyNumberFormat="1" applyFont="1" applyFill="1" applyBorder="1"/>
    <xf numFmtId="165" fontId="11" fillId="7" borderId="6" xfId="0" applyNumberFormat="1" applyFont="1" applyFill="1" applyBorder="1"/>
    <xf numFmtId="165" fontId="11" fillId="7" borderId="7" xfId="0" applyNumberFormat="1" applyFont="1" applyFill="1" applyBorder="1"/>
    <xf numFmtId="8" fontId="11" fillId="7" borderId="6" xfId="0" applyNumberFormat="1" applyFont="1" applyFill="1" applyBorder="1"/>
    <xf numFmtId="0" fontId="13" fillId="5" borderId="1" xfId="0" applyNumberFormat="1" applyFont="1" applyFill="1" applyBorder="1" applyAlignment="1">
      <alignment horizontal="center"/>
    </xf>
    <xf numFmtId="8" fontId="11" fillId="5" borderId="6" xfId="0" applyNumberFormat="1" applyFont="1" applyFill="1" applyBorder="1"/>
    <xf numFmtId="165" fontId="11" fillId="5" borderId="6" xfId="0" applyNumberFormat="1" applyFont="1" applyFill="1" applyBorder="1"/>
    <xf numFmtId="0" fontId="12" fillId="5" borderId="1" xfId="0" applyFont="1" applyFill="1" applyBorder="1"/>
    <xf numFmtId="165" fontId="12" fillId="5" borderId="2" xfId="0" applyNumberFormat="1" applyFont="1" applyFill="1" applyBorder="1"/>
    <xf numFmtId="0" fontId="12" fillId="2" borderId="1" xfId="0" applyFont="1" applyFill="1" applyBorder="1" applyAlignment="1">
      <alignment horizontal="right"/>
    </xf>
    <xf numFmtId="164" fontId="12" fillId="2" borderId="1" xfId="0" applyNumberFormat="1" applyFont="1" applyFill="1" applyBorder="1"/>
    <xf numFmtId="165" fontId="12" fillId="2" borderId="1" xfId="0" applyNumberFormat="1" applyFont="1" applyFill="1" applyBorder="1"/>
    <xf numFmtId="8" fontId="12" fillId="2" borderId="1" xfId="0" applyNumberFormat="1" applyFont="1" applyFill="1" applyBorder="1"/>
    <xf numFmtId="165" fontId="11" fillId="2" borderId="1" xfId="0" applyNumberFormat="1" applyFont="1" applyFill="1" applyBorder="1"/>
    <xf numFmtId="165" fontId="11" fillId="4" borderId="1" xfId="0" applyNumberFormat="1" applyFont="1" applyFill="1" applyBorder="1"/>
    <xf numFmtId="165" fontId="11" fillId="4" borderId="4" xfId="0" applyNumberFormat="1" applyFont="1" applyFill="1" applyBorder="1"/>
    <xf numFmtId="0" fontId="11" fillId="0" borderId="0" xfId="0" applyFont="1" applyAlignment="1"/>
    <xf numFmtId="0" fontId="12" fillId="0" borderId="2" xfId="0" applyFont="1" applyBorder="1" applyAlignment="1">
      <alignment vertical="top" wrapText="1"/>
    </xf>
    <xf numFmtId="164" fontId="12" fillId="0" borderId="2" xfId="0" applyNumberFormat="1" applyFont="1" applyBorder="1" applyAlignment="1">
      <alignment vertical="top"/>
    </xf>
    <xf numFmtId="0" fontId="12" fillId="0" borderId="0" xfId="0" applyFont="1" applyAlignment="1">
      <alignment vertical="top" wrapText="1"/>
    </xf>
    <xf numFmtId="0" fontId="12" fillId="0" borderId="1" xfId="0" applyFont="1" applyBorder="1" applyAlignment="1">
      <alignment vertical="top" wrapText="1"/>
    </xf>
    <xf numFmtId="164" fontId="12" fillId="0" borderId="1" xfId="0" applyNumberFormat="1" applyFont="1" applyBorder="1" applyAlignment="1">
      <alignment vertical="top"/>
    </xf>
    <xf numFmtId="164" fontId="12" fillId="0" borderId="1" xfId="0" applyNumberFormat="1" applyFont="1" applyFill="1" applyBorder="1" applyAlignment="1">
      <alignment vertical="top"/>
    </xf>
    <xf numFmtId="0" fontId="12" fillId="0" borderId="0" xfId="0" applyFont="1" applyBorder="1"/>
    <xf numFmtId="0" fontId="15" fillId="0" borderId="0" xfId="0" applyFont="1" applyAlignment="1"/>
    <xf numFmtId="0" fontId="11" fillId="0" borderId="6" xfId="0" applyFont="1" applyFill="1" applyBorder="1" applyAlignment="1">
      <alignment horizontal="right"/>
    </xf>
    <xf numFmtId="0" fontId="11" fillId="7" borderId="6" xfId="0" applyFont="1" applyFill="1" applyBorder="1" applyAlignment="1">
      <alignment horizontal="right"/>
    </xf>
    <xf numFmtId="0" fontId="11" fillId="0" borderId="6" xfId="0" applyFont="1" applyBorder="1" applyAlignment="1">
      <alignment horizontal="right"/>
    </xf>
    <xf numFmtId="0" fontId="11" fillId="5" borderId="6" xfId="0" applyFont="1" applyFill="1" applyBorder="1" applyAlignment="1">
      <alignment horizontal="right"/>
    </xf>
    <xf numFmtId="0" fontId="5" fillId="0" borderId="0" xfId="1"/>
    <xf numFmtId="0" fontId="16" fillId="0" borderId="0" xfId="1" applyFont="1"/>
    <xf numFmtId="0" fontId="5" fillId="0" borderId="0" xfId="1" applyFill="1"/>
    <xf numFmtId="0" fontId="5" fillId="0" borderId="0" xfId="1" applyFont="1"/>
    <xf numFmtId="0" fontId="5" fillId="0" borderId="0" xfId="1" applyAlignment="1">
      <alignment vertical="top"/>
    </xf>
    <xf numFmtId="164" fontId="3" fillId="0" borderId="0" xfId="1" applyNumberFormat="1" applyFont="1"/>
    <xf numFmtId="164" fontId="5" fillId="0" borderId="0" xfId="1" applyNumberFormat="1"/>
    <xf numFmtId="10" fontId="5" fillId="0" borderId="0" xfId="1" applyNumberFormat="1"/>
    <xf numFmtId="6" fontId="5" fillId="0" borderId="0" xfId="1" applyNumberFormat="1"/>
    <xf numFmtId="0" fontId="15" fillId="0" borderId="0" xfId="1" applyFont="1"/>
    <xf numFmtId="0" fontId="10" fillId="0" borderId="0" xfId="1" applyFont="1"/>
    <xf numFmtId="0" fontId="10" fillId="0" borderId="0" xfId="1" applyFont="1" applyAlignment="1">
      <alignment vertical="top"/>
    </xf>
    <xf numFmtId="164" fontId="10" fillId="0" borderId="0" xfId="1" applyNumberFormat="1" applyFont="1"/>
    <xf numFmtId="0" fontId="12" fillId="0" borderId="0" xfId="1" applyFont="1"/>
    <xf numFmtId="0" fontId="11" fillId="0" borderId="3" xfId="1" applyFont="1" applyBorder="1"/>
    <xf numFmtId="0" fontId="12" fillId="0" borderId="2" xfId="1" applyFont="1" applyFill="1" applyBorder="1" applyAlignment="1">
      <alignment vertical="top" wrapText="1"/>
    </xf>
    <xf numFmtId="164" fontId="12" fillId="0" borderId="2" xfId="1" applyNumberFormat="1" applyFont="1" applyFill="1" applyBorder="1" applyAlignment="1">
      <alignment vertical="top" wrapText="1"/>
    </xf>
    <xf numFmtId="0" fontId="12" fillId="0" borderId="1" xfId="1" applyFont="1" applyFill="1" applyBorder="1" applyAlignment="1">
      <alignment vertical="top" wrapText="1"/>
    </xf>
    <xf numFmtId="164" fontId="12" fillId="0" borderId="1" xfId="1" applyNumberFormat="1" applyFont="1" applyFill="1" applyBorder="1" applyAlignment="1">
      <alignment vertical="top" wrapText="1"/>
    </xf>
    <xf numFmtId="0" fontId="17" fillId="0" borderId="0" xfId="1" applyFont="1"/>
    <xf numFmtId="0" fontId="12" fillId="0" borderId="0" xfId="1" applyFont="1" applyFill="1"/>
    <xf numFmtId="8" fontId="12" fillId="0" borderId="1" xfId="1" applyNumberFormat="1" applyFont="1" applyFill="1" applyBorder="1" applyAlignment="1">
      <alignment vertical="top" wrapText="1"/>
    </xf>
    <xf numFmtId="164" fontId="17" fillId="0" borderId="0" xfId="1" applyNumberFormat="1" applyFont="1"/>
    <xf numFmtId="0" fontId="17" fillId="0" borderId="0" xfId="1" applyFont="1" applyAlignment="1">
      <alignment vertical="top"/>
    </xf>
    <xf numFmtId="0" fontId="11" fillId="0" borderId="0" xfId="1" applyFont="1" applyFill="1" applyBorder="1" applyAlignment="1">
      <alignment vertical="top" wrapText="1"/>
    </xf>
    <xf numFmtId="164" fontId="11" fillId="0" borderId="0" xfId="1" applyNumberFormat="1" applyFont="1" applyFill="1"/>
    <xf numFmtId="0" fontId="17" fillId="0" borderId="0" xfId="1" applyFont="1" applyFill="1" applyAlignment="1">
      <alignment vertical="top" wrapText="1"/>
    </xf>
    <xf numFmtId="0" fontId="12" fillId="0" borderId="0" xfId="1" applyFont="1" applyAlignment="1">
      <alignment vertical="top"/>
    </xf>
    <xf numFmtId="164" fontId="11" fillId="0" borderId="0" xfId="1" applyNumberFormat="1" applyFont="1"/>
    <xf numFmtId="164" fontId="12" fillId="0" borderId="0" xfId="1" applyNumberFormat="1" applyFont="1"/>
    <xf numFmtId="0" fontId="11" fillId="0" borderId="0" xfId="1" applyFont="1"/>
    <xf numFmtId="0" fontId="12" fillId="0" borderId="0" xfId="1" applyFont="1" applyBorder="1"/>
    <xf numFmtId="0" fontId="11" fillId="0" borderId="1" xfId="1" applyFont="1" applyBorder="1"/>
    <xf numFmtId="0" fontId="12" fillId="0" borderId="1" xfId="1" applyFont="1" applyBorder="1"/>
    <xf numFmtId="165" fontId="12" fillId="0" borderId="1" xfId="1" applyNumberFormat="1" applyFont="1" applyBorder="1"/>
    <xf numFmtId="6" fontId="12" fillId="0" borderId="1" xfId="1" applyNumberFormat="1" applyFont="1" applyBorder="1"/>
    <xf numFmtId="0" fontId="12" fillId="0" borderId="0" xfId="1" applyNumberFormat="1" applyFont="1"/>
    <xf numFmtId="0" fontId="12" fillId="0" borderId="0" xfId="1" applyFont="1" applyAlignment="1">
      <alignment wrapText="1"/>
    </xf>
    <xf numFmtId="0" fontId="11" fillId="0" borderId="4" xfId="1" applyFont="1" applyBorder="1" applyAlignment="1">
      <alignment wrapText="1"/>
    </xf>
    <xf numFmtId="164" fontId="12" fillId="0" borderId="1" xfId="1" applyNumberFormat="1" applyFont="1" applyBorder="1"/>
    <xf numFmtId="165" fontId="11" fillId="0" borderId="0" xfId="1" applyNumberFormat="1" applyFont="1"/>
    <xf numFmtId="0" fontId="12" fillId="0" borderId="4" xfId="1" applyFont="1" applyBorder="1"/>
    <xf numFmtId="165" fontId="12" fillId="0" borderId="4" xfId="1" applyNumberFormat="1" applyFont="1" applyBorder="1"/>
    <xf numFmtId="6" fontId="12" fillId="0" borderId="4" xfId="1" applyNumberFormat="1" applyFont="1" applyBorder="1"/>
    <xf numFmtId="0" fontId="11" fillId="0" borderId="6" xfId="1" applyFont="1" applyBorder="1"/>
    <xf numFmtId="6" fontId="11" fillId="0" borderId="6" xfId="1" applyNumberFormat="1" applyFont="1" applyBorder="1"/>
    <xf numFmtId="0" fontId="12" fillId="0" borderId="6" xfId="1" applyFont="1" applyBorder="1"/>
    <xf numFmtId="0" fontId="1" fillId="0" borderId="0" xfId="0" applyFont="1"/>
    <xf numFmtId="0" fontId="0" fillId="2" borderId="0" xfId="0" applyFill="1"/>
    <xf numFmtId="0" fontId="12" fillId="0" borderId="0" xfId="0" applyFont="1" applyFill="1" applyBorder="1" applyAlignment="1">
      <alignment vertical="top" wrapText="1"/>
    </xf>
    <xf numFmtId="0" fontId="12" fillId="2" borderId="1" xfId="0" applyFont="1" applyFill="1" applyBorder="1" applyAlignment="1">
      <alignment vertical="top" wrapText="1"/>
    </xf>
    <xf numFmtId="3" fontId="12" fillId="2" borderId="1" xfId="0" applyNumberFormat="1" applyFont="1" applyFill="1" applyBorder="1" applyAlignment="1">
      <alignment vertical="top" wrapText="1"/>
    </xf>
    <xf numFmtId="164" fontId="12" fillId="2" borderId="1" xfId="0" applyNumberFormat="1" applyFont="1" applyFill="1" applyBorder="1" applyAlignment="1">
      <alignment vertical="top" wrapText="1"/>
    </xf>
    <xf numFmtId="164" fontId="12" fillId="2" borderId="2" xfId="0" applyNumberFormat="1" applyFont="1" applyFill="1" applyBorder="1" applyAlignment="1">
      <alignment vertical="top" wrapText="1"/>
    </xf>
    <xf numFmtId="0" fontId="12" fillId="2" borderId="2" xfId="0" applyFont="1" applyFill="1" applyBorder="1" applyAlignment="1">
      <alignment vertical="top" wrapText="1"/>
    </xf>
    <xf numFmtId="3" fontId="12" fillId="2" borderId="2" xfId="0" applyNumberFormat="1" applyFont="1" applyFill="1" applyBorder="1" applyAlignment="1">
      <alignment vertical="top" wrapText="1"/>
    </xf>
    <xf numFmtId="3" fontId="11" fillId="0" borderId="6" xfId="1" applyNumberFormat="1" applyFont="1" applyBorder="1"/>
    <xf numFmtId="164" fontId="11" fillId="0" borderId="6" xfId="1" applyNumberFormat="1" applyFont="1" applyBorder="1"/>
    <xf numFmtId="0" fontId="12" fillId="6" borderId="10" xfId="0" applyFont="1" applyFill="1" applyBorder="1"/>
    <xf numFmtId="164" fontId="12" fillId="6" borderId="11" xfId="0" applyNumberFormat="1" applyFont="1" applyFill="1" applyBorder="1"/>
    <xf numFmtId="164" fontId="12" fillId="6" borderId="12" xfId="0" applyNumberFormat="1" applyFont="1" applyFill="1" applyBorder="1"/>
    <xf numFmtId="164" fontId="12" fillId="5" borderId="1" xfId="0" applyNumberFormat="1" applyFont="1" applyFill="1" applyBorder="1"/>
    <xf numFmtId="164" fontId="12" fillId="5" borderId="4" xfId="0" applyNumberFormat="1" applyFont="1" applyFill="1" applyBorder="1"/>
    <xf numFmtId="0" fontId="12" fillId="6" borderId="11" xfId="0" applyFont="1" applyFill="1" applyBorder="1"/>
    <xf numFmtId="0" fontId="12" fillId="5" borderId="4" xfId="0" applyFont="1" applyFill="1" applyBorder="1"/>
    <xf numFmtId="0" fontId="12" fillId="0" borderId="4" xfId="0" applyFont="1" applyBorder="1" applyAlignment="1">
      <alignment vertical="top" wrapText="1"/>
    </xf>
    <xf numFmtId="0" fontId="12" fillId="0" borderId="2" xfId="0" applyFont="1" applyBorder="1" applyAlignment="1">
      <alignment vertical="top" wrapText="1"/>
    </xf>
    <xf numFmtId="0" fontId="12" fillId="0" borderId="0" xfId="0" applyFont="1" applyFill="1" applyBorder="1"/>
    <xf numFmtId="165" fontId="11" fillId="0" borderId="6" xfId="1" applyNumberFormat="1" applyFont="1" applyBorder="1"/>
    <xf numFmtId="164" fontId="12" fillId="2" borderId="1" xfId="0" applyNumberFormat="1" applyFont="1" applyFill="1" applyBorder="1" applyAlignment="1">
      <alignment horizontal="right" vertical="top" wrapText="1"/>
    </xf>
    <xf numFmtId="165" fontId="12" fillId="0" borderId="1" xfId="0" applyNumberFormat="1" applyFont="1" applyBorder="1" applyAlignment="1">
      <alignment vertical="top"/>
    </xf>
    <xf numFmtId="165" fontId="12" fillId="0" borderId="1" xfId="0" applyNumberFormat="1" applyFont="1" applyBorder="1" applyAlignment="1">
      <alignment horizontal="right" vertical="top"/>
    </xf>
    <xf numFmtId="165" fontId="12" fillId="0" borderId="4" xfId="0" applyNumberFormat="1" applyFont="1" applyBorder="1" applyAlignment="1">
      <alignment vertical="top"/>
    </xf>
    <xf numFmtId="0" fontId="11" fillId="0" borderId="6" xfId="1" applyNumberFormat="1" applyFont="1" applyBorder="1"/>
    <xf numFmtId="0" fontId="12" fillId="0" borderId="2" xfId="0" applyNumberFormat="1" applyFont="1" applyBorder="1" applyAlignment="1">
      <alignment vertical="top" wrapText="1"/>
    </xf>
    <xf numFmtId="164" fontId="12" fillId="0" borderId="2" xfId="0" applyNumberFormat="1" applyFont="1" applyBorder="1" applyAlignment="1">
      <alignment vertical="top" wrapText="1"/>
    </xf>
    <xf numFmtId="165" fontId="12" fillId="0" borderId="2" xfId="0" applyNumberFormat="1" applyFont="1" applyBorder="1" applyAlignment="1">
      <alignment horizontal="right" vertical="top" wrapText="1"/>
    </xf>
    <xf numFmtId="0" fontId="12" fillId="0" borderId="1" xfId="0" applyNumberFormat="1" applyFont="1" applyBorder="1" applyAlignment="1">
      <alignment vertical="top" wrapText="1"/>
    </xf>
    <xf numFmtId="164" fontId="12" fillId="0" borderId="1" xfId="0" applyNumberFormat="1" applyFont="1" applyBorder="1" applyAlignment="1">
      <alignment vertical="top" wrapText="1"/>
    </xf>
    <xf numFmtId="165" fontId="12" fillId="0" borderId="1" xfId="0" applyNumberFormat="1" applyFont="1" applyBorder="1" applyAlignment="1">
      <alignment vertical="top" wrapText="1"/>
    </xf>
    <xf numFmtId="165" fontId="12" fillId="0" borderId="1" xfId="0" applyNumberFormat="1" applyFont="1" applyBorder="1" applyAlignment="1">
      <alignment horizontal="right" vertical="top" wrapText="1"/>
    </xf>
    <xf numFmtId="0" fontId="12" fillId="6" borderId="13" xfId="0" applyFont="1" applyFill="1" applyBorder="1"/>
    <xf numFmtId="164" fontId="12" fillId="6" borderId="14" xfId="0" applyNumberFormat="1" applyFont="1" applyFill="1" applyBorder="1"/>
    <xf numFmtId="164" fontId="12" fillId="6" borderId="15" xfId="0" applyNumberFormat="1" applyFont="1" applyFill="1" applyBorder="1"/>
    <xf numFmtId="0" fontId="18" fillId="8" borderId="6" xfId="0" applyFont="1" applyFill="1" applyBorder="1"/>
    <xf numFmtId="164" fontId="18" fillId="8" borderId="6" xfId="0" applyNumberFormat="1" applyFont="1" applyFill="1" applyBorder="1"/>
    <xf numFmtId="165" fontId="12" fillId="5" borderId="1" xfId="0" applyNumberFormat="1" applyFont="1" applyFill="1" applyBorder="1"/>
    <xf numFmtId="165" fontId="12" fillId="6" borderId="1" xfId="0" applyNumberFormat="1" applyFont="1" applyFill="1" applyBorder="1"/>
    <xf numFmtId="165" fontId="18" fillId="8" borderId="6" xfId="0" applyNumberFormat="1" applyFont="1" applyFill="1" applyBorder="1"/>
    <xf numFmtId="8" fontId="12" fillId="0" borderId="0" xfId="0" applyNumberFormat="1" applyFont="1"/>
    <xf numFmtId="0" fontId="11" fillId="0" borderId="5" xfId="0" applyFont="1" applyBorder="1" applyAlignment="1">
      <alignment horizontal="right"/>
    </xf>
    <xf numFmtId="165" fontId="11" fillId="0" borderId="7" xfId="0" applyNumberFormat="1" applyFont="1" applyBorder="1"/>
    <xf numFmtId="0" fontId="11" fillId="0" borderId="0" xfId="0" applyFont="1" applyAlignment="1">
      <alignment horizontal="right" vertical="top" wrapText="1"/>
    </xf>
    <xf numFmtId="164" fontId="12" fillId="0" borderId="0" xfId="0" applyNumberFormat="1" applyFont="1" applyAlignment="1">
      <alignment vertical="top" wrapText="1"/>
    </xf>
    <xf numFmtId="164" fontId="11" fillId="0" borderId="0" xfId="0" applyNumberFormat="1" applyFont="1" applyAlignment="1">
      <alignment vertical="top" wrapText="1"/>
    </xf>
    <xf numFmtId="0" fontId="11" fillId="0" borderId="0" xfId="0" applyFont="1" applyAlignment="1">
      <alignment vertical="top" wrapText="1"/>
    </xf>
    <xf numFmtId="0" fontId="11" fillId="0" borderId="0" xfId="0" applyFont="1" applyBorder="1" applyAlignment="1">
      <alignment vertical="top" wrapText="1"/>
    </xf>
    <xf numFmtId="164" fontId="11" fillId="0" borderId="0" xfId="0" applyNumberFormat="1" applyFont="1" applyBorder="1" applyAlignment="1">
      <alignment vertical="top" wrapText="1"/>
    </xf>
    <xf numFmtId="164" fontId="12" fillId="0" borderId="4" xfId="0" applyNumberFormat="1" applyFont="1" applyBorder="1" applyAlignment="1">
      <alignment vertical="top" wrapText="1"/>
    </xf>
    <xf numFmtId="0" fontId="9" fillId="5" borderId="9" xfId="0" applyFont="1" applyFill="1" applyBorder="1"/>
    <xf numFmtId="0" fontId="11" fillId="5" borderId="6" xfId="0" applyFont="1" applyFill="1" applyBorder="1" applyAlignment="1">
      <alignment vertical="top" wrapText="1"/>
    </xf>
    <xf numFmtId="164" fontId="11" fillId="5" borderId="6" xfId="0" applyNumberFormat="1" applyFont="1" applyFill="1" applyBorder="1" applyAlignment="1">
      <alignment vertical="top" wrapText="1"/>
    </xf>
    <xf numFmtId="0" fontId="9" fillId="6" borderId="5" xfId="0" applyFont="1" applyFill="1" applyBorder="1" applyAlignment="1">
      <alignment vertical="top" wrapText="1"/>
    </xf>
    <xf numFmtId="164" fontId="9" fillId="6" borderId="7" xfId="0" applyNumberFormat="1" applyFont="1" applyFill="1" applyBorder="1" applyAlignment="1">
      <alignment vertical="top" wrapText="1"/>
    </xf>
    <xf numFmtId="0" fontId="12" fillId="0" borderId="0" xfId="0" applyFont="1" applyFill="1"/>
    <xf numFmtId="3" fontId="12" fillId="0" borderId="0" xfId="0" applyNumberFormat="1" applyFont="1" applyFill="1" applyAlignment="1">
      <alignment horizontal="center"/>
    </xf>
    <xf numFmtId="3" fontId="12" fillId="0" borderId="0" xfId="0" applyNumberFormat="1" applyFont="1" applyFill="1"/>
    <xf numFmtId="3" fontId="12" fillId="0" borderId="0" xfId="0" applyNumberFormat="1" applyFont="1" applyFill="1" applyAlignment="1">
      <alignment horizontal="right"/>
    </xf>
    <xf numFmtId="3" fontId="12" fillId="3" borderId="0" xfId="0" applyNumberFormat="1" applyFont="1" applyFill="1"/>
    <xf numFmtId="3" fontId="12" fillId="9" borderId="0" xfId="0" applyNumberFormat="1" applyFont="1" applyFill="1"/>
    <xf numFmtId="166" fontId="12" fillId="0" borderId="0" xfId="0" applyNumberFormat="1" applyFont="1" applyFill="1" applyAlignment="1">
      <alignment horizontal="right"/>
    </xf>
    <xf numFmtId="166" fontId="12" fillId="0" borderId="0" xfId="0" applyNumberFormat="1" applyFont="1" applyFill="1"/>
    <xf numFmtId="166" fontId="12" fillId="3" borderId="0" xfId="0" applyNumberFormat="1" applyFont="1" applyFill="1" applyAlignment="1">
      <alignment horizontal="right"/>
    </xf>
    <xf numFmtId="0" fontId="12" fillId="0" borderId="0" xfId="0" applyFont="1" applyFill="1" applyAlignment="1">
      <alignment vertical="top" wrapText="1"/>
    </xf>
    <xf numFmtId="166" fontId="12" fillId="0" borderId="0" xfId="0" applyNumberFormat="1" applyFont="1" applyFill="1" applyAlignment="1">
      <alignment horizontal="right" vertical="top" wrapText="1"/>
    </xf>
    <xf numFmtId="166" fontId="12" fillId="0" borderId="0" xfId="0" applyNumberFormat="1" applyFont="1" applyFill="1" applyAlignment="1">
      <alignment vertical="top" wrapText="1"/>
    </xf>
    <xf numFmtId="8" fontId="11" fillId="0" borderId="0" xfId="0" applyNumberFormat="1" applyFont="1"/>
    <xf numFmtId="165" fontId="11" fillId="0" borderId="2" xfId="0" applyNumberFormat="1" applyFont="1" applyBorder="1"/>
    <xf numFmtId="165" fontId="11" fillId="5" borderId="2" xfId="0" applyNumberFormat="1" applyFont="1" applyFill="1" applyBorder="1"/>
    <xf numFmtId="0" fontId="12" fillId="0" borderId="4" xfId="0" applyFont="1" applyBorder="1" applyAlignment="1">
      <alignment vertical="top" wrapText="1"/>
    </xf>
    <xf numFmtId="0" fontId="12" fillId="0" borderId="8" xfId="0" applyFont="1" applyBorder="1" applyAlignment="1">
      <alignment vertical="top" wrapText="1"/>
    </xf>
    <xf numFmtId="0" fontId="12" fillId="0" borderId="2" xfId="0" applyFont="1" applyBorder="1" applyAlignment="1">
      <alignment vertical="top" wrapText="1"/>
    </xf>
    <xf numFmtId="0" fontId="11" fillId="0" borderId="4" xfId="0" applyFont="1" applyBorder="1" applyAlignment="1">
      <alignment vertical="top"/>
    </xf>
    <xf numFmtId="0" fontId="11" fillId="0" borderId="8" xfId="0" applyFont="1" applyBorder="1" applyAlignment="1">
      <alignment vertical="top"/>
    </xf>
    <xf numFmtId="0" fontId="11" fillId="0" borderId="2" xfId="0" applyFont="1" applyBorder="1" applyAlignment="1">
      <alignment vertical="top"/>
    </xf>
    <xf numFmtId="0" fontId="11" fillId="0" borderId="1" xfId="0" applyFont="1" applyBorder="1" applyAlignment="1">
      <alignment vertical="top"/>
    </xf>
    <xf numFmtId="0" fontId="11" fillId="0" borderId="13" xfId="0" applyFont="1" applyBorder="1" applyAlignment="1">
      <alignment vertical="top"/>
    </xf>
    <xf numFmtId="0" fontId="12" fillId="0" borderId="1" xfId="0" applyFont="1" applyBorder="1" applyAlignment="1">
      <alignment vertical="top"/>
    </xf>
    <xf numFmtId="0" fontId="12" fillId="0" borderId="4" xfId="0" applyFont="1" applyBorder="1" applyAlignment="1">
      <alignment vertical="top"/>
    </xf>
    <xf numFmtId="0" fontId="11" fillId="0" borderId="10" xfId="0" applyFont="1" applyBorder="1" applyAlignment="1">
      <alignment vertical="top"/>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123825</xdr:colOff>
      <xdr:row>29</xdr:row>
      <xdr:rowOff>85726</xdr:rowOff>
    </xdr:from>
    <xdr:to>
      <xdr:col>7</xdr:col>
      <xdr:colOff>57150</xdr:colOff>
      <xdr:row>47</xdr:row>
      <xdr:rowOff>123826</xdr:rowOff>
    </xdr:to>
    <xdr:sp macro="" textlink="">
      <xdr:nvSpPr>
        <xdr:cNvPr id="4" name="TextBox 3"/>
        <xdr:cNvSpPr txBox="1"/>
      </xdr:nvSpPr>
      <xdr:spPr>
        <a:xfrm>
          <a:off x="123825" y="6153151"/>
          <a:ext cx="6305550" cy="346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FY08 = 6/8/07 - 6/18/08. FY09 = 6/19/08 - 6/3/09. (Total includes HELIN  membership fee.)</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one-time backfile purchases.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r>
            <a:rPr lang="en-US" sz="1100" baseline="0"/>
            <a:t>The DECREASE  OF 18.3% in total serials spending from FY08 to FY09 is primarily the result of the 2009 serials cut of $427,175, but also the fact that at the end of FY08 our "supplement" from University administration was particularly large, larger than in FY09. In addition, during the serials cut of 2009, some titles were switched to endowments, lowering the general expenditures and increasing endowment expenditures for FY09 relative to FY08.</a:t>
          </a:r>
        </a:p>
        <a:p>
          <a:endParaRPr lang="en-US" sz="1100" baseline="0"/>
        </a:p>
        <a:p>
          <a:r>
            <a:rPr lang="en-US" sz="1100" baseline="0"/>
            <a:t>3.  Total spending on serials to support GSO is </a:t>
          </a:r>
          <a:r>
            <a:rPr lang="en-US" sz="1100" baseline="0">
              <a:solidFill>
                <a:sysClr val="windowText" lastClr="000000"/>
              </a:solidFill>
            </a:rPr>
            <a:t>$97,833.33 </a:t>
          </a:r>
          <a:r>
            <a:rPr lang="en-US" sz="1100" baseline="0"/>
            <a:t>(funds pelp + peep). </a:t>
          </a:r>
        </a:p>
        <a:p>
          <a:endParaRPr lang="en-US" sz="1100" baseline="0"/>
        </a:p>
        <a:p>
          <a:r>
            <a:rPr lang="en-US" sz="1100" baseline="0"/>
            <a:t>4. Total spending on serials to support CCE is </a:t>
          </a:r>
          <a:r>
            <a:rPr lang="en-US" sz="1100" baseline="0">
              <a:solidFill>
                <a:sysClr val="windowText" lastClr="000000"/>
              </a:solidFill>
            </a:rPr>
            <a:t>$4,817.91 (</a:t>
          </a:r>
          <a:r>
            <a:rPr lang="en-US" sz="1100" baseline="0"/>
            <a:t>funds ccep + ceep). This represents an almost complete cancellation of serials at CCE for the 2009 subscription year.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34</xdr:row>
      <xdr:rowOff>85725</xdr:rowOff>
    </xdr:from>
    <xdr:to>
      <xdr:col>3</xdr:col>
      <xdr:colOff>638175</xdr:colOff>
      <xdr:row>61</xdr:row>
      <xdr:rowOff>85724</xdr:rowOff>
    </xdr:to>
    <xdr:sp macro="" textlink="">
      <xdr:nvSpPr>
        <xdr:cNvPr id="4" name="TextBox 3"/>
        <xdr:cNvSpPr txBox="1"/>
      </xdr:nvSpPr>
      <xdr:spPr>
        <a:xfrm>
          <a:off x="114300" y="6600825"/>
          <a:ext cx="5686425" cy="437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1. All numbers by categories</a:t>
          </a:r>
          <a:r>
            <a:rPr lang="en-US" sz="1100" baseline="0"/>
            <a:t> are estimates, thus the total does not match with fiscal close.  USE FISCAL CLOSE DATA as most authoritative. Use this data only to gauge relative expenditures by format. </a:t>
          </a:r>
        </a:p>
        <a:p>
          <a:endParaRPr lang="en-US" sz="1100" baseline="0"/>
        </a:p>
        <a:p>
          <a:r>
            <a:rPr lang="en-US" sz="1100" baseline="0"/>
            <a:t>2. "Print subscriptions" include print + online subscriptions.</a:t>
          </a:r>
        </a:p>
        <a:p>
          <a:endParaRPr lang="en-US" sz="1100" baseline="0"/>
        </a:p>
        <a:p>
          <a:r>
            <a:rPr lang="en-US" sz="1100" baseline="0"/>
            <a:t>3. Subscriptions include endowment spending.</a:t>
          </a:r>
          <a:endParaRPr lang="en-US" sz="1100"/>
        </a:p>
        <a:p>
          <a:endParaRPr lang="en-US" sz="1100"/>
        </a:p>
        <a:p>
          <a:r>
            <a:rPr lang="en-US" sz="1100"/>
            <a:t>*Access fees to purchased content include:</a:t>
          </a:r>
        </a:p>
        <a:p>
          <a:r>
            <a:rPr lang="en-US" sz="1100"/>
            <a:t>Gale Literature Resource</a:t>
          </a:r>
          <a:r>
            <a:rPr lang="en-US" sz="1100" baseline="0"/>
            <a:t> Center ($1,874)</a:t>
          </a:r>
        </a:p>
        <a:p>
          <a:r>
            <a:rPr lang="en-US" sz="1100"/>
            <a:t>JSTOR</a:t>
          </a:r>
          <a:r>
            <a:rPr lang="en-US" sz="1100" baseline="0"/>
            <a:t> access ($40,100)</a:t>
          </a:r>
        </a:p>
        <a:p>
          <a:r>
            <a:rPr lang="en-US" sz="1100" baseline="0"/>
            <a:t>Readex Congressional Serial Set ($2,188)</a:t>
          </a:r>
        </a:p>
        <a:p>
          <a:r>
            <a:rPr lang="en-US" sz="1100" baseline="0"/>
            <a:t>Sage Deep Backfile ($500)</a:t>
          </a:r>
        </a:p>
        <a:p>
          <a:r>
            <a:rPr lang="en-US" sz="1100" baseline="0"/>
            <a:t>Wilson Art Index Retro ($581)</a:t>
          </a:r>
        </a:p>
        <a:p>
          <a:r>
            <a:rPr lang="en-US" sz="1100" baseline="0"/>
            <a:t>Wilson Education Index Retro ($798)</a:t>
          </a:r>
        </a:p>
        <a:p>
          <a:r>
            <a:rPr lang="en-US" sz="1100" baseline="0"/>
            <a:t>Wilson Humanities &amp; Social Sciences Retro ($822)</a:t>
          </a:r>
        </a:p>
        <a:p>
          <a:r>
            <a:rPr lang="en-US" sz="1100" baseline="0"/>
            <a:t>Wilson Readers Guide Retro ($326)</a:t>
          </a:r>
        </a:p>
        <a:p>
          <a:r>
            <a:rPr lang="en-US" sz="1100" baseline="0"/>
            <a:t>TOTAL:  $47,189.00</a:t>
          </a:r>
        </a:p>
        <a:p>
          <a:endParaRPr lang="en-US" sz="1100" baseline="0"/>
        </a:p>
        <a:p>
          <a:r>
            <a:rPr lang="en-US" sz="1100">
              <a:solidFill>
                <a:schemeClr val="dk1"/>
              </a:solidFill>
              <a:latin typeface="+mn-lt"/>
              <a:ea typeface="+mn-ea"/>
              <a:cs typeface="+mn-cs"/>
            </a:rPr>
            <a:t>**Software</a:t>
          </a:r>
          <a:r>
            <a:rPr lang="en-US" sz="1100" baseline="0">
              <a:solidFill>
                <a:schemeClr val="dk1"/>
              </a:solidFill>
              <a:latin typeface="+mn-lt"/>
              <a:ea typeface="+mn-ea"/>
              <a:cs typeface="+mn-cs"/>
            </a:rPr>
            <a:t> includes:</a:t>
          </a:r>
          <a:endParaRPr lang="en-US"/>
        </a:p>
        <a:p>
          <a:r>
            <a:rPr lang="en-US" sz="1100" baseline="0">
              <a:solidFill>
                <a:schemeClr val="dk1"/>
              </a:solidFill>
              <a:latin typeface="+mn-lt"/>
              <a:ea typeface="+mn-ea"/>
              <a:cs typeface="+mn-cs"/>
            </a:rPr>
            <a:t>Baker &amp; Taylor Content Café [book covers] ($1,837.33)</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BePress Digital Commons ($12,000)</a:t>
          </a:r>
          <a:endParaRPr lang="en-US" sz="1100">
            <a:solidFill>
              <a:schemeClr val="dk1"/>
            </a:solidFill>
            <a:latin typeface="+mn-lt"/>
            <a:ea typeface="+mn-ea"/>
            <a:cs typeface="+mn-cs"/>
          </a:endParaRPr>
        </a:p>
        <a:p>
          <a:r>
            <a:rPr lang="en-US" sz="1100" baseline="0">
              <a:solidFill>
                <a:schemeClr val="dk1"/>
              </a:solidFill>
              <a:latin typeface="+mn-lt"/>
              <a:ea typeface="+mn-ea"/>
              <a:cs typeface="+mn-cs"/>
            </a:rPr>
            <a:t>Serials Solutions [A to Z, 360 Link, MARC Records, 360 COUNTER] ($24,344)</a:t>
          </a:r>
          <a:endParaRPr lang="en-US"/>
        </a:p>
        <a:p>
          <a:r>
            <a:rPr lang="en-US" sz="1100" baseline="0">
              <a:solidFill>
                <a:schemeClr val="dk1"/>
              </a:solidFill>
              <a:latin typeface="+mn-lt"/>
              <a:ea typeface="+mn-ea"/>
              <a:cs typeface="+mn-cs"/>
            </a:rPr>
            <a:t>RefWorks [bibliographic software] ($13,360)</a:t>
          </a:r>
        </a:p>
        <a:p>
          <a:r>
            <a:rPr lang="en-US" sz="1100" baseline="0">
              <a:solidFill>
                <a:schemeClr val="dk1"/>
              </a:solidFill>
              <a:latin typeface="+mn-lt"/>
              <a:ea typeface="+mn-ea"/>
              <a:cs typeface="+mn-cs"/>
            </a:rPr>
            <a:t>TOTAL:  $51,541.33</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30</xdr:row>
      <xdr:rowOff>57151</xdr:rowOff>
    </xdr:from>
    <xdr:to>
      <xdr:col>5</xdr:col>
      <xdr:colOff>714375</xdr:colOff>
      <xdr:row>43</xdr:row>
      <xdr:rowOff>0</xdr:rowOff>
    </xdr:to>
    <xdr:sp macro="" textlink="">
      <xdr:nvSpPr>
        <xdr:cNvPr id="5" name="TextBox 4"/>
        <xdr:cNvSpPr txBox="1"/>
      </xdr:nvSpPr>
      <xdr:spPr>
        <a:xfrm>
          <a:off x="95250" y="6038851"/>
          <a:ext cx="6305550" cy="2276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a:t>
          </a:r>
          <a:r>
            <a:rPr lang="en-US" sz="1100">
              <a:solidFill>
                <a:schemeClr val="dk1"/>
              </a:solidFill>
              <a:latin typeface="+mn-lt"/>
              <a:ea typeface="+mn-ea"/>
              <a:cs typeface="+mn-cs"/>
            </a:rPr>
            <a:t>Method:</a:t>
          </a:r>
          <a:r>
            <a:rPr lang="en-US" sz="1100" baseline="0">
              <a:solidFill>
                <a:schemeClr val="dk1"/>
              </a:solidFill>
              <a:latin typeface="+mn-lt"/>
              <a:ea typeface="+mn-ea"/>
              <a:cs typeface="+mn-cs"/>
            </a:rPr>
            <a:t> Use official "fiscal close" report figures (same as "$ serials totals" tab).</a:t>
          </a:r>
          <a:endParaRPr lang="en-US" sz="1100" baseline="0"/>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one-time backfile purchases.  Thus the numbers do not correspond exactly to the cost of materials purchased for a given fiscal year — the result of the </a:t>
          </a:r>
          <a:r>
            <a:rPr lang="en-US" b="0"/>
            <a:t>vicissitudes</a:t>
          </a:r>
          <a:r>
            <a:rPr lang="en-US" b="1"/>
            <a:t> </a:t>
          </a:r>
          <a:r>
            <a:rPr lang="en-US" sz="1100" baseline="0"/>
            <a:t>of University funding.</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3. CCE is the only library with a "healthy" monographs: serials ratio of approximately 60:40.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4. Greater monograph expenditure for FY08 reflects total payments to Strand of $225,000. In FY09, we paid Strand only $100.000.</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11</xdr:row>
      <xdr:rowOff>66675</xdr:rowOff>
    </xdr:from>
    <xdr:to>
      <xdr:col>4</xdr:col>
      <xdr:colOff>314325</xdr:colOff>
      <xdr:row>22</xdr:row>
      <xdr:rowOff>180975</xdr:rowOff>
    </xdr:to>
    <xdr:sp macro="" textlink="">
      <xdr:nvSpPr>
        <xdr:cNvPr id="3" name="TextBox 2"/>
        <xdr:cNvSpPr txBox="1"/>
      </xdr:nvSpPr>
      <xdr:spPr>
        <a:xfrm>
          <a:off x="123825" y="3381375"/>
          <a:ext cx="480060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a:t>
          </a:r>
          <a:r>
            <a:rPr lang="en-US" sz="1100">
              <a:solidFill>
                <a:schemeClr val="dk1"/>
              </a:solidFill>
              <a:latin typeface="+mn-lt"/>
              <a:ea typeface="+mn-ea"/>
              <a:cs typeface="+mn-cs"/>
            </a:rPr>
            <a:t>Backfiles purchased</a:t>
          </a:r>
          <a:r>
            <a:rPr lang="en-US" sz="1100" baseline="0">
              <a:solidFill>
                <a:schemeClr val="dk1"/>
              </a:solidFill>
              <a:latin typeface="+mn-lt"/>
              <a:ea typeface="+mn-ea"/>
              <a:cs typeface="+mn-cs"/>
            </a:rPr>
            <a:t> in 2007-2008 (totalling $20,124) were paid from the FY08 library budget but were posted in FY09. The "extra" $20,124 is included in all FY09 figures in this annual report.</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Backfiles purchaded in 2008-2009 (totalling $255,115) were paid for from a FY09 supplement of $245,000 given by the Provost. In FY09, the supplement could be used for one-time serial purchases only, however the supplement will continue in future years, with $100,000 added to the materials budget and $145,000 for positions.  </a:t>
          </a:r>
          <a:endParaRPr lang="en-US" sz="110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13</xdr:row>
      <xdr:rowOff>152400</xdr:rowOff>
    </xdr:from>
    <xdr:to>
      <xdr:col>8</xdr:col>
      <xdr:colOff>314325</xdr:colOff>
      <xdr:row>30</xdr:row>
      <xdr:rowOff>47625</xdr:rowOff>
    </xdr:to>
    <xdr:sp macro="" textlink="">
      <xdr:nvSpPr>
        <xdr:cNvPr id="4" name="TextBox 3"/>
        <xdr:cNvSpPr txBox="1"/>
      </xdr:nvSpPr>
      <xdr:spPr>
        <a:xfrm>
          <a:off x="66675" y="2895600"/>
          <a:ext cx="6648450" cy="3076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(same as "$ serials totals" tab).</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one-time backfile purchases.  Thus the numbers do not correspond exactly to the cost of materials purchased for a given fiscal year — the result of the </a:t>
          </a:r>
          <a:r>
            <a:rPr lang="en-US" b="0"/>
            <a:t>vicissitudes</a:t>
          </a:r>
          <a:r>
            <a:rPr lang="en-US" b="1"/>
            <a:t> </a:t>
          </a:r>
          <a:r>
            <a:rPr lang="en-US" sz="1100" baseline="0"/>
            <a:t>of University funding.</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Note: The total library budget took an 11.5% cut for FY09. Total cuts were as follows:</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t>Staff: $121,350</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t>Electronic  journals (FY08 cut): $219,000</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t>Pell &amp; CCE (capital/materials): $104,000</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t>Main library (capital/materials): $355,000</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t>Student help: $5,700</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baseline="0"/>
            <a:t>TOTAL: $805,050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63</xdr:row>
      <xdr:rowOff>171450</xdr:rowOff>
    </xdr:from>
    <xdr:to>
      <xdr:col>5</xdr:col>
      <xdr:colOff>790575</xdr:colOff>
      <xdr:row>76</xdr:row>
      <xdr:rowOff>161925</xdr:rowOff>
    </xdr:to>
    <xdr:sp macro="" textlink="">
      <xdr:nvSpPr>
        <xdr:cNvPr id="5" name="TextBox 4"/>
        <xdr:cNvSpPr txBox="1"/>
      </xdr:nvSpPr>
      <xdr:spPr>
        <a:xfrm>
          <a:off x="114300" y="12439650"/>
          <a:ext cx="5915025" cy="2466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serials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Some dramatic changes in individual fund expenditures are due to the serials cut; others are do to shifting journals to endowment funds or between funds.</a:t>
          </a:r>
          <a:endParaRPr lang="en-US"/>
        </a:p>
        <a:p>
          <a:endParaRPr lang="en-US" sz="1100" baseline="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95250</xdr:colOff>
      <xdr:row>53</xdr:row>
      <xdr:rowOff>161925</xdr:rowOff>
    </xdr:from>
    <xdr:to>
      <xdr:col>5</xdr:col>
      <xdr:colOff>314325</xdr:colOff>
      <xdr:row>71</xdr:row>
      <xdr:rowOff>9525</xdr:rowOff>
    </xdr:to>
    <xdr:sp macro="" textlink="">
      <xdr:nvSpPr>
        <xdr:cNvPr id="4" name="TextBox 3"/>
        <xdr:cNvSpPr txBox="1"/>
      </xdr:nvSpPr>
      <xdr:spPr>
        <a:xfrm>
          <a:off x="95250" y="10591800"/>
          <a:ext cx="5924550" cy="2905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location starts with riu, rix, or rin. Run a statistical report on expenditures during last fiscal year [check dates], displayed by vendor. Export to Excel; attempt to remove all monograph vendors.</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serials expenditures because some monograph expenditures mixed into expenditures by vendor and some codes are in error. </a:t>
          </a:r>
          <a:endParaRPr lang="en-US"/>
        </a:p>
        <a:p>
          <a:endParaRPr lang="en-US" sz="1100" baseline="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114300</xdr:colOff>
      <xdr:row>12</xdr:row>
      <xdr:rowOff>19050</xdr:rowOff>
    </xdr:from>
    <xdr:to>
      <xdr:col>6</xdr:col>
      <xdr:colOff>485775</xdr:colOff>
      <xdr:row>26</xdr:row>
      <xdr:rowOff>152400</xdr:rowOff>
    </xdr:to>
    <xdr:sp macro="" textlink="">
      <xdr:nvSpPr>
        <xdr:cNvPr id="5" name="TextBox 4"/>
        <xdr:cNvSpPr txBox="1"/>
      </xdr:nvSpPr>
      <xdr:spPr>
        <a:xfrm>
          <a:off x="114300" y="2743200"/>
          <a:ext cx="6000750"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location starts with riu, rix, or rin. Run a statistical report on expenditures during last fiscal year [check dates],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Kingston only.</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5. Select locations only; does not include all locations. </a:t>
          </a: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xdr:colOff>
      <xdr:row>60</xdr:row>
      <xdr:rowOff>104776</xdr:rowOff>
    </xdr:from>
    <xdr:to>
      <xdr:col>3</xdr:col>
      <xdr:colOff>409575</xdr:colOff>
      <xdr:row>68</xdr:row>
      <xdr:rowOff>9526</xdr:rowOff>
    </xdr:to>
    <xdr:sp macro="" textlink="">
      <xdr:nvSpPr>
        <xdr:cNvPr id="2" name="TextBox 1"/>
        <xdr:cNvSpPr txBox="1"/>
      </xdr:nvSpPr>
      <xdr:spPr>
        <a:xfrm>
          <a:off x="38100" y="11563351"/>
          <a:ext cx="349567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checkin records with location starts with riu, rix, or rin AND status (SCODE3) = active. Run a statistical report on location. Export to Excel.</a:t>
          </a:r>
        </a:p>
        <a:p>
          <a:endParaRPr lang="en-US" sz="1100" baseline="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123825</xdr:colOff>
      <xdr:row>17</xdr:row>
      <xdr:rowOff>104775</xdr:rowOff>
    </xdr:from>
    <xdr:to>
      <xdr:col>4</xdr:col>
      <xdr:colOff>733425</xdr:colOff>
      <xdr:row>32</xdr:row>
      <xdr:rowOff>19050</xdr:rowOff>
    </xdr:to>
    <xdr:sp macro="" textlink="">
      <xdr:nvSpPr>
        <xdr:cNvPr id="8" name="TextBox 7"/>
        <xdr:cNvSpPr txBox="1"/>
      </xdr:nvSpPr>
      <xdr:spPr>
        <a:xfrm>
          <a:off x="123825" y="4210050"/>
          <a:ext cx="5019675" cy="2771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FY08 Kingston expenditures on serials of $3,122,274.89 needs to be adjusted to reflect what</a:t>
          </a:r>
          <a:r>
            <a:rPr lang="en-US" sz="1100" baseline="0"/>
            <a:t> amount was spent on FY08 content.</a:t>
          </a:r>
        </a:p>
        <a:p>
          <a:endParaRPr lang="en-US" sz="1100" baseline="0"/>
        </a:p>
        <a:p>
          <a:r>
            <a:rPr lang="en-US" sz="1100" baseline="0"/>
            <a:t>SUBTRACT</a:t>
          </a:r>
        </a:p>
        <a:p>
          <a:r>
            <a:rPr lang="en-US" sz="1100" baseline="0"/>
            <a:t>1. $504,000.00 prepayment made in FY08 for FY09 materials through HELIN.</a:t>
          </a:r>
        </a:p>
        <a:p>
          <a:r>
            <a:rPr lang="en-US" sz="1100" baseline="0"/>
            <a:t>2. $335,336 payment made in FY08 to HELIN for one-time backfile purchases. The total amount of backfiles purchased ended up being less, but this is what we paid HELIN, which was applied in FY09.</a:t>
          </a:r>
        </a:p>
        <a:p>
          <a:endParaRPr lang="en-US" sz="1100" baseline="0"/>
        </a:p>
        <a:p>
          <a:r>
            <a:rPr lang="en-US" sz="1100" baseline="0"/>
            <a:t>ADD</a:t>
          </a:r>
        </a:p>
        <a:p>
          <a:r>
            <a:rPr lang="en-US" sz="1100" baseline="0"/>
            <a:t>1. $204,693.03 payment made to HELIN [never posted] at the end of FY07 as a prepay for FY08 content.</a:t>
          </a:r>
        </a:p>
        <a:p>
          <a:endParaRPr lang="en-US" sz="1100" baseline="0"/>
        </a:p>
        <a:p>
          <a:r>
            <a:rPr lang="en-US" sz="1100" baseline="0"/>
            <a:t>RESULT</a:t>
          </a:r>
        </a:p>
        <a:p>
          <a:r>
            <a:rPr lang="en-US" sz="1100" baseline="0"/>
            <a:t>Final Kingston expenditures on serials for FY08 was $2,487,631.92.</a:t>
          </a:r>
          <a:endParaRPr lang="en-US" sz="1100"/>
        </a:p>
      </xdr:txBody>
    </xdr:sp>
    <xdr:clientData/>
  </xdr:twoCellAnchor>
  <xdr:twoCellAnchor>
    <xdr:from>
      <xdr:col>0</xdr:col>
      <xdr:colOff>133350</xdr:colOff>
      <xdr:row>32</xdr:row>
      <xdr:rowOff>142874</xdr:rowOff>
    </xdr:from>
    <xdr:to>
      <xdr:col>4</xdr:col>
      <xdr:colOff>781050</xdr:colOff>
      <xdr:row>49</xdr:row>
      <xdr:rowOff>85724</xdr:rowOff>
    </xdr:to>
    <xdr:sp macro="" textlink="">
      <xdr:nvSpPr>
        <xdr:cNvPr id="9" name="TextBox 8"/>
        <xdr:cNvSpPr txBox="1"/>
      </xdr:nvSpPr>
      <xdr:spPr>
        <a:xfrm>
          <a:off x="133350" y="7105649"/>
          <a:ext cx="5057775" cy="2695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FY09 Kingston expenditures on serials of $2,602,491.17 needs to be adjusted to reflect what</a:t>
          </a:r>
          <a:r>
            <a:rPr lang="en-US" sz="1100" baseline="0"/>
            <a:t> amount was spent on FY09 content.</a:t>
          </a:r>
        </a:p>
        <a:p>
          <a:endParaRPr lang="en-US" sz="1100" baseline="0"/>
        </a:p>
        <a:p>
          <a:r>
            <a:rPr lang="en-US" sz="1100" baseline="0"/>
            <a:t>SUBTRACT</a:t>
          </a:r>
        </a:p>
        <a:p>
          <a:r>
            <a:rPr lang="en-US" sz="1100" baseline="0"/>
            <a:t>1. $546,000.00 prepayment made in FY09 for FY10 materials through HELIN.</a:t>
          </a:r>
        </a:p>
        <a:p>
          <a:r>
            <a:rPr lang="en-US" sz="1100" baseline="0"/>
            <a:t>2. $244,275 payment made in FY09 to HELIN for one-time backfile purchases plus other publisher-direct backfile purchases posted in early FY09 totalling $20,124. Total backfiles = $264,399. </a:t>
          </a:r>
        </a:p>
        <a:p>
          <a:endParaRPr lang="en-US" sz="1100" baseline="0"/>
        </a:p>
        <a:p>
          <a:r>
            <a:rPr lang="en-US" sz="1100" baseline="0"/>
            <a:t>ADD</a:t>
          </a:r>
        </a:p>
        <a:p>
          <a:r>
            <a:rPr lang="en-US" sz="1100" baseline="0"/>
            <a:t>1. $504,000.00 payment made to HELIN at the end of FY08 as a prepay for FY09 content.</a:t>
          </a:r>
        </a:p>
        <a:p>
          <a:endParaRPr lang="en-US" sz="1100" baseline="0"/>
        </a:p>
        <a:p>
          <a:r>
            <a:rPr lang="en-US" sz="1100" baseline="0"/>
            <a:t>RESULT</a:t>
          </a:r>
        </a:p>
        <a:p>
          <a:r>
            <a:rPr lang="en-US" sz="1100" baseline="0"/>
            <a:t>Final Kingston expenditures on serials for FY09 was $2,296,092.17.</a:t>
          </a:r>
          <a:endParaRPr lang="en-US" sz="1100"/>
        </a:p>
      </xdr:txBody>
    </xdr:sp>
    <xdr:clientData/>
  </xdr:twoCellAnchor>
  <xdr:twoCellAnchor>
    <xdr:from>
      <xdr:col>0</xdr:col>
      <xdr:colOff>152400</xdr:colOff>
      <xdr:row>50</xdr:row>
      <xdr:rowOff>85726</xdr:rowOff>
    </xdr:from>
    <xdr:to>
      <xdr:col>4</xdr:col>
      <xdr:colOff>704850</xdr:colOff>
      <xdr:row>59</xdr:row>
      <xdr:rowOff>142875</xdr:rowOff>
    </xdr:to>
    <xdr:sp macro="" textlink="">
      <xdr:nvSpPr>
        <xdr:cNvPr id="10" name="TextBox 9"/>
        <xdr:cNvSpPr txBox="1"/>
      </xdr:nvSpPr>
      <xdr:spPr>
        <a:xfrm>
          <a:off x="152400" y="9963151"/>
          <a:ext cx="4962525" cy="1514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FY08 Kingston expenditures on monographs of $435,864.29 needs to be adjusted to reflect what</a:t>
          </a:r>
          <a:r>
            <a:rPr lang="en-US" sz="1100" baseline="0"/>
            <a:t> amount was spent on FY08 content.</a:t>
          </a:r>
        </a:p>
        <a:p>
          <a:endParaRPr lang="en-US" sz="1100" baseline="0"/>
        </a:p>
        <a:p>
          <a:r>
            <a:rPr lang="en-US" sz="1100" baseline="0"/>
            <a:t>SUBTRACT</a:t>
          </a:r>
        </a:p>
        <a:p>
          <a:r>
            <a:rPr lang="en-US" sz="1100" baseline="0"/>
            <a:t>1. $140,636.02 on deposit with Strand which will be used in FY09.</a:t>
          </a:r>
        </a:p>
        <a:p>
          <a:endParaRPr lang="en-US" sz="1100" baseline="0"/>
        </a:p>
        <a:p>
          <a:r>
            <a:rPr lang="en-US" sz="1100" baseline="0"/>
            <a:t>RESULT</a:t>
          </a:r>
        </a:p>
        <a:p>
          <a:r>
            <a:rPr lang="en-US" sz="1100" baseline="0"/>
            <a:t>Final Kingston expenditures on monographs for FY08 was $295,228.27</a:t>
          </a:r>
          <a:endParaRPr lang="en-US" sz="1100"/>
        </a:p>
      </xdr:txBody>
    </xdr:sp>
    <xdr:clientData/>
  </xdr:twoCellAnchor>
  <xdr:twoCellAnchor>
    <xdr:from>
      <xdr:col>0</xdr:col>
      <xdr:colOff>171451</xdr:colOff>
      <xdr:row>60</xdr:row>
      <xdr:rowOff>142875</xdr:rowOff>
    </xdr:from>
    <xdr:to>
      <xdr:col>4</xdr:col>
      <xdr:colOff>695326</xdr:colOff>
      <xdr:row>74</xdr:row>
      <xdr:rowOff>142875</xdr:rowOff>
    </xdr:to>
    <xdr:sp macro="" textlink="">
      <xdr:nvSpPr>
        <xdr:cNvPr id="11" name="TextBox 10"/>
        <xdr:cNvSpPr txBox="1"/>
      </xdr:nvSpPr>
      <xdr:spPr>
        <a:xfrm>
          <a:off x="171451" y="11353800"/>
          <a:ext cx="4933950" cy="2266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FY09 Kingston expenditures on monographs of $302,430.28 needs to be adjusted to reflect what</a:t>
          </a:r>
          <a:r>
            <a:rPr lang="en-US" sz="1100" baseline="0"/>
            <a:t> amount was spent on FY09 content.</a:t>
          </a:r>
        </a:p>
        <a:p>
          <a:endParaRPr lang="en-US" sz="1100" baseline="0"/>
        </a:p>
        <a:p>
          <a:r>
            <a:rPr lang="en-US" sz="1100" baseline="0"/>
            <a:t>SUBTRACT</a:t>
          </a:r>
        </a:p>
        <a:p>
          <a:r>
            <a:rPr lang="en-US" sz="1100" baseline="0"/>
            <a:t>1. $107,881.21 remaining on deposit with Strand for FY10 books. </a:t>
          </a:r>
        </a:p>
        <a:p>
          <a:r>
            <a:rPr lang="en-US" sz="1100" baseline="0"/>
            <a:t>2. $49,544.95 prepayment made in FY09 for FY10 books through Strand.</a:t>
          </a:r>
        </a:p>
        <a:p>
          <a:endParaRPr lang="en-US" sz="1100" baseline="0"/>
        </a:p>
        <a:p>
          <a:r>
            <a:rPr lang="en-US" sz="1100" baseline="0">
              <a:solidFill>
                <a:schemeClr val="dk1"/>
              </a:solidFill>
              <a:latin typeface="+mn-lt"/>
              <a:ea typeface="+mn-ea"/>
              <a:cs typeface="+mn-cs"/>
            </a:rPr>
            <a:t>ADD</a:t>
          </a:r>
          <a:endParaRPr lang="en-US"/>
        </a:p>
        <a:p>
          <a:r>
            <a:rPr lang="en-US" sz="1100" baseline="0">
              <a:solidFill>
                <a:schemeClr val="dk1"/>
              </a:solidFill>
              <a:latin typeface="+mn-lt"/>
              <a:ea typeface="+mn-ea"/>
              <a:cs typeface="+mn-cs"/>
            </a:rPr>
            <a:t>1. $140,636.02 on deposit with Strand at the end of FY08 to be used in FY09.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a:t>
          </a:r>
          <a:r>
            <a:rPr lang="en-US" sz="1100" baseline="0"/>
            <a:t>ESULT</a:t>
          </a:r>
        </a:p>
        <a:p>
          <a:r>
            <a:rPr lang="en-US" sz="1100" baseline="0"/>
            <a:t>Final Kingston expenditures on monographs for FY09 was $285,640.14</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85725</xdr:colOff>
      <xdr:row>25</xdr:row>
      <xdr:rowOff>9526</xdr:rowOff>
    </xdr:from>
    <xdr:to>
      <xdr:col>3</xdr:col>
      <xdr:colOff>2724150</xdr:colOff>
      <xdr:row>34</xdr:row>
      <xdr:rowOff>66676</xdr:rowOff>
    </xdr:to>
    <xdr:sp macro="" textlink="">
      <xdr:nvSpPr>
        <xdr:cNvPr id="15361" name="Text Box 1"/>
        <xdr:cNvSpPr txBox="1">
          <a:spLocks noChangeArrowheads="1"/>
        </xdr:cNvSpPr>
      </xdr:nvSpPr>
      <xdr:spPr bwMode="auto">
        <a:xfrm>
          <a:off x="85725" y="4829176"/>
          <a:ext cx="9648825" cy="177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u="sng">
              <a:solidFill>
                <a:schemeClr val="dk1"/>
              </a:solidFill>
              <a:latin typeface="+mn-lt"/>
              <a:ea typeface="+mn-ea"/>
              <a:cs typeface="+mn-cs"/>
            </a:rPr>
            <a:t>Notes / Instructions</a:t>
          </a:r>
          <a:r>
            <a:rPr lang="en-US" sz="1100">
              <a:solidFill>
                <a:schemeClr val="dk1"/>
              </a:solidFill>
              <a:latin typeface="+mn-lt"/>
              <a:ea typeface="+mn-ea"/>
              <a:cs typeface="+mn-cs"/>
            </a:rPr>
            <a:t>: </a:t>
          </a:r>
        </a:p>
        <a:p>
          <a:pPr marL="0" indent="0" algn="l" rtl="1">
            <a:defRPr sz="1000"/>
          </a:pPr>
          <a:r>
            <a:rPr lang="en-US" sz="1100">
              <a:solidFill>
                <a:schemeClr val="dk1"/>
              </a:solidFill>
              <a:latin typeface="+mn-lt"/>
              <a:ea typeface="+mn-ea"/>
              <a:cs typeface="+mn-cs"/>
            </a:rPr>
            <a:t>Main campus (Kingston) only.</a:t>
          </a:r>
        </a:p>
        <a:p>
          <a:pPr marL="0" indent="0" algn="l" rtl="1">
            <a:defRPr sz="1000"/>
          </a:pPr>
          <a:r>
            <a:rPr lang="en-US" sz="1100">
              <a:solidFill>
                <a:schemeClr val="dk1"/>
              </a:solidFill>
              <a:latin typeface="+mn-lt"/>
              <a:ea typeface="+mn-ea"/>
              <a:cs typeface="+mn-cs"/>
            </a:rPr>
            <a:t>Unique serial titles, NOT SUBSCRIPTIONS</a:t>
          </a:r>
        </a:p>
        <a:p>
          <a:pPr marL="0" indent="0" algn="l" rtl="1">
            <a:defRPr sz="1000"/>
          </a:pPr>
          <a:r>
            <a:rPr lang="en-US" sz="1100">
              <a:solidFill>
                <a:schemeClr val="dk1"/>
              </a:solidFill>
              <a:latin typeface="+mn-lt"/>
              <a:ea typeface="+mn-ea"/>
              <a:cs typeface="+mn-cs"/>
            </a:rPr>
            <a:t>Report each title once, regardless of how many subscriptions or means of access you provide for that title.</a:t>
          </a:r>
        </a:p>
        <a:p>
          <a:pPr marL="0" indent="0" algn="l" rtl="1">
            <a:defRPr sz="1000"/>
          </a:pPr>
          <a:r>
            <a:rPr lang="en-US" sz="1100">
              <a:solidFill>
                <a:schemeClr val="dk1"/>
              </a:solidFill>
              <a:latin typeface="+mn-lt"/>
              <a:ea typeface="+mn-ea"/>
              <a:cs typeface="+mn-cs"/>
            </a:rPr>
            <a:t>If a purchased title includes electronic access to the title, count that title ONLY ONCE (DEDUPED) as electronic only.</a:t>
          </a:r>
        </a:p>
        <a:p>
          <a:pPr marL="0" indent="0" algn="l" rtl="1">
            <a:defRPr sz="1000"/>
          </a:pPr>
          <a:r>
            <a:rPr lang="en-US" sz="1100">
              <a:solidFill>
                <a:schemeClr val="dk1"/>
              </a:solidFill>
              <a:latin typeface="+mn-lt"/>
              <a:ea typeface="+mn-ea"/>
              <a:cs typeface="+mn-cs"/>
            </a:rPr>
            <a:t>Electronic serials acquired as part of a bundle or aggregated package should be counted at the title level.</a:t>
          </a:r>
        </a:p>
        <a:p>
          <a:pPr marL="0" indent="0" algn="l" rtl="1">
            <a:defRPr sz="1000"/>
          </a:pPr>
          <a:r>
            <a:rPr lang="en-US" sz="1100">
              <a:solidFill>
                <a:schemeClr val="dk1"/>
              </a:solidFill>
              <a:latin typeface="+mn-lt"/>
              <a:ea typeface="+mn-ea"/>
              <a:cs typeface="+mn-cs"/>
            </a:rPr>
            <a:t>If a database includes full-text and abstracted titles, the number of full-text titles can be counted.</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Count government documents serials or note that they are not counted.</a:t>
          </a:r>
        </a:p>
        <a:p>
          <a:pPr marL="0" indent="0" algn="l" rtl="1">
            <a:defRPr sz="1000"/>
          </a:pPr>
          <a:endParaRPr lang="en-US" sz="1100">
            <a:solidFill>
              <a:schemeClr val="dk1"/>
            </a:solidFill>
            <a:latin typeface="+mn-lt"/>
            <a:ea typeface="+mn-ea"/>
            <a:cs typeface="+mn-cs"/>
          </a:endParaRPr>
        </a:p>
      </xdr:txBody>
    </xdr:sp>
    <xdr:clientData/>
  </xdr:twoCellAnchor>
  <xdr:twoCellAnchor>
    <xdr:from>
      <xdr:col>0</xdr:col>
      <xdr:colOff>95250</xdr:colOff>
      <xdr:row>35</xdr:row>
      <xdr:rowOff>9525</xdr:rowOff>
    </xdr:from>
    <xdr:to>
      <xdr:col>3</xdr:col>
      <xdr:colOff>2714625</xdr:colOff>
      <xdr:row>39</xdr:row>
      <xdr:rowOff>57150</xdr:rowOff>
    </xdr:to>
    <xdr:sp macro="" textlink="">
      <xdr:nvSpPr>
        <xdr:cNvPr id="15363" name="Text Box 3"/>
        <xdr:cNvSpPr txBox="1">
          <a:spLocks noChangeArrowheads="1"/>
        </xdr:cNvSpPr>
      </xdr:nvSpPr>
      <xdr:spPr bwMode="auto">
        <a:xfrm>
          <a:off x="95250" y="6734175"/>
          <a:ext cx="962977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1b.i and 1b. ii</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Consult Serials Unit and MACC annual statistics. Include data from cataloging and calculate using the total holdings as reported previous year.</a:t>
          </a:r>
        </a:p>
        <a:p>
          <a:pPr marL="0" indent="0" algn="l" rtl="1">
            <a:defRPr sz="1000"/>
          </a:pP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xdr:txBody>
    </xdr:sp>
    <xdr:clientData/>
  </xdr:twoCellAnchor>
  <xdr:twoCellAnchor>
    <xdr:from>
      <xdr:col>0</xdr:col>
      <xdr:colOff>104775</xdr:colOff>
      <xdr:row>39</xdr:row>
      <xdr:rowOff>171450</xdr:rowOff>
    </xdr:from>
    <xdr:to>
      <xdr:col>3</xdr:col>
      <xdr:colOff>2724150</xdr:colOff>
      <xdr:row>44</xdr:row>
      <xdr:rowOff>28575</xdr:rowOff>
    </xdr:to>
    <xdr:sp macro="" textlink="">
      <xdr:nvSpPr>
        <xdr:cNvPr id="15364" name="Text Box 4"/>
        <xdr:cNvSpPr txBox="1">
          <a:spLocks noChangeArrowheads="1"/>
        </xdr:cNvSpPr>
      </xdr:nvSpPr>
      <xdr:spPr bwMode="auto">
        <a:xfrm>
          <a:off x="104775" y="7658100"/>
          <a:ext cx="9629775"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2</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Consult MACC annual statistics.</a:t>
          </a:r>
        </a:p>
      </xdr:txBody>
    </xdr:sp>
    <xdr:clientData/>
  </xdr:twoCellAnchor>
  <xdr:twoCellAnchor>
    <xdr:from>
      <xdr:col>0</xdr:col>
      <xdr:colOff>114300</xdr:colOff>
      <xdr:row>62</xdr:row>
      <xdr:rowOff>76200</xdr:rowOff>
    </xdr:from>
    <xdr:to>
      <xdr:col>3</xdr:col>
      <xdr:colOff>2752725</xdr:colOff>
      <xdr:row>78</xdr:row>
      <xdr:rowOff>104775</xdr:rowOff>
    </xdr:to>
    <xdr:sp macro="" textlink="">
      <xdr:nvSpPr>
        <xdr:cNvPr id="15366" name="Text Box 6"/>
        <xdr:cNvSpPr txBox="1">
          <a:spLocks noChangeArrowheads="1"/>
        </xdr:cNvSpPr>
      </xdr:nvSpPr>
      <xdr:spPr bwMode="auto">
        <a:xfrm>
          <a:off x="114300" y="11944350"/>
          <a:ext cx="9648825" cy="3076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4a.ii (Print [and other format] serial titles currently purchased): </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1. Create a review file of order records: RLOC = u; STATUS = f; ACQ TYPE does not equal gift. Run a statistical report, NOT broken down by a time period. View the results file by CODE2 and take the numbers from the Record Count Column.</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Print = 625</a:t>
          </a:r>
        </a:p>
        <a:p>
          <a:pPr marL="0" indent="0" algn="l" rtl="1">
            <a:defRPr sz="1000"/>
          </a:pPr>
          <a:r>
            <a:rPr lang="en-US" sz="1100">
              <a:solidFill>
                <a:schemeClr val="dk1"/>
              </a:solidFill>
              <a:latin typeface="+mn-lt"/>
              <a:ea typeface="+mn-ea"/>
              <a:cs typeface="+mn-cs"/>
            </a:rPr>
            <a:t>Print + Online = 136</a:t>
          </a:r>
        </a:p>
        <a:p>
          <a:pPr marL="0" indent="0" algn="l" rtl="1">
            <a:defRPr sz="1000"/>
          </a:pPr>
          <a:r>
            <a:rPr lang="en-US" sz="1100">
              <a:solidFill>
                <a:schemeClr val="dk1"/>
              </a:solidFill>
              <a:latin typeface="+mn-lt"/>
              <a:ea typeface="+mn-ea"/>
              <a:cs typeface="+mn-cs"/>
            </a:rPr>
            <a:t>Online Only = 871</a:t>
          </a:r>
        </a:p>
        <a:p>
          <a:pPr marL="0" indent="0" algn="l" rtl="1">
            <a:defRPr sz="1000"/>
          </a:pPr>
          <a:r>
            <a:rPr lang="en-US" sz="1100">
              <a:solidFill>
                <a:schemeClr val="dk1"/>
              </a:solidFill>
              <a:latin typeface="+mn-lt"/>
              <a:ea typeface="+mn-ea"/>
              <a:cs typeface="+mn-cs"/>
            </a:rPr>
            <a:t>Microform = 17</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[done 7/09]</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2. ARL does not want print + online counted twice: "If a purchased title includes electronic access to the title, count that title ONLY ONCE (DEDUPED) as electronic only." However, of the 136 print + online above, much of the free online is not really available online due to passwords. So we can assume that HALF of this number is essentially print only. Therefore, as an estimate, count HALF of print+online as print only. Total print, print + online, and microform.</a:t>
          </a:r>
        </a:p>
        <a:p>
          <a:pPr marL="0" indent="0" algn="l" rtl="1">
            <a:defRPr sz="1000"/>
          </a:pPr>
          <a:r>
            <a:rPr lang="en-US" sz="1100">
              <a:solidFill>
                <a:schemeClr val="dk1"/>
              </a:solidFill>
              <a:latin typeface="+mn-lt"/>
              <a:ea typeface="+mn-ea"/>
              <a:cs typeface="+mn-cs"/>
            </a:rPr>
            <a:t>Thus: </a:t>
          </a:r>
        </a:p>
        <a:p>
          <a:pPr marL="0" indent="0" algn="l" rtl="1">
            <a:defRPr sz="1000"/>
          </a:pPr>
          <a:r>
            <a:rPr lang="en-US" sz="1100">
              <a:solidFill>
                <a:schemeClr val="dk1"/>
              </a:solidFill>
              <a:latin typeface="+mn-lt"/>
              <a:ea typeface="+mn-ea"/>
              <a:cs typeface="+mn-cs"/>
            </a:rPr>
            <a:t>625+ (.5)(136) + 17 = 710.</a:t>
          </a:r>
        </a:p>
      </xdr:txBody>
    </xdr:sp>
    <xdr:clientData/>
  </xdr:twoCellAnchor>
  <xdr:twoCellAnchor>
    <xdr:from>
      <xdr:col>0</xdr:col>
      <xdr:colOff>123825</xdr:colOff>
      <xdr:row>44</xdr:row>
      <xdr:rowOff>95249</xdr:rowOff>
    </xdr:from>
    <xdr:to>
      <xdr:col>3</xdr:col>
      <xdr:colOff>2705100</xdr:colOff>
      <xdr:row>61</xdr:row>
      <xdr:rowOff>133350</xdr:rowOff>
    </xdr:to>
    <xdr:sp macro="" textlink="">
      <xdr:nvSpPr>
        <xdr:cNvPr id="12" name="TextBox 11"/>
        <xdr:cNvSpPr txBox="1"/>
      </xdr:nvSpPr>
      <xdr:spPr>
        <a:xfrm>
          <a:off x="123825" y="8534399"/>
          <a:ext cx="9591675" cy="3276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4a.i (Electronic serial titles currently purchased):</a:t>
          </a:r>
        </a:p>
        <a:p>
          <a:endParaRPr lang="en-US" sz="1100"/>
        </a:p>
        <a:p>
          <a:r>
            <a:rPr lang="en-US" sz="1100"/>
            <a:t>1. Use Serials Solutions "Overlap Analysis." DE-select anything not paid for (including state-wide database trials). RETAIN all paid-for subscriptions, including JSTOR and other archives and full-text A&amp;I databases. Take "Title Unique."</a:t>
          </a:r>
        </a:p>
        <a:p>
          <a:endParaRPr lang="en-US" sz="1100"/>
        </a:p>
        <a:p>
          <a:r>
            <a:rPr lang="en-US" b="1"/>
            <a:t>Title Unique  18,641 </a:t>
          </a:r>
        </a:p>
        <a:p>
          <a:r>
            <a:rPr lang="en-US"/>
            <a:t>Holding Unique  1,568 </a:t>
          </a:r>
        </a:p>
        <a:p>
          <a:r>
            <a:rPr lang="en-US"/>
            <a:t>Total Unique  20,209 </a:t>
          </a:r>
        </a:p>
        <a:p>
          <a:r>
            <a:rPr lang="en-US"/>
            <a:t>Full Holding Overlap  6,670 </a:t>
          </a:r>
        </a:p>
        <a:p>
          <a:r>
            <a:rPr lang="en-US"/>
            <a:t>Partial Holding Overlap  3,971 </a:t>
          </a:r>
        </a:p>
        <a:p>
          <a:r>
            <a:rPr lang="en-US"/>
            <a:t>Total Holding Overlap  10,641 </a:t>
          </a:r>
        </a:p>
        <a:p>
          <a:r>
            <a:rPr lang="en-US"/>
            <a:t>Title Overlap  155 </a:t>
          </a:r>
        </a:p>
        <a:p>
          <a:r>
            <a:rPr lang="en-US"/>
            <a:t>Total  31,005 </a:t>
          </a:r>
        </a:p>
        <a:p>
          <a:r>
            <a:rPr lang="en-US"/>
            <a:t>Percent Full Overlap  21.5 </a:t>
          </a:r>
        </a:p>
        <a:p>
          <a:r>
            <a:rPr lang="en-US"/>
            <a:t>Percent Unique  65.2</a:t>
          </a:r>
        </a:p>
        <a:p>
          <a:endParaRPr lang="en-US" sz="1100"/>
        </a:p>
        <a:p>
          <a:r>
            <a:rPr lang="en-US" sz="1100"/>
            <a:t>Note: This method is imperfect,</a:t>
          </a:r>
          <a:r>
            <a:rPr lang="en-US" sz="1100" baseline="0"/>
            <a:t> because it includes content that has been canceled, but we still have some access post-cancellation. However, given the definitions, this is the most accurate estimate possible.</a:t>
          </a:r>
          <a:endParaRPr lang="en-US" sz="1100"/>
        </a:p>
      </xdr:txBody>
    </xdr:sp>
    <xdr:clientData/>
  </xdr:twoCellAnchor>
  <xdr:twoCellAnchor>
    <xdr:from>
      <xdr:col>0</xdr:col>
      <xdr:colOff>123825</xdr:colOff>
      <xdr:row>79</xdr:row>
      <xdr:rowOff>9525</xdr:rowOff>
    </xdr:from>
    <xdr:to>
      <xdr:col>3</xdr:col>
      <xdr:colOff>2638425</xdr:colOff>
      <xdr:row>85</xdr:row>
      <xdr:rowOff>95250</xdr:rowOff>
    </xdr:to>
    <xdr:sp macro="" textlink="">
      <xdr:nvSpPr>
        <xdr:cNvPr id="13" name="TextBox 12"/>
        <xdr:cNvSpPr txBox="1"/>
      </xdr:nvSpPr>
      <xdr:spPr>
        <a:xfrm>
          <a:off x="123825" y="15116175"/>
          <a:ext cx="9525000"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4b.i (Consortial serial titles currently received but not purchased):</a:t>
          </a:r>
        </a:p>
        <a:p>
          <a:endParaRPr lang="en-US" sz="1100"/>
        </a:p>
        <a:p>
          <a:r>
            <a:rPr lang="en-US" sz="1100"/>
            <a:t>Perform</a:t>
          </a:r>
          <a:r>
            <a:rPr lang="en-US" sz="1100" baseline="0"/>
            <a:t> a Serials Solutions overlap analysis on the RI State Database Trial databases only. Take "Title Unique."</a:t>
          </a:r>
        </a:p>
        <a:p>
          <a:endParaRPr lang="en-US" sz="1100" baseline="0"/>
        </a:p>
        <a:p>
          <a:r>
            <a:rPr lang="en-US" sz="1100" baseline="0"/>
            <a:t>Note: These aren't necessarily entirely different titles than in 4a.i. So total unique titles accessed by URI will actually be a smaller number than the total of all of Question 4, but there is no practical way to de-duplicate 4a.i. and 4b.i.</a:t>
          </a:r>
          <a:endParaRPr lang="en-US" sz="1100"/>
        </a:p>
      </xdr:txBody>
    </xdr:sp>
    <xdr:clientData/>
  </xdr:twoCellAnchor>
  <xdr:twoCellAnchor>
    <xdr:from>
      <xdr:col>0</xdr:col>
      <xdr:colOff>142875</xdr:colOff>
      <xdr:row>85</xdr:row>
      <xdr:rowOff>161924</xdr:rowOff>
    </xdr:from>
    <xdr:to>
      <xdr:col>3</xdr:col>
      <xdr:colOff>2657475</xdr:colOff>
      <xdr:row>102</xdr:row>
      <xdr:rowOff>0</xdr:rowOff>
    </xdr:to>
    <xdr:sp macro="" textlink="">
      <xdr:nvSpPr>
        <xdr:cNvPr id="14" name="TextBox 13"/>
        <xdr:cNvSpPr txBox="1"/>
      </xdr:nvSpPr>
      <xdr:spPr>
        <a:xfrm>
          <a:off x="142875" y="16411574"/>
          <a:ext cx="9525000" cy="30765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4b.ii</a:t>
          </a:r>
          <a:r>
            <a:rPr lang="en-US" sz="1100" baseline="0"/>
            <a:t> (Freely accessible online titles currently received but not purchased):</a:t>
          </a:r>
        </a:p>
        <a:p>
          <a:endParaRPr lang="en-US" sz="1100" baseline="0"/>
        </a:p>
        <a:p>
          <a:r>
            <a:rPr lang="en-US" sz="1100" baseline="0"/>
            <a:t>1. Use Serials Solutions Overlap Analysis. DE-select 1) anything that is paid for, 2) government publications, 3) state-wide database trials. Take "Title Unique."</a:t>
          </a:r>
        </a:p>
        <a:p>
          <a:endParaRPr lang="en-US" sz="1100" baseline="0"/>
        </a:p>
        <a:p>
          <a:r>
            <a:rPr lang="en-US" b="1"/>
            <a:t>Title Unique  12,680 </a:t>
          </a:r>
        </a:p>
        <a:p>
          <a:r>
            <a:rPr lang="en-US"/>
            <a:t>Holding Unique  261 </a:t>
          </a:r>
        </a:p>
        <a:p>
          <a:r>
            <a:rPr lang="en-US"/>
            <a:t>Total Unique  12,941 </a:t>
          </a:r>
        </a:p>
        <a:p>
          <a:r>
            <a:rPr lang="en-US"/>
            <a:t>Full Holding Overlap  8,302 </a:t>
          </a:r>
        </a:p>
        <a:p>
          <a:r>
            <a:rPr lang="en-US"/>
            <a:t>Partial Holding Overlap  2,696 </a:t>
          </a:r>
        </a:p>
        <a:p>
          <a:r>
            <a:rPr lang="en-US"/>
            <a:t>Total Holding Overlap  10,998 </a:t>
          </a:r>
        </a:p>
        <a:p>
          <a:r>
            <a:rPr lang="en-US"/>
            <a:t>Title Overlap  52 </a:t>
          </a:r>
        </a:p>
        <a:p>
          <a:r>
            <a:rPr lang="en-US"/>
            <a:t>Total  23,991 </a:t>
          </a:r>
        </a:p>
        <a:p>
          <a:r>
            <a:rPr lang="en-US"/>
            <a:t>Percent Full Overlap  34.6 </a:t>
          </a:r>
        </a:p>
        <a:p>
          <a:r>
            <a:rPr lang="en-US"/>
            <a:t>Percent Unique  53.9</a:t>
          </a:r>
          <a:endParaRPr lang="en-US" sz="1100" baseline="0"/>
        </a:p>
        <a:p>
          <a:endParaRPr lang="en-US" sz="1100" baseline="0"/>
        </a:p>
        <a:p>
          <a:r>
            <a:rPr lang="en-US" sz="1100" baseline="0"/>
            <a:t>Note: This method is imperfect, because some free titles are open-access backfiles, but we also subscribe to the current issue. The title will therefore be included in 4a.i and 4b.ii.</a:t>
          </a:r>
          <a:endParaRPr lang="en-US" sz="1100"/>
        </a:p>
      </xdr:txBody>
    </xdr:sp>
    <xdr:clientData/>
  </xdr:twoCellAnchor>
  <xdr:twoCellAnchor>
    <xdr:from>
      <xdr:col>0</xdr:col>
      <xdr:colOff>133350</xdr:colOff>
      <xdr:row>145</xdr:row>
      <xdr:rowOff>28576</xdr:rowOff>
    </xdr:from>
    <xdr:to>
      <xdr:col>3</xdr:col>
      <xdr:colOff>2266950</xdr:colOff>
      <xdr:row>149</xdr:row>
      <xdr:rowOff>104776</xdr:rowOff>
    </xdr:to>
    <xdr:sp macro="" textlink="">
      <xdr:nvSpPr>
        <xdr:cNvPr id="15" name="TextBox 14"/>
        <xdr:cNvSpPr txBox="1"/>
      </xdr:nvSpPr>
      <xdr:spPr>
        <a:xfrm>
          <a:off x="133350" y="27708226"/>
          <a:ext cx="91440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6:</a:t>
          </a:r>
        </a:p>
        <a:p>
          <a:endParaRPr lang="en-US" sz="1100"/>
        </a:p>
        <a:p>
          <a:r>
            <a:rPr lang="en-US" sz="1100"/>
            <a:t>Consult</a:t>
          </a:r>
          <a:r>
            <a:rPr lang="en-US" sz="1100" baseline="0"/>
            <a:t> Serials Unit productivity statistics. Add to total holdings as reported previous year. Might need to also get data from Govt. Pubs.</a:t>
          </a:r>
          <a:endParaRPr lang="en-US" sz="1100"/>
        </a:p>
      </xdr:txBody>
    </xdr:sp>
    <xdr:clientData/>
  </xdr:twoCellAnchor>
  <xdr:twoCellAnchor>
    <xdr:from>
      <xdr:col>0</xdr:col>
      <xdr:colOff>142875</xdr:colOff>
      <xdr:row>102</xdr:row>
      <xdr:rowOff>76200</xdr:rowOff>
    </xdr:from>
    <xdr:to>
      <xdr:col>3</xdr:col>
      <xdr:colOff>2266950</xdr:colOff>
      <xdr:row>120</xdr:row>
      <xdr:rowOff>171450</xdr:rowOff>
    </xdr:to>
    <xdr:sp macro="" textlink="">
      <xdr:nvSpPr>
        <xdr:cNvPr id="16" name="TextBox 15"/>
        <xdr:cNvSpPr txBox="1"/>
      </xdr:nvSpPr>
      <xdr:spPr>
        <a:xfrm>
          <a:off x="142875" y="19564350"/>
          <a:ext cx="9134475" cy="3524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4b. iii (Print [and</a:t>
          </a:r>
          <a:r>
            <a:rPr lang="en-US" sz="1100" baseline="0"/>
            <a:t> other format] - Exchanges, gifts, etc. - serial titles currently received but not purchased):</a:t>
          </a:r>
        </a:p>
        <a:p>
          <a:endParaRPr lang="en-US" sz="1100" baseline="0"/>
        </a:p>
        <a:p>
          <a:r>
            <a:rPr lang="en-US" sz="1100"/>
            <a:t>Note: DOES NOT include Govt.</a:t>
          </a:r>
          <a:r>
            <a:rPr lang="en-US" sz="1100" baseline="0"/>
            <a:t> Pubs.</a:t>
          </a:r>
        </a:p>
        <a:p>
          <a:endParaRPr lang="en-US" sz="1100" baseline="0"/>
        </a:p>
        <a:p>
          <a:r>
            <a:rPr lang="en-US" sz="1100" baseline="0"/>
            <a:t>1. Create a review file of checkin records. </a:t>
          </a:r>
        </a:p>
        <a:p>
          <a:r>
            <a:rPr lang="en-US" sz="1100" baseline="0"/>
            <a:t>Biblvl = serial or integrating resource.</a:t>
          </a:r>
        </a:p>
        <a:p>
          <a:r>
            <a:rPr lang="en-US" sz="1100" baseline="0"/>
            <a:t>Location starts with RIU.</a:t>
          </a:r>
        </a:p>
        <a:p>
          <a:r>
            <a:rPr lang="en-US" sz="1100" baseline="0"/>
            <a:t>Checkin card exists .</a:t>
          </a:r>
        </a:p>
        <a:p>
          <a:r>
            <a:rPr lang="en-US" sz="1100" baseline="0"/>
            <a:t>SCODE 3 = active.</a:t>
          </a:r>
        </a:p>
        <a:p>
          <a:r>
            <a:rPr lang="en-US" sz="1100" baseline="0"/>
            <a:t>SCODE1 = 4 (exchange) or 5 (gift).</a:t>
          </a:r>
        </a:p>
        <a:p>
          <a:endParaRPr lang="en-US" sz="1100" baseline="0"/>
        </a:p>
        <a:p>
          <a:r>
            <a:rPr lang="en-US" sz="1100" baseline="0"/>
            <a:t>Like so:</a:t>
          </a:r>
        </a:p>
        <a:p>
          <a:endParaRPr lang="en-US" sz="1100"/>
        </a:p>
        <a:p>
          <a:r>
            <a:rPr lang="en-US" sz="1100"/>
            <a:t>(BIBLIOGRAPHIC  BIB LVL  equal to  "s"    OR BIBLIOGRAPHIC  BIB LVL  equal to  "i")    AND CHECKIN  LOCATION  starts with  "riu"    AND CHECKIN  CKIN INFO  exist      AND CHECKIN  SCODE3  equal to  "a"    AND (CHECKIN  SCODE1  equal to  "4"    OR CHECKIN  SCODE1  equal to  "5")</a:t>
          </a:r>
        </a:p>
        <a:p>
          <a:endParaRPr lang="en-US" sz="1100"/>
        </a:p>
        <a:p>
          <a:r>
            <a:rPr lang="en-US" sz="1100"/>
            <a:t>Note: CKIN</a:t>
          </a:r>
          <a:r>
            <a:rPr lang="en-US" sz="1100" baseline="0"/>
            <a:t> INFO means the "checkin card" in Millennium. Do not use "CHECK-IN" which is used in character-based format only.</a:t>
          </a:r>
        </a:p>
        <a:p>
          <a:endParaRPr lang="en-US" sz="1100" baseline="0"/>
        </a:p>
        <a:p>
          <a:r>
            <a:rPr lang="en-US" sz="1100" baseline="0"/>
            <a:t>Take the total number of records:  63</a:t>
          </a:r>
          <a:endParaRPr lang="en-US" sz="1100"/>
        </a:p>
      </xdr:txBody>
    </xdr:sp>
    <xdr:clientData/>
  </xdr:twoCellAnchor>
  <xdr:twoCellAnchor>
    <xdr:from>
      <xdr:col>0</xdr:col>
      <xdr:colOff>133350</xdr:colOff>
      <xdr:row>121</xdr:row>
      <xdr:rowOff>57149</xdr:rowOff>
    </xdr:from>
    <xdr:to>
      <xdr:col>3</xdr:col>
      <xdr:colOff>2286000</xdr:colOff>
      <xdr:row>144</xdr:row>
      <xdr:rowOff>133350</xdr:rowOff>
    </xdr:to>
    <xdr:sp macro="" textlink="">
      <xdr:nvSpPr>
        <xdr:cNvPr id="17" name="TextBox 16"/>
        <xdr:cNvSpPr txBox="1"/>
      </xdr:nvSpPr>
      <xdr:spPr>
        <a:xfrm>
          <a:off x="133350" y="23164799"/>
          <a:ext cx="9163050" cy="4457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4b. iv (Government documents - serial titles currently received but not purchased):</a:t>
          </a:r>
        </a:p>
        <a:p>
          <a:endParaRPr lang="en-US" sz="1100"/>
        </a:p>
        <a:p>
          <a:r>
            <a:rPr lang="en-US" sz="1100"/>
            <a:t>1. Get number of hard</a:t>
          </a:r>
          <a:r>
            <a:rPr lang="en-US" sz="1100" baseline="0"/>
            <a:t> copy (print, mform, disc) serials received from Govt. Pubs. (Note: RIUG check-in records are out of date such that no count of active checkins will be accurate; many of the titles have not been received in over 10 years or more.)</a:t>
          </a:r>
        </a:p>
        <a:p>
          <a:endParaRPr lang="en-US" sz="1100" baseline="0"/>
        </a:p>
        <a:p>
          <a:r>
            <a:rPr lang="en-US" sz="1100"/>
            <a:t>2. </a:t>
          </a:r>
          <a:r>
            <a:rPr lang="en-US" sz="1100" baseline="0">
              <a:solidFill>
                <a:schemeClr val="dk1"/>
              </a:solidFill>
              <a:latin typeface="+mn-lt"/>
              <a:ea typeface="+mn-ea"/>
              <a:cs typeface="+mn-cs"/>
            </a:rPr>
            <a:t>Use Serials Solutions Overlap Analysis. DE-select everything EXCEPT U.S. Government publications. Take "Title Unique."</a:t>
          </a:r>
        </a:p>
        <a:p>
          <a:endParaRPr lang="en-US" sz="1100" baseline="0">
            <a:solidFill>
              <a:schemeClr val="dk1"/>
            </a:solidFill>
            <a:latin typeface="+mn-lt"/>
            <a:ea typeface="+mn-ea"/>
            <a:cs typeface="+mn-cs"/>
          </a:endParaRPr>
        </a:p>
        <a:p>
          <a:r>
            <a:rPr lang="en-US" b="1"/>
            <a:t>Title Unique  436 </a:t>
          </a:r>
        </a:p>
        <a:p>
          <a:r>
            <a:rPr lang="en-US"/>
            <a:t>Holding Unique  12 </a:t>
          </a:r>
        </a:p>
        <a:p>
          <a:r>
            <a:rPr lang="en-US"/>
            <a:t>Total Unique  448 </a:t>
          </a:r>
        </a:p>
        <a:p>
          <a:r>
            <a:rPr lang="en-US"/>
            <a:t>Full Holding Overlap  14 </a:t>
          </a:r>
        </a:p>
        <a:p>
          <a:r>
            <a:rPr lang="en-US"/>
            <a:t>Partial Holding Overlap  11 </a:t>
          </a:r>
        </a:p>
        <a:p>
          <a:r>
            <a:rPr lang="en-US"/>
            <a:t>Total Holding Overlap  25 </a:t>
          </a:r>
        </a:p>
        <a:p>
          <a:r>
            <a:rPr lang="en-US"/>
            <a:t>Title Overlap  2 </a:t>
          </a:r>
        </a:p>
        <a:p>
          <a:r>
            <a:rPr lang="en-US"/>
            <a:t>Total  475 </a:t>
          </a:r>
        </a:p>
        <a:p>
          <a:r>
            <a:rPr lang="en-US"/>
            <a:t>Percent Full Overlap  2.9 </a:t>
          </a:r>
        </a:p>
        <a:p>
          <a:r>
            <a:rPr lang="en-US"/>
            <a:t>Percent Unique  94.3</a:t>
          </a:r>
        </a:p>
        <a:p>
          <a:endParaRPr lang="en-US" sz="1100" baseline="0"/>
        </a:p>
        <a:p>
          <a:r>
            <a:rPr lang="en-US" sz="1100" baseline="0"/>
            <a:t>Note: Exclude Federal Reserve and NBER publications. The  Fed and the NBER are not U.S. government agencies. Also exclude any foreign government publications. Exclude NASA Astrophysics Data System because it includes non-government publications. Exclude American Memory, because the materials inside are not publications of U.S. government agencies.</a:t>
          </a:r>
        </a:p>
        <a:p>
          <a:endParaRPr lang="en-US" sz="1100" baseline="0"/>
        </a:p>
        <a:p>
          <a:r>
            <a:rPr lang="en-US" sz="1100" baseline="0"/>
            <a:t>Add together hard copy govt. pubs. with electronic. There might be some title overlap, but this is unavoidable.</a:t>
          </a:r>
        </a:p>
        <a:p>
          <a:endParaRPr lang="en-US" sz="1100" baseline="0"/>
        </a:p>
        <a:p>
          <a:r>
            <a:rPr lang="en-US" sz="1100" baseline="0"/>
            <a:t>___ + 436 = ____</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38100</xdr:colOff>
      <xdr:row>13</xdr:row>
      <xdr:rowOff>38100</xdr:rowOff>
    </xdr:from>
    <xdr:to>
      <xdr:col>3</xdr:col>
      <xdr:colOff>676275</xdr:colOff>
      <xdr:row>17</xdr:row>
      <xdr:rowOff>57150</xdr:rowOff>
    </xdr:to>
    <xdr:sp macro="" textlink="">
      <xdr:nvSpPr>
        <xdr:cNvPr id="9" name="TextBox 8"/>
        <xdr:cNvSpPr txBox="1"/>
      </xdr:nvSpPr>
      <xdr:spPr>
        <a:xfrm>
          <a:off x="38100" y="2571750"/>
          <a:ext cx="7648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Main</a:t>
          </a:r>
          <a:r>
            <a:rPr lang="en-US" sz="1100" baseline="0"/>
            <a:t> campus (Kingston) only.</a:t>
          </a:r>
        </a:p>
        <a:p>
          <a:r>
            <a:rPr lang="en-US" sz="1100" baseline="0"/>
            <a:t>Include expenditures using funds from regular institutional budget and ALSO grants, special projects, gifts, and endowments.</a:t>
          </a:r>
        </a:p>
        <a:p>
          <a:r>
            <a:rPr lang="en-US" sz="1100" baseline="0"/>
            <a:t>Do not report encumbrances.</a:t>
          </a:r>
          <a:endParaRPr lang="en-US" sz="1100"/>
        </a:p>
      </xdr:txBody>
    </xdr:sp>
    <xdr:clientData/>
  </xdr:twoCellAnchor>
  <xdr:twoCellAnchor>
    <xdr:from>
      <xdr:col>0</xdr:col>
      <xdr:colOff>47625</xdr:colOff>
      <xdr:row>17</xdr:row>
      <xdr:rowOff>133350</xdr:rowOff>
    </xdr:from>
    <xdr:to>
      <xdr:col>3</xdr:col>
      <xdr:colOff>1819275</xdr:colOff>
      <xdr:row>29</xdr:row>
      <xdr:rowOff>123825</xdr:rowOff>
    </xdr:to>
    <xdr:sp macro="" textlink="">
      <xdr:nvSpPr>
        <xdr:cNvPr id="10" name="TextBox 9"/>
        <xdr:cNvSpPr txBox="1"/>
      </xdr:nvSpPr>
      <xdr:spPr>
        <a:xfrm>
          <a:off x="47625" y="3429000"/>
          <a:ext cx="8782050" cy="227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15.a (Monographs)</a:t>
          </a:r>
        </a:p>
        <a:p>
          <a:endParaRPr lang="en-US" sz="1100"/>
        </a:p>
        <a:p>
          <a:r>
            <a:rPr lang="en-US" sz="1100"/>
            <a:t>1. Take total amount spent in monographic funds for fiscal close. (Firm orders, standing orders, approvals) = $169.736.38 + $24,183.08 + $100,000.000 = $293,919.46.</a:t>
          </a:r>
        </a:p>
        <a:p>
          <a:endParaRPr lang="en-US" sz="1100"/>
        </a:p>
        <a:p>
          <a:r>
            <a:rPr lang="en-US" sz="1100"/>
            <a:t>2. Subtract media expenses (from media firm order fund) : $ 10,700.22.</a:t>
          </a:r>
        </a:p>
        <a:p>
          <a:endParaRPr lang="en-US" sz="1100"/>
        </a:p>
        <a:p>
          <a:r>
            <a:rPr lang="en-US" sz="1100"/>
            <a:t>3. Add in amount</a:t>
          </a:r>
          <a:r>
            <a:rPr lang="en-US" sz="1100" baseline="0"/>
            <a:t> spent on monographs from endoment funds : $21,098.01</a:t>
          </a:r>
        </a:p>
        <a:p>
          <a:endParaRPr lang="en-US" sz="1100" baseline="0"/>
        </a:p>
        <a:p>
          <a:r>
            <a:rPr lang="en-US" sz="1100" baseline="0"/>
            <a:t>So, $293,919.46 - $10,700.22 + $21,098.01 = $304,317.25.</a:t>
          </a:r>
        </a:p>
        <a:p>
          <a:endParaRPr lang="en-US" sz="1100" baseline="0"/>
        </a:p>
        <a:p>
          <a:r>
            <a:rPr lang="en-US" sz="1100"/>
            <a:t>Note:</a:t>
          </a:r>
          <a:r>
            <a:rPr lang="en-US" sz="1100" baseline="0"/>
            <a:t> Down from FY08 because FY08 included larger Strand pre-pay.</a:t>
          </a:r>
          <a:endParaRPr lang="en-US" sz="1100"/>
        </a:p>
      </xdr:txBody>
    </xdr:sp>
    <xdr:clientData/>
  </xdr:twoCellAnchor>
  <xdr:twoCellAnchor>
    <xdr:from>
      <xdr:col>0</xdr:col>
      <xdr:colOff>47625</xdr:colOff>
      <xdr:row>30</xdr:row>
      <xdr:rowOff>19050</xdr:rowOff>
    </xdr:from>
    <xdr:to>
      <xdr:col>3</xdr:col>
      <xdr:colOff>1809750</xdr:colOff>
      <xdr:row>40</xdr:row>
      <xdr:rowOff>180975</xdr:rowOff>
    </xdr:to>
    <xdr:sp macro="" textlink="">
      <xdr:nvSpPr>
        <xdr:cNvPr id="11" name="TextBox 10"/>
        <xdr:cNvSpPr txBox="1"/>
      </xdr:nvSpPr>
      <xdr:spPr>
        <a:xfrm>
          <a:off x="47625" y="5791200"/>
          <a:ext cx="877252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15.b (Serial titles,</a:t>
          </a:r>
          <a:r>
            <a:rPr lang="en-US" sz="1100" baseline="0"/>
            <a:t> including periodicals)</a:t>
          </a:r>
        </a:p>
        <a:p>
          <a:endParaRPr lang="en-US" sz="1100" baseline="0"/>
        </a:p>
        <a:p>
          <a:r>
            <a:rPr lang="en-US" sz="1100" baseline="0"/>
            <a:t>1. Take total amount spent from Serials Unit annual report. Do not include (or subtract) backfiles or other one-time expenditures for archival serial material. Include endowment spending. </a:t>
          </a:r>
        </a:p>
        <a:p>
          <a:endParaRPr lang="en-US" sz="1100" baseline="0"/>
        </a:p>
        <a:p>
          <a:r>
            <a:rPr lang="en-US" sz="1100" baseline="0"/>
            <a:t>Kingston serials: $2,602,491</a:t>
          </a:r>
        </a:p>
        <a:p>
          <a:r>
            <a:rPr lang="en-US" sz="1100" baseline="0"/>
            <a:t>Kingston endowment serials: $36,467</a:t>
          </a:r>
        </a:p>
        <a:p>
          <a:r>
            <a:rPr lang="en-US" sz="1100" baseline="0"/>
            <a:t>Subtract amount spent on backfiles: $255,115</a:t>
          </a:r>
        </a:p>
        <a:p>
          <a:r>
            <a:rPr lang="en-US" sz="1100" baseline="0"/>
            <a:t>Subtract HELIN membership: $63,205.55</a:t>
          </a:r>
        </a:p>
        <a:p>
          <a:endParaRPr lang="en-US" sz="1100" baseline="0"/>
        </a:p>
        <a:p>
          <a:r>
            <a:rPr lang="en-US" sz="1100" baseline="0"/>
            <a:t>TOTAL: $2,320,637</a:t>
          </a:r>
          <a:endParaRPr lang="en-US" sz="1100"/>
        </a:p>
      </xdr:txBody>
    </xdr:sp>
    <xdr:clientData/>
  </xdr:twoCellAnchor>
  <xdr:twoCellAnchor>
    <xdr:from>
      <xdr:col>0</xdr:col>
      <xdr:colOff>47625</xdr:colOff>
      <xdr:row>41</xdr:row>
      <xdr:rowOff>76200</xdr:rowOff>
    </xdr:from>
    <xdr:to>
      <xdr:col>3</xdr:col>
      <xdr:colOff>1800225</xdr:colOff>
      <xdr:row>49</xdr:row>
      <xdr:rowOff>76200</xdr:rowOff>
    </xdr:to>
    <xdr:sp macro="" textlink="">
      <xdr:nvSpPr>
        <xdr:cNvPr id="12" name="TextBox 11"/>
        <xdr:cNvSpPr txBox="1"/>
      </xdr:nvSpPr>
      <xdr:spPr>
        <a:xfrm>
          <a:off x="47625" y="7943850"/>
          <a:ext cx="876300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15.c (Other Library Materials)</a:t>
          </a:r>
        </a:p>
        <a:p>
          <a:endParaRPr lang="en-US" sz="1100"/>
        </a:p>
        <a:p>
          <a:r>
            <a:rPr lang="en-US" sz="1100"/>
            <a:t>For materials not reported in 15.a or 15.b, e.g. backfiles</a:t>
          </a:r>
          <a:r>
            <a:rPr lang="en-US" sz="1100" baseline="0"/>
            <a:t> of serials, audiovisual materials, manuscripts, etc.</a:t>
          </a:r>
        </a:p>
        <a:p>
          <a:endParaRPr lang="en-US" sz="1100" baseline="0"/>
        </a:p>
        <a:p>
          <a:r>
            <a:rPr lang="en-US" sz="1100" baseline="0"/>
            <a:t>1. Take total value of backfiles purchased during the year: $255,115</a:t>
          </a:r>
        </a:p>
        <a:p>
          <a:r>
            <a:rPr lang="en-US" sz="1100" baseline="0"/>
            <a:t>2. Add amount spent on AV materials from media firm order fund: $10,700.22</a:t>
          </a:r>
        </a:p>
        <a:p>
          <a:endParaRPr lang="en-US" sz="1100" baseline="0"/>
        </a:p>
        <a:p>
          <a:r>
            <a:rPr lang="en-US" sz="1100" baseline="0"/>
            <a:t>Total: $265,815</a:t>
          </a:r>
          <a:endParaRPr lang="en-US" sz="1100"/>
        </a:p>
      </xdr:txBody>
    </xdr:sp>
    <xdr:clientData/>
  </xdr:twoCellAnchor>
  <xdr:twoCellAnchor>
    <xdr:from>
      <xdr:col>0</xdr:col>
      <xdr:colOff>57150</xdr:colOff>
      <xdr:row>49</xdr:row>
      <xdr:rowOff>180975</xdr:rowOff>
    </xdr:from>
    <xdr:to>
      <xdr:col>3</xdr:col>
      <xdr:colOff>1819275</xdr:colOff>
      <xdr:row>57</xdr:row>
      <xdr:rowOff>85725</xdr:rowOff>
    </xdr:to>
    <xdr:sp macro="" textlink="">
      <xdr:nvSpPr>
        <xdr:cNvPr id="13" name="TextBox 12"/>
        <xdr:cNvSpPr txBox="1"/>
      </xdr:nvSpPr>
      <xdr:spPr>
        <a:xfrm>
          <a:off x="57150" y="9572625"/>
          <a:ext cx="8772525" cy="142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15.d (Miscellaneous)</a:t>
          </a:r>
        </a:p>
        <a:p>
          <a:endParaRPr lang="en-US" sz="1100"/>
        </a:p>
        <a:p>
          <a:r>
            <a:rPr lang="en-US" sz="1100"/>
            <a:t>Include</a:t>
          </a:r>
          <a:r>
            <a:rPr lang="en-US" sz="1100" baseline="0"/>
            <a:t> any other </a:t>
          </a:r>
          <a:r>
            <a:rPr lang="en-US" sz="1100" b="1" baseline="0"/>
            <a:t>materials funds expenditures </a:t>
          </a:r>
          <a:r>
            <a:rPr lang="en-US" sz="1100" baseline="0"/>
            <a:t>not included in questions 15.a-c, e.g. expenditues for bibliographic utilities, literature searching, security devicdes, memberships for the purposes of publications, etc... Note: If your library does </a:t>
          </a:r>
          <a:r>
            <a:rPr lang="en-US" sz="1100" u="sng" baseline="0"/>
            <a:t>not</a:t>
          </a:r>
          <a:r>
            <a:rPr lang="en-US" sz="1100" baseline="0"/>
            <a:t> use materials funds for non-materials expenditures -- i.e. if those expenditures are included in "Other Operating Expenditures" -- report 0, not U/A.</a:t>
          </a:r>
        </a:p>
        <a:p>
          <a:endParaRPr lang="en-US" sz="1100" baseline="0"/>
        </a:p>
        <a:p>
          <a:r>
            <a:rPr lang="en-US" sz="1100" baseline="0"/>
            <a:t>Use this line for HELIN membership dues: $63,206.</a:t>
          </a:r>
          <a:endParaRPr lang="en-US" sz="1100"/>
        </a:p>
      </xdr:txBody>
    </xdr:sp>
    <xdr:clientData/>
  </xdr:twoCellAnchor>
  <xdr:twoCellAnchor>
    <xdr:from>
      <xdr:col>0</xdr:col>
      <xdr:colOff>57150</xdr:colOff>
      <xdr:row>57</xdr:row>
      <xdr:rowOff>152400</xdr:rowOff>
    </xdr:from>
    <xdr:to>
      <xdr:col>3</xdr:col>
      <xdr:colOff>1800225</xdr:colOff>
      <xdr:row>63</xdr:row>
      <xdr:rowOff>47625</xdr:rowOff>
    </xdr:to>
    <xdr:sp macro="" textlink="">
      <xdr:nvSpPr>
        <xdr:cNvPr id="14" name="TextBox 13"/>
        <xdr:cNvSpPr txBox="1"/>
      </xdr:nvSpPr>
      <xdr:spPr>
        <a:xfrm>
          <a:off x="57150" y="11068050"/>
          <a:ext cx="8753475" cy="103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21 (One-time electronic resource purchases)</a:t>
          </a:r>
        </a:p>
        <a:p>
          <a:endParaRPr lang="en-US" sz="1100"/>
        </a:p>
        <a:p>
          <a:r>
            <a:rPr lang="en-US" sz="1100"/>
            <a:t>1.</a:t>
          </a:r>
          <a:r>
            <a:rPr lang="en-US" sz="1100" baseline="0"/>
            <a:t> Take total value of backfiles purchased during the year: $255,115.</a:t>
          </a:r>
        </a:p>
        <a:p>
          <a:endParaRPr lang="en-US" sz="1100" baseline="0"/>
        </a:p>
        <a:p>
          <a:r>
            <a:rPr lang="en-US" sz="1100" baseline="0"/>
            <a:t>Note: This category includes all one-time electronic purchases that are part of the collections.</a:t>
          </a:r>
          <a:endParaRPr lang="en-US" sz="1100"/>
        </a:p>
      </xdr:txBody>
    </xdr:sp>
    <xdr:clientData/>
  </xdr:twoCellAnchor>
  <xdr:twoCellAnchor>
    <xdr:from>
      <xdr:col>0</xdr:col>
      <xdr:colOff>57150</xdr:colOff>
      <xdr:row>63</xdr:row>
      <xdr:rowOff>95250</xdr:rowOff>
    </xdr:from>
    <xdr:to>
      <xdr:col>3</xdr:col>
      <xdr:colOff>1790700</xdr:colOff>
      <xdr:row>68</xdr:row>
      <xdr:rowOff>9525</xdr:rowOff>
    </xdr:to>
    <xdr:sp macro="" textlink="">
      <xdr:nvSpPr>
        <xdr:cNvPr id="15" name="TextBox 14"/>
        <xdr:cNvSpPr txBox="1"/>
      </xdr:nvSpPr>
      <xdr:spPr>
        <a:xfrm>
          <a:off x="57150" y="12153900"/>
          <a:ext cx="874395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22 (Ongoing</a:t>
          </a:r>
          <a:r>
            <a:rPr lang="en-US" sz="1100" baseline="0"/>
            <a:t> electronic resource purchases [e.g. subscriptions, annual license fees]</a:t>
          </a:r>
        </a:p>
        <a:p>
          <a:endParaRPr lang="en-US" sz="1100" baseline="0"/>
        </a:p>
        <a:p>
          <a:r>
            <a:rPr lang="en-US" sz="1100" baseline="0"/>
            <a:t>1. Consult Serials Unit Annual Report for total electronic purchases:  $2,357,546.</a:t>
          </a:r>
        </a:p>
        <a:p>
          <a:r>
            <a:rPr lang="en-US" sz="1100" baseline="0"/>
            <a:t>2. Subtract value of backfiles purchased during the year (if included):  $255,115 (N/A)</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47626</xdr:colOff>
      <xdr:row>10</xdr:row>
      <xdr:rowOff>95251</xdr:rowOff>
    </xdr:from>
    <xdr:to>
      <xdr:col>2</xdr:col>
      <xdr:colOff>19051</xdr:colOff>
      <xdr:row>15</xdr:row>
      <xdr:rowOff>19051</xdr:rowOff>
    </xdr:to>
    <xdr:sp macro="" textlink="">
      <xdr:nvSpPr>
        <xdr:cNvPr id="9" name="TextBox 8"/>
        <xdr:cNvSpPr txBox="1"/>
      </xdr:nvSpPr>
      <xdr:spPr>
        <a:xfrm>
          <a:off x="47626" y="2057401"/>
          <a:ext cx="607695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a:t>
          </a:r>
          <a:r>
            <a:rPr lang="en-US" sz="1100" u="sng" baseline="0"/>
            <a:t> / Instructions</a:t>
          </a:r>
          <a:r>
            <a:rPr lang="en-US" sz="1100" baseline="0"/>
            <a:t>:</a:t>
          </a:r>
        </a:p>
        <a:p>
          <a:r>
            <a:rPr lang="en-US" sz="1100" baseline="0"/>
            <a:t>All campuses / branches (assumed), since they don't say main library only like ACRL does.</a:t>
          </a:r>
        </a:p>
        <a:p>
          <a:r>
            <a:rPr lang="en-US" sz="1100" baseline="0"/>
            <a:t>Funds expended in FY2009 from regular budget and all other sources.</a:t>
          </a:r>
        </a:p>
        <a:p>
          <a:r>
            <a:rPr lang="en-US" sz="1100" baseline="0"/>
            <a:t>INCLUDE endowment spending.</a:t>
          </a:r>
        </a:p>
      </xdr:txBody>
    </xdr:sp>
    <xdr:clientData/>
  </xdr:twoCellAnchor>
  <xdr:twoCellAnchor>
    <xdr:from>
      <xdr:col>0</xdr:col>
      <xdr:colOff>57150</xdr:colOff>
      <xdr:row>15</xdr:row>
      <xdr:rowOff>133350</xdr:rowOff>
    </xdr:from>
    <xdr:to>
      <xdr:col>3</xdr:col>
      <xdr:colOff>2447925</xdr:colOff>
      <xdr:row>23</xdr:row>
      <xdr:rowOff>123825</xdr:rowOff>
    </xdr:to>
    <xdr:sp macro="" textlink="">
      <xdr:nvSpPr>
        <xdr:cNvPr id="10" name="TextBox 9"/>
        <xdr:cNvSpPr txBox="1"/>
      </xdr:nvSpPr>
      <xdr:spPr>
        <a:xfrm>
          <a:off x="57150" y="3238500"/>
          <a:ext cx="9401175" cy="1514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a:t>
          </a:r>
          <a:r>
            <a:rPr lang="en-US" sz="1100" baseline="0"/>
            <a:t> Line 300 (One time purchases of books, serial backfiles, and other materials)</a:t>
          </a:r>
        </a:p>
        <a:p>
          <a:endParaRPr lang="en-US" sz="1100" baseline="0"/>
        </a:p>
        <a:p>
          <a:r>
            <a:rPr lang="en-US" sz="1100" baseline="0"/>
            <a:t>Report expenditures for published materials in all formats EXCEPT current subscriptions to serials.</a:t>
          </a:r>
        </a:p>
        <a:p>
          <a:endParaRPr lang="en-US" sz="1100" baseline="0"/>
        </a:p>
        <a:p>
          <a:r>
            <a:rPr lang="en-US" sz="1100" baseline="0"/>
            <a:t>1. Take total amount spent in monographic funds for fiscal close from all branches. Include endowment spending:  $332,755.</a:t>
          </a:r>
        </a:p>
        <a:p>
          <a:r>
            <a:rPr lang="en-US" sz="1100" baseline="0"/>
            <a:t>2. Add backfiles purchased: $255,115.</a:t>
          </a:r>
        </a:p>
        <a:p>
          <a:endParaRPr lang="en-US" sz="1100" baseline="0"/>
        </a:p>
        <a:p>
          <a:r>
            <a:rPr lang="en-US" sz="1100"/>
            <a:t>TOTAL:</a:t>
          </a:r>
          <a:r>
            <a:rPr lang="en-US" sz="1100" baseline="0"/>
            <a:t> $587,870</a:t>
          </a:r>
          <a:endParaRPr lang="en-US" sz="1100"/>
        </a:p>
      </xdr:txBody>
    </xdr:sp>
    <xdr:clientData/>
  </xdr:twoCellAnchor>
  <xdr:twoCellAnchor>
    <xdr:from>
      <xdr:col>0</xdr:col>
      <xdr:colOff>66675</xdr:colOff>
      <xdr:row>24</xdr:row>
      <xdr:rowOff>28575</xdr:rowOff>
    </xdr:from>
    <xdr:to>
      <xdr:col>3</xdr:col>
      <xdr:colOff>2457450</xdr:colOff>
      <xdr:row>33</xdr:row>
      <xdr:rowOff>0</xdr:rowOff>
    </xdr:to>
    <xdr:sp macro="" textlink="">
      <xdr:nvSpPr>
        <xdr:cNvPr id="11" name="TextBox 10"/>
        <xdr:cNvSpPr txBox="1"/>
      </xdr:nvSpPr>
      <xdr:spPr>
        <a:xfrm>
          <a:off x="66675" y="4848225"/>
          <a:ext cx="9401175" cy="16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a:t>
          </a:r>
          <a:r>
            <a:rPr lang="en-US" sz="1100" baseline="0"/>
            <a:t> 301 (Electronic one time purchases of books, serial backfiles, and other materials)</a:t>
          </a:r>
        </a:p>
        <a:p>
          <a:endParaRPr lang="en-US" sz="1100" baseline="0"/>
        </a:p>
        <a:p>
          <a:r>
            <a:rPr lang="en-US" sz="1100" baseline="0"/>
            <a:t>Report expenditures for electronic materials that are not current subscriptions to serials (i.e. are non-subscription, one-time, or monographic in nature) for software and machine-readable materials considered part of the collectinos. Examples include serial backfiles, literature collections, and one-time costs for electronic backfiles, etc.</a:t>
          </a:r>
        </a:p>
        <a:p>
          <a:endParaRPr lang="en-US" sz="1100" baseline="0"/>
        </a:p>
        <a:p>
          <a:r>
            <a:rPr lang="en-US" sz="1100" baseline="0"/>
            <a:t>1. E-books: $0</a:t>
          </a:r>
        </a:p>
        <a:p>
          <a:r>
            <a:rPr lang="en-US" sz="1100"/>
            <a:t>2. Serial / Electronic one-time backfiles: $255,115</a:t>
          </a:r>
        </a:p>
        <a:p>
          <a:r>
            <a:rPr lang="en-US" sz="1100"/>
            <a:t>TOTAL: $255,115</a:t>
          </a:r>
        </a:p>
      </xdr:txBody>
    </xdr:sp>
    <xdr:clientData/>
  </xdr:twoCellAnchor>
  <xdr:twoCellAnchor>
    <xdr:from>
      <xdr:col>0</xdr:col>
      <xdr:colOff>85725</xdr:colOff>
      <xdr:row>33</xdr:row>
      <xdr:rowOff>85726</xdr:rowOff>
    </xdr:from>
    <xdr:to>
      <xdr:col>3</xdr:col>
      <xdr:colOff>2457450</xdr:colOff>
      <xdr:row>40</xdr:row>
      <xdr:rowOff>47626</xdr:rowOff>
    </xdr:to>
    <xdr:sp macro="" textlink="">
      <xdr:nvSpPr>
        <xdr:cNvPr id="12" name="TextBox 11"/>
        <xdr:cNvSpPr txBox="1"/>
      </xdr:nvSpPr>
      <xdr:spPr>
        <a:xfrm>
          <a:off x="85725" y="6619876"/>
          <a:ext cx="9382125"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302 (Audiovisual</a:t>
          </a:r>
          <a:r>
            <a:rPr lang="en-US" sz="1100" baseline="0"/>
            <a:t> materials -- one-time purchases)</a:t>
          </a:r>
        </a:p>
        <a:p>
          <a:endParaRPr lang="en-US" sz="1100" baseline="0"/>
        </a:p>
        <a:p>
          <a:r>
            <a:rPr lang="en-US" sz="1100" baseline="0"/>
            <a:t>Report expenditures for all library materials that are displayed by visual projection or magnification or through sound reproduction, or both, including graphic materials, audio materials, motion pictures, video materials, and special visual materials such as three-dimensional materials. (Note: This category would include microfilm only if NOT a subscription.)</a:t>
          </a:r>
        </a:p>
        <a:p>
          <a:endParaRPr lang="en-US" sz="1100" baseline="0"/>
        </a:p>
        <a:p>
          <a:r>
            <a:rPr lang="en-US" sz="1100" baseline="0"/>
            <a:t>1. Get amount spent on AV materials from media firm order fund (fiscal close report): $</a:t>
          </a:r>
          <a:r>
            <a:rPr lang="en-US" sz="1100">
              <a:solidFill>
                <a:schemeClr val="dk1"/>
              </a:solidFill>
              <a:latin typeface="+mn-lt"/>
              <a:ea typeface="+mn-ea"/>
              <a:cs typeface="+mn-cs"/>
            </a:rPr>
            <a:t>10,700.22.</a:t>
          </a:r>
          <a:endParaRPr lang="en-US" sz="1100"/>
        </a:p>
      </xdr:txBody>
    </xdr:sp>
    <xdr:clientData/>
  </xdr:twoCellAnchor>
  <xdr:twoCellAnchor>
    <xdr:from>
      <xdr:col>0</xdr:col>
      <xdr:colOff>76200</xdr:colOff>
      <xdr:row>40</xdr:row>
      <xdr:rowOff>133350</xdr:rowOff>
    </xdr:from>
    <xdr:to>
      <xdr:col>3</xdr:col>
      <xdr:colOff>2457450</xdr:colOff>
      <xdr:row>50</xdr:row>
      <xdr:rowOff>104775</xdr:rowOff>
    </xdr:to>
    <xdr:sp macro="" textlink="">
      <xdr:nvSpPr>
        <xdr:cNvPr id="13" name="TextBox 12"/>
        <xdr:cNvSpPr txBox="1"/>
      </xdr:nvSpPr>
      <xdr:spPr>
        <a:xfrm>
          <a:off x="76200" y="8001000"/>
          <a:ext cx="9391650"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303 (Ongoing commitments to serial subscriptions)</a:t>
          </a:r>
        </a:p>
        <a:p>
          <a:endParaRPr lang="en-US" sz="1100"/>
        </a:p>
        <a:p>
          <a:r>
            <a:rPr lang="en-US" sz="1100"/>
            <a:t>Report expenditures for ongoing</a:t>
          </a:r>
          <a:r>
            <a:rPr lang="en-US" sz="1100" baseline="0"/>
            <a:t> subscriptions to serials in all formats.</a:t>
          </a:r>
        </a:p>
        <a:p>
          <a:endParaRPr lang="en-US" sz="1100" baseline="0"/>
        </a:p>
        <a:p>
          <a:r>
            <a:rPr lang="en-US" sz="1100" baseline="0"/>
            <a:t>1. Get amount spent on serials by all three branches (Serials Annual Report): $2,670,417.</a:t>
          </a:r>
        </a:p>
        <a:p>
          <a:r>
            <a:rPr lang="en-US" sz="1100" baseline="0"/>
            <a:t>2. Subtract serial backfiles purchases: $255,115.</a:t>
          </a:r>
        </a:p>
        <a:p>
          <a:r>
            <a:rPr lang="en-US" sz="1100" baseline="0"/>
            <a:t>3. Subtract HELIN membership fee: </a:t>
          </a:r>
          <a:r>
            <a:rPr lang="en-US" sz="1100" baseline="0">
              <a:solidFill>
                <a:schemeClr val="dk1"/>
              </a:solidFill>
              <a:latin typeface="+mn-lt"/>
              <a:ea typeface="+mn-ea"/>
              <a:cs typeface="+mn-cs"/>
            </a:rPr>
            <a:t>$63,206</a:t>
          </a:r>
          <a:endParaRPr lang="en-US" sz="1100" baseline="0"/>
        </a:p>
        <a:p>
          <a:r>
            <a:rPr lang="en-US" sz="1100" baseline="0"/>
            <a:t>4. Add in endowment expenditures on serials, if not already included.</a:t>
          </a:r>
        </a:p>
        <a:p>
          <a:endParaRPr lang="en-US" sz="1100" baseline="0"/>
        </a:p>
        <a:p>
          <a:r>
            <a:rPr lang="en-US" sz="1100" baseline="0"/>
            <a:t>TOTAL:  $2,352,096.</a:t>
          </a:r>
          <a:endParaRPr lang="en-US" sz="1100"/>
        </a:p>
      </xdr:txBody>
    </xdr:sp>
    <xdr:clientData/>
  </xdr:twoCellAnchor>
  <xdr:twoCellAnchor>
    <xdr:from>
      <xdr:col>0</xdr:col>
      <xdr:colOff>85725</xdr:colOff>
      <xdr:row>59</xdr:row>
      <xdr:rowOff>38099</xdr:rowOff>
    </xdr:from>
    <xdr:to>
      <xdr:col>3</xdr:col>
      <xdr:colOff>2457450</xdr:colOff>
      <xdr:row>75</xdr:row>
      <xdr:rowOff>180975</xdr:rowOff>
    </xdr:to>
    <xdr:sp macro="" textlink="">
      <xdr:nvSpPr>
        <xdr:cNvPr id="14" name="TextBox 13"/>
        <xdr:cNvSpPr txBox="1"/>
      </xdr:nvSpPr>
      <xdr:spPr>
        <a:xfrm>
          <a:off x="85725" y="11525249"/>
          <a:ext cx="9382125" cy="3190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309 (Bibliographic utilities, networks, and consortia)</a:t>
          </a:r>
        </a:p>
        <a:p>
          <a:endParaRPr lang="en-US" sz="1100"/>
        </a:p>
        <a:p>
          <a:r>
            <a:rPr lang="en-US" sz="1100"/>
            <a:t>Report expenditures from the library operating budget for services provided by national</a:t>
          </a:r>
          <a:r>
            <a:rPr lang="en-US" sz="1100" baseline="0"/>
            <a:t>, regional, and local bibliographic utilities, networks, and consortia. EXCLUDE expenditures already reported on items 301, 304, and 305.</a:t>
          </a:r>
        </a:p>
        <a:p>
          <a:endParaRPr lang="en-US" sz="1100" baseline="0"/>
        </a:p>
        <a:p>
          <a:r>
            <a:rPr lang="en-US" sz="1100" baseline="0"/>
            <a:t>Note: The instructions say "operating budget" and to exclude expenditures reported elsewhere. We pay HELIN membership and NERL fees out of  our materials budget, so they are included in the serials total, but they have been subtracted out of line 303 above.</a:t>
          </a:r>
        </a:p>
        <a:p>
          <a:endParaRPr lang="en-US" sz="1100" baseline="0"/>
        </a:p>
        <a:p>
          <a:r>
            <a:rPr lang="en-US" sz="1100" baseline="0"/>
            <a:t>The HELIN fees are significant enough to be subtracted out (of line 303) and reported here. However, for the sake of convienience, leave the NERL fees in the serials total, since they are so small.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Included here should be HELIN fees, NELINET fees and MARCIVE fees.  Ask Library Admin. for NELINET and MARCIVE numbers.</a:t>
          </a:r>
          <a:endParaRPr lang="en-US" sz="1100">
            <a:solidFill>
              <a:schemeClr val="dk1"/>
            </a:solidFill>
            <a:latin typeface="+mn-lt"/>
            <a:ea typeface="+mn-ea"/>
            <a:cs typeface="+mn-cs"/>
          </a:endParaRPr>
        </a:p>
        <a:p>
          <a:endParaRPr lang="en-US" sz="1100" baseline="0"/>
        </a:p>
        <a:p>
          <a:r>
            <a:rPr lang="en-US" sz="1100" baseline="0"/>
            <a:t>So: </a:t>
          </a:r>
        </a:p>
        <a:p>
          <a:r>
            <a:rPr lang="en-US" sz="1100" baseline="0"/>
            <a:t>HELIN membership:  </a:t>
          </a:r>
          <a:r>
            <a:rPr lang="en-US" sz="1100" baseline="0">
              <a:solidFill>
                <a:schemeClr val="dk1"/>
              </a:solidFill>
              <a:latin typeface="+mn-lt"/>
              <a:ea typeface="+mn-ea"/>
              <a:cs typeface="+mn-cs"/>
            </a:rPr>
            <a:t>$63,205.55</a:t>
          </a:r>
          <a:endParaRPr lang="en-US" sz="1100" baseline="0"/>
        </a:p>
        <a:p>
          <a:r>
            <a:rPr lang="en-US" sz="1100" baseline="0"/>
            <a:t>NELINET: $57,739.17</a:t>
          </a:r>
        </a:p>
        <a:p>
          <a:r>
            <a:rPr lang="en-US" sz="1100" baseline="0"/>
            <a:t>Marcive:  $4,607.10</a:t>
          </a:r>
        </a:p>
        <a:p>
          <a:r>
            <a:rPr lang="en-US" sz="1100" baseline="0"/>
            <a:t>TOTAL: $125,551.82</a:t>
          </a:r>
        </a:p>
        <a:p>
          <a:endParaRPr lang="en-US" sz="1100"/>
        </a:p>
      </xdr:txBody>
    </xdr:sp>
    <xdr:clientData/>
  </xdr:twoCellAnchor>
  <xdr:twoCellAnchor>
    <xdr:from>
      <xdr:col>0</xdr:col>
      <xdr:colOff>85725</xdr:colOff>
      <xdr:row>51</xdr:row>
      <xdr:rowOff>19050</xdr:rowOff>
    </xdr:from>
    <xdr:to>
      <xdr:col>3</xdr:col>
      <xdr:colOff>2438400</xdr:colOff>
      <xdr:row>58</xdr:row>
      <xdr:rowOff>161925</xdr:rowOff>
    </xdr:to>
    <xdr:sp macro="" textlink="">
      <xdr:nvSpPr>
        <xdr:cNvPr id="15" name="TextBox 14"/>
        <xdr:cNvSpPr txBox="1"/>
      </xdr:nvSpPr>
      <xdr:spPr>
        <a:xfrm>
          <a:off x="85725" y="9982200"/>
          <a:ext cx="9363075"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Line 304 (Electronic serials)</a:t>
          </a:r>
        </a:p>
        <a:p>
          <a:endParaRPr lang="en-US" sz="1100"/>
        </a:p>
        <a:p>
          <a:r>
            <a:rPr lang="en-US" sz="1100"/>
            <a:t>Report subscription expenditures (or those which are expected to be ongoing commitments) for serial</a:t>
          </a:r>
          <a:r>
            <a:rPr lang="en-US" sz="1100" baseline="0"/>
            <a:t> publications whose primary format is electronic. Examples include paid subscriptions for electronic journals and indexes/ abstracts available via the Internet, CD-ROM serials, and annual access fees.</a:t>
          </a:r>
        </a:p>
        <a:p>
          <a:endParaRPr lang="en-US" sz="1100" baseline="0"/>
        </a:p>
        <a:p>
          <a:r>
            <a:rPr lang="en-US" sz="1100" baseline="0"/>
            <a:t>1. Get amount from Serials Annual Report. Do not include one-time backfiles.  Do not include software.: $2,306,004</a:t>
          </a:r>
        </a:p>
        <a:p>
          <a:endParaRPr lang="en-US" sz="1100" baseline="0"/>
        </a:p>
        <a:p>
          <a:r>
            <a:rPr lang="en-US" sz="1100" baseline="0"/>
            <a:t>Note: this number as estimated in the Serials Annual Report should already have had the HELIN membership fee subtracted.</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muse.jhu.edu/journals/index.html" TargetMode="External"/><Relationship Id="rId13" Type="http://schemas.openxmlformats.org/officeDocument/2006/relationships/printerSettings" Target="../printerSettings/printerSettings15.bin"/><Relationship Id="rId3" Type="http://schemas.openxmlformats.org/officeDocument/2006/relationships/hyperlink" Target="http://www.acm.org/membership/library/dlcore" TargetMode="External"/><Relationship Id="rId7" Type="http://schemas.openxmlformats.org/officeDocument/2006/relationships/hyperlink" Target="http://www.jstor.org/about/collection.list.html" TargetMode="External"/><Relationship Id="rId12" Type="http://schemas.openxmlformats.org/officeDocument/2006/relationships/hyperlink" Target="http://www.wiley-vch.de/pdf/Wiley_Pricelist_2009.pdf" TargetMode="External"/><Relationship Id="rId2" Type="http://schemas.openxmlformats.org/officeDocument/2006/relationships/hyperlink" Target="http://aaahq.org/pubs.cfm" TargetMode="External"/><Relationship Id="rId1" Type="http://schemas.openxmlformats.org/officeDocument/2006/relationships/hyperlink" Target="http://pubs.asce.org/journals/" TargetMode="External"/><Relationship Id="rId6" Type="http://schemas.openxmlformats.org/officeDocument/2006/relationships/hyperlink" Target="http://ej.iop.org/pdf/historic_archive.pdf" TargetMode="External"/><Relationship Id="rId11" Type="http://schemas.openxmlformats.org/officeDocument/2006/relationships/hyperlink" Target="http://www.anthrosource.net/page/holdings" TargetMode="External"/><Relationship Id="rId5" Type="http://schemas.openxmlformats.org/officeDocument/2006/relationships/hyperlink" Target="http://www.apa.org/psycarticles/covlist.html" TargetMode="External"/><Relationship Id="rId10" Type="http://schemas.openxmlformats.org/officeDocument/2006/relationships/hyperlink" Target="http://www.sagepub.com/librarians/purchase_consortia.sp" TargetMode="External"/><Relationship Id="rId4" Type="http://schemas.openxmlformats.org/officeDocument/2006/relationships/hyperlink" Target="http://journals.cambridge.org/action/subscribedTo" TargetMode="External"/><Relationship Id="rId9" Type="http://schemas.openxmlformats.org/officeDocument/2006/relationships/hyperlink" Target="http://www.rsc.org/Publishing/librarians/ourproducts.asp"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dimension ref="A1:N34"/>
  <sheetViews>
    <sheetView tabSelected="1" workbookViewId="0"/>
  </sheetViews>
  <sheetFormatPr defaultRowHeight="12.75"/>
  <cols>
    <col min="1" max="1" width="36.42578125" customWidth="1"/>
    <col min="4" max="4" width="9.5703125" customWidth="1"/>
  </cols>
  <sheetData>
    <row r="1" spans="1:14" ht="18.75">
      <c r="A1" s="30" t="s">
        <v>579</v>
      </c>
      <c r="B1" s="12"/>
      <c r="C1" s="12"/>
      <c r="D1" s="12"/>
      <c r="E1" s="12"/>
    </row>
    <row r="2" spans="1:14" ht="15">
      <c r="A2" s="12"/>
      <c r="B2" s="12"/>
      <c r="C2" s="12"/>
      <c r="D2" s="12"/>
      <c r="E2" s="12"/>
    </row>
    <row r="3" spans="1:14" ht="15">
      <c r="A3" s="12"/>
      <c r="B3" s="12"/>
      <c r="C3" s="12"/>
      <c r="D3" s="12"/>
      <c r="E3" s="12"/>
    </row>
    <row r="4" spans="1:14" ht="15">
      <c r="A4" s="79" t="s">
        <v>565</v>
      </c>
      <c r="B4" s="13"/>
      <c r="C4" s="13"/>
      <c r="D4" s="13"/>
      <c r="E4" s="13"/>
      <c r="F4" s="6"/>
      <c r="G4" s="6"/>
      <c r="H4" s="6"/>
      <c r="I4" s="6"/>
      <c r="J4" s="6"/>
      <c r="K4" s="6"/>
      <c r="L4" s="6"/>
      <c r="M4" s="6"/>
      <c r="N4" s="6"/>
    </row>
    <row r="5" spans="1:14" ht="15">
      <c r="A5" s="14"/>
      <c r="B5" s="15" t="s">
        <v>56</v>
      </c>
      <c r="C5" s="15" t="s">
        <v>63</v>
      </c>
      <c r="D5" s="15" t="s">
        <v>86</v>
      </c>
      <c r="E5" s="12"/>
    </row>
    <row r="6" spans="1:14" ht="15">
      <c r="A6" s="15" t="s">
        <v>566</v>
      </c>
      <c r="B6" s="16">
        <v>94</v>
      </c>
      <c r="C6" s="16">
        <v>112</v>
      </c>
      <c r="D6" s="17">
        <f>(C6-B6)/B6</f>
        <v>0.19148936170212766</v>
      </c>
      <c r="E6" s="12"/>
    </row>
    <row r="7" spans="1:14" ht="15">
      <c r="A7" s="15" t="s">
        <v>567</v>
      </c>
      <c r="B7" s="16">
        <v>0</v>
      </c>
      <c r="C7" s="16">
        <v>0</v>
      </c>
      <c r="D7" s="17">
        <v>0</v>
      </c>
      <c r="E7" s="12"/>
    </row>
    <row r="8" spans="1:14" ht="15">
      <c r="A8" s="15"/>
      <c r="B8" s="16"/>
      <c r="C8" s="16"/>
      <c r="D8" s="17"/>
      <c r="E8" s="12"/>
    </row>
    <row r="9" spans="1:14" ht="15">
      <c r="A9" s="15" t="s">
        <v>576</v>
      </c>
      <c r="B9" s="18">
        <v>3520</v>
      </c>
      <c r="C9" s="18">
        <v>3085</v>
      </c>
      <c r="D9" s="19">
        <f>(C9-B9)/B9</f>
        <v>-0.12357954545454546</v>
      </c>
      <c r="E9" s="12"/>
    </row>
    <row r="10" spans="1:14" ht="15">
      <c r="A10" s="20" t="s">
        <v>568</v>
      </c>
      <c r="B10" s="16">
        <v>690</v>
      </c>
      <c r="C10" s="16">
        <v>626</v>
      </c>
      <c r="D10" s="21">
        <f t="shared" ref="D10:D15" si="0">(C10-B10)/B10</f>
        <v>-9.2753623188405798E-2</v>
      </c>
      <c r="E10" s="12"/>
    </row>
    <row r="11" spans="1:14" ht="15">
      <c r="A11" s="20" t="s">
        <v>569</v>
      </c>
      <c r="B11" s="16">
        <v>2370</v>
      </c>
      <c r="C11" s="16">
        <v>2414</v>
      </c>
      <c r="D11" s="21">
        <f t="shared" si="0"/>
        <v>1.8565400843881856E-2</v>
      </c>
      <c r="E11" s="12"/>
    </row>
    <row r="12" spans="1:14" ht="15">
      <c r="A12" s="20" t="s">
        <v>498</v>
      </c>
      <c r="B12" s="16">
        <v>460</v>
      </c>
      <c r="C12" s="16">
        <v>45</v>
      </c>
      <c r="D12" s="21">
        <f t="shared" si="0"/>
        <v>-0.90217391304347827</v>
      </c>
      <c r="E12" s="12"/>
    </row>
    <row r="13" spans="1:14" ht="15">
      <c r="A13" s="15" t="s">
        <v>570</v>
      </c>
      <c r="B13" s="16"/>
      <c r="C13" s="16"/>
      <c r="D13" s="21"/>
      <c r="E13" s="12"/>
    </row>
    <row r="14" spans="1:14" ht="15">
      <c r="A14" s="15" t="s">
        <v>295</v>
      </c>
      <c r="B14" s="18">
        <v>212</v>
      </c>
      <c r="C14" s="18">
        <v>645</v>
      </c>
      <c r="D14" s="19">
        <f t="shared" si="0"/>
        <v>2.0424528301886791</v>
      </c>
      <c r="E14" s="12"/>
    </row>
    <row r="15" spans="1:14" ht="15">
      <c r="A15" s="20" t="s">
        <v>571</v>
      </c>
      <c r="B15" s="16">
        <v>212</v>
      </c>
      <c r="C15" s="16">
        <v>250</v>
      </c>
      <c r="D15" s="21">
        <f t="shared" si="0"/>
        <v>0.17924528301886791</v>
      </c>
      <c r="E15" s="12"/>
    </row>
    <row r="16" spans="1:14" ht="15">
      <c r="A16" s="20" t="s">
        <v>572</v>
      </c>
      <c r="B16" s="16">
        <v>0</v>
      </c>
      <c r="C16" s="16">
        <v>395</v>
      </c>
      <c r="D16" s="22" t="s">
        <v>199</v>
      </c>
      <c r="E16" s="12"/>
    </row>
    <row r="17" spans="1:14" ht="15">
      <c r="A17" s="23"/>
      <c r="B17" s="24"/>
      <c r="C17" s="24"/>
      <c r="D17" s="24"/>
      <c r="E17" s="24"/>
      <c r="F17" s="8"/>
      <c r="G17" s="8"/>
      <c r="H17" s="8"/>
      <c r="I17" s="8"/>
      <c r="J17" s="8"/>
      <c r="K17" s="8"/>
      <c r="L17" s="8"/>
      <c r="M17" s="8"/>
      <c r="N17" s="8"/>
    </row>
    <row r="18" spans="1:14" ht="15">
      <c r="A18" s="24"/>
      <c r="B18" s="23"/>
      <c r="C18" s="23"/>
      <c r="D18" s="23"/>
      <c r="E18" s="23"/>
      <c r="F18" s="7"/>
      <c r="G18" s="7"/>
      <c r="H18" s="7"/>
      <c r="I18" s="7"/>
      <c r="J18" s="7"/>
      <c r="K18" s="7"/>
      <c r="L18" s="7"/>
      <c r="M18" s="7"/>
      <c r="N18" s="7"/>
    </row>
    <row r="19" spans="1:14" ht="15">
      <c r="A19" s="79" t="s">
        <v>573</v>
      </c>
      <c r="B19" s="23"/>
      <c r="C19" s="23"/>
      <c r="D19" s="23"/>
      <c r="E19" s="23"/>
      <c r="F19" s="7"/>
      <c r="G19" s="7"/>
      <c r="H19" s="7"/>
      <c r="I19" s="7"/>
      <c r="J19" s="7"/>
      <c r="K19" s="7"/>
      <c r="L19" s="7"/>
      <c r="M19" s="7"/>
      <c r="N19" s="7"/>
    </row>
    <row r="20" spans="1:14" ht="15">
      <c r="A20" s="25"/>
      <c r="B20" s="15" t="s">
        <v>56</v>
      </c>
      <c r="C20" s="15" t="s">
        <v>63</v>
      </c>
      <c r="D20" s="15" t="s">
        <v>86</v>
      </c>
      <c r="E20" s="23"/>
      <c r="F20" s="7"/>
      <c r="G20" s="7"/>
      <c r="H20" s="7"/>
      <c r="I20" s="7"/>
      <c r="J20" s="7"/>
      <c r="K20" s="7"/>
      <c r="L20" s="7"/>
      <c r="M20" s="7"/>
      <c r="N20" s="7"/>
    </row>
    <row r="21" spans="1:14" ht="15">
      <c r="A21" s="26" t="s">
        <v>293</v>
      </c>
      <c r="B21" s="16">
        <v>15855</v>
      </c>
      <c r="C21" s="16">
        <v>14962</v>
      </c>
      <c r="D21" s="17">
        <f>(C21-B21)/B21</f>
        <v>-5.6322926521602021E-2</v>
      </c>
      <c r="E21" s="12"/>
    </row>
    <row r="22" spans="1:14" ht="15">
      <c r="A22" s="26"/>
      <c r="B22" s="16"/>
      <c r="C22" s="16"/>
      <c r="D22" s="17"/>
      <c r="E22" s="12"/>
    </row>
    <row r="23" spans="1:14" ht="15">
      <c r="A23" s="26" t="s">
        <v>294</v>
      </c>
      <c r="B23" s="16">
        <v>403</v>
      </c>
      <c r="C23" s="16">
        <v>60</v>
      </c>
      <c r="D23" s="17">
        <f t="shared" ref="D23:D33" si="1">(C23-B23)/B23</f>
        <v>-0.85111662531017374</v>
      </c>
      <c r="E23" s="12"/>
    </row>
    <row r="24" spans="1:14" ht="15">
      <c r="A24" s="26" t="s">
        <v>564</v>
      </c>
      <c r="B24" s="16">
        <v>245</v>
      </c>
      <c r="C24" s="16">
        <v>156</v>
      </c>
      <c r="D24" s="17">
        <f t="shared" si="1"/>
        <v>-0.36326530612244901</v>
      </c>
      <c r="E24" s="12"/>
    </row>
    <row r="25" spans="1:14" ht="15">
      <c r="A25" s="15"/>
      <c r="B25" s="16"/>
      <c r="C25" s="16"/>
      <c r="D25" s="17"/>
      <c r="E25" s="12"/>
    </row>
    <row r="26" spans="1:14" ht="15">
      <c r="A26" s="15" t="s">
        <v>297</v>
      </c>
      <c r="B26" s="16">
        <v>1029</v>
      </c>
      <c r="C26" s="16">
        <v>557</v>
      </c>
      <c r="D26" s="17">
        <f t="shared" si="1"/>
        <v>-0.45869776482021379</v>
      </c>
      <c r="E26" s="12"/>
    </row>
    <row r="27" spans="1:14" ht="15">
      <c r="A27" s="14"/>
      <c r="B27" s="16"/>
      <c r="C27" s="16"/>
      <c r="D27" s="17"/>
      <c r="E27" s="12"/>
    </row>
    <row r="28" spans="1:14" ht="15">
      <c r="A28" s="15" t="s">
        <v>296</v>
      </c>
      <c r="B28" s="27">
        <v>12229</v>
      </c>
      <c r="C28" s="27">
        <v>10196</v>
      </c>
      <c r="D28" s="17">
        <f t="shared" si="1"/>
        <v>-0.16624417368550168</v>
      </c>
      <c r="E28" s="12"/>
    </row>
    <row r="29" spans="1:14" ht="15">
      <c r="A29" s="14"/>
      <c r="B29" s="16"/>
      <c r="C29" s="16"/>
      <c r="D29" s="17"/>
      <c r="E29" s="12"/>
    </row>
    <row r="30" spans="1:14" ht="15">
      <c r="A30" s="28" t="s">
        <v>577</v>
      </c>
      <c r="B30" s="29">
        <f>SUM(B31:B33)</f>
        <v>2841</v>
      </c>
      <c r="C30" s="29">
        <v>3525</v>
      </c>
      <c r="D30" s="19">
        <f t="shared" si="1"/>
        <v>0.24076029567053855</v>
      </c>
      <c r="E30" s="12"/>
    </row>
    <row r="31" spans="1:14" ht="15">
      <c r="A31" s="20" t="s">
        <v>578</v>
      </c>
      <c r="B31" s="16">
        <v>2481</v>
      </c>
      <c r="C31" s="16">
        <v>2394</v>
      </c>
      <c r="D31" s="17">
        <f t="shared" si="1"/>
        <v>-3.5066505441354291E-2</v>
      </c>
      <c r="E31" s="12"/>
    </row>
    <row r="32" spans="1:14" ht="15">
      <c r="A32" s="20" t="s">
        <v>574</v>
      </c>
      <c r="B32" s="16">
        <v>71</v>
      </c>
      <c r="C32" s="16">
        <v>597</v>
      </c>
      <c r="D32" s="17">
        <f t="shared" si="1"/>
        <v>7.408450704225352</v>
      </c>
      <c r="E32" s="12"/>
    </row>
    <row r="33" spans="1:5" ht="15">
      <c r="A33" s="20" t="s">
        <v>575</v>
      </c>
      <c r="B33" s="16">
        <v>289</v>
      </c>
      <c r="C33" s="16">
        <v>534</v>
      </c>
      <c r="D33" s="17">
        <f t="shared" si="1"/>
        <v>0.84775086505190311</v>
      </c>
      <c r="E33" s="12"/>
    </row>
    <row r="34" spans="1:5" ht="15">
      <c r="A34" s="12"/>
      <c r="B34" s="12"/>
      <c r="C34" s="12"/>
      <c r="D34" s="12"/>
      <c r="E34" s="12"/>
    </row>
  </sheetData>
  <phoneticPr fontId="2" type="noConversion"/>
  <pageMargins left="0.75" right="0.75" top="1" bottom="1" header="0.5" footer="0.5"/>
  <pageSetup orientation="portrait" r:id="rId1"/>
  <headerFooter alignWithMargins="0">
    <oddFooter>&amp;C&amp;A&amp;RPage &amp;P of &amp;N</oddFooter>
  </headerFooter>
</worksheet>
</file>

<file path=xl/worksheets/sheet2.xml><?xml version="1.0" encoding="utf-8"?>
<worksheet xmlns="http://schemas.openxmlformats.org/spreadsheetml/2006/main" xmlns:r="http://schemas.openxmlformats.org/officeDocument/2006/relationships">
  <dimension ref="A1:H63"/>
  <sheetViews>
    <sheetView topLeftCell="A4" workbookViewId="0">
      <selection activeCell="G20" sqref="G20:G22"/>
    </sheetView>
  </sheetViews>
  <sheetFormatPr defaultRowHeight="12.75"/>
  <cols>
    <col min="1" max="1" width="22.140625" customWidth="1"/>
    <col min="2" max="2" width="16.85546875" bestFit="1" customWidth="1"/>
    <col min="3" max="3" width="13.5703125" bestFit="1" customWidth="1"/>
    <col min="4" max="4" width="10.85546875" bestFit="1" customWidth="1"/>
    <col min="5" max="5" width="13.85546875" customWidth="1"/>
    <col min="7" max="7" width="13.5703125" bestFit="1" customWidth="1"/>
    <col min="10" max="10" width="13.5703125" bestFit="1" customWidth="1"/>
    <col min="12" max="12" width="13.42578125" bestFit="1" customWidth="1"/>
    <col min="13" max="13" width="10.7109375" bestFit="1" customWidth="1"/>
  </cols>
  <sheetData>
    <row r="1" spans="1:8" ht="18.75">
      <c r="A1" s="30" t="s">
        <v>580</v>
      </c>
      <c r="B1" s="12"/>
      <c r="C1" s="12"/>
      <c r="D1" s="12"/>
      <c r="E1" s="12"/>
      <c r="F1" s="12"/>
      <c r="G1" s="12"/>
      <c r="H1" s="12"/>
    </row>
    <row r="2" spans="1:8" ht="15">
      <c r="A2" s="12"/>
      <c r="B2" s="12"/>
      <c r="C2" s="12"/>
      <c r="D2" s="12"/>
      <c r="E2" s="12"/>
      <c r="F2" s="12"/>
      <c r="G2" s="12"/>
      <c r="H2" s="12"/>
    </row>
    <row r="3" spans="1:8" ht="15.75">
      <c r="A3" s="9" t="s">
        <v>588</v>
      </c>
      <c r="B3" s="12"/>
      <c r="C3" s="12"/>
      <c r="D3" s="12"/>
      <c r="E3" s="12"/>
      <c r="F3" s="12"/>
      <c r="G3" s="12"/>
      <c r="H3" s="12"/>
    </row>
    <row r="4" spans="1:8" ht="15">
      <c r="A4" s="12"/>
      <c r="B4" s="12"/>
      <c r="C4" s="12"/>
      <c r="D4" s="12"/>
      <c r="E4" s="12"/>
      <c r="F4" s="12"/>
      <c r="G4" s="12"/>
      <c r="H4" s="12"/>
    </row>
    <row r="5" spans="1:8" ht="30.75" thickBot="1">
      <c r="A5" s="31" t="s">
        <v>67</v>
      </c>
      <c r="B5" s="32" t="s">
        <v>56</v>
      </c>
      <c r="C5" s="32" t="s">
        <v>63</v>
      </c>
      <c r="D5" s="32" t="s">
        <v>581</v>
      </c>
      <c r="E5" s="32" t="s">
        <v>582</v>
      </c>
      <c r="F5" s="12"/>
      <c r="G5" s="12"/>
      <c r="H5" s="12"/>
    </row>
    <row r="6" spans="1:8" ht="15">
      <c r="A6" s="33" t="s">
        <v>69</v>
      </c>
      <c r="B6" s="34">
        <v>3122274.89</v>
      </c>
      <c r="C6" s="34">
        <v>2602491.17</v>
      </c>
      <c r="D6" s="35">
        <f>(C6-B6)/B6</f>
        <v>-0.16647596329995151</v>
      </c>
      <c r="E6" s="36">
        <f>C6/C9</f>
        <v>0.98805645079320947</v>
      </c>
      <c r="F6" s="12"/>
      <c r="G6" s="12"/>
      <c r="H6" s="12"/>
    </row>
    <row r="7" spans="1:8" ht="15">
      <c r="A7" s="37" t="s">
        <v>83</v>
      </c>
      <c r="B7" s="38">
        <v>33309.56</v>
      </c>
      <c r="C7" s="38">
        <v>27264.41</v>
      </c>
      <c r="D7" s="35">
        <f>(C7-B7)/B7</f>
        <v>-0.18148393434197263</v>
      </c>
      <c r="E7" s="35">
        <f>C7/C9</f>
        <v>1.035114988596518E-2</v>
      </c>
      <c r="F7" s="12"/>
      <c r="G7" s="12"/>
      <c r="H7" s="12"/>
    </row>
    <row r="8" spans="1:8" ht="15.75" thickBot="1">
      <c r="A8" s="39" t="s">
        <v>68</v>
      </c>
      <c r="B8" s="40">
        <v>47909.7</v>
      </c>
      <c r="C8" s="40">
        <v>4194.3</v>
      </c>
      <c r="D8" s="41">
        <f>(C8-B8)/B8</f>
        <v>-0.91245405418944381</v>
      </c>
      <c r="E8" s="41">
        <f>C8/C9</f>
        <v>1.5923993208253454E-3</v>
      </c>
      <c r="F8" s="12"/>
      <c r="G8" s="12"/>
      <c r="H8" s="12"/>
    </row>
    <row r="9" spans="1:8" ht="15.75" thickBot="1">
      <c r="A9" s="103" t="s">
        <v>82</v>
      </c>
      <c r="B9" s="80">
        <f>SUM(B6:B8)</f>
        <v>3203494.1500000004</v>
      </c>
      <c r="C9" s="80">
        <f>SUM(C6:C8)</f>
        <v>2633949.88</v>
      </c>
      <c r="D9" s="81">
        <f>(C9-B9)/B9</f>
        <v>-0.17778845327374812</v>
      </c>
      <c r="E9" s="81">
        <f>SUM(E6:E8)</f>
        <v>1</v>
      </c>
      <c r="F9" s="12"/>
      <c r="G9" s="12"/>
      <c r="H9" s="12"/>
    </row>
    <row r="10" spans="1:8" ht="15">
      <c r="A10" s="44"/>
      <c r="B10" s="45"/>
      <c r="C10" s="45"/>
      <c r="D10" s="46"/>
      <c r="E10" s="46"/>
      <c r="F10" s="12"/>
      <c r="G10" s="12"/>
      <c r="H10" s="12"/>
    </row>
    <row r="11" spans="1:8" ht="15">
      <c r="A11" s="44"/>
      <c r="B11" s="45"/>
      <c r="C11" s="45"/>
      <c r="D11" s="46"/>
      <c r="E11" s="46"/>
      <c r="F11" s="12"/>
      <c r="G11" s="12"/>
      <c r="H11" s="12"/>
    </row>
    <row r="12" spans="1:8" ht="15.75">
      <c r="A12" s="9" t="s">
        <v>583</v>
      </c>
      <c r="B12" s="9"/>
      <c r="C12" s="10"/>
      <c r="D12" s="10"/>
      <c r="E12" s="10"/>
      <c r="F12" s="10"/>
      <c r="G12" s="12"/>
      <c r="H12" s="12"/>
    </row>
    <row r="13" spans="1:8" ht="15">
      <c r="A13" s="12"/>
      <c r="B13" s="12"/>
      <c r="C13" s="12"/>
      <c r="D13" s="12"/>
      <c r="E13" s="12"/>
      <c r="F13" s="12"/>
      <c r="G13" s="12"/>
      <c r="H13" s="12"/>
    </row>
    <row r="14" spans="1:8" ht="15.75" thickBot="1">
      <c r="A14" s="31" t="s">
        <v>71</v>
      </c>
      <c r="B14" s="31" t="s">
        <v>70</v>
      </c>
      <c r="C14" s="32" t="s">
        <v>56</v>
      </c>
      <c r="D14" s="32" t="s">
        <v>63</v>
      </c>
      <c r="E14" s="32" t="s">
        <v>581</v>
      </c>
      <c r="F14" s="48"/>
      <c r="G14" s="12"/>
      <c r="H14" s="12"/>
    </row>
    <row r="15" spans="1:8" ht="15">
      <c r="A15" s="49" t="s">
        <v>72</v>
      </c>
      <c r="B15" s="49" t="s">
        <v>77</v>
      </c>
      <c r="C15" s="50">
        <v>148.22999999999999</v>
      </c>
      <c r="D15" s="50">
        <v>90.27</v>
      </c>
      <c r="E15" s="36">
        <f t="shared" ref="E15:E20" si="0">(D15-C15)/C15</f>
        <v>-0.39101396478445655</v>
      </c>
      <c r="F15" s="12"/>
      <c r="G15" s="12"/>
      <c r="H15" s="12"/>
    </row>
    <row r="16" spans="1:8" ht="15">
      <c r="A16" s="51" t="s">
        <v>73</v>
      </c>
      <c r="B16" s="51" t="s">
        <v>78</v>
      </c>
      <c r="C16" s="38">
        <v>7105.81</v>
      </c>
      <c r="D16" s="38">
        <v>7795.66</v>
      </c>
      <c r="E16" s="35">
        <f t="shared" si="0"/>
        <v>9.7082528240974561E-2</v>
      </c>
      <c r="F16" s="12"/>
      <c r="G16" s="12"/>
      <c r="H16" s="12"/>
    </row>
    <row r="17" spans="1:8" ht="15">
      <c r="A17" s="51" t="s">
        <v>74</v>
      </c>
      <c r="B17" s="51" t="s">
        <v>79</v>
      </c>
      <c r="C17" s="38">
        <v>4290</v>
      </c>
      <c r="D17" s="38">
        <v>9853.3799999999992</v>
      </c>
      <c r="E17" s="35">
        <f t="shared" si="0"/>
        <v>1.2968251748251747</v>
      </c>
      <c r="F17" s="12"/>
      <c r="G17" s="12"/>
      <c r="H17" s="12"/>
    </row>
    <row r="18" spans="1:8" ht="15">
      <c r="A18" s="51" t="s">
        <v>75</v>
      </c>
      <c r="B18" s="51" t="s">
        <v>80</v>
      </c>
      <c r="C18" s="38">
        <v>2694.76</v>
      </c>
      <c r="D18" s="38">
        <v>3176.68</v>
      </c>
      <c r="E18" s="35">
        <f t="shared" si="0"/>
        <v>0.17883596312844172</v>
      </c>
      <c r="F18" s="12"/>
      <c r="G18" s="12"/>
      <c r="H18" s="12"/>
    </row>
    <row r="19" spans="1:8" ht="15.75" thickBot="1">
      <c r="A19" s="51" t="s">
        <v>76</v>
      </c>
      <c r="B19" s="52" t="s">
        <v>81</v>
      </c>
      <c r="C19" s="40">
        <v>14698.85</v>
      </c>
      <c r="D19" s="40">
        <v>15550.85</v>
      </c>
      <c r="E19" s="41">
        <f t="shared" si="0"/>
        <v>5.796371825006718E-2</v>
      </c>
      <c r="F19" s="12"/>
      <c r="G19" s="12"/>
      <c r="H19" s="12"/>
    </row>
    <row r="20" spans="1:8" ht="15.75" thickBot="1">
      <c r="A20" s="103"/>
      <c r="B20" s="103" t="s">
        <v>82</v>
      </c>
      <c r="C20" s="80">
        <f>SUM(C15:C19)</f>
        <v>28937.65</v>
      </c>
      <c r="D20" s="80">
        <f>SUM(D15:D19)</f>
        <v>36466.839999999997</v>
      </c>
      <c r="E20" s="81">
        <f t="shared" si="0"/>
        <v>0.26018664266103136</v>
      </c>
      <c r="F20" s="12"/>
      <c r="G20" s="193"/>
      <c r="H20" s="12"/>
    </row>
    <row r="21" spans="1:8" ht="15">
      <c r="A21" s="12"/>
      <c r="B21" s="54"/>
      <c r="C21" s="45"/>
      <c r="D21" s="45"/>
      <c r="E21" s="46"/>
      <c r="F21" s="12"/>
      <c r="G21" s="193"/>
      <c r="H21" s="12"/>
    </row>
    <row r="22" spans="1:8" ht="15">
      <c r="A22" s="10"/>
      <c r="B22" s="10"/>
      <c r="C22" s="10"/>
      <c r="D22" s="10"/>
      <c r="E22" s="10"/>
      <c r="F22" s="10"/>
      <c r="G22" s="193"/>
      <c r="H22" s="12"/>
    </row>
    <row r="23" spans="1:8" ht="15.75">
      <c r="A23" s="9" t="s">
        <v>587</v>
      </c>
      <c r="B23" s="45"/>
      <c r="C23" s="45"/>
      <c r="D23" s="46"/>
      <c r="E23" s="46"/>
      <c r="F23" s="12"/>
      <c r="G23" s="12"/>
      <c r="H23" s="12"/>
    </row>
    <row r="24" spans="1:8" ht="15">
      <c r="A24" s="44"/>
      <c r="B24" s="45"/>
      <c r="C24" s="45"/>
      <c r="D24" s="46"/>
      <c r="E24" s="46"/>
      <c r="F24" s="12"/>
      <c r="G24" s="12"/>
      <c r="H24" s="12"/>
    </row>
    <row r="25" spans="1:8" ht="30.75" thickBot="1">
      <c r="A25" s="31" t="s">
        <v>584</v>
      </c>
      <c r="B25" s="32" t="s">
        <v>56</v>
      </c>
      <c r="C25" s="32" t="s">
        <v>63</v>
      </c>
      <c r="D25" s="32" t="s">
        <v>581</v>
      </c>
      <c r="E25" s="32" t="s">
        <v>582</v>
      </c>
      <c r="F25" s="12"/>
      <c r="G25" s="12"/>
      <c r="H25" s="12"/>
    </row>
    <row r="26" spans="1:8" ht="15">
      <c r="A26" s="33" t="s">
        <v>323</v>
      </c>
      <c r="B26" s="34">
        <f>B9</f>
        <v>3203494.1500000004</v>
      </c>
      <c r="C26" s="34">
        <f>C9</f>
        <v>2633949.88</v>
      </c>
      <c r="D26" s="36">
        <f>(C26-B26)/B26</f>
        <v>-0.17778845327374812</v>
      </c>
      <c r="E26" s="36">
        <f>C26/C28</f>
        <v>0.98634413882789052</v>
      </c>
      <c r="F26" s="12"/>
      <c r="G26" s="12"/>
      <c r="H26" s="12"/>
    </row>
    <row r="27" spans="1:8" ht="15.75" thickBot="1">
      <c r="A27" s="39" t="s">
        <v>589</v>
      </c>
      <c r="B27" s="47">
        <f>C20</f>
        <v>28937.65</v>
      </c>
      <c r="C27" s="47">
        <f>D20</f>
        <v>36466.839999999997</v>
      </c>
      <c r="D27" s="41">
        <f>(C27-B27)/B27</f>
        <v>0.26018664266103136</v>
      </c>
      <c r="E27" s="41">
        <f>C27/C28</f>
        <v>1.3655861172109497E-2</v>
      </c>
      <c r="F27" s="12"/>
      <c r="G27" s="12"/>
      <c r="H27" s="12"/>
    </row>
    <row r="28" spans="1:8" ht="15.75" thickBot="1">
      <c r="A28" s="101" t="s">
        <v>82</v>
      </c>
      <c r="B28" s="78">
        <f>SUM(B26:B27)</f>
        <v>3232431.8000000003</v>
      </c>
      <c r="C28" s="78">
        <f>SUM(C26:C27)</f>
        <v>2670416.7199999997</v>
      </c>
      <c r="D28" s="76">
        <f>(C28-B28)/B28</f>
        <v>-0.17386757548914117</v>
      </c>
      <c r="E28" s="76">
        <f>SUM(E26:E27)</f>
        <v>1</v>
      </c>
      <c r="F28" s="12"/>
      <c r="G28" s="12"/>
      <c r="H28" s="12"/>
    </row>
    <row r="29" spans="1:8" ht="15">
      <c r="A29" s="44"/>
      <c r="B29" s="45"/>
      <c r="C29" s="45"/>
      <c r="D29" s="46"/>
      <c r="E29" s="46"/>
      <c r="F29" s="12"/>
      <c r="G29" s="12"/>
      <c r="H29" s="12"/>
    </row>
    <row r="30" spans="1:8" ht="15">
      <c r="A30" s="12"/>
      <c r="B30" s="12"/>
      <c r="C30" s="12"/>
      <c r="D30" s="12"/>
      <c r="E30" s="12"/>
      <c r="F30" s="12"/>
      <c r="G30" s="12"/>
      <c r="H30" s="12"/>
    </row>
    <row r="31" spans="1:8" ht="15">
      <c r="A31" s="12"/>
      <c r="B31" s="12"/>
      <c r="C31" s="12"/>
      <c r="D31" s="12"/>
      <c r="E31" s="12"/>
      <c r="F31" s="12"/>
      <c r="G31" s="12"/>
      <c r="H31" s="12"/>
    </row>
    <row r="32" spans="1:8" ht="15">
      <c r="G32" s="12"/>
      <c r="H32" s="12"/>
    </row>
    <row r="33" spans="1:8" ht="15">
      <c r="G33" s="12"/>
      <c r="H33" s="12"/>
    </row>
    <row r="34" spans="1:8" ht="15">
      <c r="G34" s="12"/>
      <c r="H34" s="12"/>
    </row>
    <row r="35" spans="1:8" ht="15">
      <c r="G35" s="12"/>
      <c r="H35" s="12"/>
    </row>
    <row r="36" spans="1:8" ht="15">
      <c r="G36" s="12"/>
      <c r="H36" s="12"/>
    </row>
    <row r="37" spans="1:8" ht="15">
      <c r="G37" s="12"/>
      <c r="H37" s="12"/>
    </row>
    <row r="38" spans="1:8" ht="15">
      <c r="G38" s="12"/>
      <c r="H38" s="12"/>
    </row>
    <row r="39" spans="1:8" ht="15">
      <c r="G39" s="12"/>
      <c r="H39" s="12"/>
    </row>
    <row r="40" spans="1:8" ht="15">
      <c r="G40" s="12"/>
      <c r="H40" s="12"/>
    </row>
    <row r="41" spans="1:8" ht="15">
      <c r="G41" s="12"/>
      <c r="H41" s="12"/>
    </row>
    <row r="42" spans="1:8" ht="15">
      <c r="G42" s="12"/>
      <c r="H42" s="12"/>
    </row>
    <row r="43" spans="1:8" ht="15">
      <c r="G43" s="12"/>
      <c r="H43" s="12"/>
    </row>
    <row r="44" spans="1:8" ht="15">
      <c r="A44" s="12"/>
      <c r="B44" s="12"/>
      <c r="C44" s="12"/>
      <c r="D44" s="12"/>
      <c r="E44" s="12"/>
      <c r="F44" s="12"/>
      <c r="G44" s="12"/>
      <c r="H44" s="12"/>
    </row>
    <row r="45" spans="1:8" ht="15">
      <c r="A45" s="12"/>
      <c r="B45" s="12"/>
      <c r="C45" s="12"/>
      <c r="D45" s="12"/>
      <c r="E45" s="12"/>
      <c r="F45" s="12"/>
      <c r="G45" s="12"/>
      <c r="H45" s="12"/>
    </row>
    <row r="46" spans="1:8" ht="15">
      <c r="A46" s="12"/>
      <c r="B46" s="12"/>
      <c r="C46" s="12"/>
      <c r="D46" s="12"/>
      <c r="E46" s="12"/>
      <c r="F46" s="12"/>
      <c r="G46" s="12"/>
      <c r="H46" s="12"/>
    </row>
    <row r="47" spans="1:8" ht="15">
      <c r="A47" s="12"/>
      <c r="B47" s="12"/>
      <c r="C47" s="12"/>
      <c r="D47" s="12"/>
      <c r="E47" s="12"/>
      <c r="F47" s="12"/>
      <c r="G47" s="12"/>
      <c r="H47" s="12"/>
    </row>
    <row r="48" spans="1:8" ht="15">
      <c r="A48" s="12"/>
      <c r="B48" s="12"/>
      <c r="C48" s="12"/>
      <c r="D48" s="12"/>
      <c r="E48" s="12"/>
      <c r="F48" s="12"/>
      <c r="G48" s="12"/>
      <c r="H48" s="12"/>
    </row>
    <row r="49" spans="1:8" ht="15">
      <c r="A49" s="12"/>
      <c r="B49" s="12"/>
      <c r="C49" s="12"/>
      <c r="D49" s="12"/>
      <c r="E49" s="12"/>
      <c r="F49" s="12"/>
      <c r="G49" s="12"/>
      <c r="H49" s="12"/>
    </row>
    <row r="50" spans="1:8" ht="15">
      <c r="A50" s="12"/>
      <c r="B50" s="12"/>
      <c r="C50" s="12"/>
      <c r="D50" s="12"/>
      <c r="E50" s="12"/>
      <c r="F50" s="12"/>
      <c r="G50" s="12"/>
      <c r="H50" s="12"/>
    </row>
    <row r="51" spans="1:8" ht="15">
      <c r="F51" s="12"/>
      <c r="G51" s="12"/>
      <c r="H51" s="12"/>
    </row>
    <row r="52" spans="1:8" ht="15">
      <c r="F52" s="12"/>
      <c r="G52" s="12"/>
      <c r="H52" s="12"/>
    </row>
    <row r="53" spans="1:8" ht="15">
      <c r="F53" s="12"/>
      <c r="G53" s="12"/>
      <c r="H53" s="12"/>
    </row>
    <row r="54" spans="1:8" ht="15">
      <c r="F54" s="12"/>
      <c r="G54" s="12"/>
      <c r="H54" s="12"/>
    </row>
    <row r="55" spans="1:8" ht="15">
      <c r="A55" s="12"/>
      <c r="B55" s="12"/>
      <c r="C55" s="12"/>
      <c r="D55" s="12"/>
      <c r="E55" s="12"/>
      <c r="F55" s="12"/>
      <c r="G55" s="12"/>
      <c r="H55" s="12"/>
    </row>
    <row r="56" spans="1:8" ht="15">
      <c r="A56" s="12"/>
      <c r="B56" s="12"/>
      <c r="C56" s="12"/>
      <c r="D56" s="12"/>
      <c r="E56" s="12"/>
      <c r="F56" s="12"/>
      <c r="G56" s="12"/>
      <c r="H56" s="12"/>
    </row>
    <row r="57" spans="1:8" ht="15">
      <c r="A57" s="12"/>
      <c r="B57" s="12"/>
      <c r="C57" s="12"/>
      <c r="D57" s="12"/>
      <c r="E57" s="12"/>
      <c r="F57" s="12"/>
      <c r="G57" s="12"/>
      <c r="H57" s="12"/>
    </row>
    <row r="58" spans="1:8" ht="15">
      <c r="A58" s="11"/>
      <c r="B58" s="12"/>
      <c r="C58" s="12"/>
      <c r="D58" s="12"/>
      <c r="E58" s="12"/>
      <c r="F58" s="12"/>
      <c r="G58" s="12"/>
      <c r="H58" s="12"/>
    </row>
    <row r="59" spans="1:8" ht="15">
      <c r="A59" s="12"/>
      <c r="B59" s="12"/>
      <c r="C59" s="12"/>
      <c r="D59" s="12"/>
      <c r="E59" s="12"/>
      <c r="F59" s="12"/>
      <c r="G59" s="12"/>
      <c r="H59" s="12"/>
    </row>
    <row r="60" spans="1:8" ht="15">
      <c r="A60" s="12"/>
      <c r="B60" s="12"/>
      <c r="C60" s="12"/>
      <c r="D60" s="12"/>
      <c r="E60" s="12"/>
      <c r="F60" s="12"/>
      <c r="G60" s="12"/>
      <c r="H60" s="12"/>
    </row>
    <row r="61" spans="1:8" ht="15">
      <c r="A61" s="12"/>
      <c r="B61" s="12"/>
      <c r="C61" s="12"/>
      <c r="D61" s="12"/>
      <c r="E61" s="12"/>
      <c r="F61" s="12"/>
      <c r="G61" s="12"/>
      <c r="H61" s="12"/>
    </row>
    <row r="62" spans="1:8" ht="15">
      <c r="A62" s="12"/>
      <c r="B62" s="12"/>
      <c r="C62" s="12"/>
      <c r="D62" s="12"/>
      <c r="E62" s="12"/>
      <c r="F62" s="12"/>
      <c r="G62" s="12"/>
      <c r="H62" s="12"/>
    </row>
    <row r="63" spans="1:8" ht="15">
      <c r="A63" s="12"/>
      <c r="B63" s="12"/>
      <c r="C63" s="12"/>
      <c r="D63" s="12"/>
      <c r="E63" s="12"/>
      <c r="F63" s="12"/>
      <c r="G63" s="12"/>
      <c r="H63" s="12"/>
    </row>
  </sheetData>
  <phoneticPr fontId="2" type="noConversion"/>
  <pageMargins left="0.75" right="0.75" top="1" bottom="1" header="0.5" footer="0.5"/>
  <pageSetup orientation="landscape" r:id="rId1"/>
  <headerFooter alignWithMargins="0">
    <oddFooter>&amp;L&amp;F&amp;C&amp;A&amp;RPage &amp;P of &amp;N</oddFooter>
  </headerFooter>
  <ignoredErrors>
    <ignoredError sqref="D9 D28" formula="1"/>
  </ignoredErrors>
  <drawing r:id="rId2"/>
</worksheet>
</file>

<file path=xl/worksheets/sheet3.xml><?xml version="1.0" encoding="utf-8"?>
<worksheet xmlns="http://schemas.openxmlformats.org/spreadsheetml/2006/main" xmlns:r="http://schemas.openxmlformats.org/officeDocument/2006/relationships">
  <dimension ref="A1:J51"/>
  <sheetViews>
    <sheetView topLeftCell="A43" workbookViewId="0">
      <selection activeCell="D5" sqref="D5"/>
    </sheetView>
  </sheetViews>
  <sheetFormatPr defaultRowHeight="12.75"/>
  <cols>
    <col min="1" max="1" width="25.140625" customWidth="1"/>
    <col min="2" max="2" width="22.28515625" customWidth="1"/>
    <col min="3" max="3" width="32" bestFit="1" customWidth="1"/>
    <col min="4" max="4" width="13.28515625" customWidth="1"/>
    <col min="5" max="5" width="14.42578125" customWidth="1"/>
    <col min="6" max="7" width="12.7109375" bestFit="1" customWidth="1"/>
    <col min="9" max="10" width="12.7109375" bestFit="1" customWidth="1"/>
  </cols>
  <sheetData>
    <row r="1" spans="1:10" ht="18.75">
      <c r="A1" s="30" t="s">
        <v>2478</v>
      </c>
      <c r="B1" s="11"/>
      <c r="C1" s="11"/>
      <c r="D1" s="12"/>
      <c r="E1" s="12"/>
    </row>
    <row r="2" spans="1:10" ht="15">
      <c r="A2" s="12"/>
      <c r="B2" s="12"/>
      <c r="C2" s="57"/>
      <c r="D2" s="12"/>
      <c r="E2" s="11" t="s">
        <v>2479</v>
      </c>
    </row>
    <row r="3" spans="1:10" ht="15">
      <c r="A3" s="226" t="s">
        <v>2390</v>
      </c>
      <c r="B3" s="223" t="s">
        <v>517</v>
      </c>
      <c r="C3" s="62" t="s">
        <v>2387</v>
      </c>
      <c r="D3" s="62">
        <v>513472.59</v>
      </c>
      <c r="E3" s="35">
        <f>D3/D8</f>
        <v>0.21779963928927373</v>
      </c>
      <c r="F3" s="151"/>
      <c r="G3" s="151"/>
    </row>
    <row r="4" spans="1:10" ht="15">
      <c r="A4" s="227"/>
      <c r="B4" s="224"/>
      <c r="C4" s="62" t="s">
        <v>2396</v>
      </c>
      <c r="D4" s="62">
        <v>976770.94</v>
      </c>
      <c r="E4" s="35">
        <f>D4/D8</f>
        <v>0.41431687405211798</v>
      </c>
      <c r="G4" s="151"/>
    </row>
    <row r="5" spans="1:10" ht="15">
      <c r="A5" s="227"/>
      <c r="B5" s="224"/>
      <c r="C5" s="37" t="s">
        <v>2397</v>
      </c>
      <c r="D5" s="62">
        <v>768571.78</v>
      </c>
      <c r="E5" s="35">
        <f>D5/D8</f>
        <v>0.32600504819919413</v>
      </c>
      <c r="F5" s="151"/>
    </row>
    <row r="6" spans="1:10" ht="15">
      <c r="A6" s="227"/>
      <c r="B6" s="224"/>
      <c r="C6" s="62" t="s">
        <v>2415</v>
      </c>
      <c r="D6" s="62">
        <v>47189</v>
      </c>
      <c r="E6" s="35">
        <f>D6/D8</f>
        <v>2.0016155445457248E-2</v>
      </c>
      <c r="G6" s="151"/>
    </row>
    <row r="7" spans="1:10" ht="15">
      <c r="A7" s="227"/>
      <c r="B7" s="224"/>
      <c r="C7" s="62" t="s">
        <v>2414</v>
      </c>
      <c r="D7" s="62">
        <v>51541.33</v>
      </c>
      <c r="E7" s="35">
        <f>D7/D8</f>
        <v>2.1862283013956835E-2</v>
      </c>
      <c r="G7" s="151"/>
      <c r="I7" s="1"/>
    </row>
    <row r="8" spans="1:10" ht="15">
      <c r="A8" s="227"/>
      <c r="B8" s="225"/>
      <c r="C8" s="82" t="s">
        <v>330</v>
      </c>
      <c r="D8" s="165">
        <f>SUM(D3:D7)</f>
        <v>2357545.64</v>
      </c>
      <c r="E8" s="190">
        <f>D8/D18</f>
        <v>0.90750501821312868</v>
      </c>
      <c r="I8" s="57"/>
    </row>
    <row r="9" spans="1:10" ht="15">
      <c r="A9" s="227"/>
      <c r="B9" s="223" t="s">
        <v>2391</v>
      </c>
      <c r="C9" s="62" t="s">
        <v>2398</v>
      </c>
      <c r="D9" s="62">
        <v>193087.93</v>
      </c>
      <c r="E9" s="35">
        <f>D9/D13</f>
        <v>0.8549051578177862</v>
      </c>
      <c r="I9" s="57"/>
    </row>
    <row r="10" spans="1:10" ht="15">
      <c r="A10" s="227"/>
      <c r="B10" s="224"/>
      <c r="C10" s="62" t="s">
        <v>2399</v>
      </c>
      <c r="D10" s="62">
        <v>1312.25</v>
      </c>
      <c r="E10" s="35">
        <f>D10/D13</f>
        <v>5.8100436073160551E-3</v>
      </c>
      <c r="J10" s="1"/>
    </row>
    <row r="11" spans="1:10" ht="15">
      <c r="A11" s="227"/>
      <c r="B11" s="224"/>
      <c r="C11" s="62" t="s">
        <v>247</v>
      </c>
      <c r="D11" s="62">
        <v>27264.41</v>
      </c>
      <c r="E11" s="35">
        <f>D11/D13</f>
        <v>0.12071435399332743</v>
      </c>
    </row>
    <row r="12" spans="1:10" ht="15">
      <c r="A12" s="227"/>
      <c r="B12" s="224"/>
      <c r="C12" s="62" t="s">
        <v>249</v>
      </c>
      <c r="D12" s="62">
        <v>4194.3</v>
      </c>
      <c r="E12" s="35">
        <f>D12/D13</f>
        <v>1.8570444581570381E-2</v>
      </c>
      <c r="I12" s="1"/>
    </row>
    <row r="13" spans="1:10" ht="15">
      <c r="A13" s="227"/>
      <c r="B13" s="225"/>
      <c r="C13" s="82" t="s">
        <v>330</v>
      </c>
      <c r="D13" s="165">
        <f>SUM(D9:D12)</f>
        <v>225858.88999999998</v>
      </c>
      <c r="E13" s="190">
        <f>D13/D18</f>
        <v>8.6941297171683599E-2</v>
      </c>
    </row>
    <row r="14" spans="1:10" ht="15">
      <c r="A14" s="227"/>
      <c r="B14" s="231" t="s">
        <v>2392</v>
      </c>
      <c r="C14" s="62" t="s">
        <v>298</v>
      </c>
      <c r="D14" s="62">
        <v>14427.54</v>
      </c>
      <c r="E14" s="35">
        <f>D14/D17</f>
        <v>1</v>
      </c>
    </row>
    <row r="15" spans="1:10" ht="15">
      <c r="A15" s="227"/>
      <c r="B15" s="231"/>
      <c r="C15" s="62" t="s">
        <v>247</v>
      </c>
      <c r="D15" s="62">
        <v>0</v>
      </c>
      <c r="E15" s="55" t="s">
        <v>199</v>
      </c>
    </row>
    <row r="16" spans="1:10" ht="15">
      <c r="A16" s="227"/>
      <c r="B16" s="231"/>
      <c r="C16" s="62" t="s">
        <v>249</v>
      </c>
      <c r="D16" s="62">
        <v>0</v>
      </c>
      <c r="E16" s="55" t="s">
        <v>199</v>
      </c>
    </row>
    <row r="17" spans="1:5" ht="15">
      <c r="A17" s="227"/>
      <c r="B17" s="231"/>
      <c r="C17" s="165" t="s">
        <v>330</v>
      </c>
      <c r="D17" s="165">
        <f>SUM(D14:D16)</f>
        <v>14427.54</v>
      </c>
      <c r="E17" s="190">
        <f>D17/D18</f>
        <v>5.5536846151876167E-3</v>
      </c>
    </row>
    <row r="18" spans="1:5" ht="15">
      <c r="A18" s="228"/>
      <c r="B18" s="162" t="s">
        <v>330</v>
      </c>
      <c r="C18" s="163"/>
      <c r="D18" s="164">
        <f>D8+D13+D17</f>
        <v>2597832.0700000003</v>
      </c>
      <c r="E18" s="191">
        <f>D18/D33</f>
        <v>0.81765043007683402</v>
      </c>
    </row>
    <row r="19" spans="1:5" ht="15">
      <c r="A19" s="229" t="s">
        <v>2393</v>
      </c>
      <c r="B19" s="231" t="s">
        <v>2394</v>
      </c>
      <c r="C19" s="37" t="s">
        <v>298</v>
      </c>
      <c r="D19" s="62">
        <v>255115</v>
      </c>
      <c r="E19" s="35">
        <f>D19/D20</f>
        <v>1</v>
      </c>
    </row>
    <row r="20" spans="1:5" ht="15">
      <c r="A20" s="229"/>
      <c r="B20" s="232"/>
      <c r="C20" s="168" t="s">
        <v>330</v>
      </c>
      <c r="D20" s="166">
        <f>SUM(D19)</f>
        <v>255115</v>
      </c>
      <c r="E20" s="35">
        <f>D20/D21</f>
        <v>1</v>
      </c>
    </row>
    <row r="21" spans="1:5" ht="15">
      <c r="A21" s="233"/>
      <c r="B21" s="162" t="s">
        <v>330</v>
      </c>
      <c r="C21" s="167"/>
      <c r="D21" s="164">
        <f>D20</f>
        <v>255115</v>
      </c>
      <c r="E21" s="191">
        <f>D21/D33</f>
        <v>8.0295755787267456E-2</v>
      </c>
    </row>
    <row r="22" spans="1:5" ht="15">
      <c r="A22" s="229" t="s">
        <v>2383</v>
      </c>
      <c r="B22" s="231" t="s">
        <v>2384</v>
      </c>
      <c r="C22" s="62" t="s">
        <v>298</v>
      </c>
      <c r="D22" s="62">
        <v>169736.38</v>
      </c>
      <c r="E22" s="35">
        <f>D22/D26</f>
        <v>0.84923585654922717</v>
      </c>
    </row>
    <row r="23" spans="1:5" ht="15">
      <c r="A23" s="229"/>
      <c r="B23" s="231"/>
      <c r="C23" s="62" t="s">
        <v>2386</v>
      </c>
      <c r="D23" s="62">
        <v>20906.11</v>
      </c>
      <c r="E23" s="35">
        <f>D23/D26</f>
        <v>0.10459877978405316</v>
      </c>
    </row>
    <row r="24" spans="1:5" ht="15">
      <c r="A24" s="229"/>
      <c r="B24" s="231"/>
      <c r="C24" s="62" t="s">
        <v>247</v>
      </c>
      <c r="D24" s="62">
        <v>2168.62</v>
      </c>
      <c r="E24" s="35">
        <f>D24/D26</f>
        <v>1.0850177570829452E-2</v>
      </c>
    </row>
    <row r="25" spans="1:5" ht="15">
      <c r="A25" s="229"/>
      <c r="B25" s="231"/>
      <c r="C25" s="62" t="s">
        <v>249</v>
      </c>
      <c r="D25" s="62">
        <v>7058.43</v>
      </c>
      <c r="E25" s="35">
        <f>D25/D26</f>
        <v>3.5315186095890357E-2</v>
      </c>
    </row>
    <row r="26" spans="1:5" s="152" customFormat="1" ht="15">
      <c r="A26" s="229"/>
      <c r="B26" s="231"/>
      <c r="C26" s="165" t="s">
        <v>330</v>
      </c>
      <c r="D26" s="165">
        <f>SUM(D22:D25)</f>
        <v>199869.53999999998</v>
      </c>
      <c r="E26" s="190">
        <f>D26/D32</f>
        <v>0.61641609239841577</v>
      </c>
    </row>
    <row r="27" spans="1:5" ht="15">
      <c r="A27" s="229"/>
      <c r="B27" s="231" t="s">
        <v>2388</v>
      </c>
      <c r="C27" s="62" t="s">
        <v>298</v>
      </c>
      <c r="D27" s="62">
        <v>24183.08</v>
      </c>
      <c r="E27" s="35">
        <f>D27/D29</f>
        <v>0.99212717302742393</v>
      </c>
    </row>
    <row r="28" spans="1:5" ht="15">
      <c r="A28" s="229"/>
      <c r="B28" s="231"/>
      <c r="C28" s="62" t="s">
        <v>2386</v>
      </c>
      <c r="D28" s="62">
        <v>191.9</v>
      </c>
      <c r="E28" s="35">
        <f>D28/D29</f>
        <v>7.8728269725759775E-3</v>
      </c>
    </row>
    <row r="29" spans="1:5" s="152" customFormat="1" ht="15">
      <c r="A29" s="229"/>
      <c r="B29" s="231"/>
      <c r="C29" s="165" t="s">
        <v>330</v>
      </c>
      <c r="D29" s="165">
        <f>SUM(D27:D28)</f>
        <v>24374.980000000003</v>
      </c>
      <c r="E29" s="190">
        <f>D29/D32</f>
        <v>7.5174686067169316E-2</v>
      </c>
    </row>
    <row r="30" spans="1:5" ht="15">
      <c r="A30" s="229"/>
      <c r="B30" s="231" t="s">
        <v>2389</v>
      </c>
      <c r="C30" s="62" t="s">
        <v>298</v>
      </c>
      <c r="D30" s="62">
        <v>100000</v>
      </c>
      <c r="E30" s="35">
        <f>D30/D31</f>
        <v>1</v>
      </c>
    </row>
    <row r="31" spans="1:5" ht="15">
      <c r="A31" s="229"/>
      <c r="B31" s="232"/>
      <c r="C31" s="166" t="s">
        <v>330</v>
      </c>
      <c r="D31" s="166">
        <f>SUM(D30)</f>
        <v>100000</v>
      </c>
      <c r="E31" s="190">
        <f>D31/D32</f>
        <v>0.3084092215344148</v>
      </c>
    </row>
    <row r="32" spans="1:5" s="152" customFormat="1" ht="15.75" thickBot="1">
      <c r="A32" s="230"/>
      <c r="B32" s="185" t="s">
        <v>330</v>
      </c>
      <c r="C32" s="186"/>
      <c r="D32" s="187">
        <f>D26+D29+D30</f>
        <v>324244.52</v>
      </c>
      <c r="E32" s="191">
        <f>D32/D33</f>
        <v>0.10205381413589855</v>
      </c>
    </row>
    <row r="33" spans="1:5" s="152" customFormat="1" ht="15.75" thickBot="1">
      <c r="A33" s="188" t="s">
        <v>2395</v>
      </c>
      <c r="B33" s="188"/>
      <c r="C33" s="189"/>
      <c r="D33" s="189">
        <f>D18+D21+D32</f>
        <v>3177191.5900000003</v>
      </c>
      <c r="E33" s="192">
        <f>E18+E21+E32</f>
        <v>1</v>
      </c>
    </row>
    <row r="34" spans="1:5">
      <c r="C34" s="1"/>
    </row>
    <row r="35" spans="1:5">
      <c r="C35" s="1"/>
    </row>
    <row r="36" spans="1:5">
      <c r="A36" s="151"/>
      <c r="C36" s="1"/>
    </row>
    <row r="37" spans="1:5">
      <c r="C37" s="1"/>
    </row>
    <row r="38" spans="1:5">
      <c r="C38" s="1"/>
    </row>
    <row r="39" spans="1:5">
      <c r="C39" s="1"/>
    </row>
    <row r="40" spans="1:5">
      <c r="C40" s="1"/>
    </row>
    <row r="41" spans="1:5">
      <c r="C41" s="1"/>
    </row>
    <row r="42" spans="1:5">
      <c r="C42" s="1"/>
    </row>
    <row r="43" spans="1:5">
      <c r="C43" s="1"/>
    </row>
    <row r="44" spans="1:5">
      <c r="C44" s="1"/>
    </row>
    <row r="45" spans="1:5">
      <c r="C45" s="1"/>
    </row>
    <row r="46" spans="1:5">
      <c r="C46" s="1"/>
    </row>
    <row r="47" spans="1:5">
      <c r="C47" s="1"/>
    </row>
    <row r="48" spans="1:5">
      <c r="C48" s="1"/>
    </row>
    <row r="49" spans="3:3">
      <c r="C49" s="1"/>
    </row>
    <row r="50" spans="3:3">
      <c r="C50" s="1"/>
    </row>
    <row r="51" spans="3:3">
      <c r="C51" s="1"/>
    </row>
  </sheetData>
  <mergeCells count="10">
    <mergeCell ref="B9:B13"/>
    <mergeCell ref="A3:A18"/>
    <mergeCell ref="B3:B8"/>
    <mergeCell ref="A22:A32"/>
    <mergeCell ref="B22:B26"/>
    <mergeCell ref="B27:B29"/>
    <mergeCell ref="B30:B31"/>
    <mergeCell ref="A19:A21"/>
    <mergeCell ref="B19:B20"/>
    <mergeCell ref="B14:B17"/>
  </mergeCells>
  <phoneticPr fontId="2" type="noConversion"/>
  <pageMargins left="0.75" right="0.75" top="0.85" bottom="0.73" header="0.5" footer="0.5"/>
  <pageSetup orientation="landscape" r:id="rId1"/>
  <headerFooter alignWithMargins="0">
    <oddFooter>&amp;L&amp;F&amp;C&amp;A&amp;RPage &amp;P of &amp;N</oddFooter>
  </headerFooter>
  <ignoredErrors>
    <ignoredError sqref="E18 E29" formula="1"/>
  </ignoredErrors>
  <drawing r:id="rId2"/>
</worksheet>
</file>

<file path=xl/worksheets/sheet4.xml><?xml version="1.0" encoding="utf-8"?>
<worksheet xmlns="http://schemas.openxmlformats.org/spreadsheetml/2006/main" xmlns:r="http://schemas.openxmlformats.org/officeDocument/2006/relationships">
  <sheetPr>
    <pageSetUpPr fitToPage="1"/>
  </sheetPr>
  <dimension ref="A1:J94"/>
  <sheetViews>
    <sheetView topLeftCell="A25" workbookViewId="0">
      <selection activeCell="C28" sqref="C28"/>
    </sheetView>
  </sheetViews>
  <sheetFormatPr defaultRowHeight="12.75"/>
  <cols>
    <col min="1" max="1" width="25.42578125" customWidth="1"/>
    <col min="2" max="2" width="22.85546875" customWidth="1"/>
    <col min="3" max="3" width="12.7109375" bestFit="1" customWidth="1"/>
    <col min="4" max="4" width="11.140625" bestFit="1" customWidth="1"/>
    <col min="5" max="5" width="13.140625" customWidth="1"/>
    <col min="6" max="6" width="13" customWidth="1"/>
    <col min="7" max="7" width="10.5703125" bestFit="1" customWidth="1"/>
    <col min="9" max="10" width="10.7109375" bestFit="1" customWidth="1"/>
    <col min="11" max="11" width="9.7109375" bestFit="1" customWidth="1"/>
    <col min="12" max="12" width="20.28515625" customWidth="1"/>
    <col min="13" max="14" width="11.140625" bestFit="1" customWidth="1"/>
    <col min="15" max="15" width="7.7109375" bestFit="1" customWidth="1"/>
    <col min="16" max="16" width="8.42578125" bestFit="1" customWidth="1"/>
  </cols>
  <sheetData>
    <row r="1" spans="1:10" ht="18.75">
      <c r="A1" s="30" t="s">
        <v>614</v>
      </c>
    </row>
    <row r="2" spans="1:10" ht="15">
      <c r="A2" s="12"/>
      <c r="B2" s="12"/>
      <c r="C2" s="12"/>
      <c r="D2" s="12"/>
      <c r="E2" s="12"/>
      <c r="F2" s="12"/>
      <c r="G2" s="12"/>
      <c r="H2" s="12"/>
      <c r="I2" s="12"/>
      <c r="J2" s="12"/>
    </row>
    <row r="3" spans="1:10" ht="30.75" thickBot="1">
      <c r="A3" s="32"/>
      <c r="B3" s="32" t="s">
        <v>56</v>
      </c>
      <c r="C3" s="32" t="s">
        <v>63</v>
      </c>
      <c r="D3" s="32" t="s">
        <v>86</v>
      </c>
      <c r="E3" s="32" t="s">
        <v>582</v>
      </c>
      <c r="F3" s="12"/>
      <c r="G3" s="12"/>
      <c r="H3" s="12"/>
      <c r="I3" s="12"/>
      <c r="J3" s="12"/>
    </row>
    <row r="4" spans="1:10" ht="15">
      <c r="A4" s="11" t="s">
        <v>298</v>
      </c>
      <c r="B4" s="57"/>
      <c r="C4" s="57"/>
      <c r="D4" s="56"/>
      <c r="E4" s="56"/>
      <c r="F4" s="12"/>
      <c r="G4" s="12"/>
      <c r="H4" s="12"/>
      <c r="I4" s="12"/>
      <c r="J4" s="12"/>
    </row>
    <row r="5" spans="1:10" ht="15">
      <c r="A5" s="61" t="s">
        <v>321</v>
      </c>
      <c r="B5" s="62">
        <v>435864.29</v>
      </c>
      <c r="C5" s="62">
        <v>302430.28000000003</v>
      </c>
      <c r="D5" s="35">
        <f>(C5-B5)/B5</f>
        <v>-0.30613659586565339</v>
      </c>
      <c r="E5" s="35"/>
      <c r="F5" s="12"/>
      <c r="G5" s="12"/>
      <c r="H5" s="12"/>
      <c r="I5" s="12"/>
      <c r="J5" s="12"/>
    </row>
    <row r="6" spans="1:10" ht="15">
      <c r="A6" s="61" t="s">
        <v>607</v>
      </c>
      <c r="B6" s="62">
        <v>18787.37</v>
      </c>
      <c r="C6" s="62">
        <v>21098.01</v>
      </c>
      <c r="D6" s="35">
        <f t="shared" ref="D6:D11" si="0">(C6-B6)/B6</f>
        <v>0.12298900804104031</v>
      </c>
      <c r="E6" s="35"/>
      <c r="F6" s="12"/>
      <c r="G6" s="12"/>
      <c r="H6" s="12"/>
      <c r="I6" s="12"/>
      <c r="J6" s="12"/>
    </row>
    <row r="7" spans="1:10" ht="15">
      <c r="A7" s="63" t="s">
        <v>608</v>
      </c>
      <c r="B7" s="64">
        <f>SUM(B5:B6)</f>
        <v>454651.66</v>
      </c>
      <c r="C7" s="64">
        <f>SUM(C5:C6)</f>
        <v>323528.29000000004</v>
      </c>
      <c r="D7" s="65">
        <f t="shared" si="0"/>
        <v>-0.28840402782209118</v>
      </c>
      <c r="E7" s="65">
        <f>C7/C11</f>
        <v>0.10920836663447188</v>
      </c>
      <c r="F7" s="12"/>
      <c r="G7" s="12"/>
      <c r="H7" s="12"/>
      <c r="I7" s="12"/>
      <c r="J7" s="12"/>
    </row>
    <row r="8" spans="1:10" ht="15">
      <c r="A8" s="61" t="s">
        <v>322</v>
      </c>
      <c r="B8" s="62">
        <v>3203494.15</v>
      </c>
      <c r="C8" s="62">
        <v>2602491.17</v>
      </c>
      <c r="D8" s="35">
        <f t="shared" si="0"/>
        <v>-0.18760857734046432</v>
      </c>
      <c r="E8" s="35"/>
      <c r="F8" s="12"/>
      <c r="G8" s="12"/>
      <c r="H8" s="12"/>
      <c r="I8" s="12"/>
      <c r="J8" s="12"/>
    </row>
    <row r="9" spans="1:10" ht="15">
      <c r="A9" s="61" t="s">
        <v>606</v>
      </c>
      <c r="B9" s="62">
        <v>28937.65</v>
      </c>
      <c r="C9" s="62">
        <v>36466.839999999997</v>
      </c>
      <c r="D9" s="35">
        <f t="shared" si="0"/>
        <v>0.26018664266103136</v>
      </c>
      <c r="E9" s="35"/>
      <c r="F9" s="12"/>
      <c r="G9" s="12"/>
      <c r="H9" s="12"/>
      <c r="I9" s="12"/>
      <c r="J9" s="12"/>
    </row>
    <row r="10" spans="1:10" ht="15">
      <c r="A10" s="63" t="s">
        <v>609</v>
      </c>
      <c r="B10" s="64">
        <f>SUM(B8:B9)</f>
        <v>3232431.8</v>
      </c>
      <c r="C10" s="64">
        <f>SUM(C8:C9)</f>
        <v>2638958.0099999998</v>
      </c>
      <c r="D10" s="65">
        <f t="shared" si="0"/>
        <v>-0.18359978700865401</v>
      </c>
      <c r="E10" s="65">
        <f>C10/C11</f>
        <v>0.89079163336552813</v>
      </c>
      <c r="F10" s="12"/>
      <c r="G10" s="12"/>
      <c r="H10" s="12"/>
      <c r="I10" s="12"/>
      <c r="J10" s="12"/>
    </row>
    <row r="11" spans="1:10" ht="15">
      <c r="A11" s="66" t="s">
        <v>610</v>
      </c>
      <c r="B11" s="67">
        <f>B7+B10</f>
        <v>3687083.46</v>
      </c>
      <c r="C11" s="67">
        <f>C7+C10</f>
        <v>2962486.3</v>
      </c>
      <c r="D11" s="68">
        <f t="shared" si="0"/>
        <v>-0.19652312399784955</v>
      </c>
      <c r="E11" s="68">
        <f>SUM(E7:E10)</f>
        <v>1</v>
      </c>
      <c r="F11" s="12"/>
      <c r="G11" s="12"/>
      <c r="H11" s="12"/>
      <c r="I11" s="12"/>
      <c r="J11" s="12"/>
    </row>
    <row r="12" spans="1:10" ht="15">
      <c r="A12" s="12"/>
      <c r="B12" s="57"/>
      <c r="C12" s="57"/>
      <c r="D12" s="56"/>
      <c r="E12" s="56"/>
      <c r="F12" s="12"/>
      <c r="G12" s="12"/>
      <c r="H12" s="12"/>
      <c r="I12" s="12"/>
      <c r="J12" s="12"/>
    </row>
    <row r="13" spans="1:10" ht="15">
      <c r="A13" s="11" t="s">
        <v>247</v>
      </c>
      <c r="B13" s="57"/>
      <c r="C13" s="57"/>
      <c r="D13" s="56"/>
      <c r="E13" s="56"/>
      <c r="F13" s="12"/>
      <c r="G13" s="12"/>
      <c r="H13" s="12"/>
      <c r="I13" s="12"/>
      <c r="J13" s="12"/>
    </row>
    <row r="14" spans="1:10" ht="15">
      <c r="A14" s="84" t="s">
        <v>321</v>
      </c>
      <c r="B14" s="85">
        <f>3394.16</f>
        <v>3394.16</v>
      </c>
      <c r="C14" s="85">
        <v>2168.62</v>
      </c>
      <c r="D14" s="86">
        <f t="shared" ref="D14:D16" si="1">(C14-B14)/B14</f>
        <v>-0.36107313738892688</v>
      </c>
      <c r="E14" s="88">
        <f>C14/C16</f>
        <v>7.3679808025201618E-2</v>
      </c>
      <c r="F14" s="12"/>
      <c r="G14" s="12"/>
      <c r="H14" s="12"/>
      <c r="I14" s="12"/>
      <c r="J14" s="12"/>
    </row>
    <row r="15" spans="1:10" ht="15">
      <c r="A15" s="84" t="s">
        <v>322</v>
      </c>
      <c r="B15" s="85">
        <v>33309.56</v>
      </c>
      <c r="C15" s="87">
        <v>27264.41</v>
      </c>
      <c r="D15" s="86">
        <f t="shared" si="1"/>
        <v>-0.18148393434197263</v>
      </c>
      <c r="E15" s="88">
        <f>C15/C16</f>
        <v>0.92632019197479842</v>
      </c>
      <c r="F15" s="12"/>
      <c r="G15" s="12"/>
      <c r="H15" s="12"/>
      <c r="I15" s="12"/>
      <c r="J15" s="12"/>
    </row>
    <row r="16" spans="1:10" ht="15">
      <c r="A16" s="66" t="s">
        <v>611</v>
      </c>
      <c r="B16" s="67">
        <f>B14+B15</f>
        <v>36703.72</v>
      </c>
      <c r="C16" s="67">
        <f>SUM(C14:C15)</f>
        <v>29433.03</v>
      </c>
      <c r="D16" s="68">
        <f t="shared" si="1"/>
        <v>-0.19809136512593278</v>
      </c>
      <c r="E16" s="68">
        <f>SUM(E14:E15)</f>
        <v>1</v>
      </c>
      <c r="F16" s="12"/>
      <c r="G16" s="12"/>
      <c r="H16" s="12"/>
      <c r="I16" s="12"/>
      <c r="J16" s="12"/>
    </row>
    <row r="17" spans="1:10" ht="15">
      <c r="A17" s="12"/>
      <c r="B17" s="57"/>
      <c r="C17" s="57"/>
      <c r="D17" s="56"/>
      <c r="E17" s="56"/>
      <c r="F17" s="12"/>
      <c r="G17" s="12"/>
      <c r="H17" s="12"/>
      <c r="I17" s="12"/>
      <c r="J17" s="12"/>
    </row>
    <row r="18" spans="1:10" ht="15">
      <c r="A18" s="11" t="s">
        <v>249</v>
      </c>
      <c r="B18" s="57"/>
      <c r="C18" s="57"/>
      <c r="D18" s="56"/>
      <c r="E18" s="56"/>
      <c r="F18" s="12"/>
      <c r="G18" s="12"/>
      <c r="H18" s="12"/>
      <c r="I18" s="12"/>
      <c r="J18" s="12"/>
    </row>
    <row r="19" spans="1:10" ht="15">
      <c r="A19" s="84" t="s">
        <v>321</v>
      </c>
      <c r="B19" s="85">
        <f>17868.97+820.95</f>
        <v>18689.920000000002</v>
      </c>
      <c r="C19" s="85">
        <v>7058.43</v>
      </c>
      <c r="D19" s="86">
        <f t="shared" ref="D19:D21" si="2">(C19-B19)/B19</f>
        <v>-0.62234027753997878</v>
      </c>
      <c r="E19" s="88">
        <f>C19/C21</f>
        <v>0.62726378398841887</v>
      </c>
      <c r="F19" s="12"/>
      <c r="G19" s="12"/>
      <c r="H19" s="12"/>
      <c r="I19" s="12"/>
      <c r="J19" s="12"/>
    </row>
    <row r="20" spans="1:10" ht="15">
      <c r="A20" s="84" t="s">
        <v>322</v>
      </c>
      <c r="B20" s="85">
        <v>47909.7</v>
      </c>
      <c r="C20" s="85">
        <v>4194.3</v>
      </c>
      <c r="D20" s="86">
        <f t="shared" si="2"/>
        <v>-0.91245405418944381</v>
      </c>
      <c r="E20" s="88">
        <f>C20/C21</f>
        <v>0.37273621601158125</v>
      </c>
      <c r="F20" s="12"/>
      <c r="G20" s="12"/>
      <c r="H20" s="12"/>
      <c r="I20" s="12"/>
      <c r="J20" s="12"/>
    </row>
    <row r="21" spans="1:10" ht="15">
      <c r="A21" s="66" t="s">
        <v>612</v>
      </c>
      <c r="B21" s="67">
        <f>B19+B20</f>
        <v>66599.62</v>
      </c>
      <c r="C21" s="67">
        <f>SUM(C19:C20)</f>
        <v>11252.73</v>
      </c>
      <c r="D21" s="68">
        <f t="shared" si="2"/>
        <v>-0.8310391260490676</v>
      </c>
      <c r="E21" s="68">
        <f>SUM(E19:E20)</f>
        <v>1</v>
      </c>
      <c r="F21" s="12"/>
      <c r="G21" s="12"/>
      <c r="H21" s="12"/>
      <c r="I21" s="12"/>
      <c r="J21" s="12"/>
    </row>
    <row r="22" spans="1:10" ht="15">
      <c r="A22" s="12"/>
      <c r="B22" s="57"/>
      <c r="C22" s="57"/>
      <c r="D22" s="56"/>
      <c r="E22" s="56"/>
      <c r="F22" s="12"/>
      <c r="G22" s="12"/>
      <c r="H22" s="12"/>
      <c r="I22" s="12"/>
      <c r="J22" s="12"/>
    </row>
    <row r="23" spans="1:10" ht="15">
      <c r="A23" s="11" t="s">
        <v>323</v>
      </c>
      <c r="B23" s="57"/>
      <c r="C23" s="57"/>
      <c r="D23" s="56"/>
      <c r="E23" s="56"/>
      <c r="F23" s="12"/>
      <c r="G23" s="12"/>
      <c r="H23" s="12"/>
      <c r="I23" s="12"/>
      <c r="J23" s="12"/>
    </row>
    <row r="24" spans="1:10" ht="15">
      <c r="A24" s="69" t="s">
        <v>321</v>
      </c>
      <c r="B24" s="70">
        <f>B7+B14+B19</f>
        <v>476735.73999999993</v>
      </c>
      <c r="C24" s="70">
        <f>C7+C14+C19</f>
        <v>332755.34000000003</v>
      </c>
      <c r="D24" s="71">
        <f t="shared" ref="D24:D26" si="3">(C24-B24)/B24</f>
        <v>-0.30201301878478826</v>
      </c>
      <c r="E24" s="89">
        <f>C24/C26</f>
        <v>0.1108012905527631</v>
      </c>
      <c r="F24" s="12"/>
      <c r="G24" s="12"/>
      <c r="H24" s="12"/>
      <c r="I24" s="12"/>
      <c r="J24" s="12"/>
    </row>
    <row r="25" spans="1:10" ht="15.75" thickBot="1">
      <c r="A25" s="72" t="s">
        <v>322</v>
      </c>
      <c r="B25" s="73">
        <f>B10+B15+B20</f>
        <v>3313651.06</v>
      </c>
      <c r="C25" s="73">
        <f>C10+C15+C20</f>
        <v>2670416.7199999997</v>
      </c>
      <c r="D25" s="74">
        <f t="shared" si="3"/>
        <v>-0.19411649819278204</v>
      </c>
      <c r="E25" s="90">
        <f>C25/C26</f>
        <v>0.889198709447237</v>
      </c>
      <c r="F25" s="12"/>
      <c r="G25" s="12"/>
      <c r="H25" s="12"/>
      <c r="I25" s="12"/>
      <c r="J25" s="12"/>
    </row>
    <row r="26" spans="1:10" ht="15.75" thickBot="1">
      <c r="A26" s="101" t="s">
        <v>66</v>
      </c>
      <c r="B26" s="75">
        <f>B24+B25</f>
        <v>3790386.8</v>
      </c>
      <c r="C26" s="75">
        <f>SUM(C24:C25)</f>
        <v>3003172.0599999996</v>
      </c>
      <c r="D26" s="76">
        <f t="shared" si="3"/>
        <v>-0.20768717852225538</v>
      </c>
      <c r="E26" s="77">
        <f>E24+E25</f>
        <v>1</v>
      </c>
      <c r="F26" s="12"/>
      <c r="G26" s="12"/>
      <c r="H26" s="12"/>
      <c r="I26" s="12"/>
      <c r="J26" s="12"/>
    </row>
    <row r="27" spans="1:10" ht="15">
      <c r="A27" s="12"/>
      <c r="B27" s="12"/>
      <c r="C27" s="12"/>
      <c r="D27" s="12"/>
      <c r="E27" s="12"/>
      <c r="F27" s="12"/>
      <c r="G27" s="12"/>
      <c r="H27" s="12"/>
      <c r="I27" s="12"/>
      <c r="J27" s="12"/>
    </row>
    <row r="28" spans="1:10" ht="15">
      <c r="A28" s="12"/>
      <c r="B28" s="12"/>
      <c r="C28" s="12"/>
      <c r="D28" s="12"/>
      <c r="E28" s="12"/>
      <c r="F28" s="12"/>
      <c r="G28" s="12"/>
      <c r="H28" s="12"/>
      <c r="I28" s="12"/>
      <c r="J28" s="12"/>
    </row>
    <row r="29" spans="1:10" ht="15">
      <c r="A29" s="12"/>
      <c r="B29" s="12"/>
      <c r="C29" s="12"/>
      <c r="D29" s="12"/>
      <c r="E29" s="12"/>
      <c r="F29" s="12"/>
      <c r="G29" s="12"/>
      <c r="H29" s="12"/>
      <c r="I29" s="12"/>
      <c r="J29" s="12"/>
    </row>
    <row r="30" spans="1:10" ht="15">
      <c r="A30" s="12"/>
      <c r="B30" s="12"/>
      <c r="C30" s="12"/>
      <c r="D30" s="12"/>
      <c r="E30" s="12"/>
      <c r="F30" s="12"/>
      <c r="G30" s="12"/>
      <c r="H30" s="12"/>
      <c r="I30" s="12"/>
      <c r="J30" s="12"/>
    </row>
    <row r="31" spans="1:10" ht="15">
      <c r="A31" s="12"/>
      <c r="B31" s="12"/>
      <c r="C31" s="12"/>
      <c r="D31" s="12"/>
      <c r="E31" s="12"/>
      <c r="F31" s="12"/>
      <c r="G31" s="12"/>
      <c r="H31" s="12"/>
      <c r="I31" s="12"/>
      <c r="J31" s="12"/>
    </row>
    <row r="32" spans="1:10" ht="15">
      <c r="A32" s="12"/>
      <c r="B32" s="12"/>
      <c r="C32" s="12"/>
      <c r="D32" s="12"/>
      <c r="E32" s="12"/>
      <c r="F32" s="12"/>
      <c r="G32" s="12"/>
      <c r="H32" s="12"/>
      <c r="I32" s="12"/>
      <c r="J32" s="12"/>
    </row>
    <row r="33" spans="1:10" ht="15">
      <c r="A33" s="12"/>
      <c r="B33" s="12"/>
      <c r="C33" s="12"/>
      <c r="D33" s="12"/>
      <c r="E33" s="12"/>
      <c r="F33" s="12"/>
      <c r="G33" s="12"/>
      <c r="H33" s="12"/>
      <c r="I33" s="12"/>
      <c r="J33" s="12"/>
    </row>
    <row r="34" spans="1:10" ht="15">
      <c r="A34" s="12"/>
      <c r="B34" s="12"/>
      <c r="C34" s="12"/>
      <c r="D34" s="12"/>
      <c r="E34" s="12"/>
      <c r="F34" s="12"/>
      <c r="G34" s="12"/>
      <c r="H34" s="12"/>
      <c r="I34" s="12"/>
      <c r="J34" s="12"/>
    </row>
    <row r="35" spans="1:10" ht="15">
      <c r="A35" s="12"/>
      <c r="B35" s="12"/>
      <c r="C35" s="12"/>
      <c r="D35" s="12"/>
      <c r="E35" s="12"/>
      <c r="F35" s="12"/>
      <c r="G35" s="12"/>
      <c r="H35" s="12"/>
      <c r="I35" s="12"/>
      <c r="J35" s="12"/>
    </row>
    <row r="36" spans="1:10" ht="15">
      <c r="A36" s="12"/>
      <c r="B36" s="12"/>
      <c r="C36" s="12"/>
      <c r="D36" s="12"/>
      <c r="E36" s="12"/>
      <c r="F36" s="12"/>
      <c r="G36" s="12"/>
      <c r="H36" s="12"/>
      <c r="I36" s="12"/>
      <c r="J36" s="12"/>
    </row>
    <row r="37" spans="1:10" ht="15">
      <c r="A37" s="12"/>
      <c r="B37" s="12"/>
      <c r="C37" s="12"/>
      <c r="D37" s="12"/>
      <c r="E37" s="12"/>
      <c r="F37" s="12"/>
      <c r="G37" s="12"/>
      <c r="H37" s="12"/>
      <c r="I37" s="12"/>
      <c r="J37" s="12"/>
    </row>
    <row r="38" spans="1:10" ht="15">
      <c r="A38" s="12"/>
      <c r="B38" s="12"/>
      <c r="C38" s="12"/>
      <c r="D38" s="12"/>
      <c r="E38" s="12"/>
      <c r="F38" s="12"/>
      <c r="G38" s="12"/>
      <c r="H38" s="12"/>
      <c r="I38" s="12"/>
      <c r="J38" s="12"/>
    </row>
    <row r="46" spans="1:10" ht="18.75">
      <c r="A46" s="30" t="s">
        <v>490</v>
      </c>
      <c r="B46" s="12"/>
      <c r="C46" s="12"/>
      <c r="D46" s="12"/>
      <c r="E46" s="12"/>
    </row>
    <row r="47" spans="1:10" ht="15">
      <c r="A47" s="12"/>
      <c r="B47" s="12"/>
      <c r="C47" s="12"/>
      <c r="D47" s="12"/>
      <c r="E47" s="12"/>
    </row>
    <row r="48" spans="1:10" ht="15.75" thickBot="1">
      <c r="A48" s="32" t="s">
        <v>201</v>
      </c>
      <c r="B48" s="32" t="s">
        <v>304</v>
      </c>
      <c r="C48" s="32" t="s">
        <v>491</v>
      </c>
      <c r="D48" s="32" t="s">
        <v>613</v>
      </c>
      <c r="E48" s="12"/>
    </row>
    <row r="49" spans="1:5" ht="15">
      <c r="A49" s="33" t="s">
        <v>471</v>
      </c>
      <c r="B49" s="33" t="s">
        <v>472</v>
      </c>
      <c r="C49" s="34">
        <v>0</v>
      </c>
      <c r="D49" s="58">
        <v>0</v>
      </c>
      <c r="E49" s="12"/>
    </row>
    <row r="50" spans="1:5" ht="15">
      <c r="A50" s="37" t="s">
        <v>473</v>
      </c>
      <c r="B50" s="37" t="s">
        <v>474</v>
      </c>
      <c r="C50" s="58">
        <v>90.62</v>
      </c>
      <c r="D50" s="58">
        <v>191.9</v>
      </c>
      <c r="E50" s="12"/>
    </row>
    <row r="51" spans="1:5" ht="15">
      <c r="A51" s="37" t="s">
        <v>475</v>
      </c>
      <c r="B51" s="37" t="s">
        <v>476</v>
      </c>
      <c r="C51" s="58">
        <v>0</v>
      </c>
      <c r="D51" s="58">
        <v>0</v>
      </c>
      <c r="E51" s="12"/>
    </row>
    <row r="52" spans="1:5" ht="15">
      <c r="A52" s="37" t="s">
        <v>477</v>
      </c>
      <c r="B52" s="37" t="s">
        <v>478</v>
      </c>
      <c r="C52" s="58">
        <v>6147.43</v>
      </c>
      <c r="D52" s="58">
        <v>7659.33</v>
      </c>
      <c r="E52" s="12"/>
    </row>
    <row r="53" spans="1:5" ht="15">
      <c r="A53" s="37" t="s">
        <v>479</v>
      </c>
      <c r="B53" s="37" t="s">
        <v>480</v>
      </c>
      <c r="C53" s="58">
        <v>0</v>
      </c>
      <c r="D53" s="58">
        <v>238.5</v>
      </c>
      <c r="E53" s="12"/>
    </row>
    <row r="54" spans="1:5" ht="15">
      <c r="A54" s="37" t="s">
        <v>481</v>
      </c>
      <c r="B54" s="37" t="s">
        <v>482</v>
      </c>
      <c r="C54" s="58">
        <v>858.56</v>
      </c>
      <c r="D54" s="58">
        <v>2850.17</v>
      </c>
      <c r="E54" s="12"/>
    </row>
    <row r="55" spans="1:5" ht="15">
      <c r="A55" s="37" t="s">
        <v>483</v>
      </c>
      <c r="B55" s="37" t="s">
        <v>484</v>
      </c>
      <c r="C55" s="58">
        <v>721.96</v>
      </c>
      <c r="D55" s="58">
        <v>716.23</v>
      </c>
      <c r="E55" s="12"/>
    </row>
    <row r="56" spans="1:5" ht="15">
      <c r="A56" s="37" t="s">
        <v>485</v>
      </c>
      <c r="B56" s="37" t="s">
        <v>486</v>
      </c>
      <c r="C56" s="58">
        <v>9946.61</v>
      </c>
      <c r="D56" s="58">
        <v>6863.73</v>
      </c>
      <c r="E56" s="12"/>
    </row>
    <row r="57" spans="1:5" ht="15">
      <c r="A57" s="37" t="s">
        <v>487</v>
      </c>
      <c r="B57" s="37" t="s">
        <v>488</v>
      </c>
      <c r="C57" s="58">
        <v>109.95</v>
      </c>
      <c r="D57" s="58">
        <v>854</v>
      </c>
      <c r="E57" s="12"/>
    </row>
    <row r="58" spans="1:5" ht="15">
      <c r="A58" s="37" t="s">
        <v>615</v>
      </c>
      <c r="B58" s="37" t="s">
        <v>616</v>
      </c>
      <c r="C58" s="58">
        <v>0</v>
      </c>
      <c r="D58" s="58">
        <v>816</v>
      </c>
      <c r="E58" s="12"/>
    </row>
    <row r="59" spans="1:5" ht="15.75" thickBot="1">
      <c r="A59" s="37" t="s">
        <v>489</v>
      </c>
      <c r="B59" s="37" t="s">
        <v>617</v>
      </c>
      <c r="C59" s="58">
        <v>912.24</v>
      </c>
      <c r="D59" s="58">
        <v>908.15</v>
      </c>
      <c r="E59" s="12"/>
    </row>
    <row r="60" spans="1:5" ht="15.75" thickBot="1">
      <c r="A60" s="53" t="s">
        <v>66</v>
      </c>
      <c r="B60" s="42"/>
      <c r="C60" s="42">
        <f>SUM(C49:C59)</f>
        <v>18787.370000000003</v>
      </c>
      <c r="D60" s="42">
        <f>SUM(D49:D59)</f>
        <v>21098.010000000002</v>
      </c>
      <c r="E60" s="12"/>
    </row>
    <row r="61" spans="1:5" ht="15">
      <c r="A61" s="12"/>
      <c r="B61" s="12"/>
      <c r="C61" s="12"/>
      <c r="D61" s="12"/>
      <c r="E61" s="12"/>
    </row>
    <row r="94" spans="1:6" ht="15">
      <c r="A94" s="12"/>
      <c r="B94" s="12"/>
      <c r="C94" s="12"/>
      <c r="D94" s="12"/>
      <c r="E94" s="12"/>
      <c r="F94" s="12"/>
    </row>
  </sheetData>
  <phoneticPr fontId="2" type="noConversion"/>
  <pageMargins left="0.75" right="0.75" top="1" bottom="1" header="0.5" footer="0.5"/>
  <pageSetup fitToHeight="3" orientation="landscape" r:id="rId1"/>
  <headerFooter alignWithMargins="0">
    <oddFooter>&amp;L&amp;F&amp;C&amp;A&amp;RPage &amp;P of &amp;N</oddFooter>
  </headerFooter>
  <ignoredErrors>
    <ignoredError sqref="D60 D16 D21" formula="1"/>
  </ignoredErrors>
  <drawing r:id="rId2"/>
</worksheet>
</file>

<file path=xl/worksheets/sheet5.xml><?xml version="1.0" encoding="utf-8"?>
<worksheet xmlns="http://schemas.openxmlformats.org/spreadsheetml/2006/main" xmlns:r="http://schemas.openxmlformats.org/officeDocument/2006/relationships">
  <dimension ref="A1:F47"/>
  <sheetViews>
    <sheetView topLeftCell="A10" workbookViewId="0">
      <selection activeCell="E28" sqref="E28"/>
    </sheetView>
  </sheetViews>
  <sheetFormatPr defaultRowHeight="12.75"/>
  <cols>
    <col min="1" max="1" width="31.85546875" customWidth="1"/>
    <col min="2" max="2" width="15.85546875" customWidth="1"/>
    <col min="3" max="3" width="10.85546875" customWidth="1"/>
    <col min="4" max="4" width="10.5703125" customWidth="1"/>
  </cols>
  <sheetData>
    <row r="1" spans="1:6" ht="18.75">
      <c r="A1" s="99" t="s">
        <v>586</v>
      </c>
      <c r="B1" s="91"/>
      <c r="C1" s="91"/>
      <c r="D1" s="91"/>
      <c r="E1" s="91"/>
      <c r="F1" s="2"/>
    </row>
    <row r="2" spans="1:6" ht="15">
      <c r="A2" s="12"/>
      <c r="B2" s="12"/>
      <c r="C2" s="12"/>
      <c r="D2" s="12"/>
      <c r="E2" s="12"/>
    </row>
    <row r="3" spans="1:6" ht="30.75" thickBot="1">
      <c r="A3" s="32" t="s">
        <v>65</v>
      </c>
      <c r="B3" s="32" t="s">
        <v>64</v>
      </c>
      <c r="C3" s="32" t="s">
        <v>618</v>
      </c>
      <c r="D3" s="32" t="s">
        <v>324</v>
      </c>
      <c r="E3" s="12"/>
    </row>
    <row r="4" spans="1:6" ht="30">
      <c r="A4" s="92" t="s">
        <v>621</v>
      </c>
      <c r="B4" s="93">
        <v>109468</v>
      </c>
      <c r="C4" s="92" t="s">
        <v>620</v>
      </c>
      <c r="D4" s="92" t="s">
        <v>63</v>
      </c>
      <c r="E4" s="94"/>
    </row>
    <row r="5" spans="1:6" ht="15">
      <c r="A5" s="95" t="s">
        <v>622</v>
      </c>
      <c r="B5" s="96">
        <v>11215</v>
      </c>
      <c r="C5" s="92" t="s">
        <v>620</v>
      </c>
      <c r="D5" s="95" t="s">
        <v>63</v>
      </c>
      <c r="E5" s="94"/>
    </row>
    <row r="6" spans="1:6" ht="15">
      <c r="A6" s="95" t="s">
        <v>623</v>
      </c>
      <c r="B6" s="97">
        <v>123432</v>
      </c>
      <c r="C6" s="92" t="s">
        <v>620</v>
      </c>
      <c r="D6" s="95" t="s">
        <v>63</v>
      </c>
      <c r="E6" s="94"/>
    </row>
    <row r="7" spans="1:6" ht="30">
      <c r="A7" s="95" t="s">
        <v>60</v>
      </c>
      <c r="B7" s="96">
        <v>18000</v>
      </c>
      <c r="C7" s="95" t="s">
        <v>619</v>
      </c>
      <c r="D7" s="95" t="s">
        <v>63</v>
      </c>
      <c r="E7" s="94"/>
    </row>
    <row r="8" spans="1:6" ht="30">
      <c r="A8" s="95" t="s">
        <v>61</v>
      </c>
      <c r="B8" s="96">
        <v>1012</v>
      </c>
      <c r="C8" s="95" t="s">
        <v>619</v>
      </c>
      <c r="D8" s="95" t="s">
        <v>63</v>
      </c>
      <c r="E8" s="94"/>
    </row>
    <row r="9" spans="1:6" ht="45.75" thickBot="1">
      <c r="A9" s="95" t="s">
        <v>62</v>
      </c>
      <c r="B9" s="96">
        <v>1112</v>
      </c>
      <c r="C9" s="95" t="s">
        <v>619</v>
      </c>
      <c r="D9" s="95" t="s">
        <v>63</v>
      </c>
      <c r="E9" s="94"/>
    </row>
    <row r="10" spans="1:6" ht="15.75" thickBot="1">
      <c r="A10" s="100" t="s">
        <v>66</v>
      </c>
      <c r="B10" s="42">
        <f>SUM(B4:B9)</f>
        <v>264239</v>
      </c>
      <c r="C10" s="100"/>
      <c r="D10" s="100"/>
      <c r="E10" s="12"/>
    </row>
    <row r="11" spans="1:6" ht="15">
      <c r="A11" s="98"/>
      <c r="B11" s="12"/>
      <c r="C11" s="12"/>
      <c r="D11" s="12"/>
      <c r="E11" s="12"/>
    </row>
    <row r="12" spans="1:6" ht="15">
      <c r="A12" s="98"/>
      <c r="B12" s="12"/>
      <c r="C12" s="12"/>
      <c r="D12" s="12"/>
      <c r="E12" s="12"/>
    </row>
    <row r="13" spans="1:6" ht="15">
      <c r="A13" s="12"/>
      <c r="B13" s="12"/>
      <c r="C13" s="12"/>
      <c r="D13" s="12"/>
      <c r="E13" s="12"/>
    </row>
    <row r="14" spans="1:6" ht="15">
      <c r="A14" s="12"/>
      <c r="B14" s="12"/>
      <c r="C14" s="12"/>
      <c r="D14" s="12"/>
      <c r="E14" s="12"/>
    </row>
    <row r="15" spans="1:6" ht="15">
      <c r="A15" s="12"/>
      <c r="B15" s="12"/>
      <c r="C15" s="12"/>
      <c r="D15" s="12"/>
      <c r="E15" s="12"/>
    </row>
    <row r="16" spans="1:6" ht="15">
      <c r="A16" s="12"/>
      <c r="B16" s="12"/>
      <c r="C16" s="12"/>
      <c r="D16" s="12"/>
      <c r="E16" s="12"/>
    </row>
    <row r="17" spans="1:5" ht="15">
      <c r="A17" s="12"/>
      <c r="B17" s="12"/>
      <c r="C17" s="12"/>
      <c r="D17" s="12"/>
      <c r="E17" s="12"/>
    </row>
    <row r="18" spans="1:5" ht="15">
      <c r="A18" s="12"/>
      <c r="B18" s="12"/>
      <c r="C18" s="12"/>
      <c r="D18" s="12"/>
      <c r="E18" s="12"/>
    </row>
    <row r="19" spans="1:5" ht="15">
      <c r="A19" s="12"/>
      <c r="B19" s="12"/>
      <c r="C19" s="12"/>
      <c r="D19" s="12"/>
      <c r="E19" s="12"/>
    </row>
    <row r="20" spans="1:5" ht="15">
      <c r="A20" s="12"/>
      <c r="B20" s="12"/>
      <c r="C20" s="12"/>
      <c r="D20" s="12"/>
      <c r="E20" s="12"/>
    </row>
    <row r="21" spans="1:5" ht="15">
      <c r="A21" s="12"/>
      <c r="B21" s="12"/>
      <c r="C21" s="12"/>
      <c r="D21" s="12"/>
      <c r="E21" s="12"/>
    </row>
    <row r="22" spans="1:5" ht="15">
      <c r="A22" s="12"/>
      <c r="B22" s="12"/>
      <c r="C22" s="12"/>
      <c r="D22" s="12"/>
      <c r="E22" s="12"/>
    </row>
    <row r="23" spans="1:5" ht="15">
      <c r="A23" s="12"/>
      <c r="B23" s="12"/>
      <c r="C23" s="12"/>
      <c r="D23" s="12"/>
      <c r="E23" s="12"/>
    </row>
    <row r="24" spans="1:5" ht="15">
      <c r="A24" s="12"/>
      <c r="B24" s="12"/>
      <c r="C24" s="12"/>
      <c r="D24" s="12"/>
      <c r="E24" s="12"/>
    </row>
    <row r="25" spans="1:5" ht="15">
      <c r="A25" s="12"/>
      <c r="B25" s="12"/>
      <c r="C25" s="12"/>
      <c r="D25" s="12"/>
      <c r="E25" s="12"/>
    </row>
    <row r="26" spans="1:5" ht="15">
      <c r="A26" s="12"/>
      <c r="B26" s="12"/>
      <c r="C26" s="12"/>
      <c r="D26" s="12"/>
      <c r="E26" s="12"/>
    </row>
    <row r="27" spans="1:5" ht="15">
      <c r="A27" s="12"/>
      <c r="B27" s="12"/>
      <c r="C27" s="12"/>
      <c r="D27" s="12"/>
      <c r="E27" s="12"/>
    </row>
    <row r="28" spans="1:5" ht="15">
      <c r="A28" s="12"/>
      <c r="B28" s="12"/>
      <c r="C28" s="12"/>
      <c r="D28" s="12"/>
      <c r="E28" s="12"/>
    </row>
    <row r="29" spans="1:5" ht="15">
      <c r="A29" s="12"/>
      <c r="B29" s="12"/>
      <c r="C29" s="12"/>
      <c r="D29" s="12"/>
      <c r="E29" s="12"/>
    </row>
    <row r="30" spans="1:5" ht="15">
      <c r="A30" s="12"/>
      <c r="B30" s="12"/>
      <c r="C30" s="12"/>
      <c r="D30" s="12"/>
      <c r="E30" s="12"/>
    </row>
    <row r="31" spans="1:5" ht="15">
      <c r="A31" s="12"/>
      <c r="B31" s="12"/>
      <c r="C31" s="12"/>
      <c r="D31" s="12"/>
      <c r="E31" s="12"/>
    </row>
    <row r="32" spans="1:5" ht="15">
      <c r="A32" s="12"/>
      <c r="B32" s="12"/>
      <c r="C32" s="12"/>
      <c r="D32" s="12"/>
      <c r="E32" s="12"/>
    </row>
    <row r="33" spans="1:5" ht="15">
      <c r="A33" s="12"/>
      <c r="B33" s="12"/>
      <c r="C33" s="12"/>
      <c r="D33" s="12"/>
      <c r="E33" s="12"/>
    </row>
    <row r="34" spans="1:5" ht="15">
      <c r="A34" s="12"/>
      <c r="B34" s="12"/>
      <c r="C34" s="12"/>
      <c r="D34" s="12"/>
      <c r="E34" s="12"/>
    </row>
    <row r="35" spans="1:5" ht="15">
      <c r="A35" s="12"/>
      <c r="B35" s="12"/>
      <c r="C35" s="12"/>
      <c r="D35" s="12"/>
      <c r="E35" s="12"/>
    </row>
    <row r="36" spans="1:5" ht="15">
      <c r="A36" s="12"/>
      <c r="B36" s="12"/>
      <c r="C36" s="12"/>
      <c r="D36" s="12"/>
      <c r="E36" s="12"/>
    </row>
    <row r="37" spans="1:5" ht="15">
      <c r="A37" s="12"/>
      <c r="B37" s="12"/>
      <c r="C37" s="12"/>
      <c r="D37" s="12"/>
      <c r="E37" s="12"/>
    </row>
    <row r="38" spans="1:5" ht="15">
      <c r="A38" s="12"/>
      <c r="B38" s="12"/>
      <c r="C38" s="12"/>
      <c r="D38" s="12"/>
      <c r="E38" s="12"/>
    </row>
    <row r="39" spans="1:5" ht="15">
      <c r="A39" s="12"/>
      <c r="B39" s="12"/>
      <c r="C39" s="12"/>
      <c r="D39" s="12"/>
      <c r="E39" s="12"/>
    </row>
    <row r="40" spans="1:5" ht="15">
      <c r="A40" s="12"/>
      <c r="B40" s="12"/>
      <c r="C40" s="12"/>
      <c r="D40" s="12"/>
      <c r="E40" s="12"/>
    </row>
    <row r="41" spans="1:5" ht="15">
      <c r="A41" s="12"/>
      <c r="B41" s="12"/>
      <c r="C41" s="12"/>
      <c r="D41" s="12"/>
      <c r="E41" s="12"/>
    </row>
    <row r="42" spans="1:5" ht="15">
      <c r="A42" s="12"/>
      <c r="B42" s="12"/>
      <c r="C42" s="12"/>
      <c r="D42" s="12"/>
      <c r="E42" s="12"/>
    </row>
    <row r="43" spans="1:5" ht="15">
      <c r="A43" s="12"/>
      <c r="B43" s="12"/>
      <c r="C43" s="12"/>
      <c r="D43" s="12"/>
      <c r="E43" s="12"/>
    </row>
    <row r="44" spans="1:5" ht="15">
      <c r="A44" s="12"/>
      <c r="B44" s="12"/>
      <c r="C44" s="12"/>
      <c r="D44" s="12"/>
      <c r="E44" s="12"/>
    </row>
    <row r="45" spans="1:5" ht="15">
      <c r="A45" s="12"/>
      <c r="B45" s="12"/>
      <c r="C45" s="12"/>
      <c r="D45" s="12"/>
      <c r="E45" s="12"/>
    </row>
    <row r="46" spans="1:5" ht="15">
      <c r="A46" s="12"/>
      <c r="B46" s="12"/>
      <c r="C46" s="12"/>
      <c r="D46" s="12"/>
      <c r="E46" s="12"/>
    </row>
    <row r="47" spans="1:5" ht="15">
      <c r="A47" s="12"/>
      <c r="B47" s="12"/>
      <c r="C47" s="12"/>
      <c r="D47" s="12"/>
      <c r="E47" s="12"/>
    </row>
  </sheetData>
  <phoneticPr fontId="2" type="noConversion"/>
  <pageMargins left="0.75" right="0.75" top="1" bottom="1" header="0.5" footer="0.5"/>
  <pageSetup orientation="portrait" r:id="rId1"/>
  <headerFooter alignWithMargins="0">
    <oddFooter>&amp;C&amp;A&amp;RPage &amp;P of &amp;N</oddFooter>
  </headerFooter>
  <drawing r:id="rId2"/>
</worksheet>
</file>

<file path=xl/worksheets/sheet6.xml><?xml version="1.0" encoding="utf-8"?>
<worksheet xmlns="http://schemas.openxmlformats.org/spreadsheetml/2006/main" xmlns:r="http://schemas.openxmlformats.org/officeDocument/2006/relationships">
  <dimension ref="A1:G28"/>
  <sheetViews>
    <sheetView workbookViewId="0">
      <selection activeCell="F5" sqref="F5"/>
    </sheetView>
  </sheetViews>
  <sheetFormatPr defaultRowHeight="12.75"/>
  <cols>
    <col min="1" max="1" width="21" customWidth="1"/>
    <col min="2" max="3" width="13.5703125" bestFit="1" customWidth="1"/>
    <col min="4" max="4" width="11.28515625" customWidth="1"/>
    <col min="11" max="12" width="11.140625" bestFit="1" customWidth="1"/>
  </cols>
  <sheetData>
    <row r="1" spans="1:7" ht="18.75">
      <c r="A1" s="30" t="s">
        <v>2524</v>
      </c>
      <c r="B1" s="12"/>
      <c r="C1" s="12"/>
      <c r="D1" s="12"/>
      <c r="E1" s="12"/>
      <c r="F1" s="12"/>
      <c r="G1" s="12"/>
    </row>
    <row r="2" spans="1:7" ht="15">
      <c r="A2" s="12"/>
      <c r="B2" s="12"/>
      <c r="C2" s="12"/>
      <c r="D2" s="12"/>
      <c r="E2" s="12"/>
      <c r="F2" s="12"/>
      <c r="G2" s="12"/>
    </row>
    <row r="3" spans="1:7" ht="30.75" thickBot="1">
      <c r="A3" s="31" t="s">
        <v>67</v>
      </c>
      <c r="B3" s="32" t="s">
        <v>591</v>
      </c>
      <c r="C3" s="32" t="s">
        <v>592</v>
      </c>
      <c r="D3" s="32" t="s">
        <v>590</v>
      </c>
      <c r="E3" s="12"/>
      <c r="F3" s="12"/>
      <c r="G3" s="12"/>
    </row>
    <row r="4" spans="1:7" ht="15">
      <c r="A4" s="33" t="s">
        <v>466</v>
      </c>
      <c r="B4" s="34">
        <v>2071572.5</v>
      </c>
      <c r="C4" s="34">
        <f>'$ serials totals'!C6</f>
        <v>2602491.17</v>
      </c>
      <c r="D4" s="36">
        <f>(C4-B4)/B4</f>
        <v>0.25628775724721192</v>
      </c>
      <c r="E4" s="12"/>
      <c r="F4" s="12"/>
      <c r="G4" s="12"/>
    </row>
    <row r="5" spans="1:7" ht="15">
      <c r="A5" s="33" t="s">
        <v>465</v>
      </c>
      <c r="B5" s="34">
        <v>300000</v>
      </c>
      <c r="C5" s="34">
        <v>302430.28000000003</v>
      </c>
      <c r="D5" s="36">
        <f>(C5-B5)/B5</f>
        <v>8.1009333333334262E-3</v>
      </c>
      <c r="E5" s="12"/>
      <c r="F5" s="12"/>
      <c r="G5" s="12"/>
    </row>
    <row r="6" spans="1:7" ht="15">
      <c r="A6" s="33"/>
      <c r="B6" s="34"/>
      <c r="C6" s="34"/>
      <c r="D6" s="36"/>
      <c r="E6" s="12"/>
      <c r="F6" s="12"/>
      <c r="G6" s="12"/>
    </row>
    <row r="7" spans="1:7" ht="15">
      <c r="A7" s="37" t="s">
        <v>467</v>
      </c>
      <c r="B7" s="38">
        <v>50000</v>
      </c>
      <c r="C7" s="38">
        <f>'$ serials totals'!C7</f>
        <v>27264.41</v>
      </c>
      <c r="D7" s="35">
        <f>(C7-B7)/B7</f>
        <v>-0.4547118</v>
      </c>
      <c r="E7" s="12"/>
      <c r="F7" s="12"/>
      <c r="G7" s="12"/>
    </row>
    <row r="8" spans="1:7" ht="15">
      <c r="A8" s="37" t="s">
        <v>468</v>
      </c>
      <c r="B8" s="38">
        <v>0</v>
      </c>
      <c r="C8" s="38">
        <v>2168.62</v>
      </c>
      <c r="D8" s="55" t="s">
        <v>199</v>
      </c>
      <c r="E8" s="12"/>
      <c r="F8" s="12"/>
      <c r="G8" s="12"/>
    </row>
    <row r="9" spans="1:7" ht="15">
      <c r="A9" s="37"/>
      <c r="B9" s="38"/>
      <c r="C9" s="38"/>
      <c r="D9" s="35"/>
      <c r="E9" s="12"/>
      <c r="F9" s="12"/>
      <c r="G9" s="12"/>
    </row>
    <row r="10" spans="1:7" ht="15">
      <c r="A10" s="37" t="s">
        <v>469</v>
      </c>
      <c r="B10" s="38">
        <v>0</v>
      </c>
      <c r="C10" s="38">
        <f>'$ serials totals'!C8</f>
        <v>4194.3</v>
      </c>
      <c r="D10" s="55" t="s">
        <v>199</v>
      </c>
      <c r="E10" s="12"/>
      <c r="F10" s="12"/>
      <c r="G10" s="12"/>
    </row>
    <row r="11" spans="1:7" ht="15">
      <c r="A11" s="37" t="s">
        <v>470</v>
      </c>
      <c r="B11" s="38">
        <v>0</v>
      </c>
      <c r="C11" s="38">
        <v>7058.43</v>
      </c>
      <c r="D11" s="55" t="s">
        <v>199</v>
      </c>
      <c r="E11" s="12"/>
      <c r="F11" s="12"/>
      <c r="G11" s="12"/>
    </row>
    <row r="12" spans="1:7" ht="15.75" thickBot="1">
      <c r="A12" s="37"/>
      <c r="B12" s="38"/>
      <c r="C12" s="38"/>
      <c r="D12" s="35"/>
      <c r="E12" s="12"/>
      <c r="F12" s="12"/>
      <c r="G12" s="12"/>
    </row>
    <row r="13" spans="1:7" ht="15.75" thickBot="1">
      <c r="A13" s="102" t="s">
        <v>82</v>
      </c>
      <c r="B13" s="42">
        <f>SUM(B4:B12)</f>
        <v>2421572.5</v>
      </c>
      <c r="C13" s="42">
        <f>SUM(C4:C12)</f>
        <v>2945607.2100000004</v>
      </c>
      <c r="D13" s="43">
        <f>(C13-B13)/B13</f>
        <v>0.21640265158280433</v>
      </c>
      <c r="E13" s="12"/>
      <c r="F13" s="12"/>
      <c r="G13" s="12"/>
    </row>
    <row r="14" spans="1:7" ht="15">
      <c r="A14" s="12"/>
      <c r="B14" s="12"/>
      <c r="C14" s="12"/>
      <c r="D14" s="12"/>
      <c r="E14" s="12"/>
      <c r="F14" s="12"/>
      <c r="G14" s="12"/>
    </row>
    <row r="15" spans="1:7" ht="15">
      <c r="A15" s="12"/>
      <c r="B15" s="12"/>
      <c r="C15" s="12"/>
      <c r="D15" s="12"/>
      <c r="E15" s="12"/>
      <c r="F15" s="12"/>
      <c r="G15" s="12"/>
    </row>
    <row r="16" spans="1:7" ht="15">
      <c r="A16" s="12"/>
      <c r="B16" s="12"/>
      <c r="C16" s="12"/>
      <c r="D16" s="12"/>
      <c r="E16" s="12"/>
      <c r="F16" s="12"/>
      <c r="G16" s="12"/>
    </row>
    <row r="17" spans="1:7" ht="15">
      <c r="A17" s="12"/>
      <c r="B17" s="12"/>
      <c r="C17" s="12"/>
      <c r="D17" s="12"/>
      <c r="E17" s="12"/>
      <c r="F17" s="12"/>
      <c r="G17" s="12"/>
    </row>
    <row r="18" spans="1:7" ht="15">
      <c r="A18" s="12"/>
      <c r="B18" s="12"/>
      <c r="C18" s="12"/>
      <c r="D18" s="12"/>
      <c r="E18" s="12"/>
      <c r="F18" s="12"/>
      <c r="G18" s="12"/>
    </row>
    <row r="19" spans="1:7" ht="15">
      <c r="A19" s="12"/>
      <c r="B19" s="12"/>
      <c r="C19" s="12"/>
      <c r="D19" s="12"/>
      <c r="E19" s="12"/>
      <c r="F19" s="12"/>
      <c r="G19" s="12"/>
    </row>
    <row r="20" spans="1:7" ht="15">
      <c r="A20" s="12"/>
      <c r="B20" s="12"/>
      <c r="C20" s="12"/>
      <c r="D20" s="12"/>
      <c r="E20" s="12"/>
      <c r="F20" s="12"/>
      <c r="G20" s="12"/>
    </row>
    <row r="21" spans="1:7" ht="15">
      <c r="A21" s="12"/>
      <c r="B21" s="12"/>
      <c r="C21" s="12"/>
      <c r="D21" s="12"/>
      <c r="E21" s="12"/>
      <c r="F21" s="12"/>
      <c r="G21" s="12"/>
    </row>
    <row r="22" spans="1:7" ht="15">
      <c r="A22" s="12"/>
      <c r="B22" s="12"/>
      <c r="C22" s="12"/>
      <c r="D22" s="12"/>
      <c r="E22" s="12"/>
      <c r="F22" s="12"/>
      <c r="G22" s="12"/>
    </row>
    <row r="23" spans="1:7" ht="15">
      <c r="A23" s="12"/>
      <c r="B23" s="12"/>
      <c r="C23" s="12"/>
      <c r="D23" s="12"/>
      <c r="E23" s="12"/>
      <c r="F23" s="12"/>
      <c r="G23" s="12"/>
    </row>
    <row r="24" spans="1:7" ht="15">
      <c r="A24" s="12"/>
      <c r="B24" s="12"/>
      <c r="C24" s="12"/>
      <c r="D24" s="12"/>
      <c r="E24" s="12"/>
      <c r="F24" s="12"/>
      <c r="G24" s="12"/>
    </row>
    <row r="25" spans="1:7" ht="15">
      <c r="A25" s="12"/>
      <c r="B25" s="12"/>
      <c r="C25" s="12"/>
      <c r="D25" s="12"/>
      <c r="E25" s="12"/>
      <c r="F25" s="12"/>
      <c r="G25" s="12"/>
    </row>
    <row r="26" spans="1:7" ht="15">
      <c r="A26" s="12"/>
      <c r="B26" s="12"/>
      <c r="C26" s="12"/>
      <c r="D26" s="12"/>
      <c r="E26" s="12"/>
      <c r="F26" s="12"/>
      <c r="G26" s="12"/>
    </row>
    <row r="27" spans="1:7" ht="15">
      <c r="A27" s="12"/>
      <c r="B27" s="12"/>
      <c r="C27" s="12"/>
      <c r="D27" s="12"/>
      <c r="E27" s="12"/>
      <c r="F27" s="12"/>
      <c r="G27" s="12"/>
    </row>
    <row r="28" spans="1:7" ht="15">
      <c r="A28" s="12"/>
      <c r="B28" s="12"/>
      <c r="C28" s="12"/>
      <c r="D28" s="12"/>
      <c r="E28" s="12"/>
      <c r="F28" s="12"/>
      <c r="G28" s="12"/>
    </row>
  </sheetData>
  <phoneticPr fontId="2" type="noConversion"/>
  <pageMargins left="0.75" right="0.75" top="1" bottom="1" header="0.5" footer="0.5"/>
  <pageSetup orientation="landscape" r:id="rId1"/>
  <headerFooter alignWithMargins="0">
    <oddFooter>&amp;L&amp;F&amp;C&amp;A&amp;RPage &amp;P of &amp;N</oddFooter>
  </headerFooter>
  <drawing r:id="rId2"/>
</worksheet>
</file>

<file path=xl/worksheets/sheet7.xml><?xml version="1.0" encoding="utf-8"?>
<worksheet xmlns="http://schemas.openxmlformats.org/spreadsheetml/2006/main" xmlns:r="http://schemas.openxmlformats.org/officeDocument/2006/relationships">
  <sheetPr>
    <pageSetUpPr fitToPage="1"/>
  </sheetPr>
  <dimension ref="A1:I106"/>
  <sheetViews>
    <sheetView workbookViewId="0">
      <selection activeCell="B78" sqref="B78"/>
    </sheetView>
  </sheetViews>
  <sheetFormatPr defaultRowHeight="12.75"/>
  <cols>
    <col min="2" max="2" width="33.140625" customWidth="1"/>
    <col min="3" max="4" width="13.5703125" bestFit="1" customWidth="1"/>
    <col min="6" max="6" width="13.5703125" customWidth="1"/>
    <col min="9" max="9" width="13.5703125" bestFit="1" customWidth="1"/>
  </cols>
  <sheetData>
    <row r="1" spans="1:9" ht="18.75">
      <c r="A1" s="30" t="s">
        <v>585</v>
      </c>
      <c r="B1" s="12"/>
      <c r="C1" s="12"/>
      <c r="D1" s="12"/>
      <c r="E1" s="12"/>
      <c r="F1" s="12"/>
      <c r="G1" s="12"/>
      <c r="H1" s="12"/>
      <c r="I1" s="12"/>
    </row>
    <row r="2" spans="1:9" ht="15">
      <c r="A2" s="12"/>
      <c r="B2" s="12"/>
      <c r="C2" s="12"/>
      <c r="D2" s="12"/>
      <c r="E2" s="12"/>
      <c r="F2" s="12"/>
      <c r="G2" s="12"/>
      <c r="H2" s="12"/>
      <c r="I2" s="12"/>
    </row>
    <row r="3" spans="1:9" ht="30.75" thickBot="1">
      <c r="A3" s="32" t="s">
        <v>71</v>
      </c>
      <c r="B3" s="32" t="s">
        <v>70</v>
      </c>
      <c r="C3" s="32" t="s">
        <v>56</v>
      </c>
      <c r="D3" s="32" t="s">
        <v>63</v>
      </c>
      <c r="E3" s="32" t="s">
        <v>86</v>
      </c>
      <c r="F3" s="32" t="s">
        <v>582</v>
      </c>
      <c r="G3" s="12"/>
      <c r="H3" s="12"/>
      <c r="I3" s="12"/>
    </row>
    <row r="4" spans="1:9" ht="15">
      <c r="A4" s="49" t="s">
        <v>85</v>
      </c>
      <c r="B4" s="49" t="s">
        <v>143</v>
      </c>
      <c r="C4" s="50">
        <v>841.8</v>
      </c>
      <c r="D4" s="50">
        <v>323.45999999999998</v>
      </c>
      <c r="E4" s="36">
        <f>(D4-C4)/C4</f>
        <v>-0.6157519600855309</v>
      </c>
      <c r="F4" s="36">
        <f>D4/$D$63</f>
        <v>1.2280415905256329E-4</v>
      </c>
      <c r="G4" s="12"/>
      <c r="H4" s="12"/>
      <c r="I4" s="12"/>
    </row>
    <row r="5" spans="1:9" ht="15">
      <c r="A5" s="51" t="s">
        <v>87</v>
      </c>
      <c r="B5" s="51" t="s">
        <v>144</v>
      </c>
      <c r="C5" s="38">
        <v>5455.38</v>
      </c>
      <c r="D5" s="38">
        <v>4165.3100000000004</v>
      </c>
      <c r="E5" s="35">
        <f t="shared" ref="E5:E62" si="0">(D5-C5)/C5</f>
        <v>-0.23647665240551524</v>
      </c>
      <c r="F5" s="35">
        <f>D5/$D$63</f>
        <v>1.5813930369851991E-3</v>
      </c>
      <c r="G5" s="12"/>
      <c r="H5" s="12"/>
      <c r="I5" s="12"/>
    </row>
    <row r="6" spans="1:9" ht="15">
      <c r="A6" s="51" t="s">
        <v>88</v>
      </c>
      <c r="B6" s="51" t="s">
        <v>145</v>
      </c>
      <c r="C6" s="38">
        <v>151510.18</v>
      </c>
      <c r="D6" s="38">
        <v>95064.4</v>
      </c>
      <c r="E6" s="35">
        <f t="shared" si="0"/>
        <v>-0.3725543722540624</v>
      </c>
      <c r="F6" s="35">
        <f t="shared" ref="F6:F62" si="1">D6/$D$63</f>
        <v>3.6091954794523269E-2</v>
      </c>
      <c r="G6" s="12"/>
      <c r="H6" s="12"/>
      <c r="I6" s="12"/>
    </row>
    <row r="7" spans="1:9" ht="15">
      <c r="A7" s="51" t="s">
        <v>89</v>
      </c>
      <c r="B7" s="51" t="s">
        <v>146</v>
      </c>
      <c r="C7" s="38">
        <v>47333.65</v>
      </c>
      <c r="D7" s="38">
        <v>26501.46</v>
      </c>
      <c r="E7" s="35">
        <f t="shared" si="0"/>
        <v>-0.44011374571789841</v>
      </c>
      <c r="F7" s="35">
        <f t="shared" si="1"/>
        <v>1.0061489856443282E-2</v>
      </c>
      <c r="G7" s="12"/>
      <c r="H7" s="12"/>
      <c r="I7" s="12"/>
    </row>
    <row r="8" spans="1:9" ht="15">
      <c r="A8" s="51" t="s">
        <v>90</v>
      </c>
      <c r="B8" s="51" t="s">
        <v>147</v>
      </c>
      <c r="C8" s="38">
        <v>33239.21</v>
      </c>
      <c r="D8" s="38">
        <v>30048.94</v>
      </c>
      <c r="E8" s="35">
        <f t="shared" si="0"/>
        <v>-9.5979116230500081E-2</v>
      </c>
      <c r="F8" s="35">
        <f t="shared" si="1"/>
        <v>1.140831882495805E-2</v>
      </c>
      <c r="G8" s="12"/>
      <c r="H8" s="12"/>
      <c r="I8" s="12"/>
    </row>
    <row r="9" spans="1:9" ht="15">
      <c r="A9" s="51" t="s">
        <v>91</v>
      </c>
      <c r="B9" s="51" t="s">
        <v>148</v>
      </c>
      <c r="C9" s="38">
        <v>20512.63</v>
      </c>
      <c r="D9" s="38">
        <v>14704.52</v>
      </c>
      <c r="E9" s="35">
        <f t="shared" si="0"/>
        <v>-0.2831479922369779</v>
      </c>
      <c r="F9" s="35">
        <f t="shared" si="1"/>
        <v>5.5826878528151798E-3</v>
      </c>
      <c r="G9" s="12"/>
      <c r="H9" s="12"/>
      <c r="I9" s="12"/>
    </row>
    <row r="10" spans="1:9" ht="15">
      <c r="A10" s="51" t="s">
        <v>84</v>
      </c>
      <c r="B10" s="51" t="s">
        <v>149</v>
      </c>
      <c r="C10" s="38">
        <v>47909.7</v>
      </c>
      <c r="D10" s="38">
        <v>4194.3</v>
      </c>
      <c r="E10" s="35">
        <f>(D10-C10)/C10</f>
        <v>-0.91245405418944381</v>
      </c>
      <c r="F10" s="35">
        <f>D10/$D$63</f>
        <v>1.5923993208253454E-3</v>
      </c>
      <c r="G10" s="12"/>
      <c r="H10" s="12"/>
      <c r="I10" s="12"/>
    </row>
    <row r="11" spans="1:9" ht="15">
      <c r="A11" s="51" t="s">
        <v>593</v>
      </c>
      <c r="B11" s="51" t="s">
        <v>594</v>
      </c>
      <c r="C11" s="38">
        <v>0</v>
      </c>
      <c r="D11" s="38">
        <v>623.61</v>
      </c>
      <c r="E11" s="55" t="s">
        <v>199</v>
      </c>
      <c r="F11" s="35">
        <f>D11/$D$63</f>
        <v>2.3675849139543994E-4</v>
      </c>
      <c r="G11" s="12"/>
      <c r="H11" s="12"/>
      <c r="I11" s="12"/>
    </row>
    <row r="12" spans="1:9" ht="15">
      <c r="A12" s="51" t="s">
        <v>92</v>
      </c>
      <c r="B12" s="51" t="s">
        <v>150</v>
      </c>
      <c r="C12" s="38">
        <v>16814.68</v>
      </c>
      <c r="D12" s="38">
        <v>11915.13</v>
      </c>
      <c r="E12" s="35">
        <f t="shared" si="0"/>
        <v>-0.29138526573208656</v>
      </c>
      <c r="F12" s="35">
        <f t="shared" si="1"/>
        <v>4.5236737762071617E-3</v>
      </c>
      <c r="G12" s="12"/>
      <c r="H12" s="12"/>
      <c r="I12" s="12"/>
    </row>
    <row r="13" spans="1:9" ht="15">
      <c r="A13" s="51" t="s">
        <v>93</v>
      </c>
      <c r="B13" s="51" t="s">
        <v>151</v>
      </c>
      <c r="C13" s="38">
        <v>26483.040000000001</v>
      </c>
      <c r="D13" s="38">
        <v>19243.25</v>
      </c>
      <c r="E13" s="35">
        <f t="shared" si="0"/>
        <v>-0.27337458237422896</v>
      </c>
      <c r="F13" s="35">
        <f t="shared" si="1"/>
        <v>7.305852759810297E-3</v>
      </c>
      <c r="G13" s="12"/>
      <c r="H13" s="12"/>
      <c r="I13" s="12"/>
    </row>
    <row r="14" spans="1:9" ht="15">
      <c r="A14" s="51" t="s">
        <v>94</v>
      </c>
      <c r="B14" s="51" t="s">
        <v>152</v>
      </c>
      <c r="C14" s="38">
        <v>7819.68</v>
      </c>
      <c r="D14" s="38">
        <v>5474.98</v>
      </c>
      <c r="E14" s="35">
        <f t="shared" si="0"/>
        <v>-0.29984602950504374</v>
      </c>
      <c r="F14" s="35">
        <f t="shared" si="1"/>
        <v>2.0786196584727723E-3</v>
      </c>
      <c r="G14" s="12"/>
      <c r="H14" s="12"/>
      <c r="I14" s="12"/>
    </row>
    <row r="15" spans="1:9" ht="15">
      <c r="A15" s="51" t="s">
        <v>95</v>
      </c>
      <c r="B15" s="51" t="s">
        <v>153</v>
      </c>
      <c r="C15" s="38">
        <v>6800.12</v>
      </c>
      <c r="D15" s="38">
        <v>0</v>
      </c>
      <c r="E15" s="35">
        <f t="shared" si="0"/>
        <v>-1</v>
      </c>
      <c r="F15" s="35">
        <f t="shared" si="1"/>
        <v>0</v>
      </c>
      <c r="G15" s="12"/>
      <c r="H15" s="12"/>
      <c r="I15" s="12"/>
    </row>
    <row r="16" spans="1:9" ht="15">
      <c r="A16" s="51" t="s">
        <v>96</v>
      </c>
      <c r="B16" s="51" t="s">
        <v>154</v>
      </c>
      <c r="C16" s="38">
        <v>3731.65</v>
      </c>
      <c r="D16" s="38">
        <v>2374.37</v>
      </c>
      <c r="E16" s="35">
        <f t="shared" si="0"/>
        <v>-0.36372114212211759</v>
      </c>
      <c r="F16" s="35">
        <f t="shared" si="1"/>
        <v>9.0144843606515394E-4</v>
      </c>
      <c r="G16" s="12"/>
      <c r="H16" s="12"/>
      <c r="I16" s="12"/>
    </row>
    <row r="17" spans="1:9" ht="15">
      <c r="A17" s="51" t="s">
        <v>97</v>
      </c>
      <c r="B17" s="51" t="s">
        <v>155</v>
      </c>
      <c r="C17" s="38">
        <v>8347.4500000000007</v>
      </c>
      <c r="D17" s="38">
        <v>6460.96</v>
      </c>
      <c r="E17" s="35">
        <f t="shared" si="0"/>
        <v>-0.22599596283895088</v>
      </c>
      <c r="F17" s="35">
        <f t="shared" si="1"/>
        <v>2.4529547995803171E-3</v>
      </c>
      <c r="G17" s="12"/>
      <c r="H17" s="12"/>
      <c r="I17" s="12"/>
    </row>
    <row r="18" spans="1:9" ht="15">
      <c r="A18" s="51" t="s">
        <v>98</v>
      </c>
      <c r="B18" s="51" t="s">
        <v>156</v>
      </c>
      <c r="C18" s="38">
        <v>3918.12</v>
      </c>
      <c r="D18" s="38">
        <v>2862.21</v>
      </c>
      <c r="E18" s="35">
        <f>(D18-C18)/C18</f>
        <v>-0.26949404306146824</v>
      </c>
      <c r="F18" s="35">
        <f t="shared" si="1"/>
        <v>1.0866607681995833E-3</v>
      </c>
      <c r="G18" s="12"/>
      <c r="H18" s="12"/>
      <c r="I18" s="12"/>
    </row>
    <row r="19" spans="1:9" ht="15">
      <c r="A19" s="51" t="s">
        <v>99</v>
      </c>
      <c r="B19" s="51" t="s">
        <v>157</v>
      </c>
      <c r="C19" s="38">
        <v>18852.28</v>
      </c>
      <c r="D19" s="38">
        <v>13845.98</v>
      </c>
      <c r="E19" s="35">
        <f t="shared" si="0"/>
        <v>-0.26555408682663317</v>
      </c>
      <c r="F19" s="35">
        <f t="shared" si="1"/>
        <v>5.2567363202826014E-3</v>
      </c>
      <c r="G19" s="12"/>
      <c r="H19" s="12"/>
      <c r="I19" s="12"/>
    </row>
    <row r="20" spans="1:9" ht="15">
      <c r="A20" s="51" t="s">
        <v>100</v>
      </c>
      <c r="B20" s="51" t="s">
        <v>158</v>
      </c>
      <c r="C20" s="38">
        <v>9231.44</v>
      </c>
      <c r="D20" s="38">
        <v>6391.24</v>
      </c>
      <c r="E20" s="35">
        <f t="shared" si="0"/>
        <v>-0.30766597627239095</v>
      </c>
      <c r="F20" s="35">
        <f t="shared" si="1"/>
        <v>2.4264850476198125E-3</v>
      </c>
      <c r="G20" s="12"/>
      <c r="H20" s="12"/>
      <c r="I20" s="12"/>
    </row>
    <row r="21" spans="1:9" ht="15">
      <c r="A21" s="51" t="s">
        <v>101</v>
      </c>
      <c r="B21" s="51" t="s">
        <v>159</v>
      </c>
      <c r="C21" s="38">
        <v>16023.21</v>
      </c>
      <c r="D21" s="38">
        <v>12035.25</v>
      </c>
      <c r="E21" s="35">
        <f t="shared" si="0"/>
        <v>-0.24888645908029661</v>
      </c>
      <c r="F21" s="35">
        <f t="shared" si="1"/>
        <v>4.5692782886210424E-3</v>
      </c>
      <c r="G21" s="12"/>
      <c r="H21" s="12"/>
      <c r="I21" s="12"/>
    </row>
    <row r="22" spans="1:9" ht="15">
      <c r="A22" s="51" t="s">
        <v>102</v>
      </c>
      <c r="B22" s="51" t="s">
        <v>160</v>
      </c>
      <c r="C22" s="38">
        <v>2986.41</v>
      </c>
      <c r="D22" s="38">
        <v>1727.77</v>
      </c>
      <c r="E22" s="35">
        <f t="shared" si="0"/>
        <v>-0.42145586172025939</v>
      </c>
      <c r="F22" s="35">
        <f t="shared" si="1"/>
        <v>6.5596160850258853E-4</v>
      </c>
      <c r="G22" s="12"/>
      <c r="H22" s="12"/>
      <c r="I22" s="12"/>
    </row>
    <row r="23" spans="1:9" ht="15">
      <c r="A23" s="51" t="s">
        <v>103</v>
      </c>
      <c r="B23" s="51" t="s">
        <v>161</v>
      </c>
      <c r="C23" s="38">
        <v>10226.540000000001</v>
      </c>
      <c r="D23" s="38">
        <v>6910.41</v>
      </c>
      <c r="E23" s="35">
        <f t="shared" si="0"/>
        <v>-0.32426705415516888</v>
      </c>
      <c r="F23" s="35">
        <f t="shared" si="1"/>
        <v>2.6235920631868669E-3</v>
      </c>
      <c r="G23" s="12"/>
      <c r="H23" s="12"/>
      <c r="I23" s="12"/>
    </row>
    <row r="24" spans="1:9" ht="15">
      <c r="A24" s="51" t="s">
        <v>104</v>
      </c>
      <c r="B24" s="51" t="s">
        <v>595</v>
      </c>
      <c r="C24" s="38">
        <v>53280.33</v>
      </c>
      <c r="D24" s="38">
        <v>63442.65</v>
      </c>
      <c r="E24" s="35">
        <f t="shared" si="0"/>
        <v>0.19073305289212736</v>
      </c>
      <c r="F24" s="35">
        <f t="shared" si="1"/>
        <v>2.4086506156297857E-2</v>
      </c>
      <c r="G24" s="12"/>
      <c r="H24" s="12"/>
      <c r="I24" s="12"/>
    </row>
    <row r="25" spans="1:9" ht="15">
      <c r="A25" s="51" t="s">
        <v>105</v>
      </c>
      <c r="B25" s="51" t="s">
        <v>162</v>
      </c>
      <c r="C25" s="38">
        <v>781.19</v>
      </c>
      <c r="D25" s="38">
        <v>567.12</v>
      </c>
      <c r="E25" s="35">
        <f t="shared" si="0"/>
        <v>-0.27403064555357853</v>
      </c>
      <c r="F25" s="35">
        <f t="shared" si="1"/>
        <v>2.15311614053947E-4</v>
      </c>
      <c r="G25" s="12"/>
      <c r="H25" s="12"/>
      <c r="I25" s="12"/>
    </row>
    <row r="26" spans="1:9" ht="15">
      <c r="A26" s="51" t="s">
        <v>106</v>
      </c>
      <c r="B26" s="51" t="s">
        <v>163</v>
      </c>
      <c r="C26" s="38">
        <v>7554.79</v>
      </c>
      <c r="D26" s="38">
        <v>2978.4</v>
      </c>
      <c r="E26" s="35">
        <f t="shared" si="0"/>
        <v>-0.60576005421725809</v>
      </c>
      <c r="F26" s="35">
        <f t="shared" si="1"/>
        <v>1.1307732248876353E-3</v>
      </c>
      <c r="G26" s="12"/>
      <c r="H26" s="12"/>
      <c r="I26" s="12"/>
    </row>
    <row r="27" spans="1:9" ht="15">
      <c r="A27" s="51" t="s">
        <v>107</v>
      </c>
      <c r="B27" s="51" t="s">
        <v>164</v>
      </c>
      <c r="C27" s="38">
        <v>16876.88</v>
      </c>
      <c r="D27" s="38">
        <v>11658.7</v>
      </c>
      <c r="E27" s="35">
        <f t="shared" si="0"/>
        <v>-0.30919103530984399</v>
      </c>
      <c r="F27" s="35">
        <f t="shared" si="1"/>
        <v>4.4263180892416985E-3</v>
      </c>
      <c r="G27" s="12"/>
      <c r="H27" s="12"/>
      <c r="I27" s="12"/>
    </row>
    <row r="28" spans="1:9" ht="15">
      <c r="A28" s="51" t="s">
        <v>108</v>
      </c>
      <c r="B28" s="51" t="s">
        <v>165</v>
      </c>
      <c r="C28" s="38">
        <v>5738.54</v>
      </c>
      <c r="D28" s="38">
        <v>5667.11</v>
      </c>
      <c r="E28" s="35">
        <f t="shared" si="0"/>
        <v>-1.24474169388033E-2</v>
      </c>
      <c r="F28" s="35">
        <f t="shared" si="1"/>
        <v>2.1515633395423604E-3</v>
      </c>
      <c r="G28" s="12"/>
      <c r="H28" s="12"/>
      <c r="I28" s="12"/>
    </row>
    <row r="29" spans="1:9" ht="15">
      <c r="A29" s="51" t="s">
        <v>109</v>
      </c>
      <c r="B29" s="51" t="s">
        <v>166</v>
      </c>
      <c r="C29" s="38">
        <v>6206.51</v>
      </c>
      <c r="D29" s="38">
        <v>4441.16</v>
      </c>
      <c r="E29" s="35">
        <f t="shared" si="0"/>
        <v>-0.28443521399304927</v>
      </c>
      <c r="F29" s="35">
        <f t="shared" si="1"/>
        <v>1.6861216812523404E-3</v>
      </c>
      <c r="G29" s="12"/>
      <c r="H29" s="12"/>
      <c r="I29" s="12"/>
    </row>
    <row r="30" spans="1:9" ht="15">
      <c r="A30" s="51" t="s">
        <v>110</v>
      </c>
      <c r="B30" s="51" t="s">
        <v>167</v>
      </c>
      <c r="C30" s="38">
        <v>12061.57</v>
      </c>
      <c r="D30" s="38">
        <v>348.16</v>
      </c>
      <c r="E30" s="35">
        <f t="shared" si="0"/>
        <v>-0.97113476935423826</v>
      </c>
      <c r="F30" s="35">
        <f t="shared" si="1"/>
        <v>1.3218171030649986E-4</v>
      </c>
      <c r="G30" s="12"/>
      <c r="H30" s="12"/>
      <c r="I30" s="12"/>
    </row>
    <row r="31" spans="1:9" ht="15">
      <c r="A31" s="51" t="s">
        <v>111</v>
      </c>
      <c r="B31" s="51" t="s">
        <v>168</v>
      </c>
      <c r="C31" s="38">
        <v>21773.42</v>
      </c>
      <c r="D31" s="38">
        <v>11476.7</v>
      </c>
      <c r="E31" s="35">
        <f t="shared" si="0"/>
        <v>-0.47290320032406474</v>
      </c>
      <c r="F31" s="35">
        <f t="shared" si="1"/>
        <v>4.3572203431600613E-3</v>
      </c>
      <c r="G31" s="12"/>
      <c r="H31" s="12"/>
      <c r="I31" s="12"/>
    </row>
    <row r="32" spans="1:9" ht="15">
      <c r="A32" s="51" t="s">
        <v>112</v>
      </c>
      <c r="B32" s="51" t="s">
        <v>169</v>
      </c>
      <c r="C32" s="38">
        <v>669.48</v>
      </c>
      <c r="D32" s="38">
        <v>0</v>
      </c>
      <c r="E32" s="35">
        <f t="shared" si="0"/>
        <v>-1</v>
      </c>
      <c r="F32" s="35">
        <f t="shared" si="1"/>
        <v>0</v>
      </c>
      <c r="G32" s="12"/>
      <c r="H32" s="12"/>
      <c r="I32" s="12"/>
    </row>
    <row r="33" spans="1:9" ht="15">
      <c r="A33" s="51" t="s">
        <v>113</v>
      </c>
      <c r="B33" s="51" t="s">
        <v>170</v>
      </c>
      <c r="C33" s="38">
        <v>17290.73</v>
      </c>
      <c r="D33" s="38">
        <v>6416.4</v>
      </c>
      <c r="E33" s="35">
        <f t="shared" si="0"/>
        <v>-0.62891098293709979</v>
      </c>
      <c r="F33" s="35">
        <f t="shared" si="1"/>
        <v>2.436037241528681E-3</v>
      </c>
      <c r="G33" s="12"/>
      <c r="H33" s="12"/>
      <c r="I33" s="12"/>
    </row>
    <row r="34" spans="1:9" ht="15">
      <c r="A34" s="51" t="s">
        <v>114</v>
      </c>
      <c r="B34" s="51" t="s">
        <v>171</v>
      </c>
      <c r="C34" s="38">
        <v>24708.61</v>
      </c>
      <c r="D34" s="38">
        <v>16741.169999999998</v>
      </c>
      <c r="E34" s="35">
        <f t="shared" si="0"/>
        <v>-0.3224560183676865</v>
      </c>
      <c r="F34" s="35">
        <f t="shared" si="1"/>
        <v>6.35591820752489E-3</v>
      </c>
      <c r="G34" s="12"/>
      <c r="H34" s="12"/>
      <c r="I34" s="12"/>
    </row>
    <row r="35" spans="1:9" ht="15">
      <c r="A35" s="51" t="s">
        <v>115</v>
      </c>
      <c r="B35" s="51" t="s">
        <v>172</v>
      </c>
      <c r="C35" s="38">
        <v>7698.7</v>
      </c>
      <c r="D35" s="38">
        <v>5442.19</v>
      </c>
      <c r="E35" s="35">
        <f t="shared" si="0"/>
        <v>-0.29310273163001549</v>
      </c>
      <c r="F35" s="35">
        <f t="shared" si="1"/>
        <v>2.0661706744397124E-3</v>
      </c>
      <c r="G35" s="12"/>
      <c r="H35" s="12"/>
      <c r="I35" s="12"/>
    </row>
    <row r="36" spans="1:9" ht="15">
      <c r="A36" s="51" t="s">
        <v>116</v>
      </c>
      <c r="B36" s="51" t="s">
        <v>173</v>
      </c>
      <c r="C36" s="38">
        <v>13381.28</v>
      </c>
      <c r="D36" s="38">
        <v>6823.48</v>
      </c>
      <c r="E36" s="35">
        <f t="shared" si="0"/>
        <v>-0.49007269857592106</v>
      </c>
      <c r="F36" s="35">
        <f t="shared" si="1"/>
        <v>2.5905883979842471E-3</v>
      </c>
      <c r="G36" s="12"/>
      <c r="H36" s="12"/>
      <c r="I36" s="12"/>
    </row>
    <row r="37" spans="1:9" ht="15">
      <c r="A37" s="51" t="s">
        <v>117</v>
      </c>
      <c r="B37" s="51" t="s">
        <v>174</v>
      </c>
      <c r="C37" s="38">
        <v>17413.62</v>
      </c>
      <c r="D37" s="38">
        <v>12505.04</v>
      </c>
      <c r="E37" s="35">
        <f t="shared" si="0"/>
        <v>-0.28188165355623923</v>
      </c>
      <c r="F37" s="35">
        <f t="shared" si="1"/>
        <v>4.7476377948391336E-3</v>
      </c>
      <c r="G37" s="12"/>
      <c r="H37" s="12"/>
      <c r="I37" s="12"/>
    </row>
    <row r="38" spans="1:9" ht="15">
      <c r="A38" s="51" t="s">
        <v>118</v>
      </c>
      <c r="B38" s="51" t="s">
        <v>175</v>
      </c>
      <c r="C38" s="38">
        <v>2377.8000000000002</v>
      </c>
      <c r="D38" s="38">
        <v>6321.3</v>
      </c>
      <c r="E38" s="35">
        <f t="shared" si="0"/>
        <v>1.6584658087307593</v>
      </c>
      <c r="F38" s="35">
        <f t="shared" si="1"/>
        <v>2.399931770911298E-3</v>
      </c>
      <c r="G38" s="12"/>
      <c r="H38" s="12"/>
      <c r="I38" s="12"/>
    </row>
    <row r="39" spans="1:9" ht="15">
      <c r="A39" s="51" t="s">
        <v>119</v>
      </c>
      <c r="B39" s="51" t="s">
        <v>176</v>
      </c>
      <c r="C39" s="38">
        <v>17564.05</v>
      </c>
      <c r="D39" s="38">
        <v>11595.1</v>
      </c>
      <c r="E39" s="35">
        <f t="shared" si="0"/>
        <v>-0.33983904623364197</v>
      </c>
      <c r="F39" s="35">
        <f t="shared" si="1"/>
        <v>4.4021718439076754E-3</v>
      </c>
      <c r="G39" s="12"/>
      <c r="H39" s="12"/>
      <c r="I39" s="12"/>
    </row>
    <row r="40" spans="1:9" ht="15">
      <c r="A40" s="51" t="s">
        <v>120</v>
      </c>
      <c r="B40" s="51" t="s">
        <v>177</v>
      </c>
      <c r="C40" s="38">
        <v>2379.86</v>
      </c>
      <c r="D40" s="38">
        <v>1962.43</v>
      </c>
      <c r="E40" s="35">
        <f t="shared" si="0"/>
        <v>-0.17540107401275706</v>
      </c>
      <c r="F40" s="35">
        <f t="shared" si="1"/>
        <v>7.4505214199444079E-4</v>
      </c>
      <c r="G40" s="12"/>
      <c r="H40" s="12"/>
      <c r="I40" s="12"/>
    </row>
    <row r="41" spans="1:9" ht="15">
      <c r="A41" s="51" t="s">
        <v>121</v>
      </c>
      <c r="B41" s="51" t="s">
        <v>178</v>
      </c>
      <c r="C41" s="38">
        <v>25818.02</v>
      </c>
      <c r="D41" s="38">
        <v>15377.13</v>
      </c>
      <c r="E41" s="35">
        <f t="shared" si="0"/>
        <v>-0.4044032036538821</v>
      </c>
      <c r="F41" s="35">
        <f t="shared" si="1"/>
        <v>5.8380495835402913E-3</v>
      </c>
      <c r="G41" s="12"/>
      <c r="H41" s="12"/>
      <c r="I41" s="12"/>
    </row>
    <row r="42" spans="1:9" ht="15">
      <c r="A42" s="51" t="s">
        <v>122</v>
      </c>
      <c r="B42" s="51" t="s">
        <v>179</v>
      </c>
      <c r="C42" s="38">
        <v>5152.2700000000004</v>
      </c>
      <c r="D42" s="38">
        <v>3331.25</v>
      </c>
      <c r="E42" s="35">
        <f t="shared" si="0"/>
        <v>-0.35344032824366739</v>
      </c>
      <c r="F42" s="35">
        <f t="shared" si="1"/>
        <v>1.2647355309585466E-3</v>
      </c>
      <c r="G42" s="12"/>
      <c r="H42" s="12"/>
      <c r="I42" s="12"/>
    </row>
    <row r="43" spans="1:9" ht="15">
      <c r="A43" s="51" t="s">
        <v>123</v>
      </c>
      <c r="B43" s="51" t="s">
        <v>180</v>
      </c>
      <c r="C43" s="38">
        <v>26598.32</v>
      </c>
      <c r="D43" s="38">
        <v>20296.63</v>
      </c>
      <c r="E43" s="35">
        <f t="shared" si="0"/>
        <v>-0.23692060250421826</v>
      </c>
      <c r="F43" s="35">
        <f t="shared" si="1"/>
        <v>7.7057768464447781E-3</v>
      </c>
      <c r="G43" s="12"/>
      <c r="H43" s="12"/>
      <c r="I43" s="12"/>
    </row>
    <row r="44" spans="1:9" ht="15">
      <c r="A44" s="51" t="s">
        <v>124</v>
      </c>
      <c r="B44" s="51" t="s">
        <v>181</v>
      </c>
      <c r="C44" s="38">
        <v>466.64</v>
      </c>
      <c r="D44" s="38">
        <v>353.91</v>
      </c>
      <c r="E44" s="35">
        <f t="shared" si="0"/>
        <v>-0.24157809017658144</v>
      </c>
      <c r="F44" s="35">
        <f t="shared" si="1"/>
        <v>1.34364743493145E-4</v>
      </c>
      <c r="G44" s="12"/>
      <c r="H44" s="12"/>
      <c r="I44" s="12"/>
    </row>
    <row r="45" spans="1:9" ht="15">
      <c r="A45" s="51" t="s">
        <v>125</v>
      </c>
      <c r="B45" s="51" t="s">
        <v>182</v>
      </c>
      <c r="C45" s="38">
        <v>100373.56</v>
      </c>
      <c r="D45" s="38">
        <v>70568.92</v>
      </c>
      <c r="E45" s="35">
        <f t="shared" si="0"/>
        <v>-0.29693716153935357</v>
      </c>
      <c r="F45" s="35">
        <f t="shared" si="1"/>
        <v>2.6792051183601111E-2</v>
      </c>
      <c r="G45" s="12"/>
      <c r="H45" s="12"/>
      <c r="I45" s="12"/>
    </row>
    <row r="46" spans="1:9" ht="15">
      <c r="A46" s="51" t="s">
        <v>126</v>
      </c>
      <c r="B46" s="51" t="s">
        <v>183</v>
      </c>
      <c r="C46" s="38">
        <v>33309.56</v>
      </c>
      <c r="D46" s="38">
        <v>27264.41</v>
      </c>
      <c r="E46" s="35">
        <f t="shared" si="0"/>
        <v>-0.18148393434197263</v>
      </c>
      <c r="F46" s="35">
        <f t="shared" si="1"/>
        <v>1.035114988596518E-2</v>
      </c>
      <c r="G46" s="12"/>
      <c r="H46" s="12"/>
      <c r="I46" s="12"/>
    </row>
    <row r="47" spans="1:9" ht="15">
      <c r="A47" s="51" t="s">
        <v>127</v>
      </c>
      <c r="B47" s="51" t="s">
        <v>184</v>
      </c>
      <c r="C47" s="38">
        <v>2929.87</v>
      </c>
      <c r="D47" s="38">
        <v>1679.25</v>
      </c>
      <c r="E47" s="35">
        <f t="shared" si="0"/>
        <v>-0.42685170331789463</v>
      </c>
      <c r="F47" s="35">
        <f t="shared" si="1"/>
        <v>6.3754060498675852E-4</v>
      </c>
      <c r="G47" s="12"/>
      <c r="H47" s="12"/>
      <c r="I47" s="12"/>
    </row>
    <row r="48" spans="1:9" ht="15">
      <c r="A48" s="51" t="s">
        <v>128</v>
      </c>
      <c r="B48" s="51" t="s">
        <v>185</v>
      </c>
      <c r="C48" s="38">
        <v>11348.71</v>
      </c>
      <c r="D48" s="38">
        <v>8882.02</v>
      </c>
      <c r="E48" s="35">
        <f t="shared" si="0"/>
        <v>-0.21735421911389038</v>
      </c>
      <c r="F48" s="35">
        <f t="shared" si="1"/>
        <v>3.37212946512103E-3</v>
      </c>
      <c r="G48" s="12"/>
      <c r="H48" s="12"/>
      <c r="I48" s="12"/>
    </row>
    <row r="49" spans="1:9" ht="15">
      <c r="A49" s="51" t="s">
        <v>129</v>
      </c>
      <c r="B49" s="51" t="s">
        <v>186</v>
      </c>
      <c r="C49" s="38">
        <v>61301.3</v>
      </c>
      <c r="D49" s="38">
        <v>50003.54</v>
      </c>
      <c r="E49" s="35">
        <f t="shared" si="0"/>
        <v>-0.18429886478753307</v>
      </c>
      <c r="F49" s="35">
        <f t="shared" si="1"/>
        <v>1.8984241264302266E-2</v>
      </c>
      <c r="G49" s="12"/>
      <c r="H49" s="12"/>
      <c r="I49" s="12"/>
    </row>
    <row r="50" spans="1:9" ht="15">
      <c r="A50" s="51" t="s">
        <v>130</v>
      </c>
      <c r="B50" s="51" t="s">
        <v>187</v>
      </c>
      <c r="C50" s="38">
        <v>20019.47</v>
      </c>
      <c r="D50" s="38">
        <v>13156.7</v>
      </c>
      <c r="E50" s="35">
        <f t="shared" si="0"/>
        <v>-0.34280477954711092</v>
      </c>
      <c r="F50" s="35">
        <f t="shared" si="1"/>
        <v>4.995045691605947E-3</v>
      </c>
      <c r="G50" s="12"/>
      <c r="H50" s="12"/>
      <c r="I50" s="12"/>
    </row>
    <row r="51" spans="1:9" ht="15">
      <c r="A51" s="51" t="s">
        <v>131</v>
      </c>
      <c r="B51" s="51" t="s">
        <v>188</v>
      </c>
      <c r="C51" s="38">
        <v>18131.560000000001</v>
      </c>
      <c r="D51" s="38">
        <v>12610.73</v>
      </c>
      <c r="E51" s="35">
        <f t="shared" si="0"/>
        <v>-0.30448731383289696</v>
      </c>
      <c r="F51" s="35">
        <f t="shared" si="1"/>
        <v>4.7877638430993989E-3</v>
      </c>
      <c r="G51" s="12"/>
      <c r="H51" s="12"/>
      <c r="I51" s="12"/>
    </row>
    <row r="52" spans="1:9" ht="15">
      <c r="A52" s="51" t="s">
        <v>132</v>
      </c>
      <c r="B52" s="51" t="s">
        <v>189</v>
      </c>
      <c r="C52" s="38">
        <v>43978.64</v>
      </c>
      <c r="D52" s="38">
        <v>33788.519999999997</v>
      </c>
      <c r="E52" s="35">
        <f t="shared" si="0"/>
        <v>-0.23170611915238859</v>
      </c>
      <c r="F52" s="35">
        <f t="shared" si="1"/>
        <v>1.2828080084804043E-2</v>
      </c>
      <c r="G52" s="12"/>
      <c r="H52" s="12"/>
      <c r="I52" s="12"/>
    </row>
    <row r="53" spans="1:9" ht="15">
      <c r="A53" s="51" t="s">
        <v>133</v>
      </c>
      <c r="B53" s="51" t="s">
        <v>200</v>
      </c>
      <c r="C53" s="38">
        <v>2497.1799999999998</v>
      </c>
      <c r="D53" s="38">
        <v>7544.41</v>
      </c>
      <c r="E53" s="35">
        <f t="shared" si="0"/>
        <v>2.0211718818827635</v>
      </c>
      <c r="F53" s="35">
        <f t="shared" si="1"/>
        <v>2.8642952006360882E-3</v>
      </c>
      <c r="G53" s="12"/>
      <c r="H53" s="12"/>
      <c r="I53" s="12"/>
    </row>
    <row r="54" spans="1:9" ht="15">
      <c r="A54" s="51" t="s">
        <v>134</v>
      </c>
      <c r="B54" s="51" t="s">
        <v>190</v>
      </c>
      <c r="C54" s="38">
        <v>3038.72</v>
      </c>
      <c r="D54" s="38">
        <v>3089.26</v>
      </c>
      <c r="E54" s="35">
        <f t="shared" si="0"/>
        <v>1.6632002948610079E-2</v>
      </c>
      <c r="F54" s="35">
        <f t="shared" si="1"/>
        <v>1.1728621047261537E-3</v>
      </c>
      <c r="G54" s="12"/>
      <c r="H54" s="12"/>
      <c r="I54" s="12"/>
    </row>
    <row r="55" spans="1:9" ht="15">
      <c r="A55" s="51" t="s">
        <v>135</v>
      </c>
      <c r="B55" s="51" t="s">
        <v>191</v>
      </c>
      <c r="C55" s="38">
        <v>23706.9</v>
      </c>
      <c r="D55" s="38">
        <v>16287.25</v>
      </c>
      <c r="E55" s="35">
        <f t="shared" si="0"/>
        <v>-0.31297428174919545</v>
      </c>
      <c r="F55" s="35">
        <f t="shared" si="1"/>
        <v>6.1835838729019403E-3</v>
      </c>
      <c r="G55" s="12"/>
      <c r="H55" s="12"/>
      <c r="I55" s="12"/>
    </row>
    <row r="56" spans="1:9" ht="15">
      <c r="A56" s="51" t="s">
        <v>136</v>
      </c>
      <c r="B56" s="51" t="s">
        <v>192</v>
      </c>
      <c r="C56" s="38">
        <v>2721.59</v>
      </c>
      <c r="D56" s="38">
        <v>2588.11</v>
      </c>
      <c r="E56" s="35">
        <f t="shared" si="0"/>
        <v>-4.9044859806216222E-2</v>
      </c>
      <c r="F56" s="35">
        <f t="shared" si="1"/>
        <v>9.8259652533707297E-4</v>
      </c>
      <c r="G56" s="12"/>
      <c r="H56" s="12"/>
      <c r="I56" s="12"/>
    </row>
    <row r="57" spans="1:9" ht="15">
      <c r="A57" s="51" t="s">
        <v>137</v>
      </c>
      <c r="B57" s="51" t="s">
        <v>193</v>
      </c>
      <c r="C57" s="38">
        <v>3108.84</v>
      </c>
      <c r="D57" s="38">
        <v>2205.12</v>
      </c>
      <c r="E57" s="35">
        <f t="shared" si="0"/>
        <v>-0.29069363492492384</v>
      </c>
      <c r="F57" s="35">
        <f t="shared" si="1"/>
        <v>8.3719132878868599E-4</v>
      </c>
      <c r="G57" s="12"/>
      <c r="H57" s="12"/>
      <c r="I57" s="12"/>
    </row>
    <row r="58" spans="1:9" ht="15">
      <c r="A58" s="51" t="s">
        <v>138</v>
      </c>
      <c r="B58" s="51" t="s">
        <v>194</v>
      </c>
      <c r="C58" s="38">
        <v>275.36</v>
      </c>
      <c r="D58" s="38">
        <v>0</v>
      </c>
      <c r="E58" s="35">
        <f t="shared" si="0"/>
        <v>-1</v>
      </c>
      <c r="F58" s="35">
        <f t="shared" si="1"/>
        <v>0</v>
      </c>
      <c r="G58" s="12"/>
      <c r="H58" s="12"/>
      <c r="I58" s="12"/>
    </row>
    <row r="59" spans="1:9" ht="15">
      <c r="A59" s="51" t="s">
        <v>139</v>
      </c>
      <c r="B59" s="51" t="s">
        <v>195</v>
      </c>
      <c r="C59" s="38">
        <v>38958.61</v>
      </c>
      <c r="D59" s="38">
        <v>21477.65</v>
      </c>
      <c r="E59" s="35">
        <f t="shared" si="0"/>
        <v>-0.44870594715776563</v>
      </c>
      <c r="F59" s="35">
        <f t="shared" si="1"/>
        <v>8.154160473243327E-3</v>
      </c>
      <c r="G59" s="12"/>
    </row>
    <row r="60" spans="1:9" ht="15">
      <c r="A60" s="51" t="s">
        <v>140</v>
      </c>
      <c r="B60" s="51" t="s">
        <v>196</v>
      </c>
      <c r="C60" s="38">
        <v>58204.55</v>
      </c>
      <c r="D60" s="38">
        <v>46932.65</v>
      </c>
      <c r="E60" s="35">
        <f t="shared" si="0"/>
        <v>-0.19366011763685143</v>
      </c>
      <c r="F60" s="35">
        <f t="shared" si="1"/>
        <v>1.7818353476035012E-2</v>
      </c>
      <c r="G60" s="12"/>
    </row>
    <row r="61" spans="1:9" ht="15">
      <c r="A61" s="51" t="s">
        <v>141</v>
      </c>
      <c r="B61" s="51" t="s">
        <v>197</v>
      </c>
      <c r="C61" s="38">
        <v>0</v>
      </c>
      <c r="D61" s="38">
        <v>0</v>
      </c>
      <c r="E61" s="55" t="s">
        <v>199</v>
      </c>
      <c r="F61" s="35">
        <f t="shared" si="1"/>
        <v>0</v>
      </c>
      <c r="G61" s="12"/>
    </row>
    <row r="62" spans="1:9" ht="15.75" thickBot="1">
      <c r="A62" s="51" t="s">
        <v>142</v>
      </c>
      <c r="B62" s="52" t="s">
        <v>198</v>
      </c>
      <c r="C62" s="40">
        <v>2049795.2</v>
      </c>
      <c r="D62" s="40">
        <v>1843257.76</v>
      </c>
      <c r="E62" s="41">
        <f t="shared" si="0"/>
        <v>-0.1007600369051503</v>
      </c>
      <c r="F62" s="41">
        <f t="shared" si="1"/>
        <v>0.69980745419499024</v>
      </c>
      <c r="G62" s="12"/>
    </row>
    <row r="63" spans="1:9" ht="15.75" thickBot="1">
      <c r="A63" s="100"/>
      <c r="B63" s="100" t="s">
        <v>66</v>
      </c>
      <c r="C63" s="42">
        <f>SUM(C4:C62)</f>
        <v>3197529.4000000004</v>
      </c>
      <c r="D63" s="42">
        <f>SUM(D4:D62)</f>
        <v>2633949.88</v>
      </c>
      <c r="E63" s="43">
        <f>(D63-C63)/C63</f>
        <v>-0.17625467962859087</v>
      </c>
      <c r="F63" s="43">
        <f>SUM(F4:F62)</f>
        <v>1</v>
      </c>
      <c r="G63" s="12"/>
    </row>
    <row r="64" spans="1:9" ht="15">
      <c r="A64" s="12"/>
      <c r="B64" s="12"/>
      <c r="C64" s="12"/>
      <c r="D64" s="12"/>
      <c r="E64" s="12"/>
      <c r="F64" s="56"/>
      <c r="G64" s="12"/>
    </row>
    <row r="65" spans="1:9" ht="15">
      <c r="A65" s="12"/>
      <c r="B65" s="12"/>
      <c r="C65" s="12"/>
      <c r="D65" s="12"/>
      <c r="E65" s="12"/>
      <c r="F65" s="12"/>
      <c r="G65" s="12"/>
    </row>
    <row r="66" spans="1:9" ht="15">
      <c r="A66" s="12"/>
      <c r="B66" s="12"/>
      <c r="C66" s="12"/>
      <c r="D66" s="12"/>
      <c r="E66" s="12"/>
      <c r="F66" s="12"/>
      <c r="G66" s="12"/>
    </row>
    <row r="67" spans="1:9" ht="15">
      <c r="A67" s="12"/>
      <c r="B67" s="12"/>
      <c r="C67" s="12"/>
      <c r="D67" s="57"/>
      <c r="E67" s="12"/>
      <c r="F67" s="12"/>
      <c r="G67" s="12"/>
    </row>
    <row r="68" spans="1:9" ht="15">
      <c r="A68" s="12"/>
      <c r="B68" s="12"/>
      <c r="C68" s="12"/>
      <c r="D68" s="57"/>
      <c r="E68" s="12"/>
      <c r="F68" s="12"/>
      <c r="G68" s="12"/>
      <c r="H68" s="12"/>
      <c r="I68" s="12"/>
    </row>
    <row r="69" spans="1:9" ht="15">
      <c r="A69" s="12"/>
      <c r="B69" s="12"/>
      <c r="C69" s="12"/>
      <c r="D69" s="57"/>
      <c r="E69" s="12"/>
      <c r="F69" s="12"/>
      <c r="G69" s="12"/>
      <c r="H69" s="12"/>
      <c r="I69" s="12"/>
    </row>
    <row r="70" spans="1:9" ht="15">
      <c r="A70" s="12"/>
      <c r="B70" s="12"/>
      <c r="C70" s="12"/>
      <c r="D70" s="57"/>
      <c r="E70" s="12"/>
      <c r="F70" s="12"/>
      <c r="G70" s="12"/>
      <c r="H70" s="12"/>
      <c r="I70" s="12"/>
    </row>
    <row r="71" spans="1:9" ht="15">
      <c r="A71" s="12"/>
      <c r="B71" s="12"/>
      <c r="C71" s="12"/>
      <c r="D71" s="57"/>
      <c r="E71" s="12"/>
      <c r="F71" s="12"/>
      <c r="G71" s="12"/>
      <c r="H71" s="12"/>
      <c r="I71" s="12"/>
    </row>
    <row r="72" spans="1:9" ht="15">
      <c r="A72" s="12"/>
      <c r="B72" s="12"/>
      <c r="C72" s="12"/>
      <c r="D72" s="12"/>
      <c r="E72" s="12"/>
      <c r="F72" s="12"/>
      <c r="G72" s="12"/>
      <c r="H72" s="12"/>
      <c r="I72" s="12"/>
    </row>
    <row r="73" spans="1:9" ht="15">
      <c r="A73" s="12"/>
      <c r="B73" s="12"/>
      <c r="C73" s="12"/>
      <c r="D73" s="12"/>
      <c r="E73" s="12"/>
      <c r="F73" s="12"/>
      <c r="G73" s="12"/>
      <c r="H73" s="12"/>
      <c r="I73" s="12"/>
    </row>
    <row r="74" spans="1:9" ht="15">
      <c r="A74" s="12"/>
      <c r="B74" s="12"/>
      <c r="C74" s="12"/>
      <c r="D74" s="12"/>
      <c r="E74" s="12"/>
      <c r="F74" s="12"/>
      <c r="G74" s="12"/>
      <c r="H74" s="12"/>
      <c r="I74" s="12"/>
    </row>
    <row r="75" spans="1:9" ht="15">
      <c r="A75" s="12"/>
      <c r="B75" s="12"/>
      <c r="C75" s="12"/>
      <c r="D75" s="12"/>
      <c r="E75" s="12"/>
      <c r="F75" s="12"/>
      <c r="G75" s="12"/>
      <c r="H75" s="12"/>
      <c r="I75" s="12"/>
    </row>
    <row r="76" spans="1:9" ht="15">
      <c r="A76" s="12"/>
      <c r="B76" s="12"/>
      <c r="C76" s="12"/>
      <c r="D76" s="12"/>
      <c r="E76" s="12"/>
      <c r="F76" s="12"/>
      <c r="G76" s="12"/>
      <c r="H76" s="12"/>
      <c r="I76" s="12"/>
    </row>
    <row r="77" spans="1:9" ht="15">
      <c r="A77" s="12"/>
      <c r="B77" s="12"/>
      <c r="C77" s="12"/>
      <c r="D77" s="12"/>
      <c r="E77" s="12"/>
      <c r="F77" s="12"/>
      <c r="G77" s="12"/>
      <c r="H77" s="12"/>
      <c r="I77" s="12"/>
    </row>
    <row r="78" spans="1:9" ht="15">
      <c r="A78" s="12"/>
      <c r="B78" s="12"/>
      <c r="C78" s="12"/>
      <c r="D78" s="12"/>
      <c r="E78" s="12"/>
      <c r="F78" s="12"/>
      <c r="G78" s="12"/>
      <c r="H78" s="12"/>
      <c r="I78" s="12"/>
    </row>
    <row r="79" spans="1:9" ht="15">
      <c r="A79" s="12"/>
      <c r="B79" s="12"/>
      <c r="C79" s="12"/>
      <c r="D79" s="12"/>
      <c r="E79" s="12"/>
      <c r="F79" s="12"/>
      <c r="G79" s="12"/>
      <c r="H79" s="12"/>
      <c r="I79" s="12"/>
    </row>
    <row r="80" spans="1:9" ht="15">
      <c r="A80" s="12"/>
      <c r="B80" s="12"/>
      <c r="C80" s="12"/>
      <c r="D80" s="12"/>
      <c r="E80" s="12"/>
      <c r="F80" s="12"/>
      <c r="G80" s="12"/>
      <c r="H80" s="12"/>
      <c r="I80" s="12"/>
    </row>
    <row r="81" spans="1:9" ht="15">
      <c r="A81" s="12"/>
      <c r="B81" s="12"/>
      <c r="C81" s="12"/>
      <c r="D81" s="12"/>
      <c r="E81" s="12"/>
      <c r="F81" s="12"/>
      <c r="G81" s="12"/>
      <c r="H81" s="12"/>
      <c r="I81" s="12"/>
    </row>
    <row r="82" spans="1:9" ht="15">
      <c r="A82" s="12"/>
      <c r="B82" s="12"/>
      <c r="C82" s="12"/>
      <c r="D82" s="12"/>
      <c r="E82" s="12"/>
      <c r="F82" s="12"/>
      <c r="G82" s="12"/>
      <c r="H82" s="12"/>
      <c r="I82" s="12"/>
    </row>
    <row r="83" spans="1:9" ht="15">
      <c r="A83" s="12"/>
      <c r="B83" s="12"/>
      <c r="C83" s="12"/>
      <c r="D83" s="12"/>
      <c r="E83" s="12"/>
      <c r="F83" s="12"/>
      <c r="G83" s="12"/>
      <c r="H83" s="12"/>
      <c r="I83" s="12"/>
    </row>
    <row r="84" spans="1:9" ht="15">
      <c r="A84" s="12"/>
      <c r="B84" s="12"/>
      <c r="C84" s="12"/>
      <c r="D84" s="12"/>
      <c r="E84" s="12"/>
      <c r="F84" s="12"/>
      <c r="G84" s="12"/>
      <c r="H84" s="12"/>
      <c r="I84" s="12"/>
    </row>
    <row r="85" spans="1:9" ht="15">
      <c r="A85" s="12"/>
      <c r="B85" s="12"/>
      <c r="C85" s="12"/>
      <c r="D85" s="12"/>
      <c r="E85" s="12"/>
      <c r="F85" s="12"/>
      <c r="G85" s="12"/>
      <c r="H85" s="12"/>
      <c r="I85" s="12"/>
    </row>
    <row r="86" spans="1:9" ht="15">
      <c r="A86" s="12"/>
      <c r="B86" s="12"/>
      <c r="C86" s="12"/>
      <c r="D86" s="12"/>
      <c r="E86" s="12"/>
      <c r="F86" s="12"/>
      <c r="G86" s="12"/>
      <c r="H86" s="12"/>
      <c r="I86" s="12"/>
    </row>
    <row r="87" spans="1:9" ht="15">
      <c r="A87" s="12"/>
      <c r="B87" s="12"/>
      <c r="C87" s="12"/>
      <c r="D87" s="12"/>
      <c r="E87" s="12"/>
      <c r="F87" s="12"/>
      <c r="G87" s="12"/>
      <c r="H87" s="12"/>
      <c r="I87" s="12"/>
    </row>
    <row r="88" spans="1:9" ht="15">
      <c r="A88" s="12"/>
      <c r="B88" s="12"/>
      <c r="C88" s="12"/>
      <c r="D88" s="12"/>
      <c r="E88" s="12"/>
      <c r="F88" s="12"/>
      <c r="G88" s="12"/>
      <c r="H88" s="12"/>
      <c r="I88" s="12"/>
    </row>
    <row r="89" spans="1:9" ht="15">
      <c r="A89" s="12"/>
      <c r="B89" s="12"/>
      <c r="C89" s="12"/>
      <c r="D89" s="12"/>
      <c r="E89" s="12"/>
      <c r="F89" s="12"/>
      <c r="G89" s="12"/>
      <c r="H89" s="12"/>
      <c r="I89" s="12"/>
    </row>
    <row r="90" spans="1:9" ht="15">
      <c r="A90" s="12"/>
      <c r="B90" s="12"/>
      <c r="C90" s="12"/>
      <c r="D90" s="12"/>
      <c r="E90" s="12"/>
      <c r="F90" s="12"/>
      <c r="G90" s="12"/>
      <c r="H90" s="12"/>
      <c r="I90" s="12"/>
    </row>
    <row r="91" spans="1:9" ht="15">
      <c r="A91" s="12"/>
      <c r="B91" s="12"/>
      <c r="C91" s="12"/>
      <c r="D91" s="12"/>
      <c r="E91" s="12"/>
      <c r="F91" s="12"/>
      <c r="G91" s="12"/>
      <c r="H91" s="12"/>
      <c r="I91" s="12"/>
    </row>
    <row r="92" spans="1:9" ht="15">
      <c r="A92" s="12"/>
      <c r="B92" s="12"/>
      <c r="C92" s="12"/>
      <c r="D92" s="12"/>
      <c r="E92" s="12"/>
      <c r="F92" s="12"/>
      <c r="G92" s="12"/>
      <c r="H92" s="12"/>
      <c r="I92" s="12"/>
    </row>
    <row r="93" spans="1:9" ht="15">
      <c r="A93" s="12"/>
      <c r="B93" s="12"/>
      <c r="C93" s="12"/>
      <c r="D93" s="12"/>
      <c r="E93" s="12"/>
      <c r="F93" s="12"/>
      <c r="G93" s="12"/>
      <c r="H93" s="12"/>
      <c r="I93" s="12"/>
    </row>
    <row r="94" spans="1:9" ht="15">
      <c r="A94" s="12"/>
      <c r="B94" s="12"/>
      <c r="C94" s="12"/>
      <c r="D94" s="12"/>
      <c r="E94" s="12"/>
      <c r="F94" s="12"/>
      <c r="G94" s="12"/>
      <c r="H94" s="12"/>
      <c r="I94" s="12"/>
    </row>
    <row r="95" spans="1:9" ht="15">
      <c r="A95" s="12"/>
      <c r="B95" s="12"/>
      <c r="C95" s="12"/>
      <c r="D95" s="12"/>
      <c r="E95" s="12"/>
      <c r="F95" s="12"/>
      <c r="G95" s="12"/>
      <c r="H95" s="12"/>
      <c r="I95" s="12"/>
    </row>
    <row r="96" spans="1:9" ht="15">
      <c r="A96" s="12"/>
      <c r="B96" s="12"/>
      <c r="C96" s="12"/>
      <c r="D96" s="12"/>
      <c r="E96" s="12"/>
      <c r="F96" s="12"/>
      <c r="G96" s="12"/>
      <c r="H96" s="12"/>
      <c r="I96" s="12"/>
    </row>
    <row r="97" spans="1:9" ht="15">
      <c r="A97" s="12"/>
      <c r="B97" s="12"/>
      <c r="C97" s="12"/>
      <c r="D97" s="12"/>
      <c r="E97" s="12"/>
      <c r="F97" s="12"/>
      <c r="G97" s="12"/>
      <c r="H97" s="12"/>
      <c r="I97" s="12"/>
    </row>
    <row r="98" spans="1:9" ht="15">
      <c r="A98" s="12"/>
      <c r="B98" s="12"/>
      <c r="C98" s="12"/>
      <c r="D98" s="12"/>
      <c r="E98" s="12"/>
      <c r="F98" s="12"/>
      <c r="G98" s="12"/>
      <c r="H98" s="12"/>
      <c r="I98" s="12"/>
    </row>
    <row r="99" spans="1:9" ht="15">
      <c r="A99" s="12"/>
      <c r="B99" s="12"/>
      <c r="C99" s="12"/>
      <c r="D99" s="12"/>
      <c r="E99" s="12"/>
      <c r="F99" s="12"/>
      <c r="G99" s="12"/>
      <c r="H99" s="12"/>
      <c r="I99" s="12"/>
    </row>
    <row r="100" spans="1:9" ht="15">
      <c r="A100" s="12"/>
      <c r="B100" s="12"/>
      <c r="C100" s="12"/>
      <c r="D100" s="12"/>
      <c r="E100" s="12"/>
      <c r="F100" s="12"/>
      <c r="G100" s="12"/>
      <c r="H100" s="12"/>
      <c r="I100" s="12"/>
    </row>
    <row r="101" spans="1:9" ht="15">
      <c r="A101" s="12"/>
      <c r="B101" s="12"/>
      <c r="C101" s="12"/>
      <c r="D101" s="12"/>
      <c r="E101" s="12"/>
      <c r="F101" s="12"/>
      <c r="G101" s="12"/>
      <c r="H101" s="12"/>
      <c r="I101" s="12"/>
    </row>
    <row r="102" spans="1:9" ht="15">
      <c r="A102" s="12"/>
      <c r="B102" s="12"/>
      <c r="C102" s="12"/>
      <c r="D102" s="12"/>
      <c r="E102" s="12"/>
      <c r="F102" s="12"/>
      <c r="G102" s="12"/>
      <c r="H102" s="12"/>
      <c r="I102" s="12"/>
    </row>
    <row r="103" spans="1:9" ht="15">
      <c r="A103" s="12"/>
      <c r="B103" s="12"/>
      <c r="C103" s="12"/>
      <c r="D103" s="12"/>
      <c r="E103" s="12"/>
      <c r="F103" s="12"/>
      <c r="G103" s="12"/>
      <c r="H103" s="12"/>
      <c r="I103" s="12"/>
    </row>
    <row r="104" spans="1:9" ht="15">
      <c r="A104" s="12"/>
      <c r="B104" s="12"/>
      <c r="C104" s="12"/>
      <c r="D104" s="12"/>
      <c r="E104" s="12"/>
      <c r="F104" s="12"/>
      <c r="G104" s="12"/>
      <c r="H104" s="12"/>
      <c r="I104" s="12"/>
    </row>
    <row r="105" spans="1:9" ht="15">
      <c r="A105" s="12"/>
      <c r="B105" s="12"/>
      <c r="C105" s="12"/>
      <c r="D105" s="12"/>
      <c r="E105" s="12"/>
      <c r="F105" s="12"/>
      <c r="G105" s="12"/>
      <c r="H105" s="12"/>
      <c r="I105" s="12"/>
    </row>
    <row r="106" spans="1:9" ht="15">
      <c r="A106" s="12"/>
      <c r="B106" s="12"/>
      <c r="C106" s="12"/>
      <c r="D106" s="12"/>
      <c r="E106" s="12"/>
      <c r="F106" s="12"/>
      <c r="G106" s="12"/>
      <c r="H106" s="12"/>
      <c r="I106" s="12"/>
    </row>
  </sheetData>
  <phoneticPr fontId="2" type="noConversion"/>
  <pageMargins left="0.75" right="0.75" top="1" bottom="1" header="0.5" footer="0.5"/>
  <pageSetup scale="89" fitToHeight="8" orientation="portrait" r:id="rId1"/>
  <headerFooter alignWithMargins="0">
    <oddFooter>&amp;C&amp;A&amp;RPage &amp;P of &amp;N</oddFooter>
  </headerFooter>
  <ignoredErrors>
    <ignoredError sqref="E63" formula="1"/>
  </ignoredErrors>
  <drawing r:id="rId2"/>
</worksheet>
</file>

<file path=xl/worksheets/sheet8.xml><?xml version="1.0" encoding="utf-8"?>
<worksheet xmlns="http://schemas.openxmlformats.org/spreadsheetml/2006/main" xmlns:r="http://schemas.openxmlformats.org/officeDocument/2006/relationships">
  <sheetPr>
    <pageSetUpPr fitToPage="1"/>
  </sheetPr>
  <dimension ref="A1:G58"/>
  <sheetViews>
    <sheetView topLeftCell="A51" workbookViewId="0">
      <selection activeCell="G72" sqref="A1:G72"/>
    </sheetView>
  </sheetViews>
  <sheetFormatPr defaultRowHeight="12.75"/>
  <cols>
    <col min="3" max="3" width="40.28515625" bestFit="1" customWidth="1"/>
    <col min="4" max="4" width="13.42578125" bestFit="1" customWidth="1"/>
    <col min="5" max="5" width="13.5703125" bestFit="1" customWidth="1"/>
    <col min="6" max="6" width="7.7109375" bestFit="1" customWidth="1"/>
  </cols>
  <sheetData>
    <row r="1" spans="1:7" ht="18.75">
      <c r="A1" s="30" t="s">
        <v>596</v>
      </c>
      <c r="B1" s="11"/>
      <c r="C1" s="11"/>
      <c r="D1" s="12"/>
      <c r="E1" s="12"/>
      <c r="F1" s="12"/>
      <c r="G1" s="12"/>
    </row>
    <row r="2" spans="1:7" ht="15">
      <c r="A2" s="12"/>
      <c r="B2" s="12"/>
      <c r="C2" s="12"/>
      <c r="D2" s="12"/>
      <c r="E2" s="12"/>
      <c r="F2" s="12"/>
      <c r="G2" s="12"/>
    </row>
    <row r="3" spans="1:7" ht="37.5" customHeight="1" thickBot="1">
      <c r="A3" s="31" t="s">
        <v>67</v>
      </c>
      <c r="B3" s="31" t="s">
        <v>201</v>
      </c>
      <c r="C3" s="31" t="s">
        <v>55</v>
      </c>
      <c r="D3" s="32" t="s">
        <v>56</v>
      </c>
      <c r="E3" s="32" t="s">
        <v>63</v>
      </c>
      <c r="F3" s="32" t="s">
        <v>581</v>
      </c>
      <c r="G3" s="32" t="s">
        <v>2615</v>
      </c>
    </row>
    <row r="4" spans="1:7" ht="15">
      <c r="A4" s="33" t="s">
        <v>247</v>
      </c>
      <c r="B4" s="33" t="s">
        <v>202</v>
      </c>
      <c r="C4" s="33" t="s">
        <v>250</v>
      </c>
      <c r="D4" s="34">
        <v>543.29999999999995</v>
      </c>
      <c r="E4" s="34">
        <v>0</v>
      </c>
      <c r="F4" s="36">
        <f>(E4-D4)/D4</f>
        <v>-1</v>
      </c>
      <c r="G4" s="221">
        <f>E4/$E$53</f>
        <v>0</v>
      </c>
    </row>
    <row r="5" spans="1:7" ht="15">
      <c r="A5" s="82" t="s">
        <v>247</v>
      </c>
      <c r="B5" s="82" t="s">
        <v>203</v>
      </c>
      <c r="C5" s="82" t="s">
        <v>251</v>
      </c>
      <c r="D5" s="60">
        <v>31244.85</v>
      </c>
      <c r="E5" s="60">
        <v>26731.9</v>
      </c>
      <c r="F5" s="83">
        <f t="shared" ref="F5:F52" si="0">(E5-D5)/D5</f>
        <v>-0.14443820341592287</v>
      </c>
      <c r="G5" s="222">
        <f t="shared" ref="G5:G52" si="1">E5/$E$53</f>
        <v>9.9716979086766026E-3</v>
      </c>
    </row>
    <row r="6" spans="1:7" ht="15">
      <c r="A6" s="37" t="s">
        <v>248</v>
      </c>
      <c r="B6" s="37" t="s">
        <v>204</v>
      </c>
      <c r="C6" s="37" t="s">
        <v>252</v>
      </c>
      <c r="D6" s="58">
        <v>1200</v>
      </c>
      <c r="E6" s="58">
        <v>0</v>
      </c>
      <c r="F6" s="36">
        <f t="shared" si="0"/>
        <v>-1</v>
      </c>
      <c r="G6" s="221">
        <f t="shared" si="1"/>
        <v>0</v>
      </c>
    </row>
    <row r="7" spans="1:7" ht="15">
      <c r="A7" s="37" t="s">
        <v>248</v>
      </c>
      <c r="B7" s="37" t="s">
        <v>597</v>
      </c>
      <c r="C7" s="37" t="s">
        <v>598</v>
      </c>
      <c r="D7" s="58">
        <v>0</v>
      </c>
      <c r="E7" s="58">
        <v>665</v>
      </c>
      <c r="F7" s="59" t="s">
        <v>199</v>
      </c>
      <c r="G7" s="221">
        <f t="shared" si="1"/>
        <v>2.4806239396638248E-4</v>
      </c>
    </row>
    <row r="8" spans="1:7" ht="15">
      <c r="A8" s="37" t="s">
        <v>248</v>
      </c>
      <c r="B8" s="37" t="s">
        <v>205</v>
      </c>
      <c r="C8" s="37" t="s">
        <v>253</v>
      </c>
      <c r="D8" s="58">
        <v>4290</v>
      </c>
      <c r="E8" s="58">
        <v>7658</v>
      </c>
      <c r="F8" s="36">
        <f t="shared" si="0"/>
        <v>0.7850815850815851</v>
      </c>
      <c r="G8" s="221">
        <f t="shared" si="1"/>
        <v>2.856634305254973E-3</v>
      </c>
    </row>
    <row r="9" spans="1:7" ht="15">
      <c r="A9" s="37" t="s">
        <v>248</v>
      </c>
      <c r="B9" s="37" t="s">
        <v>206</v>
      </c>
      <c r="C9" s="37" t="s">
        <v>254</v>
      </c>
      <c r="D9" s="58">
        <v>365</v>
      </c>
      <c r="E9" s="58">
        <v>383</v>
      </c>
      <c r="F9" s="36">
        <f t="shared" si="0"/>
        <v>4.9315068493150684E-2</v>
      </c>
      <c r="G9" s="221">
        <f t="shared" si="1"/>
        <v>1.428690178783827E-4</v>
      </c>
    </row>
    <row r="10" spans="1:7" ht="15">
      <c r="A10" s="37" t="s">
        <v>248</v>
      </c>
      <c r="B10" s="37" t="s">
        <v>599</v>
      </c>
      <c r="C10" s="37" t="s">
        <v>600</v>
      </c>
      <c r="D10" s="58">
        <v>0</v>
      </c>
      <c r="E10" s="58">
        <v>9258</v>
      </c>
      <c r="F10" s="59" t="s">
        <v>199</v>
      </c>
      <c r="G10" s="221">
        <f t="shared" si="1"/>
        <v>3.4534761553996528E-3</v>
      </c>
    </row>
    <row r="11" spans="1:7" ht="15">
      <c r="A11" s="37" t="s">
        <v>248</v>
      </c>
      <c r="B11" s="37" t="s">
        <v>207</v>
      </c>
      <c r="C11" s="37" t="s">
        <v>255</v>
      </c>
      <c r="D11" s="58">
        <v>4293.8</v>
      </c>
      <c r="E11" s="58">
        <v>5446.01</v>
      </c>
      <c r="F11" s="36">
        <f t="shared" si="0"/>
        <v>0.26834272672225068</v>
      </c>
      <c r="G11" s="221">
        <f t="shared" si="1"/>
        <v>2.0315041776915168E-3</v>
      </c>
    </row>
    <row r="12" spans="1:7" ht="15">
      <c r="A12" s="37" t="s">
        <v>248</v>
      </c>
      <c r="B12" s="37" t="s">
        <v>208</v>
      </c>
      <c r="C12" s="37" t="s">
        <v>256</v>
      </c>
      <c r="D12" s="58">
        <v>2996</v>
      </c>
      <c r="E12" s="58">
        <v>1550</v>
      </c>
      <c r="F12" s="36">
        <f t="shared" si="0"/>
        <v>-0.48264352469959948</v>
      </c>
      <c r="G12" s="221">
        <f t="shared" si="1"/>
        <v>5.7819054232765839E-4</v>
      </c>
    </row>
    <row r="13" spans="1:7" ht="15">
      <c r="A13" s="37" t="s">
        <v>248</v>
      </c>
      <c r="B13" s="37" t="s">
        <v>209</v>
      </c>
      <c r="C13" s="37" t="s">
        <v>257</v>
      </c>
      <c r="D13" s="58">
        <v>3088.26</v>
      </c>
      <c r="E13" s="58">
        <v>2704.54</v>
      </c>
      <c r="F13" s="36">
        <f t="shared" si="0"/>
        <v>-0.12425119646661882</v>
      </c>
      <c r="G13" s="221">
        <f t="shared" si="1"/>
        <v>1.0088641608689325E-3</v>
      </c>
    </row>
    <row r="14" spans="1:7" ht="15">
      <c r="A14" s="37" t="s">
        <v>248</v>
      </c>
      <c r="B14" s="37" t="s">
        <v>210</v>
      </c>
      <c r="C14" s="37" t="s">
        <v>258</v>
      </c>
      <c r="D14" s="58">
        <v>248</v>
      </c>
      <c r="E14" s="58">
        <v>0</v>
      </c>
      <c r="F14" s="36">
        <f t="shared" si="0"/>
        <v>-1</v>
      </c>
      <c r="G14" s="221">
        <f t="shared" si="1"/>
        <v>0</v>
      </c>
    </row>
    <row r="15" spans="1:7" ht="15">
      <c r="A15" s="37" t="s">
        <v>248</v>
      </c>
      <c r="B15" s="37" t="s">
        <v>601</v>
      </c>
      <c r="C15" s="37" t="s">
        <v>602</v>
      </c>
      <c r="D15" s="58">
        <v>0</v>
      </c>
      <c r="E15" s="58">
        <v>149.5</v>
      </c>
      <c r="F15" s="59" t="s">
        <v>199</v>
      </c>
      <c r="G15" s="221">
        <f t="shared" si="1"/>
        <v>5.5767410372893507E-5</v>
      </c>
    </row>
    <row r="16" spans="1:7" ht="15">
      <c r="A16" s="82" t="s">
        <v>248</v>
      </c>
      <c r="B16" s="82" t="s">
        <v>211</v>
      </c>
      <c r="C16" s="82" t="s">
        <v>259</v>
      </c>
      <c r="D16" s="60">
        <v>982240.37</v>
      </c>
      <c r="E16" s="60">
        <v>693789.18</v>
      </c>
      <c r="F16" s="83">
        <f t="shared" si="0"/>
        <v>-0.29366660016223928</v>
      </c>
      <c r="G16" s="222">
        <f t="shared" si="1"/>
        <v>0.2588015111259751</v>
      </c>
    </row>
    <row r="17" spans="1:7" ht="15">
      <c r="A17" s="37" t="s">
        <v>248</v>
      </c>
      <c r="B17" s="37" t="s">
        <v>212</v>
      </c>
      <c r="C17" s="37" t="s">
        <v>260</v>
      </c>
      <c r="D17" s="58">
        <v>2585.75</v>
      </c>
      <c r="E17" s="58">
        <f>2279.1+522.3</f>
        <v>2801.3999999999996</v>
      </c>
      <c r="F17" s="36">
        <f t="shared" si="0"/>
        <v>8.3399400560765599E-2</v>
      </c>
      <c r="G17" s="221">
        <f t="shared" si="1"/>
        <v>1.0449954743720659E-3</v>
      </c>
    </row>
    <row r="18" spans="1:7" ht="15">
      <c r="A18" s="37" t="s">
        <v>248</v>
      </c>
      <c r="B18" s="37" t="s">
        <v>213</v>
      </c>
      <c r="C18" s="37" t="s">
        <v>261</v>
      </c>
      <c r="D18" s="58">
        <v>484.05</v>
      </c>
      <c r="E18" s="58">
        <v>0</v>
      </c>
      <c r="F18" s="36">
        <f t="shared" si="0"/>
        <v>-1</v>
      </c>
      <c r="G18" s="221">
        <f t="shared" si="1"/>
        <v>0</v>
      </c>
    </row>
    <row r="19" spans="1:7" ht="15">
      <c r="A19" s="37" t="s">
        <v>248</v>
      </c>
      <c r="B19" s="37" t="s">
        <v>214</v>
      </c>
      <c r="C19" s="37" t="s">
        <v>262</v>
      </c>
      <c r="D19" s="58">
        <v>300</v>
      </c>
      <c r="E19" s="58">
        <v>148.68</v>
      </c>
      <c r="F19" s="36">
        <f t="shared" si="0"/>
        <v>-0.50439999999999996</v>
      </c>
      <c r="G19" s="221">
        <f t="shared" si="1"/>
        <v>5.5461528924694356E-5</v>
      </c>
    </row>
    <row r="20" spans="1:7" ht="15">
      <c r="A20" s="82" t="s">
        <v>248</v>
      </c>
      <c r="B20" s="82" t="s">
        <v>215</v>
      </c>
      <c r="C20" s="82" t="s">
        <v>263</v>
      </c>
      <c r="D20" s="60">
        <v>2107276.66</v>
      </c>
      <c r="E20" s="60">
        <v>1876838.55</v>
      </c>
      <c r="F20" s="83">
        <f t="shared" si="0"/>
        <v>-0.10935351507191281</v>
      </c>
      <c r="G20" s="222">
        <f t="shared" si="1"/>
        <v>0.70010987037803618</v>
      </c>
    </row>
    <row r="21" spans="1:7" ht="15">
      <c r="A21" s="37" t="s">
        <v>248</v>
      </c>
      <c r="B21" s="37" t="s">
        <v>216</v>
      </c>
      <c r="C21" s="37" t="s">
        <v>264</v>
      </c>
      <c r="D21" s="58">
        <v>22</v>
      </c>
      <c r="E21" s="58">
        <v>36</v>
      </c>
      <c r="F21" s="36">
        <f t="shared" si="0"/>
        <v>0.63636363636363635</v>
      </c>
      <c r="G21" s="221">
        <f t="shared" si="1"/>
        <v>1.3428941628255292E-5</v>
      </c>
    </row>
    <row r="22" spans="1:7" ht="15">
      <c r="A22" s="37" t="s">
        <v>248</v>
      </c>
      <c r="B22" s="37" t="s">
        <v>217</v>
      </c>
      <c r="C22" s="37" t="s">
        <v>265</v>
      </c>
      <c r="D22" s="58">
        <v>1033.8</v>
      </c>
      <c r="E22" s="58">
        <v>0</v>
      </c>
      <c r="F22" s="36">
        <f t="shared" si="0"/>
        <v>-1</v>
      </c>
      <c r="G22" s="221">
        <f t="shared" si="1"/>
        <v>0</v>
      </c>
    </row>
    <row r="23" spans="1:7" ht="15">
      <c r="A23" s="37" t="s">
        <v>248</v>
      </c>
      <c r="B23" s="37" t="s">
        <v>218</v>
      </c>
      <c r="C23" s="37" t="s">
        <v>266</v>
      </c>
      <c r="D23" s="58">
        <v>2912.19</v>
      </c>
      <c r="E23" s="58">
        <v>3083.09</v>
      </c>
      <c r="F23" s="36">
        <f t="shared" si="0"/>
        <v>5.8684357820059846E-2</v>
      </c>
      <c r="G23" s="221">
        <f t="shared" si="1"/>
        <v>1.1500732123516002E-3</v>
      </c>
    </row>
    <row r="24" spans="1:7" ht="15">
      <c r="A24" s="37" t="s">
        <v>248</v>
      </c>
      <c r="B24" s="37" t="s">
        <v>219</v>
      </c>
      <c r="C24" s="37" t="s">
        <v>267</v>
      </c>
      <c r="D24" s="58">
        <v>2887.36</v>
      </c>
      <c r="E24" s="58">
        <v>1592.33</v>
      </c>
      <c r="F24" s="36">
        <f t="shared" si="0"/>
        <v>-0.44851698437326837</v>
      </c>
      <c r="G24" s="221">
        <f t="shared" si="1"/>
        <v>5.9398073952554857E-4</v>
      </c>
    </row>
    <row r="25" spans="1:7" ht="15">
      <c r="A25" s="37" t="s">
        <v>248</v>
      </c>
      <c r="B25" s="37" t="s">
        <v>220</v>
      </c>
      <c r="C25" s="37" t="s">
        <v>268</v>
      </c>
      <c r="D25" s="58">
        <v>2948.21</v>
      </c>
      <c r="E25" s="58">
        <v>0</v>
      </c>
      <c r="F25" s="36">
        <f t="shared" si="0"/>
        <v>-1</v>
      </c>
      <c r="G25" s="221">
        <f t="shared" si="1"/>
        <v>0</v>
      </c>
    </row>
    <row r="26" spans="1:7" ht="15">
      <c r="A26" s="37" t="s">
        <v>248</v>
      </c>
      <c r="B26" s="37" t="s">
        <v>221</v>
      </c>
      <c r="C26" s="37" t="s">
        <v>269</v>
      </c>
      <c r="D26" s="58">
        <v>344.5</v>
      </c>
      <c r="E26" s="58">
        <v>641</v>
      </c>
      <c r="F26" s="36">
        <f t="shared" si="0"/>
        <v>0.86066763425253989</v>
      </c>
      <c r="G26" s="221">
        <f t="shared" si="1"/>
        <v>2.3910976621421229E-4</v>
      </c>
    </row>
    <row r="27" spans="1:7" ht="15">
      <c r="A27" s="37" t="s">
        <v>248</v>
      </c>
      <c r="B27" s="37" t="s">
        <v>222</v>
      </c>
      <c r="C27" s="37" t="s">
        <v>270</v>
      </c>
      <c r="D27" s="58">
        <v>0</v>
      </c>
      <c r="E27" s="58">
        <v>18000</v>
      </c>
      <c r="F27" s="59" t="s">
        <v>199</v>
      </c>
      <c r="G27" s="221">
        <f t="shared" si="1"/>
        <v>6.7144708141276465E-3</v>
      </c>
    </row>
    <row r="28" spans="1:7" ht="15">
      <c r="A28" s="37" t="s">
        <v>248</v>
      </c>
      <c r="B28" s="37" t="s">
        <v>223</v>
      </c>
      <c r="C28" s="37" t="s">
        <v>271</v>
      </c>
      <c r="D28" s="58">
        <v>6118.68</v>
      </c>
      <c r="E28" s="58">
        <v>12194.21</v>
      </c>
      <c r="F28" s="36">
        <f t="shared" si="0"/>
        <v>0.99294782534795067</v>
      </c>
      <c r="G28" s="221">
        <f t="shared" si="1"/>
        <v>4.5487592859079712E-3</v>
      </c>
    </row>
    <row r="29" spans="1:7" ht="15">
      <c r="A29" s="37" t="s">
        <v>248</v>
      </c>
      <c r="B29" s="37" t="s">
        <v>224</v>
      </c>
      <c r="C29" s="37" t="s">
        <v>272</v>
      </c>
      <c r="D29" s="58">
        <v>149.5</v>
      </c>
      <c r="E29" s="58">
        <v>0</v>
      </c>
      <c r="F29" s="36">
        <f t="shared" si="0"/>
        <v>-1</v>
      </c>
      <c r="G29" s="221">
        <f t="shared" si="1"/>
        <v>0</v>
      </c>
    </row>
    <row r="30" spans="1:7" ht="15">
      <c r="A30" s="37" t="s">
        <v>248</v>
      </c>
      <c r="B30" s="37" t="s">
        <v>225</v>
      </c>
      <c r="C30" s="37" t="s">
        <v>273</v>
      </c>
      <c r="D30" s="58">
        <v>1267.05</v>
      </c>
      <c r="E30" s="58">
        <v>0</v>
      </c>
      <c r="F30" s="36">
        <f t="shared" si="0"/>
        <v>-1</v>
      </c>
      <c r="G30" s="221">
        <f t="shared" si="1"/>
        <v>0</v>
      </c>
    </row>
    <row r="31" spans="1:7" ht="15">
      <c r="A31" s="37" t="s">
        <v>248</v>
      </c>
      <c r="B31" s="37" t="s">
        <v>603</v>
      </c>
      <c r="C31" s="37" t="s">
        <v>604</v>
      </c>
      <c r="D31" s="58">
        <v>798.76</v>
      </c>
      <c r="E31" s="58">
        <v>755.25</v>
      </c>
      <c r="F31" s="36">
        <f t="shared" si="0"/>
        <v>-5.4471931493815406E-2</v>
      </c>
      <c r="G31" s="221">
        <f t="shared" si="1"/>
        <v>2.8172800457610579E-4</v>
      </c>
    </row>
    <row r="32" spans="1:7" ht="15">
      <c r="A32" s="37" t="s">
        <v>248</v>
      </c>
      <c r="B32" s="37" t="s">
        <v>226</v>
      </c>
      <c r="C32" s="37" t="s">
        <v>274</v>
      </c>
      <c r="D32" s="58">
        <v>5495.12</v>
      </c>
      <c r="E32" s="58">
        <v>0</v>
      </c>
      <c r="F32" s="36">
        <f t="shared" si="0"/>
        <v>-1</v>
      </c>
      <c r="G32" s="221">
        <f t="shared" si="1"/>
        <v>0</v>
      </c>
    </row>
    <row r="33" spans="1:7" ht="15">
      <c r="A33" s="37" t="s">
        <v>248</v>
      </c>
      <c r="B33" s="37" t="s">
        <v>227</v>
      </c>
      <c r="C33" s="37" t="s">
        <v>275</v>
      </c>
      <c r="D33" s="58">
        <v>150</v>
      </c>
      <c r="E33" s="58">
        <v>0</v>
      </c>
      <c r="F33" s="36">
        <f t="shared" si="0"/>
        <v>-1</v>
      </c>
      <c r="G33" s="221">
        <f t="shared" si="1"/>
        <v>0</v>
      </c>
    </row>
    <row r="34" spans="1:7" ht="15">
      <c r="A34" s="37" t="s">
        <v>248</v>
      </c>
      <c r="B34" s="37" t="s">
        <v>228</v>
      </c>
      <c r="C34" s="37" t="s">
        <v>276</v>
      </c>
      <c r="D34" s="58">
        <v>13757.5</v>
      </c>
      <c r="E34" s="58">
        <v>9035</v>
      </c>
      <c r="F34" s="36">
        <f t="shared" si="0"/>
        <v>-0.34326730874068689</v>
      </c>
      <c r="G34" s="221">
        <f t="shared" si="1"/>
        <v>3.3702913225357378E-3</v>
      </c>
    </row>
    <row r="35" spans="1:7" ht="15">
      <c r="A35" s="37" t="s">
        <v>248</v>
      </c>
      <c r="B35" s="37" t="s">
        <v>229</v>
      </c>
      <c r="C35" s="37" t="s">
        <v>277</v>
      </c>
      <c r="D35" s="58">
        <v>4355</v>
      </c>
      <c r="E35" s="58">
        <v>3457</v>
      </c>
      <c r="F35" s="36">
        <f t="shared" si="0"/>
        <v>-0.20619977037887485</v>
      </c>
      <c r="G35" s="221">
        <f t="shared" si="1"/>
        <v>1.2895514224688484E-3</v>
      </c>
    </row>
    <row r="36" spans="1:7" ht="15">
      <c r="A36" s="37" t="s">
        <v>249</v>
      </c>
      <c r="B36" s="37" t="s">
        <v>230</v>
      </c>
      <c r="C36" s="37" t="s">
        <v>278</v>
      </c>
      <c r="D36" s="58">
        <v>305</v>
      </c>
      <c r="E36" s="58">
        <v>0</v>
      </c>
      <c r="F36" s="36">
        <f t="shared" si="0"/>
        <v>-1</v>
      </c>
      <c r="G36" s="221">
        <f t="shared" si="1"/>
        <v>0</v>
      </c>
    </row>
    <row r="37" spans="1:7" ht="15">
      <c r="A37" s="37" t="s">
        <v>249</v>
      </c>
      <c r="B37" s="37" t="s">
        <v>231</v>
      </c>
      <c r="C37" s="37" t="s">
        <v>279</v>
      </c>
      <c r="D37" s="58">
        <v>1946.55</v>
      </c>
      <c r="E37" s="58">
        <v>0</v>
      </c>
      <c r="F37" s="36">
        <f t="shared" si="0"/>
        <v>-1</v>
      </c>
      <c r="G37" s="221">
        <f t="shared" si="1"/>
        <v>0</v>
      </c>
    </row>
    <row r="38" spans="1:7" ht="15">
      <c r="A38" s="37" t="s">
        <v>249</v>
      </c>
      <c r="B38" s="37" t="s">
        <v>232</v>
      </c>
      <c r="C38" s="37" t="s">
        <v>280</v>
      </c>
      <c r="D38" s="58">
        <v>1519.51</v>
      </c>
      <c r="E38" s="58">
        <v>0</v>
      </c>
      <c r="F38" s="36">
        <f t="shared" si="0"/>
        <v>-1</v>
      </c>
      <c r="G38" s="221">
        <f t="shared" si="1"/>
        <v>0</v>
      </c>
    </row>
    <row r="39" spans="1:7" ht="15">
      <c r="A39" s="37" t="s">
        <v>249</v>
      </c>
      <c r="B39" s="37" t="s">
        <v>233</v>
      </c>
      <c r="C39" s="37" t="s">
        <v>281</v>
      </c>
      <c r="D39" s="58">
        <v>166.7</v>
      </c>
      <c r="E39" s="58">
        <v>380.86</v>
      </c>
      <c r="F39" s="36">
        <f t="shared" si="0"/>
        <v>1.2847030593881226</v>
      </c>
      <c r="G39" s="221">
        <f t="shared" si="1"/>
        <v>1.4207074190381418E-4</v>
      </c>
    </row>
    <row r="40" spans="1:7" ht="15">
      <c r="A40" s="37" t="s">
        <v>249</v>
      </c>
      <c r="B40" s="37" t="s">
        <v>234</v>
      </c>
      <c r="C40" s="37" t="s">
        <v>282</v>
      </c>
      <c r="D40" s="58">
        <v>689.5</v>
      </c>
      <c r="E40" s="58">
        <v>0</v>
      </c>
      <c r="F40" s="36">
        <f t="shared" si="0"/>
        <v>-1</v>
      </c>
      <c r="G40" s="221">
        <f t="shared" si="1"/>
        <v>0</v>
      </c>
    </row>
    <row r="41" spans="1:7" ht="15">
      <c r="A41" s="82" t="s">
        <v>249</v>
      </c>
      <c r="B41" s="82" t="s">
        <v>235</v>
      </c>
      <c r="C41" s="82" t="s">
        <v>283</v>
      </c>
      <c r="D41" s="60">
        <v>12698.09</v>
      </c>
      <c r="E41" s="60">
        <v>2829.76</v>
      </c>
      <c r="F41" s="83">
        <f t="shared" si="0"/>
        <v>-0.77715073684309999</v>
      </c>
      <c r="G41" s="222">
        <f t="shared" si="1"/>
        <v>1.0555744961658806E-3</v>
      </c>
    </row>
    <row r="42" spans="1:7" ht="15">
      <c r="A42" s="37" t="s">
        <v>249</v>
      </c>
      <c r="B42" s="37" t="s">
        <v>236</v>
      </c>
      <c r="C42" s="37" t="s">
        <v>605</v>
      </c>
      <c r="D42" s="58">
        <v>121.58</v>
      </c>
      <c r="E42" s="58">
        <v>0</v>
      </c>
      <c r="F42" s="36">
        <f t="shared" si="0"/>
        <v>-1</v>
      </c>
      <c r="G42" s="221">
        <f t="shared" si="1"/>
        <v>0</v>
      </c>
    </row>
    <row r="43" spans="1:7" ht="15">
      <c r="A43" s="37" t="s">
        <v>249</v>
      </c>
      <c r="B43" s="37" t="s">
        <v>237</v>
      </c>
      <c r="C43" s="37" t="s">
        <v>284</v>
      </c>
      <c r="D43" s="58">
        <v>51.3</v>
      </c>
      <c r="E43" s="58">
        <v>0</v>
      </c>
      <c r="F43" s="36">
        <f t="shared" si="0"/>
        <v>-1</v>
      </c>
      <c r="G43" s="221">
        <f t="shared" si="1"/>
        <v>0</v>
      </c>
    </row>
    <row r="44" spans="1:7" ht="15">
      <c r="A44" s="37" t="s">
        <v>249</v>
      </c>
      <c r="B44" s="37" t="s">
        <v>238</v>
      </c>
      <c r="C44" s="37" t="s">
        <v>285</v>
      </c>
      <c r="D44" s="58">
        <v>723.85</v>
      </c>
      <c r="E44" s="58">
        <v>206.95</v>
      </c>
      <c r="F44" s="36">
        <f t="shared" si="0"/>
        <v>-0.71409822477032547</v>
      </c>
      <c r="G44" s="221">
        <f t="shared" si="1"/>
        <v>7.7197763054650905E-5</v>
      </c>
    </row>
    <row r="45" spans="1:7" ht="15">
      <c r="A45" s="37" t="s">
        <v>249</v>
      </c>
      <c r="B45" s="37" t="s">
        <v>239</v>
      </c>
      <c r="C45" s="37" t="s">
        <v>264</v>
      </c>
      <c r="D45" s="58">
        <v>820.95</v>
      </c>
      <c r="E45" s="58">
        <v>0</v>
      </c>
      <c r="F45" s="36">
        <f t="shared" si="0"/>
        <v>-1</v>
      </c>
      <c r="G45" s="221">
        <f t="shared" si="1"/>
        <v>0</v>
      </c>
    </row>
    <row r="46" spans="1:7" ht="15">
      <c r="A46" s="37" t="s">
        <v>249</v>
      </c>
      <c r="B46" s="37" t="s">
        <v>240</v>
      </c>
      <c r="C46" s="37" t="s">
        <v>286</v>
      </c>
      <c r="D46" s="58">
        <v>1525</v>
      </c>
      <c r="E46" s="58">
        <v>0</v>
      </c>
      <c r="F46" s="36">
        <f t="shared" si="0"/>
        <v>-1</v>
      </c>
      <c r="G46" s="221">
        <f t="shared" si="1"/>
        <v>0</v>
      </c>
    </row>
    <row r="47" spans="1:7" ht="15">
      <c r="A47" s="37" t="s">
        <v>249</v>
      </c>
      <c r="B47" s="37" t="s">
        <v>241</v>
      </c>
      <c r="C47" s="37" t="s">
        <v>287</v>
      </c>
      <c r="D47" s="58">
        <v>1536.67</v>
      </c>
      <c r="E47" s="58">
        <v>0</v>
      </c>
      <c r="F47" s="36">
        <f t="shared" si="0"/>
        <v>-1</v>
      </c>
      <c r="G47" s="221">
        <f t="shared" si="1"/>
        <v>0</v>
      </c>
    </row>
    <row r="48" spans="1:7" ht="15">
      <c r="A48" s="37" t="s">
        <v>249</v>
      </c>
      <c r="B48" s="37" t="s">
        <v>242</v>
      </c>
      <c r="C48" s="37" t="s">
        <v>288</v>
      </c>
      <c r="D48" s="58">
        <v>15300.75</v>
      </c>
      <c r="E48" s="58">
        <v>0</v>
      </c>
      <c r="F48" s="36">
        <f t="shared" si="0"/>
        <v>-1</v>
      </c>
      <c r="G48" s="221">
        <f t="shared" si="1"/>
        <v>0</v>
      </c>
    </row>
    <row r="49" spans="1:7" ht="15">
      <c r="A49" s="37" t="s">
        <v>249</v>
      </c>
      <c r="B49" s="37" t="s">
        <v>243</v>
      </c>
      <c r="C49" s="37" t="s">
        <v>289</v>
      </c>
      <c r="D49" s="58">
        <v>3813.6</v>
      </c>
      <c r="E49" s="58">
        <v>0</v>
      </c>
      <c r="F49" s="36">
        <f t="shared" si="0"/>
        <v>-1</v>
      </c>
      <c r="G49" s="221">
        <f t="shared" si="1"/>
        <v>0</v>
      </c>
    </row>
    <row r="50" spans="1:7" ht="15">
      <c r="A50" s="37" t="s">
        <v>249</v>
      </c>
      <c r="B50" s="37" t="s">
        <v>244</v>
      </c>
      <c r="C50" s="37" t="s">
        <v>290</v>
      </c>
      <c r="D50" s="58">
        <v>5159</v>
      </c>
      <c r="E50" s="58">
        <v>419</v>
      </c>
      <c r="F50" s="36">
        <f t="shared" si="0"/>
        <v>-0.918782709827486</v>
      </c>
      <c r="G50" s="221">
        <f t="shared" si="1"/>
        <v>1.5629795950663797E-4</v>
      </c>
    </row>
    <row r="51" spans="1:7" ht="15">
      <c r="A51" s="37" t="s">
        <v>249</v>
      </c>
      <c r="B51" s="37" t="s">
        <v>245</v>
      </c>
      <c r="C51" s="37" t="s">
        <v>291</v>
      </c>
      <c r="D51" s="58">
        <v>182.96</v>
      </c>
      <c r="E51" s="58">
        <v>0</v>
      </c>
      <c r="F51" s="36">
        <f t="shared" si="0"/>
        <v>-1</v>
      </c>
      <c r="G51" s="221">
        <f t="shared" si="1"/>
        <v>0</v>
      </c>
    </row>
    <row r="52" spans="1:7" ht="15">
      <c r="A52" s="37" t="s">
        <v>249</v>
      </c>
      <c r="B52" s="37" t="s">
        <v>246</v>
      </c>
      <c r="C52" s="37" t="s">
        <v>292</v>
      </c>
      <c r="D52" s="58">
        <v>22.95</v>
      </c>
      <c r="E52" s="58">
        <v>22.95</v>
      </c>
      <c r="F52" s="35">
        <f t="shared" si="0"/>
        <v>0</v>
      </c>
      <c r="G52" s="221">
        <f t="shared" si="1"/>
        <v>8.5609502880127486E-6</v>
      </c>
    </row>
    <row r="53" spans="1:7" ht="15">
      <c r="A53" s="12"/>
      <c r="B53" s="12"/>
      <c r="C53" s="12"/>
      <c r="D53" s="11" t="s">
        <v>66</v>
      </c>
      <c r="E53" s="220">
        <f>SUM(E4:E52)</f>
        <v>2680777.16</v>
      </c>
      <c r="F53" s="12"/>
      <c r="G53" s="12"/>
    </row>
    <row r="54" spans="1:7" ht="15">
      <c r="A54" s="12"/>
      <c r="B54" s="12"/>
      <c r="C54" s="12"/>
      <c r="D54" s="12"/>
      <c r="E54" s="12"/>
      <c r="F54" s="12"/>
      <c r="G54" s="12"/>
    </row>
    <row r="55" spans="1:7" ht="15">
      <c r="A55" s="12"/>
      <c r="B55" s="12"/>
      <c r="C55" s="12"/>
      <c r="D55" s="12"/>
      <c r="E55" s="12"/>
      <c r="F55" s="12"/>
      <c r="G55" s="12"/>
    </row>
    <row r="56" spans="1:7" ht="15">
      <c r="A56" s="12"/>
      <c r="B56" s="12"/>
      <c r="C56" s="12"/>
      <c r="D56" s="12"/>
      <c r="E56" s="12"/>
      <c r="F56" s="12"/>
      <c r="G56" s="12"/>
    </row>
    <row r="57" spans="1:7" ht="15">
      <c r="A57" s="12"/>
      <c r="B57" s="12"/>
      <c r="C57" s="12"/>
      <c r="D57" s="12"/>
      <c r="E57" s="12"/>
      <c r="F57" s="12"/>
      <c r="G57" s="12"/>
    </row>
    <row r="58" spans="1:7" ht="15">
      <c r="A58" s="12"/>
      <c r="B58" s="12"/>
      <c r="C58" s="12"/>
      <c r="D58" s="12"/>
      <c r="E58" s="12"/>
      <c r="F58" s="12"/>
      <c r="G58" s="12"/>
    </row>
  </sheetData>
  <phoneticPr fontId="2" type="noConversion"/>
  <pageMargins left="0.75" right="0.68" top="1" bottom="1" header="0.5" footer="0.5"/>
  <pageSetup scale="88" fitToHeight="6" orientation="portrait" r:id="rId1"/>
  <headerFooter alignWithMargins="0">
    <oddFooter>&amp;C&amp;A&amp;RPage &amp;P of &amp;N</oddFooter>
  </headerFooter>
  <drawing r:id="rId2"/>
</worksheet>
</file>

<file path=xl/worksheets/sheet9.xml><?xml version="1.0" encoding="utf-8"?>
<worksheet xmlns="http://schemas.openxmlformats.org/spreadsheetml/2006/main" xmlns:r="http://schemas.openxmlformats.org/officeDocument/2006/relationships">
  <dimension ref="A1:G23"/>
  <sheetViews>
    <sheetView workbookViewId="0">
      <selection activeCell="G10" sqref="G10"/>
    </sheetView>
  </sheetViews>
  <sheetFormatPr defaultRowHeight="12.75"/>
  <cols>
    <col min="1" max="1" width="9.28515625" customWidth="1"/>
    <col min="2" max="2" width="24.140625" bestFit="1" customWidth="1"/>
    <col min="3" max="3" width="13.42578125" bestFit="1" customWidth="1"/>
    <col min="4" max="4" width="13.5703125" bestFit="1" customWidth="1"/>
    <col min="5" max="5" width="9.7109375" bestFit="1" customWidth="1"/>
    <col min="6" max="6" width="14.28515625" bestFit="1" customWidth="1"/>
  </cols>
  <sheetData>
    <row r="1" spans="1:7" ht="18.75">
      <c r="A1" s="30" t="s">
        <v>2523</v>
      </c>
      <c r="B1" s="12"/>
      <c r="C1" s="12"/>
      <c r="D1" s="12"/>
      <c r="E1" s="12"/>
      <c r="F1" s="12"/>
      <c r="G1" s="12"/>
    </row>
    <row r="2" spans="1:7" ht="15">
      <c r="A2" s="12"/>
      <c r="B2" s="12"/>
      <c r="C2" s="12"/>
      <c r="D2" s="12"/>
      <c r="E2" s="12"/>
      <c r="F2" s="12"/>
      <c r="G2" s="12"/>
    </row>
    <row r="3" spans="1:7" ht="29.25" customHeight="1" thickBot="1">
      <c r="A3" s="32" t="s">
        <v>201</v>
      </c>
      <c r="B3" s="32" t="s">
        <v>304</v>
      </c>
      <c r="C3" s="32" t="s">
        <v>56</v>
      </c>
      <c r="D3" s="32" t="s">
        <v>63</v>
      </c>
      <c r="E3" s="32" t="s">
        <v>581</v>
      </c>
      <c r="F3" s="32" t="s">
        <v>582</v>
      </c>
      <c r="G3" s="12"/>
    </row>
    <row r="4" spans="1:7" ht="15">
      <c r="A4" s="33" t="s">
        <v>305</v>
      </c>
      <c r="B4" s="33" t="s">
        <v>313</v>
      </c>
      <c r="C4" s="34">
        <v>518.5</v>
      </c>
      <c r="D4" s="34">
        <v>479.11</v>
      </c>
      <c r="E4" s="35">
        <f t="shared" ref="E4" si="0">(D4-C4)/C4</f>
        <v>-7.5969141755062655E-2</v>
      </c>
      <c r="F4" s="36">
        <f>D4/2638958.01</f>
        <v>1.8155271822608502E-4</v>
      </c>
      <c r="G4" s="12"/>
    </row>
    <row r="5" spans="1:7" ht="15">
      <c r="A5" s="37" t="s">
        <v>306</v>
      </c>
      <c r="B5" s="37" t="s">
        <v>314</v>
      </c>
      <c r="C5" s="58">
        <v>38.89</v>
      </c>
      <c r="D5" s="58">
        <v>39.44</v>
      </c>
      <c r="E5" s="35">
        <f>(D5-C5)/C5</f>
        <v>1.4142453072769276E-2</v>
      </c>
      <c r="F5" s="36">
        <f t="shared" ref="F5:F11" si="1">D5/2638958.01</f>
        <v>1.4945292744540487E-5</v>
      </c>
      <c r="G5" s="12"/>
    </row>
    <row r="6" spans="1:7" ht="15">
      <c r="A6" s="37" t="s">
        <v>307</v>
      </c>
      <c r="B6" s="37" t="s">
        <v>315</v>
      </c>
      <c r="C6" s="58">
        <v>2716235.07</v>
      </c>
      <c r="D6" s="58">
        <v>2357545.64</v>
      </c>
      <c r="E6" s="35">
        <f t="shared" ref="E6:E11" si="2">(D6-C6)/C6</f>
        <v>-0.13205389841314424</v>
      </c>
      <c r="F6" s="36">
        <f t="shared" si="1"/>
        <v>0.89336231613628458</v>
      </c>
      <c r="G6" s="12"/>
    </row>
    <row r="7" spans="1:7" ht="15">
      <c r="A7" s="37" t="s">
        <v>308</v>
      </c>
      <c r="B7" s="37" t="s">
        <v>316</v>
      </c>
      <c r="C7" s="58">
        <v>3014.45</v>
      </c>
      <c r="D7" s="58">
        <v>1592.33</v>
      </c>
      <c r="E7" s="35">
        <f t="shared" si="2"/>
        <v>-0.47176765247391728</v>
      </c>
      <c r="F7" s="36">
        <f t="shared" si="1"/>
        <v>6.0339345831425333E-4</v>
      </c>
      <c r="G7" s="12"/>
    </row>
    <row r="8" spans="1:7" ht="15">
      <c r="A8" s="37" t="s">
        <v>309</v>
      </c>
      <c r="B8" s="37" t="s">
        <v>317</v>
      </c>
      <c r="C8" s="58">
        <v>12873.09</v>
      </c>
      <c r="D8" s="58">
        <v>13511.29</v>
      </c>
      <c r="E8" s="35">
        <f t="shared" si="2"/>
        <v>4.9576286656894397E-2</v>
      </c>
      <c r="F8" s="36">
        <f t="shared" si="1"/>
        <v>5.1199336817034091E-3</v>
      </c>
      <c r="G8" s="12"/>
    </row>
    <row r="9" spans="1:7" ht="15">
      <c r="A9" s="37" t="s">
        <v>310</v>
      </c>
      <c r="B9" s="37" t="s">
        <v>318</v>
      </c>
      <c r="C9" s="58">
        <v>4984.09</v>
      </c>
      <c r="D9" s="58">
        <v>1312.25</v>
      </c>
      <c r="E9" s="35">
        <f t="shared" si="2"/>
        <v>-0.73671221827856237</v>
      </c>
      <c r="F9" s="36">
        <f t="shared" si="1"/>
        <v>4.9726065933121844E-4</v>
      </c>
      <c r="G9" s="12"/>
    </row>
    <row r="10" spans="1:7" ht="15">
      <c r="A10" s="37" t="s">
        <v>311</v>
      </c>
      <c r="B10" s="37" t="s">
        <v>319</v>
      </c>
      <c r="C10" s="58">
        <v>306302.17</v>
      </c>
      <c r="D10" s="58">
        <v>189296.16</v>
      </c>
      <c r="E10" s="35">
        <f t="shared" si="2"/>
        <v>-0.38199536751567897</v>
      </c>
      <c r="F10" s="36">
        <f t="shared" si="1"/>
        <v>7.1731402804700181E-2</v>
      </c>
      <c r="G10" s="12"/>
    </row>
    <row r="11" spans="1:7" ht="15">
      <c r="A11" s="37" t="s">
        <v>312</v>
      </c>
      <c r="B11" s="37" t="s">
        <v>320</v>
      </c>
      <c r="C11" s="58">
        <v>3836.48</v>
      </c>
      <c r="D11" s="58">
        <v>3273.22</v>
      </c>
      <c r="E11" s="35">
        <f t="shared" si="2"/>
        <v>-0.14681687380098429</v>
      </c>
      <c r="F11" s="36">
        <f t="shared" si="1"/>
        <v>1.2403456165640165E-3</v>
      </c>
      <c r="G11" s="12"/>
    </row>
    <row r="12" spans="1:7" ht="15">
      <c r="A12" s="12"/>
      <c r="B12" s="12"/>
      <c r="C12" s="12"/>
      <c r="D12" s="12"/>
      <c r="E12" s="12"/>
      <c r="F12" s="12"/>
      <c r="G12" s="12"/>
    </row>
    <row r="13" spans="1:7" ht="15">
      <c r="A13" s="12"/>
      <c r="B13" s="12"/>
      <c r="C13" s="12"/>
      <c r="D13" s="12"/>
      <c r="E13" s="12"/>
      <c r="F13" s="12"/>
      <c r="G13" s="12"/>
    </row>
    <row r="14" spans="1:7" ht="15">
      <c r="A14" s="12"/>
      <c r="B14" s="12"/>
      <c r="C14" s="12"/>
      <c r="D14" s="12"/>
      <c r="E14" s="12"/>
      <c r="F14" s="12"/>
      <c r="G14" s="12"/>
    </row>
    <row r="15" spans="1:7" ht="15">
      <c r="A15" s="12"/>
      <c r="B15" s="12"/>
      <c r="C15" s="12"/>
      <c r="D15" s="12"/>
      <c r="E15" s="12"/>
      <c r="F15" s="12"/>
      <c r="G15" s="12"/>
    </row>
    <row r="16" spans="1:7" ht="15">
      <c r="A16" s="12"/>
      <c r="B16" s="12"/>
      <c r="C16" s="12"/>
      <c r="D16" s="12"/>
      <c r="E16" s="12"/>
      <c r="F16" s="12"/>
      <c r="G16" s="12"/>
    </row>
    <row r="17" spans="1:7" ht="15">
      <c r="A17" s="12"/>
      <c r="B17" s="12"/>
      <c r="C17" s="12"/>
      <c r="D17" s="12"/>
      <c r="E17" s="12"/>
      <c r="F17" s="12"/>
      <c r="G17" s="12"/>
    </row>
    <row r="18" spans="1:7" ht="15">
      <c r="A18" s="12"/>
      <c r="B18" s="12"/>
      <c r="C18" s="12"/>
      <c r="D18" s="12"/>
      <c r="E18" s="12"/>
      <c r="F18" s="12"/>
      <c r="G18" s="12"/>
    </row>
    <row r="19" spans="1:7" ht="15">
      <c r="A19" s="12"/>
      <c r="B19" s="12"/>
      <c r="C19" s="12"/>
      <c r="D19" s="12"/>
      <c r="E19" s="12"/>
      <c r="F19" s="12"/>
      <c r="G19" s="12"/>
    </row>
    <row r="20" spans="1:7" ht="15">
      <c r="A20" s="12"/>
      <c r="B20" s="12"/>
      <c r="C20" s="12"/>
      <c r="D20" s="12"/>
      <c r="E20" s="12"/>
      <c r="F20" s="12"/>
      <c r="G20" s="12"/>
    </row>
    <row r="21" spans="1:7" ht="15">
      <c r="A21" s="12"/>
      <c r="B21" s="12"/>
      <c r="C21" s="12"/>
      <c r="D21" s="12"/>
      <c r="E21" s="12"/>
      <c r="F21" s="12"/>
      <c r="G21" s="12"/>
    </row>
    <row r="22" spans="1:7" ht="15">
      <c r="A22" s="12"/>
      <c r="B22" s="12"/>
      <c r="C22" s="12"/>
      <c r="D22" s="12"/>
      <c r="E22" s="12"/>
      <c r="F22" s="12"/>
      <c r="G22" s="12"/>
    </row>
    <row r="23" spans="1:7" ht="15">
      <c r="A23" s="12"/>
      <c r="B23" s="12"/>
      <c r="C23" s="12"/>
      <c r="D23" s="12"/>
      <c r="E23" s="12"/>
      <c r="F23" s="12"/>
      <c r="G23" s="12"/>
    </row>
  </sheetData>
  <phoneticPr fontId="2" type="noConversion"/>
  <pageMargins left="0.75" right="0.75" top="1" bottom="1" header="0.5" footer="0.5"/>
  <pageSetup orientation="landscape" r:id="rId1"/>
  <headerFooter alignWithMargins="0">
    <oddFooter>&amp;L&amp;F&amp;C&amp;A&amp;RPage &amp;P of &amp;N</oddFooter>
  </headerFooter>
  <drawing r:id="rId2"/>
</worksheet>
</file>

<file path=xl/worksheets/sheet10.xml><?xml version="1.0" encoding="utf-8"?>
<worksheet xmlns="http://schemas.openxmlformats.org/spreadsheetml/2006/main" xmlns:r="http://schemas.openxmlformats.org/officeDocument/2006/relationships">
  <dimension ref="A1:D59"/>
  <sheetViews>
    <sheetView workbookViewId="0">
      <selection activeCell="D4" sqref="D4"/>
    </sheetView>
  </sheetViews>
  <sheetFormatPr defaultRowHeight="12.75"/>
  <cols>
    <col min="2" max="2" width="24.140625" bestFit="1" customWidth="1"/>
    <col min="3" max="3" width="13.5703125" bestFit="1" customWidth="1"/>
  </cols>
  <sheetData>
    <row r="1" spans="1:4" ht="18.75">
      <c r="A1" s="30" t="s">
        <v>2525</v>
      </c>
      <c r="B1" s="12"/>
      <c r="C1" s="12"/>
      <c r="D1" s="12"/>
    </row>
    <row r="2" spans="1:4" ht="15">
      <c r="A2" s="12"/>
      <c r="B2" s="12"/>
      <c r="C2" s="12"/>
      <c r="D2" s="12"/>
    </row>
    <row r="3" spans="1:4" ht="15.75" thickBot="1">
      <c r="A3" s="32" t="s">
        <v>201</v>
      </c>
      <c r="B3" s="32" t="s">
        <v>304</v>
      </c>
      <c r="C3" s="32" t="s">
        <v>2526</v>
      </c>
      <c r="D3" s="12"/>
    </row>
    <row r="4" spans="1:4" ht="15">
      <c r="A4" s="33" t="s">
        <v>2527</v>
      </c>
      <c r="B4" s="33" t="s">
        <v>2528</v>
      </c>
      <c r="C4" s="33">
        <v>11</v>
      </c>
      <c r="D4" s="12"/>
    </row>
    <row r="5" spans="1:4" ht="15">
      <c r="A5" s="37" t="s">
        <v>2529</v>
      </c>
      <c r="B5" s="37" t="s">
        <v>2530</v>
      </c>
      <c r="C5" s="37">
        <v>7</v>
      </c>
      <c r="D5" s="12"/>
    </row>
    <row r="6" spans="1:4" ht="15">
      <c r="A6" s="37" t="s">
        <v>2531</v>
      </c>
      <c r="B6" s="37" t="s">
        <v>2532</v>
      </c>
      <c r="C6" s="37">
        <v>8</v>
      </c>
      <c r="D6" s="12"/>
    </row>
    <row r="7" spans="1:4" ht="15">
      <c r="A7" s="37" t="s">
        <v>2533</v>
      </c>
      <c r="B7" s="37" t="s">
        <v>2534</v>
      </c>
      <c r="C7" s="37">
        <v>1</v>
      </c>
      <c r="D7" s="12"/>
    </row>
    <row r="8" spans="1:4" ht="15">
      <c r="A8" s="37" t="s">
        <v>2535</v>
      </c>
      <c r="B8" s="37" t="s">
        <v>2536</v>
      </c>
      <c r="C8" s="37">
        <v>50</v>
      </c>
      <c r="D8" s="12"/>
    </row>
    <row r="9" spans="1:4" ht="15">
      <c r="A9" s="37" t="s">
        <v>2537</v>
      </c>
      <c r="B9" s="37" t="s">
        <v>2538</v>
      </c>
      <c r="C9" s="37">
        <v>34</v>
      </c>
      <c r="D9" s="12"/>
    </row>
    <row r="10" spans="1:4" ht="15">
      <c r="A10" s="37" t="s">
        <v>2539</v>
      </c>
      <c r="B10" s="37" t="s">
        <v>2496</v>
      </c>
      <c r="C10" s="37">
        <v>10</v>
      </c>
      <c r="D10" s="12"/>
    </row>
    <row r="11" spans="1:4" ht="15">
      <c r="A11" s="37" t="s">
        <v>2540</v>
      </c>
      <c r="B11" s="37" t="s">
        <v>2541</v>
      </c>
      <c r="C11" s="37">
        <v>220</v>
      </c>
      <c r="D11" s="12"/>
    </row>
    <row r="12" spans="1:4" ht="15">
      <c r="A12" s="37" t="s">
        <v>2542</v>
      </c>
      <c r="B12" s="37" t="s">
        <v>2543</v>
      </c>
      <c r="C12" s="37">
        <v>22</v>
      </c>
      <c r="D12" s="12"/>
    </row>
    <row r="13" spans="1:4" ht="15">
      <c r="A13" s="37" t="s">
        <v>2544</v>
      </c>
      <c r="B13" s="37" t="s">
        <v>2545</v>
      </c>
      <c r="C13" s="37">
        <v>1</v>
      </c>
      <c r="D13" s="12"/>
    </row>
    <row r="14" spans="1:4" ht="15">
      <c r="A14" s="37" t="s">
        <v>2546</v>
      </c>
      <c r="B14" s="37" t="s">
        <v>2547</v>
      </c>
      <c r="C14" s="37">
        <v>25</v>
      </c>
      <c r="D14" s="12"/>
    </row>
    <row r="15" spans="1:4" ht="15">
      <c r="A15" s="37" t="s">
        <v>2548</v>
      </c>
      <c r="B15" s="37" t="s">
        <v>2549</v>
      </c>
      <c r="C15" s="37">
        <v>2</v>
      </c>
      <c r="D15" s="12"/>
    </row>
    <row r="16" spans="1:4" ht="15">
      <c r="A16" s="37" t="s">
        <v>2550</v>
      </c>
      <c r="B16" s="37" t="s">
        <v>2551</v>
      </c>
      <c r="C16" s="37">
        <v>15</v>
      </c>
      <c r="D16" s="12"/>
    </row>
    <row r="17" spans="1:4" ht="15">
      <c r="A17" s="37" t="s">
        <v>2552</v>
      </c>
      <c r="B17" s="37" t="s">
        <v>2547</v>
      </c>
      <c r="C17" s="37">
        <v>3</v>
      </c>
      <c r="D17" s="12"/>
    </row>
    <row r="18" spans="1:4" ht="15">
      <c r="A18" s="37" t="s">
        <v>2553</v>
      </c>
      <c r="B18" s="37" t="s">
        <v>248</v>
      </c>
      <c r="C18" s="37">
        <v>1</v>
      </c>
      <c r="D18" s="12"/>
    </row>
    <row r="19" spans="1:4" ht="15">
      <c r="A19" s="37" t="s">
        <v>2554</v>
      </c>
      <c r="B19" s="37" t="s">
        <v>2555</v>
      </c>
      <c r="C19" s="37">
        <v>4</v>
      </c>
      <c r="D19" s="12"/>
    </row>
    <row r="20" spans="1:4" ht="15">
      <c r="A20" s="37" t="s">
        <v>305</v>
      </c>
      <c r="B20" s="37" t="s">
        <v>313</v>
      </c>
      <c r="C20" s="37">
        <v>18</v>
      </c>
      <c r="D20" s="12"/>
    </row>
    <row r="21" spans="1:4" ht="15">
      <c r="A21" s="37" t="s">
        <v>2556</v>
      </c>
      <c r="B21" s="37" t="s">
        <v>2557</v>
      </c>
      <c r="C21" s="37">
        <v>7</v>
      </c>
      <c r="D21" s="12"/>
    </row>
    <row r="22" spans="1:4" ht="15">
      <c r="A22" s="37" t="s">
        <v>306</v>
      </c>
      <c r="B22" s="37" t="s">
        <v>314</v>
      </c>
      <c r="C22" s="37">
        <v>1</v>
      </c>
      <c r="D22" s="12"/>
    </row>
    <row r="23" spans="1:4" ht="15">
      <c r="A23" s="37" t="s">
        <v>2558</v>
      </c>
      <c r="B23" s="37" t="s">
        <v>2559</v>
      </c>
      <c r="C23" s="37">
        <v>184</v>
      </c>
      <c r="D23" s="12"/>
    </row>
    <row r="24" spans="1:4" ht="15">
      <c r="A24" s="37" t="s">
        <v>2560</v>
      </c>
      <c r="B24" s="37" t="s">
        <v>2561</v>
      </c>
      <c r="C24" s="37">
        <v>13</v>
      </c>
    </row>
    <row r="25" spans="1:4" ht="15">
      <c r="A25" s="37" t="s">
        <v>2562</v>
      </c>
      <c r="B25" s="37" t="s">
        <v>2563</v>
      </c>
      <c r="C25" s="37">
        <v>2</v>
      </c>
    </row>
    <row r="26" spans="1:4" ht="15">
      <c r="A26" s="37" t="s">
        <v>2564</v>
      </c>
      <c r="B26" s="37" t="s">
        <v>2565</v>
      </c>
      <c r="C26" s="37">
        <v>11</v>
      </c>
    </row>
    <row r="27" spans="1:4" ht="15">
      <c r="A27" s="37" t="s">
        <v>2566</v>
      </c>
      <c r="B27" s="37" t="s">
        <v>2559</v>
      </c>
      <c r="C27" s="37">
        <v>57</v>
      </c>
    </row>
    <row r="28" spans="1:4" ht="15">
      <c r="A28" s="37" t="s">
        <v>2567</v>
      </c>
      <c r="B28" s="37" t="s">
        <v>2568</v>
      </c>
      <c r="C28" s="37">
        <v>1904</v>
      </c>
    </row>
    <row r="29" spans="1:4" ht="15">
      <c r="A29" s="37" t="s">
        <v>2569</v>
      </c>
      <c r="B29" s="37" t="s">
        <v>2570</v>
      </c>
      <c r="C29" s="37">
        <v>2</v>
      </c>
    </row>
    <row r="30" spans="1:4" ht="15">
      <c r="A30" s="37" t="s">
        <v>2571</v>
      </c>
      <c r="B30" s="37" t="s">
        <v>2572</v>
      </c>
      <c r="C30" s="37">
        <v>113</v>
      </c>
    </row>
    <row r="31" spans="1:4" ht="15">
      <c r="A31" s="37" t="s">
        <v>2573</v>
      </c>
      <c r="B31" s="37" t="s">
        <v>2574</v>
      </c>
      <c r="C31" s="37">
        <v>822</v>
      </c>
    </row>
    <row r="32" spans="1:4" ht="15">
      <c r="A32" s="37" t="s">
        <v>2575</v>
      </c>
      <c r="B32" s="37" t="s">
        <v>315</v>
      </c>
      <c r="C32" s="37">
        <v>1</v>
      </c>
    </row>
    <row r="33" spans="1:3" ht="15">
      <c r="A33" s="37" t="s">
        <v>2576</v>
      </c>
      <c r="B33" s="37" t="s">
        <v>2577</v>
      </c>
      <c r="C33" s="37">
        <v>35</v>
      </c>
    </row>
    <row r="34" spans="1:3" ht="15">
      <c r="A34" s="37" t="s">
        <v>2578</v>
      </c>
      <c r="B34" s="37" t="s">
        <v>2579</v>
      </c>
      <c r="C34" s="37">
        <v>17</v>
      </c>
    </row>
    <row r="35" spans="1:3" ht="15">
      <c r="A35" s="37" t="s">
        <v>2580</v>
      </c>
      <c r="B35" s="37" t="s">
        <v>2581</v>
      </c>
      <c r="C35" s="37">
        <v>22</v>
      </c>
    </row>
    <row r="36" spans="1:3" ht="15">
      <c r="A36" s="37" t="s">
        <v>307</v>
      </c>
      <c r="B36" s="37" t="s">
        <v>315</v>
      </c>
      <c r="C36" s="37">
        <v>671</v>
      </c>
    </row>
    <row r="37" spans="1:3" ht="15">
      <c r="A37" s="37" t="s">
        <v>308</v>
      </c>
      <c r="B37" s="37" t="s">
        <v>316</v>
      </c>
      <c r="C37" s="37">
        <v>10</v>
      </c>
    </row>
    <row r="38" spans="1:3" ht="15">
      <c r="A38" s="37" t="s">
        <v>309</v>
      </c>
      <c r="B38" s="37" t="s">
        <v>317</v>
      </c>
      <c r="C38" s="37">
        <v>7</v>
      </c>
    </row>
    <row r="39" spans="1:3" ht="15">
      <c r="A39" s="37" t="s">
        <v>2582</v>
      </c>
      <c r="B39" s="37" t="s">
        <v>2583</v>
      </c>
      <c r="C39" s="37">
        <v>18</v>
      </c>
    </row>
    <row r="40" spans="1:3" ht="15">
      <c r="A40" s="37" t="s">
        <v>2584</v>
      </c>
      <c r="B40" s="37" t="s">
        <v>2585</v>
      </c>
      <c r="C40" s="37">
        <v>1</v>
      </c>
    </row>
    <row r="41" spans="1:3" ht="15">
      <c r="A41" s="37" t="s">
        <v>310</v>
      </c>
      <c r="B41" s="37" t="s">
        <v>318</v>
      </c>
      <c r="C41" s="37">
        <v>9</v>
      </c>
    </row>
    <row r="42" spans="1:3" ht="15">
      <c r="A42" s="37" t="s">
        <v>311</v>
      </c>
      <c r="B42" s="37" t="s">
        <v>319</v>
      </c>
      <c r="C42" s="37">
        <v>169</v>
      </c>
    </row>
    <row r="43" spans="1:3" ht="15">
      <c r="A43" s="37" t="s">
        <v>2586</v>
      </c>
      <c r="B43" s="37" t="s">
        <v>2587</v>
      </c>
      <c r="C43" s="37">
        <v>2</v>
      </c>
    </row>
    <row r="44" spans="1:3" ht="15">
      <c r="A44" s="37" t="s">
        <v>2588</v>
      </c>
      <c r="B44" s="37" t="s">
        <v>319</v>
      </c>
      <c r="C44" s="37">
        <v>6</v>
      </c>
    </row>
    <row r="45" spans="1:3" ht="15">
      <c r="A45" s="37" t="s">
        <v>2589</v>
      </c>
      <c r="B45" s="37" t="s">
        <v>2590</v>
      </c>
      <c r="C45" s="37">
        <v>2</v>
      </c>
    </row>
    <row r="46" spans="1:3" ht="15">
      <c r="A46" s="37" t="s">
        <v>2591</v>
      </c>
      <c r="B46" s="37" t="s">
        <v>2592</v>
      </c>
      <c r="C46" s="37">
        <v>3</v>
      </c>
    </row>
    <row r="47" spans="1:3" ht="15">
      <c r="A47" s="37" t="s">
        <v>2593</v>
      </c>
      <c r="B47" s="37" t="s">
        <v>2594</v>
      </c>
      <c r="C47" s="37">
        <v>2</v>
      </c>
    </row>
    <row r="48" spans="1:3" ht="15">
      <c r="A48" s="37" t="s">
        <v>2595</v>
      </c>
      <c r="B48" s="37" t="s">
        <v>2596</v>
      </c>
      <c r="C48" s="37">
        <v>1</v>
      </c>
    </row>
    <row r="49" spans="1:3" ht="15">
      <c r="A49" s="37" t="s">
        <v>312</v>
      </c>
      <c r="B49" s="37" t="s">
        <v>320</v>
      </c>
      <c r="C49" s="37">
        <v>618</v>
      </c>
    </row>
    <row r="50" spans="1:3" ht="15">
      <c r="A50" s="37" t="s">
        <v>2597</v>
      </c>
      <c r="B50" s="37" t="s">
        <v>320</v>
      </c>
      <c r="C50" s="37">
        <v>7</v>
      </c>
    </row>
    <row r="51" spans="1:3" ht="15">
      <c r="A51" s="37" t="s">
        <v>2598</v>
      </c>
      <c r="B51" s="37" t="s">
        <v>2599</v>
      </c>
      <c r="C51" s="37">
        <v>355</v>
      </c>
    </row>
    <row r="52" spans="1:3" ht="15">
      <c r="A52" s="37" t="s">
        <v>2600</v>
      </c>
      <c r="B52" s="37" t="s">
        <v>2601</v>
      </c>
      <c r="C52" s="37">
        <v>6</v>
      </c>
    </row>
    <row r="53" spans="1:3" ht="15">
      <c r="A53" s="37" t="s">
        <v>2602</v>
      </c>
      <c r="B53" s="37" t="s">
        <v>248</v>
      </c>
      <c r="C53" s="37">
        <v>19</v>
      </c>
    </row>
    <row r="54" spans="1:3" ht="15">
      <c r="A54" s="37" t="s">
        <v>2603</v>
      </c>
      <c r="B54" s="37" t="s">
        <v>2604</v>
      </c>
      <c r="C54" s="37">
        <v>1</v>
      </c>
    </row>
    <row r="55" spans="1:3" ht="15">
      <c r="A55" s="37" t="s">
        <v>2605</v>
      </c>
      <c r="B55" s="37" t="s">
        <v>2606</v>
      </c>
      <c r="C55" s="37">
        <v>2</v>
      </c>
    </row>
    <row r="56" spans="1:3" ht="15">
      <c r="A56" s="37" t="s">
        <v>2607</v>
      </c>
      <c r="B56" s="37" t="s">
        <v>2608</v>
      </c>
      <c r="C56" s="37">
        <v>5</v>
      </c>
    </row>
    <row r="57" spans="1:3" ht="15">
      <c r="A57" s="37" t="s">
        <v>2609</v>
      </c>
      <c r="B57" s="37" t="s">
        <v>2610</v>
      </c>
      <c r="C57" s="37">
        <v>43</v>
      </c>
    </row>
    <row r="58" spans="1:3" ht="15">
      <c r="A58" s="37" t="s">
        <v>2611</v>
      </c>
      <c r="B58" s="37" t="s">
        <v>2612</v>
      </c>
      <c r="C58" s="37">
        <v>32</v>
      </c>
    </row>
    <row r="59" spans="1:3" ht="15">
      <c r="A59" s="37" t="s">
        <v>2613</v>
      </c>
      <c r="B59" s="37" t="s">
        <v>2614</v>
      </c>
      <c r="C59" s="37">
        <v>4</v>
      </c>
    </row>
  </sheetData>
  <pageMargins left="0.7" right="0.7" top="0.75" bottom="0.75" header="0.3" footer="0.3"/>
  <pageSetup orientation="portrait" r:id="rId1"/>
  <headerFooter>
    <oddFooter>&amp;C&amp;A&amp;RPage &amp;P of &amp;N</oddFooter>
  </headerFooter>
  <drawing r:id="rId2"/>
</worksheet>
</file>

<file path=xl/worksheets/sheet11.xml><?xml version="1.0" encoding="utf-8"?>
<worksheet xmlns="http://schemas.openxmlformats.org/spreadsheetml/2006/main" xmlns:r="http://schemas.openxmlformats.org/officeDocument/2006/relationships">
  <dimension ref="A1:F926"/>
  <sheetViews>
    <sheetView workbookViewId="0">
      <selection activeCell="A7" sqref="A7"/>
    </sheetView>
  </sheetViews>
  <sheetFormatPr defaultRowHeight="12.75"/>
  <cols>
    <col min="1" max="1" width="49.140625" style="104" customWidth="1"/>
    <col min="2" max="2" width="10.85546875" style="104" customWidth="1"/>
    <col min="3" max="3" width="13.28515625" style="104" customWidth="1"/>
    <col min="4" max="4" width="11.140625" style="104" bestFit="1" customWidth="1"/>
    <col min="5" max="5" width="6.7109375" style="104" bestFit="1" customWidth="1"/>
    <col min="6" max="256" width="9.140625" style="104"/>
    <col min="257" max="257" width="47.140625" style="104" bestFit="1" customWidth="1"/>
    <col min="258" max="258" width="9.5703125" style="104" bestFit="1" customWidth="1"/>
    <col min="259" max="259" width="12" style="104" bestFit="1" customWidth="1"/>
    <col min="260" max="260" width="11.140625" style="104" bestFit="1" customWidth="1"/>
    <col min="261" max="261" width="7" style="104" customWidth="1"/>
    <col min="262" max="512" width="9.140625" style="104"/>
    <col min="513" max="513" width="47.140625" style="104" bestFit="1" customWidth="1"/>
    <col min="514" max="514" width="9.5703125" style="104" bestFit="1" customWidth="1"/>
    <col min="515" max="515" width="12" style="104" bestFit="1" customWidth="1"/>
    <col min="516" max="516" width="11.140625" style="104" bestFit="1" customWidth="1"/>
    <col min="517" max="517" width="7" style="104" customWidth="1"/>
    <col min="518" max="768" width="9.140625" style="104"/>
    <col min="769" max="769" width="47.140625" style="104" bestFit="1" customWidth="1"/>
    <col min="770" max="770" width="9.5703125" style="104" bestFit="1" customWidth="1"/>
    <col min="771" max="771" width="12" style="104" bestFit="1" customWidth="1"/>
    <col min="772" max="772" width="11.140625" style="104" bestFit="1" customWidth="1"/>
    <col min="773" max="773" width="7" style="104" customWidth="1"/>
    <col min="774" max="1024" width="9.140625" style="104"/>
    <col min="1025" max="1025" width="47.140625" style="104" bestFit="1" customWidth="1"/>
    <col min="1026" max="1026" width="9.5703125" style="104" bestFit="1" customWidth="1"/>
    <col min="1027" max="1027" width="12" style="104" bestFit="1" customWidth="1"/>
    <col min="1028" max="1028" width="11.140625" style="104" bestFit="1" customWidth="1"/>
    <col min="1029" max="1029" width="7" style="104" customWidth="1"/>
    <col min="1030" max="1280" width="9.140625" style="104"/>
    <col min="1281" max="1281" width="47.140625" style="104" bestFit="1" customWidth="1"/>
    <col min="1282" max="1282" width="9.5703125" style="104" bestFit="1" customWidth="1"/>
    <col min="1283" max="1283" width="12" style="104" bestFit="1" customWidth="1"/>
    <col min="1284" max="1284" width="11.140625" style="104" bestFit="1" customWidth="1"/>
    <col min="1285" max="1285" width="7" style="104" customWidth="1"/>
    <col min="1286" max="1536" width="9.140625" style="104"/>
    <col min="1537" max="1537" width="47.140625" style="104" bestFit="1" customWidth="1"/>
    <col min="1538" max="1538" width="9.5703125" style="104" bestFit="1" customWidth="1"/>
    <col min="1539" max="1539" width="12" style="104" bestFit="1" customWidth="1"/>
    <col min="1540" max="1540" width="11.140625" style="104" bestFit="1" customWidth="1"/>
    <col min="1541" max="1541" width="7" style="104" customWidth="1"/>
    <col min="1542" max="1792" width="9.140625" style="104"/>
    <col min="1793" max="1793" width="47.140625" style="104" bestFit="1" customWidth="1"/>
    <col min="1794" max="1794" width="9.5703125" style="104" bestFit="1" customWidth="1"/>
    <col min="1795" max="1795" width="12" style="104" bestFit="1" customWidth="1"/>
    <col min="1796" max="1796" width="11.140625" style="104" bestFit="1" customWidth="1"/>
    <col min="1797" max="1797" width="7" style="104" customWidth="1"/>
    <col min="1798" max="2048" width="9.140625" style="104"/>
    <col min="2049" max="2049" width="47.140625" style="104" bestFit="1" customWidth="1"/>
    <col min="2050" max="2050" width="9.5703125" style="104" bestFit="1" customWidth="1"/>
    <col min="2051" max="2051" width="12" style="104" bestFit="1" customWidth="1"/>
    <col min="2052" max="2052" width="11.140625" style="104" bestFit="1" customWidth="1"/>
    <col min="2053" max="2053" width="7" style="104" customWidth="1"/>
    <col min="2054" max="2304" width="9.140625" style="104"/>
    <col min="2305" max="2305" width="47.140625" style="104" bestFit="1" customWidth="1"/>
    <col min="2306" max="2306" width="9.5703125" style="104" bestFit="1" customWidth="1"/>
    <col min="2307" max="2307" width="12" style="104" bestFit="1" customWidth="1"/>
    <col min="2308" max="2308" width="11.140625" style="104" bestFit="1" customWidth="1"/>
    <col min="2309" max="2309" width="7" style="104" customWidth="1"/>
    <col min="2310" max="2560" width="9.140625" style="104"/>
    <col min="2561" max="2561" width="47.140625" style="104" bestFit="1" customWidth="1"/>
    <col min="2562" max="2562" width="9.5703125" style="104" bestFit="1" customWidth="1"/>
    <col min="2563" max="2563" width="12" style="104" bestFit="1" customWidth="1"/>
    <col min="2564" max="2564" width="11.140625" style="104" bestFit="1" customWidth="1"/>
    <col min="2565" max="2565" width="7" style="104" customWidth="1"/>
    <col min="2566" max="2816" width="9.140625" style="104"/>
    <col min="2817" max="2817" width="47.140625" style="104" bestFit="1" customWidth="1"/>
    <col min="2818" max="2818" width="9.5703125" style="104" bestFit="1" customWidth="1"/>
    <col min="2819" max="2819" width="12" style="104" bestFit="1" customWidth="1"/>
    <col min="2820" max="2820" width="11.140625" style="104" bestFit="1" customWidth="1"/>
    <col min="2821" max="2821" width="7" style="104" customWidth="1"/>
    <col min="2822" max="3072" width="9.140625" style="104"/>
    <col min="3073" max="3073" width="47.140625" style="104" bestFit="1" customWidth="1"/>
    <col min="3074" max="3074" width="9.5703125" style="104" bestFit="1" customWidth="1"/>
    <col min="3075" max="3075" width="12" style="104" bestFit="1" customWidth="1"/>
    <col min="3076" max="3076" width="11.140625" style="104" bestFit="1" customWidth="1"/>
    <col min="3077" max="3077" width="7" style="104" customWidth="1"/>
    <col min="3078" max="3328" width="9.140625" style="104"/>
    <col min="3329" max="3329" width="47.140625" style="104" bestFit="1" customWidth="1"/>
    <col min="3330" max="3330" width="9.5703125" style="104" bestFit="1" customWidth="1"/>
    <col min="3331" max="3331" width="12" style="104" bestFit="1" customWidth="1"/>
    <col min="3332" max="3332" width="11.140625" style="104" bestFit="1" customWidth="1"/>
    <col min="3333" max="3333" width="7" style="104" customWidth="1"/>
    <col min="3334" max="3584" width="9.140625" style="104"/>
    <col min="3585" max="3585" width="47.140625" style="104" bestFit="1" customWidth="1"/>
    <col min="3586" max="3586" width="9.5703125" style="104" bestFit="1" customWidth="1"/>
    <col min="3587" max="3587" width="12" style="104" bestFit="1" customWidth="1"/>
    <col min="3588" max="3588" width="11.140625" style="104" bestFit="1" customWidth="1"/>
    <col min="3589" max="3589" width="7" style="104" customWidth="1"/>
    <col min="3590" max="3840" width="9.140625" style="104"/>
    <col min="3841" max="3841" width="47.140625" style="104" bestFit="1" customWidth="1"/>
    <col min="3842" max="3842" width="9.5703125" style="104" bestFit="1" customWidth="1"/>
    <col min="3843" max="3843" width="12" style="104" bestFit="1" customWidth="1"/>
    <col min="3844" max="3844" width="11.140625" style="104" bestFit="1" customWidth="1"/>
    <col min="3845" max="3845" width="7" style="104" customWidth="1"/>
    <col min="3846" max="4096" width="9.140625" style="104"/>
    <col min="4097" max="4097" width="47.140625" style="104" bestFit="1" customWidth="1"/>
    <col min="4098" max="4098" width="9.5703125" style="104" bestFit="1" customWidth="1"/>
    <col min="4099" max="4099" width="12" style="104" bestFit="1" customWidth="1"/>
    <col min="4100" max="4100" width="11.140625" style="104" bestFit="1" customWidth="1"/>
    <col min="4101" max="4101" width="7" style="104" customWidth="1"/>
    <col min="4102" max="4352" width="9.140625" style="104"/>
    <col min="4353" max="4353" width="47.140625" style="104" bestFit="1" customWidth="1"/>
    <col min="4354" max="4354" width="9.5703125" style="104" bestFit="1" customWidth="1"/>
    <col min="4355" max="4355" width="12" style="104" bestFit="1" customWidth="1"/>
    <col min="4356" max="4356" width="11.140625" style="104" bestFit="1" customWidth="1"/>
    <col min="4357" max="4357" width="7" style="104" customWidth="1"/>
    <col min="4358" max="4608" width="9.140625" style="104"/>
    <col min="4609" max="4609" width="47.140625" style="104" bestFit="1" customWidth="1"/>
    <col min="4610" max="4610" width="9.5703125" style="104" bestFit="1" customWidth="1"/>
    <col min="4611" max="4611" width="12" style="104" bestFit="1" customWidth="1"/>
    <col min="4612" max="4612" width="11.140625" style="104" bestFit="1" customWidth="1"/>
    <col min="4613" max="4613" width="7" style="104" customWidth="1"/>
    <col min="4614" max="4864" width="9.140625" style="104"/>
    <col min="4865" max="4865" width="47.140625" style="104" bestFit="1" customWidth="1"/>
    <col min="4866" max="4866" width="9.5703125" style="104" bestFit="1" customWidth="1"/>
    <col min="4867" max="4867" width="12" style="104" bestFit="1" customWidth="1"/>
    <col min="4868" max="4868" width="11.140625" style="104" bestFit="1" customWidth="1"/>
    <col min="4869" max="4869" width="7" style="104" customWidth="1"/>
    <col min="4870" max="5120" width="9.140625" style="104"/>
    <col min="5121" max="5121" width="47.140625" style="104" bestFit="1" customWidth="1"/>
    <col min="5122" max="5122" width="9.5703125" style="104" bestFit="1" customWidth="1"/>
    <col min="5123" max="5123" width="12" style="104" bestFit="1" customWidth="1"/>
    <col min="5124" max="5124" width="11.140625" style="104" bestFit="1" customWidth="1"/>
    <col min="5125" max="5125" width="7" style="104" customWidth="1"/>
    <col min="5126" max="5376" width="9.140625" style="104"/>
    <col min="5377" max="5377" width="47.140625" style="104" bestFit="1" customWidth="1"/>
    <col min="5378" max="5378" width="9.5703125" style="104" bestFit="1" customWidth="1"/>
    <col min="5379" max="5379" width="12" style="104" bestFit="1" customWidth="1"/>
    <col min="5380" max="5380" width="11.140625" style="104" bestFit="1" customWidth="1"/>
    <col min="5381" max="5381" width="7" style="104" customWidth="1"/>
    <col min="5382" max="5632" width="9.140625" style="104"/>
    <col min="5633" max="5633" width="47.140625" style="104" bestFit="1" customWidth="1"/>
    <col min="5634" max="5634" width="9.5703125" style="104" bestFit="1" customWidth="1"/>
    <col min="5635" max="5635" width="12" style="104" bestFit="1" customWidth="1"/>
    <col min="5636" max="5636" width="11.140625" style="104" bestFit="1" customWidth="1"/>
    <col min="5637" max="5637" width="7" style="104" customWidth="1"/>
    <col min="5638" max="5888" width="9.140625" style="104"/>
    <col min="5889" max="5889" width="47.140625" style="104" bestFit="1" customWidth="1"/>
    <col min="5890" max="5890" width="9.5703125" style="104" bestFit="1" customWidth="1"/>
    <col min="5891" max="5891" width="12" style="104" bestFit="1" customWidth="1"/>
    <col min="5892" max="5892" width="11.140625" style="104" bestFit="1" customWidth="1"/>
    <col min="5893" max="5893" width="7" style="104" customWidth="1"/>
    <col min="5894" max="6144" width="9.140625" style="104"/>
    <col min="6145" max="6145" width="47.140625" style="104" bestFit="1" customWidth="1"/>
    <col min="6146" max="6146" width="9.5703125" style="104" bestFit="1" customWidth="1"/>
    <col min="6147" max="6147" width="12" style="104" bestFit="1" customWidth="1"/>
    <col min="6148" max="6148" width="11.140625" style="104" bestFit="1" customWidth="1"/>
    <col min="6149" max="6149" width="7" style="104" customWidth="1"/>
    <col min="6150" max="6400" width="9.140625" style="104"/>
    <col min="6401" max="6401" width="47.140625" style="104" bestFit="1" customWidth="1"/>
    <col min="6402" max="6402" width="9.5703125" style="104" bestFit="1" customWidth="1"/>
    <col min="6403" max="6403" width="12" style="104" bestFit="1" customWidth="1"/>
    <col min="6404" max="6404" width="11.140625" style="104" bestFit="1" customWidth="1"/>
    <col min="6405" max="6405" width="7" style="104" customWidth="1"/>
    <col min="6406" max="6656" width="9.140625" style="104"/>
    <col min="6657" max="6657" width="47.140625" style="104" bestFit="1" customWidth="1"/>
    <col min="6658" max="6658" width="9.5703125" style="104" bestFit="1" customWidth="1"/>
    <col min="6659" max="6659" width="12" style="104" bestFit="1" customWidth="1"/>
    <col min="6660" max="6660" width="11.140625" style="104" bestFit="1" customWidth="1"/>
    <col min="6661" max="6661" width="7" style="104" customWidth="1"/>
    <col min="6662" max="6912" width="9.140625" style="104"/>
    <col min="6913" max="6913" width="47.140625" style="104" bestFit="1" customWidth="1"/>
    <col min="6914" max="6914" width="9.5703125" style="104" bestFit="1" customWidth="1"/>
    <col min="6915" max="6915" width="12" style="104" bestFit="1" customWidth="1"/>
    <col min="6916" max="6916" width="11.140625" style="104" bestFit="1" customWidth="1"/>
    <col min="6917" max="6917" width="7" style="104" customWidth="1"/>
    <col min="6918" max="7168" width="9.140625" style="104"/>
    <col min="7169" max="7169" width="47.140625" style="104" bestFit="1" customWidth="1"/>
    <col min="7170" max="7170" width="9.5703125" style="104" bestFit="1" customWidth="1"/>
    <col min="7171" max="7171" width="12" style="104" bestFit="1" customWidth="1"/>
    <col min="7172" max="7172" width="11.140625" style="104" bestFit="1" customWidth="1"/>
    <col min="7173" max="7173" width="7" style="104" customWidth="1"/>
    <col min="7174" max="7424" width="9.140625" style="104"/>
    <col min="7425" max="7425" width="47.140625" style="104" bestFit="1" customWidth="1"/>
    <col min="7426" max="7426" width="9.5703125" style="104" bestFit="1" customWidth="1"/>
    <col min="7427" max="7427" width="12" style="104" bestFit="1" customWidth="1"/>
    <col min="7428" max="7428" width="11.140625" style="104" bestFit="1" customWidth="1"/>
    <col min="7429" max="7429" width="7" style="104" customWidth="1"/>
    <col min="7430" max="7680" width="9.140625" style="104"/>
    <col min="7681" max="7681" width="47.140625" style="104" bestFit="1" customWidth="1"/>
    <col min="7682" max="7682" width="9.5703125" style="104" bestFit="1" customWidth="1"/>
    <col min="7683" max="7683" width="12" style="104" bestFit="1" customWidth="1"/>
    <col min="7684" max="7684" width="11.140625" style="104" bestFit="1" customWidth="1"/>
    <col min="7685" max="7685" width="7" style="104" customWidth="1"/>
    <col min="7686" max="7936" width="9.140625" style="104"/>
    <col min="7937" max="7937" width="47.140625" style="104" bestFit="1" customWidth="1"/>
    <col min="7938" max="7938" width="9.5703125" style="104" bestFit="1" customWidth="1"/>
    <col min="7939" max="7939" width="12" style="104" bestFit="1" customWidth="1"/>
    <col min="7940" max="7940" width="11.140625" style="104" bestFit="1" customWidth="1"/>
    <col min="7941" max="7941" width="7" style="104" customWidth="1"/>
    <col min="7942" max="8192" width="9.140625" style="104"/>
    <col min="8193" max="8193" width="47.140625" style="104" bestFit="1" customWidth="1"/>
    <col min="8194" max="8194" width="9.5703125" style="104" bestFit="1" customWidth="1"/>
    <col min="8195" max="8195" width="12" style="104" bestFit="1" customWidth="1"/>
    <col min="8196" max="8196" width="11.140625" style="104" bestFit="1" customWidth="1"/>
    <col min="8197" max="8197" width="7" style="104" customWidth="1"/>
    <col min="8198" max="8448" width="9.140625" style="104"/>
    <col min="8449" max="8449" width="47.140625" style="104" bestFit="1" customWidth="1"/>
    <col min="8450" max="8450" width="9.5703125" style="104" bestFit="1" customWidth="1"/>
    <col min="8451" max="8451" width="12" style="104" bestFit="1" customWidth="1"/>
    <col min="8452" max="8452" width="11.140625" style="104" bestFit="1" customWidth="1"/>
    <col min="8453" max="8453" width="7" style="104" customWidth="1"/>
    <col min="8454" max="8704" width="9.140625" style="104"/>
    <col min="8705" max="8705" width="47.140625" style="104" bestFit="1" customWidth="1"/>
    <col min="8706" max="8706" width="9.5703125" style="104" bestFit="1" customWidth="1"/>
    <col min="8707" max="8707" width="12" style="104" bestFit="1" customWidth="1"/>
    <col min="8708" max="8708" width="11.140625" style="104" bestFit="1" customWidth="1"/>
    <col min="8709" max="8709" width="7" style="104" customWidth="1"/>
    <col min="8710" max="8960" width="9.140625" style="104"/>
    <col min="8961" max="8961" width="47.140625" style="104" bestFit="1" customWidth="1"/>
    <col min="8962" max="8962" width="9.5703125" style="104" bestFit="1" customWidth="1"/>
    <col min="8963" max="8963" width="12" style="104" bestFit="1" customWidth="1"/>
    <col min="8964" max="8964" width="11.140625" style="104" bestFit="1" customWidth="1"/>
    <col min="8965" max="8965" width="7" style="104" customWidth="1"/>
    <col min="8966" max="9216" width="9.140625" style="104"/>
    <col min="9217" max="9217" width="47.140625" style="104" bestFit="1" customWidth="1"/>
    <col min="9218" max="9218" width="9.5703125" style="104" bestFit="1" customWidth="1"/>
    <col min="9219" max="9219" width="12" style="104" bestFit="1" customWidth="1"/>
    <col min="9220" max="9220" width="11.140625" style="104" bestFit="1" customWidth="1"/>
    <col min="9221" max="9221" width="7" style="104" customWidth="1"/>
    <col min="9222" max="9472" width="9.140625" style="104"/>
    <col min="9473" max="9473" width="47.140625" style="104" bestFit="1" customWidth="1"/>
    <col min="9474" max="9474" width="9.5703125" style="104" bestFit="1" customWidth="1"/>
    <col min="9475" max="9475" width="12" style="104" bestFit="1" customWidth="1"/>
    <col min="9476" max="9476" width="11.140625" style="104" bestFit="1" customWidth="1"/>
    <col min="9477" max="9477" width="7" style="104" customWidth="1"/>
    <col min="9478" max="9728" width="9.140625" style="104"/>
    <col min="9729" max="9729" width="47.140625" style="104" bestFit="1" customWidth="1"/>
    <col min="9730" max="9730" width="9.5703125" style="104" bestFit="1" customWidth="1"/>
    <col min="9731" max="9731" width="12" style="104" bestFit="1" customWidth="1"/>
    <col min="9732" max="9732" width="11.140625" style="104" bestFit="1" customWidth="1"/>
    <col min="9733" max="9733" width="7" style="104" customWidth="1"/>
    <col min="9734" max="9984" width="9.140625" style="104"/>
    <col min="9985" max="9985" width="47.140625" style="104" bestFit="1" customWidth="1"/>
    <col min="9986" max="9986" width="9.5703125" style="104" bestFit="1" customWidth="1"/>
    <col min="9987" max="9987" width="12" style="104" bestFit="1" customWidth="1"/>
    <col min="9988" max="9988" width="11.140625" style="104" bestFit="1" customWidth="1"/>
    <col min="9989" max="9989" width="7" style="104" customWidth="1"/>
    <col min="9990" max="10240" width="9.140625" style="104"/>
    <col min="10241" max="10241" width="47.140625" style="104" bestFit="1" customWidth="1"/>
    <col min="10242" max="10242" width="9.5703125" style="104" bestFit="1" customWidth="1"/>
    <col min="10243" max="10243" width="12" style="104" bestFit="1" customWidth="1"/>
    <col min="10244" max="10244" width="11.140625" style="104" bestFit="1" customWidth="1"/>
    <col min="10245" max="10245" width="7" style="104" customWidth="1"/>
    <col min="10246" max="10496" width="9.140625" style="104"/>
    <col min="10497" max="10497" width="47.140625" style="104" bestFit="1" customWidth="1"/>
    <col min="10498" max="10498" width="9.5703125" style="104" bestFit="1" customWidth="1"/>
    <col min="10499" max="10499" width="12" style="104" bestFit="1" customWidth="1"/>
    <col min="10500" max="10500" width="11.140625" style="104" bestFit="1" customWidth="1"/>
    <col min="10501" max="10501" width="7" style="104" customWidth="1"/>
    <col min="10502" max="10752" width="9.140625" style="104"/>
    <col min="10753" max="10753" width="47.140625" style="104" bestFit="1" customWidth="1"/>
    <col min="10754" max="10754" width="9.5703125" style="104" bestFit="1" customWidth="1"/>
    <col min="10755" max="10755" width="12" style="104" bestFit="1" customWidth="1"/>
    <col min="10756" max="10756" width="11.140625" style="104" bestFit="1" customWidth="1"/>
    <col min="10757" max="10757" width="7" style="104" customWidth="1"/>
    <col min="10758" max="11008" width="9.140625" style="104"/>
    <col min="11009" max="11009" width="47.140625" style="104" bestFit="1" customWidth="1"/>
    <col min="11010" max="11010" width="9.5703125" style="104" bestFit="1" customWidth="1"/>
    <col min="11011" max="11011" width="12" style="104" bestFit="1" customWidth="1"/>
    <col min="11012" max="11012" width="11.140625" style="104" bestFit="1" customWidth="1"/>
    <col min="11013" max="11013" width="7" style="104" customWidth="1"/>
    <col min="11014" max="11264" width="9.140625" style="104"/>
    <col min="11265" max="11265" width="47.140625" style="104" bestFit="1" customWidth="1"/>
    <col min="11266" max="11266" width="9.5703125" style="104" bestFit="1" customWidth="1"/>
    <col min="11267" max="11267" width="12" style="104" bestFit="1" customWidth="1"/>
    <col min="11268" max="11268" width="11.140625" style="104" bestFit="1" customWidth="1"/>
    <col min="11269" max="11269" width="7" style="104" customWidth="1"/>
    <col min="11270" max="11520" width="9.140625" style="104"/>
    <col min="11521" max="11521" width="47.140625" style="104" bestFit="1" customWidth="1"/>
    <col min="11522" max="11522" width="9.5703125" style="104" bestFit="1" customWidth="1"/>
    <col min="11523" max="11523" width="12" style="104" bestFit="1" customWidth="1"/>
    <col min="11524" max="11524" width="11.140625" style="104" bestFit="1" customWidth="1"/>
    <col min="11525" max="11525" width="7" style="104" customWidth="1"/>
    <col min="11526" max="11776" width="9.140625" style="104"/>
    <col min="11777" max="11777" width="47.140625" style="104" bestFit="1" customWidth="1"/>
    <col min="11778" max="11778" width="9.5703125" style="104" bestFit="1" customWidth="1"/>
    <col min="11779" max="11779" width="12" style="104" bestFit="1" customWidth="1"/>
    <col min="11780" max="11780" width="11.140625" style="104" bestFit="1" customWidth="1"/>
    <col min="11781" max="11781" width="7" style="104" customWidth="1"/>
    <col min="11782" max="12032" width="9.140625" style="104"/>
    <col min="12033" max="12033" width="47.140625" style="104" bestFit="1" customWidth="1"/>
    <col min="12034" max="12034" width="9.5703125" style="104" bestFit="1" customWidth="1"/>
    <col min="12035" max="12035" width="12" style="104" bestFit="1" customWidth="1"/>
    <col min="12036" max="12036" width="11.140625" style="104" bestFit="1" customWidth="1"/>
    <col min="12037" max="12037" width="7" style="104" customWidth="1"/>
    <col min="12038" max="12288" width="9.140625" style="104"/>
    <col min="12289" max="12289" width="47.140625" style="104" bestFit="1" customWidth="1"/>
    <col min="12290" max="12290" width="9.5703125" style="104" bestFit="1" customWidth="1"/>
    <col min="12291" max="12291" width="12" style="104" bestFit="1" customWidth="1"/>
    <col min="12292" max="12292" width="11.140625" style="104" bestFit="1" customWidth="1"/>
    <col min="12293" max="12293" width="7" style="104" customWidth="1"/>
    <col min="12294" max="12544" width="9.140625" style="104"/>
    <col min="12545" max="12545" width="47.140625" style="104" bestFit="1" customWidth="1"/>
    <col min="12546" max="12546" width="9.5703125" style="104" bestFit="1" customWidth="1"/>
    <col min="12547" max="12547" width="12" style="104" bestFit="1" customWidth="1"/>
    <col min="12548" max="12548" width="11.140625" style="104" bestFit="1" customWidth="1"/>
    <col min="12549" max="12549" width="7" style="104" customWidth="1"/>
    <col min="12550" max="12800" width="9.140625" style="104"/>
    <col min="12801" max="12801" width="47.140625" style="104" bestFit="1" customWidth="1"/>
    <col min="12802" max="12802" width="9.5703125" style="104" bestFit="1" customWidth="1"/>
    <col min="12803" max="12803" width="12" style="104" bestFit="1" customWidth="1"/>
    <col min="12804" max="12804" width="11.140625" style="104" bestFit="1" customWidth="1"/>
    <col min="12805" max="12805" width="7" style="104" customWidth="1"/>
    <col min="12806" max="13056" width="9.140625" style="104"/>
    <col min="13057" max="13057" width="47.140625" style="104" bestFit="1" customWidth="1"/>
    <col min="13058" max="13058" width="9.5703125" style="104" bestFit="1" customWidth="1"/>
    <col min="13059" max="13059" width="12" style="104" bestFit="1" customWidth="1"/>
    <col min="13060" max="13060" width="11.140625" style="104" bestFit="1" customWidth="1"/>
    <col min="13061" max="13061" width="7" style="104" customWidth="1"/>
    <col min="13062" max="13312" width="9.140625" style="104"/>
    <col min="13313" max="13313" width="47.140625" style="104" bestFit="1" customWidth="1"/>
    <col min="13314" max="13314" width="9.5703125" style="104" bestFit="1" customWidth="1"/>
    <col min="13315" max="13315" width="12" style="104" bestFit="1" customWidth="1"/>
    <col min="13316" max="13316" width="11.140625" style="104" bestFit="1" customWidth="1"/>
    <col min="13317" max="13317" width="7" style="104" customWidth="1"/>
    <col min="13318" max="13568" width="9.140625" style="104"/>
    <col min="13569" max="13569" width="47.140625" style="104" bestFit="1" customWidth="1"/>
    <col min="13570" max="13570" width="9.5703125" style="104" bestFit="1" customWidth="1"/>
    <col min="13571" max="13571" width="12" style="104" bestFit="1" customWidth="1"/>
    <col min="13572" max="13572" width="11.140625" style="104" bestFit="1" customWidth="1"/>
    <col min="13573" max="13573" width="7" style="104" customWidth="1"/>
    <col min="13574" max="13824" width="9.140625" style="104"/>
    <col min="13825" max="13825" width="47.140625" style="104" bestFit="1" customWidth="1"/>
    <col min="13826" max="13826" width="9.5703125" style="104" bestFit="1" customWidth="1"/>
    <col min="13827" max="13827" width="12" style="104" bestFit="1" customWidth="1"/>
    <col min="13828" max="13828" width="11.140625" style="104" bestFit="1" customWidth="1"/>
    <col min="13829" max="13829" width="7" style="104" customWidth="1"/>
    <col min="13830" max="14080" width="9.140625" style="104"/>
    <col min="14081" max="14081" width="47.140625" style="104" bestFit="1" customWidth="1"/>
    <col min="14082" max="14082" width="9.5703125" style="104" bestFit="1" customWidth="1"/>
    <col min="14083" max="14083" width="12" style="104" bestFit="1" customWidth="1"/>
    <col min="14084" max="14084" width="11.140625" style="104" bestFit="1" customWidth="1"/>
    <col min="14085" max="14085" width="7" style="104" customWidth="1"/>
    <col min="14086" max="14336" width="9.140625" style="104"/>
    <col min="14337" max="14337" width="47.140625" style="104" bestFit="1" customWidth="1"/>
    <col min="14338" max="14338" width="9.5703125" style="104" bestFit="1" customWidth="1"/>
    <col min="14339" max="14339" width="12" style="104" bestFit="1" customWidth="1"/>
    <col min="14340" max="14340" width="11.140625" style="104" bestFit="1" customWidth="1"/>
    <col min="14341" max="14341" width="7" style="104" customWidth="1"/>
    <col min="14342" max="14592" width="9.140625" style="104"/>
    <col min="14593" max="14593" width="47.140625" style="104" bestFit="1" customWidth="1"/>
    <col min="14594" max="14594" width="9.5703125" style="104" bestFit="1" customWidth="1"/>
    <col min="14595" max="14595" width="12" style="104" bestFit="1" customWidth="1"/>
    <col min="14596" max="14596" width="11.140625" style="104" bestFit="1" customWidth="1"/>
    <col min="14597" max="14597" width="7" style="104" customWidth="1"/>
    <col min="14598" max="14848" width="9.140625" style="104"/>
    <col min="14849" max="14849" width="47.140625" style="104" bestFit="1" customWidth="1"/>
    <col min="14850" max="14850" width="9.5703125" style="104" bestFit="1" customWidth="1"/>
    <col min="14851" max="14851" width="12" style="104" bestFit="1" customWidth="1"/>
    <col min="14852" max="14852" width="11.140625" style="104" bestFit="1" customWidth="1"/>
    <col min="14853" max="14853" width="7" style="104" customWidth="1"/>
    <col min="14854" max="15104" width="9.140625" style="104"/>
    <col min="15105" max="15105" width="47.140625" style="104" bestFit="1" customWidth="1"/>
    <col min="15106" max="15106" width="9.5703125" style="104" bestFit="1" customWidth="1"/>
    <col min="15107" max="15107" width="12" style="104" bestFit="1" customWidth="1"/>
    <col min="15108" max="15108" width="11.140625" style="104" bestFit="1" customWidth="1"/>
    <col min="15109" max="15109" width="7" style="104" customWidth="1"/>
    <col min="15110" max="15360" width="9.140625" style="104"/>
    <col min="15361" max="15361" width="47.140625" style="104" bestFit="1" customWidth="1"/>
    <col min="15362" max="15362" width="9.5703125" style="104" bestFit="1" customWidth="1"/>
    <col min="15363" max="15363" width="12" style="104" bestFit="1" customWidth="1"/>
    <col min="15364" max="15364" width="11.140625" style="104" bestFit="1" customWidth="1"/>
    <col min="15365" max="15365" width="7" style="104" customWidth="1"/>
    <col min="15366" max="15616" width="9.140625" style="104"/>
    <col min="15617" max="15617" width="47.140625" style="104" bestFit="1" customWidth="1"/>
    <col min="15618" max="15618" width="9.5703125" style="104" bestFit="1" customWidth="1"/>
    <col min="15619" max="15619" width="12" style="104" bestFit="1" customWidth="1"/>
    <col min="15620" max="15620" width="11.140625" style="104" bestFit="1" customWidth="1"/>
    <col min="15621" max="15621" width="7" style="104" customWidth="1"/>
    <col min="15622" max="15872" width="9.140625" style="104"/>
    <col min="15873" max="15873" width="47.140625" style="104" bestFit="1" customWidth="1"/>
    <col min="15874" max="15874" width="9.5703125" style="104" bestFit="1" customWidth="1"/>
    <col min="15875" max="15875" width="12" style="104" bestFit="1" customWidth="1"/>
    <col min="15876" max="15876" width="11.140625" style="104" bestFit="1" customWidth="1"/>
    <col min="15877" max="15877" width="7" style="104" customWidth="1"/>
    <col min="15878" max="16128" width="9.140625" style="104"/>
    <col min="16129" max="16129" width="47.140625" style="104" bestFit="1" customWidth="1"/>
    <col min="16130" max="16130" width="9.5703125" style="104" bestFit="1" customWidth="1"/>
    <col min="16131" max="16131" width="12" style="104" bestFit="1" customWidth="1"/>
    <col min="16132" max="16132" width="11.140625" style="104" bestFit="1" customWidth="1"/>
    <col min="16133" max="16133" width="7" style="104" customWidth="1"/>
    <col min="16134" max="16384" width="9.140625" style="104"/>
  </cols>
  <sheetData>
    <row r="1" spans="1:6" ht="18.75">
      <c r="A1" s="113" t="s">
        <v>624</v>
      </c>
      <c r="B1" s="114"/>
      <c r="C1" s="114"/>
      <c r="D1" s="114"/>
      <c r="E1" s="114"/>
      <c r="F1" s="114"/>
    </row>
    <row r="2" spans="1:6" ht="15">
      <c r="A2" s="117" t="s">
        <v>625</v>
      </c>
      <c r="B2" s="117"/>
      <c r="C2" s="117"/>
      <c r="D2" s="117"/>
      <c r="E2" s="117"/>
      <c r="F2" s="117"/>
    </row>
    <row r="3" spans="1:6" ht="15">
      <c r="A3" s="117"/>
      <c r="B3" s="117"/>
      <c r="C3" s="117"/>
      <c r="D3" s="117"/>
      <c r="E3" s="117"/>
      <c r="F3" s="117"/>
    </row>
    <row r="4" spans="1:6" ht="15.75" thickBot="1">
      <c r="A4" s="118" t="s">
        <v>50</v>
      </c>
      <c r="B4" s="118" t="s">
        <v>51</v>
      </c>
      <c r="C4" s="118" t="s">
        <v>52</v>
      </c>
      <c r="D4" s="118" t="s">
        <v>53</v>
      </c>
      <c r="E4" s="118" t="s">
        <v>70</v>
      </c>
      <c r="F4" s="117"/>
    </row>
    <row r="5" spans="1:6" ht="15">
      <c r="A5" s="119" t="s">
        <v>626</v>
      </c>
      <c r="B5" s="119" t="s">
        <v>627</v>
      </c>
      <c r="C5" s="119" t="s">
        <v>628</v>
      </c>
      <c r="D5" s="120">
        <v>0</v>
      </c>
      <c r="E5" s="119" t="s">
        <v>22</v>
      </c>
      <c r="F5" s="117"/>
    </row>
    <row r="6" spans="1:6" ht="15">
      <c r="A6" s="121" t="s">
        <v>629</v>
      </c>
      <c r="B6" s="121" t="s">
        <v>630</v>
      </c>
      <c r="C6" s="121" t="s">
        <v>6</v>
      </c>
      <c r="D6" s="122">
        <v>732.55</v>
      </c>
      <c r="E6" s="121" t="s">
        <v>631</v>
      </c>
      <c r="F6" s="117"/>
    </row>
    <row r="7" spans="1:6" ht="30">
      <c r="A7" s="121" t="s">
        <v>632</v>
      </c>
      <c r="B7" s="121" t="s">
        <v>633</v>
      </c>
      <c r="C7" s="121" t="s">
        <v>628</v>
      </c>
      <c r="D7" s="122">
        <v>170.26</v>
      </c>
      <c r="E7" s="121" t="s">
        <v>27</v>
      </c>
      <c r="F7" s="117"/>
    </row>
    <row r="8" spans="1:6" ht="15">
      <c r="A8" s="121" t="s">
        <v>634</v>
      </c>
      <c r="B8" s="121" t="s">
        <v>635</v>
      </c>
      <c r="C8" s="121" t="s">
        <v>628</v>
      </c>
      <c r="D8" s="122">
        <v>319.69</v>
      </c>
      <c r="E8" s="121" t="s">
        <v>3</v>
      </c>
      <c r="F8" s="117"/>
    </row>
    <row r="9" spans="1:6" ht="15">
      <c r="A9" s="121" t="s">
        <v>636</v>
      </c>
      <c r="B9" s="121" t="s">
        <v>637</v>
      </c>
      <c r="C9" s="121" t="s">
        <v>628</v>
      </c>
      <c r="D9" s="122">
        <v>162.91</v>
      </c>
      <c r="E9" s="121" t="s">
        <v>21</v>
      </c>
      <c r="F9" s="117"/>
    </row>
    <row r="10" spans="1:6" ht="15">
      <c r="A10" s="121" t="s">
        <v>638</v>
      </c>
      <c r="B10" s="121" t="s">
        <v>639</v>
      </c>
      <c r="C10" s="121" t="s">
        <v>628</v>
      </c>
      <c r="D10" s="122">
        <v>244.99</v>
      </c>
      <c r="E10" s="121" t="s">
        <v>33</v>
      </c>
      <c r="F10" s="117"/>
    </row>
    <row r="11" spans="1:6" ht="15">
      <c r="A11" s="121" t="s">
        <v>640</v>
      </c>
      <c r="B11" s="121" t="s">
        <v>641</v>
      </c>
      <c r="C11" s="121" t="s">
        <v>628</v>
      </c>
      <c r="D11" s="122">
        <v>44.14</v>
      </c>
      <c r="E11" s="121" t="s">
        <v>11</v>
      </c>
      <c r="F11" s="117"/>
    </row>
    <row r="12" spans="1:6" ht="15">
      <c r="A12" s="121" t="s">
        <v>642</v>
      </c>
      <c r="B12" s="121" t="s">
        <v>643</v>
      </c>
      <c r="C12" s="121" t="s">
        <v>628</v>
      </c>
      <c r="D12" s="122">
        <v>114.56</v>
      </c>
      <c r="E12" s="121" t="s">
        <v>13</v>
      </c>
      <c r="F12" s="117"/>
    </row>
    <row r="13" spans="1:6" ht="15">
      <c r="A13" s="121" t="s">
        <v>644</v>
      </c>
      <c r="B13" s="121" t="s">
        <v>645</v>
      </c>
      <c r="C13" s="121" t="s">
        <v>628</v>
      </c>
      <c r="D13" s="122">
        <v>47.3</v>
      </c>
      <c r="E13" s="121" t="s">
        <v>13</v>
      </c>
      <c r="F13" s="117"/>
    </row>
    <row r="14" spans="1:6" ht="15">
      <c r="A14" s="121" t="s">
        <v>646</v>
      </c>
      <c r="B14" s="121" t="s">
        <v>647</v>
      </c>
      <c r="C14" s="121" t="s">
        <v>628</v>
      </c>
      <c r="D14" s="122">
        <v>110.73</v>
      </c>
      <c r="E14" s="121" t="s">
        <v>9</v>
      </c>
      <c r="F14" s="117"/>
    </row>
    <row r="15" spans="1:6" ht="15">
      <c r="A15" s="121" t="s">
        <v>648</v>
      </c>
      <c r="B15" s="121" t="s">
        <v>649</v>
      </c>
      <c r="C15" s="121" t="s">
        <v>628</v>
      </c>
      <c r="D15" s="122">
        <v>193.83</v>
      </c>
      <c r="E15" s="121" t="s">
        <v>39</v>
      </c>
      <c r="F15" s="117"/>
    </row>
    <row r="16" spans="1:6" ht="15">
      <c r="A16" s="121" t="s">
        <v>650</v>
      </c>
      <c r="B16" s="121" t="s">
        <v>651</v>
      </c>
      <c r="C16" s="121" t="s">
        <v>628</v>
      </c>
      <c r="D16" s="122">
        <v>408</v>
      </c>
      <c r="E16" s="121" t="s">
        <v>10</v>
      </c>
      <c r="F16" s="117"/>
    </row>
    <row r="17" spans="1:6" ht="15">
      <c r="A17" s="121" t="s">
        <v>652</v>
      </c>
      <c r="B17" s="121" t="s">
        <v>653</v>
      </c>
      <c r="C17" s="121" t="s">
        <v>628</v>
      </c>
      <c r="D17" s="122">
        <v>195.5</v>
      </c>
      <c r="E17" s="121" t="s">
        <v>3</v>
      </c>
      <c r="F17" s="117"/>
    </row>
    <row r="18" spans="1:6" ht="15">
      <c r="A18" s="121" t="s">
        <v>654</v>
      </c>
      <c r="B18" s="121" t="s">
        <v>655</v>
      </c>
      <c r="C18" s="121" t="s">
        <v>628</v>
      </c>
      <c r="D18" s="122">
        <v>179.5</v>
      </c>
      <c r="E18" s="121" t="s">
        <v>46</v>
      </c>
      <c r="F18" s="117"/>
    </row>
    <row r="19" spans="1:6" ht="15">
      <c r="A19" s="121" t="s">
        <v>656</v>
      </c>
      <c r="B19" s="121" t="s">
        <v>657</v>
      </c>
      <c r="C19" s="121" t="s">
        <v>628</v>
      </c>
      <c r="D19" s="122">
        <v>111.13</v>
      </c>
      <c r="E19" s="121" t="s">
        <v>1</v>
      </c>
      <c r="F19" s="117"/>
    </row>
    <row r="20" spans="1:6" ht="15">
      <c r="A20" s="121" t="s">
        <v>658</v>
      </c>
      <c r="B20" s="121" t="s">
        <v>659</v>
      </c>
      <c r="C20" s="121" t="s">
        <v>628</v>
      </c>
      <c r="D20" s="122">
        <v>386</v>
      </c>
      <c r="E20" s="121" t="s">
        <v>10</v>
      </c>
      <c r="F20" s="117"/>
    </row>
    <row r="21" spans="1:6" ht="15">
      <c r="A21" s="121" t="s">
        <v>660</v>
      </c>
      <c r="B21" s="121" t="s">
        <v>661</v>
      </c>
      <c r="C21" s="121" t="s">
        <v>628</v>
      </c>
      <c r="D21" s="122">
        <v>127.17</v>
      </c>
      <c r="E21" s="121" t="s">
        <v>9</v>
      </c>
      <c r="F21" s="117"/>
    </row>
    <row r="22" spans="1:6" ht="15">
      <c r="A22" s="121" t="s">
        <v>662</v>
      </c>
      <c r="B22" s="121" t="s">
        <v>663</v>
      </c>
      <c r="C22" s="121" t="s">
        <v>628</v>
      </c>
      <c r="D22" s="122">
        <v>159.88999999999999</v>
      </c>
      <c r="E22" s="121" t="s">
        <v>664</v>
      </c>
      <c r="F22" s="117"/>
    </row>
    <row r="23" spans="1:6" ht="15">
      <c r="A23" s="121" t="s">
        <v>665</v>
      </c>
      <c r="B23" s="121" t="s">
        <v>666</v>
      </c>
      <c r="C23" s="121" t="s">
        <v>628</v>
      </c>
      <c r="D23" s="122">
        <v>132.82</v>
      </c>
      <c r="E23" s="121" t="s">
        <v>10</v>
      </c>
      <c r="F23" s="117"/>
    </row>
    <row r="24" spans="1:6" ht="15">
      <c r="A24" s="121" t="s">
        <v>667</v>
      </c>
      <c r="B24" s="121" t="s">
        <v>668</v>
      </c>
      <c r="C24" s="121" t="s">
        <v>628</v>
      </c>
      <c r="D24" s="122">
        <v>95.36</v>
      </c>
      <c r="E24" s="121" t="s">
        <v>30</v>
      </c>
      <c r="F24" s="117"/>
    </row>
    <row r="25" spans="1:6" ht="15">
      <c r="A25" s="121" t="s">
        <v>669</v>
      </c>
      <c r="B25" s="121" t="s">
        <v>670</v>
      </c>
      <c r="C25" s="121" t="s">
        <v>628</v>
      </c>
      <c r="D25" s="122">
        <v>486</v>
      </c>
      <c r="E25" s="121" t="s">
        <v>3</v>
      </c>
      <c r="F25" s="117"/>
    </row>
    <row r="26" spans="1:6" ht="15">
      <c r="A26" s="121" t="s">
        <v>671</v>
      </c>
      <c r="B26" s="121" t="s">
        <v>672</v>
      </c>
      <c r="C26" s="121" t="s">
        <v>628</v>
      </c>
      <c r="D26" s="122">
        <v>232.18</v>
      </c>
      <c r="E26" s="121" t="s">
        <v>673</v>
      </c>
      <c r="F26" s="117"/>
    </row>
    <row r="27" spans="1:6" ht="15">
      <c r="A27" s="121" t="s">
        <v>674</v>
      </c>
      <c r="B27" s="121" t="s">
        <v>675</v>
      </c>
      <c r="C27" s="121" t="s">
        <v>628</v>
      </c>
      <c r="D27" s="122">
        <v>232.28</v>
      </c>
      <c r="E27" s="121" t="s">
        <v>33</v>
      </c>
      <c r="F27" s="117"/>
    </row>
    <row r="28" spans="1:6" ht="15">
      <c r="A28" s="121" t="s">
        <v>676</v>
      </c>
      <c r="B28" s="121" t="s">
        <v>677</v>
      </c>
      <c r="C28" s="121" t="s">
        <v>628</v>
      </c>
      <c r="D28" s="122">
        <v>486</v>
      </c>
      <c r="E28" s="121" t="s">
        <v>10</v>
      </c>
      <c r="F28" s="117"/>
    </row>
    <row r="29" spans="1:6" ht="15">
      <c r="A29" s="121" t="s">
        <v>678</v>
      </c>
      <c r="B29" s="121" t="s">
        <v>679</v>
      </c>
      <c r="C29" s="121" t="s">
        <v>628</v>
      </c>
      <c r="D29" s="122">
        <v>152.78</v>
      </c>
      <c r="E29" s="121" t="s">
        <v>16</v>
      </c>
      <c r="F29" s="117"/>
    </row>
    <row r="30" spans="1:6" ht="15">
      <c r="A30" s="121" t="s">
        <v>680</v>
      </c>
      <c r="B30" s="121" t="s">
        <v>681</v>
      </c>
      <c r="C30" s="121" t="s">
        <v>628</v>
      </c>
      <c r="D30" s="122">
        <v>138</v>
      </c>
      <c r="E30" s="121" t="s">
        <v>664</v>
      </c>
      <c r="F30" s="117"/>
    </row>
    <row r="31" spans="1:6" ht="15">
      <c r="A31" s="121" t="s">
        <v>682</v>
      </c>
      <c r="B31" s="121" t="s">
        <v>683</v>
      </c>
      <c r="C31" s="121" t="s">
        <v>628</v>
      </c>
      <c r="D31" s="122">
        <v>324</v>
      </c>
      <c r="E31" s="121" t="s">
        <v>10</v>
      </c>
      <c r="F31" s="117"/>
    </row>
    <row r="32" spans="1:6" ht="15">
      <c r="A32" s="121" t="s">
        <v>684</v>
      </c>
      <c r="B32" s="121" t="s">
        <v>685</v>
      </c>
      <c r="C32" s="121" t="s">
        <v>628</v>
      </c>
      <c r="D32" s="122">
        <v>368</v>
      </c>
      <c r="E32" s="121" t="s">
        <v>3</v>
      </c>
      <c r="F32" s="117"/>
    </row>
    <row r="33" spans="1:6" ht="15">
      <c r="A33" s="121" t="s">
        <v>686</v>
      </c>
      <c r="B33" s="121" t="s">
        <v>687</v>
      </c>
      <c r="C33" s="121" t="s">
        <v>628</v>
      </c>
      <c r="D33" s="122">
        <v>161.94999999999999</v>
      </c>
      <c r="E33" s="121" t="s">
        <v>12</v>
      </c>
      <c r="F33" s="117"/>
    </row>
    <row r="34" spans="1:6" ht="15">
      <c r="A34" s="121" t="s">
        <v>688</v>
      </c>
      <c r="B34" s="121" t="s">
        <v>689</v>
      </c>
      <c r="C34" s="121" t="s">
        <v>628</v>
      </c>
      <c r="D34" s="122">
        <v>163.26</v>
      </c>
      <c r="E34" s="121" t="s">
        <v>673</v>
      </c>
      <c r="F34" s="117"/>
    </row>
    <row r="35" spans="1:6" ht="15">
      <c r="A35" s="121" t="s">
        <v>690</v>
      </c>
      <c r="B35" s="121" t="s">
        <v>691</v>
      </c>
      <c r="C35" s="121" t="s">
        <v>628</v>
      </c>
      <c r="D35" s="122">
        <v>147.96</v>
      </c>
      <c r="E35" s="121" t="s">
        <v>30</v>
      </c>
      <c r="F35" s="117"/>
    </row>
    <row r="36" spans="1:6" ht="15">
      <c r="A36" s="121" t="s">
        <v>692</v>
      </c>
      <c r="B36" s="121" t="s">
        <v>693</v>
      </c>
      <c r="C36" s="121" t="s">
        <v>628</v>
      </c>
      <c r="D36" s="122">
        <v>532.86</v>
      </c>
      <c r="E36" s="121" t="s">
        <v>11</v>
      </c>
      <c r="F36" s="117"/>
    </row>
    <row r="37" spans="1:6" ht="15">
      <c r="A37" s="121" t="s">
        <v>694</v>
      </c>
      <c r="B37" s="121" t="s">
        <v>695</v>
      </c>
      <c r="C37" s="121" t="s">
        <v>0</v>
      </c>
      <c r="D37" s="122">
        <v>435.11</v>
      </c>
      <c r="E37" s="121" t="s">
        <v>43</v>
      </c>
      <c r="F37" s="117"/>
    </row>
    <row r="38" spans="1:6" ht="15">
      <c r="A38" s="121" t="s">
        <v>696</v>
      </c>
      <c r="B38" s="121" t="s">
        <v>697</v>
      </c>
      <c r="C38" s="121" t="s">
        <v>628</v>
      </c>
      <c r="D38" s="122">
        <v>59.91</v>
      </c>
      <c r="E38" s="121" t="s">
        <v>31</v>
      </c>
      <c r="F38" s="117"/>
    </row>
    <row r="39" spans="1:6" ht="15">
      <c r="A39" s="121" t="s">
        <v>698</v>
      </c>
      <c r="B39" s="121" t="s">
        <v>699</v>
      </c>
      <c r="C39" s="121" t="s">
        <v>628</v>
      </c>
      <c r="D39" s="122">
        <v>149.99</v>
      </c>
      <c r="E39" s="121" t="s">
        <v>15</v>
      </c>
      <c r="F39" s="117"/>
    </row>
    <row r="40" spans="1:6" ht="15">
      <c r="A40" s="121" t="s">
        <v>700</v>
      </c>
      <c r="B40" s="121" t="s">
        <v>199</v>
      </c>
      <c r="C40" s="121" t="s">
        <v>628</v>
      </c>
      <c r="D40" s="122">
        <v>460</v>
      </c>
      <c r="E40" s="121" t="s">
        <v>664</v>
      </c>
      <c r="F40" s="117"/>
    </row>
    <row r="41" spans="1:6" ht="15">
      <c r="A41" s="121" t="s">
        <v>701</v>
      </c>
      <c r="B41" s="121" t="s">
        <v>199</v>
      </c>
      <c r="C41" s="121" t="s">
        <v>628</v>
      </c>
      <c r="D41" s="122">
        <v>384.61</v>
      </c>
      <c r="E41" s="121" t="s">
        <v>7</v>
      </c>
      <c r="F41" s="117"/>
    </row>
    <row r="42" spans="1:6" ht="15">
      <c r="A42" s="121" t="s">
        <v>702</v>
      </c>
      <c r="B42" s="121" t="s">
        <v>703</v>
      </c>
      <c r="C42" s="121" t="s">
        <v>628</v>
      </c>
      <c r="D42" s="122">
        <v>261.7</v>
      </c>
      <c r="E42" s="121" t="s">
        <v>32</v>
      </c>
      <c r="F42" s="117"/>
    </row>
    <row r="43" spans="1:6" ht="15">
      <c r="A43" s="121" t="s">
        <v>704</v>
      </c>
      <c r="B43" s="121" t="s">
        <v>705</v>
      </c>
      <c r="C43" s="121" t="s">
        <v>628</v>
      </c>
      <c r="D43" s="122">
        <v>170.26</v>
      </c>
      <c r="E43" s="121" t="s">
        <v>11</v>
      </c>
      <c r="F43" s="117"/>
    </row>
    <row r="44" spans="1:6" ht="15">
      <c r="A44" s="121" t="s">
        <v>706</v>
      </c>
      <c r="B44" s="121" t="s">
        <v>707</v>
      </c>
      <c r="C44" s="121" t="s">
        <v>628</v>
      </c>
      <c r="D44" s="122">
        <v>179.91</v>
      </c>
      <c r="E44" s="121" t="s">
        <v>673</v>
      </c>
      <c r="F44" s="117"/>
    </row>
    <row r="45" spans="1:6" ht="15">
      <c r="A45" s="121" t="s">
        <v>708</v>
      </c>
      <c r="B45" s="121" t="s">
        <v>709</v>
      </c>
      <c r="C45" s="121" t="s">
        <v>6</v>
      </c>
      <c r="D45" s="122">
        <v>115.61</v>
      </c>
      <c r="E45" s="121" t="s">
        <v>673</v>
      </c>
      <c r="F45" s="117"/>
    </row>
    <row r="46" spans="1:6" ht="15">
      <c r="A46" s="121" t="s">
        <v>710</v>
      </c>
      <c r="B46" s="121" t="s">
        <v>711</v>
      </c>
      <c r="C46" s="121" t="s">
        <v>0</v>
      </c>
      <c r="D46" s="122">
        <v>219.66</v>
      </c>
      <c r="E46" s="121" t="s">
        <v>3</v>
      </c>
      <c r="F46" s="117"/>
    </row>
    <row r="47" spans="1:6" ht="15">
      <c r="A47" s="121" t="s">
        <v>712</v>
      </c>
      <c r="B47" s="121" t="s">
        <v>713</v>
      </c>
      <c r="C47" s="121" t="s">
        <v>628</v>
      </c>
      <c r="D47" s="122">
        <v>210.77</v>
      </c>
      <c r="E47" s="121" t="s">
        <v>20</v>
      </c>
      <c r="F47" s="117"/>
    </row>
    <row r="48" spans="1:6" ht="15">
      <c r="A48" s="121" t="s">
        <v>714</v>
      </c>
      <c r="B48" s="121" t="s">
        <v>715</v>
      </c>
      <c r="C48" s="121" t="s">
        <v>628</v>
      </c>
      <c r="D48" s="122">
        <v>31.48</v>
      </c>
      <c r="E48" s="121" t="s">
        <v>11</v>
      </c>
      <c r="F48" s="117"/>
    </row>
    <row r="49" spans="1:6" ht="15">
      <c r="A49" s="121" t="s">
        <v>716</v>
      </c>
      <c r="B49" s="121" t="s">
        <v>199</v>
      </c>
      <c r="C49" s="121" t="s">
        <v>6</v>
      </c>
      <c r="D49" s="122">
        <v>117.71</v>
      </c>
      <c r="E49" s="121" t="s">
        <v>22</v>
      </c>
      <c r="F49" s="117"/>
    </row>
    <row r="50" spans="1:6" ht="15">
      <c r="A50" s="121" t="s">
        <v>717</v>
      </c>
      <c r="B50" s="121" t="s">
        <v>718</v>
      </c>
      <c r="C50" s="121" t="s">
        <v>628</v>
      </c>
      <c r="D50" s="122">
        <v>26.22</v>
      </c>
      <c r="E50" s="121" t="s">
        <v>16</v>
      </c>
      <c r="F50" s="117"/>
    </row>
    <row r="51" spans="1:6" ht="17.25" customHeight="1">
      <c r="A51" s="121" t="s">
        <v>719</v>
      </c>
      <c r="B51" s="121" t="s">
        <v>720</v>
      </c>
      <c r="C51" s="121" t="s">
        <v>628</v>
      </c>
      <c r="D51" s="122">
        <v>511.97</v>
      </c>
      <c r="E51" s="121" t="s">
        <v>31</v>
      </c>
      <c r="F51" s="117"/>
    </row>
    <row r="52" spans="1:6" ht="15">
      <c r="A52" s="121" t="s">
        <v>721</v>
      </c>
      <c r="B52" s="121" t="s">
        <v>722</v>
      </c>
      <c r="C52" s="121" t="s">
        <v>628</v>
      </c>
      <c r="D52" s="122">
        <v>73.569999999999993</v>
      </c>
      <c r="E52" s="121" t="s">
        <v>28</v>
      </c>
      <c r="F52" s="117"/>
    </row>
    <row r="53" spans="1:6" ht="16.5" customHeight="1">
      <c r="A53" s="121" t="s">
        <v>723</v>
      </c>
      <c r="B53" s="121" t="s">
        <v>724</v>
      </c>
      <c r="C53" s="121" t="s">
        <v>6</v>
      </c>
      <c r="D53" s="122">
        <v>78.83</v>
      </c>
      <c r="E53" s="121" t="s">
        <v>46</v>
      </c>
      <c r="F53" s="117"/>
    </row>
    <row r="54" spans="1:6" ht="15">
      <c r="A54" s="121" t="s">
        <v>725</v>
      </c>
      <c r="B54" s="121" t="s">
        <v>726</v>
      </c>
      <c r="C54" s="121" t="s">
        <v>628</v>
      </c>
      <c r="D54" s="122">
        <v>23.12</v>
      </c>
      <c r="E54" s="121" t="s">
        <v>13</v>
      </c>
      <c r="F54" s="117"/>
    </row>
    <row r="55" spans="1:6" ht="15">
      <c r="A55" s="121" t="s">
        <v>727</v>
      </c>
      <c r="B55" s="121" t="s">
        <v>728</v>
      </c>
      <c r="C55" s="121" t="s">
        <v>628</v>
      </c>
      <c r="D55" s="122">
        <v>104.05</v>
      </c>
      <c r="E55" s="121" t="s">
        <v>16</v>
      </c>
      <c r="F55" s="117"/>
    </row>
    <row r="56" spans="1:6" ht="15">
      <c r="A56" s="121" t="s">
        <v>729</v>
      </c>
      <c r="B56" s="121" t="s">
        <v>730</v>
      </c>
      <c r="C56" s="121" t="s">
        <v>628</v>
      </c>
      <c r="D56" s="122">
        <v>36.79</v>
      </c>
      <c r="E56" s="121" t="s">
        <v>3</v>
      </c>
      <c r="F56" s="117"/>
    </row>
    <row r="57" spans="1:6" ht="15">
      <c r="A57" s="121" t="s">
        <v>731</v>
      </c>
      <c r="B57" s="121" t="s">
        <v>732</v>
      </c>
      <c r="C57" s="121" t="s">
        <v>628</v>
      </c>
      <c r="D57" s="122">
        <v>26.28</v>
      </c>
      <c r="E57" s="121" t="s">
        <v>11</v>
      </c>
      <c r="F57" s="117"/>
    </row>
    <row r="58" spans="1:6" ht="15">
      <c r="A58" s="121" t="s">
        <v>733</v>
      </c>
      <c r="B58" s="121" t="s">
        <v>734</v>
      </c>
      <c r="C58" s="121" t="s">
        <v>628</v>
      </c>
      <c r="D58" s="122">
        <v>20.95</v>
      </c>
      <c r="E58" s="121" t="s">
        <v>16</v>
      </c>
      <c r="F58" s="117"/>
    </row>
    <row r="59" spans="1:6" ht="15">
      <c r="A59" s="121" t="s">
        <v>735</v>
      </c>
      <c r="B59" s="121" t="s">
        <v>736</v>
      </c>
      <c r="C59" s="121" t="s">
        <v>628</v>
      </c>
      <c r="D59" s="122">
        <v>0</v>
      </c>
      <c r="E59" s="121" t="s">
        <v>16</v>
      </c>
      <c r="F59" s="117"/>
    </row>
    <row r="60" spans="1:6" ht="15">
      <c r="A60" s="121" t="s">
        <v>737</v>
      </c>
      <c r="B60" s="121" t="s">
        <v>738</v>
      </c>
      <c r="C60" s="121" t="s">
        <v>628</v>
      </c>
      <c r="D60" s="122">
        <v>100.9</v>
      </c>
      <c r="E60" s="121" t="s">
        <v>11</v>
      </c>
      <c r="F60" s="117"/>
    </row>
    <row r="61" spans="1:6" ht="15">
      <c r="A61" s="121" t="s">
        <v>739</v>
      </c>
      <c r="B61" s="121" t="s">
        <v>199</v>
      </c>
      <c r="C61" s="121" t="s">
        <v>628</v>
      </c>
      <c r="D61" s="122">
        <v>59.91</v>
      </c>
      <c r="E61" s="121" t="s">
        <v>16</v>
      </c>
      <c r="F61" s="117"/>
    </row>
    <row r="62" spans="1:6" ht="15">
      <c r="A62" s="121" t="s">
        <v>740</v>
      </c>
      <c r="B62" s="121" t="s">
        <v>741</v>
      </c>
      <c r="C62" s="121" t="s">
        <v>628</v>
      </c>
      <c r="D62" s="122">
        <v>28.78</v>
      </c>
      <c r="E62" s="121" t="s">
        <v>23</v>
      </c>
      <c r="F62" s="117"/>
    </row>
    <row r="63" spans="1:6" ht="15">
      <c r="A63" s="121" t="s">
        <v>742</v>
      </c>
      <c r="B63" s="121" t="s">
        <v>743</v>
      </c>
      <c r="C63" s="121" t="s">
        <v>628</v>
      </c>
      <c r="D63" s="122">
        <v>254.86</v>
      </c>
      <c r="E63" s="121" t="s">
        <v>744</v>
      </c>
      <c r="F63" s="117"/>
    </row>
    <row r="64" spans="1:6" ht="15">
      <c r="A64" s="121" t="s">
        <v>745</v>
      </c>
      <c r="B64" s="121" t="s">
        <v>746</v>
      </c>
      <c r="C64" s="121" t="s">
        <v>628</v>
      </c>
      <c r="D64" s="122">
        <v>196.54</v>
      </c>
      <c r="E64" s="121" t="s">
        <v>13</v>
      </c>
      <c r="F64" s="117"/>
    </row>
    <row r="65" spans="1:6" ht="15">
      <c r="A65" s="121" t="s">
        <v>747</v>
      </c>
      <c r="B65" s="121" t="s">
        <v>748</v>
      </c>
      <c r="C65" s="121" t="s">
        <v>6</v>
      </c>
      <c r="D65" s="122">
        <v>732.55</v>
      </c>
      <c r="E65" s="121" t="s">
        <v>749</v>
      </c>
      <c r="F65" s="117"/>
    </row>
    <row r="66" spans="1:6" ht="15">
      <c r="A66" s="121" t="s">
        <v>750</v>
      </c>
      <c r="B66" s="121" t="s">
        <v>751</v>
      </c>
      <c r="C66" s="121" t="s">
        <v>0</v>
      </c>
      <c r="D66" s="122">
        <v>0</v>
      </c>
      <c r="E66" s="121" t="s">
        <v>3</v>
      </c>
      <c r="F66" s="117"/>
    </row>
    <row r="67" spans="1:6" ht="15">
      <c r="A67" s="121" t="s">
        <v>752</v>
      </c>
      <c r="B67" s="121" t="s">
        <v>199</v>
      </c>
      <c r="C67" s="121" t="s">
        <v>0</v>
      </c>
      <c r="D67" s="122">
        <v>3507.19</v>
      </c>
      <c r="E67" s="121" t="s">
        <v>3</v>
      </c>
      <c r="F67" s="117"/>
    </row>
    <row r="68" spans="1:6" ht="30">
      <c r="A68" s="121" t="s">
        <v>753</v>
      </c>
      <c r="B68" s="121" t="s">
        <v>754</v>
      </c>
      <c r="C68" s="121" t="s">
        <v>0</v>
      </c>
      <c r="D68" s="122">
        <v>0</v>
      </c>
      <c r="E68" s="121" t="s">
        <v>3</v>
      </c>
      <c r="F68" s="117"/>
    </row>
    <row r="69" spans="1:6" ht="30">
      <c r="A69" s="121" t="s">
        <v>755</v>
      </c>
      <c r="B69" s="121" t="s">
        <v>756</v>
      </c>
      <c r="C69" s="121" t="s">
        <v>0</v>
      </c>
      <c r="D69" s="122">
        <v>0</v>
      </c>
      <c r="E69" s="121" t="s">
        <v>3</v>
      </c>
      <c r="F69" s="117"/>
    </row>
    <row r="70" spans="1:6" ht="30">
      <c r="A70" s="121" t="s">
        <v>757</v>
      </c>
      <c r="B70" s="121" t="s">
        <v>758</v>
      </c>
      <c r="C70" s="121" t="s">
        <v>0</v>
      </c>
      <c r="D70" s="122">
        <v>0</v>
      </c>
      <c r="E70" s="121" t="s">
        <v>3</v>
      </c>
      <c r="F70" s="117"/>
    </row>
    <row r="71" spans="1:6" ht="30">
      <c r="A71" s="121" t="s">
        <v>759</v>
      </c>
      <c r="B71" s="121" t="s">
        <v>760</v>
      </c>
      <c r="C71" s="121" t="s">
        <v>0</v>
      </c>
      <c r="D71" s="122">
        <v>0</v>
      </c>
      <c r="E71" s="121" t="s">
        <v>3</v>
      </c>
      <c r="F71" s="117"/>
    </row>
    <row r="72" spans="1:6" ht="30">
      <c r="A72" s="121" t="s">
        <v>761</v>
      </c>
      <c r="B72" s="121" t="s">
        <v>762</v>
      </c>
      <c r="C72" s="121" t="s">
        <v>0</v>
      </c>
      <c r="D72" s="122">
        <v>0</v>
      </c>
      <c r="E72" s="121" t="s">
        <v>3</v>
      </c>
      <c r="F72" s="117"/>
    </row>
    <row r="73" spans="1:6" ht="15">
      <c r="A73" s="121" t="s">
        <v>763</v>
      </c>
      <c r="B73" s="121" t="s">
        <v>764</v>
      </c>
      <c r="C73" s="121" t="s">
        <v>0</v>
      </c>
      <c r="D73" s="122">
        <v>0</v>
      </c>
      <c r="E73" s="121" t="s">
        <v>3</v>
      </c>
      <c r="F73" s="117"/>
    </row>
    <row r="74" spans="1:6" ht="15">
      <c r="A74" s="121" t="s">
        <v>765</v>
      </c>
      <c r="B74" s="121" t="s">
        <v>766</v>
      </c>
      <c r="C74" s="121" t="s">
        <v>6</v>
      </c>
      <c r="D74" s="122">
        <v>212.3</v>
      </c>
      <c r="E74" s="121" t="s">
        <v>30</v>
      </c>
      <c r="F74" s="117"/>
    </row>
    <row r="75" spans="1:6" ht="30">
      <c r="A75" s="121" t="s">
        <v>767</v>
      </c>
      <c r="B75" s="121" t="s">
        <v>768</v>
      </c>
      <c r="C75" s="121" t="s">
        <v>6</v>
      </c>
      <c r="D75" s="122">
        <v>662.13</v>
      </c>
      <c r="E75" s="121" t="s">
        <v>32</v>
      </c>
      <c r="F75" s="117"/>
    </row>
    <row r="76" spans="1:6" ht="15">
      <c r="A76" s="121" t="s">
        <v>769</v>
      </c>
      <c r="B76" s="121" t="s">
        <v>770</v>
      </c>
      <c r="C76" s="121" t="s">
        <v>0</v>
      </c>
      <c r="D76" s="122">
        <v>530.76</v>
      </c>
      <c r="E76" s="121" t="s">
        <v>7</v>
      </c>
      <c r="F76" s="117"/>
    </row>
    <row r="77" spans="1:6" ht="15">
      <c r="A77" s="121" t="s">
        <v>771</v>
      </c>
      <c r="B77" s="121" t="s">
        <v>199</v>
      </c>
      <c r="C77" s="121" t="s">
        <v>628</v>
      </c>
      <c r="D77" s="122">
        <v>7835</v>
      </c>
      <c r="E77" s="121" t="s">
        <v>631</v>
      </c>
      <c r="F77" s="117"/>
    </row>
    <row r="78" spans="1:6" ht="15">
      <c r="A78" s="121" t="s">
        <v>772</v>
      </c>
      <c r="B78" s="121" t="s">
        <v>199</v>
      </c>
      <c r="C78" s="121" t="s">
        <v>628</v>
      </c>
      <c r="D78" s="122">
        <v>1074</v>
      </c>
      <c r="E78" s="121" t="s">
        <v>20</v>
      </c>
      <c r="F78" s="117"/>
    </row>
    <row r="79" spans="1:6" ht="15">
      <c r="A79" s="121" t="s">
        <v>773</v>
      </c>
      <c r="B79" s="121" t="s">
        <v>199</v>
      </c>
      <c r="C79" s="121" t="s">
        <v>774</v>
      </c>
      <c r="D79" s="122">
        <v>305</v>
      </c>
      <c r="E79" s="121" t="s">
        <v>744</v>
      </c>
      <c r="F79" s="117"/>
    </row>
    <row r="80" spans="1:6" ht="15">
      <c r="A80" s="121" t="s">
        <v>775</v>
      </c>
      <c r="B80" s="121" t="s">
        <v>776</v>
      </c>
      <c r="C80" s="121" t="s">
        <v>628</v>
      </c>
      <c r="D80" s="122">
        <v>309.95</v>
      </c>
      <c r="E80" s="121" t="s">
        <v>744</v>
      </c>
      <c r="F80" s="117"/>
    </row>
    <row r="81" spans="1:6" ht="15">
      <c r="A81" s="121" t="s">
        <v>777</v>
      </c>
      <c r="B81" s="121" t="s">
        <v>199</v>
      </c>
      <c r="C81" s="121" t="s">
        <v>628</v>
      </c>
      <c r="D81" s="122">
        <v>53.87</v>
      </c>
      <c r="E81" s="121" t="s">
        <v>664</v>
      </c>
      <c r="F81" s="117"/>
    </row>
    <row r="82" spans="1:6" ht="15">
      <c r="A82" s="121" t="s">
        <v>778</v>
      </c>
      <c r="B82" s="121" t="s">
        <v>779</v>
      </c>
      <c r="C82" s="121" t="s">
        <v>628</v>
      </c>
      <c r="D82" s="122">
        <v>94.59</v>
      </c>
      <c r="E82" s="121" t="s">
        <v>41</v>
      </c>
      <c r="F82" s="117"/>
    </row>
    <row r="83" spans="1:6" ht="15">
      <c r="A83" s="121" t="s">
        <v>780</v>
      </c>
      <c r="B83" s="121" t="s">
        <v>781</v>
      </c>
      <c r="C83" s="121" t="s">
        <v>628</v>
      </c>
      <c r="D83" s="122">
        <v>0</v>
      </c>
      <c r="E83" s="121" t="s">
        <v>41</v>
      </c>
      <c r="F83" s="117"/>
    </row>
    <row r="84" spans="1:6" ht="15">
      <c r="A84" s="121" t="s">
        <v>782</v>
      </c>
      <c r="B84" s="121" t="s">
        <v>783</v>
      </c>
      <c r="C84" s="121" t="s">
        <v>628</v>
      </c>
      <c r="D84" s="122">
        <v>0</v>
      </c>
      <c r="E84" s="121" t="s">
        <v>3</v>
      </c>
      <c r="F84" s="117"/>
    </row>
    <row r="85" spans="1:6" ht="15">
      <c r="A85" s="121" t="s">
        <v>784</v>
      </c>
      <c r="B85" s="121" t="s">
        <v>199</v>
      </c>
      <c r="C85" s="121" t="s">
        <v>628</v>
      </c>
      <c r="D85" s="122">
        <v>0</v>
      </c>
      <c r="E85" s="121" t="s">
        <v>3</v>
      </c>
      <c r="F85" s="117"/>
    </row>
    <row r="86" spans="1:6" ht="15">
      <c r="A86" s="121" t="s">
        <v>785</v>
      </c>
      <c r="B86" s="121" t="s">
        <v>199</v>
      </c>
      <c r="C86" s="121" t="s">
        <v>628</v>
      </c>
      <c r="D86" s="122">
        <v>240.68</v>
      </c>
      <c r="E86" s="121" t="s">
        <v>3</v>
      </c>
      <c r="F86" s="117"/>
    </row>
    <row r="87" spans="1:6" ht="15">
      <c r="A87" s="121" t="s">
        <v>786</v>
      </c>
      <c r="B87" s="121" t="s">
        <v>199</v>
      </c>
      <c r="C87" s="121" t="s">
        <v>628</v>
      </c>
      <c r="D87" s="122">
        <v>0</v>
      </c>
      <c r="E87" s="121" t="s">
        <v>3</v>
      </c>
      <c r="F87" s="117"/>
    </row>
    <row r="88" spans="1:6" ht="15">
      <c r="A88" s="121" t="s">
        <v>787</v>
      </c>
      <c r="B88" s="121" t="s">
        <v>788</v>
      </c>
      <c r="C88" s="121" t="s">
        <v>628</v>
      </c>
      <c r="D88" s="122">
        <v>472.95</v>
      </c>
      <c r="E88" s="121" t="s">
        <v>18</v>
      </c>
      <c r="F88" s="117"/>
    </row>
    <row r="89" spans="1:6" ht="15">
      <c r="A89" s="121" t="s">
        <v>789</v>
      </c>
      <c r="B89" s="121" t="s">
        <v>790</v>
      </c>
      <c r="C89" s="121" t="s">
        <v>628</v>
      </c>
      <c r="D89" s="122">
        <v>89.34</v>
      </c>
      <c r="E89" s="121" t="s">
        <v>17</v>
      </c>
      <c r="F89" s="117"/>
    </row>
    <row r="90" spans="1:6" ht="15">
      <c r="A90" s="121" t="s">
        <v>791</v>
      </c>
      <c r="B90" s="121" t="s">
        <v>792</v>
      </c>
      <c r="C90" s="121" t="s">
        <v>628</v>
      </c>
      <c r="D90" s="122">
        <v>63.06</v>
      </c>
      <c r="E90" s="121" t="s">
        <v>16</v>
      </c>
      <c r="F90" s="117"/>
    </row>
    <row r="91" spans="1:6" ht="15">
      <c r="A91" s="121" t="s">
        <v>793</v>
      </c>
      <c r="B91" s="121" t="s">
        <v>794</v>
      </c>
      <c r="C91" s="121" t="s">
        <v>628</v>
      </c>
      <c r="D91" s="122">
        <v>735.56</v>
      </c>
      <c r="E91" s="121" t="s">
        <v>744</v>
      </c>
      <c r="F91" s="117"/>
    </row>
    <row r="92" spans="1:6" ht="15">
      <c r="A92" s="121" t="s">
        <v>795</v>
      </c>
      <c r="B92" s="121" t="s">
        <v>796</v>
      </c>
      <c r="C92" s="121" t="s">
        <v>628</v>
      </c>
      <c r="D92" s="122">
        <v>257.25</v>
      </c>
      <c r="E92" s="121" t="s">
        <v>631</v>
      </c>
      <c r="F92" s="117"/>
    </row>
    <row r="93" spans="1:6" ht="15">
      <c r="A93" s="121" t="s">
        <v>797</v>
      </c>
      <c r="B93" s="121" t="s">
        <v>798</v>
      </c>
      <c r="C93" s="121" t="s">
        <v>628</v>
      </c>
      <c r="D93" s="122">
        <v>31.53</v>
      </c>
      <c r="E93" s="121" t="s">
        <v>11</v>
      </c>
      <c r="F93" s="117"/>
    </row>
    <row r="94" spans="1:6" ht="15">
      <c r="A94" s="121" t="s">
        <v>799</v>
      </c>
      <c r="B94" s="121" t="s">
        <v>800</v>
      </c>
      <c r="C94" s="121" t="s">
        <v>628</v>
      </c>
      <c r="D94" s="122">
        <v>59.91</v>
      </c>
      <c r="E94" s="121" t="s">
        <v>13</v>
      </c>
      <c r="F94" s="117"/>
    </row>
    <row r="95" spans="1:6" ht="15">
      <c r="A95" s="121" t="s">
        <v>801</v>
      </c>
      <c r="B95" s="121" t="s">
        <v>802</v>
      </c>
      <c r="C95" s="121" t="s">
        <v>628</v>
      </c>
      <c r="D95" s="122">
        <v>72.52</v>
      </c>
      <c r="E95" s="121" t="s">
        <v>744</v>
      </c>
      <c r="F95" s="117"/>
    </row>
    <row r="96" spans="1:6" ht="15">
      <c r="A96" s="121" t="s">
        <v>801</v>
      </c>
      <c r="B96" s="121" t="s">
        <v>802</v>
      </c>
      <c r="C96" s="121" t="s">
        <v>628</v>
      </c>
      <c r="D96" s="122">
        <v>73.569999999999993</v>
      </c>
      <c r="E96" s="121" t="s">
        <v>11</v>
      </c>
      <c r="F96" s="117"/>
    </row>
    <row r="97" spans="1:6" ht="15">
      <c r="A97" s="121" t="s">
        <v>803</v>
      </c>
      <c r="B97" s="121" t="s">
        <v>804</v>
      </c>
      <c r="C97" s="121" t="s">
        <v>628</v>
      </c>
      <c r="D97" s="122">
        <v>31.53</v>
      </c>
      <c r="E97" s="121" t="s">
        <v>13</v>
      </c>
      <c r="F97" s="117"/>
    </row>
    <row r="98" spans="1:6" ht="15">
      <c r="A98" s="121" t="s">
        <v>805</v>
      </c>
      <c r="B98" s="121" t="s">
        <v>806</v>
      </c>
      <c r="C98" s="121" t="s">
        <v>0</v>
      </c>
      <c r="D98" s="122">
        <v>159.75</v>
      </c>
      <c r="E98" s="121" t="s">
        <v>4</v>
      </c>
      <c r="F98" s="117"/>
    </row>
    <row r="99" spans="1:6" ht="15">
      <c r="A99" s="121" t="s">
        <v>807</v>
      </c>
      <c r="B99" s="121" t="s">
        <v>808</v>
      </c>
      <c r="C99" s="121" t="s">
        <v>628</v>
      </c>
      <c r="D99" s="122">
        <v>64.23</v>
      </c>
      <c r="E99" s="121" t="s">
        <v>744</v>
      </c>
      <c r="F99" s="117"/>
    </row>
    <row r="100" spans="1:6" ht="15">
      <c r="A100" s="121" t="s">
        <v>809</v>
      </c>
      <c r="B100" s="121" t="s">
        <v>810</v>
      </c>
      <c r="C100" s="121" t="s">
        <v>628</v>
      </c>
      <c r="D100" s="122">
        <v>12.61</v>
      </c>
      <c r="E100" s="121" t="s">
        <v>13</v>
      </c>
      <c r="F100" s="117"/>
    </row>
    <row r="101" spans="1:6" ht="15">
      <c r="A101" s="121" t="s">
        <v>811</v>
      </c>
      <c r="B101" s="121" t="s">
        <v>812</v>
      </c>
      <c r="C101" s="121" t="s">
        <v>628</v>
      </c>
      <c r="D101" s="122">
        <v>20.95</v>
      </c>
      <c r="E101" s="121" t="s">
        <v>16</v>
      </c>
      <c r="F101" s="117"/>
    </row>
    <row r="102" spans="1:6" ht="15">
      <c r="A102" s="121" t="s">
        <v>813</v>
      </c>
      <c r="B102" s="121" t="s">
        <v>814</v>
      </c>
      <c r="C102" s="121" t="s">
        <v>628</v>
      </c>
      <c r="D102" s="122">
        <v>193.51</v>
      </c>
      <c r="E102" s="121" t="s">
        <v>21</v>
      </c>
      <c r="F102" s="117"/>
    </row>
    <row r="103" spans="1:6" ht="15">
      <c r="A103" s="121" t="s">
        <v>815</v>
      </c>
      <c r="B103" s="121" t="s">
        <v>816</v>
      </c>
      <c r="C103" s="121" t="s">
        <v>628</v>
      </c>
      <c r="D103" s="122">
        <v>34.65</v>
      </c>
      <c r="E103" s="121" t="s">
        <v>29</v>
      </c>
      <c r="F103" s="117"/>
    </row>
    <row r="104" spans="1:6" s="105" customFormat="1" ht="15">
      <c r="A104" s="121" t="s">
        <v>817</v>
      </c>
      <c r="B104" s="121" t="s">
        <v>818</v>
      </c>
      <c r="C104" s="121" t="s">
        <v>0</v>
      </c>
      <c r="D104" s="122">
        <v>0</v>
      </c>
      <c r="E104" s="121" t="s">
        <v>8</v>
      </c>
      <c r="F104" s="123"/>
    </row>
    <row r="105" spans="1:6" s="106" customFormat="1" ht="15">
      <c r="A105" s="121" t="s">
        <v>819</v>
      </c>
      <c r="B105" s="121" t="s">
        <v>820</v>
      </c>
      <c r="C105" s="121" t="s">
        <v>0</v>
      </c>
      <c r="D105" s="122">
        <v>101.95</v>
      </c>
      <c r="E105" s="121" t="s">
        <v>28</v>
      </c>
      <c r="F105" s="124"/>
    </row>
    <row r="106" spans="1:6" s="106" customFormat="1" ht="15">
      <c r="A106" s="121" t="s">
        <v>821</v>
      </c>
      <c r="B106" s="121" t="s">
        <v>822</v>
      </c>
      <c r="C106" s="121" t="s">
        <v>628</v>
      </c>
      <c r="D106" s="122">
        <v>295.24</v>
      </c>
      <c r="E106" s="121" t="s">
        <v>29</v>
      </c>
      <c r="F106" s="124"/>
    </row>
    <row r="107" spans="1:6" s="106" customFormat="1" ht="15">
      <c r="A107" s="121" t="s">
        <v>823</v>
      </c>
      <c r="B107" s="121" t="s">
        <v>824</v>
      </c>
      <c r="C107" s="121" t="s">
        <v>0</v>
      </c>
      <c r="D107" s="122">
        <v>221.45</v>
      </c>
      <c r="E107" s="121" t="s">
        <v>13</v>
      </c>
      <c r="F107" s="124"/>
    </row>
    <row r="108" spans="1:6" s="106" customFormat="1" ht="15">
      <c r="A108" s="121" t="s">
        <v>825</v>
      </c>
      <c r="B108" s="121" t="s">
        <v>826</v>
      </c>
      <c r="C108" s="121" t="s">
        <v>6</v>
      </c>
      <c r="D108" s="122">
        <v>378.36</v>
      </c>
      <c r="E108" s="121" t="s">
        <v>38</v>
      </c>
      <c r="F108" s="124"/>
    </row>
    <row r="109" spans="1:6" s="106" customFormat="1" ht="15">
      <c r="A109" s="121" t="s">
        <v>827</v>
      </c>
      <c r="B109" s="121" t="s">
        <v>828</v>
      </c>
      <c r="C109" s="121" t="s">
        <v>628</v>
      </c>
      <c r="D109" s="122">
        <v>178.67</v>
      </c>
      <c r="E109" s="121" t="s">
        <v>3</v>
      </c>
      <c r="F109" s="124"/>
    </row>
    <row r="110" spans="1:6" s="106" customFormat="1" ht="15">
      <c r="A110" s="121" t="s">
        <v>829</v>
      </c>
      <c r="B110" s="121" t="s">
        <v>199</v>
      </c>
      <c r="C110" s="121" t="s">
        <v>628</v>
      </c>
      <c r="D110" s="122">
        <v>0</v>
      </c>
      <c r="E110" s="121" t="s">
        <v>39</v>
      </c>
      <c r="F110" s="124"/>
    </row>
    <row r="111" spans="1:6" s="106" customFormat="1" ht="30">
      <c r="A111" s="121" t="s">
        <v>830</v>
      </c>
      <c r="B111" s="121" t="s">
        <v>199</v>
      </c>
      <c r="C111" s="121" t="s">
        <v>628</v>
      </c>
      <c r="D111" s="122">
        <v>99.85</v>
      </c>
      <c r="E111" s="121" t="s">
        <v>20</v>
      </c>
      <c r="F111" s="124"/>
    </row>
    <row r="112" spans="1:6" s="106" customFormat="1" ht="30">
      <c r="A112" s="121" t="s">
        <v>831</v>
      </c>
      <c r="B112" s="121" t="s">
        <v>832</v>
      </c>
      <c r="C112" s="121" t="s">
        <v>628</v>
      </c>
      <c r="D112" s="122">
        <v>328.19</v>
      </c>
      <c r="E112" s="121" t="s">
        <v>30</v>
      </c>
      <c r="F112" s="124"/>
    </row>
    <row r="113" spans="1:6" s="106" customFormat="1" ht="30">
      <c r="A113" s="121" t="s">
        <v>833</v>
      </c>
      <c r="B113" s="121" t="s">
        <v>834</v>
      </c>
      <c r="C113" s="121" t="s">
        <v>628</v>
      </c>
      <c r="D113" s="122">
        <v>43.51</v>
      </c>
      <c r="E113" s="121" t="s">
        <v>664</v>
      </c>
      <c r="F113" s="124"/>
    </row>
    <row r="114" spans="1:6" s="106" customFormat="1" ht="15">
      <c r="A114" s="121" t="s">
        <v>835</v>
      </c>
      <c r="B114" s="121" t="s">
        <v>199</v>
      </c>
      <c r="C114" s="121" t="s">
        <v>628</v>
      </c>
      <c r="D114" s="122">
        <v>0</v>
      </c>
      <c r="E114" s="121" t="s">
        <v>664</v>
      </c>
      <c r="F114" s="124"/>
    </row>
    <row r="115" spans="1:6" s="106" customFormat="1" ht="15">
      <c r="A115" s="121" t="s">
        <v>836</v>
      </c>
      <c r="B115" s="121" t="s">
        <v>837</v>
      </c>
      <c r="C115" s="121" t="s">
        <v>628</v>
      </c>
      <c r="D115" s="122">
        <v>127.29</v>
      </c>
      <c r="E115" s="121" t="s">
        <v>12</v>
      </c>
      <c r="F115" s="124"/>
    </row>
    <row r="116" spans="1:6" s="106" customFormat="1" ht="15">
      <c r="A116" s="121" t="s">
        <v>838</v>
      </c>
      <c r="B116" s="121" t="s">
        <v>839</v>
      </c>
      <c r="C116" s="121" t="s">
        <v>628</v>
      </c>
      <c r="D116" s="122">
        <v>67.790000000000006</v>
      </c>
      <c r="E116" s="121" t="s">
        <v>1</v>
      </c>
      <c r="F116" s="124"/>
    </row>
    <row r="117" spans="1:6" s="106" customFormat="1" ht="15">
      <c r="A117" s="121" t="s">
        <v>840</v>
      </c>
      <c r="B117" s="121" t="s">
        <v>841</v>
      </c>
      <c r="C117" s="121" t="s">
        <v>0</v>
      </c>
      <c r="D117" s="122">
        <v>0</v>
      </c>
      <c r="E117" s="121" t="s">
        <v>8</v>
      </c>
      <c r="F117" s="124"/>
    </row>
    <row r="118" spans="1:6" s="106" customFormat="1" ht="15">
      <c r="A118" s="121" t="s">
        <v>842</v>
      </c>
      <c r="B118" s="121" t="s">
        <v>843</v>
      </c>
      <c r="C118" s="121" t="s">
        <v>0</v>
      </c>
      <c r="D118" s="122">
        <v>599.07000000000005</v>
      </c>
      <c r="E118" s="121" t="s">
        <v>844</v>
      </c>
      <c r="F118" s="124"/>
    </row>
    <row r="119" spans="1:6" s="106" customFormat="1" ht="15">
      <c r="A119" s="121" t="s">
        <v>845</v>
      </c>
      <c r="B119" s="121" t="s">
        <v>846</v>
      </c>
      <c r="C119" s="121" t="s">
        <v>628</v>
      </c>
      <c r="D119" s="122">
        <v>173.94</v>
      </c>
      <c r="E119" s="121" t="s">
        <v>14</v>
      </c>
      <c r="F119" s="124"/>
    </row>
    <row r="120" spans="1:6" s="106" customFormat="1" ht="15">
      <c r="A120" s="121" t="s">
        <v>847</v>
      </c>
      <c r="B120" s="121" t="s">
        <v>848</v>
      </c>
      <c r="C120" s="121" t="s">
        <v>628</v>
      </c>
      <c r="D120" s="122">
        <v>202.84</v>
      </c>
      <c r="E120" s="121" t="s">
        <v>7</v>
      </c>
      <c r="F120" s="124"/>
    </row>
    <row r="121" spans="1:6" s="106" customFormat="1" ht="15">
      <c r="A121" s="121" t="s">
        <v>849</v>
      </c>
      <c r="B121" s="121" t="s">
        <v>850</v>
      </c>
      <c r="C121" s="121" t="s">
        <v>0</v>
      </c>
      <c r="D121" s="122">
        <v>7201.45</v>
      </c>
      <c r="E121" s="121" t="s">
        <v>10</v>
      </c>
      <c r="F121" s="124"/>
    </row>
    <row r="122" spans="1:6" ht="15">
      <c r="A122" s="121" t="s">
        <v>851</v>
      </c>
      <c r="B122" s="121" t="s">
        <v>852</v>
      </c>
      <c r="C122" s="121" t="s">
        <v>6</v>
      </c>
      <c r="D122" s="122">
        <v>745.16</v>
      </c>
      <c r="E122" s="121" t="s">
        <v>11</v>
      </c>
      <c r="F122" s="117"/>
    </row>
    <row r="123" spans="1:6" ht="15">
      <c r="A123" s="121" t="s">
        <v>853</v>
      </c>
      <c r="B123" s="121" t="s">
        <v>854</v>
      </c>
      <c r="C123" s="121" t="s">
        <v>628</v>
      </c>
      <c r="D123" s="122">
        <v>62</v>
      </c>
      <c r="E123" s="121" t="s">
        <v>664</v>
      </c>
      <c r="F123" s="117"/>
    </row>
    <row r="124" spans="1:6" ht="15">
      <c r="A124" s="121" t="s">
        <v>855</v>
      </c>
      <c r="B124" s="121" t="s">
        <v>856</v>
      </c>
      <c r="C124" s="121" t="s">
        <v>0</v>
      </c>
      <c r="D124" s="122">
        <v>1214.96</v>
      </c>
      <c r="E124" s="121" t="s">
        <v>857</v>
      </c>
      <c r="F124" s="117"/>
    </row>
    <row r="125" spans="1:6" ht="15">
      <c r="A125" s="121" t="s">
        <v>858</v>
      </c>
      <c r="B125" s="121" t="s">
        <v>859</v>
      </c>
      <c r="C125" s="121" t="s">
        <v>628</v>
      </c>
      <c r="D125" s="122">
        <v>23.07</v>
      </c>
      <c r="E125" s="121" t="s">
        <v>11</v>
      </c>
      <c r="F125" s="117"/>
    </row>
    <row r="126" spans="1:6" ht="15">
      <c r="A126" s="121" t="s">
        <v>860</v>
      </c>
      <c r="B126" s="121" t="s">
        <v>861</v>
      </c>
      <c r="C126" s="121" t="s">
        <v>0</v>
      </c>
      <c r="D126" s="122">
        <v>349.98</v>
      </c>
      <c r="E126" s="121" t="s">
        <v>8</v>
      </c>
      <c r="F126" s="117"/>
    </row>
    <row r="127" spans="1:6" ht="15">
      <c r="A127" s="121" t="s">
        <v>862</v>
      </c>
      <c r="B127" s="121" t="s">
        <v>863</v>
      </c>
      <c r="C127" s="121" t="s">
        <v>628</v>
      </c>
      <c r="D127" s="122">
        <v>70.42</v>
      </c>
      <c r="E127" s="121" t="s">
        <v>11</v>
      </c>
      <c r="F127" s="117"/>
    </row>
    <row r="128" spans="1:6" ht="30">
      <c r="A128" s="121" t="s">
        <v>864</v>
      </c>
      <c r="B128" s="121" t="s">
        <v>865</v>
      </c>
      <c r="C128" s="121" t="s">
        <v>628</v>
      </c>
      <c r="D128" s="122">
        <v>93.06</v>
      </c>
      <c r="E128" s="121" t="s">
        <v>28</v>
      </c>
      <c r="F128" s="117"/>
    </row>
    <row r="129" spans="1:6" ht="15">
      <c r="A129" s="121" t="s">
        <v>866</v>
      </c>
      <c r="B129" s="121" t="s">
        <v>867</v>
      </c>
      <c r="C129" s="121" t="s">
        <v>0</v>
      </c>
      <c r="D129" s="122">
        <v>334.22</v>
      </c>
      <c r="E129" s="121" t="s">
        <v>32</v>
      </c>
      <c r="F129" s="117"/>
    </row>
    <row r="130" spans="1:6" ht="15">
      <c r="A130" s="121" t="s">
        <v>868</v>
      </c>
      <c r="B130" s="121" t="s">
        <v>869</v>
      </c>
      <c r="C130" s="121" t="s">
        <v>6</v>
      </c>
      <c r="D130" s="122">
        <v>530.76</v>
      </c>
      <c r="E130" s="121" t="s">
        <v>7</v>
      </c>
      <c r="F130" s="117"/>
    </row>
    <row r="131" spans="1:6" ht="15">
      <c r="A131" s="121" t="s">
        <v>870</v>
      </c>
      <c r="B131" s="121" t="s">
        <v>871</v>
      </c>
      <c r="C131" s="121" t="s">
        <v>628</v>
      </c>
      <c r="D131" s="122">
        <v>21.02</v>
      </c>
      <c r="E131" s="121" t="s">
        <v>29</v>
      </c>
      <c r="F131" s="117"/>
    </row>
    <row r="132" spans="1:6" ht="15">
      <c r="A132" s="121" t="s">
        <v>872</v>
      </c>
      <c r="B132" s="121" t="s">
        <v>873</v>
      </c>
      <c r="C132" s="121" t="s">
        <v>6</v>
      </c>
      <c r="D132" s="122">
        <v>0</v>
      </c>
      <c r="E132" s="121" t="s">
        <v>23</v>
      </c>
      <c r="F132" s="117"/>
    </row>
    <row r="133" spans="1:6" ht="15">
      <c r="A133" s="121" t="s">
        <v>874</v>
      </c>
      <c r="B133" s="121" t="s">
        <v>875</v>
      </c>
      <c r="C133" s="121" t="s">
        <v>6</v>
      </c>
      <c r="D133" s="122">
        <v>0</v>
      </c>
      <c r="E133" s="121" t="s">
        <v>23</v>
      </c>
      <c r="F133" s="117"/>
    </row>
    <row r="134" spans="1:6" ht="15">
      <c r="A134" s="121" t="s">
        <v>876</v>
      </c>
      <c r="B134" s="121" t="s">
        <v>877</v>
      </c>
      <c r="C134" s="121" t="s">
        <v>628</v>
      </c>
      <c r="D134" s="122">
        <v>158.63999999999999</v>
      </c>
      <c r="E134" s="121" t="s">
        <v>31</v>
      </c>
      <c r="F134" s="117"/>
    </row>
    <row r="135" spans="1:6" ht="15">
      <c r="A135" s="121" t="s">
        <v>878</v>
      </c>
      <c r="B135" s="121" t="s">
        <v>879</v>
      </c>
      <c r="C135" s="121" t="s">
        <v>628</v>
      </c>
      <c r="D135" s="122">
        <v>68.38</v>
      </c>
      <c r="E135" s="121" t="s">
        <v>744</v>
      </c>
      <c r="F135" s="117"/>
    </row>
    <row r="136" spans="1:6" ht="15">
      <c r="A136" s="121" t="s">
        <v>880</v>
      </c>
      <c r="B136" s="121" t="s">
        <v>881</v>
      </c>
      <c r="C136" s="121" t="s">
        <v>628</v>
      </c>
      <c r="D136" s="122">
        <v>41.39</v>
      </c>
      <c r="E136" s="121" t="s">
        <v>744</v>
      </c>
      <c r="F136" s="117"/>
    </row>
    <row r="137" spans="1:6" ht="15">
      <c r="A137" s="121" t="s">
        <v>882</v>
      </c>
      <c r="B137" s="121" t="s">
        <v>883</v>
      </c>
      <c r="C137" s="121" t="s">
        <v>0</v>
      </c>
      <c r="D137" s="122">
        <v>141.88999999999999</v>
      </c>
      <c r="E137" s="121" t="s">
        <v>13</v>
      </c>
      <c r="F137" s="117"/>
    </row>
    <row r="138" spans="1:6" ht="15">
      <c r="A138" s="121" t="s">
        <v>884</v>
      </c>
      <c r="B138" s="121" t="s">
        <v>885</v>
      </c>
      <c r="C138" s="121" t="s">
        <v>628</v>
      </c>
      <c r="D138" s="122">
        <v>162.91</v>
      </c>
      <c r="E138" s="121" t="s">
        <v>38</v>
      </c>
      <c r="F138" s="117"/>
    </row>
    <row r="139" spans="1:6" ht="15">
      <c r="A139" s="121" t="s">
        <v>886</v>
      </c>
      <c r="B139" s="121" t="s">
        <v>887</v>
      </c>
      <c r="C139" s="121" t="s">
        <v>628</v>
      </c>
      <c r="D139" s="122">
        <v>161.08000000000001</v>
      </c>
      <c r="E139" s="121" t="s">
        <v>21</v>
      </c>
      <c r="F139" s="117"/>
    </row>
    <row r="140" spans="1:6" ht="15">
      <c r="A140" s="121" t="s">
        <v>888</v>
      </c>
      <c r="B140" s="121" t="s">
        <v>889</v>
      </c>
      <c r="C140" s="121" t="s">
        <v>628</v>
      </c>
      <c r="D140" s="122">
        <v>170.5</v>
      </c>
      <c r="E140" s="121" t="s">
        <v>21</v>
      </c>
      <c r="F140" s="117"/>
    </row>
    <row r="141" spans="1:6" ht="15">
      <c r="A141" s="121" t="s">
        <v>890</v>
      </c>
      <c r="B141" s="121" t="s">
        <v>891</v>
      </c>
      <c r="C141" s="121" t="s">
        <v>628</v>
      </c>
      <c r="D141" s="122">
        <v>145.04</v>
      </c>
      <c r="E141" s="121" t="s">
        <v>21</v>
      </c>
      <c r="F141" s="117"/>
    </row>
    <row r="142" spans="1:6" ht="15">
      <c r="A142" s="121" t="s">
        <v>892</v>
      </c>
      <c r="B142" s="121" t="s">
        <v>893</v>
      </c>
      <c r="C142" s="121" t="s">
        <v>628</v>
      </c>
      <c r="D142" s="122">
        <v>212.34</v>
      </c>
      <c r="E142" s="121" t="s">
        <v>21</v>
      </c>
      <c r="F142" s="117"/>
    </row>
    <row r="143" spans="1:6" ht="15">
      <c r="A143" s="121" t="s">
        <v>894</v>
      </c>
      <c r="B143" s="121" t="s">
        <v>895</v>
      </c>
      <c r="C143" s="121" t="s">
        <v>628</v>
      </c>
      <c r="D143" s="122">
        <v>186.03</v>
      </c>
      <c r="E143" s="121" t="s">
        <v>21</v>
      </c>
      <c r="F143" s="117"/>
    </row>
    <row r="144" spans="1:6" ht="15">
      <c r="A144" s="121" t="s">
        <v>896</v>
      </c>
      <c r="B144" s="121" t="s">
        <v>897</v>
      </c>
      <c r="C144" s="121" t="s">
        <v>898</v>
      </c>
      <c r="D144" s="122">
        <v>62.16</v>
      </c>
      <c r="E144" s="121" t="s">
        <v>664</v>
      </c>
      <c r="F144" s="117"/>
    </row>
    <row r="145" spans="1:6" ht="15">
      <c r="A145" s="121" t="s">
        <v>899</v>
      </c>
      <c r="B145" s="121" t="s">
        <v>900</v>
      </c>
      <c r="C145" s="121" t="s">
        <v>0</v>
      </c>
      <c r="D145" s="122">
        <v>91.44</v>
      </c>
      <c r="E145" s="121" t="s">
        <v>857</v>
      </c>
      <c r="F145" s="117"/>
    </row>
    <row r="146" spans="1:6" ht="15">
      <c r="A146" s="121" t="s">
        <v>901</v>
      </c>
      <c r="B146" s="121" t="s">
        <v>199</v>
      </c>
      <c r="C146" s="121" t="s">
        <v>774</v>
      </c>
      <c r="D146" s="122">
        <v>87.86</v>
      </c>
      <c r="E146" s="121" t="s">
        <v>664</v>
      </c>
      <c r="F146" s="117"/>
    </row>
    <row r="147" spans="1:6" ht="15">
      <c r="A147" s="121" t="s">
        <v>902</v>
      </c>
      <c r="B147" s="121" t="s">
        <v>903</v>
      </c>
      <c r="C147" s="121" t="s">
        <v>628</v>
      </c>
      <c r="D147" s="122">
        <v>0</v>
      </c>
      <c r="E147" s="121" t="s">
        <v>664</v>
      </c>
      <c r="F147" s="117"/>
    </row>
    <row r="148" spans="1:6" ht="15">
      <c r="A148" s="121" t="s">
        <v>904</v>
      </c>
      <c r="B148" s="121" t="s">
        <v>905</v>
      </c>
      <c r="C148" s="121" t="s">
        <v>628</v>
      </c>
      <c r="D148" s="122">
        <v>84.95</v>
      </c>
      <c r="E148" s="121" t="s">
        <v>664</v>
      </c>
      <c r="F148" s="117"/>
    </row>
    <row r="149" spans="1:6" ht="15">
      <c r="A149" s="121" t="s">
        <v>906</v>
      </c>
      <c r="B149" s="121" t="s">
        <v>907</v>
      </c>
      <c r="C149" s="121" t="s">
        <v>628</v>
      </c>
      <c r="D149" s="122">
        <v>36.79</v>
      </c>
      <c r="E149" s="121" t="s">
        <v>11</v>
      </c>
      <c r="F149" s="117"/>
    </row>
    <row r="150" spans="1:6" ht="15">
      <c r="A150" s="121" t="s">
        <v>908</v>
      </c>
      <c r="B150" s="121" t="s">
        <v>909</v>
      </c>
      <c r="C150" s="121" t="s">
        <v>628</v>
      </c>
      <c r="D150" s="122">
        <v>268.01</v>
      </c>
      <c r="E150" s="121" t="s">
        <v>17</v>
      </c>
      <c r="F150" s="117"/>
    </row>
    <row r="151" spans="1:6" ht="15">
      <c r="A151" s="121" t="s">
        <v>910</v>
      </c>
      <c r="B151" s="121" t="s">
        <v>911</v>
      </c>
      <c r="C151" s="121" t="s">
        <v>0</v>
      </c>
      <c r="D151" s="122">
        <v>1429.36</v>
      </c>
      <c r="E151" s="121" t="s">
        <v>857</v>
      </c>
      <c r="F151" s="117"/>
    </row>
    <row r="152" spans="1:6" ht="15">
      <c r="A152" s="121" t="s">
        <v>912</v>
      </c>
      <c r="B152" s="121" t="s">
        <v>913</v>
      </c>
      <c r="C152" s="121" t="s">
        <v>628</v>
      </c>
      <c r="D152" s="122">
        <v>156.6</v>
      </c>
      <c r="E152" s="121" t="s">
        <v>41</v>
      </c>
      <c r="F152" s="117"/>
    </row>
    <row r="153" spans="1:6" ht="15">
      <c r="A153" s="121" t="s">
        <v>914</v>
      </c>
      <c r="B153" s="121" t="s">
        <v>915</v>
      </c>
      <c r="C153" s="121" t="s">
        <v>628</v>
      </c>
      <c r="D153" s="122">
        <v>206.95</v>
      </c>
      <c r="E153" s="121" t="s">
        <v>13</v>
      </c>
      <c r="F153" s="117"/>
    </row>
    <row r="154" spans="1:6" ht="15">
      <c r="A154" s="121" t="s">
        <v>916</v>
      </c>
      <c r="B154" s="121" t="s">
        <v>917</v>
      </c>
      <c r="C154" s="121" t="s">
        <v>6</v>
      </c>
      <c r="D154" s="122">
        <v>119.81</v>
      </c>
      <c r="E154" s="121" t="s">
        <v>11</v>
      </c>
      <c r="F154" s="117"/>
    </row>
    <row r="155" spans="1:6" ht="15">
      <c r="A155" s="121" t="s">
        <v>918</v>
      </c>
      <c r="B155" s="121" t="s">
        <v>919</v>
      </c>
      <c r="C155" s="121" t="s">
        <v>920</v>
      </c>
      <c r="D155" s="122">
        <v>787.19</v>
      </c>
      <c r="E155" s="121" t="s">
        <v>744</v>
      </c>
      <c r="F155" s="117"/>
    </row>
    <row r="156" spans="1:6" ht="15">
      <c r="A156" s="121" t="s">
        <v>921</v>
      </c>
      <c r="B156" s="121" t="s">
        <v>199</v>
      </c>
      <c r="C156" s="121" t="s">
        <v>628</v>
      </c>
      <c r="D156" s="122">
        <v>0</v>
      </c>
      <c r="E156" s="121" t="s">
        <v>3</v>
      </c>
      <c r="F156" s="117"/>
    </row>
    <row r="157" spans="1:6" ht="15">
      <c r="A157" s="121" t="s">
        <v>922</v>
      </c>
      <c r="B157" s="121" t="s">
        <v>923</v>
      </c>
      <c r="C157" s="121" t="s">
        <v>628</v>
      </c>
      <c r="D157" s="122">
        <v>1101.8</v>
      </c>
      <c r="E157" s="121" t="s">
        <v>631</v>
      </c>
      <c r="F157" s="117"/>
    </row>
    <row r="158" spans="1:6" ht="15">
      <c r="A158" s="121" t="s">
        <v>924</v>
      </c>
      <c r="B158" s="121" t="s">
        <v>925</v>
      </c>
      <c r="C158" s="121" t="s">
        <v>628</v>
      </c>
      <c r="D158" s="122">
        <v>58.99</v>
      </c>
      <c r="E158" s="121" t="s">
        <v>44</v>
      </c>
      <c r="F158" s="117"/>
    </row>
    <row r="159" spans="1:6" ht="30">
      <c r="A159" s="121" t="s">
        <v>926</v>
      </c>
      <c r="B159" s="121" t="s">
        <v>927</v>
      </c>
      <c r="C159" s="121" t="s">
        <v>628</v>
      </c>
      <c r="D159" s="122">
        <v>404.98</v>
      </c>
      <c r="E159" s="121" t="s">
        <v>19</v>
      </c>
      <c r="F159" s="117"/>
    </row>
    <row r="160" spans="1:6" ht="15">
      <c r="A160" s="121" t="s">
        <v>928</v>
      </c>
      <c r="B160" s="121" t="s">
        <v>929</v>
      </c>
      <c r="C160" s="121" t="s">
        <v>628</v>
      </c>
      <c r="D160" s="122">
        <v>546.52</v>
      </c>
      <c r="E160" s="121" t="s">
        <v>3</v>
      </c>
      <c r="F160" s="117"/>
    </row>
    <row r="161" spans="1:6" ht="30">
      <c r="A161" s="121" t="s">
        <v>930</v>
      </c>
      <c r="B161" s="121" t="s">
        <v>931</v>
      </c>
      <c r="C161" s="121" t="s">
        <v>0</v>
      </c>
      <c r="D161" s="122">
        <v>387.82</v>
      </c>
      <c r="E161" s="121" t="s">
        <v>857</v>
      </c>
      <c r="F161" s="117"/>
    </row>
    <row r="162" spans="1:6" ht="15">
      <c r="A162" s="121" t="s">
        <v>932</v>
      </c>
      <c r="B162" s="121" t="s">
        <v>933</v>
      </c>
      <c r="C162" s="121" t="s">
        <v>628</v>
      </c>
      <c r="D162" s="122">
        <v>109.3</v>
      </c>
      <c r="E162" s="121" t="s">
        <v>10</v>
      </c>
      <c r="F162" s="117"/>
    </row>
    <row r="163" spans="1:6" ht="15">
      <c r="A163" s="121" t="s">
        <v>934</v>
      </c>
      <c r="B163" s="121" t="s">
        <v>935</v>
      </c>
      <c r="C163" s="121" t="s">
        <v>0</v>
      </c>
      <c r="D163" s="122">
        <v>199.69</v>
      </c>
      <c r="E163" s="121" t="s">
        <v>3</v>
      </c>
      <c r="F163" s="117"/>
    </row>
    <row r="164" spans="1:6" ht="15">
      <c r="A164" s="121" t="s">
        <v>936</v>
      </c>
      <c r="B164" s="121" t="s">
        <v>937</v>
      </c>
      <c r="C164" s="121" t="s">
        <v>6</v>
      </c>
      <c r="D164" s="122">
        <v>380.21</v>
      </c>
      <c r="E164" s="121" t="s">
        <v>664</v>
      </c>
      <c r="F164" s="117"/>
    </row>
    <row r="165" spans="1:6" ht="15">
      <c r="A165" s="121" t="s">
        <v>938</v>
      </c>
      <c r="B165" s="121" t="s">
        <v>939</v>
      </c>
      <c r="C165" s="121" t="s">
        <v>0</v>
      </c>
      <c r="D165" s="122">
        <v>396.23</v>
      </c>
      <c r="E165" s="121" t="s">
        <v>7</v>
      </c>
      <c r="F165" s="117"/>
    </row>
    <row r="166" spans="1:6" ht="15">
      <c r="A166" s="121" t="s">
        <v>940</v>
      </c>
      <c r="B166" s="121" t="s">
        <v>941</v>
      </c>
      <c r="C166" s="121" t="s">
        <v>628</v>
      </c>
      <c r="D166" s="122">
        <v>93.01</v>
      </c>
      <c r="E166" s="121" t="s">
        <v>11</v>
      </c>
      <c r="F166" s="117"/>
    </row>
    <row r="167" spans="1:6" ht="15">
      <c r="A167" s="121" t="s">
        <v>942</v>
      </c>
      <c r="B167" s="121" t="s">
        <v>943</v>
      </c>
      <c r="C167" s="121" t="s">
        <v>628</v>
      </c>
      <c r="D167" s="122">
        <v>598.80999999999995</v>
      </c>
      <c r="E167" s="121" t="s">
        <v>744</v>
      </c>
      <c r="F167" s="117"/>
    </row>
    <row r="168" spans="1:6" ht="15">
      <c r="A168" s="121" t="s">
        <v>944</v>
      </c>
      <c r="B168" s="121" t="s">
        <v>945</v>
      </c>
      <c r="C168" s="121" t="s">
        <v>628</v>
      </c>
      <c r="D168" s="122">
        <v>1519.51</v>
      </c>
      <c r="E168" s="121" t="s">
        <v>744</v>
      </c>
      <c r="F168" s="117"/>
    </row>
    <row r="169" spans="1:6" ht="15">
      <c r="A169" s="121" t="s">
        <v>946</v>
      </c>
      <c r="B169" s="121" t="s">
        <v>947</v>
      </c>
      <c r="C169" s="121" t="s">
        <v>0</v>
      </c>
      <c r="D169" s="122">
        <v>368.9</v>
      </c>
      <c r="E169" s="121" t="s">
        <v>857</v>
      </c>
      <c r="F169" s="117"/>
    </row>
    <row r="170" spans="1:6" ht="15">
      <c r="A170" s="121" t="s">
        <v>948</v>
      </c>
      <c r="B170" s="121" t="s">
        <v>949</v>
      </c>
      <c r="C170" s="121" t="s">
        <v>0</v>
      </c>
      <c r="D170" s="122">
        <v>1883.01</v>
      </c>
      <c r="E170" s="121" t="s">
        <v>857</v>
      </c>
      <c r="F170" s="117"/>
    </row>
    <row r="171" spans="1:6" ht="15">
      <c r="A171" s="121" t="s">
        <v>950</v>
      </c>
      <c r="B171" s="121" t="s">
        <v>951</v>
      </c>
      <c r="C171" s="121" t="s">
        <v>628</v>
      </c>
      <c r="D171" s="122">
        <v>182.34</v>
      </c>
      <c r="E171" s="121" t="s">
        <v>744</v>
      </c>
      <c r="F171" s="117"/>
    </row>
    <row r="172" spans="1:6" ht="15">
      <c r="A172" s="121" t="s">
        <v>952</v>
      </c>
      <c r="B172" s="121" t="s">
        <v>951</v>
      </c>
      <c r="C172" s="121" t="s">
        <v>628</v>
      </c>
      <c r="D172" s="122">
        <v>206.95</v>
      </c>
      <c r="E172" s="121" t="s">
        <v>744</v>
      </c>
      <c r="F172" s="117"/>
    </row>
    <row r="173" spans="1:6" ht="15">
      <c r="A173" s="121" t="s">
        <v>953</v>
      </c>
      <c r="B173" s="121" t="s">
        <v>954</v>
      </c>
      <c r="C173" s="121" t="s">
        <v>0</v>
      </c>
      <c r="D173" s="122">
        <v>998.45</v>
      </c>
      <c r="E173" s="121" t="s">
        <v>3</v>
      </c>
      <c r="F173" s="117"/>
    </row>
    <row r="174" spans="1:6" ht="30">
      <c r="A174" s="121" t="s">
        <v>955</v>
      </c>
      <c r="B174" s="121" t="s">
        <v>956</v>
      </c>
      <c r="C174" s="121" t="s">
        <v>628</v>
      </c>
      <c r="D174" s="122">
        <v>153.93</v>
      </c>
      <c r="E174" s="121" t="s">
        <v>11</v>
      </c>
      <c r="F174" s="117"/>
    </row>
    <row r="175" spans="1:6" ht="15">
      <c r="A175" s="121" t="s">
        <v>957</v>
      </c>
      <c r="B175" s="121" t="s">
        <v>958</v>
      </c>
      <c r="C175" s="121" t="s">
        <v>6</v>
      </c>
      <c r="D175" s="122">
        <v>399.38</v>
      </c>
      <c r="E175" s="121" t="s">
        <v>30</v>
      </c>
      <c r="F175" s="117"/>
    </row>
    <row r="176" spans="1:6" ht="15">
      <c r="A176" s="121" t="s">
        <v>959</v>
      </c>
      <c r="B176" s="121" t="s">
        <v>960</v>
      </c>
      <c r="C176" s="121" t="s">
        <v>628</v>
      </c>
      <c r="D176" s="122">
        <v>3160.36</v>
      </c>
      <c r="E176" s="121" t="s">
        <v>12</v>
      </c>
      <c r="F176" s="117"/>
    </row>
    <row r="177" spans="1:6" ht="15">
      <c r="A177" s="121" t="s">
        <v>961</v>
      </c>
      <c r="B177" s="121" t="s">
        <v>962</v>
      </c>
      <c r="C177" s="121" t="s">
        <v>6</v>
      </c>
      <c r="D177" s="122">
        <v>384.67</v>
      </c>
      <c r="E177" s="121" t="s">
        <v>30</v>
      </c>
      <c r="F177" s="117"/>
    </row>
    <row r="178" spans="1:6" ht="15">
      <c r="A178" s="121" t="s">
        <v>963</v>
      </c>
      <c r="B178" s="121" t="s">
        <v>199</v>
      </c>
      <c r="C178" s="121" t="s">
        <v>628</v>
      </c>
      <c r="D178" s="122">
        <v>119</v>
      </c>
      <c r="E178" s="121" t="s">
        <v>844</v>
      </c>
      <c r="F178" s="117"/>
    </row>
    <row r="179" spans="1:6" ht="15">
      <c r="A179" s="121" t="s">
        <v>964</v>
      </c>
      <c r="B179" s="121" t="s">
        <v>199</v>
      </c>
      <c r="C179" s="121" t="s">
        <v>628</v>
      </c>
      <c r="D179" s="122">
        <v>0</v>
      </c>
      <c r="E179" s="121" t="s">
        <v>3</v>
      </c>
      <c r="F179" s="117"/>
    </row>
    <row r="180" spans="1:6" ht="15">
      <c r="A180" s="121" t="s">
        <v>965</v>
      </c>
      <c r="B180" s="121" t="s">
        <v>199</v>
      </c>
      <c r="C180" s="121" t="s">
        <v>628</v>
      </c>
      <c r="D180" s="122">
        <v>75.67</v>
      </c>
      <c r="E180" s="121" t="s">
        <v>3</v>
      </c>
      <c r="F180" s="117"/>
    </row>
    <row r="181" spans="1:6" ht="15">
      <c r="A181" s="121" t="s">
        <v>966</v>
      </c>
      <c r="B181" s="121" t="s">
        <v>967</v>
      </c>
      <c r="C181" s="121" t="s">
        <v>628</v>
      </c>
      <c r="D181" s="122">
        <v>107.2</v>
      </c>
      <c r="E181" s="121" t="s">
        <v>3</v>
      </c>
      <c r="F181" s="117"/>
    </row>
    <row r="182" spans="1:6" ht="15">
      <c r="A182" s="121" t="s">
        <v>968</v>
      </c>
      <c r="B182" s="121" t="s">
        <v>199</v>
      </c>
      <c r="C182" s="121" t="s">
        <v>628</v>
      </c>
      <c r="D182" s="122">
        <v>0</v>
      </c>
      <c r="E182" s="121" t="s">
        <v>16</v>
      </c>
      <c r="F182" s="117"/>
    </row>
    <row r="183" spans="1:6" ht="30">
      <c r="A183" s="121" t="s">
        <v>969</v>
      </c>
      <c r="B183" s="121" t="s">
        <v>970</v>
      </c>
      <c r="C183" s="121" t="s">
        <v>628</v>
      </c>
      <c r="D183" s="122">
        <v>36</v>
      </c>
      <c r="E183" s="121" t="s">
        <v>3</v>
      </c>
      <c r="F183" s="117"/>
    </row>
    <row r="184" spans="1:6" ht="15">
      <c r="A184" s="121" t="s">
        <v>971</v>
      </c>
      <c r="B184" s="121" t="s">
        <v>972</v>
      </c>
      <c r="C184" s="121" t="s">
        <v>628</v>
      </c>
      <c r="D184" s="122">
        <v>348.93</v>
      </c>
      <c r="E184" s="121" t="s">
        <v>3</v>
      </c>
      <c r="F184" s="117"/>
    </row>
    <row r="185" spans="1:6" ht="15">
      <c r="A185" s="121" t="s">
        <v>973</v>
      </c>
      <c r="B185" s="121" t="s">
        <v>974</v>
      </c>
      <c r="C185" s="121" t="s">
        <v>628</v>
      </c>
      <c r="D185" s="122">
        <v>99.85</v>
      </c>
      <c r="E185" s="121" t="s">
        <v>28</v>
      </c>
      <c r="F185" s="117"/>
    </row>
    <row r="186" spans="1:6" ht="15">
      <c r="A186" s="121" t="s">
        <v>975</v>
      </c>
      <c r="B186" s="121" t="s">
        <v>976</v>
      </c>
      <c r="C186" s="121" t="s">
        <v>6</v>
      </c>
      <c r="D186" s="122">
        <v>253.84</v>
      </c>
      <c r="E186" s="121" t="s">
        <v>744</v>
      </c>
      <c r="F186" s="117"/>
    </row>
    <row r="187" spans="1:6" ht="15">
      <c r="A187" s="121" t="s">
        <v>977</v>
      </c>
      <c r="B187" s="121" t="s">
        <v>978</v>
      </c>
      <c r="C187" s="121" t="s">
        <v>628</v>
      </c>
      <c r="D187" s="122">
        <v>816.84</v>
      </c>
      <c r="E187" s="121" t="s">
        <v>744</v>
      </c>
      <c r="F187" s="117"/>
    </row>
    <row r="188" spans="1:6" ht="15">
      <c r="A188" s="121" t="s">
        <v>979</v>
      </c>
      <c r="B188" s="121" t="s">
        <v>980</v>
      </c>
      <c r="C188" s="121" t="s">
        <v>981</v>
      </c>
      <c r="D188" s="122">
        <v>408.81</v>
      </c>
      <c r="E188" s="121" t="s">
        <v>744</v>
      </c>
      <c r="F188" s="117"/>
    </row>
    <row r="189" spans="1:6" ht="15">
      <c r="A189" s="121" t="s">
        <v>982</v>
      </c>
      <c r="B189" s="121" t="s">
        <v>983</v>
      </c>
      <c r="C189" s="121" t="s">
        <v>6</v>
      </c>
      <c r="D189" s="122">
        <v>374.15</v>
      </c>
      <c r="E189" s="121" t="s">
        <v>664</v>
      </c>
      <c r="F189" s="117"/>
    </row>
    <row r="190" spans="1:6" ht="15">
      <c r="A190" s="121" t="s">
        <v>984</v>
      </c>
      <c r="B190" s="121" t="s">
        <v>985</v>
      </c>
      <c r="C190" s="121" t="s">
        <v>628</v>
      </c>
      <c r="D190" s="122">
        <v>0</v>
      </c>
      <c r="E190" s="121" t="s">
        <v>664</v>
      </c>
      <c r="F190" s="117"/>
    </row>
    <row r="191" spans="1:6" ht="15">
      <c r="A191" s="121" t="s">
        <v>986</v>
      </c>
      <c r="B191" s="121" t="s">
        <v>987</v>
      </c>
      <c r="C191" s="121" t="s">
        <v>628</v>
      </c>
      <c r="D191" s="122">
        <v>112.5</v>
      </c>
      <c r="E191" s="121" t="s">
        <v>22</v>
      </c>
      <c r="F191" s="117"/>
    </row>
    <row r="192" spans="1:6" ht="15">
      <c r="A192" s="121" t="s">
        <v>988</v>
      </c>
      <c r="B192" s="121" t="s">
        <v>989</v>
      </c>
      <c r="C192" s="121" t="s">
        <v>6</v>
      </c>
      <c r="D192" s="122">
        <v>272.47000000000003</v>
      </c>
      <c r="E192" s="121" t="s">
        <v>749</v>
      </c>
      <c r="F192" s="117"/>
    </row>
    <row r="193" spans="1:6" ht="30">
      <c r="A193" s="121" t="s">
        <v>990</v>
      </c>
      <c r="B193" s="121" t="s">
        <v>991</v>
      </c>
      <c r="C193" s="121" t="s">
        <v>628</v>
      </c>
      <c r="D193" s="122">
        <v>115.61</v>
      </c>
      <c r="E193" s="121" t="s">
        <v>14</v>
      </c>
      <c r="F193" s="117"/>
    </row>
    <row r="194" spans="1:6" ht="15">
      <c r="A194" s="121" t="s">
        <v>992</v>
      </c>
      <c r="B194" s="121" t="s">
        <v>993</v>
      </c>
      <c r="C194" s="121" t="s">
        <v>628</v>
      </c>
      <c r="D194" s="122">
        <v>149.24</v>
      </c>
      <c r="E194" s="121" t="s">
        <v>25</v>
      </c>
      <c r="F194" s="117"/>
    </row>
    <row r="195" spans="1:6" ht="15">
      <c r="A195" s="121" t="s">
        <v>994</v>
      </c>
      <c r="B195" s="121" t="s">
        <v>995</v>
      </c>
      <c r="C195" s="121" t="s">
        <v>0</v>
      </c>
      <c r="D195" s="122">
        <v>783</v>
      </c>
      <c r="E195" s="121" t="s">
        <v>857</v>
      </c>
      <c r="F195" s="117"/>
    </row>
    <row r="196" spans="1:6" ht="15">
      <c r="A196" s="121" t="s">
        <v>996</v>
      </c>
      <c r="B196" s="121" t="s">
        <v>997</v>
      </c>
      <c r="C196" s="121" t="s">
        <v>6</v>
      </c>
      <c r="D196" s="122">
        <v>272.47000000000003</v>
      </c>
      <c r="E196" s="121" t="s">
        <v>17</v>
      </c>
      <c r="F196" s="117"/>
    </row>
    <row r="197" spans="1:6" ht="15">
      <c r="A197" s="121" t="s">
        <v>998</v>
      </c>
      <c r="B197" s="121" t="s">
        <v>999</v>
      </c>
      <c r="C197" s="121" t="s">
        <v>628</v>
      </c>
      <c r="D197" s="122">
        <v>147.13999999999999</v>
      </c>
      <c r="E197" s="121" t="s">
        <v>749</v>
      </c>
      <c r="F197" s="117"/>
    </row>
    <row r="198" spans="1:6" ht="15">
      <c r="A198" s="121" t="s">
        <v>1000</v>
      </c>
      <c r="B198" s="121" t="s">
        <v>1001</v>
      </c>
      <c r="C198" s="121" t="s">
        <v>628</v>
      </c>
      <c r="D198" s="122">
        <v>252.24</v>
      </c>
      <c r="E198" s="121" t="s">
        <v>8</v>
      </c>
      <c r="F198" s="117"/>
    </row>
    <row r="199" spans="1:6" ht="15">
      <c r="A199" s="121" t="s">
        <v>1002</v>
      </c>
      <c r="B199" s="121" t="s">
        <v>1003</v>
      </c>
      <c r="C199" s="121" t="s">
        <v>0</v>
      </c>
      <c r="D199" s="122">
        <v>707.32</v>
      </c>
      <c r="E199" s="121" t="s">
        <v>32</v>
      </c>
      <c r="F199" s="117"/>
    </row>
    <row r="200" spans="1:6" ht="15">
      <c r="A200" s="121" t="s">
        <v>1004</v>
      </c>
      <c r="B200" s="121" t="s">
        <v>1005</v>
      </c>
      <c r="C200" s="121" t="s">
        <v>0</v>
      </c>
      <c r="D200" s="122">
        <v>0</v>
      </c>
      <c r="E200" s="121" t="s">
        <v>32</v>
      </c>
      <c r="F200" s="117"/>
    </row>
    <row r="201" spans="1:6" ht="15">
      <c r="A201" s="121" t="s">
        <v>1006</v>
      </c>
      <c r="B201" s="121" t="s">
        <v>1007</v>
      </c>
      <c r="C201" s="121" t="s">
        <v>6</v>
      </c>
      <c r="D201" s="122">
        <v>0</v>
      </c>
      <c r="E201" s="121" t="s">
        <v>32</v>
      </c>
      <c r="F201" s="117"/>
    </row>
    <row r="202" spans="1:6" ht="15">
      <c r="A202" s="121" t="s">
        <v>1008</v>
      </c>
      <c r="B202" s="121" t="s">
        <v>199</v>
      </c>
      <c r="C202" s="121" t="s">
        <v>6</v>
      </c>
      <c r="D202" s="122">
        <v>2038.94</v>
      </c>
      <c r="E202" s="121" t="s">
        <v>32</v>
      </c>
      <c r="F202" s="117"/>
    </row>
    <row r="203" spans="1:6" ht="15">
      <c r="A203" s="121" t="s">
        <v>1009</v>
      </c>
      <c r="B203" s="121" t="s">
        <v>1010</v>
      </c>
      <c r="C203" s="121" t="s">
        <v>628</v>
      </c>
      <c r="D203" s="122">
        <v>46.62</v>
      </c>
      <c r="E203" s="121" t="s">
        <v>664</v>
      </c>
      <c r="F203" s="117"/>
    </row>
    <row r="204" spans="1:6" ht="30">
      <c r="A204" s="121" t="s">
        <v>1011</v>
      </c>
      <c r="B204" s="121" t="s">
        <v>1012</v>
      </c>
      <c r="C204" s="121" t="s">
        <v>628</v>
      </c>
      <c r="D204" s="122">
        <v>68.319999999999993</v>
      </c>
      <c r="E204" s="121" t="s">
        <v>3</v>
      </c>
      <c r="F204" s="117"/>
    </row>
    <row r="205" spans="1:6" ht="15">
      <c r="A205" s="121" t="s">
        <v>1013</v>
      </c>
      <c r="B205" s="121" t="s">
        <v>1014</v>
      </c>
      <c r="C205" s="121" t="s">
        <v>0</v>
      </c>
      <c r="D205" s="122">
        <v>5071.08</v>
      </c>
      <c r="E205" s="121" t="s">
        <v>3</v>
      </c>
      <c r="F205" s="117"/>
    </row>
    <row r="206" spans="1:6" ht="15">
      <c r="A206" s="121" t="s">
        <v>1015</v>
      </c>
      <c r="B206" s="121" t="s">
        <v>1016</v>
      </c>
      <c r="C206" s="121" t="s">
        <v>628</v>
      </c>
      <c r="D206" s="122">
        <v>415.15</v>
      </c>
      <c r="E206" s="121" t="s">
        <v>46</v>
      </c>
      <c r="F206" s="117"/>
    </row>
    <row r="207" spans="1:6" ht="15">
      <c r="A207" s="121" t="s">
        <v>1017</v>
      </c>
      <c r="B207" s="121" t="s">
        <v>1018</v>
      </c>
      <c r="C207" s="121" t="s">
        <v>628</v>
      </c>
      <c r="D207" s="122">
        <v>608.53</v>
      </c>
      <c r="E207" s="121" t="s">
        <v>25</v>
      </c>
      <c r="F207" s="117"/>
    </row>
    <row r="208" spans="1:6" ht="15">
      <c r="A208" s="121" t="s">
        <v>1019</v>
      </c>
      <c r="B208" s="121" t="s">
        <v>1020</v>
      </c>
      <c r="C208" s="121" t="s">
        <v>6</v>
      </c>
      <c r="D208" s="122">
        <v>326.33999999999997</v>
      </c>
      <c r="E208" s="121" t="s">
        <v>744</v>
      </c>
      <c r="F208" s="117"/>
    </row>
    <row r="209" spans="1:6" ht="15">
      <c r="A209" s="121" t="s">
        <v>1021</v>
      </c>
      <c r="B209" s="121" t="s">
        <v>1022</v>
      </c>
      <c r="C209" s="121" t="s">
        <v>628</v>
      </c>
      <c r="D209" s="122">
        <v>604.32000000000005</v>
      </c>
      <c r="E209" s="121" t="s">
        <v>46</v>
      </c>
      <c r="F209" s="117"/>
    </row>
    <row r="210" spans="1:6" ht="15">
      <c r="A210" s="121" t="s">
        <v>1023</v>
      </c>
      <c r="B210" s="121" t="s">
        <v>1024</v>
      </c>
      <c r="C210" s="121" t="s">
        <v>628</v>
      </c>
      <c r="D210" s="122">
        <v>299.54000000000002</v>
      </c>
      <c r="E210" s="121" t="s">
        <v>673</v>
      </c>
      <c r="F210" s="117"/>
    </row>
    <row r="211" spans="1:6" ht="15">
      <c r="A211" s="121" t="s">
        <v>1025</v>
      </c>
      <c r="B211" s="121" t="s">
        <v>1026</v>
      </c>
      <c r="C211" s="121" t="s">
        <v>0</v>
      </c>
      <c r="D211" s="122">
        <v>984</v>
      </c>
      <c r="E211" s="121" t="s">
        <v>673</v>
      </c>
      <c r="F211" s="117"/>
    </row>
    <row r="212" spans="1:6" ht="15">
      <c r="A212" s="121" t="s">
        <v>1027</v>
      </c>
      <c r="B212" s="121" t="s">
        <v>1028</v>
      </c>
      <c r="C212" s="121" t="s">
        <v>0</v>
      </c>
      <c r="D212" s="122">
        <v>2684.25</v>
      </c>
      <c r="E212" s="121" t="s">
        <v>46</v>
      </c>
      <c r="F212" s="117"/>
    </row>
    <row r="213" spans="1:6" ht="15">
      <c r="A213" s="121" t="s">
        <v>1029</v>
      </c>
      <c r="B213" s="121" t="s">
        <v>1030</v>
      </c>
      <c r="C213" s="121" t="s">
        <v>6</v>
      </c>
      <c r="D213" s="122">
        <v>958.51</v>
      </c>
      <c r="E213" s="121" t="s">
        <v>46</v>
      </c>
      <c r="F213" s="117"/>
    </row>
    <row r="214" spans="1:6" ht="15">
      <c r="A214" s="121" t="s">
        <v>1031</v>
      </c>
      <c r="B214" s="121" t="s">
        <v>1032</v>
      </c>
      <c r="C214" s="121" t="s">
        <v>6</v>
      </c>
      <c r="D214" s="122">
        <v>767.23</v>
      </c>
      <c r="E214" s="121" t="s">
        <v>673</v>
      </c>
      <c r="F214" s="117"/>
    </row>
    <row r="215" spans="1:6" ht="15">
      <c r="A215" s="121" t="s">
        <v>1033</v>
      </c>
      <c r="B215" s="121" t="s">
        <v>1034</v>
      </c>
      <c r="C215" s="121" t="s">
        <v>6</v>
      </c>
      <c r="D215" s="122">
        <v>567.54</v>
      </c>
      <c r="E215" s="121" t="s">
        <v>32</v>
      </c>
      <c r="F215" s="117"/>
    </row>
    <row r="216" spans="1:6" ht="15">
      <c r="A216" s="121" t="s">
        <v>1035</v>
      </c>
      <c r="B216" s="121" t="s">
        <v>1036</v>
      </c>
      <c r="C216" s="121" t="s">
        <v>6</v>
      </c>
      <c r="D216" s="122">
        <v>510.75</v>
      </c>
      <c r="E216" s="121" t="s">
        <v>744</v>
      </c>
      <c r="F216" s="117"/>
    </row>
    <row r="217" spans="1:6" ht="15">
      <c r="A217" s="121" t="s">
        <v>1037</v>
      </c>
      <c r="B217" s="121" t="s">
        <v>1038</v>
      </c>
      <c r="C217" s="121" t="s">
        <v>0</v>
      </c>
      <c r="D217" s="122">
        <v>868.29</v>
      </c>
      <c r="E217" s="121" t="s">
        <v>30</v>
      </c>
      <c r="F217" s="117"/>
    </row>
    <row r="218" spans="1:6" ht="15">
      <c r="A218" s="121" t="s">
        <v>1039</v>
      </c>
      <c r="B218" s="121" t="s">
        <v>1040</v>
      </c>
      <c r="C218" s="121" t="s">
        <v>628</v>
      </c>
      <c r="D218" s="122">
        <v>54.39</v>
      </c>
      <c r="E218" s="121" t="s">
        <v>1</v>
      </c>
      <c r="F218" s="117"/>
    </row>
    <row r="219" spans="1:6" ht="15">
      <c r="A219" s="121" t="s">
        <v>1041</v>
      </c>
      <c r="B219" s="121" t="s">
        <v>1042</v>
      </c>
      <c r="C219" s="121" t="s">
        <v>0</v>
      </c>
      <c r="D219" s="122">
        <v>534.57000000000005</v>
      </c>
      <c r="E219" s="121" t="s">
        <v>857</v>
      </c>
      <c r="F219" s="117"/>
    </row>
    <row r="220" spans="1:6" ht="15">
      <c r="A220" s="121" t="s">
        <v>1043</v>
      </c>
      <c r="B220" s="121" t="s">
        <v>1044</v>
      </c>
      <c r="C220" s="121" t="s">
        <v>6</v>
      </c>
      <c r="D220" s="122">
        <v>85.47</v>
      </c>
      <c r="E220" s="121" t="s">
        <v>744</v>
      </c>
      <c r="F220" s="117"/>
    </row>
    <row r="221" spans="1:6" ht="15">
      <c r="A221" s="121" t="s">
        <v>1045</v>
      </c>
      <c r="B221" s="121" t="s">
        <v>199</v>
      </c>
      <c r="C221" s="121" t="s">
        <v>628</v>
      </c>
      <c r="D221" s="122">
        <v>236.25</v>
      </c>
      <c r="E221" s="121" t="s">
        <v>31</v>
      </c>
      <c r="F221" s="117"/>
    </row>
    <row r="222" spans="1:6" ht="15">
      <c r="A222" s="121" t="s">
        <v>1046</v>
      </c>
      <c r="B222" s="121" t="s">
        <v>199</v>
      </c>
      <c r="C222" s="121" t="s">
        <v>628</v>
      </c>
      <c r="D222" s="122">
        <v>0</v>
      </c>
      <c r="E222" s="121" t="s">
        <v>31</v>
      </c>
      <c r="F222" s="117"/>
    </row>
    <row r="223" spans="1:6" ht="15">
      <c r="A223" s="121" t="s">
        <v>1047</v>
      </c>
      <c r="B223" s="121" t="s">
        <v>1048</v>
      </c>
      <c r="C223" s="121" t="s">
        <v>628</v>
      </c>
      <c r="D223" s="122">
        <v>507.63</v>
      </c>
      <c r="E223" s="121" t="s">
        <v>34</v>
      </c>
      <c r="F223" s="117"/>
    </row>
    <row r="224" spans="1:6" ht="15">
      <c r="A224" s="121" t="s">
        <v>1049</v>
      </c>
      <c r="B224" s="121" t="s">
        <v>1050</v>
      </c>
      <c r="C224" s="121" t="s">
        <v>0</v>
      </c>
      <c r="D224" s="122">
        <v>126.12</v>
      </c>
      <c r="E224" s="121" t="s">
        <v>13</v>
      </c>
      <c r="F224" s="117"/>
    </row>
    <row r="225" spans="1:6" ht="15">
      <c r="A225" s="121" t="s">
        <v>1051</v>
      </c>
      <c r="B225" s="121" t="s">
        <v>1052</v>
      </c>
      <c r="C225" s="121" t="s">
        <v>6</v>
      </c>
      <c r="D225" s="122">
        <v>0</v>
      </c>
      <c r="E225" s="121" t="s">
        <v>32</v>
      </c>
      <c r="F225" s="117"/>
    </row>
    <row r="226" spans="1:6" ht="15">
      <c r="A226" s="121" t="s">
        <v>1053</v>
      </c>
      <c r="B226" s="121" t="s">
        <v>1054</v>
      </c>
      <c r="C226" s="121" t="s">
        <v>6</v>
      </c>
      <c r="D226" s="122">
        <v>1042.5899999999999</v>
      </c>
      <c r="E226" s="121" t="s">
        <v>10</v>
      </c>
      <c r="F226" s="117"/>
    </row>
    <row r="227" spans="1:6" ht="15">
      <c r="A227" s="121" t="s">
        <v>1055</v>
      </c>
      <c r="B227" s="121" t="s">
        <v>1056</v>
      </c>
      <c r="C227" s="121" t="s">
        <v>0</v>
      </c>
      <c r="D227" s="122">
        <v>1977.75</v>
      </c>
      <c r="E227" s="121" t="s">
        <v>10</v>
      </c>
      <c r="F227" s="117"/>
    </row>
    <row r="228" spans="1:6" ht="15">
      <c r="A228" s="121" t="s">
        <v>1057</v>
      </c>
      <c r="B228" s="121" t="s">
        <v>1058</v>
      </c>
      <c r="C228" s="121" t="s">
        <v>0</v>
      </c>
      <c r="D228" s="122">
        <v>105.1</v>
      </c>
      <c r="E228" s="121" t="s">
        <v>1059</v>
      </c>
      <c r="F228" s="117"/>
    </row>
    <row r="229" spans="1:6" ht="15">
      <c r="A229" s="121" t="s">
        <v>1060</v>
      </c>
      <c r="B229" s="121" t="s">
        <v>1061</v>
      </c>
      <c r="C229" s="121" t="s">
        <v>628</v>
      </c>
      <c r="D229" s="122">
        <v>92.49</v>
      </c>
      <c r="E229" s="121" t="s">
        <v>22</v>
      </c>
      <c r="F229" s="117"/>
    </row>
    <row r="230" spans="1:6" ht="15">
      <c r="A230" s="121" t="s">
        <v>1062</v>
      </c>
      <c r="B230" s="121" t="s">
        <v>1063</v>
      </c>
      <c r="C230" s="121" t="s">
        <v>628</v>
      </c>
      <c r="D230" s="122">
        <v>78.599999999999994</v>
      </c>
      <c r="E230" s="121" t="s">
        <v>49</v>
      </c>
      <c r="F230" s="117"/>
    </row>
    <row r="231" spans="1:6" ht="15">
      <c r="A231" s="121" t="s">
        <v>1064</v>
      </c>
      <c r="B231" s="121" t="s">
        <v>1065</v>
      </c>
      <c r="C231" s="121" t="s">
        <v>628</v>
      </c>
      <c r="D231" s="122">
        <v>86.18</v>
      </c>
      <c r="E231" s="121" t="s">
        <v>31</v>
      </c>
      <c r="F231" s="117"/>
    </row>
    <row r="232" spans="1:6" ht="15">
      <c r="A232" s="121" t="s">
        <v>1066</v>
      </c>
      <c r="B232" s="121" t="s">
        <v>1067</v>
      </c>
      <c r="C232" s="121" t="s">
        <v>628</v>
      </c>
      <c r="D232" s="122">
        <v>60.96</v>
      </c>
      <c r="E232" s="121" t="s">
        <v>31</v>
      </c>
      <c r="F232" s="117"/>
    </row>
    <row r="233" spans="1:6" ht="15">
      <c r="A233" s="121" t="s">
        <v>1068</v>
      </c>
      <c r="B233" s="121" t="s">
        <v>1069</v>
      </c>
      <c r="C233" s="121" t="s">
        <v>628</v>
      </c>
      <c r="D233" s="122">
        <v>109.83</v>
      </c>
      <c r="E233" s="121" t="s">
        <v>1</v>
      </c>
      <c r="F233" s="117"/>
    </row>
    <row r="234" spans="1:6" ht="30">
      <c r="A234" s="121" t="s">
        <v>1070</v>
      </c>
      <c r="B234" s="121" t="s">
        <v>199</v>
      </c>
      <c r="C234" s="121" t="s">
        <v>6</v>
      </c>
      <c r="D234" s="122">
        <v>352</v>
      </c>
      <c r="E234" s="121" t="s">
        <v>23</v>
      </c>
      <c r="F234" s="117"/>
    </row>
    <row r="235" spans="1:6" ht="15">
      <c r="A235" s="121" t="s">
        <v>1071</v>
      </c>
      <c r="B235" s="121" t="s">
        <v>1072</v>
      </c>
      <c r="C235" s="121" t="s">
        <v>628</v>
      </c>
      <c r="D235" s="122">
        <v>441.42</v>
      </c>
      <c r="E235" s="121" t="s">
        <v>631</v>
      </c>
      <c r="F235" s="117"/>
    </row>
    <row r="236" spans="1:6" ht="15">
      <c r="A236" s="121" t="s">
        <v>1073</v>
      </c>
      <c r="B236" s="121" t="s">
        <v>1074</v>
      </c>
      <c r="C236" s="121" t="s">
        <v>6</v>
      </c>
      <c r="D236" s="122">
        <v>90.13</v>
      </c>
      <c r="E236" s="121" t="s">
        <v>744</v>
      </c>
      <c r="F236" s="117"/>
    </row>
    <row r="237" spans="1:6" ht="15">
      <c r="A237" s="121" t="s">
        <v>1075</v>
      </c>
      <c r="B237" s="121" t="s">
        <v>1076</v>
      </c>
      <c r="C237" s="121" t="s">
        <v>6</v>
      </c>
      <c r="D237" s="122">
        <v>90.13</v>
      </c>
      <c r="E237" s="121" t="s">
        <v>744</v>
      </c>
      <c r="F237" s="117"/>
    </row>
    <row r="238" spans="1:6" ht="15">
      <c r="A238" s="121" t="s">
        <v>1077</v>
      </c>
      <c r="B238" s="121" t="s">
        <v>1078</v>
      </c>
      <c r="C238" s="121" t="s">
        <v>628</v>
      </c>
      <c r="D238" s="122">
        <v>47.3</v>
      </c>
      <c r="E238" s="121" t="s">
        <v>11</v>
      </c>
      <c r="F238" s="117"/>
    </row>
    <row r="239" spans="1:6" ht="15">
      <c r="A239" s="121" t="s">
        <v>1079</v>
      </c>
      <c r="B239" s="121" t="s">
        <v>1080</v>
      </c>
      <c r="C239" s="121" t="s">
        <v>0</v>
      </c>
      <c r="D239" s="122">
        <v>313.2</v>
      </c>
      <c r="E239" s="121" t="s">
        <v>13</v>
      </c>
      <c r="F239" s="117"/>
    </row>
    <row r="240" spans="1:6" ht="15">
      <c r="A240" s="121" t="s">
        <v>1081</v>
      </c>
      <c r="B240" s="121" t="s">
        <v>1082</v>
      </c>
      <c r="C240" s="121" t="s">
        <v>0</v>
      </c>
      <c r="D240" s="122">
        <v>269.06</v>
      </c>
      <c r="E240" s="121" t="s">
        <v>47</v>
      </c>
      <c r="F240" s="117"/>
    </row>
    <row r="241" spans="1:6" ht="15">
      <c r="A241" s="121" t="s">
        <v>1083</v>
      </c>
      <c r="B241" s="121" t="s">
        <v>1084</v>
      </c>
      <c r="C241" s="121" t="s">
        <v>0</v>
      </c>
      <c r="D241" s="122">
        <v>237.53</v>
      </c>
      <c r="E241" s="121" t="s">
        <v>47</v>
      </c>
      <c r="F241" s="117"/>
    </row>
    <row r="242" spans="1:6" ht="15">
      <c r="A242" s="121" t="s">
        <v>1085</v>
      </c>
      <c r="B242" s="121" t="s">
        <v>1086</v>
      </c>
      <c r="C242" s="121" t="s">
        <v>0</v>
      </c>
      <c r="D242" s="122">
        <v>972.32</v>
      </c>
      <c r="E242" s="121" t="s">
        <v>30</v>
      </c>
      <c r="F242" s="117"/>
    </row>
    <row r="243" spans="1:6" ht="15">
      <c r="A243" s="121" t="s">
        <v>1087</v>
      </c>
      <c r="B243" s="121" t="s">
        <v>1088</v>
      </c>
      <c r="C243" s="121" t="s">
        <v>628</v>
      </c>
      <c r="D243" s="122">
        <v>201.79</v>
      </c>
      <c r="E243" s="121" t="s">
        <v>749</v>
      </c>
      <c r="F243" s="117"/>
    </row>
    <row r="244" spans="1:6" ht="15">
      <c r="A244" s="121" t="s">
        <v>1089</v>
      </c>
      <c r="B244" s="121" t="s">
        <v>1090</v>
      </c>
      <c r="C244" s="121" t="s">
        <v>628</v>
      </c>
      <c r="D244" s="122">
        <v>326.81</v>
      </c>
      <c r="E244" s="121" t="s">
        <v>25</v>
      </c>
      <c r="F244" s="117"/>
    </row>
    <row r="245" spans="1:6" ht="30">
      <c r="A245" s="121" t="s">
        <v>1091</v>
      </c>
      <c r="B245" s="121" t="s">
        <v>1092</v>
      </c>
      <c r="C245" s="121" t="s">
        <v>628</v>
      </c>
      <c r="D245" s="122">
        <v>281.62</v>
      </c>
      <c r="E245" s="121" t="s">
        <v>25</v>
      </c>
      <c r="F245" s="117"/>
    </row>
    <row r="246" spans="1:6" ht="15">
      <c r="A246" s="121" t="s">
        <v>1093</v>
      </c>
      <c r="B246" s="121" t="s">
        <v>1094</v>
      </c>
      <c r="C246" s="121" t="s">
        <v>0</v>
      </c>
      <c r="D246" s="122">
        <v>1315.85</v>
      </c>
      <c r="E246" s="121" t="s">
        <v>45</v>
      </c>
      <c r="F246" s="117"/>
    </row>
    <row r="247" spans="1:6" ht="15">
      <c r="A247" s="121" t="s">
        <v>1095</v>
      </c>
      <c r="B247" s="121" t="s">
        <v>1096</v>
      </c>
      <c r="C247" s="121" t="s">
        <v>6</v>
      </c>
      <c r="D247" s="122">
        <v>210.2</v>
      </c>
      <c r="E247" s="121" t="s">
        <v>17</v>
      </c>
      <c r="F247" s="117"/>
    </row>
    <row r="248" spans="1:6" ht="15">
      <c r="A248" s="121" t="s">
        <v>1097</v>
      </c>
      <c r="B248" s="121" t="s">
        <v>1098</v>
      </c>
      <c r="C248" s="121" t="s">
        <v>628</v>
      </c>
      <c r="D248" s="122">
        <v>71.47</v>
      </c>
      <c r="E248" s="121" t="s">
        <v>11</v>
      </c>
      <c r="F248" s="117"/>
    </row>
    <row r="249" spans="1:6" ht="15">
      <c r="A249" s="121" t="s">
        <v>1099</v>
      </c>
      <c r="B249" s="121" t="s">
        <v>1100</v>
      </c>
      <c r="C249" s="121" t="s">
        <v>628</v>
      </c>
      <c r="D249" s="122">
        <v>0</v>
      </c>
      <c r="E249" s="121" t="s">
        <v>631</v>
      </c>
      <c r="F249" s="117"/>
    </row>
    <row r="250" spans="1:6" ht="15">
      <c r="A250" s="121" t="s">
        <v>1101</v>
      </c>
      <c r="B250" s="121" t="s">
        <v>1102</v>
      </c>
      <c r="C250" s="121" t="s">
        <v>628</v>
      </c>
      <c r="D250" s="122">
        <v>0</v>
      </c>
      <c r="E250" s="121" t="s">
        <v>631</v>
      </c>
      <c r="F250" s="117"/>
    </row>
    <row r="251" spans="1:6" ht="15">
      <c r="A251" s="121" t="s">
        <v>1103</v>
      </c>
      <c r="B251" s="121" t="s">
        <v>1102</v>
      </c>
      <c r="C251" s="121" t="s">
        <v>981</v>
      </c>
      <c r="D251" s="122">
        <v>209.64</v>
      </c>
      <c r="E251" s="121" t="s">
        <v>744</v>
      </c>
      <c r="F251" s="117"/>
    </row>
    <row r="252" spans="1:6" ht="15">
      <c r="A252" s="121" t="s">
        <v>2378</v>
      </c>
      <c r="B252" s="121" t="s">
        <v>1104</v>
      </c>
      <c r="C252" s="121" t="s">
        <v>6</v>
      </c>
      <c r="D252" s="122">
        <v>474.52</v>
      </c>
      <c r="E252" s="121" t="s">
        <v>20</v>
      </c>
      <c r="F252" s="117"/>
    </row>
    <row r="253" spans="1:6" ht="15">
      <c r="A253" s="121" t="s">
        <v>1105</v>
      </c>
      <c r="B253" s="121" t="s">
        <v>1106</v>
      </c>
      <c r="C253" s="121" t="s">
        <v>628</v>
      </c>
      <c r="D253" s="122">
        <v>96.68</v>
      </c>
      <c r="E253" s="121" t="s">
        <v>844</v>
      </c>
      <c r="F253" s="117"/>
    </row>
    <row r="254" spans="1:6" ht="15">
      <c r="A254" s="121" t="s">
        <v>1107</v>
      </c>
      <c r="B254" s="121" t="s">
        <v>1108</v>
      </c>
      <c r="C254" s="121" t="s">
        <v>628</v>
      </c>
      <c r="D254" s="122">
        <v>26.94</v>
      </c>
      <c r="E254" s="121" t="s">
        <v>744</v>
      </c>
      <c r="F254" s="117"/>
    </row>
    <row r="255" spans="1:6" ht="15">
      <c r="A255" s="121" t="s">
        <v>1109</v>
      </c>
      <c r="B255" s="121" t="s">
        <v>1108</v>
      </c>
      <c r="C255" s="121" t="s">
        <v>981</v>
      </c>
      <c r="D255" s="122">
        <v>76.39</v>
      </c>
      <c r="E255" s="121" t="s">
        <v>744</v>
      </c>
      <c r="F255" s="117"/>
    </row>
    <row r="256" spans="1:6" ht="15">
      <c r="A256" s="121" t="s">
        <v>1110</v>
      </c>
      <c r="B256" s="121" t="s">
        <v>1111</v>
      </c>
      <c r="C256" s="121" t="s">
        <v>0</v>
      </c>
      <c r="D256" s="122">
        <v>855.93</v>
      </c>
      <c r="E256" s="121" t="s">
        <v>30</v>
      </c>
      <c r="F256" s="117"/>
    </row>
    <row r="257" spans="1:6" ht="15">
      <c r="A257" s="121" t="s">
        <v>1112</v>
      </c>
      <c r="B257" s="121" t="s">
        <v>1113</v>
      </c>
      <c r="C257" s="121" t="s">
        <v>0</v>
      </c>
      <c r="D257" s="122">
        <v>4762.72</v>
      </c>
      <c r="E257" s="121" t="s">
        <v>857</v>
      </c>
      <c r="F257" s="117"/>
    </row>
    <row r="258" spans="1:6" ht="15">
      <c r="A258" s="121" t="s">
        <v>1114</v>
      </c>
      <c r="B258" s="121" t="s">
        <v>1115</v>
      </c>
      <c r="C258" s="121" t="s">
        <v>6</v>
      </c>
      <c r="D258" s="122">
        <v>188.55</v>
      </c>
      <c r="E258" s="121" t="s">
        <v>664</v>
      </c>
      <c r="F258" s="117"/>
    </row>
    <row r="259" spans="1:6" ht="15">
      <c r="A259" s="121" t="s">
        <v>1116</v>
      </c>
      <c r="B259" s="121" t="s">
        <v>1117</v>
      </c>
      <c r="C259" s="121" t="s">
        <v>628</v>
      </c>
      <c r="D259" s="122">
        <v>0</v>
      </c>
      <c r="E259" s="121" t="s">
        <v>16</v>
      </c>
      <c r="F259" s="117"/>
    </row>
    <row r="260" spans="1:6" ht="15">
      <c r="A260" s="121" t="s">
        <v>1118</v>
      </c>
      <c r="B260" s="121" t="s">
        <v>199</v>
      </c>
      <c r="C260" s="121" t="s">
        <v>628</v>
      </c>
      <c r="D260" s="122">
        <v>65.16</v>
      </c>
      <c r="E260" s="121" t="s">
        <v>16</v>
      </c>
      <c r="F260" s="117"/>
    </row>
    <row r="261" spans="1:6" ht="15">
      <c r="A261" s="121" t="s">
        <v>1119</v>
      </c>
      <c r="B261" s="121" t="s">
        <v>1120</v>
      </c>
      <c r="C261" s="121" t="s">
        <v>6</v>
      </c>
      <c r="D261" s="122">
        <v>1776.42</v>
      </c>
      <c r="E261" s="121" t="s">
        <v>38</v>
      </c>
      <c r="F261" s="117"/>
    </row>
    <row r="262" spans="1:6" ht="15">
      <c r="A262" s="121" t="s">
        <v>1121</v>
      </c>
      <c r="B262" s="121" t="s">
        <v>199</v>
      </c>
      <c r="C262" s="121" t="s">
        <v>628</v>
      </c>
      <c r="D262" s="122">
        <v>0</v>
      </c>
      <c r="E262" s="121" t="s">
        <v>664</v>
      </c>
      <c r="F262" s="117"/>
    </row>
    <row r="263" spans="1:6" ht="15">
      <c r="A263" s="121" t="s">
        <v>1122</v>
      </c>
      <c r="B263" s="121" t="s">
        <v>199</v>
      </c>
      <c r="C263" s="121" t="s">
        <v>628</v>
      </c>
      <c r="D263" s="122">
        <v>53.87</v>
      </c>
      <c r="E263" s="121" t="s">
        <v>664</v>
      </c>
      <c r="F263" s="117"/>
    </row>
    <row r="264" spans="1:6" ht="15">
      <c r="A264" s="121" t="s">
        <v>1123</v>
      </c>
      <c r="B264" s="121" t="s">
        <v>199</v>
      </c>
      <c r="C264" s="121" t="s">
        <v>628</v>
      </c>
      <c r="D264" s="122">
        <v>1750.97</v>
      </c>
      <c r="E264" s="121" t="s">
        <v>631</v>
      </c>
      <c r="F264" s="117"/>
    </row>
    <row r="265" spans="1:6" ht="15">
      <c r="A265" s="121" t="s">
        <v>1124</v>
      </c>
      <c r="B265" s="121" t="s">
        <v>1125</v>
      </c>
      <c r="C265" s="121" t="s">
        <v>0</v>
      </c>
      <c r="D265" s="122">
        <v>194.44</v>
      </c>
      <c r="E265" s="121" t="s">
        <v>7</v>
      </c>
      <c r="F265" s="117"/>
    </row>
    <row r="266" spans="1:6" ht="15">
      <c r="A266" s="121" t="s">
        <v>1126</v>
      </c>
      <c r="B266" s="121" t="s">
        <v>1127</v>
      </c>
      <c r="C266" s="121" t="s">
        <v>0</v>
      </c>
      <c r="D266" s="122">
        <v>1956.96</v>
      </c>
      <c r="E266" s="121" t="s">
        <v>25</v>
      </c>
      <c r="F266" s="117"/>
    </row>
    <row r="267" spans="1:6" ht="15">
      <c r="A267" s="121" t="s">
        <v>1128</v>
      </c>
      <c r="B267" s="121" t="s">
        <v>1129</v>
      </c>
      <c r="C267" s="121" t="s">
        <v>0</v>
      </c>
      <c r="D267" s="122">
        <v>302.69</v>
      </c>
      <c r="E267" s="121" t="s">
        <v>47</v>
      </c>
      <c r="F267" s="117"/>
    </row>
    <row r="268" spans="1:6" ht="15">
      <c r="A268" s="121" t="s">
        <v>1130</v>
      </c>
      <c r="B268" s="121" t="s">
        <v>1131</v>
      </c>
      <c r="C268" s="121" t="s">
        <v>0</v>
      </c>
      <c r="D268" s="122">
        <v>942.75</v>
      </c>
      <c r="E268" s="121" t="s">
        <v>857</v>
      </c>
      <c r="F268" s="117"/>
    </row>
    <row r="269" spans="1:6" ht="15">
      <c r="A269" s="121" t="s">
        <v>1132</v>
      </c>
      <c r="B269" s="121" t="s">
        <v>1133</v>
      </c>
      <c r="C269" s="121" t="s">
        <v>628</v>
      </c>
      <c r="D269" s="122">
        <v>305.89999999999998</v>
      </c>
      <c r="E269" s="121" t="s">
        <v>664</v>
      </c>
      <c r="F269" s="117"/>
    </row>
    <row r="270" spans="1:6" ht="15">
      <c r="A270" s="121" t="s">
        <v>1134</v>
      </c>
      <c r="B270" s="121" t="s">
        <v>1135</v>
      </c>
      <c r="C270" s="121" t="s">
        <v>628</v>
      </c>
      <c r="D270" s="122">
        <v>91.44</v>
      </c>
      <c r="E270" s="121" t="s">
        <v>1</v>
      </c>
      <c r="F270" s="117"/>
    </row>
    <row r="271" spans="1:6" ht="15">
      <c r="A271" s="121" t="s">
        <v>1136</v>
      </c>
      <c r="B271" s="121" t="s">
        <v>1137</v>
      </c>
      <c r="C271" s="121" t="s">
        <v>6</v>
      </c>
      <c r="D271" s="122">
        <v>1781.45</v>
      </c>
      <c r="E271" s="121" t="s">
        <v>20</v>
      </c>
      <c r="F271" s="117"/>
    </row>
    <row r="272" spans="1:6" ht="15">
      <c r="A272" s="121" t="s">
        <v>1138</v>
      </c>
      <c r="B272" s="121" t="s">
        <v>1139</v>
      </c>
      <c r="C272" s="121" t="s">
        <v>628</v>
      </c>
      <c r="D272" s="122">
        <v>121.17</v>
      </c>
      <c r="E272" s="121" t="s">
        <v>1140</v>
      </c>
      <c r="F272" s="117"/>
    </row>
    <row r="273" spans="1:6" ht="15">
      <c r="A273" s="121" t="s">
        <v>1141</v>
      </c>
      <c r="B273" s="121" t="s">
        <v>1142</v>
      </c>
      <c r="C273" s="121" t="s">
        <v>628</v>
      </c>
      <c r="D273" s="122">
        <v>968</v>
      </c>
      <c r="E273" s="121" t="s">
        <v>10</v>
      </c>
      <c r="F273" s="117"/>
    </row>
    <row r="274" spans="1:6" ht="15">
      <c r="A274" s="121" t="s">
        <v>1143</v>
      </c>
      <c r="B274" s="121" t="s">
        <v>1144</v>
      </c>
      <c r="C274" s="121" t="s">
        <v>628</v>
      </c>
      <c r="D274" s="122">
        <v>689.5</v>
      </c>
      <c r="E274" s="121" t="s">
        <v>744</v>
      </c>
      <c r="F274" s="117"/>
    </row>
    <row r="275" spans="1:6" ht="15">
      <c r="A275" s="121" t="s">
        <v>1145</v>
      </c>
      <c r="B275" s="121" t="s">
        <v>1146</v>
      </c>
      <c r="C275" s="121" t="s">
        <v>628</v>
      </c>
      <c r="D275" s="122">
        <v>2218.5</v>
      </c>
      <c r="E275" s="121" t="s">
        <v>744</v>
      </c>
      <c r="F275" s="117"/>
    </row>
    <row r="276" spans="1:6" ht="15">
      <c r="A276" s="121" t="s">
        <v>1147</v>
      </c>
      <c r="B276" s="121" t="s">
        <v>1148</v>
      </c>
      <c r="C276" s="121" t="s">
        <v>628</v>
      </c>
      <c r="D276" s="122">
        <v>37.659999999999997</v>
      </c>
      <c r="E276" s="121" t="s">
        <v>29</v>
      </c>
      <c r="F276" s="117"/>
    </row>
    <row r="277" spans="1:6" ht="30">
      <c r="A277" s="121" t="s">
        <v>1149</v>
      </c>
      <c r="B277" s="121" t="s">
        <v>199</v>
      </c>
      <c r="C277" s="121" t="s">
        <v>628</v>
      </c>
      <c r="D277" s="122">
        <v>789.43</v>
      </c>
      <c r="E277" s="121" t="s">
        <v>744</v>
      </c>
      <c r="F277" s="117"/>
    </row>
    <row r="278" spans="1:6" ht="15">
      <c r="A278" s="121" t="s">
        <v>1150</v>
      </c>
      <c r="B278" s="121" t="s">
        <v>1151</v>
      </c>
      <c r="C278" s="121" t="s">
        <v>628</v>
      </c>
      <c r="D278" s="122">
        <v>30.48</v>
      </c>
      <c r="E278" s="121" t="s">
        <v>29</v>
      </c>
      <c r="F278" s="117"/>
    </row>
    <row r="279" spans="1:6" ht="15">
      <c r="A279" s="121" t="s">
        <v>1152</v>
      </c>
      <c r="B279" s="121" t="s">
        <v>1153</v>
      </c>
      <c r="C279" s="121" t="s">
        <v>628</v>
      </c>
      <c r="D279" s="122">
        <v>1560.63</v>
      </c>
      <c r="E279" s="121" t="s">
        <v>673</v>
      </c>
      <c r="F279" s="117"/>
    </row>
    <row r="280" spans="1:6" s="107" customFormat="1" ht="15">
      <c r="A280" s="121" t="s">
        <v>1154</v>
      </c>
      <c r="B280" s="121" t="s">
        <v>1155</v>
      </c>
      <c r="C280" s="121" t="s">
        <v>0</v>
      </c>
      <c r="D280" s="122">
        <v>429.86</v>
      </c>
      <c r="E280" s="121" t="s">
        <v>7</v>
      </c>
      <c r="F280" s="117"/>
    </row>
    <row r="281" spans="1:6" ht="15">
      <c r="A281" s="121" t="s">
        <v>1156</v>
      </c>
      <c r="B281" s="121" t="s">
        <v>1157</v>
      </c>
      <c r="C281" s="121" t="s">
        <v>0</v>
      </c>
      <c r="D281" s="122">
        <v>990.04</v>
      </c>
      <c r="E281" s="121" t="s">
        <v>30</v>
      </c>
      <c r="F281" s="117"/>
    </row>
    <row r="282" spans="1:6" ht="15">
      <c r="A282" s="121" t="s">
        <v>1158</v>
      </c>
      <c r="B282" s="121" t="s">
        <v>1159</v>
      </c>
      <c r="C282" s="121" t="s">
        <v>6</v>
      </c>
      <c r="D282" s="122">
        <v>788.25</v>
      </c>
      <c r="E282" s="121" t="s">
        <v>7</v>
      </c>
      <c r="F282" s="117"/>
    </row>
    <row r="283" spans="1:6" ht="15">
      <c r="A283" s="121" t="s">
        <v>1160</v>
      </c>
      <c r="B283" s="121" t="s">
        <v>1161</v>
      </c>
      <c r="C283" s="121" t="s">
        <v>628</v>
      </c>
      <c r="D283" s="122">
        <v>1694.21</v>
      </c>
      <c r="E283" s="121" t="s">
        <v>4</v>
      </c>
      <c r="F283" s="117"/>
    </row>
    <row r="284" spans="1:6" ht="30">
      <c r="A284" s="121" t="s">
        <v>1162</v>
      </c>
      <c r="B284" s="121" t="s">
        <v>1163</v>
      </c>
      <c r="C284" s="121" t="s">
        <v>628</v>
      </c>
      <c r="D284" s="122">
        <v>473.48</v>
      </c>
      <c r="E284" s="121" t="s">
        <v>9</v>
      </c>
      <c r="F284" s="117"/>
    </row>
    <row r="285" spans="1:6" ht="30">
      <c r="A285" s="121" t="s">
        <v>1164</v>
      </c>
      <c r="B285" s="121" t="s">
        <v>1165</v>
      </c>
      <c r="C285" s="121" t="s">
        <v>628</v>
      </c>
      <c r="D285" s="122">
        <v>344.66</v>
      </c>
      <c r="E285" s="121" t="s">
        <v>631</v>
      </c>
      <c r="F285" s="117"/>
    </row>
    <row r="286" spans="1:6" ht="15">
      <c r="A286" s="121" t="s">
        <v>1166</v>
      </c>
      <c r="B286" s="121" t="s">
        <v>1167</v>
      </c>
      <c r="C286" s="121" t="s">
        <v>628</v>
      </c>
      <c r="D286" s="122">
        <v>59.91</v>
      </c>
      <c r="E286" s="121" t="s">
        <v>7</v>
      </c>
      <c r="F286" s="117"/>
    </row>
    <row r="287" spans="1:6" ht="15">
      <c r="A287" s="121" t="s">
        <v>1168</v>
      </c>
      <c r="B287" s="121" t="s">
        <v>1169</v>
      </c>
      <c r="C287" s="121" t="s">
        <v>0</v>
      </c>
      <c r="D287" s="122">
        <v>222.81</v>
      </c>
      <c r="E287" s="121" t="s">
        <v>1140</v>
      </c>
      <c r="F287" s="117"/>
    </row>
    <row r="288" spans="1:6" s="107" customFormat="1" ht="15">
      <c r="A288" s="121" t="s">
        <v>1170</v>
      </c>
      <c r="B288" s="121" t="s">
        <v>199</v>
      </c>
      <c r="C288" s="121" t="s">
        <v>6</v>
      </c>
      <c r="D288" s="122">
        <v>0</v>
      </c>
      <c r="E288" s="121" t="s">
        <v>22</v>
      </c>
      <c r="F288" s="117"/>
    </row>
    <row r="289" spans="1:6" s="107" customFormat="1" ht="15">
      <c r="A289" s="121" t="s">
        <v>1171</v>
      </c>
      <c r="B289" s="121" t="s">
        <v>1172</v>
      </c>
      <c r="C289" s="121" t="s">
        <v>628</v>
      </c>
      <c r="D289" s="122">
        <v>157.65</v>
      </c>
      <c r="E289" s="121" t="s">
        <v>5</v>
      </c>
      <c r="F289" s="117"/>
    </row>
    <row r="290" spans="1:6" s="107" customFormat="1" ht="15">
      <c r="A290" s="121" t="s">
        <v>1173</v>
      </c>
      <c r="B290" s="121" t="s">
        <v>1174</v>
      </c>
      <c r="C290" s="121" t="s">
        <v>6</v>
      </c>
      <c r="D290" s="122">
        <v>0</v>
      </c>
      <c r="E290" s="121" t="s">
        <v>11</v>
      </c>
      <c r="F290" s="117"/>
    </row>
    <row r="291" spans="1:6" s="107" customFormat="1" ht="15">
      <c r="A291" s="121" t="s">
        <v>1175</v>
      </c>
      <c r="B291" s="121" t="s">
        <v>1176</v>
      </c>
      <c r="C291" s="121" t="s">
        <v>628</v>
      </c>
      <c r="D291" s="122">
        <v>143</v>
      </c>
      <c r="E291" s="121" t="s">
        <v>744</v>
      </c>
      <c r="F291" s="117"/>
    </row>
    <row r="292" spans="1:6" s="107" customFormat="1" ht="15">
      <c r="A292" s="121" t="s">
        <v>1177</v>
      </c>
      <c r="B292" s="121" t="s">
        <v>1178</v>
      </c>
      <c r="C292" s="121" t="s">
        <v>628</v>
      </c>
      <c r="D292" s="122">
        <v>182.96</v>
      </c>
      <c r="E292" s="121" t="s">
        <v>744</v>
      </c>
      <c r="F292" s="117"/>
    </row>
    <row r="293" spans="1:6" ht="13.5" customHeight="1">
      <c r="A293" s="121" t="s">
        <v>1179</v>
      </c>
      <c r="B293" s="121" t="s">
        <v>1180</v>
      </c>
      <c r="C293" s="121" t="s">
        <v>628</v>
      </c>
      <c r="D293" s="122">
        <v>125.07</v>
      </c>
      <c r="E293" s="121" t="s">
        <v>844</v>
      </c>
      <c r="F293" s="117"/>
    </row>
    <row r="294" spans="1:6" ht="15">
      <c r="A294" s="121" t="s">
        <v>1181</v>
      </c>
      <c r="B294" s="121" t="s">
        <v>1182</v>
      </c>
      <c r="C294" s="121" t="s">
        <v>628</v>
      </c>
      <c r="D294" s="122">
        <v>273.26</v>
      </c>
      <c r="E294" s="121" t="s">
        <v>38</v>
      </c>
      <c r="F294" s="117"/>
    </row>
    <row r="295" spans="1:6" ht="15">
      <c r="A295" s="121" t="s">
        <v>1183</v>
      </c>
      <c r="B295" s="121" t="s">
        <v>1184</v>
      </c>
      <c r="C295" s="121" t="s">
        <v>628</v>
      </c>
      <c r="D295" s="122">
        <v>97.74</v>
      </c>
      <c r="E295" s="121" t="s">
        <v>27</v>
      </c>
      <c r="F295" s="117"/>
    </row>
    <row r="296" spans="1:6" ht="15">
      <c r="A296" s="121" t="s">
        <v>1183</v>
      </c>
      <c r="B296" s="121" t="s">
        <v>1184</v>
      </c>
      <c r="C296" s="121" t="s">
        <v>628</v>
      </c>
      <c r="D296" s="122">
        <v>96.35</v>
      </c>
      <c r="E296" s="121" t="s">
        <v>664</v>
      </c>
      <c r="F296" s="117"/>
    </row>
    <row r="297" spans="1:6" ht="15">
      <c r="A297" s="121" t="s">
        <v>1185</v>
      </c>
      <c r="B297" s="121" t="s">
        <v>1186</v>
      </c>
      <c r="C297" s="121" t="s">
        <v>628</v>
      </c>
      <c r="D297" s="122">
        <v>21.02</v>
      </c>
      <c r="E297" s="121" t="s">
        <v>22</v>
      </c>
      <c r="F297" s="117"/>
    </row>
    <row r="298" spans="1:6" ht="15">
      <c r="A298" s="121" t="s">
        <v>1187</v>
      </c>
      <c r="B298" s="121" t="s">
        <v>1188</v>
      </c>
      <c r="C298" s="121" t="s">
        <v>628</v>
      </c>
      <c r="D298" s="122">
        <v>75.67</v>
      </c>
      <c r="E298" s="121" t="s">
        <v>18</v>
      </c>
      <c r="F298" s="117"/>
    </row>
    <row r="299" spans="1:6" s="107" customFormat="1" ht="15">
      <c r="A299" s="121" t="s">
        <v>1189</v>
      </c>
      <c r="B299" s="121" t="s">
        <v>1190</v>
      </c>
      <c r="C299" s="121" t="s">
        <v>628</v>
      </c>
      <c r="D299" s="122">
        <v>217.56</v>
      </c>
      <c r="E299" s="121" t="s">
        <v>3</v>
      </c>
      <c r="F299" s="117"/>
    </row>
    <row r="300" spans="1:6" ht="15">
      <c r="A300" s="121" t="s">
        <v>1191</v>
      </c>
      <c r="B300" s="121" t="s">
        <v>1192</v>
      </c>
      <c r="C300" s="121" t="s">
        <v>6</v>
      </c>
      <c r="D300" s="122">
        <v>117.71</v>
      </c>
      <c r="E300" s="121" t="s">
        <v>18</v>
      </c>
      <c r="F300" s="117"/>
    </row>
    <row r="301" spans="1:6" ht="30">
      <c r="A301" s="121" t="s">
        <v>1193</v>
      </c>
      <c r="B301" s="121" t="s">
        <v>1194</v>
      </c>
      <c r="C301" s="121" t="s">
        <v>628</v>
      </c>
      <c r="D301" s="122">
        <v>296.38</v>
      </c>
      <c r="E301" s="121" t="s">
        <v>27</v>
      </c>
      <c r="F301" s="117"/>
    </row>
    <row r="302" spans="1:6" ht="15">
      <c r="A302" s="121" t="s">
        <v>1195</v>
      </c>
      <c r="B302" s="121" t="s">
        <v>1196</v>
      </c>
      <c r="C302" s="121" t="s">
        <v>628</v>
      </c>
      <c r="D302" s="122">
        <v>135.58000000000001</v>
      </c>
      <c r="E302" s="121" t="s">
        <v>14</v>
      </c>
      <c r="F302" s="117"/>
    </row>
    <row r="303" spans="1:6" ht="15">
      <c r="A303" s="121" t="s">
        <v>1197</v>
      </c>
      <c r="B303" s="121" t="s">
        <v>1198</v>
      </c>
      <c r="C303" s="121" t="s">
        <v>628</v>
      </c>
      <c r="D303" s="122">
        <v>84.08</v>
      </c>
      <c r="E303" s="121" t="s">
        <v>13</v>
      </c>
      <c r="F303" s="117"/>
    </row>
    <row r="304" spans="1:6" ht="15">
      <c r="A304" s="121" t="s">
        <v>1199</v>
      </c>
      <c r="B304" s="121" t="s">
        <v>1200</v>
      </c>
      <c r="C304" s="121" t="s">
        <v>628</v>
      </c>
      <c r="D304" s="122">
        <v>183.93</v>
      </c>
      <c r="E304" s="121" t="s">
        <v>1</v>
      </c>
      <c r="F304" s="117"/>
    </row>
    <row r="305" spans="1:6" ht="15">
      <c r="A305" s="121" t="s">
        <v>1201</v>
      </c>
      <c r="B305" s="121" t="s">
        <v>1202</v>
      </c>
      <c r="C305" s="121" t="s">
        <v>628</v>
      </c>
      <c r="D305" s="122">
        <v>644.87</v>
      </c>
      <c r="E305" s="121" t="s">
        <v>744</v>
      </c>
      <c r="F305" s="117"/>
    </row>
    <row r="306" spans="1:6" ht="15">
      <c r="A306" s="121" t="s">
        <v>1203</v>
      </c>
      <c r="B306" s="121" t="s">
        <v>1204</v>
      </c>
      <c r="C306" s="121" t="s">
        <v>628</v>
      </c>
      <c r="D306" s="122">
        <v>129.5</v>
      </c>
      <c r="E306" s="121" t="s">
        <v>744</v>
      </c>
      <c r="F306" s="117"/>
    </row>
    <row r="307" spans="1:6" ht="15">
      <c r="A307" s="121" t="s">
        <v>1205</v>
      </c>
      <c r="B307" s="121" t="s">
        <v>1206</v>
      </c>
      <c r="C307" s="121" t="s">
        <v>628</v>
      </c>
      <c r="D307" s="122">
        <v>34.68</v>
      </c>
      <c r="E307" s="121" t="s">
        <v>13</v>
      </c>
      <c r="F307" s="117"/>
    </row>
    <row r="308" spans="1:6" ht="15">
      <c r="A308" s="121" t="s">
        <v>1207</v>
      </c>
      <c r="B308" s="121" t="s">
        <v>1208</v>
      </c>
      <c r="C308" s="121" t="s">
        <v>628</v>
      </c>
      <c r="D308" s="122">
        <v>443.52</v>
      </c>
      <c r="E308" s="121" t="s">
        <v>5</v>
      </c>
      <c r="F308" s="117"/>
    </row>
    <row r="309" spans="1:6" ht="15">
      <c r="A309" s="121" t="s">
        <v>1209</v>
      </c>
      <c r="B309" s="121" t="s">
        <v>1210</v>
      </c>
      <c r="C309" s="121" t="s">
        <v>628</v>
      </c>
      <c r="D309" s="122">
        <v>67.34</v>
      </c>
      <c r="E309" s="121" t="s">
        <v>744</v>
      </c>
      <c r="F309" s="117"/>
    </row>
    <row r="310" spans="1:6" ht="15">
      <c r="A310" s="121" t="s">
        <v>1211</v>
      </c>
      <c r="B310" s="121" t="s">
        <v>1212</v>
      </c>
      <c r="C310" s="121" t="s">
        <v>628</v>
      </c>
      <c r="D310" s="122">
        <v>94.59</v>
      </c>
      <c r="E310" s="121" t="s">
        <v>13</v>
      </c>
      <c r="F310" s="117"/>
    </row>
    <row r="311" spans="1:6" ht="15">
      <c r="A311" s="121" t="s">
        <v>1213</v>
      </c>
      <c r="B311" s="121" t="s">
        <v>1214</v>
      </c>
      <c r="C311" s="121" t="s">
        <v>628</v>
      </c>
      <c r="D311" s="122">
        <v>536.01</v>
      </c>
      <c r="E311" s="121" t="s">
        <v>631</v>
      </c>
      <c r="F311" s="117"/>
    </row>
    <row r="312" spans="1:6" ht="15">
      <c r="A312" s="121" t="s">
        <v>1215</v>
      </c>
      <c r="B312" s="121" t="s">
        <v>199</v>
      </c>
      <c r="C312" s="121" t="s">
        <v>628</v>
      </c>
      <c r="D312" s="122">
        <v>102.92</v>
      </c>
      <c r="E312" s="121" t="s">
        <v>31</v>
      </c>
      <c r="F312" s="117"/>
    </row>
    <row r="313" spans="1:6" ht="15">
      <c r="A313" s="121" t="s">
        <v>1216</v>
      </c>
      <c r="B313" s="121" t="s">
        <v>1217</v>
      </c>
      <c r="C313" s="121" t="s">
        <v>0</v>
      </c>
      <c r="D313" s="122">
        <v>1434.62</v>
      </c>
      <c r="E313" s="121" t="s">
        <v>3</v>
      </c>
      <c r="F313" s="117"/>
    </row>
    <row r="314" spans="1:6" ht="15">
      <c r="A314" s="121" t="s">
        <v>1218</v>
      </c>
      <c r="B314" s="121" t="s">
        <v>1219</v>
      </c>
      <c r="C314" s="121" t="s">
        <v>628</v>
      </c>
      <c r="D314" s="122">
        <v>315.3</v>
      </c>
      <c r="E314" s="121" t="s">
        <v>41</v>
      </c>
      <c r="F314" s="117"/>
    </row>
    <row r="315" spans="1:6" ht="15">
      <c r="A315" s="121" t="s">
        <v>1220</v>
      </c>
      <c r="B315" s="121" t="s">
        <v>1221</v>
      </c>
      <c r="C315" s="121" t="s">
        <v>628</v>
      </c>
      <c r="D315" s="122">
        <v>86.18</v>
      </c>
      <c r="E315" s="121" t="s">
        <v>41</v>
      </c>
      <c r="F315" s="117"/>
    </row>
    <row r="316" spans="1:6" ht="15">
      <c r="A316" s="121" t="s">
        <v>1222</v>
      </c>
      <c r="B316" s="121" t="s">
        <v>1223</v>
      </c>
      <c r="C316" s="121" t="s">
        <v>628</v>
      </c>
      <c r="D316" s="122">
        <v>44.14</v>
      </c>
      <c r="E316" s="121" t="s">
        <v>16</v>
      </c>
      <c r="F316" s="117"/>
    </row>
    <row r="317" spans="1:6" ht="15">
      <c r="A317" s="121" t="s">
        <v>1224</v>
      </c>
      <c r="B317" s="121" t="s">
        <v>1225</v>
      </c>
      <c r="C317" s="121" t="s">
        <v>628</v>
      </c>
      <c r="D317" s="122">
        <v>1526</v>
      </c>
      <c r="E317" s="121" t="s">
        <v>18</v>
      </c>
      <c r="F317" s="117"/>
    </row>
    <row r="318" spans="1:6" ht="15">
      <c r="A318" s="121" t="s">
        <v>1226</v>
      </c>
      <c r="B318" s="121" t="s">
        <v>1227</v>
      </c>
      <c r="C318" s="121" t="s">
        <v>628</v>
      </c>
      <c r="D318" s="122">
        <v>183.93</v>
      </c>
      <c r="E318" s="121" t="s">
        <v>27</v>
      </c>
      <c r="F318" s="117"/>
    </row>
    <row r="319" spans="1:6" ht="15">
      <c r="A319" s="121" t="s">
        <v>1228</v>
      </c>
      <c r="B319" s="121" t="s">
        <v>1229</v>
      </c>
      <c r="C319" s="121" t="s">
        <v>0</v>
      </c>
      <c r="D319" s="122">
        <v>2446.25</v>
      </c>
      <c r="E319" s="121" t="s">
        <v>857</v>
      </c>
      <c r="F319" s="117"/>
    </row>
    <row r="320" spans="1:6" ht="15">
      <c r="A320" s="121" t="s">
        <v>1230</v>
      </c>
      <c r="B320" s="121" t="s">
        <v>1231</v>
      </c>
      <c r="C320" s="121" t="s">
        <v>628</v>
      </c>
      <c r="D320" s="122">
        <v>498.17</v>
      </c>
      <c r="E320" s="121" t="s">
        <v>46</v>
      </c>
      <c r="F320" s="117"/>
    </row>
    <row r="321" spans="1:6" ht="15">
      <c r="A321" s="121" t="s">
        <v>1232</v>
      </c>
      <c r="B321" s="121" t="s">
        <v>1233</v>
      </c>
      <c r="C321" s="121" t="s">
        <v>628</v>
      </c>
      <c r="D321" s="122">
        <v>37.299999999999997</v>
      </c>
      <c r="E321" s="121" t="s">
        <v>664</v>
      </c>
      <c r="F321" s="117"/>
    </row>
    <row r="322" spans="1:6" ht="15">
      <c r="A322" s="121" t="s">
        <v>1234</v>
      </c>
      <c r="B322" s="121" t="s">
        <v>1235</v>
      </c>
      <c r="C322" s="121" t="s">
        <v>0</v>
      </c>
      <c r="D322" s="122">
        <v>3674.3</v>
      </c>
      <c r="E322" s="121" t="s">
        <v>34</v>
      </c>
      <c r="F322" s="117"/>
    </row>
    <row r="323" spans="1:6" ht="15">
      <c r="A323" s="121" t="s">
        <v>1236</v>
      </c>
      <c r="B323" s="121" t="s">
        <v>1237</v>
      </c>
      <c r="C323" s="121" t="s">
        <v>628</v>
      </c>
      <c r="D323" s="122">
        <v>332.48</v>
      </c>
      <c r="E323" s="121" t="s">
        <v>631</v>
      </c>
      <c r="F323" s="117"/>
    </row>
    <row r="324" spans="1:6" ht="15">
      <c r="A324" s="121" t="s">
        <v>1238</v>
      </c>
      <c r="B324" s="121" t="s">
        <v>1239</v>
      </c>
      <c r="C324" s="121" t="s">
        <v>628</v>
      </c>
      <c r="D324" s="122">
        <v>38.520000000000003</v>
      </c>
      <c r="E324" s="121" t="s">
        <v>10</v>
      </c>
      <c r="F324" s="117"/>
    </row>
    <row r="325" spans="1:6" ht="15">
      <c r="A325" s="121" t="s">
        <v>1240</v>
      </c>
      <c r="B325" s="121" t="s">
        <v>1241</v>
      </c>
      <c r="C325" s="121" t="s">
        <v>6</v>
      </c>
      <c r="D325" s="122">
        <v>798.76</v>
      </c>
      <c r="E325" s="121" t="s">
        <v>664</v>
      </c>
      <c r="F325" s="117"/>
    </row>
    <row r="326" spans="1:6" ht="15">
      <c r="A326" s="121" t="s">
        <v>1242</v>
      </c>
      <c r="B326" s="121" t="s">
        <v>1243</v>
      </c>
      <c r="C326" s="121" t="s">
        <v>628</v>
      </c>
      <c r="D326" s="122">
        <v>155.55000000000001</v>
      </c>
      <c r="E326" s="121" t="s">
        <v>29</v>
      </c>
      <c r="F326" s="117"/>
    </row>
    <row r="327" spans="1:6" ht="30">
      <c r="A327" s="121" t="s">
        <v>1244</v>
      </c>
      <c r="B327" s="121" t="s">
        <v>1245</v>
      </c>
      <c r="C327" s="121" t="s">
        <v>0</v>
      </c>
      <c r="D327" s="122">
        <v>1024.73</v>
      </c>
      <c r="E327" s="121" t="s">
        <v>10</v>
      </c>
      <c r="F327" s="117"/>
    </row>
    <row r="328" spans="1:6" ht="15">
      <c r="A328" s="121" t="s">
        <v>1246</v>
      </c>
      <c r="B328" s="121" t="s">
        <v>1247</v>
      </c>
      <c r="C328" s="121" t="s">
        <v>628</v>
      </c>
      <c r="D328" s="122">
        <v>1340.03</v>
      </c>
      <c r="E328" s="121" t="s">
        <v>12</v>
      </c>
      <c r="F328" s="117"/>
    </row>
    <row r="329" spans="1:6" ht="15">
      <c r="A329" s="121" t="s">
        <v>1248</v>
      </c>
      <c r="B329" s="121" t="s">
        <v>1249</v>
      </c>
      <c r="C329" s="121" t="s">
        <v>628</v>
      </c>
      <c r="D329" s="122">
        <v>694.12</v>
      </c>
      <c r="E329" s="121" t="s">
        <v>664</v>
      </c>
      <c r="F329" s="117"/>
    </row>
    <row r="330" spans="1:6" ht="15">
      <c r="A330" s="121" t="s">
        <v>1250</v>
      </c>
      <c r="B330" s="121" t="s">
        <v>1251</v>
      </c>
      <c r="C330" s="121" t="s">
        <v>628</v>
      </c>
      <c r="D330" s="122">
        <v>157.65</v>
      </c>
      <c r="E330" s="121" t="s">
        <v>13</v>
      </c>
      <c r="F330" s="117"/>
    </row>
    <row r="331" spans="1:6" ht="15">
      <c r="A331" s="121" t="s">
        <v>1252</v>
      </c>
      <c r="B331" s="121" t="s">
        <v>1253</v>
      </c>
      <c r="C331" s="121" t="s">
        <v>628</v>
      </c>
      <c r="D331" s="122">
        <v>41.99</v>
      </c>
      <c r="E331" s="121" t="s">
        <v>13</v>
      </c>
      <c r="F331" s="117"/>
    </row>
    <row r="332" spans="1:6" ht="15">
      <c r="A332" s="121" t="s">
        <v>1254</v>
      </c>
      <c r="B332" s="121" t="s">
        <v>1255</v>
      </c>
      <c r="C332" s="121" t="s">
        <v>0</v>
      </c>
      <c r="D332" s="122">
        <v>905.96</v>
      </c>
      <c r="E332" s="121" t="s">
        <v>41</v>
      </c>
      <c r="F332" s="117"/>
    </row>
    <row r="333" spans="1:6" ht="15">
      <c r="A333" s="121" t="s">
        <v>1256</v>
      </c>
      <c r="B333" s="121" t="s">
        <v>1257</v>
      </c>
      <c r="C333" s="121" t="s">
        <v>6</v>
      </c>
      <c r="D333" s="122">
        <v>798.76</v>
      </c>
      <c r="E333" s="121" t="s">
        <v>18</v>
      </c>
      <c r="F333" s="117"/>
    </row>
    <row r="334" spans="1:6" ht="15">
      <c r="A334" s="121" t="s">
        <v>1258</v>
      </c>
      <c r="B334" s="121" t="s">
        <v>199</v>
      </c>
      <c r="C334" s="121" t="s">
        <v>6</v>
      </c>
      <c r="D334" s="122">
        <v>0</v>
      </c>
      <c r="E334" s="121" t="s">
        <v>18</v>
      </c>
      <c r="F334" s="117"/>
    </row>
    <row r="335" spans="1:6" ht="15">
      <c r="A335" s="121" t="s">
        <v>1259</v>
      </c>
      <c r="B335" s="121" t="s">
        <v>1260</v>
      </c>
      <c r="C335" s="121" t="s">
        <v>628</v>
      </c>
      <c r="D335" s="122">
        <v>228.96</v>
      </c>
      <c r="E335" s="121" t="s">
        <v>744</v>
      </c>
      <c r="F335" s="117"/>
    </row>
    <row r="336" spans="1:6" ht="15">
      <c r="A336" s="121" t="s">
        <v>1261</v>
      </c>
      <c r="B336" s="121" t="s">
        <v>1262</v>
      </c>
      <c r="C336" s="121" t="s">
        <v>628</v>
      </c>
      <c r="D336" s="122">
        <v>84.03</v>
      </c>
      <c r="E336" s="121" t="s">
        <v>1</v>
      </c>
      <c r="F336" s="117"/>
    </row>
    <row r="337" spans="1:6" ht="15">
      <c r="A337" s="121" t="s">
        <v>1263</v>
      </c>
      <c r="B337" s="121" t="s">
        <v>1264</v>
      </c>
      <c r="C337" s="121" t="s">
        <v>0</v>
      </c>
      <c r="D337" s="122">
        <v>1045</v>
      </c>
      <c r="E337" s="121" t="s">
        <v>673</v>
      </c>
      <c r="F337" s="117"/>
    </row>
    <row r="338" spans="1:6" ht="15">
      <c r="A338" s="121" t="s">
        <v>1265</v>
      </c>
      <c r="B338" s="121" t="s">
        <v>1266</v>
      </c>
      <c r="C338" s="121" t="s">
        <v>628</v>
      </c>
      <c r="D338" s="122">
        <v>275.36</v>
      </c>
      <c r="E338" s="121" t="s">
        <v>48</v>
      </c>
      <c r="F338" s="117"/>
    </row>
    <row r="339" spans="1:6" ht="30">
      <c r="A339" s="121" t="s">
        <v>1267</v>
      </c>
      <c r="B339" s="121" t="s">
        <v>1268</v>
      </c>
      <c r="C339" s="121" t="s">
        <v>628</v>
      </c>
      <c r="D339" s="122">
        <v>0</v>
      </c>
      <c r="E339" s="121" t="s">
        <v>3</v>
      </c>
      <c r="F339" s="117"/>
    </row>
    <row r="340" spans="1:6" ht="15">
      <c r="A340" s="121" t="s">
        <v>1269</v>
      </c>
      <c r="B340" s="121" t="s">
        <v>1270</v>
      </c>
      <c r="C340" s="121" t="s">
        <v>628</v>
      </c>
      <c r="D340" s="122">
        <v>44.98</v>
      </c>
      <c r="E340" s="121" t="s">
        <v>3</v>
      </c>
      <c r="F340" s="117"/>
    </row>
    <row r="341" spans="1:6" ht="15">
      <c r="A341" s="121" t="s">
        <v>1271</v>
      </c>
      <c r="B341" s="121" t="s">
        <v>1272</v>
      </c>
      <c r="C341" s="121" t="s">
        <v>628</v>
      </c>
      <c r="D341" s="122">
        <v>114.28</v>
      </c>
      <c r="E341" s="121" t="s">
        <v>673</v>
      </c>
      <c r="F341" s="117"/>
    </row>
    <row r="342" spans="1:6" ht="15">
      <c r="A342" s="121" t="s">
        <v>1273</v>
      </c>
      <c r="B342" s="121" t="s">
        <v>1274</v>
      </c>
      <c r="C342" s="121" t="s">
        <v>6</v>
      </c>
      <c r="D342" s="122">
        <v>243.83</v>
      </c>
      <c r="E342" s="121" t="s">
        <v>749</v>
      </c>
      <c r="F342" s="117"/>
    </row>
    <row r="343" spans="1:6" ht="15">
      <c r="A343" s="121" t="s">
        <v>1275</v>
      </c>
      <c r="B343" s="121" t="s">
        <v>1276</v>
      </c>
      <c r="C343" s="121" t="s">
        <v>0</v>
      </c>
      <c r="D343" s="122">
        <v>1076.22</v>
      </c>
      <c r="E343" s="121" t="s">
        <v>857</v>
      </c>
      <c r="F343" s="117"/>
    </row>
    <row r="344" spans="1:6" ht="15">
      <c r="A344" s="121" t="s">
        <v>1277</v>
      </c>
      <c r="B344" s="121" t="s">
        <v>1278</v>
      </c>
      <c r="C344" s="121" t="s">
        <v>628</v>
      </c>
      <c r="D344" s="122">
        <v>191.28</v>
      </c>
      <c r="E344" s="121" t="s">
        <v>749</v>
      </c>
      <c r="F344" s="117"/>
    </row>
    <row r="345" spans="1:6" ht="15">
      <c r="A345" s="121" t="s">
        <v>1279</v>
      </c>
      <c r="B345" s="121" t="s">
        <v>1278</v>
      </c>
      <c r="C345" s="121" t="s">
        <v>920</v>
      </c>
      <c r="D345" s="122">
        <v>276.25</v>
      </c>
      <c r="E345" s="121" t="s">
        <v>749</v>
      </c>
      <c r="F345" s="117"/>
    </row>
    <row r="346" spans="1:6" ht="15">
      <c r="A346" s="121" t="s">
        <v>1280</v>
      </c>
      <c r="B346" s="121" t="s">
        <v>1281</v>
      </c>
      <c r="C346" s="121" t="s">
        <v>628</v>
      </c>
      <c r="D346" s="122">
        <v>56.75</v>
      </c>
      <c r="E346" s="121" t="s">
        <v>16</v>
      </c>
      <c r="F346" s="117"/>
    </row>
    <row r="347" spans="1:6" ht="15">
      <c r="A347" s="121" t="s">
        <v>1282</v>
      </c>
      <c r="B347" s="121" t="s">
        <v>1281</v>
      </c>
      <c r="C347" s="121" t="s">
        <v>920</v>
      </c>
      <c r="D347" s="122">
        <v>315.33</v>
      </c>
      <c r="E347" s="121" t="s">
        <v>16</v>
      </c>
      <c r="F347" s="117"/>
    </row>
    <row r="348" spans="1:6" ht="15">
      <c r="A348" s="121" t="s">
        <v>1283</v>
      </c>
      <c r="B348" s="121" t="s">
        <v>1284</v>
      </c>
      <c r="C348" s="121" t="s">
        <v>628</v>
      </c>
      <c r="D348" s="122">
        <v>398.33</v>
      </c>
      <c r="E348" s="121" t="s">
        <v>25</v>
      </c>
      <c r="F348" s="117"/>
    </row>
    <row r="349" spans="1:6" ht="15">
      <c r="A349" s="121" t="s">
        <v>1285</v>
      </c>
      <c r="B349" s="121" t="s">
        <v>1286</v>
      </c>
      <c r="C349" s="121" t="s">
        <v>628</v>
      </c>
      <c r="D349" s="122">
        <v>105.1</v>
      </c>
      <c r="E349" s="121" t="s">
        <v>25</v>
      </c>
      <c r="F349" s="117"/>
    </row>
    <row r="350" spans="1:6" ht="15">
      <c r="A350" s="121" t="s">
        <v>1285</v>
      </c>
      <c r="B350" s="121" t="s">
        <v>1287</v>
      </c>
      <c r="C350" s="121" t="s">
        <v>628</v>
      </c>
      <c r="D350" s="122">
        <v>452.21</v>
      </c>
      <c r="E350" s="121" t="s">
        <v>25</v>
      </c>
      <c r="F350" s="117"/>
    </row>
    <row r="351" spans="1:6" ht="15">
      <c r="A351" s="121" t="s">
        <v>1288</v>
      </c>
      <c r="B351" s="121" t="s">
        <v>1289</v>
      </c>
      <c r="C351" s="121" t="s">
        <v>6</v>
      </c>
      <c r="D351" s="122">
        <v>181.3</v>
      </c>
      <c r="E351" s="121" t="s">
        <v>744</v>
      </c>
      <c r="F351" s="117"/>
    </row>
    <row r="352" spans="1:6" ht="15">
      <c r="A352" s="121" t="s">
        <v>1290</v>
      </c>
      <c r="B352" s="121" t="s">
        <v>1291</v>
      </c>
      <c r="C352" s="121" t="s">
        <v>6</v>
      </c>
      <c r="D352" s="122">
        <v>271.16000000000003</v>
      </c>
      <c r="E352" s="121" t="s">
        <v>13</v>
      </c>
      <c r="F352" s="117"/>
    </row>
    <row r="353" spans="1:6" ht="15">
      <c r="A353" s="121" t="s">
        <v>1292</v>
      </c>
      <c r="B353" s="121" t="s">
        <v>1293</v>
      </c>
      <c r="C353" s="121" t="s">
        <v>628</v>
      </c>
      <c r="D353" s="122">
        <v>0</v>
      </c>
      <c r="E353" s="121" t="s">
        <v>22</v>
      </c>
      <c r="F353" s="117"/>
    </row>
    <row r="354" spans="1:6" ht="15">
      <c r="A354" s="121" t="s">
        <v>1294</v>
      </c>
      <c r="B354" s="121" t="s">
        <v>1295</v>
      </c>
      <c r="C354" s="121" t="s">
        <v>628</v>
      </c>
      <c r="D354" s="122">
        <v>0</v>
      </c>
      <c r="E354" s="121" t="s">
        <v>22</v>
      </c>
      <c r="F354" s="117"/>
    </row>
    <row r="355" spans="1:6" ht="15">
      <c r="A355" s="121" t="s">
        <v>1296</v>
      </c>
      <c r="B355" s="121" t="s">
        <v>199</v>
      </c>
      <c r="C355" s="121" t="s">
        <v>0</v>
      </c>
      <c r="D355" s="122">
        <v>0</v>
      </c>
      <c r="E355" s="121" t="s">
        <v>22</v>
      </c>
      <c r="F355" s="117"/>
    </row>
    <row r="356" spans="1:6" ht="15">
      <c r="A356" s="121" t="s">
        <v>1297</v>
      </c>
      <c r="B356" s="121" t="s">
        <v>1298</v>
      </c>
      <c r="C356" s="121" t="s">
        <v>628</v>
      </c>
      <c r="D356" s="122">
        <v>0</v>
      </c>
      <c r="E356" s="121" t="s">
        <v>11</v>
      </c>
      <c r="F356" s="117"/>
    </row>
    <row r="357" spans="1:6" ht="15">
      <c r="A357" s="121" t="s">
        <v>1299</v>
      </c>
      <c r="B357" s="121" t="s">
        <v>199</v>
      </c>
      <c r="C357" s="121" t="s">
        <v>628</v>
      </c>
      <c r="D357" s="122">
        <v>161</v>
      </c>
      <c r="E357" s="121" t="s">
        <v>664</v>
      </c>
      <c r="F357" s="117"/>
    </row>
    <row r="358" spans="1:6" ht="15">
      <c r="A358" s="121" t="s">
        <v>1300</v>
      </c>
      <c r="B358" s="121" t="s">
        <v>1301</v>
      </c>
      <c r="C358" s="121" t="s">
        <v>628</v>
      </c>
      <c r="D358" s="122">
        <v>644.87</v>
      </c>
      <c r="E358" s="121" t="s">
        <v>744</v>
      </c>
      <c r="F358" s="117"/>
    </row>
    <row r="359" spans="1:6" ht="15">
      <c r="A359" s="121" t="s">
        <v>1302</v>
      </c>
      <c r="B359" s="121" t="s">
        <v>1303</v>
      </c>
      <c r="C359" s="121" t="s">
        <v>0</v>
      </c>
      <c r="D359" s="122">
        <v>2568.64</v>
      </c>
      <c r="E359" s="121" t="s">
        <v>3</v>
      </c>
      <c r="F359" s="117"/>
    </row>
    <row r="360" spans="1:6" ht="15">
      <c r="A360" s="121" t="s">
        <v>1304</v>
      </c>
      <c r="B360" s="121" t="s">
        <v>1305</v>
      </c>
      <c r="C360" s="121" t="s">
        <v>6</v>
      </c>
      <c r="D360" s="122">
        <v>290.08</v>
      </c>
      <c r="E360" s="121" t="s">
        <v>664</v>
      </c>
      <c r="F360" s="117"/>
    </row>
    <row r="361" spans="1:6" ht="30">
      <c r="A361" s="121" t="s">
        <v>1306</v>
      </c>
      <c r="B361" s="121" t="s">
        <v>1307</v>
      </c>
      <c r="C361" s="121" t="s">
        <v>628</v>
      </c>
      <c r="D361" s="122">
        <v>127.8</v>
      </c>
      <c r="E361" s="121" t="s">
        <v>664</v>
      </c>
      <c r="F361" s="117"/>
    </row>
    <row r="362" spans="1:6" ht="15">
      <c r="A362" s="121" t="s">
        <v>1308</v>
      </c>
      <c r="B362" s="121" t="s">
        <v>1309</v>
      </c>
      <c r="C362" s="121" t="s">
        <v>0</v>
      </c>
      <c r="D362" s="122">
        <v>1189.6500000000001</v>
      </c>
      <c r="E362" s="121" t="s">
        <v>857</v>
      </c>
      <c r="F362" s="117"/>
    </row>
    <row r="363" spans="1:6" ht="15">
      <c r="A363" s="121" t="s">
        <v>1310</v>
      </c>
      <c r="B363" s="121" t="s">
        <v>1311</v>
      </c>
      <c r="C363" s="121" t="s">
        <v>628</v>
      </c>
      <c r="D363" s="122">
        <v>173.75</v>
      </c>
      <c r="E363" s="121" t="s">
        <v>19</v>
      </c>
      <c r="F363" s="117"/>
    </row>
    <row r="364" spans="1:6" ht="15">
      <c r="A364" s="121" t="s">
        <v>1312</v>
      </c>
      <c r="B364" s="121" t="s">
        <v>1313</v>
      </c>
      <c r="C364" s="121" t="s">
        <v>628</v>
      </c>
      <c r="D364" s="122">
        <v>0</v>
      </c>
      <c r="E364" s="121" t="s">
        <v>23</v>
      </c>
      <c r="F364" s="117"/>
    </row>
    <row r="365" spans="1:6" ht="15">
      <c r="A365" s="121" t="s">
        <v>1314</v>
      </c>
      <c r="B365" s="121" t="s">
        <v>1315</v>
      </c>
      <c r="C365" s="121" t="s">
        <v>628</v>
      </c>
      <c r="D365" s="122">
        <v>1742.56</v>
      </c>
      <c r="E365" s="121" t="s">
        <v>5</v>
      </c>
      <c r="F365" s="117"/>
    </row>
    <row r="366" spans="1:6" ht="15">
      <c r="A366" s="121" t="s">
        <v>1316</v>
      </c>
      <c r="B366" s="121" t="s">
        <v>1317</v>
      </c>
      <c r="C366" s="121" t="s">
        <v>920</v>
      </c>
      <c r="D366" s="122">
        <v>113.7</v>
      </c>
      <c r="E366" s="121" t="s">
        <v>49</v>
      </c>
      <c r="F366" s="117"/>
    </row>
    <row r="367" spans="1:6" ht="15">
      <c r="A367" s="121" t="s">
        <v>1318</v>
      </c>
      <c r="B367" s="121" t="s">
        <v>1319</v>
      </c>
      <c r="C367" s="121" t="s">
        <v>628</v>
      </c>
      <c r="D367" s="122">
        <v>94.14</v>
      </c>
      <c r="E367" s="121" t="s">
        <v>37</v>
      </c>
      <c r="F367" s="117"/>
    </row>
    <row r="368" spans="1:6" ht="15">
      <c r="A368" s="121" t="s">
        <v>1320</v>
      </c>
      <c r="B368" s="121" t="s">
        <v>1321</v>
      </c>
      <c r="C368" s="121" t="s">
        <v>628</v>
      </c>
      <c r="D368" s="122">
        <v>42.04</v>
      </c>
      <c r="E368" s="121" t="s">
        <v>35</v>
      </c>
      <c r="F368" s="117"/>
    </row>
    <row r="369" spans="1:6" ht="15">
      <c r="A369" s="121" t="s">
        <v>1322</v>
      </c>
      <c r="B369" s="121" t="s">
        <v>199</v>
      </c>
      <c r="C369" s="121" t="s">
        <v>628</v>
      </c>
      <c r="D369" s="122">
        <v>0</v>
      </c>
      <c r="E369" s="121" t="s">
        <v>46</v>
      </c>
      <c r="F369" s="117"/>
    </row>
    <row r="370" spans="1:6" ht="15">
      <c r="A370" s="121" t="s">
        <v>1323</v>
      </c>
      <c r="B370" s="121" t="s">
        <v>199</v>
      </c>
      <c r="C370" s="121" t="s">
        <v>628</v>
      </c>
      <c r="D370" s="122">
        <v>0</v>
      </c>
      <c r="E370" s="121" t="s">
        <v>664</v>
      </c>
      <c r="F370" s="117"/>
    </row>
    <row r="371" spans="1:6" ht="15">
      <c r="A371" s="121" t="s">
        <v>1324</v>
      </c>
      <c r="B371" s="121" t="s">
        <v>1325</v>
      </c>
      <c r="C371" s="121" t="s">
        <v>628</v>
      </c>
      <c r="D371" s="122">
        <v>461.65</v>
      </c>
      <c r="E371" s="121" t="s">
        <v>631</v>
      </c>
      <c r="F371" s="117"/>
    </row>
    <row r="372" spans="1:6" ht="15">
      <c r="A372" s="121" t="s">
        <v>1326</v>
      </c>
      <c r="B372" s="121" t="s">
        <v>1327</v>
      </c>
      <c r="C372" s="121" t="s">
        <v>6</v>
      </c>
      <c r="D372" s="122">
        <v>185.44</v>
      </c>
      <c r="E372" s="121" t="s">
        <v>744</v>
      </c>
      <c r="F372" s="117"/>
    </row>
    <row r="373" spans="1:6" ht="15">
      <c r="A373" s="121" t="s">
        <v>1326</v>
      </c>
      <c r="B373" s="121" t="s">
        <v>1327</v>
      </c>
      <c r="C373" s="121" t="s">
        <v>6</v>
      </c>
      <c r="D373" s="122">
        <v>188.13</v>
      </c>
      <c r="E373" s="121" t="s">
        <v>13</v>
      </c>
      <c r="F373" s="117"/>
    </row>
    <row r="374" spans="1:6" ht="15">
      <c r="A374" s="121" t="s">
        <v>1328</v>
      </c>
      <c r="B374" s="121" t="s">
        <v>1329</v>
      </c>
      <c r="C374" s="121" t="s">
        <v>0</v>
      </c>
      <c r="D374" s="122">
        <v>324.76</v>
      </c>
      <c r="E374" s="121" t="s">
        <v>1140</v>
      </c>
      <c r="F374" s="117"/>
    </row>
    <row r="375" spans="1:6" ht="15">
      <c r="A375" s="121" t="s">
        <v>1330</v>
      </c>
      <c r="B375" s="121" t="s">
        <v>1331</v>
      </c>
      <c r="C375" s="121" t="s">
        <v>628</v>
      </c>
      <c r="D375" s="122">
        <v>0</v>
      </c>
      <c r="E375" s="121" t="s">
        <v>16</v>
      </c>
      <c r="F375" s="117"/>
    </row>
    <row r="376" spans="1:6" ht="15">
      <c r="A376" s="121" t="s">
        <v>1332</v>
      </c>
      <c r="B376" s="121" t="s">
        <v>1333</v>
      </c>
      <c r="C376" s="121" t="s">
        <v>628</v>
      </c>
      <c r="D376" s="122">
        <v>63.06</v>
      </c>
      <c r="E376" s="121" t="s">
        <v>11</v>
      </c>
      <c r="F376" s="117"/>
    </row>
    <row r="377" spans="1:6" ht="15">
      <c r="A377" s="121" t="s">
        <v>1334</v>
      </c>
      <c r="B377" s="121" t="s">
        <v>1335</v>
      </c>
      <c r="C377" s="121" t="s">
        <v>628</v>
      </c>
      <c r="D377" s="122">
        <v>147.13999999999999</v>
      </c>
      <c r="E377" s="121" t="s">
        <v>22</v>
      </c>
      <c r="F377" s="117"/>
    </row>
    <row r="378" spans="1:6" ht="15">
      <c r="A378" s="121" t="s">
        <v>1336</v>
      </c>
      <c r="B378" s="121" t="s">
        <v>1337</v>
      </c>
      <c r="C378" s="121" t="s">
        <v>628</v>
      </c>
      <c r="D378" s="122">
        <v>174.16</v>
      </c>
      <c r="E378" s="121" t="s">
        <v>744</v>
      </c>
      <c r="F378" s="117"/>
    </row>
    <row r="379" spans="1:6" ht="15">
      <c r="A379" s="121" t="s">
        <v>1338</v>
      </c>
      <c r="B379" s="121" t="s">
        <v>1339</v>
      </c>
      <c r="C379" s="121" t="s">
        <v>628</v>
      </c>
      <c r="D379" s="122">
        <v>0</v>
      </c>
      <c r="E379" s="121" t="s">
        <v>22</v>
      </c>
      <c r="F379" s="117"/>
    </row>
    <row r="380" spans="1:6" ht="15">
      <c r="A380" s="121" t="s">
        <v>1340</v>
      </c>
      <c r="B380" s="121" t="s">
        <v>1341</v>
      </c>
      <c r="C380" s="121" t="s">
        <v>628</v>
      </c>
      <c r="D380" s="122">
        <v>0</v>
      </c>
      <c r="E380" s="121" t="s">
        <v>22</v>
      </c>
      <c r="F380" s="117"/>
    </row>
    <row r="381" spans="1:6" ht="15">
      <c r="A381" s="121" t="s">
        <v>1342</v>
      </c>
      <c r="B381" s="121" t="s">
        <v>1343</v>
      </c>
      <c r="C381" s="121" t="s">
        <v>6</v>
      </c>
      <c r="D381" s="122">
        <v>66.209999999999994</v>
      </c>
      <c r="E381" s="121" t="s">
        <v>13</v>
      </c>
      <c r="F381" s="117"/>
    </row>
    <row r="382" spans="1:6" ht="15">
      <c r="A382" s="121" t="s">
        <v>1344</v>
      </c>
      <c r="B382" s="121" t="s">
        <v>1345</v>
      </c>
      <c r="C382" s="121" t="s">
        <v>628</v>
      </c>
      <c r="D382" s="122">
        <v>240.92</v>
      </c>
      <c r="E382" s="121" t="s">
        <v>16</v>
      </c>
      <c r="F382" s="117"/>
    </row>
    <row r="383" spans="1:6" ht="15">
      <c r="A383" s="121" t="s">
        <v>1346</v>
      </c>
      <c r="B383" s="121" t="s">
        <v>1347</v>
      </c>
      <c r="C383" s="121" t="s">
        <v>628</v>
      </c>
      <c r="D383" s="122">
        <v>20.97</v>
      </c>
      <c r="E383" s="121" t="s">
        <v>16</v>
      </c>
      <c r="F383" s="117"/>
    </row>
    <row r="384" spans="1:6" ht="15">
      <c r="A384" s="121" t="s">
        <v>1348</v>
      </c>
      <c r="B384" s="121" t="s">
        <v>1349</v>
      </c>
      <c r="C384" s="121" t="s">
        <v>628</v>
      </c>
      <c r="D384" s="122">
        <v>276.81</v>
      </c>
      <c r="E384" s="121" t="s">
        <v>844</v>
      </c>
      <c r="F384" s="117"/>
    </row>
    <row r="385" spans="1:6" ht="15">
      <c r="A385" s="121" t="s">
        <v>1350</v>
      </c>
      <c r="B385" s="121" t="s">
        <v>1351</v>
      </c>
      <c r="C385" s="121" t="s">
        <v>628</v>
      </c>
      <c r="D385" s="122">
        <v>703.24</v>
      </c>
      <c r="E385" s="121" t="s">
        <v>744</v>
      </c>
      <c r="F385" s="117"/>
    </row>
    <row r="386" spans="1:6" ht="15">
      <c r="A386" s="121" t="s">
        <v>1352</v>
      </c>
      <c r="B386" s="121" t="s">
        <v>1353</v>
      </c>
      <c r="C386" s="121" t="s">
        <v>628</v>
      </c>
      <c r="D386" s="122">
        <v>26.22</v>
      </c>
      <c r="E386" s="121" t="s">
        <v>11</v>
      </c>
      <c r="F386" s="117"/>
    </row>
    <row r="387" spans="1:6" ht="15">
      <c r="A387" s="121" t="s">
        <v>1354</v>
      </c>
      <c r="B387" s="121" t="s">
        <v>1355</v>
      </c>
      <c r="C387" s="121" t="s">
        <v>628</v>
      </c>
      <c r="D387" s="122">
        <v>644.87</v>
      </c>
      <c r="E387" s="121" t="s">
        <v>744</v>
      </c>
      <c r="F387" s="117"/>
    </row>
    <row r="388" spans="1:6" ht="15">
      <c r="A388" s="121" t="s">
        <v>1356</v>
      </c>
      <c r="B388" s="121" t="s">
        <v>199</v>
      </c>
      <c r="C388" s="121" t="s">
        <v>628</v>
      </c>
      <c r="D388" s="122">
        <v>0</v>
      </c>
      <c r="E388" s="121" t="s">
        <v>23</v>
      </c>
      <c r="F388" s="117"/>
    </row>
    <row r="389" spans="1:6" ht="15">
      <c r="A389" s="121" t="s">
        <v>1357</v>
      </c>
      <c r="B389" s="121" t="s">
        <v>1358</v>
      </c>
      <c r="C389" s="121" t="s">
        <v>6</v>
      </c>
      <c r="D389" s="122">
        <v>0</v>
      </c>
      <c r="E389" s="121" t="s">
        <v>14</v>
      </c>
      <c r="F389" s="117"/>
    </row>
    <row r="390" spans="1:6" ht="15">
      <c r="A390" s="121" t="s">
        <v>1359</v>
      </c>
      <c r="B390" s="121" t="s">
        <v>199</v>
      </c>
      <c r="C390" s="121" t="s">
        <v>6</v>
      </c>
      <c r="D390" s="122">
        <v>0</v>
      </c>
      <c r="E390" s="121" t="s">
        <v>14</v>
      </c>
      <c r="F390" s="117"/>
    </row>
    <row r="391" spans="1:6" ht="15">
      <c r="A391" s="121" t="s">
        <v>1360</v>
      </c>
      <c r="B391" s="121" t="s">
        <v>1361</v>
      </c>
      <c r="C391" s="121" t="s">
        <v>628</v>
      </c>
      <c r="D391" s="122">
        <v>0</v>
      </c>
      <c r="E391" s="121" t="s">
        <v>3</v>
      </c>
      <c r="F391" s="117"/>
    </row>
    <row r="392" spans="1:6" ht="15">
      <c r="A392" s="121" t="s">
        <v>1362</v>
      </c>
      <c r="B392" s="121" t="s">
        <v>1363</v>
      </c>
      <c r="C392" s="121" t="s">
        <v>6</v>
      </c>
      <c r="D392" s="122">
        <v>0</v>
      </c>
      <c r="E392" s="121" t="s">
        <v>749</v>
      </c>
      <c r="F392" s="117"/>
    </row>
    <row r="393" spans="1:6" ht="15">
      <c r="A393" s="121" t="s">
        <v>1364</v>
      </c>
      <c r="B393" s="121" t="s">
        <v>1365</v>
      </c>
      <c r="C393" s="121" t="s">
        <v>628</v>
      </c>
      <c r="D393" s="122">
        <v>613.80999999999995</v>
      </c>
      <c r="E393" s="121" t="s">
        <v>631</v>
      </c>
      <c r="F393" s="117"/>
    </row>
    <row r="394" spans="1:6" ht="15">
      <c r="A394" s="121" t="s">
        <v>1366</v>
      </c>
      <c r="B394" s="121" t="s">
        <v>1367</v>
      </c>
      <c r="C394" s="121" t="s">
        <v>628</v>
      </c>
      <c r="D394" s="122">
        <v>89.34</v>
      </c>
      <c r="E394" s="121" t="s">
        <v>11</v>
      </c>
      <c r="F394" s="117"/>
    </row>
    <row r="395" spans="1:6" ht="15">
      <c r="A395" s="121" t="s">
        <v>1368</v>
      </c>
      <c r="B395" s="121" t="s">
        <v>1369</v>
      </c>
      <c r="C395" s="121" t="s">
        <v>628</v>
      </c>
      <c r="D395" s="122">
        <v>72.39</v>
      </c>
      <c r="E395" s="121" t="s">
        <v>14</v>
      </c>
      <c r="F395" s="117"/>
    </row>
    <row r="396" spans="1:6" ht="15">
      <c r="A396" s="121" t="s">
        <v>1370</v>
      </c>
      <c r="B396" s="121" t="s">
        <v>1371</v>
      </c>
      <c r="C396" s="121" t="s">
        <v>628</v>
      </c>
      <c r="D396" s="122">
        <v>259.39999999999998</v>
      </c>
      <c r="E396" s="121" t="s">
        <v>664</v>
      </c>
      <c r="F396" s="117"/>
    </row>
    <row r="397" spans="1:6" ht="15">
      <c r="A397" s="121" t="s">
        <v>1372</v>
      </c>
      <c r="B397" s="121" t="s">
        <v>199</v>
      </c>
      <c r="C397" s="121" t="s">
        <v>6</v>
      </c>
      <c r="D397" s="122">
        <v>413.01</v>
      </c>
      <c r="E397" s="121" t="s">
        <v>14</v>
      </c>
      <c r="F397" s="117"/>
    </row>
    <row r="398" spans="1:6" ht="15">
      <c r="A398" s="121" t="s">
        <v>1373</v>
      </c>
      <c r="B398" s="121" t="s">
        <v>1374</v>
      </c>
      <c r="C398" s="121" t="s">
        <v>0</v>
      </c>
      <c r="D398" s="122">
        <v>342.63</v>
      </c>
      <c r="E398" s="121" t="s">
        <v>30</v>
      </c>
      <c r="F398" s="117"/>
    </row>
    <row r="399" spans="1:6" ht="15">
      <c r="A399" s="121" t="s">
        <v>1375</v>
      </c>
      <c r="B399" s="121" t="s">
        <v>1376</v>
      </c>
      <c r="C399" s="121" t="s">
        <v>628</v>
      </c>
      <c r="D399" s="122">
        <v>189.18</v>
      </c>
      <c r="E399" s="121" t="s">
        <v>11</v>
      </c>
      <c r="F399" s="117"/>
    </row>
    <row r="400" spans="1:6" ht="15">
      <c r="A400" s="121" t="s">
        <v>1377</v>
      </c>
      <c r="B400" s="121" t="s">
        <v>1378</v>
      </c>
      <c r="C400" s="121" t="s">
        <v>6</v>
      </c>
      <c r="D400" s="122">
        <v>73.56</v>
      </c>
      <c r="E400" s="121" t="s">
        <v>49</v>
      </c>
      <c r="F400" s="117"/>
    </row>
    <row r="401" spans="1:6" ht="30">
      <c r="A401" s="121" t="s">
        <v>1379</v>
      </c>
      <c r="B401" s="121" t="s">
        <v>199</v>
      </c>
      <c r="C401" s="121" t="s">
        <v>628</v>
      </c>
      <c r="D401" s="122">
        <v>327.91</v>
      </c>
      <c r="E401" s="121" t="s">
        <v>3</v>
      </c>
      <c r="F401" s="117"/>
    </row>
    <row r="402" spans="1:6" ht="15">
      <c r="A402" s="121" t="s">
        <v>1380</v>
      </c>
      <c r="B402" s="121" t="s">
        <v>199</v>
      </c>
      <c r="C402" s="121" t="s">
        <v>628</v>
      </c>
      <c r="D402" s="122">
        <v>0</v>
      </c>
      <c r="E402" s="121" t="s">
        <v>16</v>
      </c>
      <c r="F402" s="117"/>
    </row>
    <row r="403" spans="1:6" ht="15">
      <c r="A403" s="121" t="s">
        <v>1381</v>
      </c>
      <c r="B403" s="121" t="s">
        <v>199</v>
      </c>
      <c r="C403" s="121" t="s">
        <v>628</v>
      </c>
      <c r="D403" s="122">
        <v>91.44</v>
      </c>
      <c r="E403" s="121" t="s">
        <v>23</v>
      </c>
      <c r="F403" s="117"/>
    </row>
    <row r="404" spans="1:6" ht="30">
      <c r="A404" s="121" t="s">
        <v>1382</v>
      </c>
      <c r="B404" s="121" t="s">
        <v>1383</v>
      </c>
      <c r="C404" s="121" t="s">
        <v>628</v>
      </c>
      <c r="D404" s="122">
        <v>45.95</v>
      </c>
      <c r="E404" s="121" t="s">
        <v>744</v>
      </c>
      <c r="F404" s="117"/>
    </row>
    <row r="405" spans="1:6" ht="30">
      <c r="A405" s="121" t="s">
        <v>1384</v>
      </c>
      <c r="B405" s="121" t="s">
        <v>1385</v>
      </c>
      <c r="C405" s="121" t="s">
        <v>628</v>
      </c>
      <c r="D405" s="122">
        <v>194.44</v>
      </c>
      <c r="E405" s="121" t="s">
        <v>28</v>
      </c>
      <c r="F405" s="117"/>
    </row>
    <row r="406" spans="1:6" ht="15">
      <c r="A406" s="121" t="s">
        <v>1386</v>
      </c>
      <c r="B406" s="121" t="s">
        <v>1387</v>
      </c>
      <c r="C406" s="121" t="s">
        <v>628</v>
      </c>
      <c r="D406" s="122">
        <v>461.02</v>
      </c>
      <c r="E406" s="121" t="s">
        <v>744</v>
      </c>
      <c r="F406" s="117"/>
    </row>
    <row r="407" spans="1:6" ht="15">
      <c r="A407" s="121" t="s">
        <v>1388</v>
      </c>
      <c r="B407" s="121" t="s">
        <v>1389</v>
      </c>
      <c r="C407" s="121" t="s">
        <v>628</v>
      </c>
      <c r="D407" s="122">
        <v>321.97000000000003</v>
      </c>
      <c r="E407" s="121" t="s">
        <v>22</v>
      </c>
      <c r="F407" s="117"/>
    </row>
    <row r="408" spans="1:6" ht="15">
      <c r="A408" s="121" t="s">
        <v>1390</v>
      </c>
      <c r="B408" s="121" t="s">
        <v>199</v>
      </c>
      <c r="C408" s="121" t="s">
        <v>628</v>
      </c>
      <c r="D408" s="122">
        <v>104.05</v>
      </c>
      <c r="E408" s="121" t="s">
        <v>11</v>
      </c>
      <c r="F408" s="117"/>
    </row>
    <row r="409" spans="1:6" ht="30">
      <c r="A409" s="121" t="s">
        <v>1391</v>
      </c>
      <c r="B409" s="121" t="s">
        <v>1392</v>
      </c>
      <c r="C409" s="121" t="s">
        <v>0</v>
      </c>
      <c r="D409" s="122">
        <v>5453.64</v>
      </c>
      <c r="E409" s="121" t="s">
        <v>21</v>
      </c>
      <c r="F409" s="117"/>
    </row>
    <row r="410" spans="1:6" ht="30">
      <c r="A410" s="121" t="s">
        <v>1393</v>
      </c>
      <c r="B410" s="121" t="s">
        <v>1394</v>
      </c>
      <c r="C410" s="121" t="s">
        <v>6</v>
      </c>
      <c r="D410" s="122">
        <v>488.72</v>
      </c>
      <c r="E410" s="121" t="s">
        <v>1</v>
      </c>
      <c r="F410" s="117"/>
    </row>
    <row r="411" spans="1:6" ht="30">
      <c r="A411" s="121" t="s">
        <v>1395</v>
      </c>
      <c r="B411" s="121" t="s">
        <v>1396</v>
      </c>
      <c r="C411" s="121" t="s">
        <v>0</v>
      </c>
      <c r="D411" s="122">
        <v>540.21</v>
      </c>
      <c r="E411" s="121" t="s">
        <v>32</v>
      </c>
      <c r="F411" s="117"/>
    </row>
    <row r="412" spans="1:6" ht="15">
      <c r="A412" s="121" t="s">
        <v>1397</v>
      </c>
      <c r="B412" s="121" t="s">
        <v>1398</v>
      </c>
      <c r="C412" s="121" t="s">
        <v>0</v>
      </c>
      <c r="D412" s="122">
        <v>2233.38</v>
      </c>
      <c r="E412" s="121" t="s">
        <v>30</v>
      </c>
      <c r="F412" s="117"/>
    </row>
    <row r="413" spans="1:6" ht="30">
      <c r="A413" s="121" t="s">
        <v>1399</v>
      </c>
      <c r="B413" s="121" t="s">
        <v>1400</v>
      </c>
      <c r="C413" s="121" t="s">
        <v>628</v>
      </c>
      <c r="D413" s="122">
        <v>118</v>
      </c>
      <c r="E413" s="121" t="s">
        <v>664</v>
      </c>
      <c r="F413" s="117"/>
    </row>
    <row r="414" spans="1:6" ht="15">
      <c r="A414" s="121" t="s">
        <v>1401</v>
      </c>
      <c r="B414" s="121" t="s">
        <v>1402</v>
      </c>
      <c r="C414" s="121" t="s">
        <v>6</v>
      </c>
      <c r="D414" s="122">
        <v>478.21</v>
      </c>
      <c r="E414" s="121" t="s">
        <v>30</v>
      </c>
      <c r="F414" s="117"/>
    </row>
    <row r="415" spans="1:6" ht="15">
      <c r="A415" s="121" t="s">
        <v>1403</v>
      </c>
      <c r="B415" s="121" t="s">
        <v>1404</v>
      </c>
      <c r="C415" s="121" t="s">
        <v>628</v>
      </c>
      <c r="D415" s="122">
        <v>848.16</v>
      </c>
      <c r="E415" s="121" t="s">
        <v>1059</v>
      </c>
      <c r="F415" s="117"/>
    </row>
    <row r="416" spans="1:6" ht="30">
      <c r="A416" s="121" t="s">
        <v>1405</v>
      </c>
      <c r="B416" s="121" t="s">
        <v>1406</v>
      </c>
      <c r="C416" s="121" t="s">
        <v>0</v>
      </c>
      <c r="D416" s="122">
        <v>5253.95</v>
      </c>
      <c r="E416" s="121" t="s">
        <v>34</v>
      </c>
      <c r="F416" s="117"/>
    </row>
    <row r="417" spans="1:6" ht="15">
      <c r="A417" s="121" t="s">
        <v>1407</v>
      </c>
      <c r="B417" s="121" t="s">
        <v>1408</v>
      </c>
      <c r="C417" s="121" t="s">
        <v>628</v>
      </c>
      <c r="D417" s="122">
        <v>268.01</v>
      </c>
      <c r="E417" s="121" t="s">
        <v>18</v>
      </c>
      <c r="F417" s="117"/>
    </row>
    <row r="418" spans="1:6" ht="15">
      <c r="A418" s="121" t="s">
        <v>1409</v>
      </c>
      <c r="B418" s="121" t="s">
        <v>1410</v>
      </c>
      <c r="C418" s="121" t="s">
        <v>0</v>
      </c>
      <c r="D418" s="122">
        <v>1555.48</v>
      </c>
      <c r="E418" s="121" t="s">
        <v>857</v>
      </c>
      <c r="F418" s="117"/>
    </row>
    <row r="419" spans="1:6" ht="15">
      <c r="A419" s="121" t="s">
        <v>1411</v>
      </c>
      <c r="B419" s="121" t="s">
        <v>1412</v>
      </c>
      <c r="C419" s="121" t="s">
        <v>628</v>
      </c>
      <c r="D419" s="122">
        <v>163.28</v>
      </c>
      <c r="E419" s="121" t="s">
        <v>3</v>
      </c>
      <c r="F419" s="117"/>
    </row>
    <row r="420" spans="1:6" ht="15">
      <c r="A420" s="121" t="s">
        <v>1413</v>
      </c>
      <c r="B420" s="121" t="s">
        <v>1414</v>
      </c>
      <c r="C420" s="121" t="s">
        <v>0</v>
      </c>
      <c r="D420" s="122">
        <v>415.26</v>
      </c>
      <c r="E420" s="121" t="s">
        <v>8</v>
      </c>
      <c r="F420" s="117"/>
    </row>
    <row r="421" spans="1:6" ht="30">
      <c r="A421" s="121" t="s">
        <v>1415</v>
      </c>
      <c r="B421" s="121" t="s">
        <v>199</v>
      </c>
      <c r="C421" s="121" t="s">
        <v>628</v>
      </c>
      <c r="D421" s="122">
        <v>178.28</v>
      </c>
      <c r="E421" s="121" t="s">
        <v>14</v>
      </c>
      <c r="F421" s="117"/>
    </row>
    <row r="422" spans="1:6" ht="15">
      <c r="A422" s="121" t="s">
        <v>1416</v>
      </c>
      <c r="B422" s="121" t="s">
        <v>1417</v>
      </c>
      <c r="C422" s="121" t="s">
        <v>628</v>
      </c>
      <c r="D422" s="122">
        <v>26.28</v>
      </c>
      <c r="E422" s="121" t="s">
        <v>29</v>
      </c>
      <c r="F422" s="117"/>
    </row>
    <row r="423" spans="1:6" ht="15">
      <c r="A423" s="121" t="s">
        <v>1418</v>
      </c>
      <c r="B423" s="121" t="s">
        <v>199</v>
      </c>
      <c r="C423" s="121" t="s">
        <v>628</v>
      </c>
      <c r="D423" s="122">
        <v>1062.56</v>
      </c>
      <c r="E423" s="121" t="s">
        <v>11</v>
      </c>
      <c r="F423" s="117"/>
    </row>
    <row r="424" spans="1:6" ht="15">
      <c r="A424" s="121" t="s">
        <v>1419</v>
      </c>
      <c r="B424" s="121" t="s">
        <v>1420</v>
      </c>
      <c r="C424" s="121" t="s">
        <v>628</v>
      </c>
      <c r="D424" s="122">
        <v>71.5</v>
      </c>
      <c r="E424" s="121" t="s">
        <v>8</v>
      </c>
      <c r="F424" s="117"/>
    </row>
    <row r="425" spans="1:6" ht="15">
      <c r="A425" s="121" t="s">
        <v>1421</v>
      </c>
      <c r="B425" s="121" t="s">
        <v>1422</v>
      </c>
      <c r="C425" s="121" t="s">
        <v>628</v>
      </c>
      <c r="D425" s="122">
        <v>92</v>
      </c>
      <c r="E425" s="121" t="s">
        <v>664</v>
      </c>
      <c r="F425" s="117"/>
    </row>
    <row r="426" spans="1:6" ht="15">
      <c r="A426" s="121" t="s">
        <v>1423</v>
      </c>
      <c r="B426" s="121" t="s">
        <v>1424</v>
      </c>
      <c r="C426" s="121" t="s">
        <v>920</v>
      </c>
      <c r="D426" s="122">
        <v>95.93</v>
      </c>
      <c r="E426" s="121" t="s">
        <v>1059</v>
      </c>
      <c r="F426" s="117"/>
    </row>
    <row r="427" spans="1:6" ht="15">
      <c r="A427" s="121" t="s">
        <v>1425</v>
      </c>
      <c r="B427" s="121" t="s">
        <v>1426</v>
      </c>
      <c r="C427" s="121" t="s">
        <v>628</v>
      </c>
      <c r="D427" s="122">
        <v>126.12</v>
      </c>
      <c r="E427" s="121" t="s">
        <v>13</v>
      </c>
      <c r="F427" s="117"/>
    </row>
    <row r="428" spans="1:6" ht="15">
      <c r="A428" s="121" t="s">
        <v>1427</v>
      </c>
      <c r="B428" s="121" t="s">
        <v>1428</v>
      </c>
      <c r="C428" s="121" t="s">
        <v>628</v>
      </c>
      <c r="D428" s="122">
        <v>91.44</v>
      </c>
      <c r="E428" s="121" t="s">
        <v>15</v>
      </c>
      <c r="F428" s="117"/>
    </row>
    <row r="429" spans="1:6" ht="15">
      <c r="A429" s="121" t="s">
        <v>1429</v>
      </c>
      <c r="B429" s="121" t="s">
        <v>1430</v>
      </c>
      <c r="C429" s="121" t="s">
        <v>6</v>
      </c>
      <c r="D429" s="122">
        <v>233.1</v>
      </c>
      <c r="E429" s="121" t="s">
        <v>744</v>
      </c>
      <c r="F429" s="117"/>
    </row>
    <row r="430" spans="1:6" ht="15">
      <c r="A430" s="121" t="s">
        <v>1431</v>
      </c>
      <c r="B430" s="121" t="s">
        <v>1432</v>
      </c>
      <c r="C430" s="121" t="s">
        <v>628</v>
      </c>
      <c r="D430" s="122">
        <v>63.06</v>
      </c>
      <c r="E430" s="121" t="s">
        <v>8</v>
      </c>
      <c r="F430" s="117"/>
    </row>
    <row r="431" spans="1:6" ht="15">
      <c r="A431" s="121" t="s">
        <v>1433</v>
      </c>
      <c r="B431" s="121" t="s">
        <v>1434</v>
      </c>
      <c r="C431" s="121" t="s">
        <v>628</v>
      </c>
      <c r="D431" s="122">
        <v>315.3</v>
      </c>
      <c r="E431" s="121" t="s">
        <v>12</v>
      </c>
      <c r="F431" s="117"/>
    </row>
    <row r="432" spans="1:6" ht="15">
      <c r="A432" s="121" t="s">
        <v>1435</v>
      </c>
      <c r="B432" s="121" t="s">
        <v>1436</v>
      </c>
      <c r="C432" s="121" t="s">
        <v>0</v>
      </c>
      <c r="D432" s="122">
        <v>313.2</v>
      </c>
      <c r="E432" s="121" t="s">
        <v>47</v>
      </c>
      <c r="F432" s="117"/>
    </row>
    <row r="433" spans="1:6" ht="15">
      <c r="A433" s="121" t="s">
        <v>1437</v>
      </c>
      <c r="B433" s="121" t="s">
        <v>1438</v>
      </c>
      <c r="C433" s="121" t="s">
        <v>6</v>
      </c>
      <c r="D433" s="122">
        <v>618.49</v>
      </c>
      <c r="E433" s="121" t="s">
        <v>664</v>
      </c>
      <c r="F433" s="117"/>
    </row>
    <row r="434" spans="1:6" ht="15">
      <c r="A434" s="121" t="s">
        <v>1439</v>
      </c>
      <c r="B434" s="121" t="s">
        <v>1440</v>
      </c>
      <c r="C434" s="121" t="s">
        <v>6</v>
      </c>
      <c r="D434" s="122">
        <v>1368.4</v>
      </c>
      <c r="E434" s="121" t="s">
        <v>1059</v>
      </c>
      <c r="F434" s="117"/>
    </row>
    <row r="435" spans="1:6" ht="15">
      <c r="A435" s="121" t="s">
        <v>1441</v>
      </c>
      <c r="B435" s="121" t="s">
        <v>1442</v>
      </c>
      <c r="C435" s="121" t="s">
        <v>0</v>
      </c>
      <c r="D435" s="122">
        <v>251.19</v>
      </c>
      <c r="E435" s="121" t="s">
        <v>23</v>
      </c>
      <c r="F435" s="117"/>
    </row>
    <row r="436" spans="1:6" ht="15">
      <c r="A436" s="121" t="s">
        <v>1443</v>
      </c>
      <c r="B436" s="121" t="s">
        <v>1444</v>
      </c>
      <c r="C436" s="121" t="s">
        <v>0</v>
      </c>
      <c r="D436" s="122">
        <v>1072.02</v>
      </c>
      <c r="E436" s="121" t="s">
        <v>10</v>
      </c>
      <c r="F436" s="117"/>
    </row>
    <row r="437" spans="1:6" ht="15">
      <c r="A437" s="121" t="s">
        <v>1445</v>
      </c>
      <c r="B437" s="121" t="s">
        <v>1446</v>
      </c>
      <c r="C437" s="121" t="s">
        <v>0</v>
      </c>
      <c r="D437" s="122">
        <v>229.12</v>
      </c>
      <c r="E437" s="121" t="s">
        <v>22</v>
      </c>
      <c r="F437" s="117"/>
    </row>
    <row r="438" spans="1:6" ht="15">
      <c r="A438" s="121" t="s">
        <v>1447</v>
      </c>
      <c r="B438" s="121" t="s">
        <v>1448</v>
      </c>
      <c r="C438" s="121" t="s">
        <v>0</v>
      </c>
      <c r="D438" s="122">
        <v>193.38</v>
      </c>
      <c r="E438" s="121" t="s">
        <v>1449</v>
      </c>
      <c r="F438" s="117"/>
    </row>
    <row r="439" spans="1:6" ht="15">
      <c r="A439" s="121" t="s">
        <v>1450</v>
      </c>
      <c r="B439" s="121" t="s">
        <v>1451</v>
      </c>
      <c r="C439" s="121" t="s">
        <v>6</v>
      </c>
      <c r="D439" s="122">
        <v>595.91999999999996</v>
      </c>
      <c r="E439" s="121" t="s">
        <v>3</v>
      </c>
      <c r="F439" s="117"/>
    </row>
    <row r="440" spans="1:6" ht="15">
      <c r="A440" s="121" t="s">
        <v>1452</v>
      </c>
      <c r="B440" s="121" t="s">
        <v>1453</v>
      </c>
      <c r="C440" s="121" t="s">
        <v>6</v>
      </c>
      <c r="D440" s="122">
        <v>2627.5</v>
      </c>
      <c r="E440" s="121" t="s">
        <v>3</v>
      </c>
      <c r="F440" s="117"/>
    </row>
    <row r="441" spans="1:6" ht="15">
      <c r="A441" s="121" t="s">
        <v>1454</v>
      </c>
      <c r="B441" s="121" t="s">
        <v>1455</v>
      </c>
      <c r="C441" s="121" t="s">
        <v>0</v>
      </c>
      <c r="D441" s="122">
        <v>2787.25</v>
      </c>
      <c r="E441" s="121" t="s">
        <v>3</v>
      </c>
      <c r="F441" s="117"/>
    </row>
    <row r="442" spans="1:6" ht="15">
      <c r="A442" s="121" t="s">
        <v>1456</v>
      </c>
      <c r="B442" s="121" t="s">
        <v>1457</v>
      </c>
      <c r="C442" s="121" t="s">
        <v>0</v>
      </c>
      <c r="D442" s="122">
        <v>8843.11</v>
      </c>
      <c r="E442" s="121" t="s">
        <v>3</v>
      </c>
      <c r="F442" s="117"/>
    </row>
    <row r="443" spans="1:6" ht="15">
      <c r="A443" s="121" t="s">
        <v>1458</v>
      </c>
      <c r="B443" s="121" t="s">
        <v>1459</v>
      </c>
      <c r="C443" s="121" t="s">
        <v>628</v>
      </c>
      <c r="D443" s="122">
        <v>219.63</v>
      </c>
      <c r="E443" s="121" t="s">
        <v>664</v>
      </c>
      <c r="F443" s="117"/>
    </row>
    <row r="444" spans="1:6" ht="30">
      <c r="A444" s="121" t="s">
        <v>1460</v>
      </c>
      <c r="B444" s="121" t="s">
        <v>1461</v>
      </c>
      <c r="C444" s="121" t="s">
        <v>628</v>
      </c>
      <c r="D444" s="122">
        <v>0</v>
      </c>
      <c r="E444" s="121" t="s">
        <v>664</v>
      </c>
      <c r="F444" s="117"/>
    </row>
    <row r="445" spans="1:6" ht="15">
      <c r="A445" s="121" t="s">
        <v>1462</v>
      </c>
      <c r="B445" s="121" t="s">
        <v>1463</v>
      </c>
      <c r="C445" s="121" t="s">
        <v>6</v>
      </c>
      <c r="D445" s="122">
        <v>543.37</v>
      </c>
      <c r="E445" s="121" t="s">
        <v>13</v>
      </c>
      <c r="F445" s="117"/>
    </row>
    <row r="446" spans="1:6" ht="30">
      <c r="A446" s="121" t="s">
        <v>1464</v>
      </c>
      <c r="B446" s="121" t="s">
        <v>1465</v>
      </c>
      <c r="C446" s="121" t="s">
        <v>0</v>
      </c>
      <c r="D446" s="122">
        <v>708.37</v>
      </c>
      <c r="E446" s="121" t="s">
        <v>30</v>
      </c>
      <c r="F446" s="117"/>
    </row>
    <row r="447" spans="1:6" ht="15">
      <c r="A447" s="121" t="s">
        <v>1466</v>
      </c>
      <c r="B447" s="121" t="s">
        <v>1467</v>
      </c>
      <c r="C447" s="121" t="s">
        <v>628</v>
      </c>
      <c r="D447" s="122">
        <v>129.09</v>
      </c>
      <c r="E447" s="121" t="s">
        <v>664</v>
      </c>
      <c r="F447" s="117"/>
    </row>
    <row r="448" spans="1:6" ht="15">
      <c r="A448" s="121" t="s">
        <v>1468</v>
      </c>
      <c r="B448" s="121" t="s">
        <v>1469</v>
      </c>
      <c r="C448" s="121" t="s">
        <v>6</v>
      </c>
      <c r="D448" s="122">
        <v>670.54</v>
      </c>
      <c r="E448" s="121" t="s">
        <v>7</v>
      </c>
      <c r="F448" s="117"/>
    </row>
    <row r="449" spans="1:6" ht="15">
      <c r="A449" s="121" t="s">
        <v>1470</v>
      </c>
      <c r="B449" s="121" t="s">
        <v>1471</v>
      </c>
      <c r="C449" s="121" t="s">
        <v>628</v>
      </c>
      <c r="D449" s="122">
        <v>120.87</v>
      </c>
      <c r="E449" s="121" t="s">
        <v>30</v>
      </c>
      <c r="F449" s="117"/>
    </row>
    <row r="450" spans="1:6" ht="15">
      <c r="A450" s="121" t="s">
        <v>1472</v>
      </c>
      <c r="B450" s="121" t="s">
        <v>1473</v>
      </c>
      <c r="C450" s="121" t="s">
        <v>628</v>
      </c>
      <c r="D450" s="122">
        <v>52.55</v>
      </c>
      <c r="E450" s="121" t="s">
        <v>13</v>
      </c>
      <c r="F450" s="117"/>
    </row>
    <row r="451" spans="1:6" ht="15">
      <c r="A451" s="121" t="s">
        <v>1474</v>
      </c>
      <c r="B451" s="121" t="s">
        <v>1475</v>
      </c>
      <c r="C451" s="121" t="s">
        <v>0</v>
      </c>
      <c r="D451" s="122">
        <v>1441.97</v>
      </c>
      <c r="E451" s="121" t="s">
        <v>8</v>
      </c>
      <c r="F451" s="117"/>
    </row>
    <row r="452" spans="1:6" ht="15">
      <c r="A452" s="121" t="s">
        <v>1476</v>
      </c>
      <c r="B452" s="121" t="s">
        <v>1477</v>
      </c>
      <c r="C452" s="121" t="s">
        <v>628</v>
      </c>
      <c r="D452" s="122">
        <v>60.96</v>
      </c>
      <c r="E452" s="121" t="s">
        <v>14</v>
      </c>
      <c r="F452" s="117"/>
    </row>
    <row r="453" spans="1:6" ht="15">
      <c r="A453" s="121" t="s">
        <v>1478</v>
      </c>
      <c r="B453" s="121" t="s">
        <v>1479</v>
      </c>
      <c r="C453" s="121" t="s">
        <v>0</v>
      </c>
      <c r="D453" s="122">
        <v>161.85</v>
      </c>
      <c r="E453" s="121" t="s">
        <v>13</v>
      </c>
      <c r="F453" s="117"/>
    </row>
    <row r="454" spans="1:6" ht="30">
      <c r="A454" s="121" t="s">
        <v>1480</v>
      </c>
      <c r="B454" s="121" t="s">
        <v>1481</v>
      </c>
      <c r="C454" s="121" t="s">
        <v>628</v>
      </c>
      <c r="D454" s="122">
        <v>170.26</v>
      </c>
      <c r="E454" s="121" t="s">
        <v>31</v>
      </c>
      <c r="F454" s="117"/>
    </row>
    <row r="455" spans="1:6" ht="15">
      <c r="A455" s="121" t="s">
        <v>1482</v>
      </c>
      <c r="B455" s="121" t="s">
        <v>1483</v>
      </c>
      <c r="C455" s="121" t="s">
        <v>0</v>
      </c>
      <c r="D455" s="122">
        <v>632.70000000000005</v>
      </c>
      <c r="E455" s="121" t="s">
        <v>8</v>
      </c>
      <c r="F455" s="117"/>
    </row>
    <row r="456" spans="1:6" ht="15">
      <c r="A456" s="121" t="s">
        <v>1484</v>
      </c>
      <c r="B456" s="121" t="s">
        <v>1485</v>
      </c>
      <c r="C456" s="121" t="s">
        <v>0</v>
      </c>
      <c r="D456" s="122">
        <v>1778.29</v>
      </c>
      <c r="E456" s="121" t="s">
        <v>3</v>
      </c>
      <c r="F456" s="117"/>
    </row>
    <row r="457" spans="1:6" ht="15">
      <c r="A457" s="121" t="s">
        <v>1486</v>
      </c>
      <c r="B457" s="121" t="s">
        <v>1487</v>
      </c>
      <c r="C457" s="121" t="s">
        <v>628</v>
      </c>
      <c r="D457" s="122">
        <v>47.29</v>
      </c>
      <c r="E457" s="121" t="s">
        <v>14</v>
      </c>
      <c r="F457" s="117"/>
    </row>
    <row r="458" spans="1:6" ht="15">
      <c r="A458" s="121" t="s">
        <v>1488</v>
      </c>
      <c r="B458" s="121" t="s">
        <v>1489</v>
      </c>
      <c r="C458" s="121" t="s">
        <v>628</v>
      </c>
      <c r="D458" s="122">
        <v>178.67</v>
      </c>
      <c r="E458" s="121" t="s">
        <v>13</v>
      </c>
      <c r="F458" s="117"/>
    </row>
    <row r="459" spans="1:6" ht="15">
      <c r="A459" s="121" t="s">
        <v>1490</v>
      </c>
      <c r="B459" s="121" t="s">
        <v>1491</v>
      </c>
      <c r="C459" s="121" t="s">
        <v>0</v>
      </c>
      <c r="D459" s="122">
        <v>150.29</v>
      </c>
      <c r="E459" s="121" t="s">
        <v>13</v>
      </c>
      <c r="F459" s="117"/>
    </row>
    <row r="460" spans="1:6" ht="15">
      <c r="A460" s="121" t="s">
        <v>1492</v>
      </c>
      <c r="B460" s="121" t="s">
        <v>1493</v>
      </c>
      <c r="C460" s="121" t="s">
        <v>628</v>
      </c>
      <c r="D460" s="122">
        <v>362.6</v>
      </c>
      <c r="E460" s="121" t="s">
        <v>744</v>
      </c>
      <c r="F460" s="117"/>
    </row>
    <row r="461" spans="1:6" ht="15">
      <c r="A461" s="121" t="s">
        <v>1494</v>
      </c>
      <c r="B461" s="121" t="s">
        <v>1495</v>
      </c>
      <c r="C461" s="121" t="s">
        <v>628</v>
      </c>
      <c r="D461" s="122">
        <v>384.67</v>
      </c>
      <c r="E461" s="121" t="s">
        <v>25</v>
      </c>
      <c r="F461" s="117"/>
    </row>
    <row r="462" spans="1:6" ht="15">
      <c r="A462" s="121" t="s">
        <v>1496</v>
      </c>
      <c r="B462" s="121" t="s">
        <v>1497</v>
      </c>
      <c r="C462" s="121" t="s">
        <v>628</v>
      </c>
      <c r="D462" s="122">
        <v>167.83</v>
      </c>
      <c r="E462" s="121" t="s">
        <v>664</v>
      </c>
      <c r="F462" s="117"/>
    </row>
    <row r="463" spans="1:6" ht="15">
      <c r="A463" s="121" t="s">
        <v>1498</v>
      </c>
      <c r="B463" s="121" t="s">
        <v>1499</v>
      </c>
      <c r="C463" s="121" t="s">
        <v>6</v>
      </c>
      <c r="D463" s="122">
        <v>1445.12</v>
      </c>
      <c r="E463" s="121" t="s">
        <v>3</v>
      </c>
      <c r="F463" s="117"/>
    </row>
    <row r="464" spans="1:6" ht="15">
      <c r="A464" s="121" t="s">
        <v>1500</v>
      </c>
      <c r="B464" s="121" t="s">
        <v>1501</v>
      </c>
      <c r="C464" s="121" t="s">
        <v>628</v>
      </c>
      <c r="D464" s="122">
        <v>154.5</v>
      </c>
      <c r="E464" s="121" t="s">
        <v>27</v>
      </c>
      <c r="F464" s="117"/>
    </row>
    <row r="465" spans="1:6" ht="15">
      <c r="A465" s="121" t="s">
        <v>1502</v>
      </c>
      <c r="B465" s="121" t="s">
        <v>1503</v>
      </c>
      <c r="C465" s="121" t="s">
        <v>628</v>
      </c>
      <c r="D465" s="122">
        <v>125</v>
      </c>
      <c r="E465" s="121" t="s">
        <v>30</v>
      </c>
      <c r="F465" s="117"/>
    </row>
    <row r="466" spans="1:6" ht="15">
      <c r="A466" s="121" t="s">
        <v>1504</v>
      </c>
      <c r="B466" s="121" t="s">
        <v>1505</v>
      </c>
      <c r="C466" s="121" t="s">
        <v>628</v>
      </c>
      <c r="D466" s="122">
        <v>0</v>
      </c>
      <c r="E466" s="121" t="s">
        <v>3</v>
      </c>
      <c r="F466" s="117"/>
    </row>
    <row r="467" spans="1:6" ht="30">
      <c r="A467" s="121" t="s">
        <v>1506</v>
      </c>
      <c r="B467" s="121" t="s">
        <v>1507</v>
      </c>
      <c r="C467" s="121" t="s">
        <v>0</v>
      </c>
      <c r="D467" s="122">
        <v>143.30000000000001</v>
      </c>
      <c r="E467" s="121" t="s">
        <v>30</v>
      </c>
      <c r="F467" s="117"/>
    </row>
    <row r="468" spans="1:6" ht="15">
      <c r="A468" s="121" t="s">
        <v>1508</v>
      </c>
      <c r="B468" s="121" t="s">
        <v>1509</v>
      </c>
      <c r="C468" s="121" t="s">
        <v>0</v>
      </c>
      <c r="D468" s="122">
        <v>1252.79</v>
      </c>
      <c r="E468" s="121" t="s">
        <v>8</v>
      </c>
      <c r="F468" s="117"/>
    </row>
    <row r="469" spans="1:6" ht="30">
      <c r="A469" s="121" t="s">
        <v>1510</v>
      </c>
      <c r="B469" s="121" t="s">
        <v>1511</v>
      </c>
      <c r="C469" s="121" t="s">
        <v>628</v>
      </c>
      <c r="D469" s="122">
        <v>52.55</v>
      </c>
      <c r="E469" s="121" t="s">
        <v>13</v>
      </c>
      <c r="F469" s="117"/>
    </row>
    <row r="470" spans="1:6" ht="15">
      <c r="A470" s="121" t="s">
        <v>1512</v>
      </c>
      <c r="B470" s="121" t="s">
        <v>1513</v>
      </c>
      <c r="C470" s="121" t="s">
        <v>6</v>
      </c>
      <c r="D470" s="122">
        <v>278.51</v>
      </c>
      <c r="E470" s="121" t="s">
        <v>49</v>
      </c>
      <c r="F470" s="117"/>
    </row>
    <row r="471" spans="1:6" ht="15">
      <c r="A471" s="121" t="s">
        <v>1514</v>
      </c>
      <c r="B471" s="121" t="s">
        <v>1515</v>
      </c>
      <c r="C471" s="121" t="s">
        <v>0</v>
      </c>
      <c r="D471" s="122">
        <v>714.1</v>
      </c>
      <c r="E471" s="121" t="s">
        <v>32</v>
      </c>
      <c r="F471" s="117"/>
    </row>
    <row r="472" spans="1:6" ht="15">
      <c r="A472" s="121" t="s">
        <v>1516</v>
      </c>
      <c r="B472" s="121" t="s">
        <v>1517</v>
      </c>
      <c r="C472" s="121" t="s">
        <v>628</v>
      </c>
      <c r="D472" s="122">
        <v>94.06</v>
      </c>
      <c r="E472" s="121" t="s">
        <v>13</v>
      </c>
      <c r="F472" s="117"/>
    </row>
    <row r="473" spans="1:6" ht="15">
      <c r="A473" s="121" t="s">
        <v>1518</v>
      </c>
      <c r="B473" s="121" t="s">
        <v>1519</v>
      </c>
      <c r="C473" s="121" t="s">
        <v>6</v>
      </c>
      <c r="D473" s="122">
        <v>219.66</v>
      </c>
      <c r="E473" s="121" t="s">
        <v>13</v>
      </c>
      <c r="F473" s="117"/>
    </row>
    <row r="474" spans="1:6" ht="15">
      <c r="A474" s="121" t="s">
        <v>1520</v>
      </c>
      <c r="B474" s="121" t="s">
        <v>1521</v>
      </c>
      <c r="C474" s="121" t="s">
        <v>628</v>
      </c>
      <c r="D474" s="122">
        <v>100.9</v>
      </c>
      <c r="E474" s="121" t="s">
        <v>11</v>
      </c>
      <c r="F474" s="117"/>
    </row>
    <row r="475" spans="1:6" ht="15">
      <c r="A475" s="121" t="s">
        <v>1522</v>
      </c>
      <c r="B475" s="121" t="s">
        <v>1523</v>
      </c>
      <c r="C475" s="121" t="s">
        <v>628</v>
      </c>
      <c r="D475" s="122">
        <v>262.75</v>
      </c>
      <c r="E475" s="121" t="s">
        <v>18</v>
      </c>
      <c r="F475" s="117"/>
    </row>
    <row r="476" spans="1:6" ht="15">
      <c r="A476" s="121" t="s">
        <v>1524</v>
      </c>
      <c r="B476" s="121" t="s">
        <v>1525</v>
      </c>
      <c r="C476" s="121" t="s">
        <v>0</v>
      </c>
      <c r="D476" s="122">
        <v>880.74</v>
      </c>
      <c r="E476" s="121" t="s">
        <v>3</v>
      </c>
      <c r="F476" s="117"/>
    </row>
    <row r="477" spans="1:6" ht="30">
      <c r="A477" s="121" t="s">
        <v>1526</v>
      </c>
      <c r="B477" s="121" t="s">
        <v>1527</v>
      </c>
      <c r="C477" s="121" t="s">
        <v>6</v>
      </c>
      <c r="D477" s="122">
        <v>308.73</v>
      </c>
      <c r="E477" s="121" t="s">
        <v>664</v>
      </c>
      <c r="F477" s="117"/>
    </row>
    <row r="478" spans="1:6" ht="15">
      <c r="A478" s="121" t="s">
        <v>1528</v>
      </c>
      <c r="B478" s="121" t="s">
        <v>1529</v>
      </c>
      <c r="C478" s="121" t="s">
        <v>0</v>
      </c>
      <c r="D478" s="122">
        <v>573.85</v>
      </c>
      <c r="E478" s="121" t="s">
        <v>857</v>
      </c>
      <c r="F478" s="117"/>
    </row>
    <row r="479" spans="1:6" ht="15">
      <c r="A479" s="121" t="s">
        <v>1530</v>
      </c>
      <c r="B479" s="121" t="s">
        <v>1531</v>
      </c>
      <c r="C479" s="121" t="s">
        <v>628</v>
      </c>
      <c r="D479" s="122">
        <v>120.86</v>
      </c>
      <c r="E479" s="121" t="s">
        <v>13</v>
      </c>
      <c r="F479" s="117"/>
    </row>
    <row r="480" spans="1:6" ht="15">
      <c r="A480" s="121" t="s">
        <v>1532</v>
      </c>
      <c r="B480" s="121" t="s">
        <v>1533</v>
      </c>
      <c r="C480" s="121" t="s">
        <v>628</v>
      </c>
      <c r="D480" s="122">
        <v>147.13999999999999</v>
      </c>
      <c r="E480" s="121" t="s">
        <v>16</v>
      </c>
      <c r="F480" s="117"/>
    </row>
    <row r="481" spans="1:6" ht="15">
      <c r="A481" s="121" t="s">
        <v>1534</v>
      </c>
      <c r="B481" s="121" t="s">
        <v>1535</v>
      </c>
      <c r="C481" s="121" t="s">
        <v>0</v>
      </c>
      <c r="D481" s="122">
        <v>4119.92</v>
      </c>
      <c r="E481" s="121" t="s">
        <v>3</v>
      </c>
      <c r="F481" s="117"/>
    </row>
    <row r="482" spans="1:6" ht="15">
      <c r="A482" s="121" t="s">
        <v>1536</v>
      </c>
      <c r="B482" s="121" t="s">
        <v>1537</v>
      </c>
      <c r="C482" s="121" t="s">
        <v>0</v>
      </c>
      <c r="D482" s="122">
        <v>3809.87</v>
      </c>
      <c r="E482" s="121" t="s">
        <v>10</v>
      </c>
      <c r="F482" s="117"/>
    </row>
    <row r="483" spans="1:6" ht="15">
      <c r="A483" s="121" t="s">
        <v>1538</v>
      </c>
      <c r="B483" s="121" t="s">
        <v>1539</v>
      </c>
      <c r="C483" s="121" t="s">
        <v>0</v>
      </c>
      <c r="D483" s="122">
        <v>1400.98</v>
      </c>
      <c r="E483" s="121" t="s">
        <v>1140</v>
      </c>
      <c r="F483" s="117"/>
    </row>
    <row r="484" spans="1:6" ht="15">
      <c r="A484" s="121" t="s">
        <v>1540</v>
      </c>
      <c r="B484" s="121" t="s">
        <v>1541</v>
      </c>
      <c r="C484" s="121" t="s">
        <v>628</v>
      </c>
      <c r="D484" s="122">
        <v>40</v>
      </c>
      <c r="E484" s="121" t="s">
        <v>664</v>
      </c>
      <c r="F484" s="117"/>
    </row>
    <row r="485" spans="1:6" ht="15">
      <c r="A485" s="121" t="s">
        <v>1542</v>
      </c>
      <c r="B485" s="121" t="s">
        <v>1543</v>
      </c>
      <c r="C485" s="121" t="s">
        <v>6</v>
      </c>
      <c r="D485" s="122">
        <v>670.54</v>
      </c>
      <c r="E485" s="121" t="s">
        <v>7</v>
      </c>
      <c r="F485" s="117"/>
    </row>
    <row r="486" spans="1:6" ht="15">
      <c r="A486" s="121" t="s">
        <v>1544</v>
      </c>
      <c r="B486" s="121" t="s">
        <v>1545</v>
      </c>
      <c r="C486" s="121" t="s">
        <v>0</v>
      </c>
      <c r="D486" s="122">
        <v>1874.98</v>
      </c>
      <c r="E486" s="121" t="s">
        <v>749</v>
      </c>
      <c r="F486" s="117"/>
    </row>
    <row r="487" spans="1:6" ht="15">
      <c r="A487" s="121" t="s">
        <v>1546</v>
      </c>
      <c r="B487" s="121" t="s">
        <v>1547</v>
      </c>
      <c r="C487" s="121" t="s">
        <v>0</v>
      </c>
      <c r="D487" s="122">
        <v>1506.08</v>
      </c>
      <c r="E487" s="121" t="s">
        <v>857</v>
      </c>
      <c r="F487" s="117"/>
    </row>
    <row r="488" spans="1:6" ht="15">
      <c r="A488" s="121" t="s">
        <v>1548</v>
      </c>
      <c r="B488" s="121" t="s">
        <v>1549</v>
      </c>
      <c r="C488" s="121" t="s">
        <v>0</v>
      </c>
      <c r="D488" s="122">
        <v>1032.08</v>
      </c>
      <c r="E488" s="121" t="s">
        <v>673</v>
      </c>
      <c r="F488" s="117"/>
    </row>
    <row r="489" spans="1:6" ht="30">
      <c r="A489" s="121" t="s">
        <v>1550</v>
      </c>
      <c r="B489" s="121" t="s">
        <v>1551</v>
      </c>
      <c r="C489" s="121" t="s">
        <v>0</v>
      </c>
      <c r="D489" s="122">
        <v>6313.36</v>
      </c>
      <c r="E489" s="121" t="s">
        <v>2</v>
      </c>
      <c r="F489" s="117"/>
    </row>
    <row r="490" spans="1:6" ht="15">
      <c r="A490" s="121" t="s">
        <v>1552</v>
      </c>
      <c r="B490" s="121" t="s">
        <v>1553</v>
      </c>
      <c r="C490" s="121" t="s">
        <v>6</v>
      </c>
      <c r="D490" s="122">
        <v>3938.1</v>
      </c>
      <c r="E490" s="121" t="s">
        <v>2</v>
      </c>
      <c r="F490" s="117"/>
    </row>
    <row r="491" spans="1:6" ht="15">
      <c r="A491" s="121" t="s">
        <v>1554</v>
      </c>
      <c r="B491" s="121" t="s">
        <v>1555</v>
      </c>
      <c r="C491" s="121" t="s">
        <v>0</v>
      </c>
      <c r="D491" s="122">
        <v>1052.05</v>
      </c>
      <c r="E491" s="121" t="s">
        <v>20</v>
      </c>
      <c r="F491" s="117"/>
    </row>
    <row r="492" spans="1:6" ht="15">
      <c r="A492" s="121" t="s">
        <v>1556</v>
      </c>
      <c r="B492" s="121" t="s">
        <v>1557</v>
      </c>
      <c r="C492" s="121" t="s">
        <v>628</v>
      </c>
      <c r="D492" s="122">
        <v>169.21</v>
      </c>
      <c r="E492" s="121" t="s">
        <v>30</v>
      </c>
      <c r="F492" s="117"/>
    </row>
    <row r="493" spans="1:6" ht="30">
      <c r="A493" s="121" t="s">
        <v>1558</v>
      </c>
      <c r="B493" s="121" t="s">
        <v>1559</v>
      </c>
      <c r="C493" s="121" t="s">
        <v>0</v>
      </c>
      <c r="D493" s="122">
        <v>885.8</v>
      </c>
      <c r="E493" s="121" t="s">
        <v>30</v>
      </c>
      <c r="F493" s="117"/>
    </row>
    <row r="494" spans="1:6" ht="15">
      <c r="A494" s="121" t="s">
        <v>1560</v>
      </c>
      <c r="B494" s="121" t="s">
        <v>1561</v>
      </c>
      <c r="C494" s="121" t="s">
        <v>0</v>
      </c>
      <c r="D494" s="122">
        <v>382.56</v>
      </c>
      <c r="E494" s="121" t="s">
        <v>26</v>
      </c>
      <c r="F494" s="117"/>
    </row>
    <row r="495" spans="1:6" ht="15">
      <c r="A495" s="121" t="s">
        <v>1562</v>
      </c>
      <c r="B495" s="121" t="s">
        <v>1563</v>
      </c>
      <c r="C495" s="121" t="s">
        <v>0</v>
      </c>
      <c r="D495" s="122">
        <v>650.57000000000005</v>
      </c>
      <c r="E495" s="121" t="s">
        <v>8</v>
      </c>
      <c r="F495" s="117"/>
    </row>
    <row r="496" spans="1:6" ht="15">
      <c r="A496" s="121" t="s">
        <v>1564</v>
      </c>
      <c r="B496" s="121" t="s">
        <v>1565</v>
      </c>
      <c r="C496" s="121" t="s">
        <v>0</v>
      </c>
      <c r="D496" s="122">
        <v>361.54</v>
      </c>
      <c r="E496" s="121" t="s">
        <v>38</v>
      </c>
      <c r="F496" s="117"/>
    </row>
    <row r="497" spans="1:6" ht="15">
      <c r="A497" s="121" t="s">
        <v>1566</v>
      </c>
      <c r="B497" s="121" t="s">
        <v>1567</v>
      </c>
      <c r="C497" s="121" t="s">
        <v>628</v>
      </c>
      <c r="D497" s="122">
        <v>85.13</v>
      </c>
      <c r="E497" s="121" t="s">
        <v>13</v>
      </c>
      <c r="F497" s="117"/>
    </row>
    <row r="498" spans="1:6" ht="15">
      <c r="A498" s="121" t="s">
        <v>1568</v>
      </c>
      <c r="B498" s="121" t="s">
        <v>1569</v>
      </c>
      <c r="C498" s="121" t="s">
        <v>628</v>
      </c>
      <c r="D498" s="122">
        <v>362.6</v>
      </c>
      <c r="E498" s="121" t="s">
        <v>744</v>
      </c>
      <c r="F498" s="117"/>
    </row>
    <row r="499" spans="1:6" ht="15">
      <c r="A499" s="121" t="s">
        <v>1570</v>
      </c>
      <c r="B499" s="121" t="s">
        <v>1571</v>
      </c>
      <c r="C499" s="121" t="s">
        <v>6</v>
      </c>
      <c r="D499" s="122">
        <v>173.42</v>
      </c>
      <c r="E499" s="121" t="s">
        <v>32</v>
      </c>
      <c r="F499" s="117"/>
    </row>
    <row r="500" spans="1:6" ht="30">
      <c r="A500" s="121" t="s">
        <v>1572</v>
      </c>
      <c r="B500" s="121" t="s">
        <v>1573</v>
      </c>
      <c r="C500" s="121" t="s">
        <v>628</v>
      </c>
      <c r="D500" s="122">
        <v>143.99</v>
      </c>
      <c r="E500" s="121" t="s">
        <v>16</v>
      </c>
      <c r="F500" s="117"/>
    </row>
    <row r="501" spans="1:6" ht="15">
      <c r="A501" s="121" t="s">
        <v>1574</v>
      </c>
      <c r="B501" s="121" t="s">
        <v>1575</v>
      </c>
      <c r="C501" s="121" t="s">
        <v>628</v>
      </c>
      <c r="D501" s="122">
        <v>131.38</v>
      </c>
      <c r="E501" s="121" t="s">
        <v>22</v>
      </c>
      <c r="F501" s="117"/>
    </row>
    <row r="502" spans="1:6" ht="15">
      <c r="A502" s="121" t="s">
        <v>1576</v>
      </c>
      <c r="B502" s="121" t="s">
        <v>1577</v>
      </c>
      <c r="C502" s="121" t="s">
        <v>628</v>
      </c>
      <c r="D502" s="122">
        <v>328.96</v>
      </c>
      <c r="E502" s="121" t="s">
        <v>26</v>
      </c>
      <c r="F502" s="117"/>
    </row>
    <row r="503" spans="1:6" ht="30">
      <c r="A503" s="121" t="s">
        <v>1578</v>
      </c>
      <c r="B503" s="121" t="s">
        <v>1579</v>
      </c>
      <c r="C503" s="121" t="s">
        <v>628</v>
      </c>
      <c r="D503" s="122">
        <v>420.4</v>
      </c>
      <c r="E503" s="121" t="s">
        <v>16</v>
      </c>
      <c r="F503" s="117"/>
    </row>
    <row r="504" spans="1:6" ht="30">
      <c r="A504" s="121" t="s">
        <v>1580</v>
      </c>
      <c r="B504" s="121" t="s">
        <v>1581</v>
      </c>
      <c r="C504" s="121" t="s">
        <v>628</v>
      </c>
      <c r="D504" s="122">
        <v>262.11</v>
      </c>
      <c r="E504" s="121" t="s">
        <v>664</v>
      </c>
      <c r="F504" s="117"/>
    </row>
    <row r="505" spans="1:6" ht="15">
      <c r="A505" s="121" t="s">
        <v>1582</v>
      </c>
      <c r="B505" s="121" t="s">
        <v>1583</v>
      </c>
      <c r="C505" s="121" t="s">
        <v>0</v>
      </c>
      <c r="D505" s="122">
        <v>431.96</v>
      </c>
      <c r="E505" s="121" t="s">
        <v>30</v>
      </c>
      <c r="F505" s="117"/>
    </row>
    <row r="506" spans="1:6" ht="15">
      <c r="A506" s="121" t="s">
        <v>1584</v>
      </c>
      <c r="B506" s="121" t="s">
        <v>1585</v>
      </c>
      <c r="C506" s="121" t="s">
        <v>628</v>
      </c>
      <c r="D506" s="122">
        <v>88</v>
      </c>
      <c r="E506" s="121" t="s">
        <v>664</v>
      </c>
      <c r="F506" s="117"/>
    </row>
    <row r="507" spans="1:6" ht="30">
      <c r="A507" s="121" t="s">
        <v>1586</v>
      </c>
      <c r="B507" s="121" t="s">
        <v>1587</v>
      </c>
      <c r="C507" s="121" t="s">
        <v>628</v>
      </c>
      <c r="D507" s="122">
        <v>15.76</v>
      </c>
      <c r="E507" s="121" t="s">
        <v>29</v>
      </c>
      <c r="F507" s="117"/>
    </row>
    <row r="508" spans="1:6" ht="30">
      <c r="A508" s="121" t="s">
        <v>1588</v>
      </c>
      <c r="B508" s="121" t="s">
        <v>1589</v>
      </c>
      <c r="C508" s="121" t="s">
        <v>628</v>
      </c>
      <c r="D508" s="122">
        <v>80.930000000000007</v>
      </c>
      <c r="E508" s="121" t="s">
        <v>16</v>
      </c>
      <c r="F508" s="117"/>
    </row>
    <row r="509" spans="1:6" ht="15">
      <c r="A509" s="121" t="s">
        <v>1590</v>
      </c>
      <c r="B509" s="121" t="s">
        <v>1591</v>
      </c>
      <c r="C509" s="121" t="s">
        <v>628</v>
      </c>
      <c r="D509" s="122">
        <v>57.8</v>
      </c>
      <c r="E509" s="121" t="s">
        <v>11</v>
      </c>
      <c r="F509" s="117"/>
    </row>
    <row r="510" spans="1:6" ht="15">
      <c r="A510" s="121" t="s">
        <v>1592</v>
      </c>
      <c r="B510" s="121" t="s">
        <v>1593</v>
      </c>
      <c r="C510" s="121" t="s">
        <v>0</v>
      </c>
      <c r="D510" s="122">
        <v>635.85</v>
      </c>
      <c r="E510" s="121" t="s">
        <v>8</v>
      </c>
      <c r="F510" s="117"/>
    </row>
    <row r="511" spans="1:6" ht="15">
      <c r="A511" s="121" t="s">
        <v>1594</v>
      </c>
      <c r="B511" s="121" t="s">
        <v>1595</v>
      </c>
      <c r="C511" s="121" t="s">
        <v>0</v>
      </c>
      <c r="D511" s="122">
        <v>3415.75</v>
      </c>
      <c r="E511" s="121" t="s">
        <v>25</v>
      </c>
      <c r="F511" s="117"/>
    </row>
    <row r="512" spans="1:6" ht="15">
      <c r="A512" s="121" t="s">
        <v>1596</v>
      </c>
      <c r="B512" s="121" t="s">
        <v>1597</v>
      </c>
      <c r="C512" s="121" t="s">
        <v>0</v>
      </c>
      <c r="D512" s="122">
        <v>598.02</v>
      </c>
      <c r="E512" s="121" t="s">
        <v>49</v>
      </c>
      <c r="F512" s="117"/>
    </row>
    <row r="513" spans="1:6" ht="15">
      <c r="A513" s="121" t="s">
        <v>1598</v>
      </c>
      <c r="B513" s="121" t="s">
        <v>1599</v>
      </c>
      <c r="C513" s="121" t="s">
        <v>0</v>
      </c>
      <c r="D513" s="122">
        <v>331.06</v>
      </c>
      <c r="E513" s="121" t="s">
        <v>857</v>
      </c>
      <c r="F513" s="117"/>
    </row>
    <row r="514" spans="1:6" ht="30">
      <c r="A514" s="121" t="s">
        <v>1600</v>
      </c>
      <c r="B514" s="121" t="s">
        <v>1601</v>
      </c>
      <c r="C514" s="121" t="s">
        <v>0</v>
      </c>
      <c r="D514" s="122">
        <v>4242.8900000000003</v>
      </c>
      <c r="E514" s="121" t="s">
        <v>12</v>
      </c>
      <c r="F514" s="117"/>
    </row>
    <row r="515" spans="1:6" ht="15">
      <c r="A515" s="121" t="s">
        <v>1602</v>
      </c>
      <c r="B515" s="121" t="s">
        <v>1603</v>
      </c>
      <c r="C515" s="121" t="s">
        <v>6</v>
      </c>
      <c r="D515" s="122">
        <v>255.39</v>
      </c>
      <c r="E515" s="121" t="s">
        <v>18</v>
      </c>
      <c r="F515" s="117"/>
    </row>
    <row r="516" spans="1:6" ht="15">
      <c r="A516" s="121" t="s">
        <v>1604</v>
      </c>
      <c r="B516" s="121" t="s">
        <v>1605</v>
      </c>
      <c r="C516" s="121" t="s">
        <v>0</v>
      </c>
      <c r="D516" s="122">
        <v>688.4</v>
      </c>
      <c r="E516" s="121" t="s">
        <v>17</v>
      </c>
      <c r="F516" s="117"/>
    </row>
    <row r="517" spans="1:6" ht="15">
      <c r="A517" s="121" t="s">
        <v>1606</v>
      </c>
      <c r="B517" s="121" t="s">
        <v>1607</v>
      </c>
      <c r="C517" s="121" t="s">
        <v>0</v>
      </c>
      <c r="D517" s="122">
        <v>1105.6500000000001</v>
      </c>
      <c r="E517" s="121" t="s">
        <v>14</v>
      </c>
      <c r="F517" s="117"/>
    </row>
    <row r="518" spans="1:6" ht="15">
      <c r="A518" s="121" t="s">
        <v>1608</v>
      </c>
      <c r="B518" s="121" t="s">
        <v>1609</v>
      </c>
      <c r="C518" s="121" t="s">
        <v>6</v>
      </c>
      <c r="D518" s="122">
        <v>542.55999999999995</v>
      </c>
      <c r="E518" s="121" t="s">
        <v>7</v>
      </c>
      <c r="F518" s="117"/>
    </row>
    <row r="519" spans="1:6" ht="15">
      <c r="A519" s="121" t="s">
        <v>1610</v>
      </c>
      <c r="B519" s="121" t="s">
        <v>1611</v>
      </c>
      <c r="C519" s="121" t="s">
        <v>628</v>
      </c>
      <c r="D519" s="122">
        <v>36.78</v>
      </c>
      <c r="E519" s="121" t="s">
        <v>11</v>
      </c>
      <c r="F519" s="117"/>
    </row>
    <row r="520" spans="1:6" ht="15">
      <c r="A520" s="121" t="s">
        <v>1612</v>
      </c>
      <c r="B520" s="121" t="s">
        <v>1613</v>
      </c>
      <c r="C520" s="121" t="s">
        <v>628</v>
      </c>
      <c r="D520" s="122">
        <v>498.17</v>
      </c>
      <c r="E520" s="121" t="s">
        <v>11</v>
      </c>
      <c r="F520" s="117"/>
    </row>
    <row r="521" spans="1:6" ht="15">
      <c r="A521" s="121" t="s">
        <v>1614</v>
      </c>
      <c r="B521" s="121" t="s">
        <v>199</v>
      </c>
      <c r="C521" s="121" t="s">
        <v>920</v>
      </c>
      <c r="D521" s="122">
        <v>446</v>
      </c>
      <c r="E521" s="121" t="s">
        <v>11</v>
      </c>
      <c r="F521" s="117"/>
    </row>
    <row r="522" spans="1:6" ht="15">
      <c r="A522" s="121" t="s">
        <v>1615</v>
      </c>
      <c r="B522" s="121" t="s">
        <v>1616</v>
      </c>
      <c r="C522" s="121" t="s">
        <v>628</v>
      </c>
      <c r="D522" s="122">
        <v>54.65</v>
      </c>
      <c r="E522" s="121" t="s">
        <v>31</v>
      </c>
      <c r="F522" s="117"/>
    </row>
    <row r="523" spans="1:6" ht="15">
      <c r="A523" s="121" t="s">
        <v>1617</v>
      </c>
      <c r="B523" s="121" t="s">
        <v>1618</v>
      </c>
      <c r="C523" s="121" t="s">
        <v>628</v>
      </c>
      <c r="D523" s="122">
        <v>230.92</v>
      </c>
      <c r="E523" s="121" t="s">
        <v>23</v>
      </c>
      <c r="F523" s="117"/>
    </row>
    <row r="524" spans="1:6" ht="15">
      <c r="A524" s="121" t="s">
        <v>1619</v>
      </c>
      <c r="B524" s="121" t="s">
        <v>1620</v>
      </c>
      <c r="C524" s="121" t="s">
        <v>628</v>
      </c>
      <c r="D524" s="122">
        <v>284.89999999999998</v>
      </c>
      <c r="E524" s="121" t="s">
        <v>744</v>
      </c>
      <c r="F524" s="117"/>
    </row>
    <row r="525" spans="1:6" ht="15">
      <c r="A525" s="121" t="s">
        <v>1619</v>
      </c>
      <c r="B525" s="121" t="s">
        <v>1620</v>
      </c>
      <c r="C525" s="121" t="s">
        <v>628</v>
      </c>
      <c r="D525" s="122">
        <v>248</v>
      </c>
      <c r="E525" s="121" t="s">
        <v>5</v>
      </c>
      <c r="F525" s="117"/>
    </row>
    <row r="526" spans="1:6" ht="15">
      <c r="A526" s="121" t="s">
        <v>1621</v>
      </c>
      <c r="B526" s="121" t="s">
        <v>1622</v>
      </c>
      <c r="C526" s="121" t="s">
        <v>628</v>
      </c>
      <c r="D526" s="122">
        <v>31.33</v>
      </c>
      <c r="E526" s="121" t="s">
        <v>5</v>
      </c>
      <c r="F526" s="117"/>
    </row>
    <row r="527" spans="1:6" ht="15">
      <c r="A527" s="121" t="s">
        <v>1623</v>
      </c>
      <c r="B527" s="121" t="s">
        <v>1624</v>
      </c>
      <c r="C527" s="121" t="s">
        <v>628</v>
      </c>
      <c r="D527" s="122">
        <v>86.18</v>
      </c>
      <c r="E527" s="121" t="s">
        <v>5</v>
      </c>
      <c r="F527" s="117"/>
    </row>
    <row r="528" spans="1:6" ht="15">
      <c r="A528" s="121" t="s">
        <v>1625</v>
      </c>
      <c r="B528" s="121" t="s">
        <v>1626</v>
      </c>
      <c r="C528" s="121" t="s">
        <v>628</v>
      </c>
      <c r="D528" s="122">
        <v>517.09</v>
      </c>
      <c r="E528" s="121" t="s">
        <v>26</v>
      </c>
      <c r="F528" s="117"/>
    </row>
    <row r="529" spans="1:6" ht="15">
      <c r="A529" s="121" t="s">
        <v>1627</v>
      </c>
      <c r="B529" s="121" t="s">
        <v>1628</v>
      </c>
      <c r="C529" s="121" t="s">
        <v>628</v>
      </c>
      <c r="D529" s="122">
        <v>78.819999999999993</v>
      </c>
      <c r="E529" s="121" t="s">
        <v>16</v>
      </c>
      <c r="F529" s="117"/>
    </row>
    <row r="530" spans="1:6" ht="15">
      <c r="A530" s="121" t="s">
        <v>1629</v>
      </c>
      <c r="B530" s="121" t="s">
        <v>1630</v>
      </c>
      <c r="C530" s="121" t="s">
        <v>0</v>
      </c>
      <c r="D530" s="122">
        <v>156.6</v>
      </c>
      <c r="E530" s="121" t="s">
        <v>38</v>
      </c>
      <c r="F530" s="117"/>
    </row>
    <row r="531" spans="1:6" ht="15">
      <c r="A531" s="121" t="s">
        <v>1631</v>
      </c>
      <c r="B531" s="121" t="s">
        <v>1632</v>
      </c>
      <c r="C531" s="121" t="s">
        <v>628</v>
      </c>
      <c r="D531" s="122">
        <v>245.31</v>
      </c>
      <c r="E531" s="121" t="s">
        <v>23</v>
      </c>
      <c r="F531" s="117"/>
    </row>
    <row r="532" spans="1:6" ht="15">
      <c r="A532" s="121" t="s">
        <v>1633</v>
      </c>
      <c r="B532" s="121" t="s">
        <v>199</v>
      </c>
      <c r="C532" s="121" t="s">
        <v>628</v>
      </c>
      <c r="D532" s="122">
        <v>765</v>
      </c>
      <c r="E532" s="121" t="s">
        <v>18</v>
      </c>
      <c r="F532" s="117"/>
    </row>
    <row r="533" spans="1:6" ht="15">
      <c r="A533" s="121" t="s">
        <v>1634</v>
      </c>
      <c r="B533" s="121" t="s">
        <v>1635</v>
      </c>
      <c r="C533" s="121" t="s">
        <v>628</v>
      </c>
      <c r="D533" s="122">
        <v>51.8</v>
      </c>
      <c r="E533" s="121" t="s">
        <v>744</v>
      </c>
      <c r="F533" s="117"/>
    </row>
    <row r="534" spans="1:6" ht="15">
      <c r="A534" s="121" t="s">
        <v>1636</v>
      </c>
      <c r="B534" s="121" t="s">
        <v>1637</v>
      </c>
      <c r="C534" s="121" t="s">
        <v>628</v>
      </c>
      <c r="D534" s="122">
        <v>122.97</v>
      </c>
      <c r="E534" s="121" t="s">
        <v>13</v>
      </c>
      <c r="F534" s="117"/>
    </row>
    <row r="535" spans="1:6" ht="15">
      <c r="A535" s="121" t="s">
        <v>1638</v>
      </c>
      <c r="B535" s="121" t="s">
        <v>1639</v>
      </c>
      <c r="C535" s="121" t="s">
        <v>0</v>
      </c>
      <c r="D535" s="122">
        <v>338.42</v>
      </c>
      <c r="E535" s="121" t="s">
        <v>31</v>
      </c>
      <c r="F535" s="117"/>
    </row>
    <row r="536" spans="1:6" ht="15">
      <c r="A536" s="121" t="s">
        <v>1640</v>
      </c>
      <c r="B536" s="121" t="s">
        <v>1641</v>
      </c>
      <c r="C536" s="121" t="s">
        <v>628</v>
      </c>
      <c r="D536" s="122">
        <v>1946.55</v>
      </c>
      <c r="E536" s="121" t="s">
        <v>744</v>
      </c>
      <c r="F536" s="117"/>
    </row>
    <row r="537" spans="1:6" ht="15">
      <c r="A537" s="121" t="s">
        <v>1642</v>
      </c>
      <c r="B537" s="121" t="s">
        <v>1643</v>
      </c>
      <c r="C537" s="121" t="s">
        <v>628</v>
      </c>
      <c r="D537" s="122">
        <v>107.74</v>
      </c>
      <c r="E537" s="121" t="s">
        <v>744</v>
      </c>
      <c r="F537" s="117"/>
    </row>
    <row r="538" spans="1:6" ht="15">
      <c r="A538" s="121" t="s">
        <v>1644</v>
      </c>
      <c r="B538" s="121" t="s">
        <v>1645</v>
      </c>
      <c r="C538" s="121" t="s">
        <v>628</v>
      </c>
      <c r="D538" s="122">
        <v>47.29</v>
      </c>
      <c r="E538" s="121" t="s">
        <v>31</v>
      </c>
      <c r="F538" s="117"/>
    </row>
    <row r="539" spans="1:6" ht="15">
      <c r="A539" s="121" t="s">
        <v>1646</v>
      </c>
      <c r="B539" s="121" t="s">
        <v>1647</v>
      </c>
      <c r="C539" s="121" t="s">
        <v>628</v>
      </c>
      <c r="D539" s="122">
        <v>0</v>
      </c>
      <c r="E539" s="121" t="s">
        <v>31</v>
      </c>
      <c r="F539" s="117"/>
    </row>
    <row r="540" spans="1:6" ht="15">
      <c r="A540" s="121" t="s">
        <v>1648</v>
      </c>
      <c r="B540" s="121" t="s">
        <v>1649</v>
      </c>
      <c r="C540" s="121" t="s">
        <v>6</v>
      </c>
      <c r="D540" s="122">
        <v>450.88</v>
      </c>
      <c r="E540" s="121" t="s">
        <v>31</v>
      </c>
      <c r="F540" s="117"/>
    </row>
    <row r="541" spans="1:6" ht="15">
      <c r="A541" s="121" t="s">
        <v>1650</v>
      </c>
      <c r="B541" s="121" t="s">
        <v>1651</v>
      </c>
      <c r="C541" s="121" t="s">
        <v>6</v>
      </c>
      <c r="D541" s="122">
        <v>155.38999999999999</v>
      </c>
      <c r="E541" s="121" t="s">
        <v>744</v>
      </c>
      <c r="F541" s="117"/>
    </row>
    <row r="542" spans="1:6" ht="15">
      <c r="A542" s="121" t="s">
        <v>1652</v>
      </c>
      <c r="B542" s="121" t="s">
        <v>1653</v>
      </c>
      <c r="C542" s="121" t="s">
        <v>628</v>
      </c>
      <c r="D542" s="122">
        <v>0</v>
      </c>
      <c r="E542" s="121" t="s">
        <v>31</v>
      </c>
      <c r="F542" s="117"/>
    </row>
    <row r="543" spans="1:6" ht="15">
      <c r="A543" s="121" t="s">
        <v>1654</v>
      </c>
      <c r="B543" s="121" t="s">
        <v>1655</v>
      </c>
      <c r="C543" s="121" t="s">
        <v>628</v>
      </c>
      <c r="D543" s="122">
        <v>0</v>
      </c>
      <c r="E543" s="121" t="s">
        <v>22</v>
      </c>
      <c r="F543" s="117"/>
    </row>
    <row r="544" spans="1:6" ht="30">
      <c r="A544" s="121" t="s">
        <v>1656</v>
      </c>
      <c r="B544" s="121" t="s">
        <v>199</v>
      </c>
      <c r="C544" s="121" t="s">
        <v>628</v>
      </c>
      <c r="D544" s="122">
        <v>0</v>
      </c>
      <c r="E544" s="121" t="s">
        <v>664</v>
      </c>
      <c r="F544" s="117"/>
    </row>
    <row r="545" spans="1:6" ht="15">
      <c r="A545" s="121" t="s">
        <v>1657</v>
      </c>
      <c r="B545" s="121" t="s">
        <v>1658</v>
      </c>
      <c r="C545" s="121" t="s">
        <v>628</v>
      </c>
      <c r="D545" s="122">
        <v>627.6</v>
      </c>
      <c r="E545" s="121" t="s">
        <v>18</v>
      </c>
      <c r="F545" s="117"/>
    </row>
    <row r="546" spans="1:6" ht="15">
      <c r="A546" s="121" t="s">
        <v>1659</v>
      </c>
      <c r="B546" s="121" t="s">
        <v>1660</v>
      </c>
      <c r="C546" s="121" t="s">
        <v>6</v>
      </c>
      <c r="D546" s="122">
        <v>729.13</v>
      </c>
      <c r="E546" s="121" t="s">
        <v>18</v>
      </c>
      <c r="F546" s="117"/>
    </row>
    <row r="547" spans="1:6" ht="15">
      <c r="A547" s="121" t="s">
        <v>1661</v>
      </c>
      <c r="B547" s="121" t="s">
        <v>1662</v>
      </c>
      <c r="C547" s="121" t="s">
        <v>628</v>
      </c>
      <c r="D547" s="122">
        <v>961.66</v>
      </c>
      <c r="E547" s="121" t="s">
        <v>18</v>
      </c>
      <c r="F547" s="117"/>
    </row>
    <row r="548" spans="1:6" ht="15">
      <c r="A548" s="121" t="s">
        <v>1663</v>
      </c>
      <c r="B548" s="121" t="s">
        <v>1664</v>
      </c>
      <c r="C548" s="121" t="s">
        <v>628</v>
      </c>
      <c r="D548" s="122">
        <v>137.04</v>
      </c>
      <c r="E548" s="121" t="s">
        <v>23</v>
      </c>
      <c r="F548" s="117"/>
    </row>
    <row r="549" spans="1:6" ht="15">
      <c r="A549" s="121" t="s">
        <v>1665</v>
      </c>
      <c r="B549" s="121" t="s">
        <v>1666</v>
      </c>
      <c r="C549" s="121" t="s">
        <v>628</v>
      </c>
      <c r="D549" s="122">
        <v>41.99</v>
      </c>
      <c r="E549" s="121" t="s">
        <v>11</v>
      </c>
      <c r="F549" s="117"/>
    </row>
    <row r="550" spans="1:6" ht="15">
      <c r="A550" s="121" t="s">
        <v>1667</v>
      </c>
      <c r="B550" s="121" t="s">
        <v>1668</v>
      </c>
      <c r="C550" s="121" t="s">
        <v>628</v>
      </c>
      <c r="D550" s="122">
        <v>99.75</v>
      </c>
      <c r="E550" s="121" t="s">
        <v>11</v>
      </c>
      <c r="F550" s="117"/>
    </row>
    <row r="551" spans="1:6" ht="15">
      <c r="A551" s="121" t="s">
        <v>1669</v>
      </c>
      <c r="B551" s="121" t="s">
        <v>1670</v>
      </c>
      <c r="C551" s="121" t="s">
        <v>628</v>
      </c>
      <c r="D551" s="122">
        <v>100.49</v>
      </c>
      <c r="E551" s="121" t="s">
        <v>664</v>
      </c>
      <c r="F551" s="117"/>
    </row>
    <row r="552" spans="1:6" ht="15">
      <c r="A552" s="121" t="s">
        <v>1671</v>
      </c>
      <c r="B552" s="121" t="s">
        <v>199</v>
      </c>
      <c r="C552" s="121" t="s">
        <v>628</v>
      </c>
      <c r="D552" s="122">
        <v>90.91</v>
      </c>
      <c r="E552" s="121" t="s">
        <v>664</v>
      </c>
      <c r="F552" s="117"/>
    </row>
    <row r="553" spans="1:6" ht="15">
      <c r="A553" s="121" t="s">
        <v>1672</v>
      </c>
      <c r="B553" s="121" t="s">
        <v>1673</v>
      </c>
      <c r="C553" s="121" t="s">
        <v>0</v>
      </c>
      <c r="D553" s="122">
        <v>543.37</v>
      </c>
      <c r="E553" s="121" t="s">
        <v>857</v>
      </c>
      <c r="F553" s="117"/>
    </row>
    <row r="554" spans="1:6" ht="15">
      <c r="A554" s="121" t="s">
        <v>1674</v>
      </c>
      <c r="B554" s="121" t="s">
        <v>1675</v>
      </c>
      <c r="C554" s="121" t="s">
        <v>0</v>
      </c>
      <c r="D554" s="122">
        <v>717.91</v>
      </c>
      <c r="E554" s="121" t="s">
        <v>857</v>
      </c>
      <c r="F554" s="117"/>
    </row>
    <row r="555" spans="1:6" ht="15">
      <c r="A555" s="121" t="s">
        <v>1676</v>
      </c>
      <c r="B555" s="121" t="s">
        <v>1677</v>
      </c>
      <c r="C555" s="121" t="s">
        <v>0</v>
      </c>
      <c r="D555" s="122">
        <v>479.26</v>
      </c>
      <c r="E555" s="121" t="s">
        <v>857</v>
      </c>
      <c r="F555" s="117"/>
    </row>
    <row r="556" spans="1:6" ht="15">
      <c r="A556" s="121" t="s">
        <v>1678</v>
      </c>
      <c r="B556" s="121" t="s">
        <v>1679</v>
      </c>
      <c r="C556" s="121" t="s">
        <v>628</v>
      </c>
      <c r="D556" s="122">
        <v>196.54</v>
      </c>
      <c r="E556" s="121" t="s">
        <v>15</v>
      </c>
      <c r="F556" s="117"/>
    </row>
    <row r="557" spans="1:6" ht="15">
      <c r="A557" s="121" t="s">
        <v>1680</v>
      </c>
      <c r="B557" s="121" t="s">
        <v>1681</v>
      </c>
      <c r="C557" s="121" t="s">
        <v>628</v>
      </c>
      <c r="D557" s="122">
        <v>124.32</v>
      </c>
      <c r="E557" s="121" t="s">
        <v>664</v>
      </c>
      <c r="F557" s="117"/>
    </row>
    <row r="558" spans="1:6" ht="15">
      <c r="A558" s="121" t="s">
        <v>1682</v>
      </c>
      <c r="B558" s="121" t="s">
        <v>1683</v>
      </c>
      <c r="C558" s="121" t="s">
        <v>628</v>
      </c>
      <c r="D558" s="122">
        <v>0</v>
      </c>
      <c r="E558" s="121" t="s">
        <v>22</v>
      </c>
      <c r="F558" s="117"/>
    </row>
    <row r="559" spans="1:6" ht="15">
      <c r="A559" s="121" t="s">
        <v>1684</v>
      </c>
      <c r="B559" s="121" t="s">
        <v>199</v>
      </c>
      <c r="C559" s="121" t="s">
        <v>628</v>
      </c>
      <c r="D559" s="122">
        <v>0</v>
      </c>
      <c r="E559" s="121" t="s">
        <v>22</v>
      </c>
      <c r="F559" s="117"/>
    </row>
    <row r="560" spans="1:6" ht="15">
      <c r="A560" s="121" t="s">
        <v>1685</v>
      </c>
      <c r="B560" s="121" t="s">
        <v>1686</v>
      </c>
      <c r="C560" s="121" t="s">
        <v>0</v>
      </c>
      <c r="D560" s="122">
        <v>476.1</v>
      </c>
      <c r="E560" s="121" t="s">
        <v>1449</v>
      </c>
      <c r="F560" s="117"/>
    </row>
    <row r="561" spans="1:6" ht="15">
      <c r="A561" s="121" t="s">
        <v>1687</v>
      </c>
      <c r="B561" s="121" t="s">
        <v>1688</v>
      </c>
      <c r="C561" s="121" t="s">
        <v>628</v>
      </c>
      <c r="D561" s="122">
        <v>143.66999999999999</v>
      </c>
      <c r="E561" s="121" t="s">
        <v>4</v>
      </c>
      <c r="F561" s="117"/>
    </row>
    <row r="562" spans="1:6" ht="15">
      <c r="A562" s="121" t="s">
        <v>1689</v>
      </c>
      <c r="B562" s="121" t="s">
        <v>1690</v>
      </c>
      <c r="C562" s="121" t="s">
        <v>628</v>
      </c>
      <c r="D562" s="122">
        <v>98.79</v>
      </c>
      <c r="E562" s="121" t="s">
        <v>13</v>
      </c>
      <c r="F562" s="117"/>
    </row>
    <row r="563" spans="1:6" ht="15">
      <c r="A563" s="121" t="s">
        <v>1691</v>
      </c>
      <c r="B563" s="121" t="s">
        <v>1692</v>
      </c>
      <c r="C563" s="121" t="s">
        <v>628</v>
      </c>
      <c r="D563" s="122">
        <v>217.56</v>
      </c>
      <c r="E563" s="121" t="s">
        <v>4</v>
      </c>
      <c r="F563" s="117"/>
    </row>
    <row r="564" spans="1:6" ht="15">
      <c r="A564" s="121" t="s">
        <v>1693</v>
      </c>
      <c r="B564" s="121" t="s">
        <v>1694</v>
      </c>
      <c r="C564" s="121" t="s">
        <v>0</v>
      </c>
      <c r="D564" s="122">
        <v>339.47</v>
      </c>
      <c r="E564" s="121" t="s">
        <v>9</v>
      </c>
      <c r="F564" s="117"/>
    </row>
    <row r="565" spans="1:6" ht="15">
      <c r="A565" s="121" t="s">
        <v>1695</v>
      </c>
      <c r="B565" s="121" t="s">
        <v>1696</v>
      </c>
      <c r="C565" s="121" t="s">
        <v>628</v>
      </c>
      <c r="D565" s="122">
        <v>100.9</v>
      </c>
      <c r="E565" s="121" t="s">
        <v>11</v>
      </c>
      <c r="F565" s="117"/>
    </row>
    <row r="566" spans="1:6" ht="15">
      <c r="A566" s="121" t="s">
        <v>1697</v>
      </c>
      <c r="B566" s="121" t="s">
        <v>1698</v>
      </c>
      <c r="C566" s="121" t="s">
        <v>628</v>
      </c>
      <c r="D566" s="122">
        <v>321.61</v>
      </c>
      <c r="E566" s="121" t="s">
        <v>7</v>
      </c>
      <c r="F566" s="117"/>
    </row>
    <row r="567" spans="1:6" ht="15">
      <c r="A567" s="121" t="s">
        <v>1699</v>
      </c>
      <c r="B567" s="121" t="s">
        <v>1700</v>
      </c>
      <c r="C567" s="121" t="s">
        <v>628</v>
      </c>
      <c r="D567" s="122">
        <v>117.71</v>
      </c>
      <c r="E567" s="121" t="s">
        <v>32</v>
      </c>
      <c r="F567" s="117"/>
    </row>
    <row r="568" spans="1:6" ht="15">
      <c r="A568" s="121" t="s">
        <v>1701</v>
      </c>
      <c r="B568" s="121" t="s">
        <v>1702</v>
      </c>
      <c r="C568" s="121" t="s">
        <v>628</v>
      </c>
      <c r="D568" s="122">
        <v>99.34</v>
      </c>
      <c r="E568" s="121" t="s">
        <v>11</v>
      </c>
      <c r="F568" s="117"/>
    </row>
    <row r="569" spans="1:6" ht="15">
      <c r="A569" s="121" t="s">
        <v>1703</v>
      </c>
      <c r="B569" s="121" t="s">
        <v>1704</v>
      </c>
      <c r="C569" s="121" t="s">
        <v>628</v>
      </c>
      <c r="D569" s="122">
        <v>94.21</v>
      </c>
      <c r="E569" s="121" t="s">
        <v>11</v>
      </c>
      <c r="F569" s="117"/>
    </row>
    <row r="570" spans="1:6" ht="15">
      <c r="A570" s="121" t="s">
        <v>1705</v>
      </c>
      <c r="B570" s="121" t="s">
        <v>1706</v>
      </c>
      <c r="C570" s="121" t="s">
        <v>628</v>
      </c>
      <c r="D570" s="122">
        <v>0</v>
      </c>
      <c r="E570" s="121" t="s">
        <v>31</v>
      </c>
      <c r="F570" s="117"/>
    </row>
    <row r="571" spans="1:6" ht="15">
      <c r="A571" s="121" t="s">
        <v>1707</v>
      </c>
      <c r="B571" s="121" t="s">
        <v>1708</v>
      </c>
      <c r="C571" s="121" t="s">
        <v>628</v>
      </c>
      <c r="D571" s="122">
        <v>42.64</v>
      </c>
      <c r="E571" s="121" t="s">
        <v>16</v>
      </c>
      <c r="F571" s="117"/>
    </row>
    <row r="572" spans="1:6" ht="15">
      <c r="A572" s="121" t="s">
        <v>1709</v>
      </c>
      <c r="B572" s="121" t="s">
        <v>199</v>
      </c>
      <c r="C572" s="121" t="s">
        <v>628</v>
      </c>
      <c r="D572" s="122">
        <v>1525</v>
      </c>
      <c r="E572" s="121" t="s">
        <v>744</v>
      </c>
      <c r="F572" s="117"/>
    </row>
    <row r="573" spans="1:6" ht="15">
      <c r="A573" s="121" t="s">
        <v>1710</v>
      </c>
      <c r="B573" s="121" t="s">
        <v>1711</v>
      </c>
      <c r="C573" s="121" t="s">
        <v>628</v>
      </c>
      <c r="D573" s="122">
        <v>148.38</v>
      </c>
      <c r="E573" s="121" t="s">
        <v>10</v>
      </c>
      <c r="F573" s="117"/>
    </row>
    <row r="574" spans="1:6" ht="15">
      <c r="A574" s="121" t="s">
        <v>1712</v>
      </c>
      <c r="B574" s="121" t="s">
        <v>1713</v>
      </c>
      <c r="C574" s="121" t="s">
        <v>628</v>
      </c>
      <c r="D574" s="122">
        <v>136.33000000000001</v>
      </c>
      <c r="E574" s="121" t="s">
        <v>10</v>
      </c>
      <c r="F574" s="117"/>
    </row>
    <row r="575" spans="1:6" ht="15">
      <c r="A575" s="121" t="s">
        <v>1714</v>
      </c>
      <c r="B575" s="121" t="s">
        <v>1715</v>
      </c>
      <c r="C575" s="121" t="s">
        <v>6</v>
      </c>
      <c r="D575" s="122">
        <v>873.24</v>
      </c>
      <c r="E575" s="121" t="s">
        <v>7</v>
      </c>
      <c r="F575" s="117"/>
    </row>
    <row r="576" spans="1:6" ht="15">
      <c r="A576" s="121" t="s">
        <v>1716</v>
      </c>
      <c r="B576" s="121" t="s">
        <v>1717</v>
      </c>
      <c r="C576" s="121" t="s">
        <v>6</v>
      </c>
      <c r="D576" s="122">
        <v>758.35</v>
      </c>
      <c r="E576" s="121" t="s">
        <v>664</v>
      </c>
      <c r="F576" s="117"/>
    </row>
    <row r="577" spans="1:6" ht="15">
      <c r="A577" s="121" t="s">
        <v>1718</v>
      </c>
      <c r="B577" s="121" t="s">
        <v>1719</v>
      </c>
      <c r="C577" s="121" t="s">
        <v>628</v>
      </c>
      <c r="D577" s="122">
        <v>0</v>
      </c>
      <c r="E577" s="121" t="s">
        <v>29</v>
      </c>
      <c r="F577" s="117"/>
    </row>
    <row r="578" spans="1:6" ht="15">
      <c r="A578" s="121" t="s">
        <v>1720</v>
      </c>
      <c r="B578" s="121" t="s">
        <v>1721</v>
      </c>
      <c r="C578" s="121" t="s">
        <v>628</v>
      </c>
      <c r="D578" s="122">
        <v>655.59</v>
      </c>
      <c r="E578" s="121" t="s">
        <v>11</v>
      </c>
      <c r="F578" s="117"/>
    </row>
    <row r="579" spans="1:6" ht="15">
      <c r="A579" s="121" t="s">
        <v>1722</v>
      </c>
      <c r="B579" s="121" t="s">
        <v>1723</v>
      </c>
      <c r="C579" s="121" t="s">
        <v>628</v>
      </c>
      <c r="D579" s="122">
        <v>0</v>
      </c>
      <c r="E579" s="121" t="s">
        <v>29</v>
      </c>
      <c r="F579" s="117"/>
    </row>
    <row r="580" spans="1:6" ht="15">
      <c r="A580" s="121" t="s">
        <v>1724</v>
      </c>
      <c r="B580" s="121" t="s">
        <v>1725</v>
      </c>
      <c r="C580" s="121" t="s">
        <v>0</v>
      </c>
      <c r="D580" s="122">
        <v>195.49</v>
      </c>
      <c r="E580" s="121" t="s">
        <v>28</v>
      </c>
      <c r="F580" s="117"/>
    </row>
    <row r="581" spans="1:6" ht="15">
      <c r="A581" s="121" t="s">
        <v>1726</v>
      </c>
      <c r="B581" s="121" t="s">
        <v>1727</v>
      </c>
      <c r="C581" s="121" t="s">
        <v>628</v>
      </c>
      <c r="D581" s="122">
        <v>199.69</v>
      </c>
      <c r="E581" s="121" t="s">
        <v>27</v>
      </c>
      <c r="F581" s="117"/>
    </row>
    <row r="582" spans="1:6" ht="15">
      <c r="A582" s="121" t="s">
        <v>1728</v>
      </c>
      <c r="B582" s="121" t="s">
        <v>1729</v>
      </c>
      <c r="C582" s="121" t="s">
        <v>6</v>
      </c>
      <c r="D582" s="122">
        <v>193.73</v>
      </c>
      <c r="E582" s="121" t="s">
        <v>744</v>
      </c>
      <c r="F582" s="117"/>
    </row>
    <row r="583" spans="1:6" ht="15">
      <c r="A583" s="121" t="s">
        <v>1730</v>
      </c>
      <c r="B583" s="121" t="s">
        <v>1731</v>
      </c>
      <c r="C583" s="121" t="s">
        <v>628</v>
      </c>
      <c r="D583" s="122">
        <v>62.16</v>
      </c>
      <c r="E583" s="121" t="s">
        <v>744</v>
      </c>
      <c r="F583" s="117"/>
    </row>
    <row r="584" spans="1:6" ht="15">
      <c r="A584" s="121" t="s">
        <v>1732</v>
      </c>
      <c r="B584" s="121" t="s">
        <v>1733</v>
      </c>
      <c r="C584" s="121" t="s">
        <v>628</v>
      </c>
      <c r="D584" s="122">
        <v>62.01</v>
      </c>
      <c r="E584" s="121" t="s">
        <v>46</v>
      </c>
      <c r="F584" s="117"/>
    </row>
    <row r="585" spans="1:6" ht="15">
      <c r="A585" s="121" t="s">
        <v>1734</v>
      </c>
      <c r="B585" s="121" t="s">
        <v>1735</v>
      </c>
      <c r="C585" s="121" t="s">
        <v>628</v>
      </c>
      <c r="D585" s="122">
        <v>0</v>
      </c>
      <c r="E585" s="121" t="s">
        <v>46</v>
      </c>
      <c r="F585" s="117"/>
    </row>
    <row r="586" spans="1:6" ht="15">
      <c r="A586" s="121" t="s">
        <v>1736</v>
      </c>
      <c r="B586" s="121" t="s">
        <v>1737</v>
      </c>
      <c r="C586" s="121" t="s">
        <v>628</v>
      </c>
      <c r="D586" s="122">
        <v>42.04</v>
      </c>
      <c r="E586" s="121" t="s">
        <v>28</v>
      </c>
      <c r="F586" s="117"/>
    </row>
    <row r="587" spans="1:6" s="106" customFormat="1" ht="15">
      <c r="A587" s="121" t="s">
        <v>1738</v>
      </c>
      <c r="B587" s="121" t="s">
        <v>1739</v>
      </c>
      <c r="C587" s="121" t="s">
        <v>0</v>
      </c>
      <c r="D587" s="122">
        <v>4877.6899999999996</v>
      </c>
      <c r="E587" s="121" t="s">
        <v>3</v>
      </c>
      <c r="F587" s="124"/>
    </row>
    <row r="588" spans="1:6" ht="15">
      <c r="A588" s="121" t="s">
        <v>1740</v>
      </c>
      <c r="B588" s="121" t="s">
        <v>1741</v>
      </c>
      <c r="C588" s="121" t="s">
        <v>628</v>
      </c>
      <c r="D588" s="122">
        <v>52.55</v>
      </c>
      <c r="E588" s="121" t="s">
        <v>28</v>
      </c>
      <c r="F588" s="117"/>
    </row>
    <row r="589" spans="1:6" ht="15">
      <c r="A589" s="121" t="s">
        <v>1742</v>
      </c>
      <c r="B589" s="121" t="s">
        <v>1743</v>
      </c>
      <c r="C589" s="121" t="s">
        <v>628</v>
      </c>
      <c r="D589" s="122">
        <v>126.9</v>
      </c>
      <c r="E589" s="121" t="s">
        <v>29</v>
      </c>
      <c r="F589" s="117"/>
    </row>
    <row r="590" spans="1:6" ht="15">
      <c r="A590" s="121" t="s">
        <v>1744</v>
      </c>
      <c r="B590" s="121" t="s">
        <v>1745</v>
      </c>
      <c r="C590" s="121" t="s">
        <v>628</v>
      </c>
      <c r="D590" s="122">
        <v>84.95</v>
      </c>
      <c r="E590" s="121" t="s">
        <v>744</v>
      </c>
      <c r="F590" s="117"/>
    </row>
    <row r="591" spans="1:6" ht="15">
      <c r="A591" s="121" t="s">
        <v>1746</v>
      </c>
      <c r="B591" s="121" t="s">
        <v>1747</v>
      </c>
      <c r="C591" s="121" t="s">
        <v>628</v>
      </c>
      <c r="D591" s="122">
        <v>78.86</v>
      </c>
      <c r="E591" s="121" t="s">
        <v>7</v>
      </c>
      <c r="F591" s="117"/>
    </row>
    <row r="592" spans="1:6" ht="15">
      <c r="A592" s="121" t="s">
        <v>1748</v>
      </c>
      <c r="B592" s="121" t="s">
        <v>1749</v>
      </c>
      <c r="C592" s="121" t="s">
        <v>0</v>
      </c>
      <c r="D592" s="122">
        <v>367.85</v>
      </c>
      <c r="E592" s="121" t="s">
        <v>1059</v>
      </c>
      <c r="F592" s="117"/>
    </row>
    <row r="593" spans="1:6" ht="15">
      <c r="A593" s="121" t="s">
        <v>1750</v>
      </c>
      <c r="B593" s="121" t="s">
        <v>1751</v>
      </c>
      <c r="C593" s="121" t="s">
        <v>0</v>
      </c>
      <c r="D593" s="122">
        <v>1398.88</v>
      </c>
      <c r="E593" s="121" t="s">
        <v>1140</v>
      </c>
      <c r="F593" s="117"/>
    </row>
    <row r="594" spans="1:6" ht="15">
      <c r="A594" s="121" t="s">
        <v>1752</v>
      </c>
      <c r="B594" s="121" t="s">
        <v>1753</v>
      </c>
      <c r="C594" s="121" t="s">
        <v>628</v>
      </c>
      <c r="D594" s="122">
        <v>52.55</v>
      </c>
      <c r="E594" s="121" t="s">
        <v>23</v>
      </c>
      <c r="F594" s="117"/>
    </row>
    <row r="595" spans="1:6" ht="15">
      <c r="A595" s="121" t="s">
        <v>1754</v>
      </c>
      <c r="B595" s="121" t="s">
        <v>199</v>
      </c>
      <c r="C595" s="121" t="s">
        <v>628</v>
      </c>
      <c r="D595" s="122">
        <v>143.99</v>
      </c>
      <c r="E595" s="121" t="s">
        <v>31</v>
      </c>
      <c r="F595" s="117"/>
    </row>
    <row r="596" spans="1:6" ht="15">
      <c r="A596" s="121" t="s">
        <v>1755</v>
      </c>
      <c r="B596" s="121" t="s">
        <v>1756</v>
      </c>
      <c r="C596" s="121" t="s">
        <v>6</v>
      </c>
      <c r="D596" s="122">
        <v>296.38</v>
      </c>
      <c r="E596" s="121" t="s">
        <v>3</v>
      </c>
      <c r="F596" s="117"/>
    </row>
    <row r="597" spans="1:6" ht="15">
      <c r="A597" s="121" t="s">
        <v>1757</v>
      </c>
      <c r="B597" s="121" t="s">
        <v>1758</v>
      </c>
      <c r="C597" s="121" t="s">
        <v>628</v>
      </c>
      <c r="D597" s="122">
        <v>346.83</v>
      </c>
      <c r="E597" s="121" t="s">
        <v>3</v>
      </c>
      <c r="F597" s="117"/>
    </row>
    <row r="598" spans="1:6" ht="15">
      <c r="A598" s="121" t="s">
        <v>1759</v>
      </c>
      <c r="B598" s="121" t="s">
        <v>1760</v>
      </c>
      <c r="C598" s="121" t="s">
        <v>6</v>
      </c>
      <c r="D598" s="122">
        <v>40.619999999999997</v>
      </c>
      <c r="E598" s="121" t="s">
        <v>664</v>
      </c>
      <c r="F598" s="117"/>
    </row>
    <row r="599" spans="1:6" ht="15">
      <c r="A599" s="121" t="s">
        <v>1761</v>
      </c>
      <c r="B599" s="121" t="s">
        <v>1762</v>
      </c>
      <c r="C599" s="121" t="s">
        <v>0</v>
      </c>
      <c r="D599" s="122">
        <v>36.61</v>
      </c>
      <c r="E599" s="121" t="s">
        <v>664</v>
      </c>
      <c r="F599" s="117"/>
    </row>
    <row r="600" spans="1:6" ht="15">
      <c r="A600" s="121" t="s">
        <v>1763</v>
      </c>
      <c r="B600" s="121" t="s">
        <v>1764</v>
      </c>
      <c r="C600" s="121" t="s">
        <v>628</v>
      </c>
      <c r="D600" s="122">
        <v>24.12</v>
      </c>
      <c r="E600" s="121" t="s">
        <v>749</v>
      </c>
      <c r="F600" s="117"/>
    </row>
    <row r="601" spans="1:6" ht="15">
      <c r="A601" s="121" t="s">
        <v>1765</v>
      </c>
      <c r="B601" s="121" t="s">
        <v>199</v>
      </c>
      <c r="C601" s="121" t="s">
        <v>628</v>
      </c>
      <c r="D601" s="122">
        <v>133.47999999999999</v>
      </c>
      <c r="E601" s="121" t="s">
        <v>22</v>
      </c>
      <c r="F601" s="117"/>
    </row>
    <row r="602" spans="1:6" ht="15">
      <c r="A602" s="121" t="s">
        <v>1766</v>
      </c>
      <c r="B602" s="121" t="s">
        <v>1767</v>
      </c>
      <c r="C602" s="121" t="s">
        <v>628</v>
      </c>
      <c r="D602" s="122">
        <v>27.33</v>
      </c>
      <c r="E602" s="121" t="s">
        <v>11</v>
      </c>
      <c r="F602" s="117"/>
    </row>
    <row r="603" spans="1:6" ht="15">
      <c r="A603" s="121" t="s">
        <v>1768</v>
      </c>
      <c r="B603" s="121" t="s">
        <v>1769</v>
      </c>
      <c r="C603" s="121" t="s">
        <v>628</v>
      </c>
      <c r="D603" s="122">
        <v>31.53</v>
      </c>
      <c r="E603" s="121" t="s">
        <v>11</v>
      </c>
      <c r="F603" s="117"/>
    </row>
    <row r="604" spans="1:6" ht="15">
      <c r="A604" s="121" t="s">
        <v>1770</v>
      </c>
      <c r="B604" s="121" t="s">
        <v>1771</v>
      </c>
      <c r="C604" s="121" t="s">
        <v>628</v>
      </c>
      <c r="D604" s="122">
        <v>54.65</v>
      </c>
      <c r="E604" s="121" t="s">
        <v>17</v>
      </c>
      <c r="F604" s="117"/>
    </row>
    <row r="605" spans="1:6" ht="15">
      <c r="A605" s="121" t="s">
        <v>1772</v>
      </c>
      <c r="B605" s="121" t="s">
        <v>1773</v>
      </c>
      <c r="C605" s="121" t="s">
        <v>628</v>
      </c>
      <c r="D605" s="122">
        <v>86.2</v>
      </c>
      <c r="E605" s="121" t="s">
        <v>18</v>
      </c>
      <c r="F605" s="117"/>
    </row>
    <row r="606" spans="1:6" ht="15">
      <c r="A606" s="121" t="s">
        <v>1774</v>
      </c>
      <c r="B606" s="121" t="s">
        <v>1775</v>
      </c>
      <c r="C606" s="121" t="s">
        <v>628</v>
      </c>
      <c r="D606" s="122">
        <v>82.88</v>
      </c>
      <c r="E606" s="121" t="s">
        <v>664</v>
      </c>
      <c r="F606" s="117"/>
    </row>
    <row r="607" spans="1:6" ht="15">
      <c r="A607" s="121" t="s">
        <v>1776</v>
      </c>
      <c r="B607" s="121" t="s">
        <v>1777</v>
      </c>
      <c r="C607" s="121" t="s">
        <v>628</v>
      </c>
      <c r="D607" s="122">
        <v>57.69</v>
      </c>
      <c r="E607" s="121" t="s">
        <v>30</v>
      </c>
      <c r="F607" s="117"/>
    </row>
    <row r="608" spans="1:6" ht="15">
      <c r="A608" s="121" t="s">
        <v>1778</v>
      </c>
      <c r="B608" s="121" t="s">
        <v>1779</v>
      </c>
      <c r="C608" s="121" t="s">
        <v>628</v>
      </c>
      <c r="D608" s="122">
        <v>31.53</v>
      </c>
      <c r="E608" s="121" t="s">
        <v>13</v>
      </c>
      <c r="F608" s="117"/>
    </row>
    <row r="609" spans="1:6" ht="30">
      <c r="A609" s="121" t="s">
        <v>1780</v>
      </c>
      <c r="B609" s="121" t="s">
        <v>1781</v>
      </c>
      <c r="C609" s="121" t="s">
        <v>6</v>
      </c>
      <c r="D609" s="122">
        <v>3451.3</v>
      </c>
      <c r="E609" s="121" t="s">
        <v>27</v>
      </c>
      <c r="F609" s="117"/>
    </row>
    <row r="610" spans="1:6" ht="15">
      <c r="A610" s="121" t="s">
        <v>1782</v>
      </c>
      <c r="B610" s="121" t="s">
        <v>1783</v>
      </c>
      <c r="C610" s="121" t="s">
        <v>6</v>
      </c>
      <c r="D610" s="122">
        <v>871.97</v>
      </c>
      <c r="E610" s="121" t="s">
        <v>27</v>
      </c>
      <c r="F610" s="117"/>
    </row>
    <row r="611" spans="1:6" ht="15">
      <c r="A611" s="121" t="s">
        <v>1784</v>
      </c>
      <c r="B611" s="121" t="s">
        <v>1785</v>
      </c>
      <c r="C611" s="121" t="s">
        <v>628</v>
      </c>
      <c r="D611" s="122">
        <v>216.52</v>
      </c>
      <c r="E611" s="121" t="s">
        <v>744</v>
      </c>
      <c r="F611" s="117"/>
    </row>
    <row r="612" spans="1:6" ht="15">
      <c r="A612" s="121" t="s">
        <v>1786</v>
      </c>
      <c r="B612" s="121" t="s">
        <v>1787</v>
      </c>
      <c r="C612" s="121" t="s">
        <v>628</v>
      </c>
      <c r="D612" s="122">
        <v>42.04</v>
      </c>
      <c r="E612" s="121" t="s">
        <v>18</v>
      </c>
      <c r="F612" s="117"/>
    </row>
    <row r="613" spans="1:6" ht="15">
      <c r="A613" s="121" t="s">
        <v>1788</v>
      </c>
      <c r="B613" s="121" t="s">
        <v>1789</v>
      </c>
      <c r="C613" s="121" t="s">
        <v>628</v>
      </c>
      <c r="D613" s="122">
        <v>97.38</v>
      </c>
      <c r="E613" s="121" t="s">
        <v>744</v>
      </c>
      <c r="F613" s="117"/>
    </row>
    <row r="614" spans="1:6" ht="15">
      <c r="A614" s="121" t="s">
        <v>1790</v>
      </c>
      <c r="B614" s="121" t="s">
        <v>1791</v>
      </c>
      <c r="C614" s="121" t="s">
        <v>628</v>
      </c>
      <c r="D614" s="122">
        <v>44.14</v>
      </c>
      <c r="E614" s="121" t="s">
        <v>13</v>
      </c>
      <c r="F614" s="117"/>
    </row>
    <row r="615" spans="1:6" ht="30">
      <c r="A615" s="121" t="s">
        <v>1792</v>
      </c>
      <c r="B615" s="121" t="s">
        <v>199</v>
      </c>
      <c r="C615" s="121" t="s">
        <v>628</v>
      </c>
      <c r="D615" s="122">
        <v>75.67</v>
      </c>
      <c r="E615" s="121" t="s">
        <v>22</v>
      </c>
      <c r="F615" s="117"/>
    </row>
    <row r="616" spans="1:6" ht="15">
      <c r="A616" s="121" t="s">
        <v>1793</v>
      </c>
      <c r="B616" s="121" t="s">
        <v>199</v>
      </c>
      <c r="C616" s="121" t="s">
        <v>628</v>
      </c>
      <c r="D616" s="122">
        <v>0</v>
      </c>
      <c r="E616" s="121" t="s">
        <v>22</v>
      </c>
      <c r="F616" s="117"/>
    </row>
    <row r="617" spans="1:6" ht="15">
      <c r="A617" s="121" t="s">
        <v>1794</v>
      </c>
      <c r="B617" s="121" t="s">
        <v>1795</v>
      </c>
      <c r="C617" s="121" t="s">
        <v>920</v>
      </c>
      <c r="D617" s="122">
        <v>62.84</v>
      </c>
      <c r="E617" s="121" t="s">
        <v>11</v>
      </c>
      <c r="F617" s="117"/>
    </row>
    <row r="618" spans="1:6" ht="15">
      <c r="A618" s="121" t="s">
        <v>1796</v>
      </c>
      <c r="B618" s="121" t="s">
        <v>1797</v>
      </c>
      <c r="C618" s="121" t="s">
        <v>628</v>
      </c>
      <c r="D618" s="122">
        <v>145.04</v>
      </c>
      <c r="E618" s="121" t="s">
        <v>744</v>
      </c>
      <c r="F618" s="117"/>
    </row>
    <row r="619" spans="1:6" ht="15">
      <c r="A619" s="121" t="s">
        <v>1798</v>
      </c>
      <c r="B619" s="121" t="s">
        <v>1799</v>
      </c>
      <c r="C619" s="121" t="s">
        <v>628</v>
      </c>
      <c r="D619" s="122">
        <v>109.83</v>
      </c>
      <c r="E619" s="121" t="s">
        <v>11</v>
      </c>
      <c r="F619" s="117"/>
    </row>
    <row r="620" spans="1:6" ht="15">
      <c r="A620" s="121" t="s">
        <v>1800</v>
      </c>
      <c r="B620" s="121" t="s">
        <v>1801</v>
      </c>
      <c r="C620" s="121" t="s">
        <v>628</v>
      </c>
      <c r="D620" s="122">
        <v>39.409999999999997</v>
      </c>
      <c r="E620" s="121" t="s">
        <v>22</v>
      </c>
      <c r="F620" s="117"/>
    </row>
    <row r="621" spans="1:6" ht="15">
      <c r="A621" s="121" t="s">
        <v>1802</v>
      </c>
      <c r="B621" s="121" t="s">
        <v>1803</v>
      </c>
      <c r="C621" s="121" t="s">
        <v>628</v>
      </c>
      <c r="D621" s="122">
        <v>71.48</v>
      </c>
      <c r="E621" s="121" t="s">
        <v>744</v>
      </c>
      <c r="F621" s="117"/>
    </row>
    <row r="622" spans="1:6" ht="15">
      <c r="A622" s="121" t="s">
        <v>1804</v>
      </c>
      <c r="B622" s="121" t="s">
        <v>1805</v>
      </c>
      <c r="C622" s="121" t="s">
        <v>628</v>
      </c>
      <c r="D622" s="122">
        <v>25.22</v>
      </c>
      <c r="E622" s="121" t="s">
        <v>11</v>
      </c>
      <c r="F622" s="117"/>
    </row>
    <row r="623" spans="1:6" ht="15">
      <c r="A623" s="121" t="s">
        <v>1806</v>
      </c>
      <c r="B623" s="121" t="s">
        <v>1807</v>
      </c>
      <c r="C623" s="121" t="s">
        <v>628</v>
      </c>
      <c r="D623" s="122">
        <v>437.79</v>
      </c>
      <c r="E623" s="121" t="s">
        <v>11</v>
      </c>
      <c r="F623" s="117"/>
    </row>
    <row r="624" spans="1:6" ht="15">
      <c r="A624" s="121" t="s">
        <v>1808</v>
      </c>
      <c r="B624" s="121" t="s">
        <v>1807</v>
      </c>
      <c r="C624" s="121" t="s">
        <v>920</v>
      </c>
      <c r="D624" s="122">
        <v>6118.68</v>
      </c>
      <c r="E624" s="121" t="s">
        <v>744</v>
      </c>
      <c r="F624" s="117"/>
    </row>
    <row r="625" spans="1:6" ht="15">
      <c r="A625" s="121" t="s">
        <v>1809</v>
      </c>
      <c r="B625" s="121" t="s">
        <v>1807</v>
      </c>
      <c r="C625" s="121" t="s">
        <v>628</v>
      </c>
      <c r="D625" s="122">
        <v>381.51</v>
      </c>
      <c r="E625" s="121" t="s">
        <v>11</v>
      </c>
      <c r="F625" s="117"/>
    </row>
    <row r="626" spans="1:6" ht="15">
      <c r="A626" s="121" t="s">
        <v>1810</v>
      </c>
      <c r="B626" s="121" t="s">
        <v>1811</v>
      </c>
      <c r="C626" s="121" t="s">
        <v>628</v>
      </c>
      <c r="D626" s="122">
        <v>0</v>
      </c>
      <c r="E626" s="121" t="s">
        <v>11</v>
      </c>
      <c r="F626" s="117"/>
    </row>
    <row r="627" spans="1:6" ht="15">
      <c r="A627" s="121" t="s">
        <v>1812</v>
      </c>
      <c r="B627" s="121" t="s">
        <v>1813</v>
      </c>
      <c r="C627" s="121" t="s">
        <v>628</v>
      </c>
      <c r="D627" s="122">
        <v>2631.3</v>
      </c>
      <c r="E627" s="121" t="s">
        <v>744</v>
      </c>
      <c r="F627" s="117"/>
    </row>
    <row r="628" spans="1:6" ht="15">
      <c r="A628" s="121" t="s">
        <v>1814</v>
      </c>
      <c r="B628" s="121" t="s">
        <v>1815</v>
      </c>
      <c r="C628" s="121" t="s">
        <v>628</v>
      </c>
      <c r="D628" s="122">
        <v>0</v>
      </c>
      <c r="E628" s="121" t="s">
        <v>11</v>
      </c>
      <c r="F628" s="117"/>
    </row>
    <row r="629" spans="1:6" ht="15">
      <c r="A629" s="121" t="s">
        <v>1816</v>
      </c>
      <c r="B629" s="121" t="s">
        <v>1817</v>
      </c>
      <c r="C629" s="121" t="s">
        <v>628</v>
      </c>
      <c r="D629" s="122">
        <v>53.87</v>
      </c>
      <c r="E629" s="121" t="s">
        <v>744</v>
      </c>
      <c r="F629" s="117"/>
    </row>
    <row r="630" spans="1:6" ht="15">
      <c r="A630" s="121" t="s">
        <v>1818</v>
      </c>
      <c r="B630" s="121" t="s">
        <v>1819</v>
      </c>
      <c r="C630" s="121" t="s">
        <v>6</v>
      </c>
      <c r="D630" s="122">
        <v>352.24</v>
      </c>
      <c r="E630" s="121" t="s">
        <v>664</v>
      </c>
      <c r="F630" s="117"/>
    </row>
    <row r="631" spans="1:6" ht="15">
      <c r="A631" s="121" t="s">
        <v>1820</v>
      </c>
      <c r="B631" s="121" t="s">
        <v>1821</v>
      </c>
      <c r="C631" s="121" t="s">
        <v>628</v>
      </c>
      <c r="D631" s="122">
        <v>50.53</v>
      </c>
      <c r="E631" s="121" t="s">
        <v>664</v>
      </c>
      <c r="F631" s="117"/>
    </row>
    <row r="632" spans="1:6" ht="15">
      <c r="A632" s="121" t="s">
        <v>1822</v>
      </c>
      <c r="B632" s="121" t="s">
        <v>199</v>
      </c>
      <c r="C632" s="121" t="s">
        <v>628</v>
      </c>
      <c r="D632" s="122">
        <v>0</v>
      </c>
      <c r="E632" s="121" t="s">
        <v>22</v>
      </c>
      <c r="F632" s="117"/>
    </row>
    <row r="633" spans="1:6" ht="15">
      <c r="A633" s="121" t="s">
        <v>1823</v>
      </c>
      <c r="B633" s="121" t="s">
        <v>199</v>
      </c>
      <c r="C633" s="121" t="s">
        <v>628</v>
      </c>
      <c r="D633" s="122">
        <v>0</v>
      </c>
      <c r="E633" s="121" t="s">
        <v>31</v>
      </c>
      <c r="F633" s="117"/>
    </row>
    <row r="634" spans="1:6" ht="15">
      <c r="A634" s="121" t="s">
        <v>1824</v>
      </c>
      <c r="B634" s="121" t="s">
        <v>1825</v>
      </c>
      <c r="C634" s="121" t="s">
        <v>628</v>
      </c>
      <c r="D634" s="122">
        <v>43.51</v>
      </c>
      <c r="E634" s="121" t="s">
        <v>744</v>
      </c>
      <c r="F634" s="117"/>
    </row>
    <row r="635" spans="1:6" ht="15">
      <c r="A635" s="121" t="s">
        <v>1826</v>
      </c>
      <c r="B635" s="121" t="s">
        <v>199</v>
      </c>
      <c r="C635" s="121" t="s">
        <v>628</v>
      </c>
      <c r="D635" s="122">
        <v>217.56</v>
      </c>
      <c r="E635" s="121" t="s">
        <v>9</v>
      </c>
      <c r="F635" s="117"/>
    </row>
    <row r="636" spans="1:6" ht="15">
      <c r="A636" s="121" t="s">
        <v>1827</v>
      </c>
      <c r="B636" s="121" t="s">
        <v>1828</v>
      </c>
      <c r="C636" s="121" t="s">
        <v>6</v>
      </c>
      <c r="D636" s="122">
        <v>214.4</v>
      </c>
      <c r="E636" s="121" t="s">
        <v>44</v>
      </c>
      <c r="F636" s="117"/>
    </row>
    <row r="637" spans="1:6" ht="15">
      <c r="A637" s="121" t="s">
        <v>1829</v>
      </c>
      <c r="B637" s="121" t="s">
        <v>1830</v>
      </c>
      <c r="C637" s="121" t="s">
        <v>0</v>
      </c>
      <c r="D637" s="122">
        <v>2009.51</v>
      </c>
      <c r="E637" s="121" t="s">
        <v>2</v>
      </c>
      <c r="F637" s="117"/>
    </row>
    <row r="638" spans="1:6" ht="30">
      <c r="A638" s="121" t="s">
        <v>1831</v>
      </c>
      <c r="B638" s="121" t="s">
        <v>1832</v>
      </c>
      <c r="C638" s="121" t="s">
        <v>628</v>
      </c>
      <c r="D638" s="122">
        <v>331.32</v>
      </c>
      <c r="E638" s="121" t="s">
        <v>664</v>
      </c>
      <c r="F638" s="117"/>
    </row>
    <row r="639" spans="1:6" ht="15">
      <c r="A639" s="121" t="s">
        <v>1833</v>
      </c>
      <c r="B639" s="121" t="s">
        <v>1834</v>
      </c>
      <c r="C639" s="121" t="s">
        <v>628</v>
      </c>
      <c r="D639" s="122">
        <v>94.59</v>
      </c>
      <c r="E639" s="121" t="s">
        <v>27</v>
      </c>
      <c r="F639" s="117"/>
    </row>
    <row r="640" spans="1:6" ht="15">
      <c r="A640" s="121" t="s">
        <v>1835</v>
      </c>
      <c r="B640" s="121" t="s">
        <v>1836</v>
      </c>
      <c r="C640" s="121" t="s">
        <v>6</v>
      </c>
      <c r="D640" s="122">
        <v>208.1</v>
      </c>
      <c r="E640" s="121" t="s">
        <v>22</v>
      </c>
      <c r="F640" s="117"/>
    </row>
    <row r="641" spans="1:6" ht="15">
      <c r="A641" s="121" t="s">
        <v>1837</v>
      </c>
      <c r="B641" s="121" t="s">
        <v>1838</v>
      </c>
      <c r="C641" s="121" t="s">
        <v>628</v>
      </c>
      <c r="D641" s="122">
        <v>31.53</v>
      </c>
      <c r="E641" s="121" t="s">
        <v>29</v>
      </c>
      <c r="F641" s="117"/>
    </row>
    <row r="642" spans="1:6" ht="15">
      <c r="A642" s="121" t="s">
        <v>327</v>
      </c>
      <c r="B642" s="121" t="s">
        <v>1839</v>
      </c>
      <c r="C642" s="121" t="s">
        <v>628</v>
      </c>
      <c r="D642" s="122">
        <v>0</v>
      </c>
      <c r="E642" s="121" t="s">
        <v>31</v>
      </c>
      <c r="F642" s="117"/>
    </row>
    <row r="643" spans="1:6" ht="30">
      <c r="A643" s="121" t="s">
        <v>1840</v>
      </c>
      <c r="B643" s="121" t="s">
        <v>1841</v>
      </c>
      <c r="C643" s="121" t="s">
        <v>628</v>
      </c>
      <c r="D643" s="122">
        <v>15.76</v>
      </c>
      <c r="E643" s="121" t="s">
        <v>11</v>
      </c>
      <c r="F643" s="117"/>
    </row>
    <row r="644" spans="1:6" ht="15">
      <c r="A644" s="121" t="s">
        <v>1842</v>
      </c>
      <c r="B644" s="121" t="s">
        <v>1843</v>
      </c>
      <c r="C644" s="121" t="s">
        <v>628</v>
      </c>
      <c r="D644" s="122">
        <v>208.1</v>
      </c>
      <c r="E644" s="121" t="s">
        <v>19</v>
      </c>
      <c r="F644" s="117"/>
    </row>
    <row r="645" spans="1:6" ht="15">
      <c r="A645" s="121" t="s">
        <v>1844</v>
      </c>
      <c r="B645" s="121" t="s">
        <v>1845</v>
      </c>
      <c r="C645" s="121" t="s">
        <v>6</v>
      </c>
      <c r="D645" s="122">
        <v>882</v>
      </c>
      <c r="E645" s="121" t="s">
        <v>664</v>
      </c>
      <c r="F645" s="117"/>
    </row>
    <row r="646" spans="1:6" ht="15">
      <c r="A646" s="121" t="s">
        <v>1846</v>
      </c>
      <c r="B646" s="121" t="s">
        <v>1847</v>
      </c>
      <c r="C646" s="121" t="s">
        <v>628</v>
      </c>
      <c r="D646" s="122">
        <v>0</v>
      </c>
      <c r="E646" s="121" t="s">
        <v>3</v>
      </c>
      <c r="F646" s="117"/>
    </row>
    <row r="647" spans="1:6" ht="15">
      <c r="A647" s="121" t="s">
        <v>1848</v>
      </c>
      <c r="B647" s="121" t="s">
        <v>1849</v>
      </c>
      <c r="C647" s="121" t="s">
        <v>628</v>
      </c>
      <c r="D647" s="122">
        <v>92.5</v>
      </c>
      <c r="E647" s="121" t="s">
        <v>3</v>
      </c>
      <c r="F647" s="117"/>
    </row>
    <row r="648" spans="1:6" ht="30">
      <c r="A648" s="121" t="s">
        <v>1850</v>
      </c>
      <c r="B648" s="121" t="s">
        <v>1851</v>
      </c>
      <c r="C648" s="121" t="s">
        <v>6</v>
      </c>
      <c r="D648" s="122">
        <v>1826.51</v>
      </c>
      <c r="E648" s="121" t="s">
        <v>2</v>
      </c>
      <c r="F648" s="117"/>
    </row>
    <row r="649" spans="1:6" ht="30">
      <c r="A649" s="121" t="s">
        <v>1852</v>
      </c>
      <c r="B649" s="121" t="s">
        <v>1853</v>
      </c>
      <c r="C649" s="121" t="s">
        <v>6</v>
      </c>
      <c r="D649" s="122">
        <v>0</v>
      </c>
      <c r="E649" s="121" t="s">
        <v>2</v>
      </c>
      <c r="F649" s="117"/>
    </row>
    <row r="650" spans="1:6" ht="15">
      <c r="A650" s="121" t="s">
        <v>1854</v>
      </c>
      <c r="B650" s="121" t="s">
        <v>1855</v>
      </c>
      <c r="C650" s="121" t="s">
        <v>628</v>
      </c>
      <c r="D650" s="122">
        <v>107.2</v>
      </c>
      <c r="E650" s="121" t="s">
        <v>7</v>
      </c>
      <c r="F650" s="117"/>
    </row>
    <row r="651" spans="1:6" ht="15">
      <c r="A651" s="121" t="s">
        <v>1856</v>
      </c>
      <c r="B651" s="121" t="s">
        <v>1855</v>
      </c>
      <c r="C651" s="121" t="s">
        <v>920</v>
      </c>
      <c r="D651" s="122">
        <v>64.84</v>
      </c>
      <c r="E651" s="121" t="s">
        <v>7</v>
      </c>
      <c r="F651" s="117"/>
    </row>
    <row r="652" spans="1:6" ht="15">
      <c r="A652" s="121" t="s">
        <v>1857</v>
      </c>
      <c r="B652" s="121" t="s">
        <v>1858</v>
      </c>
      <c r="C652" s="121" t="s">
        <v>0</v>
      </c>
      <c r="D652" s="122">
        <v>1399.33</v>
      </c>
      <c r="E652" s="121" t="s">
        <v>7</v>
      </c>
      <c r="F652" s="117"/>
    </row>
    <row r="653" spans="1:6" ht="15">
      <c r="A653" s="121" t="s">
        <v>1859</v>
      </c>
      <c r="B653" s="121" t="s">
        <v>199</v>
      </c>
      <c r="C653" s="121" t="s">
        <v>628</v>
      </c>
      <c r="D653" s="122">
        <v>0</v>
      </c>
      <c r="E653" s="121" t="s">
        <v>3</v>
      </c>
      <c r="F653" s="117"/>
    </row>
    <row r="654" spans="1:6" ht="15">
      <c r="A654" s="121" t="s">
        <v>1860</v>
      </c>
      <c r="B654" s="121" t="s">
        <v>1861</v>
      </c>
      <c r="C654" s="121" t="s">
        <v>628</v>
      </c>
      <c r="D654" s="122">
        <v>0</v>
      </c>
      <c r="E654" s="121" t="s">
        <v>3</v>
      </c>
      <c r="F654" s="117"/>
    </row>
    <row r="655" spans="1:6" ht="15">
      <c r="A655" s="121" t="s">
        <v>1862</v>
      </c>
      <c r="B655" s="121" t="s">
        <v>1863</v>
      </c>
      <c r="C655" s="121" t="s">
        <v>628</v>
      </c>
      <c r="D655" s="122">
        <v>65.16</v>
      </c>
      <c r="E655" s="121" t="s">
        <v>18</v>
      </c>
      <c r="F655" s="117"/>
    </row>
    <row r="656" spans="1:6" ht="15">
      <c r="A656" s="121" t="s">
        <v>1864</v>
      </c>
      <c r="B656" s="121" t="s">
        <v>1865</v>
      </c>
      <c r="C656" s="121" t="s">
        <v>628</v>
      </c>
      <c r="D656" s="122">
        <v>136</v>
      </c>
      <c r="E656" s="121" t="s">
        <v>664</v>
      </c>
      <c r="F656" s="117"/>
    </row>
    <row r="657" spans="1:6" ht="15">
      <c r="A657" s="121" t="s">
        <v>1866</v>
      </c>
      <c r="B657" s="121" t="s">
        <v>1867</v>
      </c>
      <c r="C657" s="121" t="s">
        <v>628</v>
      </c>
      <c r="D657" s="122">
        <v>335.22</v>
      </c>
      <c r="E657" s="121" t="s">
        <v>23</v>
      </c>
      <c r="F657" s="117"/>
    </row>
    <row r="658" spans="1:6" ht="15">
      <c r="A658" s="121" t="s">
        <v>1868</v>
      </c>
      <c r="B658" s="121" t="s">
        <v>1869</v>
      </c>
      <c r="C658" s="121" t="s">
        <v>628</v>
      </c>
      <c r="D658" s="122">
        <v>96.69</v>
      </c>
      <c r="E658" s="121" t="s">
        <v>18</v>
      </c>
      <c r="F658" s="117"/>
    </row>
    <row r="659" spans="1:6" ht="15">
      <c r="A659" s="121" t="s">
        <v>1870</v>
      </c>
      <c r="B659" s="121" t="s">
        <v>1871</v>
      </c>
      <c r="C659" s="121" t="s">
        <v>0</v>
      </c>
      <c r="D659" s="122">
        <v>1187.6300000000001</v>
      </c>
      <c r="E659" s="121" t="s">
        <v>857</v>
      </c>
      <c r="F659" s="117"/>
    </row>
    <row r="660" spans="1:6" ht="15">
      <c r="A660" s="121" t="s">
        <v>1872</v>
      </c>
      <c r="B660" s="121" t="s">
        <v>1873</v>
      </c>
      <c r="C660" s="121" t="s">
        <v>0</v>
      </c>
      <c r="D660" s="122">
        <v>378.36</v>
      </c>
      <c r="E660" s="121" t="s">
        <v>14</v>
      </c>
      <c r="F660" s="117"/>
    </row>
    <row r="661" spans="1:6" ht="15">
      <c r="A661" s="121" t="s">
        <v>1874</v>
      </c>
      <c r="B661" s="121" t="s">
        <v>1875</v>
      </c>
      <c r="C661" s="121" t="s">
        <v>0</v>
      </c>
      <c r="D661" s="122">
        <v>184.98</v>
      </c>
      <c r="E661" s="121" t="s">
        <v>19</v>
      </c>
      <c r="F661" s="117"/>
    </row>
    <row r="662" spans="1:6" ht="15">
      <c r="A662" s="121" t="s">
        <v>1876</v>
      </c>
      <c r="B662" s="121" t="s">
        <v>1877</v>
      </c>
      <c r="C662" s="121" t="s">
        <v>628</v>
      </c>
      <c r="D662" s="122">
        <v>16.760000000000002</v>
      </c>
      <c r="E662" s="121" t="s">
        <v>11</v>
      </c>
      <c r="F662" s="117"/>
    </row>
    <row r="663" spans="1:6" ht="15">
      <c r="A663" s="121" t="s">
        <v>1878</v>
      </c>
      <c r="B663" s="121" t="s">
        <v>1879</v>
      </c>
      <c r="C663" s="121" t="s">
        <v>628</v>
      </c>
      <c r="D663" s="122">
        <v>20.99</v>
      </c>
      <c r="E663" s="121" t="s">
        <v>26</v>
      </c>
      <c r="F663" s="117"/>
    </row>
    <row r="664" spans="1:6" ht="15">
      <c r="A664" s="121" t="s">
        <v>1880</v>
      </c>
      <c r="B664" s="121" t="s">
        <v>1881</v>
      </c>
      <c r="C664" s="121" t="s">
        <v>0</v>
      </c>
      <c r="D664" s="122">
        <v>183.92</v>
      </c>
      <c r="E664" s="121" t="s">
        <v>7</v>
      </c>
      <c r="F664" s="117"/>
    </row>
    <row r="665" spans="1:6" ht="15">
      <c r="A665" s="121" t="s">
        <v>1882</v>
      </c>
      <c r="B665" s="121" t="s">
        <v>1883</v>
      </c>
      <c r="C665" s="121" t="s">
        <v>6</v>
      </c>
      <c r="D665" s="122">
        <v>713.63</v>
      </c>
      <c r="E665" s="121" t="s">
        <v>31</v>
      </c>
      <c r="F665" s="117"/>
    </row>
    <row r="666" spans="1:6" ht="15">
      <c r="A666" s="121" t="s">
        <v>1884</v>
      </c>
      <c r="B666" s="121" t="s">
        <v>1885</v>
      </c>
      <c r="C666" s="121" t="s">
        <v>0</v>
      </c>
      <c r="D666" s="122">
        <v>774.59</v>
      </c>
      <c r="E666" s="121" t="s">
        <v>33</v>
      </c>
      <c r="F666" s="117"/>
    </row>
    <row r="667" spans="1:6" ht="15">
      <c r="A667" s="121" t="s">
        <v>1886</v>
      </c>
      <c r="B667" s="121" t="s">
        <v>1887</v>
      </c>
      <c r="C667" s="121" t="s">
        <v>628</v>
      </c>
      <c r="D667" s="122">
        <f>149.65*2</f>
        <v>299.3</v>
      </c>
      <c r="E667" s="121" t="s">
        <v>673</v>
      </c>
      <c r="F667" s="117"/>
    </row>
    <row r="668" spans="1:6" ht="15">
      <c r="A668" s="121" t="s">
        <v>1888</v>
      </c>
      <c r="B668" s="121" t="s">
        <v>1889</v>
      </c>
      <c r="C668" s="121" t="s">
        <v>628</v>
      </c>
      <c r="D668" s="122">
        <v>65.260000000000005</v>
      </c>
      <c r="E668" s="121" t="s">
        <v>673</v>
      </c>
      <c r="F668" s="117"/>
    </row>
    <row r="669" spans="1:6" ht="15">
      <c r="A669" s="121" t="s">
        <v>1890</v>
      </c>
      <c r="B669" s="121" t="s">
        <v>1891</v>
      </c>
      <c r="C669" s="121" t="s">
        <v>628</v>
      </c>
      <c r="D669" s="122">
        <v>604.30999999999995</v>
      </c>
      <c r="E669" s="121" t="s">
        <v>673</v>
      </c>
      <c r="F669" s="117"/>
    </row>
    <row r="670" spans="1:6" ht="15">
      <c r="A670" s="121" t="s">
        <v>1892</v>
      </c>
      <c r="B670" s="121" t="s">
        <v>1893</v>
      </c>
      <c r="C670" s="121" t="s">
        <v>628</v>
      </c>
      <c r="D670" s="122">
        <v>604.30999999999995</v>
      </c>
      <c r="E670" s="121" t="s">
        <v>673</v>
      </c>
      <c r="F670" s="117"/>
    </row>
    <row r="671" spans="1:6" ht="15">
      <c r="A671" s="121" t="s">
        <v>1894</v>
      </c>
      <c r="B671" s="121" t="s">
        <v>1895</v>
      </c>
      <c r="C671" s="121" t="s">
        <v>628</v>
      </c>
      <c r="D671" s="122">
        <v>82.64</v>
      </c>
      <c r="E671" s="121" t="s">
        <v>664</v>
      </c>
      <c r="F671" s="117"/>
    </row>
    <row r="672" spans="1:6" ht="15">
      <c r="A672" s="121" t="s">
        <v>1896</v>
      </c>
      <c r="B672" s="121" t="s">
        <v>1897</v>
      </c>
      <c r="C672" s="121" t="s">
        <v>628</v>
      </c>
      <c r="D672" s="122">
        <v>608.30999999999995</v>
      </c>
      <c r="E672" s="121" t="s">
        <v>27</v>
      </c>
      <c r="F672" s="117"/>
    </row>
    <row r="673" spans="1:6" ht="15">
      <c r="A673" s="121" t="s">
        <v>1898</v>
      </c>
      <c r="B673" s="121" t="s">
        <v>1899</v>
      </c>
      <c r="C673" s="121" t="s">
        <v>0</v>
      </c>
      <c r="D673" s="122">
        <v>327.91</v>
      </c>
      <c r="E673" s="121" t="s">
        <v>857</v>
      </c>
      <c r="F673" s="117"/>
    </row>
    <row r="674" spans="1:6" ht="15">
      <c r="A674" s="121" t="s">
        <v>1900</v>
      </c>
      <c r="B674" s="121" t="s">
        <v>1901</v>
      </c>
      <c r="C674" s="121" t="s">
        <v>628</v>
      </c>
      <c r="D674" s="122">
        <v>201.79</v>
      </c>
      <c r="E674" s="121" t="s">
        <v>27</v>
      </c>
      <c r="F674" s="117"/>
    </row>
    <row r="675" spans="1:6" ht="15">
      <c r="A675" s="121" t="s">
        <v>1902</v>
      </c>
      <c r="B675" s="121" t="s">
        <v>1903</v>
      </c>
      <c r="C675" s="121" t="s">
        <v>628</v>
      </c>
      <c r="D675" s="122">
        <v>541.39</v>
      </c>
      <c r="E675" s="121" t="s">
        <v>3</v>
      </c>
      <c r="F675" s="117"/>
    </row>
    <row r="676" spans="1:6" ht="15">
      <c r="A676" s="121" t="s">
        <v>1904</v>
      </c>
      <c r="B676" s="121" t="s">
        <v>1905</v>
      </c>
      <c r="C676" s="121" t="s">
        <v>628</v>
      </c>
      <c r="D676" s="122">
        <v>156.6</v>
      </c>
      <c r="E676" s="121" t="s">
        <v>19</v>
      </c>
      <c r="F676" s="117"/>
    </row>
    <row r="677" spans="1:6" ht="15">
      <c r="A677" s="121" t="s">
        <v>1906</v>
      </c>
      <c r="B677" s="121" t="s">
        <v>1907</v>
      </c>
      <c r="C677" s="121" t="s">
        <v>628</v>
      </c>
      <c r="D677" s="122">
        <v>63.06</v>
      </c>
      <c r="E677" s="121" t="s">
        <v>16</v>
      </c>
      <c r="F677" s="117"/>
    </row>
    <row r="678" spans="1:6" ht="30">
      <c r="A678" s="121" t="s">
        <v>1908</v>
      </c>
      <c r="B678" s="121" t="s">
        <v>1909</v>
      </c>
      <c r="C678" s="121" t="s">
        <v>628</v>
      </c>
      <c r="D678" s="122">
        <v>283.77</v>
      </c>
      <c r="E678" s="121" t="s">
        <v>32</v>
      </c>
      <c r="F678" s="117"/>
    </row>
    <row r="679" spans="1:6" ht="30">
      <c r="A679" s="121" t="s">
        <v>1910</v>
      </c>
      <c r="B679" s="121" t="s">
        <v>1911</v>
      </c>
      <c r="C679" s="121" t="s">
        <v>628</v>
      </c>
      <c r="D679" s="122">
        <v>273.26</v>
      </c>
      <c r="E679" s="121" t="s">
        <v>33</v>
      </c>
      <c r="F679" s="117"/>
    </row>
    <row r="680" spans="1:6" ht="15">
      <c r="A680" s="121" t="s">
        <v>1912</v>
      </c>
      <c r="B680" s="121" t="s">
        <v>1913</v>
      </c>
      <c r="C680" s="121" t="s">
        <v>628</v>
      </c>
      <c r="D680" s="122">
        <v>68.319999999999993</v>
      </c>
      <c r="E680" s="121" t="s">
        <v>7</v>
      </c>
      <c r="F680" s="117"/>
    </row>
    <row r="681" spans="1:6" ht="15">
      <c r="A681" s="121" t="s">
        <v>1914</v>
      </c>
      <c r="B681" s="121" t="s">
        <v>1915</v>
      </c>
      <c r="C681" s="121" t="s">
        <v>628</v>
      </c>
      <c r="D681" s="122">
        <v>892.3</v>
      </c>
      <c r="E681" s="121" t="s">
        <v>7</v>
      </c>
      <c r="F681" s="117"/>
    </row>
    <row r="682" spans="1:6" ht="15">
      <c r="A682" s="121" t="s">
        <v>1916</v>
      </c>
      <c r="B682" s="121" t="s">
        <v>1917</v>
      </c>
      <c r="C682" s="121" t="s">
        <v>6</v>
      </c>
      <c r="D682" s="122">
        <v>1244.3800000000001</v>
      </c>
      <c r="E682" s="121" t="s">
        <v>30</v>
      </c>
      <c r="F682" s="117"/>
    </row>
    <row r="683" spans="1:6" ht="15">
      <c r="A683" s="121" t="s">
        <v>1918</v>
      </c>
      <c r="B683" s="121" t="s">
        <v>1919</v>
      </c>
      <c r="C683" s="121" t="s">
        <v>628</v>
      </c>
      <c r="D683" s="122">
        <v>259.02999999999997</v>
      </c>
      <c r="E683" s="121" t="s">
        <v>3</v>
      </c>
      <c r="F683" s="117"/>
    </row>
    <row r="684" spans="1:6" ht="15">
      <c r="A684" s="121" t="s">
        <v>1920</v>
      </c>
      <c r="B684" s="121" t="s">
        <v>1921</v>
      </c>
      <c r="C684" s="121" t="s">
        <v>628</v>
      </c>
      <c r="D684" s="122">
        <v>25.31</v>
      </c>
      <c r="E684" s="121" t="s">
        <v>23</v>
      </c>
      <c r="F684" s="117"/>
    </row>
    <row r="685" spans="1:6" ht="15">
      <c r="A685" s="121" t="s">
        <v>1922</v>
      </c>
      <c r="B685" s="121" t="s">
        <v>1923</v>
      </c>
      <c r="C685" s="121" t="s">
        <v>0</v>
      </c>
      <c r="D685" s="122">
        <v>192.33</v>
      </c>
      <c r="E685" s="121" t="s">
        <v>30</v>
      </c>
      <c r="F685" s="117"/>
    </row>
    <row r="686" spans="1:6" ht="15">
      <c r="A686" s="121" t="s">
        <v>1924</v>
      </c>
      <c r="B686" s="121" t="s">
        <v>1925</v>
      </c>
      <c r="C686" s="121" t="s">
        <v>628</v>
      </c>
      <c r="D686" s="122">
        <v>47.3</v>
      </c>
      <c r="E686" s="121" t="s">
        <v>16</v>
      </c>
      <c r="F686" s="117"/>
    </row>
    <row r="687" spans="1:6" ht="15">
      <c r="A687" s="121" t="s">
        <v>1926</v>
      </c>
      <c r="B687" s="121" t="s">
        <v>1927</v>
      </c>
      <c r="C687" s="121" t="s">
        <v>628</v>
      </c>
      <c r="D687" s="122">
        <v>59.91</v>
      </c>
      <c r="E687" s="121" t="s">
        <v>12</v>
      </c>
      <c r="F687" s="117"/>
    </row>
    <row r="688" spans="1:6" ht="15">
      <c r="A688" s="121" t="s">
        <v>1928</v>
      </c>
      <c r="B688" s="121" t="s">
        <v>1929</v>
      </c>
      <c r="C688" s="121" t="s">
        <v>628</v>
      </c>
      <c r="D688" s="122">
        <v>157.65</v>
      </c>
      <c r="E688" s="121" t="s">
        <v>844</v>
      </c>
      <c r="F688" s="117"/>
    </row>
    <row r="689" spans="1:6" ht="15">
      <c r="A689" s="121" t="s">
        <v>1930</v>
      </c>
      <c r="B689" s="121" t="s">
        <v>1931</v>
      </c>
      <c r="C689" s="121" t="s">
        <v>6</v>
      </c>
      <c r="D689" s="122">
        <v>73.569999999999993</v>
      </c>
      <c r="E689" s="121" t="s">
        <v>11</v>
      </c>
      <c r="F689" s="117"/>
    </row>
    <row r="690" spans="1:6" ht="45">
      <c r="A690" s="121" t="s">
        <v>1932</v>
      </c>
      <c r="B690" s="121" t="s">
        <v>1933</v>
      </c>
      <c r="C690" s="121" t="s">
        <v>0</v>
      </c>
      <c r="D690" s="122">
        <v>3306.45</v>
      </c>
      <c r="E690" s="121" t="s">
        <v>857</v>
      </c>
      <c r="F690" s="117"/>
    </row>
    <row r="691" spans="1:6" ht="15">
      <c r="A691" s="121" t="s">
        <v>1934</v>
      </c>
      <c r="B691" s="121" t="s">
        <v>1935</v>
      </c>
      <c r="C691" s="121" t="s">
        <v>628</v>
      </c>
      <c r="D691" s="122">
        <v>52.55</v>
      </c>
      <c r="E691" s="121" t="s">
        <v>28</v>
      </c>
      <c r="F691" s="117"/>
    </row>
    <row r="692" spans="1:6" ht="15">
      <c r="A692" s="121" t="s">
        <v>1936</v>
      </c>
      <c r="B692" s="121" t="s">
        <v>1937</v>
      </c>
      <c r="C692" s="121" t="s">
        <v>628</v>
      </c>
      <c r="D692" s="122">
        <v>0</v>
      </c>
      <c r="E692" s="121" t="s">
        <v>664</v>
      </c>
      <c r="F692" s="117"/>
    </row>
    <row r="693" spans="1:6" ht="15">
      <c r="A693" s="121" t="s">
        <v>1938</v>
      </c>
      <c r="B693" s="121" t="s">
        <v>1939</v>
      </c>
      <c r="C693" s="121" t="s">
        <v>6</v>
      </c>
      <c r="D693" s="122">
        <v>396.23</v>
      </c>
      <c r="E693" s="121" t="s">
        <v>13</v>
      </c>
      <c r="F693" s="117"/>
    </row>
    <row r="694" spans="1:6" ht="15">
      <c r="A694" s="121" t="s">
        <v>1940</v>
      </c>
      <c r="B694" s="121" t="s">
        <v>1941</v>
      </c>
      <c r="C694" s="121" t="s">
        <v>6</v>
      </c>
      <c r="D694" s="122">
        <v>517.09</v>
      </c>
      <c r="E694" s="121" t="s">
        <v>3</v>
      </c>
      <c r="F694" s="117"/>
    </row>
    <row r="695" spans="1:6" ht="15">
      <c r="A695" s="121" t="s">
        <v>1942</v>
      </c>
      <c r="B695" s="121" t="s">
        <v>1943</v>
      </c>
      <c r="C695" s="121" t="s">
        <v>0</v>
      </c>
      <c r="D695" s="122">
        <v>430.91</v>
      </c>
      <c r="E695" s="121" t="s">
        <v>1140</v>
      </c>
      <c r="F695" s="117"/>
    </row>
    <row r="696" spans="1:6" ht="15">
      <c r="A696" s="121" t="s">
        <v>1944</v>
      </c>
      <c r="B696" s="121" t="s">
        <v>1945</v>
      </c>
      <c r="C696" s="121" t="s">
        <v>628</v>
      </c>
      <c r="D696" s="122">
        <v>684.2</v>
      </c>
      <c r="E696" s="121" t="s">
        <v>16</v>
      </c>
      <c r="F696" s="117"/>
    </row>
    <row r="697" spans="1:6" ht="15">
      <c r="A697" s="121" t="s">
        <v>1946</v>
      </c>
      <c r="B697" s="121" t="s">
        <v>1947</v>
      </c>
      <c r="C697" s="121" t="s">
        <v>628</v>
      </c>
      <c r="D697" s="122">
        <v>157.65</v>
      </c>
      <c r="E697" s="121" t="s">
        <v>23</v>
      </c>
      <c r="F697" s="117"/>
    </row>
    <row r="698" spans="1:6" ht="15">
      <c r="A698" s="121" t="s">
        <v>1948</v>
      </c>
      <c r="B698" s="121" t="s">
        <v>199</v>
      </c>
      <c r="C698" s="121" t="s">
        <v>628</v>
      </c>
      <c r="D698" s="122">
        <v>57.81</v>
      </c>
      <c r="E698" s="121" t="s">
        <v>8</v>
      </c>
      <c r="F698" s="117"/>
    </row>
    <row r="699" spans="1:6" ht="15">
      <c r="A699" s="121" t="s">
        <v>1949</v>
      </c>
      <c r="B699" s="121" t="s">
        <v>1950</v>
      </c>
      <c r="C699" s="121" t="s">
        <v>628</v>
      </c>
      <c r="D699" s="122">
        <v>0</v>
      </c>
      <c r="E699" s="121" t="s">
        <v>8</v>
      </c>
      <c r="F699" s="117"/>
    </row>
    <row r="700" spans="1:6" ht="15">
      <c r="A700" s="121" t="s">
        <v>1951</v>
      </c>
      <c r="B700" s="121" t="s">
        <v>1952</v>
      </c>
      <c r="C700" s="121" t="s">
        <v>628</v>
      </c>
      <c r="D700" s="122">
        <v>410.94</v>
      </c>
      <c r="E700" s="121" t="s">
        <v>26</v>
      </c>
      <c r="F700" s="117"/>
    </row>
    <row r="701" spans="1:6" ht="15">
      <c r="A701" s="121" t="s">
        <v>1953</v>
      </c>
      <c r="B701" s="121" t="s">
        <v>1954</v>
      </c>
      <c r="C701" s="121" t="s">
        <v>628</v>
      </c>
      <c r="D701" s="122">
        <v>684.2</v>
      </c>
      <c r="E701" s="121" t="s">
        <v>16</v>
      </c>
      <c r="F701" s="117"/>
    </row>
    <row r="702" spans="1:6" ht="15">
      <c r="A702" s="121" t="s">
        <v>1955</v>
      </c>
      <c r="B702" s="121" t="s">
        <v>1956</v>
      </c>
      <c r="C702" s="121" t="s">
        <v>0</v>
      </c>
      <c r="D702" s="122">
        <v>3831.95</v>
      </c>
      <c r="E702" s="121" t="s">
        <v>16</v>
      </c>
      <c r="F702" s="117"/>
    </row>
    <row r="703" spans="1:6" ht="15">
      <c r="A703" s="121" t="s">
        <v>1957</v>
      </c>
      <c r="B703" s="121" t="s">
        <v>1958</v>
      </c>
      <c r="C703" s="121" t="s">
        <v>628</v>
      </c>
      <c r="D703" s="122">
        <v>1407.29</v>
      </c>
      <c r="E703" s="121" t="s">
        <v>12</v>
      </c>
      <c r="F703" s="117"/>
    </row>
    <row r="704" spans="1:6" ht="15">
      <c r="A704" s="121" t="s">
        <v>1959</v>
      </c>
      <c r="B704" s="121" t="s">
        <v>199</v>
      </c>
      <c r="C704" s="121" t="s">
        <v>628</v>
      </c>
      <c r="D704" s="122">
        <v>0</v>
      </c>
      <c r="E704" s="121" t="s">
        <v>3</v>
      </c>
      <c r="F704" s="117"/>
    </row>
    <row r="705" spans="1:6" ht="15">
      <c r="A705" s="121" t="s">
        <v>1960</v>
      </c>
      <c r="B705" s="121" t="s">
        <v>199</v>
      </c>
      <c r="C705" s="121" t="s">
        <v>628</v>
      </c>
      <c r="D705" s="122">
        <v>0</v>
      </c>
      <c r="E705" s="121" t="s">
        <v>3</v>
      </c>
      <c r="F705" s="117"/>
    </row>
    <row r="706" spans="1:6" ht="15">
      <c r="A706" s="121" t="s">
        <v>1961</v>
      </c>
      <c r="B706" s="121" t="s">
        <v>1962</v>
      </c>
      <c r="C706" s="121" t="s">
        <v>628</v>
      </c>
      <c r="D706" s="122">
        <v>162</v>
      </c>
      <c r="E706" s="121" t="s">
        <v>744</v>
      </c>
      <c r="F706" s="117"/>
    </row>
    <row r="707" spans="1:6" ht="15">
      <c r="A707" s="121" t="s">
        <v>1963</v>
      </c>
      <c r="B707" s="121" t="s">
        <v>1964</v>
      </c>
      <c r="C707" s="121" t="s">
        <v>628</v>
      </c>
      <c r="D707" s="122">
        <v>157.65</v>
      </c>
      <c r="E707" s="121" t="s">
        <v>8</v>
      </c>
      <c r="F707" s="117"/>
    </row>
    <row r="708" spans="1:6" ht="15">
      <c r="A708" s="121" t="s">
        <v>1965</v>
      </c>
      <c r="B708" s="121" t="s">
        <v>1966</v>
      </c>
      <c r="C708" s="121" t="s">
        <v>628</v>
      </c>
      <c r="D708" s="122">
        <v>37.840000000000003</v>
      </c>
      <c r="E708" s="121" t="s">
        <v>11</v>
      </c>
      <c r="F708" s="117"/>
    </row>
    <row r="709" spans="1:6" ht="15">
      <c r="A709" s="121" t="s">
        <v>1967</v>
      </c>
      <c r="B709" s="121" t="s">
        <v>1968</v>
      </c>
      <c r="C709" s="121" t="s">
        <v>628</v>
      </c>
      <c r="D709" s="122">
        <v>72.540000000000006</v>
      </c>
      <c r="E709" s="121" t="s">
        <v>22</v>
      </c>
      <c r="F709" s="117"/>
    </row>
    <row r="710" spans="1:6" ht="15">
      <c r="A710" s="121" t="s">
        <v>1969</v>
      </c>
      <c r="B710" s="121" t="s">
        <v>1970</v>
      </c>
      <c r="C710" s="121" t="s">
        <v>0</v>
      </c>
      <c r="D710" s="122">
        <v>899.19</v>
      </c>
      <c r="E710" s="121" t="s">
        <v>8</v>
      </c>
      <c r="F710" s="117"/>
    </row>
    <row r="711" spans="1:6" ht="15">
      <c r="A711" s="121" t="s">
        <v>1971</v>
      </c>
      <c r="B711" s="121" t="s">
        <v>1972</v>
      </c>
      <c r="C711" s="121" t="s">
        <v>6</v>
      </c>
      <c r="D711" s="122">
        <v>177.62</v>
      </c>
      <c r="E711" s="121" t="s">
        <v>19</v>
      </c>
      <c r="F711" s="117"/>
    </row>
    <row r="712" spans="1:6" ht="15">
      <c r="A712" s="121" t="s">
        <v>1973</v>
      </c>
      <c r="B712" s="121" t="s">
        <v>1974</v>
      </c>
      <c r="C712" s="121" t="s">
        <v>628</v>
      </c>
      <c r="D712" s="122">
        <v>62.01</v>
      </c>
      <c r="E712" s="121" t="s">
        <v>39</v>
      </c>
      <c r="F712" s="117"/>
    </row>
    <row r="713" spans="1:6" ht="15">
      <c r="A713" s="121" t="s">
        <v>1975</v>
      </c>
      <c r="B713" s="121" t="s">
        <v>1976</v>
      </c>
      <c r="C713" s="121" t="s">
        <v>628</v>
      </c>
      <c r="D713" s="122">
        <v>0</v>
      </c>
      <c r="E713" s="121" t="s">
        <v>22</v>
      </c>
      <c r="F713" s="117"/>
    </row>
    <row r="714" spans="1:6" ht="15">
      <c r="A714" s="121" t="s">
        <v>1977</v>
      </c>
      <c r="B714" s="121" t="s">
        <v>1978</v>
      </c>
      <c r="C714" s="121" t="s">
        <v>628</v>
      </c>
      <c r="D714" s="122">
        <v>41.44</v>
      </c>
      <c r="E714" s="121" t="s">
        <v>744</v>
      </c>
      <c r="F714" s="117"/>
    </row>
    <row r="715" spans="1:6" ht="30">
      <c r="A715" s="121" t="s">
        <v>1979</v>
      </c>
      <c r="B715" s="121" t="s">
        <v>1980</v>
      </c>
      <c r="C715" s="121" t="s">
        <v>628</v>
      </c>
      <c r="D715" s="122">
        <v>278</v>
      </c>
      <c r="E715" s="121" t="s">
        <v>664</v>
      </c>
      <c r="F715" s="117"/>
    </row>
    <row r="716" spans="1:6" ht="15">
      <c r="A716" s="121" t="s">
        <v>1981</v>
      </c>
      <c r="B716" s="121" t="s">
        <v>199</v>
      </c>
      <c r="C716" s="121" t="s">
        <v>628</v>
      </c>
      <c r="D716" s="122">
        <v>230</v>
      </c>
      <c r="E716" s="121" t="s">
        <v>664</v>
      </c>
      <c r="F716" s="117"/>
    </row>
    <row r="717" spans="1:6" ht="30">
      <c r="A717" s="121" t="s">
        <v>1982</v>
      </c>
      <c r="B717" s="121" t="s">
        <v>1983</v>
      </c>
      <c r="C717" s="121" t="s">
        <v>628</v>
      </c>
      <c r="D717" s="122">
        <v>15.77</v>
      </c>
      <c r="E717" s="121" t="s">
        <v>11</v>
      </c>
      <c r="F717" s="117"/>
    </row>
    <row r="718" spans="1:6" ht="15">
      <c r="A718" s="121" t="s">
        <v>1984</v>
      </c>
      <c r="B718" s="121" t="s">
        <v>1985</v>
      </c>
      <c r="C718" s="121" t="s">
        <v>628</v>
      </c>
      <c r="D718" s="122">
        <v>68.319999999999993</v>
      </c>
      <c r="E718" s="121" t="s">
        <v>11</v>
      </c>
      <c r="F718" s="117"/>
    </row>
    <row r="719" spans="1:6" ht="30">
      <c r="A719" s="121" t="s">
        <v>1986</v>
      </c>
      <c r="B719" s="121" t="s">
        <v>1987</v>
      </c>
      <c r="C719" s="121" t="s">
        <v>628</v>
      </c>
      <c r="D719" s="122">
        <v>0</v>
      </c>
      <c r="E719" s="121" t="s">
        <v>18</v>
      </c>
      <c r="F719" s="117"/>
    </row>
    <row r="720" spans="1:6" ht="45">
      <c r="A720" s="121" t="s">
        <v>1988</v>
      </c>
      <c r="B720" s="121" t="s">
        <v>1989</v>
      </c>
      <c r="C720" s="121" t="s">
        <v>628</v>
      </c>
      <c r="D720" s="122">
        <v>96</v>
      </c>
      <c r="E720" s="121" t="s">
        <v>664</v>
      </c>
      <c r="F720" s="117"/>
    </row>
    <row r="721" spans="1:6" ht="30">
      <c r="A721" s="121" t="s">
        <v>1990</v>
      </c>
      <c r="B721" s="121" t="s">
        <v>1991</v>
      </c>
      <c r="C721" s="121" t="s">
        <v>628</v>
      </c>
      <c r="D721" s="122">
        <v>59.62</v>
      </c>
      <c r="E721" s="121" t="s">
        <v>41</v>
      </c>
      <c r="F721" s="117"/>
    </row>
    <row r="722" spans="1:6" ht="30">
      <c r="A722" s="121" t="s">
        <v>1992</v>
      </c>
      <c r="B722" s="121" t="s">
        <v>1993</v>
      </c>
      <c r="C722" s="121" t="s">
        <v>628</v>
      </c>
      <c r="D722" s="122">
        <v>23.1</v>
      </c>
      <c r="E722" s="121" t="s">
        <v>16</v>
      </c>
      <c r="F722" s="117"/>
    </row>
    <row r="723" spans="1:6" ht="30">
      <c r="A723" s="121" t="s">
        <v>1994</v>
      </c>
      <c r="B723" s="121" t="s">
        <v>1995</v>
      </c>
      <c r="C723" s="121" t="s">
        <v>628</v>
      </c>
      <c r="D723" s="122">
        <v>49.4</v>
      </c>
      <c r="E723" s="121" t="s">
        <v>16</v>
      </c>
      <c r="F723" s="117"/>
    </row>
    <row r="724" spans="1:6" ht="15">
      <c r="A724" s="121" t="s">
        <v>1996</v>
      </c>
      <c r="B724" s="121" t="s">
        <v>1997</v>
      </c>
      <c r="C724" s="121" t="s">
        <v>628</v>
      </c>
      <c r="D724" s="122">
        <v>498.17</v>
      </c>
      <c r="E724" s="121" t="s">
        <v>46</v>
      </c>
      <c r="F724" s="117"/>
    </row>
    <row r="725" spans="1:6" ht="15">
      <c r="A725" s="121" t="s">
        <v>1998</v>
      </c>
      <c r="B725" s="121" t="s">
        <v>1999</v>
      </c>
      <c r="C725" s="121" t="s">
        <v>628</v>
      </c>
      <c r="D725" s="122">
        <v>179.84</v>
      </c>
      <c r="E725" s="121" t="s">
        <v>12</v>
      </c>
      <c r="F725" s="117"/>
    </row>
    <row r="726" spans="1:6" ht="30">
      <c r="A726" s="121" t="s">
        <v>2000</v>
      </c>
      <c r="B726" s="121" t="s">
        <v>2001</v>
      </c>
      <c r="C726" s="121" t="s">
        <v>628</v>
      </c>
      <c r="D726" s="122">
        <v>0</v>
      </c>
      <c r="E726" s="121" t="s">
        <v>3</v>
      </c>
      <c r="F726" s="117"/>
    </row>
    <row r="727" spans="1:6" ht="15">
      <c r="A727" s="121" t="s">
        <v>2002</v>
      </c>
      <c r="B727" s="121" t="s">
        <v>2003</v>
      </c>
      <c r="C727" s="121" t="s">
        <v>628</v>
      </c>
      <c r="D727" s="122">
        <v>0</v>
      </c>
      <c r="E727" s="121" t="s">
        <v>10</v>
      </c>
      <c r="F727" s="117"/>
    </row>
    <row r="728" spans="1:6" ht="15">
      <c r="A728" s="121" t="s">
        <v>2004</v>
      </c>
      <c r="B728" s="121" t="s">
        <v>2005</v>
      </c>
      <c r="C728" s="121" t="s">
        <v>628</v>
      </c>
      <c r="D728" s="122">
        <v>185.51</v>
      </c>
      <c r="E728" s="121" t="s">
        <v>673</v>
      </c>
      <c r="F728" s="117"/>
    </row>
    <row r="729" spans="1:6" ht="15">
      <c r="A729" s="121" t="s">
        <v>2006</v>
      </c>
      <c r="B729" s="121" t="s">
        <v>2007</v>
      </c>
      <c r="C729" s="121" t="s">
        <v>628</v>
      </c>
      <c r="D729" s="122">
        <v>190.01</v>
      </c>
      <c r="E729" s="121" t="s">
        <v>12</v>
      </c>
      <c r="F729" s="117"/>
    </row>
    <row r="730" spans="1:6" ht="15">
      <c r="A730" s="121" t="s">
        <v>2008</v>
      </c>
      <c r="B730" s="121" t="s">
        <v>2009</v>
      </c>
      <c r="C730" s="121" t="s">
        <v>628</v>
      </c>
      <c r="D730" s="122">
        <v>162.91999999999999</v>
      </c>
      <c r="E730" s="121" t="s">
        <v>10</v>
      </c>
      <c r="F730" s="117"/>
    </row>
    <row r="731" spans="1:6" ht="15">
      <c r="A731" s="121" t="s">
        <v>2010</v>
      </c>
      <c r="B731" s="121" t="s">
        <v>2011</v>
      </c>
      <c r="C731" s="121" t="s">
        <v>628</v>
      </c>
      <c r="D731" s="122">
        <v>33.630000000000003</v>
      </c>
      <c r="E731" s="121" t="s">
        <v>22</v>
      </c>
      <c r="F731" s="117"/>
    </row>
    <row r="732" spans="1:6" ht="15">
      <c r="A732" s="121" t="s">
        <v>2012</v>
      </c>
      <c r="B732" s="121" t="s">
        <v>2013</v>
      </c>
      <c r="C732" s="121" t="s">
        <v>628</v>
      </c>
      <c r="D732" s="122">
        <v>175.95</v>
      </c>
      <c r="E732" s="121" t="s">
        <v>7</v>
      </c>
      <c r="F732" s="117"/>
    </row>
    <row r="733" spans="1:6" ht="15">
      <c r="A733" s="121" t="s">
        <v>2014</v>
      </c>
      <c r="B733" s="121" t="s">
        <v>2015</v>
      </c>
      <c r="C733" s="121" t="s">
        <v>628</v>
      </c>
      <c r="D733" s="122">
        <v>152.4</v>
      </c>
      <c r="E733" s="121" t="s">
        <v>30</v>
      </c>
      <c r="F733" s="117"/>
    </row>
    <row r="734" spans="1:6" ht="15">
      <c r="A734" s="121" t="s">
        <v>2016</v>
      </c>
      <c r="B734" s="121" t="s">
        <v>2017</v>
      </c>
      <c r="C734" s="121" t="s">
        <v>6</v>
      </c>
      <c r="D734" s="122">
        <v>530.76</v>
      </c>
      <c r="E734" s="121" t="s">
        <v>30</v>
      </c>
      <c r="F734" s="117"/>
    </row>
    <row r="735" spans="1:6" ht="15">
      <c r="A735" s="121" t="s">
        <v>2018</v>
      </c>
      <c r="B735" s="121" t="s">
        <v>2019</v>
      </c>
      <c r="C735" s="121" t="s">
        <v>628</v>
      </c>
      <c r="D735" s="122">
        <v>520.07000000000005</v>
      </c>
      <c r="E735" s="121" t="s">
        <v>744</v>
      </c>
      <c r="F735" s="117"/>
    </row>
    <row r="736" spans="1:6" ht="15">
      <c r="A736" s="121" t="s">
        <v>2020</v>
      </c>
      <c r="B736" s="121" t="s">
        <v>2021</v>
      </c>
      <c r="C736" s="121" t="s">
        <v>628</v>
      </c>
      <c r="D736" s="122">
        <v>60.09</v>
      </c>
      <c r="E736" s="121" t="s">
        <v>744</v>
      </c>
      <c r="F736" s="117"/>
    </row>
    <row r="737" spans="1:6" ht="15">
      <c r="A737" s="121" t="s">
        <v>2022</v>
      </c>
      <c r="B737" s="121" t="s">
        <v>2023</v>
      </c>
      <c r="C737" s="121" t="s">
        <v>628</v>
      </c>
      <c r="D737" s="122">
        <v>63.06</v>
      </c>
      <c r="E737" s="121" t="s">
        <v>21</v>
      </c>
      <c r="F737" s="117"/>
    </row>
    <row r="738" spans="1:6" ht="15">
      <c r="A738" s="121" t="s">
        <v>2024</v>
      </c>
      <c r="B738" s="121" t="s">
        <v>2023</v>
      </c>
      <c r="C738" s="121" t="s">
        <v>920</v>
      </c>
      <c r="D738" s="122">
        <v>138.57</v>
      </c>
      <c r="E738" s="121" t="s">
        <v>21</v>
      </c>
      <c r="F738" s="117"/>
    </row>
    <row r="739" spans="1:6" ht="15">
      <c r="A739" s="121" t="s">
        <v>2025</v>
      </c>
      <c r="B739" s="121" t="s">
        <v>2026</v>
      </c>
      <c r="C739" s="121" t="s">
        <v>628</v>
      </c>
      <c r="D739" s="122">
        <v>0</v>
      </c>
      <c r="E739" s="121" t="s">
        <v>21</v>
      </c>
      <c r="F739" s="117"/>
    </row>
    <row r="740" spans="1:6" ht="30">
      <c r="A740" s="121" t="s">
        <v>2027</v>
      </c>
      <c r="B740" s="121" t="s">
        <v>199</v>
      </c>
      <c r="C740" s="121" t="s">
        <v>628</v>
      </c>
      <c r="D740" s="122">
        <v>0</v>
      </c>
      <c r="E740" s="121" t="s">
        <v>11</v>
      </c>
      <c r="F740" s="117"/>
    </row>
    <row r="741" spans="1:6" ht="15">
      <c r="A741" s="121" t="s">
        <v>2028</v>
      </c>
      <c r="B741" s="121" t="s">
        <v>2029</v>
      </c>
      <c r="C741" s="121" t="s">
        <v>0</v>
      </c>
      <c r="D741" s="122">
        <v>3466.98</v>
      </c>
      <c r="E741" s="121" t="s">
        <v>857</v>
      </c>
      <c r="F741" s="117"/>
    </row>
    <row r="742" spans="1:6" ht="15">
      <c r="A742" s="121" t="s">
        <v>2030</v>
      </c>
      <c r="B742" s="121" t="s">
        <v>2031</v>
      </c>
      <c r="C742" s="121" t="s">
        <v>628</v>
      </c>
      <c r="D742" s="122">
        <v>36.79</v>
      </c>
      <c r="E742" s="121" t="s">
        <v>29</v>
      </c>
      <c r="F742" s="117"/>
    </row>
    <row r="743" spans="1:6" ht="15">
      <c r="A743" s="121" t="s">
        <v>2032</v>
      </c>
      <c r="B743" s="121" t="s">
        <v>2033</v>
      </c>
      <c r="C743" s="121" t="s">
        <v>628</v>
      </c>
      <c r="D743" s="122">
        <v>52.55</v>
      </c>
      <c r="E743" s="121" t="s">
        <v>22</v>
      </c>
      <c r="F743" s="117"/>
    </row>
    <row r="744" spans="1:6" ht="15">
      <c r="A744" s="121" t="s">
        <v>2034</v>
      </c>
      <c r="B744" s="121" t="s">
        <v>2035</v>
      </c>
      <c r="C744" s="121" t="s">
        <v>6</v>
      </c>
      <c r="D744" s="122">
        <v>1175.82</v>
      </c>
      <c r="E744" s="121" t="s">
        <v>19</v>
      </c>
      <c r="F744" s="117"/>
    </row>
    <row r="745" spans="1:6" ht="30">
      <c r="A745" s="121" t="s">
        <v>2036</v>
      </c>
      <c r="B745" s="121" t="s">
        <v>2037</v>
      </c>
      <c r="C745" s="121" t="s">
        <v>6</v>
      </c>
      <c r="D745" s="122">
        <v>788.25</v>
      </c>
      <c r="E745" s="121" t="s">
        <v>27</v>
      </c>
      <c r="F745" s="117"/>
    </row>
    <row r="746" spans="1:6" ht="30">
      <c r="A746" s="121" t="s">
        <v>2038</v>
      </c>
      <c r="B746" s="121" t="s">
        <v>2039</v>
      </c>
      <c r="C746" s="121" t="s">
        <v>0</v>
      </c>
      <c r="D746" s="122">
        <v>712.58</v>
      </c>
      <c r="E746" s="121" t="s">
        <v>41</v>
      </c>
      <c r="F746" s="117"/>
    </row>
    <row r="747" spans="1:6" ht="15">
      <c r="A747" s="121" t="s">
        <v>2040</v>
      </c>
      <c r="B747" s="121" t="s">
        <v>2041</v>
      </c>
      <c r="C747" s="121" t="s">
        <v>0</v>
      </c>
      <c r="D747" s="122">
        <v>245.93</v>
      </c>
      <c r="E747" s="121" t="s">
        <v>47</v>
      </c>
      <c r="F747" s="117"/>
    </row>
    <row r="748" spans="1:6" ht="15">
      <c r="A748" s="121" t="s">
        <v>2042</v>
      </c>
      <c r="B748" s="121" t="s">
        <v>2043</v>
      </c>
      <c r="C748" s="121" t="s">
        <v>628</v>
      </c>
      <c r="D748" s="122">
        <v>42.04</v>
      </c>
      <c r="E748" s="121" t="s">
        <v>29</v>
      </c>
      <c r="F748" s="117"/>
    </row>
    <row r="749" spans="1:6" ht="15">
      <c r="A749" s="121" t="s">
        <v>2044</v>
      </c>
      <c r="B749" s="121" t="s">
        <v>2045</v>
      </c>
      <c r="C749" s="121" t="s">
        <v>628</v>
      </c>
      <c r="D749" s="122">
        <v>94.59</v>
      </c>
      <c r="E749" s="121" t="s">
        <v>10</v>
      </c>
      <c r="F749" s="117"/>
    </row>
    <row r="750" spans="1:6" ht="15">
      <c r="A750" s="121" t="s">
        <v>2046</v>
      </c>
      <c r="B750" s="121" t="s">
        <v>2047</v>
      </c>
      <c r="C750" s="121" t="s">
        <v>628</v>
      </c>
      <c r="D750" s="122">
        <v>695.76</v>
      </c>
      <c r="E750" s="121" t="s">
        <v>33</v>
      </c>
      <c r="F750" s="117"/>
    </row>
    <row r="751" spans="1:6" ht="15">
      <c r="A751" s="121" t="s">
        <v>2048</v>
      </c>
      <c r="B751" s="121" t="s">
        <v>2049</v>
      </c>
      <c r="C751" s="121" t="s">
        <v>6</v>
      </c>
      <c r="D751" s="122">
        <v>315.3</v>
      </c>
      <c r="E751" s="121" t="s">
        <v>14</v>
      </c>
      <c r="F751" s="117"/>
    </row>
    <row r="752" spans="1:6" ht="15">
      <c r="A752" s="121" t="s">
        <v>2050</v>
      </c>
      <c r="B752" s="121" t="s">
        <v>2051</v>
      </c>
      <c r="C752" s="121" t="s">
        <v>628</v>
      </c>
      <c r="D752" s="122">
        <v>435.03</v>
      </c>
      <c r="E752" s="121" t="s">
        <v>744</v>
      </c>
      <c r="F752" s="117"/>
    </row>
    <row r="753" spans="1:6" ht="15">
      <c r="A753" s="121" t="s">
        <v>2052</v>
      </c>
      <c r="B753" s="121" t="s">
        <v>2053</v>
      </c>
      <c r="C753" s="121" t="s">
        <v>628</v>
      </c>
      <c r="D753" s="122">
        <v>52.55</v>
      </c>
      <c r="E753" s="121" t="s">
        <v>13</v>
      </c>
      <c r="F753" s="117"/>
    </row>
    <row r="754" spans="1:6" ht="15">
      <c r="A754" s="121" t="s">
        <v>2054</v>
      </c>
      <c r="B754" s="121" t="s">
        <v>2055</v>
      </c>
      <c r="C754" s="121" t="s">
        <v>6</v>
      </c>
      <c r="D754" s="122">
        <v>165.81</v>
      </c>
      <c r="E754" s="121" t="s">
        <v>11</v>
      </c>
      <c r="F754" s="117"/>
    </row>
    <row r="755" spans="1:6" ht="15">
      <c r="A755" s="121" t="s">
        <v>2056</v>
      </c>
      <c r="B755" s="121" t="s">
        <v>2057</v>
      </c>
      <c r="C755" s="121" t="s">
        <v>628</v>
      </c>
      <c r="D755" s="122">
        <v>93.49</v>
      </c>
      <c r="E755" s="121" t="s">
        <v>844</v>
      </c>
      <c r="F755" s="117"/>
    </row>
    <row r="756" spans="1:6" ht="15">
      <c r="A756" s="121" t="s">
        <v>2058</v>
      </c>
      <c r="B756" s="121" t="s">
        <v>2059</v>
      </c>
      <c r="C756" s="121" t="s">
        <v>6</v>
      </c>
      <c r="D756" s="122">
        <v>201.79</v>
      </c>
      <c r="E756" s="121" t="s">
        <v>13</v>
      </c>
      <c r="F756" s="117"/>
    </row>
    <row r="757" spans="1:6" ht="15">
      <c r="A757" s="121" t="s">
        <v>2060</v>
      </c>
      <c r="B757" s="121" t="s">
        <v>199</v>
      </c>
      <c r="C757" s="121" t="s">
        <v>628</v>
      </c>
      <c r="D757" s="122">
        <v>180.77</v>
      </c>
      <c r="E757" s="121" t="s">
        <v>11</v>
      </c>
      <c r="F757" s="117"/>
    </row>
    <row r="758" spans="1:6" ht="15">
      <c r="A758" s="121" t="s">
        <v>2061</v>
      </c>
      <c r="B758" s="121" t="s">
        <v>2062</v>
      </c>
      <c r="C758" s="121" t="s">
        <v>628</v>
      </c>
      <c r="D758" s="122">
        <v>64.11</v>
      </c>
      <c r="E758" s="121" t="s">
        <v>11</v>
      </c>
      <c r="F758" s="117"/>
    </row>
    <row r="759" spans="1:6" ht="15">
      <c r="A759" s="121" t="s">
        <v>2063</v>
      </c>
      <c r="B759" s="121" t="s">
        <v>2064</v>
      </c>
      <c r="C759" s="121" t="s">
        <v>628</v>
      </c>
      <c r="D759" s="122">
        <v>23.12</v>
      </c>
      <c r="E759" s="121" t="s">
        <v>17</v>
      </c>
      <c r="F759" s="117"/>
    </row>
    <row r="760" spans="1:6" ht="15">
      <c r="A760" s="121" t="s">
        <v>2065</v>
      </c>
      <c r="B760" s="121" t="s">
        <v>2066</v>
      </c>
      <c r="C760" s="121" t="s">
        <v>0</v>
      </c>
      <c r="D760" s="122">
        <v>1886.55</v>
      </c>
      <c r="E760" s="121" t="s">
        <v>3</v>
      </c>
      <c r="F760" s="117"/>
    </row>
    <row r="761" spans="1:6" ht="15">
      <c r="A761" s="121" t="s">
        <v>2067</v>
      </c>
      <c r="B761" s="121" t="s">
        <v>2068</v>
      </c>
      <c r="C761" s="121" t="s">
        <v>6</v>
      </c>
      <c r="D761" s="122">
        <v>0</v>
      </c>
      <c r="E761" s="121" t="s">
        <v>13</v>
      </c>
      <c r="F761" s="117"/>
    </row>
    <row r="762" spans="1:6" ht="30">
      <c r="A762" s="121" t="s">
        <v>2069</v>
      </c>
      <c r="B762" s="121" t="s">
        <v>2070</v>
      </c>
      <c r="C762" s="121" t="s">
        <v>628</v>
      </c>
      <c r="D762" s="122">
        <v>210.2</v>
      </c>
      <c r="E762" s="121" t="s">
        <v>12</v>
      </c>
      <c r="F762" s="117"/>
    </row>
    <row r="763" spans="1:6" ht="15">
      <c r="A763" s="121" t="s">
        <v>2071</v>
      </c>
      <c r="B763" s="121" t="s">
        <v>2072</v>
      </c>
      <c r="C763" s="121" t="s">
        <v>628</v>
      </c>
      <c r="D763" s="122">
        <v>110.05</v>
      </c>
      <c r="E763" s="121" t="s">
        <v>9</v>
      </c>
      <c r="F763" s="117"/>
    </row>
    <row r="764" spans="1:6" ht="15">
      <c r="A764" s="121" t="s">
        <v>2073</v>
      </c>
      <c r="B764" s="121" t="s">
        <v>2074</v>
      </c>
      <c r="C764" s="121" t="s">
        <v>628</v>
      </c>
      <c r="D764" s="122">
        <v>98.54</v>
      </c>
      <c r="E764" s="121" t="s">
        <v>11</v>
      </c>
      <c r="F764" s="117"/>
    </row>
    <row r="765" spans="1:6" ht="15">
      <c r="A765" s="121" t="s">
        <v>2075</v>
      </c>
      <c r="B765" s="121" t="s">
        <v>2076</v>
      </c>
      <c r="C765" s="121" t="s">
        <v>628</v>
      </c>
      <c r="D765" s="122">
        <v>275.36</v>
      </c>
      <c r="E765" s="121" t="s">
        <v>1059</v>
      </c>
      <c r="F765" s="117"/>
    </row>
    <row r="766" spans="1:6" ht="15">
      <c r="A766" s="121" t="s">
        <v>2077</v>
      </c>
      <c r="B766" s="121" t="s">
        <v>2078</v>
      </c>
      <c r="C766" s="121" t="s">
        <v>628</v>
      </c>
      <c r="D766" s="122">
        <v>469.89</v>
      </c>
      <c r="E766" s="121" t="s">
        <v>31</v>
      </c>
      <c r="F766" s="117"/>
    </row>
    <row r="767" spans="1:6" ht="15">
      <c r="A767" s="121" t="s">
        <v>2079</v>
      </c>
      <c r="B767" s="121" t="s">
        <v>2080</v>
      </c>
      <c r="C767" s="121" t="s">
        <v>6</v>
      </c>
      <c r="D767" s="122">
        <v>436.17</v>
      </c>
      <c r="E767" s="121" t="s">
        <v>14</v>
      </c>
      <c r="F767" s="117"/>
    </row>
    <row r="768" spans="1:6" ht="15">
      <c r="A768" s="121" t="s">
        <v>2081</v>
      </c>
      <c r="B768" s="121" t="s">
        <v>2082</v>
      </c>
      <c r="C768" s="121" t="s">
        <v>628</v>
      </c>
      <c r="D768" s="122">
        <v>298.37</v>
      </c>
      <c r="E768" s="121" t="s">
        <v>744</v>
      </c>
      <c r="F768" s="117"/>
    </row>
    <row r="769" spans="1:6" ht="15">
      <c r="A769" s="121" t="s">
        <v>2083</v>
      </c>
      <c r="B769" s="121" t="s">
        <v>2084</v>
      </c>
      <c r="C769" s="121" t="s">
        <v>628</v>
      </c>
      <c r="D769" s="122">
        <v>202.24</v>
      </c>
      <c r="E769" s="121" t="s">
        <v>12</v>
      </c>
      <c r="F769" s="117"/>
    </row>
    <row r="770" spans="1:6" ht="15">
      <c r="A770" s="121" t="s">
        <v>2085</v>
      </c>
      <c r="B770" s="121" t="s">
        <v>2086</v>
      </c>
      <c r="C770" s="121" t="s">
        <v>0</v>
      </c>
      <c r="D770" s="122">
        <v>982.69</v>
      </c>
      <c r="E770" s="121" t="s">
        <v>857</v>
      </c>
      <c r="F770" s="117"/>
    </row>
    <row r="771" spans="1:6" ht="15">
      <c r="A771" s="121" t="s">
        <v>2087</v>
      </c>
      <c r="B771" s="121" t="s">
        <v>2088</v>
      </c>
      <c r="C771" s="121" t="s">
        <v>628</v>
      </c>
      <c r="D771" s="122">
        <v>367.85</v>
      </c>
      <c r="E771" s="121" t="s">
        <v>673</v>
      </c>
      <c r="F771" s="117"/>
    </row>
    <row r="772" spans="1:6" ht="30">
      <c r="A772" s="121" t="s">
        <v>2089</v>
      </c>
      <c r="B772" s="121" t="s">
        <v>2090</v>
      </c>
      <c r="C772" s="121" t="s">
        <v>628</v>
      </c>
      <c r="D772" s="122">
        <v>119.86</v>
      </c>
      <c r="E772" s="121" t="s">
        <v>12</v>
      </c>
      <c r="F772" s="117"/>
    </row>
    <row r="773" spans="1:6" ht="15">
      <c r="A773" s="121" t="s">
        <v>2091</v>
      </c>
      <c r="B773" s="121" t="s">
        <v>2092</v>
      </c>
      <c r="C773" s="121" t="s">
        <v>628</v>
      </c>
      <c r="D773" s="122">
        <v>48.35</v>
      </c>
      <c r="E773" s="121" t="s">
        <v>11</v>
      </c>
      <c r="F773" s="117"/>
    </row>
    <row r="774" spans="1:6" ht="15">
      <c r="A774" s="121" t="s">
        <v>2093</v>
      </c>
      <c r="B774" s="121" t="s">
        <v>2094</v>
      </c>
      <c r="C774" s="121" t="s">
        <v>628</v>
      </c>
      <c r="D774" s="122">
        <v>195.49</v>
      </c>
      <c r="E774" s="121" t="s">
        <v>11</v>
      </c>
      <c r="F774" s="117"/>
    </row>
    <row r="775" spans="1:6" ht="15">
      <c r="A775" s="121" t="s">
        <v>2095</v>
      </c>
      <c r="B775" s="121" t="s">
        <v>2096</v>
      </c>
      <c r="C775" s="121" t="s">
        <v>628</v>
      </c>
      <c r="D775" s="122">
        <v>125</v>
      </c>
      <c r="E775" s="121" t="s">
        <v>664</v>
      </c>
      <c r="F775" s="117"/>
    </row>
    <row r="776" spans="1:6" ht="30">
      <c r="A776" s="121" t="s">
        <v>2097</v>
      </c>
      <c r="B776" s="121" t="s">
        <v>2098</v>
      </c>
      <c r="C776" s="121" t="s">
        <v>628</v>
      </c>
      <c r="D776" s="122">
        <v>420.4</v>
      </c>
      <c r="E776" s="121" t="s">
        <v>631</v>
      </c>
      <c r="F776" s="117"/>
    </row>
    <row r="777" spans="1:6" ht="15">
      <c r="A777" s="121" t="s">
        <v>2099</v>
      </c>
      <c r="B777" s="121" t="s">
        <v>2100</v>
      </c>
      <c r="C777" s="121" t="s">
        <v>628</v>
      </c>
      <c r="D777" s="122">
        <v>117.71</v>
      </c>
      <c r="E777" s="121" t="s">
        <v>16</v>
      </c>
      <c r="F777" s="117"/>
    </row>
    <row r="778" spans="1:6" ht="15">
      <c r="A778" s="121" t="s">
        <v>2101</v>
      </c>
      <c r="B778" s="121" t="s">
        <v>2102</v>
      </c>
      <c r="C778" s="121" t="s">
        <v>628</v>
      </c>
      <c r="D778" s="122">
        <v>941.94</v>
      </c>
      <c r="E778" s="121" t="s">
        <v>35</v>
      </c>
      <c r="F778" s="117"/>
    </row>
    <row r="779" spans="1:6" ht="15">
      <c r="A779" s="121" t="s">
        <v>2103</v>
      </c>
      <c r="B779" s="121" t="s">
        <v>2104</v>
      </c>
      <c r="C779" s="121" t="s">
        <v>628</v>
      </c>
      <c r="D779" s="122">
        <v>99.85</v>
      </c>
      <c r="E779" s="121" t="s">
        <v>22</v>
      </c>
      <c r="F779" s="117"/>
    </row>
    <row r="780" spans="1:6" ht="15">
      <c r="A780" s="121" t="s">
        <v>2105</v>
      </c>
      <c r="B780" s="121" t="s">
        <v>2106</v>
      </c>
      <c r="C780" s="121" t="s">
        <v>628</v>
      </c>
      <c r="D780" s="122">
        <v>345.3</v>
      </c>
      <c r="E780" s="121" t="s">
        <v>19</v>
      </c>
      <c r="F780" s="117"/>
    </row>
    <row r="781" spans="1:6" ht="15">
      <c r="A781" s="121" t="s">
        <v>2107</v>
      </c>
      <c r="B781" s="121" t="s">
        <v>2108</v>
      </c>
      <c r="C781" s="121" t="s">
        <v>6</v>
      </c>
      <c r="D781" s="122">
        <v>149.24</v>
      </c>
      <c r="E781" s="121" t="s">
        <v>8</v>
      </c>
      <c r="F781" s="117"/>
    </row>
    <row r="782" spans="1:6" ht="15">
      <c r="A782" s="121" t="s">
        <v>2109</v>
      </c>
      <c r="B782" s="121" t="s">
        <v>2110</v>
      </c>
      <c r="C782" s="121" t="s">
        <v>0</v>
      </c>
      <c r="D782" s="122">
        <v>2356.64</v>
      </c>
      <c r="E782" s="121" t="s">
        <v>857</v>
      </c>
      <c r="F782" s="117"/>
    </row>
    <row r="783" spans="1:6" ht="15">
      <c r="A783" s="121" t="s">
        <v>2111</v>
      </c>
      <c r="B783" s="121" t="s">
        <v>2112</v>
      </c>
      <c r="C783" s="121" t="s">
        <v>628</v>
      </c>
      <c r="D783" s="122">
        <v>1749.91</v>
      </c>
      <c r="E783" s="121" t="s">
        <v>39</v>
      </c>
      <c r="F783" s="117"/>
    </row>
    <row r="784" spans="1:6" ht="15">
      <c r="A784" s="121" t="s">
        <v>2113</v>
      </c>
      <c r="B784" s="121" t="s">
        <v>2114</v>
      </c>
      <c r="C784" s="121" t="s">
        <v>628</v>
      </c>
      <c r="D784" s="122">
        <v>66.3</v>
      </c>
      <c r="E784" s="121" t="s">
        <v>744</v>
      </c>
      <c r="F784" s="117"/>
    </row>
    <row r="785" spans="1:6" ht="15">
      <c r="A785" s="121" t="s">
        <v>2115</v>
      </c>
      <c r="B785" s="121" t="s">
        <v>2116</v>
      </c>
      <c r="C785" s="121" t="s">
        <v>628</v>
      </c>
      <c r="D785" s="122">
        <v>49.73</v>
      </c>
      <c r="E785" s="121" t="s">
        <v>744</v>
      </c>
      <c r="F785" s="117"/>
    </row>
    <row r="786" spans="1:6" ht="15">
      <c r="A786" s="121" t="s">
        <v>2117</v>
      </c>
      <c r="B786" s="121" t="s">
        <v>2118</v>
      </c>
      <c r="C786" s="121" t="s">
        <v>628</v>
      </c>
      <c r="D786" s="122">
        <v>131.38</v>
      </c>
      <c r="E786" s="121" t="s">
        <v>13</v>
      </c>
      <c r="F786" s="117"/>
    </row>
    <row r="787" spans="1:6" ht="15">
      <c r="A787" s="121" t="s">
        <v>2119</v>
      </c>
      <c r="B787" s="121" t="s">
        <v>2120</v>
      </c>
      <c r="C787" s="121" t="s">
        <v>6</v>
      </c>
      <c r="D787" s="122">
        <v>47.3</v>
      </c>
      <c r="E787" s="121" t="s">
        <v>13</v>
      </c>
      <c r="F787" s="117"/>
    </row>
    <row r="788" spans="1:6" ht="15">
      <c r="A788" s="121" t="s">
        <v>2121</v>
      </c>
      <c r="B788" s="121" t="s">
        <v>2122</v>
      </c>
      <c r="C788" s="121" t="s">
        <v>628</v>
      </c>
      <c r="D788" s="122">
        <v>38.89</v>
      </c>
      <c r="E788" s="121" t="s">
        <v>29</v>
      </c>
      <c r="F788" s="117"/>
    </row>
    <row r="789" spans="1:6" ht="15">
      <c r="A789" s="121" t="s">
        <v>2123</v>
      </c>
      <c r="B789" s="121" t="s">
        <v>2124</v>
      </c>
      <c r="C789" s="121" t="s">
        <v>628</v>
      </c>
      <c r="D789" s="122">
        <v>41.39</v>
      </c>
      <c r="E789" s="121" t="s">
        <v>664</v>
      </c>
      <c r="F789" s="117"/>
    </row>
    <row r="790" spans="1:6" ht="15">
      <c r="A790" s="121" t="s">
        <v>2125</v>
      </c>
      <c r="B790" s="121" t="s">
        <v>2126</v>
      </c>
      <c r="C790" s="121" t="s">
        <v>628</v>
      </c>
      <c r="D790" s="122">
        <v>51.8</v>
      </c>
      <c r="E790" s="121" t="s">
        <v>664</v>
      </c>
      <c r="F790" s="117"/>
    </row>
    <row r="791" spans="1:6" ht="15">
      <c r="A791" s="121" t="s">
        <v>2127</v>
      </c>
      <c r="B791" s="121" t="s">
        <v>2128</v>
      </c>
      <c r="C791" s="121" t="s">
        <v>628</v>
      </c>
      <c r="D791" s="122">
        <v>31.53</v>
      </c>
      <c r="E791" s="121" t="s">
        <v>16</v>
      </c>
      <c r="F791" s="117"/>
    </row>
    <row r="792" spans="1:6" ht="15">
      <c r="A792" s="121" t="s">
        <v>2129</v>
      </c>
      <c r="B792" s="121" t="s">
        <v>2130</v>
      </c>
      <c r="C792" s="121" t="s">
        <v>628</v>
      </c>
      <c r="D792" s="122">
        <v>698.92</v>
      </c>
      <c r="E792" s="121" t="s">
        <v>32</v>
      </c>
      <c r="F792" s="117"/>
    </row>
    <row r="793" spans="1:6" ht="15">
      <c r="A793" s="121" t="s">
        <v>2131</v>
      </c>
      <c r="B793" s="121" t="s">
        <v>199</v>
      </c>
      <c r="C793" s="121" t="s">
        <v>628</v>
      </c>
      <c r="D793" s="122">
        <v>634.99</v>
      </c>
      <c r="E793" s="121" t="s">
        <v>631</v>
      </c>
      <c r="F793" s="117"/>
    </row>
    <row r="794" spans="1:6" ht="15">
      <c r="A794" s="121" t="s">
        <v>2132</v>
      </c>
      <c r="B794" s="121" t="s">
        <v>2133</v>
      </c>
      <c r="C794" s="121" t="s">
        <v>628</v>
      </c>
      <c r="D794" s="122">
        <v>162</v>
      </c>
      <c r="E794" s="121" t="s">
        <v>744</v>
      </c>
      <c r="F794" s="117"/>
    </row>
    <row r="795" spans="1:6" ht="15">
      <c r="A795" s="121" t="s">
        <v>2132</v>
      </c>
      <c r="B795" s="121" t="s">
        <v>2133</v>
      </c>
      <c r="C795" s="121" t="s">
        <v>628</v>
      </c>
      <c r="D795" s="122">
        <v>2585.75</v>
      </c>
      <c r="E795" s="121" t="s">
        <v>29</v>
      </c>
      <c r="F795" s="117"/>
    </row>
    <row r="796" spans="1:6" ht="15">
      <c r="A796" s="121" t="s">
        <v>2134</v>
      </c>
      <c r="B796" s="121" t="s">
        <v>2135</v>
      </c>
      <c r="C796" s="121" t="s">
        <v>628</v>
      </c>
      <c r="D796" s="122">
        <v>259</v>
      </c>
      <c r="E796" s="121" t="s">
        <v>744</v>
      </c>
      <c r="F796" s="117"/>
    </row>
    <row r="797" spans="1:6" ht="15">
      <c r="A797" s="121" t="s">
        <v>2136</v>
      </c>
      <c r="B797" s="121" t="s">
        <v>199</v>
      </c>
      <c r="C797" s="121" t="s">
        <v>628</v>
      </c>
      <c r="D797" s="122">
        <v>306.89</v>
      </c>
      <c r="E797" s="121" t="s">
        <v>11</v>
      </c>
      <c r="F797" s="117"/>
    </row>
    <row r="798" spans="1:6" ht="15">
      <c r="A798" s="121" t="s">
        <v>2137</v>
      </c>
      <c r="B798" s="121" t="s">
        <v>2138</v>
      </c>
      <c r="C798" s="121" t="s">
        <v>628</v>
      </c>
      <c r="D798" s="122">
        <v>143.673</v>
      </c>
      <c r="E798" s="121" t="s">
        <v>37</v>
      </c>
      <c r="F798" s="117"/>
    </row>
    <row r="799" spans="1:6" ht="15">
      <c r="A799" s="121" t="s">
        <v>2139</v>
      </c>
      <c r="B799" s="121" t="s">
        <v>2140</v>
      </c>
      <c r="C799" s="121" t="s">
        <v>628</v>
      </c>
      <c r="D799" s="122">
        <v>89.34</v>
      </c>
      <c r="E799" s="121" t="s">
        <v>22</v>
      </c>
      <c r="F799" s="117"/>
    </row>
    <row r="800" spans="1:6" ht="15">
      <c r="A800" s="121" t="s">
        <v>2141</v>
      </c>
      <c r="B800" s="121" t="s">
        <v>2142</v>
      </c>
      <c r="C800" s="121" t="s">
        <v>628</v>
      </c>
      <c r="D800" s="122">
        <v>45.14</v>
      </c>
      <c r="E800" s="121" t="s">
        <v>11</v>
      </c>
      <c r="F800" s="117"/>
    </row>
    <row r="801" spans="1:6" ht="15">
      <c r="A801" s="121" t="s">
        <v>2143</v>
      </c>
      <c r="B801" s="121" t="s">
        <v>2144</v>
      </c>
      <c r="C801" s="121" t="s">
        <v>628</v>
      </c>
      <c r="D801" s="122">
        <v>105.1</v>
      </c>
      <c r="E801" s="121" t="s">
        <v>11</v>
      </c>
      <c r="F801" s="117"/>
    </row>
    <row r="802" spans="1:6" ht="15">
      <c r="A802" s="121" t="s">
        <v>2145</v>
      </c>
      <c r="B802" s="121" t="s">
        <v>2146</v>
      </c>
      <c r="C802" s="121" t="s">
        <v>628</v>
      </c>
      <c r="D802" s="122">
        <v>157.65</v>
      </c>
      <c r="E802" s="121" t="s">
        <v>11</v>
      </c>
      <c r="F802" s="117"/>
    </row>
    <row r="803" spans="1:6" ht="15">
      <c r="A803" s="121" t="s">
        <v>2147</v>
      </c>
      <c r="B803" s="121" t="s">
        <v>2148</v>
      </c>
      <c r="C803" s="121" t="s">
        <v>6</v>
      </c>
      <c r="D803" s="122">
        <v>1077.28</v>
      </c>
      <c r="E803" s="121" t="s">
        <v>30</v>
      </c>
      <c r="F803" s="117"/>
    </row>
    <row r="804" spans="1:6" ht="15">
      <c r="A804" s="121" t="s">
        <v>2149</v>
      </c>
      <c r="B804" s="121" t="s">
        <v>2150</v>
      </c>
      <c r="C804" s="121" t="s">
        <v>628</v>
      </c>
      <c r="D804" s="122">
        <v>110.36</v>
      </c>
      <c r="E804" s="121" t="s">
        <v>8</v>
      </c>
      <c r="F804" s="117"/>
    </row>
    <row r="805" spans="1:6" ht="15">
      <c r="A805" s="121" t="s">
        <v>2151</v>
      </c>
      <c r="B805" s="121" t="s">
        <v>2152</v>
      </c>
      <c r="C805" s="121" t="s">
        <v>0</v>
      </c>
      <c r="D805" s="122">
        <v>2346.88</v>
      </c>
      <c r="E805" s="121" t="s">
        <v>8</v>
      </c>
      <c r="F805" s="117"/>
    </row>
    <row r="806" spans="1:6" ht="15">
      <c r="A806" s="121" t="s">
        <v>2153</v>
      </c>
      <c r="B806" s="121" t="s">
        <v>2154</v>
      </c>
      <c r="C806" s="121" t="s">
        <v>628</v>
      </c>
      <c r="D806" s="122">
        <v>715.51</v>
      </c>
      <c r="E806" s="121" t="s">
        <v>744</v>
      </c>
      <c r="F806" s="117"/>
    </row>
    <row r="807" spans="1:6" ht="15">
      <c r="A807" s="121" t="s">
        <v>2155</v>
      </c>
      <c r="B807" s="121" t="s">
        <v>199</v>
      </c>
      <c r="C807" s="121" t="s">
        <v>628</v>
      </c>
      <c r="D807" s="122">
        <v>86.18</v>
      </c>
      <c r="E807" s="121" t="s">
        <v>22</v>
      </c>
      <c r="F807" s="117"/>
    </row>
    <row r="808" spans="1:6" ht="30">
      <c r="A808" s="121" t="s">
        <v>2156</v>
      </c>
      <c r="B808" s="121" t="s">
        <v>199</v>
      </c>
      <c r="C808" s="121" t="s">
        <v>628</v>
      </c>
      <c r="D808" s="122">
        <v>107.21</v>
      </c>
      <c r="E808" s="121" t="s">
        <v>29</v>
      </c>
      <c r="F808" s="117"/>
    </row>
    <row r="809" spans="1:6" ht="15">
      <c r="A809" s="121" t="s">
        <v>2157</v>
      </c>
      <c r="B809" s="121" t="s">
        <v>2158</v>
      </c>
      <c r="C809" s="121" t="s">
        <v>628</v>
      </c>
      <c r="D809" s="122">
        <v>54.65</v>
      </c>
      <c r="E809" s="121" t="s">
        <v>27</v>
      </c>
      <c r="F809" s="117"/>
    </row>
    <row r="810" spans="1:6" ht="15">
      <c r="A810" s="121" t="s">
        <v>2159</v>
      </c>
      <c r="B810" s="121" t="s">
        <v>2160</v>
      </c>
      <c r="C810" s="121" t="s">
        <v>628</v>
      </c>
      <c r="D810" s="122">
        <v>170.26</v>
      </c>
      <c r="E810" s="121" t="s">
        <v>14</v>
      </c>
      <c r="F810" s="117"/>
    </row>
    <row r="811" spans="1:6" ht="15">
      <c r="A811" s="121" t="s">
        <v>2161</v>
      </c>
      <c r="B811" s="121" t="s">
        <v>2162</v>
      </c>
      <c r="C811" s="121" t="s">
        <v>628</v>
      </c>
      <c r="D811" s="122">
        <v>304.79000000000002</v>
      </c>
      <c r="E811" s="121" t="s">
        <v>31</v>
      </c>
      <c r="F811" s="117"/>
    </row>
    <row r="812" spans="1:6" ht="30">
      <c r="A812" s="121" t="s">
        <v>2163</v>
      </c>
      <c r="B812" s="121" t="s">
        <v>2164</v>
      </c>
      <c r="C812" s="121" t="s">
        <v>628</v>
      </c>
      <c r="D812" s="122">
        <v>132</v>
      </c>
      <c r="E812" s="121" t="s">
        <v>664</v>
      </c>
      <c r="F812" s="117"/>
    </row>
    <row r="813" spans="1:6" ht="15">
      <c r="A813" s="121" t="s">
        <v>2165</v>
      </c>
      <c r="B813" s="121" t="s">
        <v>2166</v>
      </c>
      <c r="C813" s="121" t="s">
        <v>628</v>
      </c>
      <c r="D813" s="122">
        <v>0</v>
      </c>
      <c r="E813" s="121" t="s">
        <v>664</v>
      </c>
      <c r="F813" s="117"/>
    </row>
    <row r="814" spans="1:6" ht="15">
      <c r="A814" s="121" t="s">
        <v>2167</v>
      </c>
      <c r="B814" s="121" t="s">
        <v>2168</v>
      </c>
      <c r="C814" s="121" t="s">
        <v>628</v>
      </c>
      <c r="D814" s="122">
        <v>330.3</v>
      </c>
      <c r="E814" s="121" t="s">
        <v>11</v>
      </c>
      <c r="F814" s="117"/>
    </row>
    <row r="815" spans="1:6" ht="15">
      <c r="A815" s="121" t="s">
        <v>2169</v>
      </c>
      <c r="B815" s="121" t="s">
        <v>2168</v>
      </c>
      <c r="C815" s="121" t="s">
        <v>920</v>
      </c>
      <c r="D815" s="122">
        <v>117.24</v>
      </c>
      <c r="E815" s="121" t="s">
        <v>11</v>
      </c>
      <c r="F815" s="117"/>
    </row>
    <row r="816" spans="1:6" ht="15">
      <c r="A816" s="121" t="s">
        <v>2170</v>
      </c>
      <c r="B816" s="121" t="s">
        <v>2171</v>
      </c>
      <c r="C816" s="121" t="s">
        <v>628</v>
      </c>
      <c r="D816" s="122">
        <v>19</v>
      </c>
      <c r="E816" s="121" t="s">
        <v>11</v>
      </c>
      <c r="F816" s="117"/>
    </row>
    <row r="817" spans="1:6" ht="15">
      <c r="A817" s="121" t="s">
        <v>2172</v>
      </c>
      <c r="B817" s="121" t="s">
        <v>2173</v>
      </c>
      <c r="C817" s="121" t="s">
        <v>628</v>
      </c>
      <c r="D817" s="122">
        <v>357.34</v>
      </c>
      <c r="E817" s="121" t="s">
        <v>19</v>
      </c>
      <c r="F817" s="117"/>
    </row>
    <row r="818" spans="1:6" ht="15">
      <c r="A818" s="121" t="s">
        <v>2174</v>
      </c>
      <c r="B818" s="121" t="s">
        <v>2175</v>
      </c>
      <c r="C818" s="121" t="s">
        <v>0</v>
      </c>
      <c r="D818" s="122">
        <v>315.3</v>
      </c>
      <c r="E818" s="121" t="s">
        <v>1059</v>
      </c>
      <c r="F818" s="117"/>
    </row>
    <row r="819" spans="1:6" ht="15">
      <c r="A819" s="121" t="s">
        <v>2176</v>
      </c>
      <c r="B819" s="121" t="s">
        <v>2177</v>
      </c>
      <c r="C819" s="121" t="s">
        <v>628</v>
      </c>
      <c r="D819" s="122">
        <v>374.74</v>
      </c>
      <c r="E819" s="121" t="s">
        <v>19</v>
      </c>
      <c r="F819" s="117"/>
    </row>
    <row r="820" spans="1:6" ht="15">
      <c r="A820" s="121" t="s">
        <v>2178</v>
      </c>
      <c r="B820" s="121" t="s">
        <v>199</v>
      </c>
      <c r="C820" s="121" t="s">
        <v>628</v>
      </c>
      <c r="D820" s="125">
        <v>2367.31</v>
      </c>
      <c r="E820" s="121" t="s">
        <v>24</v>
      </c>
      <c r="F820" s="117"/>
    </row>
    <row r="821" spans="1:6" ht="15">
      <c r="A821" s="121" t="s">
        <v>2179</v>
      </c>
      <c r="B821" s="121" t="s">
        <v>2180</v>
      </c>
      <c r="C821" s="121" t="s">
        <v>628</v>
      </c>
      <c r="D821" s="122">
        <v>2461.8000000000002</v>
      </c>
      <c r="E821" s="121" t="s">
        <v>744</v>
      </c>
      <c r="F821" s="117"/>
    </row>
    <row r="822" spans="1:6" ht="15">
      <c r="A822" s="121" t="s">
        <v>2181</v>
      </c>
      <c r="B822" s="121" t="s">
        <v>2182</v>
      </c>
      <c r="C822" s="121" t="s">
        <v>628</v>
      </c>
      <c r="D822" s="122">
        <v>1031.3900000000001</v>
      </c>
      <c r="E822" s="121" t="s">
        <v>744</v>
      </c>
      <c r="F822" s="117"/>
    </row>
    <row r="823" spans="1:6" ht="15">
      <c r="A823" s="121" t="s">
        <v>2183</v>
      </c>
      <c r="B823" s="121" t="s">
        <v>2184</v>
      </c>
      <c r="C823" s="121" t="s">
        <v>628</v>
      </c>
      <c r="D823" s="122">
        <v>1351.8</v>
      </c>
      <c r="E823" s="121" t="s">
        <v>744</v>
      </c>
      <c r="F823" s="117"/>
    </row>
    <row r="824" spans="1:6" ht="15">
      <c r="A824" s="121" t="s">
        <v>2185</v>
      </c>
      <c r="B824" s="121" t="s">
        <v>199</v>
      </c>
      <c r="C824" s="121" t="s">
        <v>628</v>
      </c>
      <c r="D824" s="122">
        <v>4064.14</v>
      </c>
      <c r="E824" s="121" t="s">
        <v>9</v>
      </c>
      <c r="F824" s="117"/>
    </row>
    <row r="825" spans="1:6" ht="30">
      <c r="A825" s="121" t="s">
        <v>2186</v>
      </c>
      <c r="B825" s="121" t="s">
        <v>2187</v>
      </c>
      <c r="C825" s="121" t="s">
        <v>628</v>
      </c>
      <c r="D825" s="122">
        <v>0</v>
      </c>
      <c r="E825" s="121" t="s">
        <v>664</v>
      </c>
      <c r="F825" s="117"/>
    </row>
    <row r="826" spans="1:6" ht="15">
      <c r="A826" s="121" t="s">
        <v>2188</v>
      </c>
      <c r="B826" s="121" t="s">
        <v>2189</v>
      </c>
      <c r="C826" s="121" t="s">
        <v>628</v>
      </c>
      <c r="D826" s="122">
        <v>511.84</v>
      </c>
      <c r="E826" s="121" t="s">
        <v>631</v>
      </c>
      <c r="F826" s="117"/>
    </row>
    <row r="827" spans="1:6" ht="15">
      <c r="A827" s="121" t="s">
        <v>2190</v>
      </c>
      <c r="B827" s="121" t="s">
        <v>2191</v>
      </c>
      <c r="C827" s="121" t="s">
        <v>628</v>
      </c>
      <c r="D827" s="122">
        <v>133.47999999999999</v>
      </c>
      <c r="E827" s="121" t="s">
        <v>1059</v>
      </c>
      <c r="F827" s="117"/>
    </row>
    <row r="828" spans="1:6" ht="15">
      <c r="A828" s="121" t="s">
        <v>2192</v>
      </c>
      <c r="B828" s="121" t="s">
        <v>2193</v>
      </c>
      <c r="C828" s="121" t="s">
        <v>6</v>
      </c>
      <c r="D828" s="122">
        <v>312</v>
      </c>
      <c r="E828" s="121" t="s">
        <v>664</v>
      </c>
      <c r="F828" s="117"/>
    </row>
    <row r="829" spans="1:6" ht="15">
      <c r="A829" s="121" t="s">
        <v>2194</v>
      </c>
      <c r="B829" s="121" t="s">
        <v>2195</v>
      </c>
      <c r="C829" s="121" t="s">
        <v>628</v>
      </c>
      <c r="D829" s="122">
        <v>75.31</v>
      </c>
      <c r="E829" s="121" t="s">
        <v>23</v>
      </c>
      <c r="F829" s="117"/>
    </row>
    <row r="830" spans="1:6" ht="15">
      <c r="A830" s="121" t="s">
        <v>2196</v>
      </c>
      <c r="B830" s="121" t="s">
        <v>2197</v>
      </c>
      <c r="C830" s="121" t="s">
        <v>628</v>
      </c>
      <c r="D830" s="122">
        <v>3327.74</v>
      </c>
      <c r="E830" s="121" t="s">
        <v>19</v>
      </c>
      <c r="F830" s="117"/>
    </row>
    <row r="831" spans="1:6" ht="15">
      <c r="A831" s="121" t="s">
        <v>2198</v>
      </c>
      <c r="B831" s="121" t="s">
        <v>2199</v>
      </c>
      <c r="C831" s="121" t="s">
        <v>628</v>
      </c>
      <c r="D831" s="122">
        <v>26.28</v>
      </c>
      <c r="E831" s="121" t="s">
        <v>13</v>
      </c>
      <c r="F831" s="117"/>
    </row>
    <row r="832" spans="1:6" ht="15">
      <c r="A832" s="121" t="s">
        <v>2200</v>
      </c>
      <c r="B832" s="121" t="s">
        <v>2201</v>
      </c>
      <c r="C832" s="121" t="s">
        <v>628</v>
      </c>
      <c r="D832" s="122">
        <v>0</v>
      </c>
      <c r="E832" s="121" t="s">
        <v>17</v>
      </c>
      <c r="F832" s="117"/>
    </row>
    <row r="833" spans="1:6" ht="15">
      <c r="A833" s="121" t="s">
        <v>2202</v>
      </c>
      <c r="B833" s="121" t="s">
        <v>2203</v>
      </c>
      <c r="C833" s="121" t="s">
        <v>628</v>
      </c>
      <c r="D833" s="122">
        <v>62.16</v>
      </c>
      <c r="E833" s="121" t="s">
        <v>744</v>
      </c>
      <c r="F833" s="117"/>
    </row>
    <row r="834" spans="1:6" ht="15">
      <c r="A834" s="121" t="s">
        <v>2204</v>
      </c>
      <c r="B834" s="121" t="s">
        <v>2205</v>
      </c>
      <c r="C834" s="121" t="s">
        <v>628</v>
      </c>
      <c r="D834" s="122">
        <v>35.22</v>
      </c>
      <c r="E834" s="121" t="s">
        <v>744</v>
      </c>
      <c r="F834" s="117"/>
    </row>
    <row r="835" spans="1:6" ht="15">
      <c r="A835" s="121" t="s">
        <v>2206</v>
      </c>
      <c r="B835" s="121" t="s">
        <v>2207</v>
      </c>
      <c r="C835" s="121" t="s">
        <v>6</v>
      </c>
      <c r="D835" s="122">
        <v>604.33000000000004</v>
      </c>
      <c r="E835" s="121" t="s">
        <v>30</v>
      </c>
      <c r="F835" s="117"/>
    </row>
    <row r="836" spans="1:6" ht="15">
      <c r="A836" s="121" t="s">
        <v>2208</v>
      </c>
      <c r="B836" s="121" t="s">
        <v>2209</v>
      </c>
      <c r="C836" s="121" t="s">
        <v>0</v>
      </c>
      <c r="D836" s="122">
        <v>910.52</v>
      </c>
      <c r="E836" s="121" t="s">
        <v>857</v>
      </c>
      <c r="F836" s="117"/>
    </row>
    <row r="837" spans="1:6" ht="15">
      <c r="A837" s="121" t="s">
        <v>2210</v>
      </c>
      <c r="B837" s="121" t="s">
        <v>2211</v>
      </c>
      <c r="C837" s="121" t="s">
        <v>0</v>
      </c>
      <c r="D837" s="122">
        <v>937.3</v>
      </c>
      <c r="E837" s="121" t="s">
        <v>857</v>
      </c>
      <c r="F837" s="117"/>
    </row>
    <row r="838" spans="1:6" ht="15">
      <c r="A838" s="121" t="s">
        <v>2212</v>
      </c>
      <c r="B838" s="121" t="s">
        <v>2213</v>
      </c>
      <c r="C838" s="121" t="s">
        <v>628</v>
      </c>
      <c r="D838" s="122">
        <v>536.01</v>
      </c>
      <c r="E838" s="121" t="s">
        <v>3</v>
      </c>
      <c r="F838" s="117"/>
    </row>
    <row r="839" spans="1:6" ht="15">
      <c r="A839" s="121" t="s">
        <v>2214</v>
      </c>
      <c r="B839" s="121" t="s">
        <v>2215</v>
      </c>
      <c r="C839" s="121" t="s">
        <v>628</v>
      </c>
      <c r="D839" s="122">
        <v>2058.91</v>
      </c>
      <c r="E839" s="121" t="s">
        <v>673</v>
      </c>
      <c r="F839" s="117"/>
    </row>
    <row r="840" spans="1:6" ht="15">
      <c r="A840" s="121" t="s">
        <v>2216</v>
      </c>
      <c r="B840" s="121" t="s">
        <v>2217</v>
      </c>
      <c r="C840" s="121" t="s">
        <v>0</v>
      </c>
      <c r="D840" s="122">
        <v>725.19</v>
      </c>
      <c r="E840" s="121" t="s">
        <v>30</v>
      </c>
      <c r="F840" s="117"/>
    </row>
    <row r="841" spans="1:6" ht="15">
      <c r="A841" s="121" t="s">
        <v>2218</v>
      </c>
      <c r="B841" s="121" t="s">
        <v>199</v>
      </c>
      <c r="C841" s="121" t="s">
        <v>628</v>
      </c>
      <c r="D841" s="122">
        <v>0</v>
      </c>
      <c r="E841" s="121" t="s">
        <v>13</v>
      </c>
      <c r="F841" s="117"/>
    </row>
    <row r="842" spans="1:6" ht="15">
      <c r="A842" s="121" t="s">
        <v>2219</v>
      </c>
      <c r="B842" s="121" t="s">
        <v>199</v>
      </c>
      <c r="C842" s="121" t="s">
        <v>6</v>
      </c>
      <c r="D842" s="122">
        <v>304.79000000000002</v>
      </c>
      <c r="E842" s="121" t="s">
        <v>13</v>
      </c>
      <c r="F842" s="117"/>
    </row>
    <row r="843" spans="1:6" ht="15">
      <c r="A843" s="121" t="s">
        <v>2220</v>
      </c>
      <c r="B843" s="121" t="s">
        <v>2221</v>
      </c>
      <c r="C843" s="121" t="s">
        <v>628</v>
      </c>
      <c r="D843" s="122">
        <v>378.36</v>
      </c>
      <c r="E843" s="121" t="s">
        <v>46</v>
      </c>
      <c r="F843" s="117"/>
    </row>
    <row r="844" spans="1:6" ht="15">
      <c r="A844" s="121" t="s">
        <v>2222</v>
      </c>
      <c r="B844" s="121" t="s">
        <v>2223</v>
      </c>
      <c r="C844" s="121" t="s">
        <v>628</v>
      </c>
      <c r="D844" s="122">
        <v>178.67</v>
      </c>
      <c r="E844" s="121" t="s">
        <v>13</v>
      </c>
      <c r="F844" s="117"/>
    </row>
    <row r="845" spans="1:6" ht="15">
      <c r="A845" s="121" t="s">
        <v>2224</v>
      </c>
      <c r="B845" s="121" t="s">
        <v>2225</v>
      </c>
      <c r="C845" s="121" t="s">
        <v>628</v>
      </c>
      <c r="D845" s="122">
        <v>118.76</v>
      </c>
      <c r="E845" s="121" t="s">
        <v>31</v>
      </c>
      <c r="F845" s="117"/>
    </row>
    <row r="846" spans="1:6" ht="15">
      <c r="A846" s="121" t="s">
        <v>2226</v>
      </c>
      <c r="B846" s="121" t="s">
        <v>2227</v>
      </c>
      <c r="C846" s="121" t="s">
        <v>0</v>
      </c>
      <c r="D846" s="122">
        <v>143.99</v>
      </c>
      <c r="E846" s="121" t="s">
        <v>41</v>
      </c>
      <c r="F846" s="117"/>
    </row>
    <row r="847" spans="1:6" ht="15">
      <c r="A847" s="121" t="s">
        <v>2228</v>
      </c>
      <c r="B847" s="121" t="s">
        <v>2229</v>
      </c>
      <c r="C847" s="121" t="s">
        <v>0</v>
      </c>
      <c r="D847" s="122">
        <v>863.92</v>
      </c>
      <c r="E847" s="121" t="s">
        <v>27</v>
      </c>
      <c r="F847" s="117"/>
    </row>
    <row r="848" spans="1:6" ht="15">
      <c r="A848" s="121" t="s">
        <v>2230</v>
      </c>
      <c r="B848" s="121" t="s">
        <v>2231</v>
      </c>
      <c r="C848" s="121" t="s">
        <v>628</v>
      </c>
      <c r="D848" s="122">
        <v>984.79</v>
      </c>
      <c r="E848" s="121" t="s">
        <v>631</v>
      </c>
      <c r="F848" s="117"/>
    </row>
    <row r="849" spans="1:6" ht="15">
      <c r="A849" s="121" t="s">
        <v>2232</v>
      </c>
      <c r="B849" s="121" t="s">
        <v>2233</v>
      </c>
      <c r="C849" s="121" t="s">
        <v>628</v>
      </c>
      <c r="D849" s="122">
        <v>44.14</v>
      </c>
      <c r="E849" s="121" t="s">
        <v>44</v>
      </c>
      <c r="F849" s="117"/>
    </row>
    <row r="850" spans="1:6" ht="15">
      <c r="A850" s="121" t="s">
        <v>2234</v>
      </c>
      <c r="B850" s="121" t="s">
        <v>2235</v>
      </c>
      <c r="C850" s="121" t="s">
        <v>0</v>
      </c>
      <c r="D850" s="122">
        <v>7067.94</v>
      </c>
      <c r="E850" s="121" t="s">
        <v>3</v>
      </c>
      <c r="F850" s="117"/>
    </row>
    <row r="851" spans="1:6" ht="15">
      <c r="A851" s="121" t="s">
        <v>2236</v>
      </c>
      <c r="B851" s="121" t="s">
        <v>2237</v>
      </c>
      <c r="C851" s="121" t="s">
        <v>6</v>
      </c>
      <c r="D851" s="122">
        <v>68.319999999999993</v>
      </c>
      <c r="E851" s="121" t="s">
        <v>28</v>
      </c>
      <c r="F851" s="117"/>
    </row>
    <row r="852" spans="1:6" ht="15">
      <c r="A852" s="121" t="s">
        <v>2238</v>
      </c>
      <c r="B852" s="121" t="s">
        <v>2239</v>
      </c>
      <c r="C852" s="121" t="s">
        <v>628</v>
      </c>
      <c r="D852" s="122">
        <v>78.87</v>
      </c>
      <c r="E852" s="121" t="s">
        <v>744</v>
      </c>
      <c r="F852" s="117"/>
    </row>
    <row r="853" spans="1:6" ht="15">
      <c r="A853" s="121" t="s">
        <v>2240</v>
      </c>
      <c r="B853" s="121" t="s">
        <v>199</v>
      </c>
      <c r="C853" s="121" t="s">
        <v>628</v>
      </c>
      <c r="D853" s="122">
        <v>892.5</v>
      </c>
      <c r="E853" s="121" t="s">
        <v>11</v>
      </c>
      <c r="F853" s="117"/>
    </row>
    <row r="854" spans="1:6" ht="15">
      <c r="A854" s="121" t="s">
        <v>2241</v>
      </c>
      <c r="B854" s="121" t="s">
        <v>2242</v>
      </c>
      <c r="C854" s="121" t="s">
        <v>628</v>
      </c>
      <c r="D854" s="122">
        <v>161.07</v>
      </c>
      <c r="E854" s="121" t="s">
        <v>673</v>
      </c>
      <c r="F854" s="117"/>
    </row>
    <row r="855" spans="1:6" ht="15">
      <c r="A855" s="121" t="s">
        <v>2243</v>
      </c>
      <c r="B855" s="121" t="s">
        <v>2244</v>
      </c>
      <c r="C855" s="121" t="s">
        <v>628</v>
      </c>
      <c r="D855" s="122">
        <v>296.77</v>
      </c>
      <c r="E855" s="121" t="s">
        <v>26</v>
      </c>
      <c r="F855" s="117"/>
    </row>
    <row r="856" spans="1:6" ht="15">
      <c r="A856" s="121" t="s">
        <v>2245</v>
      </c>
      <c r="B856" s="121" t="s">
        <v>2246</v>
      </c>
      <c r="C856" s="121" t="s">
        <v>628</v>
      </c>
      <c r="D856" s="122">
        <v>59.91</v>
      </c>
      <c r="E856" s="121" t="s">
        <v>22</v>
      </c>
      <c r="F856" s="117"/>
    </row>
    <row r="857" spans="1:6" ht="30">
      <c r="A857" s="121" t="s">
        <v>2247</v>
      </c>
      <c r="B857" s="121" t="s">
        <v>2248</v>
      </c>
      <c r="C857" s="121" t="s">
        <v>628</v>
      </c>
      <c r="D857" s="122">
        <v>128.22</v>
      </c>
      <c r="E857" s="121" t="s">
        <v>2249</v>
      </c>
      <c r="F857" s="117"/>
    </row>
    <row r="858" spans="1:6" ht="15">
      <c r="A858" s="121" t="s">
        <v>2250</v>
      </c>
      <c r="B858" s="121" t="s">
        <v>2251</v>
      </c>
      <c r="C858" s="121" t="s">
        <v>628</v>
      </c>
      <c r="D858" s="122">
        <v>44.14</v>
      </c>
      <c r="E858" s="121" t="s">
        <v>16</v>
      </c>
      <c r="F858" s="117"/>
    </row>
    <row r="859" spans="1:6" ht="15">
      <c r="A859" s="121" t="s">
        <v>2252</v>
      </c>
      <c r="B859" s="121" t="s">
        <v>2253</v>
      </c>
      <c r="C859" s="121" t="s">
        <v>628</v>
      </c>
      <c r="D859" s="122">
        <v>131.38</v>
      </c>
      <c r="E859" s="121" t="s">
        <v>11</v>
      </c>
      <c r="F859" s="117"/>
    </row>
    <row r="860" spans="1:6" ht="15">
      <c r="A860" s="121" t="s">
        <v>2254</v>
      </c>
      <c r="B860" s="121" t="s">
        <v>2255</v>
      </c>
      <c r="C860" s="121" t="s">
        <v>628</v>
      </c>
      <c r="D860" s="122">
        <v>140.82</v>
      </c>
      <c r="E860" s="121" t="s">
        <v>39</v>
      </c>
      <c r="F860" s="117"/>
    </row>
    <row r="861" spans="1:6" ht="30">
      <c r="A861" s="121" t="s">
        <v>2256</v>
      </c>
      <c r="B861" s="121" t="s">
        <v>2257</v>
      </c>
      <c r="C861" s="121" t="s">
        <v>628</v>
      </c>
      <c r="D861" s="122">
        <v>54.65</v>
      </c>
      <c r="E861" s="121" t="s">
        <v>17</v>
      </c>
      <c r="F861" s="117"/>
    </row>
    <row r="862" spans="1:6" ht="15">
      <c r="A862" s="121" t="s">
        <v>2258</v>
      </c>
      <c r="B862" s="121" t="s">
        <v>199</v>
      </c>
      <c r="C862" s="121" t="s">
        <v>628</v>
      </c>
      <c r="D862" s="122">
        <v>0</v>
      </c>
      <c r="E862" s="121" t="s">
        <v>18</v>
      </c>
      <c r="F862" s="117"/>
    </row>
    <row r="863" spans="1:6" ht="15">
      <c r="A863" s="121" t="s">
        <v>2259</v>
      </c>
      <c r="B863" s="121" t="s">
        <v>2260</v>
      </c>
      <c r="C863" s="121" t="s">
        <v>920</v>
      </c>
      <c r="D863" s="122">
        <v>238.94</v>
      </c>
      <c r="E863" s="121" t="s">
        <v>39</v>
      </c>
      <c r="F863" s="117"/>
    </row>
    <row r="864" spans="1:6" ht="15">
      <c r="A864" s="121" t="s">
        <v>2261</v>
      </c>
      <c r="B864" s="121" t="s">
        <v>2262</v>
      </c>
      <c r="C864" s="121" t="s">
        <v>6</v>
      </c>
      <c r="D864" s="122">
        <v>51.54</v>
      </c>
      <c r="E864" s="121" t="s">
        <v>744</v>
      </c>
      <c r="F864" s="117"/>
    </row>
    <row r="865" spans="1:6" ht="15">
      <c r="A865" s="121" t="s">
        <v>2263</v>
      </c>
      <c r="B865" s="121" t="s">
        <v>2264</v>
      </c>
      <c r="C865" s="121" t="s">
        <v>628</v>
      </c>
      <c r="D865" s="122">
        <v>0</v>
      </c>
      <c r="E865" s="121" t="s">
        <v>664</v>
      </c>
      <c r="F865" s="117"/>
    </row>
    <row r="866" spans="1:6" ht="15">
      <c r="A866" s="121" t="s">
        <v>2265</v>
      </c>
      <c r="B866" s="121" t="s">
        <v>2266</v>
      </c>
      <c r="C866" s="121" t="s">
        <v>628</v>
      </c>
      <c r="D866" s="122">
        <v>150.69999999999999</v>
      </c>
      <c r="E866" s="121" t="s">
        <v>631</v>
      </c>
      <c r="F866" s="117"/>
    </row>
    <row r="867" spans="1:6" ht="15">
      <c r="A867" s="121" t="s">
        <v>2267</v>
      </c>
      <c r="B867" s="121" t="s">
        <v>2268</v>
      </c>
      <c r="C867" s="121" t="s">
        <v>628</v>
      </c>
      <c r="D867" s="122">
        <v>125.36</v>
      </c>
      <c r="E867" s="121" t="s">
        <v>744</v>
      </c>
      <c r="F867" s="117"/>
    </row>
    <row r="868" spans="1:6" ht="15">
      <c r="A868" s="121" t="s">
        <v>2269</v>
      </c>
      <c r="B868" s="121" t="s">
        <v>2270</v>
      </c>
      <c r="C868" s="121" t="s">
        <v>628</v>
      </c>
      <c r="D868" s="122">
        <v>136.63</v>
      </c>
      <c r="E868" s="121" t="s">
        <v>26</v>
      </c>
      <c r="F868" s="117"/>
    </row>
    <row r="869" spans="1:6" ht="15">
      <c r="A869" s="121" t="s">
        <v>2271</v>
      </c>
      <c r="B869" s="121" t="s">
        <v>2272</v>
      </c>
      <c r="C869" s="121" t="s">
        <v>920</v>
      </c>
      <c r="D869" s="122">
        <v>119.91</v>
      </c>
      <c r="E869" s="121" t="s">
        <v>26</v>
      </c>
      <c r="F869" s="117"/>
    </row>
    <row r="870" spans="1:6" ht="15">
      <c r="A870" s="121" t="s">
        <v>2273</v>
      </c>
      <c r="B870" s="121" t="s">
        <v>2274</v>
      </c>
      <c r="C870" s="121" t="s">
        <v>6</v>
      </c>
      <c r="D870" s="122">
        <v>826.73</v>
      </c>
      <c r="E870" s="121" t="s">
        <v>744</v>
      </c>
      <c r="F870" s="117"/>
    </row>
    <row r="871" spans="1:6" ht="15">
      <c r="A871" s="121" t="s">
        <v>2275</v>
      </c>
      <c r="B871" s="121" t="s">
        <v>2276</v>
      </c>
      <c r="C871" s="121" t="s">
        <v>628</v>
      </c>
      <c r="D871" s="122">
        <v>124.32</v>
      </c>
      <c r="E871" s="121" t="s">
        <v>664</v>
      </c>
      <c r="F871" s="117"/>
    </row>
    <row r="872" spans="1:6" ht="30">
      <c r="A872" s="121" t="s">
        <v>2277</v>
      </c>
      <c r="B872" s="121" t="s">
        <v>2278</v>
      </c>
      <c r="C872" s="121" t="s">
        <v>628</v>
      </c>
      <c r="D872" s="122">
        <v>76.52</v>
      </c>
      <c r="E872" s="121" t="s">
        <v>11</v>
      </c>
      <c r="F872" s="117"/>
    </row>
    <row r="873" spans="1:6" ht="30">
      <c r="A873" s="121" t="s">
        <v>2279</v>
      </c>
      <c r="B873" s="121" t="s">
        <v>2280</v>
      </c>
      <c r="C873" s="121" t="s">
        <v>628</v>
      </c>
      <c r="D873" s="122">
        <v>343.68</v>
      </c>
      <c r="E873" s="121" t="s">
        <v>749</v>
      </c>
      <c r="F873" s="117"/>
    </row>
    <row r="874" spans="1:6" ht="15">
      <c r="A874" s="121" t="s">
        <v>2281</v>
      </c>
      <c r="B874" s="121" t="s">
        <v>2282</v>
      </c>
      <c r="C874" s="121" t="s">
        <v>628</v>
      </c>
      <c r="D874" s="122">
        <v>63.06</v>
      </c>
      <c r="E874" s="121" t="s">
        <v>749</v>
      </c>
      <c r="F874" s="117"/>
    </row>
    <row r="875" spans="1:6" ht="15">
      <c r="A875" s="121" t="s">
        <v>2283</v>
      </c>
      <c r="B875" s="121" t="s">
        <v>2284</v>
      </c>
      <c r="C875" s="121" t="s">
        <v>6</v>
      </c>
      <c r="D875" s="122">
        <v>0</v>
      </c>
      <c r="E875" s="121" t="s">
        <v>749</v>
      </c>
      <c r="F875" s="117"/>
    </row>
    <row r="876" spans="1:6" ht="15">
      <c r="A876" s="121" t="s">
        <v>2285</v>
      </c>
      <c r="B876" s="121" t="s">
        <v>199</v>
      </c>
      <c r="C876" s="121" t="s">
        <v>6</v>
      </c>
      <c r="D876" s="122">
        <v>753.7</v>
      </c>
      <c r="E876" s="121" t="s">
        <v>749</v>
      </c>
      <c r="F876" s="117"/>
    </row>
    <row r="877" spans="1:6" ht="15">
      <c r="A877" s="121" t="s">
        <v>2286</v>
      </c>
      <c r="B877" s="121" t="s">
        <v>2287</v>
      </c>
      <c r="C877" s="121" t="s">
        <v>628</v>
      </c>
      <c r="D877" s="122">
        <v>27.97</v>
      </c>
      <c r="E877" s="121" t="s">
        <v>744</v>
      </c>
      <c r="F877" s="117"/>
    </row>
    <row r="878" spans="1:6" ht="15">
      <c r="A878" s="121" t="s">
        <v>2288</v>
      </c>
      <c r="B878" s="121" t="s">
        <v>2289</v>
      </c>
      <c r="C878" s="121" t="s">
        <v>628</v>
      </c>
      <c r="D878" s="122">
        <v>88.28</v>
      </c>
      <c r="E878" s="121" t="s">
        <v>37</v>
      </c>
      <c r="F878" s="117"/>
    </row>
    <row r="879" spans="1:6" ht="15">
      <c r="A879" s="121" t="s">
        <v>2290</v>
      </c>
      <c r="B879" s="121" t="s">
        <v>2291</v>
      </c>
      <c r="C879" s="121" t="s">
        <v>628</v>
      </c>
      <c r="D879" s="122">
        <v>87.23</v>
      </c>
      <c r="E879" s="121" t="s">
        <v>11</v>
      </c>
      <c r="F879" s="117"/>
    </row>
    <row r="880" spans="1:6" ht="15">
      <c r="A880" s="121" t="s">
        <v>2292</v>
      </c>
      <c r="B880" s="121" t="s">
        <v>2293</v>
      </c>
      <c r="C880" s="121" t="s">
        <v>628</v>
      </c>
      <c r="D880" s="122">
        <v>0</v>
      </c>
      <c r="E880" s="121" t="s">
        <v>11</v>
      </c>
      <c r="F880" s="117"/>
    </row>
    <row r="881" spans="1:6" ht="15">
      <c r="A881" s="121" t="s">
        <v>2294</v>
      </c>
      <c r="B881" s="121" t="s">
        <v>2295</v>
      </c>
      <c r="C881" s="121" t="s">
        <v>0</v>
      </c>
      <c r="D881" s="122">
        <v>169.21</v>
      </c>
      <c r="E881" s="121" t="s">
        <v>19</v>
      </c>
      <c r="F881" s="117"/>
    </row>
    <row r="882" spans="1:6" ht="15">
      <c r="A882" s="121" t="s">
        <v>2296</v>
      </c>
      <c r="B882" s="121" t="s">
        <v>2297</v>
      </c>
      <c r="C882" s="121" t="s">
        <v>920</v>
      </c>
      <c r="D882" s="122">
        <v>3919.47</v>
      </c>
      <c r="E882" s="121" t="s">
        <v>744</v>
      </c>
      <c r="F882" s="117"/>
    </row>
    <row r="883" spans="1:6" ht="15">
      <c r="A883" s="121" t="s">
        <v>2298</v>
      </c>
      <c r="B883" s="121" t="s">
        <v>2299</v>
      </c>
      <c r="C883" s="121" t="s">
        <v>628</v>
      </c>
      <c r="D883" s="122">
        <v>2631.3</v>
      </c>
      <c r="E883" s="121" t="s">
        <v>744</v>
      </c>
      <c r="F883" s="117"/>
    </row>
    <row r="884" spans="1:6" ht="15">
      <c r="A884" s="121" t="s">
        <v>2300</v>
      </c>
      <c r="B884" s="121" t="s">
        <v>2301</v>
      </c>
      <c r="C884" s="121" t="s">
        <v>628</v>
      </c>
      <c r="D884" s="122">
        <v>44.14</v>
      </c>
      <c r="E884" s="121" t="s">
        <v>26</v>
      </c>
      <c r="F884" s="117"/>
    </row>
    <row r="885" spans="1:6" ht="15">
      <c r="A885" s="121" t="s">
        <v>2302</v>
      </c>
      <c r="B885" s="121" t="s">
        <v>2303</v>
      </c>
      <c r="C885" s="121" t="s">
        <v>0</v>
      </c>
      <c r="D885" s="122">
        <v>270.11</v>
      </c>
      <c r="E885" s="121" t="s">
        <v>857</v>
      </c>
      <c r="F885" s="117"/>
    </row>
    <row r="886" spans="1:6" ht="15">
      <c r="A886" s="121" t="s">
        <v>2304</v>
      </c>
      <c r="B886" s="121" t="s">
        <v>2305</v>
      </c>
      <c r="C886" s="121" t="s">
        <v>628</v>
      </c>
      <c r="D886" s="122">
        <v>138.72999999999999</v>
      </c>
      <c r="E886" s="121" t="s">
        <v>34</v>
      </c>
      <c r="F886" s="117"/>
    </row>
    <row r="887" spans="1:6" ht="15">
      <c r="A887" s="121" t="s">
        <v>2306</v>
      </c>
      <c r="B887" s="121" t="s">
        <v>2305</v>
      </c>
      <c r="C887" s="121" t="s">
        <v>920</v>
      </c>
      <c r="D887" s="122">
        <v>103.91</v>
      </c>
      <c r="E887" s="121" t="s">
        <v>34</v>
      </c>
      <c r="F887" s="117"/>
    </row>
    <row r="888" spans="1:6" ht="15">
      <c r="A888" s="121" t="s">
        <v>2307</v>
      </c>
      <c r="B888" s="121" t="s">
        <v>2308</v>
      </c>
      <c r="C888" s="121" t="s">
        <v>628</v>
      </c>
      <c r="D888" s="122">
        <v>0</v>
      </c>
      <c r="E888" s="121" t="s">
        <v>25</v>
      </c>
      <c r="F888" s="117"/>
    </row>
    <row r="889" spans="1:6" ht="15">
      <c r="A889" s="121" t="s">
        <v>2309</v>
      </c>
      <c r="B889" s="121" t="s">
        <v>2310</v>
      </c>
      <c r="C889" s="121" t="s">
        <v>628</v>
      </c>
      <c r="D889" s="122">
        <v>63.06</v>
      </c>
      <c r="E889" s="121" t="s">
        <v>29</v>
      </c>
      <c r="F889" s="117"/>
    </row>
    <row r="890" spans="1:6" ht="15">
      <c r="A890" s="121" t="s">
        <v>2311</v>
      </c>
      <c r="B890" s="121" t="s">
        <v>2312</v>
      </c>
      <c r="C890" s="121" t="s">
        <v>628</v>
      </c>
      <c r="D890" s="122">
        <v>67.34</v>
      </c>
      <c r="E890" s="121" t="s">
        <v>744</v>
      </c>
      <c r="F890" s="117"/>
    </row>
    <row r="891" spans="1:6" ht="15">
      <c r="A891" s="121" t="s">
        <v>2311</v>
      </c>
      <c r="B891" s="121" t="s">
        <v>2312</v>
      </c>
      <c r="C891" s="121" t="s">
        <v>628</v>
      </c>
      <c r="D891" s="122">
        <v>68.319999999999993</v>
      </c>
      <c r="E891" s="121" t="s">
        <v>29</v>
      </c>
      <c r="F891" s="117"/>
    </row>
    <row r="892" spans="1:6" ht="30">
      <c r="A892" s="121" t="s">
        <v>2313</v>
      </c>
      <c r="B892" s="121" t="s">
        <v>2314</v>
      </c>
      <c r="C892" s="121" t="s">
        <v>628</v>
      </c>
      <c r="D892" s="122">
        <v>222.81</v>
      </c>
      <c r="E892" s="121" t="s">
        <v>17</v>
      </c>
      <c r="F892" s="117"/>
    </row>
    <row r="893" spans="1:6" ht="15">
      <c r="A893" s="121" t="s">
        <v>2315</v>
      </c>
      <c r="B893" s="121" t="s">
        <v>2316</v>
      </c>
      <c r="C893" s="121" t="s">
        <v>0</v>
      </c>
      <c r="D893" s="122">
        <v>0</v>
      </c>
      <c r="E893" s="121" t="s">
        <v>17</v>
      </c>
      <c r="F893" s="117"/>
    </row>
    <row r="894" spans="1:6" ht="15">
      <c r="A894" s="121" t="s">
        <v>2317</v>
      </c>
      <c r="B894" s="121" t="s">
        <v>2318</v>
      </c>
      <c r="C894" s="121" t="s">
        <v>628</v>
      </c>
      <c r="D894" s="122">
        <v>511.78</v>
      </c>
      <c r="E894" s="121" t="s">
        <v>744</v>
      </c>
      <c r="F894" s="117"/>
    </row>
    <row r="895" spans="1:6" ht="15">
      <c r="A895" s="121" t="s">
        <v>2319</v>
      </c>
      <c r="B895" s="121" t="s">
        <v>2320</v>
      </c>
      <c r="C895" s="121" t="s">
        <v>628</v>
      </c>
      <c r="D895" s="122">
        <v>39.65</v>
      </c>
      <c r="E895" s="121" t="s">
        <v>664</v>
      </c>
      <c r="F895" s="117"/>
    </row>
    <row r="896" spans="1:6" ht="15">
      <c r="A896" s="121" t="s">
        <v>2321</v>
      </c>
      <c r="B896" s="121" t="s">
        <v>2322</v>
      </c>
      <c r="C896" s="121" t="s">
        <v>628</v>
      </c>
      <c r="D896" s="122">
        <v>50.45</v>
      </c>
      <c r="E896" s="121" t="s">
        <v>631</v>
      </c>
      <c r="F896" s="117"/>
    </row>
    <row r="897" spans="1:6" ht="15">
      <c r="A897" s="121" t="s">
        <v>2323</v>
      </c>
      <c r="B897" s="121" t="s">
        <v>2324</v>
      </c>
      <c r="C897" s="121" t="s">
        <v>628</v>
      </c>
      <c r="D897" s="122">
        <v>51.3</v>
      </c>
      <c r="E897" s="121" t="s">
        <v>744</v>
      </c>
      <c r="F897" s="117"/>
    </row>
    <row r="898" spans="1:6" ht="15">
      <c r="A898" s="121" t="s">
        <v>2325</v>
      </c>
      <c r="B898" s="121" t="s">
        <v>2326</v>
      </c>
      <c r="C898" s="121" t="s">
        <v>6</v>
      </c>
      <c r="D898" s="122">
        <v>221.65</v>
      </c>
      <c r="E898" s="121" t="s">
        <v>664</v>
      </c>
      <c r="F898" s="117"/>
    </row>
    <row r="899" spans="1:6" ht="15">
      <c r="A899" s="121" t="s">
        <v>2327</v>
      </c>
      <c r="B899" s="121" t="s">
        <v>2328</v>
      </c>
      <c r="C899" s="121" t="s">
        <v>628</v>
      </c>
      <c r="D899" s="122">
        <v>2516.09</v>
      </c>
      <c r="E899" s="121" t="s">
        <v>631</v>
      </c>
      <c r="F899" s="117"/>
    </row>
    <row r="900" spans="1:6" ht="15">
      <c r="A900" s="121" t="s">
        <v>2329</v>
      </c>
      <c r="B900" s="121" t="s">
        <v>199</v>
      </c>
      <c r="C900" s="121" t="s">
        <v>628</v>
      </c>
      <c r="D900" s="122">
        <v>18.920000000000002</v>
      </c>
      <c r="E900" s="121" t="s">
        <v>18</v>
      </c>
      <c r="F900" s="117"/>
    </row>
    <row r="901" spans="1:6" ht="15">
      <c r="A901" s="121" t="s">
        <v>2330</v>
      </c>
      <c r="B901" s="121" t="s">
        <v>2331</v>
      </c>
      <c r="C901" s="121" t="s">
        <v>628</v>
      </c>
      <c r="D901" s="122">
        <v>31.53</v>
      </c>
      <c r="E901" s="121" t="s">
        <v>23</v>
      </c>
      <c r="F901" s="117"/>
    </row>
    <row r="902" spans="1:6" ht="15">
      <c r="A902" s="121" t="s">
        <v>2332</v>
      </c>
      <c r="B902" s="121" t="s">
        <v>2333</v>
      </c>
      <c r="C902" s="121" t="s">
        <v>628</v>
      </c>
      <c r="D902" s="122">
        <v>26.21</v>
      </c>
      <c r="E902" s="121" t="s">
        <v>11</v>
      </c>
      <c r="F902" s="117"/>
    </row>
    <row r="903" spans="1:6" ht="15">
      <c r="A903" s="121" t="s">
        <v>2334</v>
      </c>
      <c r="B903" s="121" t="s">
        <v>2335</v>
      </c>
      <c r="C903" s="121" t="s">
        <v>628</v>
      </c>
      <c r="D903" s="122">
        <v>189.18</v>
      </c>
      <c r="E903" s="121" t="s">
        <v>7</v>
      </c>
      <c r="F903" s="117"/>
    </row>
    <row r="904" spans="1:6" ht="15">
      <c r="A904" s="121" t="s">
        <v>2336</v>
      </c>
      <c r="B904" s="121" t="s">
        <v>2337</v>
      </c>
      <c r="C904" s="121" t="s">
        <v>628</v>
      </c>
      <c r="D904" s="122">
        <v>189.18</v>
      </c>
      <c r="E904" s="121" t="s">
        <v>7</v>
      </c>
      <c r="F904" s="117"/>
    </row>
    <row r="905" spans="1:6" ht="15">
      <c r="A905" s="121" t="s">
        <v>2338</v>
      </c>
      <c r="B905" s="121" t="s">
        <v>2339</v>
      </c>
      <c r="C905" s="121" t="s">
        <v>628</v>
      </c>
      <c r="D905" s="122">
        <v>42.36</v>
      </c>
      <c r="E905" s="121" t="s">
        <v>11</v>
      </c>
      <c r="F905" s="117"/>
    </row>
    <row r="906" spans="1:6" ht="15">
      <c r="A906" s="121" t="s">
        <v>2340</v>
      </c>
      <c r="B906" s="121" t="s">
        <v>2341</v>
      </c>
      <c r="C906" s="121" t="s">
        <v>628</v>
      </c>
      <c r="D906" s="122">
        <v>1032.92</v>
      </c>
      <c r="E906" s="121" t="s">
        <v>631</v>
      </c>
      <c r="F906" s="117"/>
    </row>
    <row r="907" spans="1:6" ht="30">
      <c r="A907" s="121" t="s">
        <v>2342</v>
      </c>
      <c r="B907" s="121" t="s">
        <v>2343</v>
      </c>
      <c r="C907" s="121" t="s">
        <v>628</v>
      </c>
      <c r="D907" s="122">
        <v>1796.76</v>
      </c>
      <c r="E907" s="121" t="s">
        <v>19</v>
      </c>
      <c r="F907" s="117"/>
    </row>
    <row r="908" spans="1:6" ht="15">
      <c r="A908" s="121" t="s">
        <v>2344</v>
      </c>
      <c r="B908" s="121" t="s">
        <v>2345</v>
      </c>
      <c r="C908" s="121" t="s">
        <v>628</v>
      </c>
      <c r="D908" s="122">
        <v>290.83</v>
      </c>
      <c r="E908" s="121" t="s">
        <v>19</v>
      </c>
      <c r="F908" s="117"/>
    </row>
    <row r="909" spans="1:6" ht="30">
      <c r="A909" s="121" t="s">
        <v>2346</v>
      </c>
      <c r="B909" s="121" t="s">
        <v>2347</v>
      </c>
      <c r="C909" s="121" t="s">
        <v>6</v>
      </c>
      <c r="D909" s="122">
        <v>1104.76</v>
      </c>
      <c r="E909" s="121" t="s">
        <v>2</v>
      </c>
      <c r="F909" s="117"/>
    </row>
    <row r="910" spans="1:6" ht="15">
      <c r="A910" s="121" t="s">
        <v>2348</v>
      </c>
      <c r="B910" s="121" t="s">
        <v>2349</v>
      </c>
      <c r="C910" s="121" t="s">
        <v>628</v>
      </c>
      <c r="D910" s="122">
        <v>373</v>
      </c>
      <c r="E910" s="121" t="s">
        <v>26</v>
      </c>
      <c r="F910" s="117"/>
    </row>
    <row r="911" spans="1:6" ht="15">
      <c r="A911" s="121" t="s">
        <v>2350</v>
      </c>
      <c r="B911" s="121" t="s">
        <v>2351</v>
      </c>
      <c r="C911" s="121" t="s">
        <v>628</v>
      </c>
      <c r="D911" s="122">
        <v>142.80000000000001</v>
      </c>
      <c r="E911" s="121" t="s">
        <v>26</v>
      </c>
      <c r="F911" s="117"/>
    </row>
    <row r="912" spans="1:6" ht="15">
      <c r="A912" s="123"/>
      <c r="B912" s="123"/>
      <c r="C912" s="123"/>
      <c r="D912" s="126"/>
      <c r="E912" s="123"/>
      <c r="F912" s="117"/>
    </row>
    <row r="913" spans="1:6" ht="15">
      <c r="A913" s="127"/>
      <c r="B913" s="117"/>
      <c r="C913" s="128" t="s">
        <v>2352</v>
      </c>
      <c r="D913" s="129">
        <f>SUM(D5:D912)</f>
        <v>423227.59299999976</v>
      </c>
      <c r="E913" s="130"/>
      <c r="F913" s="117"/>
    </row>
    <row r="914" spans="1:6" ht="15">
      <c r="A914" s="131"/>
      <c r="B914" s="117"/>
      <c r="C914" s="128" t="s">
        <v>2353</v>
      </c>
      <c r="D914" s="132">
        <f>AVERAGE(D5:D911)</f>
        <v>466.62358654906257</v>
      </c>
      <c r="E914" s="117"/>
      <c r="F914" s="117"/>
    </row>
    <row r="915" spans="1:6" ht="15">
      <c r="A915" s="131"/>
      <c r="B915" s="117"/>
      <c r="C915" s="117"/>
      <c r="D915" s="133"/>
      <c r="E915" s="117"/>
      <c r="F915" s="117"/>
    </row>
    <row r="916" spans="1:6">
      <c r="A916" s="115"/>
      <c r="B916" s="114"/>
      <c r="C916" s="114"/>
      <c r="D916" s="116"/>
      <c r="E916" s="114"/>
      <c r="F916" s="114"/>
    </row>
    <row r="917" spans="1:6">
      <c r="A917" s="115"/>
      <c r="B917" s="114"/>
      <c r="C917" s="114"/>
      <c r="D917" s="116"/>
      <c r="E917" s="114"/>
      <c r="F917" s="114"/>
    </row>
    <row r="918" spans="1:6">
      <c r="A918" s="115"/>
      <c r="B918" s="114"/>
      <c r="C918" s="114"/>
      <c r="D918" s="116"/>
      <c r="E918" s="114"/>
      <c r="F918" s="114"/>
    </row>
    <row r="919" spans="1:6">
      <c r="A919" s="108"/>
      <c r="D919" s="110"/>
    </row>
    <row r="920" spans="1:6">
      <c r="A920" s="108"/>
      <c r="D920" s="110"/>
    </row>
    <row r="921" spans="1:6">
      <c r="A921" s="108"/>
      <c r="D921" s="110"/>
    </row>
    <row r="922" spans="1:6">
      <c r="A922" s="108"/>
      <c r="D922" s="110"/>
    </row>
    <row r="923" spans="1:6">
      <c r="A923" s="108"/>
      <c r="D923" s="110"/>
    </row>
    <row r="926" spans="1:6">
      <c r="D926" s="109"/>
    </row>
  </sheetData>
  <pageMargins left="0.75" right="0.56000000000000005" top="1" bottom="1" header="0.5" footer="0.5"/>
  <pageSetup orientation="portrait" r:id="rId1"/>
  <headerFooter alignWithMargins="0">
    <oddFooter>&amp;C&amp;A&amp;RPage &amp;P of &amp;N</oddFooter>
  </headerFooter>
</worksheet>
</file>

<file path=xl/worksheets/sheet12.xml><?xml version="1.0" encoding="utf-8"?>
<worksheet xmlns="http://schemas.openxmlformats.org/spreadsheetml/2006/main" xmlns:r="http://schemas.openxmlformats.org/officeDocument/2006/relationships">
  <dimension ref="A1:I97"/>
  <sheetViews>
    <sheetView workbookViewId="0">
      <selection activeCell="A8" sqref="A8"/>
    </sheetView>
  </sheetViews>
  <sheetFormatPr defaultRowHeight="12.75"/>
  <cols>
    <col min="1" max="1" width="23.140625" style="104" customWidth="1"/>
    <col min="2" max="2" width="8.42578125" style="104" customWidth="1"/>
    <col min="3" max="3" width="12.85546875" style="104" bestFit="1" customWidth="1"/>
    <col min="4" max="4" width="10.5703125" style="104" customWidth="1"/>
    <col min="5" max="5" width="10.85546875" style="104" bestFit="1" customWidth="1"/>
    <col min="6" max="6" width="14.28515625" style="104" customWidth="1"/>
    <col min="7" max="256" width="9.140625" style="104"/>
    <col min="257" max="257" width="23.140625" style="104" customWidth="1"/>
    <col min="258" max="258" width="8.42578125" style="104" customWidth="1"/>
    <col min="259" max="259" width="12.85546875" style="104" bestFit="1" customWidth="1"/>
    <col min="260" max="260" width="10.5703125" style="104" customWidth="1"/>
    <col min="261" max="261" width="10.85546875" style="104" bestFit="1" customWidth="1"/>
    <col min="262" max="262" width="14.28515625" style="104" customWidth="1"/>
    <col min="263" max="512" width="9.140625" style="104"/>
    <col min="513" max="513" width="23.140625" style="104" customWidth="1"/>
    <col min="514" max="514" width="8.42578125" style="104" customWidth="1"/>
    <col min="515" max="515" width="12.85546875" style="104" bestFit="1" customWidth="1"/>
    <col min="516" max="516" width="10.5703125" style="104" customWidth="1"/>
    <col min="517" max="517" width="10.85546875" style="104" bestFit="1" customWidth="1"/>
    <col min="518" max="518" width="14.28515625" style="104" customWidth="1"/>
    <col min="519" max="768" width="9.140625" style="104"/>
    <col min="769" max="769" width="23.140625" style="104" customWidth="1"/>
    <col min="770" max="770" width="8.42578125" style="104" customWidth="1"/>
    <col min="771" max="771" width="12.85546875" style="104" bestFit="1" customWidth="1"/>
    <col min="772" max="772" width="10.5703125" style="104" customWidth="1"/>
    <col min="773" max="773" width="10.85546875" style="104" bestFit="1" customWidth="1"/>
    <col min="774" max="774" width="14.28515625" style="104" customWidth="1"/>
    <col min="775" max="1024" width="9.140625" style="104"/>
    <col min="1025" max="1025" width="23.140625" style="104" customWidth="1"/>
    <col min="1026" max="1026" width="8.42578125" style="104" customWidth="1"/>
    <col min="1027" max="1027" width="12.85546875" style="104" bestFit="1" customWidth="1"/>
    <col min="1028" max="1028" width="10.5703125" style="104" customWidth="1"/>
    <col min="1029" max="1029" width="10.85546875" style="104" bestFit="1" customWidth="1"/>
    <col min="1030" max="1030" width="14.28515625" style="104" customWidth="1"/>
    <col min="1031" max="1280" width="9.140625" style="104"/>
    <col min="1281" max="1281" width="23.140625" style="104" customWidth="1"/>
    <col min="1282" max="1282" width="8.42578125" style="104" customWidth="1"/>
    <col min="1283" max="1283" width="12.85546875" style="104" bestFit="1" customWidth="1"/>
    <col min="1284" max="1284" width="10.5703125" style="104" customWidth="1"/>
    <col min="1285" max="1285" width="10.85546875" style="104" bestFit="1" customWidth="1"/>
    <col min="1286" max="1286" width="14.28515625" style="104" customWidth="1"/>
    <col min="1287" max="1536" width="9.140625" style="104"/>
    <col min="1537" max="1537" width="23.140625" style="104" customWidth="1"/>
    <col min="1538" max="1538" width="8.42578125" style="104" customWidth="1"/>
    <col min="1539" max="1539" width="12.85546875" style="104" bestFit="1" customWidth="1"/>
    <col min="1540" max="1540" width="10.5703125" style="104" customWidth="1"/>
    <col min="1541" max="1541" width="10.85546875" style="104" bestFit="1" customWidth="1"/>
    <col min="1542" max="1542" width="14.28515625" style="104" customWidth="1"/>
    <col min="1543" max="1792" width="9.140625" style="104"/>
    <col min="1793" max="1793" width="23.140625" style="104" customWidth="1"/>
    <col min="1794" max="1794" width="8.42578125" style="104" customWidth="1"/>
    <col min="1795" max="1795" width="12.85546875" style="104" bestFit="1" customWidth="1"/>
    <col min="1796" max="1796" width="10.5703125" style="104" customWidth="1"/>
    <col min="1797" max="1797" width="10.85546875" style="104" bestFit="1" customWidth="1"/>
    <col min="1798" max="1798" width="14.28515625" style="104" customWidth="1"/>
    <col min="1799" max="2048" width="9.140625" style="104"/>
    <col min="2049" max="2049" width="23.140625" style="104" customWidth="1"/>
    <col min="2050" max="2050" width="8.42578125" style="104" customWidth="1"/>
    <col min="2051" max="2051" width="12.85546875" style="104" bestFit="1" customWidth="1"/>
    <col min="2052" max="2052" width="10.5703125" style="104" customWidth="1"/>
    <col min="2053" max="2053" width="10.85546875" style="104" bestFit="1" customWidth="1"/>
    <col min="2054" max="2054" width="14.28515625" style="104" customWidth="1"/>
    <col min="2055" max="2304" width="9.140625" style="104"/>
    <col min="2305" max="2305" width="23.140625" style="104" customWidth="1"/>
    <col min="2306" max="2306" width="8.42578125" style="104" customWidth="1"/>
    <col min="2307" max="2307" width="12.85546875" style="104" bestFit="1" customWidth="1"/>
    <col min="2308" max="2308" width="10.5703125" style="104" customWidth="1"/>
    <col min="2309" max="2309" width="10.85546875" style="104" bestFit="1" customWidth="1"/>
    <col min="2310" max="2310" width="14.28515625" style="104" customWidth="1"/>
    <col min="2311" max="2560" width="9.140625" style="104"/>
    <col min="2561" max="2561" width="23.140625" style="104" customWidth="1"/>
    <col min="2562" max="2562" width="8.42578125" style="104" customWidth="1"/>
    <col min="2563" max="2563" width="12.85546875" style="104" bestFit="1" customWidth="1"/>
    <col min="2564" max="2564" width="10.5703125" style="104" customWidth="1"/>
    <col min="2565" max="2565" width="10.85546875" style="104" bestFit="1" customWidth="1"/>
    <col min="2566" max="2566" width="14.28515625" style="104" customWidth="1"/>
    <col min="2567" max="2816" width="9.140625" style="104"/>
    <col min="2817" max="2817" width="23.140625" style="104" customWidth="1"/>
    <col min="2818" max="2818" width="8.42578125" style="104" customWidth="1"/>
    <col min="2819" max="2819" width="12.85546875" style="104" bestFit="1" customWidth="1"/>
    <col min="2820" max="2820" width="10.5703125" style="104" customWidth="1"/>
    <col min="2821" max="2821" width="10.85546875" style="104" bestFit="1" customWidth="1"/>
    <col min="2822" max="2822" width="14.28515625" style="104" customWidth="1"/>
    <col min="2823" max="3072" width="9.140625" style="104"/>
    <col min="3073" max="3073" width="23.140625" style="104" customWidth="1"/>
    <col min="3074" max="3074" width="8.42578125" style="104" customWidth="1"/>
    <col min="3075" max="3075" width="12.85546875" style="104" bestFit="1" customWidth="1"/>
    <col min="3076" max="3076" width="10.5703125" style="104" customWidth="1"/>
    <col min="3077" max="3077" width="10.85546875" style="104" bestFit="1" customWidth="1"/>
    <col min="3078" max="3078" width="14.28515625" style="104" customWidth="1"/>
    <col min="3079" max="3328" width="9.140625" style="104"/>
    <col min="3329" max="3329" width="23.140625" style="104" customWidth="1"/>
    <col min="3330" max="3330" width="8.42578125" style="104" customWidth="1"/>
    <col min="3331" max="3331" width="12.85546875" style="104" bestFit="1" customWidth="1"/>
    <col min="3332" max="3332" width="10.5703125" style="104" customWidth="1"/>
    <col min="3333" max="3333" width="10.85546875" style="104" bestFit="1" customWidth="1"/>
    <col min="3334" max="3334" width="14.28515625" style="104" customWidth="1"/>
    <col min="3335" max="3584" width="9.140625" style="104"/>
    <col min="3585" max="3585" width="23.140625" style="104" customWidth="1"/>
    <col min="3586" max="3586" width="8.42578125" style="104" customWidth="1"/>
    <col min="3587" max="3587" width="12.85546875" style="104" bestFit="1" customWidth="1"/>
    <col min="3588" max="3588" width="10.5703125" style="104" customWidth="1"/>
    <col min="3589" max="3589" width="10.85546875" style="104" bestFit="1" customWidth="1"/>
    <col min="3590" max="3590" width="14.28515625" style="104" customWidth="1"/>
    <col min="3591" max="3840" width="9.140625" style="104"/>
    <col min="3841" max="3841" width="23.140625" style="104" customWidth="1"/>
    <col min="3842" max="3842" width="8.42578125" style="104" customWidth="1"/>
    <col min="3843" max="3843" width="12.85546875" style="104" bestFit="1" customWidth="1"/>
    <col min="3844" max="3844" width="10.5703125" style="104" customWidth="1"/>
    <col min="3845" max="3845" width="10.85546875" style="104" bestFit="1" customWidth="1"/>
    <col min="3846" max="3846" width="14.28515625" style="104" customWidth="1"/>
    <col min="3847" max="4096" width="9.140625" style="104"/>
    <col min="4097" max="4097" width="23.140625" style="104" customWidth="1"/>
    <col min="4098" max="4098" width="8.42578125" style="104" customWidth="1"/>
    <col min="4099" max="4099" width="12.85546875" style="104" bestFit="1" customWidth="1"/>
    <col min="4100" max="4100" width="10.5703125" style="104" customWidth="1"/>
    <col min="4101" max="4101" width="10.85546875" style="104" bestFit="1" customWidth="1"/>
    <col min="4102" max="4102" width="14.28515625" style="104" customWidth="1"/>
    <col min="4103" max="4352" width="9.140625" style="104"/>
    <col min="4353" max="4353" width="23.140625" style="104" customWidth="1"/>
    <col min="4354" max="4354" width="8.42578125" style="104" customWidth="1"/>
    <col min="4355" max="4355" width="12.85546875" style="104" bestFit="1" customWidth="1"/>
    <col min="4356" max="4356" width="10.5703125" style="104" customWidth="1"/>
    <col min="4357" max="4357" width="10.85546875" style="104" bestFit="1" customWidth="1"/>
    <col min="4358" max="4358" width="14.28515625" style="104" customWidth="1"/>
    <col min="4359" max="4608" width="9.140625" style="104"/>
    <col min="4609" max="4609" width="23.140625" style="104" customWidth="1"/>
    <col min="4610" max="4610" width="8.42578125" style="104" customWidth="1"/>
    <col min="4611" max="4611" width="12.85546875" style="104" bestFit="1" customWidth="1"/>
    <col min="4612" max="4612" width="10.5703125" style="104" customWidth="1"/>
    <col min="4613" max="4613" width="10.85546875" style="104" bestFit="1" customWidth="1"/>
    <col min="4614" max="4614" width="14.28515625" style="104" customWidth="1"/>
    <col min="4615" max="4864" width="9.140625" style="104"/>
    <col min="4865" max="4865" width="23.140625" style="104" customWidth="1"/>
    <col min="4866" max="4866" width="8.42578125" style="104" customWidth="1"/>
    <col min="4867" max="4867" width="12.85546875" style="104" bestFit="1" customWidth="1"/>
    <col min="4868" max="4868" width="10.5703125" style="104" customWidth="1"/>
    <col min="4869" max="4869" width="10.85546875" style="104" bestFit="1" customWidth="1"/>
    <col min="4870" max="4870" width="14.28515625" style="104" customWidth="1"/>
    <col min="4871" max="5120" width="9.140625" style="104"/>
    <col min="5121" max="5121" width="23.140625" style="104" customWidth="1"/>
    <col min="5122" max="5122" width="8.42578125" style="104" customWidth="1"/>
    <col min="5123" max="5123" width="12.85546875" style="104" bestFit="1" customWidth="1"/>
    <col min="5124" max="5124" width="10.5703125" style="104" customWidth="1"/>
    <col min="5125" max="5125" width="10.85546875" style="104" bestFit="1" customWidth="1"/>
    <col min="5126" max="5126" width="14.28515625" style="104" customWidth="1"/>
    <col min="5127" max="5376" width="9.140625" style="104"/>
    <col min="5377" max="5377" width="23.140625" style="104" customWidth="1"/>
    <col min="5378" max="5378" width="8.42578125" style="104" customWidth="1"/>
    <col min="5379" max="5379" width="12.85546875" style="104" bestFit="1" customWidth="1"/>
    <col min="5380" max="5380" width="10.5703125" style="104" customWidth="1"/>
    <col min="5381" max="5381" width="10.85546875" style="104" bestFit="1" customWidth="1"/>
    <col min="5382" max="5382" width="14.28515625" style="104" customWidth="1"/>
    <col min="5383" max="5632" width="9.140625" style="104"/>
    <col min="5633" max="5633" width="23.140625" style="104" customWidth="1"/>
    <col min="5634" max="5634" width="8.42578125" style="104" customWidth="1"/>
    <col min="5635" max="5635" width="12.85546875" style="104" bestFit="1" customWidth="1"/>
    <col min="5636" max="5636" width="10.5703125" style="104" customWidth="1"/>
    <col min="5637" max="5637" width="10.85546875" style="104" bestFit="1" customWidth="1"/>
    <col min="5638" max="5638" width="14.28515625" style="104" customWidth="1"/>
    <col min="5639" max="5888" width="9.140625" style="104"/>
    <col min="5889" max="5889" width="23.140625" style="104" customWidth="1"/>
    <col min="5890" max="5890" width="8.42578125" style="104" customWidth="1"/>
    <col min="5891" max="5891" width="12.85546875" style="104" bestFit="1" customWidth="1"/>
    <col min="5892" max="5892" width="10.5703125" style="104" customWidth="1"/>
    <col min="5893" max="5893" width="10.85546875" style="104" bestFit="1" customWidth="1"/>
    <col min="5894" max="5894" width="14.28515625" style="104" customWidth="1"/>
    <col min="5895" max="6144" width="9.140625" style="104"/>
    <col min="6145" max="6145" width="23.140625" style="104" customWidth="1"/>
    <col min="6146" max="6146" width="8.42578125" style="104" customWidth="1"/>
    <col min="6147" max="6147" width="12.85546875" style="104" bestFit="1" customWidth="1"/>
    <col min="6148" max="6148" width="10.5703125" style="104" customWidth="1"/>
    <col min="6149" max="6149" width="10.85546875" style="104" bestFit="1" customWidth="1"/>
    <col min="6150" max="6150" width="14.28515625" style="104" customWidth="1"/>
    <col min="6151" max="6400" width="9.140625" style="104"/>
    <col min="6401" max="6401" width="23.140625" style="104" customWidth="1"/>
    <col min="6402" max="6402" width="8.42578125" style="104" customWidth="1"/>
    <col min="6403" max="6403" width="12.85546875" style="104" bestFit="1" customWidth="1"/>
    <col min="6404" max="6404" width="10.5703125" style="104" customWidth="1"/>
    <col min="6405" max="6405" width="10.85546875" style="104" bestFit="1" customWidth="1"/>
    <col min="6406" max="6406" width="14.28515625" style="104" customWidth="1"/>
    <col min="6407" max="6656" width="9.140625" style="104"/>
    <col min="6657" max="6657" width="23.140625" style="104" customWidth="1"/>
    <col min="6658" max="6658" width="8.42578125" style="104" customWidth="1"/>
    <col min="6659" max="6659" width="12.85546875" style="104" bestFit="1" customWidth="1"/>
    <col min="6660" max="6660" width="10.5703125" style="104" customWidth="1"/>
    <col min="6661" max="6661" width="10.85546875" style="104" bestFit="1" customWidth="1"/>
    <col min="6662" max="6662" width="14.28515625" style="104" customWidth="1"/>
    <col min="6663" max="6912" width="9.140625" style="104"/>
    <col min="6913" max="6913" width="23.140625" style="104" customWidth="1"/>
    <col min="6914" max="6914" width="8.42578125" style="104" customWidth="1"/>
    <col min="6915" max="6915" width="12.85546875" style="104" bestFit="1" customWidth="1"/>
    <col min="6916" max="6916" width="10.5703125" style="104" customWidth="1"/>
    <col min="6917" max="6917" width="10.85546875" style="104" bestFit="1" customWidth="1"/>
    <col min="6918" max="6918" width="14.28515625" style="104" customWidth="1"/>
    <col min="6919" max="7168" width="9.140625" style="104"/>
    <col min="7169" max="7169" width="23.140625" style="104" customWidth="1"/>
    <col min="7170" max="7170" width="8.42578125" style="104" customWidth="1"/>
    <col min="7171" max="7171" width="12.85546875" style="104" bestFit="1" customWidth="1"/>
    <col min="7172" max="7172" width="10.5703125" style="104" customWidth="1"/>
    <col min="7173" max="7173" width="10.85546875" style="104" bestFit="1" customWidth="1"/>
    <col min="7174" max="7174" width="14.28515625" style="104" customWidth="1"/>
    <col min="7175" max="7424" width="9.140625" style="104"/>
    <col min="7425" max="7425" width="23.140625" style="104" customWidth="1"/>
    <col min="7426" max="7426" width="8.42578125" style="104" customWidth="1"/>
    <col min="7427" max="7427" width="12.85546875" style="104" bestFit="1" customWidth="1"/>
    <col min="7428" max="7428" width="10.5703125" style="104" customWidth="1"/>
    <col min="7429" max="7429" width="10.85546875" style="104" bestFit="1" customWidth="1"/>
    <col min="7430" max="7430" width="14.28515625" style="104" customWidth="1"/>
    <col min="7431" max="7680" width="9.140625" style="104"/>
    <col min="7681" max="7681" width="23.140625" style="104" customWidth="1"/>
    <col min="7682" max="7682" width="8.42578125" style="104" customWidth="1"/>
    <col min="7683" max="7683" width="12.85546875" style="104" bestFit="1" customWidth="1"/>
    <col min="7684" max="7684" width="10.5703125" style="104" customWidth="1"/>
    <col min="7685" max="7685" width="10.85546875" style="104" bestFit="1" customWidth="1"/>
    <col min="7686" max="7686" width="14.28515625" style="104" customWidth="1"/>
    <col min="7687" max="7936" width="9.140625" style="104"/>
    <col min="7937" max="7937" width="23.140625" style="104" customWidth="1"/>
    <col min="7938" max="7938" width="8.42578125" style="104" customWidth="1"/>
    <col min="7939" max="7939" width="12.85546875" style="104" bestFit="1" customWidth="1"/>
    <col min="7940" max="7940" width="10.5703125" style="104" customWidth="1"/>
    <col min="7941" max="7941" width="10.85546875" style="104" bestFit="1" customWidth="1"/>
    <col min="7942" max="7942" width="14.28515625" style="104" customWidth="1"/>
    <col min="7943" max="8192" width="9.140625" style="104"/>
    <col min="8193" max="8193" width="23.140625" style="104" customWidth="1"/>
    <col min="8194" max="8194" width="8.42578125" style="104" customWidth="1"/>
    <col min="8195" max="8195" width="12.85546875" style="104" bestFit="1" customWidth="1"/>
    <col min="8196" max="8196" width="10.5703125" style="104" customWidth="1"/>
    <col min="8197" max="8197" width="10.85546875" style="104" bestFit="1" customWidth="1"/>
    <col min="8198" max="8198" width="14.28515625" style="104" customWidth="1"/>
    <col min="8199" max="8448" width="9.140625" style="104"/>
    <col min="8449" max="8449" width="23.140625" style="104" customWidth="1"/>
    <col min="8450" max="8450" width="8.42578125" style="104" customWidth="1"/>
    <col min="8451" max="8451" width="12.85546875" style="104" bestFit="1" customWidth="1"/>
    <col min="8452" max="8452" width="10.5703125" style="104" customWidth="1"/>
    <col min="8453" max="8453" width="10.85546875" style="104" bestFit="1" customWidth="1"/>
    <col min="8454" max="8454" width="14.28515625" style="104" customWidth="1"/>
    <col min="8455" max="8704" width="9.140625" style="104"/>
    <col min="8705" max="8705" width="23.140625" style="104" customWidth="1"/>
    <col min="8706" max="8706" width="8.42578125" style="104" customWidth="1"/>
    <col min="8707" max="8707" width="12.85546875" style="104" bestFit="1" customWidth="1"/>
    <col min="8708" max="8708" width="10.5703125" style="104" customWidth="1"/>
    <col min="8709" max="8709" width="10.85546875" style="104" bestFit="1" customWidth="1"/>
    <col min="8710" max="8710" width="14.28515625" style="104" customWidth="1"/>
    <col min="8711" max="8960" width="9.140625" style="104"/>
    <col min="8961" max="8961" width="23.140625" style="104" customWidth="1"/>
    <col min="8962" max="8962" width="8.42578125" style="104" customWidth="1"/>
    <col min="8963" max="8963" width="12.85546875" style="104" bestFit="1" customWidth="1"/>
    <col min="8964" max="8964" width="10.5703125" style="104" customWidth="1"/>
    <col min="8965" max="8965" width="10.85546875" style="104" bestFit="1" customWidth="1"/>
    <col min="8966" max="8966" width="14.28515625" style="104" customWidth="1"/>
    <col min="8967" max="9216" width="9.140625" style="104"/>
    <col min="9217" max="9217" width="23.140625" style="104" customWidth="1"/>
    <col min="9218" max="9218" width="8.42578125" style="104" customWidth="1"/>
    <col min="9219" max="9219" width="12.85546875" style="104" bestFit="1" customWidth="1"/>
    <col min="9220" max="9220" width="10.5703125" style="104" customWidth="1"/>
    <col min="9221" max="9221" width="10.85546875" style="104" bestFit="1" customWidth="1"/>
    <col min="9222" max="9222" width="14.28515625" style="104" customWidth="1"/>
    <col min="9223" max="9472" width="9.140625" style="104"/>
    <col min="9473" max="9473" width="23.140625" style="104" customWidth="1"/>
    <col min="9474" max="9474" width="8.42578125" style="104" customWidth="1"/>
    <col min="9475" max="9475" width="12.85546875" style="104" bestFit="1" customWidth="1"/>
    <col min="9476" max="9476" width="10.5703125" style="104" customWidth="1"/>
    <col min="9477" max="9477" width="10.85546875" style="104" bestFit="1" customWidth="1"/>
    <col min="9478" max="9478" width="14.28515625" style="104" customWidth="1"/>
    <col min="9479" max="9728" width="9.140625" style="104"/>
    <col min="9729" max="9729" width="23.140625" style="104" customWidth="1"/>
    <col min="9730" max="9730" width="8.42578125" style="104" customWidth="1"/>
    <col min="9731" max="9731" width="12.85546875" style="104" bestFit="1" customWidth="1"/>
    <col min="9732" max="9732" width="10.5703125" style="104" customWidth="1"/>
    <col min="9733" max="9733" width="10.85546875" style="104" bestFit="1" customWidth="1"/>
    <col min="9734" max="9734" width="14.28515625" style="104" customWidth="1"/>
    <col min="9735" max="9984" width="9.140625" style="104"/>
    <col min="9985" max="9985" width="23.140625" style="104" customWidth="1"/>
    <col min="9986" max="9986" width="8.42578125" style="104" customWidth="1"/>
    <col min="9987" max="9987" width="12.85546875" style="104" bestFit="1" customWidth="1"/>
    <col min="9988" max="9988" width="10.5703125" style="104" customWidth="1"/>
    <col min="9989" max="9989" width="10.85546875" style="104" bestFit="1" customWidth="1"/>
    <col min="9990" max="9990" width="14.28515625" style="104" customWidth="1"/>
    <col min="9991" max="10240" width="9.140625" style="104"/>
    <col min="10241" max="10241" width="23.140625" style="104" customWidth="1"/>
    <col min="10242" max="10242" width="8.42578125" style="104" customWidth="1"/>
    <col min="10243" max="10243" width="12.85546875" style="104" bestFit="1" customWidth="1"/>
    <col min="10244" max="10244" width="10.5703125" style="104" customWidth="1"/>
    <col min="10245" max="10245" width="10.85546875" style="104" bestFit="1" customWidth="1"/>
    <col min="10246" max="10246" width="14.28515625" style="104" customWidth="1"/>
    <col min="10247" max="10496" width="9.140625" style="104"/>
    <col min="10497" max="10497" width="23.140625" style="104" customWidth="1"/>
    <col min="10498" max="10498" width="8.42578125" style="104" customWidth="1"/>
    <col min="10499" max="10499" width="12.85546875" style="104" bestFit="1" customWidth="1"/>
    <col min="10500" max="10500" width="10.5703125" style="104" customWidth="1"/>
    <col min="10501" max="10501" width="10.85546875" style="104" bestFit="1" customWidth="1"/>
    <col min="10502" max="10502" width="14.28515625" style="104" customWidth="1"/>
    <col min="10503" max="10752" width="9.140625" style="104"/>
    <col min="10753" max="10753" width="23.140625" style="104" customWidth="1"/>
    <col min="10754" max="10754" width="8.42578125" style="104" customWidth="1"/>
    <col min="10755" max="10755" width="12.85546875" style="104" bestFit="1" customWidth="1"/>
    <col min="10756" max="10756" width="10.5703125" style="104" customWidth="1"/>
    <col min="10757" max="10757" width="10.85546875" style="104" bestFit="1" customWidth="1"/>
    <col min="10758" max="10758" width="14.28515625" style="104" customWidth="1"/>
    <col min="10759" max="11008" width="9.140625" style="104"/>
    <col min="11009" max="11009" width="23.140625" style="104" customWidth="1"/>
    <col min="11010" max="11010" width="8.42578125" style="104" customWidth="1"/>
    <col min="11011" max="11011" width="12.85546875" style="104" bestFit="1" customWidth="1"/>
    <col min="11012" max="11012" width="10.5703125" style="104" customWidth="1"/>
    <col min="11013" max="11013" width="10.85546875" style="104" bestFit="1" customWidth="1"/>
    <col min="11014" max="11014" width="14.28515625" style="104" customWidth="1"/>
    <col min="11015" max="11264" width="9.140625" style="104"/>
    <col min="11265" max="11265" width="23.140625" style="104" customWidth="1"/>
    <col min="11266" max="11266" width="8.42578125" style="104" customWidth="1"/>
    <col min="11267" max="11267" width="12.85546875" style="104" bestFit="1" customWidth="1"/>
    <col min="11268" max="11268" width="10.5703125" style="104" customWidth="1"/>
    <col min="11269" max="11269" width="10.85546875" style="104" bestFit="1" customWidth="1"/>
    <col min="11270" max="11270" width="14.28515625" style="104" customWidth="1"/>
    <col min="11271" max="11520" width="9.140625" style="104"/>
    <col min="11521" max="11521" width="23.140625" style="104" customWidth="1"/>
    <col min="11522" max="11522" width="8.42578125" style="104" customWidth="1"/>
    <col min="11523" max="11523" width="12.85546875" style="104" bestFit="1" customWidth="1"/>
    <col min="11524" max="11524" width="10.5703125" style="104" customWidth="1"/>
    <col min="11525" max="11525" width="10.85546875" style="104" bestFit="1" customWidth="1"/>
    <col min="11526" max="11526" width="14.28515625" style="104" customWidth="1"/>
    <col min="11527" max="11776" width="9.140625" style="104"/>
    <col min="11777" max="11777" width="23.140625" style="104" customWidth="1"/>
    <col min="11778" max="11778" width="8.42578125" style="104" customWidth="1"/>
    <col min="11779" max="11779" width="12.85546875" style="104" bestFit="1" customWidth="1"/>
    <col min="11780" max="11780" width="10.5703125" style="104" customWidth="1"/>
    <col min="11781" max="11781" width="10.85546875" style="104" bestFit="1" customWidth="1"/>
    <col min="11782" max="11782" width="14.28515625" style="104" customWidth="1"/>
    <col min="11783" max="12032" width="9.140625" style="104"/>
    <col min="12033" max="12033" width="23.140625" style="104" customWidth="1"/>
    <col min="12034" max="12034" width="8.42578125" style="104" customWidth="1"/>
    <col min="12035" max="12035" width="12.85546875" style="104" bestFit="1" customWidth="1"/>
    <col min="12036" max="12036" width="10.5703125" style="104" customWidth="1"/>
    <col min="12037" max="12037" width="10.85546875" style="104" bestFit="1" customWidth="1"/>
    <col min="12038" max="12038" width="14.28515625" style="104" customWidth="1"/>
    <col min="12039" max="12288" width="9.140625" style="104"/>
    <col min="12289" max="12289" width="23.140625" style="104" customWidth="1"/>
    <col min="12290" max="12290" width="8.42578125" style="104" customWidth="1"/>
    <col min="12291" max="12291" width="12.85546875" style="104" bestFit="1" customWidth="1"/>
    <col min="12292" max="12292" width="10.5703125" style="104" customWidth="1"/>
    <col min="12293" max="12293" width="10.85546875" style="104" bestFit="1" customWidth="1"/>
    <col min="12294" max="12294" width="14.28515625" style="104" customWidth="1"/>
    <col min="12295" max="12544" width="9.140625" style="104"/>
    <col min="12545" max="12545" width="23.140625" style="104" customWidth="1"/>
    <col min="12546" max="12546" width="8.42578125" style="104" customWidth="1"/>
    <col min="12547" max="12547" width="12.85546875" style="104" bestFit="1" customWidth="1"/>
    <col min="12548" max="12548" width="10.5703125" style="104" customWidth="1"/>
    <col min="12549" max="12549" width="10.85546875" style="104" bestFit="1" customWidth="1"/>
    <col min="12550" max="12550" width="14.28515625" style="104" customWidth="1"/>
    <col min="12551" max="12800" width="9.140625" style="104"/>
    <col min="12801" max="12801" width="23.140625" style="104" customWidth="1"/>
    <col min="12802" max="12802" width="8.42578125" style="104" customWidth="1"/>
    <col min="12803" max="12803" width="12.85546875" style="104" bestFit="1" customWidth="1"/>
    <col min="12804" max="12804" width="10.5703125" style="104" customWidth="1"/>
    <col min="12805" max="12805" width="10.85546875" style="104" bestFit="1" customWidth="1"/>
    <col min="12806" max="12806" width="14.28515625" style="104" customWidth="1"/>
    <col min="12807" max="13056" width="9.140625" style="104"/>
    <col min="13057" max="13057" width="23.140625" style="104" customWidth="1"/>
    <col min="13058" max="13058" width="8.42578125" style="104" customWidth="1"/>
    <col min="13059" max="13059" width="12.85546875" style="104" bestFit="1" customWidth="1"/>
    <col min="13060" max="13060" width="10.5703125" style="104" customWidth="1"/>
    <col min="13061" max="13061" width="10.85546875" style="104" bestFit="1" customWidth="1"/>
    <col min="13062" max="13062" width="14.28515625" style="104" customWidth="1"/>
    <col min="13063" max="13312" width="9.140625" style="104"/>
    <col min="13313" max="13313" width="23.140625" style="104" customWidth="1"/>
    <col min="13314" max="13314" width="8.42578125" style="104" customWidth="1"/>
    <col min="13315" max="13315" width="12.85546875" style="104" bestFit="1" customWidth="1"/>
    <col min="13316" max="13316" width="10.5703125" style="104" customWidth="1"/>
    <col min="13317" max="13317" width="10.85546875" style="104" bestFit="1" customWidth="1"/>
    <col min="13318" max="13318" width="14.28515625" style="104" customWidth="1"/>
    <col min="13319" max="13568" width="9.140625" style="104"/>
    <col min="13569" max="13569" width="23.140625" style="104" customWidth="1"/>
    <col min="13570" max="13570" width="8.42578125" style="104" customWidth="1"/>
    <col min="13571" max="13571" width="12.85546875" style="104" bestFit="1" customWidth="1"/>
    <col min="13572" max="13572" width="10.5703125" style="104" customWidth="1"/>
    <col min="13573" max="13573" width="10.85546875" style="104" bestFit="1" customWidth="1"/>
    <col min="13574" max="13574" width="14.28515625" style="104" customWidth="1"/>
    <col min="13575" max="13824" width="9.140625" style="104"/>
    <col min="13825" max="13825" width="23.140625" style="104" customWidth="1"/>
    <col min="13826" max="13826" width="8.42578125" style="104" customWidth="1"/>
    <col min="13827" max="13827" width="12.85546875" style="104" bestFit="1" customWidth="1"/>
    <col min="13828" max="13828" width="10.5703125" style="104" customWidth="1"/>
    <col min="13829" max="13829" width="10.85546875" style="104" bestFit="1" customWidth="1"/>
    <col min="13830" max="13830" width="14.28515625" style="104" customWidth="1"/>
    <col min="13831" max="14080" width="9.140625" style="104"/>
    <col min="14081" max="14081" width="23.140625" style="104" customWidth="1"/>
    <col min="14082" max="14082" width="8.42578125" style="104" customWidth="1"/>
    <col min="14083" max="14083" width="12.85546875" style="104" bestFit="1" customWidth="1"/>
    <col min="14084" max="14084" width="10.5703125" style="104" customWidth="1"/>
    <col min="14085" max="14085" width="10.85546875" style="104" bestFit="1" customWidth="1"/>
    <col min="14086" max="14086" width="14.28515625" style="104" customWidth="1"/>
    <col min="14087" max="14336" width="9.140625" style="104"/>
    <col min="14337" max="14337" width="23.140625" style="104" customWidth="1"/>
    <col min="14338" max="14338" width="8.42578125" style="104" customWidth="1"/>
    <col min="14339" max="14339" width="12.85546875" style="104" bestFit="1" customWidth="1"/>
    <col min="14340" max="14340" width="10.5703125" style="104" customWidth="1"/>
    <col min="14341" max="14341" width="10.85546875" style="104" bestFit="1" customWidth="1"/>
    <col min="14342" max="14342" width="14.28515625" style="104" customWidth="1"/>
    <col min="14343" max="14592" width="9.140625" style="104"/>
    <col min="14593" max="14593" width="23.140625" style="104" customWidth="1"/>
    <col min="14594" max="14594" width="8.42578125" style="104" customWidth="1"/>
    <col min="14595" max="14595" width="12.85546875" style="104" bestFit="1" customWidth="1"/>
    <col min="14596" max="14596" width="10.5703125" style="104" customWidth="1"/>
    <col min="14597" max="14597" width="10.85546875" style="104" bestFit="1" customWidth="1"/>
    <col min="14598" max="14598" width="14.28515625" style="104" customWidth="1"/>
    <col min="14599" max="14848" width="9.140625" style="104"/>
    <col min="14849" max="14849" width="23.140625" style="104" customWidth="1"/>
    <col min="14850" max="14850" width="8.42578125" style="104" customWidth="1"/>
    <col min="14851" max="14851" width="12.85546875" style="104" bestFit="1" customWidth="1"/>
    <col min="14852" max="14852" width="10.5703125" style="104" customWidth="1"/>
    <col min="14853" max="14853" width="10.85546875" style="104" bestFit="1" customWidth="1"/>
    <col min="14854" max="14854" width="14.28515625" style="104" customWidth="1"/>
    <col min="14855" max="15104" width="9.140625" style="104"/>
    <col min="15105" max="15105" width="23.140625" style="104" customWidth="1"/>
    <col min="15106" max="15106" width="8.42578125" style="104" customWidth="1"/>
    <col min="15107" max="15107" width="12.85546875" style="104" bestFit="1" customWidth="1"/>
    <col min="15108" max="15108" width="10.5703125" style="104" customWidth="1"/>
    <col min="15109" max="15109" width="10.85546875" style="104" bestFit="1" customWidth="1"/>
    <col min="15110" max="15110" width="14.28515625" style="104" customWidth="1"/>
    <col min="15111" max="15360" width="9.140625" style="104"/>
    <col min="15361" max="15361" width="23.140625" style="104" customWidth="1"/>
    <col min="15362" max="15362" width="8.42578125" style="104" customWidth="1"/>
    <col min="15363" max="15363" width="12.85546875" style="104" bestFit="1" customWidth="1"/>
    <col min="15364" max="15364" width="10.5703125" style="104" customWidth="1"/>
    <col min="15365" max="15365" width="10.85546875" style="104" bestFit="1" customWidth="1"/>
    <col min="15366" max="15366" width="14.28515625" style="104" customWidth="1"/>
    <col min="15367" max="15616" width="9.140625" style="104"/>
    <col min="15617" max="15617" width="23.140625" style="104" customWidth="1"/>
    <col min="15618" max="15618" width="8.42578125" style="104" customWidth="1"/>
    <col min="15619" max="15619" width="12.85546875" style="104" bestFit="1" customWidth="1"/>
    <col min="15620" max="15620" width="10.5703125" style="104" customWidth="1"/>
    <col min="15621" max="15621" width="10.85546875" style="104" bestFit="1" customWidth="1"/>
    <col min="15622" max="15622" width="14.28515625" style="104" customWidth="1"/>
    <col min="15623" max="15872" width="9.140625" style="104"/>
    <col min="15873" max="15873" width="23.140625" style="104" customWidth="1"/>
    <col min="15874" max="15874" width="8.42578125" style="104" customWidth="1"/>
    <col min="15875" max="15875" width="12.85546875" style="104" bestFit="1" customWidth="1"/>
    <col min="15876" max="15876" width="10.5703125" style="104" customWidth="1"/>
    <col min="15877" max="15877" width="10.85546875" style="104" bestFit="1" customWidth="1"/>
    <col min="15878" max="15878" width="14.28515625" style="104" customWidth="1"/>
    <col min="15879" max="16128" width="9.140625" style="104"/>
    <col min="16129" max="16129" width="23.140625" style="104" customWidth="1"/>
    <col min="16130" max="16130" width="8.42578125" style="104" customWidth="1"/>
    <col min="16131" max="16131" width="12.85546875" style="104" bestFit="1" customWidth="1"/>
    <col min="16132" max="16132" width="10.5703125" style="104" customWidth="1"/>
    <col min="16133" max="16133" width="10.85546875" style="104" bestFit="1" customWidth="1"/>
    <col min="16134" max="16134" width="14.28515625" style="104" customWidth="1"/>
    <col min="16135" max="16384" width="9.140625" style="104"/>
  </cols>
  <sheetData>
    <row r="1" spans="1:7" ht="18.75">
      <c r="A1" s="113" t="s">
        <v>2354</v>
      </c>
      <c r="B1" s="117"/>
      <c r="C1" s="117"/>
      <c r="D1" s="117"/>
      <c r="E1" s="117"/>
      <c r="F1" s="117"/>
      <c r="G1" s="117"/>
    </row>
    <row r="2" spans="1:7" ht="15">
      <c r="A2" s="135" t="s">
        <v>2355</v>
      </c>
      <c r="B2" s="117"/>
      <c r="C2" s="117"/>
      <c r="D2" s="117"/>
      <c r="E2" s="117"/>
      <c r="F2" s="117"/>
      <c r="G2" s="117"/>
    </row>
    <row r="3" spans="1:7" ht="15">
      <c r="A3" s="117"/>
      <c r="B3" s="117"/>
      <c r="C3" s="117"/>
      <c r="D3" s="117"/>
      <c r="E3" s="117"/>
      <c r="F3" s="117"/>
      <c r="G3" s="117"/>
    </row>
    <row r="4" spans="1:7" ht="15">
      <c r="A4" s="134" t="s">
        <v>2356</v>
      </c>
      <c r="B4" s="136" t="s">
        <v>2357</v>
      </c>
      <c r="C4" s="136" t="s">
        <v>2358</v>
      </c>
      <c r="D4" s="136" t="s">
        <v>2359</v>
      </c>
      <c r="E4" s="136" t="s">
        <v>2360</v>
      </c>
      <c r="F4" s="117"/>
      <c r="G4" s="117"/>
    </row>
    <row r="5" spans="1:7" ht="15">
      <c r="A5" s="137" t="s">
        <v>248</v>
      </c>
      <c r="B5" s="137">
        <v>724</v>
      </c>
      <c r="C5" s="138">
        <f>B5/$B$8</f>
        <v>0.79735682819383258</v>
      </c>
      <c r="D5" s="139">
        <v>331957</v>
      </c>
      <c r="E5" s="138">
        <f>D5/$D$8</f>
        <v>0.77709837888453215</v>
      </c>
      <c r="F5" s="117"/>
      <c r="G5" s="117"/>
    </row>
    <row r="6" spans="1:7" ht="15">
      <c r="A6" s="137" t="s">
        <v>249</v>
      </c>
      <c r="B6" s="137">
        <v>87</v>
      </c>
      <c r="C6" s="138">
        <f>B6/$B$8</f>
        <v>9.5814977973568277E-2</v>
      </c>
      <c r="D6" s="139">
        <v>46923</v>
      </c>
      <c r="E6" s="138">
        <f>D6/$D$8</f>
        <v>0.10984491133610347</v>
      </c>
      <c r="F6" s="117"/>
      <c r="G6" s="117"/>
    </row>
    <row r="7" spans="1:7" ht="15.75" thickBot="1">
      <c r="A7" s="145" t="s">
        <v>247</v>
      </c>
      <c r="B7" s="145">
        <v>97</v>
      </c>
      <c r="C7" s="146">
        <f>B7/$B$8</f>
        <v>0.10682819383259912</v>
      </c>
      <c r="D7" s="147">
        <v>48295</v>
      </c>
      <c r="E7" s="146">
        <f>D7/$D$8</f>
        <v>0.11305670977936443</v>
      </c>
      <c r="F7" s="117"/>
      <c r="G7" s="117"/>
    </row>
    <row r="8" spans="1:7" ht="15.75" thickBot="1">
      <c r="A8" s="148" t="s">
        <v>66</v>
      </c>
      <c r="B8" s="148">
        <f>SUM(B5:B7)</f>
        <v>908</v>
      </c>
      <c r="C8" s="148"/>
      <c r="D8" s="149">
        <f>SUM(D5:D7)</f>
        <v>427175</v>
      </c>
      <c r="E8" s="150"/>
      <c r="F8" s="117"/>
      <c r="G8" s="117"/>
    </row>
    <row r="9" spans="1:7" ht="15">
      <c r="A9" s="117"/>
      <c r="B9" s="117"/>
      <c r="C9" s="117"/>
      <c r="D9" s="117"/>
      <c r="E9" s="117"/>
      <c r="F9" s="117"/>
      <c r="G9" s="117"/>
    </row>
    <row r="10" spans="1:7" ht="15">
      <c r="A10" s="117"/>
      <c r="B10" s="117"/>
      <c r="C10" s="117"/>
      <c r="D10" s="117"/>
      <c r="E10" s="117"/>
      <c r="F10" s="117"/>
      <c r="G10" s="117"/>
    </row>
    <row r="11" spans="1:7" ht="15">
      <c r="A11" s="134" t="s">
        <v>2361</v>
      </c>
      <c r="B11" s="136" t="s">
        <v>2357</v>
      </c>
      <c r="C11" s="136" t="s">
        <v>2358</v>
      </c>
      <c r="D11" s="136" t="s">
        <v>2359</v>
      </c>
      <c r="E11" s="136" t="s">
        <v>2360</v>
      </c>
      <c r="F11" s="117"/>
      <c r="G11" s="117"/>
    </row>
    <row r="12" spans="1:7" ht="15">
      <c r="A12" s="137" t="s">
        <v>300</v>
      </c>
      <c r="B12" s="137">
        <v>618</v>
      </c>
      <c r="C12" s="138">
        <f>B12/$B$8</f>
        <v>0.68061674008810569</v>
      </c>
      <c r="D12" s="139">
        <v>162831</v>
      </c>
      <c r="E12" s="138">
        <f>D12/$D$8</f>
        <v>0.38118101480657812</v>
      </c>
      <c r="F12" s="117"/>
      <c r="G12" s="117"/>
    </row>
    <row r="13" spans="1:7" ht="15">
      <c r="A13" s="137" t="s">
        <v>301</v>
      </c>
      <c r="B13" s="137">
        <v>118</v>
      </c>
      <c r="C13" s="138">
        <f>B13/$B$8</f>
        <v>0.12995594713656389</v>
      </c>
      <c r="D13" s="139">
        <v>61459</v>
      </c>
      <c r="E13" s="138">
        <f>D13/$D$8</f>
        <v>0.14387311991572541</v>
      </c>
      <c r="F13" s="117"/>
      <c r="G13" s="117"/>
    </row>
    <row r="14" spans="1:7" ht="15">
      <c r="A14" s="137" t="s">
        <v>302</v>
      </c>
      <c r="B14" s="137">
        <v>154</v>
      </c>
      <c r="C14" s="138">
        <f>B14/$B$8</f>
        <v>0.1696035242290749</v>
      </c>
      <c r="D14" s="139">
        <v>185330</v>
      </c>
      <c r="E14" s="138">
        <f>D14/$D$8</f>
        <v>0.43385029554632176</v>
      </c>
      <c r="F14" s="117"/>
      <c r="G14" s="117"/>
    </row>
    <row r="15" spans="1:7" ht="15">
      <c r="A15" s="137" t="s">
        <v>2362</v>
      </c>
      <c r="B15" s="137">
        <v>18</v>
      </c>
      <c r="C15" s="138">
        <f>B15/$B$8</f>
        <v>1.9823788546255508E-2</v>
      </c>
      <c r="D15" s="139">
        <v>13614</v>
      </c>
      <c r="E15" s="138">
        <f>D15/$D$8</f>
        <v>3.1869842570375138E-2</v>
      </c>
      <c r="F15" s="117"/>
      <c r="G15" s="117"/>
    </row>
    <row r="16" spans="1:7" ht="15">
      <c r="A16" s="117"/>
      <c r="B16" s="117"/>
      <c r="C16" s="117"/>
      <c r="D16" s="140"/>
      <c r="E16" s="117"/>
      <c r="F16" s="117"/>
      <c r="G16" s="117"/>
    </row>
    <row r="17" spans="1:9" ht="15">
      <c r="A17" s="117"/>
      <c r="B17" s="117"/>
      <c r="C17" s="117"/>
      <c r="D17" s="140"/>
      <c r="E17" s="117"/>
      <c r="F17" s="117"/>
      <c r="G17" s="117"/>
    </row>
    <row r="18" spans="1:9" ht="15">
      <c r="A18" s="134" t="s">
        <v>2363</v>
      </c>
      <c r="B18" s="136" t="s">
        <v>2357</v>
      </c>
      <c r="C18" s="136" t="s">
        <v>2358</v>
      </c>
      <c r="D18" s="136" t="s">
        <v>2359</v>
      </c>
      <c r="E18" s="136" t="s">
        <v>2360</v>
      </c>
      <c r="F18" s="117"/>
      <c r="G18" s="117"/>
    </row>
    <row r="19" spans="1:9" ht="15">
      <c r="A19" s="137" t="s">
        <v>54</v>
      </c>
      <c r="B19" s="137">
        <v>832</v>
      </c>
      <c r="C19" s="138">
        <f>B19/$B$8</f>
        <v>0.91629955947136565</v>
      </c>
      <c r="D19" s="139">
        <v>364604</v>
      </c>
      <c r="E19" s="138">
        <f>D19/$D$8</f>
        <v>0.8535237314917774</v>
      </c>
      <c r="F19" s="117"/>
      <c r="G19" s="117"/>
      <c r="H19" s="111"/>
    </row>
    <row r="20" spans="1:9" ht="15">
      <c r="A20" s="137" t="s">
        <v>545</v>
      </c>
      <c r="B20" s="137">
        <v>41</v>
      </c>
      <c r="C20" s="138">
        <f t="shared" ref="C20:C25" si="0">B20/$B$8</f>
        <v>4.5154185022026429E-2</v>
      </c>
      <c r="D20" s="139">
        <v>26285</v>
      </c>
      <c r="E20" s="138">
        <f t="shared" ref="E20:E25" si="1">D20/$D$8</f>
        <v>6.1532158951249485E-2</v>
      </c>
      <c r="F20" s="117"/>
      <c r="G20" s="117"/>
      <c r="H20" s="111"/>
    </row>
    <row r="21" spans="1:9" ht="15">
      <c r="A21" s="137" t="s">
        <v>2364</v>
      </c>
      <c r="B21" s="137">
        <v>5</v>
      </c>
      <c r="C21" s="138">
        <f t="shared" si="0"/>
        <v>5.5066079295154188E-3</v>
      </c>
      <c r="D21" s="139">
        <v>16088</v>
      </c>
      <c r="E21" s="138">
        <f t="shared" si="1"/>
        <v>3.766137999648856E-2</v>
      </c>
      <c r="F21" s="117"/>
      <c r="G21" s="117"/>
      <c r="H21" s="111"/>
    </row>
    <row r="22" spans="1:9" ht="15">
      <c r="A22" s="137" t="s">
        <v>2365</v>
      </c>
      <c r="B22" s="137">
        <v>5</v>
      </c>
      <c r="C22" s="138">
        <f t="shared" si="0"/>
        <v>5.5066079295154188E-3</v>
      </c>
      <c r="D22" s="139">
        <v>10190</v>
      </c>
      <c r="E22" s="138">
        <f t="shared" si="1"/>
        <v>2.3854392228009599E-2</v>
      </c>
      <c r="F22" s="117"/>
      <c r="G22" s="117"/>
      <c r="H22" s="111"/>
    </row>
    <row r="23" spans="1:9" ht="15">
      <c r="A23" s="137" t="s">
        <v>2366</v>
      </c>
      <c r="B23" s="137">
        <v>10</v>
      </c>
      <c r="C23" s="138">
        <f t="shared" si="0"/>
        <v>1.1013215859030838E-2</v>
      </c>
      <c r="D23" s="139">
        <v>5700</v>
      </c>
      <c r="E23" s="138">
        <f t="shared" si="1"/>
        <v>1.3343477497512728E-2</v>
      </c>
      <c r="F23" s="117"/>
      <c r="G23" s="117"/>
      <c r="H23" s="111"/>
    </row>
    <row r="24" spans="1:9" ht="15">
      <c r="A24" s="137" t="s">
        <v>2367</v>
      </c>
      <c r="B24" s="137">
        <v>13</v>
      </c>
      <c r="C24" s="138">
        <f t="shared" si="0"/>
        <v>1.4317180616740088E-2</v>
      </c>
      <c r="D24" s="139">
        <v>2279</v>
      </c>
      <c r="E24" s="138">
        <f t="shared" si="1"/>
        <v>5.3350500380406158E-3</v>
      </c>
      <c r="F24" s="117"/>
      <c r="G24" s="117"/>
      <c r="H24" s="111"/>
    </row>
    <row r="25" spans="1:9" ht="15">
      <c r="A25" s="137" t="s">
        <v>2368</v>
      </c>
      <c r="B25" s="137">
        <v>2</v>
      </c>
      <c r="C25" s="138">
        <f t="shared" si="0"/>
        <v>2.2026431718061676E-3</v>
      </c>
      <c r="D25" s="139">
        <v>2029</v>
      </c>
      <c r="E25" s="138">
        <f t="shared" si="1"/>
        <v>4.7498097969216361E-3</v>
      </c>
      <c r="F25" s="117"/>
      <c r="G25" s="117"/>
      <c r="H25" s="111"/>
    </row>
    <row r="26" spans="1:9" ht="15">
      <c r="A26" s="117"/>
      <c r="B26" s="117"/>
      <c r="C26" s="117"/>
      <c r="D26" s="117"/>
      <c r="E26" s="117"/>
      <c r="F26" s="117"/>
      <c r="G26" s="117"/>
      <c r="H26" s="111"/>
    </row>
    <row r="27" spans="1:9" ht="15">
      <c r="A27" s="117"/>
      <c r="B27" s="117"/>
      <c r="C27" s="117"/>
      <c r="D27" s="117"/>
      <c r="E27" s="117"/>
      <c r="F27" s="117"/>
      <c r="G27" s="117"/>
    </row>
    <row r="28" spans="1:9" ht="15">
      <c r="A28" s="134" t="s">
        <v>2369</v>
      </c>
      <c r="B28" s="136" t="s">
        <v>2357</v>
      </c>
      <c r="C28" s="136" t="s">
        <v>2358</v>
      </c>
      <c r="D28" s="136" t="s">
        <v>2359</v>
      </c>
      <c r="E28" s="136" t="s">
        <v>2360</v>
      </c>
      <c r="F28" s="117"/>
      <c r="G28" s="117"/>
    </row>
    <row r="29" spans="1:9" ht="15">
      <c r="A29" s="137" t="s">
        <v>545</v>
      </c>
      <c r="B29" s="137">
        <v>767</v>
      </c>
      <c r="C29" s="138">
        <f t="shared" ref="C29:C34" si="2">B29/$B$8</f>
        <v>0.84471365638766516</v>
      </c>
      <c r="D29" s="139">
        <v>270040</v>
      </c>
      <c r="E29" s="138">
        <f t="shared" ref="E29:E34" si="3">D29/$D$8</f>
        <v>0.63215309884707671</v>
      </c>
      <c r="F29" s="117"/>
      <c r="G29" s="117"/>
    </row>
    <row r="30" spans="1:9" ht="15">
      <c r="A30" s="137" t="s">
        <v>2370</v>
      </c>
      <c r="B30" s="137">
        <v>50</v>
      </c>
      <c r="C30" s="138">
        <f t="shared" si="2"/>
        <v>5.5066079295154183E-2</v>
      </c>
      <c r="D30" s="139">
        <v>55835</v>
      </c>
      <c r="E30" s="138">
        <f t="shared" si="3"/>
        <v>0.13070755545151286</v>
      </c>
      <c r="F30" s="117"/>
      <c r="G30" s="117"/>
      <c r="H30" s="112"/>
      <c r="I30" s="111"/>
    </row>
    <row r="31" spans="1:9" ht="15">
      <c r="A31" s="137" t="s">
        <v>40</v>
      </c>
      <c r="B31" s="137">
        <v>29</v>
      </c>
      <c r="C31" s="138">
        <f t="shared" si="2"/>
        <v>3.1938325991189426E-2</v>
      </c>
      <c r="D31" s="139">
        <v>60668</v>
      </c>
      <c r="E31" s="138">
        <f t="shared" si="3"/>
        <v>0.14202141979282495</v>
      </c>
      <c r="F31" s="117"/>
      <c r="G31" s="117"/>
      <c r="H31" s="112"/>
      <c r="I31" s="111"/>
    </row>
    <row r="32" spans="1:9" ht="15">
      <c r="A32" s="137" t="s">
        <v>389</v>
      </c>
      <c r="B32" s="137">
        <v>37</v>
      </c>
      <c r="C32" s="138">
        <f t="shared" si="2"/>
        <v>4.0748898678414094E-2</v>
      </c>
      <c r="D32" s="139">
        <v>12035</v>
      </c>
      <c r="E32" s="138">
        <f t="shared" si="3"/>
        <v>2.8173465207467666E-2</v>
      </c>
      <c r="F32" s="117"/>
      <c r="G32" s="117"/>
      <c r="H32" s="112"/>
      <c r="I32" s="111"/>
    </row>
    <row r="33" spans="1:9" ht="15">
      <c r="A33" s="137" t="s">
        <v>42</v>
      </c>
      <c r="B33" s="137">
        <v>18</v>
      </c>
      <c r="C33" s="138">
        <f t="shared" si="2"/>
        <v>1.9823788546255508E-2</v>
      </c>
      <c r="D33" s="139">
        <v>16753</v>
      </c>
      <c r="E33" s="138">
        <f t="shared" si="3"/>
        <v>3.921811903786504E-2</v>
      </c>
      <c r="F33" s="117"/>
      <c r="G33" s="117"/>
      <c r="H33" s="112"/>
      <c r="I33" s="111"/>
    </row>
    <row r="34" spans="1:9" ht="15">
      <c r="A34" s="137" t="s">
        <v>2365</v>
      </c>
      <c r="B34" s="137">
        <v>7</v>
      </c>
      <c r="C34" s="138">
        <f t="shared" si="2"/>
        <v>7.709251101321586E-3</v>
      </c>
      <c r="D34" s="139">
        <v>11844</v>
      </c>
      <c r="E34" s="138">
        <f t="shared" si="3"/>
        <v>2.7726341663252767E-2</v>
      </c>
      <c r="F34" s="117"/>
      <c r="G34" s="117"/>
      <c r="H34" s="112"/>
      <c r="I34" s="111"/>
    </row>
    <row r="35" spans="1:9" ht="15">
      <c r="A35" s="117"/>
      <c r="B35" s="117"/>
      <c r="C35" s="117"/>
      <c r="D35" s="117"/>
      <c r="E35" s="117"/>
      <c r="F35" s="117"/>
      <c r="G35" s="117"/>
      <c r="H35" s="112"/>
      <c r="I35" s="111"/>
    </row>
    <row r="36" spans="1:9" ht="15">
      <c r="A36" s="117"/>
      <c r="B36" s="117"/>
      <c r="C36" s="117"/>
      <c r="D36" s="117"/>
      <c r="E36" s="117"/>
      <c r="F36" s="117"/>
      <c r="G36" s="117"/>
    </row>
    <row r="37" spans="1:9" ht="15">
      <c r="A37" s="134" t="s">
        <v>2371</v>
      </c>
      <c r="B37" s="117"/>
      <c r="C37" s="117"/>
      <c r="D37" s="117"/>
      <c r="E37" s="117"/>
      <c r="F37" s="117"/>
      <c r="G37" s="117"/>
    </row>
    <row r="38" spans="1:9" ht="45">
      <c r="A38" s="141"/>
      <c r="B38" s="142" t="s">
        <v>2372</v>
      </c>
      <c r="C38" s="142" t="s">
        <v>2373</v>
      </c>
      <c r="D38" s="142" t="s">
        <v>2374</v>
      </c>
      <c r="E38" s="142" t="s">
        <v>2375</v>
      </c>
      <c r="F38" s="142" t="s">
        <v>2376</v>
      </c>
      <c r="G38" s="117"/>
    </row>
    <row r="39" spans="1:9" ht="15">
      <c r="A39" s="121" t="s">
        <v>43</v>
      </c>
      <c r="B39" s="137">
        <v>1</v>
      </c>
      <c r="C39" s="138">
        <f>B39/$B$8</f>
        <v>1.1013215859030838E-3</v>
      </c>
      <c r="D39" s="122">
        <v>435.11</v>
      </c>
      <c r="E39" s="138">
        <f>D39/$D$8</f>
        <v>1.0185755252531165E-3</v>
      </c>
      <c r="F39" s="138">
        <f>D39/841.8</f>
        <v>0.51688049417913995</v>
      </c>
      <c r="G39" s="117"/>
    </row>
    <row r="40" spans="1:9" ht="15">
      <c r="A40" s="121" t="s">
        <v>23</v>
      </c>
      <c r="B40" s="137">
        <v>17</v>
      </c>
      <c r="C40" s="138">
        <f t="shared" ref="C40:C93" si="4">B40/$B$8</f>
        <v>1.8722466960352423E-2</v>
      </c>
      <c r="D40" s="143">
        <v>2014.25</v>
      </c>
      <c r="E40" s="138">
        <f>D40/$D$8</f>
        <v>4.7152806226956169E-3</v>
      </c>
      <c r="F40" s="138">
        <f>D40/5455.38</f>
        <v>0.36922267559730026</v>
      </c>
      <c r="G40" s="117"/>
    </row>
    <row r="41" spans="1:9" ht="15">
      <c r="A41" s="121" t="s">
        <v>3</v>
      </c>
      <c r="B41" s="137">
        <v>63</v>
      </c>
      <c r="C41" s="138">
        <f t="shared" si="4"/>
        <v>6.9383259911894271E-2</v>
      </c>
      <c r="D41" s="143">
        <v>57260.29</v>
      </c>
      <c r="E41" s="138">
        <f t="shared" ref="E41:E93" si="5">D41/$D$8</f>
        <v>0.13404410370457073</v>
      </c>
      <c r="F41" s="138">
        <f>D41/151510.18</f>
        <v>0.37793031464948429</v>
      </c>
      <c r="G41" s="117"/>
    </row>
    <row r="42" spans="1:9" ht="15">
      <c r="A42" s="121" t="s">
        <v>10</v>
      </c>
      <c r="B42" s="137">
        <v>19</v>
      </c>
      <c r="C42" s="138">
        <f t="shared" si="4"/>
        <v>2.092511013215859E-2</v>
      </c>
      <c r="D42" s="143">
        <v>19523.27</v>
      </c>
      <c r="E42" s="138">
        <f t="shared" si="5"/>
        <v>4.5703212968923747E-2</v>
      </c>
      <c r="F42" s="138">
        <f>D42/47333.65</f>
        <v>0.41246069128410762</v>
      </c>
      <c r="G42" s="117"/>
    </row>
    <row r="43" spans="1:9" ht="15">
      <c r="A43" s="121" t="s">
        <v>12</v>
      </c>
      <c r="B43" s="137">
        <v>13</v>
      </c>
      <c r="C43" s="138">
        <f t="shared" si="4"/>
        <v>1.4317180616740088E-2</v>
      </c>
      <c r="D43" s="143">
        <v>11717.17</v>
      </c>
      <c r="E43" s="138">
        <f t="shared" si="5"/>
        <v>2.7429437584128285E-2</v>
      </c>
      <c r="F43" s="138">
        <f>D43/33239.21</f>
        <v>0.35251048385325645</v>
      </c>
      <c r="G43" s="117"/>
    </row>
    <row r="44" spans="1:9" ht="15">
      <c r="A44" s="121" t="s">
        <v>2379</v>
      </c>
      <c r="B44" s="137">
        <v>8</v>
      </c>
      <c r="C44" s="138">
        <f t="shared" si="4"/>
        <v>8.8105726872246704E-3</v>
      </c>
      <c r="D44" s="143">
        <v>7809.91</v>
      </c>
      <c r="E44" s="138">
        <f t="shared" si="5"/>
        <v>1.828269444607011E-2</v>
      </c>
      <c r="F44" s="138">
        <f>D44/20512.63</f>
        <v>0.38073664859162376</v>
      </c>
    </row>
    <row r="45" spans="1:9" ht="15">
      <c r="A45" s="121" t="s">
        <v>744</v>
      </c>
      <c r="B45" s="137">
        <v>87</v>
      </c>
      <c r="C45" s="138">
        <f t="shared" si="4"/>
        <v>9.5814977973568277E-2</v>
      </c>
      <c r="D45" s="143">
        <v>46922.95</v>
      </c>
      <c r="E45" s="138">
        <f t="shared" si="5"/>
        <v>0.10984479428805524</v>
      </c>
      <c r="F45" s="138">
        <f>D45/47909.7</f>
        <v>0.97940396203691527</v>
      </c>
      <c r="G45" s="117"/>
    </row>
    <row r="46" spans="1:9" ht="15">
      <c r="A46" s="121" t="s">
        <v>46</v>
      </c>
      <c r="B46" s="137">
        <v>12</v>
      </c>
      <c r="C46" s="138">
        <f t="shared" si="4"/>
        <v>1.3215859030837005E-2</v>
      </c>
      <c r="D46" s="143">
        <v>6357.27</v>
      </c>
      <c r="E46" s="138">
        <f t="shared" si="5"/>
        <v>1.4882120910633817E-2</v>
      </c>
      <c r="F46" s="138">
        <f>D46/16814.68</f>
        <v>0.37807855992501793</v>
      </c>
      <c r="G46" s="117"/>
    </row>
    <row r="47" spans="1:9" ht="15">
      <c r="A47" s="121" t="s">
        <v>673</v>
      </c>
      <c r="B47" s="137">
        <v>19</v>
      </c>
      <c r="C47" s="138">
        <f t="shared" si="4"/>
        <v>2.092511013215859E-2</v>
      </c>
      <c r="D47" s="143">
        <v>10840.24</v>
      </c>
      <c r="E47" s="138">
        <f t="shared" si="5"/>
        <v>2.5376578685550419E-2</v>
      </c>
      <c r="F47" s="138">
        <f>D47/26483.04</f>
        <v>0.40932763006059725</v>
      </c>
      <c r="G47" s="117"/>
    </row>
    <row r="48" spans="1:9" ht="15">
      <c r="A48" s="121" t="s">
        <v>38</v>
      </c>
      <c r="B48" s="137">
        <v>6</v>
      </c>
      <c r="C48" s="138">
        <f t="shared" si="4"/>
        <v>6.6079295154185024E-3</v>
      </c>
      <c r="D48" s="143">
        <v>3109.09</v>
      </c>
      <c r="E48" s="138">
        <f t="shared" si="5"/>
        <v>7.2782583250424306E-3</v>
      </c>
      <c r="F48" s="138">
        <f>D48/7819.68</f>
        <v>0.39759811143166984</v>
      </c>
      <c r="G48" s="117"/>
    </row>
    <row r="49" spans="1:7" ht="15">
      <c r="A49" s="121" t="s">
        <v>41</v>
      </c>
      <c r="B49" s="137">
        <v>9</v>
      </c>
      <c r="C49" s="138">
        <f t="shared" si="4"/>
        <v>9.911894273127754E-3</v>
      </c>
      <c r="D49" s="143">
        <v>2474.8200000000002</v>
      </c>
      <c r="E49" s="138">
        <f t="shared" si="5"/>
        <v>5.7934570141042899E-3</v>
      </c>
      <c r="F49" s="138">
        <f>D49/6800.12</f>
        <v>0.36393769521714325</v>
      </c>
      <c r="G49" s="117"/>
    </row>
    <row r="50" spans="1:7" ht="15">
      <c r="A50" s="121" t="s">
        <v>47</v>
      </c>
      <c r="B50" s="137">
        <v>5</v>
      </c>
      <c r="C50" s="138">
        <f t="shared" si="4"/>
        <v>5.5066079295154188E-3</v>
      </c>
      <c r="D50" s="143">
        <v>1368.41</v>
      </c>
      <c r="E50" s="138">
        <f t="shared" si="5"/>
        <v>3.2033943933984905E-3</v>
      </c>
      <c r="F50" s="138">
        <f>D50/3731.65</f>
        <v>0.36670373695282249</v>
      </c>
      <c r="G50" s="117"/>
    </row>
    <row r="51" spans="1:7" ht="15">
      <c r="A51" s="121" t="s">
        <v>26</v>
      </c>
      <c r="B51" s="137">
        <v>11</v>
      </c>
      <c r="C51" s="138">
        <f t="shared" si="4"/>
        <v>1.2114537444933921E-2</v>
      </c>
      <c r="D51" s="143">
        <v>2773.79</v>
      </c>
      <c r="E51" s="138">
        <f t="shared" si="5"/>
        <v>6.493334113653655E-3</v>
      </c>
      <c r="F51" s="138">
        <f>D51/8347.45</f>
        <v>0.33229189752559163</v>
      </c>
      <c r="G51" s="117"/>
    </row>
    <row r="52" spans="1:7" ht="15">
      <c r="A52" s="121" t="s">
        <v>45</v>
      </c>
      <c r="B52" s="137">
        <v>1</v>
      </c>
      <c r="C52" s="138">
        <f t="shared" si="4"/>
        <v>1.1013215859030838E-3</v>
      </c>
      <c r="D52" s="143">
        <v>1315.85</v>
      </c>
      <c r="E52" s="138">
        <f t="shared" si="5"/>
        <v>3.0803534851056359E-3</v>
      </c>
      <c r="F52" s="138">
        <f>D52/3918.12</f>
        <v>0.33583708513266564</v>
      </c>
      <c r="G52" s="117"/>
    </row>
    <row r="53" spans="1:7" ht="15">
      <c r="A53" s="121" t="s">
        <v>21</v>
      </c>
      <c r="B53" s="137">
        <v>11</v>
      </c>
      <c r="C53" s="138">
        <f t="shared" si="4"/>
        <v>1.2114537444933921E-2</v>
      </c>
      <c r="D53" s="143">
        <v>6886.68</v>
      </c>
      <c r="E53" s="138">
        <f t="shared" si="5"/>
        <v>1.6121449054837013E-2</v>
      </c>
      <c r="F53" s="138">
        <f>D53/18852.28</f>
        <v>0.36529692960214893</v>
      </c>
      <c r="G53" s="117"/>
    </row>
    <row r="54" spans="1:7" ht="15">
      <c r="A54" s="121" t="s">
        <v>14</v>
      </c>
      <c r="B54" s="137">
        <v>15</v>
      </c>
      <c r="C54" s="138">
        <f t="shared" si="4"/>
        <v>1.6519823788546256E-2</v>
      </c>
      <c r="D54" s="143">
        <v>3602.8</v>
      </c>
      <c r="E54" s="138">
        <f t="shared" si="5"/>
        <v>8.4340141628138354E-3</v>
      </c>
      <c r="F54" s="138">
        <f>D54/9231.44</f>
        <v>0.39027497335193645</v>
      </c>
      <c r="G54" s="117"/>
    </row>
    <row r="55" spans="1:7" ht="15">
      <c r="A55" s="121" t="s">
        <v>13</v>
      </c>
      <c r="B55" s="137">
        <v>45</v>
      </c>
      <c r="C55" s="138">
        <f t="shared" si="4"/>
        <v>4.9559471365638763E-2</v>
      </c>
      <c r="D55" s="143">
        <v>5855.2</v>
      </c>
      <c r="E55" s="138">
        <f t="shared" si="5"/>
        <v>1.3706794639199391E-2</v>
      </c>
      <c r="F55" s="138">
        <f>D55/16023.21</f>
        <v>0.36541991273908286</v>
      </c>
      <c r="G55" s="117"/>
    </row>
    <row r="56" spans="1:7" ht="15">
      <c r="A56" s="121" t="s">
        <v>33</v>
      </c>
      <c r="B56" s="137">
        <v>5</v>
      </c>
      <c r="C56" s="138">
        <f t="shared" si="4"/>
        <v>5.5066079295154188E-3</v>
      </c>
      <c r="D56" s="143">
        <v>2220.88</v>
      </c>
      <c r="E56" s="138">
        <f t="shared" si="5"/>
        <v>5.1989933867852755E-3</v>
      </c>
      <c r="F56" s="138">
        <f>D56/2986.41</f>
        <v>0.74366212274938814</v>
      </c>
      <c r="G56" s="117"/>
    </row>
    <row r="57" spans="1:7" ht="15">
      <c r="A57" s="121" t="s">
        <v>29</v>
      </c>
      <c r="B57" s="137">
        <v>19</v>
      </c>
      <c r="C57" s="138">
        <f t="shared" si="4"/>
        <v>2.092511013215859E-2</v>
      </c>
      <c r="D57" s="143">
        <v>3717.13</v>
      </c>
      <c r="E57" s="138">
        <f t="shared" si="5"/>
        <v>8.7016562298823669E-3</v>
      </c>
      <c r="F57" s="138">
        <f>D57/10226.54</f>
        <v>0.36347875234439014</v>
      </c>
      <c r="G57" s="117"/>
    </row>
    <row r="58" spans="1:7" ht="15">
      <c r="A58" s="121" t="s">
        <v>37</v>
      </c>
      <c r="B58" s="137">
        <v>3</v>
      </c>
      <c r="C58" s="138">
        <f t="shared" si="4"/>
        <v>3.3039647577092512E-3</v>
      </c>
      <c r="D58" s="143">
        <v>326.08999999999997</v>
      </c>
      <c r="E58" s="138">
        <f t="shared" si="5"/>
        <v>7.6336396090595179E-4</v>
      </c>
      <c r="F58" s="138">
        <f>D58/781.19</f>
        <v>0.41742725841344608</v>
      </c>
      <c r="G58" s="117"/>
    </row>
    <row r="59" spans="1:7" ht="15">
      <c r="A59" s="121" t="s">
        <v>749</v>
      </c>
      <c r="B59" s="137">
        <v>14</v>
      </c>
      <c r="C59" s="138">
        <f t="shared" si="4"/>
        <v>1.5418502202643172E-2</v>
      </c>
      <c r="D59" s="143">
        <v>5124.8500000000004</v>
      </c>
      <c r="E59" s="138">
        <f t="shared" si="5"/>
        <v>1.1997073798794406E-2</v>
      </c>
      <c r="F59" s="138">
        <f>D59/7554.79</f>
        <v>0.67835770418502706</v>
      </c>
      <c r="G59" s="117"/>
    </row>
    <row r="60" spans="1:7" ht="15">
      <c r="A60" s="121" t="s">
        <v>27</v>
      </c>
      <c r="B60" s="137">
        <v>14</v>
      </c>
      <c r="C60" s="138">
        <f>B60/$B$8</f>
        <v>1.5418502202643172E-2</v>
      </c>
      <c r="D60" s="143">
        <v>8037.28</v>
      </c>
      <c r="E60" s="138">
        <f t="shared" si="5"/>
        <v>1.8814958740562999E-2</v>
      </c>
      <c r="F60" s="138">
        <f>D60/16876.88</f>
        <v>0.47623020368693736</v>
      </c>
      <c r="G60" s="117"/>
    </row>
    <row r="61" spans="1:7" ht="15">
      <c r="A61" s="121" t="s">
        <v>1</v>
      </c>
      <c r="B61" s="137">
        <v>8</v>
      </c>
      <c r="C61" s="138">
        <f t="shared" si="4"/>
        <v>8.8105726872246704E-3</v>
      </c>
      <c r="D61" s="143">
        <v>1191.26</v>
      </c>
      <c r="E61" s="138">
        <f t="shared" si="5"/>
        <v>2.7886931585415814E-3</v>
      </c>
      <c r="F61" s="138">
        <f>D61/5738.54</f>
        <v>0.20758938684752568</v>
      </c>
      <c r="G61" s="117"/>
    </row>
    <row r="62" spans="1:7" ht="15">
      <c r="A62" s="121" t="s">
        <v>22</v>
      </c>
      <c r="B62" s="137">
        <v>32</v>
      </c>
      <c r="C62" s="138">
        <f t="shared" si="4"/>
        <v>3.5242290748898682E-2</v>
      </c>
      <c r="D62" s="143">
        <v>2123.9899999999998</v>
      </c>
      <c r="E62" s="138">
        <f t="shared" si="5"/>
        <v>4.9721776789372028E-3</v>
      </c>
      <c r="F62" s="138">
        <f>D62/6206.51</f>
        <v>0.34221970157141446</v>
      </c>
      <c r="G62" s="117"/>
    </row>
    <row r="63" spans="1:7" ht="15">
      <c r="A63" s="121" t="s">
        <v>32</v>
      </c>
      <c r="B63" s="137">
        <v>15</v>
      </c>
      <c r="C63" s="138">
        <f t="shared" si="4"/>
        <v>1.6519823788546256E-2</v>
      </c>
      <c r="D63" s="143">
        <v>7099.98</v>
      </c>
      <c r="E63" s="138">
        <f t="shared" si="5"/>
        <v>1.6620776028559724E-2</v>
      </c>
      <c r="F63" s="138">
        <f>D63/12061.57</f>
        <v>0.58864476183448755</v>
      </c>
      <c r="G63" s="117"/>
    </row>
    <row r="64" spans="1:7" ht="15">
      <c r="A64" s="121" t="s">
        <v>34</v>
      </c>
      <c r="B64" s="137">
        <v>5</v>
      </c>
      <c r="C64" s="138">
        <f t="shared" si="4"/>
        <v>5.5066079295154188E-3</v>
      </c>
      <c r="D64" s="143">
        <v>9678.52</v>
      </c>
      <c r="E64" s="138">
        <f t="shared" si="5"/>
        <v>2.2657037513899456E-2</v>
      </c>
      <c r="F64" s="138">
        <f>D64/21773.42</f>
        <v>0.44451078424978718</v>
      </c>
      <c r="G64" s="117"/>
    </row>
    <row r="65" spans="1:7" ht="15">
      <c r="A65" s="121" t="s">
        <v>1449</v>
      </c>
      <c r="B65" s="137">
        <v>2</v>
      </c>
      <c r="C65" s="138">
        <f t="shared" si="4"/>
        <v>2.2026431718061676E-3</v>
      </c>
      <c r="D65" s="143">
        <v>669.48</v>
      </c>
      <c r="E65" s="138">
        <f t="shared" si="5"/>
        <v>1.5672265464973373E-3</v>
      </c>
      <c r="F65" s="138">
        <f>D65/669.48</f>
        <v>1</v>
      </c>
      <c r="G65" s="117"/>
    </row>
    <row r="66" spans="1:7" ht="15">
      <c r="A66" s="121" t="s">
        <v>1059</v>
      </c>
      <c r="B66" s="137">
        <v>8</v>
      </c>
      <c r="C66" s="138">
        <f t="shared" si="4"/>
        <v>8.8105726872246704E-3</v>
      </c>
      <c r="D66" s="143">
        <v>3509.58</v>
      </c>
      <c r="E66" s="138">
        <f t="shared" si="5"/>
        <v>8.215789781705389E-3</v>
      </c>
      <c r="F66" s="138">
        <f>D66/9893.96</f>
        <v>0.35471944499472408</v>
      </c>
      <c r="G66" s="117"/>
    </row>
    <row r="67" spans="1:7" ht="15">
      <c r="A67" s="121" t="s">
        <v>19</v>
      </c>
      <c r="B67" s="137">
        <v>14</v>
      </c>
      <c r="C67" s="138">
        <f t="shared" si="4"/>
        <v>1.5418502202643172E-2</v>
      </c>
      <c r="D67" s="143">
        <v>9143.77</v>
      </c>
      <c r="E67" s="138">
        <f t="shared" si="5"/>
        <v>2.1405208638145962E-2</v>
      </c>
      <c r="F67" s="138">
        <f>D67/24708.61</f>
        <v>0.37006411934948991</v>
      </c>
      <c r="G67" s="117"/>
    </row>
    <row r="68" spans="1:7" ht="15">
      <c r="A68" s="121" t="s">
        <v>5</v>
      </c>
      <c r="B68" s="137">
        <v>6</v>
      </c>
      <c r="C68" s="138">
        <f t="shared" si="4"/>
        <v>6.6079295154185024E-3</v>
      </c>
      <c r="D68" s="143">
        <v>2709.24</v>
      </c>
      <c r="E68" s="138">
        <f t="shared" si="5"/>
        <v>6.3422250833967339E-3</v>
      </c>
      <c r="F68" s="138">
        <f>D68/7698.7</f>
        <v>0.35190876381726782</v>
      </c>
      <c r="G68" s="117"/>
    </row>
    <row r="69" spans="1:7" ht="15">
      <c r="A69" s="121" t="s">
        <v>31</v>
      </c>
      <c r="B69" s="137">
        <v>24</v>
      </c>
      <c r="C69" s="138">
        <f t="shared" si="4"/>
        <v>2.643171806167401E-2</v>
      </c>
      <c r="D69" s="143">
        <v>4029.39</v>
      </c>
      <c r="E69" s="138">
        <f t="shared" si="5"/>
        <v>9.4326447006496169E-3</v>
      </c>
      <c r="F69" s="138">
        <f>D69/13381.28</f>
        <v>0.3011214173830904</v>
      </c>
      <c r="G69" s="117"/>
    </row>
    <row r="70" spans="1:7" ht="15">
      <c r="A70" s="121" t="s">
        <v>18</v>
      </c>
      <c r="B70" s="137">
        <v>20</v>
      </c>
      <c r="C70" s="138">
        <f t="shared" si="4"/>
        <v>2.2026431718061675E-2</v>
      </c>
      <c r="D70" s="143">
        <v>7169.64</v>
      </c>
      <c r="E70" s="138">
        <f t="shared" si="5"/>
        <v>1.6783847369345118E-2</v>
      </c>
      <c r="F70" s="138">
        <f>D70/17413.62</f>
        <v>0.41172599379106706</v>
      </c>
      <c r="G70" s="117"/>
    </row>
    <row r="71" spans="1:7" ht="15">
      <c r="A71" s="121" t="s">
        <v>39</v>
      </c>
      <c r="B71" s="137">
        <v>6</v>
      </c>
      <c r="C71" s="138">
        <f t="shared" si="4"/>
        <v>6.6079295154185024E-3</v>
      </c>
      <c r="D71" s="143">
        <v>2385.5100000000002</v>
      </c>
      <c r="E71" s="138">
        <f t="shared" si="5"/>
        <v>5.5843857903669462E-3</v>
      </c>
      <c r="F71" s="138">
        <f>D71/3342.55</f>
        <v>0.71367967569669866</v>
      </c>
      <c r="G71" s="117"/>
    </row>
    <row r="72" spans="1:7" ht="15">
      <c r="A72" s="121" t="s">
        <v>2380</v>
      </c>
      <c r="B72" s="137">
        <v>4</v>
      </c>
      <c r="C72" s="138">
        <f t="shared" si="4"/>
        <v>4.4052863436123352E-3</v>
      </c>
      <c r="D72" s="143">
        <v>2215.19</v>
      </c>
      <c r="E72" s="138">
        <f t="shared" si="5"/>
        <v>5.1856733188974076E-3</v>
      </c>
      <c r="F72" s="138">
        <f>D72/17564.05</f>
        <v>0.12612068401080617</v>
      </c>
      <c r="G72" s="117"/>
    </row>
    <row r="73" spans="1:7" ht="15">
      <c r="A73" s="121" t="s">
        <v>35</v>
      </c>
      <c r="B73" s="137">
        <v>2</v>
      </c>
      <c r="C73" s="138">
        <f t="shared" si="4"/>
        <v>2.2026431718061676E-3</v>
      </c>
      <c r="D73" s="143">
        <v>983.98</v>
      </c>
      <c r="E73" s="138">
        <f t="shared" si="5"/>
        <v>2.3034587698250132E-3</v>
      </c>
      <c r="F73" s="138">
        <f>D73/2379.86</f>
        <v>0.41346129604262433</v>
      </c>
      <c r="G73" s="117"/>
    </row>
    <row r="74" spans="1:7" ht="15">
      <c r="A74" s="121" t="s">
        <v>25</v>
      </c>
      <c r="B74" s="137">
        <v>11</v>
      </c>
      <c r="C74" s="138">
        <f t="shared" si="4"/>
        <v>1.2114537444933921E-2</v>
      </c>
      <c r="D74" s="143">
        <v>8079.22</v>
      </c>
      <c r="E74" s="138">
        <f t="shared" si="5"/>
        <v>1.8913138643413121E-2</v>
      </c>
      <c r="F74" s="138">
        <f>D74/25818.02</f>
        <v>0.31292949652994306</v>
      </c>
      <c r="G74" s="117"/>
    </row>
    <row r="75" spans="1:7" ht="15">
      <c r="A75" s="121" t="s">
        <v>17</v>
      </c>
      <c r="B75" s="137">
        <v>11</v>
      </c>
      <c r="C75" s="138">
        <f t="shared" si="4"/>
        <v>1.2114537444933921E-2</v>
      </c>
      <c r="D75" s="143">
        <v>1883.65</v>
      </c>
      <c r="E75" s="138">
        <f t="shared" si="5"/>
        <v>4.409551120735062E-3</v>
      </c>
      <c r="F75" s="138">
        <f>D75/5152.27</f>
        <v>0.36559613529570462</v>
      </c>
      <c r="G75" s="117"/>
    </row>
    <row r="76" spans="1:7" ht="15">
      <c r="A76" s="121" t="s">
        <v>7</v>
      </c>
      <c r="B76" s="137">
        <v>24</v>
      </c>
      <c r="C76" s="138">
        <f t="shared" si="4"/>
        <v>2.643171806167401E-2</v>
      </c>
      <c r="D76" s="143">
        <v>9945.23</v>
      </c>
      <c r="E76" s="138">
        <f t="shared" si="5"/>
        <v>2.3281395212734826E-2</v>
      </c>
      <c r="F76" s="138">
        <f>D76/26598.32</f>
        <v>0.37390444208506401</v>
      </c>
      <c r="G76" s="117"/>
    </row>
    <row r="77" spans="1:7" ht="15">
      <c r="A77" s="121" t="s">
        <v>2249</v>
      </c>
      <c r="B77" s="137">
        <v>1</v>
      </c>
      <c r="C77" s="138">
        <f t="shared" si="4"/>
        <v>1.1013215859030838E-3</v>
      </c>
      <c r="D77" s="143">
        <v>128.22</v>
      </c>
      <c r="E77" s="138">
        <f t="shared" si="5"/>
        <v>3.0015801486510212E-4</v>
      </c>
      <c r="F77" s="138">
        <f>D77/466.64</f>
        <v>0.27477284416252357</v>
      </c>
      <c r="G77" s="117"/>
    </row>
    <row r="78" spans="1:7" ht="15">
      <c r="A78" s="121" t="s">
        <v>857</v>
      </c>
      <c r="B78" s="137">
        <v>29</v>
      </c>
      <c r="C78" s="138">
        <f t="shared" si="4"/>
        <v>3.1938325991189426E-2</v>
      </c>
      <c r="D78" s="143">
        <v>36563.89</v>
      </c>
      <c r="E78" s="138">
        <f t="shared" si="5"/>
        <v>8.5594639199391351E-2</v>
      </c>
      <c r="F78" s="138">
        <f>D78/100373.56</f>
        <v>0.36427810271948113</v>
      </c>
      <c r="G78" s="117"/>
    </row>
    <row r="79" spans="1:7" ht="15">
      <c r="A79" s="121" t="s">
        <v>664</v>
      </c>
      <c r="B79" s="137">
        <v>68</v>
      </c>
      <c r="C79" s="138">
        <f t="shared" si="4"/>
        <v>7.4889867841409691E-2</v>
      </c>
      <c r="D79" s="143">
        <v>11730.95</v>
      </c>
      <c r="E79" s="138">
        <f t="shared" si="5"/>
        <v>2.7461696026218764E-2</v>
      </c>
      <c r="F79" s="138">
        <f>D79/33309.56</f>
        <v>0.35217967454388477</v>
      </c>
      <c r="G79" s="117"/>
    </row>
    <row r="80" spans="1:7" ht="15">
      <c r="A80" s="121" t="s">
        <v>28</v>
      </c>
      <c r="B80" s="137">
        <v>10</v>
      </c>
      <c r="C80" s="138">
        <f t="shared" si="4"/>
        <v>1.1013215859030838E-2</v>
      </c>
      <c r="D80" s="143">
        <v>973.82</v>
      </c>
      <c r="E80" s="138">
        <f t="shared" si="5"/>
        <v>2.2796746064259379E-3</v>
      </c>
      <c r="F80" s="138">
        <f>D80/2929.87</f>
        <v>0.33237652182520044</v>
      </c>
      <c r="G80" s="117"/>
    </row>
    <row r="81" spans="1:7" ht="15">
      <c r="A81" s="121" t="s">
        <v>844</v>
      </c>
      <c r="B81" s="137">
        <v>7</v>
      </c>
      <c r="C81" s="138">
        <f>B81/$B$8</f>
        <v>7.709251101321586E-3</v>
      </c>
      <c r="D81" s="143">
        <v>1467.77</v>
      </c>
      <c r="E81" s="138">
        <f t="shared" si="5"/>
        <v>3.4359922748288174E-3</v>
      </c>
      <c r="F81" s="138">
        <f>D81/11348.71</f>
        <v>0.12933364232586789</v>
      </c>
      <c r="G81" s="117"/>
    </row>
    <row r="82" spans="1:7" ht="15">
      <c r="A82" s="121" t="s">
        <v>2</v>
      </c>
      <c r="B82" s="137">
        <v>6</v>
      </c>
      <c r="C82" s="138">
        <f t="shared" si="4"/>
        <v>6.6079295154185024E-3</v>
      </c>
      <c r="D82" s="143">
        <v>15192.24</v>
      </c>
      <c r="E82" s="138">
        <f t="shared" si="5"/>
        <v>3.5564440802949612E-2</v>
      </c>
      <c r="F82" s="138">
        <f>D82/61301.3</f>
        <v>0.24782900199506372</v>
      </c>
      <c r="G82" s="117"/>
    </row>
    <row r="83" spans="1:7" ht="15">
      <c r="A83" s="121" t="s">
        <v>16</v>
      </c>
      <c r="B83" s="137">
        <v>34</v>
      </c>
      <c r="C83" s="138">
        <f t="shared" si="4"/>
        <v>3.7444933920704845E-2</v>
      </c>
      <c r="D83" s="143">
        <v>7681.7</v>
      </c>
      <c r="E83" s="138">
        <f t="shared" si="5"/>
        <v>1.7982559840814653E-2</v>
      </c>
      <c r="F83" s="138">
        <f>D83/20019.47</f>
        <v>0.38371145689671105</v>
      </c>
      <c r="G83" s="117"/>
    </row>
    <row r="84" spans="1:7" ht="15">
      <c r="A84" s="121" t="s">
        <v>20</v>
      </c>
      <c r="B84" s="137">
        <v>6</v>
      </c>
      <c r="C84" s="138">
        <f t="shared" si="4"/>
        <v>6.6079295154185024E-3</v>
      </c>
      <c r="D84" s="143">
        <v>4692.6400000000003</v>
      </c>
      <c r="E84" s="138">
        <f t="shared" si="5"/>
        <v>1.0985287060338269E-2</v>
      </c>
      <c r="F84" s="138">
        <f>D84/18131.56</f>
        <v>0.25881060427232955</v>
      </c>
      <c r="G84" s="117"/>
    </row>
    <row r="85" spans="1:7" ht="15">
      <c r="A85" s="121" t="s">
        <v>30</v>
      </c>
      <c r="B85" s="137">
        <v>28</v>
      </c>
      <c r="C85" s="138">
        <f t="shared" si="4"/>
        <v>3.0837004405286344E-2</v>
      </c>
      <c r="D85" s="143">
        <v>15477.53</v>
      </c>
      <c r="E85" s="138">
        <f t="shared" si="5"/>
        <v>3.6232293556504945E-2</v>
      </c>
      <c r="F85" s="138">
        <f>D85/43978.64</f>
        <v>0.35193289287708762</v>
      </c>
      <c r="G85" s="117"/>
    </row>
    <row r="86" spans="1:7" ht="15">
      <c r="A86" s="121" t="s">
        <v>1140</v>
      </c>
      <c r="B86" s="137">
        <v>6</v>
      </c>
      <c r="C86" s="138">
        <f t="shared" si="4"/>
        <v>6.6079295154185024E-3</v>
      </c>
      <c r="D86" s="143">
        <v>3899.51</v>
      </c>
      <c r="E86" s="138">
        <f t="shared" si="5"/>
        <v>9.1286006905834851E-3</v>
      </c>
      <c r="F86" s="138">
        <f>D86/9893.96</f>
        <v>0.39413035831962134</v>
      </c>
      <c r="G86" s="117"/>
    </row>
    <row r="87" spans="1:7" ht="15">
      <c r="A87" s="121" t="s">
        <v>15</v>
      </c>
      <c r="B87" s="137">
        <v>3</v>
      </c>
      <c r="C87" s="138">
        <f t="shared" si="4"/>
        <v>3.3039647577092512E-3</v>
      </c>
      <c r="D87" s="143">
        <v>437.97</v>
      </c>
      <c r="E87" s="138">
        <f t="shared" si="5"/>
        <v>1.0252706736115177E-3</v>
      </c>
      <c r="F87" s="138">
        <f>D87/3078.72</f>
        <v>0.142257171811662</v>
      </c>
      <c r="G87" s="117"/>
    </row>
    <row r="88" spans="1:7" ht="15">
      <c r="A88" s="121" t="s">
        <v>8</v>
      </c>
      <c r="B88" s="137">
        <v>19</v>
      </c>
      <c r="C88" s="138">
        <f t="shared" si="4"/>
        <v>2.092511013215859E-2</v>
      </c>
      <c r="D88" s="143">
        <v>9487.0499999999993</v>
      </c>
      <c r="E88" s="138">
        <f t="shared" si="5"/>
        <v>2.220881371803125E-2</v>
      </c>
      <c r="F88" s="138">
        <f>D88/23706.9</f>
        <v>0.40018095997367847</v>
      </c>
      <c r="G88" s="117"/>
    </row>
    <row r="89" spans="1:7" ht="15">
      <c r="A89" s="121" t="s">
        <v>44</v>
      </c>
      <c r="B89" s="137">
        <v>3</v>
      </c>
      <c r="C89" s="138">
        <f t="shared" si="4"/>
        <v>3.3039647577092512E-3</v>
      </c>
      <c r="D89" s="143">
        <v>317.52999999999997</v>
      </c>
      <c r="E89" s="138">
        <f t="shared" si="5"/>
        <v>7.4332533505003793E-4</v>
      </c>
      <c r="F89" s="138">
        <f>D89/2721.59</f>
        <v>0.11667076966038234</v>
      </c>
      <c r="G89" s="117"/>
    </row>
    <row r="90" spans="1:7" ht="15">
      <c r="A90" s="121" t="s">
        <v>49</v>
      </c>
      <c r="B90" s="137">
        <v>5</v>
      </c>
      <c r="C90" s="138">
        <f t="shared" si="4"/>
        <v>5.5066079295154188E-3</v>
      </c>
      <c r="D90" s="143">
        <v>1142.3900000000001</v>
      </c>
      <c r="E90" s="138">
        <f t="shared" si="5"/>
        <v>2.6742903962076433E-3</v>
      </c>
      <c r="F90" s="138">
        <f>D90/3108.84</f>
        <v>0.36746503518997442</v>
      </c>
      <c r="G90" s="117"/>
    </row>
    <row r="91" spans="1:7" ht="15">
      <c r="A91" s="121" t="s">
        <v>48</v>
      </c>
      <c r="B91" s="137">
        <v>1</v>
      </c>
      <c r="C91" s="138">
        <f t="shared" si="4"/>
        <v>1.1013215859030838E-3</v>
      </c>
      <c r="D91" s="143">
        <v>275.36</v>
      </c>
      <c r="E91" s="138">
        <f t="shared" si="5"/>
        <v>6.4460701117808868E-4</v>
      </c>
      <c r="F91" s="138">
        <f>D91/275.36</f>
        <v>1</v>
      </c>
      <c r="G91" s="117"/>
    </row>
    <row r="92" spans="1:7" ht="15">
      <c r="A92" s="121" t="s">
        <v>11</v>
      </c>
      <c r="B92" s="137">
        <v>72</v>
      </c>
      <c r="C92" s="138">
        <f t="shared" si="4"/>
        <v>7.9295154185022032E-2</v>
      </c>
      <c r="D92" s="143">
        <v>10532.48</v>
      </c>
      <c r="E92" s="138">
        <f t="shared" si="5"/>
        <v>2.465612453912331E-2</v>
      </c>
      <c r="F92" s="138">
        <f>D92/38958.61</f>
        <v>0.27035050788516324</v>
      </c>
      <c r="G92" s="117"/>
    </row>
    <row r="93" spans="1:7" ht="15">
      <c r="A93" s="121" t="s">
        <v>631</v>
      </c>
      <c r="B93" s="137">
        <v>21</v>
      </c>
      <c r="C93" s="138">
        <f t="shared" si="4"/>
        <v>2.3127753303964757E-2</v>
      </c>
      <c r="D93" s="143">
        <v>20709.78</v>
      </c>
      <c r="E93" s="138">
        <f t="shared" si="5"/>
        <v>4.8480786562884064E-2</v>
      </c>
      <c r="F93" s="138">
        <f>D93/58204.55</f>
        <v>0.35581032754312159</v>
      </c>
      <c r="G93" s="117"/>
    </row>
    <row r="94" spans="1:7" ht="15">
      <c r="A94" s="117"/>
      <c r="B94" s="117"/>
      <c r="C94" s="117"/>
      <c r="D94" s="133"/>
      <c r="E94" s="117"/>
      <c r="F94" s="117"/>
      <c r="G94" s="117"/>
    </row>
    <row r="95" spans="1:7" ht="15">
      <c r="A95" s="117"/>
      <c r="B95" s="117"/>
      <c r="C95" s="117"/>
      <c r="D95" s="133"/>
      <c r="E95" s="134" t="s">
        <v>2353</v>
      </c>
      <c r="F95" s="144">
        <f>AVERAGE(F39:F94)</f>
        <v>0.40351552398202067</v>
      </c>
      <c r="G95" s="134"/>
    </row>
    <row r="96" spans="1:7" ht="15">
      <c r="A96" s="117" t="s">
        <v>2377</v>
      </c>
      <c r="B96" s="117"/>
      <c r="C96" s="117"/>
      <c r="D96" s="117"/>
      <c r="E96" s="117"/>
      <c r="F96" s="117"/>
      <c r="G96" s="117"/>
    </row>
    <row r="97" spans="1:7" ht="15">
      <c r="A97" s="117" t="s">
        <v>2381</v>
      </c>
      <c r="B97" s="117"/>
      <c r="C97" s="117"/>
      <c r="D97" s="117"/>
      <c r="E97" s="117"/>
      <c r="F97" s="117"/>
      <c r="G97" s="117"/>
    </row>
  </sheetData>
  <pageMargins left="0.75" right="0.75" top="1" bottom="1" header="0.5" footer="0.5"/>
  <pageSetup orientation="portrait" r:id="rId1"/>
  <headerFooter alignWithMargins="0">
    <oddFooter>&amp;C&amp;A&amp;RPage &amp;P of &amp;N</oddFooter>
  </headerFooter>
</worksheet>
</file>

<file path=xl/worksheets/sheet13.xml><?xml version="1.0" encoding="utf-8"?>
<worksheet xmlns="http://schemas.openxmlformats.org/spreadsheetml/2006/main" xmlns:r="http://schemas.openxmlformats.org/officeDocument/2006/relationships">
  <dimension ref="A1:H89"/>
  <sheetViews>
    <sheetView topLeftCell="A40" workbookViewId="0">
      <selection activeCell="B77" sqref="B77"/>
    </sheetView>
  </sheetViews>
  <sheetFormatPr defaultRowHeight="12.75"/>
  <cols>
    <col min="1" max="1" width="22" customWidth="1"/>
    <col min="2" max="2" width="18" customWidth="1"/>
    <col min="3" max="3" width="13.5703125" bestFit="1" customWidth="1"/>
    <col min="4" max="4" width="12.5703125" customWidth="1"/>
    <col min="5" max="5" width="12.7109375" bestFit="1" customWidth="1"/>
    <col min="6" max="6" width="12.42578125" customWidth="1"/>
    <col min="7" max="7" width="11.7109375" bestFit="1" customWidth="1"/>
    <col min="10" max="11" width="12.7109375" bestFit="1" customWidth="1"/>
  </cols>
  <sheetData>
    <row r="1" spans="1:8" ht="18.75">
      <c r="A1" s="30" t="s">
        <v>2480</v>
      </c>
      <c r="B1" s="12"/>
      <c r="C1" s="12"/>
      <c r="D1" s="12"/>
      <c r="E1" s="12"/>
      <c r="F1" s="12"/>
      <c r="G1" s="12"/>
      <c r="H1" s="12"/>
    </row>
    <row r="2" spans="1:8" ht="15">
      <c r="A2" s="12"/>
      <c r="B2" s="12"/>
      <c r="C2" s="12"/>
      <c r="D2" s="12"/>
      <c r="E2" s="12"/>
      <c r="F2" s="12"/>
      <c r="G2" s="12"/>
      <c r="H2" s="12"/>
    </row>
    <row r="3" spans="1:8" ht="32.25" customHeight="1" thickBot="1">
      <c r="A3" s="31" t="s">
        <v>2481</v>
      </c>
      <c r="B3" s="32" t="s">
        <v>56</v>
      </c>
      <c r="C3" s="32" t="s">
        <v>63</v>
      </c>
      <c r="D3" s="32" t="s">
        <v>581</v>
      </c>
      <c r="E3" s="32" t="s">
        <v>582</v>
      </c>
      <c r="F3" s="12"/>
      <c r="G3" s="12"/>
      <c r="H3" s="12"/>
    </row>
    <row r="4" spans="1:8" ht="15">
      <c r="A4" s="33" t="s">
        <v>69</v>
      </c>
      <c r="B4" s="34">
        <v>2487631.92</v>
      </c>
      <c r="C4" s="34">
        <v>2296092.17</v>
      </c>
      <c r="D4" s="36">
        <f>(C4-B4)/B4</f>
        <v>-7.6996821137429367E-2</v>
      </c>
      <c r="E4" s="36">
        <f>C4/$C$8</f>
        <v>0.9712669031939406</v>
      </c>
      <c r="F4" s="12"/>
      <c r="G4" s="12"/>
      <c r="H4" s="12"/>
    </row>
    <row r="5" spans="1:8" ht="15">
      <c r="A5" s="37" t="s">
        <v>83</v>
      </c>
      <c r="B5" s="38">
        <v>33309.56</v>
      </c>
      <c r="C5" s="38">
        <v>27264.41</v>
      </c>
      <c r="D5" s="35">
        <f>(C5-B5)/B5</f>
        <v>-0.18148393434197263</v>
      </c>
      <c r="E5" s="36">
        <f>C5/$C$8</f>
        <v>1.1533081909386027E-2</v>
      </c>
      <c r="F5" s="12"/>
      <c r="G5" s="193"/>
      <c r="H5" s="12"/>
    </row>
    <row r="6" spans="1:8" ht="15">
      <c r="A6" s="37" t="s">
        <v>68</v>
      </c>
      <c r="B6" s="38">
        <v>47909.7</v>
      </c>
      <c r="C6" s="38">
        <v>4194.3</v>
      </c>
      <c r="D6" s="35">
        <f>(C6-B6)/B6</f>
        <v>-0.91245405418944381</v>
      </c>
      <c r="E6" s="36">
        <f>C6/$C$8</f>
        <v>1.7742252794957902E-3</v>
      </c>
      <c r="F6" s="12"/>
      <c r="G6" s="12"/>
      <c r="H6" s="12"/>
    </row>
    <row r="7" spans="1:8" ht="15.75" thickBot="1">
      <c r="A7" s="52" t="s">
        <v>299</v>
      </c>
      <c r="B7" s="40">
        <v>28937.65</v>
      </c>
      <c r="C7" s="40">
        <v>36466.839999999997</v>
      </c>
      <c r="D7" s="41">
        <f>(C7-B7)/B7</f>
        <v>0.26018664266103136</v>
      </c>
      <c r="E7" s="36">
        <f>C7/$C$8</f>
        <v>1.5425789617177658E-2</v>
      </c>
      <c r="F7" s="12"/>
      <c r="G7" s="12"/>
      <c r="H7" s="12"/>
    </row>
    <row r="8" spans="1:8" ht="15.75" thickBot="1">
      <c r="A8" s="194" t="s">
        <v>82</v>
      </c>
      <c r="B8" s="42">
        <f>SUM(B4:B7)</f>
        <v>2597788.83</v>
      </c>
      <c r="C8" s="42">
        <f>SUM(C4:C7)</f>
        <v>2364017.7199999997</v>
      </c>
      <c r="D8" s="43">
        <f>(C8-B8)/B8</f>
        <v>-8.9988496101124707E-2</v>
      </c>
      <c r="E8" s="195">
        <f>C8/$C$8</f>
        <v>1</v>
      </c>
      <c r="F8" s="12"/>
      <c r="G8" s="193"/>
      <c r="H8" s="12"/>
    </row>
    <row r="9" spans="1:8" ht="15">
      <c r="A9" s="12"/>
      <c r="B9" s="12"/>
      <c r="C9" s="12"/>
      <c r="D9" s="12"/>
      <c r="E9" s="12"/>
      <c r="F9" s="12"/>
      <c r="G9" s="12"/>
      <c r="H9" s="12"/>
    </row>
    <row r="10" spans="1:8" ht="15">
      <c r="A10" s="12"/>
      <c r="B10" s="12"/>
      <c r="C10" s="12"/>
      <c r="D10" s="12"/>
      <c r="E10" s="12"/>
      <c r="F10" s="12"/>
      <c r="G10" s="12"/>
      <c r="H10" s="12"/>
    </row>
    <row r="11" spans="1:8" ht="36.75" customHeight="1" thickBot="1">
      <c r="A11" s="31" t="s">
        <v>538</v>
      </c>
      <c r="B11" s="32" t="s">
        <v>56</v>
      </c>
      <c r="C11" s="32" t="s">
        <v>63</v>
      </c>
      <c r="D11" s="32" t="s">
        <v>581</v>
      </c>
      <c r="E11" s="32" t="s">
        <v>582</v>
      </c>
      <c r="F11" s="12"/>
      <c r="G11" s="12"/>
      <c r="H11" s="12"/>
    </row>
    <row r="12" spans="1:8" ht="15">
      <c r="A12" s="33" t="s">
        <v>465</v>
      </c>
      <c r="B12" s="34">
        <v>295228.27</v>
      </c>
      <c r="C12" s="34">
        <v>285640.14</v>
      </c>
      <c r="D12" s="36">
        <f>(C12-B12)/B12</f>
        <v>-3.2477004996845339E-2</v>
      </c>
      <c r="E12" s="36">
        <f>C12/$C$8</f>
        <v>0.12082825673574056</v>
      </c>
      <c r="F12" s="12"/>
      <c r="G12" s="12"/>
      <c r="H12" s="12"/>
    </row>
    <row r="13" spans="1:8" ht="15">
      <c r="A13" s="37" t="s">
        <v>2482</v>
      </c>
      <c r="B13" s="38">
        <v>3394.16</v>
      </c>
      <c r="C13" s="38">
        <v>2168.62</v>
      </c>
      <c r="D13" s="35">
        <f>(C13-B13)/B13</f>
        <v>-0.36107313738892688</v>
      </c>
      <c r="E13" s="36">
        <f>C13/$C$8</f>
        <v>9.1734506964693987E-4</v>
      </c>
      <c r="F13" s="12"/>
      <c r="G13" s="12"/>
      <c r="H13" s="12"/>
    </row>
    <row r="14" spans="1:8" ht="15">
      <c r="A14" s="37" t="s">
        <v>2483</v>
      </c>
      <c r="B14" s="38">
        <v>18689.919999999998</v>
      </c>
      <c r="C14" s="38">
        <v>7058.43</v>
      </c>
      <c r="D14" s="35">
        <f>(C14-B14)/B14</f>
        <v>-0.62234027753997867</v>
      </c>
      <c r="E14" s="36">
        <f>C14/$C$8</f>
        <v>2.9857771116876403E-3</v>
      </c>
      <c r="F14" s="12"/>
      <c r="G14" s="12"/>
      <c r="H14" s="12"/>
    </row>
    <row r="15" spans="1:8" ht="15.75" thickBot="1">
      <c r="A15" s="52" t="s">
        <v>299</v>
      </c>
      <c r="B15" s="40">
        <v>18787.37</v>
      </c>
      <c r="C15" s="40">
        <v>21098.01</v>
      </c>
      <c r="D15" s="41">
        <f>(C15-B15)/B15</f>
        <v>0.12298900804104031</v>
      </c>
      <c r="E15" s="36">
        <f>C15/$C$8</f>
        <v>8.9246412247705152E-3</v>
      </c>
      <c r="F15" s="12"/>
      <c r="G15" s="12"/>
      <c r="H15" s="12"/>
    </row>
    <row r="16" spans="1:8" ht="15.75" thickBot="1">
      <c r="A16" s="194" t="s">
        <v>82</v>
      </c>
      <c r="B16" s="42">
        <f>SUM(B12:B15)</f>
        <v>336099.72</v>
      </c>
      <c r="C16" s="42">
        <f>SUM(C12:C15)</f>
        <v>315965.2</v>
      </c>
      <c r="D16" s="43">
        <f>(C16-B16)/B16</f>
        <v>-5.9906387306719454E-2</v>
      </c>
      <c r="E16" s="195">
        <f>C16/$C$8</f>
        <v>0.13365602014184566</v>
      </c>
      <c r="F16" s="12"/>
      <c r="G16" s="12"/>
      <c r="H16" s="12"/>
    </row>
    <row r="17" spans="1:8" ht="15">
      <c r="A17" s="12"/>
      <c r="B17" s="12"/>
      <c r="C17" s="12"/>
      <c r="D17" s="12"/>
      <c r="E17" s="12"/>
      <c r="F17" s="12"/>
      <c r="G17" s="12"/>
      <c r="H17" s="12"/>
    </row>
    <row r="18" spans="1:8" ht="15">
      <c r="A18" s="12"/>
      <c r="B18" s="12"/>
      <c r="C18" s="12"/>
      <c r="D18" s="12"/>
      <c r="E18" s="12"/>
      <c r="F18" s="12"/>
      <c r="G18" s="12"/>
      <c r="H18" s="12"/>
    </row>
    <row r="19" spans="1:8" ht="15">
      <c r="A19" s="12"/>
      <c r="B19" s="12"/>
      <c r="C19" s="12"/>
      <c r="D19" s="12"/>
      <c r="E19" s="12"/>
      <c r="F19" s="12"/>
      <c r="G19" s="12"/>
      <c r="H19" s="12"/>
    </row>
    <row r="20" spans="1:8" ht="15">
      <c r="A20" s="12"/>
      <c r="B20" s="12"/>
      <c r="C20" s="12"/>
      <c r="D20" s="12"/>
      <c r="E20" s="12"/>
      <c r="F20" s="12"/>
      <c r="G20" s="12"/>
      <c r="H20" s="12"/>
    </row>
    <row r="21" spans="1:8" ht="15">
      <c r="A21" s="12"/>
      <c r="B21" s="12"/>
      <c r="C21" s="12"/>
      <c r="D21" s="12"/>
      <c r="E21" s="12"/>
      <c r="F21" s="12"/>
      <c r="G21" s="12"/>
      <c r="H21" s="12"/>
    </row>
    <row r="22" spans="1:8" ht="15">
      <c r="A22" s="12"/>
      <c r="B22" s="12"/>
      <c r="C22" s="12"/>
      <c r="D22" s="12"/>
      <c r="E22" s="12"/>
      <c r="F22" s="12"/>
      <c r="G22" s="12"/>
      <c r="H22" s="12"/>
    </row>
    <row r="23" spans="1:8" ht="15">
      <c r="A23" s="12"/>
      <c r="B23" s="12"/>
      <c r="C23" s="12"/>
      <c r="D23" s="12"/>
      <c r="E23" s="12"/>
      <c r="F23" s="12"/>
      <c r="G23" s="12"/>
      <c r="H23" s="12"/>
    </row>
    <row r="24" spans="1:8" ht="15">
      <c r="A24" s="12"/>
      <c r="B24" s="12"/>
      <c r="C24" s="12"/>
      <c r="D24" s="12"/>
      <c r="E24" s="12"/>
      <c r="F24" s="12"/>
      <c r="G24" s="12"/>
      <c r="H24" s="12"/>
    </row>
    <row r="25" spans="1:8" ht="15">
      <c r="A25" s="12"/>
      <c r="B25" s="12"/>
      <c r="C25" s="12"/>
      <c r="D25" s="12"/>
      <c r="E25" s="12"/>
      <c r="F25" s="12"/>
      <c r="G25" s="12"/>
      <c r="H25" s="12"/>
    </row>
    <row r="26" spans="1:8" ht="15">
      <c r="A26" s="12"/>
      <c r="B26" s="12"/>
      <c r="C26" s="12"/>
      <c r="D26" s="12"/>
      <c r="E26" s="12"/>
      <c r="F26" s="12"/>
      <c r="G26" s="12"/>
      <c r="H26" s="12"/>
    </row>
    <row r="27" spans="1:8" ht="15">
      <c r="A27" s="12"/>
      <c r="B27" s="12"/>
      <c r="C27" s="12"/>
      <c r="D27" s="12"/>
      <c r="E27" s="12"/>
      <c r="F27" s="12"/>
      <c r="G27" s="12"/>
      <c r="H27" s="12"/>
    </row>
    <row r="28" spans="1:8" ht="15">
      <c r="A28" s="12"/>
      <c r="B28" s="12"/>
      <c r="C28" s="12"/>
      <c r="D28" s="12"/>
      <c r="E28" s="12"/>
      <c r="F28" s="12"/>
      <c r="G28" s="12"/>
      <c r="H28" s="12"/>
    </row>
    <row r="29" spans="1:8" ht="15">
      <c r="A29" s="12"/>
      <c r="B29" s="12"/>
      <c r="C29" s="12"/>
      <c r="D29" s="12"/>
      <c r="E29" s="12"/>
      <c r="F29" s="12"/>
      <c r="G29" s="12"/>
      <c r="H29" s="12"/>
    </row>
    <row r="30" spans="1:8" ht="15">
      <c r="A30" s="12"/>
      <c r="B30" s="12"/>
      <c r="C30" s="12"/>
      <c r="D30" s="12"/>
      <c r="E30" s="12"/>
      <c r="F30" s="12"/>
      <c r="G30" s="12"/>
      <c r="H30" s="12"/>
    </row>
    <row r="31" spans="1:8" ht="15">
      <c r="A31" s="12"/>
      <c r="B31" s="12"/>
      <c r="C31" s="12"/>
      <c r="D31" s="12"/>
      <c r="E31" s="12"/>
      <c r="F31" s="12"/>
      <c r="G31" s="12"/>
      <c r="H31" s="12"/>
    </row>
    <row r="32" spans="1:8" ht="15">
      <c r="A32" s="12"/>
      <c r="B32" s="12"/>
      <c r="C32" s="12"/>
      <c r="D32" s="12"/>
      <c r="E32" s="12"/>
      <c r="F32" s="12"/>
      <c r="G32" s="12"/>
      <c r="H32" s="12"/>
    </row>
    <row r="36" spans="5:5">
      <c r="E36" s="1"/>
    </row>
    <row r="37" spans="5:5">
      <c r="E37" s="1"/>
    </row>
    <row r="38" spans="5:5">
      <c r="E38" s="1"/>
    </row>
    <row r="82" spans="2:7">
      <c r="C82" s="5"/>
      <c r="D82" s="5"/>
      <c r="F82" s="5"/>
    </row>
    <row r="83" spans="2:7">
      <c r="D83" s="5"/>
      <c r="F83" s="5"/>
    </row>
    <row r="84" spans="2:7">
      <c r="D84" s="5"/>
      <c r="F84" s="5"/>
    </row>
    <row r="87" spans="2:7">
      <c r="B87" s="4"/>
      <c r="C87" s="4"/>
      <c r="D87" s="5"/>
      <c r="E87" s="5"/>
      <c r="G87" s="5"/>
    </row>
    <row r="88" spans="2:7">
      <c r="B88" s="4"/>
      <c r="F88" s="5"/>
    </row>
    <row r="89" spans="2:7">
      <c r="B89" s="5"/>
    </row>
  </sheetData>
  <phoneticPr fontId="2" type="noConversion"/>
  <pageMargins left="0.75" right="0.75" top="1" bottom="1" header="0.5" footer="0.5"/>
  <pageSetup orientation="portrait" r:id="rId1"/>
  <headerFooter alignWithMargins="0">
    <oddFooter>&amp;C&amp;A&amp;RPage &amp;P of &amp;N</oddFooter>
  </headerFooter>
  <drawing r:id="rId2"/>
</worksheet>
</file>

<file path=xl/worksheets/sheet14.xml><?xml version="1.0" encoding="utf-8"?>
<worksheet xmlns="http://schemas.openxmlformats.org/spreadsheetml/2006/main" xmlns:r="http://schemas.openxmlformats.org/officeDocument/2006/relationships">
  <sheetPr>
    <pageSetUpPr fitToPage="1"/>
  </sheetPr>
  <dimension ref="A1:F39"/>
  <sheetViews>
    <sheetView workbookViewId="0"/>
  </sheetViews>
  <sheetFormatPr defaultRowHeight="12.75"/>
  <cols>
    <col min="1" max="1" width="25" customWidth="1"/>
    <col min="2" max="2" width="18.7109375" customWidth="1"/>
    <col min="3" max="3" width="64.28515625" customWidth="1"/>
    <col min="4" max="4" width="18.140625" customWidth="1"/>
    <col min="5" max="5" width="17.5703125" customWidth="1"/>
    <col min="6" max="6" width="13.140625" customWidth="1"/>
  </cols>
  <sheetData>
    <row r="1" spans="1:6" ht="18.75">
      <c r="A1" s="30" t="s">
        <v>2505</v>
      </c>
      <c r="B1" s="12"/>
      <c r="C1" s="12"/>
      <c r="D1" s="12"/>
      <c r="E1" s="12"/>
      <c r="F1" s="12"/>
    </row>
    <row r="2" spans="1:6" ht="16.5" thickBot="1">
      <c r="A2" s="9"/>
      <c r="B2" s="12"/>
      <c r="C2" s="12"/>
      <c r="D2" s="12"/>
      <c r="E2" s="12"/>
      <c r="F2" s="12"/>
    </row>
    <row r="3" spans="1:6" ht="16.5" thickBot="1">
      <c r="A3" s="203" t="s">
        <v>2509</v>
      </c>
      <c r="D3" s="12"/>
      <c r="E3" s="12"/>
      <c r="F3" s="12"/>
    </row>
    <row r="4" spans="1:6" ht="15">
      <c r="A4" s="11" t="s">
        <v>2489</v>
      </c>
      <c r="B4" s="11" t="s">
        <v>2507</v>
      </c>
      <c r="C4" s="11" t="s">
        <v>327</v>
      </c>
      <c r="D4" s="12"/>
      <c r="E4" s="12"/>
      <c r="F4" s="12"/>
    </row>
    <row r="5" spans="1:6" ht="15">
      <c r="A5" s="95" t="s">
        <v>2498</v>
      </c>
      <c r="B5" s="182">
        <f>1094862.71+1370</f>
        <v>1096232.71</v>
      </c>
      <c r="C5" s="95" t="s">
        <v>2501</v>
      </c>
      <c r="D5" s="94"/>
      <c r="E5" s="12"/>
      <c r="F5" s="12"/>
    </row>
    <row r="6" spans="1:6" ht="15">
      <c r="A6" s="95" t="s">
        <v>2499</v>
      </c>
      <c r="B6" s="182">
        <v>65000</v>
      </c>
      <c r="C6" s="95" t="s">
        <v>2500</v>
      </c>
      <c r="D6" s="94"/>
      <c r="E6" s="12"/>
      <c r="F6" s="12"/>
    </row>
    <row r="7" spans="1:6" ht="15">
      <c r="A7" s="95" t="s">
        <v>2493</v>
      </c>
      <c r="B7" s="182">
        <v>10000</v>
      </c>
      <c r="C7" s="95" t="s">
        <v>2500</v>
      </c>
      <c r="D7" s="94"/>
      <c r="E7" s="12"/>
      <c r="F7" s="12"/>
    </row>
    <row r="8" spans="1:6" ht="15">
      <c r="A8" s="95" t="s">
        <v>2494</v>
      </c>
      <c r="B8" s="182">
        <v>500000</v>
      </c>
      <c r="C8" s="95"/>
      <c r="D8" s="94"/>
      <c r="E8" s="12"/>
      <c r="F8" s="12"/>
    </row>
    <row r="9" spans="1:6" ht="30">
      <c r="A9" s="95" t="s">
        <v>54</v>
      </c>
      <c r="B9" s="182">
        <f>(693789*1.05)+21730</f>
        <v>750208.45000000007</v>
      </c>
      <c r="C9" s="95" t="s">
        <v>2502</v>
      </c>
      <c r="D9" s="94"/>
      <c r="E9" s="12"/>
      <c r="F9" s="12"/>
    </row>
    <row r="10" spans="1:6" ht="15">
      <c r="A10" s="95" t="s">
        <v>2497</v>
      </c>
      <c r="B10" s="182">
        <v>79316</v>
      </c>
      <c r="C10" s="95" t="s">
        <v>2490</v>
      </c>
      <c r="D10" s="94"/>
      <c r="E10" s="12"/>
      <c r="F10" s="12"/>
    </row>
    <row r="11" spans="1:6" ht="30">
      <c r="A11" s="95" t="s">
        <v>2492</v>
      </c>
      <c r="B11" s="182">
        <v>21098</v>
      </c>
      <c r="C11" s="95" t="s">
        <v>2503</v>
      </c>
      <c r="D11" s="94"/>
      <c r="E11" s="12"/>
      <c r="F11" s="12"/>
    </row>
    <row r="12" spans="1:6" ht="15">
      <c r="A12" s="196" t="s">
        <v>2506</v>
      </c>
      <c r="B12" s="198">
        <f>SUM(B5:B11)</f>
        <v>2521855.16</v>
      </c>
      <c r="C12" s="94"/>
      <c r="D12" s="94"/>
      <c r="E12" s="12"/>
      <c r="F12" s="12"/>
    </row>
    <row r="13" spans="1:6" ht="15">
      <c r="A13" s="94"/>
      <c r="B13" s="197"/>
      <c r="C13" s="94"/>
      <c r="D13" s="94"/>
      <c r="E13" s="12"/>
      <c r="F13" s="12"/>
    </row>
    <row r="14" spans="1:6" ht="15">
      <c r="A14" s="94"/>
      <c r="B14" s="94"/>
      <c r="C14" s="94"/>
      <c r="D14" s="94"/>
      <c r="E14" s="12"/>
      <c r="F14" s="12"/>
    </row>
    <row r="15" spans="1:6" ht="15">
      <c r="A15" s="199" t="s">
        <v>2484</v>
      </c>
      <c r="B15" s="11" t="s">
        <v>2488</v>
      </c>
      <c r="C15" s="11" t="s">
        <v>327</v>
      </c>
      <c r="D15" s="94"/>
      <c r="E15" s="12"/>
      <c r="F15" s="12"/>
    </row>
    <row r="16" spans="1:6" ht="45">
      <c r="A16" s="95" t="s">
        <v>2485</v>
      </c>
      <c r="B16" s="182">
        <f>(169736*1.05)+20000</f>
        <v>198222.80000000002</v>
      </c>
      <c r="C16" s="95" t="s">
        <v>2504</v>
      </c>
      <c r="D16" s="94"/>
      <c r="E16" s="12"/>
      <c r="F16" s="12"/>
    </row>
    <row r="17" spans="1:6" ht="15">
      <c r="A17" s="95" t="s">
        <v>2486</v>
      </c>
      <c r="B17" s="182">
        <f>24183*1.05</f>
        <v>25392.15</v>
      </c>
      <c r="C17" s="95" t="s">
        <v>2491</v>
      </c>
      <c r="D17" s="94"/>
      <c r="E17" s="12"/>
      <c r="F17" s="12"/>
    </row>
    <row r="18" spans="1:6" ht="52.5" customHeight="1">
      <c r="A18" s="95" t="s">
        <v>2487</v>
      </c>
      <c r="B18" s="182">
        <v>144000</v>
      </c>
      <c r="C18" s="95" t="s">
        <v>2514</v>
      </c>
      <c r="D18" s="94"/>
      <c r="E18" s="12"/>
      <c r="F18" s="12"/>
    </row>
    <row r="19" spans="1:6" ht="15">
      <c r="A19" s="196" t="s">
        <v>2508</v>
      </c>
      <c r="B19" s="198">
        <f>SUM(B16:B18)</f>
        <v>367614.95</v>
      </c>
      <c r="C19" s="94"/>
      <c r="D19" s="94"/>
      <c r="E19" s="12"/>
      <c r="F19" s="12"/>
    </row>
    <row r="20" spans="1:6" ht="15.75" thickBot="1">
      <c r="A20" s="196"/>
      <c r="B20" s="198"/>
      <c r="C20" s="94"/>
      <c r="D20" s="94"/>
      <c r="E20" s="12"/>
      <c r="F20" s="12"/>
    </row>
    <row r="21" spans="1:6" ht="15.75" thickBot="1">
      <c r="A21" s="204" t="s">
        <v>2510</v>
      </c>
      <c r="B21" s="205">
        <f>B12+B19</f>
        <v>2889470.1100000003</v>
      </c>
      <c r="C21" s="204"/>
      <c r="D21" s="94"/>
      <c r="E21" s="12"/>
      <c r="F21" s="12"/>
    </row>
    <row r="22" spans="1:6" ht="15">
      <c r="A22" s="200"/>
      <c r="B22" s="201"/>
      <c r="C22" s="200"/>
      <c r="D22" s="94"/>
      <c r="E22" s="12"/>
      <c r="F22" s="12"/>
    </row>
    <row r="23" spans="1:6" ht="15.75" thickBot="1">
      <c r="A23" s="94"/>
      <c r="B23" s="94"/>
      <c r="C23" s="94"/>
      <c r="D23" s="94"/>
      <c r="E23" s="12"/>
      <c r="F23" s="12"/>
    </row>
    <row r="24" spans="1:6" ht="16.5" thickBot="1">
      <c r="A24" s="203" t="s">
        <v>249</v>
      </c>
      <c r="D24" s="94"/>
      <c r="E24" s="12"/>
      <c r="F24" s="12"/>
    </row>
    <row r="25" spans="1:6" ht="15">
      <c r="A25" s="11" t="s">
        <v>249</v>
      </c>
      <c r="B25" s="11" t="s">
        <v>2488</v>
      </c>
      <c r="C25" s="11" t="s">
        <v>327</v>
      </c>
      <c r="D25" s="94"/>
      <c r="E25" s="12"/>
      <c r="F25" s="12"/>
    </row>
    <row r="26" spans="1:6" ht="15">
      <c r="A26" s="95" t="s">
        <v>538</v>
      </c>
      <c r="B26" s="182">
        <f>7058*1.05</f>
        <v>7410.9000000000005</v>
      </c>
      <c r="C26" s="95" t="s">
        <v>2491</v>
      </c>
      <c r="D26" s="94"/>
      <c r="E26" s="12"/>
      <c r="F26" s="12"/>
    </row>
    <row r="27" spans="1:6" ht="15.75" thickBot="1">
      <c r="A27" s="169" t="s">
        <v>2481</v>
      </c>
      <c r="B27" s="202">
        <f>4194*1.05</f>
        <v>4403.7</v>
      </c>
      <c r="C27" s="169" t="s">
        <v>2491</v>
      </c>
      <c r="D27" s="94"/>
      <c r="E27" s="12"/>
      <c r="F27" s="12"/>
    </row>
    <row r="28" spans="1:6" ht="15.75" thickBot="1">
      <c r="A28" s="204" t="s">
        <v>2511</v>
      </c>
      <c r="B28" s="205">
        <f>SUM(B26:B27)</f>
        <v>11814.6</v>
      </c>
      <c r="C28" s="204"/>
      <c r="D28" s="94"/>
      <c r="E28" s="12"/>
      <c r="F28" s="12"/>
    </row>
    <row r="29" spans="1:6" ht="15.75" thickBot="1">
      <c r="A29" s="94"/>
      <c r="B29" s="94"/>
      <c r="C29" s="94"/>
      <c r="D29" s="94"/>
      <c r="E29" s="12"/>
      <c r="F29" s="12"/>
    </row>
    <row r="30" spans="1:6" ht="16.5" thickBot="1">
      <c r="A30" s="203" t="s">
        <v>2496</v>
      </c>
      <c r="D30" s="94"/>
      <c r="E30" s="12"/>
      <c r="F30" s="12"/>
    </row>
    <row r="31" spans="1:6" ht="15">
      <c r="A31" s="11" t="s">
        <v>2496</v>
      </c>
      <c r="B31" s="11" t="s">
        <v>2488</v>
      </c>
      <c r="C31" s="11" t="s">
        <v>327</v>
      </c>
      <c r="D31" s="94"/>
      <c r="E31" s="12"/>
      <c r="F31" s="12"/>
    </row>
    <row r="32" spans="1:6" ht="15">
      <c r="A32" s="95" t="s">
        <v>538</v>
      </c>
      <c r="B32" s="182">
        <f>2169*1.05</f>
        <v>2277.4500000000003</v>
      </c>
      <c r="C32" s="95" t="s">
        <v>2491</v>
      </c>
      <c r="D32" s="94"/>
      <c r="E32" s="12"/>
      <c r="F32" s="12"/>
    </row>
    <row r="33" spans="1:6" ht="30.75" thickBot="1">
      <c r="A33" s="95" t="s">
        <v>2481</v>
      </c>
      <c r="B33" s="182">
        <f>(27264.41-20000)*1.05</f>
        <v>7627.6305000000002</v>
      </c>
      <c r="C33" s="95" t="s">
        <v>2495</v>
      </c>
      <c r="D33" s="94"/>
      <c r="E33" s="12"/>
      <c r="F33" s="12"/>
    </row>
    <row r="34" spans="1:6" ht="15.75" thickBot="1">
      <c r="A34" s="204" t="s">
        <v>2512</v>
      </c>
      <c r="B34" s="205">
        <f>SUM(B32:B33)</f>
        <v>9905.0805</v>
      </c>
      <c r="C34" s="204"/>
      <c r="D34" s="94"/>
      <c r="E34" s="12"/>
      <c r="F34" s="12"/>
    </row>
    <row r="35" spans="1:6" ht="15">
      <c r="A35" s="94"/>
      <c r="B35" s="94"/>
      <c r="C35" s="94"/>
      <c r="D35" s="94"/>
      <c r="E35" s="12"/>
      <c r="F35" s="12"/>
    </row>
    <row r="36" spans="1:6" ht="15.75" thickBot="1">
      <c r="A36" s="94"/>
      <c r="B36" s="94"/>
      <c r="C36" s="94"/>
      <c r="D36" s="94"/>
      <c r="E36" s="12"/>
      <c r="F36" s="12"/>
    </row>
    <row r="37" spans="1:6" ht="16.5" thickBot="1">
      <c r="A37" s="206" t="s">
        <v>2513</v>
      </c>
      <c r="B37" s="207">
        <f>B21+B28+B34</f>
        <v>2911189.7905000006</v>
      </c>
      <c r="C37" s="94"/>
      <c r="D37" s="94"/>
      <c r="E37" s="12"/>
      <c r="F37" s="12"/>
    </row>
    <row r="38" spans="1:6" ht="15">
      <c r="A38" s="12"/>
      <c r="B38" s="12"/>
      <c r="C38" s="12"/>
      <c r="D38" s="12"/>
      <c r="E38" s="12"/>
      <c r="F38" s="12"/>
    </row>
    <row r="39" spans="1:6" ht="15">
      <c r="A39" s="12"/>
      <c r="B39" s="12"/>
      <c r="C39" s="12"/>
      <c r="D39" s="12"/>
      <c r="E39" s="12"/>
      <c r="F39" s="12"/>
    </row>
  </sheetData>
  <phoneticPr fontId="2" type="noConversion"/>
  <pageMargins left="0.75" right="0.59" top="1" bottom="1" header="0.5" footer="0.5"/>
  <pageSetup scale="85" orientation="portrait" r:id="rId1"/>
  <headerFooter alignWithMargins="0">
    <oddFooter>&amp;C&amp;A&amp;RPage &amp;P of &amp;N</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G39"/>
  <sheetViews>
    <sheetView workbookViewId="0">
      <selection activeCell="A26" sqref="A26:G26"/>
    </sheetView>
  </sheetViews>
  <sheetFormatPr defaultRowHeight="15"/>
  <cols>
    <col min="1" max="1" width="46.42578125" bestFit="1" customWidth="1"/>
    <col min="2" max="2" width="11.7109375" bestFit="1" customWidth="1"/>
    <col min="3" max="3" width="60.7109375" style="12" customWidth="1"/>
    <col min="4" max="4" width="7.5703125" bestFit="1" customWidth="1"/>
    <col min="5" max="5" width="11.140625" bestFit="1" customWidth="1"/>
    <col min="6" max="6" width="13.28515625" bestFit="1" customWidth="1"/>
  </cols>
  <sheetData>
    <row r="1" spans="1:7" ht="18.75">
      <c r="A1" s="30" t="s">
        <v>2385</v>
      </c>
      <c r="B1" s="12"/>
      <c r="D1" s="12"/>
      <c r="E1" s="12"/>
      <c r="F1" s="12"/>
      <c r="G1" s="12"/>
    </row>
    <row r="2" spans="1:7">
      <c r="A2" s="12"/>
      <c r="B2" s="12"/>
      <c r="D2" s="12"/>
      <c r="E2" s="12"/>
      <c r="F2" s="12"/>
      <c r="G2" s="12"/>
    </row>
    <row r="3" spans="1:7" ht="15.75" thickBot="1">
      <c r="A3" s="31" t="s">
        <v>331</v>
      </c>
      <c r="B3" s="31" t="s">
        <v>332</v>
      </c>
      <c r="C3" s="31" t="s">
        <v>334</v>
      </c>
      <c r="D3" s="31" t="s">
        <v>55</v>
      </c>
      <c r="E3" s="31" t="s">
        <v>2416</v>
      </c>
      <c r="F3" s="31" t="s">
        <v>2402</v>
      </c>
      <c r="G3" s="31" t="s">
        <v>86</v>
      </c>
    </row>
    <row r="4" spans="1:7">
      <c r="A4" s="158" t="s">
        <v>341</v>
      </c>
      <c r="B4" s="159">
        <v>50</v>
      </c>
      <c r="C4" s="154" t="s">
        <v>451</v>
      </c>
      <c r="D4" s="154" t="s">
        <v>2368</v>
      </c>
      <c r="E4" s="157">
        <v>6350</v>
      </c>
      <c r="F4" s="157">
        <v>6600</v>
      </c>
      <c r="G4" s="174">
        <f>(F4-E4)/E4</f>
        <v>3.937007874015748E-2</v>
      </c>
    </row>
    <row r="5" spans="1:7">
      <c r="A5" s="154" t="s">
        <v>337</v>
      </c>
      <c r="B5" s="155">
        <v>9</v>
      </c>
      <c r="C5" s="95" t="s">
        <v>448</v>
      </c>
      <c r="D5" s="154" t="s">
        <v>2368</v>
      </c>
      <c r="E5" s="156">
        <v>21340</v>
      </c>
      <c r="F5" s="156">
        <v>22780</v>
      </c>
      <c r="G5" s="174">
        <f t="shared" ref="G5:G26" si="0">(F5-E5)/E5</f>
        <v>6.7478912839737587E-2</v>
      </c>
    </row>
    <row r="6" spans="1:7">
      <c r="A6" s="154" t="s">
        <v>333</v>
      </c>
      <c r="B6" s="155">
        <v>13</v>
      </c>
      <c r="C6" s="95" t="s">
        <v>2406</v>
      </c>
      <c r="D6" s="154" t="s">
        <v>2368</v>
      </c>
      <c r="E6" s="156">
        <v>1200</v>
      </c>
      <c r="F6" s="156">
        <v>1370</v>
      </c>
      <c r="G6" s="174">
        <f t="shared" si="0"/>
        <v>0.14166666666666666</v>
      </c>
    </row>
    <row r="7" spans="1:7">
      <c r="A7" s="154" t="s">
        <v>335</v>
      </c>
      <c r="B7" s="155">
        <v>38</v>
      </c>
      <c r="C7" s="95" t="s">
        <v>454</v>
      </c>
      <c r="D7" s="154" t="s">
        <v>2368</v>
      </c>
      <c r="E7" s="156">
        <v>60116</v>
      </c>
      <c r="F7" s="156">
        <v>61600</v>
      </c>
      <c r="G7" s="174">
        <f t="shared" si="0"/>
        <v>2.4685607824871916E-2</v>
      </c>
    </row>
    <row r="8" spans="1:7">
      <c r="A8" s="154" t="s">
        <v>340</v>
      </c>
      <c r="B8" s="155">
        <v>19</v>
      </c>
      <c r="C8" s="95" t="s">
        <v>450</v>
      </c>
      <c r="D8" s="154" t="s">
        <v>2368</v>
      </c>
      <c r="E8" s="156">
        <v>4386.38</v>
      </c>
      <c r="F8" s="156">
        <v>4572</v>
      </c>
      <c r="G8" s="174">
        <f t="shared" si="0"/>
        <v>4.231735508551468E-2</v>
      </c>
    </row>
    <row r="9" spans="1:7">
      <c r="A9" s="154" t="s">
        <v>360</v>
      </c>
      <c r="B9" s="155">
        <v>32</v>
      </c>
      <c r="C9" s="154" t="s">
        <v>456</v>
      </c>
      <c r="D9" s="154" t="s">
        <v>2368</v>
      </c>
      <c r="E9" s="156">
        <v>1151.82</v>
      </c>
      <c r="F9" s="156">
        <v>1268</v>
      </c>
      <c r="G9" s="174">
        <f t="shared" si="0"/>
        <v>0.10086645482801138</v>
      </c>
    </row>
    <row r="10" spans="1:7" s="152" customFormat="1">
      <c r="A10" s="154" t="s">
        <v>2400</v>
      </c>
      <c r="B10" s="155">
        <v>8</v>
      </c>
      <c r="C10" s="95" t="s">
        <v>2401</v>
      </c>
      <c r="D10" s="154" t="s">
        <v>54</v>
      </c>
      <c r="E10" s="173" t="s">
        <v>199</v>
      </c>
      <c r="F10" s="156">
        <v>18310</v>
      </c>
      <c r="G10" s="175" t="s">
        <v>199</v>
      </c>
    </row>
    <row r="11" spans="1:7" ht="30">
      <c r="A11" s="154" t="s">
        <v>2403</v>
      </c>
      <c r="B11" s="155">
        <v>32</v>
      </c>
      <c r="C11" s="95" t="s">
        <v>449</v>
      </c>
      <c r="D11" s="154" t="s">
        <v>2368</v>
      </c>
      <c r="E11" s="156">
        <v>9707</v>
      </c>
      <c r="F11" s="156">
        <v>10590</v>
      </c>
      <c r="G11" s="174">
        <f t="shared" si="0"/>
        <v>9.096528278561862E-2</v>
      </c>
    </row>
    <row r="12" spans="1:7" ht="30">
      <c r="A12" s="154" t="s">
        <v>2404</v>
      </c>
      <c r="B12" s="155">
        <v>25</v>
      </c>
      <c r="C12" s="95" t="s">
        <v>2405</v>
      </c>
      <c r="D12" s="154" t="s">
        <v>2368</v>
      </c>
      <c r="E12" s="156">
        <v>5568</v>
      </c>
      <c r="F12" s="156">
        <v>6500</v>
      </c>
      <c r="G12" s="174">
        <f t="shared" si="0"/>
        <v>0.16738505747126436</v>
      </c>
    </row>
    <row r="13" spans="1:7">
      <c r="A13" s="154" t="s">
        <v>2413</v>
      </c>
      <c r="B13" s="155">
        <v>122</v>
      </c>
      <c r="C13" s="95" t="s">
        <v>458</v>
      </c>
      <c r="D13" s="154" t="s">
        <v>2368</v>
      </c>
      <c r="E13" s="173" t="s">
        <v>199</v>
      </c>
      <c r="F13" s="156">
        <v>1275</v>
      </c>
      <c r="G13" s="175" t="s">
        <v>199</v>
      </c>
    </row>
    <row r="14" spans="1:7">
      <c r="A14" s="154" t="s">
        <v>344</v>
      </c>
      <c r="B14" s="155">
        <v>306</v>
      </c>
      <c r="C14" s="95" t="s">
        <v>452</v>
      </c>
      <c r="D14" s="154" t="s">
        <v>2368</v>
      </c>
      <c r="E14" s="156">
        <v>21021</v>
      </c>
      <c r="F14" s="156">
        <v>23600</v>
      </c>
      <c r="G14" s="174">
        <f t="shared" si="0"/>
        <v>0.12268683697255126</v>
      </c>
    </row>
    <row r="15" spans="1:7">
      <c r="A15" s="154" t="s">
        <v>361</v>
      </c>
      <c r="B15" s="155">
        <v>30</v>
      </c>
      <c r="C15" s="95" t="s">
        <v>455</v>
      </c>
      <c r="D15" s="154" t="s">
        <v>2368</v>
      </c>
      <c r="E15" s="156">
        <v>2362.65</v>
      </c>
      <c r="F15" s="156">
        <v>2504.1999999999998</v>
      </c>
      <c r="G15" s="174">
        <f t="shared" si="0"/>
        <v>5.9911540008041698E-2</v>
      </c>
    </row>
    <row r="16" spans="1:7" ht="30">
      <c r="A16" s="154" t="s">
        <v>362</v>
      </c>
      <c r="B16" s="155">
        <v>138</v>
      </c>
      <c r="C16" s="95" t="s">
        <v>460</v>
      </c>
      <c r="D16" s="154" t="s">
        <v>2368</v>
      </c>
      <c r="E16" s="156">
        <v>42200</v>
      </c>
      <c r="F16" s="156">
        <v>43995</v>
      </c>
      <c r="G16" s="174">
        <f t="shared" si="0"/>
        <v>4.2535545023696684E-2</v>
      </c>
    </row>
    <row r="17" spans="1:7">
      <c r="A17" s="154" t="s">
        <v>336</v>
      </c>
      <c r="B17" s="155">
        <v>34</v>
      </c>
      <c r="C17" s="95" t="s">
        <v>453</v>
      </c>
      <c r="D17" s="154" t="s">
        <v>2368</v>
      </c>
      <c r="E17" s="156">
        <v>1500</v>
      </c>
      <c r="F17" s="156">
        <v>1975</v>
      </c>
      <c r="G17" s="174">
        <f t="shared" si="0"/>
        <v>0.31666666666666665</v>
      </c>
    </row>
    <row r="18" spans="1:7">
      <c r="A18" s="154" t="s">
        <v>365</v>
      </c>
      <c r="B18" s="155">
        <v>50</v>
      </c>
      <c r="C18" s="154" t="s">
        <v>463</v>
      </c>
      <c r="D18" s="154" t="s">
        <v>2368</v>
      </c>
      <c r="E18" s="156">
        <v>12013</v>
      </c>
      <c r="F18" s="156">
        <v>13849</v>
      </c>
      <c r="G18" s="174">
        <f t="shared" si="0"/>
        <v>0.15283442936818448</v>
      </c>
    </row>
    <row r="19" spans="1:7">
      <c r="A19" s="154" t="s">
        <v>363</v>
      </c>
      <c r="B19" s="155">
        <v>909</v>
      </c>
      <c r="C19" s="95" t="s">
        <v>461</v>
      </c>
      <c r="D19" s="154" t="s">
        <v>2368</v>
      </c>
      <c r="E19" s="156">
        <v>34700</v>
      </c>
      <c r="F19" s="156">
        <v>40100</v>
      </c>
      <c r="G19" s="174">
        <f t="shared" si="0"/>
        <v>0.15561959654178675</v>
      </c>
    </row>
    <row r="20" spans="1:7">
      <c r="A20" s="154" t="s">
        <v>364</v>
      </c>
      <c r="B20" s="155">
        <v>436</v>
      </c>
      <c r="C20" s="95" t="s">
        <v>462</v>
      </c>
      <c r="D20" s="154" t="s">
        <v>2368</v>
      </c>
      <c r="E20" s="156">
        <v>18513</v>
      </c>
      <c r="F20" s="156">
        <v>20700.900000000001</v>
      </c>
      <c r="G20" s="174">
        <f t="shared" si="0"/>
        <v>0.11818181818181826</v>
      </c>
    </row>
    <row r="21" spans="1:7">
      <c r="A21" s="154" t="s">
        <v>2407</v>
      </c>
      <c r="B21" s="155">
        <v>67</v>
      </c>
      <c r="C21" s="154" t="s">
        <v>457</v>
      </c>
      <c r="D21" s="154" t="s">
        <v>2368</v>
      </c>
      <c r="E21" s="156">
        <v>16179</v>
      </c>
      <c r="F21" s="156">
        <v>17105</v>
      </c>
      <c r="G21" s="174">
        <f t="shared" si="0"/>
        <v>5.7234686939860314E-2</v>
      </c>
    </row>
    <row r="22" spans="1:7">
      <c r="A22" s="154" t="s">
        <v>464</v>
      </c>
      <c r="B22" s="155">
        <v>6</v>
      </c>
      <c r="C22" s="95" t="s">
        <v>2409</v>
      </c>
      <c r="D22" s="154" t="s">
        <v>2368</v>
      </c>
      <c r="E22" s="156">
        <v>19697</v>
      </c>
      <c r="F22" s="156">
        <v>16094.92</v>
      </c>
      <c r="G22" s="174">
        <f t="shared" si="0"/>
        <v>-0.18287454942377013</v>
      </c>
    </row>
    <row r="23" spans="1:7">
      <c r="A23" s="154" t="s">
        <v>2410</v>
      </c>
      <c r="B23" s="155">
        <v>514</v>
      </c>
      <c r="C23" s="154" t="s">
        <v>2411</v>
      </c>
      <c r="D23" s="154" t="s">
        <v>2368</v>
      </c>
      <c r="E23" s="156">
        <v>69685</v>
      </c>
      <c r="F23" s="156">
        <v>72459.820000000007</v>
      </c>
      <c r="G23" s="174">
        <f t="shared" si="0"/>
        <v>3.9819473344335325E-2</v>
      </c>
    </row>
    <row r="24" spans="1:7">
      <c r="A24" s="154" t="s">
        <v>459</v>
      </c>
      <c r="B24" s="155">
        <v>1792</v>
      </c>
      <c r="C24" s="154" t="s">
        <v>2408</v>
      </c>
      <c r="D24" s="154" t="s">
        <v>2368</v>
      </c>
      <c r="E24" s="156">
        <v>532976.92000000004</v>
      </c>
      <c r="F24" s="156">
        <v>559065.1</v>
      </c>
      <c r="G24" s="174">
        <f t="shared" si="0"/>
        <v>4.894804825694879E-2</v>
      </c>
    </row>
    <row r="25" spans="1:7" ht="30.75" thickBot="1">
      <c r="A25" s="154" t="s">
        <v>366</v>
      </c>
      <c r="B25" s="155">
        <v>7</v>
      </c>
      <c r="C25" s="154" t="s">
        <v>2412</v>
      </c>
      <c r="D25" s="154" t="s">
        <v>2368</v>
      </c>
      <c r="E25" s="156">
        <v>26344</v>
      </c>
      <c r="F25" s="156">
        <v>30457</v>
      </c>
      <c r="G25" s="176">
        <f t="shared" si="0"/>
        <v>0.15612663225022774</v>
      </c>
    </row>
    <row r="26" spans="1:7" ht="15.75" thickBot="1">
      <c r="A26" s="148" t="s">
        <v>66</v>
      </c>
      <c r="B26" s="160">
        <f>SUM(B4:B25)</f>
        <v>4637</v>
      </c>
      <c r="C26" s="148"/>
      <c r="D26" s="148"/>
      <c r="E26" s="161">
        <f>SUM(E4:E25)</f>
        <v>907010.77</v>
      </c>
      <c r="F26" s="161">
        <f>SUM(F4:F25)</f>
        <v>976770.94</v>
      </c>
      <c r="G26" s="43">
        <f t="shared" si="0"/>
        <v>7.691217382126557E-2</v>
      </c>
    </row>
    <row r="27" spans="1:7">
      <c r="A27" s="12"/>
      <c r="B27" s="12"/>
      <c r="D27" s="12"/>
      <c r="E27" s="12"/>
      <c r="F27" s="57"/>
      <c r="G27" s="12"/>
    </row>
    <row r="28" spans="1:7">
      <c r="A28" s="153"/>
      <c r="B28" s="12"/>
      <c r="D28" s="12"/>
      <c r="E28" s="12"/>
      <c r="F28" s="57"/>
      <c r="G28" s="12"/>
    </row>
    <row r="29" spans="1:7">
      <c r="A29" s="153"/>
      <c r="B29" s="12"/>
      <c r="D29" s="12"/>
      <c r="E29" s="12"/>
      <c r="F29" s="57"/>
      <c r="G29" s="12"/>
    </row>
    <row r="30" spans="1:7">
      <c r="A30" s="153"/>
      <c r="B30" s="12"/>
      <c r="D30" s="12"/>
      <c r="E30" s="12"/>
      <c r="F30" s="57"/>
      <c r="G30" s="12"/>
    </row>
    <row r="31" spans="1:7">
      <c r="A31" s="12"/>
      <c r="B31" s="12"/>
      <c r="D31" s="12"/>
      <c r="E31" s="12"/>
      <c r="F31" s="57"/>
      <c r="G31" s="12"/>
    </row>
    <row r="32" spans="1:7">
      <c r="A32" s="12"/>
      <c r="B32" s="12"/>
      <c r="D32" s="12"/>
      <c r="E32" s="12"/>
      <c r="F32" s="57"/>
      <c r="G32" s="12"/>
    </row>
    <row r="33" spans="1:6">
      <c r="F33" s="1"/>
    </row>
    <row r="34" spans="1:6">
      <c r="F34" s="1"/>
    </row>
    <row r="35" spans="1:6">
      <c r="F35" s="1"/>
    </row>
    <row r="36" spans="1:6">
      <c r="F36" s="1"/>
    </row>
    <row r="37" spans="1:6">
      <c r="A37" s="151"/>
      <c r="F37" s="1"/>
    </row>
    <row r="38" spans="1:6">
      <c r="F38" s="1"/>
    </row>
    <row r="39" spans="1:6">
      <c r="F39" s="1"/>
    </row>
  </sheetData>
  <phoneticPr fontId="2" type="noConversion"/>
  <hyperlinks>
    <hyperlink ref="C11" r:id="rId1"/>
    <hyperlink ref="C6" r:id="rId2"/>
    <hyperlink ref="C4" r:id="rId3"/>
    <hyperlink ref="C14" r:id="rId4"/>
    <hyperlink ref="C21" r:id="rId5"/>
    <hyperlink ref="C17" r:id="rId6"/>
    <hyperlink ref="C19" r:id="rId7"/>
    <hyperlink ref="C20" r:id="rId8"/>
    <hyperlink ref="C22" r:id="rId9"/>
    <hyperlink ref="C23" r:id="rId10"/>
    <hyperlink ref="C9" r:id="rId11"/>
    <hyperlink ref="C25" r:id="rId12"/>
  </hyperlinks>
  <pageMargins left="0.75" right="0.39" top="1" bottom="1" header="0.5" footer="0.5"/>
  <pageSetup scale="85" fitToHeight="4" orientation="landscape" r:id="rId13"/>
  <headerFooter alignWithMargins="0">
    <oddFooter>&amp;L&amp;F&amp;C&amp;A&amp;RPage &amp;P of &amp;N</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I137"/>
  <sheetViews>
    <sheetView workbookViewId="0"/>
  </sheetViews>
  <sheetFormatPr defaultRowHeight="12.75"/>
  <cols>
    <col min="1" max="1" width="45.5703125" customWidth="1"/>
    <col min="2" max="2" width="22.85546875" customWidth="1"/>
    <col min="3" max="3" width="10.85546875" customWidth="1"/>
    <col min="4" max="4" width="13.140625" customWidth="1"/>
    <col min="5" max="5" width="11.140625" bestFit="1" customWidth="1"/>
    <col min="6" max="6" width="9.28515625" bestFit="1" customWidth="1"/>
  </cols>
  <sheetData>
    <row r="1" spans="1:9" ht="18.75">
      <c r="A1" s="30" t="s">
        <v>2382</v>
      </c>
      <c r="B1" s="12"/>
      <c r="C1" s="12"/>
      <c r="D1" s="12"/>
      <c r="E1" s="12"/>
      <c r="F1" s="12"/>
      <c r="G1" s="12"/>
    </row>
    <row r="2" spans="1:9" ht="15">
      <c r="A2" s="12"/>
      <c r="B2" s="12"/>
      <c r="C2" s="12"/>
      <c r="D2" s="12"/>
      <c r="E2" s="12"/>
      <c r="F2" s="12"/>
      <c r="G2" s="12"/>
    </row>
    <row r="3" spans="1:9" ht="15.75" thickBot="1">
      <c r="A3" s="31" t="s">
        <v>50</v>
      </c>
      <c r="B3" s="31" t="s">
        <v>348</v>
      </c>
      <c r="C3" s="31" t="s">
        <v>55</v>
      </c>
      <c r="D3" s="31" t="s">
        <v>2416</v>
      </c>
      <c r="E3" s="31" t="s">
        <v>2402</v>
      </c>
      <c r="F3" s="31" t="s">
        <v>86</v>
      </c>
      <c r="G3" s="12"/>
    </row>
    <row r="4" spans="1:9" ht="15">
      <c r="A4" s="170" t="s">
        <v>420</v>
      </c>
      <c r="B4" s="170" t="s">
        <v>408</v>
      </c>
      <c r="C4" s="178" t="s">
        <v>2368</v>
      </c>
      <c r="D4" s="179">
        <v>0</v>
      </c>
      <c r="E4" s="179">
        <v>0</v>
      </c>
      <c r="F4" s="180" t="s">
        <v>199</v>
      </c>
      <c r="G4" s="12"/>
      <c r="I4" s="12"/>
    </row>
    <row r="5" spans="1:9" ht="15">
      <c r="A5" s="95" t="s">
        <v>421</v>
      </c>
      <c r="B5" s="95" t="s">
        <v>408</v>
      </c>
      <c r="C5" s="181" t="s">
        <v>2368</v>
      </c>
      <c r="D5" s="182">
        <v>18300</v>
      </c>
      <c r="E5" s="182">
        <v>18757</v>
      </c>
      <c r="F5" s="183">
        <f>(E5-D5)/D5</f>
        <v>2.4972677595628417E-2</v>
      </c>
      <c r="G5" s="12"/>
      <c r="I5" s="171"/>
    </row>
    <row r="6" spans="1:9" ht="15">
      <c r="A6" s="95" t="s">
        <v>422</v>
      </c>
      <c r="B6" s="95" t="s">
        <v>408</v>
      </c>
      <c r="C6" s="181" t="s">
        <v>2368</v>
      </c>
      <c r="D6" s="182">
        <v>0</v>
      </c>
      <c r="E6" s="182">
        <v>0</v>
      </c>
      <c r="F6" s="184" t="s">
        <v>199</v>
      </c>
      <c r="G6" s="12"/>
      <c r="I6" s="171"/>
    </row>
    <row r="7" spans="1:9" ht="15">
      <c r="A7" s="95" t="s">
        <v>2418</v>
      </c>
      <c r="B7" s="95" t="s">
        <v>381</v>
      </c>
      <c r="C7" s="181" t="s">
        <v>2419</v>
      </c>
      <c r="D7" s="182">
        <v>0</v>
      </c>
      <c r="E7" s="182">
        <v>0</v>
      </c>
      <c r="F7" s="184" t="s">
        <v>199</v>
      </c>
      <c r="G7" s="12"/>
      <c r="I7" s="171"/>
    </row>
    <row r="8" spans="1:9" ht="15">
      <c r="A8" s="95" t="s">
        <v>380</v>
      </c>
      <c r="B8" s="95" t="s">
        <v>381</v>
      </c>
      <c r="C8" s="181" t="s">
        <v>2368</v>
      </c>
      <c r="D8" s="182">
        <v>19750.25</v>
      </c>
      <c r="E8" s="182">
        <v>20342.75</v>
      </c>
      <c r="F8" s="183">
        <f>(E8-D8)/D8</f>
        <v>2.999962025797142E-2</v>
      </c>
      <c r="G8" s="12"/>
      <c r="I8" s="171"/>
    </row>
    <row r="9" spans="1:9" ht="15">
      <c r="A9" s="95" t="s">
        <v>367</v>
      </c>
      <c r="B9" s="95" t="s">
        <v>368</v>
      </c>
      <c r="C9" s="181" t="s">
        <v>2368</v>
      </c>
      <c r="D9" s="182">
        <v>7262.97</v>
      </c>
      <c r="E9" s="182">
        <v>7651.88</v>
      </c>
      <c r="F9" s="183">
        <f>(E9-D9)/D9</f>
        <v>5.3546964946846791E-2</v>
      </c>
      <c r="G9" s="12"/>
      <c r="I9" s="12"/>
    </row>
    <row r="10" spans="1:9" ht="15">
      <c r="A10" s="95" t="s">
        <v>2420</v>
      </c>
      <c r="B10" s="95" t="s">
        <v>2421</v>
      </c>
      <c r="C10" s="181" t="s">
        <v>2368</v>
      </c>
      <c r="D10" s="182">
        <v>0</v>
      </c>
      <c r="E10" s="182">
        <v>337.5</v>
      </c>
      <c r="F10" s="184" t="s">
        <v>199</v>
      </c>
      <c r="G10" s="12"/>
      <c r="I10" s="12"/>
    </row>
    <row r="11" spans="1:9" ht="15">
      <c r="A11" s="95" t="s">
        <v>417</v>
      </c>
      <c r="B11" s="95" t="s">
        <v>2440</v>
      </c>
      <c r="C11" s="181" t="s">
        <v>2368</v>
      </c>
      <c r="D11" s="182">
        <v>5814</v>
      </c>
      <c r="E11" s="182">
        <v>5989.5</v>
      </c>
      <c r="F11" s="183">
        <f>(E11-D11)/D11</f>
        <v>3.018575851393189E-2</v>
      </c>
      <c r="G11" s="12"/>
      <c r="I11" s="12"/>
    </row>
    <row r="12" spans="1:9" ht="15">
      <c r="A12" s="95" t="s">
        <v>58</v>
      </c>
      <c r="B12" s="95" t="s">
        <v>2440</v>
      </c>
      <c r="C12" s="181" t="s">
        <v>2368</v>
      </c>
      <c r="D12" s="182">
        <v>10454</v>
      </c>
      <c r="E12" s="182">
        <v>581</v>
      </c>
      <c r="F12" s="183">
        <f>(E12-D12)/D12</f>
        <v>-0.94442318729672847</v>
      </c>
      <c r="G12" s="12"/>
      <c r="I12" s="12"/>
    </row>
    <row r="13" spans="1:9" ht="15">
      <c r="A13" s="95" t="s">
        <v>423</v>
      </c>
      <c r="B13" s="95" t="s">
        <v>405</v>
      </c>
      <c r="C13" s="181" t="s">
        <v>2368</v>
      </c>
      <c r="D13" s="182">
        <v>0</v>
      </c>
      <c r="E13" s="182">
        <v>0</v>
      </c>
      <c r="F13" s="184" t="s">
        <v>199</v>
      </c>
      <c r="G13" s="12"/>
    </row>
    <row r="14" spans="1:9" ht="15">
      <c r="A14" s="95" t="s">
        <v>57</v>
      </c>
      <c r="B14" s="95" t="s">
        <v>57</v>
      </c>
      <c r="C14" s="181" t="s">
        <v>2368</v>
      </c>
      <c r="D14" s="182">
        <f>25000</f>
        <v>25000</v>
      </c>
      <c r="E14" s="182">
        <v>12940</v>
      </c>
      <c r="F14" s="183">
        <f t="shared" ref="F14:F22" si="0">(E14-D14)/D14</f>
        <v>-0.4824</v>
      </c>
      <c r="G14" s="12"/>
    </row>
    <row r="15" spans="1:9" ht="15">
      <c r="A15" s="95" t="s">
        <v>347</v>
      </c>
      <c r="B15" s="95" t="s">
        <v>354</v>
      </c>
      <c r="C15" s="181" t="s">
        <v>2368</v>
      </c>
      <c r="D15" s="182">
        <v>7717</v>
      </c>
      <c r="E15" s="182">
        <v>8025</v>
      </c>
      <c r="F15" s="183">
        <f t="shared" si="0"/>
        <v>3.9911882856032137E-2</v>
      </c>
      <c r="G15" s="12"/>
    </row>
    <row r="16" spans="1:9" ht="15">
      <c r="A16" s="95" t="s">
        <v>2422</v>
      </c>
      <c r="B16" s="95" t="s">
        <v>2423</v>
      </c>
      <c r="C16" s="181" t="s">
        <v>54</v>
      </c>
      <c r="D16" s="182">
        <v>143.99</v>
      </c>
      <c r="E16" s="182">
        <v>146.04</v>
      </c>
      <c r="F16" s="183">
        <f t="shared" si="0"/>
        <v>1.4237099798597006E-2</v>
      </c>
      <c r="G16" s="12"/>
    </row>
    <row r="17" spans="1:7" ht="15">
      <c r="A17" s="95" t="s">
        <v>418</v>
      </c>
      <c r="B17" s="95" t="s">
        <v>2440</v>
      </c>
      <c r="C17" s="181" t="s">
        <v>2368</v>
      </c>
      <c r="D17" s="182">
        <v>3312</v>
      </c>
      <c r="E17" s="182">
        <v>3411</v>
      </c>
      <c r="F17" s="183">
        <f t="shared" si="0"/>
        <v>2.9891304347826088E-2</v>
      </c>
      <c r="G17" s="12"/>
    </row>
    <row r="18" spans="1:7" ht="15">
      <c r="A18" s="95" t="s">
        <v>2417</v>
      </c>
      <c r="B18" s="95" t="s">
        <v>413</v>
      </c>
      <c r="C18" s="181" t="s">
        <v>2368</v>
      </c>
      <c r="D18" s="182">
        <v>24867</v>
      </c>
      <c r="E18" s="182">
        <v>27354</v>
      </c>
      <c r="F18" s="183">
        <f t="shared" si="0"/>
        <v>0.10001206418144529</v>
      </c>
      <c r="G18" s="12"/>
    </row>
    <row r="19" spans="1:7" ht="15">
      <c r="A19" s="95" t="s">
        <v>343</v>
      </c>
      <c r="B19" s="95" t="s">
        <v>351</v>
      </c>
      <c r="C19" s="181" t="s">
        <v>2368</v>
      </c>
      <c r="D19" s="182">
        <v>8539</v>
      </c>
      <c r="E19" s="182">
        <v>8966</v>
      </c>
      <c r="F19" s="183">
        <f t="shared" si="0"/>
        <v>5.0005855486590936E-2</v>
      </c>
      <c r="G19" s="12"/>
    </row>
    <row r="20" spans="1:7" ht="15">
      <c r="A20" s="95" t="s">
        <v>338</v>
      </c>
      <c r="B20" s="95" t="s">
        <v>349</v>
      </c>
      <c r="C20" s="181" t="s">
        <v>2368</v>
      </c>
      <c r="D20" s="182">
        <v>590.79999999999995</v>
      </c>
      <c r="E20" s="182">
        <v>545.9</v>
      </c>
      <c r="F20" s="183">
        <f t="shared" si="0"/>
        <v>-7.5998645903859144E-2</v>
      </c>
      <c r="G20" s="12"/>
    </row>
    <row r="21" spans="1:7" ht="15">
      <c r="A21" s="95" t="s">
        <v>346</v>
      </c>
      <c r="B21" s="95" t="s">
        <v>353</v>
      </c>
      <c r="C21" s="181" t="s">
        <v>2368</v>
      </c>
      <c r="D21" s="182">
        <v>895.5</v>
      </c>
      <c r="E21" s="182">
        <v>895.5</v>
      </c>
      <c r="F21" s="183">
        <f t="shared" si="0"/>
        <v>0</v>
      </c>
      <c r="G21" s="12"/>
    </row>
    <row r="22" spans="1:7" ht="15">
      <c r="A22" s="95" t="s">
        <v>382</v>
      </c>
      <c r="B22" s="95" t="s">
        <v>381</v>
      </c>
      <c r="C22" s="181" t="s">
        <v>2368</v>
      </c>
      <c r="D22" s="182">
        <v>5533</v>
      </c>
      <c r="E22" s="182">
        <v>5699</v>
      </c>
      <c r="F22" s="183">
        <f t="shared" si="0"/>
        <v>3.0001807337791432E-2</v>
      </c>
      <c r="G22" s="12"/>
    </row>
    <row r="23" spans="1:7" ht="15">
      <c r="A23" s="95" t="s">
        <v>424</v>
      </c>
      <c r="B23" s="95" t="s">
        <v>405</v>
      </c>
      <c r="C23" s="181" t="s">
        <v>2368</v>
      </c>
      <c r="D23" s="182">
        <v>0</v>
      </c>
      <c r="E23" s="182">
        <v>0</v>
      </c>
      <c r="F23" s="184" t="s">
        <v>199</v>
      </c>
      <c r="G23" s="12"/>
    </row>
    <row r="24" spans="1:7" ht="15">
      <c r="A24" s="95" t="s">
        <v>2424</v>
      </c>
      <c r="B24" s="95" t="s">
        <v>2425</v>
      </c>
      <c r="C24" s="181" t="s">
        <v>54</v>
      </c>
      <c r="D24" s="182">
        <v>616.94000000000005</v>
      </c>
      <c r="E24" s="182">
        <v>572.44000000000005</v>
      </c>
      <c r="F24" s="183">
        <f>(E24-D24)/D24</f>
        <v>-7.2130190942393091E-2</v>
      </c>
      <c r="G24" s="12"/>
    </row>
    <row r="25" spans="1:7" ht="15">
      <c r="A25" s="95" t="s">
        <v>415</v>
      </c>
      <c r="B25" s="95" t="s">
        <v>416</v>
      </c>
      <c r="C25" s="181" t="s">
        <v>2368</v>
      </c>
      <c r="D25" s="182">
        <v>2995</v>
      </c>
      <c r="E25" s="182">
        <v>3090</v>
      </c>
      <c r="F25" s="183">
        <f>(E25-D25)/D25</f>
        <v>3.1719532554257093E-2</v>
      </c>
      <c r="G25" s="12"/>
    </row>
    <row r="26" spans="1:7" ht="15">
      <c r="A26" s="95" t="s">
        <v>372</v>
      </c>
      <c r="B26" s="95" t="s">
        <v>373</v>
      </c>
      <c r="C26" s="181" t="s">
        <v>2368</v>
      </c>
      <c r="D26" s="182">
        <v>1263</v>
      </c>
      <c r="E26" s="182">
        <v>0</v>
      </c>
      <c r="F26" s="184" t="s">
        <v>199</v>
      </c>
      <c r="G26" s="12"/>
    </row>
    <row r="27" spans="1:7" ht="15">
      <c r="A27" s="95" t="s">
        <v>2429</v>
      </c>
      <c r="B27" s="95" t="s">
        <v>354</v>
      </c>
      <c r="C27" s="181" t="s">
        <v>2368</v>
      </c>
      <c r="D27" s="182">
        <v>0</v>
      </c>
      <c r="E27" s="182">
        <v>2650</v>
      </c>
      <c r="F27" s="184" t="s">
        <v>199</v>
      </c>
      <c r="G27" s="12"/>
    </row>
    <row r="28" spans="1:7" ht="15">
      <c r="A28" s="95" t="s">
        <v>355</v>
      </c>
      <c r="B28" s="95" t="s">
        <v>354</v>
      </c>
      <c r="C28" s="181" t="s">
        <v>2368</v>
      </c>
      <c r="D28" s="182">
        <v>2880</v>
      </c>
      <c r="E28" s="182">
        <v>3025</v>
      </c>
      <c r="F28" s="183">
        <f>(E28-D28)/D28</f>
        <v>5.0347222222222224E-2</v>
      </c>
      <c r="G28" s="12"/>
    </row>
    <row r="29" spans="1:7" ht="15">
      <c r="A29" s="95" t="s">
        <v>388</v>
      </c>
      <c r="B29" s="95" t="s">
        <v>389</v>
      </c>
      <c r="C29" s="181" t="s">
        <v>2368</v>
      </c>
      <c r="D29" s="182">
        <v>15989</v>
      </c>
      <c r="E29" s="182">
        <v>16073</v>
      </c>
      <c r="F29" s="183">
        <f>(E29-D29)/D29</f>
        <v>5.2536118581524797E-3</v>
      </c>
      <c r="G29" s="12"/>
    </row>
    <row r="30" spans="1:7" ht="15">
      <c r="A30" s="95" t="s">
        <v>2431</v>
      </c>
      <c r="B30" s="95" t="s">
        <v>2432</v>
      </c>
      <c r="C30" s="181" t="s">
        <v>2368</v>
      </c>
      <c r="D30" s="182">
        <v>0</v>
      </c>
      <c r="E30" s="182">
        <v>1613</v>
      </c>
      <c r="F30" s="184" t="s">
        <v>199</v>
      </c>
      <c r="G30" s="12"/>
    </row>
    <row r="31" spans="1:7" ht="15">
      <c r="A31" s="95" t="s">
        <v>2433</v>
      </c>
      <c r="B31" s="95" t="s">
        <v>408</v>
      </c>
      <c r="C31" s="181" t="s">
        <v>2368</v>
      </c>
      <c r="D31" s="182">
        <v>5585</v>
      </c>
      <c r="E31" s="182">
        <v>5725</v>
      </c>
      <c r="F31" s="183">
        <f>(E31-D31)/D31</f>
        <v>2.5067144136078783E-2</v>
      </c>
      <c r="G31" s="12"/>
    </row>
    <row r="32" spans="1:7" ht="30">
      <c r="A32" s="95" t="s">
        <v>2434</v>
      </c>
      <c r="B32" s="95" t="s">
        <v>408</v>
      </c>
      <c r="C32" s="181" t="s">
        <v>2368</v>
      </c>
      <c r="D32" s="182">
        <v>0</v>
      </c>
      <c r="E32" s="182">
        <v>0</v>
      </c>
      <c r="F32" s="184" t="s">
        <v>199</v>
      </c>
      <c r="G32" s="12"/>
    </row>
    <row r="33" spans="1:7" ht="15">
      <c r="A33" s="95" t="s">
        <v>2426</v>
      </c>
      <c r="B33" s="95" t="s">
        <v>2427</v>
      </c>
      <c r="C33" s="181" t="s">
        <v>2428</v>
      </c>
      <c r="D33" s="182">
        <v>149.5</v>
      </c>
      <c r="E33" s="182">
        <v>149.5</v>
      </c>
      <c r="F33" s="183">
        <f>(E33-D33)/D33</f>
        <v>0</v>
      </c>
      <c r="G33" s="12"/>
    </row>
    <row r="34" spans="1:7" ht="15">
      <c r="A34" s="95" t="s">
        <v>425</v>
      </c>
      <c r="B34" s="95" t="s">
        <v>381</v>
      </c>
      <c r="C34" s="181" t="s">
        <v>2368</v>
      </c>
      <c r="D34" s="182">
        <v>0</v>
      </c>
      <c r="E34" s="182">
        <v>0</v>
      </c>
      <c r="F34" s="184" t="s">
        <v>199</v>
      </c>
      <c r="G34" s="12"/>
    </row>
    <row r="35" spans="1:7" ht="15">
      <c r="A35" s="95" t="s">
        <v>359</v>
      </c>
      <c r="B35" s="95" t="s">
        <v>2430</v>
      </c>
      <c r="C35" s="181" t="s">
        <v>2368</v>
      </c>
      <c r="D35" s="182">
        <v>4200</v>
      </c>
      <c r="E35" s="182">
        <v>3161</v>
      </c>
      <c r="F35" s="183">
        <f>(E35-D35)/D35</f>
        <v>-0.24738095238095237</v>
      </c>
      <c r="G35" s="12"/>
    </row>
    <row r="36" spans="1:7" ht="15">
      <c r="A36" s="95" t="s">
        <v>2435</v>
      </c>
      <c r="B36" s="95" t="s">
        <v>2440</v>
      </c>
      <c r="C36" s="181" t="s">
        <v>2368</v>
      </c>
      <c r="D36" s="182">
        <v>0</v>
      </c>
      <c r="E36" s="182">
        <v>6340.5</v>
      </c>
      <c r="F36" s="184" t="s">
        <v>199</v>
      </c>
      <c r="G36" s="12"/>
    </row>
    <row r="37" spans="1:7" ht="15">
      <c r="A37" s="95" t="s">
        <v>59</v>
      </c>
      <c r="B37" s="95" t="s">
        <v>2440</v>
      </c>
      <c r="C37" s="181" t="s">
        <v>2368</v>
      </c>
      <c r="D37" s="182">
        <v>14360</v>
      </c>
      <c r="E37" s="182">
        <v>798</v>
      </c>
      <c r="F37" s="183">
        <f>(E37-D37)/D37</f>
        <v>-0.94442896935933152</v>
      </c>
      <c r="G37" s="12"/>
    </row>
    <row r="38" spans="1:7" ht="15">
      <c r="A38" s="95" t="s">
        <v>390</v>
      </c>
      <c r="B38" s="95" t="s">
        <v>389</v>
      </c>
      <c r="C38" s="181" t="s">
        <v>2368</v>
      </c>
      <c r="D38" s="182">
        <v>9634</v>
      </c>
      <c r="E38" s="182">
        <v>10260</v>
      </c>
      <c r="F38" s="183">
        <f>(E38-D38)/D38</f>
        <v>6.497820220053975E-2</v>
      </c>
      <c r="G38" s="12"/>
    </row>
    <row r="39" spans="1:7" ht="15">
      <c r="A39" s="95" t="s">
        <v>391</v>
      </c>
      <c r="B39" s="95" t="s">
        <v>389</v>
      </c>
      <c r="C39" s="181" t="s">
        <v>2368</v>
      </c>
      <c r="D39" s="182">
        <v>686.46</v>
      </c>
      <c r="E39" s="182">
        <v>727.65</v>
      </c>
      <c r="F39" s="183">
        <f>(E39-D39)/D39</f>
        <v>6.0003496197884712E-2</v>
      </c>
      <c r="G39" s="12"/>
    </row>
    <row r="40" spans="1:7" ht="15">
      <c r="A40" s="95" t="s">
        <v>426</v>
      </c>
      <c r="B40" s="95" t="s">
        <v>354</v>
      </c>
      <c r="C40" s="181" t="s">
        <v>2368</v>
      </c>
      <c r="D40" s="182">
        <v>0</v>
      </c>
      <c r="E40" s="182">
        <v>0</v>
      </c>
      <c r="F40" s="184" t="s">
        <v>199</v>
      </c>
      <c r="G40" s="12"/>
    </row>
    <row r="41" spans="1:7" ht="15">
      <c r="A41" s="95" t="s">
        <v>426</v>
      </c>
      <c r="B41" s="95" t="s">
        <v>381</v>
      </c>
      <c r="C41" s="181" t="s">
        <v>2368</v>
      </c>
      <c r="D41" s="182">
        <v>0</v>
      </c>
      <c r="E41" s="182">
        <v>0</v>
      </c>
      <c r="F41" s="184" t="s">
        <v>199</v>
      </c>
      <c r="G41" s="12"/>
    </row>
    <row r="42" spans="1:7" ht="15">
      <c r="A42" s="95" t="s">
        <v>426</v>
      </c>
      <c r="B42" s="95" t="s">
        <v>405</v>
      </c>
      <c r="C42" s="181" t="s">
        <v>2368</v>
      </c>
      <c r="D42" s="182">
        <v>0</v>
      </c>
      <c r="E42" s="182">
        <v>0</v>
      </c>
      <c r="F42" s="184" t="s">
        <v>199</v>
      </c>
      <c r="G42" s="12"/>
    </row>
    <row r="43" spans="1:7" ht="15">
      <c r="A43" s="95" t="s">
        <v>426</v>
      </c>
      <c r="B43" s="95" t="s">
        <v>2440</v>
      </c>
      <c r="C43" s="181" t="s">
        <v>2368</v>
      </c>
      <c r="D43" s="182">
        <v>0</v>
      </c>
      <c r="E43" s="182">
        <v>0</v>
      </c>
      <c r="F43" s="184" t="s">
        <v>199</v>
      </c>
      <c r="G43" s="12"/>
    </row>
    <row r="44" spans="1:7" ht="15">
      <c r="A44" s="95" t="s">
        <v>383</v>
      </c>
      <c r="B44" s="95" t="s">
        <v>381</v>
      </c>
      <c r="C44" s="181" t="s">
        <v>2368</v>
      </c>
      <c r="D44" s="182">
        <v>995</v>
      </c>
      <c r="E44" s="182">
        <v>1363</v>
      </c>
      <c r="F44" s="183">
        <f>(E44-D44)/D44</f>
        <v>0.36984924623115578</v>
      </c>
      <c r="G44" s="12"/>
    </row>
    <row r="45" spans="1:7" ht="15">
      <c r="A45" s="95" t="s">
        <v>404</v>
      </c>
      <c r="B45" s="95" t="s">
        <v>405</v>
      </c>
      <c r="C45" s="181" t="s">
        <v>2368</v>
      </c>
      <c r="D45" s="182">
        <v>9215</v>
      </c>
      <c r="E45" s="182">
        <v>9215</v>
      </c>
      <c r="F45" s="183">
        <f>(E45-D45)/D45</f>
        <v>0</v>
      </c>
      <c r="G45" s="12"/>
    </row>
    <row r="46" spans="1:7" ht="15">
      <c r="A46" s="95" t="s">
        <v>394</v>
      </c>
      <c r="B46" s="95" t="s">
        <v>395</v>
      </c>
      <c r="C46" s="181" t="s">
        <v>2368</v>
      </c>
      <c r="D46" s="182">
        <v>3914</v>
      </c>
      <c r="E46" s="182">
        <v>4420</v>
      </c>
      <c r="F46" s="183">
        <f>(E46-D46)/D46</f>
        <v>0.12927950945324476</v>
      </c>
      <c r="G46" s="12"/>
    </row>
    <row r="47" spans="1:7" ht="15">
      <c r="A47" s="95" t="s">
        <v>427</v>
      </c>
      <c r="B47" s="95" t="s">
        <v>381</v>
      </c>
      <c r="C47" s="181" t="s">
        <v>2368</v>
      </c>
      <c r="D47" s="182">
        <v>0</v>
      </c>
      <c r="E47" s="182">
        <v>0</v>
      </c>
      <c r="F47" s="184" t="s">
        <v>199</v>
      </c>
      <c r="G47" s="12"/>
    </row>
    <row r="48" spans="1:7" ht="15">
      <c r="A48" s="95" t="s">
        <v>356</v>
      </c>
      <c r="B48" s="95" t="s">
        <v>354</v>
      </c>
      <c r="C48" s="181" t="s">
        <v>2368</v>
      </c>
      <c r="D48" s="182">
        <v>5850</v>
      </c>
      <c r="E48" s="182">
        <v>6142</v>
      </c>
      <c r="F48" s="183">
        <f>(E48-D48)/D48</f>
        <v>4.9914529914529916E-2</v>
      </c>
      <c r="G48" s="12"/>
    </row>
    <row r="49" spans="1:7" ht="15">
      <c r="A49" s="95" t="s">
        <v>2438</v>
      </c>
      <c r="B49" s="95" t="s">
        <v>354</v>
      </c>
      <c r="C49" s="181" t="s">
        <v>2368</v>
      </c>
      <c r="D49" s="182">
        <v>0</v>
      </c>
      <c r="E49" s="182">
        <v>0</v>
      </c>
      <c r="F49" s="184" t="s">
        <v>199</v>
      </c>
      <c r="G49" s="12"/>
    </row>
    <row r="50" spans="1:7" ht="15">
      <c r="A50" s="95" t="s">
        <v>428</v>
      </c>
      <c r="B50" s="95" t="s">
        <v>405</v>
      </c>
      <c r="C50" s="181" t="s">
        <v>2368</v>
      </c>
      <c r="D50" s="182">
        <v>0</v>
      </c>
      <c r="E50" s="182">
        <v>0</v>
      </c>
      <c r="F50" s="184" t="s">
        <v>199</v>
      </c>
      <c r="G50" s="12"/>
    </row>
    <row r="51" spans="1:7" ht="15">
      <c r="A51" s="95" t="s">
        <v>2439</v>
      </c>
      <c r="B51" s="95" t="s">
        <v>381</v>
      </c>
      <c r="C51" s="181" t="s">
        <v>2368</v>
      </c>
      <c r="D51" s="182">
        <v>0</v>
      </c>
      <c r="E51" s="182">
        <v>0</v>
      </c>
      <c r="F51" s="184" t="s">
        <v>199</v>
      </c>
      <c r="G51" s="12"/>
    </row>
    <row r="52" spans="1:7" ht="15">
      <c r="A52" s="95" t="s">
        <v>2436</v>
      </c>
      <c r="B52" s="95" t="s">
        <v>2437</v>
      </c>
      <c r="C52" s="181" t="s">
        <v>2368</v>
      </c>
      <c r="D52" s="182">
        <v>0</v>
      </c>
      <c r="E52" s="182">
        <v>0</v>
      </c>
      <c r="F52" s="184" t="s">
        <v>199</v>
      </c>
      <c r="G52" s="12"/>
    </row>
    <row r="53" spans="1:7" ht="15">
      <c r="A53" s="95" t="s">
        <v>2441</v>
      </c>
      <c r="B53" s="95" t="s">
        <v>381</v>
      </c>
      <c r="C53" s="181" t="s">
        <v>2419</v>
      </c>
      <c r="D53" s="182">
        <v>0</v>
      </c>
      <c r="E53" s="182">
        <v>0</v>
      </c>
      <c r="F53" s="184" t="s">
        <v>199</v>
      </c>
      <c r="G53" s="12"/>
    </row>
    <row r="54" spans="1:7" ht="15">
      <c r="A54" s="95" t="s">
        <v>2442</v>
      </c>
      <c r="B54" s="95" t="s">
        <v>408</v>
      </c>
      <c r="C54" s="181" t="s">
        <v>2419</v>
      </c>
      <c r="D54" s="182">
        <v>0</v>
      </c>
      <c r="E54" s="182">
        <v>0</v>
      </c>
      <c r="F54" s="184" t="s">
        <v>199</v>
      </c>
      <c r="G54" s="12"/>
    </row>
    <row r="55" spans="1:7" ht="15">
      <c r="A55" s="95" t="s">
        <v>369</v>
      </c>
      <c r="B55" s="95" t="s">
        <v>368</v>
      </c>
      <c r="C55" s="181" t="s">
        <v>2368</v>
      </c>
      <c r="D55" s="182">
        <v>7262.98</v>
      </c>
      <c r="E55" s="182">
        <v>7651.88</v>
      </c>
      <c r="F55" s="183">
        <f>(E55-D55)/D55</f>
        <v>5.3545514375642034E-2</v>
      </c>
      <c r="G55" s="12"/>
    </row>
    <row r="56" spans="1:7" ht="15">
      <c r="A56" s="95" t="s">
        <v>2443</v>
      </c>
      <c r="B56" s="95" t="s">
        <v>381</v>
      </c>
      <c r="C56" s="181" t="s">
        <v>2419</v>
      </c>
      <c r="D56" s="182">
        <v>0</v>
      </c>
      <c r="E56" s="182">
        <v>0</v>
      </c>
      <c r="F56" s="184" t="s">
        <v>199</v>
      </c>
      <c r="G56" s="12"/>
    </row>
    <row r="57" spans="1:7" ht="15">
      <c r="A57" s="95" t="s">
        <v>2445</v>
      </c>
      <c r="B57" s="95" t="s">
        <v>2446</v>
      </c>
      <c r="C57" s="181" t="s">
        <v>2447</v>
      </c>
      <c r="D57" s="182">
        <v>0</v>
      </c>
      <c r="E57" s="182">
        <v>0</v>
      </c>
      <c r="F57" s="184" t="s">
        <v>199</v>
      </c>
      <c r="G57" s="12"/>
    </row>
    <row r="58" spans="1:7" ht="15">
      <c r="A58" s="95" t="s">
        <v>447</v>
      </c>
      <c r="B58" s="95" t="s">
        <v>2440</v>
      </c>
      <c r="C58" s="181" t="s">
        <v>2368</v>
      </c>
      <c r="D58" s="182">
        <v>14792</v>
      </c>
      <c r="E58" s="182">
        <v>822</v>
      </c>
      <c r="F58" s="183">
        <f>(E58-D58)/D58</f>
        <v>-0.94442942130881558</v>
      </c>
      <c r="G58" s="12"/>
    </row>
    <row r="59" spans="1:7" ht="15">
      <c r="A59" s="95" t="s">
        <v>2448</v>
      </c>
      <c r="B59" s="95" t="s">
        <v>2449</v>
      </c>
      <c r="C59" s="181" t="s">
        <v>248</v>
      </c>
      <c r="D59" s="182">
        <v>0</v>
      </c>
      <c r="E59" s="182">
        <v>0</v>
      </c>
      <c r="F59" s="184" t="s">
        <v>199</v>
      </c>
      <c r="G59" s="12"/>
    </row>
    <row r="60" spans="1:7" ht="15">
      <c r="A60" s="95" t="s">
        <v>384</v>
      </c>
      <c r="B60" s="95" t="s">
        <v>381</v>
      </c>
      <c r="C60" s="181" t="s">
        <v>2368</v>
      </c>
      <c r="D60" s="182">
        <v>28450</v>
      </c>
      <c r="E60" s="182">
        <v>29808</v>
      </c>
      <c r="F60" s="183">
        <f>(E60-D60)/D60</f>
        <v>4.7732864674868189E-2</v>
      </c>
      <c r="G60" s="12"/>
    </row>
    <row r="61" spans="1:7" ht="15">
      <c r="A61" s="95" t="s">
        <v>357</v>
      </c>
      <c r="B61" s="95" t="s">
        <v>354</v>
      </c>
      <c r="C61" s="181" t="s">
        <v>2368</v>
      </c>
      <c r="D61" s="182">
        <v>3600</v>
      </c>
      <c r="E61" s="182">
        <v>3600</v>
      </c>
      <c r="F61" s="183">
        <f>(E61-D61)/D61</f>
        <v>0</v>
      </c>
      <c r="G61" s="12"/>
    </row>
    <row r="62" spans="1:7" ht="15">
      <c r="A62" s="95" t="s">
        <v>342</v>
      </c>
      <c r="B62" s="95" t="s">
        <v>350</v>
      </c>
      <c r="C62" s="181" t="s">
        <v>2368</v>
      </c>
      <c r="D62" s="182">
        <f>3515/2</f>
        <v>1757.5</v>
      </c>
      <c r="E62" s="182">
        <f>3515/2</f>
        <v>1757.5</v>
      </c>
      <c r="F62" s="183">
        <f>(E62-D62)/D62</f>
        <v>0</v>
      </c>
      <c r="G62" s="12"/>
    </row>
    <row r="63" spans="1:7" ht="15">
      <c r="A63" s="95" t="s">
        <v>2460</v>
      </c>
      <c r="B63" s="95" t="s">
        <v>2461</v>
      </c>
      <c r="C63" s="181" t="s">
        <v>248</v>
      </c>
      <c r="D63" s="182">
        <v>0</v>
      </c>
      <c r="E63" s="182">
        <v>0</v>
      </c>
      <c r="F63" s="184" t="s">
        <v>199</v>
      </c>
      <c r="G63" s="12"/>
    </row>
    <row r="64" spans="1:7" ht="15">
      <c r="A64" s="95" t="s">
        <v>403</v>
      </c>
      <c r="B64" s="95" t="s">
        <v>399</v>
      </c>
      <c r="C64" s="181" t="s">
        <v>2368</v>
      </c>
      <c r="D64" s="182">
        <v>24073.65</v>
      </c>
      <c r="E64" s="182">
        <v>26063.1</v>
      </c>
      <c r="F64" s="183">
        <f>(E64-D64)/D64</f>
        <v>8.2640148045684675E-2</v>
      </c>
      <c r="G64" s="12"/>
    </row>
    <row r="65" spans="1:7" ht="15">
      <c r="A65" s="95" t="s">
        <v>2450</v>
      </c>
      <c r="B65" s="95" t="s">
        <v>399</v>
      </c>
      <c r="C65" s="181" t="s">
        <v>2368</v>
      </c>
      <c r="D65" s="182">
        <v>6972.15</v>
      </c>
      <c r="E65" s="182">
        <v>7446.6</v>
      </c>
      <c r="F65" s="183">
        <f t="shared" ref="F65:F66" si="1">(E65-D65)/D65</f>
        <v>6.8049310470945229E-2</v>
      </c>
      <c r="G65" s="12"/>
    </row>
    <row r="66" spans="1:7" ht="15">
      <c r="A66" s="95" t="s">
        <v>398</v>
      </c>
      <c r="B66" s="95" t="s">
        <v>399</v>
      </c>
      <c r="C66" s="181" t="s">
        <v>2368</v>
      </c>
      <c r="D66" s="182">
        <v>4735</v>
      </c>
      <c r="E66" s="182">
        <v>4900.8</v>
      </c>
      <c r="F66" s="183">
        <f t="shared" si="1"/>
        <v>3.5015839493136261E-2</v>
      </c>
      <c r="G66" s="12"/>
    </row>
    <row r="67" spans="1:7" ht="15">
      <c r="A67" s="95" t="s">
        <v>2451</v>
      </c>
      <c r="B67" s="95" t="s">
        <v>381</v>
      </c>
      <c r="C67" s="181" t="s">
        <v>2368</v>
      </c>
      <c r="D67" s="182">
        <v>0</v>
      </c>
      <c r="E67" s="182">
        <v>0</v>
      </c>
      <c r="F67" s="184" t="s">
        <v>199</v>
      </c>
      <c r="G67" s="12"/>
    </row>
    <row r="68" spans="1:7" ht="15">
      <c r="A68" s="95" t="s">
        <v>385</v>
      </c>
      <c r="B68" s="95" t="s">
        <v>381</v>
      </c>
      <c r="C68" s="181" t="s">
        <v>2368</v>
      </c>
      <c r="D68" s="182">
        <v>2594</v>
      </c>
      <c r="E68" s="182">
        <v>2583</v>
      </c>
      <c r="F68" s="183">
        <f>(E68-D68)/D68</f>
        <v>-4.2405551272166539E-3</v>
      </c>
      <c r="G68" s="12"/>
    </row>
    <row r="69" spans="1:7" ht="15">
      <c r="A69" s="95" t="s">
        <v>392</v>
      </c>
      <c r="B69" s="95" t="s">
        <v>325</v>
      </c>
      <c r="C69" s="181" t="s">
        <v>2368</v>
      </c>
      <c r="D69" s="182">
        <v>1768</v>
      </c>
      <c r="E69" s="182">
        <v>1874</v>
      </c>
      <c r="F69" s="183">
        <f>(E69-D69)/D69</f>
        <v>5.9954751131221722E-2</v>
      </c>
      <c r="G69" s="12"/>
    </row>
    <row r="70" spans="1:7" ht="15">
      <c r="A70" s="95" t="s">
        <v>429</v>
      </c>
      <c r="B70" s="95" t="s">
        <v>381</v>
      </c>
      <c r="C70" s="181" t="s">
        <v>2368</v>
      </c>
      <c r="D70" s="182">
        <v>0</v>
      </c>
      <c r="E70" s="182">
        <v>0</v>
      </c>
      <c r="F70" s="184" t="s">
        <v>199</v>
      </c>
      <c r="G70" s="12"/>
    </row>
    <row r="71" spans="1:7" ht="15">
      <c r="A71" s="95" t="s">
        <v>2452</v>
      </c>
      <c r="B71" s="95" t="s">
        <v>381</v>
      </c>
      <c r="C71" s="181" t="s">
        <v>2419</v>
      </c>
      <c r="D71" s="182">
        <v>0</v>
      </c>
      <c r="E71" s="182">
        <v>0</v>
      </c>
      <c r="F71" s="184" t="s">
        <v>199</v>
      </c>
      <c r="G71" s="12"/>
    </row>
    <row r="72" spans="1:7" ht="15">
      <c r="A72" s="95" t="s">
        <v>339</v>
      </c>
      <c r="B72" s="95" t="s">
        <v>339</v>
      </c>
      <c r="C72" s="181" t="s">
        <v>2368</v>
      </c>
      <c r="D72" s="182">
        <v>7384</v>
      </c>
      <c r="E72" s="182">
        <v>7751</v>
      </c>
      <c r="F72" s="183">
        <f>(E72-D72)/D72</f>
        <v>4.9702058504875406E-2</v>
      </c>
      <c r="G72" s="12"/>
    </row>
    <row r="73" spans="1:7" ht="15">
      <c r="A73" s="95" t="s">
        <v>430</v>
      </c>
      <c r="B73" s="95" t="s">
        <v>381</v>
      </c>
      <c r="C73" s="181" t="s">
        <v>2368</v>
      </c>
      <c r="D73" s="182">
        <v>0</v>
      </c>
      <c r="E73" s="182">
        <v>0</v>
      </c>
      <c r="F73" s="184" t="s">
        <v>199</v>
      </c>
      <c r="G73" s="12"/>
    </row>
    <row r="74" spans="1:7" ht="15">
      <c r="A74" s="95" t="s">
        <v>430</v>
      </c>
      <c r="B74" s="95" t="s">
        <v>405</v>
      </c>
      <c r="C74" s="181" t="s">
        <v>2368</v>
      </c>
      <c r="D74" s="182">
        <v>0</v>
      </c>
      <c r="E74" s="182">
        <v>0</v>
      </c>
      <c r="F74" s="184" t="s">
        <v>199</v>
      </c>
      <c r="G74" s="12"/>
    </row>
    <row r="75" spans="1:7" ht="15">
      <c r="A75" s="95" t="s">
        <v>430</v>
      </c>
      <c r="B75" s="95" t="s">
        <v>2453</v>
      </c>
      <c r="C75" s="181" t="s">
        <v>2368</v>
      </c>
      <c r="D75" s="182">
        <v>0</v>
      </c>
      <c r="E75" s="182">
        <v>0</v>
      </c>
      <c r="F75" s="184" t="s">
        <v>199</v>
      </c>
      <c r="G75" s="12"/>
    </row>
    <row r="76" spans="1:7" ht="15">
      <c r="A76" s="95" t="s">
        <v>2454</v>
      </c>
      <c r="B76" s="95" t="s">
        <v>381</v>
      </c>
      <c r="C76" s="181" t="s">
        <v>2368</v>
      </c>
      <c r="D76" s="182">
        <v>0</v>
      </c>
      <c r="E76" s="182">
        <v>1649</v>
      </c>
      <c r="F76" s="184" t="s">
        <v>199</v>
      </c>
      <c r="G76" s="12"/>
    </row>
    <row r="77" spans="1:7" ht="15">
      <c r="A77" s="95" t="s">
        <v>400</v>
      </c>
      <c r="B77" s="95" t="s">
        <v>401</v>
      </c>
      <c r="C77" s="181" t="s">
        <v>2368</v>
      </c>
      <c r="D77" s="182">
        <v>11600</v>
      </c>
      <c r="E77" s="182">
        <v>13750</v>
      </c>
      <c r="F77" s="183">
        <f>(E77-D77)/D77</f>
        <v>0.18534482758620691</v>
      </c>
      <c r="G77" s="12"/>
    </row>
    <row r="78" spans="1:7" ht="15">
      <c r="A78" s="95" t="s">
        <v>358</v>
      </c>
      <c r="B78" s="95" t="s">
        <v>354</v>
      </c>
      <c r="C78" s="181" t="s">
        <v>2368</v>
      </c>
      <c r="D78" s="182">
        <v>4085</v>
      </c>
      <c r="E78" s="182">
        <v>4250</v>
      </c>
      <c r="F78" s="183">
        <f>(E78-D78)/D78</f>
        <v>4.0391676866585069E-2</v>
      </c>
      <c r="G78" s="12"/>
    </row>
    <row r="79" spans="1:7" ht="15">
      <c r="A79" s="95" t="s">
        <v>2455</v>
      </c>
      <c r="B79" s="95" t="s">
        <v>381</v>
      </c>
      <c r="C79" s="181" t="s">
        <v>2419</v>
      </c>
      <c r="D79" s="182">
        <v>0</v>
      </c>
      <c r="E79" s="182">
        <v>0</v>
      </c>
      <c r="F79" s="184" t="s">
        <v>199</v>
      </c>
      <c r="G79" s="12"/>
    </row>
    <row r="80" spans="1:7" ht="15">
      <c r="A80" s="95" t="s">
        <v>431</v>
      </c>
      <c r="B80" s="95" t="s">
        <v>405</v>
      </c>
      <c r="C80" s="181" t="s">
        <v>2368</v>
      </c>
      <c r="D80" s="182">
        <v>0</v>
      </c>
      <c r="E80" s="182">
        <v>0</v>
      </c>
      <c r="F80" s="184" t="s">
        <v>199</v>
      </c>
      <c r="G80" s="12"/>
    </row>
    <row r="81" spans="1:7" ht="15">
      <c r="A81" s="95" t="s">
        <v>2457</v>
      </c>
      <c r="B81" s="95" t="s">
        <v>2457</v>
      </c>
      <c r="C81" s="181" t="s">
        <v>54</v>
      </c>
      <c r="D81" s="182">
        <v>635.92999999999995</v>
      </c>
      <c r="E81" s="182">
        <v>0</v>
      </c>
      <c r="F81" s="184" t="s">
        <v>199</v>
      </c>
      <c r="G81" s="12"/>
    </row>
    <row r="82" spans="1:7" ht="15">
      <c r="A82" s="95" t="s">
        <v>432</v>
      </c>
      <c r="B82" s="95" t="s">
        <v>354</v>
      </c>
      <c r="C82" s="181" t="s">
        <v>2368</v>
      </c>
      <c r="D82" s="182">
        <v>0</v>
      </c>
      <c r="E82" s="182">
        <v>0</v>
      </c>
      <c r="F82" s="184" t="s">
        <v>199</v>
      </c>
      <c r="G82" s="12"/>
    </row>
    <row r="83" spans="1:7" ht="15">
      <c r="A83" s="95" t="s">
        <v>374</v>
      </c>
      <c r="B83" s="95" t="s">
        <v>354</v>
      </c>
      <c r="C83" s="181" t="s">
        <v>2368</v>
      </c>
      <c r="D83" s="182">
        <v>7590</v>
      </c>
      <c r="E83" s="182">
        <v>7600</v>
      </c>
      <c r="F83" s="183">
        <f>(E83-D83)/D83</f>
        <v>1.3175230566534915E-3</v>
      </c>
      <c r="G83" s="12"/>
    </row>
    <row r="84" spans="1:7" ht="15">
      <c r="A84" s="95" t="s">
        <v>393</v>
      </c>
      <c r="B84" s="95" t="s">
        <v>2456</v>
      </c>
      <c r="C84" s="181" t="s">
        <v>2368</v>
      </c>
      <c r="D84" s="182">
        <v>2200</v>
      </c>
      <c r="E84" s="182">
        <v>2200</v>
      </c>
      <c r="F84" s="183">
        <f>(E84-D84)/D84</f>
        <v>0</v>
      </c>
      <c r="G84" s="12"/>
    </row>
    <row r="85" spans="1:7" ht="15">
      <c r="A85" s="95" t="s">
        <v>2458</v>
      </c>
      <c r="B85" s="95" t="s">
        <v>2459</v>
      </c>
      <c r="C85" s="181" t="s">
        <v>2447</v>
      </c>
      <c r="D85" s="182">
        <v>0</v>
      </c>
      <c r="E85" s="182">
        <v>0</v>
      </c>
      <c r="F85" s="184" t="s">
        <v>199</v>
      </c>
      <c r="G85" s="12"/>
    </row>
    <row r="86" spans="1:7" ht="15">
      <c r="A86" s="95" t="s">
        <v>409</v>
      </c>
      <c r="B86" s="95" t="s">
        <v>408</v>
      </c>
      <c r="C86" s="181" t="s">
        <v>2368</v>
      </c>
      <c r="D86" s="182">
        <v>3130</v>
      </c>
      <c r="E86" s="182">
        <v>3208</v>
      </c>
      <c r="F86" s="183">
        <f>(E86-D86)/D86</f>
        <v>2.4920127795527155E-2</v>
      </c>
      <c r="G86" s="12"/>
    </row>
    <row r="87" spans="1:7" ht="30">
      <c r="A87" s="94" t="s">
        <v>2474</v>
      </c>
      <c r="B87" s="95" t="s">
        <v>2473</v>
      </c>
      <c r="C87" s="181" t="s">
        <v>2447</v>
      </c>
      <c r="D87" s="182">
        <v>0</v>
      </c>
      <c r="E87" s="182">
        <v>0</v>
      </c>
      <c r="F87" s="184" t="s">
        <v>199</v>
      </c>
      <c r="G87" s="12"/>
    </row>
    <row r="88" spans="1:7" ht="30">
      <c r="A88" s="95" t="s">
        <v>407</v>
      </c>
      <c r="B88" s="95" t="s">
        <v>36</v>
      </c>
      <c r="C88" s="181" t="s">
        <v>2368</v>
      </c>
      <c r="D88" s="182">
        <v>1783.15</v>
      </c>
      <c r="E88" s="182">
        <v>1347.25</v>
      </c>
      <c r="F88" s="183">
        <f>(E88-D88)/D88</f>
        <v>-0.24445503743375491</v>
      </c>
      <c r="G88" s="12"/>
    </row>
    <row r="89" spans="1:7" ht="15">
      <c r="A89" s="95" t="s">
        <v>433</v>
      </c>
      <c r="B89" s="95" t="s">
        <v>354</v>
      </c>
      <c r="C89" s="181" t="s">
        <v>2368</v>
      </c>
      <c r="D89" s="182">
        <v>0</v>
      </c>
      <c r="E89" s="182">
        <v>0</v>
      </c>
      <c r="F89" s="184" t="s">
        <v>199</v>
      </c>
      <c r="G89" s="12"/>
    </row>
    <row r="90" spans="1:7" ht="15">
      <c r="A90" s="95" t="s">
        <v>434</v>
      </c>
      <c r="B90" s="95" t="s">
        <v>405</v>
      </c>
      <c r="C90" s="181" t="s">
        <v>2368</v>
      </c>
      <c r="D90" s="182">
        <v>0</v>
      </c>
      <c r="E90" s="182">
        <v>0</v>
      </c>
      <c r="F90" s="184" t="s">
        <v>199</v>
      </c>
      <c r="G90" s="12"/>
    </row>
    <row r="91" spans="1:7" ht="15">
      <c r="A91" s="95" t="s">
        <v>435</v>
      </c>
      <c r="B91" s="95" t="s">
        <v>405</v>
      </c>
      <c r="C91" s="181" t="s">
        <v>2368</v>
      </c>
      <c r="D91" s="182">
        <v>0</v>
      </c>
      <c r="E91" s="182">
        <v>0</v>
      </c>
      <c r="F91" s="184" t="s">
        <v>199</v>
      </c>
      <c r="G91" s="12"/>
    </row>
    <row r="92" spans="1:7" ht="15">
      <c r="A92" s="95" t="s">
        <v>406</v>
      </c>
      <c r="B92" s="95" t="s">
        <v>36</v>
      </c>
      <c r="C92" s="181" t="s">
        <v>2368</v>
      </c>
      <c r="D92" s="182">
        <v>2723.09</v>
      </c>
      <c r="E92" s="182">
        <v>3033.8</v>
      </c>
      <c r="F92" s="183">
        <f>(E92-D92)/D92</f>
        <v>0.11410199442545051</v>
      </c>
      <c r="G92" s="12"/>
    </row>
    <row r="93" spans="1:7" ht="15">
      <c r="A93" s="95" t="s">
        <v>2444</v>
      </c>
      <c r="B93" s="95" t="s">
        <v>402</v>
      </c>
      <c r="C93" s="181" t="s">
        <v>2368</v>
      </c>
      <c r="D93" s="182">
        <v>1500</v>
      </c>
      <c r="E93" s="182">
        <v>1597.5</v>
      </c>
      <c r="F93" s="183">
        <f>(E93-D93)/D93</f>
        <v>6.5000000000000002E-2</v>
      </c>
      <c r="G93" s="12"/>
    </row>
    <row r="94" spans="1:7" ht="15">
      <c r="A94" s="95" t="s">
        <v>375</v>
      </c>
      <c r="B94" s="95" t="s">
        <v>354</v>
      </c>
      <c r="C94" s="181" t="s">
        <v>2368</v>
      </c>
      <c r="D94" s="182">
        <v>5650</v>
      </c>
      <c r="E94" s="182">
        <v>5875</v>
      </c>
      <c r="F94" s="183">
        <f>(E94-D94)/D94</f>
        <v>3.9823008849557522E-2</v>
      </c>
      <c r="G94" s="12"/>
    </row>
    <row r="95" spans="1:7" ht="15">
      <c r="A95" s="95" t="s">
        <v>436</v>
      </c>
      <c r="B95" s="95" t="s">
        <v>405</v>
      </c>
      <c r="C95" s="181" t="s">
        <v>2368</v>
      </c>
      <c r="D95" s="182">
        <v>0</v>
      </c>
      <c r="E95" s="182">
        <v>0</v>
      </c>
      <c r="F95" s="184" t="s">
        <v>199</v>
      </c>
      <c r="G95" s="12"/>
    </row>
    <row r="96" spans="1:7" ht="15">
      <c r="A96" s="95" t="s">
        <v>376</v>
      </c>
      <c r="B96" s="95" t="s">
        <v>354</v>
      </c>
      <c r="C96" s="181" t="s">
        <v>2368</v>
      </c>
      <c r="D96" s="182">
        <v>2720</v>
      </c>
      <c r="E96" s="182">
        <v>2720</v>
      </c>
      <c r="F96" s="183">
        <f>(E96-D96)/D96</f>
        <v>0</v>
      </c>
      <c r="G96" s="12"/>
    </row>
    <row r="97" spans="1:7" ht="15">
      <c r="A97" s="95" t="s">
        <v>377</v>
      </c>
      <c r="B97" s="95" t="s">
        <v>354</v>
      </c>
      <c r="C97" s="181" t="s">
        <v>2368</v>
      </c>
      <c r="D97" s="182">
        <v>1020</v>
      </c>
      <c r="E97" s="182">
        <v>1060</v>
      </c>
      <c r="F97" s="183">
        <f>(E97-D97)/D97</f>
        <v>3.9215686274509803E-2</v>
      </c>
      <c r="G97" s="12"/>
    </row>
    <row r="98" spans="1:7" ht="15">
      <c r="A98" s="95" t="s">
        <v>437</v>
      </c>
      <c r="B98" s="95" t="s">
        <v>354</v>
      </c>
      <c r="C98" s="181" t="s">
        <v>2368</v>
      </c>
      <c r="D98" s="182">
        <v>0</v>
      </c>
      <c r="E98" s="182">
        <v>0</v>
      </c>
      <c r="F98" s="184" t="s">
        <v>199</v>
      </c>
      <c r="G98" s="12"/>
    </row>
    <row r="99" spans="1:7" ht="15">
      <c r="A99" s="95" t="s">
        <v>438</v>
      </c>
      <c r="B99" s="95" t="s">
        <v>381</v>
      </c>
      <c r="C99" s="181" t="s">
        <v>2368</v>
      </c>
      <c r="D99" s="182">
        <v>0</v>
      </c>
      <c r="E99" s="182">
        <v>0</v>
      </c>
      <c r="F99" s="184" t="s">
        <v>199</v>
      </c>
      <c r="G99" s="12"/>
    </row>
    <row r="100" spans="1:7" ht="15">
      <c r="A100" s="95" t="s">
        <v>439</v>
      </c>
      <c r="B100" s="95" t="s">
        <v>405</v>
      </c>
      <c r="C100" s="181" t="s">
        <v>2368</v>
      </c>
      <c r="D100" s="182">
        <v>0</v>
      </c>
      <c r="E100" s="182">
        <v>0</v>
      </c>
      <c r="F100" s="184" t="s">
        <v>199</v>
      </c>
      <c r="G100" s="12"/>
    </row>
    <row r="101" spans="1:7" ht="15">
      <c r="A101" s="95" t="s">
        <v>410</v>
      </c>
      <c r="B101" s="95" t="s">
        <v>408</v>
      </c>
      <c r="C101" s="181" t="s">
        <v>2368</v>
      </c>
      <c r="D101" s="182">
        <v>1855</v>
      </c>
      <c r="E101" s="182">
        <v>1901</v>
      </c>
      <c r="F101" s="183">
        <f>(E101-D101)/D101</f>
        <v>2.4797843665768194E-2</v>
      </c>
      <c r="G101" s="12"/>
    </row>
    <row r="102" spans="1:7" ht="15">
      <c r="A102" s="95" t="s">
        <v>378</v>
      </c>
      <c r="B102" s="95" t="s">
        <v>354</v>
      </c>
      <c r="C102" s="181" t="s">
        <v>2368</v>
      </c>
      <c r="D102" s="182">
        <v>14995</v>
      </c>
      <c r="E102" s="182">
        <v>15220</v>
      </c>
      <c r="F102" s="183">
        <f>(E102-D102)/D102</f>
        <v>1.5005001667222408E-2</v>
      </c>
      <c r="G102" s="12"/>
    </row>
    <row r="103" spans="1:7" ht="15">
      <c r="A103" s="95" t="s">
        <v>2469</v>
      </c>
      <c r="B103" s="95" t="s">
        <v>2469</v>
      </c>
      <c r="C103" s="181" t="s">
        <v>2470</v>
      </c>
      <c r="D103" s="182">
        <v>0</v>
      </c>
      <c r="E103" s="182">
        <v>0</v>
      </c>
      <c r="F103" s="184" t="s">
        <v>199</v>
      </c>
      <c r="G103" s="12"/>
    </row>
    <row r="104" spans="1:7" ht="15">
      <c r="A104" s="95" t="s">
        <v>419</v>
      </c>
      <c r="B104" s="95" t="s">
        <v>2440</v>
      </c>
      <c r="C104" s="181" t="s">
        <v>2368</v>
      </c>
      <c r="D104" s="182">
        <v>326</v>
      </c>
      <c r="E104" s="182">
        <v>326</v>
      </c>
      <c r="F104" s="183">
        <f>(E104-D104)/D104</f>
        <v>0</v>
      </c>
      <c r="G104" s="12"/>
    </row>
    <row r="105" spans="1:7" ht="15">
      <c r="A105" s="95" t="s">
        <v>396</v>
      </c>
      <c r="B105" s="95" t="s">
        <v>397</v>
      </c>
      <c r="C105" s="181" t="s">
        <v>2368</v>
      </c>
      <c r="D105" s="182">
        <v>11025</v>
      </c>
      <c r="E105" s="182">
        <v>11907</v>
      </c>
      <c r="F105" s="183">
        <f>(E105-D105)/D105</f>
        <v>0.08</v>
      </c>
      <c r="G105" s="12"/>
    </row>
    <row r="106" spans="1:7" ht="15">
      <c r="A106" s="95" t="s">
        <v>2477</v>
      </c>
      <c r="B106" s="95" t="s">
        <v>381</v>
      </c>
      <c r="C106" s="181" t="s">
        <v>2419</v>
      </c>
      <c r="D106" s="182">
        <v>0</v>
      </c>
      <c r="E106" s="182">
        <v>0</v>
      </c>
      <c r="F106" s="184" t="s">
        <v>199</v>
      </c>
      <c r="G106" s="12"/>
    </row>
    <row r="107" spans="1:7" ht="15">
      <c r="A107" s="95" t="s">
        <v>2466</v>
      </c>
      <c r="B107" s="95" t="s">
        <v>2467</v>
      </c>
      <c r="C107" s="181" t="s">
        <v>248</v>
      </c>
      <c r="D107" s="182">
        <v>0</v>
      </c>
      <c r="E107" s="182">
        <v>0</v>
      </c>
      <c r="F107" s="184" t="s">
        <v>199</v>
      </c>
      <c r="G107" s="12"/>
    </row>
    <row r="108" spans="1:7" ht="15">
      <c r="A108" s="95" t="s">
        <v>345</v>
      </c>
      <c r="B108" s="95" t="s">
        <v>352</v>
      </c>
      <c r="C108" s="181" t="s">
        <v>2368</v>
      </c>
      <c r="D108" s="182">
        <v>30460</v>
      </c>
      <c r="E108" s="182">
        <v>31525</v>
      </c>
      <c r="F108" s="183">
        <f>(E108-D108)/D108</f>
        <v>3.496388706500328E-2</v>
      </c>
      <c r="G108" s="12"/>
    </row>
    <row r="109" spans="1:7" ht="15">
      <c r="A109" s="95" t="s">
        <v>440</v>
      </c>
      <c r="B109" s="95" t="s">
        <v>354</v>
      </c>
      <c r="C109" s="181" t="s">
        <v>2368</v>
      </c>
      <c r="D109" s="182">
        <v>0</v>
      </c>
      <c r="E109" s="182">
        <v>0</v>
      </c>
      <c r="F109" s="184" t="s">
        <v>199</v>
      </c>
      <c r="G109" s="12"/>
    </row>
    <row r="110" spans="1:7" ht="15">
      <c r="A110" s="95" t="s">
        <v>379</v>
      </c>
      <c r="B110" s="95" t="s">
        <v>354</v>
      </c>
      <c r="C110" s="181" t="s">
        <v>2368</v>
      </c>
      <c r="D110" s="182">
        <v>4275</v>
      </c>
      <c r="E110" s="182">
        <v>4446</v>
      </c>
      <c r="F110" s="183">
        <f>(E110-D110)/D110</f>
        <v>0.04</v>
      </c>
      <c r="G110" s="12"/>
    </row>
    <row r="111" spans="1:7" ht="15">
      <c r="A111" s="95" t="s">
        <v>2471</v>
      </c>
      <c r="B111" s="95" t="s">
        <v>2472</v>
      </c>
      <c r="C111" s="181" t="s">
        <v>248</v>
      </c>
      <c r="D111" s="182">
        <v>0</v>
      </c>
      <c r="E111" s="182">
        <v>0</v>
      </c>
      <c r="F111" s="184" t="s">
        <v>199</v>
      </c>
      <c r="G111" s="12"/>
    </row>
    <row r="112" spans="1:7" ht="15">
      <c r="A112" s="95" t="s">
        <v>2468</v>
      </c>
      <c r="B112" s="95" t="s">
        <v>2468</v>
      </c>
      <c r="C112" s="181" t="s">
        <v>2447</v>
      </c>
      <c r="D112" s="182">
        <v>0</v>
      </c>
      <c r="E112" s="182">
        <v>0</v>
      </c>
      <c r="F112" s="184" t="s">
        <v>199</v>
      </c>
      <c r="G112" s="12"/>
    </row>
    <row r="113" spans="1:7" ht="15">
      <c r="A113" s="95" t="s">
        <v>411</v>
      </c>
      <c r="B113" s="95" t="s">
        <v>412</v>
      </c>
      <c r="C113" s="181" t="s">
        <v>2368</v>
      </c>
      <c r="D113" s="182">
        <v>2800</v>
      </c>
      <c r="E113" s="182">
        <v>3065</v>
      </c>
      <c r="F113" s="183">
        <f>(E113-D113)/D113</f>
        <v>9.464285714285714E-2</v>
      </c>
      <c r="G113" s="12"/>
    </row>
    <row r="114" spans="1:7" ht="15">
      <c r="A114" s="95" t="s">
        <v>441</v>
      </c>
      <c r="B114" s="95" t="s">
        <v>381</v>
      </c>
      <c r="C114" s="181" t="s">
        <v>2368</v>
      </c>
      <c r="D114" s="182">
        <v>0</v>
      </c>
      <c r="E114" s="182">
        <v>0</v>
      </c>
      <c r="F114" s="184" t="s">
        <v>199</v>
      </c>
      <c r="G114" s="12"/>
    </row>
    <row r="115" spans="1:7" ht="15">
      <c r="A115" s="95" t="s">
        <v>386</v>
      </c>
      <c r="B115" s="95" t="s">
        <v>381</v>
      </c>
      <c r="C115" s="181" t="s">
        <v>2368</v>
      </c>
      <c r="D115" s="182">
        <v>2649</v>
      </c>
      <c r="E115" s="182">
        <v>2728</v>
      </c>
      <c r="F115" s="183">
        <f>(E115-D115)/D115</f>
        <v>2.9822574556436391E-2</v>
      </c>
      <c r="G115" s="12"/>
    </row>
    <row r="116" spans="1:7" ht="15">
      <c r="A116" s="95" t="s">
        <v>371</v>
      </c>
      <c r="B116" s="95" t="s">
        <v>370</v>
      </c>
      <c r="C116" s="181" t="s">
        <v>2368</v>
      </c>
      <c r="D116" s="182">
        <v>1555.2</v>
      </c>
      <c r="E116" s="182">
        <v>0</v>
      </c>
      <c r="F116" s="184" t="s">
        <v>199</v>
      </c>
      <c r="G116" s="12"/>
    </row>
    <row r="117" spans="1:7" ht="15">
      <c r="A117" s="95" t="s">
        <v>2476</v>
      </c>
      <c r="B117" s="95" t="s">
        <v>381</v>
      </c>
      <c r="C117" s="181" t="s">
        <v>2419</v>
      </c>
      <c r="D117" s="182">
        <v>0</v>
      </c>
      <c r="E117" s="182">
        <v>0</v>
      </c>
      <c r="F117" s="184" t="s">
        <v>199</v>
      </c>
      <c r="G117" s="12"/>
    </row>
    <row r="118" spans="1:7" ht="15">
      <c r="A118" s="95" t="s">
        <v>2462</v>
      </c>
      <c r="B118" s="95" t="s">
        <v>2463</v>
      </c>
      <c r="C118" s="181" t="s">
        <v>2428</v>
      </c>
      <c r="D118" s="182">
        <v>0</v>
      </c>
      <c r="E118" s="182">
        <v>0</v>
      </c>
      <c r="F118" s="184" t="s">
        <v>199</v>
      </c>
      <c r="G118" s="12"/>
    </row>
    <row r="119" spans="1:7" ht="15">
      <c r="A119" s="95" t="s">
        <v>446</v>
      </c>
      <c r="B119" s="95" t="s">
        <v>445</v>
      </c>
      <c r="C119" s="181" t="s">
        <v>2368</v>
      </c>
      <c r="D119" s="182">
        <v>51330</v>
      </c>
      <c r="E119" s="182">
        <v>2188</v>
      </c>
      <c r="F119" s="183">
        <f>(E119-D119)/D119</f>
        <v>-0.95737385544515874</v>
      </c>
      <c r="G119" s="12"/>
    </row>
    <row r="120" spans="1:7" ht="15">
      <c r="A120" s="95" t="s">
        <v>2464</v>
      </c>
      <c r="B120" s="95" t="s">
        <v>2465</v>
      </c>
      <c r="C120" s="181" t="s">
        <v>2447</v>
      </c>
      <c r="D120" s="182">
        <v>0</v>
      </c>
      <c r="E120" s="182">
        <v>0</v>
      </c>
      <c r="F120" s="184" t="s">
        <v>199</v>
      </c>
      <c r="G120" s="12"/>
    </row>
    <row r="121" spans="1:7" ht="15">
      <c r="A121" s="95" t="s">
        <v>414</v>
      </c>
      <c r="B121" s="95" t="s">
        <v>413</v>
      </c>
      <c r="C121" s="181" t="s">
        <v>2368</v>
      </c>
      <c r="D121" s="182">
        <v>102288</v>
      </c>
      <c r="E121" s="182">
        <v>104394</v>
      </c>
      <c r="F121" s="183">
        <f>(E121-D121)/D121</f>
        <v>2.0588925387142187E-2</v>
      </c>
      <c r="G121" s="12"/>
    </row>
    <row r="122" spans="1:7" ht="15">
      <c r="A122" s="95" t="s">
        <v>387</v>
      </c>
      <c r="B122" s="95" t="s">
        <v>381</v>
      </c>
      <c r="C122" s="181" t="s">
        <v>2368</v>
      </c>
      <c r="D122" s="182">
        <v>2711</v>
      </c>
      <c r="E122" s="182">
        <v>2846</v>
      </c>
      <c r="F122" s="183">
        <f>(E122-D122)/D122</f>
        <v>4.9797122832902989E-2</v>
      </c>
      <c r="G122" s="12"/>
    </row>
    <row r="123" spans="1:7" ht="15">
      <c r="A123" s="95" t="s">
        <v>442</v>
      </c>
      <c r="B123" s="95" t="s">
        <v>381</v>
      </c>
      <c r="C123" s="181" t="s">
        <v>2368</v>
      </c>
      <c r="D123" s="182">
        <v>0</v>
      </c>
      <c r="E123" s="182">
        <v>0</v>
      </c>
      <c r="F123" s="184" t="s">
        <v>199</v>
      </c>
      <c r="G123" s="12"/>
    </row>
    <row r="124" spans="1:7" ht="15">
      <c r="A124" s="95" t="s">
        <v>443</v>
      </c>
      <c r="B124" s="95" t="s">
        <v>405</v>
      </c>
      <c r="C124" s="181" t="s">
        <v>2368</v>
      </c>
      <c r="D124" s="182">
        <v>0</v>
      </c>
      <c r="E124" s="182">
        <v>0</v>
      </c>
      <c r="F124" s="184" t="s">
        <v>199</v>
      </c>
      <c r="G124" s="12"/>
    </row>
    <row r="125" spans="1:7" ht="15">
      <c r="A125" s="95" t="s">
        <v>2475</v>
      </c>
      <c r="B125" s="95" t="s">
        <v>443</v>
      </c>
      <c r="C125" s="181" t="s">
        <v>2368</v>
      </c>
      <c r="D125" s="182">
        <v>0</v>
      </c>
      <c r="E125" s="182">
        <v>0</v>
      </c>
      <c r="F125" s="184" t="s">
        <v>199</v>
      </c>
      <c r="G125" s="12"/>
    </row>
    <row r="126" spans="1:7" ht="15.75" thickBot="1">
      <c r="A126" s="95" t="s">
        <v>444</v>
      </c>
      <c r="B126" s="95" t="s">
        <v>405</v>
      </c>
      <c r="C126" s="181" t="s">
        <v>2368</v>
      </c>
      <c r="D126" s="182">
        <v>0</v>
      </c>
      <c r="E126" s="182">
        <v>0</v>
      </c>
      <c r="F126" s="184" t="s">
        <v>199</v>
      </c>
      <c r="G126" s="12"/>
    </row>
    <row r="127" spans="1:7" ht="15.75" thickBot="1">
      <c r="A127" s="148" t="s">
        <v>66</v>
      </c>
      <c r="B127" s="160"/>
      <c r="C127" s="177"/>
      <c r="D127" s="161">
        <f>SUM(D4:D126)</f>
        <v>590808.06000000006</v>
      </c>
      <c r="E127" s="161">
        <f>SUM(E4:E126)</f>
        <v>520061.58999999997</v>
      </c>
      <c r="F127" s="172">
        <f>(E127-D127)/D127</f>
        <v>-0.11974526887801781</v>
      </c>
      <c r="G127" s="12"/>
    </row>
    <row r="128" spans="1:7" ht="15">
      <c r="A128" s="12"/>
      <c r="B128" s="12"/>
      <c r="C128" s="12"/>
      <c r="D128" s="12"/>
      <c r="E128" s="12"/>
      <c r="F128" s="12"/>
      <c r="G128" s="12"/>
    </row>
    <row r="129" spans="1:7" ht="15">
      <c r="A129" s="12"/>
      <c r="B129" s="12"/>
      <c r="C129" s="12"/>
      <c r="D129" s="12"/>
      <c r="E129" s="12"/>
      <c r="F129" s="12"/>
      <c r="G129" s="12"/>
    </row>
    <row r="130" spans="1:7" ht="15">
      <c r="A130" s="12"/>
      <c r="B130" s="12"/>
      <c r="C130" s="12"/>
      <c r="D130" s="12"/>
      <c r="E130" s="12"/>
      <c r="F130" s="12"/>
      <c r="G130" s="12"/>
    </row>
    <row r="131" spans="1:7" ht="15">
      <c r="B131" s="12"/>
      <c r="C131" s="12"/>
      <c r="D131" s="12"/>
      <c r="E131" s="12"/>
    </row>
    <row r="132" spans="1:7" ht="15">
      <c r="B132" s="12"/>
      <c r="C132" s="12"/>
      <c r="D132" s="12"/>
      <c r="E132" s="12"/>
    </row>
    <row r="133" spans="1:7" ht="15">
      <c r="B133" s="12"/>
      <c r="C133" s="12"/>
      <c r="D133" s="12"/>
      <c r="E133" s="12"/>
    </row>
    <row r="134" spans="1:7" ht="15">
      <c r="B134" s="12"/>
      <c r="C134" s="12"/>
      <c r="D134" s="12"/>
      <c r="E134" s="12"/>
    </row>
    <row r="135" spans="1:7" ht="15">
      <c r="B135" s="12"/>
      <c r="C135" s="12"/>
      <c r="D135" s="12"/>
      <c r="E135" s="12"/>
    </row>
    <row r="136" spans="1:7" ht="15">
      <c r="A136" s="12"/>
      <c r="B136" s="12"/>
      <c r="C136" s="12"/>
      <c r="D136" s="12"/>
      <c r="E136" s="12"/>
    </row>
    <row r="137" spans="1:7" ht="15">
      <c r="A137" s="12"/>
      <c r="B137" s="12"/>
      <c r="C137" s="12"/>
      <c r="D137" s="12"/>
      <c r="E137" s="12"/>
    </row>
  </sheetData>
  <sortState ref="A4:F105">
    <sortCondition ref="A4:A105"/>
  </sortState>
  <phoneticPr fontId="2" type="noConversion"/>
  <pageMargins left="0.54" right="0.37" top="1" bottom="1" header="0.5" footer="0.5"/>
  <pageSetup scale="86" fitToHeight="5" orientation="portrait" r:id="rId1"/>
  <headerFooter alignWithMargins="0">
    <oddFooter>&amp;C&amp;A&amp;RPage &amp;P of &amp;N</oddFooter>
  </headerFooter>
</worksheet>
</file>

<file path=xl/worksheets/sheet17.xml><?xml version="1.0" encoding="utf-8"?>
<worksheet xmlns="http://schemas.openxmlformats.org/spreadsheetml/2006/main" xmlns:r="http://schemas.openxmlformats.org/officeDocument/2006/relationships">
  <dimension ref="A1:F150"/>
  <sheetViews>
    <sheetView workbookViewId="0">
      <selection activeCell="C18" sqref="C18"/>
    </sheetView>
  </sheetViews>
  <sheetFormatPr defaultRowHeight="12.75"/>
  <cols>
    <col min="1" max="1" width="13.5703125" customWidth="1"/>
    <col min="2" max="2" width="78" customWidth="1"/>
    <col min="3" max="3" width="13.5703125" customWidth="1"/>
    <col min="4" max="4" width="42" customWidth="1"/>
  </cols>
  <sheetData>
    <row r="1" spans="1:6" ht="18.75">
      <c r="A1" s="30" t="s">
        <v>494</v>
      </c>
      <c r="B1" s="12"/>
      <c r="C1" s="12"/>
      <c r="D1" s="12"/>
      <c r="E1" s="12"/>
      <c r="F1" s="12"/>
    </row>
    <row r="2" spans="1:6" ht="15">
      <c r="A2" s="12"/>
      <c r="B2" s="12"/>
      <c r="C2" s="12"/>
      <c r="D2" s="12"/>
      <c r="E2" s="12"/>
      <c r="F2" s="12"/>
    </row>
    <row r="3" spans="1:6" ht="15.75" thickBot="1">
      <c r="A3" s="31" t="s">
        <v>329</v>
      </c>
      <c r="B3" s="31" t="s">
        <v>328</v>
      </c>
      <c r="C3" s="31" t="s">
        <v>2516</v>
      </c>
      <c r="D3" s="31" t="s">
        <v>327</v>
      </c>
      <c r="E3" s="12"/>
      <c r="F3" s="12"/>
    </row>
    <row r="4" spans="1:6" ht="15">
      <c r="A4" s="208" t="s">
        <v>499</v>
      </c>
      <c r="B4" s="208" t="s">
        <v>500</v>
      </c>
      <c r="C4" s="209" t="s">
        <v>501</v>
      </c>
      <c r="D4" s="208" t="s">
        <v>501</v>
      </c>
      <c r="E4" s="12"/>
      <c r="F4" s="12"/>
    </row>
    <row r="5" spans="1:6" ht="15">
      <c r="A5" s="208" t="s">
        <v>502</v>
      </c>
      <c r="B5" s="208" t="s">
        <v>503</v>
      </c>
      <c r="C5" s="209" t="s">
        <v>501</v>
      </c>
      <c r="D5" s="208" t="s">
        <v>501</v>
      </c>
      <c r="E5" s="12"/>
      <c r="F5" s="12"/>
    </row>
    <row r="6" spans="1:6" ht="15">
      <c r="A6" s="208"/>
      <c r="B6" s="208" t="s">
        <v>504</v>
      </c>
      <c r="C6" s="210">
        <v>3085</v>
      </c>
      <c r="D6" s="208" t="s">
        <v>501</v>
      </c>
      <c r="E6" s="12"/>
      <c r="F6" s="12"/>
    </row>
    <row r="7" spans="1:6" ht="15">
      <c r="A7" s="208"/>
      <c r="B7" s="208" t="s">
        <v>505</v>
      </c>
      <c r="C7" s="210">
        <v>9395</v>
      </c>
      <c r="D7" s="208" t="s">
        <v>501</v>
      </c>
      <c r="E7" s="12"/>
      <c r="F7" s="12"/>
    </row>
    <row r="8" spans="1:6" ht="15">
      <c r="A8" s="208" t="s">
        <v>506</v>
      </c>
      <c r="B8" s="208" t="s">
        <v>507</v>
      </c>
      <c r="C8" s="209" t="s">
        <v>501</v>
      </c>
      <c r="D8" s="208" t="s">
        <v>501</v>
      </c>
      <c r="E8" s="12"/>
      <c r="F8" s="12"/>
    </row>
    <row r="9" spans="1:6" ht="15">
      <c r="A9" s="208"/>
      <c r="B9" s="208" t="s">
        <v>504</v>
      </c>
      <c r="C9" s="210">
        <v>112</v>
      </c>
      <c r="D9" s="208" t="s">
        <v>501</v>
      </c>
      <c r="E9" s="12"/>
      <c r="F9" s="12"/>
    </row>
    <row r="10" spans="1:6" ht="15">
      <c r="A10" s="208"/>
      <c r="B10" s="208" t="s">
        <v>508</v>
      </c>
      <c r="C10" s="211">
        <v>169</v>
      </c>
      <c r="D10" s="208" t="s">
        <v>501</v>
      </c>
      <c r="E10" s="12"/>
      <c r="F10" s="12"/>
    </row>
    <row r="11" spans="1:6" ht="15">
      <c r="A11" s="208" t="s">
        <v>509</v>
      </c>
      <c r="B11" s="208" t="s">
        <v>510</v>
      </c>
      <c r="C11" s="210">
        <f>9395-2271</f>
        <v>7124</v>
      </c>
      <c r="D11" s="208" t="s">
        <v>501</v>
      </c>
      <c r="E11" s="12"/>
      <c r="F11" s="12"/>
    </row>
    <row r="12" spans="1:6" ht="15">
      <c r="A12" s="208" t="s">
        <v>511</v>
      </c>
      <c r="B12" s="208" t="s">
        <v>512</v>
      </c>
      <c r="C12" s="211" t="s">
        <v>513</v>
      </c>
      <c r="D12" s="208" t="s">
        <v>501</v>
      </c>
      <c r="E12" s="12"/>
      <c r="F12" s="12"/>
    </row>
    <row r="13" spans="1:6" s="3" customFormat="1" ht="15">
      <c r="A13" s="208" t="s">
        <v>514</v>
      </c>
      <c r="B13" s="208" t="s">
        <v>515</v>
      </c>
      <c r="C13" s="213">
        <f>C14+C17</f>
        <v>38527</v>
      </c>
      <c r="D13" s="208" t="s">
        <v>501</v>
      </c>
      <c r="E13" s="208"/>
      <c r="F13" s="208"/>
    </row>
    <row r="14" spans="1:6" s="3" customFormat="1" ht="15">
      <c r="A14" s="208" t="s">
        <v>326</v>
      </c>
      <c r="B14" s="208" t="s">
        <v>2515</v>
      </c>
      <c r="C14" s="212">
        <f>SUM(C15:C16)</f>
        <v>19351</v>
      </c>
      <c r="D14" s="208" t="s">
        <v>501</v>
      </c>
      <c r="E14" s="208"/>
      <c r="F14" s="208"/>
    </row>
    <row r="15" spans="1:6" s="3" customFormat="1" ht="15">
      <c r="A15" s="208" t="s">
        <v>516</v>
      </c>
      <c r="B15" s="208" t="s">
        <v>517</v>
      </c>
      <c r="C15" s="210">
        <v>18641</v>
      </c>
      <c r="D15" s="208" t="s">
        <v>501</v>
      </c>
      <c r="E15" s="208"/>
      <c r="F15" s="208"/>
    </row>
    <row r="16" spans="1:6" s="3" customFormat="1" ht="15">
      <c r="A16" s="208" t="s">
        <v>518</v>
      </c>
      <c r="B16" s="208" t="s">
        <v>519</v>
      </c>
      <c r="C16" s="210">
        <v>710</v>
      </c>
      <c r="D16" s="208" t="s">
        <v>501</v>
      </c>
      <c r="E16" s="208"/>
      <c r="F16" s="208"/>
    </row>
    <row r="17" spans="1:6" s="3" customFormat="1" ht="15">
      <c r="A17" s="208" t="s">
        <v>492</v>
      </c>
      <c r="B17" s="208" t="s">
        <v>520</v>
      </c>
      <c r="C17" s="212">
        <f>SUM(C18:C21)</f>
        <v>19176</v>
      </c>
      <c r="D17" s="208" t="s">
        <v>501</v>
      </c>
      <c r="E17" s="208"/>
      <c r="F17" s="208"/>
    </row>
    <row r="18" spans="1:6" s="3" customFormat="1" ht="15">
      <c r="A18" s="208" t="s">
        <v>521</v>
      </c>
      <c r="B18" s="208" t="s">
        <v>522</v>
      </c>
      <c r="C18" s="210">
        <v>5997</v>
      </c>
      <c r="D18" s="208" t="s">
        <v>501</v>
      </c>
      <c r="E18" s="208"/>
      <c r="F18" s="208"/>
    </row>
    <row r="19" spans="1:6" s="3" customFormat="1" ht="15">
      <c r="A19" s="208" t="s">
        <v>523</v>
      </c>
      <c r="B19" s="208" t="s">
        <v>524</v>
      </c>
      <c r="C19" s="210">
        <v>12680</v>
      </c>
      <c r="D19" s="208" t="s">
        <v>501</v>
      </c>
      <c r="E19" s="208"/>
      <c r="F19" s="208"/>
    </row>
    <row r="20" spans="1:6" s="3" customFormat="1" ht="15">
      <c r="A20" s="208" t="s">
        <v>525</v>
      </c>
      <c r="B20" s="208" t="s">
        <v>526</v>
      </c>
      <c r="C20" s="210">
        <v>63</v>
      </c>
      <c r="D20" s="208" t="s">
        <v>527</v>
      </c>
      <c r="E20" s="208"/>
      <c r="F20" s="208"/>
    </row>
    <row r="21" spans="1:6" s="3" customFormat="1" ht="15">
      <c r="A21" s="208" t="s">
        <v>528</v>
      </c>
      <c r="B21" s="208" t="s">
        <v>529</v>
      </c>
      <c r="C21" s="211">
        <v>436</v>
      </c>
      <c r="D21" s="208" t="s">
        <v>2521</v>
      </c>
      <c r="E21" s="208"/>
      <c r="F21" s="208"/>
    </row>
    <row r="22" spans="1:6" s="3" customFormat="1" ht="15">
      <c r="A22" s="208" t="s">
        <v>530</v>
      </c>
      <c r="B22" s="208" t="s">
        <v>531</v>
      </c>
      <c r="C22" s="211" t="s">
        <v>532</v>
      </c>
      <c r="D22" s="208" t="s">
        <v>2522</v>
      </c>
      <c r="E22" s="208"/>
      <c r="F22" s="208"/>
    </row>
    <row r="23" spans="1:6" s="3" customFormat="1" ht="15">
      <c r="A23" s="208" t="s">
        <v>493</v>
      </c>
      <c r="B23" s="208" t="s">
        <v>533</v>
      </c>
      <c r="C23" s="209" t="s">
        <v>501</v>
      </c>
      <c r="D23" s="208" t="s">
        <v>501</v>
      </c>
      <c r="E23" s="208"/>
      <c r="F23" s="208"/>
    </row>
    <row r="24" spans="1:6" s="3" customFormat="1" ht="15">
      <c r="A24" s="208"/>
      <c r="B24" s="208" t="s">
        <v>534</v>
      </c>
      <c r="C24" s="208">
        <v>645</v>
      </c>
      <c r="D24" s="208"/>
      <c r="E24" s="208"/>
      <c r="F24" s="208"/>
    </row>
    <row r="25" spans="1:6" ht="15">
      <c r="A25" s="12"/>
      <c r="B25" s="12"/>
      <c r="C25" s="12"/>
      <c r="D25" s="12"/>
      <c r="E25" s="12"/>
      <c r="F25" s="12"/>
    </row>
    <row r="26" spans="1:6" ht="15">
      <c r="A26" s="12"/>
      <c r="B26" s="12"/>
      <c r="C26" s="12"/>
      <c r="D26" s="12"/>
      <c r="E26" s="12"/>
      <c r="F26" s="12"/>
    </row>
    <row r="27" spans="1:6" ht="15">
      <c r="A27" s="12"/>
      <c r="B27" s="12"/>
      <c r="C27" s="12"/>
      <c r="D27" s="12"/>
      <c r="E27" s="12"/>
      <c r="F27" s="12"/>
    </row>
    <row r="28" spans="1:6" ht="15">
      <c r="A28" s="12"/>
      <c r="B28" s="12"/>
      <c r="C28" s="12"/>
      <c r="D28" s="12"/>
      <c r="E28" s="12"/>
      <c r="F28" s="12"/>
    </row>
    <row r="29" spans="1:6" ht="15">
      <c r="A29" s="12"/>
      <c r="B29" s="12"/>
      <c r="C29" s="12"/>
      <c r="D29" s="12"/>
      <c r="E29" s="12"/>
      <c r="F29" s="12"/>
    </row>
    <row r="30" spans="1:6" ht="15">
      <c r="A30" s="12"/>
      <c r="B30" s="12"/>
      <c r="C30" s="12"/>
      <c r="D30" s="12"/>
      <c r="E30" s="12"/>
      <c r="F30" s="12"/>
    </row>
    <row r="31" spans="1:6" ht="15">
      <c r="A31" s="12"/>
      <c r="B31" s="12"/>
      <c r="C31" s="12"/>
      <c r="D31" s="12"/>
      <c r="E31" s="12"/>
      <c r="F31" s="12"/>
    </row>
    <row r="32" spans="1:6" ht="15">
      <c r="A32" s="12"/>
      <c r="B32" s="12"/>
      <c r="C32" s="12"/>
      <c r="D32" s="12"/>
      <c r="E32" s="12"/>
      <c r="F32" s="12"/>
    </row>
    <row r="33" spans="1:6" ht="15">
      <c r="A33" s="12"/>
      <c r="B33" s="12"/>
      <c r="C33" s="12"/>
      <c r="D33" s="12"/>
      <c r="E33" s="12"/>
      <c r="F33" s="12"/>
    </row>
    <row r="34" spans="1:6" ht="15">
      <c r="A34" s="12"/>
      <c r="B34" s="12"/>
      <c r="C34" s="12"/>
      <c r="D34" s="12"/>
      <c r="E34" s="12"/>
      <c r="F34" s="12"/>
    </row>
    <row r="35" spans="1:6" ht="15">
      <c r="A35" s="12"/>
      <c r="B35" s="12"/>
      <c r="C35" s="12"/>
      <c r="D35" s="12"/>
      <c r="E35" s="12"/>
      <c r="F35" s="12"/>
    </row>
    <row r="36" spans="1:6" ht="15">
      <c r="A36" s="12"/>
      <c r="B36" s="12"/>
      <c r="C36" s="12"/>
      <c r="D36" s="12"/>
      <c r="E36" s="12"/>
      <c r="F36" s="12"/>
    </row>
    <row r="37" spans="1:6" ht="15">
      <c r="A37" s="12"/>
      <c r="B37" s="12"/>
      <c r="C37" s="12"/>
      <c r="D37" s="12"/>
      <c r="E37" s="12"/>
      <c r="F37" s="12"/>
    </row>
    <row r="38" spans="1:6" ht="15">
      <c r="A38" s="12"/>
      <c r="B38" s="12"/>
      <c r="C38" s="12"/>
      <c r="D38" s="12"/>
      <c r="E38" s="12"/>
      <c r="F38" s="12"/>
    </row>
    <row r="39" spans="1:6" ht="15">
      <c r="A39" s="12"/>
      <c r="B39" s="12"/>
      <c r="C39" s="12"/>
      <c r="D39" s="12"/>
      <c r="E39" s="12"/>
      <c r="F39" s="12"/>
    </row>
    <row r="40" spans="1:6" ht="15">
      <c r="A40" s="12"/>
      <c r="B40" s="12"/>
      <c r="C40" s="12"/>
      <c r="D40" s="12"/>
      <c r="E40" s="12"/>
      <c r="F40" s="12"/>
    </row>
    <row r="41" spans="1:6" ht="15">
      <c r="A41" s="12"/>
      <c r="B41" s="12"/>
      <c r="C41" s="12"/>
      <c r="D41" s="12"/>
      <c r="E41" s="12"/>
      <c r="F41" s="12"/>
    </row>
    <row r="42" spans="1:6" ht="15">
      <c r="A42" s="12"/>
      <c r="B42" s="12"/>
      <c r="C42" s="12"/>
      <c r="D42" s="12"/>
      <c r="E42" s="12"/>
      <c r="F42" s="12"/>
    </row>
    <row r="43" spans="1:6" ht="15">
      <c r="A43" s="12"/>
      <c r="B43" s="12"/>
      <c r="C43" s="12"/>
      <c r="D43" s="12"/>
      <c r="E43" s="12"/>
      <c r="F43" s="12"/>
    </row>
    <row r="44" spans="1:6" ht="15">
      <c r="A44" s="12"/>
      <c r="B44" s="12"/>
      <c r="C44" s="12"/>
      <c r="D44" s="12"/>
      <c r="E44" s="12"/>
      <c r="F44" s="12"/>
    </row>
    <row r="45" spans="1:6" ht="15">
      <c r="A45" s="12"/>
      <c r="B45" s="12"/>
      <c r="C45" s="12"/>
      <c r="D45" s="12"/>
      <c r="E45" s="12"/>
      <c r="F45" s="12"/>
    </row>
    <row r="46" spans="1:6" ht="15">
      <c r="A46" s="12"/>
      <c r="B46" s="12"/>
      <c r="C46" s="12"/>
      <c r="D46" s="12"/>
      <c r="E46" s="12"/>
      <c r="F46" s="12"/>
    </row>
    <row r="47" spans="1:6" ht="15">
      <c r="A47" s="12"/>
      <c r="B47" s="12"/>
      <c r="C47" s="12"/>
      <c r="D47" s="12"/>
      <c r="E47" s="12"/>
      <c r="F47" s="12"/>
    </row>
    <row r="48" spans="1:6" ht="15">
      <c r="A48" s="12"/>
      <c r="B48" s="12"/>
      <c r="C48" s="12"/>
      <c r="D48" s="12"/>
      <c r="E48" s="12"/>
      <c r="F48" s="12"/>
    </row>
    <row r="49" spans="1:6" ht="15">
      <c r="A49" s="12"/>
      <c r="B49" s="12"/>
      <c r="C49" s="12"/>
      <c r="D49" s="12"/>
      <c r="E49" s="12"/>
      <c r="F49" s="12"/>
    </row>
    <row r="50" spans="1:6" ht="15">
      <c r="A50" s="12"/>
      <c r="B50" s="12"/>
      <c r="C50" s="12"/>
      <c r="D50" s="12"/>
      <c r="E50" s="12"/>
      <c r="F50" s="12"/>
    </row>
    <row r="51" spans="1:6" ht="15">
      <c r="A51" s="12"/>
      <c r="B51" s="12"/>
      <c r="C51" s="12"/>
      <c r="D51" s="12"/>
      <c r="E51" s="12"/>
      <c r="F51" s="12"/>
    </row>
    <row r="52" spans="1:6" ht="15">
      <c r="A52" s="12"/>
      <c r="B52" s="12"/>
      <c r="C52" s="12"/>
      <c r="D52" s="12"/>
      <c r="E52" s="12"/>
      <c r="F52" s="12"/>
    </row>
    <row r="53" spans="1:6" ht="15">
      <c r="A53" s="12"/>
      <c r="B53" s="12"/>
      <c r="C53" s="12"/>
      <c r="D53" s="12"/>
      <c r="E53" s="12"/>
      <c r="F53" s="12"/>
    </row>
    <row r="54" spans="1:6" ht="15">
      <c r="A54" s="12"/>
      <c r="B54" s="12"/>
      <c r="C54" s="12"/>
      <c r="D54" s="12"/>
      <c r="E54" s="12"/>
      <c r="F54" s="12"/>
    </row>
    <row r="55" spans="1:6" ht="15">
      <c r="A55" s="12"/>
      <c r="B55" s="12"/>
      <c r="C55" s="12"/>
      <c r="D55" s="12"/>
      <c r="E55" s="12"/>
      <c r="F55" s="12"/>
    </row>
    <row r="56" spans="1:6" ht="15">
      <c r="A56" s="12"/>
      <c r="B56" s="12"/>
      <c r="C56" s="12"/>
      <c r="D56" s="12"/>
      <c r="E56" s="12"/>
      <c r="F56" s="12"/>
    </row>
    <row r="57" spans="1:6" ht="15">
      <c r="A57" s="12"/>
      <c r="B57" s="12"/>
      <c r="C57" s="12"/>
      <c r="D57" s="12"/>
      <c r="E57" s="12"/>
      <c r="F57" s="12"/>
    </row>
    <row r="58" spans="1:6" ht="15">
      <c r="A58" s="12"/>
      <c r="B58" s="12"/>
      <c r="C58" s="12"/>
      <c r="D58" s="12"/>
      <c r="E58" s="12"/>
      <c r="F58" s="12"/>
    </row>
    <row r="59" spans="1:6" ht="15">
      <c r="A59" s="12"/>
      <c r="B59" s="12"/>
      <c r="C59" s="12"/>
      <c r="D59" s="12"/>
      <c r="E59" s="12"/>
      <c r="F59" s="12"/>
    </row>
    <row r="60" spans="1:6" ht="15">
      <c r="A60" s="12"/>
      <c r="B60" s="12"/>
      <c r="C60" s="12"/>
      <c r="D60" s="12"/>
      <c r="E60" s="12"/>
      <c r="F60" s="12"/>
    </row>
    <row r="61" spans="1:6" ht="15">
      <c r="A61" s="12"/>
      <c r="B61" s="12"/>
      <c r="C61" s="12"/>
      <c r="D61" s="12"/>
      <c r="E61" s="12"/>
      <c r="F61" s="12"/>
    </row>
    <row r="62" spans="1:6" ht="15">
      <c r="A62" s="12"/>
      <c r="B62" s="12"/>
      <c r="C62" s="12"/>
      <c r="D62" s="12"/>
      <c r="E62" s="12"/>
      <c r="F62" s="12"/>
    </row>
    <row r="63" spans="1:6" ht="15">
      <c r="A63" s="12"/>
      <c r="B63" s="12"/>
      <c r="C63" s="12"/>
      <c r="D63" s="12"/>
      <c r="E63" s="12"/>
      <c r="F63" s="12"/>
    </row>
    <row r="64" spans="1:6" ht="15">
      <c r="A64" s="12"/>
      <c r="B64" s="12"/>
      <c r="C64" s="12"/>
      <c r="D64" s="12"/>
      <c r="E64" s="12"/>
      <c r="F64" s="12"/>
    </row>
    <row r="65" spans="1:6" ht="15">
      <c r="A65" s="12"/>
      <c r="B65" s="12"/>
      <c r="C65" s="12"/>
      <c r="D65" s="12"/>
      <c r="E65" s="12"/>
      <c r="F65" s="12"/>
    </row>
    <row r="66" spans="1:6" ht="15">
      <c r="A66" s="12"/>
      <c r="B66" s="12"/>
      <c r="C66" s="12"/>
      <c r="D66" s="12"/>
      <c r="E66" s="12"/>
      <c r="F66" s="12"/>
    </row>
    <row r="67" spans="1:6" ht="15">
      <c r="A67" s="12"/>
      <c r="B67" s="12"/>
      <c r="C67" s="12"/>
      <c r="D67" s="12"/>
      <c r="E67" s="12"/>
      <c r="F67" s="12"/>
    </row>
    <row r="68" spans="1:6" ht="15">
      <c r="A68" s="12"/>
      <c r="B68" s="12"/>
      <c r="C68" s="12"/>
      <c r="D68" s="12"/>
      <c r="E68" s="12"/>
      <c r="F68" s="12"/>
    </row>
    <row r="69" spans="1:6" ht="15">
      <c r="A69" s="12"/>
      <c r="B69" s="12"/>
      <c r="C69" s="12"/>
      <c r="D69" s="12"/>
      <c r="E69" s="12"/>
      <c r="F69" s="12"/>
    </row>
    <row r="70" spans="1:6" ht="15">
      <c r="A70" s="12"/>
      <c r="B70" s="12"/>
      <c r="C70" s="12"/>
      <c r="D70" s="12"/>
      <c r="E70" s="12"/>
      <c r="F70" s="12"/>
    </row>
    <row r="71" spans="1:6" ht="15">
      <c r="A71" s="12"/>
      <c r="B71" s="12"/>
      <c r="C71" s="12"/>
      <c r="D71" s="12"/>
      <c r="E71" s="12"/>
      <c r="F71" s="12"/>
    </row>
    <row r="72" spans="1:6" ht="15">
      <c r="A72" s="12"/>
      <c r="B72" s="12"/>
      <c r="C72" s="12"/>
      <c r="D72" s="12"/>
      <c r="E72" s="12"/>
      <c r="F72" s="12"/>
    </row>
    <row r="73" spans="1:6" ht="15">
      <c r="A73" s="12"/>
      <c r="B73" s="12"/>
      <c r="C73" s="12"/>
      <c r="D73" s="12"/>
      <c r="E73" s="12"/>
      <c r="F73" s="12"/>
    </row>
    <row r="74" spans="1:6" ht="15">
      <c r="A74" s="12"/>
      <c r="B74" s="12"/>
      <c r="C74" s="12"/>
      <c r="D74" s="12"/>
      <c r="E74" s="12"/>
      <c r="F74" s="12"/>
    </row>
    <row r="75" spans="1:6" ht="15">
      <c r="A75" s="12"/>
      <c r="B75" s="12"/>
      <c r="C75" s="12"/>
      <c r="D75" s="12"/>
      <c r="E75" s="12"/>
      <c r="F75" s="12"/>
    </row>
    <row r="76" spans="1:6" ht="15">
      <c r="A76" s="12"/>
      <c r="B76" s="12"/>
      <c r="C76" s="12"/>
      <c r="D76" s="12"/>
      <c r="E76" s="12"/>
      <c r="F76" s="12"/>
    </row>
    <row r="77" spans="1:6" ht="15">
      <c r="A77" s="12"/>
      <c r="B77" s="12"/>
      <c r="C77" s="12"/>
      <c r="D77" s="12"/>
      <c r="E77" s="12"/>
      <c r="F77" s="12"/>
    </row>
    <row r="78" spans="1:6" ht="15">
      <c r="A78" s="12"/>
      <c r="B78" s="12"/>
      <c r="C78" s="12"/>
      <c r="D78" s="12"/>
      <c r="E78" s="12"/>
      <c r="F78" s="12"/>
    </row>
    <row r="79" spans="1:6" ht="15">
      <c r="A79" s="12"/>
      <c r="B79" s="12"/>
      <c r="C79" s="12"/>
      <c r="D79" s="12"/>
      <c r="E79" s="12"/>
      <c r="F79" s="12"/>
    </row>
    <row r="80" spans="1:6" ht="15">
      <c r="A80" s="12"/>
      <c r="B80" s="12"/>
      <c r="C80" s="12"/>
      <c r="D80" s="12"/>
      <c r="E80" s="12"/>
      <c r="F80" s="12"/>
    </row>
    <row r="81" spans="1:6" ht="15">
      <c r="A81" s="12"/>
      <c r="B81" s="12"/>
      <c r="C81" s="12"/>
      <c r="D81" s="12"/>
      <c r="E81" s="12"/>
      <c r="F81" s="12"/>
    </row>
    <row r="82" spans="1:6" ht="15">
      <c r="A82" s="12"/>
      <c r="B82" s="12"/>
      <c r="C82" s="12"/>
      <c r="D82" s="12"/>
      <c r="E82" s="12"/>
      <c r="F82" s="12"/>
    </row>
    <row r="83" spans="1:6" ht="15">
      <c r="A83" s="12"/>
      <c r="B83" s="12"/>
      <c r="C83" s="12"/>
      <c r="D83" s="12"/>
      <c r="E83" s="12"/>
      <c r="F83" s="12"/>
    </row>
    <row r="84" spans="1:6" ht="15">
      <c r="A84" s="12"/>
      <c r="B84" s="12"/>
      <c r="C84" s="12"/>
      <c r="D84" s="12"/>
      <c r="E84" s="12"/>
      <c r="F84" s="12"/>
    </row>
    <row r="85" spans="1:6" ht="15">
      <c r="A85" s="12"/>
      <c r="B85" s="12"/>
      <c r="C85" s="12"/>
      <c r="D85" s="12"/>
      <c r="E85" s="12"/>
      <c r="F85" s="12"/>
    </row>
    <row r="86" spans="1:6" ht="15">
      <c r="A86" s="12"/>
      <c r="B86" s="12"/>
      <c r="C86" s="12"/>
      <c r="D86" s="12"/>
      <c r="E86" s="12"/>
      <c r="F86" s="12"/>
    </row>
    <row r="87" spans="1:6" ht="15">
      <c r="A87" s="12"/>
      <c r="B87" s="12"/>
      <c r="C87" s="12"/>
      <c r="D87" s="12"/>
      <c r="E87" s="12"/>
      <c r="F87" s="12"/>
    </row>
    <row r="88" spans="1:6" ht="15">
      <c r="A88" s="12"/>
      <c r="B88" s="12"/>
      <c r="C88" s="12"/>
      <c r="D88" s="12"/>
      <c r="E88" s="12"/>
      <c r="F88" s="12"/>
    </row>
    <row r="89" spans="1:6" ht="15">
      <c r="A89" s="12"/>
      <c r="B89" s="12"/>
      <c r="C89" s="12"/>
      <c r="D89" s="12"/>
      <c r="E89" s="12"/>
      <c r="F89" s="12"/>
    </row>
    <row r="90" spans="1:6" ht="15">
      <c r="A90" s="12"/>
      <c r="B90" s="12"/>
      <c r="C90" s="12"/>
      <c r="D90" s="12"/>
      <c r="E90" s="12"/>
      <c r="F90" s="12"/>
    </row>
    <row r="91" spans="1:6" ht="15">
      <c r="A91" s="12"/>
      <c r="B91" s="12"/>
      <c r="C91" s="12"/>
      <c r="D91" s="12"/>
      <c r="E91" s="12"/>
      <c r="F91" s="12"/>
    </row>
    <row r="92" spans="1:6" ht="15">
      <c r="A92" s="12"/>
      <c r="B92" s="12"/>
      <c r="C92" s="12"/>
      <c r="D92" s="12"/>
      <c r="E92" s="12"/>
      <c r="F92" s="12"/>
    </row>
    <row r="93" spans="1:6" ht="15">
      <c r="A93" s="12"/>
      <c r="B93" s="12"/>
      <c r="C93" s="12"/>
      <c r="D93" s="12"/>
      <c r="E93" s="12"/>
      <c r="F93" s="12"/>
    </row>
    <row r="94" spans="1:6" ht="15">
      <c r="A94" s="12"/>
      <c r="B94" s="12"/>
      <c r="C94" s="12"/>
      <c r="D94" s="12"/>
      <c r="E94" s="12"/>
      <c r="F94" s="12"/>
    </row>
    <row r="95" spans="1:6" ht="15">
      <c r="A95" s="12"/>
      <c r="B95" s="12"/>
      <c r="C95" s="12"/>
      <c r="D95" s="12"/>
      <c r="E95" s="12"/>
      <c r="F95" s="12"/>
    </row>
    <row r="96" spans="1:6" ht="15">
      <c r="A96" s="12"/>
      <c r="B96" s="12"/>
      <c r="C96" s="12"/>
      <c r="D96" s="12"/>
      <c r="E96" s="12"/>
      <c r="F96" s="12"/>
    </row>
    <row r="97" spans="1:6" ht="15">
      <c r="A97" s="12"/>
      <c r="B97" s="12"/>
      <c r="C97" s="12"/>
      <c r="D97" s="12"/>
      <c r="E97" s="12"/>
      <c r="F97" s="12"/>
    </row>
    <row r="98" spans="1:6" ht="15">
      <c r="A98" s="12"/>
      <c r="B98" s="12"/>
      <c r="C98" s="12"/>
      <c r="D98" s="12"/>
      <c r="E98" s="12"/>
      <c r="F98" s="12"/>
    </row>
    <row r="99" spans="1:6" ht="15">
      <c r="A99" s="12"/>
      <c r="B99" s="12"/>
      <c r="C99" s="12"/>
      <c r="D99" s="12"/>
      <c r="E99" s="12"/>
      <c r="F99" s="12"/>
    </row>
    <row r="100" spans="1:6" ht="15">
      <c r="A100" s="12"/>
      <c r="B100" s="12"/>
      <c r="C100" s="12"/>
      <c r="D100" s="12"/>
      <c r="E100" s="12"/>
      <c r="F100" s="12"/>
    </row>
    <row r="101" spans="1:6" ht="15">
      <c r="A101" s="12"/>
      <c r="B101" s="12"/>
      <c r="C101" s="12"/>
      <c r="D101" s="12"/>
      <c r="E101" s="12"/>
      <c r="F101" s="12"/>
    </row>
    <row r="102" spans="1:6" ht="15">
      <c r="A102" s="12"/>
      <c r="B102" s="12"/>
      <c r="C102" s="12"/>
      <c r="D102" s="12"/>
      <c r="E102" s="12"/>
      <c r="F102" s="12"/>
    </row>
    <row r="103" spans="1:6" ht="15">
      <c r="A103" s="12"/>
      <c r="B103" s="12"/>
      <c r="C103" s="12"/>
      <c r="D103" s="12"/>
      <c r="E103" s="12"/>
      <c r="F103" s="12"/>
    </row>
    <row r="104" spans="1:6" ht="15">
      <c r="A104" s="12"/>
      <c r="B104" s="12"/>
      <c r="C104" s="12"/>
      <c r="D104" s="12"/>
      <c r="E104" s="12"/>
      <c r="F104" s="12"/>
    </row>
    <row r="105" spans="1:6" ht="15">
      <c r="A105" s="12"/>
      <c r="B105" s="12"/>
      <c r="C105" s="12"/>
      <c r="D105" s="12"/>
      <c r="E105" s="12"/>
      <c r="F105" s="12"/>
    </row>
    <row r="106" spans="1:6" ht="15">
      <c r="A106" s="12"/>
      <c r="B106" s="12"/>
      <c r="C106" s="12"/>
      <c r="D106" s="12"/>
      <c r="E106" s="12"/>
      <c r="F106" s="12"/>
    </row>
    <row r="107" spans="1:6" ht="15">
      <c r="A107" s="12"/>
      <c r="B107" s="12"/>
      <c r="C107" s="12"/>
      <c r="D107" s="12"/>
      <c r="E107" s="12"/>
      <c r="F107" s="12"/>
    </row>
    <row r="108" spans="1:6" ht="15">
      <c r="A108" s="12"/>
      <c r="B108" s="12"/>
      <c r="C108" s="12"/>
      <c r="D108" s="12"/>
      <c r="E108" s="12"/>
      <c r="F108" s="12"/>
    </row>
    <row r="109" spans="1:6" ht="15">
      <c r="A109" s="12"/>
      <c r="B109" s="12"/>
      <c r="C109" s="12"/>
      <c r="D109" s="12"/>
      <c r="E109" s="12"/>
      <c r="F109" s="12"/>
    </row>
    <row r="110" spans="1:6" ht="15">
      <c r="A110" s="12"/>
      <c r="B110" s="12"/>
      <c r="C110" s="12"/>
      <c r="D110" s="12"/>
      <c r="E110" s="12"/>
      <c r="F110" s="12"/>
    </row>
    <row r="111" spans="1:6" ht="15">
      <c r="A111" s="12"/>
      <c r="B111" s="12"/>
      <c r="C111" s="12"/>
      <c r="D111" s="12"/>
      <c r="E111" s="12"/>
      <c r="F111" s="12"/>
    </row>
    <row r="112" spans="1:6" ht="15">
      <c r="A112" s="12"/>
      <c r="B112" s="12"/>
      <c r="C112" s="12"/>
      <c r="D112" s="12"/>
      <c r="E112" s="12"/>
      <c r="F112" s="12"/>
    </row>
    <row r="113" spans="1:6" ht="15">
      <c r="A113" s="12"/>
      <c r="B113" s="12"/>
      <c r="C113" s="12"/>
      <c r="D113" s="12"/>
      <c r="E113" s="12"/>
      <c r="F113" s="12"/>
    </row>
    <row r="114" spans="1:6" ht="15">
      <c r="A114" s="12"/>
      <c r="B114" s="12"/>
      <c r="C114" s="12"/>
      <c r="D114" s="12"/>
      <c r="E114" s="12"/>
      <c r="F114" s="12"/>
    </row>
    <row r="115" spans="1:6" ht="15">
      <c r="A115" s="12"/>
      <c r="B115" s="12"/>
      <c r="C115" s="12"/>
      <c r="D115" s="12"/>
      <c r="E115" s="12"/>
      <c r="F115" s="12"/>
    </row>
    <row r="116" spans="1:6" ht="15">
      <c r="A116" s="12"/>
      <c r="B116" s="12"/>
      <c r="C116" s="12"/>
      <c r="D116" s="12"/>
      <c r="E116" s="12"/>
      <c r="F116" s="12"/>
    </row>
    <row r="117" spans="1:6" ht="15">
      <c r="A117" s="12"/>
      <c r="B117" s="12"/>
      <c r="C117" s="12"/>
      <c r="D117" s="12"/>
      <c r="E117" s="12"/>
      <c r="F117" s="12"/>
    </row>
    <row r="118" spans="1:6" ht="15">
      <c r="A118" s="12"/>
      <c r="B118" s="12"/>
      <c r="C118" s="12"/>
      <c r="D118" s="12"/>
      <c r="E118" s="12"/>
      <c r="F118" s="12"/>
    </row>
    <row r="119" spans="1:6" ht="15">
      <c r="A119" s="12"/>
      <c r="B119" s="12"/>
      <c r="C119" s="12"/>
      <c r="D119" s="12"/>
      <c r="E119" s="12"/>
      <c r="F119" s="12"/>
    </row>
    <row r="120" spans="1:6" ht="15">
      <c r="A120" s="12"/>
      <c r="B120" s="12"/>
      <c r="C120" s="12"/>
      <c r="D120" s="12"/>
      <c r="E120" s="12"/>
      <c r="F120" s="12"/>
    </row>
    <row r="121" spans="1:6" ht="15">
      <c r="A121" s="12"/>
      <c r="B121" s="12"/>
      <c r="C121" s="12"/>
      <c r="D121" s="12"/>
      <c r="E121" s="12"/>
      <c r="F121" s="12"/>
    </row>
    <row r="122" spans="1:6" ht="15">
      <c r="A122" s="12"/>
      <c r="B122" s="12"/>
      <c r="C122" s="12"/>
      <c r="D122" s="12"/>
      <c r="E122" s="12"/>
      <c r="F122" s="12"/>
    </row>
    <row r="123" spans="1:6" ht="15">
      <c r="A123" s="12"/>
      <c r="B123" s="12"/>
      <c r="C123" s="12"/>
      <c r="D123" s="12"/>
      <c r="E123" s="12"/>
      <c r="F123" s="12"/>
    </row>
    <row r="124" spans="1:6" ht="15">
      <c r="A124" s="12"/>
      <c r="B124" s="12"/>
      <c r="C124" s="12"/>
      <c r="D124" s="12"/>
      <c r="E124" s="12"/>
      <c r="F124" s="12"/>
    </row>
    <row r="125" spans="1:6" ht="15">
      <c r="A125" s="12"/>
      <c r="B125" s="12"/>
      <c r="C125" s="12"/>
      <c r="D125" s="12"/>
      <c r="E125" s="12"/>
      <c r="F125" s="12"/>
    </row>
    <row r="126" spans="1:6" ht="15">
      <c r="A126" s="12"/>
      <c r="B126" s="12"/>
      <c r="C126" s="12"/>
      <c r="D126" s="12"/>
      <c r="E126" s="12"/>
      <c r="F126" s="12"/>
    </row>
    <row r="127" spans="1:6" ht="15">
      <c r="A127" s="12"/>
      <c r="B127" s="12"/>
      <c r="C127" s="12"/>
      <c r="D127" s="12"/>
      <c r="E127" s="12"/>
      <c r="F127" s="12"/>
    </row>
    <row r="128" spans="1:6" ht="15">
      <c r="A128" s="12"/>
      <c r="B128" s="12"/>
      <c r="C128" s="12"/>
      <c r="D128" s="12"/>
      <c r="E128" s="12"/>
      <c r="F128" s="12"/>
    </row>
    <row r="129" spans="1:6" ht="15">
      <c r="A129" s="12"/>
      <c r="B129" s="12"/>
      <c r="C129" s="12"/>
      <c r="D129" s="12"/>
      <c r="E129" s="12"/>
      <c r="F129" s="12"/>
    </row>
    <row r="130" spans="1:6" ht="15">
      <c r="A130" s="12"/>
      <c r="B130" s="12"/>
      <c r="C130" s="12"/>
      <c r="D130" s="12"/>
      <c r="E130" s="12"/>
      <c r="F130" s="12"/>
    </row>
    <row r="131" spans="1:6" ht="15">
      <c r="A131" s="12"/>
      <c r="B131" s="12"/>
      <c r="C131" s="12"/>
      <c r="D131" s="12"/>
      <c r="E131" s="12"/>
      <c r="F131" s="12"/>
    </row>
    <row r="132" spans="1:6" ht="15">
      <c r="A132" s="12"/>
      <c r="B132" s="12"/>
      <c r="C132" s="12"/>
      <c r="D132" s="12"/>
      <c r="E132" s="12"/>
      <c r="F132" s="12"/>
    </row>
    <row r="133" spans="1:6" ht="15">
      <c r="A133" s="12"/>
      <c r="B133" s="12"/>
      <c r="C133" s="12"/>
      <c r="D133" s="12"/>
      <c r="E133" s="12"/>
      <c r="F133" s="12"/>
    </row>
    <row r="134" spans="1:6" ht="15">
      <c r="A134" s="12"/>
      <c r="B134" s="12"/>
      <c r="C134" s="12"/>
      <c r="D134" s="12"/>
      <c r="E134" s="12"/>
      <c r="F134" s="12"/>
    </row>
    <row r="135" spans="1:6" ht="15">
      <c r="A135" s="12"/>
      <c r="B135" s="12"/>
      <c r="C135" s="12"/>
      <c r="D135" s="12"/>
      <c r="E135" s="12"/>
      <c r="F135" s="12"/>
    </row>
    <row r="136" spans="1:6" ht="15">
      <c r="A136" s="12"/>
      <c r="B136" s="12"/>
      <c r="C136" s="12"/>
      <c r="D136" s="12"/>
      <c r="E136" s="12"/>
      <c r="F136" s="12"/>
    </row>
    <row r="137" spans="1:6" ht="15">
      <c r="A137" s="12"/>
      <c r="B137" s="12"/>
      <c r="C137" s="12"/>
      <c r="D137" s="12"/>
      <c r="E137" s="12"/>
      <c r="F137" s="12"/>
    </row>
    <row r="138" spans="1:6" ht="15">
      <c r="A138" s="12"/>
      <c r="B138" s="12"/>
      <c r="C138" s="12"/>
      <c r="D138" s="12"/>
      <c r="E138" s="12"/>
      <c r="F138" s="12"/>
    </row>
    <row r="139" spans="1:6" ht="15">
      <c r="A139" s="12"/>
      <c r="B139" s="12"/>
      <c r="C139" s="12"/>
      <c r="D139" s="12"/>
      <c r="E139" s="12"/>
      <c r="F139" s="12"/>
    </row>
    <row r="140" spans="1:6" ht="15">
      <c r="A140" s="12"/>
      <c r="B140" s="12"/>
      <c r="C140" s="12"/>
      <c r="D140" s="12"/>
      <c r="E140" s="12"/>
      <c r="F140" s="12"/>
    </row>
    <row r="141" spans="1:6" ht="15">
      <c r="A141" s="12"/>
      <c r="B141" s="12"/>
      <c r="C141" s="12"/>
      <c r="D141" s="12"/>
      <c r="E141" s="12"/>
      <c r="F141" s="12"/>
    </row>
    <row r="142" spans="1:6" ht="15">
      <c r="A142" s="12"/>
      <c r="B142" s="12"/>
      <c r="C142" s="12"/>
      <c r="D142" s="12"/>
      <c r="E142" s="12"/>
      <c r="F142" s="12"/>
    </row>
    <row r="143" spans="1:6" ht="15">
      <c r="A143" s="12"/>
      <c r="B143" s="12"/>
      <c r="C143" s="12"/>
      <c r="D143" s="12"/>
      <c r="E143" s="12"/>
      <c r="F143" s="12"/>
    </row>
    <row r="144" spans="1:6" ht="15">
      <c r="A144" s="12"/>
      <c r="B144" s="12"/>
      <c r="C144" s="12"/>
      <c r="D144" s="12"/>
      <c r="E144" s="12"/>
      <c r="F144" s="12"/>
    </row>
    <row r="145" spans="1:6" ht="15">
      <c r="A145" s="12"/>
      <c r="B145" s="12"/>
      <c r="C145" s="12"/>
      <c r="D145" s="12"/>
      <c r="E145" s="12"/>
      <c r="F145" s="12"/>
    </row>
    <row r="146" spans="1:6" ht="15">
      <c r="A146" s="12"/>
      <c r="B146" s="12"/>
      <c r="C146" s="12"/>
      <c r="D146" s="12"/>
      <c r="E146" s="12"/>
      <c r="F146" s="12"/>
    </row>
    <row r="147" spans="1:6" ht="15">
      <c r="A147" s="12"/>
      <c r="B147" s="12"/>
      <c r="C147" s="12"/>
      <c r="D147" s="12"/>
      <c r="E147" s="12"/>
      <c r="F147" s="12"/>
    </row>
    <row r="148" spans="1:6" ht="15">
      <c r="A148" s="12"/>
      <c r="B148" s="12"/>
      <c r="C148" s="12"/>
      <c r="D148" s="12"/>
      <c r="E148" s="12"/>
      <c r="F148" s="12"/>
    </row>
    <row r="149" spans="1:6" ht="15">
      <c r="A149" s="12"/>
      <c r="B149" s="12"/>
      <c r="C149" s="12"/>
      <c r="D149" s="12"/>
      <c r="E149" s="12"/>
      <c r="F149" s="12"/>
    </row>
    <row r="150" spans="1:6" ht="15">
      <c r="A150" s="12"/>
      <c r="B150" s="12"/>
      <c r="C150" s="12"/>
      <c r="D150" s="12"/>
      <c r="E150" s="12"/>
      <c r="F150" s="12"/>
    </row>
  </sheetData>
  <phoneticPr fontId="2" type="noConversion"/>
  <pageMargins left="0.75" right="0.75" top="1" bottom="1" header="0.5" footer="0.5"/>
  <pageSetup paperSize="5" orientation="landscape" r:id="rId1"/>
  <headerFooter alignWithMargins="0">
    <oddFooter>&amp;L&amp;F&amp;C&amp;A&amp;RPage &amp;P of &amp;N</oddFooter>
  </headerFooter>
  <drawing r:id="rId2"/>
</worksheet>
</file>

<file path=xl/worksheets/sheet18.xml><?xml version="1.0" encoding="utf-8"?>
<worksheet xmlns="http://schemas.openxmlformats.org/spreadsheetml/2006/main" xmlns:r="http://schemas.openxmlformats.org/officeDocument/2006/relationships">
  <dimension ref="A1:E69"/>
  <sheetViews>
    <sheetView workbookViewId="0">
      <selection activeCell="C10" sqref="C10"/>
    </sheetView>
  </sheetViews>
  <sheetFormatPr defaultRowHeight="12.75"/>
  <cols>
    <col min="1" max="1" width="13.5703125" customWidth="1"/>
    <col min="2" max="2" width="78" customWidth="1"/>
    <col min="3" max="3" width="13.5703125" customWidth="1"/>
    <col min="4" max="4" width="56.28515625" bestFit="1" customWidth="1"/>
  </cols>
  <sheetData>
    <row r="1" spans="1:5" ht="18.75">
      <c r="A1" s="30" t="s">
        <v>563</v>
      </c>
      <c r="B1" s="12"/>
      <c r="C1" s="12"/>
      <c r="D1" s="12"/>
      <c r="E1" s="12"/>
    </row>
    <row r="2" spans="1:5" ht="15">
      <c r="A2" s="12"/>
      <c r="B2" s="12"/>
      <c r="C2" s="12"/>
      <c r="D2" s="12"/>
      <c r="E2" s="12"/>
    </row>
    <row r="3" spans="1:5" ht="15.75" thickBot="1">
      <c r="A3" s="31" t="s">
        <v>329</v>
      </c>
      <c r="B3" s="31" t="s">
        <v>328</v>
      </c>
      <c r="C3" s="31" t="s">
        <v>2516</v>
      </c>
      <c r="D3" s="31" t="s">
        <v>327</v>
      </c>
      <c r="E3" s="12"/>
    </row>
    <row r="4" spans="1:5" ht="15">
      <c r="A4" s="208" t="s">
        <v>535</v>
      </c>
      <c r="B4" s="208" t="s">
        <v>536</v>
      </c>
      <c r="C4" s="216">
        <f>SUM(C5:C8)</f>
        <v>2953975</v>
      </c>
      <c r="D4" s="208" t="s">
        <v>501</v>
      </c>
      <c r="E4" s="12"/>
    </row>
    <row r="5" spans="1:5" ht="15">
      <c r="A5" s="208" t="s">
        <v>537</v>
      </c>
      <c r="B5" s="208" t="s">
        <v>538</v>
      </c>
      <c r="C5" s="214">
        <v>304317</v>
      </c>
      <c r="D5" s="208" t="s">
        <v>501</v>
      </c>
      <c r="E5" s="12"/>
    </row>
    <row r="6" spans="1:5" ht="15">
      <c r="A6" s="208" t="s">
        <v>539</v>
      </c>
      <c r="B6" s="208" t="s">
        <v>540</v>
      </c>
      <c r="C6" s="215">
        <v>2320637</v>
      </c>
      <c r="D6" s="208" t="s">
        <v>501</v>
      </c>
      <c r="E6" s="12"/>
    </row>
    <row r="7" spans="1:5" ht="15">
      <c r="A7" s="208" t="s">
        <v>541</v>
      </c>
      <c r="B7" s="208" t="s">
        <v>542</v>
      </c>
      <c r="C7" s="215">
        <v>265815</v>
      </c>
      <c r="D7" s="208" t="s">
        <v>543</v>
      </c>
      <c r="E7" s="12"/>
    </row>
    <row r="8" spans="1:5" ht="15">
      <c r="A8" s="208" t="s">
        <v>544</v>
      </c>
      <c r="B8" s="208" t="s">
        <v>545</v>
      </c>
      <c r="C8" s="214">
        <v>63206</v>
      </c>
      <c r="D8" s="208" t="s">
        <v>2517</v>
      </c>
      <c r="E8" s="12"/>
    </row>
    <row r="9" spans="1:5" ht="15">
      <c r="A9" s="208" t="s">
        <v>495</v>
      </c>
      <c r="B9" s="208" t="s">
        <v>496</v>
      </c>
      <c r="C9" s="215">
        <v>17891</v>
      </c>
      <c r="D9" s="208" t="s">
        <v>501</v>
      </c>
      <c r="E9" s="12"/>
    </row>
    <row r="10" spans="1:5" ht="15">
      <c r="A10" s="208" t="s">
        <v>546</v>
      </c>
      <c r="B10" s="208" t="s">
        <v>547</v>
      </c>
      <c r="C10" s="214">
        <v>255115</v>
      </c>
      <c r="D10" s="208" t="s">
        <v>501</v>
      </c>
      <c r="E10" s="12"/>
    </row>
    <row r="11" spans="1:5" ht="15">
      <c r="A11" s="208" t="s">
        <v>497</v>
      </c>
      <c r="B11" s="208" t="s">
        <v>548</v>
      </c>
      <c r="C11" s="215">
        <v>2357546</v>
      </c>
      <c r="D11" s="208" t="s">
        <v>501</v>
      </c>
      <c r="E11" s="12"/>
    </row>
    <row r="12" spans="1:5" ht="15">
      <c r="A12" s="12"/>
      <c r="B12" s="12"/>
      <c r="C12" s="12"/>
      <c r="D12" s="12"/>
      <c r="E12" s="12"/>
    </row>
    <row r="13" spans="1:5" ht="15">
      <c r="A13" s="12"/>
      <c r="B13" s="12"/>
      <c r="C13" s="12"/>
      <c r="D13" s="12"/>
      <c r="E13" s="12"/>
    </row>
    <row r="14" spans="1:5" ht="15">
      <c r="A14" s="12"/>
      <c r="B14" s="12"/>
      <c r="C14" s="12"/>
      <c r="D14" s="12"/>
      <c r="E14" s="12"/>
    </row>
    <row r="15" spans="1:5" ht="15">
      <c r="A15" s="12"/>
      <c r="B15" s="12"/>
      <c r="C15" s="12"/>
      <c r="D15" s="12"/>
      <c r="E15" s="12"/>
    </row>
    <row r="16" spans="1:5" ht="15">
      <c r="A16" s="12"/>
      <c r="B16" s="12"/>
      <c r="C16" s="12"/>
      <c r="D16" s="12"/>
      <c r="E16" s="12"/>
    </row>
    <row r="17" spans="1:5" ht="15">
      <c r="A17" s="12"/>
      <c r="B17" s="12"/>
      <c r="C17" s="12"/>
      <c r="D17" s="12"/>
      <c r="E17" s="12"/>
    </row>
    <row r="18" spans="1:5" ht="15">
      <c r="A18" s="12"/>
      <c r="B18" s="12"/>
      <c r="C18" s="12"/>
      <c r="D18" s="12"/>
      <c r="E18" s="12"/>
    </row>
    <row r="19" spans="1:5" ht="15">
      <c r="A19" s="12"/>
      <c r="B19" s="12"/>
      <c r="C19" s="12"/>
      <c r="D19" s="12"/>
      <c r="E19" s="12"/>
    </row>
    <row r="20" spans="1:5" ht="15">
      <c r="A20" s="12"/>
      <c r="B20" s="12"/>
      <c r="C20" s="12"/>
      <c r="D20" s="12"/>
      <c r="E20" s="12"/>
    </row>
    <row r="21" spans="1:5" ht="15">
      <c r="A21" s="12"/>
      <c r="B21" s="12"/>
      <c r="C21" s="12"/>
      <c r="D21" s="12"/>
      <c r="E21" s="12"/>
    </row>
    <row r="22" spans="1:5" ht="15">
      <c r="A22" s="12"/>
      <c r="B22" s="12"/>
      <c r="C22" s="12"/>
      <c r="D22" s="12"/>
      <c r="E22" s="12"/>
    </row>
    <row r="23" spans="1:5" ht="15">
      <c r="A23" s="12"/>
      <c r="B23" s="12"/>
      <c r="C23" s="12"/>
      <c r="D23" s="12"/>
      <c r="E23" s="12"/>
    </row>
    <row r="24" spans="1:5" ht="15">
      <c r="A24" s="12"/>
      <c r="B24" s="12"/>
      <c r="C24" s="12"/>
      <c r="D24" s="12"/>
      <c r="E24" s="12"/>
    </row>
    <row r="25" spans="1:5" ht="15">
      <c r="A25" s="12"/>
      <c r="B25" s="12"/>
      <c r="C25" s="12"/>
      <c r="D25" s="12"/>
      <c r="E25" s="12"/>
    </row>
    <row r="26" spans="1:5" ht="15">
      <c r="A26" s="12"/>
      <c r="B26" s="12"/>
      <c r="C26" s="12"/>
      <c r="D26" s="12"/>
      <c r="E26" s="12"/>
    </row>
    <row r="27" spans="1:5" ht="15">
      <c r="A27" s="12"/>
      <c r="B27" s="12"/>
      <c r="C27" s="12"/>
      <c r="D27" s="12"/>
      <c r="E27" s="12"/>
    </row>
    <row r="28" spans="1:5" ht="15">
      <c r="A28" s="12"/>
      <c r="B28" s="12"/>
      <c r="C28" s="12"/>
      <c r="D28" s="12"/>
      <c r="E28" s="12"/>
    </row>
    <row r="29" spans="1:5" ht="15">
      <c r="A29" s="12"/>
      <c r="B29" s="12"/>
      <c r="C29" s="12"/>
      <c r="D29" s="12"/>
      <c r="E29" s="12"/>
    </row>
    <row r="30" spans="1:5" ht="15">
      <c r="A30" s="12"/>
      <c r="B30" s="12"/>
      <c r="C30" s="12"/>
      <c r="D30" s="12"/>
      <c r="E30" s="12"/>
    </row>
    <row r="31" spans="1:5" ht="15">
      <c r="A31" s="12"/>
      <c r="B31" s="12"/>
      <c r="C31" s="12"/>
      <c r="D31" s="12"/>
      <c r="E31" s="12"/>
    </row>
    <row r="32" spans="1:5" ht="15">
      <c r="A32" s="12"/>
      <c r="B32" s="12"/>
      <c r="C32" s="12"/>
      <c r="D32" s="12"/>
      <c r="E32" s="12"/>
    </row>
    <row r="33" spans="1:5" ht="15">
      <c r="A33" s="12"/>
      <c r="B33" s="12"/>
      <c r="C33" s="12"/>
      <c r="D33" s="12"/>
      <c r="E33" s="12"/>
    </row>
    <row r="34" spans="1:5" ht="15">
      <c r="A34" s="12"/>
      <c r="B34" s="12"/>
      <c r="C34" s="12"/>
      <c r="D34" s="12"/>
      <c r="E34" s="12"/>
    </row>
    <row r="35" spans="1:5" ht="15">
      <c r="A35" s="12"/>
      <c r="B35" s="12"/>
      <c r="C35" s="12"/>
      <c r="D35" s="12"/>
      <c r="E35" s="12"/>
    </row>
    <row r="36" spans="1:5" ht="15">
      <c r="A36" s="12"/>
      <c r="B36" s="12"/>
      <c r="C36" s="12"/>
      <c r="D36" s="12"/>
      <c r="E36" s="12"/>
    </row>
    <row r="37" spans="1:5" ht="15">
      <c r="A37" s="12"/>
      <c r="B37" s="12"/>
      <c r="C37" s="12"/>
      <c r="D37" s="12"/>
      <c r="E37" s="12"/>
    </row>
    <row r="38" spans="1:5" ht="15">
      <c r="A38" s="12"/>
      <c r="B38" s="12"/>
      <c r="C38" s="12"/>
      <c r="D38" s="12"/>
      <c r="E38" s="12"/>
    </row>
    <row r="39" spans="1:5" ht="15">
      <c r="A39" s="12"/>
      <c r="B39" s="12"/>
      <c r="C39" s="12"/>
      <c r="D39" s="12"/>
      <c r="E39" s="12"/>
    </row>
    <row r="40" spans="1:5" ht="15">
      <c r="A40" s="12"/>
      <c r="B40" s="12"/>
      <c r="C40" s="12"/>
      <c r="D40" s="12"/>
      <c r="E40" s="12"/>
    </row>
    <row r="41" spans="1:5" ht="15">
      <c r="A41" s="12"/>
      <c r="B41" s="12"/>
      <c r="C41" s="12"/>
      <c r="D41" s="12"/>
      <c r="E41" s="12"/>
    </row>
    <row r="42" spans="1:5" ht="15">
      <c r="A42" s="12"/>
      <c r="B42" s="12"/>
      <c r="C42" s="12"/>
      <c r="D42" s="12"/>
      <c r="E42" s="12"/>
    </row>
    <row r="43" spans="1:5" ht="15">
      <c r="A43" s="12"/>
      <c r="B43" s="12"/>
      <c r="C43" s="12"/>
      <c r="D43" s="12"/>
      <c r="E43" s="12"/>
    </row>
    <row r="44" spans="1:5" ht="15">
      <c r="A44" s="12"/>
      <c r="B44" s="12"/>
      <c r="C44" s="12"/>
      <c r="D44" s="12"/>
      <c r="E44" s="12"/>
    </row>
    <row r="45" spans="1:5" ht="15">
      <c r="A45" s="12"/>
      <c r="B45" s="12"/>
      <c r="C45" s="12"/>
      <c r="D45" s="12"/>
      <c r="E45" s="12"/>
    </row>
    <row r="46" spans="1:5" ht="15">
      <c r="A46" s="12"/>
      <c r="B46" s="12"/>
      <c r="C46" s="12"/>
      <c r="D46" s="12"/>
      <c r="E46" s="12"/>
    </row>
    <row r="47" spans="1:5" ht="15">
      <c r="A47" s="12"/>
      <c r="B47" s="12"/>
      <c r="C47" s="12"/>
      <c r="D47" s="12"/>
      <c r="E47" s="12"/>
    </row>
    <row r="48" spans="1:5" ht="15">
      <c r="A48" s="12"/>
      <c r="B48" s="12"/>
      <c r="C48" s="12"/>
      <c r="D48" s="12"/>
      <c r="E48" s="12"/>
    </row>
    <row r="49" spans="1:5" ht="15">
      <c r="A49" s="12"/>
      <c r="B49" s="12"/>
      <c r="C49" s="12"/>
      <c r="D49" s="12"/>
      <c r="E49" s="12"/>
    </row>
    <row r="50" spans="1:5" ht="15">
      <c r="A50" s="12"/>
      <c r="B50" s="12"/>
      <c r="C50" s="12"/>
      <c r="D50" s="12"/>
      <c r="E50" s="12"/>
    </row>
    <row r="51" spans="1:5" ht="15">
      <c r="A51" s="12"/>
      <c r="B51" s="12"/>
      <c r="C51" s="12"/>
      <c r="D51" s="12"/>
      <c r="E51" s="12"/>
    </row>
    <row r="52" spans="1:5" ht="15">
      <c r="A52" s="12"/>
      <c r="B52" s="12"/>
      <c r="C52" s="12"/>
      <c r="D52" s="12"/>
      <c r="E52" s="12"/>
    </row>
    <row r="53" spans="1:5" ht="15">
      <c r="A53" s="12"/>
      <c r="B53" s="12"/>
      <c r="C53" s="12"/>
      <c r="D53" s="12"/>
      <c r="E53" s="12"/>
    </row>
    <row r="54" spans="1:5" ht="15">
      <c r="A54" s="12"/>
      <c r="B54" s="12"/>
      <c r="C54" s="12"/>
      <c r="D54" s="12"/>
      <c r="E54" s="12"/>
    </row>
    <row r="55" spans="1:5" ht="15">
      <c r="A55" s="12"/>
      <c r="B55" s="12"/>
      <c r="C55" s="12"/>
      <c r="D55" s="12"/>
      <c r="E55" s="12"/>
    </row>
    <row r="56" spans="1:5" ht="15">
      <c r="A56" s="12"/>
      <c r="B56" s="12"/>
      <c r="C56" s="12"/>
      <c r="D56" s="12"/>
      <c r="E56" s="12"/>
    </row>
    <row r="57" spans="1:5" ht="15">
      <c r="A57" s="12"/>
      <c r="B57" s="12"/>
      <c r="C57" s="12"/>
      <c r="D57" s="12"/>
      <c r="E57" s="12"/>
    </row>
    <row r="58" spans="1:5" ht="15">
      <c r="A58" s="12"/>
      <c r="B58" s="12"/>
      <c r="C58" s="12"/>
      <c r="D58" s="12"/>
      <c r="E58" s="12"/>
    </row>
    <row r="59" spans="1:5" ht="15">
      <c r="A59" s="12"/>
      <c r="B59" s="12"/>
      <c r="C59" s="12"/>
      <c r="D59" s="12"/>
      <c r="E59" s="12"/>
    </row>
    <row r="60" spans="1:5" ht="15">
      <c r="A60" s="12"/>
      <c r="B60" s="12"/>
      <c r="C60" s="12"/>
      <c r="D60" s="12"/>
      <c r="E60" s="12"/>
    </row>
    <row r="61" spans="1:5" ht="15">
      <c r="A61" s="12"/>
      <c r="B61" s="12"/>
      <c r="C61" s="12"/>
      <c r="D61" s="12"/>
      <c r="E61" s="12"/>
    </row>
    <row r="62" spans="1:5" ht="15">
      <c r="A62" s="12"/>
      <c r="B62" s="12"/>
      <c r="C62" s="12"/>
      <c r="D62" s="12"/>
      <c r="E62" s="12"/>
    </row>
    <row r="63" spans="1:5" ht="15">
      <c r="A63" s="12"/>
      <c r="B63" s="12"/>
      <c r="C63" s="12"/>
      <c r="D63" s="12"/>
      <c r="E63" s="12"/>
    </row>
    <row r="64" spans="1:5" ht="15">
      <c r="A64" s="12"/>
      <c r="B64" s="12"/>
      <c r="C64" s="12"/>
      <c r="D64" s="12"/>
      <c r="E64" s="12"/>
    </row>
    <row r="65" spans="1:5" ht="15">
      <c r="A65" s="12"/>
      <c r="B65" s="12"/>
      <c r="C65" s="12"/>
      <c r="D65" s="12"/>
      <c r="E65" s="12"/>
    </row>
    <row r="66" spans="1:5" ht="15">
      <c r="A66" s="12"/>
      <c r="B66" s="12"/>
      <c r="C66" s="12"/>
      <c r="D66" s="12"/>
      <c r="E66" s="12"/>
    </row>
    <row r="67" spans="1:5" ht="15">
      <c r="A67" s="12"/>
      <c r="B67" s="12"/>
      <c r="C67" s="12"/>
      <c r="D67" s="12"/>
      <c r="E67" s="12"/>
    </row>
    <row r="68" spans="1:5" ht="15">
      <c r="A68" s="12"/>
      <c r="B68" s="12"/>
      <c r="C68" s="12"/>
      <c r="D68" s="12"/>
      <c r="E68" s="12"/>
    </row>
    <row r="69" spans="1:5" ht="15">
      <c r="A69" s="12"/>
      <c r="B69" s="12"/>
      <c r="C69" s="12"/>
      <c r="D69" s="12"/>
      <c r="E69" s="12"/>
    </row>
  </sheetData>
  <phoneticPr fontId="2" type="noConversion"/>
  <pageMargins left="0.75" right="0.75" top="1" bottom="1" header="0.5" footer="0.5"/>
  <pageSetup paperSize="5" orientation="landscape" r:id="rId1"/>
  <headerFooter alignWithMargins="0">
    <oddFooter>&amp;L&amp;F&amp;C&amp;A&amp;RPage &amp;P of &amp;N</oddFooter>
  </headerFooter>
  <ignoredErrors>
    <ignoredError sqref="C4" formulaRange="1"/>
  </ignoredErrors>
  <drawing r:id="rId2"/>
</worksheet>
</file>

<file path=xl/worksheets/sheet19.xml><?xml version="1.0" encoding="utf-8"?>
<worksheet xmlns="http://schemas.openxmlformats.org/spreadsheetml/2006/main" xmlns:r="http://schemas.openxmlformats.org/officeDocument/2006/relationships">
  <sheetPr>
    <pageSetUpPr fitToPage="1"/>
  </sheetPr>
  <dimension ref="A1:D116"/>
  <sheetViews>
    <sheetView workbookViewId="0"/>
  </sheetViews>
  <sheetFormatPr defaultRowHeight="12.75"/>
  <cols>
    <col min="1" max="1" width="13.5703125" customWidth="1"/>
    <col min="2" max="2" width="78" customWidth="1"/>
    <col min="3" max="3" width="13.5703125" customWidth="1"/>
    <col min="4" max="4" width="58.42578125" bestFit="1" customWidth="1"/>
  </cols>
  <sheetData>
    <row r="1" spans="1:4" ht="18.75">
      <c r="A1" s="30" t="s">
        <v>2519</v>
      </c>
      <c r="B1" s="12"/>
      <c r="C1" s="12"/>
      <c r="D1" s="12"/>
    </row>
    <row r="2" spans="1:4" ht="15">
      <c r="A2" s="12"/>
      <c r="B2" s="12"/>
      <c r="C2" s="12"/>
      <c r="D2" s="12"/>
    </row>
    <row r="3" spans="1:4" ht="15.75" thickBot="1">
      <c r="A3" s="31" t="s">
        <v>329</v>
      </c>
      <c r="B3" s="31" t="s">
        <v>328</v>
      </c>
      <c r="C3" s="31" t="s">
        <v>330</v>
      </c>
      <c r="D3" s="31" t="s">
        <v>327</v>
      </c>
    </row>
    <row r="4" spans="1:4" ht="15">
      <c r="A4" s="217" t="s">
        <v>549</v>
      </c>
      <c r="B4" s="217" t="s">
        <v>550</v>
      </c>
      <c r="C4" s="218">
        <v>587870</v>
      </c>
      <c r="D4" s="217" t="s">
        <v>551</v>
      </c>
    </row>
    <row r="5" spans="1:4" ht="15">
      <c r="A5" s="217" t="s">
        <v>552</v>
      </c>
      <c r="B5" s="217" t="s">
        <v>517</v>
      </c>
      <c r="C5" s="218">
        <v>255115</v>
      </c>
      <c r="D5" s="217" t="s">
        <v>553</v>
      </c>
    </row>
    <row r="6" spans="1:4" ht="15">
      <c r="A6" s="217" t="s">
        <v>554</v>
      </c>
      <c r="B6" s="217" t="s">
        <v>555</v>
      </c>
      <c r="C6" s="219">
        <v>10700</v>
      </c>
      <c r="D6" s="217" t="s">
        <v>303</v>
      </c>
    </row>
    <row r="7" spans="1:4" ht="15">
      <c r="A7" s="217" t="s">
        <v>556</v>
      </c>
      <c r="B7" s="217" t="s">
        <v>557</v>
      </c>
      <c r="C7" s="219">
        <v>2352096</v>
      </c>
      <c r="D7" s="217" t="s">
        <v>558</v>
      </c>
    </row>
    <row r="8" spans="1:4" ht="30">
      <c r="A8" s="217" t="s">
        <v>559</v>
      </c>
      <c r="B8" s="217" t="s">
        <v>560</v>
      </c>
      <c r="C8" s="218">
        <v>2306004</v>
      </c>
      <c r="D8" s="217" t="s">
        <v>2520</v>
      </c>
    </row>
    <row r="9" spans="1:4" ht="15">
      <c r="A9" s="217" t="s">
        <v>561</v>
      </c>
      <c r="B9" s="217" t="s">
        <v>562</v>
      </c>
      <c r="C9" s="219">
        <v>125552</v>
      </c>
      <c r="D9" s="217" t="s">
        <v>2518</v>
      </c>
    </row>
    <row r="10" spans="1:4" ht="15">
      <c r="A10" s="12"/>
      <c r="B10" s="12"/>
      <c r="C10" s="12"/>
      <c r="D10" s="12"/>
    </row>
    <row r="11" spans="1:4" ht="15">
      <c r="A11" s="12"/>
      <c r="B11" s="12"/>
      <c r="C11" s="12"/>
      <c r="D11" s="12"/>
    </row>
    <row r="12" spans="1:4" ht="15">
      <c r="A12" s="12"/>
      <c r="B12" s="12"/>
      <c r="C12" s="12"/>
      <c r="D12" s="12"/>
    </row>
    <row r="13" spans="1:4" ht="15">
      <c r="A13" s="12"/>
      <c r="B13" s="12"/>
      <c r="C13" s="12"/>
      <c r="D13" s="12"/>
    </row>
    <row r="14" spans="1:4" ht="15">
      <c r="A14" s="12"/>
      <c r="B14" s="12"/>
      <c r="C14" s="12"/>
      <c r="D14" s="12"/>
    </row>
    <row r="15" spans="1:4" ht="15">
      <c r="A15" s="12"/>
      <c r="B15" s="12"/>
      <c r="C15" s="12"/>
      <c r="D15" s="12"/>
    </row>
    <row r="16" spans="1:4" ht="15">
      <c r="A16" s="12"/>
      <c r="B16" s="12"/>
      <c r="C16" s="12"/>
      <c r="D16" s="12"/>
    </row>
    <row r="17" spans="1:4" ht="15">
      <c r="A17" s="12"/>
      <c r="B17" s="12"/>
      <c r="C17" s="12"/>
      <c r="D17" s="12"/>
    </row>
    <row r="18" spans="1:4" ht="15">
      <c r="A18" s="12"/>
      <c r="B18" s="12"/>
      <c r="C18" s="12"/>
      <c r="D18" s="12"/>
    </row>
    <row r="19" spans="1:4" ht="15">
      <c r="A19" s="12"/>
      <c r="B19" s="12"/>
      <c r="C19" s="12"/>
      <c r="D19" s="12"/>
    </row>
    <row r="20" spans="1:4" ht="15">
      <c r="A20" s="12"/>
      <c r="B20" s="12"/>
      <c r="C20" s="12"/>
      <c r="D20" s="12"/>
    </row>
    <row r="21" spans="1:4" ht="15">
      <c r="A21" s="12"/>
      <c r="B21" s="12"/>
      <c r="C21" s="12"/>
      <c r="D21" s="12"/>
    </row>
    <row r="22" spans="1:4" ht="15">
      <c r="A22" s="12"/>
      <c r="B22" s="12"/>
      <c r="C22" s="12"/>
      <c r="D22" s="12"/>
    </row>
    <row r="23" spans="1:4" ht="15">
      <c r="A23" s="12"/>
      <c r="B23" s="12"/>
      <c r="C23" s="12"/>
      <c r="D23" s="12"/>
    </row>
    <row r="24" spans="1:4" ht="15">
      <c r="A24" s="12"/>
      <c r="B24" s="12"/>
      <c r="C24" s="12"/>
      <c r="D24" s="12"/>
    </row>
    <row r="25" spans="1:4" ht="15">
      <c r="A25" s="12"/>
      <c r="B25" s="12"/>
      <c r="C25" s="12"/>
      <c r="D25" s="12"/>
    </row>
    <row r="26" spans="1:4" ht="15">
      <c r="A26" s="12"/>
      <c r="B26" s="12"/>
      <c r="C26" s="12"/>
      <c r="D26" s="12"/>
    </row>
    <row r="27" spans="1:4" ht="15">
      <c r="A27" s="12"/>
      <c r="B27" s="12"/>
      <c r="C27" s="12"/>
      <c r="D27" s="12"/>
    </row>
    <row r="28" spans="1:4" ht="15">
      <c r="A28" s="12"/>
      <c r="B28" s="12"/>
      <c r="C28" s="12"/>
      <c r="D28" s="12"/>
    </row>
    <row r="29" spans="1:4" ht="15">
      <c r="A29" s="12"/>
      <c r="B29" s="12"/>
      <c r="C29" s="12"/>
      <c r="D29" s="12"/>
    </row>
    <row r="30" spans="1:4" ht="15">
      <c r="A30" s="12"/>
      <c r="B30" s="12"/>
      <c r="C30" s="12"/>
      <c r="D30" s="12"/>
    </row>
    <row r="31" spans="1:4" ht="15">
      <c r="A31" s="12"/>
      <c r="B31" s="12"/>
      <c r="C31" s="12"/>
      <c r="D31" s="12"/>
    </row>
    <row r="32" spans="1:4" ht="15">
      <c r="A32" s="12"/>
      <c r="B32" s="12"/>
      <c r="C32" s="12"/>
      <c r="D32" s="12"/>
    </row>
    <row r="33" spans="1:4" ht="15">
      <c r="A33" s="12"/>
      <c r="B33" s="12"/>
      <c r="C33" s="12"/>
      <c r="D33" s="12"/>
    </row>
    <row r="34" spans="1:4" ht="15">
      <c r="A34" s="12"/>
      <c r="B34" s="12"/>
      <c r="C34" s="12"/>
      <c r="D34" s="12"/>
    </row>
    <row r="35" spans="1:4" ht="15">
      <c r="A35" s="12"/>
      <c r="B35" s="12"/>
      <c r="C35" s="12"/>
      <c r="D35" s="12"/>
    </row>
    <row r="36" spans="1:4" ht="15">
      <c r="A36" s="12"/>
      <c r="B36" s="12"/>
      <c r="C36" s="12"/>
      <c r="D36" s="12"/>
    </row>
    <row r="37" spans="1:4" ht="15">
      <c r="A37" s="12"/>
      <c r="B37" s="12"/>
      <c r="C37" s="12"/>
      <c r="D37" s="12"/>
    </row>
    <row r="38" spans="1:4" ht="15">
      <c r="A38" s="12"/>
      <c r="B38" s="12"/>
      <c r="C38" s="12"/>
      <c r="D38" s="12"/>
    </row>
    <row r="39" spans="1:4" ht="15">
      <c r="A39" s="12"/>
      <c r="B39" s="12"/>
      <c r="C39" s="12"/>
      <c r="D39" s="12"/>
    </row>
    <row r="40" spans="1:4" ht="15">
      <c r="A40" s="12"/>
      <c r="B40" s="12"/>
      <c r="C40" s="12"/>
      <c r="D40" s="12"/>
    </row>
    <row r="41" spans="1:4" ht="15">
      <c r="A41" s="12"/>
      <c r="B41" s="12"/>
      <c r="C41" s="12"/>
      <c r="D41" s="12"/>
    </row>
    <row r="42" spans="1:4" ht="15">
      <c r="A42" s="12"/>
      <c r="B42" s="12"/>
      <c r="C42" s="12"/>
      <c r="D42" s="12"/>
    </row>
    <row r="43" spans="1:4" ht="15">
      <c r="A43" s="12"/>
      <c r="B43" s="12"/>
      <c r="C43" s="12"/>
      <c r="D43" s="12"/>
    </row>
    <row r="44" spans="1:4" ht="15">
      <c r="A44" s="12"/>
      <c r="B44" s="12"/>
      <c r="C44" s="12"/>
      <c r="D44" s="12"/>
    </row>
    <row r="45" spans="1:4" ht="15">
      <c r="A45" s="12"/>
      <c r="B45" s="12"/>
      <c r="C45" s="12"/>
      <c r="D45" s="12"/>
    </row>
    <row r="46" spans="1:4" ht="15">
      <c r="A46" s="12"/>
      <c r="B46" s="12"/>
      <c r="C46" s="12"/>
      <c r="D46" s="12"/>
    </row>
    <row r="47" spans="1:4" ht="15">
      <c r="A47" s="12"/>
      <c r="B47" s="12"/>
      <c r="C47" s="12"/>
      <c r="D47" s="12"/>
    </row>
    <row r="48" spans="1:4" ht="15">
      <c r="A48" s="12"/>
      <c r="B48" s="12"/>
      <c r="C48" s="12"/>
      <c r="D48" s="12"/>
    </row>
    <row r="49" spans="1:4" ht="15">
      <c r="A49" s="12"/>
      <c r="B49" s="12"/>
      <c r="C49" s="12"/>
      <c r="D49" s="12"/>
    </row>
    <row r="50" spans="1:4" ht="15">
      <c r="A50" s="12"/>
      <c r="B50" s="12"/>
      <c r="C50" s="12"/>
      <c r="D50" s="12"/>
    </row>
    <row r="51" spans="1:4" ht="15">
      <c r="A51" s="12"/>
      <c r="B51" s="12"/>
      <c r="C51" s="12"/>
      <c r="D51" s="12"/>
    </row>
    <row r="52" spans="1:4" ht="15">
      <c r="A52" s="12"/>
      <c r="B52" s="12"/>
      <c r="C52" s="12"/>
      <c r="D52" s="12"/>
    </row>
    <row r="53" spans="1:4" ht="15">
      <c r="A53" s="12"/>
      <c r="B53" s="12"/>
      <c r="C53" s="12"/>
      <c r="D53" s="12"/>
    </row>
    <row r="54" spans="1:4" ht="15">
      <c r="A54" s="12"/>
      <c r="B54" s="12"/>
      <c r="C54" s="12"/>
      <c r="D54" s="12"/>
    </row>
    <row r="55" spans="1:4" ht="15">
      <c r="A55" s="12"/>
      <c r="B55" s="12"/>
      <c r="C55" s="12"/>
      <c r="D55" s="12"/>
    </row>
    <row r="56" spans="1:4" ht="15">
      <c r="A56" s="12"/>
      <c r="B56" s="12"/>
      <c r="C56" s="12"/>
      <c r="D56" s="12"/>
    </row>
    <row r="57" spans="1:4" ht="15">
      <c r="A57" s="12"/>
      <c r="B57" s="12"/>
      <c r="C57" s="12"/>
      <c r="D57" s="12"/>
    </row>
    <row r="58" spans="1:4" ht="15">
      <c r="A58" s="12"/>
      <c r="B58" s="12"/>
      <c r="C58" s="12"/>
      <c r="D58" s="12"/>
    </row>
    <row r="59" spans="1:4" ht="15">
      <c r="A59" s="12"/>
      <c r="B59" s="12"/>
      <c r="C59" s="12"/>
      <c r="D59" s="12"/>
    </row>
    <row r="60" spans="1:4" ht="15">
      <c r="A60" s="12"/>
      <c r="B60" s="12"/>
      <c r="C60" s="12"/>
      <c r="D60" s="12"/>
    </row>
    <row r="61" spans="1:4" ht="15">
      <c r="A61" s="12"/>
      <c r="B61" s="12"/>
      <c r="C61" s="12"/>
      <c r="D61" s="12"/>
    </row>
    <row r="62" spans="1:4" ht="15">
      <c r="A62" s="12"/>
      <c r="B62" s="12"/>
      <c r="C62" s="12"/>
      <c r="D62" s="12"/>
    </row>
    <row r="63" spans="1:4" ht="15">
      <c r="A63" s="12"/>
      <c r="B63" s="12"/>
      <c r="C63" s="12"/>
      <c r="D63" s="12"/>
    </row>
    <row r="64" spans="1:4" ht="15">
      <c r="A64" s="12"/>
      <c r="B64" s="12"/>
      <c r="C64" s="12"/>
      <c r="D64" s="12"/>
    </row>
    <row r="65" spans="1:4" ht="15">
      <c r="A65" s="12"/>
      <c r="B65" s="12"/>
      <c r="C65" s="12"/>
      <c r="D65" s="12"/>
    </row>
    <row r="66" spans="1:4" ht="15">
      <c r="A66" s="12"/>
      <c r="B66" s="12"/>
      <c r="C66" s="12"/>
      <c r="D66" s="12"/>
    </row>
    <row r="67" spans="1:4" ht="15">
      <c r="A67" s="12"/>
      <c r="B67" s="12"/>
      <c r="C67" s="12"/>
      <c r="D67" s="12"/>
    </row>
    <row r="68" spans="1:4" ht="15">
      <c r="A68" s="12"/>
      <c r="B68" s="12"/>
      <c r="C68" s="12"/>
      <c r="D68" s="12"/>
    </row>
    <row r="69" spans="1:4" ht="15">
      <c r="A69" s="12"/>
      <c r="B69" s="12"/>
      <c r="C69" s="12"/>
      <c r="D69" s="12"/>
    </row>
    <row r="70" spans="1:4" ht="15">
      <c r="A70" s="12"/>
      <c r="B70" s="12"/>
      <c r="C70" s="12"/>
      <c r="D70" s="12"/>
    </row>
    <row r="71" spans="1:4" ht="15">
      <c r="A71" s="12"/>
      <c r="B71" s="12"/>
      <c r="C71" s="12"/>
      <c r="D71" s="12"/>
    </row>
    <row r="72" spans="1:4" ht="15">
      <c r="A72" s="12"/>
      <c r="B72" s="12"/>
      <c r="C72" s="12"/>
      <c r="D72" s="12"/>
    </row>
    <row r="73" spans="1:4" ht="15">
      <c r="A73" s="12"/>
      <c r="B73" s="12"/>
      <c r="C73" s="12"/>
      <c r="D73" s="12"/>
    </row>
    <row r="74" spans="1:4" ht="15">
      <c r="A74" s="12"/>
      <c r="B74" s="12"/>
      <c r="C74" s="12"/>
      <c r="D74" s="12"/>
    </row>
    <row r="75" spans="1:4" ht="15">
      <c r="A75" s="12"/>
      <c r="B75" s="12"/>
      <c r="C75" s="12"/>
      <c r="D75" s="12"/>
    </row>
    <row r="76" spans="1:4" ht="15">
      <c r="A76" s="12"/>
      <c r="B76" s="12"/>
      <c r="C76" s="12"/>
      <c r="D76" s="12"/>
    </row>
    <row r="77" spans="1:4" ht="15">
      <c r="A77" s="12"/>
      <c r="B77" s="12"/>
      <c r="C77" s="12"/>
      <c r="D77" s="12"/>
    </row>
    <row r="78" spans="1:4" ht="15">
      <c r="A78" s="12"/>
      <c r="B78" s="12"/>
      <c r="C78" s="12"/>
      <c r="D78" s="12"/>
    </row>
    <row r="79" spans="1:4" ht="15">
      <c r="A79" s="12"/>
      <c r="B79" s="12"/>
      <c r="C79" s="12"/>
      <c r="D79" s="12"/>
    </row>
    <row r="80" spans="1:4" ht="15">
      <c r="A80" s="12"/>
      <c r="B80" s="12"/>
      <c r="C80" s="12"/>
      <c r="D80" s="12"/>
    </row>
    <row r="81" spans="1:4" ht="15">
      <c r="A81" s="12"/>
      <c r="B81" s="12"/>
      <c r="C81" s="12"/>
      <c r="D81" s="12"/>
    </row>
    <row r="82" spans="1:4" ht="15">
      <c r="A82" s="12"/>
      <c r="B82" s="12"/>
      <c r="C82" s="12"/>
      <c r="D82" s="12"/>
    </row>
    <row r="83" spans="1:4" ht="15">
      <c r="A83" s="12"/>
      <c r="B83" s="12"/>
      <c r="C83" s="12"/>
      <c r="D83" s="12"/>
    </row>
    <row r="84" spans="1:4" ht="15">
      <c r="A84" s="12"/>
      <c r="B84" s="12"/>
      <c r="C84" s="12"/>
      <c r="D84" s="12"/>
    </row>
    <row r="85" spans="1:4" ht="15">
      <c r="A85" s="12"/>
      <c r="B85" s="12"/>
      <c r="C85" s="12"/>
      <c r="D85" s="12"/>
    </row>
    <row r="86" spans="1:4" ht="15">
      <c r="A86" s="12"/>
      <c r="B86" s="12"/>
      <c r="C86" s="12"/>
      <c r="D86" s="12"/>
    </row>
    <row r="87" spans="1:4" ht="15">
      <c r="A87" s="12"/>
      <c r="B87" s="12"/>
      <c r="C87" s="12"/>
      <c r="D87" s="12"/>
    </row>
    <row r="88" spans="1:4" ht="15">
      <c r="A88" s="12"/>
      <c r="B88" s="12"/>
      <c r="C88" s="12"/>
      <c r="D88" s="12"/>
    </row>
    <row r="89" spans="1:4" ht="15">
      <c r="A89" s="12"/>
      <c r="B89" s="12"/>
      <c r="C89" s="12"/>
      <c r="D89" s="12"/>
    </row>
    <row r="90" spans="1:4" ht="15">
      <c r="A90" s="12"/>
      <c r="B90" s="12"/>
      <c r="C90" s="12"/>
      <c r="D90" s="12"/>
    </row>
    <row r="91" spans="1:4" ht="15">
      <c r="A91" s="12"/>
      <c r="B91" s="12"/>
      <c r="C91" s="12"/>
      <c r="D91" s="12"/>
    </row>
    <row r="92" spans="1:4" ht="15">
      <c r="A92" s="12"/>
      <c r="B92" s="12"/>
      <c r="C92" s="12"/>
      <c r="D92" s="12"/>
    </row>
    <row r="93" spans="1:4" ht="15">
      <c r="A93" s="12"/>
      <c r="B93" s="12"/>
      <c r="C93" s="12"/>
      <c r="D93" s="12"/>
    </row>
    <row r="94" spans="1:4" ht="15">
      <c r="A94" s="12"/>
      <c r="B94" s="12"/>
      <c r="C94" s="12"/>
      <c r="D94" s="12"/>
    </row>
    <row r="95" spans="1:4" ht="15">
      <c r="A95" s="12"/>
      <c r="B95" s="12"/>
      <c r="C95" s="12"/>
      <c r="D95" s="12"/>
    </row>
    <row r="96" spans="1:4" ht="15">
      <c r="A96" s="12"/>
      <c r="B96" s="12"/>
      <c r="C96" s="12"/>
      <c r="D96" s="12"/>
    </row>
    <row r="97" spans="1:4" ht="15">
      <c r="A97" s="12"/>
      <c r="B97" s="12"/>
      <c r="C97" s="12"/>
      <c r="D97" s="12"/>
    </row>
    <row r="98" spans="1:4" ht="15">
      <c r="A98" s="12"/>
      <c r="B98" s="12"/>
      <c r="C98" s="12"/>
      <c r="D98" s="12"/>
    </row>
    <row r="99" spans="1:4" ht="15">
      <c r="A99" s="12"/>
      <c r="B99" s="12"/>
      <c r="C99" s="12"/>
      <c r="D99" s="12"/>
    </row>
    <row r="100" spans="1:4" ht="15">
      <c r="A100" s="12"/>
      <c r="B100" s="12"/>
      <c r="C100" s="12"/>
      <c r="D100" s="12"/>
    </row>
    <row r="101" spans="1:4" ht="15">
      <c r="A101" s="12"/>
      <c r="B101" s="12"/>
      <c r="C101" s="12"/>
      <c r="D101" s="12"/>
    </row>
    <row r="102" spans="1:4" ht="15">
      <c r="A102" s="12"/>
      <c r="B102" s="12"/>
      <c r="C102" s="12"/>
      <c r="D102" s="12"/>
    </row>
    <row r="103" spans="1:4" ht="15">
      <c r="A103" s="12"/>
      <c r="B103" s="12"/>
      <c r="C103" s="12"/>
      <c r="D103" s="12"/>
    </row>
    <row r="104" spans="1:4" ht="15">
      <c r="A104" s="12"/>
      <c r="B104" s="12"/>
      <c r="C104" s="12"/>
      <c r="D104" s="12"/>
    </row>
    <row r="105" spans="1:4" ht="15">
      <c r="A105" s="12"/>
      <c r="B105" s="12"/>
      <c r="C105" s="12"/>
      <c r="D105" s="12"/>
    </row>
    <row r="106" spans="1:4" ht="15">
      <c r="A106" s="12"/>
      <c r="B106" s="12"/>
      <c r="C106" s="12"/>
      <c r="D106" s="12"/>
    </row>
    <row r="107" spans="1:4" ht="15">
      <c r="A107" s="12"/>
      <c r="B107" s="12"/>
      <c r="C107" s="12"/>
      <c r="D107" s="12"/>
    </row>
    <row r="108" spans="1:4" ht="15">
      <c r="A108" s="12"/>
      <c r="B108" s="12"/>
      <c r="C108" s="12"/>
      <c r="D108" s="12"/>
    </row>
    <row r="109" spans="1:4" ht="15">
      <c r="A109" s="12"/>
      <c r="B109" s="12"/>
      <c r="C109" s="12"/>
      <c r="D109" s="12"/>
    </row>
    <row r="110" spans="1:4" ht="15">
      <c r="A110" s="12"/>
      <c r="B110" s="12"/>
      <c r="C110" s="12"/>
      <c r="D110" s="12"/>
    </row>
    <row r="111" spans="1:4" ht="15">
      <c r="A111" s="12"/>
      <c r="B111" s="12"/>
      <c r="C111" s="12"/>
      <c r="D111" s="12"/>
    </row>
    <row r="112" spans="1:4" ht="15">
      <c r="A112" s="12"/>
      <c r="B112" s="12"/>
      <c r="C112" s="12"/>
      <c r="D112" s="12"/>
    </row>
    <row r="113" spans="1:4" ht="15">
      <c r="A113" s="12"/>
      <c r="B113" s="12"/>
      <c r="C113" s="12"/>
      <c r="D113" s="12"/>
    </row>
    <row r="114" spans="1:4" ht="15">
      <c r="A114" s="12"/>
      <c r="B114" s="12"/>
      <c r="C114" s="12"/>
      <c r="D114" s="12"/>
    </row>
    <row r="115" spans="1:4" ht="15">
      <c r="A115" s="12"/>
      <c r="B115" s="12"/>
      <c r="C115" s="12"/>
      <c r="D115" s="12"/>
    </row>
    <row r="116" spans="1:4" ht="15">
      <c r="A116" s="12"/>
      <c r="B116" s="12"/>
      <c r="C116" s="12"/>
      <c r="D116" s="12"/>
    </row>
  </sheetData>
  <phoneticPr fontId="2" type="noConversion"/>
  <pageMargins left="0.75" right="0.75" top="1" bottom="1" header="0.5" footer="0.5"/>
  <pageSetup paperSize="5" scale="97" fitToHeight="7" orientation="landscape" r:id="rId1"/>
  <headerFooter alignWithMargins="0">
    <oddFooter>&amp;L&amp;F&amp;C&amp;A&amp;RPage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unit productivity</vt:lpstr>
      <vt:lpstr>$ serials totals</vt:lpstr>
      <vt:lpstr>$ by format</vt:lpstr>
      <vt:lpstr>serials v mono</vt:lpstr>
      <vt:lpstr>$ backfiles</vt:lpstr>
      <vt:lpstr>vs. allocation</vt:lpstr>
      <vt:lpstr>$ by fund</vt:lpstr>
      <vt:lpstr>$ by vendor</vt:lpstr>
      <vt:lpstr>$ by location</vt:lpstr>
      <vt:lpstr>Count by location</vt:lpstr>
      <vt:lpstr>serials cut 2009</vt:lpstr>
      <vt:lpstr>serials cut stats</vt:lpstr>
      <vt:lpstr>$ FY09 content</vt:lpstr>
      <vt:lpstr>$ FY10 est</vt:lpstr>
      <vt:lpstr>Packages</vt:lpstr>
      <vt:lpstr>Reference Databases</vt:lpstr>
      <vt:lpstr>ACRL1</vt:lpstr>
      <vt:lpstr>ACRL2</vt:lpstr>
      <vt:lpstr>IPEDS</vt:lpstr>
      <vt:lpstr>'$ backfiles'!Print_Area</vt:lpstr>
      <vt:lpstr>'$ by format'!Print_Area</vt:lpstr>
      <vt:lpstr>'$ by fund'!Print_Area</vt:lpstr>
      <vt:lpstr>'$ by location'!Print_Area</vt:lpstr>
      <vt:lpstr>'$ by vendor'!Print_Area</vt:lpstr>
      <vt:lpstr>'$ FY09 content'!Print_Area</vt:lpstr>
      <vt:lpstr>'$ FY10 est'!Print_Area</vt:lpstr>
      <vt:lpstr>'$ serials totals'!Print_Area</vt:lpstr>
      <vt:lpstr>ACRL1!Print_Area</vt:lpstr>
      <vt:lpstr>ACRL2!Print_Area</vt:lpstr>
      <vt:lpstr>'Count by location'!Print_Area</vt:lpstr>
      <vt:lpstr>IPEDS!Print_Area</vt:lpstr>
      <vt:lpstr>Packages!Print_Area</vt:lpstr>
      <vt:lpstr>'Reference Databases'!Print_Area</vt:lpstr>
      <vt:lpstr>'serials cut 2009'!Print_Area</vt:lpstr>
      <vt:lpstr>'serials cut stats'!Print_Area</vt:lpstr>
      <vt:lpstr>'serials v mono'!Print_Area</vt:lpstr>
      <vt:lpstr>'unit productivity'!Print_Area</vt:lpstr>
      <vt:lpstr>'vs. allocation'!Print_Area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dc:creator>
  <cp:lastModifiedBy> </cp:lastModifiedBy>
  <cp:lastPrinted>2010-07-12T19:39:20Z</cp:lastPrinted>
  <dcterms:created xsi:type="dcterms:W3CDTF">2008-06-25T17:56:30Z</dcterms:created>
  <dcterms:modified xsi:type="dcterms:W3CDTF">2010-07-12T19:39:25Z</dcterms:modified>
</cp:coreProperties>
</file>