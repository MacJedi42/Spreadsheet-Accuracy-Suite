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80" windowWidth="17220" windowHeight="8412"/>
  </bookViews>
  <sheets>
    <sheet name="Curve Value Calculator" sheetId="2" r:id="rId1"/>
    <sheet name="Table of B-Curve Values" sheetId="1" state="hidden" r:id="rId2"/>
    <sheet name="Plotted B-Curve" sheetId="5" state="hidden" r:id="rId3"/>
    <sheet name="Figure 14-4a" sheetId="7" r:id="rId4"/>
    <sheet name="EFH Page 14-16a IN Supplement" sheetId="3" r:id="rId5"/>
    <sheet name="Calculations" sheetId="6" r:id="rId6"/>
  </sheets>
  <calcPr calcId="145621"/>
</workbook>
</file>

<file path=xl/calcChain.xml><?xml version="1.0" encoding="utf-8"?>
<calcChain xmlns="http://schemas.openxmlformats.org/spreadsheetml/2006/main">
  <c r="G3" i="2" l="1"/>
  <c r="D9" i="2" l="1"/>
  <c r="D12" i="2" l="1"/>
  <c r="D11" i="2"/>
  <c r="D10" i="2"/>
  <c r="H19" i="6"/>
  <c r="F19" i="6" s="1"/>
  <c r="E19" i="6"/>
  <c r="D19" i="6"/>
  <c r="H18" i="6"/>
  <c r="D18" i="6" s="1"/>
  <c r="F18" i="6"/>
  <c r="E18" i="6"/>
  <c r="C18" i="6"/>
  <c r="H17" i="6"/>
  <c r="E17" i="6" s="1"/>
  <c r="F17" i="6"/>
  <c r="H16" i="6"/>
  <c r="F16" i="6" s="1"/>
  <c r="H15" i="6"/>
  <c r="E15" i="6" s="1"/>
  <c r="D15" i="6"/>
  <c r="H14" i="6"/>
  <c r="E14" i="6" s="1"/>
  <c r="D14" i="6"/>
  <c r="C14" i="6"/>
  <c r="H13" i="6"/>
  <c r="F13" i="6"/>
  <c r="E13" i="6"/>
  <c r="D13" i="6"/>
  <c r="C13" i="6"/>
  <c r="H12" i="6"/>
  <c r="D12" i="6" s="1"/>
  <c r="F12" i="6"/>
  <c r="E12" i="6"/>
  <c r="C12" i="6"/>
  <c r="H11" i="6"/>
  <c r="E11" i="6" s="1"/>
  <c r="F11" i="6"/>
  <c r="H10" i="6"/>
  <c r="E10" i="6" s="1"/>
  <c r="F10" i="6"/>
  <c r="C10" i="6"/>
  <c r="H9" i="6"/>
  <c r="F9" i="6"/>
  <c r="E9" i="6"/>
  <c r="D9" i="6"/>
  <c r="C9" i="6"/>
  <c r="H8" i="6"/>
  <c r="D8" i="6" s="1"/>
  <c r="F8" i="6"/>
  <c r="E8" i="6"/>
  <c r="C8" i="6" l="1"/>
  <c r="C11" i="6"/>
  <c r="C15" i="6"/>
  <c r="C17" i="6"/>
  <c r="C19" i="6"/>
  <c r="D10" i="6"/>
  <c r="D16" i="6"/>
  <c r="D11" i="6"/>
  <c r="E16" i="6"/>
  <c r="D17" i="6"/>
  <c r="C16" i="6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</calcChain>
</file>

<file path=xl/sharedStrings.xml><?xml version="1.0" encoding="utf-8"?>
<sst xmlns="http://schemas.openxmlformats.org/spreadsheetml/2006/main" count="46" uniqueCount="41">
  <si>
    <t>Drainage Area</t>
  </si>
  <si>
    <t>B-Curve Value</t>
  </si>
  <si>
    <t>(Acres)</t>
  </si>
  <si>
    <t>Discharge CFS</t>
  </si>
  <si>
    <t xml:space="preserve">B-Curve Value = </t>
  </si>
  <si>
    <t xml:space="preserve">Enter Drainage Area  = </t>
  </si>
  <si>
    <t>acres</t>
  </si>
  <si>
    <t>cfs</t>
  </si>
  <si>
    <t>B curve check</t>
  </si>
  <si>
    <r>
      <t>New EFH Chapter 14 drainage curve method uses the formula Q=CM</t>
    </r>
    <r>
      <rPr>
        <vertAlign val="superscript"/>
        <sz val="10"/>
        <rFont val="Comic Sans MS"/>
        <family val="4"/>
      </rPr>
      <t>0.83</t>
    </r>
  </si>
  <si>
    <t>Where C is a constant with the value of 25 for pasture and 37 for cropland (grain crops)</t>
  </si>
  <si>
    <t>Calculate some values for both pasture and cropland to see which curve (A,B,C,D) most correlates:</t>
  </si>
  <si>
    <t>DA (acres)</t>
  </si>
  <si>
    <t>D</t>
  </si>
  <si>
    <t>C</t>
  </si>
  <si>
    <t>B</t>
  </si>
  <si>
    <t>A</t>
  </si>
  <si>
    <t>DA (sq mi)</t>
  </si>
  <si>
    <t>Pasture = Old D Curve</t>
  </si>
  <si>
    <t>Cropland = Old C Curve</t>
  </si>
  <si>
    <t>A Curve Equation =</t>
  </si>
  <si>
    <t>B Curve Equation =</t>
  </si>
  <si>
    <t>C Curve Equation =</t>
  </si>
  <si>
    <t>D Curve Equation =</t>
  </si>
  <si>
    <t>70 * ((DA in acres)/640)^0.7)</t>
  </si>
  <si>
    <t>37 * ((DA in acres)/640)^0.83)</t>
  </si>
  <si>
    <t>25 * ((DA in acres)/640)^0.83)</t>
  </si>
  <si>
    <t>1.29 * ((DA in acres)^0.74)</t>
  </si>
  <si>
    <t>Indiana Drainage Runoff Curve Calculator</t>
  </si>
  <si>
    <t xml:space="preserve">A-Curve Value = </t>
  </si>
  <si>
    <t xml:space="preserve">C-Curve Value = </t>
  </si>
  <si>
    <t xml:space="preserve">D-Curve Value = </t>
  </si>
  <si>
    <t>(ADA &lt; 400 ac)</t>
  </si>
  <si>
    <t>150 * ((DA in acres)/640)^0.6)</t>
  </si>
  <si>
    <t>(ADA 400-10000 ac)</t>
  </si>
  <si>
    <t>Landuser:</t>
  </si>
  <si>
    <t>Designed by:</t>
  </si>
  <si>
    <t>Date:</t>
  </si>
  <si>
    <t>County:</t>
  </si>
  <si>
    <t>Checked by:</t>
  </si>
  <si>
    <t>Tract: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</si>
</sst>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mic Sans MS"/>
      <family val="4"/>
    </font>
    <font>
      <vertAlign val="superscript"/>
      <sz val="10"/>
      <name val="Comic Sans MS"/>
      <family val="4"/>
    </font>
    <font>
      <b/>
      <sz val="10"/>
      <name val="Comic Sans MS"/>
      <family val="4"/>
    </font>
    <font>
      <i/>
      <sz val="11"/>
      <color theme="1"/>
      <name val="Calibri"/>
      <family val="2"/>
      <scheme val="minor"/>
    </font>
    <font>
      <b/>
      <i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1" applyFont="1"/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2" fontId="4" fillId="0" borderId="0" xfId="1" applyNumberFormat="1" applyFont="1" applyAlignment="1">
      <alignment horizontal="center"/>
    </xf>
    <xf numFmtId="0" fontId="3" fillId="0" borderId="0" xfId="1"/>
    <xf numFmtId="0" fontId="1" fillId="0" borderId="0" xfId="0" applyFont="1" applyAlignment="1"/>
    <xf numFmtId="0" fontId="0" fillId="0" borderId="0" xfId="0" applyProtection="1"/>
    <xf numFmtId="14" fontId="0" fillId="0" borderId="4" xfId="0" applyNumberFormat="1" applyBorder="1" applyAlignment="1" applyProtection="1">
      <alignment horizontal="center"/>
    </xf>
    <xf numFmtId="0" fontId="0" fillId="0" borderId="0" xfId="0" applyAlignment="1" applyProtection="1">
      <alignment horizontal="right"/>
    </xf>
    <xf numFmtId="0" fontId="0" fillId="0" borderId="0" xfId="0" applyAlignment="1" applyProtection="1"/>
    <xf numFmtId="0" fontId="0" fillId="0" borderId="3" xfId="0" applyBorder="1" applyProtection="1"/>
    <xf numFmtId="1" fontId="0" fillId="4" borderId="2" xfId="0" applyNumberFormat="1" applyFill="1" applyBorder="1" applyAlignment="1" applyProtection="1">
      <alignment wrapText="1"/>
    </xf>
    <xf numFmtId="0" fontId="0" fillId="0" borderId="5" xfId="0" applyFill="1" applyBorder="1" applyAlignment="1" applyProtection="1">
      <alignment horizontal="center"/>
      <protection locked="0"/>
    </xf>
    <xf numFmtId="0" fontId="0" fillId="0" borderId="4" xfId="0" applyFill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</xf>
    <xf numFmtId="0" fontId="0" fillId="0" borderId="0" xfId="0" applyAlignment="1" applyProtection="1">
      <alignment horizontal="right"/>
    </xf>
    <xf numFmtId="0" fontId="7" fillId="0" borderId="1" xfId="0" applyFont="1" applyBorder="1" applyAlignment="1" applyProtection="1">
      <alignment horizontal="right"/>
    </xf>
    <xf numFmtId="0" fontId="7" fillId="0" borderId="2" xfId="0" applyFont="1" applyBorder="1" applyAlignment="1" applyProtection="1">
      <alignment horizontal="right"/>
    </xf>
    <xf numFmtId="0" fontId="8" fillId="0" borderId="0" xfId="1" applyFont="1" applyAlignment="1">
      <alignment horizontal="center"/>
    </xf>
    <xf numFmtId="0" fontId="0" fillId="0" borderId="0" xfId="0" applyFill="1" applyProtection="1">
      <protection locked="0"/>
    </xf>
  </cellXfs>
  <cellStyles count="2">
    <cellStyle name="Normal" xfId="0" builtinId="0"/>
    <cellStyle name="Normal 2" xfId="1"/>
  </cellStyles>
  <dxfs count="5">
    <dxf>
      <fill>
        <patternFill>
          <bgColor theme="3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/>
          <a:lstStyle/>
          <a:p>
            <a:pPr>
              <a:defRPr/>
            </a:pPr>
            <a:r>
              <a:rPr lang="en-US"/>
              <a:t>B-Curve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'Table of B-Curve Values'!$C$2</c:f>
              <c:strCache>
                <c:ptCount val="1"/>
                <c:pt idx="0">
                  <c:v>B-Curve Value</c:v>
                </c:pt>
              </c:strCache>
            </c:strRef>
          </c:tx>
          <c:marker>
            <c:symbol val="square"/>
            <c:size val="3"/>
          </c:marker>
          <c:trendline>
            <c:trendlineType val="powe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'Table of B-Curve Values'!$A$3:$A$82</c:f>
              <c:numCache>
                <c:formatCode>General</c:formatCode>
                <c:ptCount val="8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125</c:v>
                </c:pt>
                <c:pt idx="11">
                  <c:v>150</c:v>
                </c:pt>
                <c:pt idx="12">
                  <c:v>175</c:v>
                </c:pt>
                <c:pt idx="13">
                  <c:v>200</c:v>
                </c:pt>
                <c:pt idx="14">
                  <c:v>225</c:v>
                </c:pt>
                <c:pt idx="15">
                  <c:v>250</c:v>
                </c:pt>
                <c:pt idx="16">
                  <c:v>275</c:v>
                </c:pt>
                <c:pt idx="17">
                  <c:v>300</c:v>
                </c:pt>
                <c:pt idx="18">
                  <c:v>325</c:v>
                </c:pt>
                <c:pt idx="19">
                  <c:v>350</c:v>
                </c:pt>
                <c:pt idx="20">
                  <c:v>375</c:v>
                </c:pt>
                <c:pt idx="21">
                  <c:v>400</c:v>
                </c:pt>
                <c:pt idx="22">
                  <c:v>425</c:v>
                </c:pt>
                <c:pt idx="23">
                  <c:v>450</c:v>
                </c:pt>
                <c:pt idx="24">
                  <c:v>475</c:v>
                </c:pt>
                <c:pt idx="25">
                  <c:v>500</c:v>
                </c:pt>
                <c:pt idx="26">
                  <c:v>525</c:v>
                </c:pt>
                <c:pt idx="27">
                  <c:v>550</c:v>
                </c:pt>
                <c:pt idx="28">
                  <c:v>575</c:v>
                </c:pt>
                <c:pt idx="29">
                  <c:v>600</c:v>
                </c:pt>
                <c:pt idx="30">
                  <c:v>625</c:v>
                </c:pt>
                <c:pt idx="31">
                  <c:v>650</c:v>
                </c:pt>
                <c:pt idx="32">
                  <c:v>675</c:v>
                </c:pt>
                <c:pt idx="33">
                  <c:v>700</c:v>
                </c:pt>
                <c:pt idx="34">
                  <c:v>725</c:v>
                </c:pt>
                <c:pt idx="35">
                  <c:v>750</c:v>
                </c:pt>
                <c:pt idx="36">
                  <c:v>775</c:v>
                </c:pt>
                <c:pt idx="37">
                  <c:v>800</c:v>
                </c:pt>
                <c:pt idx="38">
                  <c:v>825</c:v>
                </c:pt>
                <c:pt idx="39">
                  <c:v>850</c:v>
                </c:pt>
                <c:pt idx="40">
                  <c:v>875</c:v>
                </c:pt>
                <c:pt idx="41">
                  <c:v>900</c:v>
                </c:pt>
                <c:pt idx="42">
                  <c:v>925</c:v>
                </c:pt>
                <c:pt idx="43">
                  <c:v>950</c:v>
                </c:pt>
                <c:pt idx="44">
                  <c:v>975</c:v>
                </c:pt>
                <c:pt idx="45">
                  <c:v>1000</c:v>
                </c:pt>
                <c:pt idx="46">
                  <c:v>1100</c:v>
                </c:pt>
                <c:pt idx="47">
                  <c:v>1200</c:v>
                </c:pt>
                <c:pt idx="48">
                  <c:v>1300</c:v>
                </c:pt>
                <c:pt idx="49">
                  <c:v>1400</c:v>
                </c:pt>
                <c:pt idx="50">
                  <c:v>1500</c:v>
                </c:pt>
                <c:pt idx="51">
                  <c:v>1600</c:v>
                </c:pt>
                <c:pt idx="52">
                  <c:v>1700</c:v>
                </c:pt>
                <c:pt idx="53">
                  <c:v>1800</c:v>
                </c:pt>
                <c:pt idx="54">
                  <c:v>1900</c:v>
                </c:pt>
                <c:pt idx="55">
                  <c:v>2000</c:v>
                </c:pt>
                <c:pt idx="56">
                  <c:v>2100</c:v>
                </c:pt>
                <c:pt idx="57">
                  <c:v>2200</c:v>
                </c:pt>
                <c:pt idx="58">
                  <c:v>2300</c:v>
                </c:pt>
                <c:pt idx="59">
                  <c:v>2400</c:v>
                </c:pt>
                <c:pt idx="60">
                  <c:v>2500</c:v>
                </c:pt>
                <c:pt idx="61">
                  <c:v>2600</c:v>
                </c:pt>
                <c:pt idx="62">
                  <c:v>2700</c:v>
                </c:pt>
                <c:pt idx="63">
                  <c:v>2800</c:v>
                </c:pt>
                <c:pt idx="64">
                  <c:v>2900</c:v>
                </c:pt>
                <c:pt idx="65">
                  <c:v>3000</c:v>
                </c:pt>
                <c:pt idx="66">
                  <c:v>3500</c:v>
                </c:pt>
                <c:pt idx="67">
                  <c:v>4000</c:v>
                </c:pt>
                <c:pt idx="68">
                  <c:v>4500</c:v>
                </c:pt>
                <c:pt idx="69">
                  <c:v>5000</c:v>
                </c:pt>
                <c:pt idx="70">
                  <c:v>5500</c:v>
                </c:pt>
                <c:pt idx="71">
                  <c:v>6000</c:v>
                </c:pt>
                <c:pt idx="72">
                  <c:v>6500</c:v>
                </c:pt>
                <c:pt idx="73">
                  <c:v>7000</c:v>
                </c:pt>
                <c:pt idx="74">
                  <c:v>7500</c:v>
                </c:pt>
                <c:pt idx="75">
                  <c:v>8000</c:v>
                </c:pt>
                <c:pt idx="76">
                  <c:v>8500</c:v>
                </c:pt>
                <c:pt idx="77">
                  <c:v>9000</c:v>
                </c:pt>
                <c:pt idx="78">
                  <c:v>9500</c:v>
                </c:pt>
                <c:pt idx="79">
                  <c:v>10000</c:v>
                </c:pt>
              </c:numCache>
            </c:numRef>
          </c:xVal>
          <c:yVal>
            <c:numRef>
              <c:f>'Table of B-Curve Values'!$C$3:$C$82</c:f>
              <c:numCache>
                <c:formatCode>General</c:formatCode>
                <c:ptCount val="80"/>
                <c:pt idx="0">
                  <c:v>4</c:v>
                </c:pt>
                <c:pt idx="1">
                  <c:v>6.1</c:v>
                </c:pt>
                <c:pt idx="2">
                  <c:v>8.1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22</c:v>
                </c:pt>
                <c:pt idx="11">
                  <c:v>25</c:v>
                </c:pt>
                <c:pt idx="12">
                  <c:v>28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39</c:v>
                </c:pt>
                <c:pt idx="17">
                  <c:v>41</c:v>
                </c:pt>
                <c:pt idx="18">
                  <c:v>42</c:v>
                </c:pt>
                <c:pt idx="19">
                  <c:v>45</c:v>
                </c:pt>
                <c:pt idx="20">
                  <c:v>49</c:v>
                </c:pt>
                <c:pt idx="21">
                  <c:v>50</c:v>
                </c:pt>
                <c:pt idx="22">
                  <c:v>51</c:v>
                </c:pt>
                <c:pt idx="23">
                  <c:v>55</c:v>
                </c:pt>
                <c:pt idx="24">
                  <c:v>59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65</c:v>
                </c:pt>
                <c:pt idx="29">
                  <c:v>68</c:v>
                </c:pt>
                <c:pt idx="30">
                  <c:v>69</c:v>
                </c:pt>
                <c:pt idx="31">
                  <c:v>70</c:v>
                </c:pt>
                <c:pt idx="32">
                  <c:v>72</c:v>
                </c:pt>
                <c:pt idx="33">
                  <c:v>74</c:v>
                </c:pt>
                <c:pt idx="34">
                  <c:v>76</c:v>
                </c:pt>
                <c:pt idx="35">
                  <c:v>78</c:v>
                </c:pt>
                <c:pt idx="36">
                  <c:v>80</c:v>
                </c:pt>
                <c:pt idx="37">
                  <c:v>81</c:v>
                </c:pt>
                <c:pt idx="38">
                  <c:v>82</c:v>
                </c:pt>
                <c:pt idx="39">
                  <c:v>85</c:v>
                </c:pt>
                <c:pt idx="40">
                  <c:v>87</c:v>
                </c:pt>
                <c:pt idx="41">
                  <c:v>89</c:v>
                </c:pt>
                <c:pt idx="42">
                  <c:v>90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100</c:v>
                </c:pt>
                <c:pt idx="47">
                  <c:v>105</c:v>
                </c:pt>
                <c:pt idx="48">
                  <c:v>110</c:v>
                </c:pt>
                <c:pt idx="49">
                  <c:v>128</c:v>
                </c:pt>
                <c:pt idx="50">
                  <c:v>138</c:v>
                </c:pt>
                <c:pt idx="51">
                  <c:v>142</c:v>
                </c:pt>
                <c:pt idx="52">
                  <c:v>146</c:v>
                </c:pt>
                <c:pt idx="53">
                  <c:v>150</c:v>
                </c:pt>
                <c:pt idx="54">
                  <c:v>155</c:v>
                </c:pt>
                <c:pt idx="55">
                  <c:v>160</c:v>
                </c:pt>
                <c:pt idx="56">
                  <c:v>164</c:v>
                </c:pt>
                <c:pt idx="57">
                  <c:v>169</c:v>
                </c:pt>
                <c:pt idx="58">
                  <c:v>173</c:v>
                </c:pt>
                <c:pt idx="59">
                  <c:v>179</c:v>
                </c:pt>
                <c:pt idx="60">
                  <c:v>185</c:v>
                </c:pt>
                <c:pt idx="61">
                  <c:v>189</c:v>
                </c:pt>
                <c:pt idx="62">
                  <c:v>193</c:v>
                </c:pt>
                <c:pt idx="63">
                  <c:v>197</c:v>
                </c:pt>
                <c:pt idx="64">
                  <c:v>203</c:v>
                </c:pt>
                <c:pt idx="65">
                  <c:v>210</c:v>
                </c:pt>
                <c:pt idx="66">
                  <c:v>229</c:v>
                </c:pt>
                <c:pt idx="67">
                  <c:v>250</c:v>
                </c:pt>
                <c:pt idx="68">
                  <c:v>280</c:v>
                </c:pt>
                <c:pt idx="69">
                  <c:v>300</c:v>
                </c:pt>
                <c:pt idx="70">
                  <c:v>315</c:v>
                </c:pt>
                <c:pt idx="71">
                  <c:v>330</c:v>
                </c:pt>
                <c:pt idx="72">
                  <c:v>350</c:v>
                </c:pt>
                <c:pt idx="73">
                  <c:v>380</c:v>
                </c:pt>
                <c:pt idx="74">
                  <c:v>400</c:v>
                </c:pt>
                <c:pt idx="75">
                  <c:v>415</c:v>
                </c:pt>
                <c:pt idx="76">
                  <c:v>430</c:v>
                </c:pt>
                <c:pt idx="77">
                  <c:v>450</c:v>
                </c:pt>
                <c:pt idx="78">
                  <c:v>470</c:v>
                </c:pt>
                <c:pt idx="79">
                  <c:v>490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57216"/>
        <c:axId val="108858752"/>
      </c:scatterChart>
      <c:valAx>
        <c:axId val="108857216"/>
        <c:scaling>
          <c:logBase val="10"/>
          <c:orientation val="minMax"/>
          <c:min val="1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headEnd w="sm" len="sm"/>
            <a:tailEnd w="sm" len="sm"/>
          </a:ln>
        </c:spPr>
        <c:crossAx val="108858752"/>
        <c:crosses val="autoZero"/>
        <c:crossBetween val="midCat"/>
      </c:valAx>
      <c:valAx>
        <c:axId val="108858752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857216"/>
        <c:crossesAt val="10"/>
        <c:crossBetween val="midCat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lbertus Medium"/>
                <a:ea typeface="Albertus Medium"/>
                <a:cs typeface="Albertus Medium"/>
              </a:defRPr>
            </a:pPr>
            <a:r>
              <a:rPr lang="en-US"/>
              <a:t>Indiana Drainage Curves</a:t>
            </a:r>
          </a:p>
        </c:rich>
      </c:tx>
      <c:layout>
        <c:manualLayout>
          <c:xMode val="edge"/>
          <c:yMode val="edge"/>
          <c:x val="0.345201499311795"/>
          <c:y val="2.94117971973509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57904682288152"/>
          <c:y val="0.1606336616163011"/>
          <c:w val="0.81733807908801692"/>
          <c:h val="0.66968399772429754"/>
        </c:manualLayout>
      </c:layout>
      <c:scatterChart>
        <c:scatterStyle val="smoothMarker"/>
        <c:varyColors val="0"/>
        <c:ser>
          <c:idx val="0"/>
          <c:order val="0"/>
          <c:tx>
            <c:v>D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50</c:v>
              </c:pt>
              <c:pt idx="4">
                <c:v>100</c:v>
              </c:pt>
              <c:pt idx="5">
                <c:v>200</c:v>
              </c:pt>
              <c:pt idx="6">
                <c:v>300</c:v>
              </c:pt>
              <c:pt idx="7">
                <c:v>400</c:v>
              </c:pt>
              <c:pt idx="8">
                <c:v>500</c:v>
              </c:pt>
              <c:pt idx="9">
                <c:v>1000</c:v>
              </c:pt>
              <c:pt idx="10">
                <c:v>5000</c:v>
              </c:pt>
              <c:pt idx="11">
                <c:v>10000</c:v>
              </c:pt>
            </c:numLit>
          </c:xVal>
          <c:yVal>
            <c:numLit>
              <c:formatCode>General</c:formatCode>
              <c:ptCount val="12"/>
              <c:pt idx="0">
                <c:v>0.79215584358596081</c:v>
              </c:pt>
              <c:pt idx="1">
                <c:v>1.4082038478294223</c:v>
              </c:pt>
              <c:pt idx="2">
                <c:v>1.971611177870249</c:v>
              </c:pt>
              <c:pt idx="3">
                <c:v>3.0126989345450674</c:v>
              </c:pt>
              <c:pt idx="4">
                <c:v>5.3556307970574135</c:v>
              </c:pt>
              <c:pt idx="5">
                <c:v>9.5206264739895339</c:v>
              </c:pt>
              <c:pt idx="6">
                <c:v>13.329727514506082</c:v>
              </c:pt>
              <c:pt idx="7">
                <c:v>16.924678323052571</c:v>
              </c:pt>
              <c:pt idx="8">
                <c:v>20.368344596274824</c:v>
              </c:pt>
              <c:pt idx="9">
                <c:v>36.208508043755067</c:v>
              </c:pt>
              <c:pt idx="10">
                <c:v>137.70691018458675</c:v>
              </c:pt>
              <c:pt idx="11">
                <c:v>244.79955852726428</c:v>
              </c:pt>
            </c:numLit>
          </c:yVal>
          <c:smooth val="1"/>
        </c:ser>
        <c:ser>
          <c:idx val="1"/>
          <c:order val="1"/>
          <c:tx>
            <c:v>C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50</c:v>
              </c:pt>
              <c:pt idx="4">
                <c:v>100</c:v>
              </c:pt>
              <c:pt idx="5">
                <c:v>200</c:v>
              </c:pt>
              <c:pt idx="6">
                <c:v>300</c:v>
              </c:pt>
              <c:pt idx="7">
                <c:v>400</c:v>
              </c:pt>
              <c:pt idx="8">
                <c:v>500</c:v>
              </c:pt>
              <c:pt idx="9">
                <c:v>1000</c:v>
              </c:pt>
              <c:pt idx="10">
                <c:v>5000</c:v>
              </c:pt>
              <c:pt idx="11">
                <c:v>10000</c:v>
              </c:pt>
            </c:numLit>
          </c:xVal>
          <c:yVal>
            <c:numLit>
              <c:formatCode>General</c:formatCode>
              <c:ptCount val="12"/>
              <c:pt idx="0">
                <c:v>1.172390648507222</c:v>
              </c:pt>
              <c:pt idx="1">
                <c:v>2.0841416947875451</c:v>
              </c:pt>
              <c:pt idx="2">
                <c:v>2.9179845432479685</c:v>
              </c:pt>
              <c:pt idx="3">
                <c:v>4.4587944231267</c:v>
              </c:pt>
              <c:pt idx="4">
                <c:v>7.9263335796449716</c:v>
              </c:pt>
              <c:pt idx="5">
                <c:v>14.090527181504511</c:v>
              </c:pt>
              <c:pt idx="6">
                <c:v>19.727996721469001</c:v>
              </c:pt>
              <c:pt idx="7">
                <c:v>25.048523918117805</c:v>
              </c:pt>
              <c:pt idx="8">
                <c:v>30.145150002486737</c:v>
              </c:pt>
              <c:pt idx="9">
                <c:v>53.5885919047575</c:v>
              </c:pt>
              <c:pt idx="10">
                <c:v>203.80622707318838</c:v>
              </c:pt>
              <c:pt idx="11">
                <c:v>362.30334662035114</c:v>
              </c:pt>
            </c:numLit>
          </c:yVal>
          <c:smooth val="1"/>
        </c:ser>
        <c:ser>
          <c:idx val="2"/>
          <c:order val="2"/>
          <c:tx>
            <c:v>B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50</c:v>
              </c:pt>
              <c:pt idx="4">
                <c:v>100</c:v>
              </c:pt>
              <c:pt idx="5">
                <c:v>200</c:v>
              </c:pt>
              <c:pt idx="6">
                <c:v>300</c:v>
              </c:pt>
              <c:pt idx="7">
                <c:v>400</c:v>
              </c:pt>
              <c:pt idx="8">
                <c:v>500</c:v>
              </c:pt>
              <c:pt idx="9">
                <c:v>1000</c:v>
              </c:pt>
              <c:pt idx="10">
                <c:v>5000</c:v>
              </c:pt>
              <c:pt idx="11">
                <c:v>10000</c:v>
              </c:pt>
            </c:numLit>
          </c:xVal>
          <c:yVal>
            <c:numLit>
              <c:formatCode>General</c:formatCode>
              <c:ptCount val="12"/>
              <c:pt idx="0">
                <c:v>3.8086587144205448</c:v>
              </c:pt>
              <c:pt idx="1">
                <c:v>6.1871843353822911</c:v>
              </c:pt>
              <c:pt idx="2">
                <c:v>8.2178259060127328</c:v>
              </c:pt>
              <c:pt idx="3">
                <c:v>11.75035699170567</c:v>
              </c:pt>
              <c:pt idx="4">
                <c:v>19.08851124910835</c:v>
              </c:pt>
              <c:pt idx="5">
                <c:v>31.009378009922436</c:v>
              </c:pt>
              <c:pt idx="6">
                <c:v>41.186694322650546</c:v>
              </c:pt>
              <c:pt idx="7">
                <c:v>50.374883196151707</c:v>
              </c:pt>
              <c:pt idx="8">
                <c:v>58.891289148058412</c:v>
              </c:pt>
              <c:pt idx="9">
                <c:v>95.669181470036818</c:v>
              </c:pt>
              <c:pt idx="10">
                <c:v>295.15562292859198</c:v>
              </c:pt>
              <c:pt idx="11">
                <c:v>479.48172404353255</c:v>
              </c:pt>
            </c:numLit>
          </c:yVal>
          <c:smooth val="1"/>
        </c:ser>
        <c:ser>
          <c:idx val="3"/>
          <c:order val="3"/>
          <c:tx>
            <c:v>A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50</c:v>
              </c:pt>
              <c:pt idx="4">
                <c:v>100</c:v>
              </c:pt>
              <c:pt idx="5">
                <c:v>200</c:v>
              </c:pt>
              <c:pt idx="6">
                <c:v>300</c:v>
              </c:pt>
              <c:pt idx="7">
                <c:v>400</c:v>
              </c:pt>
              <c:pt idx="8">
                <c:v>500</c:v>
              </c:pt>
              <c:pt idx="9">
                <c:v>1000</c:v>
              </c:pt>
              <c:pt idx="10">
                <c:v>5000</c:v>
              </c:pt>
              <c:pt idx="11">
                <c:v>10000</c:v>
              </c:pt>
            </c:numLit>
          </c:xVal>
          <c:yVal>
            <c:numLit>
              <c:formatCode>General</c:formatCode>
              <c:ptCount val="12"/>
              <c:pt idx="0">
                <c:v>7.0890772727633573</c:v>
              </c:pt>
              <c:pt idx="1">
                <c:v>11.840005580757779</c:v>
              </c:pt>
              <c:pt idx="2">
                <c:v>15.983041930129859</c:v>
              </c:pt>
              <c:pt idx="3">
                <c:v>23.325314788323684</c:v>
              </c:pt>
              <c:pt idx="4">
                <c:v>38.957377193186012</c:v>
              </c:pt>
              <c:pt idx="5">
                <c:v>65.065670133287824</c:v>
              </c:pt>
              <c:pt idx="6">
                <c:v>87</c:v>
              </c:pt>
              <c:pt idx="7">
                <c:v>110</c:v>
              </c:pt>
              <c:pt idx="8">
                <c:v>129.34965576198888</c:v>
              </c:pt>
              <c:pt idx="9">
                <c:v>196.05741611086373</c:v>
              </c:pt>
              <c:pt idx="10">
                <c:v>514.95025467474272</c:v>
              </c:pt>
              <c:pt idx="11">
                <c:v>780.51863193925612</c:v>
              </c:pt>
            </c:numLit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60000"/>
        <c:axId val="134562176"/>
      </c:scatterChart>
      <c:valAx>
        <c:axId val="134560000"/>
        <c:scaling>
          <c:logBase val="10"/>
          <c:orientation val="minMax"/>
          <c:min val="10"/>
        </c:scaling>
        <c:delete val="0"/>
        <c:axPos val="b"/>
        <c:majorGridlines>
          <c:spPr>
            <a:ln w="254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lbertus Medium"/>
                    <a:ea typeface="Albertus Medium"/>
                    <a:cs typeface="Albertus Medium"/>
                  </a:defRPr>
                </a:pPr>
                <a:r>
                  <a:rPr lang="en-US"/>
                  <a:t>Watershed in Acres</a:t>
                </a:r>
              </a:p>
            </c:rich>
          </c:tx>
          <c:layout>
            <c:manualLayout>
              <c:xMode val="edge"/>
              <c:yMode val="edge"/>
              <c:x val="0.42105294983322084"/>
              <c:y val="0.900453483426589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lbertus Medium"/>
                <a:ea typeface="Albertus Medium"/>
                <a:cs typeface="Albertus Medium"/>
              </a:defRPr>
            </a:pPr>
            <a:endParaRPr lang="en-US"/>
          </a:p>
        </c:txPr>
        <c:crossAx val="134562176"/>
        <c:crosses val="autoZero"/>
        <c:crossBetween val="midCat"/>
      </c:valAx>
      <c:valAx>
        <c:axId val="134562176"/>
        <c:scaling>
          <c:logBase val="10"/>
          <c:orientation val="minMax"/>
          <c:min val="1"/>
        </c:scaling>
        <c:delete val="0"/>
        <c:axPos val="l"/>
        <c:majorGridlines>
          <c:spPr>
            <a:ln w="25400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lbertus Medium"/>
                    <a:ea typeface="Albertus Medium"/>
                    <a:cs typeface="Albertus Medium"/>
                  </a:defRPr>
                </a:pPr>
                <a:r>
                  <a:rPr lang="en-US"/>
                  <a:t>Discharge in CFS</a:t>
                </a:r>
              </a:p>
            </c:rich>
          </c:tx>
          <c:layout>
            <c:manualLayout>
              <c:xMode val="edge"/>
              <c:yMode val="edge"/>
              <c:x val="2.4767820578424755E-2"/>
              <c:y val="0.3823533635655617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lbertus Medium"/>
                <a:ea typeface="Albertus Medium"/>
                <a:cs typeface="Albertus Medium"/>
              </a:defRPr>
            </a:pPr>
            <a:endParaRPr lang="en-US"/>
          </a:p>
        </c:txPr>
        <c:crossAx val="13456000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81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lbertus Medium"/>
          <a:ea typeface="Albertus Medium"/>
          <a:cs typeface="Albertus Medium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Albertus Medium"/>
                <a:ea typeface="Albertus Medium"/>
                <a:cs typeface="Albertus Medium"/>
              </a:defRPr>
            </a:pPr>
            <a:r>
              <a:rPr lang="en-US"/>
              <a:t>Indiana Drainage Curves</a:t>
            </a:r>
          </a:p>
        </c:rich>
      </c:tx>
      <c:layout>
        <c:manualLayout>
          <c:xMode val="edge"/>
          <c:yMode val="edge"/>
          <c:x val="0.32954545454545453"/>
          <c:y val="2.60708109120601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318181818181818"/>
          <c:y val="0.15456266469292781"/>
          <c:w val="0.74431818181818177"/>
          <c:h val="0.675978882934130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Calculations!$C$7</c:f>
              <c:strCache>
                <c:ptCount val="1"/>
                <c:pt idx="0">
                  <c:v>D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Calculations!$B$8:$B$19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400</c:v>
                </c:pt>
                <c:pt idx="8">
                  <c:v>500</c:v>
                </c:pt>
                <c:pt idx="9">
                  <c:v>1000</c:v>
                </c:pt>
                <c:pt idx="10">
                  <c:v>5000</c:v>
                </c:pt>
                <c:pt idx="11">
                  <c:v>10000</c:v>
                </c:pt>
              </c:numCache>
            </c:numRef>
          </c:xVal>
          <c:yVal>
            <c:numRef>
              <c:f>Calculations!$C$8:$C$19</c:f>
              <c:numCache>
                <c:formatCode>0.00</c:formatCode>
                <c:ptCount val="12"/>
                <c:pt idx="0">
                  <c:v>0.79215584358596081</c:v>
                </c:pt>
                <c:pt idx="1">
                  <c:v>1.4082038478294223</c:v>
                </c:pt>
                <c:pt idx="2">
                  <c:v>1.971611177870249</c:v>
                </c:pt>
                <c:pt idx="3">
                  <c:v>3.0126989345450674</c:v>
                </c:pt>
                <c:pt idx="4">
                  <c:v>5.3556307970574135</c:v>
                </c:pt>
                <c:pt idx="5">
                  <c:v>9.5206264739895339</c:v>
                </c:pt>
                <c:pt idx="6">
                  <c:v>13.329727514506082</c:v>
                </c:pt>
                <c:pt idx="7">
                  <c:v>16.924678323052571</c:v>
                </c:pt>
                <c:pt idx="8">
                  <c:v>20.368344596274824</c:v>
                </c:pt>
                <c:pt idx="9">
                  <c:v>36.208508043755067</c:v>
                </c:pt>
                <c:pt idx="10">
                  <c:v>137.70691018458675</c:v>
                </c:pt>
                <c:pt idx="11">
                  <c:v>244.79955852726428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Calculations!$D$7</c:f>
              <c:strCache>
                <c:ptCount val="1"/>
                <c:pt idx="0">
                  <c:v>C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Calculations!$B$8:$B$19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400</c:v>
                </c:pt>
                <c:pt idx="8">
                  <c:v>500</c:v>
                </c:pt>
                <c:pt idx="9">
                  <c:v>1000</c:v>
                </c:pt>
                <c:pt idx="10">
                  <c:v>5000</c:v>
                </c:pt>
                <c:pt idx="11">
                  <c:v>10000</c:v>
                </c:pt>
              </c:numCache>
            </c:numRef>
          </c:xVal>
          <c:yVal>
            <c:numRef>
              <c:f>Calculations!$D$8:$D$19</c:f>
              <c:numCache>
                <c:formatCode>0.00</c:formatCode>
                <c:ptCount val="12"/>
                <c:pt idx="0">
                  <c:v>1.172390648507222</c:v>
                </c:pt>
                <c:pt idx="1">
                  <c:v>2.0841416947875451</c:v>
                </c:pt>
                <c:pt idx="2">
                  <c:v>2.9179845432479685</c:v>
                </c:pt>
                <c:pt idx="3">
                  <c:v>4.4587944231267</c:v>
                </c:pt>
                <c:pt idx="4">
                  <c:v>7.9263335796449716</c:v>
                </c:pt>
                <c:pt idx="5">
                  <c:v>14.090527181504511</c:v>
                </c:pt>
                <c:pt idx="6">
                  <c:v>19.727996721469001</c:v>
                </c:pt>
                <c:pt idx="7">
                  <c:v>25.048523918117805</c:v>
                </c:pt>
                <c:pt idx="8">
                  <c:v>30.145150002486737</c:v>
                </c:pt>
                <c:pt idx="9">
                  <c:v>53.5885919047575</c:v>
                </c:pt>
                <c:pt idx="10">
                  <c:v>203.80622707318838</c:v>
                </c:pt>
                <c:pt idx="11">
                  <c:v>362.30334662035114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Calculations!$E$7</c:f>
              <c:strCache>
                <c:ptCount val="1"/>
                <c:pt idx="0">
                  <c:v>B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Calculations!$B$8:$B$19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400</c:v>
                </c:pt>
                <c:pt idx="8">
                  <c:v>500</c:v>
                </c:pt>
                <c:pt idx="9">
                  <c:v>1000</c:v>
                </c:pt>
                <c:pt idx="10">
                  <c:v>5000</c:v>
                </c:pt>
                <c:pt idx="11">
                  <c:v>10000</c:v>
                </c:pt>
              </c:numCache>
            </c:numRef>
          </c:xVal>
          <c:yVal>
            <c:numRef>
              <c:f>Calculations!$E$8:$E$19</c:f>
              <c:numCache>
                <c:formatCode>0.00</c:formatCode>
                <c:ptCount val="12"/>
                <c:pt idx="0">
                  <c:v>3.8086587144205448</c:v>
                </c:pt>
                <c:pt idx="1">
                  <c:v>6.1871843353822911</c:v>
                </c:pt>
                <c:pt idx="2">
                  <c:v>8.2178259060127328</c:v>
                </c:pt>
                <c:pt idx="3">
                  <c:v>11.75035699170567</c:v>
                </c:pt>
                <c:pt idx="4">
                  <c:v>19.08851124910835</c:v>
                </c:pt>
                <c:pt idx="5">
                  <c:v>31.009378009922436</c:v>
                </c:pt>
                <c:pt idx="6">
                  <c:v>41.186694322650546</c:v>
                </c:pt>
                <c:pt idx="7">
                  <c:v>50.374883196151707</c:v>
                </c:pt>
                <c:pt idx="8">
                  <c:v>58.891289148058412</c:v>
                </c:pt>
                <c:pt idx="9">
                  <c:v>95.669181470036818</c:v>
                </c:pt>
                <c:pt idx="10">
                  <c:v>295.15562292859198</c:v>
                </c:pt>
                <c:pt idx="11">
                  <c:v>479.48172404353255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Calculations!$F$7</c:f>
              <c:strCache>
                <c:ptCount val="1"/>
                <c:pt idx="0">
                  <c:v>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Calculations!$B$8:$B$19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400</c:v>
                </c:pt>
                <c:pt idx="8">
                  <c:v>500</c:v>
                </c:pt>
                <c:pt idx="9">
                  <c:v>1000</c:v>
                </c:pt>
                <c:pt idx="10">
                  <c:v>5000</c:v>
                </c:pt>
                <c:pt idx="11">
                  <c:v>10000</c:v>
                </c:pt>
              </c:numCache>
            </c:numRef>
          </c:xVal>
          <c:yVal>
            <c:numRef>
              <c:f>Calculations!$F$8:$F$19</c:f>
              <c:numCache>
                <c:formatCode>0.00</c:formatCode>
                <c:ptCount val="12"/>
                <c:pt idx="0">
                  <c:v>7.0890772727633573</c:v>
                </c:pt>
                <c:pt idx="1">
                  <c:v>11.840005580757779</c:v>
                </c:pt>
                <c:pt idx="2">
                  <c:v>15.983041930129859</c:v>
                </c:pt>
                <c:pt idx="3">
                  <c:v>23.325314788323684</c:v>
                </c:pt>
                <c:pt idx="4">
                  <c:v>38.957377193186012</c:v>
                </c:pt>
                <c:pt idx="5">
                  <c:v>65.065670133287824</c:v>
                </c:pt>
                <c:pt idx="6">
                  <c:v>87</c:v>
                </c:pt>
                <c:pt idx="7">
                  <c:v>110</c:v>
                </c:pt>
                <c:pt idx="8">
                  <c:v>129.34965576198888</c:v>
                </c:pt>
                <c:pt idx="9">
                  <c:v>196.05741611086373</c:v>
                </c:pt>
                <c:pt idx="10">
                  <c:v>514.95025467474272</c:v>
                </c:pt>
                <c:pt idx="11">
                  <c:v>780.51863193925612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10560"/>
        <c:axId val="136612480"/>
      </c:scatterChart>
      <c:valAx>
        <c:axId val="136610560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450" b="1" i="0" u="none" strike="noStrike" baseline="0">
                    <a:solidFill>
                      <a:srgbClr val="000000"/>
                    </a:solidFill>
                    <a:latin typeface="Albertus Medium"/>
                    <a:ea typeface="Albertus Medium"/>
                    <a:cs typeface="Albertus Medium"/>
                  </a:defRPr>
                </a:pPr>
                <a:r>
                  <a:rPr lang="en-US"/>
                  <a:t>Watershed in Acres</a:t>
                </a:r>
              </a:p>
            </c:rich>
          </c:tx>
          <c:layout>
            <c:manualLayout>
              <c:xMode val="edge"/>
              <c:yMode val="edge"/>
              <c:x val="0.43323863636363635"/>
              <c:y val="0.912478381922103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lbertus Medium"/>
                <a:ea typeface="Albertus Medium"/>
                <a:cs typeface="Albertus Medium"/>
              </a:defRPr>
            </a:pPr>
            <a:endParaRPr lang="en-US"/>
          </a:p>
        </c:txPr>
        <c:crossAx val="136612480"/>
        <c:crosses val="autoZero"/>
        <c:crossBetween val="midCat"/>
      </c:valAx>
      <c:valAx>
        <c:axId val="136612480"/>
        <c:scaling>
          <c:logBase val="10"/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450" b="1" i="0" u="none" strike="noStrike" baseline="0">
                    <a:solidFill>
                      <a:srgbClr val="000000"/>
                    </a:solidFill>
                    <a:latin typeface="Albertus Medium"/>
                    <a:ea typeface="Albertus Medium"/>
                    <a:cs typeface="Albertus Medium"/>
                  </a:defRPr>
                </a:pPr>
                <a:r>
                  <a:rPr lang="en-US"/>
                  <a:t>Discharge in CFS</a:t>
                </a:r>
              </a:p>
            </c:rich>
          </c:tx>
          <c:layout>
            <c:manualLayout>
              <c:xMode val="edge"/>
              <c:yMode val="edge"/>
              <c:x val="2.130681818181818E-2"/>
              <c:y val="0.337058341077348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lbertus Medium"/>
                <a:ea typeface="Albertus Medium"/>
                <a:cs typeface="Albertus Medium"/>
              </a:defRPr>
            </a:pPr>
            <a:endParaRPr lang="en-US"/>
          </a:p>
        </c:txPr>
        <c:crossAx val="1366105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8100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lbertus Medium"/>
          <a:ea typeface="Albertus Medium"/>
          <a:cs typeface="Albertus Medium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6" workbookViewId="0" zoomToFit="1"/>
  </sheetViews>
  <sheetProtection password="C5D6" content="1" objects="1"/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000" cy="63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542924</xdr:colOff>
      <xdr:row>36</xdr:row>
      <xdr:rowOff>123824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0.68706</cdr:x>
      <cdr:y>0.26249</cdr:y>
    </cdr:from>
    <cdr:to>
      <cdr:x>0.72472</cdr:x>
      <cdr:y>0.32797</cdr:y>
    </cdr:to>
    <cdr:sp macro="" textlink="">
      <cdr:nvSpPr>
        <cdr:cNvPr id="5121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37323" y="1110752"/>
          <a:ext cx="232079" cy="2763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lbertus Medium"/>
            </a:rPr>
            <a:t>A</a:t>
          </a:r>
        </a:p>
      </cdr:txBody>
    </cdr:sp>
  </cdr:relSizeAnchor>
  <cdr:relSizeAnchor xmlns:cdr="http://schemas.openxmlformats.org/drawingml/2006/chartDrawing">
    <cdr:from>
      <cdr:x>0.68706</cdr:x>
      <cdr:y>0.32724</cdr:y>
    </cdr:from>
    <cdr:to>
      <cdr:x>0.72472</cdr:x>
      <cdr:y>0.37538</cdr:y>
    </cdr:to>
    <cdr:sp macro="" textlink="">
      <cdr:nvSpPr>
        <cdr:cNvPr id="5122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37323" y="1383988"/>
          <a:ext cx="232079" cy="2031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lbertus Medium"/>
            </a:rPr>
            <a:t>B</a:t>
          </a:r>
        </a:p>
      </cdr:txBody>
    </cdr:sp>
  </cdr:relSizeAnchor>
  <cdr:relSizeAnchor xmlns:cdr="http://schemas.openxmlformats.org/drawingml/2006/chartDrawing">
    <cdr:from>
      <cdr:x>0.68706</cdr:x>
      <cdr:y>0.3876</cdr:y>
    </cdr:from>
    <cdr:to>
      <cdr:x>0.72226</cdr:x>
      <cdr:y>0.4504</cdr:y>
    </cdr:to>
    <cdr:sp macro="" textlink="">
      <cdr:nvSpPr>
        <cdr:cNvPr id="5123" name="Text Box 10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37323" y="1638665"/>
          <a:ext cx="216911" cy="2649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lbertus Medium"/>
            </a:rPr>
            <a:t>C</a:t>
          </a:r>
        </a:p>
      </cdr:txBody>
    </cdr:sp>
  </cdr:relSizeAnchor>
  <cdr:relSizeAnchor xmlns:cdr="http://schemas.openxmlformats.org/drawingml/2006/chartDrawing">
    <cdr:from>
      <cdr:x>0.68706</cdr:x>
      <cdr:y>0.43158</cdr:y>
    </cdr:from>
    <cdr:to>
      <cdr:x>0.72718</cdr:x>
      <cdr:y>0.49976</cdr:y>
    </cdr:to>
    <cdr:sp macro="" textlink="">
      <cdr:nvSpPr>
        <cdr:cNvPr id="5124" name="Text Box 102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37323" y="1824260"/>
          <a:ext cx="247248" cy="2876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lbertus Medium"/>
            </a:rPr>
            <a:t>D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9</xdr:col>
          <xdr:colOff>342900</xdr:colOff>
          <xdr:row>39</xdr:row>
          <xdr:rowOff>114300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19</xdr:row>
      <xdr:rowOff>104775</xdr:rowOff>
    </xdr:from>
    <xdr:to>
      <xdr:col>10</xdr:col>
      <xdr:colOff>542925</xdr:colOff>
      <xdr:row>46</xdr:row>
      <xdr:rowOff>57150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0.70061</cdr:x>
      <cdr:y>0.26029</cdr:y>
    </cdr:from>
    <cdr:to>
      <cdr:x>0.73561</cdr:x>
      <cdr:y>0.32629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07882" y="1337018"/>
          <a:ext cx="235006" cy="3382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lbertus Medium"/>
            </a:rPr>
            <a:t>A</a:t>
          </a:r>
        </a:p>
      </cdr:txBody>
    </cdr:sp>
  </cdr:relSizeAnchor>
  <cdr:relSizeAnchor xmlns:cdr="http://schemas.openxmlformats.org/drawingml/2006/chartDrawing">
    <cdr:from>
      <cdr:x>0.70357</cdr:x>
      <cdr:y>0.32703</cdr:y>
    </cdr:from>
    <cdr:to>
      <cdr:x>0.73857</cdr:x>
      <cdr:y>0.37634</cdr:y>
    </cdr:to>
    <cdr:sp macro="" textlink="">
      <cdr:nvSpPr>
        <cdr:cNvPr id="205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27742" y="1679004"/>
          <a:ext cx="235005" cy="2527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lbertus Medium"/>
            </a:rPr>
            <a:t>B</a:t>
          </a:r>
        </a:p>
      </cdr:txBody>
    </cdr:sp>
  </cdr:relSizeAnchor>
  <cdr:relSizeAnchor xmlns:cdr="http://schemas.openxmlformats.org/drawingml/2006/chartDrawing">
    <cdr:from>
      <cdr:x>0.70357</cdr:x>
      <cdr:y>0.37561</cdr:y>
    </cdr:from>
    <cdr:to>
      <cdr:x>0.73635</cdr:x>
      <cdr:y>0.43891</cdr:y>
    </cdr:to>
    <cdr:sp macro="" textlink="">
      <cdr:nvSpPr>
        <cdr:cNvPr id="205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27742" y="1927949"/>
          <a:ext cx="220111" cy="3243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lbertus Medium"/>
            </a:rPr>
            <a:t>C</a:t>
          </a:r>
        </a:p>
      </cdr:txBody>
    </cdr:sp>
  </cdr:relSizeAnchor>
  <cdr:relSizeAnchor xmlns:cdr="http://schemas.openxmlformats.org/drawingml/2006/chartDrawing">
    <cdr:from>
      <cdr:x>0.70357</cdr:x>
      <cdr:y>0.42345</cdr:y>
    </cdr:from>
    <cdr:to>
      <cdr:x>0.74152</cdr:x>
      <cdr:y>0.49239</cdr:y>
    </cdr:to>
    <cdr:sp macro="" textlink="">
      <cdr:nvSpPr>
        <cdr:cNvPr id="205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27742" y="2173122"/>
          <a:ext cx="254865" cy="3533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lbertus Medium"/>
            </a:rPr>
            <a:t>D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openxmlformats.org/officeDocument/2006/relationships/image" Target="../media/image1.emf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zoomScale="150" zoomScaleNormal="150" workbookViewId="0">
      <selection activeCell="G11" sqref="G11"/>
    </sheetView>
  </sheetViews>
  <sheetFormatPr defaultRowHeight="14.4" x14ac:dyDescent="0.3"/>
  <cols>
    <col min="2" max="2" width="21.6640625" customWidth="1"/>
    <col min="3" max="3" width="8.33203125" customWidth="1"/>
    <col min="5" max="5" width="13.5546875" customWidth="1"/>
    <col min="6" max="6" width="6.109375" customWidth="1"/>
    <col min="7" max="7" width="13.88671875" customWidth="1"/>
    <col min="8" max="8" width="7.109375" customWidth="1"/>
    <col min="9" max="9" width="11.5546875" customWidth="1"/>
  </cols>
  <sheetData>
    <row r="1" spans="1:9" ht="23.25" x14ac:dyDescent="0.35">
      <c r="A1" s="21" t="s">
        <v>28</v>
      </c>
      <c r="B1" s="21"/>
      <c r="C1" s="21"/>
      <c r="D1" s="21"/>
      <c r="E1" s="21"/>
      <c r="F1" s="21"/>
      <c r="G1" s="21"/>
      <c r="H1" s="21"/>
      <c r="I1" s="12"/>
    </row>
    <row r="2" spans="1:9" ht="15" x14ac:dyDescent="0.25">
      <c r="A2" s="13"/>
      <c r="B2" s="13"/>
      <c r="C2" s="13"/>
      <c r="D2" s="13"/>
      <c r="E2" s="13"/>
      <c r="F2" s="13"/>
      <c r="G2" s="13"/>
      <c r="H2" s="13"/>
    </row>
    <row r="3" spans="1:9" ht="15" x14ac:dyDescent="0.25">
      <c r="A3" s="15" t="s">
        <v>35</v>
      </c>
      <c r="B3" s="20"/>
      <c r="C3" s="13"/>
      <c r="D3" s="15" t="s">
        <v>36</v>
      </c>
      <c r="E3" s="20"/>
      <c r="F3" s="15" t="s">
        <v>37</v>
      </c>
      <c r="G3" s="14">
        <f ca="1">TODAY()</f>
        <v>41760</v>
      </c>
      <c r="H3" s="13"/>
    </row>
    <row r="4" spans="1:9" ht="15" x14ac:dyDescent="0.25">
      <c r="A4" s="15" t="s">
        <v>40</v>
      </c>
      <c r="B4" s="19"/>
      <c r="C4" s="13"/>
      <c r="D4" s="15" t="s">
        <v>39</v>
      </c>
      <c r="E4" s="19"/>
      <c r="F4" s="15" t="s">
        <v>37</v>
      </c>
      <c r="G4" s="20"/>
      <c r="H4" s="13"/>
    </row>
    <row r="5" spans="1:9" ht="15" x14ac:dyDescent="0.25">
      <c r="A5" s="15" t="s">
        <v>38</v>
      </c>
      <c r="B5" s="19"/>
      <c r="C5" s="13"/>
      <c r="D5" s="13"/>
      <c r="E5" s="13"/>
      <c r="F5" s="13"/>
      <c r="G5" s="13"/>
      <c r="H5" s="13"/>
    </row>
    <row r="6" spans="1:9" ht="15" x14ac:dyDescent="0.25">
      <c r="A6" s="13"/>
      <c r="B6" s="16"/>
      <c r="C6" s="13"/>
      <c r="D6" s="13"/>
      <c r="E6" s="13"/>
      <c r="F6" s="13"/>
      <c r="G6" s="13"/>
      <c r="H6" s="13"/>
    </row>
    <row r="7" spans="1:9" ht="15" x14ac:dyDescent="0.25">
      <c r="A7" s="13"/>
      <c r="B7" s="13"/>
      <c r="C7" s="13"/>
      <c r="D7" s="13"/>
      <c r="E7" s="13"/>
      <c r="F7" s="13"/>
      <c r="G7" s="13"/>
      <c r="H7" s="13"/>
    </row>
    <row r="8" spans="1:9" ht="15.75" thickBot="1" x14ac:dyDescent="0.3">
      <c r="A8" s="13"/>
      <c r="B8" s="22" t="s">
        <v>5</v>
      </c>
      <c r="C8" s="22"/>
      <c r="D8" s="26"/>
      <c r="E8" s="13" t="s">
        <v>6</v>
      </c>
      <c r="F8" s="13"/>
      <c r="G8" s="13"/>
      <c r="H8" s="13"/>
    </row>
    <row r="9" spans="1:9" ht="15" thickBot="1" x14ac:dyDescent="0.35">
      <c r="A9" s="13"/>
      <c r="B9" s="23" t="s">
        <v>29</v>
      </c>
      <c r="C9" s="24"/>
      <c r="D9" s="18">
        <f>IF(D8&lt;400, ROUNDUP(1.29*((D8)^0.74), 0), ROUNDUP((150*((D8/640)^0.6)),0))</f>
        <v>0</v>
      </c>
      <c r="E9" s="17" t="s">
        <v>7</v>
      </c>
      <c r="F9" s="13"/>
      <c r="G9" s="13"/>
      <c r="H9" s="13"/>
    </row>
    <row r="10" spans="1:9" ht="15" thickBot="1" x14ac:dyDescent="0.35">
      <c r="A10" s="13"/>
      <c r="B10" s="23" t="s">
        <v>4</v>
      </c>
      <c r="C10" s="24"/>
      <c r="D10" s="18">
        <f>ROUNDUP(70*((D8/640)^0.7), 0)</f>
        <v>0</v>
      </c>
      <c r="E10" s="17" t="s">
        <v>7</v>
      </c>
      <c r="F10" s="13"/>
      <c r="G10" s="13"/>
      <c r="H10" s="13"/>
    </row>
    <row r="11" spans="1:9" ht="15" thickBot="1" x14ac:dyDescent="0.35">
      <c r="A11" s="13"/>
      <c r="B11" s="23" t="s">
        <v>30</v>
      </c>
      <c r="C11" s="24"/>
      <c r="D11" s="18">
        <f>ROUNDUP(37*((D8/640)^0.83), 0)</f>
        <v>0</v>
      </c>
      <c r="E11" s="17" t="s">
        <v>7</v>
      </c>
      <c r="F11" s="13"/>
      <c r="G11" s="13"/>
      <c r="H11" s="13"/>
    </row>
    <row r="12" spans="1:9" ht="15" thickBot="1" x14ac:dyDescent="0.35">
      <c r="A12" s="13"/>
      <c r="B12" s="23" t="s">
        <v>31</v>
      </c>
      <c r="C12" s="24"/>
      <c r="D12" s="18">
        <f>ROUNDUP(25*((D8/640)^0.83), 0)</f>
        <v>0</v>
      </c>
      <c r="E12" s="17" t="s">
        <v>7</v>
      </c>
      <c r="F12" s="13"/>
      <c r="G12" s="13"/>
      <c r="H12" s="13"/>
    </row>
    <row r="13" spans="1:9" x14ac:dyDescent="0.3">
      <c r="A13" s="13"/>
      <c r="B13" s="13"/>
      <c r="C13" s="13"/>
      <c r="D13" s="13"/>
      <c r="E13" s="13"/>
      <c r="F13" s="13"/>
      <c r="G13" s="13"/>
      <c r="H13" s="13"/>
    </row>
    <row r="14" spans="1:9" x14ac:dyDescent="0.3">
      <c r="A14" s="13"/>
      <c r="B14" s="16"/>
      <c r="C14" s="16"/>
      <c r="D14" s="16"/>
      <c r="E14" s="16"/>
      <c r="F14" s="13"/>
      <c r="G14" s="13"/>
      <c r="H14" s="13"/>
    </row>
    <row r="15" spans="1:9" x14ac:dyDescent="0.3">
      <c r="A15" s="13"/>
      <c r="B15" s="13"/>
      <c r="C15" s="13"/>
      <c r="D15" s="13"/>
      <c r="E15" s="13"/>
      <c r="F15" s="13"/>
      <c r="G15" s="13"/>
      <c r="H15" s="13"/>
    </row>
    <row r="16" spans="1:9" ht="15" x14ac:dyDescent="0.25">
      <c r="A16" s="13"/>
      <c r="B16" s="13"/>
      <c r="C16" s="13"/>
      <c r="D16" s="13"/>
      <c r="E16" s="13"/>
      <c r="F16" s="13"/>
      <c r="G16" s="13"/>
      <c r="H16" s="13"/>
    </row>
    <row r="17" spans="1:8" x14ac:dyDescent="0.3">
      <c r="A17" s="13"/>
      <c r="B17" s="13"/>
      <c r="C17" s="13"/>
      <c r="D17" s="13"/>
      <c r="E17" s="13"/>
      <c r="F17" s="13"/>
      <c r="G17" s="13"/>
      <c r="H17" s="13"/>
    </row>
    <row r="18" spans="1:8" x14ac:dyDescent="0.3">
      <c r="A18" s="13"/>
      <c r="B18" s="13"/>
      <c r="C18" s="13"/>
      <c r="D18" s="13"/>
      <c r="E18" s="13"/>
      <c r="F18" s="13"/>
      <c r="G18" s="13"/>
      <c r="H18" s="13"/>
    </row>
    <row r="19" spans="1:8" x14ac:dyDescent="0.3">
      <c r="A19" s="13"/>
      <c r="B19" s="13"/>
      <c r="C19" s="13"/>
      <c r="D19" s="13"/>
      <c r="E19" s="13"/>
      <c r="F19" s="13"/>
      <c r="G19" s="13"/>
      <c r="H19" s="13"/>
    </row>
    <row r="20" spans="1:8" x14ac:dyDescent="0.3">
      <c r="A20" s="13"/>
      <c r="B20" s="13"/>
      <c r="C20" s="13"/>
      <c r="D20" s="13"/>
      <c r="E20" s="13"/>
      <c r="F20" s="13"/>
      <c r="G20" s="13"/>
      <c r="H20" s="13"/>
    </row>
    <row r="21" spans="1:8" x14ac:dyDescent="0.3">
      <c r="A21" s="13"/>
      <c r="B21" s="13"/>
      <c r="C21" s="13"/>
      <c r="D21" s="13"/>
      <c r="E21" s="13"/>
      <c r="F21" s="13"/>
      <c r="G21" s="13"/>
      <c r="H21" s="13"/>
    </row>
    <row r="22" spans="1:8" x14ac:dyDescent="0.3">
      <c r="A22" s="13"/>
      <c r="B22" s="13"/>
      <c r="C22" s="13"/>
      <c r="D22" s="13"/>
      <c r="E22" s="13"/>
      <c r="F22" s="13"/>
      <c r="G22" s="13"/>
      <c r="H22" s="13"/>
    </row>
    <row r="23" spans="1:8" x14ac:dyDescent="0.3">
      <c r="A23" s="13"/>
      <c r="B23" s="13"/>
      <c r="C23" s="13"/>
      <c r="D23" s="13"/>
      <c r="E23" s="13"/>
      <c r="F23" s="13"/>
      <c r="G23" s="13"/>
      <c r="H23" s="13"/>
    </row>
    <row r="24" spans="1:8" x14ac:dyDescent="0.3">
      <c r="A24" s="13"/>
      <c r="B24" s="13"/>
      <c r="C24" s="13"/>
      <c r="D24" s="13"/>
      <c r="E24" s="13"/>
      <c r="F24" s="13"/>
      <c r="G24" s="13"/>
      <c r="H24" s="13"/>
    </row>
    <row r="25" spans="1:8" x14ac:dyDescent="0.3">
      <c r="A25" s="13"/>
      <c r="B25" s="13"/>
      <c r="C25" s="13"/>
      <c r="D25" s="13"/>
      <c r="E25" s="13"/>
      <c r="F25" s="13"/>
      <c r="G25" s="13"/>
      <c r="H25" s="13"/>
    </row>
    <row r="26" spans="1:8" x14ac:dyDescent="0.3">
      <c r="A26" s="13"/>
      <c r="B26" s="13"/>
      <c r="C26" s="13"/>
      <c r="D26" s="13"/>
      <c r="E26" s="13"/>
      <c r="F26" s="13"/>
      <c r="G26" s="13"/>
      <c r="H26" s="13"/>
    </row>
    <row r="27" spans="1:8" x14ac:dyDescent="0.3">
      <c r="A27" s="13"/>
      <c r="B27" s="13"/>
      <c r="C27" s="13"/>
      <c r="D27" s="13"/>
      <c r="E27" s="13"/>
      <c r="F27" s="13"/>
      <c r="G27" s="13"/>
      <c r="H27" s="13"/>
    </row>
    <row r="28" spans="1:8" x14ac:dyDescent="0.3">
      <c r="A28" s="13"/>
      <c r="B28" s="13"/>
      <c r="C28" s="13"/>
      <c r="D28" s="13"/>
      <c r="E28" s="13"/>
      <c r="F28" s="13"/>
      <c r="G28" s="13"/>
      <c r="H28" s="13"/>
    </row>
    <row r="29" spans="1:8" x14ac:dyDescent="0.3">
      <c r="A29" s="13"/>
      <c r="B29" s="13"/>
      <c r="C29" s="13"/>
      <c r="D29" s="13"/>
      <c r="E29" s="13"/>
      <c r="F29" s="13"/>
      <c r="G29" s="13"/>
      <c r="H29" s="13"/>
    </row>
    <row r="30" spans="1:8" x14ac:dyDescent="0.3">
      <c r="A30" s="13"/>
      <c r="B30" s="13"/>
      <c r="C30" s="13"/>
      <c r="D30" s="13"/>
      <c r="E30" s="13"/>
      <c r="F30" s="13"/>
      <c r="G30" s="13"/>
      <c r="H30" s="13"/>
    </row>
    <row r="31" spans="1:8" x14ac:dyDescent="0.3">
      <c r="A31" s="13"/>
      <c r="B31" s="13"/>
      <c r="C31" s="13"/>
      <c r="D31" s="13"/>
      <c r="E31" s="13"/>
      <c r="F31" s="13"/>
      <c r="G31" s="13"/>
      <c r="H31" s="13"/>
    </row>
    <row r="32" spans="1:8" x14ac:dyDescent="0.3">
      <c r="A32" s="13"/>
      <c r="B32" s="13"/>
      <c r="C32" s="13"/>
      <c r="D32" s="13"/>
      <c r="E32" s="13"/>
      <c r="F32" s="13"/>
      <c r="G32" s="13"/>
      <c r="H32" s="13"/>
    </row>
    <row r="33" spans="1:8" x14ac:dyDescent="0.3">
      <c r="A33" s="13"/>
      <c r="B33" s="13"/>
      <c r="C33" s="13"/>
      <c r="D33" s="13"/>
      <c r="E33" s="13"/>
      <c r="F33" s="13"/>
      <c r="G33" s="13"/>
      <c r="H33" s="13"/>
    </row>
    <row r="34" spans="1:8" x14ac:dyDescent="0.3">
      <c r="A34" s="13"/>
      <c r="B34" s="13"/>
      <c r="C34" s="13"/>
      <c r="D34" s="13"/>
      <c r="E34" s="13"/>
      <c r="F34" s="13"/>
      <c r="G34" s="13"/>
      <c r="H34" s="13"/>
    </row>
    <row r="35" spans="1:8" x14ac:dyDescent="0.3">
      <c r="A35" s="13"/>
      <c r="B35" s="13"/>
      <c r="C35" s="13"/>
      <c r="D35" s="13"/>
      <c r="E35" s="13"/>
      <c r="F35" s="13"/>
      <c r="G35" s="13"/>
      <c r="H35" s="13"/>
    </row>
    <row r="36" spans="1:8" x14ac:dyDescent="0.3">
      <c r="A36" s="13"/>
      <c r="B36" s="13"/>
      <c r="C36" s="13"/>
      <c r="D36" s="13"/>
      <c r="E36" s="13"/>
      <c r="F36" s="13"/>
      <c r="G36" s="13"/>
      <c r="H36" s="13"/>
    </row>
    <row r="37" spans="1:8" x14ac:dyDescent="0.3">
      <c r="A37" s="13"/>
      <c r="B37" s="13"/>
      <c r="C37" s="13"/>
      <c r="D37" s="13"/>
      <c r="E37" s="13"/>
      <c r="F37" s="13"/>
      <c r="G37" s="13"/>
      <c r="H37" s="13"/>
    </row>
    <row r="38" spans="1:8" x14ac:dyDescent="0.3">
      <c r="A38" s="13"/>
      <c r="B38" s="13"/>
      <c r="C38" s="13"/>
      <c r="D38" s="13"/>
      <c r="E38" s="13"/>
      <c r="F38" s="13"/>
      <c r="G38" s="13"/>
      <c r="H38" s="13"/>
    </row>
    <row r="39" spans="1:8" x14ac:dyDescent="0.3">
      <c r="A39" s="13"/>
      <c r="B39" s="13"/>
      <c r="C39" s="13"/>
      <c r="D39" s="13"/>
      <c r="E39" s="13"/>
      <c r="F39" s="13"/>
      <c r="G39" s="13"/>
      <c r="H39" s="13"/>
    </row>
    <row r="40" spans="1:8" x14ac:dyDescent="0.3">
      <c r="A40" s="13"/>
      <c r="B40" s="13"/>
      <c r="C40" s="13"/>
      <c r="D40" s="13"/>
      <c r="E40" s="13"/>
      <c r="F40" s="13"/>
      <c r="G40" s="13"/>
      <c r="H40" s="13"/>
    </row>
    <row r="41" spans="1:8" x14ac:dyDescent="0.3">
      <c r="A41" s="13"/>
      <c r="B41" s="13"/>
      <c r="C41" s="13"/>
      <c r="D41" s="13"/>
      <c r="E41" s="13"/>
      <c r="F41" s="13"/>
      <c r="G41" s="13"/>
      <c r="H41" s="13"/>
    </row>
    <row r="42" spans="1:8" x14ac:dyDescent="0.3">
      <c r="A42" s="13"/>
      <c r="B42" s="13"/>
      <c r="C42" s="13"/>
      <c r="D42" s="13"/>
      <c r="E42" s="13"/>
      <c r="F42" s="13"/>
      <c r="G42" s="13"/>
      <c r="H42" s="13"/>
    </row>
    <row r="43" spans="1:8" x14ac:dyDescent="0.3">
      <c r="A43" s="13"/>
      <c r="B43" s="13"/>
      <c r="C43" s="13"/>
      <c r="D43" s="13"/>
      <c r="E43" s="13"/>
      <c r="F43" s="13"/>
      <c r="G43" s="13"/>
      <c r="H43" s="13"/>
    </row>
    <row r="44" spans="1:8" x14ac:dyDescent="0.3">
      <c r="A44" s="13"/>
      <c r="B44" s="13"/>
      <c r="C44" s="13"/>
      <c r="D44" s="13"/>
      <c r="E44" s="13"/>
      <c r="F44" s="13"/>
      <c r="G44" s="13"/>
      <c r="H44" s="13"/>
    </row>
    <row r="45" spans="1:8" x14ac:dyDescent="0.3">
      <c r="A45" s="13"/>
      <c r="B45" s="13"/>
      <c r="C45" s="13"/>
      <c r="D45" s="13"/>
      <c r="E45" s="13"/>
      <c r="F45" s="13"/>
      <c r="G45" s="13"/>
      <c r="H45" s="13"/>
    </row>
    <row r="46" spans="1:8" x14ac:dyDescent="0.3">
      <c r="A46" s="13"/>
      <c r="B46" s="13"/>
      <c r="C46" s="13"/>
      <c r="D46" s="13"/>
      <c r="E46" s="13"/>
      <c r="F46" s="13"/>
      <c r="G46" s="13"/>
      <c r="H46" s="13"/>
    </row>
  </sheetData>
  <sheetProtection selectLockedCells="1"/>
  <mergeCells count="6">
    <mergeCell ref="B12:C12"/>
    <mergeCell ref="A1:H1"/>
    <mergeCell ref="B8:C8"/>
    <mergeCell ref="B9:C9"/>
    <mergeCell ref="B10:C10"/>
    <mergeCell ref="B11:C11"/>
  </mergeCells>
  <conditionalFormatting sqref="B3">
    <cfRule type="cellIs" dxfId="4" priority="5" operator="equal">
      <formula>$L$2</formula>
    </cfRule>
  </conditionalFormatting>
  <conditionalFormatting sqref="B4">
    <cfRule type="cellIs" dxfId="3" priority="4" operator="equal">
      <formula>$K$2</formula>
    </cfRule>
  </conditionalFormatting>
  <conditionalFormatting sqref="B5">
    <cfRule type="cellIs" dxfId="2" priority="3" operator="equal">
      <formula>$K$2</formula>
    </cfRule>
  </conditionalFormatting>
  <conditionalFormatting sqref="E3:E4 G4">
    <cfRule type="cellIs" dxfId="1" priority="2" operator="equal">
      <formula>$K$2</formula>
    </cfRule>
  </conditionalFormatting>
  <conditionalFormatting sqref="D8">
    <cfRule type="cellIs" dxfId="0" priority="1" operator="equal">
      <formula>$K$3</formula>
    </cfRule>
  </conditionalFormatting>
  <dataValidations count="1">
    <dataValidation type="whole" allowBlank="1" showInputMessage="1" showErrorMessage="1" error="Cannot exceed 10,000 acres with this calculator." sqref="D8">
      <formula1>0</formula1>
      <formula2>10000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workbookViewId="0">
      <selection activeCell="D4" sqref="D4"/>
    </sheetView>
  </sheetViews>
  <sheetFormatPr defaultRowHeight="14.4" x14ac:dyDescent="0.3"/>
  <cols>
    <col min="1" max="1" width="12.44140625" bestFit="1" customWidth="1"/>
    <col min="2" max="2" width="2.44140625" customWidth="1"/>
    <col min="3" max="3" width="12.6640625" style="1" customWidth="1"/>
    <col min="4" max="4" width="17.6640625" customWidth="1"/>
  </cols>
  <sheetData>
    <row r="1" spans="1:4" x14ac:dyDescent="0.3">
      <c r="A1" s="4" t="s">
        <v>2</v>
      </c>
      <c r="B1" s="4"/>
      <c r="C1" s="4" t="s">
        <v>3</v>
      </c>
    </row>
    <row r="2" spans="1:4" x14ac:dyDescent="0.3">
      <c r="A2" s="4" t="s">
        <v>0</v>
      </c>
      <c r="B2" s="4"/>
      <c r="C2" s="4" t="s">
        <v>1</v>
      </c>
      <c r="D2" s="6" t="s">
        <v>8</v>
      </c>
    </row>
    <row r="3" spans="1:4" x14ac:dyDescent="0.3">
      <c r="A3" s="2">
        <v>10</v>
      </c>
      <c r="B3" s="2"/>
      <c r="C3" s="3">
        <v>4</v>
      </c>
      <c r="D3" s="5">
        <f>70*((A3/640)^0.7)</f>
        <v>3.8086587144205448</v>
      </c>
    </row>
    <row r="4" spans="1:4" x14ac:dyDescent="0.3">
      <c r="A4">
        <v>20</v>
      </c>
      <c r="C4" s="1">
        <v>6.1</v>
      </c>
      <c r="D4" s="5">
        <f t="shared" ref="D4:D67" si="0">70*((A4/640)^0.7)</f>
        <v>6.1871843353822911</v>
      </c>
    </row>
    <row r="5" spans="1:4" x14ac:dyDescent="0.3">
      <c r="A5" s="2">
        <v>30</v>
      </c>
      <c r="B5" s="2"/>
      <c r="C5" s="3">
        <v>8.1</v>
      </c>
      <c r="D5" s="5">
        <f t="shared" si="0"/>
        <v>8.2178259060127328</v>
      </c>
    </row>
    <row r="6" spans="1:4" x14ac:dyDescent="0.3">
      <c r="A6">
        <v>40</v>
      </c>
      <c r="C6" s="1">
        <v>10</v>
      </c>
      <c r="D6" s="5">
        <f t="shared" si="0"/>
        <v>10.051110606224059</v>
      </c>
    </row>
    <row r="7" spans="1:4" x14ac:dyDescent="0.3">
      <c r="A7" s="2">
        <v>50</v>
      </c>
      <c r="B7" s="2"/>
      <c r="C7" s="3">
        <v>12</v>
      </c>
      <c r="D7" s="5">
        <f t="shared" si="0"/>
        <v>11.75035699170567</v>
      </c>
    </row>
    <row r="8" spans="1:4" x14ac:dyDescent="0.3">
      <c r="A8">
        <v>60</v>
      </c>
      <c r="C8" s="1">
        <v>14</v>
      </c>
      <c r="D8" s="5">
        <f t="shared" si="0"/>
        <v>13.34989756999439</v>
      </c>
    </row>
    <row r="9" spans="1:4" x14ac:dyDescent="0.3">
      <c r="A9" s="2">
        <v>70</v>
      </c>
      <c r="B9" s="2"/>
      <c r="C9" s="3">
        <v>15</v>
      </c>
      <c r="D9" s="5">
        <f t="shared" si="0"/>
        <v>14.871017552694244</v>
      </c>
    </row>
    <row r="10" spans="1:4" x14ac:dyDescent="0.3">
      <c r="A10">
        <v>80</v>
      </c>
      <c r="C10" s="1">
        <v>17</v>
      </c>
      <c r="D10" s="5">
        <f t="shared" si="0"/>
        <v>16.328077351894134</v>
      </c>
    </row>
    <row r="11" spans="1:4" x14ac:dyDescent="0.3">
      <c r="A11" s="2">
        <v>90</v>
      </c>
      <c r="B11" s="2"/>
      <c r="C11" s="3">
        <v>18</v>
      </c>
      <c r="D11" s="5">
        <f t="shared" si="0"/>
        <v>17.731350505583055</v>
      </c>
    </row>
    <row r="12" spans="1:4" x14ac:dyDescent="0.3">
      <c r="A12">
        <v>100</v>
      </c>
      <c r="C12" s="1">
        <v>19</v>
      </c>
      <c r="D12" s="5">
        <f t="shared" si="0"/>
        <v>19.08851124910835</v>
      </c>
    </row>
    <row r="13" spans="1:4" x14ac:dyDescent="0.3">
      <c r="A13" s="2">
        <v>125</v>
      </c>
      <c r="B13" s="2"/>
      <c r="C13" s="3">
        <v>22</v>
      </c>
      <c r="D13" s="5">
        <f t="shared" si="0"/>
        <v>22.315625646216542</v>
      </c>
    </row>
    <row r="14" spans="1:4" x14ac:dyDescent="0.3">
      <c r="A14">
        <v>150</v>
      </c>
      <c r="C14" s="1">
        <v>25</v>
      </c>
      <c r="D14" s="5">
        <f t="shared" si="0"/>
        <v>25.353384309737997</v>
      </c>
    </row>
    <row r="15" spans="1:4" x14ac:dyDescent="0.3">
      <c r="A15" s="2">
        <v>175</v>
      </c>
      <c r="B15" s="2"/>
      <c r="C15" s="3">
        <v>28</v>
      </c>
      <c r="D15" s="5">
        <f t="shared" si="0"/>
        <v>28.242210931845754</v>
      </c>
    </row>
    <row r="16" spans="1:4" x14ac:dyDescent="0.3">
      <c r="A16">
        <v>200</v>
      </c>
      <c r="C16" s="1">
        <v>31</v>
      </c>
      <c r="D16" s="5">
        <f t="shared" si="0"/>
        <v>31.009378009922436</v>
      </c>
    </row>
    <row r="17" spans="1:4" x14ac:dyDescent="0.3">
      <c r="A17" s="2">
        <v>225</v>
      </c>
      <c r="B17" s="2"/>
      <c r="C17" s="3">
        <v>33</v>
      </c>
      <c r="D17" s="5">
        <f t="shared" si="0"/>
        <v>33.674396476953881</v>
      </c>
    </row>
    <row r="18" spans="1:4" x14ac:dyDescent="0.3">
      <c r="A18">
        <v>250</v>
      </c>
      <c r="C18" s="1">
        <v>35</v>
      </c>
      <c r="D18" s="5">
        <f t="shared" si="0"/>
        <v>36.251840814656106</v>
      </c>
    </row>
    <row r="19" spans="1:4" x14ac:dyDescent="0.3">
      <c r="A19" s="2">
        <v>275</v>
      </c>
      <c r="B19" s="2"/>
      <c r="C19" s="3">
        <v>39</v>
      </c>
      <c r="D19" s="5">
        <f t="shared" si="0"/>
        <v>38.752965696281422</v>
      </c>
    </row>
    <row r="20" spans="1:4" x14ac:dyDescent="0.3">
      <c r="A20">
        <v>300</v>
      </c>
      <c r="C20" s="1">
        <v>41</v>
      </c>
      <c r="D20" s="5">
        <f t="shared" si="0"/>
        <v>41.186694322650546</v>
      </c>
    </row>
    <row r="21" spans="1:4" x14ac:dyDescent="0.3">
      <c r="A21" s="2">
        <v>325</v>
      </c>
      <c r="B21" s="2"/>
      <c r="C21" s="3">
        <v>42</v>
      </c>
      <c r="D21" s="5">
        <f t="shared" si="0"/>
        <v>43.560254746934838</v>
      </c>
    </row>
    <row r="22" spans="1:4" x14ac:dyDescent="0.3">
      <c r="A22">
        <v>350</v>
      </c>
      <c r="C22" s="1">
        <v>45</v>
      </c>
      <c r="D22" s="5">
        <f t="shared" si="0"/>
        <v>45.879607015579957</v>
      </c>
    </row>
    <row r="23" spans="1:4" x14ac:dyDescent="0.3">
      <c r="A23" s="2">
        <v>375</v>
      </c>
      <c r="B23" s="2"/>
      <c r="C23" s="3">
        <v>49</v>
      </c>
      <c r="D23" s="5">
        <f t="shared" si="0"/>
        <v>48.149739920254611</v>
      </c>
    </row>
    <row r="24" spans="1:4" x14ac:dyDescent="0.3">
      <c r="A24">
        <v>400</v>
      </c>
      <c r="C24" s="1">
        <v>50</v>
      </c>
      <c r="D24" s="5">
        <f t="shared" si="0"/>
        <v>50.374883196151707</v>
      </c>
    </row>
    <row r="25" spans="1:4" x14ac:dyDescent="0.3">
      <c r="A25" s="2">
        <v>425</v>
      </c>
      <c r="B25" s="2"/>
      <c r="C25" s="3">
        <v>51</v>
      </c>
      <c r="D25" s="5">
        <f t="shared" si="0"/>
        <v>52.558663031070786</v>
      </c>
    </row>
    <row r="26" spans="1:4" ht="15" x14ac:dyDescent="0.25">
      <c r="A26">
        <v>450</v>
      </c>
      <c r="C26" s="1">
        <v>55</v>
      </c>
      <c r="D26" s="5">
        <f t="shared" si="0"/>
        <v>54.704218468511534</v>
      </c>
    </row>
    <row r="27" spans="1:4" x14ac:dyDescent="0.3">
      <c r="A27" s="2">
        <v>475</v>
      </c>
      <c r="B27" s="2"/>
      <c r="C27" s="3">
        <v>59</v>
      </c>
      <c r="D27" s="5">
        <f t="shared" si="0"/>
        <v>56.814290161007875</v>
      </c>
    </row>
    <row r="28" spans="1:4" x14ac:dyDescent="0.3">
      <c r="A28">
        <v>500</v>
      </c>
      <c r="C28" s="1">
        <v>60</v>
      </c>
      <c r="D28" s="5">
        <f t="shared" si="0"/>
        <v>58.891289148058412</v>
      </c>
    </row>
    <row r="29" spans="1:4" x14ac:dyDescent="0.3">
      <c r="A29" s="2">
        <v>525</v>
      </c>
      <c r="B29" s="2"/>
      <c r="C29" s="3">
        <v>62</v>
      </c>
      <c r="D29" s="5">
        <f t="shared" si="0"/>
        <v>60.9373509262062</v>
      </c>
    </row>
    <row r="30" spans="1:4" x14ac:dyDescent="0.3">
      <c r="A30">
        <v>550</v>
      </c>
      <c r="C30" s="1">
        <v>64</v>
      </c>
      <c r="D30" s="5">
        <f t="shared" si="0"/>
        <v>62.954378505431158</v>
      </c>
    </row>
    <row r="31" spans="1:4" x14ac:dyDescent="0.3">
      <c r="A31" s="2">
        <v>575</v>
      </c>
      <c r="B31" s="2"/>
      <c r="C31" s="3">
        <v>65</v>
      </c>
      <c r="D31" s="5">
        <f t="shared" si="0"/>
        <v>64.944077092688616</v>
      </c>
    </row>
    <row r="32" spans="1:4" x14ac:dyDescent="0.3">
      <c r="A32">
        <v>600</v>
      </c>
      <c r="C32" s="1">
        <v>68</v>
      </c>
      <c r="D32" s="5">
        <f t="shared" si="0"/>
        <v>66.907982323129318</v>
      </c>
    </row>
    <row r="33" spans="1:4" x14ac:dyDescent="0.3">
      <c r="A33" s="2">
        <v>625</v>
      </c>
      <c r="B33" s="2"/>
      <c r="C33" s="3">
        <v>69</v>
      </c>
      <c r="D33" s="5">
        <f t="shared" si="0"/>
        <v>68.847483457493524</v>
      </c>
    </row>
    <row r="34" spans="1:4" x14ac:dyDescent="0.3">
      <c r="A34">
        <v>650</v>
      </c>
      <c r="C34" s="1">
        <v>70</v>
      </c>
      <c r="D34" s="5">
        <f t="shared" si="0"/>
        <v>70.763842608171814</v>
      </c>
    </row>
    <row r="35" spans="1:4" x14ac:dyDescent="0.3">
      <c r="A35" s="2">
        <v>675</v>
      </c>
      <c r="B35" s="2"/>
      <c r="C35" s="3">
        <v>72</v>
      </c>
      <c r="D35" s="5">
        <f t="shared" si="0"/>
        <v>72.65821080000805</v>
      </c>
    </row>
    <row r="36" spans="1:4" x14ac:dyDescent="0.3">
      <c r="A36">
        <v>700</v>
      </c>
      <c r="C36" s="1">
        <v>74</v>
      </c>
      <c r="D36" s="5">
        <f t="shared" si="0"/>
        <v>74.531641484574351</v>
      </c>
    </row>
    <row r="37" spans="1:4" x14ac:dyDescent="0.3">
      <c r="A37" s="2">
        <v>725</v>
      </c>
      <c r="B37" s="2"/>
      <c r="C37" s="3">
        <v>76</v>
      </c>
      <c r="D37" s="5">
        <f t="shared" si="0"/>
        <v>76.385101987971353</v>
      </c>
    </row>
    <row r="38" spans="1:4" x14ac:dyDescent="0.3">
      <c r="A38">
        <v>750</v>
      </c>
      <c r="C38" s="1">
        <v>78</v>
      </c>
      <c r="D38" s="5">
        <f t="shared" si="0"/>
        <v>78.219483268312601</v>
      </c>
    </row>
    <row r="39" spans="1:4" x14ac:dyDescent="0.3">
      <c r="A39" s="2">
        <v>775</v>
      </c>
      <c r="B39" s="2"/>
      <c r="C39" s="3">
        <v>80</v>
      </c>
      <c r="D39" s="5">
        <f t="shared" si="0"/>
        <v>80.035608280351866</v>
      </c>
    </row>
    <row r="40" spans="1:4" x14ac:dyDescent="0.3">
      <c r="A40">
        <v>800</v>
      </c>
      <c r="C40" s="1">
        <v>81</v>
      </c>
      <c r="D40" s="5">
        <f t="shared" si="0"/>
        <v>81.834239184479358</v>
      </c>
    </row>
    <row r="41" spans="1:4" x14ac:dyDescent="0.3">
      <c r="A41" s="2">
        <v>825</v>
      </c>
      <c r="B41" s="2"/>
      <c r="C41" s="3">
        <v>82</v>
      </c>
      <c r="D41" s="5">
        <f t="shared" si="0"/>
        <v>83.616083590775645</v>
      </c>
    </row>
    <row r="42" spans="1:4" x14ac:dyDescent="0.3">
      <c r="A42">
        <v>850</v>
      </c>
      <c r="C42" s="1">
        <v>85</v>
      </c>
      <c r="D42" s="5">
        <f t="shared" si="0"/>
        <v>85.381799992534269</v>
      </c>
    </row>
    <row r="43" spans="1:4" x14ac:dyDescent="0.3">
      <c r="A43" s="2">
        <v>875</v>
      </c>
      <c r="B43" s="2"/>
      <c r="C43" s="3">
        <v>87</v>
      </c>
      <c r="D43" s="5">
        <f t="shared" si="0"/>
        <v>87.132002515150319</v>
      </c>
    </row>
    <row r="44" spans="1:4" x14ac:dyDescent="0.3">
      <c r="A44">
        <v>900</v>
      </c>
      <c r="C44" s="1">
        <v>89</v>
      </c>
      <c r="D44" s="5">
        <f t="shared" si="0"/>
        <v>88.867265083687045</v>
      </c>
    </row>
    <row r="45" spans="1:4" x14ac:dyDescent="0.3">
      <c r="A45" s="2">
        <v>925</v>
      </c>
      <c r="B45" s="2"/>
      <c r="C45" s="3">
        <v>90</v>
      </c>
      <c r="D45" s="5">
        <f t="shared" si="0"/>
        <v>90.588125094411325</v>
      </c>
    </row>
    <row r="46" spans="1:4" x14ac:dyDescent="0.3">
      <c r="A46">
        <v>950</v>
      </c>
      <c r="C46" s="1">
        <v>91</v>
      </c>
      <c r="D46" s="5">
        <f t="shared" si="0"/>
        <v>92.295086661114297</v>
      </c>
    </row>
    <row r="47" spans="1:4" x14ac:dyDescent="0.3">
      <c r="A47" s="2">
        <v>975</v>
      </c>
      <c r="B47" s="2"/>
      <c r="C47" s="3">
        <v>93</v>
      </c>
      <c r="D47" s="5">
        <f t="shared" si="0"/>
        <v>93.988623495328753</v>
      </c>
    </row>
    <row r="48" spans="1:4" x14ac:dyDescent="0.3">
      <c r="A48">
        <v>1000</v>
      </c>
      <c r="C48" s="1">
        <v>95</v>
      </c>
      <c r="D48" s="5">
        <f t="shared" si="0"/>
        <v>95.669181470036818</v>
      </c>
    </row>
    <row r="49" spans="1:4" x14ac:dyDescent="0.3">
      <c r="A49" s="2">
        <v>1100</v>
      </c>
      <c r="B49" s="2"/>
      <c r="C49" s="3">
        <v>100</v>
      </c>
      <c r="D49" s="5">
        <f t="shared" si="0"/>
        <v>102.2696896043079</v>
      </c>
    </row>
    <row r="50" spans="1:4" x14ac:dyDescent="0.3">
      <c r="A50">
        <v>1200</v>
      </c>
      <c r="C50" s="1">
        <v>105</v>
      </c>
      <c r="D50" s="5">
        <f t="shared" si="0"/>
        <v>108.69233795464487</v>
      </c>
    </row>
    <row r="51" spans="1:4" x14ac:dyDescent="0.3">
      <c r="A51" s="2">
        <v>1300</v>
      </c>
      <c r="B51" s="2"/>
      <c r="C51" s="3">
        <v>110</v>
      </c>
      <c r="D51" s="5">
        <f t="shared" si="0"/>
        <v>114.9562014677261</v>
      </c>
    </row>
    <row r="52" spans="1:4" x14ac:dyDescent="0.3">
      <c r="A52">
        <v>1400</v>
      </c>
      <c r="C52" s="1">
        <v>128</v>
      </c>
      <c r="D52" s="5">
        <f t="shared" si="0"/>
        <v>121.07700880041868</v>
      </c>
    </row>
    <row r="53" spans="1:4" x14ac:dyDescent="0.3">
      <c r="A53" s="2">
        <v>1500</v>
      </c>
      <c r="B53" s="2"/>
      <c r="C53" s="3">
        <v>138</v>
      </c>
      <c r="D53" s="5">
        <f t="shared" si="0"/>
        <v>127.06792545286676</v>
      </c>
    </row>
    <row r="54" spans="1:4" x14ac:dyDescent="0.3">
      <c r="A54">
        <v>1600</v>
      </c>
      <c r="C54" s="1">
        <v>142</v>
      </c>
      <c r="D54" s="5">
        <f t="shared" si="0"/>
        <v>132.94011376316544</v>
      </c>
    </row>
    <row r="55" spans="1:4" x14ac:dyDescent="0.3">
      <c r="A55" s="2">
        <v>1700</v>
      </c>
      <c r="B55" s="2"/>
      <c r="C55" s="3">
        <v>146</v>
      </c>
      <c r="D55" s="5">
        <f t="shared" si="0"/>
        <v>138.70314329828952</v>
      </c>
    </row>
    <row r="56" spans="1:4" x14ac:dyDescent="0.3">
      <c r="A56">
        <v>1800</v>
      </c>
      <c r="C56" s="1">
        <v>150</v>
      </c>
      <c r="D56" s="5">
        <f t="shared" si="0"/>
        <v>144.36529804369923</v>
      </c>
    </row>
    <row r="57" spans="1:4" x14ac:dyDescent="0.3">
      <c r="A57" s="2">
        <v>1900</v>
      </c>
      <c r="B57" s="2"/>
      <c r="C57" s="3">
        <v>155</v>
      </c>
      <c r="D57" s="5">
        <f t="shared" si="0"/>
        <v>149.93381062479301</v>
      </c>
    </row>
    <row r="58" spans="1:4" x14ac:dyDescent="0.3">
      <c r="A58">
        <v>2000</v>
      </c>
      <c r="C58" s="1">
        <v>160</v>
      </c>
      <c r="D58" s="5">
        <f t="shared" si="0"/>
        <v>155.41504381295397</v>
      </c>
    </row>
    <row r="59" spans="1:4" x14ac:dyDescent="0.3">
      <c r="A59" s="2">
        <v>2100</v>
      </c>
      <c r="B59" s="2"/>
      <c r="C59" s="3">
        <v>164</v>
      </c>
      <c r="D59" s="5">
        <f t="shared" si="0"/>
        <v>160.81463321734606</v>
      </c>
    </row>
    <row r="60" spans="1:4" x14ac:dyDescent="0.3">
      <c r="A60">
        <v>2200</v>
      </c>
      <c r="C60" s="1">
        <v>169</v>
      </c>
      <c r="D60" s="5">
        <f t="shared" si="0"/>
        <v>166.13760091141495</v>
      </c>
    </row>
    <row r="61" spans="1:4" x14ac:dyDescent="0.3">
      <c r="A61" s="2">
        <v>2300</v>
      </c>
      <c r="B61" s="2"/>
      <c r="C61" s="3">
        <v>173</v>
      </c>
      <c r="D61" s="5">
        <f t="shared" si="0"/>
        <v>171.38844696329463</v>
      </c>
    </row>
    <row r="62" spans="1:4" x14ac:dyDescent="0.3">
      <c r="A62">
        <v>2400</v>
      </c>
      <c r="C62" s="1">
        <v>179</v>
      </c>
      <c r="D62" s="5">
        <f t="shared" si="0"/>
        <v>176.57122393844423</v>
      </c>
    </row>
    <row r="63" spans="1:4" x14ac:dyDescent="0.3">
      <c r="A63" s="2">
        <v>2500</v>
      </c>
      <c r="B63" s="2"/>
      <c r="C63" s="3">
        <v>185</v>
      </c>
      <c r="D63" s="5">
        <f t="shared" si="0"/>
        <v>181.68959811793732</v>
      </c>
    </row>
    <row r="64" spans="1:4" x14ac:dyDescent="0.3">
      <c r="A64">
        <v>2600</v>
      </c>
      <c r="C64" s="1">
        <v>189</v>
      </c>
      <c r="D64" s="5">
        <f t="shared" si="0"/>
        <v>186.74690023634142</v>
      </c>
    </row>
    <row r="65" spans="1:4" x14ac:dyDescent="0.3">
      <c r="A65" s="2">
        <v>2700</v>
      </c>
      <c r="B65" s="2"/>
      <c r="C65" s="3">
        <v>193</v>
      </c>
      <c r="D65" s="5">
        <f t="shared" si="0"/>
        <v>191.74616786643031</v>
      </c>
    </row>
    <row r="66" spans="1:4" x14ac:dyDescent="0.3">
      <c r="A66">
        <v>2800</v>
      </c>
      <c r="C66" s="1">
        <v>197</v>
      </c>
      <c r="D66" s="5">
        <f t="shared" si="0"/>
        <v>196.69018108357017</v>
      </c>
    </row>
    <row r="67" spans="1:4" x14ac:dyDescent="0.3">
      <c r="A67" s="2">
        <v>2900</v>
      </c>
      <c r="B67" s="2"/>
      <c r="C67" s="3">
        <v>203</v>
      </c>
      <c r="D67" s="5">
        <f t="shared" si="0"/>
        <v>201.58149267664504</v>
      </c>
    </row>
    <row r="68" spans="1:4" x14ac:dyDescent="0.3">
      <c r="A68">
        <v>3000</v>
      </c>
      <c r="C68" s="1">
        <v>210</v>
      </c>
      <c r="D68" s="5">
        <f t="shared" ref="D68:D82" si="1">70*((A68/640)^0.7)</f>
        <v>206.42245389821304</v>
      </c>
    </row>
    <row r="69" spans="1:4" x14ac:dyDescent="0.3">
      <c r="A69" s="2">
        <v>3500</v>
      </c>
      <c r="B69" s="2"/>
      <c r="C69" s="3">
        <v>229</v>
      </c>
      <c r="D69" s="5">
        <f t="shared" si="1"/>
        <v>229.94273320044911</v>
      </c>
    </row>
    <row r="70" spans="1:4" x14ac:dyDescent="0.3">
      <c r="A70">
        <v>4000</v>
      </c>
      <c r="C70" s="1">
        <v>250</v>
      </c>
      <c r="D70" s="5">
        <f t="shared" si="1"/>
        <v>252.47248353376236</v>
      </c>
    </row>
    <row r="71" spans="1:4" x14ac:dyDescent="0.3">
      <c r="A71" s="2">
        <v>4500</v>
      </c>
      <c r="B71" s="2"/>
      <c r="C71" s="3">
        <v>280</v>
      </c>
      <c r="D71" s="5">
        <f t="shared" si="1"/>
        <v>274.17055921975231</v>
      </c>
    </row>
    <row r="72" spans="1:4" x14ac:dyDescent="0.3">
      <c r="A72">
        <v>5000</v>
      </c>
      <c r="C72" s="1">
        <v>300</v>
      </c>
      <c r="D72" s="5">
        <f t="shared" si="1"/>
        <v>295.15562292859198</v>
      </c>
    </row>
    <row r="73" spans="1:4" x14ac:dyDescent="0.3">
      <c r="A73" s="2">
        <v>5500</v>
      </c>
      <c r="B73" s="2"/>
      <c r="C73" s="3">
        <v>315</v>
      </c>
      <c r="D73" s="5">
        <f t="shared" si="1"/>
        <v>315.51930807861254</v>
      </c>
    </row>
    <row r="74" spans="1:4" x14ac:dyDescent="0.3">
      <c r="A74">
        <v>6000</v>
      </c>
      <c r="C74" s="1">
        <v>330</v>
      </c>
      <c r="D74" s="5">
        <f t="shared" si="1"/>
        <v>335.33426568111611</v>
      </c>
    </row>
    <row r="75" spans="1:4" x14ac:dyDescent="0.3">
      <c r="A75" s="2">
        <v>6500</v>
      </c>
      <c r="B75" s="2"/>
      <c r="C75" s="3">
        <v>350</v>
      </c>
      <c r="D75" s="5">
        <f t="shared" si="1"/>
        <v>354.65934517625323</v>
      </c>
    </row>
    <row r="76" spans="1:4" x14ac:dyDescent="0.3">
      <c r="A76">
        <v>7000</v>
      </c>
      <c r="C76" s="1">
        <v>380</v>
      </c>
      <c r="D76" s="5">
        <f t="shared" si="1"/>
        <v>373.54307213353462</v>
      </c>
    </row>
    <row r="77" spans="1:4" x14ac:dyDescent="0.3">
      <c r="A77" s="2">
        <v>7500</v>
      </c>
      <c r="B77" s="2"/>
      <c r="C77" s="3">
        <v>400</v>
      </c>
      <c r="D77" s="5">
        <f t="shared" si="1"/>
        <v>392.02606435000297</v>
      </c>
    </row>
    <row r="78" spans="1:4" x14ac:dyDescent="0.3">
      <c r="A78">
        <v>8000</v>
      </c>
      <c r="C78" s="1">
        <v>415</v>
      </c>
      <c r="D78" s="5">
        <f t="shared" si="1"/>
        <v>410.14275952861738</v>
      </c>
    </row>
    <row r="79" spans="1:4" x14ac:dyDescent="0.3">
      <c r="A79" s="2">
        <v>8500</v>
      </c>
      <c r="B79" s="2"/>
      <c r="C79" s="3">
        <v>430</v>
      </c>
      <c r="D79" s="5">
        <f t="shared" si="1"/>
        <v>427.9226814037529</v>
      </c>
    </row>
    <row r="80" spans="1:4" x14ac:dyDescent="0.3">
      <c r="A80">
        <v>9000</v>
      </c>
      <c r="C80" s="1">
        <v>450</v>
      </c>
      <c r="D80" s="5">
        <f t="shared" si="1"/>
        <v>445.39138747314598</v>
      </c>
    </row>
    <row r="81" spans="1:4" x14ac:dyDescent="0.3">
      <c r="A81" s="2">
        <v>9500</v>
      </c>
      <c r="B81" s="2"/>
      <c r="C81" s="3">
        <v>470</v>
      </c>
      <c r="D81" s="5">
        <f t="shared" si="1"/>
        <v>462.57119161073217</v>
      </c>
    </row>
    <row r="82" spans="1:4" x14ac:dyDescent="0.3">
      <c r="A82">
        <v>10000</v>
      </c>
      <c r="C82" s="1">
        <v>490</v>
      </c>
      <c r="D82" s="5">
        <f t="shared" si="1"/>
        <v>479.48172404353255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8:M38"/>
  <sheetViews>
    <sheetView workbookViewId="0">
      <selection activeCell="E47" sqref="E47"/>
    </sheetView>
  </sheetViews>
  <sheetFormatPr defaultColWidth="9.109375" defaultRowHeight="13.2" x14ac:dyDescent="0.25"/>
  <cols>
    <col min="1" max="16384" width="9.109375" style="11"/>
  </cols>
  <sheetData>
    <row r="38" spans="1:13" ht="13.8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</sheetData>
  <mergeCells count="1">
    <mergeCell ref="A38:M38"/>
  </mergeCells>
  <pageMargins left="0.75" right="0.75" top="1" bottom="1" header="0.5" footer="0.5"/>
  <pageSetup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>
      <selection activeCell="L37" sqref="L37"/>
    </sheetView>
  </sheetViews>
  <sheetFormatPr defaultRowHeight="14.4" x14ac:dyDescent="0.3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robat Document" shapeId="4097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9</xdr:col>
                <xdr:colOff>342900</xdr:colOff>
                <xdr:row>39</xdr:row>
                <xdr:rowOff>114300</xdr:rowOff>
              </to>
            </anchor>
          </objectPr>
        </oleObject>
      </mc:Choice>
      <mc:Fallback>
        <oleObject progId="Acrobat Document" shapeId="4097" r:id="rId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workbookViewId="0">
      <selection activeCell="L15" sqref="L15"/>
    </sheetView>
  </sheetViews>
  <sheetFormatPr defaultRowHeight="13.2" x14ac:dyDescent="0.25"/>
  <cols>
    <col min="1" max="2" width="11" style="11" customWidth="1"/>
    <col min="3" max="10" width="9.109375" style="11"/>
    <col min="11" max="11" width="8.109375" style="11" customWidth="1"/>
    <col min="12" max="12" width="17.33203125" style="11" customWidth="1"/>
    <col min="13" max="13" width="18.109375" style="11" customWidth="1"/>
    <col min="14" max="255" width="9.109375" style="11"/>
    <col min="256" max="257" width="11" style="11" customWidth="1"/>
    <col min="258" max="511" width="9.109375" style="11"/>
    <col min="512" max="513" width="11" style="11" customWidth="1"/>
    <col min="514" max="767" width="9.109375" style="11"/>
    <col min="768" max="769" width="11" style="11" customWidth="1"/>
    <col min="770" max="1023" width="9.109375" style="11"/>
    <col min="1024" max="1025" width="11" style="11" customWidth="1"/>
    <col min="1026" max="1279" width="9.109375" style="11"/>
    <col min="1280" max="1281" width="11" style="11" customWidth="1"/>
    <col min="1282" max="1535" width="9.109375" style="11"/>
    <col min="1536" max="1537" width="11" style="11" customWidth="1"/>
    <col min="1538" max="1791" width="9.109375" style="11"/>
    <col min="1792" max="1793" width="11" style="11" customWidth="1"/>
    <col min="1794" max="2047" width="9.109375" style="11"/>
    <col min="2048" max="2049" width="11" style="11" customWidth="1"/>
    <col min="2050" max="2303" width="9.109375" style="11"/>
    <col min="2304" max="2305" width="11" style="11" customWidth="1"/>
    <col min="2306" max="2559" width="9.109375" style="11"/>
    <col min="2560" max="2561" width="11" style="11" customWidth="1"/>
    <col min="2562" max="2815" width="9.109375" style="11"/>
    <col min="2816" max="2817" width="11" style="11" customWidth="1"/>
    <col min="2818" max="3071" width="9.109375" style="11"/>
    <col min="3072" max="3073" width="11" style="11" customWidth="1"/>
    <col min="3074" max="3327" width="9.109375" style="11"/>
    <col min="3328" max="3329" width="11" style="11" customWidth="1"/>
    <col min="3330" max="3583" width="9.109375" style="11"/>
    <col min="3584" max="3585" width="11" style="11" customWidth="1"/>
    <col min="3586" max="3839" width="9.109375" style="11"/>
    <col min="3840" max="3841" width="11" style="11" customWidth="1"/>
    <col min="3842" max="4095" width="9.109375" style="11"/>
    <col min="4096" max="4097" width="11" style="11" customWidth="1"/>
    <col min="4098" max="4351" width="9.109375" style="11"/>
    <col min="4352" max="4353" width="11" style="11" customWidth="1"/>
    <col min="4354" max="4607" width="9.109375" style="11"/>
    <col min="4608" max="4609" width="11" style="11" customWidth="1"/>
    <col min="4610" max="4863" width="9.109375" style="11"/>
    <col min="4864" max="4865" width="11" style="11" customWidth="1"/>
    <col min="4866" max="5119" width="9.109375" style="11"/>
    <col min="5120" max="5121" width="11" style="11" customWidth="1"/>
    <col min="5122" max="5375" width="9.109375" style="11"/>
    <col min="5376" max="5377" width="11" style="11" customWidth="1"/>
    <col min="5378" max="5631" width="9.109375" style="11"/>
    <col min="5632" max="5633" width="11" style="11" customWidth="1"/>
    <col min="5634" max="5887" width="9.109375" style="11"/>
    <col min="5888" max="5889" width="11" style="11" customWidth="1"/>
    <col min="5890" max="6143" width="9.109375" style="11"/>
    <col min="6144" max="6145" width="11" style="11" customWidth="1"/>
    <col min="6146" max="6399" width="9.109375" style="11"/>
    <col min="6400" max="6401" width="11" style="11" customWidth="1"/>
    <col min="6402" max="6655" width="9.109375" style="11"/>
    <col min="6656" max="6657" width="11" style="11" customWidth="1"/>
    <col min="6658" max="6911" width="9.109375" style="11"/>
    <col min="6912" max="6913" width="11" style="11" customWidth="1"/>
    <col min="6914" max="7167" width="9.109375" style="11"/>
    <col min="7168" max="7169" width="11" style="11" customWidth="1"/>
    <col min="7170" max="7423" width="9.109375" style="11"/>
    <col min="7424" max="7425" width="11" style="11" customWidth="1"/>
    <col min="7426" max="7679" width="9.109375" style="11"/>
    <col min="7680" max="7681" width="11" style="11" customWidth="1"/>
    <col min="7682" max="7935" width="9.109375" style="11"/>
    <col min="7936" max="7937" width="11" style="11" customWidth="1"/>
    <col min="7938" max="8191" width="9.109375" style="11"/>
    <col min="8192" max="8193" width="11" style="11" customWidth="1"/>
    <col min="8194" max="8447" width="9.109375" style="11"/>
    <col min="8448" max="8449" width="11" style="11" customWidth="1"/>
    <col min="8450" max="8703" width="9.109375" style="11"/>
    <col min="8704" max="8705" width="11" style="11" customWidth="1"/>
    <col min="8706" max="8959" width="9.109375" style="11"/>
    <col min="8960" max="8961" width="11" style="11" customWidth="1"/>
    <col min="8962" max="9215" width="9.109375" style="11"/>
    <col min="9216" max="9217" width="11" style="11" customWidth="1"/>
    <col min="9218" max="9471" width="9.109375" style="11"/>
    <col min="9472" max="9473" width="11" style="11" customWidth="1"/>
    <col min="9474" max="9727" width="9.109375" style="11"/>
    <col min="9728" max="9729" width="11" style="11" customWidth="1"/>
    <col min="9730" max="9983" width="9.109375" style="11"/>
    <col min="9984" max="9985" width="11" style="11" customWidth="1"/>
    <col min="9986" max="10239" width="9.109375" style="11"/>
    <col min="10240" max="10241" width="11" style="11" customWidth="1"/>
    <col min="10242" max="10495" width="9.109375" style="11"/>
    <col min="10496" max="10497" width="11" style="11" customWidth="1"/>
    <col min="10498" max="10751" width="9.109375" style="11"/>
    <col min="10752" max="10753" width="11" style="11" customWidth="1"/>
    <col min="10754" max="11007" width="9.109375" style="11"/>
    <col min="11008" max="11009" width="11" style="11" customWidth="1"/>
    <col min="11010" max="11263" width="9.109375" style="11"/>
    <col min="11264" max="11265" width="11" style="11" customWidth="1"/>
    <col min="11266" max="11519" width="9.109375" style="11"/>
    <col min="11520" max="11521" width="11" style="11" customWidth="1"/>
    <col min="11522" max="11775" width="9.109375" style="11"/>
    <col min="11776" max="11777" width="11" style="11" customWidth="1"/>
    <col min="11778" max="12031" width="9.109375" style="11"/>
    <col min="12032" max="12033" width="11" style="11" customWidth="1"/>
    <col min="12034" max="12287" width="9.109375" style="11"/>
    <col min="12288" max="12289" width="11" style="11" customWidth="1"/>
    <col min="12290" max="12543" width="9.109375" style="11"/>
    <col min="12544" max="12545" width="11" style="11" customWidth="1"/>
    <col min="12546" max="12799" width="9.109375" style="11"/>
    <col min="12800" max="12801" width="11" style="11" customWidth="1"/>
    <col min="12802" max="13055" width="9.109375" style="11"/>
    <col min="13056" max="13057" width="11" style="11" customWidth="1"/>
    <col min="13058" max="13311" width="9.109375" style="11"/>
    <col min="13312" max="13313" width="11" style="11" customWidth="1"/>
    <col min="13314" max="13567" width="9.109375" style="11"/>
    <col min="13568" max="13569" width="11" style="11" customWidth="1"/>
    <col min="13570" max="13823" width="9.109375" style="11"/>
    <col min="13824" max="13825" width="11" style="11" customWidth="1"/>
    <col min="13826" max="14079" width="9.109375" style="11"/>
    <col min="14080" max="14081" width="11" style="11" customWidth="1"/>
    <col min="14082" max="14335" width="9.109375" style="11"/>
    <col min="14336" max="14337" width="11" style="11" customWidth="1"/>
    <col min="14338" max="14591" width="9.109375" style="11"/>
    <col min="14592" max="14593" width="11" style="11" customWidth="1"/>
    <col min="14594" max="14847" width="9.109375" style="11"/>
    <col min="14848" max="14849" width="11" style="11" customWidth="1"/>
    <col min="14850" max="15103" width="9.109375" style="11"/>
    <col min="15104" max="15105" width="11" style="11" customWidth="1"/>
    <col min="15106" max="15359" width="9.109375" style="11"/>
    <col min="15360" max="15361" width="11" style="11" customWidth="1"/>
    <col min="15362" max="15615" width="9.109375" style="11"/>
    <col min="15616" max="15617" width="11" style="11" customWidth="1"/>
    <col min="15618" max="15871" width="9.109375" style="11"/>
    <col min="15872" max="15873" width="11" style="11" customWidth="1"/>
    <col min="15874" max="16127" width="9.109375" style="11"/>
    <col min="16128" max="16129" width="11" style="11" customWidth="1"/>
    <col min="16130" max="16384" width="9.109375" style="11"/>
  </cols>
  <sheetData>
    <row r="1" spans="1:15" s="7" customFormat="1" ht="16.5" x14ac:dyDescent="0.3">
      <c r="A1" s="7" t="s">
        <v>9</v>
      </c>
    </row>
    <row r="2" spans="1:15" s="7" customFormat="1" ht="15" x14ac:dyDescent="0.3"/>
    <row r="3" spans="1:15" s="7" customFormat="1" ht="15" x14ac:dyDescent="0.3">
      <c r="A3" s="7" t="s">
        <v>10</v>
      </c>
    </row>
    <row r="4" spans="1:15" s="7" customFormat="1" ht="15" x14ac:dyDescent="0.3"/>
    <row r="5" spans="1:15" s="7" customFormat="1" ht="15" x14ac:dyDescent="0.3">
      <c r="A5" s="7" t="s">
        <v>11</v>
      </c>
    </row>
    <row r="6" spans="1:15" s="7" customFormat="1" ht="15" x14ac:dyDescent="0.3"/>
    <row r="7" spans="1:15" s="7" customFormat="1" ht="16.5" x14ac:dyDescent="0.35"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H7" s="8" t="s">
        <v>17</v>
      </c>
    </row>
    <row r="8" spans="1:15" s="7" customFormat="1" ht="15" x14ac:dyDescent="0.3">
      <c r="B8" s="9">
        <v>10</v>
      </c>
      <c r="C8" s="10">
        <f t="shared" ref="C8:C19" si="0">25*(H8^0.83)</f>
        <v>0.79215584358596081</v>
      </c>
      <c r="D8" s="10">
        <f t="shared" ref="D8:D19" si="1">37*(H8^0.83)</f>
        <v>1.172390648507222</v>
      </c>
      <c r="E8" s="10">
        <f t="shared" ref="E8:E19" si="2">70*(H8^0.7)</f>
        <v>3.8086587144205448</v>
      </c>
      <c r="F8" s="10">
        <f t="shared" ref="F8:F13" si="3">(B8^0.74)*1.29</f>
        <v>7.0890772727633573</v>
      </c>
      <c r="H8" s="10">
        <f t="shared" ref="H8:H19" si="4">B8/640</f>
        <v>1.5625E-2</v>
      </c>
      <c r="L8" s="7" t="s">
        <v>20</v>
      </c>
      <c r="M8" s="7" t="s">
        <v>27</v>
      </c>
      <c r="O8" s="7" t="s">
        <v>32</v>
      </c>
    </row>
    <row r="9" spans="1:15" s="7" customFormat="1" ht="15" x14ac:dyDescent="0.3">
      <c r="B9" s="9">
        <v>20</v>
      </c>
      <c r="C9" s="10">
        <f t="shared" si="0"/>
        <v>1.4082038478294223</v>
      </c>
      <c r="D9" s="10">
        <f t="shared" si="1"/>
        <v>2.0841416947875451</v>
      </c>
      <c r="E9" s="10">
        <f t="shared" si="2"/>
        <v>6.1871843353822911</v>
      </c>
      <c r="F9" s="10">
        <f t="shared" si="3"/>
        <v>11.840005580757779</v>
      </c>
      <c r="H9" s="10">
        <f t="shared" si="4"/>
        <v>3.125E-2</v>
      </c>
      <c r="I9" s="7" t="s">
        <v>18</v>
      </c>
      <c r="L9" s="7" t="s">
        <v>20</v>
      </c>
      <c r="M9" s="7" t="s">
        <v>33</v>
      </c>
      <c r="O9" s="7" t="s">
        <v>34</v>
      </c>
    </row>
    <row r="10" spans="1:15" s="7" customFormat="1" ht="15" x14ac:dyDescent="0.3">
      <c r="B10" s="9">
        <v>30</v>
      </c>
      <c r="C10" s="10">
        <f t="shared" si="0"/>
        <v>1.971611177870249</v>
      </c>
      <c r="D10" s="10">
        <f t="shared" si="1"/>
        <v>2.9179845432479685</v>
      </c>
      <c r="E10" s="10">
        <f t="shared" si="2"/>
        <v>8.2178259060127328</v>
      </c>
      <c r="F10" s="10">
        <f t="shared" si="3"/>
        <v>15.983041930129859</v>
      </c>
      <c r="H10" s="10">
        <f t="shared" si="4"/>
        <v>4.6875E-2</v>
      </c>
      <c r="I10" s="7" t="s">
        <v>19</v>
      </c>
      <c r="L10" s="7" t="s">
        <v>21</v>
      </c>
      <c r="M10" s="7" t="s">
        <v>24</v>
      </c>
    </row>
    <row r="11" spans="1:15" s="7" customFormat="1" ht="15" x14ac:dyDescent="0.3">
      <c r="B11" s="9">
        <v>50</v>
      </c>
      <c r="C11" s="10">
        <f t="shared" si="0"/>
        <v>3.0126989345450674</v>
      </c>
      <c r="D11" s="10">
        <f t="shared" si="1"/>
        <v>4.4587944231267</v>
      </c>
      <c r="E11" s="10">
        <f t="shared" si="2"/>
        <v>11.75035699170567</v>
      </c>
      <c r="F11" s="10">
        <f t="shared" si="3"/>
        <v>23.325314788323684</v>
      </c>
      <c r="H11" s="10">
        <f t="shared" si="4"/>
        <v>7.8125E-2</v>
      </c>
      <c r="L11" s="7" t="s">
        <v>22</v>
      </c>
      <c r="M11" s="7" t="s">
        <v>25</v>
      </c>
    </row>
    <row r="12" spans="1:15" s="7" customFormat="1" ht="15" x14ac:dyDescent="0.3">
      <c r="B12" s="9">
        <v>100</v>
      </c>
      <c r="C12" s="10">
        <f t="shared" si="0"/>
        <v>5.3556307970574135</v>
      </c>
      <c r="D12" s="10">
        <f t="shared" si="1"/>
        <v>7.9263335796449716</v>
      </c>
      <c r="E12" s="10">
        <f t="shared" si="2"/>
        <v>19.08851124910835</v>
      </c>
      <c r="F12" s="10">
        <f t="shared" si="3"/>
        <v>38.957377193186012</v>
      </c>
      <c r="H12" s="10">
        <f t="shared" si="4"/>
        <v>0.15625</v>
      </c>
      <c r="L12" s="7" t="s">
        <v>23</v>
      </c>
      <c r="M12" s="7" t="s">
        <v>26</v>
      </c>
    </row>
    <row r="13" spans="1:15" s="7" customFormat="1" ht="15" x14ac:dyDescent="0.3">
      <c r="B13" s="9">
        <v>200</v>
      </c>
      <c r="C13" s="10">
        <f t="shared" si="0"/>
        <v>9.5206264739895339</v>
      </c>
      <c r="D13" s="10">
        <f t="shared" si="1"/>
        <v>14.090527181504511</v>
      </c>
      <c r="E13" s="10">
        <f t="shared" si="2"/>
        <v>31.009378009922436</v>
      </c>
      <c r="F13" s="10">
        <f t="shared" si="3"/>
        <v>65.065670133287824</v>
      </c>
      <c r="H13" s="10">
        <f t="shared" si="4"/>
        <v>0.3125</v>
      </c>
    </row>
    <row r="14" spans="1:15" s="7" customFormat="1" ht="15" x14ac:dyDescent="0.3">
      <c r="B14" s="9">
        <v>300</v>
      </c>
      <c r="C14" s="10">
        <f t="shared" si="0"/>
        <v>13.329727514506082</v>
      </c>
      <c r="D14" s="10">
        <f t="shared" si="1"/>
        <v>19.727996721469001</v>
      </c>
      <c r="E14" s="10">
        <f t="shared" si="2"/>
        <v>41.186694322650546</v>
      </c>
      <c r="F14" s="10">
        <v>87</v>
      </c>
      <c r="H14" s="10">
        <f t="shared" si="4"/>
        <v>0.46875</v>
      </c>
    </row>
    <row r="15" spans="1:15" s="7" customFormat="1" ht="15" x14ac:dyDescent="0.3">
      <c r="B15" s="9">
        <v>400</v>
      </c>
      <c r="C15" s="10">
        <f t="shared" si="0"/>
        <v>16.924678323052571</v>
      </c>
      <c r="D15" s="10">
        <f t="shared" si="1"/>
        <v>25.048523918117805</v>
      </c>
      <c r="E15" s="10">
        <f t="shared" si="2"/>
        <v>50.374883196151707</v>
      </c>
      <c r="F15" s="10">
        <v>110</v>
      </c>
      <c r="H15" s="10">
        <f t="shared" si="4"/>
        <v>0.625</v>
      </c>
    </row>
    <row r="16" spans="1:15" s="7" customFormat="1" ht="15" x14ac:dyDescent="0.3">
      <c r="B16" s="9">
        <v>500</v>
      </c>
      <c r="C16" s="10">
        <f t="shared" si="0"/>
        <v>20.368344596274824</v>
      </c>
      <c r="D16" s="10">
        <f t="shared" si="1"/>
        <v>30.145150002486737</v>
      </c>
      <c r="E16" s="10">
        <f t="shared" si="2"/>
        <v>58.891289148058412</v>
      </c>
      <c r="F16" s="10">
        <f>150*(H16^0.6)</f>
        <v>129.34965576198888</v>
      </c>
      <c r="H16" s="10">
        <f t="shared" si="4"/>
        <v>0.78125</v>
      </c>
    </row>
    <row r="17" spans="2:8" s="7" customFormat="1" ht="15" x14ac:dyDescent="0.3">
      <c r="B17" s="9">
        <v>1000</v>
      </c>
      <c r="C17" s="10">
        <f t="shared" si="0"/>
        <v>36.208508043755067</v>
      </c>
      <c r="D17" s="10">
        <f t="shared" si="1"/>
        <v>53.5885919047575</v>
      </c>
      <c r="E17" s="10">
        <f t="shared" si="2"/>
        <v>95.669181470036818</v>
      </c>
      <c r="F17" s="10">
        <f>150*(H17^0.6)</f>
        <v>196.05741611086373</v>
      </c>
      <c r="H17" s="10">
        <f t="shared" si="4"/>
        <v>1.5625</v>
      </c>
    </row>
    <row r="18" spans="2:8" s="7" customFormat="1" ht="15" x14ac:dyDescent="0.3">
      <c r="B18" s="9">
        <v>5000</v>
      </c>
      <c r="C18" s="10">
        <f t="shared" si="0"/>
        <v>137.70691018458675</v>
      </c>
      <c r="D18" s="10">
        <f t="shared" si="1"/>
        <v>203.80622707318838</v>
      </c>
      <c r="E18" s="10">
        <f t="shared" si="2"/>
        <v>295.15562292859198</v>
      </c>
      <c r="F18" s="10">
        <f>150*(H18^0.6)</f>
        <v>514.95025467474272</v>
      </c>
      <c r="H18" s="10">
        <f t="shared" si="4"/>
        <v>7.8125</v>
      </c>
    </row>
    <row r="19" spans="2:8" s="7" customFormat="1" ht="15" x14ac:dyDescent="0.3">
      <c r="B19" s="9">
        <v>10000</v>
      </c>
      <c r="C19" s="10">
        <f t="shared" si="0"/>
        <v>244.79955852726428</v>
      </c>
      <c r="D19" s="10">
        <f t="shared" si="1"/>
        <v>362.30334662035114</v>
      </c>
      <c r="E19" s="10">
        <f t="shared" si="2"/>
        <v>479.48172404353255</v>
      </c>
      <c r="F19" s="10">
        <f>150*(H19^0.6)</f>
        <v>780.51863193925612</v>
      </c>
      <c r="H19" s="10">
        <f t="shared" si="4"/>
        <v>15.625</v>
      </c>
    </row>
    <row r="20" spans="2:8" s="7" customFormat="1" ht="16.5" x14ac:dyDescent="0.35">
      <c r="C20" s="8"/>
      <c r="D20" s="8"/>
      <c r="E20" s="8"/>
    </row>
    <row r="21" spans="2:8" s="7" customFormat="1" ht="15" x14ac:dyDescent="0.3"/>
    <row r="22" spans="2:8" s="7" customFormat="1" ht="15" x14ac:dyDescent="0.3"/>
    <row r="23" spans="2:8" s="7" customFormat="1" ht="15" x14ac:dyDescent="0.3"/>
    <row r="24" spans="2:8" s="7" customFormat="1" ht="15" x14ac:dyDescent="0.3"/>
    <row r="25" spans="2:8" s="7" customFormat="1" ht="15" x14ac:dyDescent="0.3"/>
    <row r="26" spans="2:8" s="7" customFormat="1" ht="15" x14ac:dyDescent="0.3"/>
    <row r="27" spans="2:8" s="7" customFormat="1" ht="15" x14ac:dyDescent="0.3"/>
    <row r="28" spans="2:8" s="7" customFormat="1" ht="15" x14ac:dyDescent="0.3"/>
    <row r="29" spans="2:8" s="7" customFormat="1" ht="16.2" x14ac:dyDescent="0.4"/>
    <row r="30" spans="2:8" s="7" customFormat="1" ht="16.2" x14ac:dyDescent="0.4"/>
    <row r="31" spans="2:8" s="7" customFormat="1" ht="16.2" x14ac:dyDescent="0.4"/>
    <row r="32" spans="2:8" s="7" customFormat="1" ht="16.2" x14ac:dyDescent="0.4"/>
    <row r="33" s="7" customFormat="1" ht="16.2" x14ac:dyDescent="0.4"/>
    <row r="34" s="7" customFormat="1" ht="16.2" x14ac:dyDescent="0.4"/>
    <row r="35" s="7" customFormat="1" ht="16.2" x14ac:dyDescent="0.4"/>
    <row r="36" s="7" customFormat="1" ht="16.2" x14ac:dyDescent="0.4"/>
    <row r="37" s="7" customFormat="1" ht="16.2" x14ac:dyDescent="0.4"/>
    <row r="38" s="7" customFormat="1" ht="16.2" x14ac:dyDescent="0.4"/>
    <row r="39" s="7" customFormat="1" ht="16.2" x14ac:dyDescent="0.4"/>
    <row r="40" s="7" customFormat="1" ht="16.2" x14ac:dyDescent="0.4"/>
    <row r="41" s="7" customFormat="1" ht="16.2" x14ac:dyDescent="0.4"/>
    <row r="42" s="7" customFormat="1" ht="16.2" x14ac:dyDescent="0.4"/>
    <row r="43" s="7" customFormat="1" ht="16.2" x14ac:dyDescent="0.4"/>
    <row r="44" s="7" customFormat="1" ht="16.2" x14ac:dyDescent="0.4"/>
    <row r="45" s="7" customFormat="1" ht="16.2" x14ac:dyDescent="0.4"/>
    <row r="46" s="7" customFormat="1" ht="16.2" x14ac:dyDescent="0.4"/>
    <row r="47" s="7" customFormat="1" ht="16.2" x14ac:dyDescent="0.4"/>
    <row r="48" s="7" customFormat="1" ht="16.2" x14ac:dyDescent="0.4"/>
    <row r="49" s="7" customFormat="1" ht="16.2" x14ac:dyDescent="0.4"/>
    <row r="50" s="7" customFormat="1" ht="16.2" x14ac:dyDescent="0.4"/>
    <row r="51" s="7" customFormat="1" ht="16.2" x14ac:dyDescent="0.4"/>
    <row r="52" s="7" customFormat="1" ht="16.2" x14ac:dyDescent="0.4"/>
    <row r="53" s="7" customFormat="1" ht="16.2" x14ac:dyDescent="0.4"/>
    <row r="54" s="7" customFormat="1" ht="16.2" x14ac:dyDescent="0.4"/>
  </sheetData>
  <sheetProtection selectLockedCells="1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Curve Value Calculator</vt:lpstr>
      <vt:lpstr>Table of B-Curve Values</vt:lpstr>
      <vt:lpstr>Figure 14-4a</vt:lpstr>
      <vt:lpstr>EFH Page 14-16a IN Supplement</vt:lpstr>
      <vt:lpstr>Calculations</vt:lpstr>
      <vt:lpstr>Plotted B-Curve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Tien - NRCS, Lebanon, IN</dc:creator>
  <cp:lastModifiedBy>beth.clarizia</cp:lastModifiedBy>
  <cp:lastPrinted>2014-05-01T18:50:08Z</cp:lastPrinted>
  <dcterms:created xsi:type="dcterms:W3CDTF">2014-02-20T12:40:32Z</dcterms:created>
  <dcterms:modified xsi:type="dcterms:W3CDTF">2014-05-01T19:05:36Z</dcterms:modified>
</cp:coreProperties>
</file>