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800"/>
  </bookViews>
  <sheets>
    <sheet name="All Projects (2)" sheetId="1" r:id="rId1"/>
  </sheets>
  <definedNames>
    <definedName name="Donna">#REF!</definedName>
    <definedName name="_xlnm.Print_Area" localSheetId="0">'All Projects (2)'!$A$1:$H$198</definedName>
    <definedName name="_xlnm.Print_Titles" localSheetId="0">'All Projects (2)'!$8:$9</definedName>
  </definedNames>
  <calcPr calcId="145621"/>
</workbook>
</file>

<file path=xl/calcChain.xml><?xml version="1.0" encoding="utf-8"?>
<calcChain xmlns="http://schemas.openxmlformats.org/spreadsheetml/2006/main">
  <c r="H197" i="1" l="1"/>
  <c r="H196" i="1"/>
  <c r="F57" i="1"/>
  <c r="H198" i="1" l="1"/>
</calcChain>
</file>

<file path=xl/sharedStrings.xml><?xml version="1.0" encoding="utf-8"?>
<sst xmlns="http://schemas.openxmlformats.org/spreadsheetml/2006/main" count="665" uniqueCount="190">
  <si>
    <t>Project Type code</t>
  </si>
  <si>
    <t>1A Alt Fac</t>
  </si>
  <si>
    <t>1B Alt Fac/def mnt</t>
  </si>
  <si>
    <t>additions / lease purchase</t>
  </si>
  <si>
    <t>cap projects</t>
  </si>
  <si>
    <t>req R&amp;C</t>
  </si>
  <si>
    <t>Project</t>
  </si>
  <si>
    <t>School District</t>
  </si>
  <si>
    <t xml:space="preserve">FY </t>
  </si>
  <si>
    <t xml:space="preserve">Action &amp; </t>
  </si>
  <si>
    <t>Project Amount</t>
  </si>
  <si>
    <t>Review &amp; Comment Eliminated</t>
  </si>
  <si>
    <t>Type</t>
  </si>
  <si>
    <t>Date</t>
  </si>
  <si>
    <t>Minneapolis</t>
  </si>
  <si>
    <t>2012</t>
  </si>
  <si>
    <t>Alt Fac</t>
  </si>
  <si>
    <t>St Paul</t>
  </si>
  <si>
    <t>2014</t>
  </si>
  <si>
    <t>Bloomington</t>
  </si>
  <si>
    <t>2013</t>
  </si>
  <si>
    <t>alt fac</t>
  </si>
  <si>
    <t>Wayzata</t>
  </si>
  <si>
    <t>Edina</t>
  </si>
  <si>
    <t>board</t>
  </si>
  <si>
    <t>Hopkins</t>
  </si>
  <si>
    <t>Burnsville</t>
  </si>
  <si>
    <t>Rochester</t>
  </si>
  <si>
    <t>reserves</t>
  </si>
  <si>
    <t>Osseo</t>
  </si>
  <si>
    <t>Alt Fac and GO</t>
  </si>
  <si>
    <t>Minnetonka</t>
  </si>
  <si>
    <t>Robbinsdale</t>
  </si>
  <si>
    <t>capital fac bonds</t>
  </si>
  <si>
    <t>Eden Prairie</t>
  </si>
  <si>
    <t>Eastern Carver County</t>
  </si>
  <si>
    <t>White Bear Lake</t>
  </si>
  <si>
    <t>Alt Fac.</t>
  </si>
  <si>
    <t>South Washington Cty</t>
  </si>
  <si>
    <t>Robinsdale</t>
  </si>
  <si>
    <t>Elk River</t>
  </si>
  <si>
    <t>Dist Cap. Alt Fac</t>
  </si>
  <si>
    <t>Lakeville</t>
  </si>
  <si>
    <t>alt Fac</t>
  </si>
  <si>
    <t xml:space="preserve">Lakeville </t>
  </si>
  <si>
    <t>Alt Facilities</t>
  </si>
  <si>
    <t>North St Paul</t>
  </si>
  <si>
    <t>Op Cap + Alt Fac</t>
  </si>
  <si>
    <t>Stillwater</t>
  </si>
  <si>
    <t xml:space="preserve">Elk River </t>
  </si>
  <si>
    <t>Thief River Falls</t>
  </si>
  <si>
    <t>election</t>
  </si>
  <si>
    <t>Rockford Area Schools</t>
  </si>
  <si>
    <t>Rockford</t>
  </si>
  <si>
    <t>Pelican Rapids</t>
  </si>
  <si>
    <t>Prior Lake</t>
  </si>
  <si>
    <t>Albert Lea</t>
  </si>
  <si>
    <t>Onamia</t>
  </si>
  <si>
    <t>MACCRAY</t>
  </si>
  <si>
    <t>Alt Fac/ other</t>
  </si>
  <si>
    <t>Sartell-St Stephan</t>
  </si>
  <si>
    <t>Lester Prairie</t>
  </si>
  <si>
    <t>Minnewaska</t>
  </si>
  <si>
    <t>Blue Earth</t>
  </si>
  <si>
    <t>Renville County West</t>
  </si>
  <si>
    <t>Warren-Alvarado-Oslo</t>
  </si>
  <si>
    <t>Campbell-Tintah</t>
  </si>
  <si>
    <t>Alt. Fac.</t>
  </si>
  <si>
    <t>Buffalo</t>
  </si>
  <si>
    <t>Watertown-Mayer</t>
  </si>
  <si>
    <t>Alt Fac + other</t>
  </si>
  <si>
    <t>Blackduck</t>
  </si>
  <si>
    <t>alt fac / facility bond</t>
  </si>
  <si>
    <t>Shakopee</t>
  </si>
  <si>
    <t>local funds</t>
  </si>
  <si>
    <t>Verndale</t>
  </si>
  <si>
    <t>Brainerd</t>
  </si>
  <si>
    <t>Stephan-Argyle</t>
  </si>
  <si>
    <t>Forest Lake</t>
  </si>
  <si>
    <t>Plummer</t>
  </si>
  <si>
    <t>Oklee</t>
  </si>
  <si>
    <t>Rocori</t>
  </si>
  <si>
    <t>alt fac / H&amp;S</t>
  </si>
  <si>
    <t>Farmington</t>
  </si>
  <si>
    <t>atl fac +</t>
  </si>
  <si>
    <t>NRHEG</t>
  </si>
  <si>
    <t>Mankato</t>
  </si>
  <si>
    <t>Mora</t>
  </si>
  <si>
    <t>capital projects</t>
  </si>
  <si>
    <t>Detroit Lakes</t>
  </si>
  <si>
    <t>capital project</t>
  </si>
  <si>
    <t>Hermantown</t>
  </si>
  <si>
    <t>Worthington</t>
  </si>
  <si>
    <t>2,3</t>
  </si>
  <si>
    <t>Red Wing</t>
  </si>
  <si>
    <t>Anoka-Hennepin</t>
  </si>
  <si>
    <t>Alt fac / COP</t>
  </si>
  <si>
    <t>Duluth</t>
  </si>
  <si>
    <t>alt fac/ lease</t>
  </si>
  <si>
    <t>Moose Lake</t>
  </si>
  <si>
    <t>Red Lake</t>
  </si>
  <si>
    <t>Inver Grove Heights</t>
  </si>
  <si>
    <t>Anoka Hennepin</t>
  </si>
  <si>
    <t>Cap Project Levy</t>
  </si>
  <si>
    <t>Westonka</t>
  </si>
  <si>
    <t>Mountain Lake</t>
  </si>
  <si>
    <t>United South Central</t>
  </si>
  <si>
    <t xml:space="preserve">Howard Lake </t>
  </si>
  <si>
    <t>South St Paul</t>
  </si>
  <si>
    <t>Howard Lake Waverly</t>
  </si>
  <si>
    <t>Rothsay</t>
  </si>
  <si>
    <t>Owatonna</t>
  </si>
  <si>
    <t>Becker</t>
  </si>
  <si>
    <t>Richfield</t>
  </si>
  <si>
    <t>MCCRAY</t>
  </si>
  <si>
    <t>Eastern Carver County Schools</t>
  </si>
  <si>
    <t>Hmong College Prep Academy</t>
  </si>
  <si>
    <t>charter lease</t>
  </si>
  <si>
    <t>Intermediate 916</t>
  </si>
  <si>
    <t>lease purchase</t>
  </si>
  <si>
    <t>Glencoe-Silver Lake</t>
  </si>
  <si>
    <t>Waconia</t>
  </si>
  <si>
    <t xml:space="preserve">Hopkins </t>
  </si>
  <si>
    <t>St. Louis Park</t>
  </si>
  <si>
    <t>Lakes International Charter</t>
  </si>
  <si>
    <t>bonds</t>
  </si>
  <si>
    <t>COP</t>
  </si>
  <si>
    <t>Rushford Peterson</t>
  </si>
  <si>
    <t>Rosemont Apple Valley</t>
  </si>
  <si>
    <t>Eagle Ridge Charter</t>
  </si>
  <si>
    <t>Bemidji</t>
  </si>
  <si>
    <t>Bagley</t>
  </si>
  <si>
    <t>Alt fac /gen fund</t>
  </si>
  <si>
    <t>Truman</t>
  </si>
  <si>
    <t>West Central Area</t>
  </si>
  <si>
    <t>Hawley</t>
  </si>
  <si>
    <t>KMS</t>
  </si>
  <si>
    <t>Crookston</t>
  </si>
  <si>
    <t>Parkers Prairie</t>
  </si>
  <si>
    <t>Math Science Academy</t>
  </si>
  <si>
    <t>Cambridge</t>
  </si>
  <si>
    <t>Triton</t>
  </si>
  <si>
    <t>lease levy</t>
  </si>
  <si>
    <t>Orono</t>
  </si>
  <si>
    <t>Spring Lake Park</t>
  </si>
  <si>
    <t xml:space="preserve">Saint Paul Conservatory </t>
  </si>
  <si>
    <t>bond</t>
  </si>
  <si>
    <t>Proctor</t>
  </si>
  <si>
    <t>Fridley</t>
  </si>
  <si>
    <t>Northfield</t>
  </si>
  <si>
    <t>District Funds</t>
  </si>
  <si>
    <t>Fergus Falls</t>
  </si>
  <si>
    <t>Mahtomedi</t>
  </si>
  <si>
    <t>Pine City</t>
  </si>
  <si>
    <t>Win-E-Mac</t>
  </si>
  <si>
    <t>Hancock</t>
  </si>
  <si>
    <t>TIES</t>
  </si>
  <si>
    <t>Bertha-Hewitt</t>
  </si>
  <si>
    <t>St Croix Academy</t>
  </si>
  <si>
    <t>bonding</t>
  </si>
  <si>
    <t>St Cloud</t>
  </si>
  <si>
    <t>South Washington County</t>
  </si>
  <si>
    <t>Pine River-Backus</t>
  </si>
  <si>
    <t xml:space="preserve">lease levy </t>
  </si>
  <si>
    <t>Central Public Schools</t>
  </si>
  <si>
    <t>Columbia Heights</t>
  </si>
  <si>
    <t>Nevis</t>
  </si>
  <si>
    <t>St. Louis County</t>
  </si>
  <si>
    <t>Esko</t>
  </si>
  <si>
    <t>Battle Lake</t>
  </si>
  <si>
    <t>Perham-Dent</t>
  </si>
  <si>
    <t>Sauk Centre</t>
  </si>
  <si>
    <t xml:space="preserve">Tracy </t>
  </si>
  <si>
    <t>Fisher</t>
  </si>
  <si>
    <t>existing funds</t>
  </si>
  <si>
    <t>Under Proposed $$ limit</t>
  </si>
  <si>
    <t>St Croix River Ed District</t>
  </si>
  <si>
    <t>operating cap</t>
  </si>
  <si>
    <t>Melrose Area</t>
  </si>
  <si>
    <t>lease-pur</t>
  </si>
  <si>
    <t xml:space="preserve">Northland </t>
  </si>
  <si>
    <t>Menahga</t>
  </si>
  <si>
    <t xml:space="preserve">Lake Crystal Wellcome Memorial </t>
  </si>
  <si>
    <t xml:space="preserve">Northland Community Schools </t>
  </si>
  <si>
    <t>New London-Spicer</t>
  </si>
  <si>
    <t>Waubun-Ogema-White Earth</t>
  </si>
  <si>
    <t>Foley</t>
  </si>
  <si>
    <t>Total review &amp; comments eliminated under proposed changes</t>
  </si>
  <si>
    <t xml:space="preserve">Total review &amp; comments, 2012 - 2014 </t>
  </si>
  <si>
    <t>Percent eliminated under proposed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</si>
</sst>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m/d/yy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0" fillId="0" borderId="0" xfId="0" applyFill="1"/>
    <xf numFmtId="14" fontId="1" fillId="0" borderId="0" xfId="0" quotePrefix="1" applyNumberFormat="1" applyFont="1" applyAlignment="1">
      <alignment horizontal="center"/>
    </xf>
    <xf numFmtId="0" fontId="1" fillId="0" borderId="0" xfId="0" applyFont="1" applyFill="1"/>
    <xf numFmtId="14" fontId="1" fillId="0" borderId="0" xfId="0" applyNumberFormat="1" applyFont="1" applyAlignment="1">
      <alignment horizontal="left"/>
    </xf>
    <xf numFmtId="0" fontId="0" fillId="0" borderId="0" xfId="0" applyFill="1" applyAlignment="1">
      <alignment horizontal="right"/>
    </xf>
    <xf numFmtId="14" fontId="1" fillId="0" borderId="0" xfId="0" quotePrefix="1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164" fontId="0" fillId="0" borderId="0" xfId="1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1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164" fontId="1" fillId="0" borderId="0" xfId="1" applyNumberFormat="1" applyFont="1" applyFill="1" applyAlignment="1">
      <alignment horizontal="center"/>
    </xf>
    <xf numFmtId="164" fontId="1" fillId="0" borderId="0" xfId="1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 applyFill="1" applyAlignment="1">
      <alignment horizontal="right"/>
    </xf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4" fontId="1" fillId="0" borderId="0" xfId="0" applyNumberFormat="1" applyFont="1" applyAlignment="1">
      <alignment horizontal="center"/>
    </xf>
    <xf numFmtId="165" fontId="0" fillId="0" borderId="0" xfId="0" applyNumberFormat="1" applyFill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1" applyNumberFormat="1" applyFont="1"/>
    <xf numFmtId="164" fontId="2" fillId="0" borderId="0" xfId="1" applyNumberFormat="1" applyFont="1" applyFill="1" applyAlignment="1">
      <alignment horizontal="center"/>
    </xf>
    <xf numFmtId="3" fontId="1" fillId="0" borderId="0" xfId="0" applyNumberFormat="1" applyFont="1" applyAlignment="1">
      <alignment horizontal="right"/>
    </xf>
    <xf numFmtId="165" fontId="1" fillId="0" borderId="0" xfId="0" applyNumberFormat="1" applyFont="1" applyFill="1" applyAlignment="1">
      <alignment horizontal="left"/>
    </xf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8"/>
  <sheetViews>
    <sheetView tabSelected="1" view="pageLayout" zoomScaleNormal="100" workbookViewId="0">
      <selection activeCell="F6" sqref="F6"/>
    </sheetView>
  </sheetViews>
  <sheetFormatPr defaultRowHeight="12.75" x14ac:dyDescent="0.2"/>
  <cols>
    <col min="2" max="2" width="7.7109375" style="1" customWidth="1"/>
    <col min="3" max="3" width="21.7109375" customWidth="1"/>
    <col min="4" max="4" width="9.5703125" style="2" customWidth="1"/>
    <col min="5" max="5" width="14.140625" style="3" customWidth="1"/>
    <col min="6" max="6" width="17.5703125" style="4" bestFit="1" customWidth="1"/>
    <col min="7" max="7" width="27.85546875" customWidth="1"/>
    <col min="10" max="10" width="23.5703125" customWidth="1"/>
  </cols>
  <sheetData>
    <row r="1" spans="1:9" x14ac:dyDescent="0.2">
      <c r="A1" t="s">
        <v>0</v>
      </c>
    </row>
    <row r="2" spans="1:9" x14ac:dyDescent="0.2">
      <c r="A2" t="s">
        <v>1</v>
      </c>
      <c r="D2">
        <v>1</v>
      </c>
    </row>
    <row r="3" spans="1:9" x14ac:dyDescent="0.2">
      <c r="A3" t="s">
        <v>2</v>
      </c>
      <c r="D3">
        <v>2</v>
      </c>
    </row>
    <row r="4" spans="1:9" x14ac:dyDescent="0.2">
      <c r="A4" s="5" t="s">
        <v>3</v>
      </c>
      <c r="D4">
        <v>3</v>
      </c>
    </row>
    <row r="5" spans="1:9" x14ac:dyDescent="0.2">
      <c r="A5" t="s">
        <v>4</v>
      </c>
      <c r="D5">
        <v>4</v>
      </c>
    </row>
    <row r="6" spans="1:9" x14ac:dyDescent="0.2">
      <c r="A6" t="s">
        <v>5</v>
      </c>
      <c r="D6">
        <v>5</v>
      </c>
    </row>
    <row r="8" spans="1:9" x14ac:dyDescent="0.2">
      <c r="A8" s="6" t="s">
        <v>6</v>
      </c>
      <c r="B8" s="7"/>
      <c r="C8" s="8" t="s">
        <v>7</v>
      </c>
      <c r="D8" s="9" t="s">
        <v>8</v>
      </c>
      <c r="E8" s="9" t="s">
        <v>9</v>
      </c>
      <c r="F8" s="10" t="s">
        <v>10</v>
      </c>
      <c r="G8" s="11" t="s">
        <v>11</v>
      </c>
    </row>
    <row r="9" spans="1:9" x14ac:dyDescent="0.2">
      <c r="A9" s="6" t="s">
        <v>12</v>
      </c>
      <c r="B9" s="7"/>
      <c r="C9" s="9"/>
      <c r="D9" s="9"/>
      <c r="E9" s="9" t="s">
        <v>13</v>
      </c>
      <c r="F9" s="10"/>
      <c r="G9" s="12"/>
    </row>
    <row r="10" spans="1:9" x14ac:dyDescent="0.2">
      <c r="A10">
        <v>1</v>
      </c>
      <c r="B10" s="1">
        <v>1</v>
      </c>
      <c r="C10" s="13" t="s">
        <v>14</v>
      </c>
      <c r="D10" s="14" t="s">
        <v>15</v>
      </c>
      <c r="E10" s="3" t="s">
        <v>16</v>
      </c>
      <c r="F10" s="4">
        <v>47200593</v>
      </c>
      <c r="G10" t="s">
        <v>1</v>
      </c>
      <c r="H10">
        <v>1</v>
      </c>
      <c r="I10">
        <v>1</v>
      </c>
    </row>
    <row r="11" spans="1:9" x14ac:dyDescent="0.2">
      <c r="A11">
        <v>1</v>
      </c>
      <c r="B11" s="1">
        <v>625</v>
      </c>
      <c r="C11" s="15" t="s">
        <v>17</v>
      </c>
      <c r="D11" s="14" t="s">
        <v>15</v>
      </c>
      <c r="E11" s="16" t="s">
        <v>16</v>
      </c>
      <c r="F11" s="4">
        <v>40807150</v>
      </c>
      <c r="G11" t="s">
        <v>1</v>
      </c>
      <c r="H11">
        <v>2</v>
      </c>
      <c r="I11">
        <v>2</v>
      </c>
    </row>
    <row r="12" spans="1:9" ht="13.15" customHeight="1" x14ac:dyDescent="0.2">
      <c r="A12">
        <v>1</v>
      </c>
      <c r="B12" s="17">
        <v>1</v>
      </c>
      <c r="C12" s="15" t="s">
        <v>14</v>
      </c>
      <c r="D12" s="18" t="s">
        <v>18</v>
      </c>
      <c r="E12" s="19" t="s">
        <v>16</v>
      </c>
      <c r="F12" s="20">
        <v>40324024</v>
      </c>
      <c r="G12" t="s">
        <v>1</v>
      </c>
      <c r="H12">
        <v>3</v>
      </c>
      <c r="I12">
        <v>3</v>
      </c>
    </row>
    <row r="13" spans="1:9" x14ac:dyDescent="0.2">
      <c r="A13">
        <v>1</v>
      </c>
      <c r="B13" s="1">
        <v>271</v>
      </c>
      <c r="C13" t="s">
        <v>19</v>
      </c>
      <c r="D13" s="21" t="s">
        <v>20</v>
      </c>
      <c r="E13" s="3" t="s">
        <v>21</v>
      </c>
      <c r="F13" s="4">
        <v>30676750</v>
      </c>
      <c r="G13" t="s">
        <v>1</v>
      </c>
      <c r="H13">
        <v>4</v>
      </c>
      <c r="I13">
        <v>4</v>
      </c>
    </row>
    <row r="14" spans="1:9" x14ac:dyDescent="0.2">
      <c r="A14">
        <v>1</v>
      </c>
      <c r="B14" s="1">
        <v>284</v>
      </c>
      <c r="C14" s="15" t="s">
        <v>22</v>
      </c>
      <c r="D14" s="14" t="s">
        <v>15</v>
      </c>
      <c r="E14" s="16" t="s">
        <v>16</v>
      </c>
      <c r="F14" s="4">
        <v>20719950</v>
      </c>
      <c r="G14" t="s">
        <v>1</v>
      </c>
      <c r="H14">
        <v>5</v>
      </c>
      <c r="I14">
        <v>5</v>
      </c>
    </row>
    <row r="15" spans="1:9" x14ac:dyDescent="0.2">
      <c r="A15">
        <v>1</v>
      </c>
      <c r="B15" s="1">
        <v>273</v>
      </c>
      <c r="C15" s="13" t="s">
        <v>23</v>
      </c>
      <c r="D15" s="21" t="s">
        <v>20</v>
      </c>
      <c r="E15" s="22" t="s">
        <v>24</v>
      </c>
      <c r="F15" s="4">
        <v>20115000</v>
      </c>
      <c r="G15" t="s">
        <v>1</v>
      </c>
      <c r="H15">
        <v>6</v>
      </c>
      <c r="I15">
        <v>6</v>
      </c>
    </row>
    <row r="16" spans="1:9" x14ac:dyDescent="0.2">
      <c r="A16">
        <v>1</v>
      </c>
      <c r="B16" s="1">
        <v>270</v>
      </c>
      <c r="C16" t="s">
        <v>25</v>
      </c>
      <c r="D16" s="21" t="s">
        <v>20</v>
      </c>
      <c r="E16" s="3" t="s">
        <v>21</v>
      </c>
      <c r="F16" s="4">
        <v>18230312</v>
      </c>
      <c r="G16" t="s">
        <v>1</v>
      </c>
      <c r="H16">
        <v>7</v>
      </c>
      <c r="I16">
        <v>7</v>
      </c>
    </row>
    <row r="17" spans="1:9" x14ac:dyDescent="0.2">
      <c r="A17">
        <v>1</v>
      </c>
      <c r="B17" s="1">
        <v>191</v>
      </c>
      <c r="C17" s="13" t="s">
        <v>26</v>
      </c>
      <c r="D17" s="21" t="s">
        <v>20</v>
      </c>
      <c r="E17" s="22" t="s">
        <v>21</v>
      </c>
      <c r="F17" s="4">
        <v>17579897</v>
      </c>
      <c r="G17" t="s">
        <v>1</v>
      </c>
      <c r="H17">
        <v>8</v>
      </c>
      <c r="I17">
        <v>8</v>
      </c>
    </row>
    <row r="18" spans="1:9" x14ac:dyDescent="0.2">
      <c r="A18">
        <v>1</v>
      </c>
      <c r="B18" s="1">
        <v>535</v>
      </c>
      <c r="C18" t="s">
        <v>27</v>
      </c>
      <c r="D18" s="21" t="s">
        <v>20</v>
      </c>
      <c r="E18" s="3" t="s">
        <v>21</v>
      </c>
      <c r="F18" s="23">
        <v>16818228</v>
      </c>
      <c r="G18" t="s">
        <v>1</v>
      </c>
      <c r="H18">
        <v>9</v>
      </c>
      <c r="I18">
        <v>9</v>
      </c>
    </row>
    <row r="19" spans="1:9" x14ac:dyDescent="0.2">
      <c r="A19">
        <v>1</v>
      </c>
      <c r="B19" s="1">
        <v>1</v>
      </c>
      <c r="C19" t="s">
        <v>14</v>
      </c>
      <c r="D19" s="14" t="s">
        <v>15</v>
      </c>
      <c r="E19" s="3" t="s">
        <v>28</v>
      </c>
      <c r="F19" s="4">
        <v>16000000</v>
      </c>
      <c r="G19" t="s">
        <v>1</v>
      </c>
      <c r="H19">
        <v>10</v>
      </c>
      <c r="I19">
        <v>10</v>
      </c>
    </row>
    <row r="20" spans="1:9" x14ac:dyDescent="0.2">
      <c r="A20">
        <v>1</v>
      </c>
      <c r="B20" s="1">
        <v>625</v>
      </c>
      <c r="C20" s="13" t="s">
        <v>17</v>
      </c>
      <c r="D20" s="21" t="s">
        <v>20</v>
      </c>
      <c r="E20" s="22" t="s">
        <v>24</v>
      </c>
      <c r="F20" s="4">
        <v>15000000</v>
      </c>
      <c r="G20" t="s">
        <v>1</v>
      </c>
      <c r="H20">
        <v>11</v>
      </c>
      <c r="I20">
        <v>11</v>
      </c>
    </row>
    <row r="21" spans="1:9" x14ac:dyDescent="0.2">
      <c r="A21">
        <v>1</v>
      </c>
      <c r="B21" s="1">
        <v>279</v>
      </c>
      <c r="C21" t="s">
        <v>29</v>
      </c>
      <c r="D21" s="21" t="s">
        <v>20</v>
      </c>
      <c r="E21" s="3" t="s">
        <v>30</v>
      </c>
      <c r="F21" s="4">
        <v>13356714</v>
      </c>
      <c r="G21" t="s">
        <v>1</v>
      </c>
      <c r="H21">
        <v>12</v>
      </c>
      <c r="I21">
        <v>12</v>
      </c>
    </row>
    <row r="22" spans="1:9" x14ac:dyDescent="0.2">
      <c r="A22">
        <v>1</v>
      </c>
      <c r="B22" s="1">
        <v>276</v>
      </c>
      <c r="C22" t="s">
        <v>31</v>
      </c>
      <c r="D22" s="14" t="s">
        <v>15</v>
      </c>
      <c r="E22" s="22" t="s">
        <v>16</v>
      </c>
      <c r="F22" s="23">
        <v>13019308</v>
      </c>
      <c r="G22" t="s">
        <v>1</v>
      </c>
      <c r="H22">
        <v>13</v>
      </c>
      <c r="I22">
        <v>13</v>
      </c>
    </row>
    <row r="23" spans="1:9" x14ac:dyDescent="0.2">
      <c r="A23">
        <v>1</v>
      </c>
      <c r="B23" s="1">
        <v>281</v>
      </c>
      <c r="C23" t="s">
        <v>32</v>
      </c>
      <c r="D23" s="14" t="s">
        <v>15</v>
      </c>
      <c r="E23" s="22" t="s">
        <v>16</v>
      </c>
      <c r="F23" s="23">
        <v>11582429</v>
      </c>
      <c r="G23" t="s">
        <v>1</v>
      </c>
      <c r="H23">
        <v>14</v>
      </c>
      <c r="I23">
        <v>14</v>
      </c>
    </row>
    <row r="24" spans="1:9" x14ac:dyDescent="0.2">
      <c r="A24">
        <v>1</v>
      </c>
      <c r="B24" s="1">
        <v>281</v>
      </c>
      <c r="C24" t="s">
        <v>32</v>
      </c>
      <c r="D24" s="2" t="s">
        <v>20</v>
      </c>
      <c r="E24" s="3" t="s">
        <v>33</v>
      </c>
      <c r="F24" s="23">
        <v>11582429</v>
      </c>
      <c r="G24" t="s">
        <v>1</v>
      </c>
      <c r="H24">
        <v>15</v>
      </c>
      <c r="I24">
        <v>15</v>
      </c>
    </row>
    <row r="25" spans="1:9" x14ac:dyDescent="0.2">
      <c r="A25">
        <v>1</v>
      </c>
      <c r="B25" s="1">
        <v>1</v>
      </c>
      <c r="C25" t="s">
        <v>14</v>
      </c>
      <c r="D25" s="14" t="s">
        <v>15</v>
      </c>
      <c r="E25" s="3" t="s">
        <v>28</v>
      </c>
      <c r="F25" s="4">
        <v>11000000</v>
      </c>
      <c r="G25" t="s">
        <v>1</v>
      </c>
      <c r="H25">
        <v>16</v>
      </c>
      <c r="I25">
        <v>16</v>
      </c>
    </row>
    <row r="26" spans="1:9" x14ac:dyDescent="0.2">
      <c r="A26">
        <v>1</v>
      </c>
      <c r="B26" s="1">
        <v>272</v>
      </c>
      <c r="C26" t="s">
        <v>34</v>
      </c>
      <c r="D26" s="21" t="s">
        <v>20</v>
      </c>
      <c r="E26" s="3" t="s">
        <v>16</v>
      </c>
      <c r="F26" s="4">
        <v>11000000</v>
      </c>
      <c r="G26" t="s">
        <v>1</v>
      </c>
      <c r="H26">
        <v>17</v>
      </c>
      <c r="I26">
        <v>17</v>
      </c>
    </row>
    <row r="27" spans="1:9" x14ac:dyDescent="0.2">
      <c r="A27">
        <v>1</v>
      </c>
      <c r="B27" s="1">
        <v>284</v>
      </c>
      <c r="C27" t="s">
        <v>22</v>
      </c>
      <c r="D27" s="2" t="s">
        <v>20</v>
      </c>
      <c r="E27" s="3" t="s">
        <v>16</v>
      </c>
      <c r="F27" s="23">
        <v>10101667</v>
      </c>
      <c r="G27" t="s">
        <v>1</v>
      </c>
      <c r="H27">
        <v>18</v>
      </c>
      <c r="I27">
        <v>18</v>
      </c>
    </row>
    <row r="28" spans="1:9" x14ac:dyDescent="0.2">
      <c r="A28">
        <v>1</v>
      </c>
      <c r="B28" s="1">
        <v>112</v>
      </c>
      <c r="C28" s="15" t="s">
        <v>35</v>
      </c>
      <c r="D28" s="14" t="s">
        <v>15</v>
      </c>
      <c r="E28" s="16" t="s">
        <v>16</v>
      </c>
      <c r="F28" s="4">
        <v>10000000</v>
      </c>
      <c r="G28" t="s">
        <v>1</v>
      </c>
      <c r="H28">
        <v>19</v>
      </c>
      <c r="I28">
        <v>19</v>
      </c>
    </row>
    <row r="29" spans="1:9" x14ac:dyDescent="0.2">
      <c r="A29">
        <v>1</v>
      </c>
      <c r="B29" s="1">
        <v>624</v>
      </c>
      <c r="C29" t="s">
        <v>36</v>
      </c>
      <c r="D29" s="14" t="s">
        <v>15</v>
      </c>
      <c r="E29" s="3" t="s">
        <v>37</v>
      </c>
      <c r="F29" s="23">
        <v>8871134</v>
      </c>
      <c r="G29" t="s">
        <v>1</v>
      </c>
      <c r="H29">
        <v>20</v>
      </c>
      <c r="I29">
        <v>20</v>
      </c>
    </row>
    <row r="30" spans="1:9" x14ac:dyDescent="0.2">
      <c r="A30">
        <v>1</v>
      </c>
      <c r="B30" s="1">
        <v>833</v>
      </c>
      <c r="C30" s="13" t="s">
        <v>38</v>
      </c>
      <c r="D30" s="14" t="s">
        <v>15</v>
      </c>
      <c r="E30" s="22" t="s">
        <v>16</v>
      </c>
      <c r="F30" s="23">
        <v>8321968</v>
      </c>
      <c r="G30" t="s">
        <v>1</v>
      </c>
      <c r="H30">
        <v>21</v>
      </c>
      <c r="I30">
        <v>21</v>
      </c>
    </row>
    <row r="31" spans="1:9" x14ac:dyDescent="0.2">
      <c r="A31">
        <v>1</v>
      </c>
      <c r="B31" s="1">
        <v>281</v>
      </c>
      <c r="C31" t="s">
        <v>32</v>
      </c>
      <c r="D31" s="21" t="s">
        <v>20</v>
      </c>
      <c r="E31" s="3" t="s">
        <v>21</v>
      </c>
      <c r="F31" s="4">
        <v>8241341</v>
      </c>
      <c r="G31" t="s">
        <v>1</v>
      </c>
      <c r="H31">
        <v>22</v>
      </c>
      <c r="I31">
        <v>22</v>
      </c>
    </row>
    <row r="32" spans="1:9" x14ac:dyDescent="0.2">
      <c r="A32">
        <v>1</v>
      </c>
      <c r="B32" s="1">
        <v>281</v>
      </c>
      <c r="C32" t="s">
        <v>39</v>
      </c>
      <c r="D32" s="21" t="s">
        <v>20</v>
      </c>
      <c r="E32" s="3" t="s">
        <v>33</v>
      </c>
      <c r="F32" s="4">
        <v>8241341</v>
      </c>
      <c r="G32" t="s">
        <v>1</v>
      </c>
      <c r="H32">
        <v>23</v>
      </c>
      <c r="I32">
        <v>23</v>
      </c>
    </row>
    <row r="33" spans="1:9" x14ac:dyDescent="0.2">
      <c r="A33">
        <v>1</v>
      </c>
      <c r="B33" s="1">
        <v>281</v>
      </c>
      <c r="C33" t="s">
        <v>32</v>
      </c>
      <c r="D33" s="21" t="s">
        <v>20</v>
      </c>
      <c r="E33" s="3" t="s">
        <v>21</v>
      </c>
      <c r="F33" s="4">
        <v>8054000</v>
      </c>
      <c r="G33" t="s">
        <v>1</v>
      </c>
      <c r="H33">
        <v>24</v>
      </c>
      <c r="I33">
        <v>24</v>
      </c>
    </row>
    <row r="34" spans="1:9" x14ac:dyDescent="0.2">
      <c r="A34">
        <v>1</v>
      </c>
      <c r="B34" s="1">
        <v>281</v>
      </c>
      <c r="C34" t="s">
        <v>39</v>
      </c>
      <c r="D34" s="2" t="s">
        <v>20</v>
      </c>
      <c r="E34" s="3" t="s">
        <v>33</v>
      </c>
      <c r="F34" s="23">
        <v>8054000</v>
      </c>
      <c r="G34" t="s">
        <v>1</v>
      </c>
      <c r="H34">
        <v>25</v>
      </c>
      <c r="I34">
        <v>25</v>
      </c>
    </row>
    <row r="35" spans="1:9" x14ac:dyDescent="0.2">
      <c r="A35">
        <v>1</v>
      </c>
      <c r="B35" s="1">
        <v>723</v>
      </c>
      <c r="C35" t="s">
        <v>40</v>
      </c>
      <c r="D35" s="21" t="s">
        <v>20</v>
      </c>
      <c r="E35" s="3" t="s">
        <v>21</v>
      </c>
      <c r="F35" s="4">
        <v>7000000</v>
      </c>
      <c r="G35" t="s">
        <v>1</v>
      </c>
      <c r="H35">
        <v>26</v>
      </c>
      <c r="I35">
        <v>26</v>
      </c>
    </row>
    <row r="36" spans="1:9" x14ac:dyDescent="0.2">
      <c r="A36">
        <v>1</v>
      </c>
      <c r="B36" s="1">
        <v>535</v>
      </c>
      <c r="C36" t="s">
        <v>27</v>
      </c>
      <c r="D36" s="14" t="s">
        <v>15</v>
      </c>
      <c r="E36" s="22" t="s">
        <v>16</v>
      </c>
      <c r="F36" s="23">
        <v>5597475</v>
      </c>
      <c r="G36" t="s">
        <v>1</v>
      </c>
      <c r="H36">
        <v>27</v>
      </c>
      <c r="I36">
        <v>27</v>
      </c>
    </row>
    <row r="37" spans="1:9" x14ac:dyDescent="0.2">
      <c r="A37">
        <v>1</v>
      </c>
      <c r="B37" s="1">
        <v>535</v>
      </c>
      <c r="C37" t="s">
        <v>27</v>
      </c>
      <c r="D37" s="21" t="s">
        <v>20</v>
      </c>
      <c r="E37" s="3" t="s">
        <v>41</v>
      </c>
      <c r="F37" s="4">
        <v>5514764</v>
      </c>
      <c r="G37" t="s">
        <v>1</v>
      </c>
      <c r="H37">
        <v>28</v>
      </c>
      <c r="I37">
        <v>28</v>
      </c>
    </row>
    <row r="38" spans="1:9" x14ac:dyDescent="0.2">
      <c r="A38">
        <v>1</v>
      </c>
      <c r="B38" s="1">
        <v>194</v>
      </c>
      <c r="C38" t="s">
        <v>42</v>
      </c>
      <c r="D38" s="14" t="s">
        <v>15</v>
      </c>
      <c r="E38" s="3" t="s">
        <v>43</v>
      </c>
      <c r="F38" s="4">
        <v>4889295</v>
      </c>
      <c r="G38" t="s">
        <v>1</v>
      </c>
      <c r="H38">
        <v>29</v>
      </c>
      <c r="I38">
        <v>29</v>
      </c>
    </row>
    <row r="39" spans="1:9" x14ac:dyDescent="0.2">
      <c r="A39">
        <v>1</v>
      </c>
      <c r="B39" s="1">
        <v>194</v>
      </c>
      <c r="C39" s="13" t="s">
        <v>44</v>
      </c>
      <c r="D39" s="14" t="s">
        <v>15</v>
      </c>
      <c r="E39" s="22" t="s">
        <v>45</v>
      </c>
      <c r="F39" s="4">
        <v>4483935</v>
      </c>
      <c r="G39" t="s">
        <v>1</v>
      </c>
      <c r="H39">
        <v>30</v>
      </c>
      <c r="I39">
        <v>30</v>
      </c>
    </row>
    <row r="40" spans="1:9" x14ac:dyDescent="0.2">
      <c r="A40">
        <v>1</v>
      </c>
      <c r="B40" s="1">
        <v>622</v>
      </c>
      <c r="C40" t="s">
        <v>46</v>
      </c>
      <c r="D40" s="21" t="s">
        <v>20</v>
      </c>
      <c r="E40" s="3" t="s">
        <v>47</v>
      </c>
      <c r="F40" s="4">
        <v>4438672</v>
      </c>
      <c r="G40" t="s">
        <v>1</v>
      </c>
      <c r="H40">
        <v>31</v>
      </c>
      <c r="I40">
        <v>31</v>
      </c>
    </row>
    <row r="41" spans="1:9" x14ac:dyDescent="0.2">
      <c r="A41">
        <v>1</v>
      </c>
      <c r="B41" s="1">
        <v>583</v>
      </c>
      <c r="C41" s="13" t="s">
        <v>48</v>
      </c>
      <c r="D41" s="21" t="s">
        <v>20</v>
      </c>
      <c r="E41" s="22" t="s">
        <v>21</v>
      </c>
      <c r="F41" s="4">
        <v>4360200</v>
      </c>
      <c r="G41" t="s">
        <v>1</v>
      </c>
      <c r="H41">
        <v>32</v>
      </c>
      <c r="I41">
        <v>32</v>
      </c>
    </row>
    <row r="42" spans="1:9" x14ac:dyDescent="0.2">
      <c r="A42">
        <v>1</v>
      </c>
      <c r="B42" s="1">
        <v>728</v>
      </c>
      <c r="C42" t="s">
        <v>49</v>
      </c>
      <c r="D42" s="21" t="s">
        <v>20</v>
      </c>
      <c r="E42" s="22" t="s">
        <v>21</v>
      </c>
      <c r="F42" s="23">
        <v>4000000</v>
      </c>
      <c r="G42" t="s">
        <v>1</v>
      </c>
      <c r="H42">
        <v>33</v>
      </c>
      <c r="I42">
        <v>33</v>
      </c>
    </row>
    <row r="43" spans="1:9" x14ac:dyDescent="0.2">
      <c r="A43">
        <v>1</v>
      </c>
      <c r="B43" s="1">
        <v>622</v>
      </c>
      <c r="C43" t="s">
        <v>46</v>
      </c>
      <c r="D43" s="21" t="s">
        <v>20</v>
      </c>
      <c r="E43" s="3" t="s">
        <v>16</v>
      </c>
      <c r="F43" s="4">
        <v>2472329</v>
      </c>
      <c r="G43" t="s">
        <v>1</v>
      </c>
      <c r="H43">
        <v>34</v>
      </c>
      <c r="I43">
        <v>34</v>
      </c>
    </row>
    <row r="44" spans="1:9" x14ac:dyDescent="0.2">
      <c r="A44">
        <v>1</v>
      </c>
      <c r="B44" s="1">
        <v>622</v>
      </c>
      <c r="C44" t="s">
        <v>46</v>
      </c>
      <c r="D44" s="21" t="s">
        <v>20</v>
      </c>
      <c r="E44" s="3" t="s">
        <v>16</v>
      </c>
      <c r="F44" s="4">
        <v>2022989</v>
      </c>
      <c r="G44" t="s">
        <v>1</v>
      </c>
      <c r="H44">
        <v>35</v>
      </c>
      <c r="I44">
        <v>35</v>
      </c>
    </row>
    <row r="45" spans="1:9" x14ac:dyDescent="0.2">
      <c r="A45">
        <v>1</v>
      </c>
      <c r="B45" s="1">
        <v>191</v>
      </c>
      <c r="C45" s="13" t="s">
        <v>26</v>
      </c>
      <c r="D45" s="14" t="s">
        <v>15</v>
      </c>
      <c r="E45" s="16" t="s">
        <v>16</v>
      </c>
      <c r="F45" s="4">
        <v>1800000</v>
      </c>
      <c r="G45" t="s">
        <v>1</v>
      </c>
      <c r="H45">
        <v>36</v>
      </c>
      <c r="I45">
        <v>36</v>
      </c>
    </row>
    <row r="46" spans="1:9" x14ac:dyDescent="0.2">
      <c r="A46" s="5">
        <v>1</v>
      </c>
      <c r="B46" s="24">
        <v>281</v>
      </c>
      <c r="C46" s="5" t="s">
        <v>32</v>
      </c>
      <c r="D46" s="14" t="s">
        <v>15</v>
      </c>
      <c r="E46" s="16" t="s">
        <v>16</v>
      </c>
      <c r="F46" s="25">
        <v>1615185</v>
      </c>
      <c r="G46" t="s">
        <v>1</v>
      </c>
      <c r="H46">
        <v>37</v>
      </c>
      <c r="I46">
        <v>37</v>
      </c>
    </row>
    <row r="47" spans="1:9" x14ac:dyDescent="0.2">
      <c r="A47" s="5">
        <v>2</v>
      </c>
      <c r="B47" s="26">
        <v>564</v>
      </c>
      <c r="C47" s="27" t="s">
        <v>50</v>
      </c>
      <c r="D47" s="27" t="s">
        <v>15</v>
      </c>
      <c r="E47" s="19" t="s">
        <v>51</v>
      </c>
      <c r="F47" s="28">
        <v>54155864</v>
      </c>
      <c r="G47" t="s">
        <v>2</v>
      </c>
      <c r="H47">
        <v>38</v>
      </c>
      <c r="I47">
        <v>38</v>
      </c>
    </row>
    <row r="48" spans="1:9" x14ac:dyDescent="0.2">
      <c r="A48" s="5">
        <v>2</v>
      </c>
      <c r="B48" s="26">
        <v>883</v>
      </c>
      <c r="C48" s="15" t="s">
        <v>52</v>
      </c>
      <c r="D48" s="27" t="s">
        <v>15</v>
      </c>
      <c r="E48" s="19" t="s">
        <v>51</v>
      </c>
      <c r="F48" s="29">
        <v>28580000</v>
      </c>
      <c r="G48" t="s">
        <v>2</v>
      </c>
      <c r="H48">
        <v>39</v>
      </c>
      <c r="I48">
        <v>39</v>
      </c>
    </row>
    <row r="49" spans="1:9" x14ac:dyDescent="0.2">
      <c r="A49" s="1">
        <v>2</v>
      </c>
      <c r="B49" s="1">
        <v>883</v>
      </c>
      <c r="C49" t="s">
        <v>53</v>
      </c>
      <c r="D49" s="2" t="s">
        <v>20</v>
      </c>
      <c r="E49" s="3" t="s">
        <v>51</v>
      </c>
      <c r="F49" s="4">
        <v>27000000</v>
      </c>
      <c r="G49" t="s">
        <v>2</v>
      </c>
      <c r="H49">
        <v>40</v>
      </c>
      <c r="I49">
        <v>40</v>
      </c>
    </row>
    <row r="50" spans="1:9" x14ac:dyDescent="0.2">
      <c r="A50" s="1">
        <v>2</v>
      </c>
      <c r="B50" s="1">
        <v>548</v>
      </c>
      <c r="C50" t="s">
        <v>54</v>
      </c>
      <c r="D50" s="2" t="s">
        <v>18</v>
      </c>
      <c r="E50" s="3" t="s">
        <v>51</v>
      </c>
      <c r="F50" s="4">
        <v>21950000</v>
      </c>
      <c r="G50" t="s">
        <v>2</v>
      </c>
      <c r="H50">
        <v>41</v>
      </c>
      <c r="I50">
        <v>41</v>
      </c>
    </row>
    <row r="51" spans="1:9" x14ac:dyDescent="0.2">
      <c r="A51">
        <v>2</v>
      </c>
      <c r="B51" s="1">
        <v>719</v>
      </c>
      <c r="C51" s="15" t="s">
        <v>55</v>
      </c>
      <c r="D51" s="21" t="s">
        <v>20</v>
      </c>
      <c r="E51" s="16" t="s">
        <v>21</v>
      </c>
      <c r="F51" s="4">
        <v>19440000</v>
      </c>
      <c r="G51" t="s">
        <v>2</v>
      </c>
      <c r="H51">
        <v>42</v>
      </c>
      <c r="I51">
        <v>42</v>
      </c>
    </row>
    <row r="52" spans="1:9" x14ac:dyDescent="0.2">
      <c r="A52">
        <v>2</v>
      </c>
      <c r="B52" s="1">
        <v>241</v>
      </c>
      <c r="C52" s="13" t="s">
        <v>56</v>
      </c>
      <c r="D52" s="14" t="s">
        <v>15</v>
      </c>
      <c r="E52" s="22" t="s">
        <v>16</v>
      </c>
      <c r="F52" s="23">
        <v>14751000</v>
      </c>
      <c r="G52" t="s">
        <v>2</v>
      </c>
      <c r="H52">
        <v>43</v>
      </c>
      <c r="I52">
        <v>43</v>
      </c>
    </row>
    <row r="53" spans="1:9" x14ac:dyDescent="0.2">
      <c r="A53">
        <v>2</v>
      </c>
      <c r="B53" s="1">
        <v>480</v>
      </c>
      <c r="C53" t="s">
        <v>57</v>
      </c>
      <c r="D53" s="21" t="s">
        <v>15</v>
      </c>
      <c r="E53" s="22" t="s">
        <v>51</v>
      </c>
      <c r="F53" s="23">
        <v>13500000</v>
      </c>
      <c r="G53" t="s">
        <v>2</v>
      </c>
      <c r="H53">
        <v>44</v>
      </c>
      <c r="I53">
        <v>44</v>
      </c>
    </row>
    <row r="54" spans="1:9" x14ac:dyDescent="0.2">
      <c r="A54">
        <v>2</v>
      </c>
      <c r="B54" s="1">
        <v>480</v>
      </c>
      <c r="C54" t="s">
        <v>57</v>
      </c>
      <c r="D54" s="21" t="s">
        <v>15</v>
      </c>
      <c r="E54" s="22" t="s">
        <v>51</v>
      </c>
      <c r="F54" s="23">
        <v>12000000</v>
      </c>
      <c r="G54" t="s">
        <v>2</v>
      </c>
      <c r="H54">
        <v>45</v>
      </c>
      <c r="I54">
        <v>45</v>
      </c>
    </row>
    <row r="55" spans="1:9" x14ac:dyDescent="0.2">
      <c r="A55">
        <v>2</v>
      </c>
      <c r="B55" s="1">
        <v>2180</v>
      </c>
      <c r="C55" t="s">
        <v>58</v>
      </c>
      <c r="D55" s="21" t="s">
        <v>20</v>
      </c>
      <c r="E55" s="3" t="s">
        <v>59</v>
      </c>
      <c r="F55" s="4">
        <v>9481146</v>
      </c>
      <c r="G55" t="s">
        <v>2</v>
      </c>
      <c r="H55">
        <v>46</v>
      </c>
      <c r="I55">
        <v>46</v>
      </c>
    </row>
    <row r="56" spans="1:9" x14ac:dyDescent="0.2">
      <c r="A56">
        <v>2</v>
      </c>
      <c r="B56" s="1">
        <v>748</v>
      </c>
      <c r="C56" t="s">
        <v>60</v>
      </c>
      <c r="D56" s="21" t="s">
        <v>15</v>
      </c>
      <c r="E56" s="22" t="s">
        <v>51</v>
      </c>
      <c r="F56" s="23">
        <v>9000000</v>
      </c>
      <c r="G56" t="s">
        <v>2</v>
      </c>
      <c r="H56">
        <v>47</v>
      </c>
      <c r="I56">
        <v>47</v>
      </c>
    </row>
    <row r="57" spans="1:9" x14ac:dyDescent="0.2">
      <c r="A57">
        <v>2</v>
      </c>
      <c r="B57" s="1">
        <v>424</v>
      </c>
      <c r="C57" s="30" t="s">
        <v>61</v>
      </c>
      <c r="D57" s="14" t="s">
        <v>15</v>
      </c>
      <c r="E57" s="22" t="s">
        <v>16</v>
      </c>
      <c r="F57" s="23">
        <f>1910000+5210000+675000</f>
        <v>7795000</v>
      </c>
      <c r="G57" t="s">
        <v>2</v>
      </c>
      <c r="H57">
        <v>48</v>
      </c>
      <c r="I57">
        <v>48</v>
      </c>
    </row>
    <row r="58" spans="1:9" x14ac:dyDescent="0.2">
      <c r="A58">
        <v>2</v>
      </c>
      <c r="B58" s="31">
        <v>2149</v>
      </c>
      <c r="C58" s="15" t="s">
        <v>62</v>
      </c>
      <c r="D58" s="18" t="s">
        <v>18</v>
      </c>
      <c r="E58" s="32" t="s">
        <v>16</v>
      </c>
      <c r="F58" s="20">
        <v>7258785</v>
      </c>
      <c r="G58" t="s">
        <v>2</v>
      </c>
      <c r="H58">
        <v>49</v>
      </c>
      <c r="I58">
        <v>49</v>
      </c>
    </row>
    <row r="59" spans="1:9" x14ac:dyDescent="0.2">
      <c r="A59">
        <v>2</v>
      </c>
      <c r="B59" s="1">
        <v>2860</v>
      </c>
      <c r="C59" s="13" t="s">
        <v>63</v>
      </c>
      <c r="D59" s="14" t="s">
        <v>15</v>
      </c>
      <c r="E59" s="22" t="s">
        <v>16</v>
      </c>
      <c r="F59" s="23">
        <v>6990000</v>
      </c>
      <c r="G59" t="s">
        <v>2</v>
      </c>
      <c r="H59">
        <v>50</v>
      </c>
      <c r="I59">
        <v>50</v>
      </c>
    </row>
    <row r="60" spans="1:9" x14ac:dyDescent="0.2">
      <c r="A60">
        <v>2</v>
      </c>
      <c r="B60" s="1">
        <v>2890</v>
      </c>
      <c r="C60" s="13" t="s">
        <v>64</v>
      </c>
      <c r="D60" s="14" t="s">
        <v>15</v>
      </c>
      <c r="E60" s="22" t="s">
        <v>16</v>
      </c>
      <c r="F60" s="23">
        <v>6821150</v>
      </c>
      <c r="G60" t="s">
        <v>2</v>
      </c>
      <c r="H60">
        <v>51</v>
      </c>
      <c r="I60">
        <v>51</v>
      </c>
    </row>
    <row r="61" spans="1:9" x14ac:dyDescent="0.2">
      <c r="A61">
        <v>2</v>
      </c>
      <c r="B61" s="1">
        <v>2176</v>
      </c>
      <c r="C61" s="33" t="s">
        <v>65</v>
      </c>
      <c r="D61" s="14" t="s">
        <v>15</v>
      </c>
      <c r="E61" s="22" t="s">
        <v>16</v>
      </c>
      <c r="F61" s="23">
        <v>4817709</v>
      </c>
      <c r="G61" t="s">
        <v>2</v>
      </c>
      <c r="H61">
        <v>52</v>
      </c>
      <c r="I61">
        <v>52</v>
      </c>
    </row>
    <row r="62" spans="1:9" x14ac:dyDescent="0.2">
      <c r="A62">
        <v>2</v>
      </c>
      <c r="B62" s="1">
        <v>548</v>
      </c>
      <c r="C62" s="13" t="s">
        <v>54</v>
      </c>
      <c r="D62" s="14" t="s">
        <v>15</v>
      </c>
      <c r="E62" s="22" t="s">
        <v>16</v>
      </c>
      <c r="F62" s="23">
        <v>4650000</v>
      </c>
      <c r="G62" t="s">
        <v>2</v>
      </c>
      <c r="H62">
        <v>53</v>
      </c>
      <c r="I62">
        <v>53</v>
      </c>
    </row>
    <row r="63" spans="1:9" x14ac:dyDescent="0.2">
      <c r="A63">
        <v>2</v>
      </c>
      <c r="B63" s="1">
        <v>852</v>
      </c>
      <c r="C63" t="s">
        <v>66</v>
      </c>
      <c r="D63" s="14" t="s">
        <v>15</v>
      </c>
      <c r="E63" s="22" t="s">
        <v>16</v>
      </c>
      <c r="F63" s="23">
        <v>4559661</v>
      </c>
      <c r="G63" t="s">
        <v>2</v>
      </c>
      <c r="H63">
        <v>54</v>
      </c>
      <c r="I63">
        <v>54</v>
      </c>
    </row>
    <row r="64" spans="1:9" x14ac:dyDescent="0.2">
      <c r="A64">
        <v>2</v>
      </c>
      <c r="B64" s="1">
        <v>424</v>
      </c>
      <c r="C64" t="s">
        <v>61</v>
      </c>
      <c r="D64" s="14" t="s">
        <v>15</v>
      </c>
      <c r="E64" s="3" t="s">
        <v>67</v>
      </c>
      <c r="F64" s="23">
        <v>4436865</v>
      </c>
      <c r="G64" t="s">
        <v>2</v>
      </c>
      <c r="H64">
        <v>55</v>
      </c>
      <c r="I64">
        <v>55</v>
      </c>
    </row>
    <row r="65" spans="1:9" x14ac:dyDescent="0.2">
      <c r="A65">
        <v>2</v>
      </c>
      <c r="B65" s="1">
        <v>877</v>
      </c>
      <c r="C65" t="s">
        <v>68</v>
      </c>
      <c r="D65" s="21" t="s">
        <v>20</v>
      </c>
      <c r="E65" s="3" t="s">
        <v>43</v>
      </c>
      <c r="F65" s="4">
        <v>4371454</v>
      </c>
      <c r="G65" t="s">
        <v>2</v>
      </c>
      <c r="H65">
        <v>56</v>
      </c>
      <c r="I65">
        <v>56</v>
      </c>
    </row>
    <row r="66" spans="1:9" x14ac:dyDescent="0.2">
      <c r="A66">
        <v>2</v>
      </c>
      <c r="B66" s="1">
        <v>111</v>
      </c>
      <c r="C66" s="5" t="s">
        <v>69</v>
      </c>
      <c r="D66" s="14" t="s">
        <v>15</v>
      </c>
      <c r="E66" s="3" t="s">
        <v>70</v>
      </c>
      <c r="F66" s="4">
        <v>4339440</v>
      </c>
      <c r="G66" t="s">
        <v>2</v>
      </c>
      <c r="H66">
        <v>57</v>
      </c>
      <c r="I66">
        <v>57</v>
      </c>
    </row>
    <row r="67" spans="1:9" x14ac:dyDescent="0.2">
      <c r="A67">
        <v>2</v>
      </c>
      <c r="B67" s="1">
        <v>32</v>
      </c>
      <c r="C67" t="s">
        <v>71</v>
      </c>
      <c r="D67" s="2" t="s">
        <v>20</v>
      </c>
      <c r="E67" s="3" t="s">
        <v>72</v>
      </c>
      <c r="F67" s="4">
        <v>4282333</v>
      </c>
      <c r="G67" t="s">
        <v>2</v>
      </c>
      <c r="H67">
        <v>58</v>
      </c>
      <c r="I67">
        <v>58</v>
      </c>
    </row>
    <row r="68" spans="1:9" x14ac:dyDescent="0.2">
      <c r="A68">
        <v>2</v>
      </c>
      <c r="B68" s="1">
        <v>720</v>
      </c>
      <c r="C68" t="s">
        <v>73</v>
      </c>
      <c r="D68" s="14" t="s">
        <v>15</v>
      </c>
      <c r="E68" s="16" t="s">
        <v>74</v>
      </c>
      <c r="F68" s="4">
        <v>4200000</v>
      </c>
      <c r="G68" t="s">
        <v>2</v>
      </c>
      <c r="H68">
        <v>59</v>
      </c>
      <c r="I68">
        <v>59</v>
      </c>
    </row>
    <row r="69" spans="1:9" x14ac:dyDescent="0.2">
      <c r="A69">
        <v>2</v>
      </c>
      <c r="B69" s="1">
        <v>818</v>
      </c>
      <c r="C69" t="s">
        <v>75</v>
      </c>
      <c r="D69" s="21" t="s">
        <v>15</v>
      </c>
      <c r="E69" s="22" t="s">
        <v>51</v>
      </c>
      <c r="F69" s="23">
        <v>3995000</v>
      </c>
      <c r="G69" t="s">
        <v>2</v>
      </c>
      <c r="H69">
        <v>60</v>
      </c>
      <c r="I69">
        <v>60</v>
      </c>
    </row>
    <row r="70" spans="1:9" x14ac:dyDescent="0.2">
      <c r="A70">
        <v>2</v>
      </c>
      <c r="B70" s="1">
        <v>877</v>
      </c>
      <c r="C70" t="s">
        <v>68</v>
      </c>
      <c r="D70" s="21" t="s">
        <v>20</v>
      </c>
      <c r="E70" s="22" t="s">
        <v>21</v>
      </c>
      <c r="F70" s="23">
        <v>3992400</v>
      </c>
      <c r="G70" t="s">
        <v>2</v>
      </c>
      <c r="H70">
        <v>61</v>
      </c>
      <c r="I70">
        <v>61</v>
      </c>
    </row>
    <row r="71" spans="1:9" x14ac:dyDescent="0.2">
      <c r="A71">
        <v>2</v>
      </c>
      <c r="B71" s="1">
        <v>181</v>
      </c>
      <c r="C71" t="s">
        <v>76</v>
      </c>
      <c r="D71" s="21" t="s">
        <v>20</v>
      </c>
      <c r="E71" s="3" t="s">
        <v>21</v>
      </c>
      <c r="F71" s="4">
        <v>3181768</v>
      </c>
      <c r="G71" t="s">
        <v>2</v>
      </c>
      <c r="H71">
        <v>62</v>
      </c>
      <c r="I71">
        <v>62</v>
      </c>
    </row>
    <row r="72" spans="1:9" x14ac:dyDescent="0.2">
      <c r="A72">
        <v>2</v>
      </c>
      <c r="B72" s="1">
        <v>2856</v>
      </c>
      <c r="C72" s="13" t="s">
        <v>77</v>
      </c>
      <c r="D72" s="14" t="s">
        <v>15</v>
      </c>
      <c r="E72" s="22" t="s">
        <v>16</v>
      </c>
      <c r="F72" s="23">
        <v>3110855</v>
      </c>
      <c r="G72" t="s">
        <v>2</v>
      </c>
      <c r="H72">
        <v>63</v>
      </c>
      <c r="I72">
        <v>63</v>
      </c>
    </row>
    <row r="73" spans="1:9" x14ac:dyDescent="0.2">
      <c r="A73">
        <v>2</v>
      </c>
      <c r="B73" s="1">
        <v>831</v>
      </c>
      <c r="C73" t="s">
        <v>78</v>
      </c>
      <c r="D73" s="21" t="s">
        <v>20</v>
      </c>
      <c r="E73" s="3" t="s">
        <v>21</v>
      </c>
      <c r="F73" s="23">
        <v>3000000</v>
      </c>
      <c r="G73" t="s">
        <v>2</v>
      </c>
      <c r="H73">
        <v>64</v>
      </c>
      <c r="I73">
        <v>64</v>
      </c>
    </row>
    <row r="74" spans="1:9" x14ac:dyDescent="0.2">
      <c r="A74">
        <v>2</v>
      </c>
      <c r="B74" s="1">
        <v>628</v>
      </c>
      <c r="C74" t="s">
        <v>79</v>
      </c>
      <c r="D74" s="14" t="s">
        <v>15</v>
      </c>
      <c r="E74" s="22" t="s">
        <v>16</v>
      </c>
      <c r="F74" s="23">
        <v>1649500</v>
      </c>
      <c r="G74" t="s">
        <v>2</v>
      </c>
      <c r="H74">
        <v>65</v>
      </c>
      <c r="I74">
        <v>65</v>
      </c>
    </row>
    <row r="75" spans="1:9" x14ac:dyDescent="0.2">
      <c r="A75">
        <v>2</v>
      </c>
      <c r="B75" s="1">
        <v>627</v>
      </c>
      <c r="C75" t="s">
        <v>80</v>
      </c>
      <c r="D75" s="14" t="s">
        <v>15</v>
      </c>
      <c r="E75" s="22" t="s">
        <v>16</v>
      </c>
      <c r="F75" s="23">
        <v>1649500</v>
      </c>
      <c r="G75" t="s">
        <v>2</v>
      </c>
      <c r="H75">
        <v>66</v>
      </c>
      <c r="I75">
        <v>66</v>
      </c>
    </row>
    <row r="76" spans="1:9" x14ac:dyDescent="0.2">
      <c r="A76">
        <v>2</v>
      </c>
      <c r="B76" s="1">
        <v>750</v>
      </c>
      <c r="C76" t="s">
        <v>81</v>
      </c>
      <c r="D76" s="2" t="s">
        <v>20</v>
      </c>
      <c r="E76" s="3" t="s">
        <v>82</v>
      </c>
      <c r="F76" s="23">
        <v>1550000</v>
      </c>
      <c r="G76" t="s">
        <v>2</v>
      </c>
      <c r="H76">
        <v>67</v>
      </c>
      <c r="I76">
        <v>67</v>
      </c>
    </row>
    <row r="77" spans="1:9" x14ac:dyDescent="0.2">
      <c r="A77">
        <v>2</v>
      </c>
      <c r="B77" s="1">
        <v>192</v>
      </c>
      <c r="C77" s="15" t="s">
        <v>83</v>
      </c>
      <c r="D77" s="21" t="s">
        <v>20</v>
      </c>
      <c r="E77" s="16" t="s">
        <v>84</v>
      </c>
      <c r="F77" s="4">
        <v>1412398</v>
      </c>
      <c r="G77" t="s">
        <v>2</v>
      </c>
      <c r="H77">
        <v>68</v>
      </c>
      <c r="I77">
        <v>68</v>
      </c>
    </row>
    <row r="78" spans="1:9" x14ac:dyDescent="0.2">
      <c r="A78">
        <v>2</v>
      </c>
      <c r="B78" s="1">
        <v>2168</v>
      </c>
      <c r="C78" s="13" t="s">
        <v>85</v>
      </c>
      <c r="D78" s="21" t="s">
        <v>20</v>
      </c>
      <c r="E78" s="22" t="s">
        <v>21</v>
      </c>
      <c r="F78" s="4">
        <v>1325000</v>
      </c>
      <c r="G78" t="s">
        <v>2</v>
      </c>
      <c r="H78">
        <v>69</v>
      </c>
      <c r="I78">
        <v>69</v>
      </c>
    </row>
    <row r="79" spans="1:9" x14ac:dyDescent="0.2">
      <c r="A79">
        <v>5</v>
      </c>
      <c r="B79" s="1">
        <v>86</v>
      </c>
      <c r="C79" t="s">
        <v>86</v>
      </c>
      <c r="D79" s="2" t="s">
        <v>20</v>
      </c>
      <c r="E79" s="3" t="s">
        <v>51</v>
      </c>
      <c r="F79" s="4">
        <v>69500000</v>
      </c>
      <c r="I79">
        <v>70</v>
      </c>
    </row>
    <row r="80" spans="1:9" x14ac:dyDescent="0.2">
      <c r="A80" s="5">
        <v>5</v>
      </c>
      <c r="B80" s="24">
        <v>332</v>
      </c>
      <c r="C80" s="15" t="s">
        <v>87</v>
      </c>
      <c r="D80" s="34" t="s">
        <v>15</v>
      </c>
      <c r="E80" s="16" t="s">
        <v>51</v>
      </c>
      <c r="F80" s="25">
        <v>62900000</v>
      </c>
      <c r="G80" s="5"/>
      <c r="I80">
        <v>71</v>
      </c>
    </row>
    <row r="81" spans="1:11" x14ac:dyDescent="0.2">
      <c r="A81">
        <v>4</v>
      </c>
      <c r="B81" s="1">
        <v>271</v>
      </c>
      <c r="C81" t="s">
        <v>19</v>
      </c>
      <c r="D81" s="2" t="s">
        <v>18</v>
      </c>
      <c r="E81" s="3" t="s">
        <v>88</v>
      </c>
      <c r="F81" s="4">
        <v>60000000</v>
      </c>
      <c r="I81">
        <v>72</v>
      </c>
    </row>
    <row r="82" spans="1:11" x14ac:dyDescent="0.2">
      <c r="A82" s="1">
        <v>4</v>
      </c>
      <c r="B82" s="1">
        <v>272</v>
      </c>
      <c r="C82" t="s">
        <v>34</v>
      </c>
      <c r="D82" s="2" t="s">
        <v>18</v>
      </c>
      <c r="E82" s="3" t="s">
        <v>88</v>
      </c>
      <c r="F82" s="4">
        <v>60000000</v>
      </c>
      <c r="I82">
        <v>73</v>
      </c>
    </row>
    <row r="83" spans="1:11" x14ac:dyDescent="0.2">
      <c r="A83">
        <v>5</v>
      </c>
      <c r="B83" s="1">
        <v>22</v>
      </c>
      <c r="C83" t="s">
        <v>89</v>
      </c>
      <c r="D83" s="2" t="s">
        <v>18</v>
      </c>
      <c r="E83" s="3" t="s">
        <v>51</v>
      </c>
      <c r="F83" s="4">
        <v>59000000</v>
      </c>
      <c r="I83">
        <v>74</v>
      </c>
    </row>
    <row r="84" spans="1:11" x14ac:dyDescent="0.2">
      <c r="A84">
        <v>4</v>
      </c>
      <c r="B84" s="1">
        <v>279</v>
      </c>
      <c r="C84" t="s">
        <v>29</v>
      </c>
      <c r="D84" s="2" t="s">
        <v>20</v>
      </c>
      <c r="E84" s="3" t="s">
        <v>90</v>
      </c>
      <c r="F84" s="4">
        <v>50000000</v>
      </c>
      <c r="I84">
        <v>75</v>
      </c>
    </row>
    <row r="85" spans="1:11" x14ac:dyDescent="0.2">
      <c r="A85">
        <v>4</v>
      </c>
      <c r="B85" s="1">
        <v>279</v>
      </c>
      <c r="C85" t="s">
        <v>29</v>
      </c>
      <c r="D85" s="2" t="s">
        <v>18</v>
      </c>
      <c r="E85" s="3" t="s">
        <v>88</v>
      </c>
      <c r="F85" s="4">
        <v>50000000</v>
      </c>
      <c r="I85">
        <v>76</v>
      </c>
    </row>
    <row r="86" spans="1:11" x14ac:dyDescent="0.2">
      <c r="A86" s="1">
        <v>5</v>
      </c>
      <c r="B86" s="1">
        <v>700</v>
      </c>
      <c r="C86" t="s">
        <v>91</v>
      </c>
      <c r="D86" s="2" t="s">
        <v>18</v>
      </c>
      <c r="E86" s="3" t="s">
        <v>51</v>
      </c>
      <c r="F86" s="4">
        <v>48895000</v>
      </c>
      <c r="I86">
        <v>77</v>
      </c>
    </row>
    <row r="87" spans="1:11" x14ac:dyDescent="0.2">
      <c r="A87" s="1">
        <v>5</v>
      </c>
      <c r="B87" s="1">
        <v>518</v>
      </c>
      <c r="C87" t="s">
        <v>92</v>
      </c>
      <c r="D87" s="2" t="s">
        <v>18</v>
      </c>
      <c r="E87" s="3" t="s">
        <v>51</v>
      </c>
      <c r="F87" s="4">
        <v>38975000</v>
      </c>
      <c r="I87">
        <v>78</v>
      </c>
    </row>
    <row r="88" spans="1:11" x14ac:dyDescent="0.2">
      <c r="A88" s="1" t="s">
        <v>93</v>
      </c>
      <c r="B88" s="1">
        <v>256</v>
      </c>
      <c r="C88" t="s">
        <v>94</v>
      </c>
      <c r="D88" s="2" t="s">
        <v>20</v>
      </c>
      <c r="E88" s="3" t="s">
        <v>51</v>
      </c>
      <c r="F88" s="4">
        <v>38025000</v>
      </c>
      <c r="I88">
        <v>79</v>
      </c>
      <c r="J88" s="5" t="s">
        <v>3</v>
      </c>
      <c r="K88">
        <v>3</v>
      </c>
    </row>
    <row r="89" spans="1:11" x14ac:dyDescent="0.2">
      <c r="A89">
        <v>3</v>
      </c>
      <c r="B89" s="17">
        <v>11</v>
      </c>
      <c r="C89" s="13" t="s">
        <v>95</v>
      </c>
      <c r="D89" s="18" t="s">
        <v>18</v>
      </c>
      <c r="E89" s="35" t="s">
        <v>96</v>
      </c>
      <c r="F89" s="20">
        <v>35853000</v>
      </c>
      <c r="I89">
        <v>80</v>
      </c>
    </row>
    <row r="90" spans="1:11" x14ac:dyDescent="0.2">
      <c r="A90">
        <v>5</v>
      </c>
      <c r="B90" s="1">
        <v>709</v>
      </c>
      <c r="C90" t="s">
        <v>97</v>
      </c>
      <c r="D90" s="14" t="s">
        <v>15</v>
      </c>
      <c r="E90" s="3" t="s">
        <v>98</v>
      </c>
      <c r="F90" s="4">
        <v>35644516</v>
      </c>
      <c r="I90">
        <v>81</v>
      </c>
    </row>
    <row r="91" spans="1:11" x14ac:dyDescent="0.2">
      <c r="A91" s="1">
        <v>5</v>
      </c>
      <c r="B91" s="1">
        <v>97</v>
      </c>
      <c r="C91" t="s">
        <v>99</v>
      </c>
      <c r="D91" s="2" t="s">
        <v>20</v>
      </c>
      <c r="E91" s="3" t="s">
        <v>51</v>
      </c>
      <c r="F91" s="4">
        <v>33000000</v>
      </c>
      <c r="I91">
        <v>82</v>
      </c>
    </row>
    <row r="92" spans="1:11" x14ac:dyDescent="0.2">
      <c r="A92" s="1">
        <v>5</v>
      </c>
      <c r="B92" s="1">
        <v>38</v>
      </c>
      <c r="C92" t="s">
        <v>100</v>
      </c>
      <c r="D92" s="2" t="s">
        <v>20</v>
      </c>
      <c r="E92" s="3" t="s">
        <v>51</v>
      </c>
      <c r="F92" s="4">
        <v>32586000</v>
      </c>
      <c r="I92">
        <v>83</v>
      </c>
    </row>
    <row r="93" spans="1:11" x14ac:dyDescent="0.2">
      <c r="A93">
        <v>5</v>
      </c>
      <c r="B93" s="1">
        <v>199</v>
      </c>
      <c r="C93" t="s">
        <v>101</v>
      </c>
      <c r="D93" s="2" t="s">
        <v>18</v>
      </c>
      <c r="E93" s="3" t="s">
        <v>51</v>
      </c>
      <c r="F93" s="4">
        <v>31000000</v>
      </c>
      <c r="I93">
        <v>84</v>
      </c>
    </row>
    <row r="94" spans="1:11" x14ac:dyDescent="0.2">
      <c r="A94" s="5">
        <v>4</v>
      </c>
      <c r="B94" s="24">
        <v>11</v>
      </c>
      <c r="C94" s="30" t="s">
        <v>102</v>
      </c>
      <c r="D94" s="36" t="s">
        <v>15</v>
      </c>
      <c r="E94" s="30" t="s">
        <v>103</v>
      </c>
      <c r="F94" s="37">
        <v>30000000</v>
      </c>
      <c r="G94" s="5"/>
      <c r="I94">
        <v>85</v>
      </c>
    </row>
    <row r="95" spans="1:11" x14ac:dyDescent="0.2">
      <c r="A95" s="24" t="s">
        <v>93</v>
      </c>
      <c r="B95" s="24">
        <v>277</v>
      </c>
      <c r="C95" s="30" t="s">
        <v>104</v>
      </c>
      <c r="D95" s="36" t="s">
        <v>15</v>
      </c>
      <c r="E95" s="30" t="s">
        <v>51</v>
      </c>
      <c r="F95" s="25">
        <v>29925000</v>
      </c>
      <c r="G95" s="5"/>
      <c r="I95">
        <v>86</v>
      </c>
      <c r="J95" t="s">
        <v>4</v>
      </c>
      <c r="K95">
        <v>4</v>
      </c>
    </row>
    <row r="96" spans="1:11" x14ac:dyDescent="0.2">
      <c r="A96" s="1" t="s">
        <v>93</v>
      </c>
      <c r="B96" s="1">
        <v>173</v>
      </c>
      <c r="C96" t="s">
        <v>105</v>
      </c>
      <c r="D96" s="2" t="s">
        <v>20</v>
      </c>
      <c r="E96" s="3" t="s">
        <v>51</v>
      </c>
      <c r="F96" s="4">
        <v>29845000</v>
      </c>
      <c r="I96">
        <v>87</v>
      </c>
    </row>
    <row r="97" spans="1:9" x14ac:dyDescent="0.2">
      <c r="A97" s="5">
        <v>5</v>
      </c>
      <c r="B97" s="24">
        <v>2134</v>
      </c>
      <c r="C97" s="30" t="s">
        <v>106</v>
      </c>
      <c r="D97" s="36" t="s">
        <v>15</v>
      </c>
      <c r="E97" s="30" t="s">
        <v>51</v>
      </c>
      <c r="F97" s="25">
        <v>28825000</v>
      </c>
      <c r="G97" s="5"/>
      <c r="I97">
        <v>88</v>
      </c>
    </row>
    <row r="98" spans="1:9" x14ac:dyDescent="0.2">
      <c r="A98" s="1">
        <v>5</v>
      </c>
      <c r="B98" s="1">
        <v>2687</v>
      </c>
      <c r="C98" t="s">
        <v>107</v>
      </c>
      <c r="D98" s="2" t="s">
        <v>18</v>
      </c>
      <c r="E98" s="3" t="s">
        <v>51</v>
      </c>
      <c r="F98" s="4">
        <v>27945000</v>
      </c>
      <c r="I98">
        <v>89</v>
      </c>
    </row>
    <row r="99" spans="1:9" x14ac:dyDescent="0.2">
      <c r="A99" s="1">
        <v>5</v>
      </c>
      <c r="B99" s="1">
        <v>6</v>
      </c>
      <c r="C99" t="s">
        <v>108</v>
      </c>
      <c r="D99" s="2" t="s">
        <v>20</v>
      </c>
      <c r="E99" s="3" t="s">
        <v>51</v>
      </c>
      <c r="F99" s="4">
        <v>26675000</v>
      </c>
      <c r="I99">
        <v>90</v>
      </c>
    </row>
    <row r="100" spans="1:9" x14ac:dyDescent="0.2">
      <c r="A100" s="1">
        <v>5</v>
      </c>
      <c r="B100" s="1">
        <v>2687</v>
      </c>
      <c r="C100" t="s">
        <v>109</v>
      </c>
      <c r="D100" s="2" t="s">
        <v>20</v>
      </c>
      <c r="E100" s="3" t="s">
        <v>51</v>
      </c>
      <c r="F100" s="4">
        <v>25610000</v>
      </c>
      <c r="I100">
        <v>91</v>
      </c>
    </row>
    <row r="101" spans="1:9" x14ac:dyDescent="0.2">
      <c r="A101" s="1">
        <v>5</v>
      </c>
      <c r="B101" s="1">
        <v>850</v>
      </c>
      <c r="C101" t="s">
        <v>110</v>
      </c>
      <c r="D101" s="2" t="s">
        <v>20</v>
      </c>
      <c r="E101" s="3" t="s">
        <v>51</v>
      </c>
      <c r="F101" s="4">
        <v>24000000</v>
      </c>
      <c r="I101">
        <v>92</v>
      </c>
    </row>
    <row r="102" spans="1:9" x14ac:dyDescent="0.2">
      <c r="A102" s="5">
        <v>5</v>
      </c>
      <c r="B102" s="24">
        <v>761</v>
      </c>
      <c r="C102" s="5" t="s">
        <v>111</v>
      </c>
      <c r="D102" s="36" t="s">
        <v>15</v>
      </c>
      <c r="E102" s="16" t="s">
        <v>51</v>
      </c>
      <c r="F102" s="25">
        <v>23875000</v>
      </c>
      <c r="G102" s="5"/>
      <c r="I102">
        <v>93</v>
      </c>
    </row>
    <row r="103" spans="1:9" x14ac:dyDescent="0.2">
      <c r="A103" s="1" t="s">
        <v>93</v>
      </c>
      <c r="B103" s="1">
        <v>726</v>
      </c>
      <c r="C103" t="s">
        <v>112</v>
      </c>
      <c r="D103" s="2" t="s">
        <v>20</v>
      </c>
      <c r="E103" s="3" t="s">
        <v>51</v>
      </c>
      <c r="F103" s="4">
        <v>23000000</v>
      </c>
      <c r="I103">
        <v>94</v>
      </c>
    </row>
    <row r="104" spans="1:9" x14ac:dyDescent="0.2">
      <c r="A104" s="1">
        <v>4</v>
      </c>
      <c r="B104" s="1">
        <v>280</v>
      </c>
      <c r="C104" t="s">
        <v>113</v>
      </c>
      <c r="D104" s="2" t="s">
        <v>18</v>
      </c>
      <c r="E104" s="3" t="s">
        <v>88</v>
      </c>
      <c r="F104" s="4">
        <v>22600000</v>
      </c>
      <c r="I104">
        <v>95</v>
      </c>
    </row>
    <row r="105" spans="1:9" x14ac:dyDescent="0.2">
      <c r="A105" s="1">
        <v>5</v>
      </c>
      <c r="B105" s="1">
        <v>2180</v>
      </c>
      <c r="C105" t="s">
        <v>114</v>
      </c>
      <c r="D105" s="2" t="s">
        <v>18</v>
      </c>
      <c r="E105" s="3" t="s">
        <v>51</v>
      </c>
      <c r="F105" s="4">
        <v>20029887</v>
      </c>
      <c r="I105">
        <v>96</v>
      </c>
    </row>
    <row r="106" spans="1:9" x14ac:dyDescent="0.2">
      <c r="A106">
        <v>5</v>
      </c>
      <c r="B106" s="1">
        <v>850</v>
      </c>
      <c r="C106" t="s">
        <v>110</v>
      </c>
      <c r="D106" s="2" t="s">
        <v>20</v>
      </c>
      <c r="E106" s="3" t="s">
        <v>51</v>
      </c>
      <c r="F106" s="4">
        <v>19923465</v>
      </c>
      <c r="I106">
        <v>97</v>
      </c>
    </row>
    <row r="107" spans="1:9" x14ac:dyDescent="0.2">
      <c r="A107">
        <v>4</v>
      </c>
      <c r="B107" s="1">
        <v>112</v>
      </c>
      <c r="C107" s="3" t="s">
        <v>115</v>
      </c>
      <c r="D107" s="2" t="s">
        <v>15</v>
      </c>
      <c r="E107" s="3" t="s">
        <v>88</v>
      </c>
      <c r="F107" s="23">
        <v>19838000</v>
      </c>
      <c r="I107">
        <v>98</v>
      </c>
    </row>
    <row r="108" spans="1:9" x14ac:dyDescent="0.2">
      <c r="A108">
        <v>5</v>
      </c>
      <c r="B108" s="1">
        <v>4103</v>
      </c>
      <c r="C108" t="s">
        <v>116</v>
      </c>
      <c r="D108" s="21" t="s">
        <v>20</v>
      </c>
      <c r="E108" s="3" t="s">
        <v>117</v>
      </c>
      <c r="F108" s="23">
        <v>18717562</v>
      </c>
      <c r="I108">
        <v>99</v>
      </c>
    </row>
    <row r="109" spans="1:9" x14ac:dyDescent="0.2">
      <c r="A109">
        <v>5</v>
      </c>
      <c r="B109" s="1">
        <v>916</v>
      </c>
      <c r="C109" t="s">
        <v>118</v>
      </c>
      <c r="D109" s="21" t="s">
        <v>20</v>
      </c>
      <c r="E109" s="3" t="s">
        <v>119</v>
      </c>
      <c r="F109" s="4">
        <v>18615000</v>
      </c>
      <c r="I109">
        <v>100</v>
      </c>
    </row>
    <row r="110" spans="1:9" x14ac:dyDescent="0.2">
      <c r="A110">
        <v>5</v>
      </c>
      <c r="B110" s="1">
        <v>548</v>
      </c>
      <c r="C110" t="s">
        <v>54</v>
      </c>
      <c r="D110" s="2" t="s">
        <v>20</v>
      </c>
      <c r="E110" s="3" t="s">
        <v>51</v>
      </c>
      <c r="F110" s="4">
        <v>18470000</v>
      </c>
      <c r="I110">
        <v>101</v>
      </c>
    </row>
    <row r="111" spans="1:9" x14ac:dyDescent="0.2">
      <c r="A111" s="1" t="s">
        <v>93</v>
      </c>
      <c r="B111" s="1">
        <v>2859</v>
      </c>
      <c r="C111" t="s">
        <v>120</v>
      </c>
      <c r="D111" s="2" t="s">
        <v>15</v>
      </c>
      <c r="E111" s="22" t="s">
        <v>51</v>
      </c>
      <c r="F111" s="23">
        <v>18298000</v>
      </c>
      <c r="I111">
        <v>102</v>
      </c>
    </row>
    <row r="112" spans="1:9" x14ac:dyDescent="0.2">
      <c r="A112">
        <v>5</v>
      </c>
      <c r="B112" s="1">
        <v>110</v>
      </c>
      <c r="C112" t="s">
        <v>121</v>
      </c>
      <c r="D112" s="21" t="s">
        <v>15</v>
      </c>
      <c r="E112" s="22" t="s">
        <v>51</v>
      </c>
      <c r="F112" s="23">
        <v>17820000</v>
      </c>
      <c r="I112">
        <v>103</v>
      </c>
    </row>
    <row r="113" spans="1:9" x14ac:dyDescent="0.2">
      <c r="A113">
        <v>4</v>
      </c>
      <c r="B113" s="1">
        <v>270</v>
      </c>
      <c r="C113" t="s">
        <v>122</v>
      </c>
      <c r="D113" s="2" t="s">
        <v>20</v>
      </c>
      <c r="E113" s="3" t="s">
        <v>88</v>
      </c>
      <c r="F113" s="4">
        <v>17500000</v>
      </c>
      <c r="I113">
        <v>104</v>
      </c>
    </row>
    <row r="114" spans="1:9" x14ac:dyDescent="0.2">
      <c r="A114" s="1">
        <v>4</v>
      </c>
      <c r="B114" s="1">
        <v>283</v>
      </c>
      <c r="C114" t="s">
        <v>123</v>
      </c>
      <c r="D114" s="2" t="s">
        <v>18</v>
      </c>
      <c r="E114" s="3" t="s">
        <v>88</v>
      </c>
      <c r="F114" s="4">
        <v>17500000</v>
      </c>
      <c r="I114">
        <v>105</v>
      </c>
    </row>
    <row r="115" spans="1:9" x14ac:dyDescent="0.2">
      <c r="A115" s="1" t="s">
        <v>93</v>
      </c>
      <c r="B115" s="1">
        <v>1</v>
      </c>
      <c r="C115" t="s">
        <v>14</v>
      </c>
      <c r="D115" s="14" t="s">
        <v>15</v>
      </c>
      <c r="E115" s="3" t="s">
        <v>28</v>
      </c>
      <c r="F115" s="4">
        <v>16000000</v>
      </c>
      <c r="G115" s="38"/>
      <c r="I115">
        <v>106</v>
      </c>
    </row>
    <row r="116" spans="1:9" x14ac:dyDescent="0.2">
      <c r="A116">
        <v>5</v>
      </c>
      <c r="B116" s="1">
        <v>4116</v>
      </c>
      <c r="C116" t="s">
        <v>124</v>
      </c>
      <c r="D116" s="21" t="s">
        <v>20</v>
      </c>
      <c r="E116" s="3" t="s">
        <v>125</v>
      </c>
      <c r="F116" s="4">
        <v>15900000</v>
      </c>
      <c r="I116">
        <v>107</v>
      </c>
    </row>
    <row r="117" spans="1:9" x14ac:dyDescent="0.2">
      <c r="A117">
        <v>5</v>
      </c>
      <c r="B117" s="1">
        <v>709</v>
      </c>
      <c r="C117" s="13" t="s">
        <v>97</v>
      </c>
      <c r="D117" s="14" t="s">
        <v>15</v>
      </c>
      <c r="E117" s="16" t="s">
        <v>126</v>
      </c>
      <c r="F117" s="23">
        <v>15450000</v>
      </c>
      <c r="I117">
        <v>108</v>
      </c>
    </row>
    <row r="118" spans="1:9" x14ac:dyDescent="0.2">
      <c r="A118">
        <v>5</v>
      </c>
      <c r="B118" s="1">
        <v>239</v>
      </c>
      <c r="C118" t="s">
        <v>127</v>
      </c>
      <c r="D118" s="2" t="s">
        <v>20</v>
      </c>
      <c r="E118" s="3" t="s">
        <v>51</v>
      </c>
      <c r="F118" s="4">
        <v>15000000</v>
      </c>
      <c r="I118">
        <v>109</v>
      </c>
    </row>
    <row r="119" spans="1:9" x14ac:dyDescent="0.2">
      <c r="A119">
        <v>3</v>
      </c>
      <c r="B119" s="1">
        <v>196</v>
      </c>
      <c r="C119" t="s">
        <v>128</v>
      </c>
      <c r="D119" s="21" t="s">
        <v>20</v>
      </c>
      <c r="E119" s="3" t="s">
        <v>119</v>
      </c>
      <c r="F119" s="4">
        <v>14750000</v>
      </c>
      <c r="I119">
        <v>110</v>
      </c>
    </row>
    <row r="120" spans="1:9" x14ac:dyDescent="0.2">
      <c r="A120">
        <v>3</v>
      </c>
      <c r="B120" s="17">
        <v>720</v>
      </c>
      <c r="C120" s="15" t="s">
        <v>73</v>
      </c>
      <c r="D120" s="18" t="s">
        <v>18</v>
      </c>
      <c r="E120" s="33" t="s">
        <v>126</v>
      </c>
      <c r="F120" s="20">
        <v>14000000</v>
      </c>
      <c r="I120">
        <v>111</v>
      </c>
    </row>
    <row r="121" spans="1:9" x14ac:dyDescent="0.2">
      <c r="A121">
        <v>5</v>
      </c>
      <c r="C121" t="s">
        <v>129</v>
      </c>
      <c r="D121" s="21" t="s">
        <v>20</v>
      </c>
      <c r="F121" s="4">
        <v>13050000</v>
      </c>
      <c r="I121">
        <v>112</v>
      </c>
    </row>
    <row r="122" spans="1:9" x14ac:dyDescent="0.2">
      <c r="A122">
        <v>4</v>
      </c>
      <c r="B122" s="1">
        <v>624</v>
      </c>
      <c r="C122" t="s">
        <v>36</v>
      </c>
      <c r="D122" s="2" t="s">
        <v>18</v>
      </c>
      <c r="E122" s="3" t="s">
        <v>88</v>
      </c>
      <c r="F122" s="4">
        <v>13000000</v>
      </c>
      <c r="I122">
        <v>113</v>
      </c>
    </row>
    <row r="123" spans="1:9" x14ac:dyDescent="0.2">
      <c r="A123">
        <v>5</v>
      </c>
      <c r="B123" s="1">
        <v>31</v>
      </c>
      <c r="C123" t="s">
        <v>130</v>
      </c>
      <c r="D123" s="21" t="s">
        <v>15</v>
      </c>
      <c r="E123" s="22" t="s">
        <v>51</v>
      </c>
      <c r="F123" s="23">
        <v>13000000</v>
      </c>
      <c r="I123">
        <v>114</v>
      </c>
    </row>
    <row r="124" spans="1:9" x14ac:dyDescent="0.2">
      <c r="A124" s="39" t="s">
        <v>93</v>
      </c>
      <c r="B124" s="31">
        <v>162</v>
      </c>
      <c r="C124" s="19" t="s">
        <v>131</v>
      </c>
      <c r="D124" s="18" t="s">
        <v>18</v>
      </c>
      <c r="E124" s="40" t="s">
        <v>132</v>
      </c>
      <c r="F124" s="20">
        <v>12546800</v>
      </c>
      <c r="I124">
        <v>115</v>
      </c>
    </row>
    <row r="125" spans="1:9" x14ac:dyDescent="0.2">
      <c r="A125">
        <v>4</v>
      </c>
      <c r="B125" s="1">
        <v>458</v>
      </c>
      <c r="C125" t="s">
        <v>133</v>
      </c>
      <c r="D125" s="2" t="s">
        <v>18</v>
      </c>
      <c r="E125" s="3" t="s">
        <v>88</v>
      </c>
      <c r="F125" s="4">
        <v>12500000</v>
      </c>
      <c r="I125">
        <v>116</v>
      </c>
    </row>
    <row r="126" spans="1:9" x14ac:dyDescent="0.2">
      <c r="A126" s="1" t="s">
        <v>93</v>
      </c>
      <c r="B126" s="1">
        <v>2342</v>
      </c>
      <c r="C126" t="s">
        <v>134</v>
      </c>
      <c r="D126" s="2" t="s">
        <v>18</v>
      </c>
      <c r="E126" s="3" t="s">
        <v>51</v>
      </c>
      <c r="F126" s="4">
        <v>12225000</v>
      </c>
      <c r="I126">
        <v>117</v>
      </c>
    </row>
    <row r="127" spans="1:9" x14ac:dyDescent="0.2">
      <c r="A127" s="1" t="s">
        <v>93</v>
      </c>
      <c r="B127" s="1">
        <v>150</v>
      </c>
      <c r="C127" t="s">
        <v>135</v>
      </c>
      <c r="D127" s="2" t="s">
        <v>18</v>
      </c>
      <c r="E127" s="3" t="s">
        <v>51</v>
      </c>
      <c r="F127" s="4">
        <v>11635000</v>
      </c>
      <c r="I127">
        <v>118</v>
      </c>
    </row>
    <row r="128" spans="1:9" ht="15" customHeight="1" x14ac:dyDescent="0.2">
      <c r="A128" s="1" t="s">
        <v>93</v>
      </c>
      <c r="B128" s="1">
        <v>1</v>
      </c>
      <c r="C128" t="s">
        <v>14</v>
      </c>
      <c r="D128" s="14" t="s">
        <v>15</v>
      </c>
      <c r="E128" s="3" t="s">
        <v>28</v>
      </c>
      <c r="F128" s="4">
        <v>11000000</v>
      </c>
      <c r="G128" s="38"/>
      <c r="I128">
        <v>119</v>
      </c>
    </row>
    <row r="129" spans="1:9" x14ac:dyDescent="0.2">
      <c r="A129">
        <v>3</v>
      </c>
      <c r="B129" s="1">
        <v>284</v>
      </c>
      <c r="C129" t="s">
        <v>22</v>
      </c>
      <c r="D129" s="14" t="s">
        <v>15</v>
      </c>
      <c r="E129" s="30" t="s">
        <v>126</v>
      </c>
      <c r="F129" s="4">
        <v>10888300</v>
      </c>
      <c r="I129">
        <v>120</v>
      </c>
    </row>
    <row r="130" spans="1:9" x14ac:dyDescent="0.2">
      <c r="A130" s="1" t="s">
        <v>93</v>
      </c>
      <c r="B130" s="1">
        <v>775</v>
      </c>
      <c r="C130" t="s">
        <v>136</v>
      </c>
      <c r="D130" s="2" t="s">
        <v>18</v>
      </c>
      <c r="E130" s="3" t="s">
        <v>51</v>
      </c>
      <c r="F130" s="4">
        <v>10735000</v>
      </c>
      <c r="I130">
        <v>121</v>
      </c>
    </row>
    <row r="131" spans="1:9" x14ac:dyDescent="0.2">
      <c r="A131" s="24" t="s">
        <v>93</v>
      </c>
      <c r="B131" s="31">
        <v>593</v>
      </c>
      <c r="C131" s="33" t="s">
        <v>137</v>
      </c>
      <c r="D131" s="18" t="s">
        <v>18</v>
      </c>
      <c r="E131" s="40" t="s">
        <v>132</v>
      </c>
      <c r="F131" s="20">
        <v>10390000</v>
      </c>
      <c r="I131">
        <v>122</v>
      </c>
    </row>
    <row r="132" spans="1:9" x14ac:dyDescent="0.2">
      <c r="A132">
        <v>4</v>
      </c>
      <c r="B132" s="1">
        <v>834</v>
      </c>
      <c r="C132" t="s">
        <v>48</v>
      </c>
      <c r="D132" s="21" t="s">
        <v>15</v>
      </c>
      <c r="E132" s="22" t="s">
        <v>88</v>
      </c>
      <c r="F132" s="23">
        <v>10000000</v>
      </c>
      <c r="I132">
        <v>123</v>
      </c>
    </row>
    <row r="133" spans="1:9" x14ac:dyDescent="0.2">
      <c r="A133">
        <v>4</v>
      </c>
      <c r="B133" s="1">
        <v>547</v>
      </c>
      <c r="C133" t="s">
        <v>138</v>
      </c>
      <c r="D133" s="2" t="s">
        <v>18</v>
      </c>
      <c r="E133" s="3" t="s">
        <v>88</v>
      </c>
      <c r="F133" s="4">
        <v>10000000</v>
      </c>
      <c r="I133">
        <v>124</v>
      </c>
    </row>
    <row r="134" spans="1:9" x14ac:dyDescent="0.2">
      <c r="A134">
        <v>5</v>
      </c>
      <c r="B134" s="1">
        <v>4042</v>
      </c>
      <c r="C134" t="s">
        <v>139</v>
      </c>
      <c r="D134" s="21" t="s">
        <v>20</v>
      </c>
      <c r="E134" s="22" t="s">
        <v>117</v>
      </c>
      <c r="F134" s="23">
        <v>10000000</v>
      </c>
      <c r="I134">
        <v>125</v>
      </c>
    </row>
    <row r="135" spans="1:9" x14ac:dyDescent="0.2">
      <c r="A135" s="1" t="s">
        <v>93</v>
      </c>
      <c r="B135" s="1">
        <v>911</v>
      </c>
      <c r="C135" t="s">
        <v>140</v>
      </c>
      <c r="D135" s="2" t="s">
        <v>18</v>
      </c>
      <c r="E135" s="3" t="s">
        <v>51</v>
      </c>
      <c r="F135" s="4">
        <v>10000000</v>
      </c>
      <c r="I135">
        <v>126</v>
      </c>
    </row>
    <row r="136" spans="1:9" x14ac:dyDescent="0.2">
      <c r="A136">
        <v>3</v>
      </c>
      <c r="B136" s="1">
        <v>2125</v>
      </c>
      <c r="C136" t="s">
        <v>141</v>
      </c>
      <c r="D136" s="21" t="s">
        <v>15</v>
      </c>
      <c r="E136" s="3" t="s">
        <v>51</v>
      </c>
      <c r="F136" s="23">
        <v>9590000</v>
      </c>
      <c r="I136">
        <v>127</v>
      </c>
    </row>
    <row r="137" spans="1:9" x14ac:dyDescent="0.2">
      <c r="A137">
        <v>5</v>
      </c>
      <c r="B137" s="1">
        <v>535</v>
      </c>
      <c r="C137" t="s">
        <v>27</v>
      </c>
      <c r="D137" s="21" t="s">
        <v>20</v>
      </c>
      <c r="E137" s="3" t="s">
        <v>142</v>
      </c>
      <c r="F137" s="23">
        <v>8970000</v>
      </c>
      <c r="I137">
        <v>128</v>
      </c>
    </row>
    <row r="138" spans="1:9" x14ac:dyDescent="0.2">
      <c r="A138">
        <v>4</v>
      </c>
      <c r="B138" s="1">
        <v>278</v>
      </c>
      <c r="C138" t="s">
        <v>143</v>
      </c>
      <c r="D138" s="21" t="s">
        <v>15</v>
      </c>
      <c r="E138" s="22" t="s">
        <v>88</v>
      </c>
      <c r="F138" s="23">
        <v>8960000</v>
      </c>
      <c r="I138">
        <v>129</v>
      </c>
    </row>
    <row r="139" spans="1:9" x14ac:dyDescent="0.2">
      <c r="A139">
        <v>4</v>
      </c>
      <c r="B139" s="1">
        <v>16</v>
      </c>
      <c r="C139" t="s">
        <v>144</v>
      </c>
      <c r="D139" s="21" t="s">
        <v>15</v>
      </c>
      <c r="E139" s="3" t="s">
        <v>88</v>
      </c>
      <c r="F139" s="23">
        <v>8600000</v>
      </c>
      <c r="I139">
        <v>130</v>
      </c>
    </row>
    <row r="140" spans="1:9" x14ac:dyDescent="0.2">
      <c r="A140">
        <v>5</v>
      </c>
      <c r="B140" s="1">
        <v>4112</v>
      </c>
      <c r="C140" s="13" t="s">
        <v>145</v>
      </c>
      <c r="D140" s="21" t="s">
        <v>20</v>
      </c>
      <c r="E140" s="22" t="s">
        <v>146</v>
      </c>
      <c r="F140" s="4">
        <v>8360000</v>
      </c>
      <c r="I140">
        <v>131</v>
      </c>
    </row>
    <row r="141" spans="1:9" x14ac:dyDescent="0.2">
      <c r="A141" s="1">
        <v>3</v>
      </c>
      <c r="B141" s="31">
        <v>719</v>
      </c>
      <c r="C141" s="33" t="s">
        <v>55</v>
      </c>
      <c r="D141" s="18" t="s">
        <v>18</v>
      </c>
      <c r="E141" s="33" t="s">
        <v>126</v>
      </c>
      <c r="F141" s="20">
        <v>8300000</v>
      </c>
      <c r="I141">
        <v>132</v>
      </c>
    </row>
    <row r="142" spans="1:9" x14ac:dyDescent="0.2">
      <c r="A142">
        <v>5</v>
      </c>
      <c r="B142" s="1">
        <v>704</v>
      </c>
      <c r="C142" t="s">
        <v>147</v>
      </c>
      <c r="D142" s="2" t="s">
        <v>20</v>
      </c>
      <c r="E142" s="3" t="s">
        <v>51</v>
      </c>
      <c r="F142" s="4">
        <v>7900000</v>
      </c>
      <c r="I142">
        <v>133</v>
      </c>
    </row>
    <row r="143" spans="1:9" x14ac:dyDescent="0.2">
      <c r="A143">
        <v>4</v>
      </c>
      <c r="B143" s="1">
        <v>14</v>
      </c>
      <c r="C143" t="s">
        <v>148</v>
      </c>
      <c r="D143" s="21" t="s">
        <v>15</v>
      </c>
      <c r="E143" s="3" t="s">
        <v>88</v>
      </c>
      <c r="F143" s="23">
        <v>7630000</v>
      </c>
      <c r="I143">
        <v>134</v>
      </c>
    </row>
    <row r="144" spans="1:9" x14ac:dyDescent="0.2">
      <c r="A144">
        <v>4</v>
      </c>
      <c r="B144" s="1">
        <v>659</v>
      </c>
      <c r="C144" t="s">
        <v>149</v>
      </c>
      <c r="D144" s="21" t="s">
        <v>15</v>
      </c>
      <c r="E144" s="3" t="s">
        <v>88</v>
      </c>
      <c r="F144" s="23">
        <v>7500000</v>
      </c>
      <c r="I144">
        <v>135</v>
      </c>
    </row>
    <row r="145" spans="1:9" x14ac:dyDescent="0.2">
      <c r="A145">
        <v>5</v>
      </c>
      <c r="B145" s="1">
        <v>284</v>
      </c>
      <c r="C145" t="s">
        <v>22</v>
      </c>
      <c r="D145" s="21" t="s">
        <v>20</v>
      </c>
      <c r="E145" s="3" t="s">
        <v>150</v>
      </c>
      <c r="F145" s="4">
        <v>7400000</v>
      </c>
      <c r="I145">
        <v>136</v>
      </c>
    </row>
    <row r="146" spans="1:9" x14ac:dyDescent="0.2">
      <c r="A146">
        <v>4</v>
      </c>
      <c r="B146" s="1">
        <v>199</v>
      </c>
      <c r="C146" t="s">
        <v>101</v>
      </c>
      <c r="D146" s="21" t="s">
        <v>15</v>
      </c>
      <c r="E146" s="3" t="s">
        <v>88</v>
      </c>
      <c r="F146" s="23">
        <v>7000000</v>
      </c>
      <c r="I146">
        <v>137</v>
      </c>
    </row>
    <row r="147" spans="1:9" x14ac:dyDescent="0.2">
      <c r="A147">
        <v>4</v>
      </c>
      <c r="B147" s="1">
        <v>199</v>
      </c>
      <c r="C147" t="s">
        <v>101</v>
      </c>
      <c r="D147" s="21" t="s">
        <v>15</v>
      </c>
      <c r="E147" s="3" t="s">
        <v>88</v>
      </c>
      <c r="F147" s="23">
        <v>7000000</v>
      </c>
      <c r="I147">
        <v>138</v>
      </c>
    </row>
    <row r="148" spans="1:9" x14ac:dyDescent="0.2">
      <c r="A148">
        <v>5</v>
      </c>
      <c r="B148" s="1">
        <v>544</v>
      </c>
      <c r="C148" t="s">
        <v>151</v>
      </c>
      <c r="D148" s="2" t="s">
        <v>20</v>
      </c>
      <c r="E148" s="3" t="s">
        <v>51</v>
      </c>
      <c r="F148" s="4">
        <v>6265000</v>
      </c>
      <c r="I148">
        <v>139</v>
      </c>
    </row>
    <row r="149" spans="1:9" x14ac:dyDescent="0.2">
      <c r="A149">
        <v>4</v>
      </c>
      <c r="B149" s="1">
        <v>832</v>
      </c>
      <c r="C149" t="s">
        <v>152</v>
      </c>
      <c r="D149" s="21" t="s">
        <v>15</v>
      </c>
      <c r="E149" s="3" t="s">
        <v>88</v>
      </c>
      <c r="F149" s="23">
        <v>6200000</v>
      </c>
      <c r="I149">
        <v>140</v>
      </c>
    </row>
    <row r="150" spans="1:9" x14ac:dyDescent="0.2">
      <c r="A150">
        <v>3</v>
      </c>
      <c r="B150" s="1">
        <v>16</v>
      </c>
      <c r="C150" t="s">
        <v>144</v>
      </c>
      <c r="D150" s="21" t="s">
        <v>20</v>
      </c>
      <c r="E150" s="3" t="s">
        <v>142</v>
      </c>
      <c r="F150" s="4">
        <v>5815000</v>
      </c>
      <c r="I150">
        <v>141</v>
      </c>
    </row>
    <row r="151" spans="1:9" x14ac:dyDescent="0.2">
      <c r="A151">
        <v>5</v>
      </c>
      <c r="B151" s="1">
        <v>818</v>
      </c>
      <c r="C151" t="s">
        <v>75</v>
      </c>
      <c r="D151" s="2" t="s">
        <v>20</v>
      </c>
      <c r="E151" s="3" t="s">
        <v>51</v>
      </c>
      <c r="F151" s="4">
        <v>5795000</v>
      </c>
      <c r="I151">
        <v>142</v>
      </c>
    </row>
    <row r="152" spans="1:9" x14ac:dyDescent="0.2">
      <c r="A152">
        <v>3</v>
      </c>
      <c r="B152" s="1">
        <v>578</v>
      </c>
      <c r="C152" t="s">
        <v>153</v>
      </c>
      <c r="D152" s="21" t="s">
        <v>15</v>
      </c>
      <c r="E152" s="22" t="s">
        <v>51</v>
      </c>
      <c r="F152" s="23">
        <v>5715000</v>
      </c>
      <c r="I152">
        <v>143</v>
      </c>
    </row>
    <row r="153" spans="1:9" x14ac:dyDescent="0.2">
      <c r="A153" s="1" t="s">
        <v>93</v>
      </c>
      <c r="B153" s="1">
        <v>2609</v>
      </c>
      <c r="C153" t="s">
        <v>154</v>
      </c>
      <c r="D153" s="2" t="s">
        <v>18</v>
      </c>
      <c r="E153" s="3" t="s">
        <v>51</v>
      </c>
      <c r="F153" s="4">
        <v>5652000</v>
      </c>
      <c r="I153">
        <v>144</v>
      </c>
    </row>
    <row r="154" spans="1:9" x14ac:dyDescent="0.2">
      <c r="A154">
        <v>5</v>
      </c>
      <c r="B154" s="1">
        <v>768</v>
      </c>
      <c r="C154" t="s">
        <v>155</v>
      </c>
      <c r="D154" s="2" t="s">
        <v>20</v>
      </c>
      <c r="E154" s="3" t="s">
        <v>51</v>
      </c>
      <c r="F154" s="4">
        <v>5400000</v>
      </c>
      <c r="I154">
        <v>145</v>
      </c>
    </row>
    <row r="155" spans="1:9" x14ac:dyDescent="0.2">
      <c r="A155">
        <v>3</v>
      </c>
      <c r="C155" t="s">
        <v>156</v>
      </c>
      <c r="D155" s="21" t="s">
        <v>20</v>
      </c>
      <c r="E155" s="3" t="s">
        <v>119</v>
      </c>
      <c r="F155" s="23">
        <v>5255000</v>
      </c>
      <c r="I155">
        <v>146</v>
      </c>
    </row>
    <row r="156" spans="1:9" x14ac:dyDescent="0.2">
      <c r="A156" s="1" t="s">
        <v>93</v>
      </c>
      <c r="B156" s="1">
        <v>786</v>
      </c>
      <c r="C156" t="s">
        <v>157</v>
      </c>
      <c r="D156" s="21" t="s">
        <v>15</v>
      </c>
      <c r="E156" s="22" t="s">
        <v>51</v>
      </c>
      <c r="F156" s="23">
        <v>5249074</v>
      </c>
      <c r="I156">
        <v>147</v>
      </c>
    </row>
    <row r="157" spans="1:9" x14ac:dyDescent="0.2">
      <c r="A157">
        <v>5</v>
      </c>
      <c r="C157" t="s">
        <v>158</v>
      </c>
      <c r="D157" s="14" t="s">
        <v>15</v>
      </c>
      <c r="E157" s="3" t="s">
        <v>159</v>
      </c>
      <c r="F157" s="4">
        <v>5200000</v>
      </c>
      <c r="I157">
        <v>148</v>
      </c>
    </row>
    <row r="158" spans="1:9" x14ac:dyDescent="0.2">
      <c r="A158">
        <v>3</v>
      </c>
      <c r="B158" s="1">
        <v>742</v>
      </c>
      <c r="C158" s="13" t="s">
        <v>160</v>
      </c>
      <c r="D158" s="21" t="s">
        <v>20</v>
      </c>
      <c r="E158" s="22" t="s">
        <v>142</v>
      </c>
      <c r="F158" s="4">
        <v>5150000</v>
      </c>
      <c r="I158">
        <v>149</v>
      </c>
    </row>
    <row r="159" spans="1:9" x14ac:dyDescent="0.2">
      <c r="A159">
        <v>3</v>
      </c>
      <c r="B159" s="1">
        <v>624</v>
      </c>
      <c r="C159" t="s">
        <v>36</v>
      </c>
      <c r="D159" s="2" t="s">
        <v>20</v>
      </c>
      <c r="E159" s="3" t="s">
        <v>142</v>
      </c>
      <c r="F159" s="23">
        <v>5124656</v>
      </c>
      <c r="I159">
        <v>150</v>
      </c>
    </row>
    <row r="160" spans="1:9" x14ac:dyDescent="0.2">
      <c r="A160">
        <v>3</v>
      </c>
      <c r="B160" s="1">
        <v>624</v>
      </c>
      <c r="C160" t="s">
        <v>36</v>
      </c>
      <c r="D160" s="2" t="s">
        <v>20</v>
      </c>
      <c r="E160" s="3" t="s">
        <v>142</v>
      </c>
      <c r="F160" s="23">
        <v>4927159</v>
      </c>
      <c r="I160">
        <v>151</v>
      </c>
    </row>
    <row r="161" spans="1:9" x14ac:dyDescent="0.2">
      <c r="A161">
        <v>3</v>
      </c>
      <c r="B161" s="1">
        <v>833</v>
      </c>
      <c r="C161" s="13" t="s">
        <v>161</v>
      </c>
      <c r="D161" s="14" t="s">
        <v>15</v>
      </c>
      <c r="E161" s="16" t="s">
        <v>126</v>
      </c>
      <c r="F161" s="4">
        <v>4640000</v>
      </c>
      <c r="I161">
        <v>152</v>
      </c>
    </row>
    <row r="162" spans="1:9" x14ac:dyDescent="0.2">
      <c r="A162">
        <v>3</v>
      </c>
      <c r="B162" s="1">
        <v>270</v>
      </c>
      <c r="C162" t="s">
        <v>25</v>
      </c>
      <c r="D162" s="2" t="s">
        <v>20</v>
      </c>
      <c r="E162" s="3" t="s">
        <v>142</v>
      </c>
      <c r="F162" s="23">
        <v>4324963</v>
      </c>
      <c r="I162">
        <v>153</v>
      </c>
    </row>
    <row r="163" spans="1:9" x14ac:dyDescent="0.2">
      <c r="A163">
        <v>5</v>
      </c>
      <c r="B163" s="1">
        <v>2174</v>
      </c>
      <c r="C163" t="s">
        <v>162</v>
      </c>
      <c r="D163" s="21" t="s">
        <v>15</v>
      </c>
      <c r="E163" s="22" t="s">
        <v>51</v>
      </c>
      <c r="F163" s="23">
        <v>4260000</v>
      </c>
      <c r="I163">
        <v>154</v>
      </c>
    </row>
    <row r="164" spans="1:9" x14ac:dyDescent="0.2">
      <c r="A164">
        <v>3</v>
      </c>
      <c r="B164" s="1">
        <v>270</v>
      </c>
      <c r="C164" t="s">
        <v>25</v>
      </c>
      <c r="D164" s="2" t="s">
        <v>20</v>
      </c>
      <c r="E164" s="3" t="s">
        <v>142</v>
      </c>
      <c r="F164" s="23">
        <v>4194000</v>
      </c>
      <c r="I164">
        <v>155</v>
      </c>
    </row>
    <row r="165" spans="1:9" x14ac:dyDescent="0.2">
      <c r="A165">
        <v>3</v>
      </c>
      <c r="B165" s="1">
        <v>624</v>
      </c>
      <c r="C165" t="s">
        <v>36</v>
      </c>
      <c r="D165" s="21" t="s">
        <v>20</v>
      </c>
      <c r="E165" s="3" t="s">
        <v>119</v>
      </c>
      <c r="F165" s="23">
        <v>3905590</v>
      </c>
      <c r="I165">
        <v>156</v>
      </c>
    </row>
    <row r="166" spans="1:9" x14ac:dyDescent="0.2">
      <c r="A166">
        <v>3</v>
      </c>
      <c r="B166" s="1">
        <v>624</v>
      </c>
      <c r="C166" t="s">
        <v>36</v>
      </c>
      <c r="D166" s="21" t="s">
        <v>20</v>
      </c>
      <c r="E166" s="3" t="s">
        <v>163</v>
      </c>
      <c r="F166" s="4">
        <v>3899011</v>
      </c>
      <c r="I166">
        <v>157</v>
      </c>
    </row>
    <row r="167" spans="1:9" x14ac:dyDescent="0.2">
      <c r="A167">
        <v>3</v>
      </c>
      <c r="B167" s="1">
        <v>14</v>
      </c>
      <c r="C167" t="s">
        <v>148</v>
      </c>
      <c r="D167" s="14" t="s">
        <v>15</v>
      </c>
      <c r="E167" s="16" t="s">
        <v>126</v>
      </c>
      <c r="F167" s="4">
        <v>3500116</v>
      </c>
      <c r="I167">
        <v>158</v>
      </c>
    </row>
    <row r="168" spans="1:9" x14ac:dyDescent="0.2">
      <c r="A168">
        <v>4</v>
      </c>
      <c r="B168" s="1">
        <v>77</v>
      </c>
      <c r="C168" t="s">
        <v>86</v>
      </c>
      <c r="D168" s="21" t="s">
        <v>15</v>
      </c>
      <c r="E168" s="22" t="s">
        <v>88</v>
      </c>
      <c r="F168" s="23">
        <v>3500000</v>
      </c>
      <c r="I168">
        <v>159</v>
      </c>
    </row>
    <row r="169" spans="1:9" x14ac:dyDescent="0.2">
      <c r="A169">
        <v>5</v>
      </c>
      <c r="B169" s="1">
        <v>108</v>
      </c>
      <c r="C169" t="s">
        <v>164</v>
      </c>
      <c r="D169" s="2" t="s">
        <v>20</v>
      </c>
      <c r="E169" s="3" t="s">
        <v>51</v>
      </c>
      <c r="F169" s="4">
        <v>3330000</v>
      </c>
      <c r="I169">
        <v>160</v>
      </c>
    </row>
    <row r="170" spans="1:9" x14ac:dyDescent="0.2">
      <c r="A170">
        <v>3</v>
      </c>
      <c r="B170" s="1">
        <v>13</v>
      </c>
      <c r="C170" s="13" t="s">
        <v>165</v>
      </c>
      <c r="D170" s="14" t="s">
        <v>15</v>
      </c>
      <c r="E170" s="16" t="s">
        <v>126</v>
      </c>
      <c r="F170" s="4">
        <v>3200000</v>
      </c>
      <c r="I170">
        <v>161</v>
      </c>
    </row>
    <row r="171" spans="1:9" x14ac:dyDescent="0.2">
      <c r="A171">
        <v>5</v>
      </c>
      <c r="B171" s="1">
        <v>308</v>
      </c>
      <c r="C171" t="s">
        <v>166</v>
      </c>
      <c r="D171" s="2" t="s">
        <v>20</v>
      </c>
      <c r="E171" s="3" t="s">
        <v>51</v>
      </c>
      <c r="F171" s="4">
        <v>3025000</v>
      </c>
      <c r="I171">
        <v>162</v>
      </c>
    </row>
    <row r="172" spans="1:9" x14ac:dyDescent="0.2">
      <c r="A172">
        <v>3</v>
      </c>
      <c r="B172" s="17">
        <v>2142</v>
      </c>
      <c r="C172" s="15" t="s">
        <v>167</v>
      </c>
      <c r="D172" s="18" t="s">
        <v>18</v>
      </c>
      <c r="E172" s="33" t="s">
        <v>126</v>
      </c>
      <c r="F172" s="20">
        <v>3011000</v>
      </c>
      <c r="I172">
        <v>163</v>
      </c>
    </row>
    <row r="173" spans="1:9" x14ac:dyDescent="0.2">
      <c r="A173">
        <v>3</v>
      </c>
      <c r="B173" s="1">
        <v>276</v>
      </c>
      <c r="C173" s="13" t="s">
        <v>31</v>
      </c>
      <c r="D173" s="14" t="s">
        <v>15</v>
      </c>
      <c r="E173" s="16" t="s">
        <v>126</v>
      </c>
      <c r="F173" s="4">
        <v>2754803</v>
      </c>
      <c r="I173">
        <v>164</v>
      </c>
    </row>
    <row r="174" spans="1:9" x14ac:dyDescent="0.2">
      <c r="A174">
        <v>3</v>
      </c>
      <c r="B174" s="1">
        <v>6</v>
      </c>
      <c r="C174" s="13" t="s">
        <v>108</v>
      </c>
      <c r="D174" s="21" t="s">
        <v>20</v>
      </c>
      <c r="E174" s="22" t="s">
        <v>142</v>
      </c>
      <c r="F174" s="4">
        <v>2750000</v>
      </c>
      <c r="I174">
        <v>165</v>
      </c>
    </row>
    <row r="175" spans="1:9" x14ac:dyDescent="0.2">
      <c r="A175">
        <v>3</v>
      </c>
      <c r="B175" s="1">
        <v>199</v>
      </c>
      <c r="C175" t="s">
        <v>101</v>
      </c>
      <c r="D175" s="21" t="s">
        <v>20</v>
      </c>
      <c r="E175" s="3" t="s">
        <v>142</v>
      </c>
      <c r="F175" s="4">
        <v>2703360</v>
      </c>
      <c r="I175">
        <v>166</v>
      </c>
    </row>
    <row r="176" spans="1:9" x14ac:dyDescent="0.2">
      <c r="A176">
        <v>5</v>
      </c>
      <c r="B176" s="1">
        <v>99</v>
      </c>
      <c r="C176" t="s">
        <v>168</v>
      </c>
      <c r="D176" s="2" t="s">
        <v>20</v>
      </c>
      <c r="E176" s="3" t="s">
        <v>51</v>
      </c>
      <c r="F176" s="4">
        <v>2700000</v>
      </c>
      <c r="I176">
        <v>167</v>
      </c>
    </row>
    <row r="177" spans="1:9" x14ac:dyDescent="0.2">
      <c r="A177">
        <v>4</v>
      </c>
      <c r="B177" s="1">
        <v>542</v>
      </c>
      <c r="C177" t="s">
        <v>169</v>
      </c>
      <c r="D177" s="21" t="s">
        <v>15</v>
      </c>
      <c r="E177" s="3" t="s">
        <v>88</v>
      </c>
      <c r="F177" s="23">
        <v>2204000</v>
      </c>
      <c r="I177">
        <v>168</v>
      </c>
    </row>
    <row r="178" spans="1:9" x14ac:dyDescent="0.2">
      <c r="A178">
        <v>4</v>
      </c>
      <c r="B178" s="1">
        <v>549</v>
      </c>
      <c r="C178" t="s">
        <v>170</v>
      </c>
      <c r="D178" s="21" t="s">
        <v>15</v>
      </c>
      <c r="E178" s="3" t="s">
        <v>88</v>
      </c>
      <c r="F178" s="23">
        <v>2200000</v>
      </c>
      <c r="I178">
        <v>169</v>
      </c>
    </row>
    <row r="179" spans="1:9" x14ac:dyDescent="0.2">
      <c r="A179">
        <v>5</v>
      </c>
      <c r="B179" s="1">
        <v>743</v>
      </c>
      <c r="C179" s="3" t="s">
        <v>171</v>
      </c>
      <c r="D179" s="14" t="s">
        <v>15</v>
      </c>
      <c r="E179" s="16" t="s">
        <v>74</v>
      </c>
      <c r="F179" s="4">
        <v>2164500</v>
      </c>
      <c r="I179">
        <v>170</v>
      </c>
    </row>
    <row r="180" spans="1:9" x14ac:dyDescent="0.2">
      <c r="A180">
        <v>3</v>
      </c>
      <c r="B180" s="17">
        <v>273</v>
      </c>
      <c r="C180" s="15" t="s">
        <v>23</v>
      </c>
      <c r="D180" s="18" t="s">
        <v>18</v>
      </c>
      <c r="E180" s="33" t="s">
        <v>126</v>
      </c>
      <c r="F180" s="20">
        <v>2048000</v>
      </c>
      <c r="I180">
        <v>171</v>
      </c>
    </row>
    <row r="181" spans="1:9" x14ac:dyDescent="0.2">
      <c r="A181" s="1" t="s">
        <v>93</v>
      </c>
      <c r="B181" s="1">
        <v>2904</v>
      </c>
      <c r="C181" t="s">
        <v>172</v>
      </c>
      <c r="D181" s="2" t="s">
        <v>18</v>
      </c>
      <c r="E181" s="3" t="s">
        <v>51</v>
      </c>
      <c r="F181" s="4">
        <v>2035000</v>
      </c>
      <c r="I181">
        <v>172</v>
      </c>
    </row>
    <row r="182" spans="1:9" x14ac:dyDescent="0.2">
      <c r="A182">
        <v>4</v>
      </c>
      <c r="B182" s="1">
        <v>600</v>
      </c>
      <c r="C182" t="s">
        <v>173</v>
      </c>
      <c r="D182" s="2" t="s">
        <v>18</v>
      </c>
      <c r="E182" s="3" t="s">
        <v>88</v>
      </c>
      <c r="F182" s="4">
        <v>2000000</v>
      </c>
      <c r="I182">
        <v>173</v>
      </c>
    </row>
    <row r="183" spans="1:9" x14ac:dyDescent="0.2">
      <c r="A183">
        <v>5</v>
      </c>
      <c r="B183" s="1">
        <v>518</v>
      </c>
      <c r="C183" t="s">
        <v>92</v>
      </c>
      <c r="D183" s="2" t="s">
        <v>20</v>
      </c>
      <c r="E183" s="3" t="s">
        <v>174</v>
      </c>
      <c r="F183" s="4">
        <v>2000000</v>
      </c>
      <c r="I183">
        <v>174</v>
      </c>
    </row>
    <row r="184" spans="1:9" x14ac:dyDescent="0.2">
      <c r="A184">
        <v>3</v>
      </c>
      <c r="B184" s="1">
        <v>2859</v>
      </c>
      <c r="C184" t="s">
        <v>120</v>
      </c>
      <c r="D184" s="21" t="s">
        <v>20</v>
      </c>
      <c r="E184" s="3" t="s">
        <v>142</v>
      </c>
      <c r="F184" s="4">
        <v>1966909.4</v>
      </c>
      <c r="G184" t="s">
        <v>175</v>
      </c>
      <c r="H184">
        <v>1</v>
      </c>
      <c r="I184">
        <v>175</v>
      </c>
    </row>
    <row r="185" spans="1:9" x14ac:dyDescent="0.2">
      <c r="A185">
        <v>5</v>
      </c>
      <c r="C185" t="s">
        <v>176</v>
      </c>
      <c r="D185" s="14" t="s">
        <v>15</v>
      </c>
      <c r="E185" s="3" t="s">
        <v>177</v>
      </c>
      <c r="F185" s="4">
        <v>1930000</v>
      </c>
      <c r="G185" t="s">
        <v>175</v>
      </c>
      <c r="H185">
        <v>2</v>
      </c>
      <c r="I185">
        <v>176</v>
      </c>
    </row>
    <row r="186" spans="1:9" x14ac:dyDescent="0.2">
      <c r="A186">
        <v>3</v>
      </c>
      <c r="B186" s="1">
        <v>740</v>
      </c>
      <c r="C186" t="s">
        <v>178</v>
      </c>
      <c r="D186" s="21" t="s">
        <v>20</v>
      </c>
      <c r="E186" s="22" t="s">
        <v>179</v>
      </c>
      <c r="F186" s="23">
        <v>1883000</v>
      </c>
      <c r="G186" t="s">
        <v>175</v>
      </c>
      <c r="H186">
        <v>3</v>
      </c>
      <c r="I186">
        <v>177</v>
      </c>
    </row>
    <row r="187" spans="1:9" x14ac:dyDescent="0.2">
      <c r="A187" s="1">
        <v>4</v>
      </c>
      <c r="B187" s="1">
        <v>118</v>
      </c>
      <c r="C187" t="s">
        <v>180</v>
      </c>
      <c r="D187" s="2" t="s">
        <v>18</v>
      </c>
      <c r="E187" s="3" t="s">
        <v>88</v>
      </c>
      <c r="F187" s="4">
        <v>1875000</v>
      </c>
      <c r="G187" t="s">
        <v>175</v>
      </c>
      <c r="H187">
        <v>4</v>
      </c>
      <c r="I187">
        <v>178</v>
      </c>
    </row>
    <row r="188" spans="1:9" x14ac:dyDescent="0.2">
      <c r="A188">
        <v>3</v>
      </c>
      <c r="B188" s="1">
        <v>821</v>
      </c>
      <c r="C188" t="s">
        <v>181</v>
      </c>
      <c r="D188" s="14" t="s">
        <v>15</v>
      </c>
      <c r="E188" s="16" t="s">
        <v>126</v>
      </c>
      <c r="F188" s="4">
        <v>1838164</v>
      </c>
      <c r="G188" t="s">
        <v>175</v>
      </c>
      <c r="H188">
        <v>5</v>
      </c>
      <c r="I188">
        <v>179</v>
      </c>
    </row>
    <row r="189" spans="1:9" x14ac:dyDescent="0.2">
      <c r="A189">
        <v>4</v>
      </c>
      <c r="B189" s="1">
        <v>2071</v>
      </c>
      <c r="C189" t="s">
        <v>182</v>
      </c>
      <c r="D189" s="21" t="s">
        <v>15</v>
      </c>
      <c r="E189" s="22" t="s">
        <v>88</v>
      </c>
      <c r="F189" s="23">
        <v>1750000</v>
      </c>
      <c r="G189" t="s">
        <v>175</v>
      </c>
      <c r="H189">
        <v>6</v>
      </c>
      <c r="I189">
        <v>180</v>
      </c>
    </row>
    <row r="190" spans="1:9" x14ac:dyDescent="0.2">
      <c r="A190">
        <v>4</v>
      </c>
      <c r="B190" s="1">
        <v>118</v>
      </c>
      <c r="C190" t="s">
        <v>183</v>
      </c>
      <c r="D190" s="2" t="s">
        <v>20</v>
      </c>
      <c r="E190" s="3" t="s">
        <v>88</v>
      </c>
      <c r="F190" s="4">
        <v>1550000</v>
      </c>
      <c r="G190" t="s">
        <v>175</v>
      </c>
      <c r="H190">
        <v>7</v>
      </c>
      <c r="I190">
        <v>181</v>
      </c>
    </row>
    <row r="191" spans="1:9" x14ac:dyDescent="0.2">
      <c r="A191">
        <v>4</v>
      </c>
      <c r="B191" s="1">
        <v>345</v>
      </c>
      <c r="C191" t="s">
        <v>184</v>
      </c>
      <c r="D191" s="21" t="s">
        <v>15</v>
      </c>
      <c r="E191" s="22" t="s">
        <v>88</v>
      </c>
      <c r="F191" s="23">
        <v>1500000</v>
      </c>
      <c r="G191" t="s">
        <v>175</v>
      </c>
      <c r="H191">
        <v>8</v>
      </c>
      <c r="I191">
        <v>182</v>
      </c>
    </row>
    <row r="192" spans="1:9" x14ac:dyDescent="0.2">
      <c r="A192">
        <v>3</v>
      </c>
      <c r="B192" s="1">
        <v>435</v>
      </c>
      <c r="C192" s="15" t="s">
        <v>185</v>
      </c>
      <c r="D192" s="21" t="s">
        <v>20</v>
      </c>
      <c r="E192" s="16" t="s">
        <v>142</v>
      </c>
      <c r="F192" s="4">
        <v>1424450</v>
      </c>
      <c r="G192" t="s">
        <v>175</v>
      </c>
      <c r="H192">
        <v>9</v>
      </c>
      <c r="I192">
        <v>183</v>
      </c>
    </row>
    <row r="193" spans="1:9" x14ac:dyDescent="0.2">
      <c r="A193">
        <v>5</v>
      </c>
      <c r="B193" s="1">
        <v>51</v>
      </c>
      <c r="C193" t="s">
        <v>186</v>
      </c>
      <c r="D193" s="2" t="s">
        <v>20</v>
      </c>
      <c r="E193" s="3" t="s">
        <v>51</v>
      </c>
      <c r="F193" s="4">
        <v>1000000</v>
      </c>
      <c r="G193" t="s">
        <v>175</v>
      </c>
      <c r="H193">
        <v>10</v>
      </c>
      <c r="I193">
        <v>184</v>
      </c>
    </row>
    <row r="196" spans="1:9" x14ac:dyDescent="0.2">
      <c r="A196" t="s">
        <v>187</v>
      </c>
      <c r="H196">
        <f>H193+H78</f>
        <v>79</v>
      </c>
    </row>
    <row r="197" spans="1:9" x14ac:dyDescent="0.2">
      <c r="A197" t="s">
        <v>188</v>
      </c>
      <c r="H197">
        <f>I193</f>
        <v>184</v>
      </c>
    </row>
    <row r="198" spans="1:9" x14ac:dyDescent="0.2">
      <c r="A198" t="s">
        <v>189</v>
      </c>
      <c r="H198" s="41">
        <f>H196/H197</f>
        <v>0.42934782608695654</v>
      </c>
    </row>
  </sheetData>
  <printOptions gridLines="1"/>
  <pageMargins left="0.75" right="0.75" top="1" bottom="1" header="0.5" footer="0.5"/>
  <pageSetup scale="56" fitToHeight="6" orientation="portrait" r:id="rId1"/>
  <headerFooter alignWithMargins="0">
    <oddHeader>&amp;LMDE / School Finance&amp;C&amp;"Arial,Bold"REVIEW AND COMMENTS BY SIZE AND PROJECT TYPE
FY 2012 - 2014&amp;R10/14/2013</oddHead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Projects (2)</vt:lpstr>
      <vt:lpstr>'All Projects (2)'!Print_Area</vt:lpstr>
      <vt:lpstr>'All Projects (2)'!Print_Titles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</dc:creator>
  <cp:lastModifiedBy>Gades, Clair</cp:lastModifiedBy>
  <cp:lastPrinted>2013-10-15T16:51:08Z</cp:lastPrinted>
  <dcterms:created xsi:type="dcterms:W3CDTF">2013-10-15T16:12:52Z</dcterms:created>
  <dcterms:modified xsi:type="dcterms:W3CDTF">2013-10-15T16:54:17Z</dcterms:modified>
</cp:coreProperties>
</file>