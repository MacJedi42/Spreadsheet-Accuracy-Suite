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135" yWindow="225" windowWidth="17400" windowHeight="6135"/>
  </bookViews>
  <sheets>
    <sheet name="Base SOW - Cost Table" sheetId="1" r:id="rId1"/>
  </sheets>
  <definedNames>
    <definedName name="_xlnm.Print_Area" localSheetId="0">'Base SOW - Cost Table'!$A$1:$P$56</definedName>
  </definedNames>
  <calcPr calcId="145621"/>
</workbook>
</file>

<file path=xl/calcChain.xml><?xml version="1.0" encoding="utf-8"?>
<calcChain xmlns="http://schemas.openxmlformats.org/spreadsheetml/2006/main">
  <c r="M32" i="1"/>
  <c r="M33" s="1"/>
  <c r="L32"/>
  <c r="L33" s="1"/>
  <c r="K32"/>
  <c r="K33" s="1"/>
  <c r="J32"/>
  <c r="J33" s="1"/>
  <c r="I32"/>
  <c r="I33" s="1"/>
  <c r="O31"/>
  <c r="O30"/>
  <c r="O29"/>
  <c r="O28"/>
  <c r="O27"/>
  <c r="O26"/>
  <c r="O25"/>
  <c r="O24"/>
  <c r="O23"/>
  <c r="O22"/>
  <c r="O21"/>
  <c r="O20"/>
  <c r="O19"/>
  <c r="O18"/>
  <c r="O17"/>
  <c r="O16"/>
  <c r="O14"/>
  <c r="O13"/>
  <c r="O12"/>
  <c r="O11"/>
  <c r="O9"/>
  <c r="P32" l="1"/>
  <c r="P33" s="1"/>
  <c r="N32" l="1"/>
  <c r="N33" s="1"/>
  <c r="H32"/>
  <c r="H33" s="1"/>
  <c r="F32"/>
  <c r="F33" s="1"/>
  <c r="C32"/>
  <c r="C33" s="1"/>
  <c r="G32"/>
  <c r="G33" s="1"/>
  <c r="E32"/>
  <c r="E33" s="1"/>
  <c r="D32"/>
  <c r="D33" s="1"/>
  <c r="O33" l="1"/>
</calcChain>
</file>

<file path=xl/sharedStrings.xml><?xml version="1.0" encoding="utf-8"?>
<sst xmlns="http://schemas.openxmlformats.org/spreadsheetml/2006/main" count="98" uniqueCount="88">
  <si>
    <t>COST COMPONENT</t>
  </si>
  <si>
    <t>Base SOW Subtotal</t>
  </si>
  <si>
    <t>Anticipated # of Milestone Payments</t>
  </si>
  <si>
    <t>Labor</t>
  </si>
  <si>
    <t>Bidders shall enter costs for each labor/ODC/Sub category based on the proposed payment for achieving each milestone.  The total cost for completion of each Task will be the "Subtotal" multiplied by the "Anticipated # of Milestone Payments"</t>
  </si>
  <si>
    <r>
      <t>Other Direct Costs</t>
    </r>
    <r>
      <rPr>
        <b/>
        <vertAlign val="superscript"/>
        <sz val="12"/>
        <rFont val="Arial"/>
        <family val="2"/>
      </rPr>
      <t>1</t>
    </r>
  </si>
  <si>
    <r>
      <t xml:space="preserve">ODC </t>
    </r>
    <r>
      <rPr>
        <sz val="12"/>
        <rFont val="Arial"/>
        <family val="2"/>
      </rPr>
      <t>≥</t>
    </r>
    <r>
      <rPr>
        <sz val="12"/>
        <rFont val="Arial"/>
        <family val="2"/>
      </rPr>
      <t xml:space="preserve">$5,000 (Specify) </t>
    </r>
  </si>
  <si>
    <t>Other ODCs</t>
  </si>
  <si>
    <r>
      <t>Subcontracted Costs</t>
    </r>
    <r>
      <rPr>
        <b/>
        <vertAlign val="superscript"/>
        <sz val="12"/>
        <rFont val="Arial"/>
        <family val="2"/>
      </rPr>
      <t>2</t>
    </r>
  </si>
  <si>
    <t>Analytical Laboratory - Soil</t>
  </si>
  <si>
    <t>Analytical Laboratory - Vapor</t>
  </si>
  <si>
    <t>Other Analytical</t>
  </si>
  <si>
    <t>Other (specify)</t>
  </si>
  <si>
    <t>Per Milestone Subtotal</t>
  </si>
  <si>
    <t>Total</t>
  </si>
  <si>
    <t>Schedule of Unit Labor Rates</t>
  </si>
  <si>
    <t>HOURLY RATE</t>
  </si>
  <si>
    <t>Sr. Project Engineer, P.E.</t>
  </si>
  <si>
    <t>Sr. Hydrogeologist, P.G.</t>
  </si>
  <si>
    <t>Project Manager</t>
  </si>
  <si>
    <t>Project Geologist/ Engineer</t>
  </si>
  <si>
    <t>Associate Project Geologist/ Engineer</t>
  </si>
  <si>
    <t>Staff Geologist/ Engineer</t>
  </si>
  <si>
    <t>Sr. Field Technician</t>
  </si>
  <si>
    <t>Field Technician</t>
  </si>
  <si>
    <t>Word Processor</t>
  </si>
  <si>
    <t>Draftsman</t>
  </si>
  <si>
    <t>Project Coordinator</t>
  </si>
  <si>
    <t>Junior Professional</t>
  </si>
  <si>
    <t>Subcontractor / Vendor Mark-up (%)</t>
  </si>
  <si>
    <t xml:space="preserve">1 - Individual other direct cost line items totaling $5,000 or more must be specified (use separate sheet, if necessary).    </t>
  </si>
  <si>
    <t>2 - Details related to subcontracted costs are requested by the Solicitor to assist in the evaluation of the costs associated with the performance of this work.</t>
  </si>
  <si>
    <t>A</t>
  </si>
  <si>
    <t>Equipment Rental</t>
  </si>
  <si>
    <t>C</t>
  </si>
  <si>
    <t>Professional Surveyor</t>
  </si>
  <si>
    <t>Analytical Laboratory - Water</t>
  </si>
  <si>
    <t>Geophysical Subcontractor</t>
  </si>
  <si>
    <t>Drilling Subcontractor</t>
  </si>
  <si>
    <t>Waste T &amp; D</t>
  </si>
  <si>
    <t>Associated Milestones</t>
  </si>
  <si>
    <t>F</t>
  </si>
  <si>
    <t>H</t>
  </si>
  <si>
    <t>Bid Cost Spreadsheet</t>
  </si>
  <si>
    <t>3 - Bidders shall only enter data into Bid Form areas (Excel file cells) that are shaded in blue.</t>
  </si>
  <si>
    <t>G</t>
  </si>
  <si>
    <t>I</t>
  </si>
  <si>
    <t xml:space="preserve"> (A mark-up no greater than 10% is acceptable to the Solicitor &amp; USTIF)</t>
  </si>
  <si>
    <t>Competitive Bid Solicitation for Fixed-Price Defined SOW to Complete Site Characterization</t>
  </si>
  <si>
    <t>Milestone A.
Soil Characterizeation/ Delineation</t>
  </si>
  <si>
    <t xml:space="preserve">Milestone B1.
Monitoring Well Installation              </t>
  </si>
  <si>
    <t xml:space="preserve">Milestone B2.
MW-6 Replacement       </t>
  </si>
  <si>
    <t xml:space="preserve">Milestone B3.
MW-7 Replacement                      </t>
  </si>
  <si>
    <t>Milestone C.
Professional Site Survey</t>
  </si>
  <si>
    <t>Milestone D.
Groundwater Monitoring</t>
  </si>
  <si>
    <t>B1</t>
  </si>
  <si>
    <t>B2</t>
  </si>
  <si>
    <t>B3</t>
  </si>
  <si>
    <t>D1 + D2</t>
  </si>
  <si>
    <t xml:space="preserve">Milestone E1.
Slug Testing
</t>
  </si>
  <si>
    <t xml:space="preserve">Milestone E2.
Constant-Rate and Vacuum-Enhanced Pump Tests </t>
  </si>
  <si>
    <t>y</t>
  </si>
  <si>
    <t>Milestone F.
Soil Vapor Extraction Pilot Study</t>
  </si>
  <si>
    <t>Milestone G.
Vapor Intrusion Study</t>
  </si>
  <si>
    <t>Milestone H.
Risk Assessment</t>
  </si>
  <si>
    <t>Milestone I.
Prepare a Draft and Final SCR Addendum</t>
  </si>
  <si>
    <t>E1</t>
  </si>
  <si>
    <t>E2</t>
  </si>
  <si>
    <t xml:space="preserve">Price per observation well in the event one or more observation wells need to be installed for the purpose of achieving proper observation well configuration for the aquifer pump tests.  Bidders shall quote an all-inclusive unit price for installation of one (1) observation well as part of the initial mobilization for well installation. </t>
  </si>
  <si>
    <t>All-inclusive unit price (installation and two rounds of sampling) per soil vapor monitoring point should additional monitoring points be needed</t>
  </si>
  <si>
    <t>BFS Carmichaels, South State Route 88, Carmichaels, Pennsylvania, PAUSTIF Claim #2007-0134(F)</t>
  </si>
  <si>
    <t>Optional Cost Adder Milestones</t>
  </si>
  <si>
    <t>Milestone Description</t>
  </si>
  <si>
    <t>Price per each additional foot of soil boring beyond the assumed cumulative 240 feet (16 borings x 15 feet each) for all soil borings added together, inclusive of boring advancement, logging, screening, &amp; abandonment.</t>
  </si>
  <si>
    <r>
      <t xml:space="preserve">Optional Cost Adder Milestone A2: </t>
    </r>
    <r>
      <rPr>
        <sz val="9"/>
        <rFont val="Arial"/>
        <family val="2"/>
      </rPr>
      <t>Additional soil sampling.  ($ / sample)</t>
    </r>
  </si>
  <si>
    <t>Price per each additional soil sample collection &amp; laboratory analysis for PADEP short list parameters for samples collected beyond the 32 (16 borings x 2 samples per boring) assumed under the fixed-price quote for Milestone A.  ($ / sample)</t>
  </si>
  <si>
    <t>Unit Cost</t>
  </si>
  <si>
    <t>Price for advancing one (1) additional soil boring during the mobilization for Milestone A, including sampling and analysis of two (2) soil samples and laboratory analysis for PADEP short list parameters.  ($ / boring).</t>
  </si>
  <si>
    <r>
      <t xml:space="preserve">Optional Cost Adder Milestone A3:  </t>
    </r>
    <r>
      <rPr>
        <sz val="9"/>
        <rFont val="Arial"/>
        <family val="2"/>
      </rPr>
      <t>Additional soil boring.  ($ / boring)</t>
    </r>
  </si>
  <si>
    <r>
      <t xml:space="preserve">Optional Cost Adder Milestone D3:  </t>
    </r>
    <r>
      <rPr>
        <sz val="9"/>
        <rFont val="Arial"/>
        <family val="2"/>
      </rPr>
      <t>Additional groundwater monitoring event at all wells.</t>
    </r>
  </si>
  <si>
    <r>
      <t xml:space="preserve"> </t>
    </r>
    <r>
      <rPr>
        <b/>
        <sz val="9"/>
        <rFont val="Arial"/>
        <family val="2"/>
      </rPr>
      <t>Optional Cost Adder Milestone A1:</t>
    </r>
    <r>
      <rPr>
        <sz val="9"/>
        <rFont val="Arial"/>
        <family val="2"/>
      </rPr>
      <t xml:space="preserve">  Advancement of soil borings deeper than the assumed 240 cumulative total. ($ / foot)</t>
    </r>
  </si>
  <si>
    <t xml:space="preserve">Price for completing one (1) groundwater monitoring and sampling event (beyond the two events included under Milestone D) at all monitoring wells specified under Milestone D.  This shall be an all-inclusive fixed price that includes labor, laboratory analytical work, IDW handling and disposal, data handeling, reporting, etc.  </t>
  </si>
  <si>
    <r>
      <rPr>
        <b/>
        <sz val="9"/>
        <rFont val="Arial"/>
        <family val="2"/>
      </rPr>
      <t>Optional Cost Adder Milestone E3:</t>
    </r>
    <r>
      <rPr>
        <sz val="9"/>
        <rFont val="Arial"/>
        <family val="2"/>
      </rPr>
      <t xml:space="preserve">  Install additional aquifer test observation well  ($ / well)</t>
    </r>
  </si>
  <si>
    <r>
      <t xml:space="preserve">All-inclusive unit price per gallon to be charged for the transportation and proper disposal of water generated in relation to pump testing </t>
    </r>
    <r>
      <rPr>
        <u/>
        <sz val="10"/>
        <rFont val="Arial"/>
        <family val="2"/>
      </rPr>
      <t>in excess of the assumed 1,600 gallons included under the fixed price for Milestone E2.</t>
    </r>
  </si>
  <si>
    <r>
      <t>Optional Cost Adder Milestone D4:</t>
    </r>
    <r>
      <rPr>
        <sz val="9"/>
        <rFont val="Arial"/>
        <family val="2"/>
      </rPr>
      <t xml:space="preserve">  Deletion of one groundwater sample. </t>
    </r>
  </si>
  <si>
    <t>In the event one or more wells cannot be sampled due to access issues or lack of adequate water in a well, provide a cost per monitoring well (not sampled) to be deducted from the fixed-price costs quoted under Milestones D1 and D2.  This unit cost shall be inclusive of all labor, equipment, laboratory analysis, waste handling/disposal, etc.  ($ / well not sampled)</t>
  </si>
  <si>
    <r>
      <t>Optional Cost Adder Milestone E4:</t>
    </r>
    <r>
      <rPr>
        <sz val="9"/>
        <rFont val="Arial"/>
        <family val="2"/>
      </rPr>
      <t xml:space="preserve"> Disposal of Aquifer Test Water in Excess of 1,600 gallons ($ / gallons)</t>
    </r>
  </si>
  <si>
    <r>
      <t>Optional Cost Adder Milestone G1:</t>
    </r>
    <r>
      <rPr>
        <sz val="9"/>
        <rFont val="Arial"/>
        <family val="2"/>
      </rPr>
      <t xml:space="preserve">  Advancement / installation of one additional soil gas monitoring point for vapor intrusion assessment ($ / point)</t>
    </r>
  </si>
</sst>
</file>

<file path=xl/styles.xml><?xml version="1.0" encoding="utf-8"?>
<styleSheet xmlns="http://schemas.openxmlformats.org/spreadsheetml/2006/main">
  <numFmts count="1">
    <numFmt numFmtId="164" formatCode="&quot;$&quot;#,##0.00"/>
  </numFmts>
  <fonts count="14">
    <font>
      <sz val="10"/>
      <name val="Arial"/>
    </font>
    <font>
      <b/>
      <sz val="14"/>
      <name val="Arial"/>
      <family val="2"/>
    </font>
    <font>
      <sz val="9"/>
      <name val="Arial"/>
      <family val="2"/>
    </font>
    <font>
      <b/>
      <sz val="12"/>
      <name val="Arial"/>
      <family val="2"/>
    </font>
    <font>
      <sz val="12"/>
      <name val="Arial"/>
      <family val="2"/>
    </font>
    <font>
      <sz val="10"/>
      <name val="Arial"/>
      <family val="2"/>
    </font>
    <font>
      <b/>
      <vertAlign val="superscript"/>
      <sz val="12"/>
      <name val="Arial"/>
      <family val="2"/>
    </font>
    <font>
      <b/>
      <sz val="14"/>
      <color indexed="12"/>
      <name val="Arial"/>
      <family val="2"/>
    </font>
    <font>
      <sz val="8"/>
      <name val="Arial"/>
      <family val="2"/>
    </font>
    <font>
      <b/>
      <sz val="9"/>
      <name val="Arial"/>
      <family val="2"/>
    </font>
    <font>
      <b/>
      <sz val="16"/>
      <name val="Arial"/>
      <family val="2"/>
    </font>
    <font>
      <b/>
      <sz val="11"/>
      <name val="Arial"/>
      <family val="2"/>
    </font>
    <font>
      <b/>
      <sz val="10"/>
      <name val="Arial"/>
      <family val="2"/>
    </font>
    <font>
      <u/>
      <sz val="10"/>
      <name val="Arial"/>
      <family val="2"/>
    </font>
  </fonts>
  <fills count="8">
    <fill>
      <patternFill patternType="none"/>
    </fill>
    <fill>
      <patternFill patternType="gray125"/>
    </fill>
    <fill>
      <patternFill patternType="solid">
        <fgColor indexed="8"/>
        <bgColor indexed="64"/>
      </patternFill>
    </fill>
    <fill>
      <patternFill patternType="solid">
        <fgColor indexed="41"/>
        <bgColor indexed="64"/>
      </patternFill>
    </fill>
    <fill>
      <patternFill patternType="solid">
        <fgColor indexed="43"/>
        <bgColor indexed="64"/>
      </patternFill>
    </fill>
    <fill>
      <patternFill patternType="solid">
        <fgColor indexed="9"/>
        <bgColor indexed="64"/>
      </patternFill>
    </fill>
    <fill>
      <patternFill patternType="solid">
        <fgColor rgb="FFCCFFFF"/>
        <bgColor indexed="64"/>
      </patternFill>
    </fill>
    <fill>
      <patternFill patternType="solid">
        <fgColor theme="6" tint="0.59999389629810485"/>
        <bgColor indexed="64"/>
      </patternFill>
    </fill>
  </fills>
  <borders count="4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right style="thin">
        <color indexed="64"/>
      </right>
      <top/>
      <bottom/>
      <diagonal/>
    </border>
    <border>
      <left/>
      <right style="medium">
        <color indexed="64"/>
      </right>
      <top/>
      <bottom/>
      <diagonal/>
    </border>
    <border>
      <left style="thin">
        <color indexed="64"/>
      </left>
      <right/>
      <top style="medium">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124">
    <xf numFmtId="0" fontId="0" fillId="0" borderId="0" xfId="0"/>
    <xf numFmtId="0" fontId="2" fillId="0" borderId="0" xfId="0" applyFont="1"/>
    <xf numFmtId="0" fontId="4" fillId="0" borderId="0" xfId="0" applyFont="1" applyAlignment="1">
      <alignment horizontal="center"/>
    </xf>
    <xf numFmtId="164" fontId="3" fillId="2" borderId="1" xfId="0" applyNumberFormat="1" applyFont="1" applyFill="1" applyBorder="1" applyAlignment="1" applyProtection="1">
      <alignment horizontal="center"/>
    </xf>
    <xf numFmtId="164" fontId="2" fillId="3" borderId="1" xfId="0" applyNumberFormat="1" applyFont="1" applyFill="1" applyBorder="1" applyAlignment="1" applyProtection="1">
      <alignment horizontal="center"/>
      <protection locked="0"/>
    </xf>
    <xf numFmtId="0" fontId="4" fillId="0" borderId="0" xfId="0" applyFont="1"/>
    <xf numFmtId="164" fontId="2" fillId="2" borderId="1" xfId="0" applyNumberFormat="1" applyFont="1" applyFill="1" applyBorder="1" applyAlignment="1" applyProtection="1">
      <alignment horizontal="center"/>
    </xf>
    <xf numFmtId="164" fontId="3" fillId="2" borderId="2" xfId="0" applyNumberFormat="1" applyFont="1" applyFill="1" applyBorder="1" applyAlignment="1" applyProtection="1">
      <alignment horizontal="center"/>
    </xf>
    <xf numFmtId="0" fontId="3" fillId="0" borderId="0" xfId="0" applyFont="1"/>
    <xf numFmtId="164" fontId="4" fillId="0" borderId="0" xfId="0" applyNumberFormat="1" applyFont="1" applyAlignment="1">
      <alignment horizontal="center"/>
    </xf>
    <xf numFmtId="0" fontId="2" fillId="0" borderId="0" xfId="0" applyFont="1" applyProtection="1">
      <protection locked="0"/>
    </xf>
    <xf numFmtId="0" fontId="2" fillId="0" borderId="0" xfId="0" applyFont="1" applyBorder="1"/>
    <xf numFmtId="0" fontId="2" fillId="0" borderId="0" xfId="0" applyFont="1" applyAlignment="1" applyProtection="1">
      <alignment vertical="top"/>
      <protection locked="0"/>
    </xf>
    <xf numFmtId="0" fontId="0" fillId="0" borderId="0" xfId="0" applyAlignment="1" applyProtection="1">
      <alignment vertical="top"/>
      <protection locked="0"/>
    </xf>
    <xf numFmtId="0" fontId="2" fillId="0" borderId="0" xfId="0" applyFont="1" applyBorder="1" applyAlignment="1" applyProtection="1">
      <alignment vertical="top"/>
      <protection locked="0"/>
    </xf>
    <xf numFmtId="0" fontId="2" fillId="0" borderId="3" xfId="0" applyFont="1" applyBorder="1" applyAlignment="1" applyProtection="1">
      <alignment vertical="top"/>
      <protection locked="0"/>
    </xf>
    <xf numFmtId="0" fontId="2" fillId="0" borderId="4" xfId="0" applyFont="1" applyBorder="1" applyAlignment="1" applyProtection="1">
      <alignment vertical="top"/>
      <protection locked="0"/>
    </xf>
    <xf numFmtId="164" fontId="2" fillId="3" borderId="5" xfId="0" applyNumberFormat="1" applyFont="1" applyFill="1" applyBorder="1" applyAlignment="1" applyProtection="1">
      <alignment horizontal="center"/>
      <protection locked="0"/>
    </xf>
    <xf numFmtId="0" fontId="3" fillId="0" borderId="6" xfId="0" applyFont="1" applyBorder="1" applyProtection="1"/>
    <xf numFmtId="0" fontId="3" fillId="0" borderId="7" xfId="0" applyFont="1" applyBorder="1" applyProtection="1"/>
    <xf numFmtId="0" fontId="4" fillId="0" borderId="7" xfId="0" applyFont="1" applyBorder="1" applyAlignment="1" applyProtection="1">
      <alignment horizontal="left"/>
    </xf>
    <xf numFmtId="0" fontId="4" fillId="0" borderId="7" xfId="0" applyFont="1" applyBorder="1" applyProtection="1"/>
    <xf numFmtId="0" fontId="3" fillId="4" borderId="8" xfId="0" applyFont="1" applyFill="1" applyBorder="1" applyAlignment="1" applyProtection="1">
      <alignment horizontal="center" vertical="center" wrapText="1"/>
    </xf>
    <xf numFmtId="0" fontId="3" fillId="4" borderId="9" xfId="0" applyFont="1" applyFill="1" applyBorder="1" applyAlignment="1" applyProtection="1">
      <alignment horizontal="center" vertical="center" wrapText="1"/>
    </xf>
    <xf numFmtId="0" fontId="2" fillId="0" borderId="3" xfId="0" applyFont="1" applyBorder="1" applyAlignment="1" applyProtection="1">
      <alignment vertical="top"/>
    </xf>
    <xf numFmtId="0" fontId="2" fillId="0" borderId="0" xfId="0" applyFont="1" applyAlignment="1" applyProtection="1">
      <alignment vertical="top"/>
    </xf>
    <xf numFmtId="0" fontId="2" fillId="0" borderId="0" xfId="0" applyFont="1" applyAlignment="1" applyProtection="1">
      <alignment horizontal="left" vertical="top"/>
    </xf>
    <xf numFmtId="164" fontId="2" fillId="3" borderId="10" xfId="0" applyNumberFormat="1" applyFont="1" applyFill="1" applyBorder="1" applyAlignment="1" applyProtection="1">
      <alignment horizontal="center"/>
      <protection locked="0"/>
    </xf>
    <xf numFmtId="164" fontId="2" fillId="0" borderId="0" xfId="0" applyNumberFormat="1" applyFont="1" applyFill="1" applyBorder="1" applyAlignment="1" applyProtection="1">
      <alignment horizontal="center"/>
      <protection locked="0"/>
    </xf>
    <xf numFmtId="0" fontId="0" fillId="0" borderId="0" xfId="0" applyBorder="1" applyAlignment="1" applyProtection="1">
      <alignment vertical="top"/>
      <protection locked="0"/>
    </xf>
    <xf numFmtId="0" fontId="5" fillId="0" borderId="0" xfId="0" applyFont="1" applyAlignment="1" applyProtection="1">
      <alignment vertical="top"/>
      <protection locked="0"/>
    </xf>
    <xf numFmtId="0" fontId="3" fillId="0" borderId="1" xfId="0" applyFont="1" applyFill="1" applyBorder="1" applyAlignment="1" applyProtection="1">
      <alignment horizontal="center" vertical="center" wrapText="1"/>
    </xf>
    <xf numFmtId="0" fontId="3" fillId="5" borderId="1" xfId="0" applyFont="1" applyFill="1" applyBorder="1" applyAlignment="1" applyProtection="1">
      <alignment horizontal="center" vertical="center" wrapText="1"/>
    </xf>
    <xf numFmtId="0" fontId="3" fillId="5" borderId="12" xfId="0" applyFont="1" applyFill="1" applyBorder="1" applyAlignment="1" applyProtection="1">
      <alignment horizontal="center" vertical="center" wrapText="1"/>
    </xf>
    <xf numFmtId="164" fontId="3" fillId="0" borderId="1" xfId="0" applyNumberFormat="1" applyFont="1" applyBorder="1" applyAlignment="1" applyProtection="1">
      <alignment horizontal="center"/>
    </xf>
    <xf numFmtId="164" fontId="7" fillId="0" borderId="13" xfId="0" applyNumberFormat="1" applyFont="1" applyBorder="1" applyAlignment="1" applyProtection="1">
      <alignment horizontal="center"/>
    </xf>
    <xf numFmtId="164" fontId="3" fillId="0" borderId="14" xfId="0" applyNumberFormat="1" applyFont="1" applyBorder="1" applyAlignment="1" applyProtection="1">
      <alignment horizontal="center"/>
    </xf>
    <xf numFmtId="0" fontId="10" fillId="0" borderId="0" xfId="0" applyFont="1" applyBorder="1" applyAlignment="1">
      <alignment horizontal="center" vertical="center" wrapText="1"/>
    </xf>
    <xf numFmtId="0" fontId="4" fillId="6" borderId="7" xfId="0" applyFont="1" applyFill="1" applyBorder="1" applyAlignment="1" applyProtection="1">
      <alignment horizontal="left"/>
      <protection locked="0"/>
    </xf>
    <xf numFmtId="0" fontId="4" fillId="6" borderId="7" xfId="0" applyFont="1" applyFill="1" applyBorder="1" applyProtection="1"/>
    <xf numFmtId="0" fontId="4" fillId="6" borderId="14" xfId="0" applyFont="1" applyFill="1" applyBorder="1" applyAlignment="1" applyProtection="1">
      <alignment horizontal="left"/>
      <protection locked="0"/>
    </xf>
    <xf numFmtId="164" fontId="3" fillId="0" borderId="1" xfId="0" applyNumberFormat="1" applyFont="1" applyBorder="1" applyAlignment="1">
      <alignment horizontal="center"/>
    </xf>
    <xf numFmtId="0" fontId="11" fillId="6" borderId="0" xfId="0" applyFont="1" applyFill="1" applyAlignment="1" applyProtection="1">
      <alignment vertical="top"/>
    </xf>
    <xf numFmtId="0" fontId="2" fillId="6" borderId="0" xfId="0" applyFont="1" applyFill="1" applyAlignment="1" applyProtection="1">
      <alignment vertical="top"/>
    </xf>
    <xf numFmtId="0" fontId="2" fillId="0" borderId="0" xfId="0" applyFont="1" applyFill="1"/>
    <xf numFmtId="0" fontId="3" fillId="4" borderId="11" xfId="0" applyFont="1" applyFill="1" applyBorder="1" applyAlignment="1" applyProtection="1">
      <alignment horizontal="center" vertical="center" wrapText="1"/>
    </xf>
    <xf numFmtId="0" fontId="2" fillId="0" borderId="33" xfId="0" applyFont="1" applyBorder="1" applyAlignment="1" applyProtection="1">
      <alignment vertical="top"/>
    </xf>
    <xf numFmtId="0" fontId="0" fillId="0" borderId="34" xfId="0" applyBorder="1" applyAlignment="1">
      <alignment vertical="top"/>
    </xf>
    <xf numFmtId="10" fontId="2" fillId="3" borderId="35" xfId="0" applyNumberFormat="1" applyFont="1" applyFill="1" applyBorder="1" applyAlignment="1" applyProtection="1">
      <alignment horizontal="center"/>
      <protection locked="0"/>
    </xf>
    <xf numFmtId="10" fontId="0" fillId="0" borderId="36" xfId="0" applyNumberFormat="1" applyBorder="1" applyAlignment="1">
      <alignment horizontal="center"/>
    </xf>
    <xf numFmtId="0" fontId="2" fillId="0" borderId="15" xfId="0" applyFont="1" applyBorder="1" applyAlignment="1" applyProtection="1">
      <alignment vertical="top" wrapText="1"/>
    </xf>
    <xf numFmtId="0" fontId="0" fillId="0" borderId="15" xfId="0" applyBorder="1" applyAlignment="1">
      <alignment vertical="top"/>
    </xf>
    <xf numFmtId="164" fontId="2" fillId="3" borderId="45" xfId="0" applyNumberFormat="1" applyFont="1" applyFill="1" applyBorder="1" applyAlignment="1" applyProtection="1">
      <alignment horizontal="center" vertical="center"/>
      <protection locked="0"/>
    </xf>
    <xf numFmtId="0" fontId="0" fillId="0" borderId="44" xfId="0" applyBorder="1" applyAlignment="1" applyProtection="1">
      <alignment horizontal="center" vertical="center"/>
      <protection locked="0"/>
    </xf>
    <xf numFmtId="0" fontId="2" fillId="0" borderId="15" xfId="0" applyFont="1" applyBorder="1" applyAlignment="1" applyProtection="1">
      <alignment horizontal="left" vertical="top" wrapText="1"/>
    </xf>
    <xf numFmtId="0" fontId="9" fillId="0" borderId="37" xfId="0" applyFont="1" applyBorder="1" applyAlignment="1" applyProtection="1">
      <alignment horizontal="left" vertical="top" wrapText="1"/>
    </xf>
    <xf numFmtId="0" fontId="9" fillId="0" borderId="19" xfId="0" applyFont="1" applyBorder="1" applyAlignment="1" applyProtection="1">
      <alignment horizontal="left" vertical="top" wrapText="1"/>
    </xf>
    <xf numFmtId="0" fontId="9" fillId="0" borderId="25" xfId="0" applyFont="1" applyBorder="1" applyAlignment="1" applyProtection="1">
      <alignment horizontal="left" vertical="top" wrapText="1"/>
    </xf>
    <xf numFmtId="164" fontId="2" fillId="3" borderId="44" xfId="0" applyNumberFormat="1" applyFont="1" applyFill="1" applyBorder="1" applyAlignment="1" applyProtection="1">
      <alignment horizontal="center" vertical="center"/>
      <protection locked="0"/>
    </xf>
    <xf numFmtId="0" fontId="9" fillId="0" borderId="16" xfId="0" applyFont="1" applyBorder="1" applyAlignment="1" applyProtection="1">
      <alignment vertical="top" wrapText="1"/>
    </xf>
    <xf numFmtId="0" fontId="5" fillId="0" borderId="26" xfId="0" applyFont="1" applyBorder="1" applyAlignment="1" applyProtection="1">
      <alignment vertical="top"/>
    </xf>
    <xf numFmtId="0" fontId="5" fillId="0" borderId="19" xfId="0" applyFont="1" applyBorder="1" applyAlignment="1" applyProtection="1">
      <alignment vertical="top"/>
    </xf>
    <xf numFmtId="0" fontId="5" fillId="0" borderId="25" xfId="0" applyFont="1" applyBorder="1" applyAlignment="1" applyProtection="1">
      <alignment vertical="top"/>
    </xf>
    <xf numFmtId="0" fontId="3" fillId="4" borderId="12" xfId="0" applyFont="1" applyFill="1" applyBorder="1" applyAlignment="1" applyProtection="1">
      <alignment horizontal="center" vertical="center" wrapText="1"/>
    </xf>
    <xf numFmtId="0" fontId="0" fillId="0" borderId="31" xfId="0" applyBorder="1" applyAlignment="1" applyProtection="1">
      <alignment horizontal="center" vertical="center" wrapText="1"/>
    </xf>
    <xf numFmtId="0" fontId="3" fillId="4" borderId="6" xfId="0" applyFont="1" applyFill="1" applyBorder="1" applyAlignment="1" applyProtection="1">
      <alignment horizontal="center" vertical="center" wrapText="1"/>
    </xf>
    <xf numFmtId="0" fontId="3" fillId="4" borderId="14" xfId="0" applyFont="1" applyFill="1" applyBorder="1" applyAlignment="1" applyProtection="1">
      <alignment horizontal="center" vertical="center" wrapText="1"/>
    </xf>
    <xf numFmtId="0" fontId="1" fillId="0" borderId="12" xfId="0" applyFont="1" applyBorder="1" applyAlignment="1" applyProtection="1">
      <alignment horizontal="center"/>
    </xf>
    <xf numFmtId="0" fontId="1" fillId="0" borderId="2" xfId="0" applyFont="1" applyBorder="1" applyAlignment="1" applyProtection="1">
      <alignment horizontal="center"/>
    </xf>
    <xf numFmtId="0" fontId="1" fillId="0" borderId="28" xfId="0" applyFont="1" applyBorder="1" applyAlignment="1" applyProtection="1">
      <alignment horizontal="center"/>
    </xf>
    <xf numFmtId="0" fontId="1" fillId="0" borderId="13" xfId="0" applyFont="1" applyBorder="1" applyAlignment="1" applyProtection="1">
      <alignment horizontal="center"/>
    </xf>
    <xf numFmtId="0" fontId="0" fillId="0" borderId="26" xfId="0" applyBorder="1" applyAlignment="1" applyProtection="1">
      <alignment vertical="top" wrapText="1"/>
    </xf>
    <xf numFmtId="0" fontId="0" fillId="0" borderId="19" xfId="0" applyBorder="1" applyAlignment="1" applyProtection="1">
      <alignment vertical="top" wrapText="1"/>
    </xf>
    <xf numFmtId="0" fontId="0" fillId="0" borderId="25" xfId="0" applyBorder="1" applyAlignment="1" applyProtection="1">
      <alignment vertical="top" wrapText="1"/>
    </xf>
    <xf numFmtId="0" fontId="3" fillId="4" borderId="11" xfId="0" applyFont="1" applyFill="1" applyBorder="1" applyAlignment="1" applyProtection="1">
      <alignment horizontal="center" vertical="center" wrapText="1"/>
    </xf>
    <xf numFmtId="0" fontId="3" fillId="4" borderId="22" xfId="0" applyFont="1" applyFill="1" applyBorder="1" applyAlignment="1" applyProtection="1">
      <alignment horizontal="center" vertical="center" wrapText="1"/>
    </xf>
    <xf numFmtId="0" fontId="3" fillId="4" borderId="2" xfId="0" applyFont="1" applyFill="1" applyBorder="1" applyAlignment="1" applyProtection="1">
      <alignment horizontal="center" vertical="center" wrapText="1"/>
    </xf>
    <xf numFmtId="0" fontId="2" fillId="0" borderId="23" xfId="0" applyFont="1" applyBorder="1" applyAlignment="1" applyProtection="1">
      <alignment horizontal="left" vertical="top" wrapText="1"/>
    </xf>
    <xf numFmtId="0" fontId="9" fillId="0" borderId="24" xfId="0" applyFont="1" applyBorder="1" applyAlignment="1" applyProtection="1">
      <alignment horizontal="left" vertical="top" wrapText="1"/>
    </xf>
    <xf numFmtId="0" fontId="5" fillId="0" borderId="40" xfId="0" applyFont="1" applyBorder="1" applyAlignment="1" applyProtection="1">
      <alignment horizontal="left" vertical="center" wrapText="1"/>
    </xf>
    <xf numFmtId="0" fontId="5" fillId="0" borderId="17" xfId="0" applyFont="1" applyBorder="1" applyAlignment="1" applyProtection="1">
      <alignment horizontal="left" vertical="center" wrapText="1"/>
    </xf>
    <xf numFmtId="0" fontId="5" fillId="0" borderId="18" xfId="0" applyFont="1" applyBorder="1" applyAlignment="1" applyProtection="1">
      <alignment horizontal="left" vertical="center" wrapText="1"/>
    </xf>
    <xf numFmtId="0" fontId="5" fillId="0" borderId="27" xfId="0" applyFont="1" applyBorder="1" applyAlignment="1" applyProtection="1">
      <alignment horizontal="left" vertical="center" wrapText="1"/>
    </xf>
    <xf numFmtId="0" fontId="5" fillId="0" borderId="20" xfId="0" applyFont="1" applyBorder="1" applyAlignment="1" applyProtection="1">
      <alignment horizontal="left" vertical="center" wrapText="1"/>
    </xf>
    <xf numFmtId="0" fontId="5" fillId="0" borderId="21" xfId="0" applyFont="1" applyBorder="1" applyAlignment="1" applyProtection="1">
      <alignment horizontal="left" vertical="center" wrapText="1"/>
    </xf>
    <xf numFmtId="164" fontId="2" fillId="3" borderId="43" xfId="0" applyNumberFormat="1" applyFont="1" applyFill="1" applyBorder="1" applyAlignment="1" applyProtection="1">
      <alignment horizontal="center" vertical="center"/>
      <protection locked="0"/>
    </xf>
    <xf numFmtId="0" fontId="10" fillId="0" borderId="0" xfId="0" applyFont="1" applyBorder="1" applyAlignment="1">
      <alignment horizontal="center" vertical="center" wrapText="1"/>
    </xf>
    <xf numFmtId="0" fontId="0" fillId="0" borderId="0" xfId="0" applyAlignment="1">
      <alignment horizontal="center" vertical="center" wrapText="1"/>
    </xf>
    <xf numFmtId="0" fontId="5" fillId="4" borderId="6" xfId="0" applyFont="1" applyFill="1" applyBorder="1" applyAlignment="1" applyProtection="1">
      <alignment horizontal="center" textRotation="90" wrapText="1"/>
    </xf>
    <xf numFmtId="0" fontId="5" fillId="4" borderId="7" xfId="0" applyFont="1" applyFill="1" applyBorder="1" applyAlignment="1" applyProtection="1">
      <alignment horizontal="center" textRotation="90" wrapText="1"/>
    </xf>
    <xf numFmtId="0" fontId="5" fillId="4" borderId="14" xfId="0" applyFont="1" applyFill="1" applyBorder="1" applyAlignment="1" applyProtection="1">
      <alignment horizontal="center" textRotation="90" wrapText="1"/>
    </xf>
    <xf numFmtId="0" fontId="10" fillId="0" borderId="32" xfId="0" applyFont="1" applyBorder="1" applyAlignment="1">
      <alignment horizontal="center" vertical="center" wrapText="1"/>
    </xf>
    <xf numFmtId="0" fontId="3" fillId="4" borderId="23" xfId="0" applyFont="1" applyFill="1" applyBorder="1" applyAlignment="1" applyProtection="1">
      <alignment horizontal="center" vertical="center" wrapText="1"/>
    </xf>
    <xf numFmtId="0" fontId="3" fillId="4" borderId="30" xfId="0" applyFont="1" applyFill="1" applyBorder="1" applyAlignment="1" applyProtection="1">
      <alignment horizontal="center" vertical="center" wrapText="1"/>
    </xf>
    <xf numFmtId="0" fontId="0" fillId="0" borderId="28" xfId="0" applyBorder="1" applyAlignment="1" applyProtection="1">
      <alignment horizontal="center" vertical="center" wrapText="1"/>
    </xf>
    <xf numFmtId="0" fontId="0" fillId="0" borderId="13" xfId="0" applyBorder="1" applyAlignment="1" applyProtection="1">
      <alignment horizontal="center" vertical="center" wrapText="1"/>
    </xf>
    <xf numFmtId="0" fontId="3" fillId="7" borderId="6" xfId="0" applyFont="1" applyFill="1" applyBorder="1" applyAlignment="1" applyProtection="1">
      <alignment horizontal="center" vertical="center" wrapText="1"/>
    </xf>
    <xf numFmtId="0" fontId="3" fillId="7" borderId="14" xfId="0" applyFont="1" applyFill="1" applyBorder="1" applyAlignment="1" applyProtection="1">
      <alignment horizontal="center" vertical="center" wrapText="1"/>
    </xf>
    <xf numFmtId="0" fontId="4" fillId="0" borderId="28" xfId="0" applyFont="1" applyBorder="1" applyAlignment="1" applyProtection="1">
      <alignment horizontal="center" vertical="center" wrapText="1"/>
    </xf>
    <xf numFmtId="0" fontId="12" fillId="0" borderId="14" xfId="0" applyFont="1" applyBorder="1" applyAlignment="1" applyProtection="1">
      <alignment horizontal="center" vertical="center" wrapText="1"/>
    </xf>
    <xf numFmtId="0" fontId="9" fillId="0" borderId="0" xfId="0" applyFont="1" applyBorder="1" applyAlignment="1" applyProtection="1">
      <alignment vertical="top" wrapText="1"/>
    </xf>
    <xf numFmtId="0" fontId="0" fillId="0" borderId="0" xfId="0" applyBorder="1" applyAlignment="1" applyProtection="1">
      <alignment vertical="top"/>
    </xf>
    <xf numFmtId="0" fontId="5" fillId="0" borderId="39" xfId="0" applyFont="1" applyBorder="1" applyAlignment="1" applyProtection="1">
      <alignment horizontal="left" vertical="top" wrapText="1"/>
    </xf>
    <xf numFmtId="0" fontId="5" fillId="0" borderId="29" xfId="0" applyFont="1" applyBorder="1" applyAlignment="1" applyProtection="1">
      <alignment horizontal="left" vertical="top" wrapText="1"/>
    </xf>
    <xf numFmtId="0" fontId="5" fillId="0" borderId="30" xfId="0" applyFont="1" applyBorder="1" applyAlignment="1" applyProtection="1">
      <alignment horizontal="left" vertical="top" wrapText="1"/>
    </xf>
    <xf numFmtId="0" fontId="5" fillId="0" borderId="27" xfId="0" applyFont="1" applyBorder="1" applyAlignment="1" applyProtection="1">
      <alignment horizontal="left" vertical="top" wrapText="1"/>
    </xf>
    <xf numFmtId="0" fontId="5" fillId="0" borderId="20" xfId="0" applyFont="1" applyBorder="1" applyAlignment="1" applyProtection="1">
      <alignment horizontal="left" vertical="top" wrapText="1"/>
    </xf>
    <xf numFmtId="0" fontId="5" fillId="0" borderId="21" xfId="0" applyFont="1" applyBorder="1" applyAlignment="1" applyProtection="1">
      <alignment horizontal="left" vertical="top" wrapText="1"/>
    </xf>
    <xf numFmtId="0" fontId="0" fillId="0" borderId="28" xfId="0" applyBorder="1" applyAlignment="1" applyProtection="1">
      <alignment vertical="top" wrapText="1"/>
    </xf>
    <xf numFmtId="0" fontId="0" fillId="0" borderId="46" xfId="0" applyBorder="1" applyAlignment="1" applyProtection="1">
      <alignment vertical="top" wrapText="1"/>
    </xf>
    <xf numFmtId="0" fontId="0" fillId="0" borderId="47" xfId="0" applyBorder="1" applyAlignment="1" applyProtection="1">
      <alignment horizontal="center" vertical="center"/>
      <protection locked="0"/>
    </xf>
    <xf numFmtId="0" fontId="5" fillId="0" borderId="42" xfId="0" applyFont="1" applyBorder="1" applyAlignment="1" applyProtection="1">
      <alignment horizontal="left" vertical="center" wrapText="1"/>
    </xf>
    <xf numFmtId="0" fontId="5" fillId="0" borderId="32" xfId="0" applyFont="1" applyBorder="1" applyAlignment="1" applyProtection="1">
      <alignment horizontal="left" vertical="center" wrapText="1"/>
    </xf>
    <xf numFmtId="0" fontId="5" fillId="0" borderId="13" xfId="0" applyFont="1" applyBorder="1" applyAlignment="1" applyProtection="1">
      <alignment horizontal="left" vertical="center" wrapText="1"/>
    </xf>
    <xf numFmtId="0" fontId="5" fillId="0" borderId="41" xfId="0" applyFont="1" applyBorder="1" applyAlignment="1" applyProtection="1">
      <alignment horizontal="left" vertical="top" wrapText="1"/>
    </xf>
    <xf numFmtId="0" fontId="5" fillId="0" borderId="0" xfId="0" applyFont="1" applyBorder="1" applyAlignment="1" applyProtection="1">
      <alignment horizontal="left" vertical="top" wrapText="1"/>
    </xf>
    <xf numFmtId="0" fontId="5" fillId="0" borderId="38" xfId="0" applyFont="1" applyBorder="1" applyAlignment="1" applyProtection="1">
      <alignment horizontal="left" vertical="top" wrapText="1"/>
    </xf>
    <xf numFmtId="0" fontId="5" fillId="0" borderId="40" xfId="0" applyFont="1" applyBorder="1" applyAlignment="1" applyProtection="1">
      <alignment horizontal="left" vertical="top" wrapText="1"/>
    </xf>
    <xf numFmtId="0" fontId="5" fillId="0" borderId="17" xfId="0" applyFont="1" applyBorder="1" applyAlignment="1" applyProtection="1">
      <alignment horizontal="left" vertical="top" wrapText="1"/>
    </xf>
    <xf numFmtId="0" fontId="5" fillId="0" borderId="18" xfId="0" applyFont="1" applyBorder="1" applyAlignment="1" applyProtection="1">
      <alignment horizontal="left" vertical="top" wrapText="1"/>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71"/>
  <sheetViews>
    <sheetView tabSelected="1" zoomScale="75" workbookViewId="0">
      <selection activeCell="O54" sqref="O54"/>
    </sheetView>
  </sheetViews>
  <sheetFormatPr defaultColWidth="8.7109375" defaultRowHeight="12"/>
  <cols>
    <col min="1" max="1" width="31.28515625" style="1" customWidth="1"/>
    <col min="2" max="2" width="16.140625" style="1" customWidth="1"/>
    <col min="3" max="3" width="20.7109375" style="1" customWidth="1"/>
    <col min="4" max="14" width="18.7109375" style="1" customWidth="1"/>
    <col min="15" max="15" width="19.7109375" style="1" customWidth="1"/>
    <col min="16" max="16" width="18.7109375" style="1" hidden="1" customWidth="1"/>
    <col min="17" max="16384" width="8.7109375" style="1"/>
  </cols>
  <sheetData>
    <row r="1" spans="1:16" ht="20.100000000000001" customHeight="1">
      <c r="A1" s="86" t="s">
        <v>43</v>
      </c>
      <c r="B1" s="87"/>
      <c r="C1" s="87"/>
      <c r="D1" s="87"/>
      <c r="E1" s="87"/>
      <c r="F1" s="87"/>
      <c r="G1" s="87"/>
      <c r="H1" s="87"/>
      <c r="I1" s="87"/>
      <c r="J1" s="87"/>
      <c r="K1" s="87"/>
      <c r="L1" s="87"/>
      <c r="M1" s="87"/>
      <c r="N1" s="87"/>
      <c r="O1" s="87"/>
      <c r="P1" s="87"/>
    </row>
    <row r="2" spans="1:16" ht="20.100000000000001" customHeight="1">
      <c r="A2" s="86" t="s">
        <v>70</v>
      </c>
      <c r="B2" s="87"/>
      <c r="C2" s="87"/>
      <c r="D2" s="87"/>
      <c r="E2" s="87"/>
      <c r="F2" s="87"/>
      <c r="G2" s="87"/>
      <c r="H2" s="87"/>
      <c r="I2" s="87"/>
      <c r="J2" s="87"/>
      <c r="K2" s="87"/>
      <c r="L2" s="87"/>
      <c r="M2" s="87"/>
      <c r="N2" s="87"/>
      <c r="O2" s="87"/>
      <c r="P2" s="87"/>
    </row>
    <row r="3" spans="1:16" ht="20.100000000000001" customHeight="1">
      <c r="A3" s="86" t="s">
        <v>48</v>
      </c>
      <c r="B3" s="87"/>
      <c r="C3" s="87"/>
      <c r="D3" s="87"/>
      <c r="E3" s="87"/>
      <c r="F3" s="87"/>
      <c r="G3" s="87"/>
      <c r="H3" s="87"/>
      <c r="I3" s="87"/>
      <c r="J3" s="87"/>
      <c r="K3" s="87"/>
      <c r="L3" s="87"/>
      <c r="M3" s="87"/>
      <c r="N3" s="87"/>
      <c r="O3" s="87"/>
      <c r="P3" s="87"/>
    </row>
    <row r="4" spans="1:16" ht="20.100000000000001" customHeight="1" thickBot="1">
      <c r="A4" s="91"/>
      <c r="B4" s="91"/>
      <c r="C4" s="91"/>
      <c r="D4" s="91"/>
      <c r="E4" s="91"/>
      <c r="F4" s="91"/>
      <c r="G4" s="91"/>
      <c r="H4" s="91"/>
      <c r="I4" s="91"/>
      <c r="J4" s="91"/>
      <c r="K4" s="91"/>
      <c r="L4" s="91"/>
      <c r="M4" s="91"/>
      <c r="N4" s="91"/>
      <c r="O4" s="91"/>
      <c r="P4" s="37"/>
    </row>
    <row r="5" spans="1:16" s="2" customFormat="1" ht="44.1" customHeight="1">
      <c r="A5" s="92" t="s">
        <v>0</v>
      </c>
      <c r="B5" s="93"/>
      <c r="C5" s="65" t="s">
        <v>49</v>
      </c>
      <c r="D5" s="65" t="s">
        <v>50</v>
      </c>
      <c r="E5" s="65" t="s">
        <v>51</v>
      </c>
      <c r="F5" s="92" t="s">
        <v>52</v>
      </c>
      <c r="G5" s="65" t="s">
        <v>53</v>
      </c>
      <c r="H5" s="65" t="s">
        <v>54</v>
      </c>
      <c r="I5" s="65" t="s">
        <v>59</v>
      </c>
      <c r="J5" s="65" t="s">
        <v>60</v>
      </c>
      <c r="K5" s="65" t="s">
        <v>62</v>
      </c>
      <c r="L5" s="65" t="s">
        <v>63</v>
      </c>
      <c r="M5" s="65" t="s">
        <v>64</v>
      </c>
      <c r="N5" s="65" t="s">
        <v>65</v>
      </c>
      <c r="O5" s="65" t="s">
        <v>1</v>
      </c>
      <c r="P5" s="96"/>
    </row>
    <row r="6" spans="1:16" s="2" customFormat="1" ht="69.75" customHeight="1" thickBot="1">
      <c r="A6" s="94"/>
      <c r="B6" s="95"/>
      <c r="C6" s="66"/>
      <c r="D6" s="99"/>
      <c r="E6" s="66"/>
      <c r="F6" s="98"/>
      <c r="G6" s="66"/>
      <c r="H6" s="66"/>
      <c r="I6" s="66"/>
      <c r="J6" s="66"/>
      <c r="K6" s="66" t="s">
        <v>61</v>
      </c>
      <c r="L6" s="66"/>
      <c r="M6" s="66"/>
      <c r="N6" s="66"/>
      <c r="O6" s="66"/>
      <c r="P6" s="97"/>
    </row>
    <row r="7" spans="1:16" s="2" customFormat="1" ht="16.5" customHeight="1" thickBot="1">
      <c r="A7" s="63" t="s">
        <v>40</v>
      </c>
      <c r="B7" s="76"/>
      <c r="C7" s="31" t="s">
        <v>32</v>
      </c>
      <c r="D7" s="32" t="s">
        <v>55</v>
      </c>
      <c r="E7" s="32" t="s">
        <v>56</v>
      </c>
      <c r="F7" s="33" t="s">
        <v>57</v>
      </c>
      <c r="G7" s="32" t="s">
        <v>34</v>
      </c>
      <c r="H7" s="32" t="s">
        <v>58</v>
      </c>
      <c r="I7" s="32" t="s">
        <v>66</v>
      </c>
      <c r="J7" s="32" t="s">
        <v>67</v>
      </c>
      <c r="K7" s="32" t="s">
        <v>41</v>
      </c>
      <c r="L7" s="32" t="s">
        <v>45</v>
      </c>
      <c r="M7" s="32" t="s">
        <v>42</v>
      </c>
      <c r="N7" s="32" t="s">
        <v>46</v>
      </c>
      <c r="O7" s="3">
        <v>0</v>
      </c>
      <c r="P7" s="31"/>
    </row>
    <row r="8" spans="1:16" s="2" customFormat="1" ht="16.5" customHeight="1" thickBot="1">
      <c r="A8" s="63" t="s">
        <v>2</v>
      </c>
      <c r="B8" s="76"/>
      <c r="C8" s="31">
        <v>1</v>
      </c>
      <c r="D8" s="32">
        <v>1</v>
      </c>
      <c r="E8" s="32">
        <v>1</v>
      </c>
      <c r="F8" s="32">
        <v>1</v>
      </c>
      <c r="G8" s="32">
        <v>1</v>
      </c>
      <c r="H8" s="32">
        <v>2</v>
      </c>
      <c r="I8" s="32">
        <v>1</v>
      </c>
      <c r="J8" s="32">
        <v>1</v>
      </c>
      <c r="K8" s="32">
        <v>1</v>
      </c>
      <c r="L8" s="32">
        <v>1</v>
      </c>
      <c r="M8" s="32">
        <v>1</v>
      </c>
      <c r="N8" s="32">
        <v>1</v>
      </c>
      <c r="O8" s="3">
        <v>0</v>
      </c>
      <c r="P8" s="31">
        <v>1</v>
      </c>
    </row>
    <row r="9" spans="1:16" s="5" customFormat="1" ht="16.5" customHeight="1" thickBot="1">
      <c r="A9" s="18" t="s">
        <v>3</v>
      </c>
      <c r="B9" s="88" t="s">
        <v>4</v>
      </c>
      <c r="C9" s="4">
        <v>1</v>
      </c>
      <c r="D9" s="4">
        <v>0</v>
      </c>
      <c r="E9" s="4">
        <v>0</v>
      </c>
      <c r="F9" s="4">
        <v>0</v>
      </c>
      <c r="G9" s="4">
        <v>0</v>
      </c>
      <c r="H9" s="4">
        <v>0</v>
      </c>
      <c r="I9" s="4">
        <v>0</v>
      </c>
      <c r="J9" s="4">
        <v>0</v>
      </c>
      <c r="K9" s="4">
        <v>0</v>
      </c>
      <c r="L9" s="4">
        <v>0</v>
      </c>
      <c r="M9" s="4">
        <v>0</v>
      </c>
      <c r="N9" s="4">
        <v>0</v>
      </c>
      <c r="O9" s="41">
        <f>C9+D9+E9+F9+G9+H9*H$8+I9+J9+K9+L9+M9+N9</f>
        <v>1</v>
      </c>
      <c r="P9" s="4">
        <v>1</v>
      </c>
    </row>
    <row r="10" spans="1:16" s="5" customFormat="1" ht="19.5" customHeight="1" thickBot="1">
      <c r="A10" s="19" t="s">
        <v>5</v>
      </c>
      <c r="B10" s="89"/>
      <c r="C10" s="6"/>
      <c r="D10" s="6"/>
      <c r="E10" s="6"/>
      <c r="F10" s="6"/>
      <c r="G10" s="6"/>
      <c r="H10" s="6"/>
      <c r="I10" s="6"/>
      <c r="J10" s="6"/>
      <c r="K10" s="6"/>
      <c r="L10" s="6"/>
      <c r="M10" s="6"/>
      <c r="N10" s="6">
        <v>0</v>
      </c>
      <c r="O10" s="3">
        <v>0</v>
      </c>
      <c r="P10" s="6"/>
    </row>
    <row r="11" spans="1:16" s="5" customFormat="1" ht="16.5" thickBot="1">
      <c r="A11" s="38" t="s">
        <v>6</v>
      </c>
      <c r="B11" s="89"/>
      <c r="C11" s="4">
        <v>0</v>
      </c>
      <c r="D11" s="4">
        <v>0</v>
      </c>
      <c r="E11" s="4">
        <v>0</v>
      </c>
      <c r="F11" s="4">
        <v>0</v>
      </c>
      <c r="G11" s="4">
        <v>0</v>
      </c>
      <c r="H11" s="4">
        <v>0</v>
      </c>
      <c r="I11" s="4">
        <v>0</v>
      </c>
      <c r="J11" s="4">
        <v>0</v>
      </c>
      <c r="K11" s="4">
        <v>0</v>
      </c>
      <c r="L11" s="4">
        <v>0</v>
      </c>
      <c r="M11" s="4">
        <v>0</v>
      </c>
      <c r="N11" s="4">
        <v>0</v>
      </c>
      <c r="O11" s="41">
        <f t="shared" ref="O11:O14" si="0">C11+D11+E11+F11+G11+H11*H$8+I11+J11+K11+L11+M11+N11</f>
        <v>0</v>
      </c>
      <c r="P11" s="4">
        <v>0</v>
      </c>
    </row>
    <row r="12" spans="1:16" s="5" customFormat="1" ht="16.5" thickBot="1">
      <c r="A12" s="38" t="s">
        <v>6</v>
      </c>
      <c r="B12" s="89"/>
      <c r="C12" s="4">
        <v>0</v>
      </c>
      <c r="D12" s="4">
        <v>0</v>
      </c>
      <c r="E12" s="4">
        <v>0</v>
      </c>
      <c r="F12" s="4">
        <v>0</v>
      </c>
      <c r="G12" s="4">
        <v>0</v>
      </c>
      <c r="H12" s="4">
        <v>0</v>
      </c>
      <c r="I12" s="4">
        <v>0</v>
      </c>
      <c r="J12" s="4">
        <v>0</v>
      </c>
      <c r="K12" s="4">
        <v>0</v>
      </c>
      <c r="L12" s="4">
        <v>0</v>
      </c>
      <c r="M12" s="4">
        <v>0</v>
      </c>
      <c r="N12" s="4">
        <v>0</v>
      </c>
      <c r="O12" s="41">
        <f t="shared" si="0"/>
        <v>0</v>
      </c>
      <c r="P12" s="4">
        <v>0</v>
      </c>
    </row>
    <row r="13" spans="1:16" s="5" customFormat="1" ht="16.5" thickBot="1">
      <c r="A13" s="38" t="s">
        <v>6</v>
      </c>
      <c r="B13" s="89"/>
      <c r="C13" s="4">
        <v>0</v>
      </c>
      <c r="D13" s="4">
        <v>0</v>
      </c>
      <c r="E13" s="4">
        <v>0</v>
      </c>
      <c r="F13" s="4">
        <v>0</v>
      </c>
      <c r="G13" s="4">
        <v>0</v>
      </c>
      <c r="H13" s="4">
        <v>0</v>
      </c>
      <c r="I13" s="4">
        <v>0</v>
      </c>
      <c r="J13" s="4">
        <v>0</v>
      </c>
      <c r="K13" s="4">
        <v>0</v>
      </c>
      <c r="L13" s="4">
        <v>0</v>
      </c>
      <c r="M13" s="4">
        <v>0</v>
      </c>
      <c r="N13" s="4">
        <v>0</v>
      </c>
      <c r="O13" s="41">
        <f t="shared" si="0"/>
        <v>0</v>
      </c>
      <c r="P13" s="4">
        <v>0</v>
      </c>
    </row>
    <row r="14" spans="1:16" s="5" customFormat="1" ht="16.5" thickBot="1">
      <c r="A14" s="39" t="s">
        <v>7</v>
      </c>
      <c r="B14" s="89"/>
      <c r="C14" s="4">
        <v>0</v>
      </c>
      <c r="D14" s="4">
        <v>0</v>
      </c>
      <c r="E14" s="4">
        <v>0</v>
      </c>
      <c r="F14" s="4">
        <v>0</v>
      </c>
      <c r="G14" s="4">
        <v>0</v>
      </c>
      <c r="H14" s="4">
        <v>0</v>
      </c>
      <c r="I14" s="4">
        <v>0</v>
      </c>
      <c r="J14" s="4">
        <v>0</v>
      </c>
      <c r="K14" s="4">
        <v>0</v>
      </c>
      <c r="L14" s="4">
        <v>0</v>
      </c>
      <c r="M14" s="4">
        <v>0</v>
      </c>
      <c r="N14" s="4">
        <v>0</v>
      </c>
      <c r="O14" s="41">
        <f t="shared" si="0"/>
        <v>0</v>
      </c>
      <c r="P14" s="4">
        <v>0</v>
      </c>
    </row>
    <row r="15" spans="1:16" s="5" customFormat="1" ht="19.5" thickBot="1">
      <c r="A15" s="19" t="s">
        <v>8</v>
      </c>
      <c r="B15" s="89"/>
      <c r="C15" s="6"/>
      <c r="D15" s="6"/>
      <c r="E15" s="6"/>
      <c r="F15" s="6"/>
      <c r="G15" s="6"/>
      <c r="H15" s="6"/>
      <c r="I15" s="6"/>
      <c r="J15" s="6"/>
      <c r="K15" s="6"/>
      <c r="L15" s="6"/>
      <c r="M15" s="6"/>
      <c r="N15" s="6"/>
      <c r="O15" s="3">
        <v>0</v>
      </c>
      <c r="P15" s="6"/>
    </row>
    <row r="16" spans="1:16" s="5" customFormat="1" ht="16.5" thickBot="1">
      <c r="A16" s="20" t="s">
        <v>36</v>
      </c>
      <c r="B16" s="89"/>
      <c r="C16" s="4">
        <v>0</v>
      </c>
      <c r="D16" s="4">
        <v>0</v>
      </c>
      <c r="E16" s="4">
        <v>0</v>
      </c>
      <c r="F16" s="4">
        <v>0</v>
      </c>
      <c r="G16" s="4">
        <v>0</v>
      </c>
      <c r="H16" s="4">
        <v>0</v>
      </c>
      <c r="I16" s="4">
        <v>0</v>
      </c>
      <c r="J16" s="4">
        <v>0</v>
      </c>
      <c r="K16" s="4">
        <v>0</v>
      </c>
      <c r="L16" s="4">
        <v>0</v>
      </c>
      <c r="M16" s="4">
        <v>0</v>
      </c>
      <c r="N16" s="4">
        <v>0</v>
      </c>
      <c r="O16" s="41">
        <f t="shared" ref="O16:O31" si="1">C16+D16+E16+F16+G16+H16*H$8+I16+J16+K16+L16+M16+N16</f>
        <v>0</v>
      </c>
      <c r="P16" s="4">
        <v>0</v>
      </c>
    </row>
    <row r="17" spans="1:16" s="5" customFormat="1" ht="16.5" customHeight="1" thickBot="1">
      <c r="A17" s="21" t="s">
        <v>9</v>
      </c>
      <c r="B17" s="89"/>
      <c r="C17" s="4">
        <v>0</v>
      </c>
      <c r="D17" s="4">
        <v>0</v>
      </c>
      <c r="E17" s="4">
        <v>0</v>
      </c>
      <c r="F17" s="4">
        <v>0</v>
      </c>
      <c r="G17" s="4">
        <v>0</v>
      </c>
      <c r="H17" s="4">
        <v>0</v>
      </c>
      <c r="I17" s="4">
        <v>0</v>
      </c>
      <c r="J17" s="4">
        <v>0</v>
      </c>
      <c r="K17" s="4">
        <v>0</v>
      </c>
      <c r="L17" s="4">
        <v>0</v>
      </c>
      <c r="M17" s="4">
        <v>0</v>
      </c>
      <c r="N17" s="4">
        <v>0</v>
      </c>
      <c r="O17" s="41">
        <f t="shared" si="1"/>
        <v>0</v>
      </c>
      <c r="P17" s="4">
        <v>0</v>
      </c>
    </row>
    <row r="18" spans="1:16" s="5" customFormat="1" ht="16.5" customHeight="1" thickBot="1">
      <c r="A18" s="21" t="s">
        <v>10</v>
      </c>
      <c r="B18" s="89"/>
      <c r="C18" s="4">
        <v>0</v>
      </c>
      <c r="D18" s="4">
        <v>0</v>
      </c>
      <c r="E18" s="4">
        <v>0</v>
      </c>
      <c r="F18" s="4">
        <v>0</v>
      </c>
      <c r="G18" s="4">
        <v>0</v>
      </c>
      <c r="H18" s="4">
        <v>0</v>
      </c>
      <c r="I18" s="4">
        <v>0</v>
      </c>
      <c r="J18" s="4">
        <v>0</v>
      </c>
      <c r="K18" s="4">
        <v>0</v>
      </c>
      <c r="L18" s="4">
        <v>0</v>
      </c>
      <c r="M18" s="4">
        <v>0</v>
      </c>
      <c r="N18" s="4">
        <v>0</v>
      </c>
      <c r="O18" s="41">
        <f t="shared" si="1"/>
        <v>0</v>
      </c>
      <c r="P18" s="4">
        <v>0</v>
      </c>
    </row>
    <row r="19" spans="1:16" s="5" customFormat="1" ht="16.5" customHeight="1" thickBot="1">
      <c r="A19" s="39" t="s">
        <v>11</v>
      </c>
      <c r="B19" s="89"/>
      <c r="C19" s="4">
        <v>0</v>
      </c>
      <c r="D19" s="4">
        <v>0</v>
      </c>
      <c r="E19" s="4">
        <v>0</v>
      </c>
      <c r="F19" s="4">
        <v>0</v>
      </c>
      <c r="G19" s="4">
        <v>0</v>
      </c>
      <c r="H19" s="4">
        <v>0</v>
      </c>
      <c r="I19" s="4">
        <v>0</v>
      </c>
      <c r="J19" s="4">
        <v>0</v>
      </c>
      <c r="K19" s="4">
        <v>0</v>
      </c>
      <c r="L19" s="4">
        <v>0</v>
      </c>
      <c r="M19" s="4">
        <v>0</v>
      </c>
      <c r="N19" s="4">
        <v>0</v>
      </c>
      <c r="O19" s="41">
        <f t="shared" si="1"/>
        <v>0</v>
      </c>
      <c r="P19" s="4">
        <v>0</v>
      </c>
    </row>
    <row r="20" spans="1:16" s="5" customFormat="1" ht="16.5" customHeight="1" thickBot="1">
      <c r="A20" s="21" t="s">
        <v>37</v>
      </c>
      <c r="B20" s="89"/>
      <c r="C20" s="4">
        <v>0</v>
      </c>
      <c r="D20" s="4">
        <v>0</v>
      </c>
      <c r="E20" s="4">
        <v>0</v>
      </c>
      <c r="F20" s="4">
        <v>0</v>
      </c>
      <c r="G20" s="4">
        <v>0</v>
      </c>
      <c r="H20" s="4">
        <v>0</v>
      </c>
      <c r="I20" s="4">
        <v>0</v>
      </c>
      <c r="J20" s="4">
        <v>0</v>
      </c>
      <c r="K20" s="4">
        <v>0</v>
      </c>
      <c r="L20" s="4">
        <v>0</v>
      </c>
      <c r="M20" s="4">
        <v>0</v>
      </c>
      <c r="N20" s="4">
        <v>0</v>
      </c>
      <c r="O20" s="41">
        <f t="shared" si="1"/>
        <v>0</v>
      </c>
      <c r="P20" s="4">
        <v>0</v>
      </c>
    </row>
    <row r="21" spans="1:16" s="5" customFormat="1" ht="16.5" customHeight="1" thickBot="1">
      <c r="A21" s="21" t="s">
        <v>33</v>
      </c>
      <c r="B21" s="89"/>
      <c r="C21" s="4">
        <v>0</v>
      </c>
      <c r="D21" s="4">
        <v>0</v>
      </c>
      <c r="E21" s="4">
        <v>0</v>
      </c>
      <c r="F21" s="4">
        <v>0</v>
      </c>
      <c r="G21" s="4">
        <v>0</v>
      </c>
      <c r="H21" s="4">
        <v>0</v>
      </c>
      <c r="I21" s="4">
        <v>0</v>
      </c>
      <c r="J21" s="4">
        <v>0</v>
      </c>
      <c r="K21" s="4">
        <v>0</v>
      </c>
      <c r="L21" s="4">
        <v>0</v>
      </c>
      <c r="M21" s="4">
        <v>0</v>
      </c>
      <c r="N21" s="4">
        <v>0</v>
      </c>
      <c r="O21" s="41">
        <f t="shared" si="1"/>
        <v>0</v>
      </c>
      <c r="P21" s="4">
        <v>0</v>
      </c>
    </row>
    <row r="22" spans="1:16" s="5" customFormat="1" ht="16.5" customHeight="1" thickBot="1">
      <c r="A22" s="20" t="s">
        <v>38</v>
      </c>
      <c r="B22" s="89"/>
      <c r="C22" s="4">
        <v>0</v>
      </c>
      <c r="D22" s="4">
        <v>0</v>
      </c>
      <c r="E22" s="4">
        <v>0</v>
      </c>
      <c r="F22" s="4">
        <v>0</v>
      </c>
      <c r="G22" s="4">
        <v>0</v>
      </c>
      <c r="H22" s="4">
        <v>0</v>
      </c>
      <c r="I22" s="4">
        <v>0</v>
      </c>
      <c r="J22" s="4">
        <v>0</v>
      </c>
      <c r="K22" s="4">
        <v>0</v>
      </c>
      <c r="L22" s="4">
        <v>0</v>
      </c>
      <c r="M22" s="4">
        <v>0</v>
      </c>
      <c r="N22" s="4">
        <v>0</v>
      </c>
      <c r="O22" s="41">
        <f t="shared" si="1"/>
        <v>0</v>
      </c>
      <c r="P22" s="4">
        <v>0</v>
      </c>
    </row>
    <row r="23" spans="1:16" s="5" customFormat="1" ht="16.5" customHeight="1" thickBot="1">
      <c r="A23" s="20" t="s">
        <v>39</v>
      </c>
      <c r="B23" s="89"/>
      <c r="C23" s="4">
        <v>0</v>
      </c>
      <c r="D23" s="4">
        <v>0</v>
      </c>
      <c r="E23" s="4">
        <v>0</v>
      </c>
      <c r="F23" s="4">
        <v>0</v>
      </c>
      <c r="G23" s="4">
        <v>0</v>
      </c>
      <c r="H23" s="4">
        <v>0</v>
      </c>
      <c r="I23" s="4">
        <v>0</v>
      </c>
      <c r="J23" s="4">
        <v>0</v>
      </c>
      <c r="K23" s="4">
        <v>0</v>
      </c>
      <c r="L23" s="4">
        <v>0</v>
      </c>
      <c r="M23" s="4">
        <v>0</v>
      </c>
      <c r="N23" s="4">
        <v>0</v>
      </c>
      <c r="O23" s="41">
        <f t="shared" si="1"/>
        <v>0</v>
      </c>
      <c r="P23" s="4">
        <v>0</v>
      </c>
    </row>
    <row r="24" spans="1:16" s="5" customFormat="1" ht="16.5" customHeight="1" thickBot="1">
      <c r="A24" s="20" t="s">
        <v>35</v>
      </c>
      <c r="B24" s="89"/>
      <c r="C24" s="4">
        <v>0</v>
      </c>
      <c r="D24" s="4">
        <v>0</v>
      </c>
      <c r="E24" s="4">
        <v>0</v>
      </c>
      <c r="F24" s="4">
        <v>0</v>
      </c>
      <c r="G24" s="4">
        <v>0</v>
      </c>
      <c r="H24" s="4">
        <v>0</v>
      </c>
      <c r="I24" s="4">
        <v>0</v>
      </c>
      <c r="J24" s="4">
        <v>0</v>
      </c>
      <c r="K24" s="4">
        <v>0</v>
      </c>
      <c r="L24" s="4">
        <v>0</v>
      </c>
      <c r="M24" s="4">
        <v>0</v>
      </c>
      <c r="N24" s="4">
        <v>0</v>
      </c>
      <c r="O24" s="41">
        <f t="shared" si="1"/>
        <v>0</v>
      </c>
      <c r="P24" s="4">
        <v>0</v>
      </c>
    </row>
    <row r="25" spans="1:16" s="5" customFormat="1" ht="16.5" customHeight="1" thickBot="1">
      <c r="A25" s="38" t="s">
        <v>12</v>
      </c>
      <c r="B25" s="89"/>
      <c r="C25" s="4">
        <v>0</v>
      </c>
      <c r="D25" s="4">
        <v>0</v>
      </c>
      <c r="E25" s="4">
        <v>0</v>
      </c>
      <c r="F25" s="4">
        <v>0</v>
      </c>
      <c r="G25" s="4">
        <v>0</v>
      </c>
      <c r="H25" s="4">
        <v>0</v>
      </c>
      <c r="I25" s="4">
        <v>0</v>
      </c>
      <c r="J25" s="4">
        <v>0</v>
      </c>
      <c r="K25" s="4">
        <v>0</v>
      </c>
      <c r="L25" s="4">
        <v>0</v>
      </c>
      <c r="M25" s="4">
        <v>0</v>
      </c>
      <c r="N25" s="4">
        <v>0</v>
      </c>
      <c r="O25" s="41">
        <f t="shared" si="1"/>
        <v>0</v>
      </c>
      <c r="P25" s="4">
        <v>0</v>
      </c>
    </row>
    <row r="26" spans="1:16" s="5" customFormat="1" ht="16.5" customHeight="1" thickBot="1">
      <c r="A26" s="38" t="s">
        <v>12</v>
      </c>
      <c r="B26" s="89"/>
      <c r="C26" s="4">
        <v>0</v>
      </c>
      <c r="D26" s="4">
        <v>0</v>
      </c>
      <c r="E26" s="4">
        <v>0</v>
      </c>
      <c r="F26" s="4">
        <v>0</v>
      </c>
      <c r="G26" s="4">
        <v>0</v>
      </c>
      <c r="H26" s="4">
        <v>0</v>
      </c>
      <c r="I26" s="4">
        <v>0</v>
      </c>
      <c r="J26" s="4">
        <v>0</v>
      </c>
      <c r="K26" s="4">
        <v>0</v>
      </c>
      <c r="L26" s="4">
        <v>0</v>
      </c>
      <c r="M26" s="4">
        <v>0</v>
      </c>
      <c r="N26" s="4">
        <v>0</v>
      </c>
      <c r="O26" s="41">
        <f t="shared" si="1"/>
        <v>0</v>
      </c>
      <c r="P26" s="4">
        <v>0</v>
      </c>
    </row>
    <row r="27" spans="1:16" s="5" customFormat="1" ht="16.5" customHeight="1" thickBot="1">
      <c r="A27" s="38" t="s">
        <v>12</v>
      </c>
      <c r="B27" s="89"/>
      <c r="C27" s="4">
        <v>0</v>
      </c>
      <c r="D27" s="4">
        <v>0</v>
      </c>
      <c r="E27" s="4">
        <v>0</v>
      </c>
      <c r="F27" s="4">
        <v>0</v>
      </c>
      <c r="G27" s="4">
        <v>0</v>
      </c>
      <c r="H27" s="4">
        <v>0</v>
      </c>
      <c r="I27" s="4">
        <v>0</v>
      </c>
      <c r="J27" s="4">
        <v>0</v>
      </c>
      <c r="K27" s="4">
        <v>0</v>
      </c>
      <c r="L27" s="4">
        <v>0</v>
      </c>
      <c r="M27" s="4">
        <v>0</v>
      </c>
      <c r="N27" s="4">
        <v>0</v>
      </c>
      <c r="O27" s="41">
        <f t="shared" si="1"/>
        <v>0</v>
      </c>
      <c r="P27" s="4">
        <v>0</v>
      </c>
    </row>
    <row r="28" spans="1:16" s="5" customFormat="1" ht="16.5" customHeight="1" thickBot="1">
      <c r="A28" s="38" t="s">
        <v>12</v>
      </c>
      <c r="B28" s="89"/>
      <c r="C28" s="4">
        <v>0</v>
      </c>
      <c r="D28" s="4">
        <v>0</v>
      </c>
      <c r="E28" s="4">
        <v>0</v>
      </c>
      <c r="F28" s="4">
        <v>0</v>
      </c>
      <c r="G28" s="4">
        <v>0</v>
      </c>
      <c r="H28" s="4">
        <v>0</v>
      </c>
      <c r="I28" s="4">
        <v>0</v>
      </c>
      <c r="J28" s="4">
        <v>0</v>
      </c>
      <c r="K28" s="4">
        <v>0</v>
      </c>
      <c r="L28" s="4">
        <v>0</v>
      </c>
      <c r="M28" s="4">
        <v>0</v>
      </c>
      <c r="N28" s="4">
        <v>0</v>
      </c>
      <c r="O28" s="41">
        <f t="shared" si="1"/>
        <v>0</v>
      </c>
      <c r="P28" s="4">
        <v>0</v>
      </c>
    </row>
    <row r="29" spans="1:16" s="5" customFormat="1" ht="16.5" customHeight="1" thickBot="1">
      <c r="A29" s="38" t="s">
        <v>12</v>
      </c>
      <c r="B29" s="89"/>
      <c r="C29" s="4">
        <v>0</v>
      </c>
      <c r="D29" s="4">
        <v>0</v>
      </c>
      <c r="E29" s="4">
        <v>0</v>
      </c>
      <c r="F29" s="4">
        <v>0</v>
      </c>
      <c r="G29" s="4">
        <v>0</v>
      </c>
      <c r="H29" s="4">
        <v>0</v>
      </c>
      <c r="I29" s="4">
        <v>0</v>
      </c>
      <c r="J29" s="4">
        <v>0</v>
      </c>
      <c r="K29" s="4">
        <v>0</v>
      </c>
      <c r="L29" s="4">
        <v>0</v>
      </c>
      <c r="M29" s="4">
        <v>0</v>
      </c>
      <c r="N29" s="4">
        <v>0</v>
      </c>
      <c r="O29" s="41">
        <f t="shared" si="1"/>
        <v>0</v>
      </c>
      <c r="P29" s="4">
        <v>0</v>
      </c>
    </row>
    <row r="30" spans="1:16" s="5" customFormat="1" ht="16.5" customHeight="1" thickBot="1">
      <c r="A30" s="38" t="s">
        <v>12</v>
      </c>
      <c r="B30" s="89"/>
      <c r="C30" s="4">
        <v>0</v>
      </c>
      <c r="D30" s="4">
        <v>0</v>
      </c>
      <c r="E30" s="4">
        <v>0</v>
      </c>
      <c r="F30" s="4">
        <v>0</v>
      </c>
      <c r="G30" s="4">
        <v>0</v>
      </c>
      <c r="H30" s="4">
        <v>0</v>
      </c>
      <c r="I30" s="4">
        <v>0</v>
      </c>
      <c r="J30" s="4">
        <v>0</v>
      </c>
      <c r="K30" s="4">
        <v>0</v>
      </c>
      <c r="L30" s="4">
        <v>0</v>
      </c>
      <c r="M30" s="4">
        <v>0</v>
      </c>
      <c r="N30" s="4">
        <v>0</v>
      </c>
      <c r="O30" s="41">
        <f t="shared" si="1"/>
        <v>0</v>
      </c>
      <c r="P30" s="4">
        <v>0</v>
      </c>
    </row>
    <row r="31" spans="1:16" s="5" customFormat="1" ht="16.5" customHeight="1" thickBot="1">
      <c r="A31" s="40" t="s">
        <v>12</v>
      </c>
      <c r="B31" s="90"/>
      <c r="C31" s="4">
        <v>0</v>
      </c>
      <c r="D31" s="4">
        <v>0</v>
      </c>
      <c r="E31" s="4">
        <v>0</v>
      </c>
      <c r="F31" s="4">
        <v>0</v>
      </c>
      <c r="G31" s="4">
        <v>0</v>
      </c>
      <c r="H31" s="4">
        <v>0</v>
      </c>
      <c r="I31" s="4">
        <v>0</v>
      </c>
      <c r="J31" s="4">
        <v>0</v>
      </c>
      <c r="K31" s="4">
        <v>0</v>
      </c>
      <c r="L31" s="4">
        <v>0</v>
      </c>
      <c r="M31" s="4">
        <v>0</v>
      </c>
      <c r="N31" s="4">
        <v>0</v>
      </c>
      <c r="O31" s="41">
        <f t="shared" si="1"/>
        <v>0</v>
      </c>
      <c r="P31" s="4">
        <v>0</v>
      </c>
    </row>
    <row r="32" spans="1:16" s="5" customFormat="1" ht="18.75" thickBot="1">
      <c r="A32" s="67" t="s">
        <v>13</v>
      </c>
      <c r="B32" s="68"/>
      <c r="C32" s="34">
        <f t="shared" ref="C32:N32" si="2">SUM(C9:C31)</f>
        <v>1</v>
      </c>
      <c r="D32" s="34">
        <f t="shared" si="2"/>
        <v>0</v>
      </c>
      <c r="E32" s="34">
        <f t="shared" si="2"/>
        <v>0</v>
      </c>
      <c r="F32" s="34">
        <f t="shared" si="2"/>
        <v>0</v>
      </c>
      <c r="G32" s="34">
        <f t="shared" si="2"/>
        <v>0</v>
      </c>
      <c r="H32" s="34">
        <f t="shared" si="2"/>
        <v>0</v>
      </c>
      <c r="I32" s="34">
        <f t="shared" ref="I32:M32" si="3">SUM(I9:I31)</f>
        <v>0</v>
      </c>
      <c r="J32" s="34">
        <f t="shared" si="3"/>
        <v>0</v>
      </c>
      <c r="K32" s="34">
        <f t="shared" si="3"/>
        <v>0</v>
      </c>
      <c r="L32" s="34">
        <f t="shared" si="3"/>
        <v>0</v>
      </c>
      <c r="M32" s="34">
        <f t="shared" si="3"/>
        <v>0</v>
      </c>
      <c r="N32" s="34">
        <f t="shared" si="2"/>
        <v>0</v>
      </c>
      <c r="O32" s="7">
        <v>0</v>
      </c>
      <c r="P32" s="34">
        <f t="shared" ref="P32" si="4">SUM(P9:P31)</f>
        <v>1</v>
      </c>
    </row>
    <row r="33" spans="1:16" s="5" customFormat="1" ht="18.75" thickBot="1">
      <c r="A33" s="69" t="s">
        <v>14</v>
      </c>
      <c r="B33" s="70"/>
      <c r="C33" s="36">
        <f>C32</f>
        <v>1</v>
      </c>
      <c r="D33" s="36">
        <f>D32</f>
        <v>0</v>
      </c>
      <c r="E33" s="36">
        <f>E32</f>
        <v>0</v>
      </c>
      <c r="F33" s="36">
        <f>F32</f>
        <v>0</v>
      </c>
      <c r="G33" s="36">
        <f>G32</f>
        <v>0</v>
      </c>
      <c r="H33" s="36">
        <f>H32*H8</f>
        <v>0</v>
      </c>
      <c r="I33" s="36">
        <f t="shared" ref="I33:M33" si="5">I32*I8</f>
        <v>0</v>
      </c>
      <c r="J33" s="36">
        <f t="shared" si="5"/>
        <v>0</v>
      </c>
      <c r="K33" s="36">
        <f t="shared" si="5"/>
        <v>0</v>
      </c>
      <c r="L33" s="36">
        <f t="shared" si="5"/>
        <v>0</v>
      </c>
      <c r="M33" s="36">
        <f t="shared" si="5"/>
        <v>0</v>
      </c>
      <c r="N33" s="36">
        <f>N32</f>
        <v>0</v>
      </c>
      <c r="O33" s="35">
        <f>SUM(C33:N33)</f>
        <v>1</v>
      </c>
      <c r="P33" s="36">
        <f t="shared" ref="P33" si="6">P32</f>
        <v>1</v>
      </c>
    </row>
    <row r="34" spans="1:16" s="5" customFormat="1" ht="16.5" thickBot="1">
      <c r="A34" s="8"/>
      <c r="B34" s="8"/>
      <c r="C34" s="8"/>
      <c r="D34" s="9"/>
      <c r="E34" s="9"/>
      <c r="F34" s="9"/>
      <c r="G34" s="9"/>
      <c r="H34" s="9"/>
      <c r="I34" s="9"/>
      <c r="J34" s="9"/>
      <c r="K34" s="9"/>
      <c r="L34" s="9"/>
      <c r="M34" s="9"/>
      <c r="N34" s="9"/>
      <c r="O34" s="9"/>
      <c r="P34" s="9"/>
    </row>
    <row r="35" spans="1:16" s="10" customFormat="1" ht="50.1" customHeight="1" thickBot="1">
      <c r="A35" s="22" t="s">
        <v>15</v>
      </c>
      <c r="B35" s="23" t="s">
        <v>16</v>
      </c>
      <c r="D35" s="63" t="s">
        <v>71</v>
      </c>
      <c r="E35" s="64"/>
      <c r="F35" s="45" t="s">
        <v>76</v>
      </c>
      <c r="G35" s="74" t="s">
        <v>72</v>
      </c>
      <c r="H35" s="75"/>
      <c r="I35" s="75"/>
      <c r="J35" s="75"/>
      <c r="K35" s="75"/>
      <c r="L35" s="75"/>
      <c r="M35" s="75"/>
      <c r="N35" s="76"/>
      <c r="O35" s="13"/>
      <c r="P35" s="13"/>
    </row>
    <row r="36" spans="1:16" s="12" customFormat="1" ht="33.75" customHeight="1">
      <c r="A36" s="24" t="s">
        <v>17</v>
      </c>
      <c r="B36" s="17">
        <v>0</v>
      </c>
      <c r="D36" s="77" t="s">
        <v>80</v>
      </c>
      <c r="E36" s="78"/>
      <c r="F36" s="85">
        <v>0</v>
      </c>
      <c r="G36" s="102" t="s">
        <v>73</v>
      </c>
      <c r="H36" s="103"/>
      <c r="I36" s="103"/>
      <c r="J36" s="103"/>
      <c r="K36" s="103"/>
      <c r="L36" s="103"/>
      <c r="M36" s="103"/>
      <c r="N36" s="104"/>
      <c r="O36" s="13"/>
      <c r="P36" s="13"/>
    </row>
    <row r="37" spans="1:16" s="12" customFormat="1" ht="27" customHeight="1">
      <c r="A37" s="24" t="s">
        <v>18</v>
      </c>
      <c r="B37" s="17">
        <v>0</v>
      </c>
      <c r="D37" s="56"/>
      <c r="E37" s="57"/>
      <c r="F37" s="53"/>
      <c r="G37" s="105"/>
      <c r="H37" s="106"/>
      <c r="I37" s="106"/>
      <c r="J37" s="106"/>
      <c r="K37" s="106"/>
      <c r="L37" s="106"/>
      <c r="M37" s="106"/>
      <c r="N37" s="107"/>
      <c r="O37" s="13"/>
      <c r="P37" s="29"/>
    </row>
    <row r="38" spans="1:16" s="12" customFormat="1" ht="18.75" customHeight="1">
      <c r="A38" s="24" t="s">
        <v>19</v>
      </c>
      <c r="B38" s="17">
        <v>0</v>
      </c>
      <c r="D38" s="59" t="s">
        <v>74</v>
      </c>
      <c r="E38" s="60"/>
      <c r="F38" s="52">
        <v>0</v>
      </c>
      <c r="G38" s="79" t="s">
        <v>75</v>
      </c>
      <c r="H38" s="80"/>
      <c r="I38" s="80"/>
      <c r="J38" s="80"/>
      <c r="K38" s="80"/>
      <c r="L38" s="80"/>
      <c r="M38" s="80"/>
      <c r="N38" s="81"/>
      <c r="O38" s="13"/>
      <c r="P38" s="29"/>
    </row>
    <row r="39" spans="1:16" s="12" customFormat="1" ht="23.25" customHeight="1">
      <c r="A39" s="24" t="s">
        <v>20</v>
      </c>
      <c r="B39" s="17">
        <v>0</v>
      </c>
      <c r="D39" s="61"/>
      <c r="E39" s="62"/>
      <c r="F39" s="53"/>
      <c r="G39" s="82"/>
      <c r="H39" s="83"/>
      <c r="I39" s="83"/>
      <c r="J39" s="83"/>
      <c r="K39" s="83"/>
      <c r="L39" s="83"/>
      <c r="M39" s="83"/>
      <c r="N39" s="84"/>
      <c r="O39" s="13"/>
      <c r="P39" s="29"/>
    </row>
    <row r="40" spans="1:16" s="12" customFormat="1" ht="36" customHeight="1">
      <c r="A40" s="24" t="s">
        <v>21</v>
      </c>
      <c r="B40" s="17">
        <v>0</v>
      </c>
      <c r="D40" s="59" t="s">
        <v>78</v>
      </c>
      <c r="E40" s="71"/>
      <c r="F40" s="52">
        <v>0</v>
      </c>
      <c r="G40" s="79" t="s">
        <v>77</v>
      </c>
      <c r="H40" s="80"/>
      <c r="I40" s="80"/>
      <c r="J40" s="80"/>
      <c r="K40" s="80"/>
      <c r="L40" s="80"/>
      <c r="M40" s="80"/>
      <c r="N40" s="81"/>
      <c r="O40" s="13"/>
      <c r="P40" s="100"/>
    </row>
    <row r="41" spans="1:16" s="12" customFormat="1" ht="28.5" customHeight="1">
      <c r="A41" s="24" t="s">
        <v>22</v>
      </c>
      <c r="B41" s="17">
        <v>0</v>
      </c>
      <c r="D41" s="72"/>
      <c r="E41" s="73"/>
      <c r="F41" s="53"/>
      <c r="G41" s="82"/>
      <c r="H41" s="83"/>
      <c r="I41" s="83"/>
      <c r="J41" s="83"/>
      <c r="K41" s="83"/>
      <c r="L41" s="83"/>
      <c r="M41" s="83"/>
      <c r="N41" s="84"/>
      <c r="O41" s="13"/>
      <c r="P41" s="101"/>
    </row>
    <row r="42" spans="1:16" s="12" customFormat="1" ht="29.25" customHeight="1">
      <c r="A42" s="24" t="s">
        <v>23</v>
      </c>
      <c r="B42" s="17">
        <v>0</v>
      </c>
      <c r="D42" s="59" t="s">
        <v>79</v>
      </c>
      <c r="E42" s="71"/>
      <c r="F42" s="52">
        <v>0</v>
      </c>
      <c r="G42" s="79" t="s">
        <v>81</v>
      </c>
      <c r="H42" s="80"/>
      <c r="I42" s="80"/>
      <c r="J42" s="80"/>
      <c r="K42" s="80"/>
      <c r="L42" s="80"/>
      <c r="M42" s="120"/>
      <c r="N42" s="121"/>
      <c r="O42" s="13"/>
      <c r="P42" s="29"/>
    </row>
    <row r="43" spans="1:16" s="12" customFormat="1" ht="33.75" customHeight="1">
      <c r="A43" s="24" t="s">
        <v>24</v>
      </c>
      <c r="B43" s="17">
        <v>0</v>
      </c>
      <c r="D43" s="72"/>
      <c r="E43" s="73"/>
      <c r="F43" s="53"/>
      <c r="G43" s="82"/>
      <c r="H43" s="83"/>
      <c r="I43" s="83"/>
      <c r="J43" s="83"/>
      <c r="K43" s="83"/>
      <c r="L43" s="83"/>
      <c r="M43" s="122"/>
      <c r="N43" s="123"/>
      <c r="O43" s="13"/>
      <c r="P43" s="13"/>
    </row>
    <row r="44" spans="1:16" s="12" customFormat="1" ht="27.95" customHeight="1">
      <c r="A44" s="24" t="s">
        <v>25</v>
      </c>
      <c r="B44" s="17">
        <v>0</v>
      </c>
      <c r="D44" s="59" t="s">
        <v>84</v>
      </c>
      <c r="E44" s="71"/>
      <c r="F44" s="58">
        <v>0</v>
      </c>
      <c r="G44" s="117" t="s">
        <v>85</v>
      </c>
      <c r="H44" s="118"/>
      <c r="I44" s="118"/>
      <c r="J44" s="118"/>
      <c r="K44" s="118"/>
      <c r="L44" s="118"/>
      <c r="M44" s="118"/>
      <c r="N44" s="119"/>
      <c r="O44" s="13"/>
      <c r="P44" s="30"/>
    </row>
    <row r="45" spans="1:16" s="12" customFormat="1" ht="25.5" customHeight="1">
      <c r="A45" s="24" t="s">
        <v>26</v>
      </c>
      <c r="B45" s="17">
        <v>0</v>
      </c>
      <c r="D45" s="72"/>
      <c r="E45" s="73"/>
      <c r="F45" s="53"/>
      <c r="G45" s="105"/>
      <c r="H45" s="106"/>
      <c r="I45" s="106"/>
      <c r="J45" s="106"/>
      <c r="K45" s="106"/>
      <c r="L45" s="106"/>
      <c r="M45" s="106"/>
      <c r="N45" s="107"/>
      <c r="O45" s="13"/>
      <c r="P45" s="13"/>
    </row>
    <row r="46" spans="1:16" s="12" customFormat="1" ht="24.75" customHeight="1">
      <c r="A46" s="24" t="s">
        <v>27</v>
      </c>
      <c r="B46" s="17">
        <v>0</v>
      </c>
      <c r="D46" s="54" t="s">
        <v>82</v>
      </c>
      <c r="E46" s="55"/>
      <c r="F46" s="52">
        <v>0</v>
      </c>
      <c r="G46" s="114" t="s">
        <v>68</v>
      </c>
      <c r="H46" s="115"/>
      <c r="I46" s="115"/>
      <c r="J46" s="115"/>
      <c r="K46" s="115"/>
      <c r="L46" s="115"/>
      <c r="M46" s="115"/>
      <c r="N46" s="116"/>
      <c r="O46" s="13"/>
      <c r="P46" s="13"/>
    </row>
    <row r="47" spans="1:16" s="12" customFormat="1" ht="27.95" customHeight="1">
      <c r="A47" s="24" t="s">
        <v>28</v>
      </c>
      <c r="B47" s="17">
        <v>0</v>
      </c>
      <c r="D47" s="56"/>
      <c r="E47" s="57"/>
      <c r="F47" s="53"/>
      <c r="G47" s="105"/>
      <c r="H47" s="106"/>
      <c r="I47" s="106"/>
      <c r="J47" s="106"/>
      <c r="K47" s="106"/>
      <c r="L47" s="106"/>
      <c r="M47" s="106"/>
      <c r="N47" s="107"/>
      <c r="O47" s="13"/>
      <c r="P47" s="13"/>
    </row>
    <row r="48" spans="1:16" s="12" customFormat="1" ht="27.95" customHeight="1">
      <c r="A48" s="15" t="s">
        <v>12</v>
      </c>
      <c r="B48" s="17">
        <v>0</v>
      </c>
      <c r="D48" s="59" t="s">
        <v>86</v>
      </c>
      <c r="E48" s="60"/>
      <c r="F48" s="58">
        <v>0</v>
      </c>
      <c r="G48" s="79" t="s">
        <v>83</v>
      </c>
      <c r="H48" s="80"/>
      <c r="I48" s="80"/>
      <c r="J48" s="80"/>
      <c r="K48" s="80"/>
      <c r="L48" s="80"/>
      <c r="M48" s="80"/>
      <c r="N48" s="81"/>
      <c r="O48" s="13"/>
      <c r="P48" s="13"/>
    </row>
    <row r="49" spans="1:16" s="12" customFormat="1" ht="14.1" customHeight="1" thickBot="1">
      <c r="A49" s="16" t="s">
        <v>12</v>
      </c>
      <c r="B49" s="27">
        <v>0</v>
      </c>
      <c r="D49" s="61"/>
      <c r="E49" s="62"/>
      <c r="F49" s="53"/>
      <c r="G49" s="82"/>
      <c r="H49" s="83"/>
      <c r="I49" s="83"/>
      <c r="J49" s="83"/>
      <c r="K49" s="83"/>
      <c r="L49" s="83"/>
      <c r="M49" s="83"/>
      <c r="N49" s="84"/>
      <c r="O49" s="13"/>
      <c r="P49" s="13"/>
    </row>
    <row r="50" spans="1:16" s="12" customFormat="1" ht="43.5" customHeight="1" thickBot="1">
      <c r="A50" s="14"/>
      <c r="B50" s="28"/>
      <c r="D50" s="59" t="s">
        <v>87</v>
      </c>
      <c r="E50" s="71"/>
      <c r="F50" s="58">
        <v>0</v>
      </c>
      <c r="G50" s="79" t="s">
        <v>69</v>
      </c>
      <c r="H50" s="80"/>
      <c r="I50" s="80"/>
      <c r="J50" s="80"/>
      <c r="K50" s="80"/>
      <c r="L50" s="80"/>
      <c r="M50" s="80"/>
      <c r="N50" s="81"/>
      <c r="O50" s="13"/>
      <c r="P50" s="13"/>
    </row>
    <row r="51" spans="1:16" s="12" customFormat="1" ht="14.1" customHeight="1" thickBot="1">
      <c r="A51" s="46" t="s">
        <v>29</v>
      </c>
      <c r="B51" s="48">
        <v>0.1</v>
      </c>
      <c r="C51" s="50" t="s">
        <v>47</v>
      </c>
      <c r="D51" s="108"/>
      <c r="E51" s="109"/>
      <c r="F51" s="110"/>
      <c r="G51" s="111"/>
      <c r="H51" s="112"/>
      <c r="I51" s="112"/>
      <c r="J51" s="112"/>
      <c r="K51" s="112"/>
      <c r="L51" s="112"/>
      <c r="M51" s="112"/>
      <c r="N51" s="113"/>
      <c r="O51" s="13"/>
      <c r="P51" s="13"/>
    </row>
    <row r="52" spans="1:16" s="12" customFormat="1" ht="35.25" customHeight="1" thickBot="1">
      <c r="A52" s="47"/>
      <c r="B52" s="49"/>
      <c r="C52" s="51"/>
      <c r="D52" s="10"/>
      <c r="E52" s="10"/>
      <c r="F52" s="10"/>
      <c r="G52" s="10"/>
      <c r="H52" s="10"/>
      <c r="I52" s="10"/>
      <c r="J52" s="10"/>
      <c r="K52" s="10"/>
      <c r="L52" s="10"/>
      <c r="M52" s="10"/>
      <c r="N52" s="10"/>
      <c r="O52" s="13"/>
      <c r="P52" s="13"/>
    </row>
    <row r="53" spans="1:16" s="12" customFormat="1" ht="14.1" customHeight="1">
      <c r="D53" s="44"/>
      <c r="E53" s="44"/>
      <c r="F53" s="1"/>
      <c r="G53" s="1"/>
      <c r="H53" s="1"/>
      <c r="I53" s="1"/>
      <c r="J53" s="1"/>
      <c r="K53" s="1"/>
      <c r="L53" s="1"/>
      <c r="M53" s="1"/>
      <c r="N53" s="1"/>
    </row>
    <row r="54" spans="1:16" s="12" customFormat="1">
      <c r="A54" s="26" t="s">
        <v>30</v>
      </c>
      <c r="B54" s="26"/>
      <c r="C54" s="26"/>
      <c r="D54" s="1"/>
      <c r="E54" s="1"/>
      <c r="F54" s="1"/>
      <c r="G54" s="1"/>
      <c r="H54" s="1"/>
      <c r="I54" s="1"/>
      <c r="J54" s="1"/>
      <c r="K54" s="1"/>
      <c r="L54" s="1"/>
      <c r="M54" s="1"/>
      <c r="N54" s="1"/>
    </row>
    <row r="55" spans="1:16" s="12" customFormat="1">
      <c r="A55" s="25" t="s">
        <v>31</v>
      </c>
      <c r="B55" s="25"/>
      <c r="C55" s="25"/>
      <c r="D55" s="1"/>
      <c r="E55" s="1"/>
      <c r="F55" s="1"/>
      <c r="G55" s="1"/>
      <c r="H55" s="1"/>
      <c r="I55" s="1"/>
      <c r="J55" s="1"/>
      <c r="K55" s="1"/>
      <c r="L55" s="1"/>
      <c r="M55" s="1"/>
      <c r="N55" s="1"/>
    </row>
    <row r="56" spans="1:16" s="12" customFormat="1" ht="15">
      <c r="A56" s="42" t="s">
        <v>44</v>
      </c>
      <c r="B56" s="43"/>
      <c r="C56" s="43"/>
      <c r="D56" s="42"/>
      <c r="E56" s="43"/>
      <c r="F56" s="1"/>
      <c r="G56" s="1"/>
      <c r="H56" s="1"/>
      <c r="I56" s="1"/>
      <c r="J56" s="1"/>
      <c r="K56" s="1"/>
      <c r="L56" s="1"/>
      <c r="M56" s="1"/>
      <c r="N56" s="1"/>
    </row>
    <row r="57" spans="1:16" s="10" customFormat="1" ht="12" customHeight="1">
      <c r="D57" s="44"/>
      <c r="E57" s="44"/>
      <c r="F57" s="1"/>
      <c r="G57" s="1"/>
      <c r="H57" s="1"/>
      <c r="I57" s="1"/>
      <c r="J57" s="1"/>
      <c r="K57" s="1"/>
      <c r="L57" s="1"/>
      <c r="M57" s="1"/>
      <c r="N57" s="1"/>
    </row>
    <row r="68" spans="1:3">
      <c r="A68" s="11"/>
      <c r="B68" s="11"/>
      <c r="C68" s="11"/>
    </row>
    <row r="69" spans="1:3">
      <c r="A69" s="11"/>
      <c r="B69" s="11"/>
      <c r="C69" s="11"/>
    </row>
    <row r="71" spans="1:3" ht="12" customHeight="1"/>
  </sheetData>
  <sheetProtection password="CA4B" sheet="1" objects="1" scenarios="1" selectLockedCells="1"/>
  <mergeCells count="54">
    <mergeCell ref="G48:N49"/>
    <mergeCell ref="D50:E51"/>
    <mergeCell ref="F50:F51"/>
    <mergeCell ref="G50:N51"/>
    <mergeCell ref="D42:E43"/>
    <mergeCell ref="F42:F43"/>
    <mergeCell ref="D44:E45"/>
    <mergeCell ref="G46:N47"/>
    <mergeCell ref="G44:N45"/>
    <mergeCell ref="G42:N43"/>
    <mergeCell ref="P40:P41"/>
    <mergeCell ref="I5:I6"/>
    <mergeCell ref="J5:J6"/>
    <mergeCell ref="K5:K6"/>
    <mergeCell ref="L5:L6"/>
    <mergeCell ref="M5:M6"/>
    <mergeCell ref="G36:N37"/>
    <mergeCell ref="G38:N39"/>
    <mergeCell ref="H5:H6"/>
    <mergeCell ref="A1:P1"/>
    <mergeCell ref="A2:P2"/>
    <mergeCell ref="A3:P3"/>
    <mergeCell ref="A8:B8"/>
    <mergeCell ref="B9:B31"/>
    <mergeCell ref="A7:B7"/>
    <mergeCell ref="C5:C6"/>
    <mergeCell ref="A4:O4"/>
    <mergeCell ref="A5:B6"/>
    <mergeCell ref="N5:N6"/>
    <mergeCell ref="P5:P6"/>
    <mergeCell ref="O5:O6"/>
    <mergeCell ref="F5:F6"/>
    <mergeCell ref="D5:D6"/>
    <mergeCell ref="E5:E6"/>
    <mergeCell ref="D35:E35"/>
    <mergeCell ref="G5:G6"/>
    <mergeCell ref="A32:B32"/>
    <mergeCell ref="A33:B33"/>
    <mergeCell ref="D40:E41"/>
    <mergeCell ref="D38:E39"/>
    <mergeCell ref="G35:N35"/>
    <mergeCell ref="D36:E37"/>
    <mergeCell ref="F38:F39"/>
    <mergeCell ref="G40:N41"/>
    <mergeCell ref="F36:F37"/>
    <mergeCell ref="A51:A52"/>
    <mergeCell ref="B51:B52"/>
    <mergeCell ref="C51:C52"/>
    <mergeCell ref="F40:F41"/>
    <mergeCell ref="D46:E47"/>
    <mergeCell ref="F46:F47"/>
    <mergeCell ref="F44:F45"/>
    <mergeCell ref="D48:E49"/>
    <mergeCell ref="F48:F49"/>
  </mergeCells>
  <phoneticPr fontId="8" type="noConversion"/>
  <printOptions horizontalCentered="1" verticalCentered="1"/>
  <pageMargins left="0.25" right="0.25" top="0.5" bottom="0.25" header="0.3" footer="0.3"/>
  <pageSetup scale="46" orientation="landscape" r:id="rId1"/>
  <headerFooter alignWithMargins="0">
    <oddFooter>&amp;R&amp;"Arial,Bold"RFB Bid Quotation Form, BSF Carmichaels, PADEP ID #30-23878, PAUSTIF Claim #2007-0134(F))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Base SOW - Cost Table</vt:lpstr>
      <vt:lpstr>'Base SOW - Cost Table'!Print_Area</vt:lpstr>
    </vt:vector>
  </TitlesOfParts>
  <Company>Excalibur Group, LLC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 Roberts</dc:creator>
  <cp:lastModifiedBy>Amy Steiner</cp:lastModifiedBy>
  <cp:lastPrinted>2013-10-22T13:34:49Z</cp:lastPrinted>
  <dcterms:created xsi:type="dcterms:W3CDTF">2009-03-12T14:50:14Z</dcterms:created>
  <dcterms:modified xsi:type="dcterms:W3CDTF">2013-12-06T16:15:49Z</dcterms:modified>
</cp:coreProperties>
</file>