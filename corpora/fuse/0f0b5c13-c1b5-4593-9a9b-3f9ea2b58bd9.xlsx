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2" sheetId="10"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2">'Certification Page'!$A$1:$S$22</definedName>
    <definedName name="_xlnm.Print_Area" localSheetId="3">'PCS Parameter Codes'!$A$1:$D$76</definedName>
    <definedName name="_xlnm.Print_Area" localSheetId="0">'PPI 001'!$A$1:$S$43</definedName>
    <definedName name="_xlnm.Print_Area" localSheetId="1">'PPI 002'!$A$1:$S$43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39" i="10"/>
  <c r="D38"/>
  <c r="D37"/>
  <c r="D5"/>
  <c r="D4"/>
  <c r="S137"/>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Q45"/>
  <c r="P45"/>
  <c r="O45"/>
  <c r="N45"/>
  <c r="M45"/>
  <c r="L45"/>
  <c r="K45"/>
  <c r="J45"/>
  <c r="I45"/>
  <c r="H45"/>
  <c r="G45"/>
  <c r="F45"/>
  <c r="E45"/>
  <c r="S39"/>
  <c r="R39"/>
  <c r="Q39"/>
  <c r="P39"/>
  <c r="O39"/>
  <c r="N39"/>
  <c r="M39"/>
  <c r="L39"/>
  <c r="K39"/>
  <c r="J39"/>
  <c r="I39"/>
  <c r="H39"/>
  <c r="G39"/>
  <c r="F39"/>
  <c r="E39"/>
  <c r="S38"/>
  <c r="R38"/>
  <c r="Q38"/>
  <c r="P38"/>
  <c r="O38"/>
  <c r="N38"/>
  <c r="M38"/>
  <c r="L38"/>
  <c r="K38"/>
  <c r="J38"/>
  <c r="I38"/>
  <c r="H38"/>
  <c r="G38"/>
  <c r="F38"/>
  <c r="E38"/>
  <c r="S37"/>
  <c r="R37"/>
  <c r="Q37"/>
  <c r="P37"/>
  <c r="O37"/>
  <c r="N37"/>
  <c r="M37"/>
  <c r="L37"/>
  <c r="K37"/>
  <c r="J37"/>
  <c r="I37"/>
  <c r="H37"/>
  <c r="G37"/>
  <c r="F37"/>
  <c r="E37"/>
  <c r="S5"/>
  <c r="R5"/>
  <c r="Q5"/>
  <c r="P5"/>
  <c r="O5"/>
  <c r="N5"/>
  <c r="M5"/>
  <c r="L5"/>
  <c r="K5"/>
  <c r="J5"/>
  <c r="I5"/>
  <c r="H5"/>
  <c r="G5"/>
  <c r="F5"/>
  <c r="E5"/>
  <c r="S4"/>
  <c r="R4"/>
  <c r="Q4"/>
  <c r="P4"/>
  <c r="O4"/>
  <c r="N4"/>
  <c r="M4"/>
  <c r="L4"/>
  <c r="K4"/>
  <c r="J4"/>
  <c r="I4"/>
  <c r="H4"/>
  <c r="G4"/>
  <c r="F4"/>
  <c r="E4"/>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<sst xmlns="http://schemas.openxmlformats.org/spreadsheetml/2006/main" count="532" uniqueCount="399">
  <si>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</si>
  <si>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</si>
  <si>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</si>
  <si>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</si>
  <si>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</si>
  <si>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</si>
  <si>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</si>
  <si>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</si>
  <si>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</si>
  <si>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</si>
  <si>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</si>
  <si>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</si>
  <si>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</si>
  <si>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</si>
  <si>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</si>
  <si>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</si>
  <si>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</si>
  <si>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</si>
  <si>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</si>
  <si>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</si>
  <si>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</si>
  <si>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</si>
  <si>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</si>
  <si>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</si>
  <si>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</si>
  <si>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</si>
  <si>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</si>
  <si>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</si>
  <si>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</si>
  <si>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</si>
  <si>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</si>
  <si>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</si>
  <si>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</si>
  <si>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</si>
  <si>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</si>
  <si>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</si>
  <si>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</si>
  <si>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</si>
  <si>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</si>
  <si>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</si>
  <si>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</si>
  <si>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</si>
  <si>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</si>
  <si>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</si>
  <si>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</si>
  <si>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</si>
  <si>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</si>
  <si>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</si>
  <si>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</si>
  <si>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</si>
  <si>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</si>
  <si>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</si>
  <si>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</si>
  <si>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</si>
  <si>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</si>
  <si>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</si>
  <si>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</si>
  <si>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</si>
  <si>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</si>
  <si>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</si>
  <si>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</si>
  <si>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</si>
  <si>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</si>
  <si>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</si>
  <si>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</si>
  <si>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</si>
  <si>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</si>
  <si>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</si>
  <si>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</si>
  <si>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</si>
  <si>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</si>
  <si>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</si>
  <si>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</si>
  <si>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</si>
  <si>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</si>
  <si>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</si>
  <si>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</si>
  <si>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</si>
  <si>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</si>
  <si>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</si>
  <si>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</si>
  <si>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</si>
  <si>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</si>
  <si>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</si>
  <si>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</si>
  <si>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</si>
  <si>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</si>
  <si>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</si>
  <si>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</si>
  <si>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</si>
  <si>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</si>
  <si>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</si>
  <si>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</si>
  <si>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</si>
  <si>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</si>
  <si>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</si>
  <si>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</si>
  <si>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</si>
  <si>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</si>
  <si>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</si>
  <si>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</si>
  <si>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</si>
  <si>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</si>
  <si>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</si>
  <si>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</si>
  <si>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</si>
  <si>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</si>
  <si>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</si>
  <si>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</si>
  <si>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</si>
  <si>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</si>
  <si>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</si>
  <si>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</si>
  <si>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</si>
  <si>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</si>
  <si>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</si>
  <si>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</si>
  <si>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</si>
  <si>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</si>
  <si>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</si>
  <si>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</si>
  <si>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</si>
  <si>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</si>
  <si>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</si>
  <si>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</si>
  <si>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</si>
  <si>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</si>
  <si>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</si>
  <si>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</si>
  <si>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</si>
  <si>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</si>
  <si>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</si>
  <si>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</si>
  <si>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</si>
  <si>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</si>
  <si>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</si>
  <si>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</si>
  <si>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</si>
  <si>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</si>
  <si>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</si>
  <si>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</si>
  <si>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</si>
  <si>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</si>
  <si>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</si>
  <si>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</si>
  <si>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</si>
  <si>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</si>
  <si>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</si>
  <si>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</si>
  <si>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</si>
  <si>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</si>
  <si>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</si>
  <si>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</si>
  <si>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</si>
  <si>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</si>
  <si>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</si>
  <si>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</si>
  <si>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</si>
  <si>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</si>
  <si>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</si>
  <si>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</si>
  <si>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</si>
  <si>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</si>
  <si>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</si>
  <si>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</si>
  <si>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</si>
  <si>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</si>
  <si>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</si>
  <si>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</si>
  <si>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</si>
  <si>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</si>
  <si>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</si>
  <si>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</si>
  <si>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</si>
  <si>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</si>
  <si>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</si>
  <si>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</si>
  <si>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</si>
  <si>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</si>
  <si>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</si>
  <si>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</si>
  <si>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</si>
  <si>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</si>
  <si>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</si>
  <si>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</si>
  <si>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</si>
  <si>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</si>
  <si>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</si>
  <si>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</si>
  <si>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</si>
  <si>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</si>
  <si>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</si>
  <si>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</si>
  <si>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</si>
  <si>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</si>
  <si>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</si>
  <si>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</si>
  <si>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</si>
  <si>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</si>
  <si>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</si>
  <si>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</si>
  <si>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</si>
  <si>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</si>
  <si>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</si>
  <si>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</si>
  <si>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</si>
  <si>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</si>
  <si>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</si>
  <si>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</si>
  <si>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</si>
  <si>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</si>
  <si>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</si>
  <si>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</si>
  <si>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</si>
  <si>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</si>
  <si>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</si>
  <si>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</si>
  <si>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</si>
  <si>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</si>
  <si>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</si>
  <si>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</si>
  <si>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</si>
  <si>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</si>
  <si>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</si>
  <si>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</si>
  <si>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</si>
  <si>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</si>
  <si>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</si>
  <si>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</si>
  <si>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</si>
  <si>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</si>
  <si>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</si>
  <si>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</si>
  <si>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</si>
  <si>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</si>
  <si>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</si>
  <si>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</si>
  <si>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</si>
  <si>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</si>
  <si>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</si>
  <si>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</si>
  <si>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</si>
  <si>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</si>
  <si>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</si>
  <si>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</si>
  <si>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</si>
  <si>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</si>
  <si>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</si>
  <si>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</si>
  <si>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</si>
  <si>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</si>
  <si>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</si>
  <si>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</si>
  <si>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</si>
  <si>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</si>
  <si>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</si>
  <si>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</si>
  <si>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</si>
  <si>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</si>
  <si>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</si>
  <si>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</si>
  <si>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</si>
  <si>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</si>
  <si>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</si>
  <si>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</si>
  <si>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</si>
  <si>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</si>
  <si>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</si>
  <si>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</si>
  <si>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</si>
  <si>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</si>
  <si>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</si>
  <si>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</si>
  <si>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</si>
  <si>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</si>
  <si>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</si>
  <si>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</si>
  <si>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</si>
  <si>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</si>
  <si>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</si>
  <si>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</si>
  <si>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</si>
  <si>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</si>
  <si>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</si>
  <si>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</si>
  <si>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</si>
  <si>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</si>
  <si>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</si>
  <si>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</si>
  <si>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</si>
  <si>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</si>
  <si>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</si>
  <si>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</si>
  <si>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</si>
  <si>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</si>
  <si>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</si>
  <si>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</si>
  <si>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</si>
  <si>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</si>
  <si>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</si>
  <si>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</si>
  <si>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</si>
  <si>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</si>
  <si>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</si>
  <si>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</si>
  <si>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</si>
  <si>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</si>
  <si>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</si>
  <si>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</si>
  <si>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</si>
  <si>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</si>
  <si>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</si>
  <si>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</si>
  <si>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</si>
  <si>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</si>
  <si>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</si>
  <si>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</si>
  <si>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</si>
  <si>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</si>
  <si>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</si>
  <si>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</si>
  <si>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</si>
  <si>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</si>
  <si>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</si>
  <si>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</si>
  <si>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</si>
  <si>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</si>
  <si>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</si>
  <si>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</si>
  <si>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</si>
  <si>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</si>
  <si>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</si>
  <si>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</si>
  <si>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</si>
  <si>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</si>
  <si>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</si>
  <si>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</si>
  <si>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</si>
  <si>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</si>
  <si>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</si>
  <si>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</si>
  <si>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</si>
  <si>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</si>
  <si>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</si>
  <si>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</si>
  <si>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</si>
  <si>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</si>
  <si>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</si>
  <si>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</si>
  <si>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</si>
  <si>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</si>
  <si>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</si>
  <si>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</si>
  <si>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</si>
  <si>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</si>
  <si>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</si>
  <si>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</si>
  <si>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</si>
  <si>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</si>
  <si>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</si>
  <si>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</si>
  <si>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</si>
  <si>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</si>
  <si>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</si>
  <si>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</si>
  <si>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</si>
  <si>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</si>
  <si>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</si>
  <si>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</si>
  <si>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</si>
  <si>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</si>
  <si>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</si>
  <si>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</si>
  <si>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</si>
  <si>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</si>
  <si>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</si>
  <si>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</si>
  <si>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</si>
  <si>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</si>
  <si>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</si>
  <si>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</si>
  <si>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</si>
  <si>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</si>
  <si>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</si>
  <si>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</si>
  <si>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</si>
  <si>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</si>
  <si>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</si>
  <si>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</si>
  <si>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</si>
  <si>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</si>
  <si>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</si>
  <si>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</si>
  <si>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</si>
  <si>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</si>
  <si>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WQ0001817</t>
  </si>
  <si>
    <t>Albemarle Plantation</t>
  </si>
  <si>
    <t>Continuous</t>
  </si>
  <si>
    <t>3 x Year</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</si>
</sst>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5">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
      <left style="medium">
        <color indexed="64"/>
      </left>
      <right style="thin">
        <color indexed="64"/>
      </right>
      <top style="double">
        <color indexed="64"/>
      </top>
      <bottom style="thin">
        <color indexed="64"/>
      </bottom>
      <diagonal/>
    </border>
  </borders>
  <cellStyleXfs count="1">
    <xf numFmtId="0" fontId="0" fillId="0" borderId="0"/>
  </cellStyleXfs>
  <cellXfs count="210">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3" fillId="2" borderId="19" xfId="0" applyNumberFormat="1" applyFont="1" applyFill="1" applyBorder="1" applyAlignment="1" applyProtection="1">
      <alignment horizontal="center" vertical="center"/>
      <protection locked="0"/>
    </xf>
    <xf numFmtId="0" fontId="0" fillId="0" borderId="28" xfId="0" applyBorder="1" applyAlignment="1">
      <alignment horizontal="right" vertical="center"/>
    </xf>
    <xf numFmtId="0" fontId="0" fillId="0" borderId="19" xfId="0" applyBorder="1" applyAlignment="1">
      <alignment horizontal="right" vertical="center"/>
    </xf>
    <xf numFmtId="164" fontId="4" fillId="4" borderId="64" xfId="0" applyNumberFormat="1" applyFont="1" applyFill="1" applyBorder="1" applyAlignment="1" applyProtection="1">
      <alignment horizontal="center" vertical="center"/>
      <protection locked="0"/>
    </xf>
    <xf numFmtId="164" fontId="4" fillId="4" borderId="8" xfId="0" applyNumberFormat="1" applyFont="1" applyFill="1" applyBorder="1" applyAlignment="1" applyProtection="1">
      <alignment horizontal="center" vertical="center" textRotation="90" wrapText="1"/>
    </xf>
    <xf numFmtId="164" fontId="4" fillId="4" borderId="8" xfId="0" applyNumberFormat="1" applyFont="1" applyFill="1" applyBorder="1" applyAlignment="1" applyProtection="1">
      <alignment horizontal="center" vertical="center"/>
    </xf>
    <xf numFmtId="0" fontId="3" fillId="3" borderId="3"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3" borderId="5" xfId="0" applyNumberFormat="1" applyFont="1" applyFill="1" applyBorder="1" applyAlignment="1" applyProtection="1">
      <alignment horizontal="center" vertical="center"/>
      <protection locked="0"/>
    </xf>
    <xf numFmtId="4" fontId="3" fillId="3" borderId="3" xfId="0" applyNumberFormat="1" applyFont="1" applyFill="1" applyBorder="1" applyAlignment="1" applyProtection="1">
      <alignment horizontal="center" vertical="center"/>
    </xf>
    <xf numFmtId="4" fontId="3" fillId="3" borderId="4" xfId="0" applyNumberFormat="1" applyFont="1" applyFill="1" applyBorder="1" applyAlignment="1" applyProtection="1">
      <alignment horizontal="center" vertical="center"/>
    </xf>
    <xf numFmtId="4" fontId="3" fillId="3" borderId="5" xfId="0" applyNumberFormat="1" applyFont="1" applyFill="1" applyBorder="1" applyAlignment="1" applyProtection="1">
      <alignment horizontal="center" vertical="center"/>
    </xf>
    <xf numFmtId="3" fontId="13" fillId="3" borderId="3" xfId="0" applyNumberFormat="1" applyFont="1" applyFill="1" applyBorder="1" applyAlignment="1" applyProtection="1">
      <alignment horizontal="center" vertical="center"/>
      <protection locked="0"/>
    </xf>
    <xf numFmtId="0" fontId="3" fillId="4" borderId="4" xfId="0" applyNumberFormat="1" applyFont="1" applyFill="1" applyBorder="1" applyAlignment="1" applyProtection="1">
      <alignment horizontal="center" vertical="center"/>
      <protection locked="0"/>
    </xf>
    <xf numFmtId="0" fontId="13" fillId="4" borderId="4" xfId="0"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223</v>
      </c>
      <c r="B1" s="112"/>
      <c r="C1" s="113" t="s">
        <v>395</v>
      </c>
      <c r="D1" s="114"/>
      <c r="E1" s="115" t="s">
        <v>62</v>
      </c>
      <c r="F1" s="116"/>
      <c r="G1" s="113" t="s">
        <v>396</v>
      </c>
      <c r="H1" s="117"/>
      <c r="I1" s="117"/>
      <c r="J1" s="117"/>
      <c r="K1" s="118"/>
      <c r="L1" s="12" t="s">
        <v>65</v>
      </c>
      <c r="M1" s="119" t="s">
        <v>158</v>
      </c>
      <c r="N1" s="92"/>
      <c r="O1" s="12" t="s">
        <v>63</v>
      </c>
      <c r="P1" s="91"/>
      <c r="Q1" s="92"/>
      <c r="R1" s="13" t="s">
        <v>64</v>
      </c>
      <c r="S1" s="25"/>
      <c r="T1" s="3"/>
    </row>
    <row r="2" spans="1:20" ht="22.5" customHeight="1" thickBot="1">
      <c r="A2" s="93" t="s">
        <v>67</v>
      </c>
      <c r="B2" s="94"/>
      <c r="C2" s="14" t="s">
        <v>199</v>
      </c>
      <c r="D2" s="85" t="s">
        <v>367</v>
      </c>
      <c r="E2" s="86"/>
      <c r="F2" s="86"/>
      <c r="G2" s="86"/>
      <c r="H2" s="86"/>
      <c r="I2" s="86"/>
      <c r="J2" s="87"/>
      <c r="K2" s="85" t="s">
        <v>366</v>
      </c>
      <c r="L2" s="86"/>
      <c r="M2" s="86"/>
      <c r="N2" s="86"/>
      <c r="O2" s="86"/>
      <c r="P2" s="86"/>
      <c r="Q2" s="86"/>
      <c r="R2" s="86"/>
      <c r="S2" s="87"/>
    </row>
    <row r="3" spans="1:20" ht="18.75" customHeight="1" thickTop="1">
      <c r="A3" s="88" t="s">
        <v>61</v>
      </c>
      <c r="B3" s="89"/>
      <c r="C3" s="90"/>
      <c r="D3" s="33">
        <v>50050</v>
      </c>
      <c r="E3" s="18"/>
      <c r="F3" s="46"/>
      <c r="G3" s="18"/>
      <c r="H3" s="46"/>
      <c r="I3" s="18"/>
      <c r="J3" s="46"/>
      <c r="K3" s="18"/>
      <c r="L3" s="46"/>
      <c r="M3" s="18"/>
      <c r="N3" s="46"/>
      <c r="O3" s="18"/>
      <c r="P3" s="46"/>
      <c r="Q3" s="18"/>
      <c r="R3" s="46"/>
      <c r="S3" s="28"/>
    </row>
    <row r="4" spans="1:20" ht="71.25" customHeight="1">
      <c r="A4" s="98" t="s">
        <v>69</v>
      </c>
      <c r="B4" s="15" t="s">
        <v>379</v>
      </c>
      <c r="C4" s="16" t="s">
        <v>380</v>
      </c>
      <c r="D4" s="36" t="s">
        <v>230</v>
      </c>
      <c r="E4" s="47" t="str">
        <f>IF(ISBLANK(E$3), " ", VLOOKUP(E$3,'PCS Parameter Codes'!$A$1:$D$76,2,FALSE))</f>
        <v xml:space="preserve"> </v>
      </c>
      <c r="F4" s="48" t="str">
        <f>IF(ISBLANK(F$3), " ", VLOOKUP(F$3,'PCS Parameter Codes'!$A$1:$D$76,2,FALSE))</f>
        <v xml:space="preserve"> </v>
      </c>
      <c r="G4" s="47" t="str">
        <f>IF(ISBLANK(G$3), " ", VLOOKUP(G$3,'PCS Parameter Codes'!$A$1:$D$76,2,FALSE))</f>
        <v xml:space="preserve"> </v>
      </c>
      <c r="H4" s="48" t="str">
        <f>IF(ISBLANK(H$3), " ", VLOOKUP(H$3,'PCS Parameter Codes'!$A$1:$D$76,2,FALSE))</f>
        <v xml:space="preserve"> </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70</v>
      </c>
      <c r="C5" s="58" t="s">
        <v>66</v>
      </c>
      <c r="D5" s="59" t="s">
        <v>231</v>
      </c>
      <c r="E5" s="34" t="str">
        <f>IF(ISBLANK(E$3), " ", VLOOKUP(E$3,'PCS Parameter Codes'!$A$1:$D$76,4,FALSE))</f>
        <v xml:space="preserve"> </v>
      </c>
      <c r="F5" s="37" t="str">
        <f>IF(ISBLANK(F$3), " ", VLOOKUP(F$3,'PCS Parameter Codes'!$A$1:$D$76,4,FALSE))</f>
        <v xml:space="preserve"> </v>
      </c>
      <c r="G5" s="34" t="str">
        <f>IF(ISBLANK(G$3), " ", VLOOKUP(G$3,'PCS Parameter Codes'!$A$1:$D$76,4,FALSE))</f>
        <v xml:space="preserve"> </v>
      </c>
      <c r="H5" s="37" t="str">
        <f>IF(ISBLANK(H$3), " ", VLOOKUP(H$3,'PCS Parameter Codes'!$A$1:$D$76,4,FALSE))</f>
        <v xml:space="preserve"> </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71</v>
      </c>
      <c r="B37" s="96"/>
      <c r="C37" s="97"/>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72</v>
      </c>
      <c r="B38" s="106"/>
      <c r="C38" s="10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73</v>
      </c>
      <c r="B39" s="109"/>
      <c r="C39" s="11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362</v>
      </c>
      <c r="B40" s="104"/>
      <c r="C40" s="105"/>
      <c r="D40" s="64" t="s">
        <v>365</v>
      </c>
      <c r="E40" s="61"/>
      <c r="F40" s="60"/>
      <c r="G40" s="61"/>
      <c r="H40" s="60"/>
      <c r="I40" s="61"/>
      <c r="J40" s="60"/>
      <c r="K40" s="61"/>
      <c r="L40" s="60"/>
      <c r="M40" s="61"/>
      <c r="N40" s="60"/>
      <c r="O40" s="61"/>
      <c r="P40" s="60"/>
      <c r="Q40" s="61"/>
      <c r="R40" s="60"/>
      <c r="S40" s="62"/>
    </row>
    <row r="41" spans="1:19" ht="15" customHeight="1">
      <c r="A41" s="100" t="s">
        <v>373</v>
      </c>
      <c r="B41" s="101"/>
      <c r="C41" s="102"/>
      <c r="D41" s="65">
        <v>200422</v>
      </c>
      <c r="E41" s="6"/>
      <c r="F41" s="63"/>
      <c r="G41" s="6"/>
      <c r="H41" s="63"/>
      <c r="I41" s="6"/>
      <c r="J41" s="63"/>
      <c r="K41" s="6"/>
      <c r="L41" s="63"/>
      <c r="M41" s="6"/>
      <c r="N41" s="63"/>
      <c r="O41" s="6"/>
      <c r="P41" s="63"/>
      <c r="Q41" s="6"/>
      <c r="R41" s="63"/>
      <c r="S41" s="54"/>
    </row>
    <row r="42" spans="1:19" ht="15" customHeight="1">
      <c r="A42" s="80" t="s">
        <v>374</v>
      </c>
      <c r="B42" s="83"/>
      <c r="C42" s="84"/>
      <c r="D42" s="65"/>
      <c r="E42" s="6"/>
      <c r="F42" s="63"/>
      <c r="G42" s="6"/>
      <c r="H42" s="63"/>
      <c r="I42" s="6"/>
      <c r="J42" s="63"/>
      <c r="K42" s="6"/>
      <c r="L42" s="63"/>
      <c r="M42" s="6"/>
      <c r="N42" s="63"/>
      <c r="O42" s="6"/>
      <c r="P42" s="63"/>
      <c r="Q42" s="6"/>
      <c r="R42" s="63"/>
      <c r="S42" s="54"/>
    </row>
    <row r="43" spans="1:19" ht="15" customHeight="1">
      <c r="A43" s="80" t="s">
        <v>375</v>
      </c>
      <c r="B43" s="81"/>
      <c r="C43" s="82"/>
      <c r="D43" s="66" t="s">
        <v>397</v>
      </c>
      <c r="E43" s="67"/>
      <c r="F43" s="68"/>
      <c r="G43" s="67"/>
      <c r="H43" s="68"/>
      <c r="I43" s="67"/>
      <c r="J43" s="68"/>
      <c r="K43" s="67"/>
      <c r="L43" s="68"/>
      <c r="M43" s="67"/>
      <c r="N43" s="68"/>
      <c r="O43" s="67"/>
      <c r="P43" s="68"/>
      <c r="Q43" s="67"/>
      <c r="R43" s="68"/>
      <c r="S43" s="69"/>
    </row>
    <row r="45" spans="1:19" hidden="1">
      <c r="C45" s="1" t="s">
        <v>392</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393</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394</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223</v>
      </c>
      <c r="B1" s="112"/>
      <c r="C1" s="113" t="s">
        <v>395</v>
      </c>
      <c r="D1" s="114"/>
      <c r="E1" s="115" t="s">
        <v>62</v>
      </c>
      <c r="F1" s="116"/>
      <c r="G1" s="113" t="s">
        <v>396</v>
      </c>
      <c r="H1" s="117"/>
      <c r="I1" s="117"/>
      <c r="J1" s="117"/>
      <c r="K1" s="118"/>
      <c r="L1" s="78" t="s">
        <v>65</v>
      </c>
      <c r="M1" s="119" t="s">
        <v>158</v>
      </c>
      <c r="N1" s="92"/>
      <c r="O1" s="78" t="s">
        <v>63</v>
      </c>
      <c r="P1" s="91"/>
      <c r="Q1" s="92"/>
      <c r="R1" s="79" t="s">
        <v>64</v>
      </c>
      <c r="S1" s="25"/>
      <c r="T1" s="3"/>
    </row>
    <row r="2" spans="1:20" ht="22.5" customHeight="1" thickBot="1">
      <c r="A2" s="93" t="s">
        <v>67</v>
      </c>
      <c r="B2" s="94"/>
      <c r="C2" s="14" t="s">
        <v>200</v>
      </c>
      <c r="D2" s="85" t="s">
        <v>367</v>
      </c>
      <c r="E2" s="86"/>
      <c r="F2" s="86"/>
      <c r="G2" s="86"/>
      <c r="H2" s="86"/>
      <c r="I2" s="86"/>
      <c r="J2" s="87"/>
      <c r="K2" s="85" t="s">
        <v>366</v>
      </c>
      <c r="L2" s="86"/>
      <c r="M2" s="86"/>
      <c r="N2" s="86"/>
      <c r="O2" s="86"/>
      <c r="P2" s="86"/>
      <c r="Q2" s="86"/>
      <c r="R2" s="86"/>
      <c r="S2" s="87"/>
    </row>
    <row r="3" spans="1:20" ht="18.75" customHeight="1" thickTop="1">
      <c r="A3" s="88" t="s">
        <v>61</v>
      </c>
      <c r="B3" s="89"/>
      <c r="C3" s="89"/>
      <c r="D3" s="198" t="s">
        <v>16</v>
      </c>
      <c r="E3" s="18" t="s">
        <v>27</v>
      </c>
      <c r="F3" s="46" t="s">
        <v>19</v>
      </c>
      <c r="G3" s="18" t="s">
        <v>48</v>
      </c>
      <c r="H3" s="46" t="s">
        <v>34</v>
      </c>
      <c r="I3" s="18" t="s">
        <v>33</v>
      </c>
      <c r="J3" s="46" t="s">
        <v>44</v>
      </c>
      <c r="K3" s="18" t="s">
        <v>45</v>
      </c>
      <c r="L3" s="46"/>
      <c r="M3" s="18"/>
      <c r="N3" s="46"/>
      <c r="O3" s="18"/>
      <c r="P3" s="46"/>
      <c r="Q3" s="18"/>
      <c r="R3" s="46"/>
      <c r="S3" s="28"/>
    </row>
    <row r="4" spans="1:20" ht="71.25" customHeight="1">
      <c r="A4" s="98" t="s">
        <v>69</v>
      </c>
      <c r="B4" s="15" t="s">
        <v>379</v>
      </c>
      <c r="C4" s="16" t="s">
        <v>380</v>
      </c>
      <c r="D4" s="199" t="str">
        <f>IF(ISBLANK(D$3), " ", VLOOKUP(D$3,'PCS Parameter Codes'!$A$1:$D$76,2,FALSE))</f>
        <v>BOD5</v>
      </c>
      <c r="E4" s="47" t="str">
        <f>IF(ISBLANK(E$3), " ", VLOOKUP(E$3,'PCS Parameter Codes'!$A$1:$D$76,2,FALSE))</f>
        <v>Fecal Coliform</v>
      </c>
      <c r="F4" s="48" t="str">
        <f>IF(ISBLANK(F$3), " ", VLOOKUP(F$3,'PCS Parameter Codes'!$A$1:$D$76,2,FALSE))</f>
        <v>Nitrite + Nitrate</v>
      </c>
      <c r="G4" s="47" t="str">
        <f>IF(ISBLANK(G$3), " ", VLOOKUP(G$3,'PCS Parameter Codes'!$A$1:$D$76,2,FALSE))</f>
        <v>Ammonia</v>
      </c>
      <c r="H4" s="48" t="str">
        <f>IF(ISBLANK(H$3), " ", VLOOKUP(H$3,'PCS Parameter Codes'!$A$1:$D$76,2,FALSE))</f>
        <v>Total Kjeldahl Nitrogen</v>
      </c>
      <c r="I4" s="47" t="str">
        <f>IF(ISBLANK(I$3), " ", VLOOKUP(I$3,'PCS Parameter Codes'!$A$1:$D$76,2,FALSE))</f>
        <v>pH</v>
      </c>
      <c r="J4" s="48" t="str">
        <f>IF(ISBLANK(J$3), " ", VLOOKUP(J$3,'PCS Parameter Codes'!$A$1:$D$76,2,FALSE))</f>
        <v>Total Phosphorus</v>
      </c>
      <c r="K4" s="47" t="str">
        <f>IF(ISBLANK(K$3), " ", VLOOKUP(K$3,'PCS Parameter Codes'!$A$1:$D$76,2,FALSE))</f>
        <v>Total Suspended Solids</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70</v>
      </c>
      <c r="C5" s="58" t="s">
        <v>66</v>
      </c>
      <c r="D5" s="200" t="str">
        <f>IF(ISBLANK(D$3), " ", VLOOKUP(D$3,'PCS Parameter Codes'!$A$1:$D$76,4,FALSE))</f>
        <v>mg/L</v>
      </c>
      <c r="E5" s="34" t="str">
        <f>IF(ISBLANK(E$3), " ", VLOOKUP(E$3,'PCS Parameter Codes'!$A$1:$D$76,4,FALSE))</f>
        <v>#/100 mL</v>
      </c>
      <c r="F5" s="37" t="str">
        <f>IF(ISBLANK(F$3), " ", VLOOKUP(F$3,'PCS Parameter Codes'!$A$1:$D$76,4,FALSE))</f>
        <v>mg/L</v>
      </c>
      <c r="G5" s="34" t="str">
        <f>IF(ISBLANK(G$3), " ", VLOOKUP(G$3,'PCS Parameter Codes'!$A$1:$D$76,4,FALSE))</f>
        <v>mg/L</v>
      </c>
      <c r="H5" s="37" t="str">
        <f>IF(ISBLANK(H$3), " ", VLOOKUP(H$3,'PCS Parameter Codes'!$A$1:$D$76,4,FALSE))</f>
        <v>mg/L</v>
      </c>
      <c r="I5" s="34" t="str">
        <f>IF(ISBLANK(I$3), " ", VLOOKUP(I$3,'PCS Parameter Codes'!$A$1:$D$76,4,FALSE))</f>
        <v>su</v>
      </c>
      <c r="J5" s="37" t="str">
        <f>IF(ISBLANK(J$3), " ", VLOOKUP(J$3,'PCS Parameter Codes'!$A$1:$D$76,4,FALSE))</f>
        <v>mg/L</v>
      </c>
      <c r="K5" s="34" t="str">
        <f>IF(ISBLANK(K$3), " ", VLOOKUP(K$3,'PCS Parameter Codes'!$A$1:$D$76,4,FALSE))</f>
        <v>mg/L</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195"/>
      <c r="D6" s="201"/>
      <c r="E6" s="50"/>
      <c r="F6" s="51"/>
      <c r="G6" s="50"/>
      <c r="H6" s="51"/>
      <c r="I6" s="50"/>
      <c r="J6" s="51"/>
      <c r="K6" s="50"/>
      <c r="L6" s="51"/>
      <c r="M6" s="50"/>
      <c r="N6" s="51"/>
      <c r="O6" s="50"/>
      <c r="P6" s="51"/>
      <c r="Q6" s="50"/>
      <c r="R6" s="51"/>
      <c r="S6" s="52"/>
    </row>
    <row r="7" spans="1:20" ht="15" customHeight="1">
      <c r="A7" s="19">
        <v>2</v>
      </c>
      <c r="B7" s="5"/>
      <c r="C7" s="195"/>
      <c r="D7" s="202"/>
      <c r="E7" s="6"/>
      <c r="F7" s="53"/>
      <c r="G7" s="6"/>
      <c r="H7" s="53"/>
      <c r="I7" s="6"/>
      <c r="J7" s="53"/>
      <c r="K7" s="6"/>
      <c r="L7" s="53"/>
      <c r="M7" s="6"/>
      <c r="N7" s="53"/>
      <c r="O7" s="6"/>
      <c r="P7" s="53"/>
      <c r="Q7" s="6"/>
      <c r="R7" s="53"/>
      <c r="S7" s="54"/>
    </row>
    <row r="8" spans="1:20" ht="15" customHeight="1">
      <c r="A8" s="19">
        <v>3</v>
      </c>
      <c r="B8" s="5"/>
      <c r="C8" s="195"/>
      <c r="D8" s="202"/>
      <c r="E8" s="6"/>
      <c r="F8" s="53"/>
      <c r="G8" s="6"/>
      <c r="H8" s="53"/>
      <c r="I8" s="6"/>
      <c r="J8" s="53"/>
      <c r="K8" s="6"/>
      <c r="L8" s="53"/>
      <c r="M8" s="6"/>
      <c r="N8" s="53"/>
      <c r="O8" s="6"/>
      <c r="P8" s="53"/>
      <c r="Q8" s="6"/>
      <c r="R8" s="53"/>
      <c r="S8" s="54"/>
    </row>
    <row r="9" spans="1:20" ht="15" customHeight="1">
      <c r="A9" s="19">
        <v>4</v>
      </c>
      <c r="B9" s="5"/>
      <c r="C9" s="195"/>
      <c r="D9" s="202"/>
      <c r="E9" s="6"/>
      <c r="F9" s="53"/>
      <c r="G9" s="6"/>
      <c r="H9" s="53"/>
      <c r="I9" s="6"/>
      <c r="J9" s="53"/>
      <c r="K9" s="6"/>
      <c r="L9" s="53"/>
      <c r="M9" s="6"/>
      <c r="N9" s="53"/>
      <c r="O9" s="6"/>
      <c r="P9" s="53"/>
      <c r="Q9" s="6"/>
      <c r="R9" s="53"/>
      <c r="S9" s="54"/>
    </row>
    <row r="10" spans="1:20" ht="15" customHeight="1">
      <c r="A10" s="19">
        <v>5</v>
      </c>
      <c r="B10" s="5"/>
      <c r="C10" s="195"/>
      <c r="D10" s="202"/>
      <c r="E10" s="6"/>
      <c r="F10" s="53"/>
      <c r="G10" s="6"/>
      <c r="H10" s="53"/>
      <c r="I10" s="6"/>
      <c r="J10" s="53"/>
      <c r="K10" s="6"/>
      <c r="L10" s="53"/>
      <c r="M10" s="6"/>
      <c r="N10" s="53"/>
      <c r="O10" s="6"/>
      <c r="P10" s="53"/>
      <c r="Q10" s="6"/>
      <c r="R10" s="53"/>
      <c r="S10" s="54"/>
    </row>
    <row r="11" spans="1:20" ht="15" customHeight="1">
      <c r="A11" s="19">
        <v>6</v>
      </c>
      <c r="B11" s="5"/>
      <c r="C11" s="195"/>
      <c r="D11" s="202"/>
      <c r="E11" s="6"/>
      <c r="F11" s="53"/>
      <c r="G11" s="6"/>
      <c r="H11" s="53"/>
      <c r="I11" s="6"/>
      <c r="J11" s="53"/>
      <c r="K11" s="6"/>
      <c r="L11" s="53"/>
      <c r="M11" s="6"/>
      <c r="N11" s="53"/>
      <c r="O11" s="6"/>
      <c r="P11" s="53"/>
      <c r="Q11" s="6"/>
      <c r="R11" s="53"/>
      <c r="S11" s="54"/>
    </row>
    <row r="12" spans="1:20" ht="15" customHeight="1">
      <c r="A12" s="19">
        <v>7</v>
      </c>
      <c r="B12" s="5"/>
      <c r="C12" s="195"/>
      <c r="D12" s="202"/>
      <c r="E12" s="6"/>
      <c r="F12" s="53"/>
      <c r="G12" s="6"/>
      <c r="H12" s="53"/>
      <c r="I12" s="6"/>
      <c r="J12" s="53"/>
      <c r="K12" s="6"/>
      <c r="L12" s="53"/>
      <c r="M12" s="6"/>
      <c r="N12" s="53"/>
      <c r="O12" s="6"/>
      <c r="P12" s="53"/>
      <c r="Q12" s="6"/>
      <c r="R12" s="53"/>
      <c r="S12" s="54"/>
    </row>
    <row r="13" spans="1:20" ht="15" customHeight="1">
      <c r="A13" s="19">
        <v>8</v>
      </c>
      <c r="B13" s="5"/>
      <c r="C13" s="195"/>
      <c r="D13" s="202"/>
      <c r="E13" s="6"/>
      <c r="F13" s="53"/>
      <c r="G13" s="6"/>
      <c r="H13" s="53"/>
      <c r="I13" s="6"/>
      <c r="J13" s="53"/>
      <c r="K13" s="6"/>
      <c r="L13" s="53"/>
      <c r="M13" s="6"/>
      <c r="N13" s="53"/>
      <c r="O13" s="6"/>
      <c r="P13" s="53"/>
      <c r="Q13" s="6"/>
      <c r="R13" s="53"/>
      <c r="S13" s="54"/>
    </row>
    <row r="14" spans="1:20" ht="15" customHeight="1">
      <c r="A14" s="19">
        <v>9</v>
      </c>
      <c r="B14" s="5"/>
      <c r="C14" s="195"/>
      <c r="D14" s="202"/>
      <c r="E14" s="6"/>
      <c r="F14" s="53"/>
      <c r="G14" s="6"/>
      <c r="H14" s="53"/>
      <c r="I14" s="6"/>
      <c r="J14" s="53"/>
      <c r="K14" s="6"/>
      <c r="L14" s="53"/>
      <c r="M14" s="6"/>
      <c r="N14" s="53"/>
      <c r="O14" s="6"/>
      <c r="P14" s="53"/>
      <c r="Q14" s="6"/>
      <c r="R14" s="53"/>
      <c r="S14" s="54"/>
    </row>
    <row r="15" spans="1:20" ht="15" customHeight="1">
      <c r="A15" s="19">
        <v>10</v>
      </c>
      <c r="B15" s="5"/>
      <c r="C15" s="195"/>
      <c r="D15" s="202"/>
      <c r="E15" s="6"/>
      <c r="F15" s="53"/>
      <c r="G15" s="6"/>
      <c r="H15" s="53"/>
      <c r="I15" s="6"/>
      <c r="J15" s="53"/>
      <c r="K15" s="6"/>
      <c r="L15" s="53"/>
      <c r="M15" s="6"/>
      <c r="N15" s="53"/>
      <c r="O15" s="6"/>
      <c r="P15" s="53"/>
      <c r="Q15" s="6"/>
      <c r="R15" s="53"/>
      <c r="S15" s="54"/>
    </row>
    <row r="16" spans="1:20" ht="15" customHeight="1">
      <c r="A16" s="19">
        <v>11</v>
      </c>
      <c r="B16" s="5"/>
      <c r="C16" s="195"/>
      <c r="D16" s="202"/>
      <c r="E16" s="6"/>
      <c r="F16" s="53"/>
      <c r="G16" s="6"/>
      <c r="H16" s="53"/>
      <c r="I16" s="6"/>
      <c r="J16" s="53"/>
      <c r="K16" s="6"/>
      <c r="L16" s="53"/>
      <c r="M16" s="6"/>
      <c r="N16" s="53"/>
      <c r="O16" s="6"/>
      <c r="P16" s="53"/>
      <c r="Q16" s="6"/>
      <c r="R16" s="53"/>
      <c r="S16" s="54"/>
    </row>
    <row r="17" spans="1:19" ht="15" customHeight="1">
      <c r="A17" s="19">
        <v>12</v>
      </c>
      <c r="B17" s="5"/>
      <c r="C17" s="195"/>
      <c r="D17" s="202"/>
      <c r="E17" s="6"/>
      <c r="F17" s="53"/>
      <c r="G17" s="6"/>
      <c r="H17" s="53"/>
      <c r="I17" s="6"/>
      <c r="J17" s="53"/>
      <c r="K17" s="6"/>
      <c r="L17" s="53"/>
      <c r="M17" s="6"/>
      <c r="N17" s="53"/>
      <c r="O17" s="6"/>
      <c r="P17" s="53"/>
      <c r="Q17" s="6"/>
      <c r="R17" s="53"/>
      <c r="S17" s="54"/>
    </row>
    <row r="18" spans="1:19" ht="15" customHeight="1">
      <c r="A18" s="19">
        <v>13</v>
      </c>
      <c r="B18" s="5"/>
      <c r="C18" s="195"/>
      <c r="D18" s="202"/>
      <c r="E18" s="6"/>
      <c r="F18" s="53"/>
      <c r="G18" s="6"/>
      <c r="H18" s="53"/>
      <c r="I18" s="6"/>
      <c r="J18" s="53"/>
      <c r="K18" s="6"/>
      <c r="L18" s="53"/>
      <c r="M18" s="6"/>
      <c r="N18" s="53"/>
      <c r="O18" s="6"/>
      <c r="P18" s="53"/>
      <c r="Q18" s="6"/>
      <c r="R18" s="53"/>
      <c r="S18" s="54"/>
    </row>
    <row r="19" spans="1:19" ht="15" customHeight="1">
      <c r="A19" s="19">
        <v>14</v>
      </c>
      <c r="B19" s="5"/>
      <c r="C19" s="195"/>
      <c r="D19" s="202"/>
      <c r="E19" s="6"/>
      <c r="F19" s="53"/>
      <c r="G19" s="6"/>
      <c r="H19" s="53"/>
      <c r="I19" s="6"/>
      <c r="J19" s="53"/>
      <c r="K19" s="6"/>
      <c r="L19" s="53"/>
      <c r="M19" s="6"/>
      <c r="N19" s="53"/>
      <c r="O19" s="6"/>
      <c r="P19" s="53"/>
      <c r="Q19" s="6"/>
      <c r="R19" s="53"/>
      <c r="S19" s="54"/>
    </row>
    <row r="20" spans="1:19" ht="15" customHeight="1">
      <c r="A20" s="19">
        <v>15</v>
      </c>
      <c r="B20" s="5"/>
      <c r="C20" s="195"/>
      <c r="D20" s="202"/>
      <c r="E20" s="6"/>
      <c r="F20" s="53"/>
      <c r="G20" s="6"/>
      <c r="H20" s="53"/>
      <c r="I20" s="6"/>
      <c r="J20" s="53"/>
      <c r="K20" s="6"/>
      <c r="L20" s="53"/>
      <c r="M20" s="6"/>
      <c r="N20" s="53"/>
      <c r="O20" s="6"/>
      <c r="P20" s="53"/>
      <c r="Q20" s="6"/>
      <c r="R20" s="53"/>
      <c r="S20" s="54"/>
    </row>
    <row r="21" spans="1:19" ht="15" customHeight="1">
      <c r="A21" s="19">
        <v>16</v>
      </c>
      <c r="B21" s="5"/>
      <c r="C21" s="195"/>
      <c r="D21" s="202"/>
      <c r="E21" s="6"/>
      <c r="F21" s="53"/>
      <c r="G21" s="6"/>
      <c r="H21" s="53"/>
      <c r="I21" s="6"/>
      <c r="J21" s="53"/>
      <c r="K21" s="6"/>
      <c r="L21" s="53"/>
      <c r="M21" s="6"/>
      <c r="N21" s="53"/>
      <c r="O21" s="6"/>
      <c r="P21" s="53"/>
      <c r="Q21" s="6"/>
      <c r="R21" s="53"/>
      <c r="S21" s="54"/>
    </row>
    <row r="22" spans="1:19" ht="15" customHeight="1">
      <c r="A22" s="19">
        <v>17</v>
      </c>
      <c r="B22" s="5"/>
      <c r="C22" s="195"/>
      <c r="D22" s="202"/>
      <c r="E22" s="6"/>
      <c r="F22" s="53"/>
      <c r="G22" s="6"/>
      <c r="H22" s="53"/>
      <c r="I22" s="6"/>
      <c r="J22" s="53"/>
      <c r="K22" s="6"/>
      <c r="L22" s="53"/>
      <c r="M22" s="6"/>
      <c r="N22" s="53"/>
      <c r="O22" s="6"/>
      <c r="P22" s="53"/>
      <c r="Q22" s="6"/>
      <c r="R22" s="53"/>
      <c r="S22" s="54"/>
    </row>
    <row r="23" spans="1:19" ht="15" customHeight="1">
      <c r="A23" s="19">
        <v>18</v>
      </c>
      <c r="B23" s="5"/>
      <c r="C23" s="195"/>
      <c r="D23" s="202"/>
      <c r="E23" s="6"/>
      <c r="F23" s="53"/>
      <c r="G23" s="6"/>
      <c r="H23" s="53"/>
      <c r="I23" s="6"/>
      <c r="J23" s="53"/>
      <c r="K23" s="6"/>
      <c r="L23" s="53"/>
      <c r="M23" s="6"/>
      <c r="N23" s="53"/>
      <c r="O23" s="6"/>
      <c r="P23" s="53"/>
      <c r="Q23" s="6"/>
      <c r="R23" s="53"/>
      <c r="S23" s="54"/>
    </row>
    <row r="24" spans="1:19" ht="15" customHeight="1">
      <c r="A24" s="19">
        <v>19</v>
      </c>
      <c r="B24" s="5"/>
      <c r="C24" s="195"/>
      <c r="D24" s="202"/>
      <c r="E24" s="6"/>
      <c r="F24" s="53"/>
      <c r="G24" s="6"/>
      <c r="H24" s="53"/>
      <c r="I24" s="6"/>
      <c r="J24" s="53"/>
      <c r="K24" s="6"/>
      <c r="L24" s="53"/>
      <c r="M24" s="6"/>
      <c r="N24" s="53"/>
      <c r="O24" s="6"/>
      <c r="P24" s="53"/>
      <c r="Q24" s="6"/>
      <c r="R24" s="53"/>
      <c r="S24" s="54"/>
    </row>
    <row r="25" spans="1:19" ht="15" customHeight="1">
      <c r="A25" s="19">
        <v>20</v>
      </c>
      <c r="B25" s="5"/>
      <c r="C25" s="195"/>
      <c r="D25" s="202"/>
      <c r="E25" s="6"/>
      <c r="F25" s="53"/>
      <c r="G25" s="6"/>
      <c r="H25" s="53"/>
      <c r="I25" s="6"/>
      <c r="J25" s="53"/>
      <c r="K25" s="6"/>
      <c r="L25" s="53"/>
      <c r="M25" s="6"/>
      <c r="N25" s="53"/>
      <c r="O25" s="6"/>
      <c r="P25" s="53"/>
      <c r="Q25" s="6"/>
      <c r="R25" s="53"/>
      <c r="S25" s="54"/>
    </row>
    <row r="26" spans="1:19" ht="15" customHeight="1">
      <c r="A26" s="19">
        <v>21</v>
      </c>
      <c r="B26" s="5"/>
      <c r="C26" s="195"/>
      <c r="D26" s="202"/>
      <c r="E26" s="6"/>
      <c r="F26" s="53"/>
      <c r="G26" s="6"/>
      <c r="H26" s="53"/>
      <c r="I26" s="6"/>
      <c r="J26" s="53"/>
      <c r="K26" s="6"/>
      <c r="L26" s="53"/>
      <c r="M26" s="6"/>
      <c r="N26" s="53"/>
      <c r="O26" s="6"/>
      <c r="P26" s="53"/>
      <c r="Q26" s="6"/>
      <c r="R26" s="53"/>
      <c r="S26" s="54"/>
    </row>
    <row r="27" spans="1:19" ht="15" customHeight="1">
      <c r="A27" s="19">
        <v>22</v>
      </c>
      <c r="B27" s="5"/>
      <c r="C27" s="195"/>
      <c r="D27" s="202"/>
      <c r="E27" s="6"/>
      <c r="F27" s="53"/>
      <c r="G27" s="6"/>
      <c r="H27" s="53"/>
      <c r="I27" s="6"/>
      <c r="J27" s="53"/>
      <c r="K27" s="6"/>
      <c r="L27" s="53"/>
      <c r="M27" s="6"/>
      <c r="N27" s="53"/>
      <c r="O27" s="6"/>
      <c r="P27" s="53"/>
      <c r="Q27" s="6"/>
      <c r="R27" s="53"/>
      <c r="S27" s="54"/>
    </row>
    <row r="28" spans="1:19" ht="15" customHeight="1">
      <c r="A28" s="19">
        <v>23</v>
      </c>
      <c r="B28" s="5"/>
      <c r="C28" s="195"/>
      <c r="D28" s="202"/>
      <c r="E28" s="6"/>
      <c r="F28" s="53"/>
      <c r="G28" s="6"/>
      <c r="H28" s="53"/>
      <c r="I28" s="6"/>
      <c r="J28" s="53"/>
      <c r="K28" s="6"/>
      <c r="L28" s="53"/>
      <c r="M28" s="6"/>
      <c r="N28" s="53"/>
      <c r="O28" s="6"/>
      <c r="P28" s="53"/>
      <c r="Q28" s="6"/>
      <c r="R28" s="53"/>
      <c r="S28" s="54"/>
    </row>
    <row r="29" spans="1:19" ht="15" customHeight="1">
      <c r="A29" s="19">
        <v>24</v>
      </c>
      <c r="B29" s="5"/>
      <c r="C29" s="195"/>
      <c r="D29" s="202"/>
      <c r="E29" s="6"/>
      <c r="F29" s="53"/>
      <c r="G29" s="6"/>
      <c r="H29" s="53"/>
      <c r="I29" s="6"/>
      <c r="J29" s="53"/>
      <c r="K29" s="6"/>
      <c r="L29" s="53"/>
      <c r="M29" s="6"/>
      <c r="N29" s="53"/>
      <c r="O29" s="6"/>
      <c r="P29" s="53"/>
      <c r="Q29" s="6"/>
      <c r="R29" s="53"/>
      <c r="S29" s="54"/>
    </row>
    <row r="30" spans="1:19" ht="15" customHeight="1">
      <c r="A30" s="19">
        <v>25</v>
      </c>
      <c r="B30" s="5"/>
      <c r="C30" s="195"/>
      <c r="D30" s="202"/>
      <c r="E30" s="6"/>
      <c r="F30" s="53"/>
      <c r="G30" s="6"/>
      <c r="H30" s="53"/>
      <c r="I30" s="6"/>
      <c r="J30" s="53"/>
      <c r="K30" s="6"/>
      <c r="L30" s="53"/>
      <c r="M30" s="6"/>
      <c r="N30" s="53"/>
      <c r="O30" s="6"/>
      <c r="P30" s="53"/>
      <c r="Q30" s="6"/>
      <c r="R30" s="53"/>
      <c r="S30" s="54"/>
    </row>
    <row r="31" spans="1:19" ht="15" customHeight="1">
      <c r="A31" s="19">
        <v>26</v>
      </c>
      <c r="B31" s="5"/>
      <c r="C31" s="195"/>
      <c r="D31" s="202"/>
      <c r="E31" s="6"/>
      <c r="F31" s="53"/>
      <c r="G31" s="6"/>
      <c r="H31" s="53"/>
      <c r="I31" s="6"/>
      <c r="J31" s="53"/>
      <c r="K31" s="6"/>
      <c r="L31" s="53"/>
      <c r="M31" s="6"/>
      <c r="N31" s="53"/>
      <c r="O31" s="6"/>
      <c r="P31" s="53"/>
      <c r="Q31" s="6"/>
      <c r="R31" s="53"/>
      <c r="S31" s="54"/>
    </row>
    <row r="32" spans="1:19" ht="15" customHeight="1">
      <c r="A32" s="19">
        <v>27</v>
      </c>
      <c r="B32" s="5"/>
      <c r="C32" s="195"/>
      <c r="D32" s="202"/>
      <c r="E32" s="6"/>
      <c r="F32" s="53"/>
      <c r="G32" s="6"/>
      <c r="H32" s="53"/>
      <c r="I32" s="6"/>
      <c r="J32" s="53"/>
      <c r="K32" s="6"/>
      <c r="L32" s="53"/>
      <c r="M32" s="6"/>
      <c r="N32" s="53"/>
      <c r="O32" s="6"/>
      <c r="P32" s="53"/>
      <c r="Q32" s="6"/>
      <c r="R32" s="53"/>
      <c r="S32" s="54"/>
    </row>
    <row r="33" spans="1:19" ht="15" customHeight="1">
      <c r="A33" s="19">
        <v>28</v>
      </c>
      <c r="B33" s="5"/>
      <c r="C33" s="195"/>
      <c r="D33" s="202"/>
      <c r="E33" s="6"/>
      <c r="F33" s="53"/>
      <c r="G33" s="6"/>
      <c r="H33" s="53"/>
      <c r="I33" s="6"/>
      <c r="J33" s="53"/>
      <c r="K33" s="6"/>
      <c r="L33" s="53"/>
      <c r="M33" s="6"/>
      <c r="N33" s="53"/>
      <c r="O33" s="6"/>
      <c r="P33" s="53"/>
      <c r="Q33" s="6"/>
      <c r="R33" s="53"/>
      <c r="S33" s="54"/>
    </row>
    <row r="34" spans="1:19" ht="15" customHeight="1">
      <c r="A34" s="19">
        <v>29</v>
      </c>
      <c r="B34" s="5"/>
      <c r="C34" s="195"/>
      <c r="D34" s="202"/>
      <c r="E34" s="6"/>
      <c r="F34" s="53"/>
      <c r="G34" s="6"/>
      <c r="H34" s="53"/>
      <c r="I34" s="6"/>
      <c r="J34" s="53"/>
      <c r="K34" s="6"/>
      <c r="L34" s="53"/>
      <c r="M34" s="6"/>
      <c r="N34" s="53"/>
      <c r="O34" s="6"/>
      <c r="P34" s="53"/>
      <c r="Q34" s="6"/>
      <c r="R34" s="53"/>
      <c r="S34" s="54"/>
    </row>
    <row r="35" spans="1:19" ht="15" customHeight="1">
      <c r="A35" s="19">
        <v>30</v>
      </c>
      <c r="B35" s="5"/>
      <c r="C35" s="195"/>
      <c r="D35" s="202"/>
      <c r="E35" s="6"/>
      <c r="F35" s="53"/>
      <c r="G35" s="6"/>
      <c r="H35" s="53"/>
      <c r="I35" s="6"/>
      <c r="J35" s="53"/>
      <c r="K35" s="6"/>
      <c r="L35" s="53"/>
      <c r="M35" s="6"/>
      <c r="N35" s="53"/>
      <c r="O35" s="6"/>
      <c r="P35" s="53"/>
      <c r="Q35" s="6"/>
      <c r="R35" s="53"/>
      <c r="S35" s="54"/>
    </row>
    <row r="36" spans="1:19" ht="15" customHeight="1" thickBot="1">
      <c r="A36" s="19">
        <v>31</v>
      </c>
      <c r="B36" s="5"/>
      <c r="C36" s="195"/>
      <c r="D36" s="203"/>
      <c r="E36" s="55"/>
      <c r="F36" s="56"/>
      <c r="G36" s="55"/>
      <c r="H36" s="56"/>
      <c r="I36" s="55"/>
      <c r="J36" s="56"/>
      <c r="K36" s="55"/>
      <c r="L36" s="56"/>
      <c r="M36" s="55"/>
      <c r="N36" s="56"/>
      <c r="O36" s="55"/>
      <c r="P36" s="56"/>
      <c r="Q36" s="55"/>
      <c r="R36" s="56"/>
      <c r="S36" s="57"/>
    </row>
    <row r="37" spans="1:19" ht="15" customHeight="1">
      <c r="A37" s="95" t="s">
        <v>71</v>
      </c>
      <c r="B37" s="96"/>
      <c r="C37" s="96"/>
      <c r="D37" s="204" t="str">
        <f>IF(ISBLANK($C$1)," ", IF(COUNT(D45:D75)=0, " ", IF(D$4="pH"," ", IF(D$4="Fecal Coliform", GEOMEAN(D76:D106), IF(D$4="Total Coliform", GEOMEAN(D76:D106), AVERAGE(D45:D75))))))</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72</v>
      </c>
      <c r="B38" s="106"/>
      <c r="C38" s="106"/>
      <c r="D38" s="205" t="str">
        <f>IF(ISBLANK($C$1)," ", IF(COUNT(D45:D75)=0, " ",  MAX(D107:D137)))</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73</v>
      </c>
      <c r="B39" s="109"/>
      <c r="C39" s="109"/>
      <c r="D39" s="206" t="str">
        <f>IF(ISBLANK($C$1)," ", IF(COUNT(D45:D75)=0, " ",  MIN(D107:D137)))</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362</v>
      </c>
      <c r="B40" s="104"/>
      <c r="C40" s="196"/>
      <c r="D40" s="207" t="s">
        <v>364</v>
      </c>
      <c r="E40" s="61" t="s">
        <v>364</v>
      </c>
      <c r="F40" s="60" t="s">
        <v>364</v>
      </c>
      <c r="G40" s="61" t="s">
        <v>364</v>
      </c>
      <c r="H40" s="60" t="s">
        <v>364</v>
      </c>
      <c r="I40" s="61" t="s">
        <v>364</v>
      </c>
      <c r="J40" s="60" t="s">
        <v>364</v>
      </c>
      <c r="K40" s="61" t="s">
        <v>364</v>
      </c>
      <c r="L40" s="60"/>
      <c r="M40" s="61"/>
      <c r="N40" s="60"/>
      <c r="O40" s="61"/>
      <c r="P40" s="60"/>
      <c r="Q40" s="61"/>
      <c r="R40" s="60"/>
      <c r="S40" s="62"/>
    </row>
    <row r="41" spans="1:19" ht="15" customHeight="1">
      <c r="A41" s="100" t="s">
        <v>373</v>
      </c>
      <c r="B41" s="101"/>
      <c r="C41" s="197"/>
      <c r="D41" s="208"/>
      <c r="E41" s="6"/>
      <c r="F41" s="63"/>
      <c r="G41" s="6"/>
      <c r="H41" s="63"/>
      <c r="I41" s="6"/>
      <c r="J41" s="63"/>
      <c r="K41" s="6"/>
      <c r="L41" s="63"/>
      <c r="M41" s="6"/>
      <c r="N41" s="63"/>
      <c r="O41" s="6"/>
      <c r="P41" s="63"/>
      <c r="Q41" s="6"/>
      <c r="R41" s="63"/>
      <c r="S41" s="54"/>
    </row>
    <row r="42" spans="1:19" ht="15" customHeight="1">
      <c r="A42" s="80" t="s">
        <v>374</v>
      </c>
      <c r="B42" s="83"/>
      <c r="C42" s="83"/>
      <c r="D42" s="208"/>
      <c r="E42" s="6"/>
      <c r="F42" s="63"/>
      <c r="G42" s="6"/>
      <c r="H42" s="63"/>
      <c r="I42" s="6"/>
      <c r="J42" s="63"/>
      <c r="K42" s="6"/>
      <c r="L42" s="63"/>
      <c r="M42" s="6"/>
      <c r="N42" s="63"/>
      <c r="O42" s="6"/>
      <c r="P42" s="63"/>
      <c r="Q42" s="6"/>
      <c r="R42" s="63"/>
      <c r="S42" s="54"/>
    </row>
    <row r="43" spans="1:19" ht="15" customHeight="1">
      <c r="A43" s="80" t="s">
        <v>375</v>
      </c>
      <c r="B43" s="81"/>
      <c r="C43" s="81"/>
      <c r="D43" s="209" t="s">
        <v>398</v>
      </c>
      <c r="E43" s="67" t="s">
        <v>398</v>
      </c>
      <c r="F43" s="68" t="s">
        <v>398</v>
      </c>
      <c r="G43" s="67" t="s">
        <v>398</v>
      </c>
      <c r="H43" s="68" t="s">
        <v>398</v>
      </c>
      <c r="I43" s="67" t="s">
        <v>398</v>
      </c>
      <c r="J43" s="68" t="s">
        <v>398</v>
      </c>
      <c r="K43" s="67" t="s">
        <v>398</v>
      </c>
      <c r="L43" s="68"/>
      <c r="M43" s="67"/>
      <c r="N43" s="68"/>
      <c r="O43" s="67"/>
      <c r="P43" s="68"/>
      <c r="Q43" s="67"/>
      <c r="R43" s="68"/>
      <c r="S43" s="69"/>
    </row>
    <row r="45" spans="1:19" hidden="1">
      <c r="C45" s="1" t="s">
        <v>392</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393</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394</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7">
    <dataValidation type="list" showInputMessage="1" showErrorMessage="1" sqref="D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type="list" showInputMessage="1" showErrorMessage="1" sqref="D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7" t="s">
        <v>82</v>
      </c>
      <c r="B1" s="128"/>
      <c r="C1" s="128"/>
      <c r="D1" s="128"/>
      <c r="E1" s="128"/>
      <c r="F1" s="128"/>
      <c r="G1" s="128"/>
      <c r="H1" s="128"/>
      <c r="I1" s="128"/>
      <c r="J1" s="129"/>
      <c r="K1" s="130" t="s">
        <v>83</v>
      </c>
      <c r="L1" s="128"/>
      <c r="M1" s="128"/>
      <c r="N1" s="128"/>
      <c r="O1" s="128"/>
      <c r="P1" s="128"/>
      <c r="Q1" s="128"/>
      <c r="R1" s="128"/>
      <c r="S1" s="131"/>
      <c r="T1" s="23"/>
    </row>
    <row r="2" spans="1:20" ht="30" customHeight="1">
      <c r="A2" s="132" t="s">
        <v>77</v>
      </c>
      <c r="B2" s="133"/>
      <c r="C2" s="134"/>
      <c r="D2" s="135"/>
      <c r="E2" s="135"/>
      <c r="F2" s="135"/>
      <c r="G2" s="135"/>
      <c r="H2" s="135"/>
      <c r="I2" s="135"/>
      <c r="J2" s="136"/>
      <c r="K2" s="26" t="s">
        <v>77</v>
      </c>
      <c r="L2" s="134"/>
      <c r="M2" s="137"/>
      <c r="N2" s="137"/>
      <c r="O2" s="137"/>
      <c r="P2" s="137"/>
      <c r="Q2" s="137"/>
      <c r="R2" s="137"/>
      <c r="S2" s="138"/>
      <c r="T2" s="3"/>
    </row>
    <row r="3" spans="1:20" ht="30" customHeight="1" thickBot="1">
      <c r="A3" s="120" t="s">
        <v>77</v>
      </c>
      <c r="B3" s="121"/>
      <c r="C3" s="122"/>
      <c r="D3" s="123"/>
      <c r="E3" s="123"/>
      <c r="F3" s="123"/>
      <c r="G3" s="123"/>
      <c r="H3" s="123"/>
      <c r="I3" s="123"/>
      <c r="J3" s="124"/>
      <c r="K3" s="27" t="s">
        <v>77</v>
      </c>
      <c r="L3" s="122"/>
      <c r="M3" s="125"/>
      <c r="N3" s="125"/>
      <c r="O3" s="125"/>
      <c r="P3" s="125"/>
      <c r="Q3" s="125"/>
      <c r="R3" s="125"/>
      <c r="S3" s="126"/>
      <c r="T3" s="3"/>
    </row>
    <row r="4" spans="1:20" ht="30" customHeight="1">
      <c r="A4" s="139" t="s">
        <v>86</v>
      </c>
      <c r="B4" s="139"/>
      <c r="C4" s="139"/>
      <c r="D4" s="139"/>
      <c r="E4" s="139"/>
      <c r="F4" s="139"/>
      <c r="G4" s="139"/>
      <c r="H4" s="139"/>
      <c r="I4" s="139"/>
      <c r="J4" s="139"/>
      <c r="K4" s="139"/>
      <c r="L4" s="139"/>
      <c r="M4" s="139"/>
      <c r="N4" s="139"/>
      <c r="O4" s="139"/>
      <c r="P4" s="139"/>
      <c r="Q4" s="139"/>
      <c r="R4" s="139"/>
      <c r="S4" s="139"/>
    </row>
    <row r="5" spans="1:20" ht="30" customHeight="1" thickBot="1">
      <c r="A5" s="140" t="s">
        <v>214</v>
      </c>
      <c r="B5" s="141"/>
      <c r="C5" s="141"/>
      <c r="D5" s="141"/>
      <c r="E5" s="141"/>
      <c r="F5" s="141"/>
      <c r="G5" s="141"/>
      <c r="H5" s="141"/>
      <c r="I5" s="141"/>
      <c r="J5" s="141"/>
      <c r="K5" s="141"/>
      <c r="L5" s="141"/>
      <c r="M5" s="141"/>
      <c r="N5" s="141"/>
      <c r="O5" s="141"/>
      <c r="P5" s="141"/>
      <c r="Q5" s="141"/>
      <c r="R5" s="141"/>
      <c r="S5" s="141"/>
    </row>
    <row r="6" spans="1:20" ht="168.75" customHeight="1" thickBot="1">
      <c r="A6" s="142"/>
      <c r="B6" s="143"/>
      <c r="C6" s="143"/>
      <c r="D6" s="143"/>
      <c r="E6" s="143"/>
      <c r="F6" s="143"/>
      <c r="G6" s="143"/>
      <c r="H6" s="143"/>
      <c r="I6" s="143"/>
      <c r="J6" s="143"/>
      <c r="K6" s="143"/>
      <c r="L6" s="143"/>
      <c r="M6" s="143"/>
      <c r="N6" s="143"/>
      <c r="O6" s="143"/>
      <c r="P6" s="143"/>
      <c r="Q6" s="143"/>
      <c r="R6" s="143"/>
      <c r="S6" s="144"/>
    </row>
    <row r="7" spans="1:20" ht="15" customHeight="1" thickBot="1">
      <c r="A7" s="145"/>
      <c r="B7" s="146"/>
      <c r="C7" s="146"/>
      <c r="D7" s="146"/>
      <c r="E7" s="146"/>
      <c r="F7" s="146"/>
      <c r="G7" s="146"/>
      <c r="H7" s="146"/>
      <c r="I7" s="146"/>
      <c r="J7" s="146"/>
      <c r="K7" s="146"/>
      <c r="L7" s="146"/>
      <c r="M7" s="146"/>
      <c r="N7" s="146"/>
      <c r="O7" s="146"/>
      <c r="P7" s="146"/>
      <c r="Q7" s="146"/>
      <c r="R7" s="146"/>
      <c r="S7" s="146"/>
    </row>
    <row r="8" spans="1:20" ht="30.75" customHeight="1" thickBot="1">
      <c r="A8" s="115" t="s">
        <v>75</v>
      </c>
      <c r="B8" s="147"/>
      <c r="C8" s="147"/>
      <c r="D8" s="147"/>
      <c r="E8" s="147"/>
      <c r="F8" s="147"/>
      <c r="G8" s="147"/>
      <c r="H8" s="147"/>
      <c r="I8" s="147"/>
      <c r="J8" s="147"/>
      <c r="K8" s="148" t="s">
        <v>76</v>
      </c>
      <c r="L8" s="147"/>
      <c r="M8" s="147"/>
      <c r="N8" s="147"/>
      <c r="O8" s="147"/>
      <c r="P8" s="147"/>
      <c r="Q8" s="147"/>
      <c r="R8" s="147"/>
      <c r="S8" s="149"/>
    </row>
    <row r="9" spans="1:20" ht="30.75" customHeight="1">
      <c r="A9" s="150" t="s">
        <v>219</v>
      </c>
      <c r="B9" s="151"/>
      <c r="C9" s="152"/>
      <c r="D9" s="153"/>
      <c r="E9" s="153"/>
      <c r="F9" s="153"/>
      <c r="G9" s="153"/>
      <c r="H9" s="153"/>
      <c r="I9" s="153"/>
      <c r="J9" s="154"/>
      <c r="K9" s="155" t="s">
        <v>215</v>
      </c>
      <c r="L9" s="151"/>
      <c r="M9" s="152"/>
      <c r="N9" s="153"/>
      <c r="O9" s="153"/>
      <c r="P9" s="153"/>
      <c r="Q9" s="153"/>
      <c r="R9" s="153"/>
      <c r="S9" s="156"/>
    </row>
    <row r="10" spans="1:20" ht="30.75" customHeight="1">
      <c r="A10" s="157" t="s">
        <v>220</v>
      </c>
      <c r="B10" s="158"/>
      <c r="C10" s="158"/>
      <c r="D10" s="134"/>
      <c r="E10" s="137"/>
      <c r="F10" s="137"/>
      <c r="G10" s="137"/>
      <c r="H10" s="137"/>
      <c r="I10" s="137"/>
      <c r="J10" s="159"/>
      <c r="K10" s="160" t="s">
        <v>216</v>
      </c>
      <c r="L10" s="158"/>
      <c r="M10" s="161"/>
      <c r="N10" s="137"/>
      <c r="O10" s="137"/>
      <c r="P10" s="137"/>
      <c r="Q10" s="137"/>
      <c r="R10" s="137"/>
      <c r="S10" s="138"/>
    </row>
    <row r="11" spans="1:20" ht="30.75" customHeight="1">
      <c r="A11" s="157" t="s">
        <v>221</v>
      </c>
      <c r="B11" s="158"/>
      <c r="C11" s="134"/>
      <c r="D11" s="134"/>
      <c r="E11" s="162" t="s">
        <v>78</v>
      </c>
      <c r="F11" s="158"/>
      <c r="G11" s="134"/>
      <c r="H11" s="137"/>
      <c r="I11" s="137"/>
      <c r="J11" s="159"/>
      <c r="K11" s="160" t="s">
        <v>217</v>
      </c>
      <c r="L11" s="158"/>
      <c r="M11" s="158"/>
      <c r="N11" s="161"/>
      <c r="O11" s="137"/>
      <c r="P11" s="137"/>
      <c r="Q11" s="137"/>
      <c r="R11" s="137"/>
      <c r="S11" s="138"/>
    </row>
    <row r="12" spans="1:20" ht="30.75" customHeight="1">
      <c r="A12" s="163" t="s">
        <v>222</v>
      </c>
      <c r="B12" s="164"/>
      <c r="C12" s="164"/>
      <c r="D12" s="164"/>
      <c r="E12" s="164"/>
      <c r="F12" s="164"/>
      <c r="G12" s="164"/>
      <c r="H12" s="164"/>
      <c r="I12" s="164"/>
      <c r="J12" s="165"/>
      <c r="K12" s="160" t="s">
        <v>218</v>
      </c>
      <c r="L12" s="158"/>
      <c r="M12" s="134"/>
      <c r="N12" s="137"/>
      <c r="O12" s="137"/>
      <c r="P12" s="166" t="s">
        <v>361</v>
      </c>
      <c r="Q12" s="158"/>
      <c r="R12" s="167"/>
      <c r="S12" s="168"/>
    </row>
    <row r="13" spans="1:20" ht="22.5" customHeight="1">
      <c r="A13" s="187"/>
      <c r="B13" s="188"/>
      <c r="C13" s="188"/>
      <c r="D13" s="188"/>
      <c r="E13" s="188"/>
      <c r="F13" s="188"/>
      <c r="G13" s="188"/>
      <c r="H13" s="191"/>
      <c r="I13" s="171"/>
      <c r="J13" s="193"/>
      <c r="K13" s="191"/>
      <c r="L13" s="188"/>
      <c r="M13" s="188"/>
      <c r="N13" s="188"/>
      <c r="O13" s="188"/>
      <c r="P13" s="188"/>
      <c r="Q13" s="191"/>
      <c r="R13" s="171"/>
      <c r="S13" s="172"/>
    </row>
    <row r="14" spans="1:20" ht="22.5" customHeight="1">
      <c r="A14" s="189"/>
      <c r="B14" s="190"/>
      <c r="C14" s="190"/>
      <c r="D14" s="190"/>
      <c r="E14" s="190"/>
      <c r="F14" s="190"/>
      <c r="G14" s="190"/>
      <c r="H14" s="191"/>
      <c r="I14" s="173"/>
      <c r="J14" s="194"/>
      <c r="K14" s="190"/>
      <c r="L14" s="190"/>
      <c r="M14" s="190"/>
      <c r="N14" s="190"/>
      <c r="O14" s="190"/>
      <c r="P14" s="190"/>
      <c r="Q14" s="191"/>
      <c r="R14" s="173"/>
      <c r="S14" s="174"/>
    </row>
    <row r="15" spans="1:20" ht="30" customHeight="1">
      <c r="A15" s="175" t="s">
        <v>79</v>
      </c>
      <c r="B15" s="176"/>
      <c r="C15" s="176"/>
      <c r="D15" s="176"/>
      <c r="E15" s="176"/>
      <c r="F15" s="176"/>
      <c r="G15" s="176"/>
      <c r="H15" s="192"/>
      <c r="I15" s="177" t="s">
        <v>2</v>
      </c>
      <c r="J15" s="178"/>
      <c r="K15" s="179" t="s">
        <v>79</v>
      </c>
      <c r="L15" s="180"/>
      <c r="M15" s="180"/>
      <c r="N15" s="180"/>
      <c r="O15" s="180"/>
      <c r="P15" s="180"/>
      <c r="Q15" s="192"/>
      <c r="R15" s="179" t="s">
        <v>2</v>
      </c>
      <c r="S15" s="181"/>
    </row>
    <row r="16" spans="1:20" ht="68.25" customHeight="1" thickBot="1">
      <c r="A16" s="182" t="s">
        <v>80</v>
      </c>
      <c r="B16" s="183"/>
      <c r="C16" s="183"/>
      <c r="D16" s="183"/>
      <c r="E16" s="183"/>
      <c r="F16" s="183"/>
      <c r="G16" s="183"/>
      <c r="H16" s="183"/>
      <c r="I16" s="183"/>
      <c r="J16" s="184"/>
      <c r="K16" s="185" t="s">
        <v>81</v>
      </c>
      <c r="L16" s="183"/>
      <c r="M16" s="183"/>
      <c r="N16" s="183"/>
      <c r="O16" s="183"/>
      <c r="P16" s="183"/>
      <c r="Q16" s="183"/>
      <c r="R16" s="183"/>
      <c r="S16" s="186"/>
    </row>
    <row r="17" spans="1:19" ht="15" customHeight="1">
      <c r="A17" s="169"/>
      <c r="B17" s="170"/>
      <c r="C17" s="170"/>
      <c r="D17" s="170"/>
      <c r="E17" s="170"/>
      <c r="F17" s="170"/>
      <c r="G17" s="170"/>
      <c r="H17" s="170"/>
      <c r="I17" s="170"/>
      <c r="J17" s="170"/>
      <c r="K17" s="170"/>
      <c r="L17" s="170"/>
      <c r="M17" s="170"/>
      <c r="N17" s="170"/>
      <c r="O17" s="170"/>
      <c r="P17" s="170"/>
      <c r="Q17" s="170"/>
      <c r="R17" s="170"/>
      <c r="S17" s="170"/>
    </row>
    <row r="18" spans="1:19" ht="15" customHeight="1">
      <c r="A18" s="169" t="s">
        <v>85</v>
      </c>
      <c r="B18" s="170"/>
      <c r="C18" s="170"/>
      <c r="D18" s="170"/>
      <c r="E18" s="170"/>
      <c r="F18" s="170"/>
      <c r="G18" s="170"/>
      <c r="H18" s="170"/>
      <c r="I18" s="170"/>
      <c r="J18" s="170"/>
      <c r="K18" s="170"/>
      <c r="L18" s="170"/>
      <c r="M18" s="170"/>
      <c r="N18" s="170"/>
      <c r="O18" s="170"/>
      <c r="P18" s="170"/>
      <c r="Q18" s="170"/>
      <c r="R18" s="170"/>
      <c r="S18" s="170"/>
    </row>
    <row r="19" spans="1:19" ht="15" customHeight="1">
      <c r="A19" s="169" t="s">
        <v>55</v>
      </c>
      <c r="B19" s="170"/>
      <c r="C19" s="170"/>
      <c r="D19" s="170"/>
      <c r="E19" s="170"/>
      <c r="F19" s="170"/>
      <c r="G19" s="170"/>
      <c r="H19" s="170"/>
      <c r="I19" s="170"/>
      <c r="J19" s="170"/>
      <c r="K19" s="170"/>
      <c r="L19" s="170"/>
      <c r="M19" s="170"/>
      <c r="N19" s="170"/>
      <c r="O19" s="170"/>
      <c r="P19" s="170"/>
      <c r="Q19" s="170"/>
      <c r="R19" s="170"/>
      <c r="S19" s="170"/>
    </row>
    <row r="20" spans="1:19" ht="15" customHeight="1">
      <c r="A20" s="169" t="s">
        <v>68</v>
      </c>
      <c r="B20" s="170"/>
      <c r="C20" s="170"/>
      <c r="D20" s="170"/>
      <c r="E20" s="170"/>
      <c r="F20" s="170"/>
      <c r="G20" s="170"/>
      <c r="H20" s="170"/>
      <c r="I20" s="170"/>
      <c r="J20" s="170"/>
      <c r="K20" s="170"/>
      <c r="L20" s="170"/>
      <c r="M20" s="170"/>
      <c r="N20" s="170"/>
      <c r="O20" s="170"/>
      <c r="P20" s="170"/>
      <c r="Q20" s="170"/>
      <c r="R20" s="170"/>
      <c r="S20" s="170"/>
    </row>
    <row r="21" spans="1:19" ht="15" customHeight="1">
      <c r="A21" s="169" t="s">
        <v>1</v>
      </c>
      <c r="B21" s="170"/>
      <c r="C21" s="170"/>
      <c r="D21" s="170"/>
      <c r="E21" s="170"/>
      <c r="F21" s="170"/>
      <c r="G21" s="170"/>
      <c r="H21" s="170"/>
      <c r="I21" s="170"/>
      <c r="J21" s="170"/>
      <c r="K21" s="170"/>
      <c r="L21" s="170"/>
      <c r="M21" s="170"/>
      <c r="N21" s="170"/>
      <c r="O21" s="170"/>
      <c r="P21" s="170"/>
      <c r="Q21" s="170"/>
      <c r="R21" s="170"/>
      <c r="S21" s="170"/>
    </row>
    <row r="22" spans="1:19" ht="15" customHeight="1">
      <c r="A22" s="169" t="s">
        <v>84</v>
      </c>
      <c r="B22" s="170"/>
      <c r="C22" s="170"/>
      <c r="D22" s="170"/>
      <c r="E22" s="170"/>
      <c r="F22" s="170"/>
      <c r="G22" s="170"/>
      <c r="H22" s="170"/>
      <c r="I22" s="170"/>
      <c r="J22" s="170"/>
      <c r="K22" s="170"/>
      <c r="L22" s="170"/>
      <c r="M22" s="170"/>
      <c r="N22" s="170"/>
      <c r="O22" s="170"/>
      <c r="P22" s="170"/>
      <c r="Q22" s="170"/>
      <c r="R22" s="170"/>
      <c r="S22" s="170"/>
    </row>
  </sheetData>
  <sheetProtection password="CD14" sheet="1" objects="1" scenarios="1" selectLockedCells="1"/>
  <mergeCells count="51">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382</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383</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384</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385</v>
      </c>
      <c r="C25" s="45" t="s">
        <v>341</v>
      </c>
      <c r="D25" s="39" t="s">
        <v>225</v>
      </c>
    </row>
    <row r="26" spans="1:4">
      <c r="A26" s="40" t="s">
        <v>343</v>
      </c>
      <c r="B26" s="39" t="s">
        <v>376</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381</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391</v>
      </c>
      <c r="C50" s="45" t="s">
        <v>329</v>
      </c>
      <c r="D50" s="39" t="s">
        <v>226</v>
      </c>
    </row>
    <row r="51" spans="1:4">
      <c r="A51" s="40" t="s">
        <v>27</v>
      </c>
      <c r="B51" s="38" t="s">
        <v>391</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386</v>
      </c>
      <c r="C60" s="45" t="s">
        <v>298</v>
      </c>
      <c r="D60" s="39" t="s">
        <v>225</v>
      </c>
    </row>
    <row r="61" spans="1:4">
      <c r="A61" s="40">
        <v>70300</v>
      </c>
      <c r="B61" s="38" t="s">
        <v>386</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387</v>
      </c>
      <c r="C65" s="45" t="s">
        <v>330</v>
      </c>
      <c r="D65" s="39" t="s">
        <v>331</v>
      </c>
    </row>
    <row r="66" spans="1:4">
      <c r="A66" s="39">
        <v>80082</v>
      </c>
      <c r="B66" s="39" t="s">
        <v>388</v>
      </c>
      <c r="C66" s="45" t="s">
        <v>264</v>
      </c>
      <c r="D66" s="39" t="s">
        <v>225</v>
      </c>
    </row>
    <row r="67" spans="1:4">
      <c r="A67" s="39">
        <v>81639</v>
      </c>
      <c r="B67" s="39" t="s">
        <v>384</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377</v>
      </c>
      <c r="C73" s="45" t="s">
        <v>276</v>
      </c>
      <c r="D73" s="39" t="s">
        <v>225</v>
      </c>
    </row>
    <row r="74" spans="1:4">
      <c r="A74" s="39" t="s">
        <v>286</v>
      </c>
      <c r="B74" s="39" t="s">
        <v>356</v>
      </c>
      <c r="C74" s="45" t="s">
        <v>285</v>
      </c>
      <c r="D74" s="39" t="s">
        <v>225</v>
      </c>
    </row>
    <row r="75" spans="1:4">
      <c r="A75" s="39" t="s">
        <v>270</v>
      </c>
      <c r="B75" s="39" t="s">
        <v>378</v>
      </c>
      <c r="C75" s="45" t="s">
        <v>269</v>
      </c>
      <c r="D75" s="39" t="s">
        <v>225</v>
      </c>
    </row>
    <row r="76" spans="1:4">
      <c r="A76" s="40" t="s">
        <v>56</v>
      </c>
      <c r="B76" s="39" t="s">
        <v>389</v>
      </c>
      <c r="C76" s="45" t="s">
        <v>268</v>
      </c>
      <c r="D76" s="39" t="s">
        <v>225</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390</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PPI 001</vt:lpstr>
      <vt:lpstr>PPI 002</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2012-10-12T12:51:38Z</dcterms:modified>
</cp:coreProperties>
</file>