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1105"/>
  <workbookPr showInkAnnotation="0" autoCompressPictures="0"/>
  <bookViews>
    <workbookView xWindow="480" yWindow="20" windowWidth="11360" windowHeight="12200" tabRatio="500"/>
  </bookViews>
  <sheets>
    <sheet name="Summary" sheetId="26" r:id="rId1"/>
    <sheet name="ABC-CLIO" sheetId="1" r:id="rId2"/>
    <sheet name="CIAO" sheetId="8" r:id="rId3"/>
    <sheet name="ClassificationWeb" sheetId="29" r:id="rId4"/>
    <sheet name="Cochrane" sheetId="30" r:id="rId5"/>
    <sheet name="CollegeSource" sheetId="4" r:id="rId6"/>
    <sheet name="Compendex(EI)" sheetId="6" r:id="rId7"/>
    <sheet name="CSA" sheetId="16" r:id="rId8"/>
    <sheet name="EBSCOhost" sheetId="15" r:id="rId9"/>
    <sheet name="Elsevier" sheetId="28" r:id="rId10"/>
    <sheet name="FirstSearch" sheetId="14" r:id="rId11"/>
    <sheet name="InfoTrac" sheetId="18" r:id="rId12"/>
    <sheet name="LexisNexis" sheetId="13" r:id="rId13"/>
    <sheet name="MathSciNet" sheetId="2" r:id="rId14"/>
    <sheet name="Mergent" sheetId="19" r:id="rId15"/>
    <sheet name="MetaPress" sheetId="27" r:id="rId16"/>
    <sheet name="MINABS" sheetId="24" r:id="rId17"/>
    <sheet name="MusicIndex" sheetId="7" r:id="rId18"/>
    <sheet name="netLibrary" sheetId="20" r:id="rId19"/>
    <sheet name="OVID" sheetId="21" r:id="rId20"/>
    <sheet name="Oxford" sheetId="3" r:id="rId21"/>
    <sheet name="ProQuest" sheetId="17" r:id="rId22"/>
    <sheet name="ReferenceUSA" sheetId="9" r:id="rId23"/>
    <sheet name="RefWorks" sheetId="25" r:id="rId24"/>
    <sheet name="SciFinderScholar" sheetId="12" r:id="rId25"/>
    <sheet name="Turfgrass InfoCtr" sheetId="31" r:id="rId26"/>
    <sheet name="WebofScience" sheetId="11" r:id="rId27"/>
    <sheet name="WebSpirs" sheetId="10" r:id="rId28"/>
    <sheet name="WilsonWeb" sheetId="5" r:id="rId29"/>
  </sheets>
  <definedNames>
    <definedName name="_xlnm.Print_Area" localSheetId="1">'ABC-CLIO'!$A$1:$P$29</definedName>
    <definedName name="_xlnm.Print_Area" localSheetId="2">CIAO!$A$1:$P$20</definedName>
    <definedName name="_xlnm.Print_Area" localSheetId="3">ClassificationWeb!$A$1:$P$12</definedName>
    <definedName name="_xlnm.Print_Area" localSheetId="4">Cochrane!$A$1:$P$13</definedName>
    <definedName name="_xlnm.Print_Area" localSheetId="5">CollegeSource!$A$1:$P$13</definedName>
    <definedName name="_xlnm.Print_Area" localSheetId="6">'Compendex(EI)'!$A$1:$P$11</definedName>
    <definedName name="_xlnm.Print_Area" localSheetId="7">CSA!$A$1:$P$130</definedName>
    <definedName name="_xlnm.Print_Area" localSheetId="8">EBSCOhost!$A$1:$P$97</definedName>
    <definedName name="_xlnm.Print_Area" localSheetId="9">Elsevier!$A$1:$P$14</definedName>
    <definedName name="_xlnm.Print_Area" localSheetId="10">FirstSearch!$A$1:$P$131</definedName>
    <definedName name="_xlnm.Print_Area" localSheetId="11">InfoTrac!$A$1:$P$13</definedName>
    <definedName name="_xlnm.Print_Area" localSheetId="12">LexisNexis!$A$1:$P$19</definedName>
    <definedName name="_xlnm.Print_Area" localSheetId="13">MathSciNet!$A$1:$P$11</definedName>
    <definedName name="_xlnm.Print_Area" localSheetId="14">Mergent!$A$1:$P$12</definedName>
    <definedName name="_xlnm.Print_Area" localSheetId="15">MetaPress!$A$1:$P$12</definedName>
    <definedName name="_xlnm.Print_Area" localSheetId="16">MINABS!$A$1:$P$10</definedName>
    <definedName name="_xlnm.Print_Area" localSheetId="17">MusicIndex!$A$1:$P$11</definedName>
    <definedName name="_xlnm.Print_Area" localSheetId="18">netLibrary!$A$1:$P$12</definedName>
    <definedName name="_xlnm.Print_Area" localSheetId="19">OVID!$A$1:$P$48</definedName>
    <definedName name="_xlnm.Print_Area" localSheetId="20">Oxford!$A$1:$P$23</definedName>
    <definedName name="_xlnm.Print_Area" localSheetId="21">ProQuest!$A$1:$P$52</definedName>
    <definedName name="_xlnm.Print_Area" localSheetId="22">ReferenceUSA!$A$1:$P$12</definedName>
    <definedName name="_xlnm.Print_Area" localSheetId="23">RefWorks!$A$1:$Q$16</definedName>
    <definedName name="_xlnm.Print_Area" localSheetId="24">SciFinderScholar!$A$1:$P$12</definedName>
    <definedName name="_xlnm.Print_Area" localSheetId="0">Summary!$A$1:$H$115</definedName>
    <definedName name="_xlnm.Print_Area" localSheetId="25">'Turfgrass InfoCtr'!$A$1:$P$9</definedName>
    <definedName name="_xlnm.Print_Area" localSheetId="26">WebofScience!$A$1:$P$12</definedName>
    <definedName name="_xlnm.Print_Area" localSheetId="27">WebSpirs!$A$1:$P$12</definedName>
    <definedName name="_xlnm.Print_Area" localSheetId="28">WilsonWeb!$A$1:$P$23</definedName>
  </definedNames>
  <calcPr calcId="14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N6" i="31" l="1"/>
  <c r="D107" i="26"/>
  <c r="N8" i="30"/>
  <c r="P8" i="30"/>
  <c r="H32" i="26"/>
  <c r="N9" i="30"/>
  <c r="F32" i="26"/>
  <c r="D32" i="26"/>
  <c r="N7" i="30"/>
  <c r="C32" i="26"/>
  <c r="P9" i="30"/>
  <c r="C9" i="29"/>
  <c r="D9" i="29"/>
  <c r="E9" i="29"/>
  <c r="F9" i="29"/>
  <c r="G9" i="29"/>
  <c r="I9" i="29"/>
  <c r="K9" i="29"/>
  <c r="L9" i="29"/>
  <c r="N9" i="29"/>
  <c r="P9" i="29"/>
  <c r="N7" i="29"/>
  <c r="P7" i="29"/>
  <c r="K10" i="29"/>
  <c r="G10" i="29"/>
  <c r="F10" i="29"/>
  <c r="E10" i="29"/>
  <c r="D10" i="29"/>
  <c r="N10" i="29"/>
  <c r="H75" i="26"/>
  <c r="N20" i="8"/>
  <c r="P20" i="8"/>
  <c r="N14" i="8"/>
  <c r="N15" i="8"/>
  <c r="N13" i="8"/>
  <c r="N7" i="8"/>
  <c r="N8" i="8"/>
  <c r="N9" i="8"/>
  <c r="N10" i="8"/>
  <c r="N11" i="8"/>
  <c r="N17" i="3"/>
  <c r="P17" i="3"/>
  <c r="H106" i="26"/>
  <c r="G106" i="26"/>
  <c r="C106" i="26"/>
  <c r="N18" i="3"/>
  <c r="P18" i="3"/>
  <c r="N19" i="3"/>
  <c r="N18" i="5"/>
  <c r="P18" i="5"/>
  <c r="H99" i="26"/>
  <c r="G99" i="26"/>
  <c r="D99" i="26"/>
  <c r="N17" i="5"/>
  <c r="C99" i="26"/>
  <c r="N13" i="5"/>
  <c r="P13" i="5"/>
  <c r="H24" i="26"/>
  <c r="G24" i="26"/>
  <c r="N14" i="5"/>
  <c r="E24" i="26"/>
  <c r="D24" i="26"/>
  <c r="N12" i="5"/>
  <c r="C24" i="26"/>
  <c r="N8" i="5"/>
  <c r="P8" i="5"/>
  <c r="H14" i="26"/>
  <c r="G14" i="26"/>
  <c r="D14" i="26"/>
  <c r="N7" i="5"/>
  <c r="C14" i="26"/>
  <c r="N8" i="10"/>
  <c r="P8" i="10"/>
  <c r="H23" i="26"/>
  <c r="G23" i="26"/>
  <c r="D23" i="26"/>
  <c r="N7" i="10"/>
  <c r="C23" i="26"/>
  <c r="N7" i="11"/>
  <c r="P7" i="11"/>
  <c r="H109" i="26"/>
  <c r="N9" i="11"/>
  <c r="E109" i="26"/>
  <c r="G109" i="26"/>
  <c r="D109" i="26"/>
  <c r="N6" i="11"/>
  <c r="C109" i="26"/>
  <c r="N7" i="12"/>
  <c r="P7" i="12"/>
  <c r="H102" i="26"/>
  <c r="G102" i="26"/>
  <c r="N8" i="12"/>
  <c r="E102" i="26"/>
  <c r="D102" i="26"/>
  <c r="N6" i="12"/>
  <c r="C102" i="26"/>
  <c r="N9" i="25"/>
  <c r="P9" i="25"/>
  <c r="H101" i="26"/>
  <c r="G101" i="26"/>
  <c r="C101" i="26"/>
  <c r="N7" i="9"/>
  <c r="P7" i="9"/>
  <c r="H100" i="26"/>
  <c r="G100" i="26"/>
  <c r="D100" i="26"/>
  <c r="N6" i="9"/>
  <c r="C100" i="26"/>
  <c r="O48" i="17"/>
  <c r="N48" i="17"/>
  <c r="P48" i="17"/>
  <c r="H93" i="26"/>
  <c r="G93" i="26"/>
  <c r="N49" i="17"/>
  <c r="F93" i="26"/>
  <c r="D93" i="26"/>
  <c r="N47" i="17"/>
  <c r="C93" i="26"/>
  <c r="N36" i="17"/>
  <c r="D108" i="26"/>
  <c r="N31" i="17"/>
  <c r="P31" i="17"/>
  <c r="H96" i="26"/>
  <c r="G96" i="26"/>
  <c r="D96" i="26"/>
  <c r="N26" i="17"/>
  <c r="D66" i="26"/>
  <c r="N21" i="17"/>
  <c r="P21" i="17"/>
  <c r="H79" i="26"/>
  <c r="G79" i="26"/>
  <c r="D79" i="26"/>
  <c r="N41" i="17"/>
  <c r="D95" i="26"/>
  <c r="N16" i="17"/>
  <c r="P16" i="17"/>
  <c r="H94" i="26"/>
  <c r="G94" i="26"/>
  <c r="D94" i="26"/>
  <c r="N11" i="17"/>
  <c r="D7" i="26"/>
  <c r="N6" i="17"/>
  <c r="P6" i="17"/>
  <c r="H6" i="26"/>
  <c r="G6" i="26"/>
  <c r="D6" i="26"/>
  <c r="N13" i="3"/>
  <c r="P13" i="3"/>
  <c r="H84" i="26"/>
  <c r="G84" i="26"/>
  <c r="N14" i="3"/>
  <c r="E84" i="26"/>
  <c r="D84" i="26"/>
  <c r="N12" i="3"/>
  <c r="C84" i="26"/>
  <c r="N8" i="3"/>
  <c r="P8" i="3"/>
  <c r="H55" i="26"/>
  <c r="G55" i="26"/>
  <c r="N9" i="3"/>
  <c r="E55" i="26"/>
  <c r="D55" i="26"/>
  <c r="N7" i="3"/>
  <c r="C55" i="26"/>
  <c r="O44" i="21"/>
  <c r="B44" i="21"/>
  <c r="C44" i="21"/>
  <c r="D44" i="21"/>
  <c r="E44" i="21"/>
  <c r="F44" i="21"/>
  <c r="G44" i="21"/>
  <c r="H44" i="21"/>
  <c r="I44" i="21"/>
  <c r="J44" i="21"/>
  <c r="K44" i="21"/>
  <c r="L44" i="21"/>
  <c r="M44" i="21"/>
  <c r="N44" i="21"/>
  <c r="P44" i="21"/>
  <c r="H83" i="26"/>
  <c r="G83" i="26"/>
  <c r="D83" i="26"/>
  <c r="B43" i="21"/>
  <c r="C43" i="21"/>
  <c r="D43" i="21"/>
  <c r="E43" i="21"/>
  <c r="F43" i="21"/>
  <c r="G43" i="21"/>
  <c r="H43" i="21"/>
  <c r="I43" i="21"/>
  <c r="J43" i="21"/>
  <c r="K43" i="21"/>
  <c r="L43" i="21"/>
  <c r="M43" i="21"/>
  <c r="N43" i="21"/>
  <c r="C83" i="26"/>
  <c r="N29" i="21"/>
  <c r="D82" i="26"/>
  <c r="N28" i="21"/>
  <c r="C82" i="26"/>
  <c r="N22" i="21"/>
  <c r="D71" i="26"/>
  <c r="N21" i="21"/>
  <c r="C71" i="26"/>
  <c r="N15" i="21"/>
  <c r="D70" i="26"/>
  <c r="N14" i="21"/>
  <c r="C70" i="26"/>
  <c r="N8" i="21"/>
  <c r="D25" i="26"/>
  <c r="N7" i="21"/>
  <c r="C25" i="26"/>
  <c r="N7" i="20"/>
  <c r="C80" i="26"/>
  <c r="N8" i="7"/>
  <c r="P8" i="7"/>
  <c r="H78" i="26"/>
  <c r="G78" i="26"/>
  <c r="D78" i="26"/>
  <c r="G9" i="26"/>
  <c r="N8" i="19"/>
  <c r="P8" i="19"/>
  <c r="H72" i="26"/>
  <c r="G72" i="26"/>
  <c r="N9" i="19"/>
  <c r="F72" i="26"/>
  <c r="D72" i="26"/>
  <c r="N7" i="19"/>
  <c r="C72" i="26"/>
  <c r="N8" i="2"/>
  <c r="P8" i="2"/>
  <c r="H68" i="26"/>
  <c r="G68" i="26"/>
  <c r="D68" i="26"/>
  <c r="N7" i="2"/>
  <c r="C68" i="26"/>
  <c r="N15" i="13"/>
  <c r="P15" i="13"/>
  <c r="H63" i="26"/>
  <c r="G63" i="26"/>
  <c r="N16" i="13"/>
  <c r="F63" i="26"/>
  <c r="D63" i="26"/>
  <c r="O11" i="13"/>
  <c r="N11" i="13"/>
  <c r="P11" i="13"/>
  <c r="H62" i="26"/>
  <c r="G62" i="26"/>
  <c r="N12" i="13"/>
  <c r="F62" i="26"/>
  <c r="D62" i="26"/>
  <c r="N7" i="13"/>
  <c r="P7" i="13"/>
  <c r="H61" i="26"/>
  <c r="G61" i="26"/>
  <c r="N8" i="13"/>
  <c r="F61" i="26"/>
  <c r="D61" i="26"/>
  <c r="N8" i="18"/>
  <c r="P8" i="18"/>
  <c r="H65" i="26"/>
  <c r="G65" i="26"/>
  <c r="N10" i="18"/>
  <c r="F65" i="26"/>
  <c r="D65" i="26"/>
  <c r="N7" i="18"/>
  <c r="C65" i="26"/>
  <c r="N127" i="14"/>
  <c r="D49" i="26"/>
  <c r="N120" i="14"/>
  <c r="P120" i="14"/>
  <c r="H48" i="26"/>
  <c r="G48" i="26"/>
  <c r="N122" i="14"/>
  <c r="E48" i="26"/>
  <c r="D48" i="26"/>
  <c r="N119" i="14"/>
  <c r="C48" i="26"/>
  <c r="N111" i="14"/>
  <c r="D113" i="26"/>
  <c r="N110" i="14"/>
  <c r="C113" i="26"/>
  <c r="N105" i="14"/>
  <c r="E112" i="26"/>
  <c r="N103" i="14"/>
  <c r="D112" i="26"/>
  <c r="N102" i="14"/>
  <c r="C112" i="26"/>
  <c r="N97" i="14"/>
  <c r="E111" i="26"/>
  <c r="N95" i="14"/>
  <c r="D111" i="26"/>
  <c r="N94" i="14"/>
  <c r="C111" i="26"/>
  <c r="N89" i="14"/>
  <c r="E92" i="26"/>
  <c r="N87" i="14"/>
  <c r="D92" i="26"/>
  <c r="N86" i="14"/>
  <c r="C92" i="26"/>
  <c r="N81" i="14"/>
  <c r="E87" i="26"/>
  <c r="N79" i="14"/>
  <c r="D87" i="26"/>
  <c r="N78" i="14"/>
  <c r="C87" i="26"/>
  <c r="N73" i="14"/>
  <c r="E69" i="26"/>
  <c r="N71" i="14"/>
  <c r="D69" i="26"/>
  <c r="N70" i="14"/>
  <c r="C69" i="26"/>
  <c r="N65" i="14"/>
  <c r="E54" i="26"/>
  <c r="N63" i="14"/>
  <c r="D54" i="26"/>
  <c r="N62" i="14"/>
  <c r="C54" i="26"/>
  <c r="N57" i="14"/>
  <c r="D51" i="26"/>
  <c r="N52" i="14"/>
  <c r="E42" i="26"/>
  <c r="N50" i="14"/>
  <c r="D42" i="26"/>
  <c r="N49" i="14"/>
  <c r="C42" i="26"/>
  <c r="N42" i="14"/>
  <c r="D41" i="26"/>
  <c r="N41" i="14"/>
  <c r="C41" i="26"/>
  <c r="N36" i="14"/>
  <c r="E46" i="26"/>
  <c r="N34" i="14"/>
  <c r="D46" i="26"/>
  <c r="N33" i="14"/>
  <c r="C46" i="26"/>
  <c r="N28" i="14"/>
  <c r="E30" i="26"/>
  <c r="N26" i="14"/>
  <c r="D30" i="26"/>
  <c r="N25" i="14"/>
  <c r="C30" i="26"/>
  <c r="N20" i="14"/>
  <c r="E15" i="26"/>
  <c r="N18" i="14"/>
  <c r="D15" i="26"/>
  <c r="N17" i="14"/>
  <c r="C15" i="26"/>
  <c r="N12" i="14"/>
  <c r="D12" i="26"/>
  <c r="N7" i="14"/>
  <c r="D11" i="26"/>
  <c r="N11" i="28"/>
  <c r="P11" i="28"/>
  <c r="H44" i="26"/>
  <c r="G44" i="26"/>
  <c r="F44" i="26"/>
  <c r="N8" i="28"/>
  <c r="P8" i="28"/>
  <c r="H43" i="26"/>
  <c r="G43" i="26"/>
  <c r="D43" i="26"/>
  <c r="N7" i="28"/>
  <c r="C43" i="26"/>
  <c r="O92" i="15"/>
  <c r="B92" i="15"/>
  <c r="C92" i="15"/>
  <c r="D92" i="15"/>
  <c r="E92" i="15"/>
  <c r="F92" i="15"/>
  <c r="G92" i="15"/>
  <c r="H92" i="15"/>
  <c r="I92" i="15"/>
  <c r="J92" i="15"/>
  <c r="K92" i="15"/>
  <c r="L92" i="15"/>
  <c r="M92" i="15"/>
  <c r="N92" i="15"/>
  <c r="P92" i="15"/>
  <c r="H39" i="26"/>
  <c r="O93" i="15"/>
  <c r="G39" i="26"/>
  <c r="N93" i="15"/>
  <c r="F39" i="26"/>
  <c r="D39" i="26"/>
  <c r="B91" i="15"/>
  <c r="C91" i="15"/>
  <c r="D91" i="15"/>
  <c r="E91" i="15"/>
  <c r="F91" i="15"/>
  <c r="G91" i="15"/>
  <c r="H91" i="15"/>
  <c r="I91" i="15"/>
  <c r="J91" i="15"/>
  <c r="K91" i="15"/>
  <c r="L91" i="15"/>
  <c r="M91" i="15"/>
  <c r="N91" i="15"/>
  <c r="C39" i="26"/>
  <c r="N86" i="15"/>
  <c r="P86" i="15"/>
  <c r="H110" i="26"/>
  <c r="G110" i="26"/>
  <c r="D110" i="26"/>
  <c r="N85" i="15"/>
  <c r="C110" i="26"/>
  <c r="N80" i="15"/>
  <c r="D64" i="26"/>
  <c r="N79" i="15"/>
  <c r="C64" i="26"/>
  <c r="N74" i="15"/>
  <c r="P74" i="15"/>
  <c r="H105" i="26"/>
  <c r="G105" i="26"/>
  <c r="D105" i="26"/>
  <c r="N73" i="15"/>
  <c r="C105" i="26"/>
  <c r="N68" i="15"/>
  <c r="D90" i="26"/>
  <c r="N67" i="15"/>
  <c r="C90" i="26"/>
  <c r="N62" i="15"/>
  <c r="P62" i="15"/>
  <c r="H29" i="26"/>
  <c r="G29" i="26"/>
  <c r="D29" i="26"/>
  <c r="N61" i="15"/>
  <c r="C29" i="26"/>
  <c r="N56" i="15"/>
  <c r="D91" i="26"/>
  <c r="N55" i="15"/>
  <c r="C91" i="26"/>
  <c r="N50" i="15"/>
  <c r="D74" i="26"/>
  <c r="N49" i="15"/>
  <c r="C74" i="26"/>
  <c r="N44" i="15"/>
  <c r="D67" i="26"/>
  <c r="N43" i="15"/>
  <c r="C67" i="26"/>
  <c r="N38" i="15"/>
  <c r="P38" i="15"/>
  <c r="H58" i="26"/>
  <c r="G58" i="26"/>
  <c r="D58" i="26"/>
  <c r="N37" i="15"/>
  <c r="C58" i="26"/>
  <c r="N32" i="15"/>
  <c r="D50" i="26"/>
  <c r="N31" i="15"/>
  <c r="C50" i="26"/>
  <c r="N26" i="15"/>
  <c r="D47" i="26"/>
  <c r="N25" i="15"/>
  <c r="C47" i="26"/>
  <c r="N20" i="15"/>
  <c r="D38" i="26"/>
  <c r="N19" i="15"/>
  <c r="C38" i="26"/>
  <c r="N14" i="15"/>
  <c r="D26" i="26"/>
  <c r="N13" i="15"/>
  <c r="C26" i="26"/>
  <c r="N8" i="15"/>
  <c r="P8" i="15"/>
  <c r="H10" i="26"/>
  <c r="G10" i="26"/>
  <c r="D10" i="26"/>
  <c r="N7" i="15"/>
  <c r="C10" i="26"/>
  <c r="O26" i="1"/>
  <c r="B26" i="1"/>
  <c r="C26" i="1"/>
  <c r="D26" i="1"/>
  <c r="E26" i="1"/>
  <c r="F26" i="1"/>
  <c r="G26" i="1"/>
  <c r="H26" i="1"/>
  <c r="I26" i="1"/>
  <c r="J26" i="1"/>
  <c r="K26" i="1"/>
  <c r="L26" i="1"/>
  <c r="M26" i="1"/>
  <c r="N26" i="1"/>
  <c r="P26" i="1"/>
  <c r="C25" i="1"/>
  <c r="D25" i="1"/>
  <c r="E25" i="1"/>
  <c r="F25" i="1"/>
  <c r="G25" i="1"/>
  <c r="H25" i="1"/>
  <c r="I25" i="1"/>
  <c r="J25" i="1"/>
  <c r="K25" i="1"/>
  <c r="L25" i="1"/>
  <c r="M25" i="1"/>
  <c r="B25" i="1"/>
  <c r="N25" i="1"/>
  <c r="N20" i="1"/>
  <c r="N19" i="1"/>
  <c r="H67" i="16"/>
  <c r="I67" i="16"/>
  <c r="J67" i="16"/>
  <c r="K67" i="16"/>
  <c r="L67" i="16"/>
  <c r="N67" i="16"/>
  <c r="P67" i="16"/>
  <c r="C52" i="16"/>
  <c r="F52" i="16"/>
  <c r="G52" i="16"/>
  <c r="H52" i="16"/>
  <c r="I52" i="16"/>
  <c r="J52" i="16"/>
  <c r="K52" i="16"/>
  <c r="L52" i="16"/>
  <c r="M52" i="16"/>
  <c r="N52" i="16"/>
  <c r="P52" i="16"/>
  <c r="M124" i="16"/>
  <c r="L124" i="16"/>
  <c r="K124" i="16"/>
  <c r="J124" i="16"/>
  <c r="I124" i="16"/>
  <c r="H124" i="16"/>
  <c r="G124" i="16"/>
  <c r="F124" i="16"/>
  <c r="E124" i="16"/>
  <c r="D124" i="16"/>
  <c r="C124" i="16"/>
  <c r="B124" i="16"/>
  <c r="M123" i="16"/>
  <c r="L123" i="16"/>
  <c r="K123" i="16"/>
  <c r="J123" i="16"/>
  <c r="I123" i="16"/>
  <c r="H123" i="16"/>
  <c r="G123" i="16"/>
  <c r="F123" i="16"/>
  <c r="E123" i="16"/>
  <c r="D123" i="16"/>
  <c r="C123" i="16"/>
  <c r="B123" i="16"/>
  <c r="M122" i="16"/>
  <c r="L122" i="16"/>
  <c r="K122" i="16"/>
  <c r="J122" i="16"/>
  <c r="I122" i="16"/>
  <c r="H122" i="16"/>
  <c r="G122" i="16"/>
  <c r="F122" i="16"/>
  <c r="E122" i="16"/>
  <c r="D122" i="16"/>
  <c r="C122" i="16"/>
  <c r="B122" i="16"/>
  <c r="K117" i="16"/>
  <c r="I117" i="16"/>
  <c r="D117" i="16"/>
  <c r="B117" i="16"/>
  <c r="K112" i="16"/>
  <c r="I112" i="16"/>
  <c r="D112" i="16"/>
  <c r="K107" i="16"/>
  <c r="I107" i="16"/>
  <c r="H107" i="16"/>
  <c r="D107" i="16"/>
  <c r="M102" i="16"/>
  <c r="L102" i="16"/>
  <c r="K102" i="16"/>
  <c r="J102" i="16"/>
  <c r="I102" i="16"/>
  <c r="H102" i="16"/>
  <c r="G102" i="16"/>
  <c r="F102" i="16"/>
  <c r="E102" i="16"/>
  <c r="D102" i="16"/>
  <c r="C102" i="16"/>
  <c r="B102" i="16"/>
  <c r="K97" i="16"/>
  <c r="I97" i="16"/>
  <c r="K92" i="16"/>
  <c r="I92" i="16"/>
  <c r="D92" i="16"/>
  <c r="K87" i="16"/>
  <c r="I87" i="16"/>
  <c r="D87" i="16"/>
  <c r="M82" i="16"/>
  <c r="L82" i="16"/>
  <c r="K82" i="16"/>
  <c r="J82" i="16"/>
  <c r="I82" i="16"/>
  <c r="H82" i="16"/>
  <c r="G82" i="16"/>
  <c r="F82" i="16"/>
  <c r="E82" i="16"/>
  <c r="D82" i="16"/>
  <c r="C82" i="16"/>
  <c r="B82" i="16"/>
  <c r="M77" i="16"/>
  <c r="L77" i="16"/>
  <c r="K77" i="16"/>
  <c r="J77" i="16"/>
  <c r="I77" i="16"/>
  <c r="H77" i="16"/>
  <c r="G77" i="16"/>
  <c r="F77" i="16"/>
  <c r="E77" i="16"/>
  <c r="D77" i="16"/>
  <c r="C77" i="16"/>
  <c r="B77" i="16"/>
  <c r="K72" i="16"/>
  <c r="J72" i="16"/>
  <c r="I72" i="16"/>
  <c r="M62" i="16"/>
  <c r="L62" i="16"/>
  <c r="K62" i="16"/>
  <c r="J62" i="16"/>
  <c r="I62" i="16"/>
  <c r="H62" i="16"/>
  <c r="G62" i="16"/>
  <c r="F62" i="16"/>
  <c r="E62" i="16"/>
  <c r="D62" i="16"/>
  <c r="C62" i="16"/>
  <c r="B62" i="16"/>
  <c r="M57" i="16"/>
  <c r="L57" i="16"/>
  <c r="K57" i="16"/>
  <c r="J57" i="16"/>
  <c r="I57" i="16"/>
  <c r="H57" i="16"/>
  <c r="G57" i="16"/>
  <c r="F57" i="16"/>
  <c r="C57" i="16"/>
  <c r="K47" i="16"/>
  <c r="J47" i="16"/>
  <c r="I47" i="16"/>
  <c r="D47" i="16"/>
  <c r="L42" i="16"/>
  <c r="K42" i="16"/>
  <c r="J42" i="16"/>
  <c r="I42" i="16"/>
  <c r="D42" i="16"/>
  <c r="L37" i="16"/>
  <c r="K37" i="16"/>
  <c r="J37" i="16"/>
  <c r="I37" i="16"/>
  <c r="D37" i="16"/>
  <c r="M32" i="16"/>
  <c r="L32" i="16"/>
  <c r="K32" i="16"/>
  <c r="J32" i="16"/>
  <c r="I32" i="16"/>
  <c r="H32" i="16"/>
  <c r="G32" i="16"/>
  <c r="F32" i="16"/>
  <c r="M27" i="16"/>
  <c r="L27" i="16"/>
  <c r="K27" i="16"/>
  <c r="J27" i="16"/>
  <c r="I27" i="16"/>
  <c r="H27" i="16"/>
  <c r="G27" i="16"/>
  <c r="F27" i="16"/>
  <c r="M22" i="16"/>
  <c r="L22" i="16"/>
  <c r="K22" i="16"/>
  <c r="J22" i="16"/>
  <c r="I22" i="16"/>
  <c r="H22" i="16"/>
  <c r="G22" i="16"/>
  <c r="F22" i="16"/>
  <c r="K17" i="16"/>
  <c r="J17" i="16"/>
  <c r="I17" i="16"/>
  <c r="H17" i="16"/>
  <c r="B17" i="16"/>
  <c r="M12" i="16"/>
  <c r="L12" i="16"/>
  <c r="K12" i="16"/>
  <c r="J12" i="16"/>
  <c r="I12" i="16"/>
  <c r="H12" i="16"/>
  <c r="G12" i="16"/>
  <c r="F12" i="16"/>
  <c r="B12" i="16"/>
  <c r="N27" i="16"/>
  <c r="M7" i="16"/>
  <c r="L7" i="16"/>
  <c r="K7" i="16"/>
  <c r="J7" i="16"/>
  <c r="I7" i="16"/>
  <c r="H7" i="16"/>
  <c r="G7" i="16"/>
  <c r="F7" i="16"/>
  <c r="E7" i="16"/>
  <c r="D7" i="16"/>
  <c r="C7" i="16"/>
  <c r="B7" i="16"/>
  <c r="P93" i="15"/>
  <c r="O127" i="14"/>
  <c r="O57" i="14"/>
  <c r="O12" i="14"/>
  <c r="O7" i="14"/>
  <c r="N36" i="21"/>
  <c r="P36" i="21"/>
  <c r="P16" i="13"/>
  <c r="O12" i="13"/>
  <c r="P12" i="13"/>
  <c r="P8" i="13"/>
  <c r="N8" i="20"/>
  <c r="N23" i="21"/>
  <c r="N16" i="21"/>
  <c r="N9" i="21"/>
  <c r="D9" i="9"/>
  <c r="N9" i="9"/>
  <c r="N8" i="9"/>
  <c r="N12" i="25"/>
  <c r="N11" i="25"/>
  <c r="N10" i="25"/>
  <c r="N8" i="25"/>
  <c r="N7" i="25"/>
  <c r="N6" i="25"/>
  <c r="N9" i="10"/>
  <c r="N19" i="5"/>
  <c r="N9" i="5"/>
  <c r="N92" i="16"/>
  <c r="N72" i="16"/>
  <c r="N57" i="16"/>
  <c r="N32" i="16"/>
  <c r="N22" i="16"/>
  <c r="N17" i="16"/>
  <c r="N12" i="16"/>
  <c r="N7" i="27"/>
  <c r="N14" i="1"/>
  <c r="P14" i="1"/>
  <c r="N8" i="1"/>
  <c r="P8" i="1"/>
  <c r="O49" i="17"/>
  <c r="P10" i="18"/>
  <c r="O123" i="16"/>
  <c r="N44" i="14"/>
  <c r="E41" i="26"/>
  <c r="P103" i="14"/>
  <c r="N113" i="14"/>
  <c r="E113" i="26"/>
  <c r="N9" i="18"/>
  <c r="E65" i="26"/>
  <c r="N7" i="24"/>
  <c r="P7" i="24"/>
  <c r="N30" i="21"/>
  <c r="E82" i="26"/>
  <c r="E23" i="26"/>
  <c r="E99" i="26"/>
  <c r="E14" i="26"/>
  <c r="P49" i="17"/>
  <c r="P9" i="19"/>
  <c r="P6" i="25"/>
  <c r="P7" i="25"/>
  <c r="P8" i="25"/>
  <c r="P10" i="25"/>
  <c r="P11" i="25"/>
  <c r="P12" i="25"/>
  <c r="N45" i="21"/>
  <c r="N37" i="21"/>
  <c r="N35" i="21"/>
  <c r="N123" i="16"/>
  <c r="P123" i="16"/>
  <c r="N117" i="16"/>
  <c r="P117" i="16"/>
  <c r="N107" i="16"/>
  <c r="P107" i="16"/>
  <c r="N102" i="16"/>
  <c r="P102" i="16"/>
  <c r="N97" i="16"/>
  <c r="P97" i="16"/>
  <c r="N87" i="16"/>
  <c r="P87" i="16"/>
  <c r="N77" i="16"/>
  <c r="P77" i="16"/>
  <c r="N62" i="16"/>
  <c r="P62" i="16"/>
  <c r="N42" i="16"/>
  <c r="P42" i="16"/>
  <c r="N37" i="16"/>
  <c r="P37" i="16"/>
  <c r="N7" i="16"/>
  <c r="P7" i="16"/>
  <c r="N8" i="6"/>
  <c r="P8" i="6"/>
  <c r="N7" i="4"/>
  <c r="P7" i="4"/>
  <c r="N122" i="16"/>
  <c r="N124" i="16"/>
  <c r="N112" i="16"/>
  <c r="N82" i="16"/>
  <c r="N47" i="16"/>
  <c r="N7" i="6"/>
  <c r="N10" i="4"/>
  <c r="N9" i="4"/>
  <c r="N13" i="1"/>
  <c r="N7" i="1"/>
</calcChain>
</file>

<file path=xl/sharedStrings.xml><?xml version="1.0" encoding="utf-8"?>
<sst xmlns="http://schemas.openxmlformats.org/spreadsheetml/2006/main" count="1314" uniqueCount="272">
  <si>
    <t>ABC-CLIO</t>
  </si>
  <si>
    <t>Metric</t>
  </si>
  <si>
    <t>Total</t>
  </si>
  <si>
    <t>TOTAL</t>
  </si>
  <si>
    <t>Sessions</t>
  </si>
  <si>
    <t>Searches</t>
  </si>
  <si>
    <t>AHL Database</t>
  </si>
  <si>
    <t>HA Database</t>
  </si>
  <si>
    <t>MathSciNet</t>
  </si>
  <si>
    <t>Queries</t>
  </si>
  <si>
    <t>Grove Music</t>
  </si>
  <si>
    <t>CollegeSource</t>
  </si>
  <si>
    <t>Service Errors</t>
  </si>
  <si>
    <t>Turnaways</t>
  </si>
  <si>
    <t>WilsonWeb</t>
  </si>
  <si>
    <t>Art Abstracts</t>
  </si>
  <si>
    <t>Biological &amp; Agricultural Index Plus</t>
  </si>
  <si>
    <t>Readers Guide Retrospective</t>
  </si>
  <si>
    <t>Compendex (Engineering Index)</t>
  </si>
  <si>
    <t>Music Index</t>
  </si>
  <si>
    <t>CIAO</t>
  </si>
  <si>
    <t>ReferenceUSA</t>
  </si>
  <si>
    <t>Residential Searches</t>
  </si>
  <si>
    <t>Business Searches</t>
  </si>
  <si>
    <t>Philosopher's Index</t>
  </si>
  <si>
    <t>Web of Science</t>
  </si>
  <si>
    <t>Maximum Contractual Users</t>
  </si>
  <si>
    <t>SciFinder Scholar</t>
  </si>
  <si>
    <t>LexisNexis</t>
  </si>
  <si>
    <t>Documents Retrieved</t>
  </si>
  <si>
    <t>Academic</t>
  </si>
  <si>
    <t>Congressional</t>
  </si>
  <si>
    <t>N/A</t>
  </si>
  <si>
    <t>FirstSearch</t>
  </si>
  <si>
    <t>Alternative Press Index</t>
  </si>
  <si>
    <t>WorldCat</t>
  </si>
  <si>
    <t>ProceedingsFirst</t>
  </si>
  <si>
    <t>PapersFirst</t>
  </si>
  <si>
    <t>MEDLINE</t>
  </si>
  <si>
    <t>GPO Monthly Catalog</t>
  </si>
  <si>
    <t>GEOBASE</t>
  </si>
  <si>
    <t>ERIC</t>
  </si>
  <si>
    <t>ArticleFirst</t>
  </si>
  <si>
    <t>Alternative Press Index Archive</t>
  </si>
  <si>
    <t>TOTAL FirstSearch</t>
  </si>
  <si>
    <t>Biological Abstracts</t>
  </si>
  <si>
    <t>WebSPIRS (OVID)</t>
  </si>
  <si>
    <t>Clase and Periodica</t>
  </si>
  <si>
    <t>Electronic Books</t>
  </si>
  <si>
    <t>TOTAL FirstSearch Block Use</t>
  </si>
  <si>
    <t>Electronic Collections Online</t>
  </si>
  <si>
    <t>User Limit</t>
  </si>
  <si>
    <t>Academic Search Premier</t>
  </si>
  <si>
    <t>EBSCO Animals</t>
  </si>
  <si>
    <t>Funk &amp; Wagnall's New World Encyclopedia</t>
  </si>
  <si>
    <t>MAS Ultra - School Edition</t>
  </si>
  <si>
    <t>Military &amp; Government Collection</t>
  </si>
  <si>
    <t>Primary Search</t>
  </si>
  <si>
    <t>CINAHL</t>
  </si>
  <si>
    <t>Pre-CINAHL</t>
  </si>
  <si>
    <t>Textile Technology Index</t>
  </si>
  <si>
    <t>CSA Databases</t>
  </si>
  <si>
    <t>EBSCOhost Databases</t>
  </si>
  <si>
    <t>Communication Abstracts</t>
  </si>
  <si>
    <t>International Pharmaceutical Abstracts</t>
  </si>
  <si>
    <t>Oceanic Abstracts</t>
  </si>
  <si>
    <t>PAIS International</t>
  </si>
  <si>
    <t>Physical Education Index</t>
  </si>
  <si>
    <t>PsycINFO</t>
  </si>
  <si>
    <t>Social Services Abstracts</t>
  </si>
  <si>
    <t>Sociological Abstracts</t>
  </si>
  <si>
    <t>CSA Databases total</t>
  </si>
  <si>
    <t>Meteorological &amp; Geoastrophysical Abstracts</t>
  </si>
  <si>
    <t>Session</t>
  </si>
  <si>
    <t>EconLit</t>
  </si>
  <si>
    <t>ProQuest databases</t>
  </si>
  <si>
    <t>ABI/INFORM Global</t>
  </si>
  <si>
    <t>ABI/INFORM Trade &amp; Industry</t>
  </si>
  <si>
    <t>ProQuest (all databases)</t>
  </si>
  <si>
    <t>ProQuest Dissertations &amp; Theses</t>
  </si>
  <si>
    <t>National Newspapers (5)</t>
  </si>
  <si>
    <t>Los Angeles Times</t>
  </si>
  <si>
    <t>Providence Journal-Bulletin</t>
  </si>
  <si>
    <t>Wall Street Journal</t>
  </si>
  <si>
    <t>ProQuest Historical Newspapers The New York Times (1851-2002)</t>
  </si>
  <si>
    <t>EBSCOhost databases (all)</t>
  </si>
  <si>
    <t>Price per search</t>
  </si>
  <si>
    <t>Max Ports in Use</t>
  </si>
  <si>
    <t>InfoTRAC</t>
  </si>
  <si>
    <t>Successful Full-Text Article Requests</t>
  </si>
  <si>
    <t>Mergent</t>
  </si>
  <si>
    <t>Companies Viewed</t>
  </si>
  <si>
    <t>NetLibrary</t>
  </si>
  <si>
    <t>All OVID Databases</t>
  </si>
  <si>
    <t>Simultaneous users</t>
  </si>
  <si>
    <t>MINABS</t>
  </si>
  <si>
    <t>NOTE: CSA Databases totals do not equal the sum of the totals given for each database above because the CSA databases total includes searches of CSA's "Web Resources" databases and other "extras."</t>
  </si>
  <si>
    <t>Library, Info Sci &amp; Tech Abstracts</t>
  </si>
  <si>
    <t>WorldCat Dissertations &amp; Theses</t>
  </si>
  <si>
    <t>Note: We have 4,478 shared titles</t>
  </si>
  <si>
    <t>Accesses</t>
  </si>
  <si>
    <t>Ovid</t>
  </si>
  <si>
    <t>BIOSIS Previews</t>
  </si>
  <si>
    <t>Ovid MEDLINE</t>
  </si>
  <si>
    <t>Ovid MEDLINE In-Process</t>
  </si>
  <si>
    <t>Ovid OLDMEDLINE</t>
  </si>
  <si>
    <t>Journals@Ovid Full Text</t>
  </si>
  <si>
    <t>New Users</t>
  </si>
  <si>
    <t>Repeat Users</t>
  </si>
  <si>
    <t>Total Monthly Users</t>
  </si>
  <si>
    <t>per user</t>
  </si>
  <si>
    <t>Total Sessions per month</t>
  </si>
  <si>
    <t>per session</t>
  </si>
  <si>
    <t>Average Sessions Per User</t>
  </si>
  <si>
    <t>Total Subscriber References added</t>
  </si>
  <si>
    <t>per reference added</t>
  </si>
  <si>
    <t>Average References added per user</t>
  </si>
  <si>
    <t>RefWorks (CSA)</t>
  </si>
  <si>
    <t>Logins</t>
  </si>
  <si>
    <t>Successful full-text downloads</t>
  </si>
  <si>
    <t>Database Statistics Summary</t>
  </si>
  <si>
    <t>Database Name</t>
  </si>
  <si>
    <t>Vendor</t>
  </si>
  <si>
    <t>Successful full-text article requests</t>
  </si>
  <si>
    <t>Cost per Search</t>
  </si>
  <si>
    <t>ProQuest</t>
  </si>
  <si>
    <t>EBSCOhost</t>
  </si>
  <si>
    <t>America History &amp; Life</t>
  </si>
  <si>
    <t>ArticleFirst*</t>
  </si>
  <si>
    <t>ASFA: Aquatic Science &amp; Fisheries Abstracts</t>
  </si>
  <si>
    <t>CSA</t>
  </si>
  <si>
    <t>Bibliography &amp; Index of Micropaleontology</t>
  </si>
  <si>
    <t>—</t>
  </si>
  <si>
    <t>Biological Abstracts / BIOSIS</t>
  </si>
  <si>
    <t>Ovid WEBSPIRS</t>
  </si>
  <si>
    <t>Biological &amp; Agricultural Index Plus*</t>
  </si>
  <si>
    <t>ChoiceReviews.online</t>
  </si>
  <si>
    <t>Choice</t>
  </si>
  <si>
    <t>Clase and Periodica*</t>
  </si>
  <si>
    <t>Cochrane Library</t>
  </si>
  <si>
    <t>Wiley InterScience</t>
  </si>
  <si>
    <t>Compendex</t>
  </si>
  <si>
    <t>EI</t>
  </si>
  <si>
    <t>CSA (all databases)</t>
  </si>
  <si>
    <t>EBSCOhost (all databases)</t>
  </si>
  <si>
    <t>Electronic Books*</t>
  </si>
  <si>
    <t>Electronic Collections Online*</t>
  </si>
  <si>
    <t>URI does not subscribe to full text</t>
  </si>
  <si>
    <t>ERIC*</t>
  </si>
  <si>
    <t>FirstSearch (all databases)</t>
  </si>
  <si>
    <t>FirstSearch (“per-search” block searches)</t>
  </si>
  <si>
    <t>GeoRef</t>
  </si>
  <si>
    <t>GPO Monthly Catalog*</t>
  </si>
  <si>
    <t>Oxford</t>
  </si>
  <si>
    <t>Historical Abstracts</t>
  </si>
  <si>
    <t>Labor and Employment Law Library</t>
  </si>
  <si>
    <t>BNA</t>
  </si>
  <si>
    <t>LexisNexis Academic</t>
  </si>
  <si>
    <t>LexisNexis Congressional</t>
  </si>
  <si>
    <t>Literature Resource Center</t>
  </si>
  <si>
    <t>InfoTrac</t>
  </si>
  <si>
    <t>MAS Ultra – School edition</t>
  </si>
  <si>
    <t>American Mathematical Society</t>
  </si>
  <si>
    <t>MEDLINE*</t>
  </si>
  <si>
    <t>Mergent Online</t>
  </si>
  <si>
    <t>MINABS Online</t>
  </si>
  <si>
    <t>Harmonie Park Press</t>
  </si>
  <si>
    <t>PapersFirst*</t>
  </si>
  <si>
    <t>ProceedingsFirst*</t>
  </si>
  <si>
    <t>ProQuest Historical Newspapers — The New York Times (1851-2002)</t>
  </si>
  <si>
    <t>PubMed</t>
  </si>
  <si>
    <t>NLM</t>
  </si>
  <si>
    <t>InfoUSA</t>
  </si>
  <si>
    <t>RefWorks</t>
  </si>
  <si>
    <t>SciFinder Scholar*</t>
  </si>
  <si>
    <t>CAS</t>
  </si>
  <si>
    <t>Web of Science*</t>
  </si>
  <si>
    <t>Thomson ISI</t>
  </si>
  <si>
    <t>WorldCat*</t>
  </si>
  <si>
    <t>WorldCat Dissertations &amp; Theses*</t>
  </si>
  <si>
    <t>* usage constrained by limitations on concurrent users</t>
  </si>
  <si>
    <t>OVID</t>
  </si>
  <si>
    <t>OLDMEDLINE</t>
  </si>
  <si>
    <t>MEDLINE In Process</t>
  </si>
  <si>
    <t>netLibrary</t>
  </si>
  <si>
    <t>Not avail.</t>
  </si>
  <si>
    <t>Price per unit</t>
  </si>
  <si>
    <t>2006-2007</t>
  </si>
  <si>
    <t>2006-2007 price</t>
  </si>
  <si>
    <t>2006-2007 Price</t>
  </si>
  <si>
    <t>Price for 2006-2007</t>
  </si>
  <si>
    <t>Price per access</t>
  </si>
  <si>
    <t>Grove Music Online</t>
  </si>
  <si>
    <t>Oxford English Dictionary</t>
  </si>
  <si>
    <t>INSPEC</t>
  </si>
  <si>
    <t>Book Index with Reviews</t>
  </si>
  <si>
    <t>Film &amp; Television Literature Index</t>
  </si>
  <si>
    <t>Women's Studies International</t>
  </si>
  <si>
    <t>Environmental</t>
  </si>
  <si>
    <t>World Almanacs</t>
  </si>
  <si>
    <t>MetaPress</t>
  </si>
  <si>
    <t>Number of Successful Article Requests</t>
  </si>
  <si>
    <t>ASFA (all)</t>
  </si>
  <si>
    <t>ASFA 2 (Ocean Technology…)</t>
  </si>
  <si>
    <t>ASFA 1 (Biosciences...)</t>
  </si>
  <si>
    <t>ASFA 3 (Aquatic Pollution…)</t>
  </si>
  <si>
    <t>ASFA Marine Biotechnology Abstracts</t>
  </si>
  <si>
    <t>2006/07 Price</t>
  </si>
  <si>
    <t>Elsevier</t>
  </si>
  <si>
    <t>Encyclopedia of Ocean Science</t>
  </si>
  <si>
    <t>EMBASE.com</t>
  </si>
  <si>
    <t>Requests for full text chapters</t>
  </si>
  <si>
    <t>Doody's Core Titles in the Health Sciences</t>
  </si>
  <si>
    <t>Doody's</t>
  </si>
  <si>
    <t>EMASE.COM</t>
  </si>
  <si>
    <t>ASFA 1</t>
  </si>
  <si>
    <t>ASFA 2</t>
  </si>
  <si>
    <t>ASFA 3</t>
  </si>
  <si>
    <t>Abstracts in Anthropology</t>
  </si>
  <si>
    <t>Library of Congress</t>
  </si>
  <si>
    <t>GeoRef in Process</t>
  </si>
  <si>
    <t>Human Resources Report</t>
  </si>
  <si>
    <t>LexisNexis Environmental</t>
  </si>
  <si>
    <t>MLA Directory of Periodicals</t>
  </si>
  <si>
    <t>MLA International Bibliography</t>
  </si>
  <si>
    <t>PAIS Archive</t>
  </si>
  <si>
    <t>Treaties and International Agreements Online</t>
  </si>
  <si>
    <t>Turfgrass Information Center</t>
  </si>
  <si>
    <t>World Almanacs*</t>
  </si>
  <si>
    <t>MinABS</t>
  </si>
  <si>
    <t>Note: This subscription allows users to search a database, yet MetaPress usage statistics only measure "article requests," not searches.</t>
  </si>
  <si>
    <t>Thus these numbers mean nothing. They do NOT mean that the resource was not used.</t>
  </si>
  <si>
    <t>MergentOnline</t>
  </si>
  <si>
    <t>ASFA Aquaculture Abstracts</t>
  </si>
  <si>
    <t>Social Services Abstracts, CSA</t>
  </si>
  <si>
    <t>Sociological Abstracts, CSA</t>
  </si>
  <si>
    <t>College Source</t>
  </si>
  <si>
    <t>XDB (XDB = Combined AHL and HA Database Activity)</t>
  </si>
  <si>
    <t>ABC-CLIO databases (all)</t>
  </si>
  <si>
    <t>OVID (all databases)</t>
  </si>
  <si>
    <t>Micropress</t>
  </si>
  <si>
    <t>Treaties &amp; International Agreements Online (Oceana)</t>
  </si>
  <si>
    <t>Minutes</t>
  </si>
  <si>
    <t>Oceana (Oxford)</t>
  </si>
  <si>
    <t>Unique Visitors</t>
  </si>
  <si>
    <t>No of Visits</t>
  </si>
  <si>
    <t>No of Views</t>
  </si>
  <si>
    <t>No of Searches</t>
  </si>
  <si>
    <t>Articles Viewed</t>
  </si>
  <si>
    <t>Average Visit Duration</t>
  </si>
  <si>
    <t>00:07:18</t>
  </si>
  <si>
    <t>00:02:44</t>
  </si>
  <si>
    <t>00:02:26</t>
  </si>
  <si>
    <t>00:02:01</t>
  </si>
  <si>
    <t>00:01:09</t>
  </si>
  <si>
    <t>00:02:38</t>
  </si>
  <si>
    <t>Active Sessions</t>
  </si>
  <si>
    <t>Page Views</t>
  </si>
  <si>
    <t>Unique Visitors (compilation)</t>
  </si>
  <si>
    <t>COUNTER-Compliant?:</t>
  </si>
  <si>
    <t>Yes</t>
  </si>
  <si>
    <t>No</t>
  </si>
  <si>
    <t>Note: Methods of gathering statistics changed mid-year with no explanation.</t>
  </si>
  <si>
    <t>ClassificationWeb</t>
  </si>
  <si>
    <t>Maximum users</t>
  </si>
  <si>
    <t>Total records</t>
  </si>
  <si>
    <t>Sessions (no. days used)</t>
  </si>
  <si>
    <t>Next/prev records</t>
  </si>
  <si>
    <t>Classification Web*</t>
  </si>
  <si>
    <t>Michigan State Univ.</t>
  </si>
  <si>
    <t>Full-Text Articles Downloaded</t>
  </si>
  <si>
    <t>Displayed result sets (i.e. searches?)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</si>
</sst>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5" formatCode="[$-409]mmm\-yy;@"/>
    <numFmt numFmtId="170" formatCode="&quot;$&quot;#,##0.00"/>
  </numFmts>
  <fonts count="11" x14ac:knownFonts="1">
    <font>
      <sz val="10"/>
      <name val="Arial"/>
    </font>
    <font>
      <sz val="10"/>
      <name val="Arial"/>
    </font>
    <font>
      <sz val="8"/>
      <name val="Arial"/>
    </font>
    <font>
      <b/>
      <sz val="10"/>
      <name val="Arial"/>
      <family val="2"/>
    </font>
    <font>
      <b/>
      <sz val="16"/>
      <name val="Arial"/>
      <family val="2"/>
    </font>
    <font>
      <b/>
      <sz val="14"/>
      <name val="Arial"/>
      <family val="2"/>
    </font>
    <font>
      <b/>
      <sz val="10"/>
      <name val="MS Sans Serif"/>
      <family val="2"/>
    </font>
    <font>
      <sz val="10"/>
      <color indexed="8"/>
      <name val="Arial"/>
      <family val="2"/>
    </font>
    <font>
      <sz val="10"/>
      <name val="Arial"/>
      <family val="2"/>
    </font>
    <font>
      <sz val="10"/>
      <name val="Arial Unicode MS"/>
    </font>
    <font>
      <sz val="10"/>
      <name val="Courier New"/>
      <family val="3"/>
    </font>
  </fonts>
  <fills count="4">
    <fill>
      <patternFill patternType="none"/>
    </fill>
    <fill>
      <patternFill patternType="gray125"/>
    </fill>
    <fill>
      <patternFill patternType="solid">
        <fgColor indexed="22"/>
        <bgColor indexed="64"/>
      </patternFill>
    </fill>
    <fill>
      <patternFill patternType="solid">
        <fgColor indexed="9"/>
        <bgColor indexed="64"/>
      </patternFill>
    </fill>
  </fills>
  <borders count="32">
    <border>
      <left/>
      <right/>
      <top/>
      <bottom/>
      <diagonal/>
    </border>
    <border>
      <left style="thin">
        <color indexed="8"/>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diagonal/>
    </border>
    <border>
      <left/>
      <right style="thin">
        <color indexed="8"/>
      </right>
      <top style="thin">
        <color indexed="8"/>
      </top>
      <bottom style="thin">
        <color indexed="8"/>
      </bottom>
      <diagonal/>
    </border>
    <border>
      <left/>
      <right style="thin">
        <color auto="1"/>
      </right>
      <top/>
      <bottom/>
      <diagonal/>
    </border>
    <border>
      <left style="thin">
        <color indexed="8"/>
      </left>
      <right style="thin">
        <color auto="1"/>
      </right>
      <top style="thin">
        <color indexed="8"/>
      </top>
      <bottom style="thin">
        <color indexed="8"/>
      </bottom>
      <diagonal/>
    </border>
    <border>
      <left style="thin">
        <color indexed="8"/>
      </left>
      <right/>
      <top style="thin">
        <color indexed="8"/>
      </top>
      <bottom/>
      <diagonal/>
    </border>
    <border>
      <left style="thin">
        <color auto="1"/>
      </left>
      <right style="thin">
        <color auto="1"/>
      </right>
      <top style="thin">
        <color auto="1"/>
      </top>
      <bottom/>
      <diagonal/>
    </border>
    <border>
      <left style="thin">
        <color indexed="8"/>
      </left>
      <right style="thin">
        <color indexed="8"/>
      </right>
      <top style="thin">
        <color auto="1"/>
      </top>
      <bottom style="thin">
        <color indexed="8"/>
      </bottom>
      <diagonal/>
    </border>
    <border>
      <left/>
      <right/>
      <top/>
      <bottom style="thin">
        <color auto="1"/>
      </bottom>
      <diagonal/>
    </border>
    <border>
      <left style="thin">
        <color indexed="8"/>
      </left>
      <right style="thin">
        <color indexed="8"/>
      </right>
      <top style="thin">
        <color indexed="8"/>
      </top>
      <bottom style="medium">
        <color indexed="8"/>
      </bottom>
      <diagonal/>
    </border>
    <border>
      <left style="thin">
        <color indexed="8"/>
      </left>
      <right style="thin">
        <color indexed="8"/>
      </right>
      <top style="medium">
        <color indexed="8"/>
      </top>
      <bottom style="thin">
        <color indexed="8"/>
      </bottom>
      <diagonal/>
    </border>
    <border>
      <left/>
      <right style="thin">
        <color indexed="8"/>
      </right>
      <top style="thin">
        <color indexed="8"/>
      </top>
      <bottom/>
      <diagonal/>
    </border>
    <border>
      <left/>
      <right style="thin">
        <color indexed="8"/>
      </right>
      <top style="thin">
        <color auto="1"/>
      </top>
      <bottom style="thin">
        <color indexed="8"/>
      </bottom>
      <diagonal/>
    </border>
    <border>
      <left style="thin">
        <color indexed="8"/>
      </left>
      <right style="thin">
        <color indexed="8"/>
      </right>
      <top/>
      <bottom style="thin">
        <color indexed="8"/>
      </bottom>
      <diagonal/>
    </border>
    <border>
      <left style="thin">
        <color indexed="8"/>
      </left>
      <right/>
      <top/>
      <bottom style="thin">
        <color indexed="8"/>
      </bottom>
      <diagonal/>
    </border>
    <border>
      <left/>
      <right style="thin">
        <color indexed="8"/>
      </right>
      <top/>
      <bottom/>
      <diagonal/>
    </border>
    <border>
      <left style="thin">
        <color indexed="8"/>
      </left>
      <right style="thin">
        <color indexed="8"/>
      </right>
      <top/>
      <bottom/>
      <diagonal/>
    </border>
    <border>
      <left style="thin">
        <color indexed="8"/>
      </left>
      <right/>
      <top/>
      <bottom/>
      <diagonal/>
    </border>
    <border>
      <left style="thin">
        <color indexed="8"/>
      </left>
      <right style="thin">
        <color indexed="8"/>
      </right>
      <top style="thin">
        <color indexed="8"/>
      </top>
      <bottom style="thin">
        <color auto="1"/>
      </bottom>
      <diagonal/>
    </border>
    <border>
      <left style="thin">
        <color indexed="8"/>
      </left>
      <right/>
      <top style="thin">
        <color indexed="8"/>
      </top>
      <bottom style="thin">
        <color auto="1"/>
      </bottom>
      <diagonal/>
    </border>
    <border>
      <left style="thin">
        <color indexed="8"/>
      </left>
      <right style="thin">
        <color auto="1"/>
      </right>
      <top style="thin">
        <color indexed="8"/>
      </top>
      <bottom style="thin">
        <color auto="1"/>
      </bottom>
      <diagonal/>
    </border>
    <border>
      <left/>
      <right style="thin">
        <color auto="1"/>
      </right>
      <top style="thin">
        <color auto="1"/>
      </top>
      <bottom style="thin">
        <color auto="1"/>
      </bottom>
      <diagonal/>
    </border>
    <border>
      <left style="thin">
        <color auto="1"/>
      </left>
      <right style="thin">
        <color indexed="8"/>
      </right>
      <top style="thin">
        <color auto="1"/>
      </top>
      <bottom style="thin">
        <color auto="1"/>
      </bottom>
      <diagonal/>
    </border>
    <border>
      <left style="thin">
        <color indexed="8"/>
      </left>
      <right style="thin">
        <color indexed="8"/>
      </right>
      <top style="thin">
        <color auto="1"/>
      </top>
      <bottom style="thin">
        <color auto="1"/>
      </bottom>
      <diagonal/>
    </border>
    <border>
      <left style="thin">
        <color indexed="8"/>
      </left>
      <right style="thin">
        <color auto="1"/>
      </right>
      <top style="thin">
        <color auto="1"/>
      </top>
      <bottom style="thin">
        <color auto="1"/>
      </bottom>
      <diagonal/>
    </border>
    <border>
      <left/>
      <right/>
      <top style="thin">
        <color indexed="8"/>
      </top>
      <bottom style="thin">
        <color indexed="8"/>
      </bottom>
      <diagonal/>
    </border>
    <border>
      <left/>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s>
  <cellStyleXfs count="1">
    <xf numFmtId="0" fontId="0" fillId="0" borderId="0"/>
  </cellStyleXfs>
  <cellXfs count="149">
    <xf numFmtId="0" fontId="0" fillId="0" borderId="0" xfId="0"/>
    <xf numFmtId="0" fontId="3" fillId="0" borderId="0" xfId="0" applyFont="1"/>
    <xf numFmtId="0" fontId="4" fillId="0" borderId="0" xfId="0" applyFont="1"/>
    <xf numFmtId="0" fontId="5" fillId="0" borderId="0" xfId="0" applyFont="1"/>
    <xf numFmtId="0" fontId="6" fillId="0" borderId="1" xfId="0" applyFont="1" applyBorder="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2" xfId="0" applyBorder="1" applyAlignment="1">
      <alignment horizontal="right" vertical="top" wrapText="1"/>
    </xf>
    <xf numFmtId="0" fontId="0" fillId="0" borderId="1" xfId="0" applyBorder="1" applyAlignment="1">
      <alignment horizontal="right" vertical="top" wrapText="1"/>
    </xf>
    <xf numFmtId="0" fontId="0" fillId="2" borderId="3" xfId="0" applyFill="1" applyBorder="1"/>
    <xf numFmtId="1" fontId="0" fillId="2" borderId="3" xfId="0" applyNumberFormat="1" applyFill="1" applyBorder="1"/>
    <xf numFmtId="0" fontId="0" fillId="0" borderId="4" xfId="0" applyBorder="1" applyAlignment="1">
      <alignment horizontal="right" vertical="top" wrapText="1"/>
    </xf>
    <xf numFmtId="0" fontId="3" fillId="0" borderId="0" xfId="0" applyFont="1" applyFill="1"/>
    <xf numFmtId="1" fontId="0" fillId="0" borderId="0" xfId="0" applyNumberFormat="1" applyFill="1" applyBorder="1"/>
    <xf numFmtId="0" fontId="0" fillId="0" borderId="3" xfId="0" applyBorder="1"/>
    <xf numFmtId="0" fontId="0" fillId="0" borderId="0" xfId="0" applyAlignment="1">
      <alignment wrapText="1"/>
    </xf>
    <xf numFmtId="0" fontId="0" fillId="0" borderId="0" xfId="0" applyFill="1"/>
    <xf numFmtId="0" fontId="0" fillId="0" borderId="0" xfId="0" applyFill="1" applyBorder="1"/>
    <xf numFmtId="0" fontId="0" fillId="0" borderId="5" xfId="0" applyBorder="1" applyAlignment="1">
      <alignment horizontal="right" vertical="top" wrapText="1"/>
    </xf>
    <xf numFmtId="0" fontId="0" fillId="0" borderId="0" xfId="0" applyBorder="1" applyAlignment="1">
      <alignment horizontal="right" vertical="top" wrapText="1"/>
    </xf>
    <xf numFmtId="3" fontId="0" fillId="0" borderId="2" xfId="0" applyNumberFormat="1" applyBorder="1"/>
    <xf numFmtId="0" fontId="0" fillId="0" borderId="6" xfId="0" applyFill="1" applyBorder="1"/>
    <xf numFmtId="165" fontId="3" fillId="0" borderId="0" xfId="0" applyNumberFormat="1" applyFont="1" applyAlignment="1">
      <alignment horizontal="center" wrapText="1"/>
    </xf>
    <xf numFmtId="3" fontId="0" fillId="0" borderId="0" xfId="0" applyNumberFormat="1"/>
    <xf numFmtId="17" fontId="3" fillId="0" borderId="0" xfId="0" applyNumberFormat="1" applyFont="1" applyAlignment="1">
      <alignment horizontal="center" wrapText="1"/>
    </xf>
    <xf numFmtId="0" fontId="0" fillId="0" borderId="7" xfId="0" applyBorder="1" applyAlignment="1">
      <alignment horizontal="right" vertical="top" wrapText="1"/>
    </xf>
    <xf numFmtId="0" fontId="3" fillId="0" borderId="0" xfId="0" applyFont="1" applyAlignment="1">
      <alignment wrapText="1" shrinkToFit="1"/>
    </xf>
    <xf numFmtId="170" fontId="0" fillId="0" borderId="0" xfId="0" applyNumberFormat="1"/>
    <xf numFmtId="170" fontId="0" fillId="0" borderId="0" xfId="0" applyNumberFormat="1" applyAlignment="1">
      <alignment horizontal="right"/>
    </xf>
    <xf numFmtId="4" fontId="0" fillId="0" borderId="0" xfId="0" applyNumberFormat="1"/>
    <xf numFmtId="0" fontId="1" fillId="0" borderId="0" xfId="0" applyFont="1" applyAlignment="1">
      <alignment vertical="top"/>
    </xf>
    <xf numFmtId="0" fontId="0" fillId="0" borderId="0" xfId="0" applyAlignment="1">
      <alignment horizontal="left" indent="3"/>
    </xf>
    <xf numFmtId="0" fontId="8" fillId="0" borderId="0" xfId="0" applyFont="1" applyAlignment="1">
      <alignment horizontal="left" indent="3"/>
    </xf>
    <xf numFmtId="0" fontId="0" fillId="0" borderId="3" xfId="0" applyBorder="1" applyAlignment="1">
      <alignment horizontal="right" vertical="top" wrapText="1"/>
    </xf>
    <xf numFmtId="3" fontId="0" fillId="0" borderId="3" xfId="0" applyNumberFormat="1" applyBorder="1" applyAlignment="1">
      <alignment vertical="center"/>
    </xf>
    <xf numFmtId="3" fontId="0" fillId="2" borderId="3" xfId="0" applyNumberFormat="1" applyFill="1" applyBorder="1" applyAlignment="1">
      <alignment vertical="center"/>
    </xf>
    <xf numFmtId="3" fontId="0" fillId="0" borderId="3" xfId="0" applyNumberFormat="1" applyBorder="1"/>
    <xf numFmtId="170" fontId="0" fillId="0" borderId="3" xfId="0" applyNumberFormat="1" applyBorder="1"/>
    <xf numFmtId="0" fontId="9" fillId="0" borderId="0" xfId="0" applyFont="1"/>
    <xf numFmtId="0" fontId="3" fillId="0" borderId="0" xfId="0" applyFont="1" applyFill="1" applyBorder="1"/>
    <xf numFmtId="3" fontId="0" fillId="0" borderId="2" xfId="0" applyNumberFormat="1" applyBorder="1" applyAlignment="1">
      <alignment horizontal="right" vertical="top" wrapText="1"/>
    </xf>
    <xf numFmtId="3" fontId="0" fillId="0" borderId="1" xfId="0" applyNumberFormat="1" applyBorder="1" applyAlignment="1">
      <alignment horizontal="right" vertical="top" wrapText="1"/>
    </xf>
    <xf numFmtId="0" fontId="0" fillId="0" borderId="0" xfId="0" applyBorder="1"/>
    <xf numFmtId="3" fontId="0" fillId="0" borderId="3" xfId="0" applyNumberFormat="1" applyBorder="1" applyAlignment="1">
      <alignment vertical="top"/>
    </xf>
    <xf numFmtId="3" fontId="0" fillId="0" borderId="3" xfId="0" applyNumberFormat="1" applyBorder="1" applyAlignment="1">
      <alignment horizontal="right" vertical="top"/>
    </xf>
    <xf numFmtId="3" fontId="0" fillId="2" borderId="3" xfId="0" applyNumberFormat="1" applyFill="1" applyBorder="1"/>
    <xf numFmtId="8" fontId="0" fillId="0" borderId="3" xfId="0" applyNumberFormat="1" applyBorder="1" applyAlignment="1">
      <alignment horizontal="right"/>
    </xf>
    <xf numFmtId="3" fontId="0" fillId="0" borderId="3" xfId="0" applyNumberFormat="1" applyFill="1" applyBorder="1"/>
    <xf numFmtId="3" fontId="0" fillId="0" borderId="3" xfId="0" applyNumberFormat="1" applyFill="1" applyBorder="1" applyAlignment="1">
      <alignment horizontal="right"/>
    </xf>
    <xf numFmtId="3" fontId="0" fillId="0" borderId="3" xfId="0" applyNumberFormat="1" applyBorder="1" applyAlignment="1">
      <alignment horizontal="right" vertical="top" wrapText="1"/>
    </xf>
    <xf numFmtId="3" fontId="3" fillId="2" borderId="3" xfId="0" applyNumberFormat="1" applyFont="1" applyFill="1" applyBorder="1"/>
    <xf numFmtId="170" fontId="3" fillId="0" borderId="3" xfId="0" applyNumberFormat="1" applyFont="1" applyBorder="1"/>
    <xf numFmtId="4" fontId="0" fillId="0" borderId="3" xfId="0" applyNumberFormat="1" applyBorder="1"/>
    <xf numFmtId="4" fontId="0" fillId="2" borderId="3" xfId="0" applyNumberFormat="1" applyFill="1" applyBorder="1"/>
    <xf numFmtId="0" fontId="10" fillId="0" borderId="0" xfId="0" applyFont="1"/>
    <xf numFmtId="3" fontId="0" fillId="0" borderId="4" xfId="0" applyNumberFormat="1" applyBorder="1" applyAlignment="1">
      <alignment horizontal="right" vertical="top" wrapText="1"/>
    </xf>
    <xf numFmtId="3" fontId="0" fillId="0" borderId="8" xfId="0" applyNumberFormat="1" applyBorder="1" applyAlignment="1">
      <alignment horizontal="right" vertical="top" wrapText="1"/>
    </xf>
    <xf numFmtId="3" fontId="0" fillId="2" borderId="9" xfId="0" applyNumberFormat="1" applyFill="1" applyBorder="1"/>
    <xf numFmtId="3" fontId="0" fillId="0" borderId="10" xfId="0" applyNumberFormat="1" applyBorder="1" applyAlignment="1">
      <alignment horizontal="right" vertical="top" wrapText="1"/>
    </xf>
    <xf numFmtId="0" fontId="3" fillId="0" borderId="11" xfId="0" applyFont="1" applyBorder="1" applyAlignment="1">
      <alignment wrapText="1"/>
    </xf>
    <xf numFmtId="0" fontId="3" fillId="0" borderId="12" xfId="0" applyFont="1" applyBorder="1" applyAlignment="1">
      <alignment horizontal="center" wrapText="1"/>
    </xf>
    <xf numFmtId="0" fontId="0" fillId="0" borderId="13" xfId="0" applyFill="1" applyBorder="1" applyAlignment="1">
      <alignment vertical="top" wrapText="1"/>
    </xf>
    <xf numFmtId="0" fontId="0" fillId="0" borderId="13" xfId="0" applyFill="1" applyBorder="1" applyAlignment="1">
      <alignment horizontal="center"/>
    </xf>
    <xf numFmtId="0" fontId="0" fillId="0" borderId="2" xfId="0" applyFill="1" applyBorder="1" applyAlignment="1">
      <alignment vertical="top" wrapText="1"/>
    </xf>
    <xf numFmtId="0" fontId="0" fillId="0" borderId="2" xfId="0" applyFill="1" applyBorder="1" applyAlignment="1">
      <alignment horizontal="center" vertical="top" wrapText="1"/>
    </xf>
    <xf numFmtId="3" fontId="0" fillId="0" borderId="2" xfId="0" applyNumberFormat="1" applyFill="1" applyBorder="1" applyAlignment="1">
      <alignment vertical="top" wrapText="1"/>
    </xf>
    <xf numFmtId="170" fontId="0" fillId="0" borderId="2" xfId="0" applyNumberFormat="1" applyFill="1" applyBorder="1" applyAlignment="1">
      <alignment vertical="top" wrapText="1"/>
    </xf>
    <xf numFmtId="1" fontId="0" fillId="0" borderId="2" xfId="0" applyNumberFormat="1" applyFill="1" applyBorder="1" applyAlignment="1">
      <alignment vertical="top" wrapText="1"/>
    </xf>
    <xf numFmtId="170" fontId="0" fillId="0" borderId="2" xfId="0" applyNumberFormat="1" applyFill="1" applyBorder="1" applyAlignment="1">
      <alignment horizontal="center" vertical="top" wrapText="1"/>
    </xf>
    <xf numFmtId="0" fontId="0" fillId="0" borderId="2" xfId="0" applyFill="1" applyBorder="1" applyAlignment="1">
      <alignment horizontal="center"/>
    </xf>
    <xf numFmtId="170" fontId="0" fillId="0" borderId="2" xfId="0" applyNumberFormat="1" applyFill="1" applyBorder="1" applyAlignment="1">
      <alignment horizontal="right" vertical="top" wrapText="1"/>
    </xf>
    <xf numFmtId="3" fontId="0" fillId="0" borderId="2" xfId="0" applyNumberFormat="1" applyFill="1" applyBorder="1" applyAlignment="1">
      <alignment horizontal="center" vertical="top" wrapText="1"/>
    </xf>
    <xf numFmtId="0" fontId="8" fillId="0" borderId="0" xfId="0" applyFont="1"/>
    <xf numFmtId="3" fontId="0" fillId="0" borderId="3" xfId="0" applyNumberFormat="1" applyFill="1" applyBorder="1" applyAlignment="1">
      <alignment vertical="top"/>
    </xf>
    <xf numFmtId="3" fontId="0" fillId="0" borderId="5" xfId="0" applyNumberFormat="1" applyBorder="1" applyAlignment="1">
      <alignment horizontal="right" vertical="top" wrapText="1"/>
    </xf>
    <xf numFmtId="3" fontId="0" fillId="0" borderId="14" xfId="0" applyNumberFormat="1" applyBorder="1" applyAlignment="1">
      <alignment horizontal="right" vertical="top" wrapText="1"/>
    </xf>
    <xf numFmtId="3" fontId="0" fillId="0" borderId="15" xfId="0" applyNumberFormat="1" applyBorder="1" applyAlignment="1">
      <alignment horizontal="right" vertical="top" wrapText="1"/>
    </xf>
    <xf numFmtId="3" fontId="8" fillId="0" borderId="2" xfId="0" applyNumberFormat="1" applyFont="1" applyBorder="1" applyAlignment="1">
      <alignment horizontal="right" wrapText="1"/>
    </xf>
    <xf numFmtId="3" fontId="0" fillId="0" borderId="16" xfId="0" applyNumberFormat="1" applyBorder="1" applyAlignment="1">
      <alignment horizontal="right" vertical="top" wrapText="1"/>
    </xf>
    <xf numFmtId="3" fontId="0" fillId="0" borderId="17" xfId="0" applyNumberFormat="1" applyBorder="1" applyAlignment="1">
      <alignment horizontal="right" vertical="top" wrapText="1"/>
    </xf>
    <xf numFmtId="3" fontId="0" fillId="0" borderId="9" xfId="0" applyNumberFormat="1" applyBorder="1"/>
    <xf numFmtId="3" fontId="0" fillId="0" borderId="18" xfId="0" applyNumberFormat="1" applyBorder="1" applyAlignment="1">
      <alignment horizontal="right" vertical="top" wrapText="1"/>
    </xf>
    <xf numFmtId="3" fontId="0" fillId="0" borderId="19" xfId="0" applyNumberFormat="1" applyBorder="1" applyAlignment="1">
      <alignment horizontal="right" vertical="top" wrapText="1"/>
    </xf>
    <xf numFmtId="3" fontId="0" fillId="0" borderId="20" xfId="0" applyNumberFormat="1" applyBorder="1" applyAlignment="1">
      <alignment horizontal="right" vertical="top" wrapText="1"/>
    </xf>
    <xf numFmtId="3" fontId="0" fillId="0" borderId="21" xfId="0" applyNumberFormat="1" applyBorder="1" applyAlignment="1">
      <alignment horizontal="right" vertical="top" wrapText="1"/>
    </xf>
    <xf numFmtId="3" fontId="0" fillId="0" borderId="22" xfId="0" applyNumberFormat="1" applyBorder="1" applyAlignment="1">
      <alignment horizontal="right" vertical="top" wrapText="1"/>
    </xf>
    <xf numFmtId="3" fontId="0" fillId="0" borderId="23" xfId="0" applyNumberFormat="1" applyBorder="1" applyAlignment="1">
      <alignment horizontal="right" vertical="top" wrapText="1"/>
    </xf>
    <xf numFmtId="3" fontId="0" fillId="2" borderId="24" xfId="0" applyNumberFormat="1" applyFill="1" applyBorder="1"/>
    <xf numFmtId="3" fontId="0" fillId="0" borderId="7" xfId="0" applyNumberFormat="1" applyBorder="1" applyAlignment="1">
      <alignment horizontal="right" vertical="top" wrapText="1"/>
    </xf>
    <xf numFmtId="3" fontId="0" fillId="0" borderId="2" xfId="0" applyNumberFormat="1" applyFill="1" applyBorder="1" applyAlignment="1">
      <alignment horizontal="right" vertical="top" wrapText="1"/>
    </xf>
    <xf numFmtId="3" fontId="0" fillId="0" borderId="1" xfId="0" applyNumberFormat="1" applyFill="1" applyBorder="1" applyAlignment="1">
      <alignment horizontal="right" vertical="top" wrapText="1"/>
    </xf>
    <xf numFmtId="3" fontId="0" fillId="0" borderId="4" xfId="0" applyNumberFormat="1" applyFill="1" applyBorder="1" applyAlignment="1">
      <alignment horizontal="right" vertical="top" wrapText="1"/>
    </xf>
    <xf numFmtId="3" fontId="0" fillId="0" borderId="8" xfId="0" applyNumberFormat="1" applyFill="1" applyBorder="1" applyAlignment="1">
      <alignment horizontal="right" vertical="top" wrapText="1"/>
    </xf>
    <xf numFmtId="3" fontId="0" fillId="0" borderId="7" xfId="0" applyNumberFormat="1" applyFill="1" applyBorder="1" applyAlignment="1">
      <alignment horizontal="right" vertical="top" wrapText="1"/>
    </xf>
    <xf numFmtId="3" fontId="7" fillId="3" borderId="3" xfId="0" applyNumberFormat="1" applyFont="1" applyFill="1" applyBorder="1" applyAlignment="1">
      <alignment horizontal="right" wrapText="1"/>
    </xf>
    <xf numFmtId="3" fontId="0" fillId="0" borderId="3" xfId="0" applyNumberFormat="1" applyBorder="1" applyAlignment="1">
      <alignment wrapText="1"/>
    </xf>
    <xf numFmtId="3" fontId="0" fillId="0" borderId="13" xfId="0" applyNumberFormat="1" applyFill="1" applyBorder="1"/>
    <xf numFmtId="0" fontId="0" fillId="0" borderId="13" xfId="0" applyFill="1" applyBorder="1"/>
    <xf numFmtId="170" fontId="0" fillId="0" borderId="13" xfId="0" applyNumberFormat="1" applyFill="1" applyBorder="1"/>
    <xf numFmtId="3" fontId="0" fillId="0" borderId="2" xfId="0" applyNumberFormat="1" applyFill="1" applyBorder="1" applyAlignment="1">
      <alignment horizontal="right"/>
    </xf>
    <xf numFmtId="4" fontId="0" fillId="0" borderId="3" xfId="0" applyNumberFormat="1" applyBorder="1" applyAlignment="1">
      <alignment horizontal="right" vertical="top"/>
    </xf>
    <xf numFmtId="3" fontId="0" fillId="0" borderId="0" xfId="0" applyNumberFormat="1" applyBorder="1" applyAlignment="1">
      <alignment horizontal="right" vertical="top" wrapText="1"/>
    </xf>
    <xf numFmtId="0" fontId="0" fillId="0" borderId="0" xfId="0" applyNumberFormat="1"/>
    <xf numFmtId="3" fontId="0" fillId="0" borderId="25" xfId="0" applyNumberFormat="1" applyBorder="1" applyAlignment="1">
      <alignment horizontal="right" vertical="top" wrapText="1"/>
    </xf>
    <xf numFmtId="3" fontId="0" fillId="0" borderId="26" xfId="0" applyNumberFormat="1" applyBorder="1" applyAlignment="1">
      <alignment horizontal="right" vertical="top" wrapText="1"/>
    </xf>
    <xf numFmtId="3" fontId="0" fillId="0" borderId="27" xfId="0" applyNumberFormat="1" applyBorder="1" applyAlignment="1">
      <alignment horizontal="right" vertical="top" wrapText="1"/>
    </xf>
    <xf numFmtId="0" fontId="6" fillId="0" borderId="28" xfId="0" applyFont="1" applyBorder="1" applyAlignment="1">
      <alignment horizontal="center" vertical="top" wrapText="1"/>
    </xf>
    <xf numFmtId="165" fontId="3" fillId="0" borderId="28" xfId="0" applyNumberFormat="1" applyFont="1" applyBorder="1" applyAlignment="1">
      <alignment horizontal="center" wrapText="1"/>
    </xf>
    <xf numFmtId="0" fontId="3" fillId="0" borderId="28" xfId="0" applyFont="1" applyBorder="1" applyAlignment="1">
      <alignment horizontal="center" wrapText="1"/>
    </xf>
    <xf numFmtId="0" fontId="3" fillId="0" borderId="28" xfId="0" applyFont="1" applyBorder="1" applyAlignment="1">
      <alignment wrapText="1"/>
    </xf>
    <xf numFmtId="165" fontId="3" fillId="0" borderId="29" xfId="0" applyNumberFormat="1" applyFont="1" applyBorder="1" applyAlignment="1">
      <alignment horizontal="center" wrapText="1"/>
    </xf>
    <xf numFmtId="0" fontId="3" fillId="0" borderId="29" xfId="0" applyFont="1" applyBorder="1" applyAlignment="1">
      <alignment wrapText="1"/>
    </xf>
    <xf numFmtId="0" fontId="6" fillId="0" borderId="29" xfId="0" applyFont="1" applyBorder="1" applyAlignment="1">
      <alignment horizontal="center" vertical="top" wrapText="1"/>
    </xf>
    <xf numFmtId="0" fontId="3" fillId="0" borderId="29" xfId="0" applyFont="1" applyBorder="1" applyAlignment="1">
      <alignment horizontal="center" wrapText="1"/>
    </xf>
    <xf numFmtId="0" fontId="3" fillId="0" borderId="28" xfId="0" applyFont="1" applyFill="1" applyBorder="1" applyAlignment="1">
      <alignment horizontal="center" wrapText="1"/>
    </xf>
    <xf numFmtId="8" fontId="0" fillId="0" borderId="30" xfId="0" applyNumberFormat="1" applyBorder="1" applyAlignment="1">
      <alignment horizontal="right"/>
    </xf>
    <xf numFmtId="170" fontId="0" fillId="0" borderId="30" xfId="0" applyNumberFormat="1" applyBorder="1"/>
    <xf numFmtId="0" fontId="0" fillId="0" borderId="0" xfId="0" applyAlignment="1">
      <alignment horizontal="right"/>
    </xf>
    <xf numFmtId="0" fontId="4" fillId="0" borderId="0" xfId="0" applyFont="1" applyFill="1"/>
    <xf numFmtId="0" fontId="0" fillId="0" borderId="29" xfId="0" applyFill="1" applyBorder="1"/>
    <xf numFmtId="17" fontId="3" fillId="0" borderId="29" xfId="0" applyNumberFormat="1" applyFont="1" applyBorder="1" applyAlignment="1">
      <alignment horizontal="center" wrapText="1"/>
    </xf>
    <xf numFmtId="3" fontId="0" fillId="0" borderId="0" xfId="0" applyNumberFormat="1" applyFill="1" applyBorder="1"/>
    <xf numFmtId="3" fontId="0" fillId="0" borderId="0" xfId="0" applyNumberFormat="1" applyFill="1" applyBorder="1" applyAlignment="1">
      <alignment horizontal="right"/>
    </xf>
    <xf numFmtId="0" fontId="3" fillId="0" borderId="0" xfId="0" applyFont="1" applyBorder="1"/>
    <xf numFmtId="0" fontId="3" fillId="0" borderId="0" xfId="0" applyFont="1" applyBorder="1" applyAlignment="1">
      <alignment wrapText="1"/>
    </xf>
    <xf numFmtId="3" fontId="0" fillId="0" borderId="3" xfId="0" applyNumberFormat="1" applyFill="1" applyBorder="1" applyAlignment="1">
      <alignment horizontal="right" vertical="top" wrapText="1"/>
    </xf>
    <xf numFmtId="0" fontId="3" fillId="0" borderId="0" xfId="0" applyFont="1" applyAlignment="1">
      <alignment horizontal="left"/>
    </xf>
    <xf numFmtId="0" fontId="0" fillId="0" borderId="0" xfId="0" applyAlignment="1"/>
    <xf numFmtId="0" fontId="0" fillId="0" borderId="3" xfId="0" applyBorder="1" applyAlignment="1">
      <alignment horizontal="right"/>
    </xf>
    <xf numFmtId="0" fontId="0" fillId="0" borderId="3" xfId="0" applyBorder="1" applyAlignment="1"/>
    <xf numFmtId="0" fontId="0" fillId="2" borderId="3" xfId="0" applyFill="1" applyBorder="1" applyAlignment="1"/>
    <xf numFmtId="3" fontId="0" fillId="0" borderId="3" xfId="0" applyNumberFormat="1" applyBorder="1" applyAlignment="1">
      <alignment horizontal="right"/>
    </xf>
    <xf numFmtId="3" fontId="0" fillId="0" borderId="3" xfId="0" applyNumberFormat="1" applyBorder="1" applyAlignment="1"/>
    <xf numFmtId="0" fontId="0" fillId="0" borderId="2" xfId="0" applyFill="1" applyBorder="1" applyAlignment="1">
      <alignment horizontal="right" vertical="top" wrapText="1"/>
    </xf>
    <xf numFmtId="3" fontId="0" fillId="2" borderId="3" xfId="0" applyNumberFormat="1" applyFill="1" applyBorder="1" applyAlignment="1">
      <alignment horizontal="right"/>
    </xf>
    <xf numFmtId="0" fontId="0" fillId="0" borderId="3" xfId="0" applyBorder="1" applyAlignment="1">
      <alignment vertical="top"/>
    </xf>
    <xf numFmtId="21" fontId="0" fillId="0" borderId="3" xfId="0" applyNumberFormat="1" applyBorder="1"/>
    <xf numFmtId="49" fontId="0" fillId="0" borderId="3" xfId="0" applyNumberFormat="1" applyBorder="1" applyAlignment="1">
      <alignment vertical="top"/>
    </xf>
    <xf numFmtId="0" fontId="3" fillId="0" borderId="0" xfId="0" applyFont="1" applyAlignment="1">
      <alignment horizontal="left" vertical="top"/>
    </xf>
    <xf numFmtId="0" fontId="0" fillId="0" borderId="3" xfId="0" applyNumberFormat="1" applyBorder="1" applyAlignment="1">
      <alignment vertical="top"/>
    </xf>
    <xf numFmtId="49" fontId="0" fillId="0" borderId="3" xfId="0" applyNumberFormat="1" applyBorder="1" applyAlignment="1">
      <alignment horizontal="right" vertical="top"/>
    </xf>
    <xf numFmtId="1" fontId="0" fillId="0" borderId="3" xfId="0" applyNumberFormat="1" applyBorder="1" applyAlignment="1">
      <alignment vertical="top"/>
    </xf>
    <xf numFmtId="0" fontId="8" fillId="0" borderId="0" xfId="0" applyFont="1" applyAlignment="1">
      <alignment horizontal="left" vertical="top"/>
    </xf>
    <xf numFmtId="3" fontId="0" fillId="0" borderId="0" xfId="0" applyNumberFormat="1" applyBorder="1" applyAlignment="1">
      <alignment wrapText="1"/>
    </xf>
    <xf numFmtId="49" fontId="0" fillId="0" borderId="0" xfId="0" applyNumberFormat="1" applyBorder="1" applyAlignment="1">
      <alignment horizontal="right" vertical="top"/>
    </xf>
    <xf numFmtId="170" fontId="0" fillId="0" borderId="19" xfId="0" applyNumberFormat="1" applyFill="1" applyBorder="1" applyAlignment="1">
      <alignment vertical="top" wrapText="1"/>
    </xf>
    <xf numFmtId="0" fontId="0" fillId="2" borderId="3" xfId="0" applyFill="1" applyBorder="1" applyAlignment="1">
      <alignment horizontal="right"/>
    </xf>
    <xf numFmtId="0" fontId="0" fillId="0" borderId="31" xfId="0" applyBorder="1" applyAlignment="1">
      <alignment horizontal="left"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30" Type="http://schemas.openxmlformats.org/officeDocument/2006/relationships/theme" Target="theme/theme1.xml"/><Relationship Id="rId31" Type="http://schemas.openxmlformats.org/officeDocument/2006/relationships/styles" Target="styles.xml"/><Relationship Id="rId32" Type="http://schemas.openxmlformats.org/officeDocument/2006/relationships/sharedStrings" Target="sharedStrings.xml"/><Relationship Id="rId9" Type="http://schemas.openxmlformats.org/officeDocument/2006/relationships/worksheet" Target="worksheets/sheet9.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33"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s>
</file>

<file path=xl/drawings/drawing1.xml><?xml version="1.0" encoding="utf-8"?>
<xdr:wsDr xmlns:xdr="http://schemas.openxmlformats.org/drawingml/2006/spreadsheetDrawing" xmlns:a="http://schemas.openxmlformats.org/drawingml/2006/main">
  <xdr:oneCellAnchor>
    <xdr:from>
      <xdr:col>2</xdr:col>
      <xdr:colOff>342900</xdr:colOff>
      <xdr:row>14</xdr:row>
      <xdr:rowOff>0</xdr:rowOff>
    </xdr:from>
    <xdr:ext cx="101600" cy="203200"/>
    <xdr:sp macro="" textlink="">
      <xdr:nvSpPr>
        <xdr:cNvPr id="25604" name="Text Box 4"/>
        <xdr:cNvSpPr txBox="1">
          <a:spLocks noChangeArrowheads="1"/>
        </xdr:cNvSpPr>
      </xdr:nvSpPr>
      <xdr:spPr bwMode="auto">
        <a:xfrm>
          <a:off x="3657600" y="2438400"/>
          <a:ext cx="101600" cy="2032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rtlCol="0"/>
        <a:lstStyle/>
        <a:p>
          <a:pPr algn="ctr"/>
          <a:endParaRPr lang="en-US"/>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H115"/>
  <sheetViews>
    <sheetView tabSelected="1" zoomScale="125" zoomScaleNormal="125" zoomScalePageLayoutView="125" workbookViewId="0">
      <pane ySplit="5" topLeftCell="A6" activePane="bottomLeft" state="frozen"/>
      <selection pane="bottomLeft"/>
    </sheetView>
  </sheetViews>
  <sheetFormatPr baseColWidth="10" defaultColWidth="8.83203125" defaultRowHeight="12" x14ac:dyDescent="0"/>
  <cols>
    <col min="1" max="1" width="41" customWidth="1"/>
    <col min="2" max="2" width="21.5" customWidth="1"/>
    <col min="4" max="4" width="9.6640625" customWidth="1"/>
    <col min="5" max="5" width="10.83203125" bestFit="1" customWidth="1"/>
    <col min="6" max="6" width="15.83203125" customWidth="1"/>
    <col min="7" max="8" width="15.5" bestFit="1" customWidth="1"/>
  </cols>
  <sheetData>
    <row r="1" spans="1:8" ht="18">
      <c r="A1" s="118" t="s">
        <v>120</v>
      </c>
    </row>
    <row r="2" spans="1:8" ht="18">
      <c r="A2" s="2" t="s">
        <v>187</v>
      </c>
    </row>
    <row r="3" spans="1:8" ht="12.75" customHeight="1">
      <c r="A3" s="2"/>
    </row>
    <row r="5" spans="1:8" ht="37" thickBot="1">
      <c r="A5" s="60" t="s">
        <v>121</v>
      </c>
      <c r="B5" s="60" t="s">
        <v>122</v>
      </c>
      <c r="C5" s="60" t="s">
        <v>4</v>
      </c>
      <c r="D5" s="60" t="s">
        <v>5</v>
      </c>
      <c r="E5" s="60" t="s">
        <v>13</v>
      </c>
      <c r="F5" s="60" t="s">
        <v>123</v>
      </c>
      <c r="G5" s="60" t="s">
        <v>207</v>
      </c>
      <c r="H5" s="60" t="s">
        <v>124</v>
      </c>
    </row>
    <row r="6" spans="1:8">
      <c r="A6" s="61" t="s">
        <v>76</v>
      </c>
      <c r="B6" s="61" t="s">
        <v>125</v>
      </c>
      <c r="C6" s="62" t="s">
        <v>32</v>
      </c>
      <c r="D6" s="96">
        <f>ProQuest!N6</f>
        <v>32354</v>
      </c>
      <c r="E6" s="97">
        <v>0</v>
      </c>
      <c r="F6" s="64" t="s">
        <v>185</v>
      </c>
      <c r="G6" s="98">
        <f>ProQuest!O6</f>
        <v>17940</v>
      </c>
      <c r="H6" s="98">
        <f>ProQuest!P6</f>
        <v>0.55449094393274401</v>
      </c>
    </row>
    <row r="7" spans="1:8">
      <c r="A7" s="63" t="s">
        <v>77</v>
      </c>
      <c r="B7" s="63" t="s">
        <v>125</v>
      </c>
      <c r="C7" s="64" t="s">
        <v>32</v>
      </c>
      <c r="D7" s="65">
        <f>ProQuest!N11</f>
        <v>15174</v>
      </c>
      <c r="E7" s="63">
        <v>0</v>
      </c>
      <c r="F7" s="64" t="s">
        <v>185</v>
      </c>
      <c r="G7" s="66">
        <v>0</v>
      </c>
      <c r="H7" s="68" t="s">
        <v>32</v>
      </c>
    </row>
    <row r="8" spans="1:8">
      <c r="A8" s="63" t="s">
        <v>238</v>
      </c>
      <c r="B8" s="63" t="s">
        <v>0</v>
      </c>
      <c r="C8" s="65">
        <v>2710</v>
      </c>
      <c r="D8" s="65">
        <v>3223</v>
      </c>
      <c r="E8" s="63">
        <v>0</v>
      </c>
      <c r="F8" s="64" t="s">
        <v>32</v>
      </c>
      <c r="G8" s="66">
        <v>13440</v>
      </c>
      <c r="H8" s="70">
        <v>4.17</v>
      </c>
    </row>
    <row r="9" spans="1:8">
      <c r="A9" s="63" t="s">
        <v>218</v>
      </c>
      <c r="B9" s="63" t="s">
        <v>200</v>
      </c>
      <c r="C9" s="64" t="s">
        <v>185</v>
      </c>
      <c r="D9" s="64" t="s">
        <v>185</v>
      </c>
      <c r="E9" s="64" t="s">
        <v>185</v>
      </c>
      <c r="F9" s="64" t="s">
        <v>32</v>
      </c>
      <c r="G9" s="66">
        <f>MetaPress!O7</f>
        <v>653</v>
      </c>
      <c r="H9" s="64" t="s">
        <v>32</v>
      </c>
    </row>
    <row r="10" spans="1:8">
      <c r="A10" s="63" t="s">
        <v>52</v>
      </c>
      <c r="B10" s="63" t="s">
        <v>126</v>
      </c>
      <c r="C10" s="65">
        <f>EBSCOhost!N7</f>
        <v>91426</v>
      </c>
      <c r="D10" s="65">
        <f>EBSCOhost!N8</f>
        <v>289711</v>
      </c>
      <c r="E10" s="63">
        <v>0</v>
      </c>
      <c r="F10" s="71" t="s">
        <v>185</v>
      </c>
      <c r="G10" s="66">
        <f>EBSCOhost!O8</f>
        <v>19175</v>
      </c>
      <c r="H10" s="66">
        <f>EBSCOhost!P8</f>
        <v>6.6186648073424892E-2</v>
      </c>
    </row>
    <row r="11" spans="1:8" ht="12.75" customHeight="1">
      <c r="A11" s="63" t="s">
        <v>34</v>
      </c>
      <c r="B11" s="63" t="s">
        <v>33</v>
      </c>
      <c r="C11" s="64" t="s">
        <v>32</v>
      </c>
      <c r="D11" s="65">
        <f>FirstSearch!N7</f>
        <v>53</v>
      </c>
      <c r="E11" s="63">
        <v>0</v>
      </c>
      <c r="F11" s="64" t="s">
        <v>32</v>
      </c>
      <c r="G11" s="66">
        <v>53</v>
      </c>
      <c r="H11" s="66">
        <v>1</v>
      </c>
    </row>
    <row r="12" spans="1:8" ht="12.75" customHeight="1">
      <c r="A12" s="63" t="s">
        <v>43</v>
      </c>
      <c r="B12" s="63" t="s">
        <v>33</v>
      </c>
      <c r="C12" s="64" t="s">
        <v>32</v>
      </c>
      <c r="D12" s="63">
        <f>FirstSearch!N12</f>
        <v>27</v>
      </c>
      <c r="E12" s="63">
        <v>0</v>
      </c>
      <c r="F12" s="64" t="s">
        <v>32</v>
      </c>
      <c r="G12" s="66">
        <v>27</v>
      </c>
      <c r="H12" s="66">
        <v>1</v>
      </c>
    </row>
    <row r="13" spans="1:8">
      <c r="A13" s="63" t="s">
        <v>127</v>
      </c>
      <c r="B13" s="63" t="s">
        <v>0</v>
      </c>
      <c r="C13" s="65">
        <v>1732</v>
      </c>
      <c r="D13" s="65">
        <v>2270</v>
      </c>
      <c r="E13" s="63">
        <v>0</v>
      </c>
      <c r="F13" s="64" t="s">
        <v>32</v>
      </c>
      <c r="G13" s="66">
        <v>6720</v>
      </c>
      <c r="H13" s="66">
        <v>2.96</v>
      </c>
    </row>
    <row r="14" spans="1:8">
      <c r="A14" s="63" t="s">
        <v>15</v>
      </c>
      <c r="B14" s="63" t="s">
        <v>14</v>
      </c>
      <c r="C14" s="65">
        <f>WilsonWeb!N7</f>
        <v>979</v>
      </c>
      <c r="D14" s="65">
        <f>WilsonWeb!N8</f>
        <v>3129</v>
      </c>
      <c r="E14" s="65">
        <f>WilsonWeb!N9</f>
        <v>0</v>
      </c>
      <c r="F14" s="64" t="s">
        <v>32</v>
      </c>
      <c r="G14" s="66">
        <f>WilsonWeb!O8</f>
        <v>5535</v>
      </c>
      <c r="H14" s="66">
        <f>WilsonWeb!P8</f>
        <v>1.7689357622243529</v>
      </c>
    </row>
    <row r="15" spans="1:8">
      <c r="A15" s="63" t="s">
        <v>128</v>
      </c>
      <c r="B15" s="63" t="s">
        <v>33</v>
      </c>
      <c r="C15" s="65">
        <f>FirstSearch!N17</f>
        <v>2534</v>
      </c>
      <c r="D15" s="65">
        <f>FirstSearch!N18</f>
        <v>8651</v>
      </c>
      <c r="E15" s="67">
        <f>FirstSearch!N20</f>
        <v>151</v>
      </c>
      <c r="F15" s="64" t="s">
        <v>32</v>
      </c>
      <c r="G15" s="66">
        <v>0</v>
      </c>
      <c r="H15" s="68" t="s">
        <v>32</v>
      </c>
    </row>
    <row r="16" spans="1:8">
      <c r="A16" s="63" t="s">
        <v>129</v>
      </c>
      <c r="B16" s="63" t="s">
        <v>130</v>
      </c>
      <c r="C16" s="69" t="s">
        <v>32</v>
      </c>
      <c r="D16" s="65">
        <v>16246</v>
      </c>
      <c r="E16" s="65">
        <v>0</v>
      </c>
      <c r="F16" s="64" t="s">
        <v>32</v>
      </c>
      <c r="G16" s="66">
        <v>7335</v>
      </c>
      <c r="H16" s="66">
        <v>0.45</v>
      </c>
    </row>
    <row r="17" spans="1:8">
      <c r="A17" s="63" t="s">
        <v>215</v>
      </c>
      <c r="B17" s="63" t="s">
        <v>130</v>
      </c>
      <c r="C17" s="69" t="s">
        <v>32</v>
      </c>
      <c r="D17" s="65">
        <v>3274</v>
      </c>
      <c r="E17" s="65">
        <v>0</v>
      </c>
      <c r="F17" s="64" t="s">
        <v>32</v>
      </c>
      <c r="G17" s="66">
        <v>0</v>
      </c>
      <c r="H17" s="68" t="s">
        <v>32</v>
      </c>
    </row>
    <row r="18" spans="1:8">
      <c r="A18" s="63" t="s">
        <v>216</v>
      </c>
      <c r="B18" s="63" t="s">
        <v>130</v>
      </c>
      <c r="C18" s="69" t="s">
        <v>32</v>
      </c>
      <c r="D18" s="65">
        <v>603</v>
      </c>
      <c r="E18" s="65">
        <v>0</v>
      </c>
      <c r="F18" s="64" t="s">
        <v>32</v>
      </c>
      <c r="G18" s="66">
        <v>0</v>
      </c>
      <c r="H18" s="68" t="s">
        <v>32</v>
      </c>
    </row>
    <row r="19" spans="1:8">
      <c r="A19" s="63" t="s">
        <v>217</v>
      </c>
      <c r="B19" s="63" t="s">
        <v>130</v>
      </c>
      <c r="C19" s="69" t="s">
        <v>32</v>
      </c>
      <c r="D19" s="65">
        <v>1916</v>
      </c>
      <c r="E19" s="65">
        <v>0</v>
      </c>
      <c r="F19" s="64" t="s">
        <v>32</v>
      </c>
      <c r="G19" s="66">
        <v>0</v>
      </c>
      <c r="H19" s="68" t="s">
        <v>32</v>
      </c>
    </row>
    <row r="20" spans="1:8">
      <c r="A20" s="63" t="s">
        <v>233</v>
      </c>
      <c r="B20" s="63"/>
      <c r="C20" s="69" t="s">
        <v>32</v>
      </c>
      <c r="D20" s="65">
        <v>1901</v>
      </c>
      <c r="E20" s="65">
        <v>0</v>
      </c>
      <c r="F20" s="64" t="s">
        <v>32</v>
      </c>
      <c r="G20" s="66">
        <v>0</v>
      </c>
      <c r="H20" s="68" t="s">
        <v>32</v>
      </c>
    </row>
    <row r="21" spans="1:8">
      <c r="A21" s="63" t="s">
        <v>206</v>
      </c>
      <c r="B21" s="63" t="s">
        <v>130</v>
      </c>
      <c r="C21" s="69" t="s">
        <v>32</v>
      </c>
      <c r="D21" s="65">
        <v>1670</v>
      </c>
      <c r="E21" s="65">
        <v>0</v>
      </c>
      <c r="F21" s="64" t="s">
        <v>32</v>
      </c>
      <c r="G21" s="66">
        <v>0</v>
      </c>
      <c r="H21" s="68" t="s">
        <v>32</v>
      </c>
    </row>
    <row r="22" spans="1:8" ht="12.75" customHeight="1">
      <c r="A22" s="63" t="s">
        <v>131</v>
      </c>
      <c r="B22" s="63" t="s">
        <v>240</v>
      </c>
      <c r="C22" s="64" t="s">
        <v>185</v>
      </c>
      <c r="D22" s="64" t="s">
        <v>185</v>
      </c>
      <c r="E22" s="64" t="s">
        <v>185</v>
      </c>
      <c r="F22" s="64" t="s">
        <v>185</v>
      </c>
      <c r="G22" s="66">
        <v>142.26</v>
      </c>
      <c r="H22" s="64" t="s">
        <v>185</v>
      </c>
    </row>
    <row r="23" spans="1:8">
      <c r="A23" s="63" t="s">
        <v>133</v>
      </c>
      <c r="B23" s="63" t="s">
        <v>134</v>
      </c>
      <c r="C23" s="65">
        <f>WebSpirs!N7</f>
        <v>1845</v>
      </c>
      <c r="D23" s="65">
        <f>WebSpirs!N8</f>
        <v>6477</v>
      </c>
      <c r="E23" s="65">
        <f>WebSpirs!N9</f>
        <v>0</v>
      </c>
      <c r="F23" s="64" t="s">
        <v>32</v>
      </c>
      <c r="G23" s="66">
        <f>WebSpirs!O8</f>
        <v>23244</v>
      </c>
      <c r="H23" s="66">
        <f>WebSpirs!P8</f>
        <v>3.58869847151459</v>
      </c>
    </row>
    <row r="24" spans="1:8">
      <c r="A24" s="63" t="s">
        <v>135</v>
      </c>
      <c r="B24" s="63" t="s">
        <v>14</v>
      </c>
      <c r="C24" s="65">
        <f>WilsonWeb!N12</f>
        <v>536</v>
      </c>
      <c r="D24" s="65">
        <f>WilsonWeb!N13</f>
        <v>1209</v>
      </c>
      <c r="E24" s="65">
        <f>WilsonWeb!N14</f>
        <v>48</v>
      </c>
      <c r="F24" s="64" t="s">
        <v>32</v>
      </c>
      <c r="G24" s="66">
        <f>WilsonWeb!O13</f>
        <v>3213</v>
      </c>
      <c r="H24" s="66">
        <f>WilsonWeb!P13</f>
        <v>2.6575682382133996</v>
      </c>
    </row>
    <row r="25" spans="1:8">
      <c r="A25" s="63" t="s">
        <v>102</v>
      </c>
      <c r="B25" s="63" t="s">
        <v>181</v>
      </c>
      <c r="C25" s="65">
        <f>OVID!N7</f>
        <v>24</v>
      </c>
      <c r="D25" s="65">
        <f>OVID!N8</f>
        <v>79</v>
      </c>
      <c r="E25" s="65">
        <v>0</v>
      </c>
      <c r="F25" s="64" t="s">
        <v>32</v>
      </c>
      <c r="G25" s="66">
        <v>0</v>
      </c>
      <c r="H25" s="68" t="s">
        <v>32</v>
      </c>
    </row>
    <row r="26" spans="1:8">
      <c r="A26" s="63" t="s">
        <v>195</v>
      </c>
      <c r="B26" s="63" t="s">
        <v>126</v>
      </c>
      <c r="C26" s="65">
        <f>EBSCOhost!N13</f>
        <v>196</v>
      </c>
      <c r="D26" s="65">
        <f>EBSCOhost!N14</f>
        <v>672</v>
      </c>
      <c r="E26" s="65">
        <v>0</v>
      </c>
      <c r="F26" s="64" t="s">
        <v>32</v>
      </c>
      <c r="G26" s="66">
        <v>0</v>
      </c>
      <c r="H26" s="68" t="s">
        <v>32</v>
      </c>
    </row>
    <row r="27" spans="1:8">
      <c r="A27" s="63" t="s">
        <v>136</v>
      </c>
      <c r="B27" s="63" t="s">
        <v>137</v>
      </c>
      <c r="C27" s="64" t="s">
        <v>185</v>
      </c>
      <c r="D27" s="64" t="s">
        <v>185</v>
      </c>
      <c r="E27" s="64" t="s">
        <v>185</v>
      </c>
      <c r="F27" s="64" t="s">
        <v>185</v>
      </c>
      <c r="G27" s="66">
        <v>632.83000000000004</v>
      </c>
      <c r="H27" s="64" t="s">
        <v>185</v>
      </c>
    </row>
    <row r="28" spans="1:8">
      <c r="A28" s="63" t="s">
        <v>20</v>
      </c>
      <c r="B28" s="63" t="s">
        <v>20</v>
      </c>
      <c r="C28" s="65">
        <v>1002</v>
      </c>
      <c r="D28" s="65" t="s">
        <v>185</v>
      </c>
      <c r="E28" s="63">
        <v>0</v>
      </c>
      <c r="F28" s="64" t="s">
        <v>185</v>
      </c>
      <c r="G28" s="66">
        <v>896</v>
      </c>
      <c r="H28" s="66">
        <v>0.89</v>
      </c>
    </row>
    <row r="29" spans="1:8">
      <c r="A29" s="63" t="s">
        <v>58</v>
      </c>
      <c r="B29" s="63" t="s">
        <v>126</v>
      </c>
      <c r="C29" s="65">
        <f>EBSCOhost!N61</f>
        <v>10449</v>
      </c>
      <c r="D29" s="65">
        <f>EBSCOhost!N62</f>
        <v>43486</v>
      </c>
      <c r="E29" s="63">
        <v>0</v>
      </c>
      <c r="F29" s="64" t="s">
        <v>185</v>
      </c>
      <c r="G29" s="66">
        <f>EBSCOhost!O62</f>
        <v>5372</v>
      </c>
      <c r="H29" s="66">
        <f>EBSCOhost!P62</f>
        <v>0.1235340109460516</v>
      </c>
    </row>
    <row r="30" spans="1:8">
      <c r="A30" s="63" t="s">
        <v>138</v>
      </c>
      <c r="B30" s="63" t="s">
        <v>33</v>
      </c>
      <c r="C30" s="65">
        <f>FirstSearch!N25</f>
        <v>141</v>
      </c>
      <c r="D30" s="65">
        <f>FirstSearch!N26</f>
        <v>117</v>
      </c>
      <c r="E30" s="67">
        <f>FirstSearch!N28</f>
        <v>2</v>
      </c>
      <c r="F30" s="64" t="s">
        <v>32</v>
      </c>
      <c r="G30" s="66">
        <v>0</v>
      </c>
      <c r="H30" s="68" t="s">
        <v>32</v>
      </c>
    </row>
    <row r="31" spans="1:8">
      <c r="A31" s="63" t="s">
        <v>268</v>
      </c>
      <c r="B31" s="63" t="s">
        <v>219</v>
      </c>
      <c r="C31" s="65">
        <v>87</v>
      </c>
      <c r="D31" s="65">
        <v>118342</v>
      </c>
      <c r="E31" s="64" t="s">
        <v>185</v>
      </c>
      <c r="F31" s="64" t="s">
        <v>32</v>
      </c>
      <c r="G31" s="145">
        <v>613</v>
      </c>
      <c r="H31" s="70">
        <v>0.01</v>
      </c>
    </row>
    <row r="32" spans="1:8">
      <c r="A32" s="63" t="s">
        <v>139</v>
      </c>
      <c r="B32" s="63" t="s">
        <v>140</v>
      </c>
      <c r="C32" s="89">
        <f>Cochrane!N7</f>
        <v>1005</v>
      </c>
      <c r="D32" s="89">
        <f>Cochrane!N8</f>
        <v>357</v>
      </c>
      <c r="E32" s="133">
        <v>0</v>
      </c>
      <c r="F32" s="89">
        <f>Cochrane!N9</f>
        <v>1138</v>
      </c>
      <c r="G32" s="70">
        <v>2633.02</v>
      </c>
      <c r="H32" s="70">
        <f>Cochrane!P8</f>
        <v>7.3754061624649863</v>
      </c>
    </row>
    <row r="33" spans="1:8">
      <c r="A33" s="63" t="s">
        <v>11</v>
      </c>
      <c r="B33" s="63" t="s">
        <v>11</v>
      </c>
      <c r="C33" s="64" t="s">
        <v>32</v>
      </c>
      <c r="D33" s="65">
        <v>398</v>
      </c>
      <c r="E33" s="63">
        <v>0</v>
      </c>
      <c r="F33" s="64" t="s">
        <v>32</v>
      </c>
      <c r="G33" s="66">
        <v>1334</v>
      </c>
      <c r="H33" s="66">
        <v>3.35</v>
      </c>
    </row>
    <row r="34" spans="1:8">
      <c r="A34" s="63" t="s">
        <v>63</v>
      </c>
      <c r="B34" s="63" t="s">
        <v>130</v>
      </c>
      <c r="C34" s="69" t="s">
        <v>32</v>
      </c>
      <c r="D34" s="65">
        <v>9944</v>
      </c>
      <c r="E34" s="63">
        <v>0</v>
      </c>
      <c r="F34" s="64" t="s">
        <v>32</v>
      </c>
      <c r="G34" s="66">
        <v>2685</v>
      </c>
      <c r="H34" s="66">
        <v>0.27</v>
      </c>
    </row>
    <row r="35" spans="1:8">
      <c r="A35" s="63" t="s">
        <v>141</v>
      </c>
      <c r="B35" s="63" t="s">
        <v>142</v>
      </c>
      <c r="C35" s="65">
        <v>1807</v>
      </c>
      <c r="D35" s="65">
        <v>6789</v>
      </c>
      <c r="E35" s="63">
        <v>0</v>
      </c>
      <c r="F35" s="64" t="s">
        <v>32</v>
      </c>
      <c r="G35" s="66">
        <v>14510</v>
      </c>
      <c r="H35" s="66">
        <v>2.14</v>
      </c>
    </row>
    <row r="36" spans="1:8">
      <c r="A36" s="63" t="s">
        <v>143</v>
      </c>
      <c r="B36" s="63" t="s">
        <v>130</v>
      </c>
      <c r="C36" s="65">
        <v>31175</v>
      </c>
      <c r="D36" s="65">
        <v>87709</v>
      </c>
      <c r="E36" s="63">
        <v>0</v>
      </c>
      <c r="F36" s="64" t="s">
        <v>32</v>
      </c>
      <c r="G36" s="66">
        <v>27294</v>
      </c>
      <c r="H36" s="66">
        <v>0.31</v>
      </c>
    </row>
    <row r="37" spans="1:8">
      <c r="A37" s="63" t="s">
        <v>212</v>
      </c>
      <c r="B37" s="63" t="s">
        <v>213</v>
      </c>
      <c r="C37" s="65" t="s">
        <v>185</v>
      </c>
      <c r="D37" s="65" t="s">
        <v>185</v>
      </c>
      <c r="E37" s="63" t="s">
        <v>185</v>
      </c>
      <c r="F37" s="64" t="s">
        <v>185</v>
      </c>
      <c r="G37" s="66">
        <v>149.5</v>
      </c>
      <c r="H37" s="68" t="s">
        <v>32</v>
      </c>
    </row>
    <row r="38" spans="1:8">
      <c r="A38" s="63" t="s">
        <v>53</v>
      </c>
      <c r="B38" s="63" t="s">
        <v>126</v>
      </c>
      <c r="C38" s="65">
        <f>EBSCOhost!N19</f>
        <v>907</v>
      </c>
      <c r="D38" s="65">
        <f>EBSCOhost!N20</f>
        <v>2666</v>
      </c>
      <c r="E38" s="63">
        <v>0</v>
      </c>
      <c r="F38" s="64" t="s">
        <v>32</v>
      </c>
      <c r="G38" s="66">
        <v>0</v>
      </c>
      <c r="H38" s="68" t="s">
        <v>32</v>
      </c>
    </row>
    <row r="39" spans="1:8">
      <c r="A39" s="63" t="s">
        <v>144</v>
      </c>
      <c r="B39" s="63" t="s">
        <v>126</v>
      </c>
      <c r="C39" s="65">
        <f>EBSCOhost!N91</f>
        <v>112004</v>
      </c>
      <c r="D39" s="65">
        <f>EBSCOhost!N92</f>
        <v>369355</v>
      </c>
      <c r="E39" s="63">
        <v>0</v>
      </c>
      <c r="F39" s="89">
        <f>EBSCOhost!N93</f>
        <v>205851</v>
      </c>
      <c r="G39" s="66">
        <f>EBSCOhost!O93</f>
        <v>55833</v>
      </c>
      <c r="H39" s="66">
        <f>EBSCOhost!P92</f>
        <v>0.15116351477575773</v>
      </c>
    </row>
    <row r="40" spans="1:8">
      <c r="A40" s="63" t="s">
        <v>74</v>
      </c>
      <c r="B40" s="63" t="s">
        <v>130</v>
      </c>
      <c r="C40" s="69" t="s">
        <v>32</v>
      </c>
      <c r="D40" s="65">
        <v>6989</v>
      </c>
      <c r="E40" s="63">
        <v>0</v>
      </c>
      <c r="F40" s="64" t="s">
        <v>32</v>
      </c>
      <c r="G40" s="66">
        <v>4163</v>
      </c>
      <c r="H40" s="66">
        <v>0.6</v>
      </c>
    </row>
    <row r="41" spans="1:8">
      <c r="A41" s="63" t="s">
        <v>145</v>
      </c>
      <c r="B41" s="63" t="s">
        <v>33</v>
      </c>
      <c r="C41" s="99">
        <f>FirstSearch!N41</f>
        <v>108</v>
      </c>
      <c r="D41" s="65">
        <f>FirstSearch!N42</f>
        <v>122</v>
      </c>
      <c r="E41" s="67">
        <f>FirstSearch!N44</f>
        <v>0</v>
      </c>
      <c r="F41" s="64" t="s">
        <v>32</v>
      </c>
      <c r="G41" s="66">
        <v>0</v>
      </c>
      <c r="H41" s="68" t="s">
        <v>32</v>
      </c>
    </row>
    <row r="42" spans="1:8" ht="36">
      <c r="A42" s="63" t="s">
        <v>146</v>
      </c>
      <c r="B42" s="63" t="s">
        <v>33</v>
      </c>
      <c r="C42" s="65">
        <f>FirstSearch!N49</f>
        <v>467</v>
      </c>
      <c r="D42" s="65">
        <f>FirstSearch!N50</f>
        <v>753</v>
      </c>
      <c r="E42" s="67">
        <f>FirstSearch!N52</f>
        <v>1</v>
      </c>
      <c r="F42" s="64" t="s">
        <v>147</v>
      </c>
      <c r="G42" s="66">
        <v>0</v>
      </c>
      <c r="H42" s="68" t="s">
        <v>32</v>
      </c>
    </row>
    <row r="43" spans="1:8">
      <c r="A43" s="63" t="s">
        <v>214</v>
      </c>
      <c r="B43" s="63" t="s">
        <v>208</v>
      </c>
      <c r="C43" s="65">
        <f>Elsevier!N7</f>
        <v>674</v>
      </c>
      <c r="D43" s="65">
        <f>Elsevier!N8</f>
        <v>2240</v>
      </c>
      <c r="E43" s="67">
        <v>0</v>
      </c>
      <c r="F43" s="64" t="s">
        <v>32</v>
      </c>
      <c r="G43" s="66">
        <f>Elsevier!O8</f>
        <v>9045</v>
      </c>
      <c r="H43" s="68">
        <f>Elsevier!P8</f>
        <v>4.0379464285714288</v>
      </c>
    </row>
    <row r="44" spans="1:8">
      <c r="A44" s="63" t="s">
        <v>209</v>
      </c>
      <c r="B44" s="63" t="s">
        <v>208</v>
      </c>
      <c r="C44" s="69" t="s">
        <v>32</v>
      </c>
      <c r="D44" s="71" t="s">
        <v>32</v>
      </c>
      <c r="E44" s="67">
        <v>0</v>
      </c>
      <c r="F44" s="89">
        <f>Elsevier!N11</f>
        <v>628</v>
      </c>
      <c r="G44" s="66">
        <f>Elsevier!O11</f>
        <v>615</v>
      </c>
      <c r="H44" s="68">
        <f>Elsevier!P11</f>
        <v>0.97929936305732479</v>
      </c>
    </row>
    <row r="45" spans="1:8">
      <c r="A45" s="63" t="s">
        <v>41</v>
      </c>
      <c r="B45" s="63" t="s">
        <v>130</v>
      </c>
      <c r="C45" s="69" t="s">
        <v>32</v>
      </c>
      <c r="D45" s="65">
        <v>8563</v>
      </c>
      <c r="E45" s="63">
        <v>0</v>
      </c>
      <c r="F45" s="64" t="s">
        <v>32</v>
      </c>
      <c r="G45" s="66">
        <v>0</v>
      </c>
      <c r="H45" s="68" t="s">
        <v>32</v>
      </c>
    </row>
    <row r="46" spans="1:8">
      <c r="A46" s="63" t="s">
        <v>148</v>
      </c>
      <c r="B46" s="63" t="s">
        <v>33</v>
      </c>
      <c r="C46" s="65">
        <f>FirstSearch!N33</f>
        <v>1753</v>
      </c>
      <c r="D46" s="65">
        <f>FirstSearch!N34</f>
        <v>3945</v>
      </c>
      <c r="E46" s="67">
        <f>FirstSearch!N36</f>
        <v>210</v>
      </c>
      <c r="F46" s="64" t="s">
        <v>32</v>
      </c>
      <c r="G46" s="66">
        <v>0</v>
      </c>
      <c r="H46" s="68" t="s">
        <v>32</v>
      </c>
    </row>
    <row r="47" spans="1:8">
      <c r="A47" s="63" t="s">
        <v>196</v>
      </c>
      <c r="B47" s="63" t="s">
        <v>126</v>
      </c>
      <c r="C47" s="65">
        <f>EBSCOhost!N25</f>
        <v>634</v>
      </c>
      <c r="D47" s="65">
        <f>EBSCOhost!N26</f>
        <v>2204</v>
      </c>
      <c r="E47" s="67">
        <v>0</v>
      </c>
      <c r="F47" s="64" t="s">
        <v>32</v>
      </c>
      <c r="G47" s="66">
        <v>0</v>
      </c>
      <c r="H47" s="68" t="s">
        <v>32</v>
      </c>
    </row>
    <row r="48" spans="1:8">
      <c r="A48" s="63" t="s">
        <v>149</v>
      </c>
      <c r="B48" s="63" t="s">
        <v>33</v>
      </c>
      <c r="C48" s="65">
        <f>FirstSearch!N119</f>
        <v>12181</v>
      </c>
      <c r="D48" s="65">
        <f>FirstSearch!N120</f>
        <v>36792</v>
      </c>
      <c r="E48" s="65">
        <f>FirstSearch!N122</f>
        <v>1132</v>
      </c>
      <c r="F48" s="64" t="s">
        <v>32</v>
      </c>
      <c r="G48" s="66">
        <f>FirstSearch!O120</f>
        <v>9700</v>
      </c>
      <c r="H48" s="66">
        <f>FirstSearch!P120</f>
        <v>0.26364427049358558</v>
      </c>
    </row>
    <row r="49" spans="1:8">
      <c r="A49" s="63" t="s">
        <v>150</v>
      </c>
      <c r="B49" s="63" t="s">
        <v>33</v>
      </c>
      <c r="C49" s="64" t="s">
        <v>32</v>
      </c>
      <c r="D49" s="65">
        <f>FirstSearch!N127</f>
        <v>201</v>
      </c>
      <c r="E49" s="63">
        <v>0</v>
      </c>
      <c r="F49" s="64" t="s">
        <v>32</v>
      </c>
      <c r="G49" s="66">
        <v>201</v>
      </c>
      <c r="H49" s="66">
        <v>1</v>
      </c>
    </row>
    <row r="50" spans="1:8">
      <c r="A50" s="63" t="s">
        <v>54</v>
      </c>
      <c r="B50" s="63" t="s">
        <v>126</v>
      </c>
      <c r="C50" s="65">
        <f>EBSCOhost!N31</f>
        <v>454</v>
      </c>
      <c r="D50" s="65">
        <f>EBSCOhost!N32</f>
        <v>1479</v>
      </c>
      <c r="E50" s="63">
        <v>0</v>
      </c>
      <c r="F50" s="64" t="s">
        <v>32</v>
      </c>
      <c r="G50" s="66">
        <v>0</v>
      </c>
      <c r="H50" s="68" t="s">
        <v>32</v>
      </c>
    </row>
    <row r="51" spans="1:8" ht="12.75" customHeight="1">
      <c r="A51" s="63" t="s">
        <v>40</v>
      </c>
      <c r="B51" s="63" t="s">
        <v>33</v>
      </c>
      <c r="C51" s="64" t="s">
        <v>32</v>
      </c>
      <c r="D51" s="65">
        <f>FirstSearch!N57</f>
        <v>120</v>
      </c>
      <c r="E51" s="63">
        <v>0</v>
      </c>
      <c r="F51" s="64" t="s">
        <v>32</v>
      </c>
      <c r="G51" s="70">
        <v>120</v>
      </c>
      <c r="H51" s="70">
        <v>1</v>
      </c>
    </row>
    <row r="52" spans="1:8" ht="12.75" customHeight="1">
      <c r="A52" s="63" t="s">
        <v>151</v>
      </c>
      <c r="B52" s="63" t="s">
        <v>130</v>
      </c>
      <c r="C52" s="64" t="s">
        <v>32</v>
      </c>
      <c r="D52" s="65">
        <v>2273</v>
      </c>
      <c r="E52" s="63">
        <v>0</v>
      </c>
      <c r="F52" s="64" t="s">
        <v>32</v>
      </c>
      <c r="G52" s="66">
        <v>2925</v>
      </c>
      <c r="H52" s="66">
        <v>1.29</v>
      </c>
    </row>
    <row r="53" spans="1:8" ht="12.75" customHeight="1">
      <c r="A53" s="63" t="s">
        <v>220</v>
      </c>
      <c r="B53" s="63" t="s">
        <v>130</v>
      </c>
      <c r="C53" s="64" t="s">
        <v>32</v>
      </c>
      <c r="D53" s="65">
        <v>1763</v>
      </c>
      <c r="E53" s="63">
        <v>0</v>
      </c>
      <c r="F53" s="64" t="s">
        <v>32</v>
      </c>
      <c r="G53" s="66">
        <v>0</v>
      </c>
      <c r="H53" s="68" t="s">
        <v>32</v>
      </c>
    </row>
    <row r="54" spans="1:8">
      <c r="A54" s="63" t="s">
        <v>152</v>
      </c>
      <c r="B54" s="63" t="s">
        <v>33</v>
      </c>
      <c r="C54" s="65">
        <f>FirstSearch!N62</f>
        <v>241</v>
      </c>
      <c r="D54" s="65">
        <f>FirstSearch!N63</f>
        <v>317</v>
      </c>
      <c r="E54" s="67">
        <f>FirstSearch!N65</f>
        <v>4</v>
      </c>
      <c r="F54" s="64" t="s">
        <v>32</v>
      </c>
      <c r="G54" s="66">
        <v>0</v>
      </c>
      <c r="H54" s="68" t="s">
        <v>32</v>
      </c>
    </row>
    <row r="55" spans="1:8">
      <c r="A55" s="63" t="s">
        <v>10</v>
      </c>
      <c r="B55" s="63" t="s">
        <v>153</v>
      </c>
      <c r="C55" s="65">
        <f>Oxford!N7</f>
        <v>430</v>
      </c>
      <c r="D55" s="65">
        <f>Oxford!N8</f>
        <v>850</v>
      </c>
      <c r="E55" s="65">
        <f>Oxford!N9</f>
        <v>4</v>
      </c>
      <c r="F55" s="64" t="s">
        <v>32</v>
      </c>
      <c r="G55" s="66">
        <f>Oxford!O8</f>
        <v>1437</v>
      </c>
      <c r="H55" s="66">
        <f>Oxford!P8</f>
        <v>1.6905882352941177</v>
      </c>
    </row>
    <row r="56" spans="1:8">
      <c r="A56" s="63" t="s">
        <v>154</v>
      </c>
      <c r="B56" s="63" t="s">
        <v>0</v>
      </c>
      <c r="C56" s="65">
        <v>661</v>
      </c>
      <c r="D56" s="65">
        <v>686</v>
      </c>
      <c r="E56" s="63">
        <v>0</v>
      </c>
      <c r="F56" s="64" t="s">
        <v>32</v>
      </c>
      <c r="G56" s="66">
        <v>6720</v>
      </c>
      <c r="H56" s="66">
        <v>9.8000000000000007</v>
      </c>
    </row>
    <row r="57" spans="1:8">
      <c r="A57" s="63" t="s">
        <v>221</v>
      </c>
      <c r="B57" s="63" t="s">
        <v>156</v>
      </c>
      <c r="C57" s="65" t="s">
        <v>185</v>
      </c>
      <c r="D57" s="65" t="s">
        <v>185</v>
      </c>
      <c r="E57" s="63" t="s">
        <v>185</v>
      </c>
      <c r="F57" s="64" t="s">
        <v>185</v>
      </c>
      <c r="G57" s="66">
        <v>1400</v>
      </c>
      <c r="H57" s="68" t="s">
        <v>185</v>
      </c>
    </row>
    <row r="58" spans="1:8">
      <c r="A58" s="63" t="s">
        <v>194</v>
      </c>
      <c r="B58" s="63" t="s">
        <v>126</v>
      </c>
      <c r="C58" s="65">
        <f>EBSCOhost!N37</f>
        <v>496</v>
      </c>
      <c r="D58" s="65">
        <f>EBSCOhost!N38</f>
        <v>1746</v>
      </c>
      <c r="E58" s="63">
        <v>0</v>
      </c>
      <c r="F58" s="64" t="s">
        <v>32</v>
      </c>
      <c r="G58" s="66">
        <f>EBSCOhost!O38</f>
        <v>25764</v>
      </c>
      <c r="H58" s="66">
        <f>EBSCOhost!P38</f>
        <v>14.756013745704468</v>
      </c>
    </row>
    <row r="59" spans="1:8">
      <c r="A59" s="63" t="s">
        <v>64</v>
      </c>
      <c r="B59" s="63" t="s">
        <v>130</v>
      </c>
      <c r="C59" s="71" t="s">
        <v>32</v>
      </c>
      <c r="D59" s="65">
        <v>2596</v>
      </c>
      <c r="E59" s="63">
        <v>0</v>
      </c>
      <c r="F59" s="64" t="s">
        <v>32</v>
      </c>
      <c r="G59" s="66">
        <v>3444</v>
      </c>
      <c r="H59" s="66">
        <v>1.33</v>
      </c>
    </row>
    <row r="60" spans="1:8">
      <c r="A60" s="63" t="s">
        <v>155</v>
      </c>
      <c r="B60" s="63" t="s">
        <v>156</v>
      </c>
      <c r="C60" s="64" t="s">
        <v>185</v>
      </c>
      <c r="D60" s="64" t="s">
        <v>185</v>
      </c>
      <c r="E60" s="64" t="s">
        <v>185</v>
      </c>
      <c r="F60" s="64" t="s">
        <v>185</v>
      </c>
      <c r="G60" s="66">
        <v>8132</v>
      </c>
      <c r="H60" s="64" t="s">
        <v>185</v>
      </c>
    </row>
    <row r="61" spans="1:8">
      <c r="A61" s="63" t="s">
        <v>157</v>
      </c>
      <c r="B61" s="63" t="s">
        <v>28</v>
      </c>
      <c r="C61" s="71" t="s">
        <v>32</v>
      </c>
      <c r="D61" s="65">
        <f>LexisNexis!N7</f>
        <v>53131</v>
      </c>
      <c r="E61" s="63">
        <v>0</v>
      </c>
      <c r="F61" s="65">
        <f>LexisNexis!N8</f>
        <v>64927</v>
      </c>
      <c r="G61" s="66">
        <f>LexisNexis!O7</f>
        <v>21720</v>
      </c>
      <c r="H61" s="66">
        <f>LexisNexis!P7</f>
        <v>0.40880088837025463</v>
      </c>
    </row>
    <row r="62" spans="1:8">
      <c r="A62" s="63" t="s">
        <v>158</v>
      </c>
      <c r="B62" s="63" t="s">
        <v>28</v>
      </c>
      <c r="C62" s="71" t="s">
        <v>32</v>
      </c>
      <c r="D62" s="65">
        <f>LexisNexis!N11</f>
        <v>1714</v>
      </c>
      <c r="E62" s="63">
        <v>0</v>
      </c>
      <c r="F62" s="65">
        <f>LexisNexis!N12</f>
        <v>1801</v>
      </c>
      <c r="G62" s="66">
        <f>LexisNexis!O11</f>
        <v>7914.86</v>
      </c>
      <c r="H62" s="66">
        <f>LexisNexis!P11</f>
        <v>4.6177712952158689</v>
      </c>
    </row>
    <row r="63" spans="1:8">
      <c r="A63" s="63" t="s">
        <v>222</v>
      </c>
      <c r="B63" s="63" t="s">
        <v>28</v>
      </c>
      <c r="C63" s="71" t="s">
        <v>32</v>
      </c>
      <c r="D63" s="65">
        <f>LexisNexis!N15</f>
        <v>2239</v>
      </c>
      <c r="E63" s="63">
        <v>0</v>
      </c>
      <c r="F63" s="65">
        <f>LexisNexis!N16</f>
        <v>2289</v>
      </c>
      <c r="G63" s="66">
        <f>LexisNexis!O15</f>
        <v>4200</v>
      </c>
      <c r="H63" s="66">
        <f>LexisNexis!P15</f>
        <v>1.8758374274229568</v>
      </c>
    </row>
    <row r="64" spans="1:8">
      <c r="A64" s="63" t="s">
        <v>97</v>
      </c>
      <c r="B64" s="63" t="s">
        <v>126</v>
      </c>
      <c r="C64" s="65">
        <f>EBSCOhost!N79</f>
        <v>3259</v>
      </c>
      <c r="D64" s="65">
        <f>EBSCOhost!N80</f>
        <v>13292</v>
      </c>
      <c r="E64" s="63">
        <v>0</v>
      </c>
      <c r="F64" s="71" t="s">
        <v>32</v>
      </c>
      <c r="G64" s="66">
        <v>0</v>
      </c>
      <c r="H64" s="68" t="s">
        <v>32</v>
      </c>
    </row>
    <row r="65" spans="1:8">
      <c r="A65" s="63" t="s">
        <v>159</v>
      </c>
      <c r="B65" s="63" t="s">
        <v>160</v>
      </c>
      <c r="C65" s="65">
        <f>InfoTrac!N7</f>
        <v>3552</v>
      </c>
      <c r="D65" s="65">
        <f>InfoTrac!N8</f>
        <v>17413</v>
      </c>
      <c r="E65" s="67">
        <f>InfoTrac!N9</f>
        <v>0</v>
      </c>
      <c r="F65" s="65">
        <f>InfoTrac!N10</f>
        <v>4684</v>
      </c>
      <c r="G65" s="66">
        <f>InfoTrac!O8</f>
        <v>4678</v>
      </c>
      <c r="H65" s="66">
        <f>InfoTrac!P8</f>
        <v>0.2686498593005226</v>
      </c>
    </row>
    <row r="66" spans="1:8">
      <c r="A66" s="63" t="s">
        <v>81</v>
      </c>
      <c r="B66" s="63" t="s">
        <v>125</v>
      </c>
      <c r="C66" s="64" t="s">
        <v>32</v>
      </c>
      <c r="D66" s="65">
        <f>ProQuest!N26</f>
        <v>13959</v>
      </c>
      <c r="E66" s="63">
        <v>0</v>
      </c>
      <c r="F66" s="64" t="s">
        <v>185</v>
      </c>
      <c r="G66" s="66">
        <v>0</v>
      </c>
      <c r="H66" s="68" t="s">
        <v>32</v>
      </c>
    </row>
    <row r="67" spans="1:8">
      <c r="A67" s="63" t="s">
        <v>161</v>
      </c>
      <c r="B67" s="63" t="s">
        <v>126</v>
      </c>
      <c r="C67" s="65">
        <f>EBSCOhost!N43</f>
        <v>845</v>
      </c>
      <c r="D67" s="65">
        <f>EBSCOhost!N44</f>
        <v>2351</v>
      </c>
      <c r="E67" s="63">
        <v>0</v>
      </c>
      <c r="F67" s="64" t="s">
        <v>185</v>
      </c>
      <c r="G67" s="66">
        <v>0</v>
      </c>
      <c r="H67" s="68" t="s">
        <v>32</v>
      </c>
    </row>
    <row r="68" spans="1:8" ht="24">
      <c r="A68" s="63" t="s">
        <v>8</v>
      </c>
      <c r="B68" s="63" t="s">
        <v>162</v>
      </c>
      <c r="C68" s="65">
        <f>MathSciNet!N7</f>
        <v>8004</v>
      </c>
      <c r="D68" s="65">
        <f>MathSciNet!N8</f>
        <v>10180</v>
      </c>
      <c r="E68" s="63">
        <v>0</v>
      </c>
      <c r="F68" s="64" t="s">
        <v>32</v>
      </c>
      <c r="G68" s="66">
        <f>MathSciNet!O8</f>
        <v>6856</v>
      </c>
      <c r="H68" s="66">
        <f>MathSciNet!P8</f>
        <v>0.67347740667976419</v>
      </c>
    </row>
    <row r="69" spans="1:8">
      <c r="A69" s="63" t="s">
        <v>163</v>
      </c>
      <c r="B69" s="63" t="s">
        <v>33</v>
      </c>
      <c r="C69" s="65">
        <f>FirstSearch!N70</f>
        <v>3229</v>
      </c>
      <c r="D69" s="65">
        <f>FirstSearch!N71</f>
        <v>7265</v>
      </c>
      <c r="E69" s="67">
        <f>FirstSearch!N73</f>
        <v>360</v>
      </c>
      <c r="F69" s="64" t="s">
        <v>32</v>
      </c>
      <c r="G69" s="66">
        <v>0</v>
      </c>
      <c r="H69" s="68" t="s">
        <v>32</v>
      </c>
    </row>
    <row r="70" spans="1:8">
      <c r="A70" s="63" t="s">
        <v>38</v>
      </c>
      <c r="B70" s="63" t="s">
        <v>181</v>
      </c>
      <c r="C70" s="65">
        <f>OVID!N14</f>
        <v>1448</v>
      </c>
      <c r="D70" s="65">
        <f>OVID!N15</f>
        <v>5508</v>
      </c>
      <c r="E70" s="67">
        <v>0</v>
      </c>
      <c r="F70" s="64" t="s">
        <v>32</v>
      </c>
      <c r="G70" s="66">
        <v>0</v>
      </c>
      <c r="H70" s="68" t="s">
        <v>32</v>
      </c>
    </row>
    <row r="71" spans="1:8">
      <c r="A71" s="63" t="s">
        <v>183</v>
      </c>
      <c r="B71" s="63" t="s">
        <v>181</v>
      </c>
      <c r="C71" s="65">
        <f>OVID!N21</f>
        <v>1392</v>
      </c>
      <c r="D71" s="65">
        <f>OVID!N22</f>
        <v>4444</v>
      </c>
      <c r="E71" s="67">
        <v>0</v>
      </c>
      <c r="F71" s="64" t="s">
        <v>32</v>
      </c>
      <c r="G71" s="66">
        <v>0</v>
      </c>
      <c r="H71" s="68" t="s">
        <v>32</v>
      </c>
    </row>
    <row r="72" spans="1:8">
      <c r="A72" s="63" t="s">
        <v>164</v>
      </c>
      <c r="B72" s="63" t="s">
        <v>90</v>
      </c>
      <c r="C72" s="65">
        <f>Mergent!N7</f>
        <v>302</v>
      </c>
      <c r="D72" s="65">
        <f>Mergent!N8</f>
        <v>456</v>
      </c>
      <c r="E72" s="63">
        <v>0</v>
      </c>
      <c r="F72" s="65">
        <f>Mergent!N9</f>
        <v>242</v>
      </c>
      <c r="G72" s="66">
        <f>Mergent!O8</f>
        <v>11000</v>
      </c>
      <c r="H72" s="66">
        <f>Mergent!P8</f>
        <v>24.12280701754386</v>
      </c>
    </row>
    <row r="73" spans="1:8">
      <c r="A73" s="63" t="s">
        <v>72</v>
      </c>
      <c r="B73" s="63" t="s">
        <v>130</v>
      </c>
      <c r="C73" s="69" t="s">
        <v>32</v>
      </c>
      <c r="D73" s="65">
        <v>10637</v>
      </c>
      <c r="E73" s="63">
        <v>0</v>
      </c>
      <c r="F73" s="64" t="s">
        <v>32</v>
      </c>
      <c r="G73" s="66">
        <v>3871</v>
      </c>
      <c r="H73" s="66">
        <v>0.36</v>
      </c>
    </row>
    <row r="74" spans="1:8">
      <c r="A74" s="63" t="s">
        <v>56</v>
      </c>
      <c r="B74" s="63" t="s">
        <v>126</v>
      </c>
      <c r="C74" s="65">
        <f>EBSCOhost!N49</f>
        <v>705</v>
      </c>
      <c r="D74" s="65">
        <f>EBSCOhost!N50</f>
        <v>1956</v>
      </c>
      <c r="E74" s="63">
        <v>0</v>
      </c>
      <c r="F74" s="64" t="s">
        <v>185</v>
      </c>
      <c r="G74" s="66">
        <v>0</v>
      </c>
      <c r="H74" s="68" t="s">
        <v>32</v>
      </c>
    </row>
    <row r="75" spans="1:8" ht="12.75" customHeight="1">
      <c r="A75" s="63" t="s">
        <v>165</v>
      </c>
      <c r="B75" s="63" t="s">
        <v>132</v>
      </c>
      <c r="C75" s="65">
        <v>8</v>
      </c>
      <c r="D75" s="63" t="s">
        <v>185</v>
      </c>
      <c r="E75" s="63">
        <v>0</v>
      </c>
      <c r="F75" s="64" t="s">
        <v>32</v>
      </c>
      <c r="G75" s="66">
        <v>531.94000000000005</v>
      </c>
      <c r="H75" s="66">
        <f>G75/8</f>
        <v>66.492500000000007</v>
      </c>
    </row>
    <row r="76" spans="1:8">
      <c r="A76" s="63" t="s">
        <v>224</v>
      </c>
      <c r="B76" s="63" t="s">
        <v>130</v>
      </c>
      <c r="C76" s="69" t="s">
        <v>32</v>
      </c>
      <c r="D76" s="65">
        <v>6870</v>
      </c>
      <c r="E76" s="65">
        <v>0</v>
      </c>
      <c r="F76" s="64" t="s">
        <v>32</v>
      </c>
      <c r="G76" s="66">
        <v>7216</v>
      </c>
      <c r="H76" s="66">
        <v>1.05</v>
      </c>
    </row>
    <row r="77" spans="1:8">
      <c r="A77" s="63" t="s">
        <v>223</v>
      </c>
      <c r="B77" s="63" t="s">
        <v>130</v>
      </c>
      <c r="C77" s="69" t="s">
        <v>32</v>
      </c>
      <c r="D77" s="65">
        <v>2293</v>
      </c>
      <c r="E77" s="65">
        <v>0</v>
      </c>
      <c r="F77" s="64" t="s">
        <v>32</v>
      </c>
      <c r="G77" s="66">
        <v>0</v>
      </c>
      <c r="H77" s="68" t="s">
        <v>32</v>
      </c>
    </row>
    <row r="78" spans="1:8">
      <c r="A78" s="63" t="s">
        <v>19</v>
      </c>
      <c r="B78" s="63" t="s">
        <v>166</v>
      </c>
      <c r="C78" s="69" t="s">
        <v>32</v>
      </c>
      <c r="D78" s="65">
        <f>MusicIndex!N8</f>
        <v>1079</v>
      </c>
      <c r="E78" s="63">
        <v>0</v>
      </c>
      <c r="F78" s="64" t="s">
        <v>32</v>
      </c>
      <c r="G78" s="66">
        <f>MusicIndex!O8</f>
        <v>2000</v>
      </c>
      <c r="H78" s="66">
        <f>MusicIndex!P8</f>
        <v>1.8535681186283597</v>
      </c>
    </row>
    <row r="79" spans="1:8">
      <c r="A79" s="63" t="s">
        <v>80</v>
      </c>
      <c r="B79" s="63" t="s">
        <v>125</v>
      </c>
      <c r="C79" s="64" t="s">
        <v>32</v>
      </c>
      <c r="D79" s="65">
        <f>ProQuest!N21</f>
        <v>16161</v>
      </c>
      <c r="E79" s="63">
        <v>0</v>
      </c>
      <c r="F79" s="64" t="s">
        <v>185</v>
      </c>
      <c r="G79" s="66">
        <f>ProQuest!O21</f>
        <v>3071</v>
      </c>
      <c r="H79" s="66">
        <f>ProQuest!P21</f>
        <v>0.19002536971722048</v>
      </c>
    </row>
    <row r="80" spans="1:8">
      <c r="A80" s="63" t="s">
        <v>184</v>
      </c>
      <c r="B80" s="63" t="s">
        <v>184</v>
      </c>
      <c r="C80" s="65">
        <f>netLibrary!N7</f>
        <v>1173</v>
      </c>
      <c r="D80" s="71" t="s">
        <v>32</v>
      </c>
      <c r="E80" s="67">
        <v>0</v>
      </c>
      <c r="F80" s="64" t="s">
        <v>32</v>
      </c>
      <c r="G80" s="66"/>
      <c r="H80" s="68" t="s">
        <v>32</v>
      </c>
    </row>
    <row r="81" spans="1:8">
      <c r="A81" s="63" t="s">
        <v>65</v>
      </c>
      <c r="B81" s="63" t="s">
        <v>130</v>
      </c>
      <c r="C81" s="69" t="s">
        <v>32</v>
      </c>
      <c r="D81" s="65">
        <v>11325</v>
      </c>
      <c r="E81" s="63">
        <v>0</v>
      </c>
      <c r="F81" s="64" t="s">
        <v>32</v>
      </c>
      <c r="G81" s="66">
        <v>0</v>
      </c>
      <c r="H81" s="68" t="s">
        <v>32</v>
      </c>
    </row>
    <row r="82" spans="1:8">
      <c r="A82" s="63" t="s">
        <v>182</v>
      </c>
      <c r="B82" s="63" t="s">
        <v>181</v>
      </c>
      <c r="C82" s="99">
        <f>OVID!N28</f>
        <v>530</v>
      </c>
      <c r="D82" s="65">
        <f>OVID!N29</f>
        <v>1866</v>
      </c>
      <c r="E82" s="63">
        <f>OVID!N30</f>
        <v>0</v>
      </c>
      <c r="F82" s="64" t="s">
        <v>32</v>
      </c>
      <c r="G82" s="66">
        <v>0</v>
      </c>
      <c r="H82" s="68" t="s">
        <v>32</v>
      </c>
    </row>
    <row r="83" spans="1:8">
      <c r="A83" s="63" t="s">
        <v>239</v>
      </c>
      <c r="B83" s="63" t="s">
        <v>181</v>
      </c>
      <c r="C83" s="99">
        <f>OVID!N43</f>
        <v>9526</v>
      </c>
      <c r="D83" s="65">
        <f>OVID!N44</f>
        <v>15001</v>
      </c>
      <c r="E83" s="63">
        <v>0</v>
      </c>
      <c r="F83" s="65">
        <v>3330</v>
      </c>
      <c r="G83" s="66">
        <f>OVID!O44</f>
        <v>10226</v>
      </c>
      <c r="H83" s="70">
        <f>OVID!P44</f>
        <v>0.68168788747416842</v>
      </c>
    </row>
    <row r="84" spans="1:8">
      <c r="A84" s="63" t="s">
        <v>193</v>
      </c>
      <c r="B84" s="63" t="s">
        <v>153</v>
      </c>
      <c r="C84" s="99">
        <f>Oxford!N12</f>
        <v>4349</v>
      </c>
      <c r="D84" s="65">
        <f>Oxford!N13</f>
        <v>13874</v>
      </c>
      <c r="E84" s="65">
        <f>Oxford!N14</f>
        <v>0</v>
      </c>
      <c r="F84" s="64" t="s">
        <v>32</v>
      </c>
      <c r="G84" s="66">
        <f>Oxford!O13</f>
        <v>2364</v>
      </c>
      <c r="H84" s="70">
        <f>Oxford!P13</f>
        <v>0.17039065878621884</v>
      </c>
    </row>
    <row r="85" spans="1:8">
      <c r="A85" s="63" t="s">
        <v>66</v>
      </c>
      <c r="B85" s="63" t="s">
        <v>130</v>
      </c>
      <c r="C85" s="69" t="s">
        <v>32</v>
      </c>
      <c r="D85" s="65">
        <v>9249</v>
      </c>
      <c r="E85" s="63">
        <v>0</v>
      </c>
      <c r="F85" s="64" t="s">
        <v>32</v>
      </c>
      <c r="G85" s="66">
        <v>5265</v>
      </c>
      <c r="H85" s="66">
        <v>0.56999999999999995</v>
      </c>
    </row>
    <row r="86" spans="1:8">
      <c r="A86" s="63" t="s">
        <v>225</v>
      </c>
      <c r="B86" s="63" t="s">
        <v>130</v>
      </c>
      <c r="C86" s="69" t="s">
        <v>32</v>
      </c>
      <c r="D86" s="65">
        <v>5043</v>
      </c>
      <c r="E86" s="63">
        <v>0</v>
      </c>
      <c r="F86" s="64" t="s">
        <v>32</v>
      </c>
      <c r="G86" s="66">
        <v>0</v>
      </c>
      <c r="H86" s="68" t="s">
        <v>32</v>
      </c>
    </row>
    <row r="87" spans="1:8">
      <c r="A87" s="63" t="s">
        <v>167</v>
      </c>
      <c r="B87" s="63" t="s">
        <v>33</v>
      </c>
      <c r="C87" s="65">
        <f>FirstSearch!N78</f>
        <v>74</v>
      </c>
      <c r="D87" s="65">
        <f>FirstSearch!N79</f>
        <v>99</v>
      </c>
      <c r="E87" s="67">
        <f>FirstSearch!N81</f>
        <v>0</v>
      </c>
      <c r="F87" s="64" t="s">
        <v>32</v>
      </c>
      <c r="G87" s="66">
        <v>0</v>
      </c>
      <c r="H87" s="68" t="s">
        <v>32</v>
      </c>
    </row>
    <row r="88" spans="1:8">
      <c r="A88" s="63" t="s">
        <v>24</v>
      </c>
      <c r="B88" s="63" t="s">
        <v>130</v>
      </c>
      <c r="C88" s="69" t="s">
        <v>32</v>
      </c>
      <c r="D88" s="65">
        <v>2498</v>
      </c>
      <c r="E88" s="63">
        <v>0</v>
      </c>
      <c r="F88" s="64" t="s">
        <v>32</v>
      </c>
      <c r="G88" s="66">
        <v>2550</v>
      </c>
      <c r="H88" s="66">
        <v>1.02</v>
      </c>
    </row>
    <row r="89" spans="1:8">
      <c r="A89" s="63" t="s">
        <v>67</v>
      </c>
      <c r="B89" s="63" t="s">
        <v>130</v>
      </c>
      <c r="C89" s="69" t="s">
        <v>32</v>
      </c>
      <c r="D89" s="65">
        <v>6121</v>
      </c>
      <c r="E89" s="63">
        <v>0</v>
      </c>
      <c r="F89" s="64" t="s">
        <v>32</v>
      </c>
      <c r="G89" s="66">
        <v>975</v>
      </c>
      <c r="H89" s="66">
        <v>0.16</v>
      </c>
    </row>
    <row r="90" spans="1:8">
      <c r="A90" s="63" t="s">
        <v>59</v>
      </c>
      <c r="B90" s="63" t="s">
        <v>126</v>
      </c>
      <c r="C90" s="99">
        <f>EBSCOhost!N67</f>
        <v>607</v>
      </c>
      <c r="D90" s="65">
        <f>EBSCOhost!N68</f>
        <v>2504</v>
      </c>
      <c r="E90" s="63">
        <v>0</v>
      </c>
      <c r="F90" s="64" t="s">
        <v>32</v>
      </c>
      <c r="G90" s="66">
        <v>0</v>
      </c>
      <c r="H90" s="68" t="s">
        <v>32</v>
      </c>
    </row>
    <row r="91" spans="1:8">
      <c r="A91" s="63" t="s">
        <v>57</v>
      </c>
      <c r="B91" s="63" t="s">
        <v>126</v>
      </c>
      <c r="C91" s="65">
        <f>EBSCOhost!N55</f>
        <v>828</v>
      </c>
      <c r="D91" s="65">
        <f>EBSCOhost!N56</f>
        <v>2991</v>
      </c>
      <c r="E91" s="63">
        <v>0</v>
      </c>
      <c r="F91" s="64" t="s">
        <v>185</v>
      </c>
      <c r="G91" s="66">
        <v>0</v>
      </c>
      <c r="H91" s="68" t="s">
        <v>32</v>
      </c>
    </row>
    <row r="92" spans="1:8">
      <c r="A92" s="63" t="s">
        <v>168</v>
      </c>
      <c r="B92" s="63" t="s">
        <v>33</v>
      </c>
      <c r="C92" s="65">
        <f>FirstSearch!N86</f>
        <v>42</v>
      </c>
      <c r="D92" s="65">
        <f>FirstSearch!N87</f>
        <v>28</v>
      </c>
      <c r="E92" s="67">
        <f>FirstSearch!N89</f>
        <v>0</v>
      </c>
      <c r="F92" s="64" t="s">
        <v>32</v>
      </c>
      <c r="G92" s="66">
        <v>0</v>
      </c>
      <c r="H92" s="68" t="s">
        <v>32</v>
      </c>
    </row>
    <row r="93" spans="1:8">
      <c r="A93" s="63" t="s">
        <v>78</v>
      </c>
      <c r="B93" s="63" t="s">
        <v>125</v>
      </c>
      <c r="C93" s="65">
        <f>ProQuest!N47</f>
        <v>18837</v>
      </c>
      <c r="D93" s="65">
        <f>ProQuest!N48</f>
        <v>46424</v>
      </c>
      <c r="E93" s="63">
        <v>0</v>
      </c>
      <c r="F93" s="65">
        <f>ProQuest!N49</f>
        <v>41877</v>
      </c>
      <c r="G93" s="66">
        <f>ProQuest!O48</f>
        <v>28306</v>
      </c>
      <c r="H93" s="66">
        <f>ProQuest!P48</f>
        <v>0.60972772703773914</v>
      </c>
    </row>
    <row r="94" spans="1:8">
      <c r="A94" s="63" t="s">
        <v>79</v>
      </c>
      <c r="B94" s="63" t="s">
        <v>125</v>
      </c>
      <c r="C94" s="64" t="s">
        <v>32</v>
      </c>
      <c r="D94" s="65">
        <f>ProQuest!N16</f>
        <v>14615</v>
      </c>
      <c r="E94" s="63">
        <v>0</v>
      </c>
      <c r="F94" s="64" t="s">
        <v>185</v>
      </c>
      <c r="G94" s="66">
        <f>ProQuest!O16</f>
        <v>5475</v>
      </c>
      <c r="H94" s="66">
        <f>ProQuest!P16</f>
        <v>0.37461512145056447</v>
      </c>
    </row>
    <row r="95" spans="1:8" ht="24">
      <c r="A95" s="63" t="s">
        <v>169</v>
      </c>
      <c r="B95" s="63" t="s">
        <v>125</v>
      </c>
      <c r="C95" s="64" t="s">
        <v>32</v>
      </c>
      <c r="D95" s="65">
        <f>ProQuest!N41</f>
        <v>1603</v>
      </c>
      <c r="E95" s="63">
        <v>0</v>
      </c>
      <c r="F95" s="64" t="s">
        <v>185</v>
      </c>
      <c r="G95" s="66">
        <v>0</v>
      </c>
      <c r="H95" s="68" t="s">
        <v>32</v>
      </c>
    </row>
    <row r="96" spans="1:8">
      <c r="A96" s="63" t="s">
        <v>82</v>
      </c>
      <c r="B96" s="63" t="s">
        <v>125</v>
      </c>
      <c r="C96" s="64" t="s">
        <v>32</v>
      </c>
      <c r="D96" s="65">
        <f>ProQuest!N31</f>
        <v>15764</v>
      </c>
      <c r="E96" s="63">
        <v>0</v>
      </c>
      <c r="F96" s="64" t="s">
        <v>185</v>
      </c>
      <c r="G96" s="66">
        <f>ProQuest!O31</f>
        <v>1820</v>
      </c>
      <c r="H96" s="66">
        <f>ProQuest!P31</f>
        <v>0.11545293072824156</v>
      </c>
    </row>
    <row r="97" spans="1:8">
      <c r="A97" s="63" t="s">
        <v>68</v>
      </c>
      <c r="B97" s="63" t="s">
        <v>130</v>
      </c>
      <c r="C97" s="69" t="s">
        <v>32</v>
      </c>
      <c r="D97" s="65">
        <v>38466</v>
      </c>
      <c r="E97" s="63">
        <v>0</v>
      </c>
      <c r="F97" s="64" t="s">
        <v>32</v>
      </c>
      <c r="G97" s="66">
        <v>14400</v>
      </c>
      <c r="H97" s="66">
        <v>0.37</v>
      </c>
    </row>
    <row r="98" spans="1:8">
      <c r="A98" s="63" t="s">
        <v>170</v>
      </c>
      <c r="B98" s="63" t="s">
        <v>171</v>
      </c>
      <c r="C98" s="64" t="s">
        <v>185</v>
      </c>
      <c r="D98" s="71" t="s">
        <v>185</v>
      </c>
      <c r="E98" s="133">
        <v>0</v>
      </c>
      <c r="F98" s="64" t="s">
        <v>32</v>
      </c>
      <c r="G98" s="66">
        <v>0</v>
      </c>
      <c r="H98" s="68" t="s">
        <v>32</v>
      </c>
    </row>
    <row r="99" spans="1:8" ht="25.5" customHeight="1">
      <c r="A99" s="63" t="s">
        <v>17</v>
      </c>
      <c r="B99" s="63" t="s">
        <v>14</v>
      </c>
      <c r="C99" s="65">
        <f>WilsonWeb!N17</f>
        <v>376</v>
      </c>
      <c r="D99" s="65">
        <f>WilsonWeb!N18</f>
        <v>1125</v>
      </c>
      <c r="E99" s="67">
        <f>WilsonWeb!N19</f>
        <v>0</v>
      </c>
      <c r="F99" s="64" t="s">
        <v>32</v>
      </c>
      <c r="G99" s="66">
        <f>WilsonWeb!O18</f>
        <v>326</v>
      </c>
      <c r="H99" s="66">
        <f>WilsonWeb!P18</f>
        <v>0.2897777777777778</v>
      </c>
    </row>
    <row r="100" spans="1:8">
      <c r="A100" s="63" t="s">
        <v>21</v>
      </c>
      <c r="B100" s="63" t="s">
        <v>172</v>
      </c>
      <c r="C100" s="65">
        <f>ReferenceUSA!N6</f>
        <v>1608</v>
      </c>
      <c r="D100" s="65">
        <f>ReferenceUSA!N7</f>
        <v>4129</v>
      </c>
      <c r="E100" s="63">
        <v>0</v>
      </c>
      <c r="F100" s="64" t="s">
        <v>32</v>
      </c>
      <c r="G100" s="66">
        <f>ReferenceUSA!O7</f>
        <v>6120</v>
      </c>
      <c r="H100" s="66">
        <f>ReferenceUSA!P7</f>
        <v>1.4821990796803099</v>
      </c>
    </row>
    <row r="101" spans="1:8">
      <c r="A101" s="63" t="s">
        <v>173</v>
      </c>
      <c r="B101" s="63" t="s">
        <v>130</v>
      </c>
      <c r="C101" s="99">
        <f>RefWorks!N9</f>
        <v>2617</v>
      </c>
      <c r="D101" s="64" t="s">
        <v>32</v>
      </c>
      <c r="E101" s="63">
        <v>0</v>
      </c>
      <c r="F101" s="64" t="s">
        <v>32</v>
      </c>
      <c r="G101" s="66">
        <f>RefWorks!O9</f>
        <v>11025</v>
      </c>
      <c r="H101" s="70">
        <f>RefWorks!P9</f>
        <v>4.2128391287734051</v>
      </c>
    </row>
    <row r="102" spans="1:8">
      <c r="A102" s="63" t="s">
        <v>174</v>
      </c>
      <c r="B102" s="63" t="s">
        <v>175</v>
      </c>
      <c r="C102" s="65">
        <f>SciFinderScholar!N6</f>
        <v>2441</v>
      </c>
      <c r="D102" s="65">
        <f>SciFinderScholar!N7</f>
        <v>9190</v>
      </c>
      <c r="E102" s="65">
        <f>SciFinderScholar!N8</f>
        <v>1364</v>
      </c>
      <c r="F102" s="64" t="s">
        <v>32</v>
      </c>
      <c r="G102" s="66">
        <f>SciFinderScholar!O7</f>
        <v>29485</v>
      </c>
      <c r="H102" s="66">
        <f>SciFinderScholar!P7</f>
        <v>3.2083786724700762</v>
      </c>
    </row>
    <row r="103" spans="1:8">
      <c r="A103" s="63" t="s">
        <v>69</v>
      </c>
      <c r="B103" s="63" t="s">
        <v>130</v>
      </c>
      <c r="C103" s="69" t="s">
        <v>32</v>
      </c>
      <c r="D103" s="65">
        <v>5776</v>
      </c>
      <c r="E103" s="63">
        <v>0</v>
      </c>
      <c r="F103" s="64" t="s">
        <v>32</v>
      </c>
      <c r="G103" s="66">
        <v>0</v>
      </c>
      <c r="H103" s="68" t="s">
        <v>32</v>
      </c>
    </row>
    <row r="104" spans="1:8">
      <c r="A104" s="63" t="s">
        <v>70</v>
      </c>
      <c r="B104" s="63" t="s">
        <v>130</v>
      </c>
      <c r="C104" s="69" t="s">
        <v>32</v>
      </c>
      <c r="D104" s="65">
        <v>7325</v>
      </c>
      <c r="E104" s="63">
        <v>0</v>
      </c>
      <c r="F104" s="64" t="s">
        <v>32</v>
      </c>
      <c r="G104" s="66">
        <v>4104</v>
      </c>
      <c r="H104" s="66">
        <v>0.56000000000000005</v>
      </c>
    </row>
    <row r="105" spans="1:8">
      <c r="A105" s="63" t="s">
        <v>60</v>
      </c>
      <c r="B105" s="63" t="s">
        <v>126</v>
      </c>
      <c r="C105" s="65">
        <f>EBSCOhost!N73</f>
        <v>511</v>
      </c>
      <c r="D105" s="65">
        <f>EBSCOhost!N74</f>
        <v>1975</v>
      </c>
      <c r="E105" s="63">
        <v>0</v>
      </c>
      <c r="F105" s="64" t="s">
        <v>32</v>
      </c>
      <c r="G105" s="66">
        <f>EBSCOhost!O74</f>
        <v>2572</v>
      </c>
      <c r="H105" s="66">
        <f>EBSCOhost!P74</f>
        <v>1.3022784810126582</v>
      </c>
    </row>
    <row r="106" spans="1:8">
      <c r="A106" s="63" t="s">
        <v>226</v>
      </c>
      <c r="B106" s="63" t="s">
        <v>243</v>
      </c>
      <c r="C106" s="65">
        <f>Oxford!N17</f>
        <v>25</v>
      </c>
      <c r="D106" s="71" t="s">
        <v>185</v>
      </c>
      <c r="E106" s="63">
        <v>0</v>
      </c>
      <c r="F106" s="64" t="s">
        <v>32</v>
      </c>
      <c r="G106" s="66">
        <f>Oxford!O17</f>
        <v>1325</v>
      </c>
      <c r="H106" s="66">
        <f>Oxford!P17</f>
        <v>53</v>
      </c>
    </row>
    <row r="107" spans="1:8">
      <c r="A107" s="63" t="s">
        <v>227</v>
      </c>
      <c r="B107" s="63" t="s">
        <v>269</v>
      </c>
      <c r="C107" s="65" t="s">
        <v>185</v>
      </c>
      <c r="D107" s="65">
        <f>'Turfgrass InfoCtr'!N6</f>
        <v>277</v>
      </c>
      <c r="E107" s="63">
        <v>0</v>
      </c>
      <c r="F107" s="64" t="s">
        <v>185</v>
      </c>
      <c r="G107" s="68" t="s">
        <v>32</v>
      </c>
      <c r="H107" s="68" t="s">
        <v>32</v>
      </c>
    </row>
    <row r="108" spans="1:8">
      <c r="A108" s="63" t="s">
        <v>83</v>
      </c>
      <c r="B108" s="63" t="s">
        <v>125</v>
      </c>
      <c r="C108" s="64" t="s">
        <v>32</v>
      </c>
      <c r="D108" s="65">
        <f>ProQuest!N36</f>
        <v>13790</v>
      </c>
      <c r="E108" s="63">
        <v>0</v>
      </c>
      <c r="F108" s="64" t="s">
        <v>185</v>
      </c>
      <c r="G108" s="66">
        <v>0</v>
      </c>
      <c r="H108" s="68" t="s">
        <v>32</v>
      </c>
    </row>
    <row r="109" spans="1:8">
      <c r="A109" s="63" t="s">
        <v>176</v>
      </c>
      <c r="B109" s="63" t="s">
        <v>177</v>
      </c>
      <c r="C109" s="65">
        <f>WebofScience!N6</f>
        <v>5892</v>
      </c>
      <c r="D109" s="65">
        <f>WebofScience!N7</f>
        <v>20717</v>
      </c>
      <c r="E109" s="65">
        <f>WebofScience!N9</f>
        <v>70</v>
      </c>
      <c r="F109" s="64" t="s">
        <v>32</v>
      </c>
      <c r="G109" s="66">
        <f>WebofScience!O7</f>
        <v>92892</v>
      </c>
      <c r="H109" s="66">
        <f>WebofScience!P7</f>
        <v>4.4838538398416761</v>
      </c>
    </row>
    <row r="110" spans="1:8">
      <c r="A110" s="63" t="s">
        <v>197</v>
      </c>
      <c r="B110" s="63" t="s">
        <v>126</v>
      </c>
      <c r="C110" s="65">
        <f>EBSCOhost!N85</f>
        <v>687</v>
      </c>
      <c r="D110" s="65">
        <f>EBSCOhost!N86</f>
        <v>2322</v>
      </c>
      <c r="E110" s="65">
        <v>0</v>
      </c>
      <c r="F110" s="64" t="s">
        <v>32</v>
      </c>
      <c r="G110" s="66">
        <f>EBSCOhost!O86</f>
        <v>2950</v>
      </c>
      <c r="H110" s="66">
        <f>EBSCOhost!P86</f>
        <v>1.2704565030146426</v>
      </c>
    </row>
    <row r="111" spans="1:8">
      <c r="A111" s="63" t="s">
        <v>228</v>
      </c>
      <c r="B111" s="63" t="s">
        <v>33</v>
      </c>
      <c r="C111" s="65">
        <f>FirstSearch!N94</f>
        <v>92</v>
      </c>
      <c r="D111" s="65">
        <f>FirstSearch!N95</f>
        <v>130</v>
      </c>
      <c r="E111" s="67">
        <f>FirstSearch!N97</f>
        <v>2</v>
      </c>
      <c r="F111" s="64" t="s">
        <v>32</v>
      </c>
      <c r="G111" s="66">
        <v>0</v>
      </c>
      <c r="H111" s="68" t="s">
        <v>32</v>
      </c>
    </row>
    <row r="112" spans="1:8">
      <c r="A112" s="63" t="s">
        <v>178</v>
      </c>
      <c r="B112" s="63" t="s">
        <v>33</v>
      </c>
      <c r="C112" s="65">
        <f>FirstSearch!N102</f>
        <v>3210</v>
      </c>
      <c r="D112" s="65">
        <f>FirstSearch!N103</f>
        <v>14804</v>
      </c>
      <c r="E112" s="67">
        <f>FirstSearch!N105</f>
        <v>398</v>
      </c>
      <c r="F112" s="64" t="s">
        <v>32</v>
      </c>
      <c r="G112" s="66">
        <v>0</v>
      </c>
      <c r="H112" s="68" t="s">
        <v>32</v>
      </c>
    </row>
    <row r="113" spans="1:8">
      <c r="A113" s="63" t="s">
        <v>179</v>
      </c>
      <c r="B113" s="63" t="s">
        <v>33</v>
      </c>
      <c r="C113" s="65">
        <f>FirstSearch!N110</f>
        <v>172</v>
      </c>
      <c r="D113" s="65">
        <f>FirstSearch!N111</f>
        <v>313</v>
      </c>
      <c r="E113" s="67">
        <f>FirstSearch!N113</f>
        <v>0</v>
      </c>
      <c r="F113" s="64" t="s">
        <v>32</v>
      </c>
      <c r="G113" s="66">
        <v>0</v>
      </c>
      <c r="H113" s="68" t="s">
        <v>32</v>
      </c>
    </row>
    <row r="115" spans="1:8">
      <c r="A115" s="72" t="s">
        <v>180</v>
      </c>
    </row>
  </sheetData>
  <sheetProtection password="83AF" sheet="1" objects="1" scenarios="1"/>
  <phoneticPr fontId="2" type="noConversion"/>
  <pageMargins left="0.75" right="0.75" top="1" bottom="1" header="0.5" footer="0.5"/>
  <pageSetup scale="82" fitToHeight="3" orientation="landscape" horizontalDpi="1200" verticalDpi="1200"/>
  <headerFooter>
    <oddFooter>&amp;L&amp;K000000Reference Database Statistics&amp;R&amp;K0000002006-07</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9"/>
  <sheetViews>
    <sheetView workbookViewId="0"/>
  </sheetViews>
  <sheetFormatPr baseColWidth="10" defaultColWidth="8.83203125" defaultRowHeight="12" x14ac:dyDescent="0"/>
  <cols>
    <col min="1" max="1" width="20.66406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33203125" bestFit="1" customWidth="1"/>
    <col min="16" max="16" width="8.33203125" bestFit="1" customWidth="1"/>
  </cols>
  <sheetData>
    <row r="1" spans="1:16" ht="18">
      <c r="A1" s="118" t="s">
        <v>0</v>
      </c>
    </row>
    <row r="2" spans="1:16" ht="17">
      <c r="A2" s="3" t="s">
        <v>187</v>
      </c>
    </row>
    <row r="5" spans="1:16" ht="33" customHeight="1">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86</v>
      </c>
    </row>
    <row r="6" spans="1:16">
      <c r="A6" s="12" t="s">
        <v>6</v>
      </c>
      <c r="B6" s="13"/>
      <c r="C6" s="13"/>
      <c r="D6" s="13"/>
      <c r="E6" s="13"/>
      <c r="F6" s="13"/>
      <c r="G6" s="13"/>
      <c r="H6" s="13"/>
      <c r="I6" s="13"/>
      <c r="J6" s="13"/>
      <c r="K6" s="13"/>
      <c r="L6" s="13"/>
      <c r="M6" s="13"/>
      <c r="N6" s="13"/>
    </row>
    <row r="7" spans="1:16">
      <c r="A7" t="s">
        <v>4</v>
      </c>
      <c r="B7" s="55">
        <v>53</v>
      </c>
      <c r="C7" s="55">
        <v>18</v>
      </c>
      <c r="D7" s="55">
        <v>149</v>
      </c>
      <c r="E7" s="55">
        <v>312</v>
      </c>
      <c r="F7" s="55">
        <v>280</v>
      </c>
      <c r="G7" s="56">
        <v>105</v>
      </c>
      <c r="H7" s="55">
        <v>55</v>
      </c>
      <c r="I7" s="55">
        <v>136</v>
      </c>
      <c r="J7" s="55">
        <v>221</v>
      </c>
      <c r="K7" s="55">
        <v>316</v>
      </c>
      <c r="L7" s="55">
        <v>44</v>
      </c>
      <c r="M7" s="56">
        <v>43</v>
      </c>
      <c r="N7" s="57">
        <f>SUM(B7:M7)</f>
        <v>1732</v>
      </c>
      <c r="O7" s="27"/>
      <c r="P7" s="27"/>
    </row>
    <row r="8" spans="1:16">
      <c r="A8" t="s">
        <v>5</v>
      </c>
      <c r="B8" s="49">
        <v>61</v>
      </c>
      <c r="C8" s="49">
        <v>13</v>
      </c>
      <c r="D8" s="49">
        <v>241</v>
      </c>
      <c r="E8" s="49">
        <v>359</v>
      </c>
      <c r="F8" s="49">
        <v>318</v>
      </c>
      <c r="G8" s="49">
        <v>102</v>
      </c>
      <c r="H8" s="49">
        <v>65</v>
      </c>
      <c r="I8" s="49">
        <v>157</v>
      </c>
      <c r="J8" s="49">
        <v>343</v>
      </c>
      <c r="K8" s="49">
        <v>509</v>
      </c>
      <c r="L8" s="49">
        <v>42</v>
      </c>
      <c r="M8" s="49">
        <v>60</v>
      </c>
      <c r="N8" s="45">
        <f>SUM(B8:M8)</f>
        <v>2270</v>
      </c>
      <c r="O8" s="27">
        <v>6720</v>
      </c>
      <c r="P8" s="27">
        <f>O8/N8</f>
        <v>2.9603524229074889</v>
      </c>
    </row>
    <row r="9" spans="1:16">
      <c r="B9" s="19"/>
      <c r="C9" s="19"/>
      <c r="D9" s="19"/>
      <c r="E9" s="19"/>
      <c r="F9" s="19"/>
      <c r="G9" s="19"/>
      <c r="H9" s="19"/>
      <c r="I9" s="19"/>
      <c r="J9" s="19"/>
      <c r="K9" s="19"/>
      <c r="L9" s="19"/>
      <c r="M9" s="19"/>
      <c r="N9" s="27"/>
      <c r="O9" s="27"/>
      <c r="P9" s="27"/>
    </row>
    <row r="10" spans="1:16">
      <c r="B10" s="19"/>
      <c r="C10" s="19"/>
      <c r="D10" s="19"/>
      <c r="E10" s="19"/>
      <c r="F10" s="19"/>
      <c r="G10" s="19"/>
      <c r="H10" s="19"/>
      <c r="I10" s="19"/>
      <c r="J10" s="19"/>
      <c r="K10" s="19"/>
      <c r="L10" s="19"/>
      <c r="M10" s="19"/>
      <c r="N10" s="27"/>
      <c r="O10" s="27"/>
      <c r="P10" s="27"/>
    </row>
    <row r="11" spans="1:16" ht="30.75" customHeight="1">
      <c r="A11" s="106"/>
      <c r="B11" s="107">
        <v>38899</v>
      </c>
      <c r="C11" s="107">
        <v>38930</v>
      </c>
      <c r="D11" s="107">
        <v>38961</v>
      </c>
      <c r="E11" s="107">
        <v>38991</v>
      </c>
      <c r="F11" s="107">
        <v>39022</v>
      </c>
      <c r="G11" s="107">
        <v>39052</v>
      </c>
      <c r="H11" s="107">
        <v>39083</v>
      </c>
      <c r="I11" s="107">
        <v>39114</v>
      </c>
      <c r="J11" s="107">
        <v>39142</v>
      </c>
      <c r="K11" s="107">
        <v>39173</v>
      </c>
      <c r="L11" s="107">
        <v>39203</v>
      </c>
      <c r="M11" s="107">
        <v>39234</v>
      </c>
      <c r="N11" s="108" t="s">
        <v>2</v>
      </c>
      <c r="O11" s="114" t="s">
        <v>189</v>
      </c>
      <c r="P11" s="114" t="s">
        <v>86</v>
      </c>
    </row>
    <row r="12" spans="1:16">
      <c r="A12" s="1" t="s">
        <v>7</v>
      </c>
      <c r="O12" s="27"/>
      <c r="P12" s="27"/>
    </row>
    <row r="13" spans="1:16">
      <c r="A13" t="s">
        <v>4</v>
      </c>
      <c r="B13" s="49">
        <v>23</v>
      </c>
      <c r="C13" s="49">
        <v>6</v>
      </c>
      <c r="D13" s="49">
        <v>18</v>
      </c>
      <c r="E13" s="49">
        <v>65</v>
      </c>
      <c r="F13" s="49">
        <v>120</v>
      </c>
      <c r="G13" s="49">
        <v>69</v>
      </c>
      <c r="H13" s="49">
        <v>10</v>
      </c>
      <c r="I13" s="49">
        <v>71</v>
      </c>
      <c r="J13" s="49">
        <v>111</v>
      </c>
      <c r="K13" s="49">
        <v>115</v>
      </c>
      <c r="L13" s="49">
        <v>33</v>
      </c>
      <c r="M13" s="49">
        <v>20</v>
      </c>
      <c r="N13" s="45">
        <f>SUM(B13:M13)</f>
        <v>661</v>
      </c>
      <c r="O13" s="27"/>
      <c r="P13" s="27"/>
    </row>
    <row r="14" spans="1:16">
      <c r="A14" t="s">
        <v>5</v>
      </c>
      <c r="B14" s="49">
        <v>27</v>
      </c>
      <c r="C14" s="49">
        <v>2</v>
      </c>
      <c r="D14" s="49">
        <v>8</v>
      </c>
      <c r="E14" s="49">
        <v>58</v>
      </c>
      <c r="F14" s="49">
        <v>121</v>
      </c>
      <c r="G14" s="49">
        <v>87</v>
      </c>
      <c r="H14" s="49">
        <v>10</v>
      </c>
      <c r="I14" s="49">
        <v>79</v>
      </c>
      <c r="J14" s="49">
        <v>98</v>
      </c>
      <c r="K14" s="49">
        <v>126</v>
      </c>
      <c r="L14" s="49">
        <v>40</v>
      </c>
      <c r="M14" s="49">
        <v>30</v>
      </c>
      <c r="N14" s="45">
        <f>SUM(B14:M14)</f>
        <v>686</v>
      </c>
      <c r="O14" s="27">
        <v>6720</v>
      </c>
      <c r="P14" s="27">
        <f>O14/N14</f>
        <v>9.795918367346939</v>
      </c>
    </row>
    <row r="15" spans="1:16">
      <c r="B15" s="101"/>
      <c r="C15" s="101"/>
      <c r="D15" s="101"/>
      <c r="E15" s="101"/>
      <c r="F15" s="101"/>
      <c r="G15" s="101"/>
      <c r="H15" s="101"/>
      <c r="I15" s="101"/>
      <c r="J15" s="101"/>
      <c r="K15" s="101"/>
      <c r="L15" s="101"/>
      <c r="M15" s="101"/>
      <c r="N15" s="121"/>
      <c r="O15" s="27"/>
      <c r="P15" s="102"/>
    </row>
    <row r="16" spans="1:16">
      <c r="O16" s="27"/>
      <c r="P16" s="27"/>
    </row>
    <row r="17" spans="1:16" ht="30.75" customHeight="1">
      <c r="A17" s="106"/>
      <c r="B17" s="107">
        <v>38899</v>
      </c>
      <c r="C17" s="107">
        <v>38930</v>
      </c>
      <c r="D17" s="107">
        <v>38961</v>
      </c>
      <c r="E17" s="107">
        <v>38991</v>
      </c>
      <c r="F17" s="107">
        <v>39022</v>
      </c>
      <c r="G17" s="107">
        <v>39052</v>
      </c>
      <c r="H17" s="107">
        <v>39083</v>
      </c>
      <c r="I17" s="107">
        <v>39114</v>
      </c>
      <c r="J17" s="107">
        <v>39142</v>
      </c>
      <c r="K17" s="107">
        <v>39173</v>
      </c>
      <c r="L17" s="107">
        <v>39203</v>
      </c>
      <c r="M17" s="107">
        <v>39234</v>
      </c>
      <c r="N17" s="108" t="s">
        <v>2</v>
      </c>
      <c r="O17" s="114" t="s">
        <v>189</v>
      </c>
      <c r="P17" s="114" t="s">
        <v>86</v>
      </c>
    </row>
    <row r="18" spans="1:16">
      <c r="A18" s="126" t="s">
        <v>237</v>
      </c>
      <c r="B18" s="127"/>
      <c r="C18" s="127"/>
      <c r="D18" s="127"/>
      <c r="E18" s="127"/>
      <c r="F18" s="127"/>
      <c r="G18" s="127"/>
      <c r="H18" s="127"/>
      <c r="I18" s="127"/>
      <c r="J18" s="127"/>
      <c r="K18" s="127"/>
      <c r="L18" s="127"/>
      <c r="M18" s="127"/>
      <c r="N18" s="127"/>
      <c r="O18" s="27"/>
      <c r="P18" s="27"/>
    </row>
    <row r="19" spans="1:16">
      <c r="A19" s="72" t="s">
        <v>4</v>
      </c>
      <c r="B19" s="128">
        <v>12</v>
      </c>
      <c r="C19" s="129">
        <v>9</v>
      </c>
      <c r="D19" s="129">
        <v>7</v>
      </c>
      <c r="E19" s="129">
        <v>97</v>
      </c>
      <c r="F19" s="129">
        <v>56</v>
      </c>
      <c r="G19" s="129">
        <v>14</v>
      </c>
      <c r="H19" s="129">
        <v>7</v>
      </c>
      <c r="I19" s="129">
        <v>25</v>
      </c>
      <c r="J19" s="129">
        <v>37</v>
      </c>
      <c r="K19" s="129">
        <v>39</v>
      </c>
      <c r="L19" s="129">
        <v>3</v>
      </c>
      <c r="M19" s="129">
        <v>11</v>
      </c>
      <c r="N19" s="130">
        <f>SUM(B18:M19)</f>
        <v>317</v>
      </c>
      <c r="O19" s="27"/>
      <c r="P19" s="27"/>
    </row>
    <row r="20" spans="1:16">
      <c r="A20" s="72" t="s">
        <v>5</v>
      </c>
      <c r="B20" s="129">
        <v>16</v>
      </c>
      <c r="C20" s="129">
        <v>18</v>
      </c>
      <c r="D20" s="128" t="s">
        <v>32</v>
      </c>
      <c r="E20" s="129">
        <v>30</v>
      </c>
      <c r="F20" s="129">
        <v>42</v>
      </c>
      <c r="G20" s="129">
        <v>14</v>
      </c>
      <c r="H20" s="129">
        <v>6</v>
      </c>
      <c r="I20" s="129">
        <v>12</v>
      </c>
      <c r="J20" s="129">
        <v>47</v>
      </c>
      <c r="K20" s="129">
        <v>71</v>
      </c>
      <c r="L20" s="129">
        <v>4</v>
      </c>
      <c r="M20" s="129">
        <v>7</v>
      </c>
      <c r="N20" s="130">
        <f>SUM(B20:M20)</f>
        <v>267</v>
      </c>
      <c r="O20" s="28" t="s">
        <v>32</v>
      </c>
      <c r="P20" s="28" t="s">
        <v>32</v>
      </c>
    </row>
    <row r="21" spans="1:16">
      <c r="O21" s="27"/>
      <c r="P21" s="27"/>
    </row>
    <row r="22" spans="1:16">
      <c r="O22" s="27"/>
      <c r="P22" s="27"/>
    </row>
    <row r="23" spans="1:16" ht="24">
      <c r="A23" s="106"/>
      <c r="B23" s="107">
        <v>38899</v>
      </c>
      <c r="C23" s="107">
        <v>38930</v>
      </c>
      <c r="D23" s="107">
        <v>38961</v>
      </c>
      <c r="E23" s="107">
        <v>38991</v>
      </c>
      <c r="F23" s="107">
        <v>39022</v>
      </c>
      <c r="G23" s="107">
        <v>39052</v>
      </c>
      <c r="H23" s="107">
        <v>39083</v>
      </c>
      <c r="I23" s="107">
        <v>39114</v>
      </c>
      <c r="J23" s="107">
        <v>39142</v>
      </c>
      <c r="K23" s="107">
        <v>39173</v>
      </c>
      <c r="L23" s="107">
        <v>39203</v>
      </c>
      <c r="M23" s="107">
        <v>39234</v>
      </c>
      <c r="N23" s="109" t="s">
        <v>2</v>
      </c>
      <c r="O23" s="109" t="s">
        <v>189</v>
      </c>
      <c r="P23" s="109" t="s">
        <v>186</v>
      </c>
    </row>
    <row r="24" spans="1:16">
      <c r="A24" s="1" t="s">
        <v>238</v>
      </c>
      <c r="B24" s="22"/>
      <c r="C24" s="22"/>
      <c r="D24" s="22"/>
      <c r="E24" s="22"/>
      <c r="F24" s="22"/>
      <c r="G24" s="22"/>
      <c r="H24" s="22"/>
      <c r="I24" s="22"/>
      <c r="J24" s="22"/>
      <c r="K24" s="22"/>
      <c r="L24" s="22"/>
      <c r="M24" s="22"/>
      <c r="O24" s="28"/>
      <c r="P24" s="28"/>
    </row>
    <row r="25" spans="1:16">
      <c r="A25" s="72" t="s">
        <v>4</v>
      </c>
      <c r="B25" s="131">
        <f>B7+B13+B19</f>
        <v>88</v>
      </c>
      <c r="C25" s="131">
        <f t="shared" ref="C25:M25" si="0">C7+C13+C19</f>
        <v>33</v>
      </c>
      <c r="D25" s="131">
        <f t="shared" si="0"/>
        <v>174</v>
      </c>
      <c r="E25" s="131">
        <f t="shared" si="0"/>
        <v>474</v>
      </c>
      <c r="F25" s="131">
        <f t="shared" si="0"/>
        <v>456</v>
      </c>
      <c r="G25" s="131">
        <f t="shared" si="0"/>
        <v>188</v>
      </c>
      <c r="H25" s="131">
        <f t="shared" si="0"/>
        <v>72</v>
      </c>
      <c r="I25" s="131">
        <f t="shared" si="0"/>
        <v>232</v>
      </c>
      <c r="J25" s="131">
        <f t="shared" si="0"/>
        <v>369</v>
      </c>
      <c r="K25" s="131">
        <f t="shared" si="0"/>
        <v>470</v>
      </c>
      <c r="L25" s="131">
        <f t="shared" si="0"/>
        <v>80</v>
      </c>
      <c r="M25" s="131">
        <f t="shared" si="0"/>
        <v>74</v>
      </c>
      <c r="N25" s="45">
        <f>SUM(B24:M25)</f>
        <v>2710</v>
      </c>
    </row>
    <row r="26" spans="1:16">
      <c r="A26" s="72" t="s">
        <v>5</v>
      </c>
      <c r="B26" s="132">
        <f>B8+B14+B20</f>
        <v>104</v>
      </c>
      <c r="C26" s="132">
        <f t="shared" ref="C26:M26" si="1">C8+C14+C20</f>
        <v>33</v>
      </c>
      <c r="D26" s="132">
        <f>D8+D14</f>
        <v>249</v>
      </c>
      <c r="E26" s="132">
        <f t="shared" si="1"/>
        <v>447</v>
      </c>
      <c r="F26" s="132">
        <f t="shared" si="1"/>
        <v>481</v>
      </c>
      <c r="G26" s="132">
        <f t="shared" si="1"/>
        <v>203</v>
      </c>
      <c r="H26" s="132">
        <f t="shared" si="1"/>
        <v>81</v>
      </c>
      <c r="I26" s="132">
        <f t="shared" si="1"/>
        <v>248</v>
      </c>
      <c r="J26" s="132">
        <f t="shared" si="1"/>
        <v>488</v>
      </c>
      <c r="K26" s="132">
        <f t="shared" si="1"/>
        <v>706</v>
      </c>
      <c r="L26" s="132">
        <f t="shared" si="1"/>
        <v>86</v>
      </c>
      <c r="M26" s="132">
        <f t="shared" si="1"/>
        <v>97</v>
      </c>
      <c r="N26" s="45">
        <f>SUM(B26:M26)</f>
        <v>3223</v>
      </c>
      <c r="O26" s="27">
        <f>O8+O14</f>
        <v>13440</v>
      </c>
      <c r="P26" s="27">
        <f>O26/N26</f>
        <v>4.1700279242941356</v>
      </c>
    </row>
    <row r="29" spans="1:16">
      <c r="A29" t="s">
        <v>259</v>
      </c>
      <c r="B29" t="s">
        <v>261</v>
      </c>
    </row>
  </sheetData>
  <phoneticPr fontId="2" type="noConversion"/>
  <pageMargins left="0.75" right="0.75" top="1" bottom="1" header="0.5" footer="0.5"/>
  <pageSetup scale="92" orientation="landscape"/>
  <headerFooter>
    <oddFooter>&amp;L&amp;K000000ABC-CLIO&amp;R&amp;K0000002006-07 usage</oddFooter>
  </headerFooter>
  <ignoredErrors>
    <ignoredError sqref="D26" formula="1"/>
  </ignoredErrors>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0"/>
  <sheetViews>
    <sheetView workbookViewId="0"/>
  </sheetViews>
  <sheetFormatPr baseColWidth="10" defaultColWidth="8.83203125" defaultRowHeight="12" x14ac:dyDescent="0"/>
  <cols>
    <col min="1" max="1" width="24.5" customWidth="1"/>
    <col min="2" max="2" width="6.1640625" bestFit="1" customWidth="1"/>
    <col min="3" max="3" width="7" bestFit="1" customWidth="1"/>
    <col min="4" max="4" width="6.6640625" bestFit="1" customWidth="1"/>
    <col min="5" max="5" width="6.5" bestFit="1" customWidth="1"/>
    <col min="6" max="7" width="6.83203125" bestFit="1" customWidth="1"/>
    <col min="8" max="13" width="7.83203125" bestFit="1" customWidth="1"/>
    <col min="14" max="14" width="5.1640625" bestFit="1" customWidth="1"/>
    <col min="15" max="15" width="9.33203125" bestFit="1" customWidth="1"/>
    <col min="16" max="16" width="8.33203125" bestFit="1" customWidth="1"/>
  </cols>
  <sheetData>
    <row r="1" spans="1:16" ht="18">
      <c r="A1" s="118" t="s">
        <v>20</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186</v>
      </c>
    </row>
    <row r="6" spans="1:16">
      <c r="A6" s="1" t="s">
        <v>3</v>
      </c>
      <c r="B6" s="6"/>
      <c r="C6" s="6"/>
      <c r="D6" s="6"/>
      <c r="E6" s="6"/>
      <c r="F6" s="6"/>
      <c r="G6" s="6"/>
      <c r="H6" s="6"/>
      <c r="I6" s="6"/>
      <c r="J6" s="6"/>
      <c r="K6" s="6"/>
      <c r="L6" s="6"/>
      <c r="M6" s="6"/>
      <c r="N6" s="6"/>
    </row>
    <row r="7" spans="1:16">
      <c r="A7" t="s">
        <v>244</v>
      </c>
      <c r="B7" s="140" t="s">
        <v>32</v>
      </c>
      <c r="C7" s="140" t="s">
        <v>32</v>
      </c>
      <c r="D7" s="140" t="s">
        <v>32</v>
      </c>
      <c r="E7" s="140" t="s">
        <v>32</v>
      </c>
      <c r="F7" s="140" t="s">
        <v>32</v>
      </c>
      <c r="G7" s="135">
        <v>0</v>
      </c>
      <c r="H7" s="135">
        <v>6</v>
      </c>
      <c r="I7" s="135">
        <v>13</v>
      </c>
      <c r="J7" s="135">
        <v>10</v>
      </c>
      <c r="K7" s="135">
        <v>18</v>
      </c>
      <c r="L7" s="135">
        <v>4</v>
      </c>
      <c r="M7" s="135">
        <v>7</v>
      </c>
      <c r="N7" s="45">
        <f>SUM(B7:M7)</f>
        <v>58</v>
      </c>
    </row>
    <row r="8" spans="1:16">
      <c r="A8" t="s">
        <v>245</v>
      </c>
      <c r="B8" s="140" t="s">
        <v>32</v>
      </c>
      <c r="C8" s="140" t="s">
        <v>32</v>
      </c>
      <c r="D8" s="140" t="s">
        <v>32</v>
      </c>
      <c r="E8" s="140" t="s">
        <v>32</v>
      </c>
      <c r="F8" s="140" t="s">
        <v>32</v>
      </c>
      <c r="G8" s="135">
        <v>0</v>
      </c>
      <c r="H8" s="135">
        <v>15</v>
      </c>
      <c r="I8" s="135">
        <v>15</v>
      </c>
      <c r="J8" s="135">
        <v>10</v>
      </c>
      <c r="K8" s="135">
        <v>24</v>
      </c>
      <c r="L8" s="135">
        <v>4</v>
      </c>
      <c r="M8" s="135">
        <v>7</v>
      </c>
      <c r="N8" s="45">
        <f>SUM(B8:M8)</f>
        <v>75</v>
      </c>
    </row>
    <row r="9" spans="1:16">
      <c r="A9" t="s">
        <v>246</v>
      </c>
      <c r="B9" s="140" t="s">
        <v>32</v>
      </c>
      <c r="C9" s="140" t="s">
        <v>32</v>
      </c>
      <c r="D9" s="140" t="s">
        <v>32</v>
      </c>
      <c r="E9" s="140" t="s">
        <v>32</v>
      </c>
      <c r="F9" s="140" t="s">
        <v>32</v>
      </c>
      <c r="G9" s="135">
        <v>0</v>
      </c>
      <c r="H9" s="135">
        <v>44</v>
      </c>
      <c r="I9" s="135">
        <v>37</v>
      </c>
      <c r="J9" s="135">
        <v>45</v>
      </c>
      <c r="K9" s="135">
        <v>40</v>
      </c>
      <c r="L9" s="135">
        <v>7</v>
      </c>
      <c r="M9" s="135">
        <v>25</v>
      </c>
      <c r="N9" s="45">
        <f>SUM(B9:M9)</f>
        <v>198</v>
      </c>
    </row>
    <row r="10" spans="1:16">
      <c r="A10" t="s">
        <v>247</v>
      </c>
      <c r="B10" s="140" t="s">
        <v>32</v>
      </c>
      <c r="C10" s="140" t="s">
        <v>32</v>
      </c>
      <c r="D10" s="140" t="s">
        <v>32</v>
      </c>
      <c r="E10" s="140" t="s">
        <v>32</v>
      </c>
      <c r="F10" s="140" t="s">
        <v>32</v>
      </c>
      <c r="G10" s="135">
        <v>0</v>
      </c>
      <c r="H10" s="135">
        <v>0</v>
      </c>
      <c r="I10" s="135">
        <v>0</v>
      </c>
      <c r="J10" s="135">
        <v>0</v>
      </c>
      <c r="K10" s="135">
        <v>0</v>
      </c>
      <c r="L10" s="135">
        <v>0</v>
      </c>
      <c r="M10" s="135">
        <v>0</v>
      </c>
      <c r="N10" s="45">
        <f>SUM(B10:M10)</f>
        <v>0</v>
      </c>
    </row>
    <row r="11" spans="1:16">
      <c r="A11" t="s">
        <v>248</v>
      </c>
      <c r="B11" s="140" t="s">
        <v>32</v>
      </c>
      <c r="C11" s="140" t="s">
        <v>32</v>
      </c>
      <c r="D11" s="140" t="s">
        <v>32</v>
      </c>
      <c r="E11" s="140" t="s">
        <v>32</v>
      </c>
      <c r="F11" s="140" t="s">
        <v>32</v>
      </c>
      <c r="G11" s="135">
        <v>0</v>
      </c>
      <c r="H11" s="135">
        <v>25</v>
      </c>
      <c r="I11" s="135">
        <v>17</v>
      </c>
      <c r="J11" s="135">
        <v>32</v>
      </c>
      <c r="K11" s="135">
        <v>3</v>
      </c>
      <c r="L11" s="135">
        <v>18</v>
      </c>
      <c r="M11" s="135">
        <v>11</v>
      </c>
      <c r="N11" s="45">
        <f>SUM(B11:M11)</f>
        <v>106</v>
      </c>
    </row>
    <row r="12" spans="1:16">
      <c r="A12" t="s">
        <v>249</v>
      </c>
      <c r="B12" s="140" t="s">
        <v>32</v>
      </c>
      <c r="C12" s="140" t="s">
        <v>32</v>
      </c>
      <c r="D12" s="140" t="s">
        <v>32</v>
      </c>
      <c r="E12" s="140" t="s">
        <v>32</v>
      </c>
      <c r="F12" s="140" t="s">
        <v>32</v>
      </c>
      <c r="G12" s="136">
        <v>0</v>
      </c>
      <c r="H12" s="137" t="s">
        <v>250</v>
      </c>
      <c r="I12" s="137" t="s">
        <v>251</v>
      </c>
      <c r="J12" s="137" t="s">
        <v>252</v>
      </c>
      <c r="K12" s="137" t="s">
        <v>253</v>
      </c>
      <c r="L12" s="137" t="s">
        <v>254</v>
      </c>
      <c r="M12" s="137" t="s">
        <v>255</v>
      </c>
      <c r="N12" s="134" t="s">
        <v>132</v>
      </c>
    </row>
    <row r="13" spans="1:16">
      <c r="A13" t="s">
        <v>244</v>
      </c>
      <c r="B13" s="141">
        <v>107</v>
      </c>
      <c r="C13" s="141">
        <v>14</v>
      </c>
      <c r="D13" s="141">
        <v>142</v>
      </c>
      <c r="E13" s="141">
        <v>297</v>
      </c>
      <c r="F13" s="141">
        <v>365</v>
      </c>
      <c r="G13" s="141">
        <v>19</v>
      </c>
      <c r="H13" s="141">
        <v>24</v>
      </c>
      <c r="I13" s="141">
        <v>21</v>
      </c>
      <c r="J13" s="141">
        <v>17</v>
      </c>
      <c r="K13" s="139">
        <v>25</v>
      </c>
      <c r="L13" s="139">
        <v>6</v>
      </c>
      <c r="M13" s="140" t="s">
        <v>32</v>
      </c>
      <c r="N13" s="134">
        <f>SUM(B13:L13)</f>
        <v>1037</v>
      </c>
    </row>
    <row r="14" spans="1:16">
      <c r="A14" t="s">
        <v>256</v>
      </c>
      <c r="B14" s="95">
        <v>126</v>
      </c>
      <c r="C14" s="95">
        <v>14</v>
      </c>
      <c r="D14" s="95">
        <v>181</v>
      </c>
      <c r="E14" s="95">
        <v>356</v>
      </c>
      <c r="F14" s="95">
        <v>455</v>
      </c>
      <c r="G14" s="95">
        <v>19</v>
      </c>
      <c r="H14" s="49">
        <v>28</v>
      </c>
      <c r="I14" s="49">
        <v>21</v>
      </c>
      <c r="J14" s="49">
        <v>17</v>
      </c>
      <c r="K14" s="49">
        <v>27</v>
      </c>
      <c r="L14" s="49">
        <v>6</v>
      </c>
      <c r="M14" s="140" t="s">
        <v>32</v>
      </c>
      <c r="N14" s="134">
        <f>SUM(B14:L14)</f>
        <v>1250</v>
      </c>
      <c r="P14" s="27"/>
    </row>
    <row r="15" spans="1:16">
      <c r="A15" t="s">
        <v>257</v>
      </c>
      <c r="B15" s="95">
        <v>296</v>
      </c>
      <c r="C15" s="95">
        <v>61</v>
      </c>
      <c r="D15" s="95">
        <v>570</v>
      </c>
      <c r="E15" s="95">
        <v>1059</v>
      </c>
      <c r="F15" s="95">
        <v>1248</v>
      </c>
      <c r="G15" s="95">
        <v>34</v>
      </c>
      <c r="H15" s="49">
        <v>43</v>
      </c>
      <c r="I15" s="49">
        <v>37</v>
      </c>
      <c r="J15" s="49">
        <v>45</v>
      </c>
      <c r="K15" s="49">
        <v>37</v>
      </c>
      <c r="L15" s="49">
        <v>7</v>
      </c>
      <c r="M15" s="140" t="s">
        <v>32</v>
      </c>
      <c r="N15" s="134">
        <f>SUM(B15:L15)</f>
        <v>3437</v>
      </c>
    </row>
    <row r="16" spans="1:16">
      <c r="B16" s="143"/>
      <c r="C16" s="143"/>
      <c r="D16" s="143"/>
      <c r="E16" s="143"/>
      <c r="F16" s="143"/>
      <c r="G16" s="143"/>
      <c r="H16" s="101"/>
      <c r="I16" s="101"/>
      <c r="J16" s="101"/>
      <c r="K16" s="101"/>
      <c r="L16" s="101"/>
      <c r="M16" s="144"/>
      <c r="N16" s="122"/>
    </row>
    <row r="17" spans="1:16">
      <c r="A17" t="s">
        <v>259</v>
      </c>
      <c r="B17" t="s">
        <v>261</v>
      </c>
    </row>
    <row r="18" spans="1:16">
      <c r="A18" s="138" t="s">
        <v>262</v>
      </c>
      <c r="B18" s="15"/>
    </row>
    <row r="20" spans="1:16">
      <c r="A20" t="s">
        <v>258</v>
      </c>
      <c r="B20" s="14">
        <v>107</v>
      </c>
      <c r="C20" s="14">
        <v>14</v>
      </c>
      <c r="D20" s="14">
        <v>142</v>
      </c>
      <c r="E20" s="14">
        <v>297</v>
      </c>
      <c r="F20" s="14">
        <v>365</v>
      </c>
      <c r="G20" s="14">
        <v>19</v>
      </c>
      <c r="H20" s="14">
        <v>6</v>
      </c>
      <c r="I20" s="14">
        <v>13</v>
      </c>
      <c r="J20" s="14">
        <v>10</v>
      </c>
      <c r="K20" s="14">
        <v>18</v>
      </c>
      <c r="L20" s="14">
        <v>4</v>
      </c>
      <c r="M20" s="14">
        <v>7</v>
      </c>
      <c r="N20" s="134">
        <f>SUM(B20:M20)</f>
        <v>1002</v>
      </c>
      <c r="O20" s="27">
        <v>896</v>
      </c>
      <c r="P20" s="27">
        <f>O20/N20</f>
        <v>0.89421157684630737</v>
      </c>
    </row>
  </sheetData>
  <phoneticPr fontId="2" type="noConversion"/>
  <pageMargins left="0.75" right="0.75" top="1" bottom="1" header="0.5" footer="0.5"/>
  <pageSetup scale="84" orientation="landscape"/>
  <headerFooter>
    <oddFooter>&amp;L&amp;K000000CIAO&amp;R&amp;K0000002006-07 usage</oddFooter>
  </headerFooter>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2"/>
  <sheetViews>
    <sheetView workbookViewId="0"/>
  </sheetViews>
  <sheetFormatPr baseColWidth="10" defaultColWidth="8.83203125" defaultRowHeight="12" x14ac:dyDescent="0"/>
  <cols>
    <col min="1" max="1" width="24.6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9.6640625" customWidth="1"/>
    <col min="15" max="15" width="9.33203125" bestFit="1" customWidth="1"/>
    <col min="16" max="16" width="8.33203125" bestFit="1" customWidth="1"/>
  </cols>
  <sheetData>
    <row r="1" spans="1:16" ht="18">
      <c r="A1" s="118" t="s">
        <v>263</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186</v>
      </c>
    </row>
    <row r="6" spans="1:16">
      <c r="A6" s="1" t="s">
        <v>263</v>
      </c>
      <c r="B6" s="6"/>
      <c r="C6" s="6"/>
      <c r="D6" s="6"/>
      <c r="E6" s="6"/>
      <c r="F6" s="6"/>
      <c r="G6" s="6"/>
      <c r="H6" s="6"/>
      <c r="I6" s="6"/>
      <c r="J6" s="6"/>
      <c r="K6" s="6"/>
      <c r="L6" s="6"/>
      <c r="M6" s="6"/>
      <c r="N6" s="6"/>
    </row>
    <row r="7" spans="1:16">
      <c r="A7" s="72" t="s">
        <v>266</v>
      </c>
      <c r="B7" s="135">
        <v>0</v>
      </c>
      <c r="C7" s="135">
        <v>3</v>
      </c>
      <c r="D7" s="135">
        <v>11</v>
      </c>
      <c r="E7" s="135">
        <v>16</v>
      </c>
      <c r="F7" s="135">
        <v>15</v>
      </c>
      <c r="G7" s="135">
        <v>9</v>
      </c>
      <c r="H7" s="135">
        <v>0</v>
      </c>
      <c r="I7" s="135">
        <v>6</v>
      </c>
      <c r="J7" s="135">
        <v>2</v>
      </c>
      <c r="K7" s="135">
        <v>18</v>
      </c>
      <c r="L7" s="135">
        <v>3</v>
      </c>
      <c r="M7" s="135">
        <v>4</v>
      </c>
      <c r="N7" s="87">
        <f>SUM(B7:M7)</f>
        <v>87</v>
      </c>
      <c r="O7" s="27">
        <v>613</v>
      </c>
      <c r="P7" s="27">
        <f>O7/N7</f>
        <v>7.0459770114942533</v>
      </c>
    </row>
    <row r="8" spans="1:16">
      <c r="A8" t="s">
        <v>264</v>
      </c>
      <c r="B8" s="49">
        <v>0</v>
      </c>
      <c r="C8" s="49">
        <v>1</v>
      </c>
      <c r="D8" s="49">
        <v>4</v>
      </c>
      <c r="E8" s="49">
        <v>4</v>
      </c>
      <c r="F8" s="49">
        <v>2</v>
      </c>
      <c r="G8" s="49">
        <v>3</v>
      </c>
      <c r="H8" s="49">
        <v>0</v>
      </c>
      <c r="I8" s="49">
        <v>4</v>
      </c>
      <c r="J8" s="49">
        <v>1</v>
      </c>
      <c r="K8" s="49">
        <v>3</v>
      </c>
      <c r="L8" s="49">
        <v>1</v>
      </c>
      <c r="M8" s="49">
        <v>3</v>
      </c>
      <c r="N8" s="87"/>
      <c r="P8" s="27"/>
    </row>
    <row r="9" spans="1:16">
      <c r="A9" t="s">
        <v>265</v>
      </c>
      <c r="B9" s="49">
        <v>0</v>
      </c>
      <c r="C9" s="14">
        <f>50+29+53</f>
        <v>132</v>
      </c>
      <c r="D9" s="49">
        <f>51+222+1938+780+2669+4680+6798+5857+898</f>
        <v>23893</v>
      </c>
      <c r="E9" s="49">
        <f>75+2306+3957+1157+274+189+313+454+2676+125+185+400+147+120+110+1461</f>
        <v>13949</v>
      </c>
      <c r="F9" s="49">
        <f>712+4535+634+375+5289+3337+383+3754+735+527+2231+2363+525</f>
        <v>25400</v>
      </c>
      <c r="G9" s="49">
        <f>1044+2590+136+1148+101+1536+663+25</f>
        <v>7243</v>
      </c>
      <c r="H9" s="49">
        <v>0</v>
      </c>
      <c r="I9" s="49">
        <f>156+101+299+178+2825</f>
        <v>3559</v>
      </c>
      <c r="J9" s="49">
        <v>26</v>
      </c>
      <c r="K9" s="49">
        <f>108+1790+2529+6719+3071+5755+63+6191+726+6258+3241+2673+1198+720+113+1451+225+707</f>
        <v>43538</v>
      </c>
      <c r="L9" s="49">
        <f>550+52</f>
        <v>602</v>
      </c>
      <c r="M9" s="49">
        <v>0</v>
      </c>
      <c r="N9" s="87">
        <f>SUM(B9:M9)</f>
        <v>118342</v>
      </c>
      <c r="O9" s="27">
        <v>613</v>
      </c>
      <c r="P9" s="27">
        <f>O9/N9</f>
        <v>5.1799023170134018E-3</v>
      </c>
    </row>
    <row r="10" spans="1:16">
      <c r="A10" t="s">
        <v>267</v>
      </c>
      <c r="B10" s="14">
        <v>0</v>
      </c>
      <c r="C10" s="128" t="s">
        <v>32</v>
      </c>
      <c r="D10" s="49">
        <f>130+457+50+447+594+226+250</f>
        <v>2154</v>
      </c>
      <c r="E10" s="49">
        <f>25+25+50+1059</f>
        <v>1159</v>
      </c>
      <c r="F10" s="49">
        <f>1352+44+25+2207+508+588+555+137+320+29</f>
        <v>5765</v>
      </c>
      <c r="G10" s="49">
        <f>265+294+341+246+458</f>
        <v>1604</v>
      </c>
      <c r="H10" s="49">
        <v>0</v>
      </c>
      <c r="I10" s="49">
        <v>0</v>
      </c>
      <c r="J10" s="49">
        <v>0</v>
      </c>
      <c r="K10" s="49">
        <f>26+1+25+2310+670+846+654+51+4597+548+749+131+23+537+52</f>
        <v>11220</v>
      </c>
      <c r="L10" s="49">
        <v>170</v>
      </c>
      <c r="M10" s="49">
        <v>0</v>
      </c>
      <c r="N10" s="87">
        <f>SUM(B10:M10)</f>
        <v>22072</v>
      </c>
    </row>
    <row r="12" spans="1:16">
      <c r="A12" t="s">
        <v>259</v>
      </c>
      <c r="B12" t="s">
        <v>261</v>
      </c>
    </row>
  </sheetData>
  <phoneticPr fontId="2" type="noConversion"/>
  <pageMargins left="0.75" right="0.75" top="1" bottom="1" header="0.5" footer="0.5"/>
  <pageSetup scale="86" orientation="landscape"/>
  <headerFooter>
    <oddFooter>&amp;L&amp;K000000ClassificationWeb&amp;R&amp;K0000002006-07 usage</oddFooter>
  </headerFooter>
  <extLst>
    <ext xmlns:mx="http://schemas.microsoft.com/office/mac/excel/2008/main" uri="{64002731-A6B0-56B0-2670-7721B7C09600}">
      <mx:PLV Mode="0" OnePage="0" WScale="0"/>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3"/>
  <sheetViews>
    <sheetView workbookViewId="0"/>
  </sheetViews>
  <sheetFormatPr baseColWidth="10" defaultColWidth="8.83203125" defaultRowHeight="12" x14ac:dyDescent="0"/>
  <cols>
    <col min="1" max="1" width="23.6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1640625" bestFit="1" customWidth="1"/>
    <col min="16" max="16" width="8.33203125" bestFit="1" customWidth="1"/>
  </cols>
  <sheetData>
    <row r="1" spans="1:16" ht="18">
      <c r="A1" s="118" t="s">
        <v>139</v>
      </c>
    </row>
    <row r="2" spans="1:16" ht="17">
      <c r="A2" s="3" t="s">
        <v>187</v>
      </c>
    </row>
    <row r="5" spans="1:16" ht="33" customHeight="1">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186</v>
      </c>
    </row>
    <row r="6" spans="1:16">
      <c r="A6" s="1" t="s">
        <v>139</v>
      </c>
      <c r="B6" s="6"/>
      <c r="C6" s="6"/>
      <c r="D6" s="6"/>
      <c r="E6" s="6"/>
      <c r="F6" s="6"/>
      <c r="G6" s="5"/>
      <c r="H6" s="6"/>
      <c r="I6" s="6"/>
      <c r="J6" s="6"/>
      <c r="K6" s="6"/>
      <c r="L6" s="6"/>
      <c r="M6" s="6"/>
      <c r="N6" s="6"/>
      <c r="O6" s="27"/>
      <c r="P6" s="27"/>
    </row>
    <row r="7" spans="1:16">
      <c r="A7" s="14" t="s">
        <v>4</v>
      </c>
      <c r="B7" s="36">
        <v>31</v>
      </c>
      <c r="C7" s="36">
        <v>19</v>
      </c>
      <c r="D7" s="36">
        <v>94</v>
      </c>
      <c r="E7" s="36">
        <v>122</v>
      </c>
      <c r="F7" s="36">
        <v>129</v>
      </c>
      <c r="G7" s="36">
        <v>42</v>
      </c>
      <c r="H7" s="36">
        <v>44</v>
      </c>
      <c r="I7" s="36">
        <v>146</v>
      </c>
      <c r="J7" s="36">
        <v>146</v>
      </c>
      <c r="K7" s="36">
        <v>107</v>
      </c>
      <c r="L7" s="36">
        <v>65</v>
      </c>
      <c r="M7" s="36">
        <v>60</v>
      </c>
      <c r="N7" s="45">
        <f>SUM(B7:M7)</f>
        <v>1005</v>
      </c>
      <c r="O7" s="27"/>
      <c r="P7" s="27"/>
    </row>
    <row r="8" spans="1:16">
      <c r="A8" s="14" t="s">
        <v>5</v>
      </c>
      <c r="B8" s="36">
        <v>13</v>
      </c>
      <c r="C8" s="36">
        <v>7</v>
      </c>
      <c r="D8" s="36">
        <v>50</v>
      </c>
      <c r="E8" s="36">
        <v>32</v>
      </c>
      <c r="F8" s="36">
        <v>25</v>
      </c>
      <c r="G8" s="36">
        <v>21</v>
      </c>
      <c r="H8" s="36">
        <v>13</v>
      </c>
      <c r="I8" s="36">
        <v>51</v>
      </c>
      <c r="J8" s="36">
        <v>95</v>
      </c>
      <c r="K8" s="36">
        <v>25</v>
      </c>
      <c r="L8" s="36">
        <v>11</v>
      </c>
      <c r="M8" s="36">
        <v>14</v>
      </c>
      <c r="N8" s="45">
        <f>SUM(B8:M8)</f>
        <v>357</v>
      </c>
      <c r="O8" s="27">
        <v>2633.02</v>
      </c>
      <c r="P8" s="27">
        <f>O8/N8</f>
        <v>7.3754061624649863</v>
      </c>
    </row>
    <row r="9" spans="1:16">
      <c r="A9" s="14" t="s">
        <v>270</v>
      </c>
      <c r="B9" s="36">
        <v>39</v>
      </c>
      <c r="C9" s="36">
        <v>80</v>
      </c>
      <c r="D9" s="36">
        <v>76</v>
      </c>
      <c r="E9" s="36">
        <v>108</v>
      </c>
      <c r="F9" s="36">
        <v>97</v>
      </c>
      <c r="G9" s="36">
        <v>35</v>
      </c>
      <c r="H9" s="36">
        <v>87</v>
      </c>
      <c r="I9" s="36">
        <v>199</v>
      </c>
      <c r="J9" s="36">
        <v>118</v>
      </c>
      <c r="K9" s="36">
        <v>91</v>
      </c>
      <c r="L9" s="36">
        <v>128</v>
      </c>
      <c r="M9" s="36">
        <v>80</v>
      </c>
      <c r="N9" s="45">
        <f>SUM(B9:M9)</f>
        <v>1138</v>
      </c>
      <c r="O9" s="27">
        <v>2633.02</v>
      </c>
      <c r="P9" s="27">
        <f>O9/N9</f>
        <v>2.3137258347978911</v>
      </c>
    </row>
    <row r="10" spans="1:16">
      <c r="A10" s="14" t="s">
        <v>13</v>
      </c>
      <c r="B10" s="36">
        <v>0</v>
      </c>
      <c r="C10" s="36">
        <v>0</v>
      </c>
      <c r="D10" s="36">
        <v>0</v>
      </c>
      <c r="E10" s="36">
        <v>0</v>
      </c>
      <c r="F10" s="36">
        <v>0</v>
      </c>
      <c r="G10" s="36">
        <v>0</v>
      </c>
      <c r="H10" s="36">
        <v>0</v>
      </c>
      <c r="I10" s="36">
        <v>0</v>
      </c>
      <c r="J10" s="36">
        <v>0</v>
      </c>
      <c r="K10" s="36">
        <v>0</v>
      </c>
      <c r="L10" s="36">
        <v>0</v>
      </c>
      <c r="M10" s="36">
        <v>0</v>
      </c>
      <c r="N10" s="45"/>
      <c r="O10" s="27"/>
      <c r="P10" s="27"/>
    </row>
    <row r="11" spans="1:16">
      <c r="P11" s="29"/>
    </row>
    <row r="13" spans="1:16">
      <c r="A13" t="s">
        <v>259</v>
      </c>
      <c r="B13" t="s">
        <v>260</v>
      </c>
    </row>
  </sheetData>
  <phoneticPr fontId="2" type="noConversion"/>
  <pageMargins left="0.5" right="0.5" top="0.5" bottom="0.5" header="0.5" footer="0.5"/>
  <pageSetup scale="94" orientation="landscape"/>
  <headerFooter>
    <oddFooter>&amp;L&amp;K000000Cochrane Library&amp;R&amp;K0000002006-07</oddFooter>
  </headerFooter>
  <extLst>
    <ext xmlns:mx="http://schemas.microsoft.com/office/mac/excel/2008/main" uri="{64002731-A6B0-56B0-2670-7721B7C09600}">
      <mx:PLV Mode="0" OnePage="0" WScale="0"/>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3"/>
  <sheetViews>
    <sheetView workbookViewId="0"/>
  </sheetViews>
  <sheetFormatPr baseColWidth="10" defaultColWidth="8.83203125" defaultRowHeight="12" x14ac:dyDescent="0"/>
  <cols>
    <col min="1" max="1" width="20.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1640625" bestFit="1" customWidth="1"/>
    <col min="16" max="16" width="8.33203125" bestFit="1" customWidth="1"/>
  </cols>
  <sheetData>
    <row r="1" spans="1:16" ht="18">
      <c r="A1" s="118" t="s">
        <v>11</v>
      </c>
    </row>
    <row r="2" spans="1:16" ht="17">
      <c r="A2" s="3" t="s">
        <v>187</v>
      </c>
    </row>
    <row r="5" spans="1:16" ht="33" customHeight="1">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86</v>
      </c>
    </row>
    <row r="6" spans="1:16">
      <c r="A6" s="1" t="s">
        <v>236</v>
      </c>
      <c r="B6" s="6"/>
      <c r="C6" s="6"/>
      <c r="D6" s="6"/>
      <c r="E6" s="6"/>
      <c r="F6" s="6"/>
      <c r="G6" s="5"/>
      <c r="H6" s="6"/>
      <c r="I6" s="6"/>
      <c r="J6" s="6"/>
      <c r="K6" s="6"/>
      <c r="L6" s="6"/>
      <c r="M6" s="6"/>
      <c r="N6" s="6"/>
      <c r="O6" s="27"/>
      <c r="P6" s="27"/>
    </row>
    <row r="7" spans="1:16">
      <c r="A7" s="14" t="s">
        <v>5</v>
      </c>
      <c r="B7" s="94">
        <v>9</v>
      </c>
      <c r="C7" s="94">
        <v>86</v>
      </c>
      <c r="D7" s="94">
        <v>37</v>
      </c>
      <c r="E7" s="94">
        <v>18</v>
      </c>
      <c r="F7" s="94">
        <v>21</v>
      </c>
      <c r="G7" s="94">
        <v>25</v>
      </c>
      <c r="H7" s="94">
        <v>23</v>
      </c>
      <c r="I7" s="94">
        <v>23</v>
      </c>
      <c r="J7" s="94">
        <v>34</v>
      </c>
      <c r="K7" s="94">
        <v>28</v>
      </c>
      <c r="L7" s="94">
        <v>42</v>
      </c>
      <c r="M7" s="94">
        <v>52</v>
      </c>
      <c r="N7" s="45">
        <f>SUM(B7:M7)</f>
        <v>398</v>
      </c>
      <c r="O7" s="27">
        <v>1334</v>
      </c>
      <c r="P7" s="27">
        <f>O7/N7</f>
        <v>3.3517587939698492</v>
      </c>
    </row>
    <row r="8" spans="1:16">
      <c r="B8" s="23"/>
      <c r="C8" s="23"/>
      <c r="D8" s="23"/>
      <c r="E8" s="23"/>
      <c r="F8" s="23"/>
      <c r="G8" s="23"/>
      <c r="H8" s="23"/>
      <c r="I8" s="23"/>
      <c r="J8" s="23"/>
      <c r="K8" s="23"/>
      <c r="L8" s="23"/>
      <c r="M8" s="23"/>
      <c r="N8" s="23"/>
      <c r="O8" s="27"/>
      <c r="P8" s="27"/>
    </row>
    <row r="9" spans="1:16">
      <c r="A9" s="14" t="s">
        <v>12</v>
      </c>
      <c r="B9" s="94">
        <v>2</v>
      </c>
      <c r="C9" s="94">
        <v>89</v>
      </c>
      <c r="D9" s="94">
        <v>47</v>
      </c>
      <c r="E9" s="94">
        <v>34</v>
      </c>
      <c r="F9" s="94">
        <v>11</v>
      </c>
      <c r="G9" s="94">
        <v>39</v>
      </c>
      <c r="H9" s="94">
        <v>79</v>
      </c>
      <c r="I9" s="94">
        <v>24</v>
      </c>
      <c r="J9" s="94">
        <v>62</v>
      </c>
      <c r="K9" s="94">
        <v>90</v>
      </c>
      <c r="L9" s="94">
        <v>183</v>
      </c>
      <c r="M9" s="94">
        <v>370</v>
      </c>
      <c r="N9" s="45">
        <f>SUM(B9:M9)</f>
        <v>1030</v>
      </c>
      <c r="O9" s="27"/>
      <c r="P9" s="27"/>
    </row>
    <row r="10" spans="1:16">
      <c r="A10" s="14" t="s">
        <v>13</v>
      </c>
      <c r="B10" s="94">
        <v>0</v>
      </c>
      <c r="C10" s="94">
        <v>0</v>
      </c>
      <c r="D10" s="94">
        <v>0</v>
      </c>
      <c r="E10" s="94">
        <v>0</v>
      </c>
      <c r="F10" s="94">
        <v>0</v>
      </c>
      <c r="G10" s="94">
        <v>0</v>
      </c>
      <c r="H10" s="94">
        <v>0</v>
      </c>
      <c r="I10" s="94">
        <v>0</v>
      </c>
      <c r="J10" s="94">
        <v>0</v>
      </c>
      <c r="K10" s="94">
        <v>0</v>
      </c>
      <c r="L10" s="94">
        <v>0</v>
      </c>
      <c r="M10" s="94">
        <v>0</v>
      </c>
      <c r="N10" s="45">
        <f>SUM(B10:M10)</f>
        <v>0</v>
      </c>
      <c r="O10" s="27"/>
      <c r="P10" s="27"/>
    </row>
    <row r="11" spans="1:16">
      <c r="P11" s="29"/>
    </row>
    <row r="13" spans="1:16">
      <c r="A13" t="s">
        <v>259</v>
      </c>
      <c r="B13" t="s">
        <v>261</v>
      </c>
    </row>
  </sheetData>
  <phoneticPr fontId="2" type="noConversion"/>
  <pageMargins left="0.5" right="0.5" top="0.5" bottom="0.5" header="0.5" footer="0.5"/>
  <pageSetup scale="96" orientation="landscape"/>
  <headerFooter>
    <oddFooter>&amp;L&amp;K000000CollegeSource&amp;R&amp;K0000002006-07 usage</oddFooter>
  </headerFooter>
  <extLst>
    <ext xmlns:mx="http://schemas.microsoft.com/office/mac/excel/2008/main" uri="{64002731-A6B0-56B0-2670-7721B7C09600}">
      <mx:PLV Mode="0" OnePage="0" WScale="0"/>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1"/>
  <sheetViews>
    <sheetView workbookViewId="0"/>
  </sheetViews>
  <sheetFormatPr baseColWidth="10" defaultColWidth="8.83203125" defaultRowHeight="12" x14ac:dyDescent="0"/>
  <cols>
    <col min="1" max="1" width="2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8.33203125" bestFit="1" customWidth="1"/>
  </cols>
  <sheetData>
    <row r="1" spans="1:16" ht="18">
      <c r="A1" s="118" t="s">
        <v>18</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86</v>
      </c>
    </row>
    <row r="6" spans="1:16">
      <c r="A6" s="1" t="s">
        <v>141</v>
      </c>
      <c r="B6" s="6"/>
      <c r="C6" s="6"/>
      <c r="D6" s="6"/>
      <c r="E6" s="6"/>
      <c r="F6" s="6"/>
      <c r="G6" s="6"/>
      <c r="H6" s="6"/>
      <c r="I6" s="6"/>
      <c r="J6" s="6"/>
      <c r="K6" s="6"/>
      <c r="L6" s="6"/>
      <c r="M6" s="6"/>
      <c r="N6" s="6"/>
    </row>
    <row r="7" spans="1:16">
      <c r="A7" t="s">
        <v>4</v>
      </c>
      <c r="B7" s="49">
        <v>69</v>
      </c>
      <c r="C7" s="49">
        <v>57</v>
      </c>
      <c r="D7" s="49">
        <v>242</v>
      </c>
      <c r="E7" s="49">
        <v>329</v>
      </c>
      <c r="F7" s="49">
        <v>236</v>
      </c>
      <c r="G7" s="49">
        <v>229</v>
      </c>
      <c r="H7" s="49">
        <v>51</v>
      </c>
      <c r="I7" s="49">
        <v>106</v>
      </c>
      <c r="J7" s="49">
        <v>144</v>
      </c>
      <c r="K7" s="49">
        <v>116</v>
      </c>
      <c r="L7" s="49">
        <v>116</v>
      </c>
      <c r="M7" s="49">
        <v>112</v>
      </c>
      <c r="N7" s="45">
        <f>SUM(B7:M7)</f>
        <v>1807</v>
      </c>
      <c r="P7" s="27"/>
    </row>
    <row r="8" spans="1:16">
      <c r="A8" t="s">
        <v>5</v>
      </c>
      <c r="B8" s="49">
        <v>184</v>
      </c>
      <c r="C8" s="49">
        <v>171</v>
      </c>
      <c r="D8" s="49">
        <v>1043</v>
      </c>
      <c r="E8" s="49">
        <v>1411</v>
      </c>
      <c r="F8" s="49">
        <v>732</v>
      </c>
      <c r="G8" s="49">
        <v>614</v>
      </c>
      <c r="H8" s="49">
        <v>314</v>
      </c>
      <c r="I8" s="49">
        <v>459</v>
      </c>
      <c r="J8" s="49">
        <v>552</v>
      </c>
      <c r="K8" s="49">
        <v>378</v>
      </c>
      <c r="L8" s="49">
        <v>397</v>
      </c>
      <c r="M8" s="49">
        <v>534</v>
      </c>
      <c r="N8" s="45">
        <f>SUM(B8:M8)</f>
        <v>6789</v>
      </c>
      <c r="O8" s="27">
        <v>14510</v>
      </c>
      <c r="P8" s="27">
        <f>O8/N8</f>
        <v>2.1372808955663571</v>
      </c>
    </row>
    <row r="11" spans="1:16">
      <c r="A11" t="s">
        <v>259</v>
      </c>
      <c r="B11" t="s">
        <v>261</v>
      </c>
    </row>
  </sheetData>
  <phoneticPr fontId="2" type="noConversion"/>
  <pageMargins left="0.75" right="0.75" top="1" bottom="1" header="0.5" footer="0.5"/>
  <pageSetup scale="91" orientation="landscape"/>
  <headerFooter>
    <oddFooter>&amp;L&amp;K000000Compendex (Engineering Index)&amp;R&amp;K0000002006-07 usage</oddFooter>
  </headerFooter>
  <extLst>
    <ext xmlns:mx="http://schemas.microsoft.com/office/mac/excel/2008/main" uri="{64002731-A6B0-56B0-2670-7721B7C09600}">
      <mx:PLV Mode="0" OnePage="0" WScale="0"/>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30"/>
  <sheetViews>
    <sheetView workbookViewId="0"/>
  </sheetViews>
  <sheetFormatPr baseColWidth="10" defaultColWidth="8.83203125" defaultRowHeight="12" x14ac:dyDescent="0"/>
  <cols>
    <col min="1" max="1" width="28.1640625" customWidth="1"/>
    <col min="2" max="2" width="6.332031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8.33203125" customWidth="1"/>
    <col min="15" max="15" width="9.6640625" bestFit="1" customWidth="1"/>
    <col min="16" max="16" width="8.5" bestFit="1" customWidth="1"/>
  </cols>
  <sheetData>
    <row r="1" spans="1:16" ht="18">
      <c r="A1" s="118" t="s">
        <v>61</v>
      </c>
    </row>
    <row r="2" spans="1:16" ht="17">
      <c r="A2" s="3" t="s">
        <v>187</v>
      </c>
    </row>
    <row r="4" spans="1:16">
      <c r="A4" s="1"/>
      <c r="B4" s="6"/>
      <c r="C4" s="6"/>
      <c r="D4" s="6"/>
      <c r="E4" s="6"/>
      <c r="F4" s="6"/>
      <c r="G4" s="6"/>
      <c r="H4" s="6"/>
      <c r="I4" s="6"/>
      <c r="J4" s="6"/>
      <c r="K4" s="6"/>
      <c r="L4" s="6"/>
      <c r="M4" s="6"/>
      <c r="N4" s="6"/>
    </row>
    <row r="5" spans="1:16" ht="24">
      <c r="A5" s="106" t="s">
        <v>1</v>
      </c>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09" t="s">
        <v>189</v>
      </c>
      <c r="P5" s="109" t="s">
        <v>86</v>
      </c>
    </row>
    <row r="6" spans="1:16">
      <c r="A6" s="1" t="s">
        <v>202</v>
      </c>
      <c r="O6" s="27"/>
      <c r="P6" s="27"/>
    </row>
    <row r="7" spans="1:16">
      <c r="A7" t="s">
        <v>5</v>
      </c>
      <c r="B7" s="84">
        <f>1+585+215</f>
        <v>801</v>
      </c>
      <c r="C7" s="84">
        <f>1+403+271</f>
        <v>675</v>
      </c>
      <c r="D7" s="84">
        <f>925+836</f>
        <v>1761</v>
      </c>
      <c r="E7" s="84">
        <f>667+1037</f>
        <v>1704</v>
      </c>
      <c r="F7" s="84">
        <f>829+1053</f>
        <v>1882</v>
      </c>
      <c r="G7" s="85">
        <f>1597+617</f>
        <v>2214</v>
      </c>
      <c r="H7" s="84">
        <f>607+305</f>
        <v>912</v>
      </c>
      <c r="I7" s="84">
        <f>675+1449</f>
        <v>2124</v>
      </c>
      <c r="J7" s="84">
        <f>609+879</f>
        <v>1488</v>
      </c>
      <c r="K7" s="84">
        <f>632+734</f>
        <v>1366</v>
      </c>
      <c r="L7" s="84">
        <f>154+421</f>
        <v>575</v>
      </c>
      <c r="M7" s="86">
        <f>434+310</f>
        <v>744</v>
      </c>
      <c r="N7" s="45">
        <f>SUM(B7:M7)</f>
        <v>16246</v>
      </c>
      <c r="O7" s="27">
        <v>7335</v>
      </c>
      <c r="P7" s="27">
        <f>O7/N7</f>
        <v>0.45149575280068938</v>
      </c>
    </row>
    <row r="8" spans="1:16">
      <c r="B8" s="101"/>
      <c r="C8" s="101"/>
      <c r="D8" s="101"/>
      <c r="E8" s="101"/>
      <c r="F8" s="101"/>
      <c r="G8" s="101"/>
      <c r="H8" s="101"/>
      <c r="I8" s="101"/>
      <c r="J8" s="101"/>
      <c r="K8" s="101"/>
      <c r="L8" s="101"/>
      <c r="M8" s="101"/>
      <c r="N8" s="121"/>
      <c r="O8" s="27"/>
      <c r="P8" s="27"/>
    </row>
    <row r="9" spans="1:16">
      <c r="B9" s="101"/>
      <c r="C9" s="101"/>
      <c r="D9" s="101"/>
      <c r="E9" s="101"/>
      <c r="F9" s="101"/>
      <c r="G9" s="101"/>
      <c r="H9" s="101"/>
      <c r="I9" s="101"/>
      <c r="J9" s="101"/>
      <c r="K9" s="101"/>
      <c r="L9" s="101"/>
      <c r="M9" s="101"/>
      <c r="N9" s="121"/>
      <c r="O9" s="27"/>
      <c r="P9" s="27"/>
    </row>
    <row r="10" spans="1:16" ht="24">
      <c r="A10" s="106" t="s">
        <v>1</v>
      </c>
      <c r="B10" s="107">
        <v>38899</v>
      </c>
      <c r="C10" s="107">
        <v>38930</v>
      </c>
      <c r="D10" s="107">
        <v>38961</v>
      </c>
      <c r="E10" s="107">
        <v>38991</v>
      </c>
      <c r="F10" s="107">
        <v>39022</v>
      </c>
      <c r="G10" s="107">
        <v>39052</v>
      </c>
      <c r="H10" s="107">
        <v>39083</v>
      </c>
      <c r="I10" s="107">
        <v>39114</v>
      </c>
      <c r="J10" s="107">
        <v>39142</v>
      </c>
      <c r="K10" s="107">
        <v>39173</v>
      </c>
      <c r="L10" s="107">
        <v>39203</v>
      </c>
      <c r="M10" s="107">
        <v>39234</v>
      </c>
      <c r="N10" s="108" t="s">
        <v>2</v>
      </c>
      <c r="O10" s="109" t="s">
        <v>189</v>
      </c>
      <c r="P10" s="109" t="s">
        <v>86</v>
      </c>
    </row>
    <row r="11" spans="1:16">
      <c r="A11" s="1" t="s">
        <v>204</v>
      </c>
      <c r="B11" s="22"/>
      <c r="C11" s="22"/>
      <c r="D11" s="22"/>
      <c r="E11" s="22"/>
      <c r="F11" s="22"/>
      <c r="G11" s="22"/>
      <c r="H11" s="22"/>
      <c r="I11" s="22"/>
      <c r="J11" s="22"/>
      <c r="K11" s="22"/>
      <c r="L11" s="22"/>
      <c r="M11" s="22"/>
      <c r="O11" s="27"/>
      <c r="P11" s="27"/>
    </row>
    <row r="12" spans="1:16">
      <c r="A12" t="s">
        <v>5</v>
      </c>
      <c r="B12" s="84">
        <f>0+0</f>
        <v>0</v>
      </c>
      <c r="C12" s="84">
        <v>24</v>
      </c>
      <c r="D12" s="84">
        <v>239</v>
      </c>
      <c r="E12" s="84">
        <v>375</v>
      </c>
      <c r="F12" s="84">
        <f>60+411</f>
        <v>471</v>
      </c>
      <c r="G12" s="85">
        <f>101+205</f>
        <v>306</v>
      </c>
      <c r="H12" s="84">
        <f>62+33</f>
        <v>95</v>
      </c>
      <c r="I12" s="84">
        <f>274+124</f>
        <v>398</v>
      </c>
      <c r="J12" s="84">
        <f>402+59</f>
        <v>461</v>
      </c>
      <c r="K12" s="84">
        <f>98+443</f>
        <v>541</v>
      </c>
      <c r="L12" s="84">
        <f>117+49</f>
        <v>166</v>
      </c>
      <c r="M12" s="86">
        <f>167+31</f>
        <v>198</v>
      </c>
      <c r="N12" s="45">
        <f>SUM(B12:M12)</f>
        <v>3274</v>
      </c>
      <c r="O12" s="27">
        <v>0</v>
      </c>
      <c r="P12" s="28" t="s">
        <v>32</v>
      </c>
    </row>
    <row r="13" spans="1:16">
      <c r="B13" s="101"/>
      <c r="C13" s="101"/>
      <c r="D13" s="101"/>
      <c r="E13" s="101"/>
      <c r="F13" s="101"/>
      <c r="G13" s="101"/>
      <c r="H13" s="101"/>
      <c r="I13" s="101"/>
      <c r="J13" s="101"/>
      <c r="K13" s="101"/>
      <c r="L13" s="101"/>
      <c r="M13" s="101"/>
      <c r="N13" s="121"/>
      <c r="O13" s="27"/>
      <c r="P13" s="27"/>
    </row>
    <row r="14" spans="1:16">
      <c r="B14" s="101"/>
      <c r="C14" s="101"/>
      <c r="D14" s="101"/>
      <c r="E14" s="101"/>
      <c r="F14" s="101"/>
      <c r="G14" s="101"/>
      <c r="H14" s="101"/>
      <c r="I14" s="101"/>
      <c r="J14" s="101"/>
      <c r="K14" s="101"/>
      <c r="L14" s="101"/>
      <c r="M14" s="101"/>
      <c r="N14" s="121"/>
      <c r="O14" s="27"/>
      <c r="P14" s="27"/>
    </row>
    <row r="15" spans="1:16" ht="24">
      <c r="A15" s="106" t="s">
        <v>1</v>
      </c>
      <c r="B15" s="107">
        <v>38899</v>
      </c>
      <c r="C15" s="107">
        <v>38930</v>
      </c>
      <c r="D15" s="107">
        <v>38961</v>
      </c>
      <c r="E15" s="107">
        <v>38991</v>
      </c>
      <c r="F15" s="107">
        <v>39022</v>
      </c>
      <c r="G15" s="107">
        <v>39052</v>
      </c>
      <c r="H15" s="107">
        <v>39083</v>
      </c>
      <c r="I15" s="107">
        <v>39114</v>
      </c>
      <c r="J15" s="107">
        <v>39142</v>
      </c>
      <c r="K15" s="107">
        <v>39173</v>
      </c>
      <c r="L15" s="107">
        <v>39203</v>
      </c>
      <c r="M15" s="107">
        <v>39234</v>
      </c>
      <c r="N15" s="108" t="s">
        <v>2</v>
      </c>
      <c r="O15" s="109" t="s">
        <v>189</v>
      </c>
      <c r="P15" s="109" t="s">
        <v>86</v>
      </c>
    </row>
    <row r="16" spans="1:16">
      <c r="A16" s="1" t="s">
        <v>203</v>
      </c>
      <c r="B16" s="22"/>
      <c r="C16" s="22"/>
      <c r="D16" s="22"/>
      <c r="E16" s="22"/>
      <c r="F16" s="22"/>
      <c r="G16" s="22"/>
      <c r="H16" s="22"/>
      <c r="I16" s="22"/>
      <c r="J16" s="22"/>
      <c r="K16" s="22"/>
      <c r="L16" s="22"/>
      <c r="M16" s="22"/>
      <c r="O16" s="27"/>
      <c r="P16" s="27"/>
    </row>
    <row r="17" spans="1:16">
      <c r="A17" t="s">
        <v>5</v>
      </c>
      <c r="B17" s="84">
        <f>0+0</f>
        <v>0</v>
      </c>
      <c r="C17" s="84">
        <v>14</v>
      </c>
      <c r="D17" s="84">
        <v>66</v>
      </c>
      <c r="E17" s="84">
        <v>66</v>
      </c>
      <c r="F17" s="84">
        <v>96</v>
      </c>
      <c r="G17" s="85">
        <v>39</v>
      </c>
      <c r="H17" s="84">
        <f>23+0</f>
        <v>23</v>
      </c>
      <c r="I17" s="84">
        <f>75+2</f>
        <v>77</v>
      </c>
      <c r="J17" s="84">
        <f>67+0</f>
        <v>67</v>
      </c>
      <c r="K17" s="84">
        <f>0+107</f>
        <v>107</v>
      </c>
      <c r="L17" s="84">
        <v>36</v>
      </c>
      <c r="M17" s="86">
        <v>12</v>
      </c>
      <c r="N17" s="45">
        <f>SUM(B17:M17)</f>
        <v>603</v>
      </c>
      <c r="O17" s="27">
        <v>0</v>
      </c>
      <c r="P17" s="28" t="s">
        <v>32</v>
      </c>
    </row>
    <row r="18" spans="1:16">
      <c r="B18" s="101"/>
      <c r="C18" s="101"/>
      <c r="D18" s="101"/>
      <c r="E18" s="101"/>
      <c r="F18" s="101"/>
      <c r="G18" s="101"/>
      <c r="H18" s="101"/>
      <c r="I18" s="101"/>
      <c r="J18" s="101"/>
      <c r="K18" s="101"/>
      <c r="L18" s="101"/>
      <c r="M18" s="101"/>
      <c r="N18" s="121"/>
      <c r="O18" s="27"/>
      <c r="P18" s="27"/>
    </row>
    <row r="19" spans="1:16">
      <c r="B19" s="101"/>
      <c r="C19" s="101"/>
      <c r="D19" s="101"/>
      <c r="E19" s="101"/>
      <c r="F19" s="101"/>
      <c r="G19" s="101"/>
      <c r="H19" s="101"/>
      <c r="I19" s="101"/>
      <c r="J19" s="101"/>
      <c r="K19" s="101"/>
      <c r="L19" s="101"/>
      <c r="M19" s="101"/>
      <c r="N19" s="121"/>
      <c r="O19" s="27"/>
      <c r="P19" s="27"/>
    </row>
    <row r="20" spans="1:16" ht="24">
      <c r="A20" s="106" t="s">
        <v>1</v>
      </c>
      <c r="B20" s="107">
        <v>38899</v>
      </c>
      <c r="C20" s="107">
        <v>38930</v>
      </c>
      <c r="D20" s="107">
        <v>38961</v>
      </c>
      <c r="E20" s="107">
        <v>38991</v>
      </c>
      <c r="F20" s="107">
        <v>39022</v>
      </c>
      <c r="G20" s="107">
        <v>39052</v>
      </c>
      <c r="H20" s="107">
        <v>39083</v>
      </c>
      <c r="I20" s="107">
        <v>39114</v>
      </c>
      <c r="J20" s="107">
        <v>39142</v>
      </c>
      <c r="K20" s="107">
        <v>39173</v>
      </c>
      <c r="L20" s="107">
        <v>39203</v>
      </c>
      <c r="M20" s="107">
        <v>39234</v>
      </c>
      <c r="N20" s="108" t="s">
        <v>2</v>
      </c>
      <c r="O20" s="109" t="s">
        <v>189</v>
      </c>
      <c r="P20" s="109" t="s">
        <v>86</v>
      </c>
    </row>
    <row r="21" spans="1:16">
      <c r="A21" s="1" t="s">
        <v>205</v>
      </c>
      <c r="B21" s="22"/>
      <c r="C21" s="22"/>
      <c r="D21" s="22"/>
      <c r="E21" s="22"/>
      <c r="F21" s="22"/>
      <c r="G21" s="22"/>
      <c r="H21" s="22"/>
      <c r="I21" s="22"/>
      <c r="J21" s="22"/>
      <c r="K21" s="22"/>
      <c r="L21" s="22"/>
      <c r="M21" s="22"/>
      <c r="O21" s="27"/>
      <c r="P21" s="27"/>
    </row>
    <row r="22" spans="1:16">
      <c r="A22" t="s">
        <v>5</v>
      </c>
      <c r="B22" s="84">
        <v>0</v>
      </c>
      <c r="C22" s="84">
        <v>18</v>
      </c>
      <c r="D22" s="84">
        <v>95</v>
      </c>
      <c r="E22" s="84">
        <v>173</v>
      </c>
      <c r="F22" s="84">
        <f>60+261</f>
        <v>321</v>
      </c>
      <c r="G22" s="85">
        <f>101+89</f>
        <v>190</v>
      </c>
      <c r="H22" s="84">
        <f>35+33</f>
        <v>68</v>
      </c>
      <c r="I22" s="84">
        <f>120+124</f>
        <v>244</v>
      </c>
      <c r="J22" s="84">
        <f>247+59</f>
        <v>306</v>
      </c>
      <c r="K22" s="84">
        <f>98+169</f>
        <v>267</v>
      </c>
      <c r="L22" s="84">
        <f>47+49</f>
        <v>96</v>
      </c>
      <c r="M22" s="86">
        <f>109+29</f>
        <v>138</v>
      </c>
      <c r="N22" s="45">
        <f>SUM(B22:M22)</f>
        <v>1916</v>
      </c>
      <c r="O22" s="27">
        <v>0</v>
      </c>
      <c r="P22" s="28" t="s">
        <v>32</v>
      </c>
    </row>
    <row r="23" spans="1:16">
      <c r="B23" s="101"/>
      <c r="C23" s="101"/>
      <c r="D23" s="101"/>
      <c r="E23" s="101"/>
      <c r="F23" s="101"/>
      <c r="G23" s="101"/>
      <c r="H23" s="101"/>
      <c r="I23" s="101"/>
      <c r="J23" s="101"/>
      <c r="K23" s="101"/>
      <c r="L23" s="101"/>
      <c r="M23" s="101"/>
      <c r="N23" s="121"/>
      <c r="O23" s="27"/>
      <c r="P23" s="27"/>
    </row>
    <row r="24" spans="1:16">
      <c r="B24" s="101"/>
      <c r="C24" s="101"/>
      <c r="D24" s="101"/>
      <c r="E24" s="101"/>
      <c r="F24" s="101"/>
      <c r="G24" s="101"/>
      <c r="H24" s="101"/>
      <c r="I24" s="101"/>
      <c r="J24" s="101"/>
      <c r="K24" s="101"/>
      <c r="L24" s="101"/>
      <c r="M24" s="101"/>
      <c r="N24" s="121"/>
      <c r="O24" s="27"/>
      <c r="P24" s="27"/>
    </row>
    <row r="25" spans="1:16" ht="24">
      <c r="A25" s="106" t="s">
        <v>1</v>
      </c>
      <c r="B25" s="107">
        <v>38899</v>
      </c>
      <c r="C25" s="107">
        <v>38930</v>
      </c>
      <c r="D25" s="107">
        <v>38961</v>
      </c>
      <c r="E25" s="107">
        <v>38991</v>
      </c>
      <c r="F25" s="107">
        <v>39022</v>
      </c>
      <c r="G25" s="107">
        <v>39052</v>
      </c>
      <c r="H25" s="107">
        <v>39083</v>
      </c>
      <c r="I25" s="107">
        <v>39114</v>
      </c>
      <c r="J25" s="107">
        <v>39142</v>
      </c>
      <c r="K25" s="107">
        <v>39173</v>
      </c>
      <c r="L25" s="107">
        <v>39203</v>
      </c>
      <c r="M25" s="107">
        <v>39234</v>
      </c>
      <c r="N25" s="108" t="s">
        <v>2</v>
      </c>
      <c r="O25" s="109" t="s">
        <v>189</v>
      </c>
      <c r="P25" s="109" t="s">
        <v>86</v>
      </c>
    </row>
    <row r="26" spans="1:16">
      <c r="A26" s="1" t="s">
        <v>233</v>
      </c>
      <c r="B26" s="22"/>
      <c r="C26" s="22"/>
      <c r="D26" s="22"/>
      <c r="E26" s="22"/>
      <c r="F26" s="22"/>
      <c r="G26" s="22"/>
      <c r="H26" s="22"/>
      <c r="I26" s="22"/>
      <c r="J26" s="22"/>
      <c r="K26" s="22"/>
      <c r="L26" s="22"/>
      <c r="M26" s="22"/>
      <c r="O26" s="27"/>
      <c r="P26" s="27"/>
    </row>
    <row r="27" spans="1:16">
      <c r="A27" t="s">
        <v>5</v>
      </c>
      <c r="B27" s="49">
        <v>0</v>
      </c>
      <c r="C27" s="49">
        <v>28</v>
      </c>
      <c r="D27" s="49">
        <v>91</v>
      </c>
      <c r="E27" s="49">
        <v>105</v>
      </c>
      <c r="F27" s="49">
        <f>60+254</f>
        <v>314</v>
      </c>
      <c r="G27" s="49">
        <f>101+150</f>
        <v>251</v>
      </c>
      <c r="H27" s="49">
        <f>41+33</f>
        <v>74</v>
      </c>
      <c r="I27" s="49">
        <f>129+124</f>
        <v>253</v>
      </c>
      <c r="J27" s="49">
        <f>234+59</f>
        <v>293</v>
      </c>
      <c r="K27" s="49">
        <f>98+155</f>
        <v>253</v>
      </c>
      <c r="L27" s="49">
        <f>44+49</f>
        <v>93</v>
      </c>
      <c r="M27" s="49">
        <f>117+29</f>
        <v>146</v>
      </c>
      <c r="N27" s="45">
        <f>SUM(B27:M27)</f>
        <v>1901</v>
      </c>
      <c r="O27" s="27">
        <v>0</v>
      </c>
      <c r="P27" s="28" t="s">
        <v>32</v>
      </c>
    </row>
    <row r="28" spans="1:16">
      <c r="B28" s="101"/>
      <c r="C28" s="101"/>
      <c r="D28" s="101"/>
      <c r="E28" s="101"/>
      <c r="F28" s="101"/>
      <c r="G28" s="101"/>
      <c r="H28" s="101"/>
      <c r="I28" s="101"/>
      <c r="J28" s="101"/>
      <c r="K28" s="101"/>
      <c r="L28" s="101"/>
      <c r="M28" s="101"/>
      <c r="N28" s="121"/>
      <c r="O28" s="27"/>
      <c r="P28" s="27"/>
    </row>
    <row r="29" spans="1:16">
      <c r="B29" s="101"/>
      <c r="C29" s="101"/>
      <c r="D29" s="101"/>
      <c r="E29" s="101"/>
      <c r="F29" s="101"/>
      <c r="G29" s="101"/>
      <c r="H29" s="101"/>
      <c r="I29" s="101"/>
      <c r="J29" s="101"/>
      <c r="K29" s="101"/>
      <c r="L29" s="101"/>
      <c r="M29" s="101"/>
      <c r="N29" s="121"/>
      <c r="O29" s="27"/>
      <c r="P29" s="27"/>
    </row>
    <row r="30" spans="1:16" ht="24">
      <c r="A30" s="106" t="s">
        <v>1</v>
      </c>
      <c r="B30" s="107">
        <v>38899</v>
      </c>
      <c r="C30" s="107">
        <v>38930</v>
      </c>
      <c r="D30" s="107">
        <v>38961</v>
      </c>
      <c r="E30" s="107">
        <v>38991</v>
      </c>
      <c r="F30" s="107">
        <v>39022</v>
      </c>
      <c r="G30" s="107">
        <v>39052</v>
      </c>
      <c r="H30" s="107">
        <v>39083</v>
      </c>
      <c r="I30" s="107">
        <v>39114</v>
      </c>
      <c r="J30" s="107">
        <v>39142</v>
      </c>
      <c r="K30" s="107">
        <v>39173</v>
      </c>
      <c r="L30" s="107">
        <v>39203</v>
      </c>
      <c r="M30" s="107">
        <v>39234</v>
      </c>
      <c r="N30" s="108" t="s">
        <v>2</v>
      </c>
      <c r="O30" s="109" t="s">
        <v>189</v>
      </c>
      <c r="P30" s="109" t="s">
        <v>86</v>
      </c>
    </row>
    <row r="31" spans="1:16">
      <c r="A31" s="1" t="s">
        <v>206</v>
      </c>
      <c r="B31" s="22"/>
      <c r="C31" s="22"/>
      <c r="D31" s="22"/>
      <c r="E31" s="22"/>
      <c r="F31" s="22"/>
      <c r="G31" s="22"/>
      <c r="H31" s="22"/>
      <c r="I31" s="22"/>
      <c r="J31" s="22"/>
      <c r="K31" s="22"/>
      <c r="L31" s="22"/>
      <c r="M31" s="22"/>
      <c r="O31" s="27"/>
      <c r="P31" s="27"/>
    </row>
    <row r="32" spans="1:16">
      <c r="A32" t="s">
        <v>5</v>
      </c>
      <c r="B32" s="84">
        <v>0</v>
      </c>
      <c r="C32" s="84">
        <v>16</v>
      </c>
      <c r="D32" s="84">
        <v>75</v>
      </c>
      <c r="E32" s="84">
        <v>85</v>
      </c>
      <c r="F32" s="84">
        <f>60+181</f>
        <v>241</v>
      </c>
      <c r="G32" s="85">
        <f>101+79</f>
        <v>180</v>
      </c>
      <c r="H32" s="84">
        <f>33+33</f>
        <v>66</v>
      </c>
      <c r="I32" s="84">
        <f>108+126</f>
        <v>234</v>
      </c>
      <c r="J32" s="84">
        <f>244+59</f>
        <v>303</v>
      </c>
      <c r="K32" s="84">
        <f>98+153</f>
        <v>251</v>
      </c>
      <c r="L32" s="84">
        <f>47+49</f>
        <v>96</v>
      </c>
      <c r="M32" s="86">
        <f>94+29</f>
        <v>123</v>
      </c>
      <c r="N32" s="45">
        <f>SUM(B32:M32)</f>
        <v>1670</v>
      </c>
      <c r="O32" s="27">
        <v>0</v>
      </c>
      <c r="P32" s="28" t="s">
        <v>32</v>
      </c>
    </row>
    <row r="33" spans="1:16">
      <c r="B33" s="101"/>
      <c r="C33" s="101"/>
      <c r="D33" s="101"/>
      <c r="E33" s="101"/>
      <c r="F33" s="101"/>
      <c r="G33" s="101"/>
      <c r="H33" s="101"/>
      <c r="I33" s="101"/>
      <c r="J33" s="101"/>
      <c r="K33" s="101"/>
      <c r="L33" s="101"/>
      <c r="M33" s="101"/>
      <c r="N33" s="121"/>
      <c r="O33" s="27"/>
      <c r="P33" s="27"/>
    </row>
    <row r="34" spans="1:16">
      <c r="B34" s="101"/>
      <c r="C34" s="101"/>
      <c r="D34" s="101"/>
      <c r="E34" s="101"/>
      <c r="F34" s="101"/>
      <c r="G34" s="101"/>
      <c r="H34" s="101"/>
      <c r="I34" s="101"/>
      <c r="J34" s="101"/>
      <c r="K34" s="101"/>
      <c r="L34" s="101"/>
      <c r="M34" s="101"/>
      <c r="N34" s="121"/>
      <c r="O34" s="27"/>
      <c r="P34" s="27"/>
    </row>
    <row r="35" spans="1:16" ht="24">
      <c r="A35" s="106" t="s">
        <v>1</v>
      </c>
      <c r="B35" s="107">
        <v>38899</v>
      </c>
      <c r="C35" s="107">
        <v>38930</v>
      </c>
      <c r="D35" s="107">
        <v>38961</v>
      </c>
      <c r="E35" s="107">
        <v>38991</v>
      </c>
      <c r="F35" s="107">
        <v>39022</v>
      </c>
      <c r="G35" s="107">
        <v>39052</v>
      </c>
      <c r="H35" s="107">
        <v>39083</v>
      </c>
      <c r="I35" s="107">
        <v>39114</v>
      </c>
      <c r="J35" s="107">
        <v>39142</v>
      </c>
      <c r="K35" s="107">
        <v>39173</v>
      </c>
      <c r="L35" s="107">
        <v>39203</v>
      </c>
      <c r="M35" s="107">
        <v>39234</v>
      </c>
      <c r="N35" s="108" t="s">
        <v>2</v>
      </c>
      <c r="O35" s="109" t="s">
        <v>189</v>
      </c>
      <c r="P35" s="109" t="s">
        <v>86</v>
      </c>
    </row>
    <row r="36" spans="1:16">
      <c r="A36" s="1" t="s">
        <v>63</v>
      </c>
      <c r="B36" s="22"/>
      <c r="C36" s="22"/>
      <c r="D36" s="22"/>
      <c r="E36" s="22"/>
      <c r="F36" s="22"/>
      <c r="G36" s="22"/>
      <c r="H36" s="22"/>
      <c r="I36" s="22"/>
      <c r="J36" s="22"/>
      <c r="K36" s="22"/>
      <c r="L36" s="22"/>
      <c r="M36" s="22"/>
      <c r="O36" s="27"/>
      <c r="P36" s="27"/>
    </row>
    <row r="37" spans="1:16">
      <c r="A37" t="s">
        <v>5</v>
      </c>
      <c r="B37" s="84">
        <v>476</v>
      </c>
      <c r="C37" s="84">
        <v>113</v>
      </c>
      <c r="D37" s="84">
        <f>1+567</f>
        <v>568</v>
      </c>
      <c r="E37" s="84">
        <v>962</v>
      </c>
      <c r="F37" s="84">
        <v>2299</v>
      </c>
      <c r="G37" s="85">
        <v>684</v>
      </c>
      <c r="H37" s="84">
        <v>192</v>
      </c>
      <c r="I37" s="84">
        <f>751+4</f>
        <v>755</v>
      </c>
      <c r="J37" s="84">
        <f>864+0</f>
        <v>864</v>
      </c>
      <c r="K37" s="84">
        <f>8+2415</f>
        <v>2423</v>
      </c>
      <c r="L37" s="84">
        <f>353+0</f>
        <v>353</v>
      </c>
      <c r="M37" s="86">
        <v>255</v>
      </c>
      <c r="N37" s="45">
        <f>SUM(B37:M37)</f>
        <v>9944</v>
      </c>
      <c r="O37" s="27">
        <v>2685</v>
      </c>
      <c r="P37" s="27">
        <f>O37/N37</f>
        <v>0.27001206757843926</v>
      </c>
    </row>
    <row r="38" spans="1:16">
      <c r="B38" s="101"/>
      <c r="C38" s="101"/>
      <c r="D38" s="101"/>
      <c r="E38" s="101"/>
      <c r="F38" s="101"/>
      <c r="G38" s="101"/>
      <c r="H38" s="101"/>
      <c r="I38" s="101"/>
      <c r="J38" s="101"/>
      <c r="K38" s="101"/>
      <c r="L38" s="101"/>
      <c r="M38" s="101"/>
      <c r="N38" s="121"/>
      <c r="O38" s="27"/>
      <c r="P38" s="27"/>
    </row>
    <row r="39" spans="1:16">
      <c r="B39" s="101"/>
      <c r="C39" s="101"/>
      <c r="D39" s="101"/>
      <c r="E39" s="101"/>
      <c r="F39" s="101"/>
      <c r="G39" s="101"/>
      <c r="H39" s="101"/>
      <c r="I39" s="101"/>
      <c r="J39" s="101"/>
      <c r="K39" s="101"/>
      <c r="L39" s="101"/>
      <c r="M39" s="101"/>
      <c r="N39" s="121"/>
      <c r="O39" s="27"/>
      <c r="P39" s="27"/>
    </row>
    <row r="40" spans="1:16" ht="24">
      <c r="A40" s="106" t="s">
        <v>1</v>
      </c>
      <c r="B40" s="107">
        <v>38899</v>
      </c>
      <c r="C40" s="107">
        <v>38930</v>
      </c>
      <c r="D40" s="107">
        <v>38961</v>
      </c>
      <c r="E40" s="107">
        <v>38991</v>
      </c>
      <c r="F40" s="107">
        <v>39022</v>
      </c>
      <c r="G40" s="107">
        <v>39052</v>
      </c>
      <c r="H40" s="107">
        <v>39083</v>
      </c>
      <c r="I40" s="107">
        <v>39114</v>
      </c>
      <c r="J40" s="107">
        <v>39142</v>
      </c>
      <c r="K40" s="107">
        <v>39173</v>
      </c>
      <c r="L40" s="107">
        <v>39203</v>
      </c>
      <c r="M40" s="107">
        <v>39234</v>
      </c>
      <c r="N40" s="108" t="s">
        <v>2</v>
      </c>
      <c r="O40" s="109" t="s">
        <v>189</v>
      </c>
      <c r="P40" s="109" t="s">
        <v>86</v>
      </c>
    </row>
    <row r="41" spans="1:16">
      <c r="A41" s="1" t="s">
        <v>74</v>
      </c>
      <c r="B41" s="22"/>
      <c r="C41" s="22"/>
      <c r="D41" s="22"/>
      <c r="E41" s="22"/>
      <c r="F41" s="22"/>
      <c r="G41" s="22"/>
      <c r="H41" s="22"/>
      <c r="I41" s="22"/>
      <c r="J41" s="22"/>
      <c r="K41" s="22"/>
      <c r="L41" s="22"/>
      <c r="M41" s="22"/>
      <c r="O41" s="27"/>
      <c r="P41" s="27"/>
    </row>
    <row r="42" spans="1:16">
      <c r="A42" t="s">
        <v>5</v>
      </c>
      <c r="B42" s="84">
        <v>322</v>
      </c>
      <c r="C42" s="84">
        <v>232</v>
      </c>
      <c r="D42" s="84">
        <f>1+536</f>
        <v>537</v>
      </c>
      <c r="E42" s="84">
        <v>1027</v>
      </c>
      <c r="F42" s="84">
        <v>994</v>
      </c>
      <c r="G42" s="85">
        <v>422</v>
      </c>
      <c r="H42" s="84">
        <v>405</v>
      </c>
      <c r="I42" s="84">
        <f>816+4</f>
        <v>820</v>
      </c>
      <c r="J42" s="84">
        <f>720+0</f>
        <v>720</v>
      </c>
      <c r="K42" s="84">
        <f>8+954</f>
        <v>962</v>
      </c>
      <c r="L42" s="84">
        <f>324+0</f>
        <v>324</v>
      </c>
      <c r="M42" s="86">
        <v>224</v>
      </c>
      <c r="N42" s="45">
        <f>SUM(B42:M42)</f>
        <v>6989</v>
      </c>
      <c r="O42" s="27">
        <v>4163</v>
      </c>
      <c r="P42" s="27">
        <f>O42/N42</f>
        <v>0.5956503076262698</v>
      </c>
    </row>
    <row r="43" spans="1:16">
      <c r="B43" s="101"/>
      <c r="C43" s="101"/>
      <c r="D43" s="101"/>
      <c r="E43" s="101"/>
      <c r="F43" s="101"/>
      <c r="G43" s="101"/>
      <c r="H43" s="101"/>
      <c r="I43" s="101"/>
      <c r="J43" s="101"/>
      <c r="K43" s="101"/>
      <c r="L43" s="101"/>
      <c r="M43" s="101"/>
      <c r="N43" s="121"/>
      <c r="O43" s="27"/>
      <c r="P43" s="27"/>
    </row>
    <row r="44" spans="1:16">
      <c r="B44" s="101"/>
      <c r="C44" s="101"/>
      <c r="D44" s="101"/>
      <c r="E44" s="101"/>
      <c r="F44" s="101"/>
      <c r="G44" s="101"/>
      <c r="H44" s="101"/>
      <c r="I44" s="101"/>
      <c r="J44" s="101"/>
      <c r="K44" s="101"/>
      <c r="L44" s="101"/>
      <c r="M44" s="101"/>
      <c r="N44" s="121"/>
      <c r="O44" s="27"/>
      <c r="P44" s="27"/>
    </row>
    <row r="45" spans="1:16" ht="24">
      <c r="A45" s="106" t="s">
        <v>1</v>
      </c>
      <c r="B45" s="107">
        <v>38899</v>
      </c>
      <c r="C45" s="107">
        <v>38930</v>
      </c>
      <c r="D45" s="107">
        <v>38961</v>
      </c>
      <c r="E45" s="107">
        <v>38991</v>
      </c>
      <c r="F45" s="107">
        <v>39022</v>
      </c>
      <c r="G45" s="107">
        <v>39052</v>
      </c>
      <c r="H45" s="107">
        <v>39083</v>
      </c>
      <c r="I45" s="107">
        <v>39114</v>
      </c>
      <c r="J45" s="107">
        <v>39142</v>
      </c>
      <c r="K45" s="107">
        <v>39173</v>
      </c>
      <c r="L45" s="107">
        <v>39203</v>
      </c>
      <c r="M45" s="107">
        <v>39234</v>
      </c>
      <c r="N45" s="108" t="s">
        <v>2</v>
      </c>
      <c r="O45" s="109" t="s">
        <v>189</v>
      </c>
      <c r="P45" s="109" t="s">
        <v>86</v>
      </c>
    </row>
    <row r="46" spans="1:16">
      <c r="A46" s="1" t="s">
        <v>41</v>
      </c>
      <c r="B46" s="22"/>
      <c r="C46" s="22"/>
      <c r="D46" s="22"/>
      <c r="E46" s="22"/>
      <c r="F46" s="22"/>
      <c r="G46" s="22"/>
      <c r="H46" s="22"/>
      <c r="I46" s="22"/>
      <c r="J46" s="22"/>
      <c r="K46" s="22"/>
      <c r="L46" s="22"/>
      <c r="M46" s="22"/>
      <c r="O46" s="27"/>
      <c r="P46" s="27"/>
    </row>
    <row r="47" spans="1:16">
      <c r="A47" t="s">
        <v>5</v>
      </c>
      <c r="B47" s="84">
        <v>444</v>
      </c>
      <c r="C47" s="84">
        <v>116</v>
      </c>
      <c r="D47" s="84">
        <f>1+846</f>
        <v>847</v>
      </c>
      <c r="E47" s="84">
        <v>1474</v>
      </c>
      <c r="F47" s="84">
        <v>1338</v>
      </c>
      <c r="G47" s="85">
        <v>459</v>
      </c>
      <c r="H47" s="84">
        <v>212</v>
      </c>
      <c r="I47" s="84">
        <f>866+4</f>
        <v>870</v>
      </c>
      <c r="J47" s="84">
        <f>1015</f>
        <v>1015</v>
      </c>
      <c r="K47" s="84">
        <f>8+1050</f>
        <v>1058</v>
      </c>
      <c r="L47" s="84">
        <v>319</v>
      </c>
      <c r="M47" s="86">
        <v>411</v>
      </c>
      <c r="N47" s="45">
        <f>SUM(B47:M47)</f>
        <v>8563</v>
      </c>
      <c r="O47" s="27">
        <v>0</v>
      </c>
      <c r="P47" s="28" t="s">
        <v>32</v>
      </c>
    </row>
    <row r="48" spans="1:16">
      <c r="B48" s="101"/>
      <c r="C48" s="101"/>
      <c r="D48" s="101"/>
      <c r="E48" s="101"/>
      <c r="F48" s="101"/>
      <c r="G48" s="101"/>
      <c r="H48" s="101"/>
      <c r="I48" s="101"/>
      <c r="J48" s="101"/>
      <c r="K48" s="101"/>
      <c r="L48" s="101"/>
      <c r="M48" s="101"/>
      <c r="N48" s="121"/>
      <c r="O48" s="27"/>
      <c r="P48" s="28"/>
    </row>
    <row r="49" spans="1:16">
      <c r="B49" s="101"/>
      <c r="C49" s="101"/>
      <c r="D49" s="101"/>
      <c r="E49" s="101"/>
      <c r="F49" s="101"/>
      <c r="G49" s="101"/>
      <c r="H49" s="101"/>
      <c r="I49" s="101"/>
      <c r="J49" s="101"/>
      <c r="K49" s="101"/>
      <c r="L49" s="101"/>
      <c r="M49" s="101"/>
      <c r="N49" s="121"/>
      <c r="O49" s="27"/>
      <c r="P49" s="28"/>
    </row>
    <row r="50" spans="1:16" ht="24">
      <c r="A50" s="106" t="s">
        <v>1</v>
      </c>
      <c r="B50" s="107">
        <v>38899</v>
      </c>
      <c r="C50" s="107">
        <v>38930</v>
      </c>
      <c r="D50" s="107">
        <v>38961</v>
      </c>
      <c r="E50" s="107">
        <v>38991</v>
      </c>
      <c r="F50" s="107">
        <v>39022</v>
      </c>
      <c r="G50" s="107">
        <v>39052</v>
      </c>
      <c r="H50" s="107">
        <v>39083</v>
      </c>
      <c r="I50" s="107">
        <v>39114</v>
      </c>
      <c r="J50" s="107">
        <v>39142</v>
      </c>
      <c r="K50" s="107">
        <v>39173</v>
      </c>
      <c r="L50" s="107">
        <v>39203</v>
      </c>
      <c r="M50" s="107">
        <v>39234</v>
      </c>
      <c r="N50" s="108" t="s">
        <v>2</v>
      </c>
      <c r="O50" s="109" t="s">
        <v>189</v>
      </c>
      <c r="P50" s="109" t="s">
        <v>86</v>
      </c>
    </row>
    <row r="51" spans="1:16">
      <c r="A51" s="1" t="s">
        <v>151</v>
      </c>
      <c r="B51" s="22"/>
      <c r="C51" s="22"/>
      <c r="D51" s="22"/>
      <c r="E51" s="22"/>
      <c r="F51" s="22"/>
      <c r="G51" s="22"/>
      <c r="H51" s="22"/>
      <c r="I51" s="22"/>
      <c r="J51" s="22"/>
      <c r="K51" s="22"/>
      <c r="L51" s="22"/>
      <c r="M51" s="22"/>
      <c r="O51" s="27"/>
      <c r="P51" s="28"/>
    </row>
    <row r="52" spans="1:16">
      <c r="A52" t="s">
        <v>5</v>
      </c>
      <c r="B52" s="84">
        <v>5</v>
      </c>
      <c r="C52" s="84">
        <f>1+28</f>
        <v>29</v>
      </c>
      <c r="D52" s="84">
        <v>161</v>
      </c>
      <c r="E52" s="84">
        <v>170</v>
      </c>
      <c r="F52" s="84">
        <f>40+222</f>
        <v>262</v>
      </c>
      <c r="G52" s="85">
        <f>101+94</f>
        <v>195</v>
      </c>
      <c r="H52" s="84">
        <f>54+69</f>
        <v>123</v>
      </c>
      <c r="I52" s="84">
        <f>109+187</f>
        <v>296</v>
      </c>
      <c r="J52" s="84">
        <f>326+90</f>
        <v>416</v>
      </c>
      <c r="K52" s="84">
        <f>125+224</f>
        <v>349</v>
      </c>
      <c r="L52" s="84">
        <f>56+67</f>
        <v>123</v>
      </c>
      <c r="M52" s="86">
        <f>73+71</f>
        <v>144</v>
      </c>
      <c r="N52" s="45">
        <f>SUM(B52:M52)</f>
        <v>2273</v>
      </c>
      <c r="O52" s="27">
        <v>2925</v>
      </c>
      <c r="P52" s="28">
        <f>O52/N52</f>
        <v>1.2868455785305764</v>
      </c>
    </row>
    <row r="53" spans="1:16">
      <c r="B53" s="101"/>
      <c r="C53" s="101"/>
      <c r="D53" s="101"/>
      <c r="E53" s="101"/>
      <c r="F53" s="101"/>
      <c r="G53" s="101"/>
      <c r="H53" s="101"/>
      <c r="I53" s="101"/>
      <c r="J53" s="101"/>
      <c r="K53" s="101"/>
      <c r="L53" s="101"/>
      <c r="M53" s="101"/>
      <c r="N53" s="121"/>
      <c r="O53" s="27"/>
      <c r="P53" s="28"/>
    </row>
    <row r="54" spans="1:16">
      <c r="B54" s="101"/>
      <c r="C54" s="101"/>
      <c r="D54" s="101"/>
      <c r="E54" s="101"/>
      <c r="F54" s="101"/>
      <c r="G54" s="101"/>
      <c r="H54" s="101"/>
      <c r="I54" s="101"/>
      <c r="J54" s="101"/>
      <c r="K54" s="101"/>
      <c r="L54" s="101"/>
      <c r="M54" s="101"/>
      <c r="N54" s="121"/>
      <c r="O54" s="27"/>
      <c r="P54" s="28"/>
    </row>
    <row r="55" spans="1:16" ht="24">
      <c r="A55" s="106" t="s">
        <v>1</v>
      </c>
      <c r="B55" s="107">
        <v>38899</v>
      </c>
      <c r="C55" s="107">
        <v>38930</v>
      </c>
      <c r="D55" s="107">
        <v>38961</v>
      </c>
      <c r="E55" s="107">
        <v>38991</v>
      </c>
      <c r="F55" s="107">
        <v>39022</v>
      </c>
      <c r="G55" s="107">
        <v>39052</v>
      </c>
      <c r="H55" s="107">
        <v>39083</v>
      </c>
      <c r="I55" s="107">
        <v>39114</v>
      </c>
      <c r="J55" s="107">
        <v>39142</v>
      </c>
      <c r="K55" s="107">
        <v>39173</v>
      </c>
      <c r="L55" s="107">
        <v>39203</v>
      </c>
      <c r="M55" s="107">
        <v>39234</v>
      </c>
      <c r="N55" s="108" t="s">
        <v>2</v>
      </c>
      <c r="O55" s="109" t="s">
        <v>189</v>
      </c>
      <c r="P55" s="109" t="s">
        <v>86</v>
      </c>
    </row>
    <row r="56" spans="1:16">
      <c r="A56" s="1" t="s">
        <v>220</v>
      </c>
      <c r="B56" s="22"/>
      <c r="C56" s="22"/>
      <c r="D56" s="22"/>
      <c r="E56" s="22"/>
      <c r="F56" s="22"/>
      <c r="G56" s="22"/>
      <c r="H56" s="22"/>
      <c r="I56" s="22"/>
      <c r="J56" s="22"/>
      <c r="K56" s="22"/>
      <c r="L56" s="22"/>
      <c r="M56" s="22"/>
      <c r="O56" s="27"/>
      <c r="P56" s="28"/>
    </row>
    <row r="57" spans="1:16">
      <c r="A57" t="s">
        <v>5</v>
      </c>
      <c r="B57" s="84">
        <v>5</v>
      </c>
      <c r="C57" s="84">
        <f>1+20</f>
        <v>21</v>
      </c>
      <c r="D57" s="84">
        <v>141</v>
      </c>
      <c r="E57" s="84">
        <v>149</v>
      </c>
      <c r="F57" s="84">
        <f>40+192</f>
        <v>232</v>
      </c>
      <c r="G57" s="85">
        <f>101+71</f>
        <v>172</v>
      </c>
      <c r="H57" s="84">
        <f>34+33</f>
        <v>67</v>
      </c>
      <c r="I57" s="84">
        <f>98+129</f>
        <v>227</v>
      </c>
      <c r="J57" s="84">
        <f>243+62</f>
        <v>305</v>
      </c>
      <c r="K57" s="84">
        <f>98+153</f>
        <v>251</v>
      </c>
      <c r="L57" s="84">
        <f>45+49</f>
        <v>94</v>
      </c>
      <c r="M57" s="86">
        <f>70+29</f>
        <v>99</v>
      </c>
      <c r="N57" s="45">
        <f>SUM(B57:M57)</f>
        <v>1763</v>
      </c>
      <c r="O57" s="27">
        <v>0</v>
      </c>
      <c r="P57" s="28" t="s">
        <v>32</v>
      </c>
    </row>
    <row r="58" spans="1:16">
      <c r="B58" s="101"/>
      <c r="C58" s="101"/>
      <c r="D58" s="101"/>
      <c r="E58" s="101"/>
      <c r="F58" s="101"/>
      <c r="G58" s="101"/>
      <c r="H58" s="101"/>
      <c r="I58" s="101"/>
      <c r="J58" s="101"/>
      <c r="K58" s="101"/>
      <c r="L58" s="101"/>
      <c r="M58" s="101"/>
      <c r="N58" s="121"/>
      <c r="O58" s="27"/>
      <c r="P58" s="28"/>
    </row>
    <row r="59" spans="1:16">
      <c r="B59" s="101"/>
      <c r="C59" s="101"/>
      <c r="D59" s="101"/>
      <c r="E59" s="101"/>
      <c r="F59" s="101"/>
      <c r="G59" s="101"/>
      <c r="H59" s="101"/>
      <c r="I59" s="101"/>
      <c r="J59" s="101"/>
      <c r="K59" s="101"/>
      <c r="L59" s="101"/>
      <c r="M59" s="101"/>
      <c r="N59" s="121"/>
      <c r="O59" s="27"/>
      <c r="P59" s="28"/>
    </row>
    <row r="60" spans="1:16" ht="24">
      <c r="A60" s="106" t="s">
        <v>1</v>
      </c>
      <c r="B60" s="107">
        <v>38899</v>
      </c>
      <c r="C60" s="107">
        <v>38930</v>
      </c>
      <c r="D60" s="107">
        <v>38961</v>
      </c>
      <c r="E60" s="107">
        <v>38991</v>
      </c>
      <c r="F60" s="107">
        <v>39022</v>
      </c>
      <c r="G60" s="107">
        <v>39052</v>
      </c>
      <c r="H60" s="107">
        <v>39083</v>
      </c>
      <c r="I60" s="107">
        <v>39114</v>
      </c>
      <c r="J60" s="107">
        <v>39142</v>
      </c>
      <c r="K60" s="107">
        <v>39173</v>
      </c>
      <c r="L60" s="107">
        <v>39203</v>
      </c>
      <c r="M60" s="107">
        <v>39234</v>
      </c>
      <c r="N60" s="108" t="s">
        <v>2</v>
      </c>
      <c r="O60" s="109" t="s">
        <v>189</v>
      </c>
      <c r="P60" s="109" t="s">
        <v>86</v>
      </c>
    </row>
    <row r="61" spans="1:16">
      <c r="A61" s="1" t="s">
        <v>64</v>
      </c>
      <c r="B61" s="22"/>
      <c r="C61" s="22"/>
      <c r="D61" s="22"/>
      <c r="E61" s="22"/>
      <c r="F61" s="22"/>
      <c r="G61" s="22"/>
      <c r="H61" s="22"/>
      <c r="I61" s="22"/>
      <c r="J61" s="22"/>
      <c r="K61" s="22"/>
      <c r="L61" s="22"/>
      <c r="M61" s="22"/>
      <c r="O61" s="27"/>
      <c r="P61" s="27"/>
    </row>
    <row r="62" spans="1:16">
      <c r="A62" t="s">
        <v>5</v>
      </c>
      <c r="B62" s="84">
        <f>30+14+68</f>
        <v>112</v>
      </c>
      <c r="C62" s="84">
        <f>25+5+24</f>
        <v>54</v>
      </c>
      <c r="D62" s="84">
        <f>33+218</f>
        <v>251</v>
      </c>
      <c r="E62" s="84">
        <f>26+243</f>
        <v>269</v>
      </c>
      <c r="F62" s="84">
        <f>62+282</f>
        <v>344</v>
      </c>
      <c r="G62" s="85">
        <f>101+103</f>
        <v>204</v>
      </c>
      <c r="H62" s="84">
        <f>43+33</f>
        <v>76</v>
      </c>
      <c r="I62" s="84">
        <f>147+124</f>
        <v>271</v>
      </c>
      <c r="J62" s="84">
        <f>321+59</f>
        <v>380</v>
      </c>
      <c r="K62" s="84">
        <f>98+211</f>
        <v>309</v>
      </c>
      <c r="L62" s="84">
        <f>82+49</f>
        <v>131</v>
      </c>
      <c r="M62" s="86">
        <f>166+29</f>
        <v>195</v>
      </c>
      <c r="N62" s="45">
        <f>SUM(B62:M62)</f>
        <v>2596</v>
      </c>
      <c r="O62" s="27">
        <v>3444</v>
      </c>
      <c r="P62" s="27">
        <f>O62/N62</f>
        <v>1.3266563944530045</v>
      </c>
    </row>
    <row r="63" spans="1:16">
      <c r="B63" s="101"/>
      <c r="C63" s="101"/>
      <c r="D63" s="101"/>
      <c r="E63" s="101"/>
      <c r="F63" s="101"/>
      <c r="G63" s="101"/>
      <c r="H63" s="101"/>
      <c r="I63" s="101"/>
      <c r="J63" s="101"/>
      <c r="K63" s="101"/>
      <c r="L63" s="101"/>
      <c r="M63" s="101"/>
      <c r="N63" s="121"/>
      <c r="O63" s="27"/>
      <c r="P63" s="27"/>
    </row>
    <row r="64" spans="1:16">
      <c r="B64" s="101"/>
      <c r="C64" s="101"/>
      <c r="D64" s="101"/>
      <c r="E64" s="101"/>
      <c r="F64" s="101"/>
      <c r="G64" s="101"/>
      <c r="H64" s="101"/>
      <c r="I64" s="101"/>
      <c r="J64" s="101"/>
      <c r="K64" s="101"/>
      <c r="L64" s="101"/>
      <c r="M64" s="101"/>
      <c r="N64" s="121"/>
      <c r="O64" s="27"/>
      <c r="P64" s="27"/>
    </row>
    <row r="65" spans="1:16" ht="24">
      <c r="A65" s="106" t="s">
        <v>1</v>
      </c>
      <c r="B65" s="107">
        <v>38899</v>
      </c>
      <c r="C65" s="107">
        <v>38930</v>
      </c>
      <c r="D65" s="107">
        <v>38961</v>
      </c>
      <c r="E65" s="107">
        <v>38991</v>
      </c>
      <c r="F65" s="107">
        <v>39022</v>
      </c>
      <c r="G65" s="107">
        <v>39052</v>
      </c>
      <c r="H65" s="107">
        <v>39083</v>
      </c>
      <c r="I65" s="107">
        <v>39114</v>
      </c>
      <c r="J65" s="107">
        <v>39142</v>
      </c>
      <c r="K65" s="107">
        <v>39173</v>
      </c>
      <c r="L65" s="107">
        <v>39203</v>
      </c>
      <c r="M65" s="107">
        <v>39234</v>
      </c>
      <c r="N65" s="108" t="s">
        <v>2</v>
      </c>
      <c r="O65" s="109" t="s">
        <v>189</v>
      </c>
      <c r="P65" s="109" t="s">
        <v>86</v>
      </c>
    </row>
    <row r="66" spans="1:16">
      <c r="A66" s="1" t="s">
        <v>224</v>
      </c>
      <c r="B66" s="22"/>
      <c r="C66" s="22"/>
      <c r="D66" s="22"/>
      <c r="E66" s="22"/>
      <c r="F66" s="22"/>
      <c r="G66" s="22"/>
      <c r="H66" s="22"/>
      <c r="I66" s="22"/>
      <c r="J66" s="22"/>
      <c r="K66" s="22"/>
      <c r="L66" s="22"/>
      <c r="M66" s="22"/>
      <c r="O66" s="27"/>
      <c r="P66" s="27"/>
    </row>
    <row r="67" spans="1:16">
      <c r="A67" t="s">
        <v>5</v>
      </c>
      <c r="B67" s="84">
        <v>0</v>
      </c>
      <c r="C67" s="84">
        <v>71</v>
      </c>
      <c r="D67" s="84">
        <v>492</v>
      </c>
      <c r="E67" s="84">
        <v>1058</v>
      </c>
      <c r="F67" s="84">
        <v>1867</v>
      </c>
      <c r="G67" s="85">
        <v>820</v>
      </c>
      <c r="H67" s="84">
        <f>354+0</f>
        <v>354</v>
      </c>
      <c r="I67" s="84">
        <f>377+8</f>
        <v>385</v>
      </c>
      <c r="J67" s="84">
        <f>560+0</f>
        <v>560</v>
      </c>
      <c r="K67" s="84">
        <f>0+657</f>
        <v>657</v>
      </c>
      <c r="L67" s="84">
        <f>417+0</f>
        <v>417</v>
      </c>
      <c r="M67" s="86">
        <v>189</v>
      </c>
      <c r="N67" s="45">
        <f>SUM(B67:M67)</f>
        <v>6870</v>
      </c>
      <c r="O67" s="27">
        <v>7216</v>
      </c>
      <c r="P67" s="27">
        <f>O67/N67</f>
        <v>1.050363901018923</v>
      </c>
    </row>
    <row r="68" spans="1:16">
      <c r="B68" s="101"/>
      <c r="C68" s="101"/>
      <c r="D68" s="101"/>
      <c r="E68" s="101"/>
      <c r="F68" s="101"/>
      <c r="G68" s="101"/>
      <c r="H68" s="101"/>
      <c r="I68" s="101"/>
      <c r="J68" s="101"/>
      <c r="K68" s="101"/>
      <c r="L68" s="101"/>
      <c r="M68" s="101"/>
      <c r="N68" s="121"/>
      <c r="O68" s="27"/>
      <c r="P68" s="27"/>
    </row>
    <row r="69" spans="1:16">
      <c r="B69" s="101"/>
      <c r="C69" s="101"/>
      <c r="D69" s="101"/>
      <c r="E69" s="101"/>
      <c r="F69" s="101"/>
      <c r="G69" s="101"/>
      <c r="H69" s="101"/>
      <c r="I69" s="101"/>
      <c r="J69" s="101"/>
      <c r="K69" s="101"/>
      <c r="L69" s="101"/>
      <c r="M69" s="101"/>
      <c r="N69" s="121"/>
      <c r="O69" s="27"/>
      <c r="P69" s="27"/>
    </row>
    <row r="70" spans="1:16" ht="24">
      <c r="A70" s="106" t="s">
        <v>1</v>
      </c>
      <c r="B70" s="107">
        <v>38899</v>
      </c>
      <c r="C70" s="107">
        <v>38930</v>
      </c>
      <c r="D70" s="107">
        <v>38961</v>
      </c>
      <c r="E70" s="107">
        <v>38991</v>
      </c>
      <c r="F70" s="107">
        <v>39022</v>
      </c>
      <c r="G70" s="107">
        <v>39052</v>
      </c>
      <c r="H70" s="107">
        <v>39083</v>
      </c>
      <c r="I70" s="107">
        <v>39114</v>
      </c>
      <c r="J70" s="107">
        <v>39142</v>
      </c>
      <c r="K70" s="107">
        <v>39173</v>
      </c>
      <c r="L70" s="107">
        <v>39203</v>
      </c>
      <c r="M70" s="107">
        <v>39234</v>
      </c>
      <c r="N70" s="108" t="s">
        <v>2</v>
      </c>
      <c r="O70" s="109" t="s">
        <v>189</v>
      </c>
      <c r="P70" s="109" t="s">
        <v>86</v>
      </c>
    </row>
    <row r="71" spans="1:16">
      <c r="A71" s="1" t="s">
        <v>223</v>
      </c>
      <c r="B71" s="22"/>
      <c r="C71" s="22"/>
      <c r="D71" s="22"/>
      <c r="E71" s="22"/>
      <c r="F71" s="22"/>
      <c r="G71" s="22"/>
      <c r="H71" s="22"/>
      <c r="I71" s="22"/>
      <c r="J71" s="22"/>
      <c r="K71" s="22"/>
      <c r="L71" s="22"/>
      <c r="M71" s="22"/>
      <c r="O71" s="27"/>
      <c r="P71" s="27"/>
    </row>
    <row r="72" spans="1:16">
      <c r="A72" t="s">
        <v>5</v>
      </c>
      <c r="B72" s="84">
        <v>0</v>
      </c>
      <c r="C72" s="84">
        <v>22</v>
      </c>
      <c r="D72" s="84">
        <v>251</v>
      </c>
      <c r="E72" s="84">
        <v>432</v>
      </c>
      <c r="F72" s="84">
        <v>463</v>
      </c>
      <c r="G72" s="85">
        <v>222</v>
      </c>
      <c r="H72" s="84">
        <v>105</v>
      </c>
      <c r="I72" s="84">
        <f>200+8</f>
        <v>208</v>
      </c>
      <c r="J72" s="84">
        <f>179+0</f>
        <v>179</v>
      </c>
      <c r="K72" s="84">
        <f>0+256</f>
        <v>256</v>
      </c>
      <c r="L72" s="84">
        <v>74</v>
      </c>
      <c r="M72" s="86">
        <v>81</v>
      </c>
      <c r="N72" s="45">
        <f>SUM(B72:M72)</f>
        <v>2293</v>
      </c>
      <c r="O72" s="27">
        <v>0</v>
      </c>
      <c r="P72" s="28" t="s">
        <v>32</v>
      </c>
    </row>
    <row r="73" spans="1:16">
      <c r="B73" s="101"/>
      <c r="C73" s="101"/>
      <c r="D73" s="101"/>
      <c r="E73" s="101"/>
      <c r="F73" s="101"/>
      <c r="G73" s="101"/>
      <c r="H73" s="101"/>
      <c r="I73" s="101"/>
      <c r="J73" s="101"/>
      <c r="K73" s="101"/>
      <c r="L73" s="101"/>
      <c r="M73" s="101"/>
      <c r="N73" s="121"/>
      <c r="O73" s="27"/>
      <c r="P73" s="27"/>
    </row>
    <row r="74" spans="1:16">
      <c r="B74" s="101"/>
      <c r="C74" s="101"/>
      <c r="D74" s="101"/>
      <c r="E74" s="101"/>
      <c r="F74" s="101"/>
      <c r="G74" s="101"/>
      <c r="H74" s="101"/>
      <c r="I74" s="101"/>
      <c r="J74" s="101"/>
      <c r="K74" s="101"/>
      <c r="L74" s="101"/>
      <c r="M74" s="101"/>
      <c r="N74" s="121"/>
      <c r="O74" s="27"/>
      <c r="P74" s="27"/>
    </row>
    <row r="75" spans="1:16" ht="24">
      <c r="A75" s="106" t="s">
        <v>1</v>
      </c>
      <c r="B75" s="107">
        <v>38899</v>
      </c>
      <c r="C75" s="107">
        <v>38930</v>
      </c>
      <c r="D75" s="107">
        <v>38961</v>
      </c>
      <c r="E75" s="107">
        <v>38991</v>
      </c>
      <c r="F75" s="107">
        <v>39022</v>
      </c>
      <c r="G75" s="107">
        <v>39052</v>
      </c>
      <c r="H75" s="107">
        <v>39083</v>
      </c>
      <c r="I75" s="107">
        <v>39114</v>
      </c>
      <c r="J75" s="107">
        <v>39142</v>
      </c>
      <c r="K75" s="107">
        <v>39173</v>
      </c>
      <c r="L75" s="107">
        <v>39203</v>
      </c>
      <c r="M75" s="107">
        <v>39234</v>
      </c>
      <c r="N75" s="108" t="s">
        <v>2</v>
      </c>
      <c r="O75" s="109" t="s">
        <v>189</v>
      </c>
      <c r="P75" s="109" t="s">
        <v>86</v>
      </c>
    </row>
    <row r="76" spans="1:16">
      <c r="A76" s="1" t="s">
        <v>72</v>
      </c>
      <c r="B76" s="22"/>
      <c r="C76" s="22"/>
      <c r="D76" s="22"/>
      <c r="E76" s="22"/>
      <c r="F76" s="22"/>
      <c r="G76" s="22"/>
      <c r="H76" s="22"/>
      <c r="I76" s="22"/>
      <c r="J76" s="22"/>
      <c r="K76" s="22"/>
      <c r="L76" s="22"/>
      <c r="M76" s="22"/>
      <c r="O76" s="27"/>
      <c r="P76" s="27"/>
    </row>
    <row r="77" spans="1:16">
      <c r="A77" t="s">
        <v>5</v>
      </c>
      <c r="B77" s="84">
        <f>582+55</f>
        <v>637</v>
      </c>
      <c r="C77" s="84">
        <f>398+1+20</f>
        <v>419</v>
      </c>
      <c r="D77" s="84">
        <f>925+153</f>
        <v>1078</v>
      </c>
      <c r="E77" s="84">
        <f>665+157</f>
        <v>822</v>
      </c>
      <c r="F77" s="84">
        <f>831+204</f>
        <v>1035</v>
      </c>
      <c r="G77" s="85">
        <f>1597+92</f>
        <v>1689</v>
      </c>
      <c r="H77" s="84">
        <f>35+607</f>
        <v>642</v>
      </c>
      <c r="I77" s="84">
        <f>99+1449</f>
        <v>1548</v>
      </c>
      <c r="J77" s="84">
        <f>248+879</f>
        <v>1127</v>
      </c>
      <c r="K77" s="84">
        <f>632+159</f>
        <v>791</v>
      </c>
      <c r="L77" s="84">
        <f>51+421</f>
        <v>472</v>
      </c>
      <c r="M77" s="86">
        <f>69+308</f>
        <v>377</v>
      </c>
      <c r="N77" s="45">
        <f>SUM(B77:M77)</f>
        <v>10637</v>
      </c>
      <c r="O77" s="27">
        <v>3871</v>
      </c>
      <c r="P77" s="27">
        <f>O77/N77</f>
        <v>0.36391839804456144</v>
      </c>
    </row>
    <row r="78" spans="1:16">
      <c r="B78" s="101"/>
      <c r="C78" s="101"/>
      <c r="D78" s="101"/>
      <c r="E78" s="101"/>
      <c r="F78" s="101"/>
      <c r="G78" s="101"/>
      <c r="H78" s="101"/>
      <c r="I78" s="101"/>
      <c r="J78" s="101"/>
      <c r="K78" s="101"/>
      <c r="L78" s="101"/>
      <c r="M78" s="101"/>
      <c r="N78" s="121"/>
      <c r="O78" s="27"/>
      <c r="P78" s="27"/>
    </row>
    <row r="79" spans="1:16">
      <c r="B79" s="101"/>
      <c r="C79" s="101"/>
      <c r="D79" s="101"/>
      <c r="E79" s="101"/>
      <c r="F79" s="101"/>
      <c r="G79" s="101"/>
      <c r="H79" s="101"/>
      <c r="I79" s="101"/>
      <c r="J79" s="101"/>
      <c r="K79" s="101"/>
      <c r="L79" s="101"/>
      <c r="M79" s="101"/>
      <c r="N79" s="121"/>
      <c r="O79" s="27"/>
      <c r="P79" s="27"/>
    </row>
    <row r="80" spans="1:16" ht="24">
      <c r="A80" s="106" t="s">
        <v>1</v>
      </c>
      <c r="B80" s="107">
        <v>38899</v>
      </c>
      <c r="C80" s="107">
        <v>38930</v>
      </c>
      <c r="D80" s="107">
        <v>38961</v>
      </c>
      <c r="E80" s="107">
        <v>38991</v>
      </c>
      <c r="F80" s="107">
        <v>39022</v>
      </c>
      <c r="G80" s="107">
        <v>39052</v>
      </c>
      <c r="H80" s="107">
        <v>39083</v>
      </c>
      <c r="I80" s="107">
        <v>39114</v>
      </c>
      <c r="J80" s="107">
        <v>39142</v>
      </c>
      <c r="K80" s="107">
        <v>39173</v>
      </c>
      <c r="L80" s="107">
        <v>39203</v>
      </c>
      <c r="M80" s="107">
        <v>39234</v>
      </c>
      <c r="N80" s="108" t="s">
        <v>2</v>
      </c>
      <c r="O80" s="109" t="s">
        <v>189</v>
      </c>
      <c r="P80" s="109" t="s">
        <v>86</v>
      </c>
    </row>
    <row r="81" spans="1:16">
      <c r="A81" s="1" t="s">
        <v>65</v>
      </c>
      <c r="B81" s="22"/>
      <c r="C81" s="22"/>
      <c r="D81" s="22"/>
      <c r="E81" s="22"/>
      <c r="F81" s="22"/>
      <c r="G81" s="22"/>
      <c r="H81" s="22"/>
      <c r="I81" s="22"/>
      <c r="J81" s="22"/>
      <c r="K81" s="22"/>
      <c r="L81" s="22"/>
      <c r="M81" s="22"/>
      <c r="O81" s="27"/>
      <c r="P81" s="27"/>
    </row>
    <row r="82" spans="1:16">
      <c r="A82" t="s">
        <v>5</v>
      </c>
      <c r="B82" s="84">
        <f>582+79</f>
        <v>661</v>
      </c>
      <c r="C82" s="84">
        <f>398+1+30</f>
        <v>429</v>
      </c>
      <c r="D82" s="84">
        <f>925+169</f>
        <v>1094</v>
      </c>
      <c r="E82" s="84">
        <f>665+294</f>
        <v>959</v>
      </c>
      <c r="F82" s="84">
        <f>831+315</f>
        <v>1146</v>
      </c>
      <c r="G82" s="85">
        <f>1597+179</f>
        <v>1776</v>
      </c>
      <c r="H82" s="84">
        <f>58+607</f>
        <v>665</v>
      </c>
      <c r="I82" s="84">
        <f>178+1452</f>
        <v>1630</v>
      </c>
      <c r="J82" s="84">
        <f>257+879</f>
        <v>1136</v>
      </c>
      <c r="K82" s="84">
        <f>632+306</f>
        <v>938</v>
      </c>
      <c r="L82" s="84">
        <f>57+421</f>
        <v>478</v>
      </c>
      <c r="M82" s="86">
        <f>103+310</f>
        <v>413</v>
      </c>
      <c r="N82" s="45">
        <f>SUM(B82:M82)</f>
        <v>11325</v>
      </c>
      <c r="O82" s="27">
        <v>0</v>
      </c>
      <c r="P82" s="28" t="s">
        <v>32</v>
      </c>
    </row>
    <row r="83" spans="1:16">
      <c r="B83" s="101"/>
      <c r="C83" s="101"/>
      <c r="D83" s="101"/>
      <c r="E83" s="101"/>
      <c r="F83" s="101"/>
      <c r="G83" s="101"/>
      <c r="H83" s="101"/>
      <c r="I83" s="101"/>
      <c r="J83" s="101"/>
      <c r="K83" s="101"/>
      <c r="L83" s="101"/>
      <c r="M83" s="101"/>
      <c r="N83" s="121"/>
      <c r="O83" s="27"/>
      <c r="P83" s="28"/>
    </row>
    <row r="84" spans="1:16">
      <c r="B84" s="101"/>
      <c r="C84" s="101"/>
      <c r="D84" s="101"/>
      <c r="E84" s="101"/>
      <c r="F84" s="101"/>
      <c r="G84" s="101"/>
      <c r="H84" s="101"/>
      <c r="I84" s="101"/>
      <c r="J84" s="101"/>
      <c r="K84" s="101"/>
      <c r="L84" s="101"/>
      <c r="M84" s="101"/>
      <c r="N84" s="121"/>
      <c r="O84" s="27"/>
      <c r="P84" s="28"/>
    </row>
    <row r="85" spans="1:16" ht="24">
      <c r="A85" s="106" t="s">
        <v>1</v>
      </c>
      <c r="B85" s="107">
        <v>38899</v>
      </c>
      <c r="C85" s="107">
        <v>38930</v>
      </c>
      <c r="D85" s="107">
        <v>38961</v>
      </c>
      <c r="E85" s="107">
        <v>38991</v>
      </c>
      <c r="F85" s="107">
        <v>39022</v>
      </c>
      <c r="G85" s="107">
        <v>39052</v>
      </c>
      <c r="H85" s="107">
        <v>39083</v>
      </c>
      <c r="I85" s="107">
        <v>39114</v>
      </c>
      <c r="J85" s="107">
        <v>39142</v>
      </c>
      <c r="K85" s="107">
        <v>39173</v>
      </c>
      <c r="L85" s="107">
        <v>39203</v>
      </c>
      <c r="M85" s="107">
        <v>39234</v>
      </c>
      <c r="N85" s="108" t="s">
        <v>2</v>
      </c>
      <c r="O85" s="109" t="s">
        <v>189</v>
      </c>
      <c r="P85" s="109" t="s">
        <v>86</v>
      </c>
    </row>
    <row r="86" spans="1:16">
      <c r="A86" s="1" t="s">
        <v>66</v>
      </c>
      <c r="B86" s="22"/>
      <c r="C86" s="22"/>
      <c r="D86" s="22"/>
      <c r="E86" s="22"/>
      <c r="F86" s="22"/>
      <c r="G86" s="22"/>
      <c r="H86" s="22"/>
      <c r="I86" s="22"/>
      <c r="J86" s="22"/>
      <c r="K86" s="22"/>
      <c r="L86" s="22"/>
      <c r="M86" s="22"/>
      <c r="O86" s="27"/>
      <c r="P86" s="27"/>
    </row>
    <row r="87" spans="1:16">
      <c r="A87" t="s">
        <v>5</v>
      </c>
      <c r="B87" s="84">
        <v>320</v>
      </c>
      <c r="C87" s="84">
        <v>115</v>
      </c>
      <c r="D87" s="84">
        <f>1+624</f>
        <v>625</v>
      </c>
      <c r="E87" s="84">
        <v>1035</v>
      </c>
      <c r="F87" s="84">
        <v>1135</v>
      </c>
      <c r="G87" s="85">
        <v>765</v>
      </c>
      <c r="H87" s="84">
        <v>144</v>
      </c>
      <c r="I87" s="84">
        <f>1648+4</f>
        <v>1652</v>
      </c>
      <c r="J87" s="84">
        <v>908</v>
      </c>
      <c r="K87" s="84">
        <f>8+2076</f>
        <v>2084</v>
      </c>
      <c r="L87" s="84">
        <v>258</v>
      </c>
      <c r="M87" s="86">
        <v>208</v>
      </c>
      <c r="N87" s="45">
        <f>SUM(B87:M87)</f>
        <v>9249</v>
      </c>
      <c r="O87" s="27">
        <v>5265</v>
      </c>
      <c r="P87" s="27">
        <f>O87/N87</f>
        <v>0.56925072980862801</v>
      </c>
    </row>
    <row r="88" spans="1:16">
      <c r="B88" s="101"/>
      <c r="C88" s="101"/>
      <c r="D88" s="101"/>
      <c r="E88" s="101"/>
      <c r="F88" s="101"/>
      <c r="G88" s="101"/>
      <c r="H88" s="101"/>
      <c r="I88" s="101"/>
      <c r="J88" s="101"/>
      <c r="K88" s="101"/>
      <c r="L88" s="101"/>
      <c r="M88" s="101"/>
      <c r="N88" s="121"/>
      <c r="O88" s="27"/>
      <c r="P88" s="27"/>
    </row>
    <row r="89" spans="1:16">
      <c r="B89" s="101"/>
      <c r="C89" s="101"/>
      <c r="D89" s="101"/>
      <c r="E89" s="101"/>
      <c r="F89" s="101"/>
      <c r="G89" s="101"/>
      <c r="H89" s="101"/>
      <c r="I89" s="101"/>
      <c r="J89" s="101"/>
      <c r="K89" s="101"/>
      <c r="L89" s="101"/>
      <c r="M89" s="101"/>
      <c r="N89" s="121"/>
      <c r="O89" s="27"/>
      <c r="P89" s="27"/>
    </row>
    <row r="90" spans="1:16" ht="24">
      <c r="A90" s="106" t="s">
        <v>1</v>
      </c>
      <c r="B90" s="107">
        <v>38899</v>
      </c>
      <c r="C90" s="107">
        <v>38930</v>
      </c>
      <c r="D90" s="107">
        <v>38961</v>
      </c>
      <c r="E90" s="107">
        <v>38991</v>
      </c>
      <c r="F90" s="107">
        <v>39022</v>
      </c>
      <c r="G90" s="107">
        <v>39052</v>
      </c>
      <c r="H90" s="107">
        <v>39083</v>
      </c>
      <c r="I90" s="107">
        <v>39114</v>
      </c>
      <c r="J90" s="107">
        <v>39142</v>
      </c>
      <c r="K90" s="107">
        <v>39173</v>
      </c>
      <c r="L90" s="107">
        <v>39203</v>
      </c>
      <c r="M90" s="107">
        <v>39234</v>
      </c>
      <c r="N90" s="108" t="s">
        <v>2</v>
      </c>
      <c r="O90" s="109" t="s">
        <v>189</v>
      </c>
      <c r="P90" s="109" t="s">
        <v>86</v>
      </c>
    </row>
    <row r="91" spans="1:16">
      <c r="A91" s="1" t="s">
        <v>225</v>
      </c>
      <c r="B91" s="22"/>
      <c r="C91" s="22"/>
      <c r="D91" s="22"/>
      <c r="E91" s="22"/>
      <c r="F91" s="22"/>
      <c r="G91" s="22"/>
      <c r="H91" s="22"/>
      <c r="I91" s="22"/>
      <c r="J91" s="22"/>
      <c r="K91" s="22"/>
      <c r="L91" s="22"/>
      <c r="M91" s="22"/>
      <c r="O91" s="27"/>
      <c r="P91" s="27"/>
    </row>
    <row r="92" spans="1:16">
      <c r="A92" t="s">
        <v>5</v>
      </c>
      <c r="B92" s="84">
        <v>245</v>
      </c>
      <c r="C92" s="84">
        <v>54</v>
      </c>
      <c r="D92" s="84">
        <f>1+471</f>
        <v>472</v>
      </c>
      <c r="E92" s="84">
        <v>693</v>
      </c>
      <c r="F92" s="84">
        <v>798</v>
      </c>
      <c r="G92" s="85">
        <v>328</v>
      </c>
      <c r="H92" s="84">
        <v>143</v>
      </c>
      <c r="I92" s="84">
        <f>568+4</f>
        <v>572</v>
      </c>
      <c r="J92" s="84">
        <v>575</v>
      </c>
      <c r="K92" s="84">
        <f>8+828</f>
        <v>836</v>
      </c>
      <c r="L92" s="84">
        <v>193</v>
      </c>
      <c r="M92" s="86">
        <v>134</v>
      </c>
      <c r="N92" s="45">
        <f>SUM(B92:M92)</f>
        <v>5043</v>
      </c>
      <c r="O92" s="27">
        <v>0</v>
      </c>
      <c r="P92" s="28" t="s">
        <v>32</v>
      </c>
    </row>
    <row r="93" spans="1:16">
      <c r="B93" s="101"/>
      <c r="C93" s="101"/>
      <c r="D93" s="101"/>
      <c r="E93" s="101"/>
      <c r="F93" s="101"/>
      <c r="G93" s="101"/>
      <c r="H93" s="101"/>
      <c r="I93" s="101"/>
      <c r="J93" s="101"/>
      <c r="K93" s="101"/>
      <c r="L93" s="101"/>
      <c r="M93" s="101"/>
      <c r="N93" s="121"/>
      <c r="O93" s="27"/>
      <c r="P93" s="27"/>
    </row>
    <row r="94" spans="1:16">
      <c r="B94" s="101"/>
      <c r="C94" s="101"/>
      <c r="D94" s="101"/>
      <c r="E94" s="101"/>
      <c r="F94" s="101"/>
      <c r="G94" s="101"/>
      <c r="H94" s="101"/>
      <c r="I94" s="101"/>
      <c r="J94" s="101"/>
      <c r="K94" s="101"/>
      <c r="L94" s="101"/>
      <c r="M94" s="101"/>
      <c r="N94" s="121"/>
      <c r="O94" s="27"/>
      <c r="P94" s="27"/>
    </row>
    <row r="95" spans="1:16" ht="24">
      <c r="A95" s="106" t="s">
        <v>1</v>
      </c>
      <c r="B95" s="107">
        <v>38899</v>
      </c>
      <c r="C95" s="107">
        <v>38930</v>
      </c>
      <c r="D95" s="107">
        <v>38961</v>
      </c>
      <c r="E95" s="107">
        <v>38991</v>
      </c>
      <c r="F95" s="107">
        <v>39022</v>
      </c>
      <c r="G95" s="107">
        <v>39052</v>
      </c>
      <c r="H95" s="107">
        <v>39083</v>
      </c>
      <c r="I95" s="107">
        <v>39114</v>
      </c>
      <c r="J95" s="107">
        <v>39142</v>
      </c>
      <c r="K95" s="107">
        <v>39173</v>
      </c>
      <c r="L95" s="107">
        <v>39203</v>
      </c>
      <c r="M95" s="107">
        <v>39234</v>
      </c>
      <c r="N95" s="108" t="s">
        <v>2</v>
      </c>
      <c r="O95" s="109" t="s">
        <v>189</v>
      </c>
      <c r="P95" s="109" t="s">
        <v>86</v>
      </c>
    </row>
    <row r="96" spans="1:16">
      <c r="A96" s="1" t="s">
        <v>24</v>
      </c>
      <c r="B96" s="22"/>
      <c r="C96" s="22"/>
      <c r="D96" s="22"/>
      <c r="E96" s="22"/>
      <c r="F96" s="22"/>
      <c r="G96" s="22"/>
      <c r="H96" s="22"/>
      <c r="I96" s="22"/>
      <c r="J96" s="22"/>
      <c r="K96" s="22"/>
      <c r="L96" s="22"/>
      <c r="M96" s="22"/>
      <c r="O96" s="27"/>
      <c r="P96" s="27"/>
    </row>
    <row r="97" spans="1:16">
      <c r="A97" t="s">
        <v>5</v>
      </c>
      <c r="B97" s="84">
        <v>22</v>
      </c>
      <c r="C97" s="84">
        <v>30</v>
      </c>
      <c r="D97" s="84">
        <v>237</v>
      </c>
      <c r="E97" s="84">
        <v>363</v>
      </c>
      <c r="F97" s="84">
        <v>389</v>
      </c>
      <c r="G97" s="85">
        <v>286</v>
      </c>
      <c r="H97" s="84">
        <v>102</v>
      </c>
      <c r="I97" s="84">
        <f>189+8</f>
        <v>197</v>
      </c>
      <c r="J97" s="84">
        <v>275</v>
      </c>
      <c r="K97" s="84">
        <f>0+390</f>
        <v>390</v>
      </c>
      <c r="L97" s="84">
        <v>109</v>
      </c>
      <c r="M97" s="86">
        <v>98</v>
      </c>
      <c r="N97" s="45">
        <f>SUM(B97:M97)</f>
        <v>2498</v>
      </c>
      <c r="O97" s="27">
        <v>2550</v>
      </c>
      <c r="P97" s="27">
        <f>O97/N97</f>
        <v>1.0208166533226581</v>
      </c>
    </row>
    <row r="98" spans="1:16">
      <c r="B98" s="101"/>
      <c r="C98" s="101"/>
      <c r="D98" s="101"/>
      <c r="E98" s="101"/>
      <c r="F98" s="101"/>
      <c r="G98" s="101"/>
      <c r="H98" s="101"/>
      <c r="I98" s="101"/>
      <c r="J98" s="101"/>
      <c r="K98" s="101"/>
      <c r="L98" s="101"/>
      <c r="M98" s="101"/>
      <c r="N98" s="121"/>
      <c r="O98" s="27"/>
      <c r="P98" s="27"/>
    </row>
    <row r="99" spans="1:16">
      <c r="B99" s="101"/>
      <c r="C99" s="101"/>
      <c r="D99" s="101"/>
      <c r="E99" s="101"/>
      <c r="F99" s="101"/>
      <c r="G99" s="101"/>
      <c r="H99" s="101"/>
      <c r="I99" s="101"/>
      <c r="J99" s="101"/>
      <c r="K99" s="101"/>
      <c r="L99" s="101"/>
      <c r="M99" s="101"/>
      <c r="N99" s="121"/>
      <c r="O99" s="27"/>
      <c r="P99" s="27"/>
    </row>
    <row r="100" spans="1:16" ht="24">
      <c r="A100" s="106" t="s">
        <v>1</v>
      </c>
      <c r="B100" s="107">
        <v>38899</v>
      </c>
      <c r="C100" s="107">
        <v>38930</v>
      </c>
      <c r="D100" s="107">
        <v>38961</v>
      </c>
      <c r="E100" s="107">
        <v>38991</v>
      </c>
      <c r="F100" s="107">
        <v>39022</v>
      </c>
      <c r="G100" s="107">
        <v>39052</v>
      </c>
      <c r="H100" s="107">
        <v>39083</v>
      </c>
      <c r="I100" s="107">
        <v>39114</v>
      </c>
      <c r="J100" s="107">
        <v>39142</v>
      </c>
      <c r="K100" s="107">
        <v>39173</v>
      </c>
      <c r="L100" s="107">
        <v>39203</v>
      </c>
      <c r="M100" s="107">
        <v>39234</v>
      </c>
      <c r="N100" s="108" t="s">
        <v>2</v>
      </c>
      <c r="O100" s="109" t="s">
        <v>189</v>
      </c>
      <c r="P100" s="109" t="s">
        <v>86</v>
      </c>
    </row>
    <row r="101" spans="1:16">
      <c r="A101" s="1" t="s">
        <v>67</v>
      </c>
      <c r="B101" s="22"/>
      <c r="C101" s="22"/>
      <c r="D101" s="22"/>
      <c r="E101" s="22"/>
      <c r="F101" s="22"/>
      <c r="G101" s="22"/>
      <c r="H101" s="22"/>
      <c r="I101" s="22"/>
      <c r="J101" s="22"/>
      <c r="K101" s="22"/>
      <c r="L101" s="22"/>
      <c r="M101" s="22"/>
      <c r="O101" s="27"/>
      <c r="P101" s="27"/>
    </row>
    <row r="102" spans="1:16">
      <c r="A102" t="s">
        <v>5</v>
      </c>
      <c r="B102" s="84">
        <f>30+314</f>
        <v>344</v>
      </c>
      <c r="C102" s="84">
        <f>25+1+60</f>
        <v>86</v>
      </c>
      <c r="D102" s="84">
        <f>34+502</f>
        <v>536</v>
      </c>
      <c r="E102" s="84">
        <f>26+755</f>
        <v>781</v>
      </c>
      <c r="F102" s="84">
        <f>62+859</f>
        <v>921</v>
      </c>
      <c r="G102" s="85">
        <f>101+321</f>
        <v>422</v>
      </c>
      <c r="H102" s="84">
        <f>157+33</f>
        <v>190</v>
      </c>
      <c r="I102" s="84">
        <f>552+128</f>
        <v>680</v>
      </c>
      <c r="J102" s="84">
        <f>728+59</f>
        <v>787</v>
      </c>
      <c r="K102" s="84">
        <f>106+774</f>
        <v>880</v>
      </c>
      <c r="L102" s="84">
        <f>221+49</f>
        <v>270</v>
      </c>
      <c r="M102" s="86">
        <f>195+29</f>
        <v>224</v>
      </c>
      <c r="N102" s="45">
        <f>SUM(B102:M102)</f>
        <v>6121</v>
      </c>
      <c r="O102" s="27">
        <v>975</v>
      </c>
      <c r="P102" s="27">
        <f>O102/N102</f>
        <v>0.15928769808854762</v>
      </c>
    </row>
    <row r="103" spans="1:16">
      <c r="B103" s="101"/>
      <c r="C103" s="101"/>
      <c r="D103" s="101"/>
      <c r="E103" s="101"/>
      <c r="F103" s="101"/>
      <c r="G103" s="101"/>
      <c r="H103" s="101"/>
      <c r="I103" s="101"/>
      <c r="J103" s="101"/>
      <c r="K103" s="101"/>
      <c r="L103" s="101"/>
      <c r="M103" s="101"/>
      <c r="N103" s="121"/>
      <c r="O103" s="27"/>
      <c r="P103" s="27"/>
    </row>
    <row r="104" spans="1:16">
      <c r="B104" s="101"/>
      <c r="C104" s="101"/>
      <c r="D104" s="101"/>
      <c r="E104" s="101"/>
      <c r="F104" s="101"/>
      <c r="G104" s="101"/>
      <c r="H104" s="101"/>
      <c r="I104" s="101"/>
      <c r="J104" s="101"/>
      <c r="K104" s="101"/>
      <c r="L104" s="101"/>
      <c r="M104" s="101"/>
      <c r="N104" s="121"/>
      <c r="O104" s="27"/>
      <c r="P104" s="27"/>
    </row>
    <row r="105" spans="1:16" ht="24">
      <c r="A105" s="106" t="s">
        <v>1</v>
      </c>
      <c r="B105" s="107">
        <v>38899</v>
      </c>
      <c r="C105" s="107">
        <v>38930</v>
      </c>
      <c r="D105" s="107">
        <v>38961</v>
      </c>
      <c r="E105" s="107">
        <v>38991</v>
      </c>
      <c r="F105" s="107">
        <v>39022</v>
      </c>
      <c r="G105" s="107">
        <v>39052</v>
      </c>
      <c r="H105" s="107">
        <v>39083</v>
      </c>
      <c r="I105" s="107">
        <v>39114</v>
      </c>
      <c r="J105" s="107">
        <v>39142</v>
      </c>
      <c r="K105" s="107">
        <v>39173</v>
      </c>
      <c r="L105" s="107">
        <v>39203</v>
      </c>
      <c r="M105" s="107">
        <v>39234</v>
      </c>
      <c r="N105" s="108" t="s">
        <v>2</v>
      </c>
      <c r="O105" s="109" t="s">
        <v>189</v>
      </c>
      <c r="P105" s="109" t="s">
        <v>86</v>
      </c>
    </row>
    <row r="106" spans="1:16">
      <c r="A106" s="1" t="s">
        <v>68</v>
      </c>
      <c r="B106" s="22"/>
      <c r="C106" s="22"/>
      <c r="D106" s="22"/>
      <c r="E106" s="22"/>
      <c r="F106" s="22"/>
      <c r="G106" s="22"/>
      <c r="H106" s="22"/>
      <c r="I106" s="22"/>
      <c r="J106" s="22"/>
      <c r="K106" s="22"/>
      <c r="L106" s="22"/>
      <c r="M106" s="22"/>
      <c r="O106" s="27"/>
      <c r="P106" s="27"/>
    </row>
    <row r="107" spans="1:16">
      <c r="A107" t="s">
        <v>5</v>
      </c>
      <c r="B107" s="84">
        <v>1477</v>
      </c>
      <c r="C107" s="84">
        <v>730</v>
      </c>
      <c r="D107" s="84">
        <f>1+2752</f>
        <v>2753</v>
      </c>
      <c r="E107" s="84">
        <v>6072</v>
      </c>
      <c r="F107" s="84">
        <v>5118</v>
      </c>
      <c r="G107" s="85">
        <v>2562</v>
      </c>
      <c r="H107" s="84">
        <f>1660</f>
        <v>1660</v>
      </c>
      <c r="I107" s="84">
        <f>4617+4</f>
        <v>4621</v>
      </c>
      <c r="J107" s="84">
        <v>4883</v>
      </c>
      <c r="K107" s="84">
        <f>8+5200</f>
        <v>5208</v>
      </c>
      <c r="L107" s="84">
        <v>1257</v>
      </c>
      <c r="M107" s="86">
        <v>2125</v>
      </c>
      <c r="N107" s="45">
        <f>SUM(B107:M107)</f>
        <v>38466</v>
      </c>
      <c r="O107" s="27">
        <v>14400</v>
      </c>
      <c r="P107" s="27">
        <f>O107/N107</f>
        <v>0.37435657463734207</v>
      </c>
    </row>
    <row r="108" spans="1:16">
      <c r="B108" s="101"/>
      <c r="C108" s="101"/>
      <c r="D108" s="101"/>
      <c r="E108" s="101"/>
      <c r="F108" s="101"/>
      <c r="G108" s="101"/>
      <c r="H108" s="101"/>
      <c r="I108" s="101"/>
      <c r="J108" s="101"/>
      <c r="K108" s="101"/>
      <c r="L108" s="101"/>
      <c r="M108" s="101"/>
      <c r="N108" s="121"/>
      <c r="O108" s="27"/>
      <c r="P108" s="27"/>
    </row>
    <row r="109" spans="1:16">
      <c r="B109" s="101"/>
      <c r="C109" s="101"/>
      <c r="D109" s="101"/>
      <c r="E109" s="101"/>
      <c r="F109" s="101"/>
      <c r="G109" s="101"/>
      <c r="H109" s="101"/>
      <c r="I109" s="101"/>
      <c r="J109" s="101"/>
      <c r="K109" s="101"/>
      <c r="L109" s="101"/>
      <c r="M109" s="101"/>
      <c r="N109" s="121"/>
      <c r="O109" s="27"/>
      <c r="P109" s="27"/>
    </row>
    <row r="110" spans="1:16" ht="24">
      <c r="A110" s="106" t="s">
        <v>1</v>
      </c>
      <c r="B110" s="107">
        <v>38899</v>
      </c>
      <c r="C110" s="107">
        <v>38930</v>
      </c>
      <c r="D110" s="107">
        <v>38961</v>
      </c>
      <c r="E110" s="107">
        <v>38991</v>
      </c>
      <c r="F110" s="107">
        <v>39022</v>
      </c>
      <c r="G110" s="107">
        <v>39052</v>
      </c>
      <c r="H110" s="107">
        <v>39083</v>
      </c>
      <c r="I110" s="107">
        <v>39114</v>
      </c>
      <c r="J110" s="107">
        <v>39142</v>
      </c>
      <c r="K110" s="107">
        <v>39173</v>
      </c>
      <c r="L110" s="107">
        <v>39203</v>
      </c>
      <c r="M110" s="107">
        <v>39234</v>
      </c>
      <c r="N110" s="108" t="s">
        <v>2</v>
      </c>
      <c r="O110" s="109" t="s">
        <v>189</v>
      </c>
      <c r="P110" s="109" t="s">
        <v>86</v>
      </c>
    </row>
    <row r="111" spans="1:16">
      <c r="A111" s="1" t="s">
        <v>234</v>
      </c>
      <c r="B111" s="22"/>
      <c r="C111" s="22"/>
      <c r="D111" s="22"/>
      <c r="E111" s="22"/>
      <c r="F111" s="22"/>
      <c r="G111" s="22"/>
      <c r="H111" s="22"/>
      <c r="I111" s="22"/>
      <c r="J111" s="22"/>
      <c r="K111" s="22"/>
      <c r="L111" s="22"/>
      <c r="M111" s="22"/>
      <c r="O111" s="27"/>
      <c r="P111" s="27"/>
    </row>
    <row r="112" spans="1:16">
      <c r="A112" t="s">
        <v>5</v>
      </c>
      <c r="B112" s="84">
        <v>326</v>
      </c>
      <c r="C112" s="84">
        <v>63</v>
      </c>
      <c r="D112" s="84">
        <f>1+498</f>
        <v>499</v>
      </c>
      <c r="E112" s="84">
        <v>868</v>
      </c>
      <c r="F112" s="84">
        <v>971</v>
      </c>
      <c r="G112" s="85">
        <v>290</v>
      </c>
      <c r="H112" s="84">
        <v>177</v>
      </c>
      <c r="I112" s="84">
        <f>615+4</f>
        <v>619</v>
      </c>
      <c r="J112" s="84">
        <v>666</v>
      </c>
      <c r="K112" s="84">
        <f>8+866</f>
        <v>874</v>
      </c>
      <c r="L112" s="84">
        <v>261</v>
      </c>
      <c r="M112" s="86">
        <v>162</v>
      </c>
      <c r="N112" s="45">
        <f>SUM(B112:M112)</f>
        <v>5776</v>
      </c>
      <c r="O112" s="27">
        <v>0</v>
      </c>
      <c r="P112" s="28" t="s">
        <v>32</v>
      </c>
    </row>
    <row r="113" spans="1:16">
      <c r="B113" s="101"/>
      <c r="C113" s="101"/>
      <c r="D113" s="101"/>
      <c r="E113" s="101"/>
      <c r="F113" s="101"/>
      <c r="G113" s="101"/>
      <c r="H113" s="101"/>
      <c r="I113" s="101"/>
      <c r="J113" s="101"/>
      <c r="K113" s="101"/>
      <c r="L113" s="101"/>
      <c r="M113" s="101"/>
      <c r="N113" s="121"/>
      <c r="O113" s="27"/>
      <c r="P113" s="28"/>
    </row>
    <row r="114" spans="1:16">
      <c r="B114" s="101"/>
      <c r="C114" s="101"/>
      <c r="D114" s="101"/>
      <c r="E114" s="101"/>
      <c r="F114" s="101"/>
      <c r="G114" s="101"/>
      <c r="H114" s="101"/>
      <c r="I114" s="101"/>
      <c r="J114" s="101"/>
      <c r="K114" s="101"/>
      <c r="L114" s="101"/>
      <c r="M114" s="101"/>
      <c r="N114" s="121"/>
      <c r="O114" s="27"/>
      <c r="P114" s="28"/>
    </row>
    <row r="115" spans="1:16" ht="24">
      <c r="A115" s="106" t="s">
        <v>1</v>
      </c>
      <c r="B115" s="107">
        <v>38899</v>
      </c>
      <c r="C115" s="107">
        <v>38930</v>
      </c>
      <c r="D115" s="107">
        <v>38961</v>
      </c>
      <c r="E115" s="107">
        <v>38991</v>
      </c>
      <c r="F115" s="107">
        <v>39022</v>
      </c>
      <c r="G115" s="107">
        <v>39052</v>
      </c>
      <c r="H115" s="107">
        <v>39083</v>
      </c>
      <c r="I115" s="107">
        <v>39114</v>
      </c>
      <c r="J115" s="107">
        <v>39142</v>
      </c>
      <c r="K115" s="107">
        <v>39173</v>
      </c>
      <c r="L115" s="107">
        <v>39203</v>
      </c>
      <c r="M115" s="107">
        <v>39234</v>
      </c>
      <c r="N115" s="108" t="s">
        <v>2</v>
      </c>
      <c r="O115" s="109" t="s">
        <v>189</v>
      </c>
      <c r="P115" s="109" t="s">
        <v>86</v>
      </c>
    </row>
    <row r="116" spans="1:16">
      <c r="A116" s="1" t="s">
        <v>235</v>
      </c>
      <c r="B116" s="22"/>
      <c r="C116" s="22"/>
      <c r="D116" s="22"/>
      <c r="E116" s="22"/>
      <c r="F116" s="22"/>
      <c r="G116" s="22"/>
      <c r="H116" s="22"/>
      <c r="I116" s="22"/>
      <c r="J116" s="22"/>
      <c r="K116" s="22"/>
      <c r="L116" s="22"/>
      <c r="M116" s="22"/>
      <c r="O116" s="27"/>
      <c r="P116" s="27"/>
    </row>
    <row r="117" spans="1:16">
      <c r="A117" t="s">
        <v>5</v>
      </c>
      <c r="B117" s="84">
        <f>6+354</f>
        <v>360</v>
      </c>
      <c r="C117" s="84">
        <v>100</v>
      </c>
      <c r="D117" s="84">
        <f>1+673</f>
        <v>674</v>
      </c>
      <c r="E117" s="84">
        <v>992</v>
      </c>
      <c r="F117" s="84">
        <v>1218</v>
      </c>
      <c r="G117" s="85">
        <v>519</v>
      </c>
      <c r="H117" s="84">
        <v>202</v>
      </c>
      <c r="I117" s="84">
        <f>854+4</f>
        <v>858</v>
      </c>
      <c r="J117" s="84">
        <v>715</v>
      </c>
      <c r="K117" s="84">
        <f>8+1121</f>
        <v>1129</v>
      </c>
      <c r="L117" s="84">
        <v>312</v>
      </c>
      <c r="M117" s="86">
        <v>246</v>
      </c>
      <c r="N117" s="45">
        <f>SUM(B117:M117)</f>
        <v>7325</v>
      </c>
      <c r="O117" s="27">
        <v>4104</v>
      </c>
      <c r="P117" s="27">
        <f>O117/N117</f>
        <v>0.56027303754266211</v>
      </c>
    </row>
    <row r="118" spans="1:16">
      <c r="B118" s="101"/>
      <c r="C118" s="101"/>
      <c r="D118" s="101"/>
      <c r="E118" s="101"/>
      <c r="F118" s="101"/>
      <c r="G118" s="101"/>
      <c r="H118" s="101"/>
      <c r="I118" s="101"/>
      <c r="J118" s="101"/>
      <c r="K118" s="101"/>
      <c r="L118" s="101"/>
      <c r="M118" s="101"/>
      <c r="N118" s="121"/>
      <c r="O118" s="27"/>
      <c r="P118" s="27"/>
    </row>
    <row r="119" spans="1:16">
      <c r="B119" s="101"/>
      <c r="C119" s="101"/>
      <c r="D119" s="101"/>
      <c r="E119" s="101"/>
      <c r="F119" s="101"/>
      <c r="G119" s="101"/>
      <c r="H119" s="101"/>
      <c r="I119" s="101"/>
      <c r="J119" s="101"/>
      <c r="K119" s="101"/>
      <c r="L119" s="101"/>
      <c r="M119" s="101"/>
      <c r="N119" s="121"/>
      <c r="O119" s="27"/>
      <c r="P119" s="27"/>
    </row>
    <row r="120" spans="1:16" ht="24">
      <c r="A120" s="106" t="s">
        <v>1</v>
      </c>
      <c r="B120" s="107">
        <v>38899</v>
      </c>
      <c r="C120" s="107">
        <v>38930</v>
      </c>
      <c r="D120" s="107">
        <v>38961</v>
      </c>
      <c r="E120" s="107">
        <v>38991</v>
      </c>
      <c r="F120" s="107">
        <v>39022</v>
      </c>
      <c r="G120" s="107">
        <v>39052</v>
      </c>
      <c r="H120" s="107">
        <v>39083</v>
      </c>
      <c r="I120" s="107">
        <v>39114</v>
      </c>
      <c r="J120" s="107">
        <v>39142</v>
      </c>
      <c r="K120" s="107">
        <v>39173</v>
      </c>
      <c r="L120" s="107">
        <v>39203</v>
      </c>
      <c r="M120" s="107">
        <v>39234</v>
      </c>
      <c r="N120" s="108" t="s">
        <v>2</v>
      </c>
      <c r="O120" s="109" t="s">
        <v>189</v>
      </c>
      <c r="P120" s="109" t="s">
        <v>86</v>
      </c>
    </row>
    <row r="121" spans="1:16">
      <c r="A121" s="1" t="s">
        <v>71</v>
      </c>
      <c r="B121" s="22"/>
      <c r="C121" s="22"/>
      <c r="D121" s="22"/>
      <c r="E121" s="22"/>
      <c r="F121" s="22"/>
      <c r="G121" s="22"/>
      <c r="H121" s="22"/>
      <c r="I121" s="22"/>
      <c r="J121" s="22"/>
      <c r="K121" s="22"/>
      <c r="L121" s="22"/>
      <c r="M121" s="22"/>
      <c r="O121" s="27"/>
      <c r="P121" s="27"/>
    </row>
    <row r="122" spans="1:16">
      <c r="A122" t="s">
        <v>73</v>
      </c>
      <c r="B122" s="84">
        <f>170+12+741</f>
        <v>923</v>
      </c>
      <c r="C122" s="84">
        <f>161+2+461</f>
        <v>624</v>
      </c>
      <c r="D122" s="84">
        <f>281+0+2256</f>
        <v>2537</v>
      </c>
      <c r="E122" s="84">
        <f>220+0+4164</f>
        <v>4384</v>
      </c>
      <c r="F122" s="84">
        <f>284+0+4863</f>
        <v>5147</v>
      </c>
      <c r="G122" s="85">
        <f>218+0+2138</f>
        <v>2356</v>
      </c>
      <c r="H122" s="84">
        <f>961+183</f>
        <v>1144</v>
      </c>
      <c r="I122" s="84">
        <f>3734+292</f>
        <v>4026</v>
      </c>
      <c r="J122" s="84">
        <f>3021+284</f>
        <v>3305</v>
      </c>
      <c r="K122" s="84">
        <f>260+4098</f>
        <v>4358</v>
      </c>
      <c r="L122" s="84">
        <f>972+159</f>
        <v>1131</v>
      </c>
      <c r="M122" s="86">
        <f>1060+180</f>
        <v>1240</v>
      </c>
      <c r="N122" s="45">
        <f>SUM(B122:M122)</f>
        <v>31175</v>
      </c>
      <c r="P122" s="27"/>
    </row>
    <row r="123" spans="1:16">
      <c r="A123" t="s">
        <v>5</v>
      </c>
      <c r="B123" s="84">
        <f>585+21+2321</f>
        <v>2927</v>
      </c>
      <c r="C123" s="84">
        <f>403+5+1501</f>
        <v>1909</v>
      </c>
      <c r="D123" s="84">
        <f>926+0+5623</f>
        <v>6549</v>
      </c>
      <c r="E123" s="84">
        <f>667+0+11840</f>
        <v>12507</v>
      </c>
      <c r="F123" s="84">
        <f>831+0+12728</f>
        <v>13559</v>
      </c>
      <c r="G123" s="85">
        <f>1597+0+6303</f>
        <v>7900</v>
      </c>
      <c r="H123" s="84">
        <f>2811+643</f>
        <v>3454</v>
      </c>
      <c r="I123" s="84">
        <f>8552+1522</f>
        <v>10074</v>
      </c>
      <c r="J123" s="84">
        <f>8331+907</f>
        <v>9238</v>
      </c>
      <c r="K123" s="84">
        <f>667+11606</f>
        <v>12273</v>
      </c>
      <c r="L123" s="84">
        <f>2756+439</f>
        <v>3195</v>
      </c>
      <c r="M123" s="86">
        <f>3772+352</f>
        <v>4124</v>
      </c>
      <c r="N123" s="45">
        <f>SUM(B123:M123)</f>
        <v>87709</v>
      </c>
      <c r="O123" s="27">
        <f>SUM(O81:O121)</f>
        <v>27294</v>
      </c>
      <c r="P123" s="27">
        <f>O123/N123</f>
        <v>0.31118813348687135</v>
      </c>
    </row>
    <row r="124" spans="1:16">
      <c r="A124" t="s">
        <v>9</v>
      </c>
      <c r="B124" s="84">
        <f>3025+39+10160</f>
        <v>13224</v>
      </c>
      <c r="C124" s="84">
        <f>2099+16+5418</f>
        <v>7533</v>
      </c>
      <c r="D124" s="84">
        <f>4770+0+22790</f>
        <v>27560</v>
      </c>
      <c r="E124" s="84">
        <f>3435+0+42973</f>
        <v>46408</v>
      </c>
      <c r="F124" s="84">
        <f>4713+0+45627</f>
        <v>50340</v>
      </c>
      <c r="G124" s="85">
        <f>8993+0+21575</f>
        <v>30568</v>
      </c>
      <c r="H124" s="84">
        <f>8554+3110</f>
        <v>11664</v>
      </c>
      <c r="I124" s="84">
        <f>25400+7162</f>
        <v>32562</v>
      </c>
      <c r="J124" s="84">
        <f>30869+4108</f>
        <v>34977</v>
      </c>
      <c r="K124" s="84">
        <f>3566+39961</f>
        <v>43527</v>
      </c>
      <c r="L124" s="84">
        <f>9498+2161</f>
        <v>11659</v>
      </c>
      <c r="M124" s="86">
        <f>10763+1585</f>
        <v>12348</v>
      </c>
      <c r="N124" s="45">
        <f>SUM(B124:M124)</f>
        <v>322370</v>
      </c>
      <c r="O124" s="27"/>
      <c r="P124" s="27"/>
    </row>
    <row r="125" spans="1:16">
      <c r="B125" s="147" t="s">
        <v>96</v>
      </c>
      <c r="C125" s="147"/>
      <c r="D125" s="147"/>
      <c r="E125" s="147"/>
      <c r="F125" s="147"/>
      <c r="G125" s="147"/>
      <c r="H125" s="147"/>
      <c r="I125" s="147"/>
      <c r="J125" s="147"/>
      <c r="K125" s="147"/>
      <c r="L125" s="147"/>
      <c r="M125" s="147"/>
      <c r="N125" s="147"/>
      <c r="O125" s="27"/>
      <c r="P125" s="27"/>
    </row>
    <row r="126" spans="1:16">
      <c r="B126" s="148"/>
      <c r="C126" s="148"/>
      <c r="D126" s="148"/>
      <c r="E126" s="148"/>
      <c r="F126" s="148"/>
      <c r="G126" s="148"/>
      <c r="H126" s="148"/>
      <c r="I126" s="148"/>
      <c r="J126" s="148"/>
      <c r="K126" s="148"/>
      <c r="L126" s="148"/>
      <c r="M126" s="148"/>
      <c r="N126" s="148"/>
    </row>
    <row r="130" spans="1:2">
      <c r="A130" t="s">
        <v>259</v>
      </c>
      <c r="B130" t="s">
        <v>261</v>
      </c>
    </row>
  </sheetData>
  <mergeCells count="1">
    <mergeCell ref="B125:N126"/>
  </mergeCells>
  <phoneticPr fontId="2" type="noConversion"/>
  <pageMargins left="0.75" right="0.75" top="1" bottom="1" header="0.5" footer="0.5"/>
  <pageSetup scale="84" fitToHeight="4" orientation="landscape"/>
  <headerFooter>
    <oddFooter>&amp;L&amp;K000000CSA&amp;R&amp;K0000002006-07 usage</oddFooter>
  </headerFooter>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97"/>
  <sheetViews>
    <sheetView workbookViewId="0"/>
  </sheetViews>
  <sheetFormatPr baseColWidth="10" defaultColWidth="8.83203125" defaultRowHeight="12" x14ac:dyDescent="0"/>
  <cols>
    <col min="1" max="1" width="29.5" customWidth="1"/>
    <col min="2" max="2" width="6.332031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33203125" bestFit="1" customWidth="1"/>
    <col min="15" max="15" width="9.6640625" bestFit="1" customWidth="1"/>
    <col min="16" max="16" width="8.33203125" bestFit="1" customWidth="1"/>
  </cols>
  <sheetData>
    <row r="1" spans="1:16" ht="18">
      <c r="A1" s="118" t="s">
        <v>62</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9" t="s">
        <v>2</v>
      </c>
      <c r="O5" s="109" t="s">
        <v>189</v>
      </c>
      <c r="P5" s="109" t="s">
        <v>86</v>
      </c>
    </row>
    <row r="6" spans="1:16">
      <c r="A6" s="1" t="s">
        <v>52</v>
      </c>
      <c r="B6" s="22"/>
      <c r="C6" s="22"/>
      <c r="D6" s="22"/>
      <c r="E6" s="22"/>
      <c r="F6" s="22"/>
      <c r="G6" s="22"/>
      <c r="H6" s="22"/>
      <c r="I6" s="22"/>
      <c r="J6" s="22"/>
      <c r="K6" s="22"/>
      <c r="L6" s="22"/>
      <c r="M6" s="22"/>
      <c r="O6" s="123"/>
      <c r="P6" s="124"/>
    </row>
    <row r="7" spans="1:16">
      <c r="A7" t="s">
        <v>4</v>
      </c>
      <c r="B7" s="55">
        <v>5613</v>
      </c>
      <c r="C7" s="55">
        <v>1141</v>
      </c>
      <c r="D7" s="55">
        <v>5003</v>
      </c>
      <c r="E7" s="55">
        <v>14683</v>
      </c>
      <c r="F7" s="55">
        <v>14524</v>
      </c>
      <c r="G7" s="56">
        <v>6797</v>
      </c>
      <c r="H7" s="55">
        <v>2511</v>
      </c>
      <c r="I7" s="55">
        <v>9745</v>
      </c>
      <c r="J7" s="55">
        <v>12163</v>
      </c>
      <c r="K7" s="55">
        <v>12975</v>
      </c>
      <c r="L7" s="55">
        <v>3255</v>
      </c>
      <c r="M7" s="56">
        <v>3016</v>
      </c>
      <c r="N7" s="57">
        <f>SUM(B7:M7)</f>
        <v>91426</v>
      </c>
      <c r="P7" s="28"/>
    </row>
    <row r="8" spans="1:16">
      <c r="A8" t="s">
        <v>5</v>
      </c>
      <c r="B8" s="40">
        <v>22341</v>
      </c>
      <c r="C8" s="40">
        <v>2157</v>
      </c>
      <c r="D8" s="88">
        <v>13297</v>
      </c>
      <c r="E8" s="49">
        <v>48738</v>
      </c>
      <c r="F8" s="49">
        <v>44971</v>
      </c>
      <c r="G8" s="49">
        <v>19789</v>
      </c>
      <c r="H8" s="49">
        <v>6102</v>
      </c>
      <c r="I8" s="49">
        <v>30569</v>
      </c>
      <c r="J8" s="49">
        <v>38956</v>
      </c>
      <c r="K8" s="49">
        <v>42059</v>
      </c>
      <c r="L8" s="49">
        <v>10721</v>
      </c>
      <c r="M8" s="49">
        <v>10011</v>
      </c>
      <c r="N8" s="45">
        <f>SUM(B8:M8)</f>
        <v>289711</v>
      </c>
      <c r="O8" s="28">
        <v>19175</v>
      </c>
      <c r="P8" s="28">
        <f>O8/N8</f>
        <v>6.6186648073424892E-2</v>
      </c>
    </row>
    <row r="9" spans="1:16">
      <c r="B9" s="101"/>
      <c r="C9" s="101"/>
      <c r="D9" s="101"/>
      <c r="E9" s="101"/>
      <c r="F9" s="101"/>
      <c r="G9" s="101"/>
      <c r="H9" s="101"/>
      <c r="I9" s="101"/>
      <c r="J9" s="101"/>
      <c r="K9" s="101"/>
      <c r="L9" s="101"/>
      <c r="M9" s="101"/>
      <c r="N9" s="121"/>
      <c r="O9" s="28"/>
      <c r="P9" s="28"/>
    </row>
    <row r="10" spans="1:16">
      <c r="B10" s="101"/>
      <c r="C10" s="101"/>
      <c r="D10" s="101"/>
      <c r="E10" s="101"/>
      <c r="F10" s="101"/>
      <c r="G10" s="101"/>
      <c r="H10" s="101"/>
      <c r="I10" s="101"/>
      <c r="J10" s="101"/>
      <c r="K10" s="101"/>
      <c r="L10" s="101"/>
      <c r="M10" s="101"/>
      <c r="N10" s="121"/>
      <c r="O10" s="28"/>
      <c r="P10" s="28"/>
    </row>
    <row r="11" spans="1:16" ht="24">
      <c r="A11" s="106"/>
      <c r="B11" s="107">
        <v>38899</v>
      </c>
      <c r="C11" s="107">
        <v>38930</v>
      </c>
      <c r="D11" s="107">
        <v>38961</v>
      </c>
      <c r="E11" s="107">
        <v>38991</v>
      </c>
      <c r="F11" s="107">
        <v>39022</v>
      </c>
      <c r="G11" s="107">
        <v>39052</v>
      </c>
      <c r="H11" s="107">
        <v>39083</v>
      </c>
      <c r="I11" s="107">
        <v>39114</v>
      </c>
      <c r="J11" s="107">
        <v>39142</v>
      </c>
      <c r="K11" s="107">
        <v>39173</v>
      </c>
      <c r="L11" s="107">
        <v>39203</v>
      </c>
      <c r="M11" s="107">
        <v>39234</v>
      </c>
      <c r="N11" s="109" t="s">
        <v>2</v>
      </c>
      <c r="O11" s="109" t="s">
        <v>189</v>
      </c>
      <c r="P11" s="109" t="s">
        <v>86</v>
      </c>
    </row>
    <row r="12" spans="1:16">
      <c r="A12" s="1" t="s">
        <v>195</v>
      </c>
      <c r="B12" s="22"/>
      <c r="C12" s="22"/>
      <c r="D12" s="22"/>
      <c r="E12" s="22"/>
      <c r="F12" s="22"/>
      <c r="G12" s="22"/>
      <c r="H12" s="22"/>
      <c r="I12" s="22"/>
      <c r="J12" s="22"/>
      <c r="K12" s="22"/>
      <c r="L12" s="22"/>
      <c r="M12" s="22"/>
      <c r="O12" s="28"/>
      <c r="P12" s="28"/>
    </row>
    <row r="13" spans="1:16">
      <c r="A13" t="s">
        <v>4</v>
      </c>
      <c r="B13" s="55">
        <v>0</v>
      </c>
      <c r="C13" s="55">
        <v>4</v>
      </c>
      <c r="D13" s="55">
        <v>26</v>
      </c>
      <c r="E13" s="55">
        <v>25</v>
      </c>
      <c r="F13" s="55">
        <v>32</v>
      </c>
      <c r="G13" s="56">
        <v>17</v>
      </c>
      <c r="H13" s="55">
        <v>6</v>
      </c>
      <c r="I13" s="55">
        <v>19</v>
      </c>
      <c r="J13" s="55">
        <v>15</v>
      </c>
      <c r="K13" s="55">
        <v>21</v>
      </c>
      <c r="L13" s="55">
        <v>20</v>
      </c>
      <c r="M13" s="56">
        <v>11</v>
      </c>
      <c r="N13" s="57">
        <f>SUM(B13:M13)</f>
        <v>196</v>
      </c>
      <c r="O13" s="28"/>
      <c r="P13" s="28"/>
    </row>
    <row r="14" spans="1:16">
      <c r="A14" t="s">
        <v>5</v>
      </c>
      <c r="B14" s="49">
        <v>0</v>
      </c>
      <c r="C14" s="49">
        <v>15</v>
      </c>
      <c r="D14" s="49">
        <v>111</v>
      </c>
      <c r="E14" s="49">
        <v>64</v>
      </c>
      <c r="F14" s="49">
        <v>133</v>
      </c>
      <c r="G14" s="49">
        <v>64</v>
      </c>
      <c r="H14" s="49">
        <v>22</v>
      </c>
      <c r="I14" s="49">
        <v>64</v>
      </c>
      <c r="J14" s="49">
        <v>70</v>
      </c>
      <c r="K14" s="49">
        <v>50</v>
      </c>
      <c r="L14" s="49">
        <v>44</v>
      </c>
      <c r="M14" s="49">
        <v>35</v>
      </c>
      <c r="N14" s="45">
        <f>SUM(B14:M14)</f>
        <v>672</v>
      </c>
      <c r="O14" s="28">
        <v>0</v>
      </c>
      <c r="P14" s="28" t="s">
        <v>32</v>
      </c>
    </row>
    <row r="15" spans="1:16">
      <c r="B15" s="101"/>
      <c r="C15" s="101"/>
      <c r="D15" s="101"/>
      <c r="E15" s="101"/>
      <c r="F15" s="101"/>
      <c r="G15" s="101"/>
      <c r="H15" s="101"/>
      <c r="I15" s="101"/>
      <c r="J15" s="101"/>
      <c r="K15" s="101"/>
      <c r="L15" s="101"/>
      <c r="M15" s="101"/>
      <c r="N15" s="121"/>
      <c r="O15" s="28"/>
      <c r="P15" s="28"/>
    </row>
    <row r="16" spans="1:16">
      <c r="B16" s="101"/>
      <c r="C16" s="101"/>
      <c r="D16" s="101"/>
      <c r="E16" s="101"/>
      <c r="F16" s="101"/>
      <c r="G16" s="101"/>
      <c r="H16" s="101"/>
      <c r="I16" s="101"/>
      <c r="J16" s="101"/>
      <c r="K16" s="101"/>
      <c r="L16" s="101"/>
      <c r="M16" s="101"/>
      <c r="N16" s="121"/>
      <c r="O16" s="28"/>
      <c r="P16" s="28"/>
    </row>
    <row r="17" spans="1:16" ht="24">
      <c r="A17" s="106"/>
      <c r="B17" s="107">
        <v>38899</v>
      </c>
      <c r="C17" s="107">
        <v>38930</v>
      </c>
      <c r="D17" s="107">
        <v>38961</v>
      </c>
      <c r="E17" s="107">
        <v>38991</v>
      </c>
      <c r="F17" s="107">
        <v>39022</v>
      </c>
      <c r="G17" s="107">
        <v>39052</v>
      </c>
      <c r="H17" s="107">
        <v>39083</v>
      </c>
      <c r="I17" s="107">
        <v>39114</v>
      </c>
      <c r="J17" s="107">
        <v>39142</v>
      </c>
      <c r="K17" s="107">
        <v>39173</v>
      </c>
      <c r="L17" s="107">
        <v>39203</v>
      </c>
      <c r="M17" s="107">
        <v>39234</v>
      </c>
      <c r="N17" s="109" t="s">
        <v>2</v>
      </c>
      <c r="O17" s="109" t="s">
        <v>189</v>
      </c>
      <c r="P17" s="109" t="s">
        <v>86</v>
      </c>
    </row>
    <row r="18" spans="1:16">
      <c r="A18" s="1" t="s">
        <v>53</v>
      </c>
      <c r="B18" s="22"/>
      <c r="C18" s="22"/>
      <c r="D18" s="22"/>
      <c r="E18" s="22"/>
      <c r="F18" s="22"/>
      <c r="G18" s="22"/>
      <c r="H18" s="22"/>
      <c r="I18" s="22"/>
      <c r="J18" s="22"/>
      <c r="K18" s="22"/>
      <c r="L18" s="22"/>
      <c r="M18" s="22"/>
      <c r="O18" s="28"/>
      <c r="P18" s="28"/>
    </row>
    <row r="19" spans="1:16">
      <c r="A19" t="s">
        <v>4</v>
      </c>
      <c r="B19" s="55">
        <v>37</v>
      </c>
      <c r="C19" s="55">
        <v>5</v>
      </c>
      <c r="D19" s="55">
        <v>45</v>
      </c>
      <c r="E19" s="55">
        <v>150</v>
      </c>
      <c r="F19" s="55">
        <v>137</v>
      </c>
      <c r="G19" s="56">
        <v>48</v>
      </c>
      <c r="H19" s="55">
        <v>17</v>
      </c>
      <c r="I19" s="55">
        <v>125</v>
      </c>
      <c r="J19" s="55">
        <v>123</v>
      </c>
      <c r="K19" s="55">
        <v>167</v>
      </c>
      <c r="L19" s="55">
        <v>19</v>
      </c>
      <c r="M19" s="56">
        <v>34</v>
      </c>
      <c r="N19" s="57">
        <f>SUM(B19:M19)</f>
        <v>907</v>
      </c>
    </row>
    <row r="20" spans="1:16">
      <c r="A20" t="s">
        <v>5</v>
      </c>
      <c r="B20" s="49">
        <v>136</v>
      </c>
      <c r="C20" s="49">
        <v>17</v>
      </c>
      <c r="D20" s="49">
        <v>120</v>
      </c>
      <c r="E20" s="49">
        <v>457</v>
      </c>
      <c r="F20" s="49">
        <v>451</v>
      </c>
      <c r="G20" s="49">
        <v>130</v>
      </c>
      <c r="H20" s="49">
        <v>31</v>
      </c>
      <c r="I20" s="49">
        <v>355</v>
      </c>
      <c r="J20" s="49">
        <v>351</v>
      </c>
      <c r="K20" s="49">
        <v>457</v>
      </c>
      <c r="L20" s="49">
        <v>62</v>
      </c>
      <c r="M20" s="49">
        <v>99</v>
      </c>
      <c r="N20" s="45">
        <f>SUM(B20:M20)</f>
        <v>2666</v>
      </c>
      <c r="O20" s="28">
        <v>0</v>
      </c>
      <c r="P20" s="28" t="s">
        <v>32</v>
      </c>
    </row>
    <row r="21" spans="1:16">
      <c r="B21" s="101"/>
      <c r="C21" s="101"/>
      <c r="D21" s="101"/>
      <c r="E21" s="101"/>
      <c r="F21" s="101"/>
      <c r="G21" s="101"/>
      <c r="H21" s="101"/>
      <c r="I21" s="101"/>
      <c r="J21" s="101"/>
      <c r="K21" s="101"/>
      <c r="L21" s="101"/>
      <c r="M21" s="101"/>
      <c r="N21" s="121"/>
      <c r="O21" s="28"/>
      <c r="P21" s="28"/>
    </row>
    <row r="22" spans="1:16">
      <c r="B22" s="101"/>
      <c r="C22" s="101"/>
      <c r="D22" s="101"/>
      <c r="E22" s="101"/>
      <c r="F22" s="101"/>
      <c r="G22" s="101"/>
      <c r="H22" s="101"/>
      <c r="I22" s="101"/>
      <c r="J22" s="101"/>
      <c r="K22" s="101"/>
      <c r="L22" s="101"/>
      <c r="M22" s="101"/>
      <c r="N22" s="121"/>
      <c r="O22" s="28"/>
      <c r="P22" s="28"/>
    </row>
    <row r="23" spans="1:16" ht="24">
      <c r="A23" s="106"/>
      <c r="B23" s="107">
        <v>38899</v>
      </c>
      <c r="C23" s="107">
        <v>38930</v>
      </c>
      <c r="D23" s="107">
        <v>38961</v>
      </c>
      <c r="E23" s="107">
        <v>38991</v>
      </c>
      <c r="F23" s="107">
        <v>39022</v>
      </c>
      <c r="G23" s="107">
        <v>39052</v>
      </c>
      <c r="H23" s="107">
        <v>39083</v>
      </c>
      <c r="I23" s="107">
        <v>39114</v>
      </c>
      <c r="J23" s="107">
        <v>39142</v>
      </c>
      <c r="K23" s="107">
        <v>39173</v>
      </c>
      <c r="L23" s="107">
        <v>39203</v>
      </c>
      <c r="M23" s="107">
        <v>39234</v>
      </c>
      <c r="N23" s="109" t="s">
        <v>2</v>
      </c>
      <c r="O23" s="109" t="s">
        <v>189</v>
      </c>
      <c r="P23" s="109" t="s">
        <v>86</v>
      </c>
    </row>
    <row r="24" spans="1:16">
      <c r="A24" s="1" t="s">
        <v>196</v>
      </c>
      <c r="B24" s="22"/>
      <c r="C24" s="22"/>
      <c r="D24" s="22"/>
      <c r="E24" s="22"/>
      <c r="F24" s="22"/>
      <c r="G24" s="22"/>
      <c r="H24" s="22"/>
      <c r="I24" s="22"/>
      <c r="J24" s="22"/>
      <c r="K24" s="22"/>
      <c r="L24" s="22"/>
      <c r="M24" s="22"/>
      <c r="O24" s="28"/>
      <c r="P24" s="28"/>
    </row>
    <row r="25" spans="1:16">
      <c r="A25" t="s">
        <v>4</v>
      </c>
      <c r="B25" s="55">
        <v>0</v>
      </c>
      <c r="C25" s="55">
        <v>11</v>
      </c>
      <c r="D25" s="55">
        <v>39</v>
      </c>
      <c r="E25" s="55">
        <v>109</v>
      </c>
      <c r="F25" s="55">
        <v>96</v>
      </c>
      <c r="G25" s="56">
        <v>54</v>
      </c>
      <c r="H25" s="55">
        <v>6</v>
      </c>
      <c r="I25" s="55">
        <v>55</v>
      </c>
      <c r="J25" s="55">
        <v>92</v>
      </c>
      <c r="K25" s="55">
        <v>97</v>
      </c>
      <c r="L25" s="55">
        <v>34</v>
      </c>
      <c r="M25" s="56">
        <v>41</v>
      </c>
      <c r="N25" s="57">
        <f>SUM(B25:M25)</f>
        <v>634</v>
      </c>
      <c r="O25" s="28"/>
      <c r="P25" s="28"/>
    </row>
    <row r="26" spans="1:16">
      <c r="A26" t="s">
        <v>5</v>
      </c>
      <c r="B26" s="49">
        <v>0</v>
      </c>
      <c r="C26" s="49">
        <v>26</v>
      </c>
      <c r="D26" s="49">
        <v>128</v>
      </c>
      <c r="E26" s="49">
        <v>332</v>
      </c>
      <c r="F26" s="49">
        <v>422</v>
      </c>
      <c r="G26" s="49">
        <v>164</v>
      </c>
      <c r="H26" s="49">
        <v>35</v>
      </c>
      <c r="I26" s="49">
        <v>185</v>
      </c>
      <c r="J26" s="49">
        <v>375</v>
      </c>
      <c r="K26" s="49">
        <v>276</v>
      </c>
      <c r="L26" s="49">
        <v>110</v>
      </c>
      <c r="M26" s="49">
        <v>151</v>
      </c>
      <c r="N26" s="45">
        <f>SUM(B26:M26)</f>
        <v>2204</v>
      </c>
      <c r="O26" s="28">
        <v>0</v>
      </c>
      <c r="P26" s="28" t="s">
        <v>32</v>
      </c>
    </row>
    <row r="27" spans="1:16">
      <c r="B27" s="101"/>
      <c r="C27" s="101"/>
      <c r="D27" s="101"/>
      <c r="E27" s="101"/>
      <c r="F27" s="101"/>
      <c r="G27" s="101"/>
      <c r="H27" s="101"/>
      <c r="I27" s="101"/>
      <c r="J27" s="101"/>
      <c r="K27" s="101"/>
      <c r="L27" s="101"/>
      <c r="M27" s="101"/>
      <c r="N27" s="121"/>
      <c r="O27" s="28"/>
      <c r="P27" s="28"/>
    </row>
    <row r="28" spans="1:16">
      <c r="B28" s="101"/>
      <c r="C28" s="101"/>
      <c r="D28" s="101"/>
      <c r="E28" s="101"/>
      <c r="F28" s="101"/>
      <c r="G28" s="101"/>
      <c r="H28" s="101"/>
      <c r="I28" s="101"/>
      <c r="J28" s="101"/>
      <c r="K28" s="101"/>
      <c r="L28" s="101"/>
      <c r="M28" s="101"/>
      <c r="N28" s="121"/>
      <c r="O28" s="28"/>
      <c r="P28" s="28"/>
    </row>
    <row r="29" spans="1:16" ht="24">
      <c r="A29" s="106"/>
      <c r="B29" s="107">
        <v>38899</v>
      </c>
      <c r="C29" s="107">
        <v>38930</v>
      </c>
      <c r="D29" s="107">
        <v>38961</v>
      </c>
      <c r="E29" s="107">
        <v>38991</v>
      </c>
      <c r="F29" s="107">
        <v>39022</v>
      </c>
      <c r="G29" s="107">
        <v>39052</v>
      </c>
      <c r="H29" s="107">
        <v>39083</v>
      </c>
      <c r="I29" s="107">
        <v>39114</v>
      </c>
      <c r="J29" s="107">
        <v>39142</v>
      </c>
      <c r="K29" s="107">
        <v>39173</v>
      </c>
      <c r="L29" s="107">
        <v>39203</v>
      </c>
      <c r="M29" s="107">
        <v>39234</v>
      </c>
      <c r="N29" s="109" t="s">
        <v>2</v>
      </c>
      <c r="O29" s="109" t="s">
        <v>189</v>
      </c>
      <c r="P29" s="109" t="s">
        <v>86</v>
      </c>
    </row>
    <row r="30" spans="1:16">
      <c r="A30" s="1" t="s">
        <v>54</v>
      </c>
      <c r="B30" s="22"/>
      <c r="C30" s="22"/>
      <c r="D30" s="22"/>
      <c r="E30" s="22"/>
      <c r="F30" s="22"/>
      <c r="G30" s="22"/>
      <c r="H30" s="22"/>
      <c r="I30" s="22"/>
      <c r="J30" s="22"/>
      <c r="K30" s="22"/>
      <c r="L30" s="22"/>
      <c r="M30" s="22"/>
      <c r="O30" s="28"/>
      <c r="P30" s="28"/>
    </row>
    <row r="31" spans="1:16">
      <c r="A31" t="s">
        <v>4</v>
      </c>
      <c r="B31" s="55">
        <v>24</v>
      </c>
      <c r="C31" s="55">
        <v>2</v>
      </c>
      <c r="D31" s="55">
        <v>19</v>
      </c>
      <c r="E31" s="55">
        <v>72</v>
      </c>
      <c r="F31" s="55">
        <v>54</v>
      </c>
      <c r="G31" s="56">
        <v>37</v>
      </c>
      <c r="H31" s="55">
        <v>13</v>
      </c>
      <c r="I31" s="55">
        <v>55</v>
      </c>
      <c r="J31" s="55">
        <v>57</v>
      </c>
      <c r="K31" s="55">
        <v>61</v>
      </c>
      <c r="L31" s="55">
        <v>23</v>
      </c>
      <c r="M31" s="56">
        <v>37</v>
      </c>
      <c r="N31" s="57">
        <f>SUM(B31:M31)</f>
        <v>454</v>
      </c>
      <c r="O31" s="28"/>
      <c r="P31" s="28"/>
    </row>
    <row r="32" spans="1:16">
      <c r="A32" t="s">
        <v>5</v>
      </c>
      <c r="B32" s="49">
        <v>119</v>
      </c>
      <c r="C32" s="49">
        <v>8</v>
      </c>
      <c r="D32" s="49">
        <v>70</v>
      </c>
      <c r="E32" s="49">
        <v>187</v>
      </c>
      <c r="F32" s="49">
        <v>237</v>
      </c>
      <c r="G32" s="49">
        <v>75</v>
      </c>
      <c r="H32" s="49">
        <v>37</v>
      </c>
      <c r="I32" s="49">
        <v>177</v>
      </c>
      <c r="J32" s="49">
        <v>179</v>
      </c>
      <c r="K32" s="49">
        <v>173</v>
      </c>
      <c r="L32" s="49">
        <v>79</v>
      </c>
      <c r="M32" s="49">
        <v>138</v>
      </c>
      <c r="N32" s="45">
        <f>SUM(B32:M32)</f>
        <v>1479</v>
      </c>
      <c r="O32" s="28">
        <v>0</v>
      </c>
      <c r="P32" s="28" t="s">
        <v>32</v>
      </c>
    </row>
    <row r="33" spans="1:16">
      <c r="B33" s="101"/>
      <c r="C33" s="101"/>
      <c r="D33" s="101"/>
      <c r="E33" s="101"/>
      <c r="F33" s="101"/>
      <c r="G33" s="101"/>
      <c r="H33" s="101"/>
      <c r="I33" s="101"/>
      <c r="J33" s="101"/>
      <c r="K33" s="101"/>
      <c r="L33" s="101"/>
      <c r="M33" s="101"/>
      <c r="N33" s="121"/>
      <c r="O33" s="28"/>
      <c r="P33" s="28"/>
    </row>
    <row r="34" spans="1:16">
      <c r="B34" s="101"/>
      <c r="C34" s="101"/>
      <c r="D34" s="101"/>
      <c r="E34" s="101"/>
      <c r="F34" s="101"/>
      <c r="G34" s="101"/>
      <c r="H34" s="101"/>
      <c r="I34" s="101"/>
      <c r="J34" s="101"/>
      <c r="K34" s="101"/>
      <c r="L34" s="101"/>
      <c r="M34" s="101"/>
      <c r="N34" s="121"/>
      <c r="O34" s="28"/>
      <c r="P34" s="28"/>
    </row>
    <row r="35" spans="1:16" ht="24">
      <c r="A35" s="106"/>
      <c r="B35" s="107">
        <v>38899</v>
      </c>
      <c r="C35" s="107">
        <v>38930</v>
      </c>
      <c r="D35" s="107">
        <v>38961</v>
      </c>
      <c r="E35" s="107">
        <v>38991</v>
      </c>
      <c r="F35" s="107">
        <v>39022</v>
      </c>
      <c r="G35" s="107">
        <v>39052</v>
      </c>
      <c r="H35" s="107">
        <v>39083</v>
      </c>
      <c r="I35" s="107">
        <v>39114</v>
      </c>
      <c r="J35" s="107">
        <v>39142</v>
      </c>
      <c r="K35" s="107">
        <v>39173</v>
      </c>
      <c r="L35" s="107">
        <v>39203</v>
      </c>
      <c r="M35" s="107">
        <v>39234</v>
      </c>
      <c r="N35" s="109" t="s">
        <v>2</v>
      </c>
      <c r="O35" s="109" t="s">
        <v>189</v>
      </c>
      <c r="P35" s="109" t="s">
        <v>86</v>
      </c>
    </row>
    <row r="36" spans="1:16">
      <c r="A36" s="1" t="s">
        <v>194</v>
      </c>
      <c r="B36" s="22"/>
      <c r="C36" s="22"/>
      <c r="D36" s="22"/>
      <c r="E36" s="22"/>
      <c r="F36" s="22"/>
      <c r="G36" s="22"/>
      <c r="H36" s="22"/>
      <c r="I36" s="22"/>
      <c r="J36" s="22"/>
      <c r="K36" s="22"/>
      <c r="L36" s="22"/>
      <c r="M36" s="22"/>
      <c r="O36" s="28"/>
      <c r="P36" s="28"/>
    </row>
    <row r="37" spans="1:16">
      <c r="A37" t="s">
        <v>4</v>
      </c>
      <c r="B37" s="55">
        <v>21</v>
      </c>
      <c r="C37" s="55">
        <v>5</v>
      </c>
      <c r="D37" s="55">
        <v>31</v>
      </c>
      <c r="E37" s="55">
        <v>63</v>
      </c>
      <c r="F37" s="55">
        <v>54</v>
      </c>
      <c r="G37" s="56">
        <v>38</v>
      </c>
      <c r="H37" s="55">
        <v>10</v>
      </c>
      <c r="I37" s="55">
        <v>87</v>
      </c>
      <c r="J37" s="55">
        <v>53</v>
      </c>
      <c r="K37" s="55">
        <v>67</v>
      </c>
      <c r="L37" s="55">
        <v>34</v>
      </c>
      <c r="M37" s="56">
        <v>33</v>
      </c>
      <c r="N37" s="57">
        <f>SUM(B37:M37)</f>
        <v>496</v>
      </c>
      <c r="O37" s="28"/>
      <c r="P37" s="28"/>
    </row>
    <row r="38" spans="1:16">
      <c r="A38" t="s">
        <v>5</v>
      </c>
      <c r="B38" s="49">
        <v>61</v>
      </c>
      <c r="C38" s="49">
        <v>6</v>
      </c>
      <c r="D38" s="49">
        <v>147</v>
      </c>
      <c r="E38" s="49">
        <v>190</v>
      </c>
      <c r="F38" s="49">
        <v>269</v>
      </c>
      <c r="G38" s="49">
        <v>87</v>
      </c>
      <c r="H38" s="49">
        <v>23</v>
      </c>
      <c r="I38" s="49">
        <v>304</v>
      </c>
      <c r="J38" s="49">
        <v>222</v>
      </c>
      <c r="K38" s="49">
        <v>213</v>
      </c>
      <c r="L38" s="49">
        <v>132</v>
      </c>
      <c r="M38" s="49">
        <v>92</v>
      </c>
      <c r="N38" s="45">
        <f>SUM(B38:M38)</f>
        <v>1746</v>
      </c>
      <c r="O38" s="28">
        <v>25764</v>
      </c>
      <c r="P38" s="28">
        <f>O38/N38</f>
        <v>14.756013745704468</v>
      </c>
    </row>
    <row r="39" spans="1:16">
      <c r="B39" s="101"/>
      <c r="C39" s="101"/>
      <c r="D39" s="101"/>
      <c r="E39" s="101"/>
      <c r="F39" s="101"/>
      <c r="G39" s="101"/>
      <c r="H39" s="101"/>
      <c r="I39" s="101"/>
      <c r="J39" s="101"/>
      <c r="K39" s="101"/>
      <c r="L39" s="101"/>
      <c r="M39" s="101"/>
      <c r="N39" s="121"/>
      <c r="O39" s="28"/>
      <c r="P39" s="28"/>
    </row>
    <row r="40" spans="1:16">
      <c r="B40" s="101"/>
      <c r="C40" s="101"/>
      <c r="D40" s="101"/>
      <c r="E40" s="101"/>
      <c r="F40" s="101"/>
      <c r="G40" s="101"/>
      <c r="H40" s="101"/>
      <c r="I40" s="101"/>
      <c r="J40" s="101"/>
      <c r="K40" s="101"/>
      <c r="L40" s="101"/>
      <c r="M40" s="101"/>
      <c r="N40" s="121"/>
      <c r="O40" s="28"/>
      <c r="P40" s="28"/>
    </row>
    <row r="41" spans="1:16" ht="24">
      <c r="A41" s="106"/>
      <c r="B41" s="107">
        <v>38899</v>
      </c>
      <c r="C41" s="107">
        <v>38930</v>
      </c>
      <c r="D41" s="107">
        <v>38961</v>
      </c>
      <c r="E41" s="107">
        <v>38991</v>
      </c>
      <c r="F41" s="107">
        <v>39022</v>
      </c>
      <c r="G41" s="107">
        <v>39052</v>
      </c>
      <c r="H41" s="107">
        <v>39083</v>
      </c>
      <c r="I41" s="107">
        <v>39114</v>
      </c>
      <c r="J41" s="107">
        <v>39142</v>
      </c>
      <c r="K41" s="107">
        <v>39173</v>
      </c>
      <c r="L41" s="107">
        <v>39203</v>
      </c>
      <c r="M41" s="107">
        <v>39234</v>
      </c>
      <c r="N41" s="109" t="s">
        <v>2</v>
      </c>
      <c r="O41" s="109" t="s">
        <v>189</v>
      </c>
      <c r="P41" s="109" t="s">
        <v>86</v>
      </c>
    </row>
    <row r="42" spans="1:16">
      <c r="A42" s="1" t="s">
        <v>55</v>
      </c>
      <c r="B42" s="22"/>
      <c r="C42" s="22"/>
      <c r="D42" s="22"/>
      <c r="E42" s="22"/>
      <c r="F42" s="22"/>
      <c r="G42" s="22"/>
      <c r="H42" s="22"/>
      <c r="I42" s="22"/>
      <c r="J42" s="22"/>
      <c r="K42" s="22"/>
      <c r="L42" s="22"/>
      <c r="M42" s="22"/>
      <c r="O42" s="28"/>
      <c r="P42" s="28"/>
    </row>
    <row r="43" spans="1:16">
      <c r="A43" t="s">
        <v>4</v>
      </c>
      <c r="B43" s="55">
        <v>49</v>
      </c>
      <c r="C43" s="55">
        <v>13</v>
      </c>
      <c r="D43" s="55">
        <v>59</v>
      </c>
      <c r="E43" s="55">
        <v>132</v>
      </c>
      <c r="F43" s="55">
        <v>103</v>
      </c>
      <c r="G43" s="56">
        <v>59</v>
      </c>
      <c r="H43" s="55">
        <v>25</v>
      </c>
      <c r="I43" s="55">
        <v>93</v>
      </c>
      <c r="J43" s="55">
        <v>96</v>
      </c>
      <c r="K43" s="55">
        <v>103</v>
      </c>
      <c r="L43" s="55">
        <v>44</v>
      </c>
      <c r="M43" s="56">
        <v>69</v>
      </c>
      <c r="N43" s="57">
        <f>SUM(B43:M43)</f>
        <v>845</v>
      </c>
      <c r="O43" s="28"/>
      <c r="P43" s="28"/>
    </row>
    <row r="44" spans="1:16">
      <c r="A44" t="s">
        <v>5</v>
      </c>
      <c r="B44" s="49">
        <v>154</v>
      </c>
      <c r="C44" s="49">
        <v>21</v>
      </c>
      <c r="D44" s="49">
        <v>142</v>
      </c>
      <c r="E44" s="49">
        <v>316</v>
      </c>
      <c r="F44" s="49">
        <v>280</v>
      </c>
      <c r="G44" s="49">
        <v>70</v>
      </c>
      <c r="H44" s="49">
        <v>46</v>
      </c>
      <c r="I44" s="49">
        <v>377</v>
      </c>
      <c r="J44" s="49">
        <v>328</v>
      </c>
      <c r="K44" s="49">
        <v>250</v>
      </c>
      <c r="L44" s="49">
        <v>145</v>
      </c>
      <c r="M44" s="49">
        <v>222</v>
      </c>
      <c r="N44" s="45">
        <f>SUM(B44:M44)</f>
        <v>2351</v>
      </c>
      <c r="O44" s="28">
        <v>0</v>
      </c>
      <c r="P44" s="28" t="s">
        <v>32</v>
      </c>
    </row>
    <row r="45" spans="1:16">
      <c r="B45" s="101"/>
      <c r="C45" s="101"/>
      <c r="D45" s="101"/>
      <c r="E45" s="101"/>
      <c r="F45" s="101"/>
      <c r="G45" s="101"/>
      <c r="H45" s="101"/>
      <c r="I45" s="101"/>
      <c r="J45" s="101"/>
      <c r="K45" s="101"/>
      <c r="L45" s="101"/>
      <c r="M45" s="101"/>
      <c r="N45" s="121"/>
      <c r="O45" s="28"/>
      <c r="P45" s="28"/>
    </row>
    <row r="46" spans="1:16">
      <c r="B46" s="101"/>
      <c r="C46" s="101"/>
      <c r="D46" s="101"/>
      <c r="E46" s="101"/>
      <c r="F46" s="101"/>
      <c r="G46" s="101"/>
      <c r="H46" s="101"/>
      <c r="I46" s="101"/>
      <c r="J46" s="101"/>
      <c r="K46" s="101"/>
      <c r="L46" s="101"/>
      <c r="M46" s="101"/>
      <c r="N46" s="121"/>
      <c r="O46" s="28"/>
      <c r="P46" s="28"/>
    </row>
    <row r="47" spans="1:16" ht="24">
      <c r="A47" s="106"/>
      <c r="B47" s="107">
        <v>38899</v>
      </c>
      <c r="C47" s="107">
        <v>38930</v>
      </c>
      <c r="D47" s="107">
        <v>38961</v>
      </c>
      <c r="E47" s="107">
        <v>38991</v>
      </c>
      <c r="F47" s="107">
        <v>39022</v>
      </c>
      <c r="G47" s="107">
        <v>39052</v>
      </c>
      <c r="H47" s="107">
        <v>39083</v>
      </c>
      <c r="I47" s="107">
        <v>39114</v>
      </c>
      <c r="J47" s="107">
        <v>39142</v>
      </c>
      <c r="K47" s="107">
        <v>39173</v>
      </c>
      <c r="L47" s="107">
        <v>39203</v>
      </c>
      <c r="M47" s="107">
        <v>39234</v>
      </c>
      <c r="N47" s="109" t="s">
        <v>2</v>
      </c>
      <c r="O47" s="109" t="s">
        <v>189</v>
      </c>
      <c r="P47" s="109" t="s">
        <v>86</v>
      </c>
    </row>
    <row r="48" spans="1:16">
      <c r="A48" s="1" t="s">
        <v>56</v>
      </c>
      <c r="B48" s="22"/>
      <c r="C48" s="22"/>
      <c r="D48" s="22"/>
      <c r="E48" s="22"/>
      <c r="F48" s="22"/>
      <c r="G48" s="22"/>
      <c r="H48" s="22"/>
      <c r="I48" s="22"/>
      <c r="J48" s="22"/>
      <c r="K48" s="22"/>
      <c r="L48" s="22"/>
      <c r="M48" s="22"/>
      <c r="O48" s="28"/>
      <c r="P48" s="28"/>
    </row>
    <row r="49" spans="1:16">
      <c r="A49" t="s">
        <v>4</v>
      </c>
      <c r="B49" s="49">
        <v>39</v>
      </c>
      <c r="C49" s="49">
        <v>15</v>
      </c>
      <c r="D49" s="49">
        <v>39</v>
      </c>
      <c r="E49" s="49">
        <v>113</v>
      </c>
      <c r="F49" s="49">
        <v>100</v>
      </c>
      <c r="G49" s="49">
        <v>46</v>
      </c>
      <c r="H49" s="49">
        <v>11</v>
      </c>
      <c r="I49" s="49">
        <v>70</v>
      </c>
      <c r="J49" s="49">
        <v>84</v>
      </c>
      <c r="K49" s="49">
        <v>127</v>
      </c>
      <c r="L49" s="49">
        <v>25</v>
      </c>
      <c r="M49" s="49">
        <v>36</v>
      </c>
      <c r="N49" s="45">
        <f>SUM(B49:M49)</f>
        <v>705</v>
      </c>
      <c r="O49" s="28"/>
      <c r="P49" s="28"/>
    </row>
    <row r="50" spans="1:16">
      <c r="A50" t="s">
        <v>5</v>
      </c>
      <c r="B50" s="49">
        <v>128</v>
      </c>
      <c r="C50" s="49">
        <v>33</v>
      </c>
      <c r="D50" s="49">
        <v>75</v>
      </c>
      <c r="E50" s="49">
        <v>310</v>
      </c>
      <c r="F50" s="49">
        <v>315</v>
      </c>
      <c r="G50" s="49">
        <v>89</v>
      </c>
      <c r="H50" s="49">
        <v>35</v>
      </c>
      <c r="I50" s="49">
        <v>189</v>
      </c>
      <c r="J50" s="49">
        <v>285</v>
      </c>
      <c r="K50" s="49">
        <v>329</v>
      </c>
      <c r="L50" s="49">
        <v>60</v>
      </c>
      <c r="M50" s="49">
        <v>108</v>
      </c>
      <c r="N50" s="45">
        <f>SUM(B50:M50)</f>
        <v>1956</v>
      </c>
      <c r="O50" s="28">
        <v>0</v>
      </c>
      <c r="P50" s="28" t="s">
        <v>32</v>
      </c>
    </row>
    <row r="51" spans="1:16">
      <c r="B51" s="101"/>
      <c r="C51" s="101"/>
      <c r="D51" s="101"/>
      <c r="E51" s="101"/>
      <c r="F51" s="101"/>
      <c r="G51" s="101"/>
      <c r="H51" s="101"/>
      <c r="I51" s="101"/>
      <c r="J51" s="101"/>
      <c r="K51" s="101"/>
      <c r="L51" s="101"/>
      <c r="M51" s="101"/>
      <c r="N51" s="121"/>
      <c r="O51" s="28"/>
      <c r="P51" s="28"/>
    </row>
    <row r="52" spans="1:16">
      <c r="B52" s="101"/>
      <c r="C52" s="101"/>
      <c r="D52" s="101"/>
      <c r="E52" s="101"/>
      <c r="F52" s="101"/>
      <c r="G52" s="101"/>
      <c r="H52" s="101"/>
      <c r="I52" s="101"/>
      <c r="J52" s="101"/>
      <c r="K52" s="101"/>
      <c r="L52" s="101"/>
      <c r="M52" s="101"/>
      <c r="N52" s="121"/>
      <c r="O52" s="28"/>
      <c r="P52" s="28"/>
    </row>
    <row r="53" spans="1:16" ht="24">
      <c r="A53" s="106"/>
      <c r="B53" s="107">
        <v>38899</v>
      </c>
      <c r="C53" s="107">
        <v>38930</v>
      </c>
      <c r="D53" s="107">
        <v>38961</v>
      </c>
      <c r="E53" s="107">
        <v>38991</v>
      </c>
      <c r="F53" s="107">
        <v>39022</v>
      </c>
      <c r="G53" s="107">
        <v>39052</v>
      </c>
      <c r="H53" s="107">
        <v>39083</v>
      </c>
      <c r="I53" s="107">
        <v>39114</v>
      </c>
      <c r="J53" s="107">
        <v>39142</v>
      </c>
      <c r="K53" s="107">
        <v>39173</v>
      </c>
      <c r="L53" s="107">
        <v>39203</v>
      </c>
      <c r="M53" s="107">
        <v>39234</v>
      </c>
      <c r="N53" s="109" t="s">
        <v>2</v>
      </c>
      <c r="O53" s="109" t="s">
        <v>189</v>
      </c>
      <c r="P53" s="109" t="s">
        <v>86</v>
      </c>
    </row>
    <row r="54" spans="1:16">
      <c r="A54" s="1" t="s">
        <v>57</v>
      </c>
      <c r="B54" s="22"/>
      <c r="C54" s="22"/>
      <c r="D54" s="22"/>
      <c r="E54" s="22"/>
      <c r="F54" s="22"/>
      <c r="G54" s="22"/>
      <c r="H54" s="22"/>
      <c r="I54" s="22"/>
      <c r="J54" s="22"/>
      <c r="K54" s="22"/>
      <c r="L54" s="22"/>
      <c r="M54" s="22"/>
      <c r="O54" s="28"/>
      <c r="P54" s="28"/>
    </row>
    <row r="55" spans="1:16">
      <c r="A55" t="s">
        <v>4</v>
      </c>
      <c r="B55" s="49">
        <v>67</v>
      </c>
      <c r="C55" s="49">
        <v>9</v>
      </c>
      <c r="D55" s="49">
        <v>54</v>
      </c>
      <c r="E55" s="49">
        <v>135</v>
      </c>
      <c r="F55" s="49">
        <v>101</v>
      </c>
      <c r="G55" s="49">
        <v>36</v>
      </c>
      <c r="H55" s="49">
        <v>16</v>
      </c>
      <c r="I55" s="49">
        <v>119</v>
      </c>
      <c r="J55" s="49">
        <v>111</v>
      </c>
      <c r="K55" s="49">
        <v>89</v>
      </c>
      <c r="L55" s="49">
        <v>31</v>
      </c>
      <c r="M55" s="49">
        <v>60</v>
      </c>
      <c r="N55" s="57">
        <f>SUM(B55:M55)</f>
        <v>828</v>
      </c>
      <c r="O55" s="28"/>
      <c r="P55" s="28"/>
    </row>
    <row r="56" spans="1:16">
      <c r="A56" t="s">
        <v>5</v>
      </c>
      <c r="B56" s="49">
        <v>293</v>
      </c>
      <c r="C56" s="49">
        <v>36</v>
      </c>
      <c r="D56" s="49">
        <v>227</v>
      </c>
      <c r="E56" s="49">
        <v>399</v>
      </c>
      <c r="F56" s="49">
        <v>348</v>
      </c>
      <c r="G56" s="49">
        <v>86</v>
      </c>
      <c r="H56" s="49">
        <v>35</v>
      </c>
      <c r="I56" s="49">
        <v>436</v>
      </c>
      <c r="J56" s="49">
        <v>435</v>
      </c>
      <c r="K56" s="49">
        <v>366</v>
      </c>
      <c r="L56" s="49">
        <v>108</v>
      </c>
      <c r="M56" s="49">
        <v>222</v>
      </c>
      <c r="N56" s="45">
        <f>SUM(B56:M56)</f>
        <v>2991</v>
      </c>
      <c r="O56" s="28">
        <v>0</v>
      </c>
      <c r="P56" s="28" t="s">
        <v>32</v>
      </c>
    </row>
    <row r="57" spans="1:16">
      <c r="B57" s="101"/>
      <c r="C57" s="101"/>
      <c r="D57" s="101"/>
      <c r="E57" s="101"/>
      <c r="F57" s="101"/>
      <c r="G57" s="101"/>
      <c r="H57" s="101"/>
      <c r="I57" s="101"/>
      <c r="J57" s="101"/>
      <c r="K57" s="101"/>
      <c r="L57" s="101"/>
      <c r="M57" s="101"/>
      <c r="N57" s="121"/>
      <c r="O57" s="28"/>
      <c r="P57" s="28"/>
    </row>
    <row r="58" spans="1:16">
      <c r="B58" s="101"/>
      <c r="C58" s="101"/>
      <c r="D58" s="101"/>
      <c r="E58" s="101"/>
      <c r="F58" s="101"/>
      <c r="G58" s="101"/>
      <c r="H58" s="101"/>
      <c r="I58" s="101"/>
      <c r="J58" s="101"/>
      <c r="K58" s="101"/>
      <c r="L58" s="101"/>
      <c r="M58" s="101"/>
      <c r="N58" s="121"/>
      <c r="O58" s="28"/>
      <c r="P58" s="28"/>
    </row>
    <row r="59" spans="1:16" ht="24">
      <c r="A59" s="106"/>
      <c r="B59" s="107">
        <v>38899</v>
      </c>
      <c r="C59" s="107">
        <v>38930</v>
      </c>
      <c r="D59" s="107">
        <v>38961</v>
      </c>
      <c r="E59" s="107">
        <v>38991</v>
      </c>
      <c r="F59" s="107">
        <v>39022</v>
      </c>
      <c r="G59" s="107">
        <v>39052</v>
      </c>
      <c r="H59" s="107">
        <v>39083</v>
      </c>
      <c r="I59" s="107">
        <v>39114</v>
      </c>
      <c r="J59" s="107">
        <v>39142</v>
      </c>
      <c r="K59" s="107">
        <v>39173</v>
      </c>
      <c r="L59" s="107">
        <v>39203</v>
      </c>
      <c r="M59" s="107">
        <v>39234</v>
      </c>
      <c r="N59" s="109" t="s">
        <v>2</v>
      </c>
      <c r="O59" s="109" t="s">
        <v>189</v>
      </c>
      <c r="P59" s="109" t="s">
        <v>86</v>
      </c>
    </row>
    <row r="60" spans="1:16">
      <c r="A60" s="1" t="s">
        <v>58</v>
      </c>
      <c r="B60" s="22"/>
      <c r="C60" s="22"/>
      <c r="D60" s="22"/>
      <c r="E60" s="22"/>
      <c r="F60" s="22"/>
      <c r="G60" s="22"/>
      <c r="H60" s="22"/>
      <c r="I60" s="22"/>
      <c r="J60" s="22"/>
      <c r="K60" s="22"/>
      <c r="L60" s="22"/>
      <c r="M60" s="22"/>
      <c r="O60" s="28"/>
      <c r="P60" s="28"/>
    </row>
    <row r="61" spans="1:16">
      <c r="A61" t="s">
        <v>4</v>
      </c>
      <c r="B61" s="49">
        <v>399</v>
      </c>
      <c r="C61" s="49">
        <v>74</v>
      </c>
      <c r="D61" s="49">
        <v>754</v>
      </c>
      <c r="E61" s="49">
        <v>1159</v>
      </c>
      <c r="F61" s="49">
        <v>1499</v>
      </c>
      <c r="G61" s="49">
        <v>408</v>
      </c>
      <c r="H61" s="49">
        <v>323</v>
      </c>
      <c r="I61" s="49">
        <v>1445</v>
      </c>
      <c r="J61" s="49">
        <v>1614</v>
      </c>
      <c r="K61" s="49">
        <v>2015</v>
      </c>
      <c r="L61" s="49">
        <v>311</v>
      </c>
      <c r="M61" s="49">
        <v>448</v>
      </c>
      <c r="N61" s="45">
        <f>SUM(B61:M61)</f>
        <v>10449</v>
      </c>
      <c r="O61" s="28"/>
      <c r="P61" s="28"/>
    </row>
    <row r="62" spans="1:16">
      <c r="A62" t="s">
        <v>5</v>
      </c>
      <c r="B62" s="49">
        <v>1742</v>
      </c>
      <c r="C62" s="49">
        <v>292</v>
      </c>
      <c r="D62" s="49">
        <v>3000</v>
      </c>
      <c r="E62" s="49">
        <v>4911</v>
      </c>
      <c r="F62" s="49">
        <v>5863</v>
      </c>
      <c r="G62" s="49">
        <v>1710</v>
      </c>
      <c r="H62" s="49">
        <v>1101</v>
      </c>
      <c r="I62" s="49">
        <v>5450</v>
      </c>
      <c r="J62" s="49">
        <v>6738</v>
      </c>
      <c r="K62" s="49">
        <v>8855</v>
      </c>
      <c r="L62" s="49">
        <v>1442</v>
      </c>
      <c r="M62" s="49">
        <v>2382</v>
      </c>
      <c r="N62" s="45">
        <f>SUM(B62:M62)</f>
        <v>43486</v>
      </c>
      <c r="O62" s="28">
        <v>5372</v>
      </c>
      <c r="P62" s="28">
        <f>O62/N62</f>
        <v>0.1235340109460516</v>
      </c>
    </row>
    <row r="63" spans="1:16">
      <c r="B63" s="101"/>
      <c r="C63" s="101"/>
      <c r="D63" s="101"/>
      <c r="E63" s="101"/>
      <c r="F63" s="101"/>
      <c r="G63" s="101"/>
      <c r="H63" s="101"/>
      <c r="I63" s="101"/>
      <c r="J63" s="101"/>
      <c r="K63" s="101"/>
      <c r="L63" s="101"/>
      <c r="M63" s="101"/>
      <c r="N63" s="121"/>
      <c r="O63" s="28"/>
      <c r="P63" s="28"/>
    </row>
    <row r="64" spans="1:16">
      <c r="B64" s="101"/>
      <c r="C64" s="101"/>
      <c r="D64" s="101"/>
      <c r="E64" s="101"/>
      <c r="F64" s="101"/>
      <c r="G64" s="101"/>
      <c r="H64" s="101"/>
      <c r="I64" s="101"/>
      <c r="J64" s="101"/>
      <c r="K64" s="101"/>
      <c r="L64" s="101"/>
      <c r="M64" s="101"/>
      <c r="N64" s="121"/>
      <c r="O64" s="28"/>
      <c r="P64" s="28"/>
    </row>
    <row r="65" spans="1:16" ht="24">
      <c r="A65" s="106"/>
      <c r="B65" s="107">
        <v>38899</v>
      </c>
      <c r="C65" s="107">
        <v>38930</v>
      </c>
      <c r="D65" s="107">
        <v>38961</v>
      </c>
      <c r="E65" s="107">
        <v>38991</v>
      </c>
      <c r="F65" s="107">
        <v>39022</v>
      </c>
      <c r="G65" s="107">
        <v>39052</v>
      </c>
      <c r="H65" s="107">
        <v>39083</v>
      </c>
      <c r="I65" s="107">
        <v>39114</v>
      </c>
      <c r="J65" s="107">
        <v>39142</v>
      </c>
      <c r="K65" s="107">
        <v>39173</v>
      </c>
      <c r="L65" s="107">
        <v>39203</v>
      </c>
      <c r="M65" s="107">
        <v>39234</v>
      </c>
      <c r="N65" s="109" t="s">
        <v>2</v>
      </c>
      <c r="O65" s="109" t="s">
        <v>189</v>
      </c>
      <c r="P65" s="109" t="s">
        <v>86</v>
      </c>
    </row>
    <row r="66" spans="1:16">
      <c r="A66" s="1" t="s">
        <v>59</v>
      </c>
      <c r="B66" s="22"/>
      <c r="C66" s="22"/>
      <c r="D66" s="22"/>
      <c r="E66" s="22"/>
      <c r="F66" s="22"/>
      <c r="G66" s="22"/>
      <c r="H66" s="22"/>
      <c r="I66" s="22"/>
      <c r="J66" s="22"/>
      <c r="K66" s="22"/>
      <c r="L66" s="22"/>
      <c r="M66" s="22"/>
      <c r="O66" s="28"/>
      <c r="P66" s="28"/>
    </row>
    <row r="67" spans="1:16">
      <c r="A67" t="s">
        <v>4</v>
      </c>
      <c r="B67" s="55">
        <v>21</v>
      </c>
      <c r="C67" s="55">
        <v>1</v>
      </c>
      <c r="D67" s="55">
        <v>27</v>
      </c>
      <c r="E67" s="55">
        <v>75</v>
      </c>
      <c r="F67" s="55">
        <v>93</v>
      </c>
      <c r="G67" s="56">
        <v>23</v>
      </c>
      <c r="H67" s="55">
        <v>6</v>
      </c>
      <c r="I67" s="55">
        <v>82</v>
      </c>
      <c r="J67" s="55">
        <v>105</v>
      </c>
      <c r="K67" s="55">
        <v>112</v>
      </c>
      <c r="L67" s="55">
        <v>25</v>
      </c>
      <c r="M67" s="56">
        <v>37</v>
      </c>
      <c r="N67" s="45">
        <f>SUM(B67:M67)</f>
        <v>607</v>
      </c>
      <c r="P67" s="28"/>
    </row>
    <row r="68" spans="1:16">
      <c r="A68" t="s">
        <v>5</v>
      </c>
      <c r="B68" s="49">
        <v>90</v>
      </c>
      <c r="C68" s="49">
        <v>8</v>
      </c>
      <c r="D68" s="49">
        <v>147</v>
      </c>
      <c r="E68" s="49">
        <v>216</v>
      </c>
      <c r="F68" s="49">
        <v>413</v>
      </c>
      <c r="G68" s="49">
        <v>70</v>
      </c>
      <c r="H68" s="49">
        <v>17</v>
      </c>
      <c r="I68" s="49">
        <v>289</v>
      </c>
      <c r="J68" s="49">
        <v>486</v>
      </c>
      <c r="K68" s="49">
        <v>531</v>
      </c>
      <c r="L68" s="49">
        <v>107</v>
      </c>
      <c r="M68" s="49">
        <v>130</v>
      </c>
      <c r="N68" s="45">
        <f>SUM(B68:M68)</f>
        <v>2504</v>
      </c>
      <c r="O68" s="28">
        <v>0</v>
      </c>
      <c r="P68" s="28" t="s">
        <v>32</v>
      </c>
    </row>
    <row r="69" spans="1:16">
      <c r="B69" s="101"/>
      <c r="C69" s="101"/>
      <c r="D69" s="101"/>
      <c r="E69" s="101"/>
      <c r="F69" s="101"/>
      <c r="G69" s="101"/>
      <c r="H69" s="101"/>
      <c r="I69" s="101"/>
      <c r="J69" s="101"/>
      <c r="K69" s="101"/>
      <c r="L69" s="101"/>
      <c r="M69" s="101"/>
      <c r="N69" s="121"/>
      <c r="O69" s="28"/>
      <c r="P69" s="28"/>
    </row>
    <row r="70" spans="1:16">
      <c r="B70" s="101"/>
      <c r="C70" s="101"/>
      <c r="D70" s="101"/>
      <c r="E70" s="101"/>
      <c r="F70" s="101"/>
      <c r="G70" s="101"/>
      <c r="H70" s="101"/>
      <c r="I70" s="101"/>
      <c r="J70" s="101"/>
      <c r="K70" s="101"/>
      <c r="L70" s="101"/>
      <c r="M70" s="101"/>
      <c r="N70" s="121"/>
      <c r="O70" s="28"/>
      <c r="P70" s="28"/>
    </row>
    <row r="71" spans="1:16" ht="24">
      <c r="A71" s="106"/>
      <c r="B71" s="107">
        <v>38899</v>
      </c>
      <c r="C71" s="107">
        <v>38930</v>
      </c>
      <c r="D71" s="107">
        <v>38961</v>
      </c>
      <c r="E71" s="107">
        <v>38991</v>
      </c>
      <c r="F71" s="107">
        <v>39022</v>
      </c>
      <c r="G71" s="107">
        <v>39052</v>
      </c>
      <c r="H71" s="107">
        <v>39083</v>
      </c>
      <c r="I71" s="107">
        <v>39114</v>
      </c>
      <c r="J71" s="107">
        <v>39142</v>
      </c>
      <c r="K71" s="107">
        <v>39173</v>
      </c>
      <c r="L71" s="107">
        <v>39203</v>
      </c>
      <c r="M71" s="107">
        <v>39234</v>
      </c>
      <c r="N71" s="109" t="s">
        <v>2</v>
      </c>
      <c r="O71" s="109" t="s">
        <v>189</v>
      </c>
      <c r="P71" s="109" t="s">
        <v>86</v>
      </c>
    </row>
    <row r="72" spans="1:16">
      <c r="A72" s="1" t="s">
        <v>60</v>
      </c>
      <c r="B72" s="22"/>
      <c r="C72" s="22"/>
      <c r="D72" s="22"/>
      <c r="E72" s="22"/>
      <c r="F72" s="22"/>
      <c r="G72" s="22"/>
      <c r="H72" s="22"/>
      <c r="I72" s="22"/>
      <c r="J72" s="22"/>
      <c r="K72" s="22"/>
      <c r="L72" s="22"/>
      <c r="M72" s="22"/>
      <c r="O72" s="28"/>
      <c r="P72" s="28"/>
    </row>
    <row r="73" spans="1:16">
      <c r="A73" t="s">
        <v>4</v>
      </c>
      <c r="B73" s="55">
        <v>10</v>
      </c>
      <c r="C73" s="55">
        <v>4</v>
      </c>
      <c r="D73" s="55">
        <v>45</v>
      </c>
      <c r="E73" s="55">
        <v>157</v>
      </c>
      <c r="F73" s="55">
        <v>52</v>
      </c>
      <c r="G73" s="56">
        <v>21</v>
      </c>
      <c r="H73" s="55">
        <v>4</v>
      </c>
      <c r="I73" s="55">
        <v>74</v>
      </c>
      <c r="J73" s="55">
        <v>58</v>
      </c>
      <c r="K73" s="55">
        <v>55</v>
      </c>
      <c r="L73" s="55">
        <v>15</v>
      </c>
      <c r="M73" s="56">
        <v>16</v>
      </c>
      <c r="N73" s="45">
        <f>SUM(B73:M73)</f>
        <v>511</v>
      </c>
      <c r="O73" s="28"/>
      <c r="P73" s="28"/>
    </row>
    <row r="74" spans="1:16">
      <c r="A74" t="s">
        <v>5</v>
      </c>
      <c r="B74" s="49">
        <v>49</v>
      </c>
      <c r="C74" s="49">
        <v>15</v>
      </c>
      <c r="D74" s="49">
        <v>165</v>
      </c>
      <c r="E74" s="49">
        <v>586</v>
      </c>
      <c r="F74" s="49">
        <v>203</v>
      </c>
      <c r="G74" s="49">
        <v>78</v>
      </c>
      <c r="H74" s="49">
        <v>19</v>
      </c>
      <c r="I74" s="49">
        <v>248</v>
      </c>
      <c r="J74" s="49">
        <v>251</v>
      </c>
      <c r="K74" s="49">
        <v>251</v>
      </c>
      <c r="L74" s="49">
        <v>69</v>
      </c>
      <c r="M74" s="49">
        <v>41</v>
      </c>
      <c r="N74" s="45">
        <f>SUM(B74:M74)</f>
        <v>1975</v>
      </c>
      <c r="O74" s="28">
        <v>2572</v>
      </c>
      <c r="P74" s="28">
        <f>O74/N74</f>
        <v>1.3022784810126582</v>
      </c>
    </row>
    <row r="75" spans="1:16">
      <c r="B75" s="101"/>
      <c r="C75" s="101"/>
      <c r="D75" s="101"/>
      <c r="E75" s="101"/>
      <c r="F75" s="101"/>
      <c r="G75" s="101"/>
      <c r="H75" s="101"/>
      <c r="I75" s="101"/>
      <c r="J75" s="101"/>
      <c r="K75" s="101"/>
      <c r="L75" s="101"/>
      <c r="M75" s="101"/>
      <c r="N75" s="121"/>
      <c r="O75" s="28"/>
      <c r="P75" s="28"/>
    </row>
    <row r="76" spans="1:16">
      <c r="B76" s="101"/>
      <c r="C76" s="101"/>
      <c r="D76" s="101"/>
      <c r="E76" s="101"/>
      <c r="F76" s="101"/>
      <c r="G76" s="101"/>
      <c r="H76" s="101"/>
      <c r="I76" s="101"/>
      <c r="J76" s="101"/>
      <c r="K76" s="101"/>
      <c r="L76" s="101"/>
      <c r="M76" s="101"/>
      <c r="N76" s="121"/>
      <c r="O76" s="28"/>
      <c r="P76" s="28"/>
    </row>
    <row r="77" spans="1:16" ht="24">
      <c r="A77" s="106"/>
      <c r="B77" s="107">
        <v>38899</v>
      </c>
      <c r="C77" s="107">
        <v>38930</v>
      </c>
      <c r="D77" s="107">
        <v>38961</v>
      </c>
      <c r="E77" s="107">
        <v>38991</v>
      </c>
      <c r="F77" s="107">
        <v>39022</v>
      </c>
      <c r="G77" s="107">
        <v>39052</v>
      </c>
      <c r="H77" s="107">
        <v>39083</v>
      </c>
      <c r="I77" s="107">
        <v>39114</v>
      </c>
      <c r="J77" s="107">
        <v>39142</v>
      </c>
      <c r="K77" s="107">
        <v>39173</v>
      </c>
      <c r="L77" s="107">
        <v>39203</v>
      </c>
      <c r="M77" s="107">
        <v>39234</v>
      </c>
      <c r="N77" s="109" t="s">
        <v>2</v>
      </c>
      <c r="O77" s="109" t="s">
        <v>189</v>
      </c>
      <c r="P77" s="109" t="s">
        <v>86</v>
      </c>
    </row>
    <row r="78" spans="1:16">
      <c r="A78" s="39" t="s">
        <v>97</v>
      </c>
      <c r="B78" s="22"/>
      <c r="C78" s="22"/>
      <c r="D78" s="22"/>
      <c r="E78" s="22"/>
      <c r="F78" s="22"/>
      <c r="G78" s="22"/>
      <c r="H78" s="22"/>
      <c r="I78" s="22"/>
      <c r="J78" s="22"/>
      <c r="K78" s="22"/>
      <c r="L78" s="22"/>
      <c r="M78" s="22"/>
      <c r="N78" s="13"/>
      <c r="O78" s="28"/>
      <c r="P78" s="28"/>
    </row>
    <row r="79" spans="1:16">
      <c r="A79" s="17" t="s">
        <v>4</v>
      </c>
      <c r="B79" s="33">
        <v>191</v>
      </c>
      <c r="C79" s="33">
        <v>15</v>
      </c>
      <c r="D79" s="33">
        <v>259</v>
      </c>
      <c r="E79" s="33">
        <v>505</v>
      </c>
      <c r="F79" s="33">
        <v>384</v>
      </c>
      <c r="G79" s="33">
        <v>204</v>
      </c>
      <c r="H79" s="48">
        <v>73</v>
      </c>
      <c r="I79" s="48">
        <v>381</v>
      </c>
      <c r="J79" s="49">
        <v>401</v>
      </c>
      <c r="K79" s="49">
        <v>370</v>
      </c>
      <c r="L79" s="49">
        <v>114</v>
      </c>
      <c r="M79" s="49">
        <v>362</v>
      </c>
      <c r="N79" s="45">
        <f>SUM(B79:M79)</f>
        <v>3259</v>
      </c>
      <c r="O79" s="28"/>
      <c r="P79" s="28"/>
    </row>
    <row r="80" spans="1:16">
      <c r="A80" s="17" t="s">
        <v>5</v>
      </c>
      <c r="B80" s="33">
        <v>850</v>
      </c>
      <c r="C80" s="33">
        <v>60</v>
      </c>
      <c r="D80" s="33">
        <v>1089</v>
      </c>
      <c r="E80" s="33">
        <v>2110</v>
      </c>
      <c r="F80" s="33">
        <v>1571</v>
      </c>
      <c r="G80" s="33">
        <v>802</v>
      </c>
      <c r="H80" s="48">
        <v>311</v>
      </c>
      <c r="I80" s="48">
        <v>1523</v>
      </c>
      <c r="J80" s="49">
        <v>1663</v>
      </c>
      <c r="K80" s="49">
        <v>1424</v>
      </c>
      <c r="L80" s="49">
        <v>378</v>
      </c>
      <c r="M80" s="49">
        <v>1511</v>
      </c>
      <c r="N80" s="45">
        <f>SUM(B80:M80)</f>
        <v>13292</v>
      </c>
      <c r="O80" s="28">
        <v>0</v>
      </c>
      <c r="P80" s="28" t="s">
        <v>32</v>
      </c>
    </row>
    <row r="81" spans="1:16">
      <c r="A81" s="17"/>
      <c r="B81" s="19"/>
      <c r="C81" s="19"/>
      <c r="D81" s="19"/>
      <c r="E81" s="19"/>
      <c r="F81" s="19"/>
      <c r="G81" s="19"/>
      <c r="H81" s="122"/>
      <c r="I81" s="122"/>
      <c r="J81" s="101"/>
      <c r="K81" s="101"/>
      <c r="L81" s="101"/>
      <c r="M81" s="101"/>
      <c r="N81" s="121"/>
      <c r="O81" s="28"/>
      <c r="P81" s="28"/>
    </row>
    <row r="82" spans="1:16">
      <c r="A82" s="17"/>
      <c r="B82" s="19"/>
      <c r="C82" s="19"/>
      <c r="D82" s="19"/>
      <c r="E82" s="19"/>
      <c r="F82" s="19"/>
      <c r="G82" s="19"/>
      <c r="H82" s="122"/>
      <c r="I82" s="122"/>
      <c r="J82" s="101"/>
      <c r="K82" s="101"/>
      <c r="L82" s="101"/>
      <c r="M82" s="101"/>
      <c r="N82" s="121"/>
      <c r="O82" s="28"/>
      <c r="P82" s="28"/>
    </row>
    <row r="83" spans="1:16" ht="24">
      <c r="A83" s="106"/>
      <c r="B83" s="107">
        <v>38899</v>
      </c>
      <c r="C83" s="107">
        <v>38930</v>
      </c>
      <c r="D83" s="107">
        <v>38961</v>
      </c>
      <c r="E83" s="107">
        <v>38991</v>
      </c>
      <c r="F83" s="107">
        <v>39022</v>
      </c>
      <c r="G83" s="107">
        <v>39052</v>
      </c>
      <c r="H83" s="107">
        <v>39083</v>
      </c>
      <c r="I83" s="107">
        <v>39114</v>
      </c>
      <c r="J83" s="107">
        <v>39142</v>
      </c>
      <c r="K83" s="107">
        <v>39173</v>
      </c>
      <c r="L83" s="107">
        <v>39203</v>
      </c>
      <c r="M83" s="107">
        <v>39234</v>
      </c>
      <c r="N83" s="109" t="s">
        <v>2</v>
      </c>
      <c r="O83" s="109" t="s">
        <v>189</v>
      </c>
      <c r="P83" s="109" t="s">
        <v>86</v>
      </c>
    </row>
    <row r="84" spans="1:16">
      <c r="A84" s="1" t="s">
        <v>197</v>
      </c>
      <c r="B84" s="22"/>
      <c r="C84" s="22"/>
      <c r="D84" s="22"/>
      <c r="E84" s="22"/>
      <c r="F84" s="22"/>
      <c r="G84" s="22"/>
      <c r="H84" s="22"/>
      <c r="I84" s="22"/>
      <c r="J84" s="22"/>
      <c r="K84" s="22"/>
      <c r="L84" s="22"/>
      <c r="M84" s="22"/>
      <c r="O84" s="28"/>
      <c r="P84" s="28"/>
    </row>
    <row r="85" spans="1:16">
      <c r="A85" t="s">
        <v>4</v>
      </c>
      <c r="B85" s="55">
        <v>36</v>
      </c>
      <c r="C85" s="55">
        <v>3</v>
      </c>
      <c r="D85" s="55">
        <v>39</v>
      </c>
      <c r="E85" s="55">
        <v>110</v>
      </c>
      <c r="F85" s="55">
        <v>141</v>
      </c>
      <c r="G85" s="56">
        <v>34</v>
      </c>
      <c r="H85" s="55">
        <v>12</v>
      </c>
      <c r="I85" s="55">
        <v>78</v>
      </c>
      <c r="J85" s="55">
        <v>62</v>
      </c>
      <c r="K85" s="55">
        <v>104</v>
      </c>
      <c r="L85" s="55">
        <v>24</v>
      </c>
      <c r="M85" s="56">
        <v>44</v>
      </c>
      <c r="N85" s="57">
        <f>SUM(B85:M85)</f>
        <v>687</v>
      </c>
      <c r="O85" s="28"/>
      <c r="P85" s="28"/>
    </row>
    <row r="86" spans="1:16">
      <c r="A86" t="s">
        <v>5</v>
      </c>
      <c r="B86" s="49">
        <v>173</v>
      </c>
      <c r="C86" s="49">
        <v>15</v>
      </c>
      <c r="D86" s="49">
        <v>125</v>
      </c>
      <c r="E86" s="49">
        <v>297</v>
      </c>
      <c r="F86" s="49">
        <v>506</v>
      </c>
      <c r="G86" s="49">
        <v>79</v>
      </c>
      <c r="H86" s="49">
        <v>40</v>
      </c>
      <c r="I86" s="49">
        <v>262</v>
      </c>
      <c r="J86" s="49">
        <v>243</v>
      </c>
      <c r="K86" s="49">
        <v>342</v>
      </c>
      <c r="L86" s="49">
        <v>94</v>
      </c>
      <c r="M86" s="49">
        <v>146</v>
      </c>
      <c r="N86" s="45">
        <f>SUM(B86:M86)</f>
        <v>2322</v>
      </c>
      <c r="O86" s="28">
        <v>2950</v>
      </c>
      <c r="P86" s="28">
        <f>O86/N86</f>
        <v>1.2704565030146426</v>
      </c>
    </row>
    <row r="87" spans="1:16">
      <c r="B87" s="101"/>
      <c r="C87" s="101"/>
      <c r="D87" s="101"/>
      <c r="E87" s="101"/>
      <c r="F87" s="101"/>
      <c r="G87" s="101"/>
      <c r="H87" s="101"/>
      <c r="I87" s="101"/>
      <c r="J87" s="101"/>
      <c r="K87" s="101"/>
      <c r="L87" s="101"/>
      <c r="M87" s="101"/>
      <c r="N87" s="121"/>
      <c r="O87" s="28"/>
      <c r="P87" s="28"/>
    </row>
    <row r="88" spans="1:16">
      <c r="B88" s="101"/>
      <c r="C88" s="101"/>
      <c r="D88" s="101"/>
      <c r="E88" s="101"/>
      <c r="F88" s="101"/>
      <c r="G88" s="101"/>
      <c r="H88" s="101"/>
      <c r="I88" s="101"/>
      <c r="J88" s="101"/>
      <c r="K88" s="101"/>
      <c r="L88" s="101"/>
      <c r="M88" s="101"/>
      <c r="N88" s="121"/>
      <c r="O88" s="28"/>
      <c r="P88" s="28"/>
    </row>
    <row r="89" spans="1:16" ht="24">
      <c r="A89" s="106"/>
      <c r="B89" s="107">
        <v>38899</v>
      </c>
      <c r="C89" s="107">
        <v>38930</v>
      </c>
      <c r="D89" s="107">
        <v>38961</v>
      </c>
      <c r="E89" s="107">
        <v>38991</v>
      </c>
      <c r="F89" s="107">
        <v>39022</v>
      </c>
      <c r="G89" s="107">
        <v>39052</v>
      </c>
      <c r="H89" s="107">
        <v>39083</v>
      </c>
      <c r="I89" s="107">
        <v>39114</v>
      </c>
      <c r="J89" s="107">
        <v>39142</v>
      </c>
      <c r="K89" s="107">
        <v>39173</v>
      </c>
      <c r="L89" s="107">
        <v>39203</v>
      </c>
      <c r="M89" s="107">
        <v>39234</v>
      </c>
      <c r="N89" s="109" t="s">
        <v>2</v>
      </c>
      <c r="O89" s="109" t="s">
        <v>189</v>
      </c>
      <c r="P89" s="109" t="s">
        <v>186</v>
      </c>
    </row>
    <row r="90" spans="1:16">
      <c r="A90" s="1" t="s">
        <v>85</v>
      </c>
      <c r="B90" s="22"/>
      <c r="C90" s="22"/>
      <c r="D90" s="22"/>
      <c r="E90" s="22"/>
      <c r="F90" s="22"/>
      <c r="G90" s="22"/>
      <c r="H90" s="22"/>
      <c r="I90" s="22"/>
      <c r="J90" s="22"/>
      <c r="K90" s="22"/>
      <c r="L90" s="22"/>
      <c r="M90" s="22"/>
      <c r="O90" s="28"/>
      <c r="P90" s="28"/>
    </row>
    <row r="91" spans="1:16">
      <c r="A91" t="s">
        <v>4</v>
      </c>
      <c r="B91" s="91">
        <f>B7+B13+B19+B25+B31+B37+B43+B49+B55+B61+B67+B73+B79+B85</f>
        <v>6507</v>
      </c>
      <c r="C91" s="91">
        <f t="shared" ref="C91:M91" si="0">C7+C13+C19+C25+C31+C37+C43+C49+C55+C61+C67+C73+C79+C85</f>
        <v>1302</v>
      </c>
      <c r="D91" s="91">
        <f t="shared" si="0"/>
        <v>6439</v>
      </c>
      <c r="E91" s="91">
        <f t="shared" si="0"/>
        <v>17488</v>
      </c>
      <c r="F91" s="91">
        <f t="shared" si="0"/>
        <v>17370</v>
      </c>
      <c r="G91" s="91">
        <f t="shared" si="0"/>
        <v>7822</v>
      </c>
      <c r="H91" s="91">
        <f t="shared" si="0"/>
        <v>3033</v>
      </c>
      <c r="I91" s="91">
        <f t="shared" si="0"/>
        <v>12428</v>
      </c>
      <c r="J91" s="91">
        <f t="shared" si="0"/>
        <v>15034</v>
      </c>
      <c r="K91" s="91">
        <f t="shared" si="0"/>
        <v>16363</v>
      </c>
      <c r="L91" s="91">
        <f t="shared" si="0"/>
        <v>3974</v>
      </c>
      <c r="M91" s="91">
        <f t="shared" si="0"/>
        <v>4244</v>
      </c>
      <c r="N91" s="57">
        <f>SUM(B91:M91)</f>
        <v>112004</v>
      </c>
      <c r="O91" s="28"/>
      <c r="P91" s="28"/>
    </row>
    <row r="92" spans="1:16">
      <c r="A92" t="s">
        <v>5</v>
      </c>
      <c r="B92" s="125">
        <f>B8+B14+B20+B26+B32+B38+B44+B50+B56+B62+B68+B74+B80+B86</f>
        <v>26136</v>
      </c>
      <c r="C92" s="125">
        <f t="shared" ref="C92:M92" si="1">C8+C14+C20+C26+C32+C38+C44+C50+C56+C62+C68+C74+C80+C86</f>
        <v>2709</v>
      </c>
      <c r="D92" s="125">
        <f t="shared" si="1"/>
        <v>18843</v>
      </c>
      <c r="E92" s="125">
        <f t="shared" si="1"/>
        <v>59113</v>
      </c>
      <c r="F92" s="125">
        <f t="shared" si="1"/>
        <v>55982</v>
      </c>
      <c r="G92" s="125">
        <f t="shared" si="1"/>
        <v>23293</v>
      </c>
      <c r="H92" s="125">
        <f t="shared" si="1"/>
        <v>7854</v>
      </c>
      <c r="I92" s="125">
        <f t="shared" si="1"/>
        <v>40428</v>
      </c>
      <c r="J92" s="125">
        <f t="shared" si="1"/>
        <v>50582</v>
      </c>
      <c r="K92" s="125">
        <f t="shared" si="1"/>
        <v>55576</v>
      </c>
      <c r="L92" s="125">
        <f t="shared" si="1"/>
        <v>13551</v>
      </c>
      <c r="M92" s="125">
        <f t="shared" si="1"/>
        <v>15288</v>
      </c>
      <c r="N92" s="45">
        <f>SUM(B92:M92)</f>
        <v>369355</v>
      </c>
      <c r="O92" s="28">
        <f>O8+O14+O20+O26+O32+O38+O44+O50+O56+O62+O68+O74+O80+O86</f>
        <v>55833</v>
      </c>
      <c r="P92" s="28">
        <f>O92/N92</f>
        <v>0.15116351477575773</v>
      </c>
    </row>
    <row r="93" spans="1:16">
      <c r="A93" t="s">
        <v>119</v>
      </c>
      <c r="B93" s="125">
        <v>12424</v>
      </c>
      <c r="C93" s="125">
        <v>1728</v>
      </c>
      <c r="D93" s="125">
        <v>9661</v>
      </c>
      <c r="E93" s="125">
        <v>29916</v>
      </c>
      <c r="F93" s="125">
        <v>32790</v>
      </c>
      <c r="G93" s="125">
        <v>13896</v>
      </c>
      <c r="H93" s="125">
        <v>4005</v>
      </c>
      <c r="I93" s="125">
        <v>20135</v>
      </c>
      <c r="J93" s="125">
        <v>29061</v>
      </c>
      <c r="K93" s="125">
        <v>36111</v>
      </c>
      <c r="L93" s="125">
        <v>7612</v>
      </c>
      <c r="M93" s="125">
        <v>8512</v>
      </c>
      <c r="N93" s="45">
        <f>SUM(B93:M93)</f>
        <v>205851</v>
      </c>
      <c r="O93" s="28">
        <f>O92</f>
        <v>55833</v>
      </c>
      <c r="P93" s="28">
        <f>O93/N93</f>
        <v>0.27123016162175556</v>
      </c>
    </row>
    <row r="97" spans="1:2">
      <c r="A97" t="s">
        <v>259</v>
      </c>
      <c r="B97" t="s">
        <v>260</v>
      </c>
    </row>
  </sheetData>
  <phoneticPr fontId="2" type="noConversion"/>
  <pageMargins left="0.75" right="0.75" top="1" bottom="1" header="0.5" footer="0.5"/>
  <pageSetup scale="84" fitToHeight="4" orientation="landscape"/>
  <headerFooter>
    <oddFooter>&amp;L&amp;K000000EBSCOhost&amp;R&amp;K0000002006-07 usage</oddFooter>
  </headerFooter>
  <ignoredErrors>
    <ignoredError sqref="N92" formula="1"/>
  </ignoredErrors>
  <extLst>
    <ext xmlns:mx="http://schemas.microsoft.com/office/mac/excel/2008/main" uri="{64002731-A6B0-56B0-2670-7721B7C09600}">
      <mx:PLV Mode="0" OnePage="0" WScale="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4"/>
  <sheetViews>
    <sheetView workbookViewId="0">
      <selection activeCell="A2" sqref="A2"/>
    </sheetView>
  </sheetViews>
  <sheetFormatPr baseColWidth="10" defaultColWidth="8.83203125" defaultRowHeight="12" x14ac:dyDescent="0"/>
  <cols>
    <col min="1" max="1" width="26.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1640625" bestFit="1" customWidth="1"/>
    <col min="16" max="16" width="8.33203125" bestFit="1" customWidth="1"/>
  </cols>
  <sheetData>
    <row r="1" spans="1:16" ht="18">
      <c r="A1" s="118" t="s">
        <v>208</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09" t="s">
        <v>189</v>
      </c>
      <c r="P5" s="109" t="s">
        <v>186</v>
      </c>
    </row>
    <row r="6" spans="1:16">
      <c r="A6" s="1" t="s">
        <v>210</v>
      </c>
      <c r="O6" s="28"/>
      <c r="P6" s="28"/>
    </row>
    <row r="7" spans="1:16">
      <c r="A7" t="s">
        <v>4</v>
      </c>
      <c r="B7" s="49">
        <v>6</v>
      </c>
      <c r="C7" s="49">
        <v>18</v>
      </c>
      <c r="D7" s="49">
        <v>44</v>
      </c>
      <c r="E7" s="49">
        <v>50</v>
      </c>
      <c r="F7" s="49">
        <v>76</v>
      </c>
      <c r="G7" s="49">
        <v>31</v>
      </c>
      <c r="H7" s="49">
        <v>31</v>
      </c>
      <c r="I7" s="49">
        <v>71</v>
      </c>
      <c r="J7" s="49">
        <v>100</v>
      </c>
      <c r="K7" s="49">
        <v>112</v>
      </c>
      <c r="L7" s="49">
        <v>72</v>
      </c>
      <c r="M7" s="49">
        <v>63</v>
      </c>
      <c r="N7" s="45">
        <f>SUM(B7:M7)</f>
        <v>674</v>
      </c>
      <c r="O7" s="28"/>
      <c r="P7" s="28"/>
    </row>
    <row r="8" spans="1:16">
      <c r="A8" t="s">
        <v>5</v>
      </c>
      <c r="B8" s="49">
        <v>37</v>
      </c>
      <c r="C8" s="49">
        <v>60</v>
      </c>
      <c r="D8" s="49">
        <v>185</v>
      </c>
      <c r="E8" s="49">
        <v>151</v>
      </c>
      <c r="F8" s="49">
        <v>236</v>
      </c>
      <c r="G8" s="49">
        <v>121</v>
      </c>
      <c r="H8" s="49">
        <v>107</v>
      </c>
      <c r="I8" s="49">
        <v>243</v>
      </c>
      <c r="J8" s="49">
        <v>327</v>
      </c>
      <c r="K8" s="49">
        <v>364</v>
      </c>
      <c r="L8" s="49">
        <v>176</v>
      </c>
      <c r="M8" s="49">
        <v>233</v>
      </c>
      <c r="N8" s="45">
        <f>SUM(B8:M8)</f>
        <v>2240</v>
      </c>
      <c r="O8" s="28">
        <v>9045</v>
      </c>
      <c r="P8" s="28">
        <f>O8/N8</f>
        <v>4.0379464285714288</v>
      </c>
    </row>
    <row r="9" spans="1:16">
      <c r="A9" s="17"/>
      <c r="B9" s="17"/>
      <c r="C9" s="17"/>
      <c r="D9" s="17"/>
      <c r="E9" s="17"/>
      <c r="F9" s="17"/>
      <c r="G9" s="17"/>
      <c r="H9" s="17"/>
      <c r="I9" s="17"/>
      <c r="J9" s="17"/>
      <c r="K9" s="17"/>
      <c r="L9" s="17"/>
      <c r="M9" s="17"/>
      <c r="N9" s="13"/>
      <c r="O9" s="28"/>
      <c r="P9" s="28"/>
    </row>
    <row r="10" spans="1:16">
      <c r="A10" s="1" t="s">
        <v>209</v>
      </c>
      <c r="B10" s="22"/>
      <c r="C10" s="22"/>
      <c r="D10" s="22"/>
      <c r="E10" s="22"/>
      <c r="F10" s="22"/>
      <c r="G10" s="22"/>
      <c r="H10" s="22"/>
      <c r="I10" s="22"/>
      <c r="J10" s="22"/>
      <c r="K10" s="22"/>
      <c r="L10" s="22"/>
      <c r="M10" s="22"/>
      <c r="O10" s="28"/>
      <c r="P10" s="28"/>
    </row>
    <row r="11" spans="1:16">
      <c r="A11" t="s">
        <v>211</v>
      </c>
      <c r="B11" s="40">
        <v>0</v>
      </c>
      <c r="C11" s="40">
        <v>6</v>
      </c>
      <c r="D11" s="40">
        <v>3</v>
      </c>
      <c r="E11" s="40">
        <v>19</v>
      </c>
      <c r="F11" s="40">
        <v>97</v>
      </c>
      <c r="G11" s="41">
        <v>418</v>
      </c>
      <c r="H11" s="40">
        <v>1</v>
      </c>
      <c r="I11" s="40">
        <v>12</v>
      </c>
      <c r="J11" s="40">
        <v>7</v>
      </c>
      <c r="K11" s="40">
        <v>3</v>
      </c>
      <c r="L11" s="40">
        <v>25</v>
      </c>
      <c r="M11" s="41">
        <v>37</v>
      </c>
      <c r="N11" s="45">
        <f>SUM(B11:M11)</f>
        <v>628</v>
      </c>
      <c r="O11" s="28">
        <v>615</v>
      </c>
      <c r="P11" s="28">
        <f>O11/N11</f>
        <v>0.97929936305732479</v>
      </c>
    </row>
    <row r="12" spans="1:16">
      <c r="A12" s="17"/>
      <c r="B12" s="13"/>
      <c r="C12" s="13"/>
      <c r="D12" s="13"/>
      <c r="E12" s="13"/>
      <c r="F12" s="13"/>
      <c r="G12" s="13"/>
      <c r="H12" s="13"/>
      <c r="I12" s="13"/>
      <c r="J12" s="13"/>
      <c r="K12" s="13"/>
      <c r="L12" s="13"/>
      <c r="M12" s="13"/>
      <c r="N12" s="13"/>
      <c r="O12" s="28"/>
      <c r="P12" s="28"/>
    </row>
    <row r="14" spans="1:16">
      <c r="A14" t="s">
        <v>259</v>
      </c>
      <c r="B14" t="s">
        <v>261</v>
      </c>
    </row>
  </sheetData>
  <phoneticPr fontId="2" type="noConversion"/>
  <pageMargins left="0.75" right="0.75" top="1" bottom="1" header="0.5" footer="0.5"/>
  <pageSetup scale="88" fitToHeight="4" orientation="landscape"/>
  <headerFooter>
    <oddFooter>&amp;L&amp;K000000Elsevier&amp;R&amp;K0000002006-07 usage</oddFooter>
  </headerFooter>
  <extLst>
    <ext xmlns:mx="http://schemas.microsoft.com/office/mac/excel/2008/main" uri="{64002731-A6B0-56B0-2670-7721B7C09600}">
      <mx:PLV Mode="0" OnePage="0" WScale="0"/>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31"/>
  <sheetViews>
    <sheetView workbookViewId="0"/>
  </sheetViews>
  <sheetFormatPr baseColWidth="10" defaultColWidth="8.83203125" defaultRowHeight="12" x14ac:dyDescent="0"/>
  <cols>
    <col min="1" max="1" width="32.8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33203125" customWidth="1"/>
    <col min="15" max="15" width="9.1640625" bestFit="1" customWidth="1"/>
    <col min="16" max="16" width="8.33203125" bestFit="1" customWidth="1"/>
  </cols>
  <sheetData>
    <row r="1" spans="1:16" ht="18">
      <c r="A1" s="118" t="s">
        <v>33</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09" t="s">
        <v>189</v>
      </c>
      <c r="P5" s="109" t="s">
        <v>86</v>
      </c>
    </row>
    <row r="6" spans="1:16">
      <c r="A6" s="12" t="s">
        <v>34</v>
      </c>
      <c r="B6" s="13"/>
      <c r="C6" s="13"/>
      <c r="D6" s="13"/>
      <c r="E6" s="13"/>
      <c r="F6" s="13"/>
      <c r="G6" s="13"/>
      <c r="H6" s="13"/>
      <c r="I6" s="13"/>
      <c r="J6" s="13"/>
      <c r="K6" s="13"/>
      <c r="L6" s="13"/>
      <c r="M6" s="13"/>
      <c r="N6" s="13"/>
      <c r="O6" s="28"/>
      <c r="P6" s="28"/>
    </row>
    <row r="7" spans="1:16">
      <c r="A7" s="16" t="s">
        <v>5</v>
      </c>
      <c r="B7" s="40">
        <v>0</v>
      </c>
      <c r="C7" s="40">
        <v>0</v>
      </c>
      <c r="D7" s="40">
        <v>20</v>
      </c>
      <c r="E7" s="40">
        <v>27</v>
      </c>
      <c r="F7" s="40">
        <v>0</v>
      </c>
      <c r="G7" s="41">
        <v>3</v>
      </c>
      <c r="H7" s="40">
        <v>0</v>
      </c>
      <c r="I7" s="40">
        <v>0</v>
      </c>
      <c r="J7" s="40">
        <v>0</v>
      </c>
      <c r="K7" s="40">
        <v>0</v>
      </c>
      <c r="L7" s="40">
        <v>0</v>
      </c>
      <c r="M7" s="88">
        <v>3</v>
      </c>
      <c r="N7" s="45">
        <f>SUM(B7:M7)</f>
        <v>53</v>
      </c>
      <c r="O7" s="28">
        <f>P7*N7</f>
        <v>53</v>
      </c>
      <c r="P7" s="28">
        <v>1</v>
      </c>
    </row>
    <row r="8" spans="1:16">
      <c r="A8" s="16"/>
      <c r="B8" s="101"/>
      <c r="C8" s="101"/>
      <c r="D8" s="101"/>
      <c r="E8" s="101"/>
      <c r="F8" s="101"/>
      <c r="G8" s="101"/>
      <c r="H8" s="101"/>
      <c r="I8" s="101"/>
      <c r="J8" s="101"/>
      <c r="K8" s="101"/>
      <c r="L8" s="101"/>
      <c r="M8" s="101"/>
      <c r="N8" s="121"/>
      <c r="O8" s="28"/>
      <c r="P8" s="28"/>
    </row>
    <row r="9" spans="1:16">
      <c r="A9" s="16"/>
      <c r="B9" s="101"/>
      <c r="C9" s="101"/>
      <c r="D9" s="101"/>
      <c r="E9" s="101"/>
      <c r="F9" s="101"/>
      <c r="G9" s="101"/>
      <c r="H9" s="101"/>
      <c r="I9" s="101"/>
      <c r="J9" s="101"/>
      <c r="K9" s="101"/>
      <c r="L9" s="101"/>
      <c r="M9" s="101"/>
      <c r="N9" s="121"/>
      <c r="O9" s="28"/>
      <c r="P9" s="28"/>
    </row>
    <row r="10" spans="1:16" ht="24">
      <c r="A10" s="106"/>
      <c r="B10" s="107">
        <v>38899</v>
      </c>
      <c r="C10" s="107">
        <v>38930</v>
      </c>
      <c r="D10" s="107">
        <v>38961</v>
      </c>
      <c r="E10" s="107">
        <v>38991</v>
      </c>
      <c r="F10" s="107">
        <v>39022</v>
      </c>
      <c r="G10" s="107">
        <v>39052</v>
      </c>
      <c r="H10" s="107">
        <v>39083</v>
      </c>
      <c r="I10" s="107">
        <v>39114</v>
      </c>
      <c r="J10" s="107">
        <v>39142</v>
      </c>
      <c r="K10" s="107">
        <v>39173</v>
      </c>
      <c r="L10" s="107">
        <v>39203</v>
      </c>
      <c r="M10" s="107">
        <v>39234</v>
      </c>
      <c r="N10" s="108" t="s">
        <v>2</v>
      </c>
      <c r="O10" s="109" t="s">
        <v>189</v>
      </c>
      <c r="P10" s="109" t="s">
        <v>86</v>
      </c>
    </row>
    <row r="11" spans="1:16">
      <c r="A11" s="12" t="s">
        <v>43</v>
      </c>
      <c r="B11" s="22"/>
      <c r="C11" s="22"/>
      <c r="D11" s="22"/>
      <c r="E11" s="22"/>
      <c r="F11" s="22"/>
      <c r="G11" s="22"/>
      <c r="H11" s="22"/>
      <c r="I11" s="22"/>
      <c r="J11" s="22"/>
      <c r="K11" s="22"/>
      <c r="L11" s="22"/>
      <c r="M11" s="22"/>
      <c r="O11" s="28"/>
      <c r="P11" s="28"/>
    </row>
    <row r="12" spans="1:16">
      <c r="A12" s="16" t="s">
        <v>5</v>
      </c>
      <c r="B12" s="7">
        <v>0</v>
      </c>
      <c r="C12" s="7">
        <v>0</v>
      </c>
      <c r="D12" s="7">
        <v>12</v>
      </c>
      <c r="E12" s="7">
        <v>11</v>
      </c>
      <c r="F12" s="7">
        <v>0</v>
      </c>
      <c r="G12" s="8">
        <v>0</v>
      </c>
      <c r="H12" s="7">
        <v>0</v>
      </c>
      <c r="I12" s="7">
        <v>0</v>
      </c>
      <c r="J12" s="7">
        <v>4</v>
      </c>
      <c r="K12" s="7">
        <v>0</v>
      </c>
      <c r="L12" s="7">
        <v>0</v>
      </c>
      <c r="M12" s="25">
        <v>0</v>
      </c>
      <c r="N12" s="9">
        <f>SUM(B12:M12)</f>
        <v>27</v>
      </c>
      <c r="O12" s="28">
        <f>P12*N12</f>
        <v>27</v>
      </c>
      <c r="P12" s="28">
        <v>1</v>
      </c>
    </row>
    <row r="13" spans="1:16">
      <c r="A13" s="16"/>
      <c r="B13" s="19"/>
      <c r="C13" s="19"/>
      <c r="D13" s="19"/>
      <c r="E13" s="19"/>
      <c r="F13" s="19"/>
      <c r="G13" s="19"/>
      <c r="H13" s="19"/>
      <c r="I13" s="19"/>
      <c r="J13" s="19"/>
      <c r="K13" s="19"/>
      <c r="L13" s="19"/>
      <c r="M13" s="19"/>
      <c r="N13" s="17"/>
      <c r="O13" s="28"/>
      <c r="P13" s="28"/>
    </row>
    <row r="14" spans="1:16">
      <c r="A14" s="16"/>
      <c r="B14" s="19"/>
      <c r="C14" s="19"/>
      <c r="D14" s="19"/>
      <c r="E14" s="19"/>
      <c r="F14" s="19"/>
      <c r="G14" s="19"/>
      <c r="H14" s="19"/>
      <c r="I14" s="19"/>
      <c r="J14" s="19"/>
      <c r="K14" s="19"/>
      <c r="L14" s="19"/>
      <c r="M14" s="19"/>
      <c r="N14" s="17"/>
      <c r="O14" s="28"/>
      <c r="P14" s="28"/>
    </row>
    <row r="15" spans="1:16" ht="24">
      <c r="A15" s="106"/>
      <c r="B15" s="107">
        <v>38899</v>
      </c>
      <c r="C15" s="107">
        <v>38930</v>
      </c>
      <c r="D15" s="107">
        <v>38961</v>
      </c>
      <c r="E15" s="107">
        <v>38991</v>
      </c>
      <c r="F15" s="107">
        <v>39022</v>
      </c>
      <c r="G15" s="107">
        <v>39052</v>
      </c>
      <c r="H15" s="107">
        <v>39083</v>
      </c>
      <c r="I15" s="107">
        <v>39114</v>
      </c>
      <c r="J15" s="107">
        <v>39142</v>
      </c>
      <c r="K15" s="107">
        <v>39173</v>
      </c>
      <c r="L15" s="107">
        <v>39203</v>
      </c>
      <c r="M15" s="107">
        <v>39234</v>
      </c>
      <c r="N15" s="108" t="s">
        <v>2</v>
      </c>
      <c r="O15" s="109" t="s">
        <v>189</v>
      </c>
      <c r="P15" s="109" t="s">
        <v>86</v>
      </c>
    </row>
    <row r="16" spans="1:16">
      <c r="A16" s="1" t="s">
        <v>42</v>
      </c>
      <c r="B16" s="22"/>
      <c r="C16" s="22"/>
      <c r="D16" s="22"/>
      <c r="E16" s="22"/>
      <c r="F16" s="22"/>
      <c r="G16" s="22"/>
      <c r="H16" s="22"/>
      <c r="I16" s="22"/>
      <c r="J16" s="22"/>
      <c r="K16" s="22"/>
      <c r="L16" s="22"/>
      <c r="M16" s="22"/>
      <c r="O16" s="28"/>
      <c r="P16" s="28"/>
    </row>
    <row r="17" spans="1:16">
      <c r="A17" t="s">
        <v>4</v>
      </c>
      <c r="B17" s="40">
        <v>160</v>
      </c>
      <c r="C17" s="40">
        <v>63</v>
      </c>
      <c r="D17" s="40">
        <v>194</v>
      </c>
      <c r="E17" s="40">
        <v>391</v>
      </c>
      <c r="F17" s="40">
        <v>400</v>
      </c>
      <c r="G17" s="41">
        <v>193</v>
      </c>
      <c r="H17" s="40">
        <v>118</v>
      </c>
      <c r="I17" s="40">
        <v>225</v>
      </c>
      <c r="J17" s="40">
        <v>301</v>
      </c>
      <c r="K17" s="40">
        <v>297</v>
      </c>
      <c r="L17" s="40">
        <v>91</v>
      </c>
      <c r="M17" s="41">
        <v>101</v>
      </c>
      <c r="N17" s="45">
        <f>SUM(B17:M17)</f>
        <v>2534</v>
      </c>
      <c r="O17" s="28"/>
      <c r="P17" s="28"/>
    </row>
    <row r="18" spans="1:16">
      <c r="A18" t="s">
        <v>5</v>
      </c>
      <c r="B18" s="55">
        <v>662</v>
      </c>
      <c r="C18" s="55">
        <v>298</v>
      </c>
      <c r="D18" s="55">
        <v>436</v>
      </c>
      <c r="E18" s="55">
        <v>738</v>
      </c>
      <c r="F18" s="55">
        <v>895</v>
      </c>
      <c r="G18" s="56">
        <v>1163</v>
      </c>
      <c r="H18" s="55">
        <v>771</v>
      </c>
      <c r="I18" s="55">
        <v>608</v>
      </c>
      <c r="J18" s="55">
        <v>931</v>
      </c>
      <c r="K18" s="55">
        <v>674</v>
      </c>
      <c r="L18" s="55">
        <v>645</v>
      </c>
      <c r="M18" s="56">
        <v>830</v>
      </c>
      <c r="N18" s="45">
        <f>SUM(B18:M18)</f>
        <v>8651</v>
      </c>
      <c r="O18" s="28">
        <v>0</v>
      </c>
      <c r="P18" s="28" t="s">
        <v>32</v>
      </c>
    </row>
    <row r="19" spans="1:16">
      <c r="A19" s="21" t="s">
        <v>51</v>
      </c>
      <c r="B19" s="47">
        <v>2</v>
      </c>
      <c r="C19" s="47">
        <v>2</v>
      </c>
      <c r="D19" s="47">
        <v>2</v>
      </c>
      <c r="E19" s="47">
        <v>2</v>
      </c>
      <c r="F19" s="47">
        <v>2</v>
      </c>
      <c r="G19" s="47">
        <v>2</v>
      </c>
      <c r="H19" s="47">
        <v>2</v>
      </c>
      <c r="I19" s="47">
        <v>2</v>
      </c>
      <c r="J19" s="47">
        <v>2</v>
      </c>
      <c r="K19" s="47">
        <v>2</v>
      </c>
      <c r="L19" s="47">
        <v>2</v>
      </c>
      <c r="M19" s="47">
        <v>2</v>
      </c>
      <c r="N19" s="45"/>
      <c r="O19" s="28"/>
      <c r="P19" s="28"/>
    </row>
    <row r="20" spans="1:16">
      <c r="A20" s="17" t="s">
        <v>13</v>
      </c>
      <c r="B20" s="47">
        <v>6</v>
      </c>
      <c r="C20" s="47">
        <v>0</v>
      </c>
      <c r="D20" s="47">
        <v>9</v>
      </c>
      <c r="E20" s="47">
        <v>44</v>
      </c>
      <c r="F20" s="47">
        <v>30</v>
      </c>
      <c r="G20" s="47">
        <v>3</v>
      </c>
      <c r="H20" s="47">
        <v>3</v>
      </c>
      <c r="I20" s="47">
        <v>4</v>
      </c>
      <c r="J20" s="47">
        <v>33</v>
      </c>
      <c r="K20" s="47">
        <v>19</v>
      </c>
      <c r="L20" s="47">
        <v>0</v>
      </c>
      <c r="M20" s="47">
        <v>0</v>
      </c>
      <c r="N20" s="45">
        <f>SUM(B20:M20)</f>
        <v>151</v>
      </c>
      <c r="O20" s="28"/>
      <c r="P20" s="28"/>
    </row>
    <row r="21" spans="1:16">
      <c r="A21" s="17"/>
      <c r="B21" s="121"/>
      <c r="C21" s="121"/>
      <c r="D21" s="121"/>
      <c r="E21" s="121"/>
      <c r="F21" s="121"/>
      <c r="G21" s="121"/>
      <c r="H21" s="121"/>
      <c r="I21" s="121"/>
      <c r="J21" s="121"/>
      <c r="K21" s="121"/>
      <c r="L21" s="121"/>
      <c r="M21" s="121"/>
      <c r="N21" s="121"/>
      <c r="O21" s="28"/>
      <c r="P21" s="28"/>
    </row>
    <row r="22" spans="1:16">
      <c r="A22" s="17"/>
      <c r="B22" s="121"/>
      <c r="C22" s="121"/>
      <c r="D22" s="121"/>
      <c r="E22" s="121"/>
      <c r="F22" s="121"/>
      <c r="G22" s="121"/>
      <c r="H22" s="121"/>
      <c r="I22" s="121"/>
      <c r="J22" s="121"/>
      <c r="K22" s="121"/>
      <c r="L22" s="121"/>
      <c r="M22" s="121"/>
      <c r="N22" s="121"/>
      <c r="O22" s="28"/>
      <c r="P22" s="28"/>
    </row>
    <row r="23" spans="1:16" ht="24">
      <c r="A23" s="106"/>
      <c r="B23" s="107">
        <v>38899</v>
      </c>
      <c r="C23" s="107">
        <v>38930</v>
      </c>
      <c r="D23" s="107">
        <v>38961</v>
      </c>
      <c r="E23" s="107">
        <v>38991</v>
      </c>
      <c r="F23" s="107">
        <v>39022</v>
      </c>
      <c r="G23" s="107">
        <v>39052</v>
      </c>
      <c r="H23" s="107">
        <v>39083</v>
      </c>
      <c r="I23" s="107">
        <v>39114</v>
      </c>
      <c r="J23" s="107">
        <v>39142</v>
      </c>
      <c r="K23" s="107">
        <v>39173</v>
      </c>
      <c r="L23" s="107">
        <v>39203</v>
      </c>
      <c r="M23" s="107">
        <v>39234</v>
      </c>
      <c r="N23" s="108" t="s">
        <v>2</v>
      </c>
      <c r="O23" s="109" t="s">
        <v>189</v>
      </c>
      <c r="P23" s="109" t="s">
        <v>86</v>
      </c>
    </row>
    <row r="24" spans="1:16">
      <c r="A24" s="1" t="s">
        <v>47</v>
      </c>
      <c r="B24" s="22"/>
      <c r="C24" s="22"/>
      <c r="D24" s="22"/>
      <c r="E24" s="22"/>
      <c r="F24" s="22"/>
      <c r="G24" s="22"/>
      <c r="H24" s="22"/>
      <c r="I24" s="22"/>
      <c r="J24" s="22"/>
      <c r="K24" s="22"/>
      <c r="L24" s="22"/>
      <c r="M24" s="22"/>
      <c r="O24" s="28"/>
      <c r="P24" s="28"/>
    </row>
    <row r="25" spans="1:16">
      <c r="A25" t="s">
        <v>4</v>
      </c>
      <c r="B25" s="40">
        <v>0</v>
      </c>
      <c r="C25" s="40">
        <v>2</v>
      </c>
      <c r="D25" s="40">
        <v>9</v>
      </c>
      <c r="E25" s="40">
        <v>25</v>
      </c>
      <c r="F25" s="40">
        <v>27</v>
      </c>
      <c r="G25" s="41">
        <v>21</v>
      </c>
      <c r="H25" s="40">
        <v>3</v>
      </c>
      <c r="I25" s="40">
        <v>21</v>
      </c>
      <c r="J25" s="40">
        <v>12</v>
      </c>
      <c r="K25" s="40">
        <v>14</v>
      </c>
      <c r="L25" s="40">
        <v>2</v>
      </c>
      <c r="M25" s="41">
        <v>5</v>
      </c>
      <c r="N25" s="45">
        <f>SUM(B25:M25)</f>
        <v>141</v>
      </c>
      <c r="O25" s="28"/>
      <c r="P25" s="28"/>
    </row>
    <row r="26" spans="1:16">
      <c r="A26" t="s">
        <v>5</v>
      </c>
      <c r="B26" s="55">
        <v>0</v>
      </c>
      <c r="C26" s="55">
        <v>2</v>
      </c>
      <c r="D26" s="55">
        <v>6</v>
      </c>
      <c r="E26" s="55">
        <v>16</v>
      </c>
      <c r="F26" s="55">
        <v>24</v>
      </c>
      <c r="G26" s="56">
        <v>41</v>
      </c>
      <c r="H26" s="55">
        <v>3</v>
      </c>
      <c r="I26" s="55">
        <v>9</v>
      </c>
      <c r="J26" s="55">
        <v>1</v>
      </c>
      <c r="K26" s="55">
        <v>9</v>
      </c>
      <c r="L26" s="55">
        <v>1</v>
      </c>
      <c r="M26" s="56">
        <v>5</v>
      </c>
      <c r="N26" s="45">
        <f>SUM(B26:M26)</f>
        <v>117</v>
      </c>
      <c r="O26" s="28">
        <v>0</v>
      </c>
      <c r="P26" s="28" t="s">
        <v>32</v>
      </c>
    </row>
    <row r="27" spans="1:16">
      <c r="A27" s="21" t="s">
        <v>51</v>
      </c>
      <c r="B27" s="47">
        <v>0</v>
      </c>
      <c r="C27" s="47">
        <v>2</v>
      </c>
      <c r="D27" s="47">
        <v>2</v>
      </c>
      <c r="E27" s="47">
        <v>2</v>
      </c>
      <c r="F27" s="47">
        <v>2</v>
      </c>
      <c r="G27" s="47">
        <v>2</v>
      </c>
      <c r="H27" s="47">
        <v>2</v>
      </c>
      <c r="I27" s="47">
        <v>2</v>
      </c>
      <c r="J27" s="47">
        <v>2</v>
      </c>
      <c r="K27" s="47">
        <v>2</v>
      </c>
      <c r="L27" s="47">
        <v>2</v>
      </c>
      <c r="M27" s="47">
        <v>2</v>
      </c>
      <c r="N27" s="45"/>
      <c r="O27" s="28"/>
      <c r="P27" s="28"/>
    </row>
    <row r="28" spans="1:16">
      <c r="A28" s="17" t="s">
        <v>13</v>
      </c>
      <c r="B28" s="47">
        <v>0</v>
      </c>
      <c r="C28" s="47">
        <v>0</v>
      </c>
      <c r="D28" s="47">
        <v>0</v>
      </c>
      <c r="E28" s="47">
        <v>0</v>
      </c>
      <c r="F28" s="47">
        <v>2</v>
      </c>
      <c r="G28" s="47">
        <v>0</v>
      </c>
      <c r="H28" s="47">
        <v>0</v>
      </c>
      <c r="I28" s="47">
        <v>0</v>
      </c>
      <c r="J28" s="47">
        <v>0</v>
      </c>
      <c r="K28" s="47">
        <v>0</v>
      </c>
      <c r="L28" s="47">
        <v>0</v>
      </c>
      <c r="M28" s="47">
        <v>0</v>
      </c>
      <c r="N28" s="45">
        <f>SUM(B28:M28)</f>
        <v>2</v>
      </c>
      <c r="O28" s="28"/>
      <c r="P28" s="28"/>
    </row>
    <row r="29" spans="1:16">
      <c r="A29" s="17"/>
      <c r="B29" s="121"/>
      <c r="C29" s="121"/>
      <c r="D29" s="121"/>
      <c r="E29" s="121"/>
      <c r="F29" s="121"/>
      <c r="G29" s="121"/>
      <c r="H29" s="121"/>
      <c r="I29" s="121"/>
      <c r="J29" s="121"/>
      <c r="K29" s="121"/>
      <c r="L29" s="121"/>
      <c r="M29" s="121"/>
      <c r="N29" s="121"/>
      <c r="O29" s="28"/>
      <c r="P29" s="28"/>
    </row>
    <row r="30" spans="1:16">
      <c r="A30" s="17"/>
      <c r="B30" s="121"/>
      <c r="C30" s="121"/>
      <c r="D30" s="121"/>
      <c r="E30" s="121"/>
      <c r="F30" s="121"/>
      <c r="G30" s="121"/>
      <c r="H30" s="121"/>
      <c r="I30" s="121"/>
      <c r="J30" s="121"/>
      <c r="K30" s="121"/>
      <c r="L30" s="121"/>
      <c r="M30" s="121"/>
      <c r="N30" s="121"/>
      <c r="O30" s="28"/>
      <c r="P30" s="28"/>
    </row>
    <row r="31" spans="1:16" ht="24">
      <c r="A31" s="106"/>
      <c r="B31" s="107">
        <v>38899</v>
      </c>
      <c r="C31" s="107">
        <v>38930</v>
      </c>
      <c r="D31" s="107">
        <v>38961</v>
      </c>
      <c r="E31" s="107">
        <v>38991</v>
      </c>
      <c r="F31" s="107">
        <v>39022</v>
      </c>
      <c r="G31" s="107">
        <v>39052</v>
      </c>
      <c r="H31" s="107">
        <v>39083</v>
      </c>
      <c r="I31" s="107">
        <v>39114</v>
      </c>
      <c r="J31" s="107">
        <v>39142</v>
      </c>
      <c r="K31" s="107">
        <v>39173</v>
      </c>
      <c r="L31" s="107">
        <v>39203</v>
      </c>
      <c r="M31" s="107">
        <v>39234</v>
      </c>
      <c r="N31" s="108" t="s">
        <v>2</v>
      </c>
      <c r="O31" s="109" t="s">
        <v>189</v>
      </c>
      <c r="P31" s="109" t="s">
        <v>86</v>
      </c>
    </row>
    <row r="32" spans="1:16">
      <c r="A32" s="1" t="s">
        <v>41</v>
      </c>
      <c r="B32" s="22"/>
      <c r="C32" s="22"/>
      <c r="D32" s="22"/>
      <c r="E32" s="22"/>
      <c r="F32" s="22"/>
      <c r="G32" s="22"/>
      <c r="H32" s="22"/>
      <c r="I32" s="22"/>
      <c r="J32" s="22"/>
      <c r="K32" s="22"/>
      <c r="L32" s="22"/>
      <c r="M32" s="22"/>
      <c r="O32" s="28"/>
      <c r="P32" s="28"/>
    </row>
    <row r="33" spans="1:16">
      <c r="A33" t="s">
        <v>4</v>
      </c>
      <c r="B33" s="40">
        <v>98</v>
      </c>
      <c r="C33" s="40">
        <v>26</v>
      </c>
      <c r="D33" s="40">
        <v>100</v>
      </c>
      <c r="E33" s="40">
        <v>356</v>
      </c>
      <c r="F33" s="40">
        <v>291</v>
      </c>
      <c r="G33" s="41">
        <v>121</v>
      </c>
      <c r="H33" s="40">
        <v>63</v>
      </c>
      <c r="I33" s="40">
        <v>206</v>
      </c>
      <c r="J33" s="40">
        <v>213</v>
      </c>
      <c r="K33" s="40">
        <v>154</v>
      </c>
      <c r="L33" s="40">
        <v>32</v>
      </c>
      <c r="M33" s="41">
        <v>93</v>
      </c>
      <c r="N33" s="45">
        <f>SUM(B33:M33)</f>
        <v>1753</v>
      </c>
      <c r="O33" s="28"/>
      <c r="P33" s="28"/>
    </row>
    <row r="34" spans="1:16">
      <c r="A34" t="s">
        <v>5</v>
      </c>
      <c r="B34" s="55">
        <v>236</v>
      </c>
      <c r="C34" s="55">
        <v>52</v>
      </c>
      <c r="D34" s="55">
        <v>221</v>
      </c>
      <c r="E34" s="55">
        <v>761</v>
      </c>
      <c r="F34" s="55">
        <v>698</v>
      </c>
      <c r="G34" s="56">
        <v>218</v>
      </c>
      <c r="H34" s="55">
        <v>140</v>
      </c>
      <c r="I34" s="55">
        <v>452</v>
      </c>
      <c r="J34" s="55">
        <v>534</v>
      </c>
      <c r="K34" s="55">
        <v>318</v>
      </c>
      <c r="L34" s="55">
        <v>70</v>
      </c>
      <c r="M34" s="56">
        <v>245</v>
      </c>
      <c r="N34" s="45">
        <f>SUM(B34:M34)</f>
        <v>3945</v>
      </c>
      <c r="O34" s="28">
        <v>0</v>
      </c>
      <c r="P34" s="28" t="s">
        <v>32</v>
      </c>
    </row>
    <row r="35" spans="1:16">
      <c r="A35" s="21" t="s">
        <v>51</v>
      </c>
      <c r="B35" s="47">
        <v>2</v>
      </c>
      <c r="C35" s="47">
        <v>2</v>
      </c>
      <c r="D35" s="47">
        <v>2</v>
      </c>
      <c r="E35" s="47">
        <v>2</v>
      </c>
      <c r="F35" s="47">
        <v>2</v>
      </c>
      <c r="G35" s="47">
        <v>2</v>
      </c>
      <c r="H35" s="47">
        <v>2</v>
      </c>
      <c r="I35" s="47">
        <v>2</v>
      </c>
      <c r="J35" s="47">
        <v>2</v>
      </c>
      <c r="K35" s="47">
        <v>2</v>
      </c>
      <c r="L35" s="47">
        <v>2</v>
      </c>
      <c r="M35" s="47">
        <v>2</v>
      </c>
      <c r="N35" s="45"/>
      <c r="O35" s="28"/>
      <c r="P35" s="28"/>
    </row>
    <row r="36" spans="1:16">
      <c r="A36" s="17" t="s">
        <v>13</v>
      </c>
      <c r="B36" s="47">
        <v>3</v>
      </c>
      <c r="C36" s="47">
        <v>0</v>
      </c>
      <c r="D36" s="47">
        <v>3</v>
      </c>
      <c r="E36" s="47">
        <v>37</v>
      </c>
      <c r="F36" s="47">
        <v>73</v>
      </c>
      <c r="G36" s="47">
        <v>6</v>
      </c>
      <c r="H36" s="47">
        <v>2</v>
      </c>
      <c r="I36" s="47">
        <v>15</v>
      </c>
      <c r="J36" s="47">
        <v>17</v>
      </c>
      <c r="K36" s="47">
        <v>9</v>
      </c>
      <c r="L36" s="47">
        <v>37</v>
      </c>
      <c r="M36" s="47">
        <v>8</v>
      </c>
      <c r="N36" s="45">
        <f>SUM(B36:M36)</f>
        <v>210</v>
      </c>
      <c r="O36" s="28"/>
      <c r="P36" s="28"/>
    </row>
    <row r="37" spans="1:16">
      <c r="A37" s="17"/>
      <c r="B37" s="121"/>
      <c r="C37" s="121"/>
      <c r="D37" s="121"/>
      <c r="E37" s="121"/>
      <c r="F37" s="121"/>
      <c r="G37" s="121"/>
      <c r="H37" s="121"/>
      <c r="I37" s="121"/>
      <c r="J37" s="121"/>
      <c r="K37" s="121"/>
      <c r="L37" s="121"/>
      <c r="M37" s="121"/>
      <c r="N37" s="121"/>
      <c r="O37" s="28"/>
      <c r="P37" s="28"/>
    </row>
    <row r="38" spans="1:16">
      <c r="A38" s="17"/>
      <c r="B38" s="121"/>
      <c r="C38" s="121"/>
      <c r="D38" s="121"/>
      <c r="E38" s="121"/>
      <c r="F38" s="121"/>
      <c r="G38" s="121"/>
      <c r="H38" s="121"/>
      <c r="I38" s="121"/>
      <c r="J38" s="121"/>
      <c r="K38" s="121"/>
      <c r="L38" s="121"/>
      <c r="M38" s="121"/>
      <c r="N38" s="121"/>
      <c r="O38" s="28"/>
      <c r="P38" s="28"/>
    </row>
    <row r="39" spans="1:16" ht="24">
      <c r="A39" s="106"/>
      <c r="B39" s="107">
        <v>38899</v>
      </c>
      <c r="C39" s="107">
        <v>38930</v>
      </c>
      <c r="D39" s="107">
        <v>38961</v>
      </c>
      <c r="E39" s="107">
        <v>38991</v>
      </c>
      <c r="F39" s="107">
        <v>39022</v>
      </c>
      <c r="G39" s="107">
        <v>39052</v>
      </c>
      <c r="H39" s="107">
        <v>39083</v>
      </c>
      <c r="I39" s="107">
        <v>39114</v>
      </c>
      <c r="J39" s="107">
        <v>39142</v>
      </c>
      <c r="K39" s="107">
        <v>39173</v>
      </c>
      <c r="L39" s="107">
        <v>39203</v>
      </c>
      <c r="M39" s="107">
        <v>39234</v>
      </c>
      <c r="N39" s="108" t="s">
        <v>2</v>
      </c>
      <c r="O39" s="109" t="s">
        <v>189</v>
      </c>
      <c r="P39" s="109" t="s">
        <v>86</v>
      </c>
    </row>
    <row r="40" spans="1:16">
      <c r="A40" s="1" t="s">
        <v>48</v>
      </c>
      <c r="B40" s="22"/>
      <c r="C40" s="22"/>
      <c r="D40" s="22"/>
      <c r="E40" s="22"/>
      <c r="F40" s="22"/>
      <c r="G40" s="22"/>
      <c r="H40" s="22"/>
      <c r="I40" s="22"/>
      <c r="J40" s="22"/>
      <c r="K40" s="22"/>
      <c r="L40" s="22"/>
      <c r="M40" s="22"/>
      <c r="O40" s="28"/>
      <c r="P40" s="28"/>
    </row>
    <row r="41" spans="1:16">
      <c r="A41" t="s">
        <v>4</v>
      </c>
      <c r="B41" s="40">
        <v>2</v>
      </c>
      <c r="C41" s="40">
        <v>1</v>
      </c>
      <c r="D41" s="40">
        <v>7</v>
      </c>
      <c r="E41" s="40">
        <v>14</v>
      </c>
      <c r="F41" s="40">
        <v>16</v>
      </c>
      <c r="G41" s="41">
        <v>11</v>
      </c>
      <c r="H41" s="40">
        <v>9</v>
      </c>
      <c r="I41" s="40">
        <v>18</v>
      </c>
      <c r="J41" s="40">
        <v>6</v>
      </c>
      <c r="K41" s="40">
        <v>12</v>
      </c>
      <c r="L41" s="40">
        <v>12</v>
      </c>
      <c r="M41" s="41">
        <v>0</v>
      </c>
      <c r="N41" s="45">
        <f>SUM(B41:M41)</f>
        <v>108</v>
      </c>
      <c r="O41" s="28"/>
      <c r="P41" s="28"/>
    </row>
    <row r="42" spans="1:16">
      <c r="A42" t="s">
        <v>5</v>
      </c>
      <c r="B42" s="55">
        <v>7</v>
      </c>
      <c r="C42" s="55">
        <v>1</v>
      </c>
      <c r="D42" s="55">
        <v>3</v>
      </c>
      <c r="E42" s="55">
        <v>25</v>
      </c>
      <c r="F42" s="55">
        <v>16</v>
      </c>
      <c r="G42" s="56">
        <v>9</v>
      </c>
      <c r="H42" s="55">
        <v>12</v>
      </c>
      <c r="I42" s="55">
        <v>14</v>
      </c>
      <c r="J42" s="55">
        <v>7</v>
      </c>
      <c r="K42" s="55">
        <v>17</v>
      </c>
      <c r="L42" s="55">
        <v>11</v>
      </c>
      <c r="M42" s="56">
        <v>0</v>
      </c>
      <c r="N42" s="45">
        <f>SUM(B42:M42)</f>
        <v>122</v>
      </c>
      <c r="O42" s="28">
        <v>0</v>
      </c>
      <c r="P42" s="28" t="s">
        <v>32</v>
      </c>
    </row>
    <row r="43" spans="1:16">
      <c r="A43" s="21" t="s">
        <v>51</v>
      </c>
      <c r="B43" s="47">
        <v>2</v>
      </c>
      <c r="C43" s="47">
        <v>2</v>
      </c>
      <c r="D43" s="47">
        <v>2</v>
      </c>
      <c r="E43" s="47">
        <v>2</v>
      </c>
      <c r="F43" s="47">
        <v>2</v>
      </c>
      <c r="G43" s="47">
        <v>2</v>
      </c>
      <c r="H43" s="47">
        <v>2</v>
      </c>
      <c r="I43" s="47">
        <v>2</v>
      </c>
      <c r="J43" s="47">
        <v>2</v>
      </c>
      <c r="K43" s="47">
        <v>2</v>
      </c>
      <c r="L43" s="47">
        <v>2</v>
      </c>
      <c r="M43" s="47">
        <v>0</v>
      </c>
      <c r="N43" s="45"/>
      <c r="O43" s="28"/>
      <c r="P43" s="28"/>
    </row>
    <row r="44" spans="1:16">
      <c r="A44" s="17" t="s">
        <v>13</v>
      </c>
      <c r="B44" s="47">
        <v>0</v>
      </c>
      <c r="C44" s="47">
        <v>0</v>
      </c>
      <c r="D44" s="47">
        <v>0</v>
      </c>
      <c r="E44" s="47">
        <v>0</v>
      </c>
      <c r="F44" s="47">
        <v>0</v>
      </c>
      <c r="G44" s="47">
        <v>0</v>
      </c>
      <c r="H44" s="47">
        <v>0</v>
      </c>
      <c r="I44" s="47">
        <v>0</v>
      </c>
      <c r="J44" s="47">
        <v>0</v>
      </c>
      <c r="K44" s="48">
        <v>0</v>
      </c>
      <c r="L44" s="47">
        <v>0</v>
      </c>
      <c r="M44" s="47">
        <v>0</v>
      </c>
      <c r="N44" s="45">
        <f>SUM(B44:M44)</f>
        <v>0</v>
      </c>
      <c r="O44" s="28"/>
      <c r="P44" s="28"/>
    </row>
    <row r="45" spans="1:16">
      <c r="A45" s="17"/>
      <c r="B45" s="121"/>
      <c r="C45" s="121"/>
      <c r="D45" s="121"/>
      <c r="E45" s="121"/>
      <c r="F45" s="121"/>
      <c r="G45" s="121"/>
      <c r="H45" s="121"/>
      <c r="I45" s="121"/>
      <c r="J45" s="121"/>
      <c r="K45" s="122"/>
      <c r="L45" s="121"/>
      <c r="M45" s="121"/>
      <c r="N45" s="121"/>
      <c r="O45" s="28"/>
      <c r="P45" s="28"/>
    </row>
    <row r="46" spans="1:16">
      <c r="A46" s="17"/>
      <c r="B46" s="121"/>
      <c r="C46" s="121"/>
      <c r="D46" s="121"/>
      <c r="E46" s="121"/>
      <c r="F46" s="121"/>
      <c r="G46" s="121"/>
      <c r="H46" s="121"/>
      <c r="I46" s="121"/>
      <c r="J46" s="121"/>
      <c r="K46" s="122"/>
      <c r="L46" s="121"/>
      <c r="M46" s="121"/>
      <c r="N46" s="121"/>
      <c r="O46" s="28"/>
      <c r="P46" s="28"/>
    </row>
    <row r="47" spans="1:16" ht="24">
      <c r="A47" s="106"/>
      <c r="B47" s="107">
        <v>38899</v>
      </c>
      <c r="C47" s="107">
        <v>38930</v>
      </c>
      <c r="D47" s="107">
        <v>38961</v>
      </c>
      <c r="E47" s="107">
        <v>38991</v>
      </c>
      <c r="F47" s="107">
        <v>39022</v>
      </c>
      <c r="G47" s="107">
        <v>39052</v>
      </c>
      <c r="H47" s="107">
        <v>39083</v>
      </c>
      <c r="I47" s="107">
        <v>39114</v>
      </c>
      <c r="J47" s="107">
        <v>39142</v>
      </c>
      <c r="K47" s="107">
        <v>39173</v>
      </c>
      <c r="L47" s="107">
        <v>39203</v>
      </c>
      <c r="M47" s="107">
        <v>39234</v>
      </c>
      <c r="N47" s="108" t="s">
        <v>2</v>
      </c>
      <c r="O47" s="109" t="s">
        <v>189</v>
      </c>
      <c r="P47" s="109" t="s">
        <v>86</v>
      </c>
    </row>
    <row r="48" spans="1:16">
      <c r="A48" s="1" t="s">
        <v>50</v>
      </c>
      <c r="B48" s="22"/>
      <c r="C48" s="22"/>
      <c r="D48" s="22"/>
      <c r="E48" s="22"/>
      <c r="F48" s="22"/>
      <c r="G48" s="22"/>
      <c r="H48" s="22"/>
      <c r="I48" s="22"/>
      <c r="J48" s="22"/>
      <c r="K48" s="22"/>
      <c r="L48" s="22"/>
      <c r="M48" s="22"/>
      <c r="O48" s="28"/>
      <c r="P48" s="28"/>
    </row>
    <row r="49" spans="1:16">
      <c r="A49" t="s">
        <v>4</v>
      </c>
      <c r="B49" s="40">
        <v>20</v>
      </c>
      <c r="C49" s="40">
        <v>4</v>
      </c>
      <c r="D49" s="40">
        <v>46</v>
      </c>
      <c r="E49" s="40">
        <v>81</v>
      </c>
      <c r="F49" s="40">
        <v>74</v>
      </c>
      <c r="G49" s="41">
        <v>16</v>
      </c>
      <c r="H49" s="40">
        <v>34</v>
      </c>
      <c r="I49" s="40">
        <v>53</v>
      </c>
      <c r="J49" s="40">
        <v>50</v>
      </c>
      <c r="K49" s="40">
        <v>43</v>
      </c>
      <c r="L49" s="40">
        <v>21</v>
      </c>
      <c r="M49" s="41">
        <v>25</v>
      </c>
      <c r="N49" s="45">
        <f>SUM(B49:M49)</f>
        <v>467</v>
      </c>
      <c r="O49" s="28"/>
      <c r="P49" s="28"/>
    </row>
    <row r="50" spans="1:16">
      <c r="A50" t="s">
        <v>5</v>
      </c>
      <c r="B50" s="55">
        <v>19</v>
      </c>
      <c r="C50" s="55">
        <v>4</v>
      </c>
      <c r="D50" s="55">
        <v>124</v>
      </c>
      <c r="E50" s="55">
        <v>153</v>
      </c>
      <c r="F50" s="55">
        <v>104</v>
      </c>
      <c r="G50" s="56">
        <v>23</v>
      </c>
      <c r="H50" s="55">
        <v>61</v>
      </c>
      <c r="I50" s="55">
        <v>75</v>
      </c>
      <c r="J50" s="55">
        <v>64</v>
      </c>
      <c r="K50" s="55">
        <v>58</v>
      </c>
      <c r="L50" s="55">
        <v>25</v>
      </c>
      <c r="M50" s="56">
        <v>43</v>
      </c>
      <c r="N50" s="45">
        <f>SUM(B50:M50)</f>
        <v>753</v>
      </c>
      <c r="O50" s="28">
        <v>0</v>
      </c>
      <c r="P50" s="28" t="s">
        <v>32</v>
      </c>
    </row>
    <row r="51" spans="1:16">
      <c r="A51" s="21" t="s">
        <v>51</v>
      </c>
      <c r="B51" s="47">
        <v>2</v>
      </c>
      <c r="C51" s="47">
        <v>2</v>
      </c>
      <c r="D51" s="47">
        <v>2</v>
      </c>
      <c r="E51" s="47">
        <v>2</v>
      </c>
      <c r="F51" s="47">
        <v>2</v>
      </c>
      <c r="G51" s="47">
        <v>2</v>
      </c>
      <c r="H51" s="47">
        <v>2</v>
      </c>
      <c r="I51" s="47">
        <v>2</v>
      </c>
      <c r="J51" s="47">
        <v>2</v>
      </c>
      <c r="K51" s="47">
        <v>2</v>
      </c>
      <c r="L51" s="47">
        <v>2</v>
      </c>
      <c r="M51" s="47">
        <v>2</v>
      </c>
      <c r="N51" s="45"/>
      <c r="O51" s="28"/>
      <c r="P51" s="28"/>
    </row>
    <row r="52" spans="1:16">
      <c r="A52" s="17" t="s">
        <v>13</v>
      </c>
      <c r="B52" s="47">
        <v>0</v>
      </c>
      <c r="C52" s="47">
        <v>0</v>
      </c>
      <c r="D52" s="47">
        <v>0</v>
      </c>
      <c r="E52" s="47">
        <v>0</v>
      </c>
      <c r="F52" s="47">
        <v>0</v>
      </c>
      <c r="G52" s="47">
        <v>0</v>
      </c>
      <c r="H52" s="47">
        <v>1</v>
      </c>
      <c r="I52" s="47">
        <v>0</v>
      </c>
      <c r="J52" s="47">
        <v>0</v>
      </c>
      <c r="K52" s="47">
        <v>0</v>
      </c>
      <c r="L52" s="47">
        <v>0</v>
      </c>
      <c r="M52" s="47">
        <v>0</v>
      </c>
      <c r="N52" s="45">
        <f>SUM(B52:M52)</f>
        <v>1</v>
      </c>
      <c r="O52" s="28"/>
      <c r="P52" s="28"/>
    </row>
    <row r="53" spans="1:16">
      <c r="A53" s="17"/>
      <c r="B53" s="121"/>
      <c r="C53" s="121"/>
      <c r="D53" s="121"/>
      <c r="E53" s="121"/>
      <c r="F53" s="121"/>
      <c r="G53" s="121"/>
      <c r="H53" s="121"/>
      <c r="I53" s="121"/>
      <c r="J53" s="121"/>
      <c r="K53" s="121"/>
      <c r="L53" s="121"/>
      <c r="M53" s="121"/>
      <c r="N53" s="121"/>
      <c r="O53" s="28"/>
      <c r="P53" s="28"/>
    </row>
    <row r="54" spans="1:16">
      <c r="A54" s="17"/>
      <c r="B54" s="121"/>
      <c r="C54" s="121"/>
      <c r="D54" s="121"/>
      <c r="E54" s="121"/>
      <c r="F54" s="121"/>
      <c r="G54" s="121"/>
      <c r="H54" s="121"/>
      <c r="I54" s="121"/>
      <c r="J54" s="121"/>
      <c r="K54" s="121"/>
      <c r="L54" s="121"/>
      <c r="M54" s="121"/>
      <c r="N54" s="121"/>
      <c r="O54" s="28"/>
      <c r="P54" s="28"/>
    </row>
    <row r="55" spans="1:16" ht="24">
      <c r="A55" s="106"/>
      <c r="B55" s="107">
        <v>38899</v>
      </c>
      <c r="C55" s="107">
        <v>38930</v>
      </c>
      <c r="D55" s="107">
        <v>38961</v>
      </c>
      <c r="E55" s="107">
        <v>38991</v>
      </c>
      <c r="F55" s="107">
        <v>39022</v>
      </c>
      <c r="G55" s="107">
        <v>39052</v>
      </c>
      <c r="H55" s="107">
        <v>39083</v>
      </c>
      <c r="I55" s="107">
        <v>39114</v>
      </c>
      <c r="J55" s="107">
        <v>39142</v>
      </c>
      <c r="K55" s="107">
        <v>39173</v>
      </c>
      <c r="L55" s="107">
        <v>39203</v>
      </c>
      <c r="M55" s="107">
        <v>39234</v>
      </c>
      <c r="N55" s="108" t="s">
        <v>2</v>
      </c>
      <c r="O55" s="109" t="s">
        <v>189</v>
      </c>
      <c r="P55" s="109" t="s">
        <v>86</v>
      </c>
    </row>
    <row r="56" spans="1:16">
      <c r="A56" s="12" t="s">
        <v>40</v>
      </c>
      <c r="B56" s="22"/>
      <c r="C56" s="22"/>
      <c r="D56" s="22"/>
      <c r="E56" s="22"/>
      <c r="F56" s="22"/>
      <c r="G56" s="22"/>
      <c r="H56" s="22"/>
      <c r="I56" s="22"/>
      <c r="J56" s="22"/>
      <c r="K56" s="22"/>
      <c r="L56" s="22"/>
      <c r="M56" s="22"/>
      <c r="O56" s="28"/>
      <c r="P56" s="28"/>
    </row>
    <row r="57" spans="1:16">
      <c r="A57" s="16" t="s">
        <v>5</v>
      </c>
      <c r="B57" s="40">
        <v>1</v>
      </c>
      <c r="C57" s="40">
        <v>3</v>
      </c>
      <c r="D57" s="40">
        <v>20</v>
      </c>
      <c r="E57" s="40">
        <v>17</v>
      </c>
      <c r="F57" s="40">
        <v>3</v>
      </c>
      <c r="G57" s="41">
        <v>2</v>
      </c>
      <c r="H57" s="40">
        <v>0</v>
      </c>
      <c r="I57" s="40">
        <v>3</v>
      </c>
      <c r="J57" s="40">
        <v>22</v>
      </c>
      <c r="K57" s="40">
        <v>23</v>
      </c>
      <c r="L57" s="40">
        <v>17</v>
      </c>
      <c r="M57" s="88">
        <v>9</v>
      </c>
      <c r="N57" s="45">
        <f>SUM(B57:M57)</f>
        <v>120</v>
      </c>
      <c r="O57" s="28">
        <f>P57*N57</f>
        <v>120</v>
      </c>
      <c r="P57" s="28">
        <v>1</v>
      </c>
    </row>
    <row r="58" spans="1:16">
      <c r="A58" s="16"/>
      <c r="B58" s="101"/>
      <c r="C58" s="101"/>
      <c r="D58" s="101"/>
      <c r="E58" s="101"/>
      <c r="F58" s="101"/>
      <c r="G58" s="101"/>
      <c r="H58" s="101"/>
      <c r="I58" s="101"/>
      <c r="J58" s="101"/>
      <c r="K58" s="101"/>
      <c r="L58" s="101"/>
      <c r="M58" s="101"/>
      <c r="N58" s="121"/>
      <c r="O58" s="28"/>
      <c r="P58" s="28"/>
    </row>
    <row r="59" spans="1:16">
      <c r="A59" s="16"/>
      <c r="B59" s="101"/>
      <c r="C59" s="101"/>
      <c r="D59" s="101"/>
      <c r="E59" s="101"/>
      <c r="F59" s="101"/>
      <c r="G59" s="101"/>
      <c r="H59" s="101"/>
      <c r="I59" s="101"/>
      <c r="J59" s="101"/>
      <c r="K59" s="101"/>
      <c r="L59" s="101"/>
      <c r="M59" s="101"/>
      <c r="N59" s="121"/>
      <c r="O59" s="28"/>
      <c r="P59" s="28"/>
    </row>
    <row r="60" spans="1:16" ht="24">
      <c r="A60" s="106"/>
      <c r="B60" s="107">
        <v>38899</v>
      </c>
      <c r="C60" s="107">
        <v>38930</v>
      </c>
      <c r="D60" s="107">
        <v>38961</v>
      </c>
      <c r="E60" s="107">
        <v>38991</v>
      </c>
      <c r="F60" s="107">
        <v>39022</v>
      </c>
      <c r="G60" s="107">
        <v>39052</v>
      </c>
      <c r="H60" s="107">
        <v>39083</v>
      </c>
      <c r="I60" s="107">
        <v>39114</v>
      </c>
      <c r="J60" s="107">
        <v>39142</v>
      </c>
      <c r="K60" s="107">
        <v>39173</v>
      </c>
      <c r="L60" s="107">
        <v>39203</v>
      </c>
      <c r="M60" s="107">
        <v>39234</v>
      </c>
      <c r="N60" s="108" t="s">
        <v>2</v>
      </c>
      <c r="O60" s="109" t="s">
        <v>189</v>
      </c>
      <c r="P60" s="109" t="s">
        <v>86</v>
      </c>
    </row>
    <row r="61" spans="1:16">
      <c r="A61" s="1" t="s">
        <v>39</v>
      </c>
      <c r="B61" s="22"/>
      <c r="C61" s="22"/>
      <c r="D61" s="22"/>
      <c r="E61" s="22"/>
      <c r="F61" s="22"/>
      <c r="G61" s="22"/>
      <c r="H61" s="22"/>
      <c r="I61" s="22"/>
      <c r="J61" s="22"/>
      <c r="K61" s="22"/>
      <c r="L61" s="22"/>
      <c r="M61" s="22"/>
      <c r="O61" s="28"/>
      <c r="P61" s="28"/>
    </row>
    <row r="62" spans="1:16">
      <c r="A62" t="s">
        <v>4</v>
      </c>
      <c r="B62" s="40">
        <v>11</v>
      </c>
      <c r="C62" s="40">
        <v>2</v>
      </c>
      <c r="D62" s="40">
        <v>13</v>
      </c>
      <c r="E62" s="40">
        <v>43</v>
      </c>
      <c r="F62" s="40">
        <v>38</v>
      </c>
      <c r="G62" s="41">
        <v>31</v>
      </c>
      <c r="H62" s="40">
        <v>3</v>
      </c>
      <c r="I62" s="40">
        <v>22</v>
      </c>
      <c r="J62" s="40">
        <v>34</v>
      </c>
      <c r="K62" s="40">
        <v>33</v>
      </c>
      <c r="L62" s="40">
        <v>8</v>
      </c>
      <c r="M62" s="41">
        <v>3</v>
      </c>
      <c r="N62" s="45">
        <f>SUM(B62:M62)</f>
        <v>241</v>
      </c>
      <c r="O62" s="28"/>
      <c r="P62" s="28"/>
    </row>
    <row r="63" spans="1:16">
      <c r="A63" t="s">
        <v>5</v>
      </c>
      <c r="B63" s="55">
        <v>9</v>
      </c>
      <c r="C63" s="55">
        <v>1</v>
      </c>
      <c r="D63" s="55">
        <v>8</v>
      </c>
      <c r="E63" s="55">
        <v>61</v>
      </c>
      <c r="F63" s="55">
        <v>60</v>
      </c>
      <c r="G63" s="56">
        <v>42</v>
      </c>
      <c r="H63" s="55">
        <v>8</v>
      </c>
      <c r="I63" s="55">
        <v>30</v>
      </c>
      <c r="J63" s="55">
        <v>43</v>
      </c>
      <c r="K63" s="55">
        <v>42</v>
      </c>
      <c r="L63" s="55">
        <v>12</v>
      </c>
      <c r="M63" s="56">
        <v>1</v>
      </c>
      <c r="N63" s="45">
        <f>SUM(B63:M63)</f>
        <v>317</v>
      </c>
      <c r="O63" s="28">
        <v>0</v>
      </c>
      <c r="P63" s="28" t="s">
        <v>32</v>
      </c>
    </row>
    <row r="64" spans="1:16">
      <c r="A64" s="21" t="s">
        <v>51</v>
      </c>
      <c r="B64" s="47">
        <v>2</v>
      </c>
      <c r="C64" s="47">
        <v>2</v>
      </c>
      <c r="D64" s="47">
        <v>2</v>
      </c>
      <c r="E64" s="47">
        <v>2</v>
      </c>
      <c r="F64" s="47">
        <v>2</v>
      </c>
      <c r="G64" s="47">
        <v>2</v>
      </c>
      <c r="H64" s="47">
        <v>2</v>
      </c>
      <c r="I64" s="47">
        <v>2</v>
      </c>
      <c r="J64" s="47">
        <v>2</v>
      </c>
      <c r="K64" s="47">
        <v>2</v>
      </c>
      <c r="L64" s="47">
        <v>2</v>
      </c>
      <c r="M64" s="47">
        <v>2</v>
      </c>
      <c r="N64" s="45"/>
      <c r="O64" s="28"/>
      <c r="P64" s="28"/>
    </row>
    <row r="65" spans="1:16">
      <c r="A65" s="17" t="s">
        <v>13</v>
      </c>
      <c r="B65" s="47">
        <v>0</v>
      </c>
      <c r="C65" s="47">
        <v>0</v>
      </c>
      <c r="D65" s="47">
        <v>0</v>
      </c>
      <c r="E65" s="47">
        <v>1</v>
      </c>
      <c r="F65" s="47">
        <v>2</v>
      </c>
      <c r="G65" s="47">
        <v>1</v>
      </c>
      <c r="H65" s="47">
        <v>0</v>
      </c>
      <c r="I65" s="47">
        <v>0</v>
      </c>
      <c r="J65" s="47">
        <v>0</v>
      </c>
      <c r="K65" s="47">
        <v>0</v>
      </c>
      <c r="L65" s="47">
        <v>0</v>
      </c>
      <c r="M65" s="47">
        <v>0</v>
      </c>
      <c r="N65" s="45">
        <f>SUM(B65:M65)</f>
        <v>4</v>
      </c>
      <c r="O65" s="28"/>
      <c r="P65" s="28"/>
    </row>
    <row r="66" spans="1:16">
      <c r="A66" s="17"/>
      <c r="B66" s="121"/>
      <c r="C66" s="121"/>
      <c r="D66" s="121"/>
      <c r="E66" s="121"/>
      <c r="F66" s="121"/>
      <c r="G66" s="121"/>
      <c r="H66" s="121"/>
      <c r="I66" s="121"/>
      <c r="J66" s="121"/>
      <c r="K66" s="121"/>
      <c r="L66" s="121"/>
      <c r="M66" s="121"/>
      <c r="N66" s="121"/>
      <c r="O66" s="28"/>
      <c r="P66" s="28"/>
    </row>
    <row r="67" spans="1:16">
      <c r="A67" s="17"/>
      <c r="B67" s="121"/>
      <c r="C67" s="121"/>
      <c r="D67" s="121"/>
      <c r="E67" s="121"/>
      <c r="F67" s="121"/>
      <c r="G67" s="121"/>
      <c r="H67" s="121"/>
      <c r="I67" s="121"/>
      <c r="J67" s="121"/>
      <c r="K67" s="121"/>
      <c r="L67" s="121"/>
      <c r="M67" s="121"/>
      <c r="N67" s="121"/>
      <c r="O67" s="28"/>
      <c r="P67" s="28"/>
    </row>
    <row r="68" spans="1:16" ht="24">
      <c r="A68" s="106"/>
      <c r="B68" s="107">
        <v>38899</v>
      </c>
      <c r="C68" s="107">
        <v>38930</v>
      </c>
      <c r="D68" s="107">
        <v>38961</v>
      </c>
      <c r="E68" s="107">
        <v>38991</v>
      </c>
      <c r="F68" s="107">
        <v>39022</v>
      </c>
      <c r="G68" s="107">
        <v>39052</v>
      </c>
      <c r="H68" s="107">
        <v>39083</v>
      </c>
      <c r="I68" s="107">
        <v>39114</v>
      </c>
      <c r="J68" s="107">
        <v>39142</v>
      </c>
      <c r="K68" s="107">
        <v>39173</v>
      </c>
      <c r="L68" s="107">
        <v>39203</v>
      </c>
      <c r="M68" s="107">
        <v>39234</v>
      </c>
      <c r="N68" s="108" t="s">
        <v>2</v>
      </c>
      <c r="O68" s="109" t="s">
        <v>189</v>
      </c>
      <c r="P68" s="109" t="s">
        <v>86</v>
      </c>
    </row>
    <row r="69" spans="1:16">
      <c r="A69" s="1" t="s">
        <v>38</v>
      </c>
      <c r="B69" s="22"/>
      <c r="C69" s="22"/>
      <c r="D69" s="22"/>
      <c r="E69" s="22"/>
      <c r="F69" s="22"/>
      <c r="G69" s="22"/>
      <c r="H69" s="22"/>
      <c r="I69" s="22"/>
      <c r="J69" s="22"/>
      <c r="K69" s="22"/>
      <c r="L69" s="22"/>
      <c r="M69" s="22"/>
      <c r="O69" s="28"/>
      <c r="P69" s="28"/>
    </row>
    <row r="70" spans="1:16">
      <c r="A70" t="s">
        <v>4</v>
      </c>
      <c r="B70" s="40">
        <v>143</v>
      </c>
      <c r="C70" s="40">
        <v>111</v>
      </c>
      <c r="D70" s="40">
        <v>275</v>
      </c>
      <c r="E70" s="40">
        <v>406</v>
      </c>
      <c r="F70" s="40">
        <v>436</v>
      </c>
      <c r="G70" s="41">
        <v>150</v>
      </c>
      <c r="H70" s="40">
        <v>171</v>
      </c>
      <c r="I70" s="40">
        <v>409</v>
      </c>
      <c r="J70" s="40">
        <v>504</v>
      </c>
      <c r="K70" s="40">
        <v>389</v>
      </c>
      <c r="L70" s="40">
        <v>113</v>
      </c>
      <c r="M70" s="41">
        <v>122</v>
      </c>
      <c r="N70" s="45">
        <f>SUM(B70:M70)</f>
        <v>3229</v>
      </c>
      <c r="O70" s="28"/>
      <c r="P70" s="28"/>
    </row>
    <row r="71" spans="1:16">
      <c r="A71" t="s">
        <v>5</v>
      </c>
      <c r="B71" s="55">
        <v>431</v>
      </c>
      <c r="C71" s="55">
        <v>385</v>
      </c>
      <c r="D71" s="55">
        <v>544</v>
      </c>
      <c r="E71" s="55">
        <v>729</v>
      </c>
      <c r="F71" s="55">
        <v>942</v>
      </c>
      <c r="G71" s="56">
        <v>369</v>
      </c>
      <c r="H71" s="55">
        <v>549</v>
      </c>
      <c r="I71" s="55">
        <v>813</v>
      </c>
      <c r="J71" s="55">
        <v>1054</v>
      </c>
      <c r="K71" s="55">
        <v>850</v>
      </c>
      <c r="L71" s="55">
        <v>253</v>
      </c>
      <c r="M71" s="56">
        <v>346</v>
      </c>
      <c r="N71" s="45">
        <f>SUM(B71:M71)</f>
        <v>7265</v>
      </c>
      <c r="O71" s="28">
        <v>0</v>
      </c>
      <c r="P71" s="28" t="s">
        <v>32</v>
      </c>
    </row>
    <row r="72" spans="1:16">
      <c r="A72" s="21" t="s">
        <v>51</v>
      </c>
      <c r="B72" s="47">
        <v>2</v>
      </c>
      <c r="C72" s="47">
        <v>2</v>
      </c>
      <c r="D72" s="47">
        <v>2</v>
      </c>
      <c r="E72" s="47">
        <v>2</v>
      </c>
      <c r="F72" s="47">
        <v>2</v>
      </c>
      <c r="G72" s="47">
        <v>2</v>
      </c>
      <c r="H72" s="47">
        <v>2</v>
      </c>
      <c r="I72" s="47">
        <v>2</v>
      </c>
      <c r="J72" s="47">
        <v>2</v>
      </c>
      <c r="K72" s="47">
        <v>2</v>
      </c>
      <c r="L72" s="47">
        <v>2</v>
      </c>
      <c r="M72" s="47">
        <v>2</v>
      </c>
      <c r="N72" s="45"/>
      <c r="O72" s="28"/>
      <c r="P72" s="28"/>
    </row>
    <row r="73" spans="1:16">
      <c r="A73" s="17" t="s">
        <v>13</v>
      </c>
      <c r="B73" s="47">
        <v>9</v>
      </c>
      <c r="C73" s="47">
        <v>6</v>
      </c>
      <c r="D73" s="47">
        <v>38</v>
      </c>
      <c r="E73" s="47">
        <v>49</v>
      </c>
      <c r="F73" s="47">
        <v>48</v>
      </c>
      <c r="G73" s="47">
        <v>6</v>
      </c>
      <c r="H73" s="47">
        <v>7</v>
      </c>
      <c r="I73" s="47">
        <v>60</v>
      </c>
      <c r="J73" s="47">
        <v>88</v>
      </c>
      <c r="K73" s="47">
        <v>48</v>
      </c>
      <c r="L73" s="47">
        <v>0</v>
      </c>
      <c r="M73" s="47">
        <v>1</v>
      </c>
      <c r="N73" s="45">
        <f>SUM(B73:M73)</f>
        <v>360</v>
      </c>
      <c r="O73" s="28"/>
      <c r="P73" s="28"/>
    </row>
    <row r="74" spans="1:16">
      <c r="A74" s="17"/>
      <c r="B74" s="121"/>
      <c r="C74" s="121"/>
      <c r="D74" s="121"/>
      <c r="E74" s="121"/>
      <c r="F74" s="121"/>
      <c r="G74" s="121"/>
      <c r="H74" s="121"/>
      <c r="I74" s="121"/>
      <c r="J74" s="121"/>
      <c r="K74" s="121"/>
      <c r="L74" s="121"/>
      <c r="M74" s="121"/>
      <c r="N74" s="121"/>
      <c r="O74" s="28"/>
      <c r="P74" s="28"/>
    </row>
    <row r="75" spans="1:16">
      <c r="A75" s="17"/>
      <c r="B75" s="121"/>
      <c r="C75" s="121"/>
      <c r="D75" s="121"/>
      <c r="E75" s="121"/>
      <c r="F75" s="121"/>
      <c r="G75" s="121"/>
      <c r="H75" s="121"/>
      <c r="I75" s="121"/>
      <c r="J75" s="121"/>
      <c r="K75" s="121"/>
      <c r="L75" s="121"/>
      <c r="M75" s="121"/>
      <c r="N75" s="121"/>
      <c r="O75" s="28"/>
      <c r="P75" s="28"/>
    </row>
    <row r="76" spans="1:16" ht="24">
      <c r="A76" s="106"/>
      <c r="B76" s="107">
        <v>38899</v>
      </c>
      <c r="C76" s="107">
        <v>38930</v>
      </c>
      <c r="D76" s="107">
        <v>38961</v>
      </c>
      <c r="E76" s="107">
        <v>38991</v>
      </c>
      <c r="F76" s="107">
        <v>39022</v>
      </c>
      <c r="G76" s="107">
        <v>39052</v>
      </c>
      <c r="H76" s="107">
        <v>39083</v>
      </c>
      <c r="I76" s="107">
        <v>39114</v>
      </c>
      <c r="J76" s="107">
        <v>39142</v>
      </c>
      <c r="K76" s="107">
        <v>39173</v>
      </c>
      <c r="L76" s="107">
        <v>39203</v>
      </c>
      <c r="M76" s="107">
        <v>39234</v>
      </c>
      <c r="N76" s="108" t="s">
        <v>2</v>
      </c>
      <c r="O76" s="109" t="s">
        <v>189</v>
      </c>
      <c r="P76" s="109" t="s">
        <v>86</v>
      </c>
    </row>
    <row r="77" spans="1:16">
      <c r="A77" s="1" t="s">
        <v>37</v>
      </c>
      <c r="B77" s="22"/>
      <c r="C77" s="22"/>
      <c r="D77" s="22"/>
      <c r="E77" s="22"/>
      <c r="F77" s="22"/>
      <c r="G77" s="22"/>
      <c r="H77" s="22"/>
      <c r="I77" s="22"/>
      <c r="J77" s="22"/>
      <c r="K77" s="22"/>
      <c r="L77" s="22"/>
      <c r="M77" s="22"/>
      <c r="O77" s="28"/>
      <c r="P77" s="28"/>
    </row>
    <row r="78" spans="1:16">
      <c r="A78" t="s">
        <v>4</v>
      </c>
      <c r="B78" s="40">
        <v>9</v>
      </c>
      <c r="C78" s="40">
        <v>0</v>
      </c>
      <c r="D78" s="40">
        <v>6</v>
      </c>
      <c r="E78" s="40">
        <v>8</v>
      </c>
      <c r="F78" s="40">
        <v>13</v>
      </c>
      <c r="G78" s="41">
        <v>7</v>
      </c>
      <c r="H78" s="40">
        <v>5</v>
      </c>
      <c r="I78" s="40">
        <v>11</v>
      </c>
      <c r="J78" s="40">
        <v>2</v>
      </c>
      <c r="K78" s="40">
        <v>4</v>
      </c>
      <c r="L78" s="40">
        <v>4</v>
      </c>
      <c r="M78" s="41">
        <v>5</v>
      </c>
      <c r="N78" s="45">
        <f>SUM(B78:M78)</f>
        <v>74</v>
      </c>
      <c r="O78" s="28"/>
      <c r="P78" s="28"/>
    </row>
    <row r="79" spans="1:16">
      <c r="A79" t="s">
        <v>5</v>
      </c>
      <c r="B79" s="55">
        <v>16</v>
      </c>
      <c r="C79" s="55">
        <v>0</v>
      </c>
      <c r="D79" s="55">
        <v>6</v>
      </c>
      <c r="E79" s="55">
        <v>14</v>
      </c>
      <c r="F79" s="55">
        <v>15</v>
      </c>
      <c r="G79" s="56">
        <v>6</v>
      </c>
      <c r="H79" s="55">
        <v>5</v>
      </c>
      <c r="I79" s="55">
        <v>15</v>
      </c>
      <c r="J79" s="55">
        <v>3</v>
      </c>
      <c r="K79" s="55">
        <v>5</v>
      </c>
      <c r="L79" s="55">
        <v>6</v>
      </c>
      <c r="M79" s="56">
        <v>8</v>
      </c>
      <c r="N79" s="45">
        <f>SUM(B79:M79)</f>
        <v>99</v>
      </c>
      <c r="O79" s="28">
        <v>0</v>
      </c>
      <c r="P79" s="28" t="s">
        <v>32</v>
      </c>
    </row>
    <row r="80" spans="1:16">
      <c r="A80" s="21" t="s">
        <v>51</v>
      </c>
      <c r="B80" s="47">
        <v>2</v>
      </c>
      <c r="C80" s="47">
        <v>0</v>
      </c>
      <c r="D80" s="47">
        <v>2</v>
      </c>
      <c r="E80" s="47">
        <v>2</v>
      </c>
      <c r="F80" s="47">
        <v>2</v>
      </c>
      <c r="G80" s="47">
        <v>2</v>
      </c>
      <c r="H80" s="47">
        <v>2</v>
      </c>
      <c r="I80" s="47">
        <v>2</v>
      </c>
      <c r="J80" s="47">
        <v>2</v>
      </c>
      <c r="K80" s="47">
        <v>2</v>
      </c>
      <c r="L80" s="47">
        <v>2</v>
      </c>
      <c r="M80" s="47">
        <v>2</v>
      </c>
      <c r="N80" s="45"/>
      <c r="O80" s="28"/>
      <c r="P80" s="28"/>
    </row>
    <row r="81" spans="1:16">
      <c r="A81" s="17" t="s">
        <v>13</v>
      </c>
      <c r="B81" s="47">
        <v>0</v>
      </c>
      <c r="C81" s="47">
        <v>0</v>
      </c>
      <c r="D81" s="47">
        <v>0</v>
      </c>
      <c r="E81" s="47">
        <v>0</v>
      </c>
      <c r="F81" s="47">
        <v>0</v>
      </c>
      <c r="G81" s="47">
        <v>0</v>
      </c>
      <c r="H81" s="47">
        <v>0</v>
      </c>
      <c r="I81" s="47">
        <v>0</v>
      </c>
      <c r="J81" s="47">
        <v>0</v>
      </c>
      <c r="K81" s="47">
        <v>0</v>
      </c>
      <c r="L81" s="47">
        <v>0</v>
      </c>
      <c r="M81" s="47">
        <v>0</v>
      </c>
      <c r="N81" s="45">
        <f>SUM(B81:M81)</f>
        <v>0</v>
      </c>
      <c r="O81" s="28"/>
      <c r="P81" s="28"/>
    </row>
    <row r="82" spans="1:16">
      <c r="A82" s="17"/>
      <c r="B82" s="121"/>
      <c r="C82" s="121"/>
      <c r="D82" s="121"/>
      <c r="E82" s="121"/>
      <c r="F82" s="121"/>
      <c r="G82" s="121"/>
      <c r="H82" s="121"/>
      <c r="I82" s="121"/>
      <c r="J82" s="121"/>
      <c r="K82" s="121"/>
      <c r="L82" s="121"/>
      <c r="M82" s="121"/>
      <c r="N82" s="121"/>
      <c r="O82" s="28"/>
      <c r="P82" s="28"/>
    </row>
    <row r="83" spans="1:16">
      <c r="A83" s="17"/>
      <c r="B83" s="121"/>
      <c r="C83" s="121"/>
      <c r="D83" s="121"/>
      <c r="E83" s="121"/>
      <c r="F83" s="121"/>
      <c r="G83" s="121"/>
      <c r="H83" s="121"/>
      <c r="I83" s="121"/>
      <c r="J83" s="121"/>
      <c r="K83" s="121"/>
      <c r="L83" s="121"/>
      <c r="M83" s="121"/>
      <c r="N83" s="121"/>
      <c r="O83" s="28"/>
      <c r="P83" s="28"/>
    </row>
    <row r="84" spans="1:16" ht="24">
      <c r="A84" s="106"/>
      <c r="B84" s="107">
        <v>38899</v>
      </c>
      <c r="C84" s="107">
        <v>38930</v>
      </c>
      <c r="D84" s="107">
        <v>38961</v>
      </c>
      <c r="E84" s="107">
        <v>38991</v>
      </c>
      <c r="F84" s="107">
        <v>39022</v>
      </c>
      <c r="G84" s="107">
        <v>39052</v>
      </c>
      <c r="H84" s="107">
        <v>39083</v>
      </c>
      <c r="I84" s="107">
        <v>39114</v>
      </c>
      <c r="J84" s="107">
        <v>39142</v>
      </c>
      <c r="K84" s="107">
        <v>39173</v>
      </c>
      <c r="L84" s="107">
        <v>39203</v>
      </c>
      <c r="M84" s="107">
        <v>39234</v>
      </c>
      <c r="N84" s="108" t="s">
        <v>2</v>
      </c>
      <c r="O84" s="109" t="s">
        <v>189</v>
      </c>
      <c r="P84" s="109" t="s">
        <v>86</v>
      </c>
    </row>
    <row r="85" spans="1:16">
      <c r="A85" s="1" t="s">
        <v>36</v>
      </c>
      <c r="B85" s="22"/>
      <c r="C85" s="22"/>
      <c r="D85" s="22"/>
      <c r="E85" s="22"/>
      <c r="F85" s="22"/>
      <c r="G85" s="22"/>
      <c r="H85" s="22"/>
      <c r="I85" s="22"/>
      <c r="J85" s="22"/>
      <c r="K85" s="22"/>
      <c r="L85" s="22"/>
      <c r="M85" s="22"/>
      <c r="O85" s="28"/>
      <c r="P85" s="28"/>
    </row>
    <row r="86" spans="1:16">
      <c r="A86" t="s">
        <v>4</v>
      </c>
      <c r="B86" s="40">
        <v>8</v>
      </c>
      <c r="C86" s="40">
        <v>0</v>
      </c>
      <c r="D86" s="40">
        <v>0</v>
      </c>
      <c r="E86" s="40">
        <v>7</v>
      </c>
      <c r="F86" s="40">
        <v>6</v>
      </c>
      <c r="G86" s="41">
        <v>0</v>
      </c>
      <c r="H86" s="40">
        <v>1</v>
      </c>
      <c r="I86" s="40">
        <v>5</v>
      </c>
      <c r="J86" s="40">
        <v>0</v>
      </c>
      <c r="K86" s="40">
        <v>6</v>
      </c>
      <c r="L86" s="40">
        <v>5</v>
      </c>
      <c r="M86" s="41">
        <v>4</v>
      </c>
      <c r="N86" s="45">
        <f>SUM(B86:M86)</f>
        <v>42</v>
      </c>
      <c r="O86" s="28"/>
      <c r="P86" s="28"/>
    </row>
    <row r="87" spans="1:16">
      <c r="A87" t="s">
        <v>5</v>
      </c>
      <c r="B87" s="55">
        <v>2</v>
      </c>
      <c r="C87" s="55">
        <v>0</v>
      </c>
      <c r="D87" s="55">
        <v>0</v>
      </c>
      <c r="E87" s="55">
        <v>4</v>
      </c>
      <c r="F87" s="55">
        <v>6</v>
      </c>
      <c r="G87" s="56">
        <v>0</v>
      </c>
      <c r="H87" s="55">
        <v>1</v>
      </c>
      <c r="I87" s="55">
        <v>4</v>
      </c>
      <c r="J87" s="55">
        <v>0</v>
      </c>
      <c r="K87" s="55">
        <v>2</v>
      </c>
      <c r="L87" s="55">
        <v>4</v>
      </c>
      <c r="M87" s="56">
        <v>5</v>
      </c>
      <c r="N87" s="45">
        <f>SUM(B87:M87)</f>
        <v>28</v>
      </c>
      <c r="O87" s="28">
        <v>0</v>
      </c>
      <c r="P87" s="28" t="s">
        <v>32</v>
      </c>
    </row>
    <row r="88" spans="1:16">
      <c r="A88" s="21" t="s">
        <v>51</v>
      </c>
      <c r="B88" s="47">
        <v>2</v>
      </c>
      <c r="C88" s="47">
        <v>0</v>
      </c>
      <c r="D88" s="47">
        <v>0</v>
      </c>
      <c r="E88" s="47">
        <v>2</v>
      </c>
      <c r="F88" s="47">
        <v>2</v>
      </c>
      <c r="G88" s="47">
        <v>0</v>
      </c>
      <c r="H88" s="47">
        <v>2</v>
      </c>
      <c r="I88" s="47">
        <v>2</v>
      </c>
      <c r="J88" s="47">
        <v>0</v>
      </c>
      <c r="K88" s="47">
        <v>2</v>
      </c>
      <c r="L88" s="47">
        <v>2</v>
      </c>
      <c r="M88" s="47">
        <v>2</v>
      </c>
      <c r="N88" s="45"/>
      <c r="O88" s="28"/>
      <c r="P88" s="28"/>
    </row>
    <row r="89" spans="1:16">
      <c r="A89" s="17" t="s">
        <v>13</v>
      </c>
      <c r="B89" s="47">
        <v>0</v>
      </c>
      <c r="C89" s="47">
        <v>0</v>
      </c>
      <c r="D89" s="47">
        <v>0</v>
      </c>
      <c r="E89" s="47">
        <v>0</v>
      </c>
      <c r="F89" s="47">
        <v>0</v>
      </c>
      <c r="G89" s="47">
        <v>0</v>
      </c>
      <c r="H89" s="47">
        <v>0</v>
      </c>
      <c r="I89" s="47">
        <v>0</v>
      </c>
      <c r="J89" s="47">
        <v>0</v>
      </c>
      <c r="K89" s="47">
        <v>0</v>
      </c>
      <c r="L89" s="47">
        <v>0</v>
      </c>
      <c r="M89" s="47">
        <v>0</v>
      </c>
      <c r="N89" s="45">
        <f>SUM(B89:M89)</f>
        <v>0</v>
      </c>
      <c r="O89" s="28"/>
      <c r="P89" s="28"/>
    </row>
    <row r="90" spans="1:16">
      <c r="A90" s="17"/>
      <c r="B90" s="121"/>
      <c r="C90" s="121"/>
      <c r="D90" s="121"/>
      <c r="E90" s="121"/>
      <c r="F90" s="121"/>
      <c r="G90" s="121"/>
      <c r="H90" s="121"/>
      <c r="I90" s="121"/>
      <c r="J90" s="121"/>
      <c r="K90" s="121"/>
      <c r="L90" s="121"/>
      <c r="M90" s="121"/>
      <c r="N90" s="121"/>
      <c r="O90" s="28"/>
      <c r="P90" s="28"/>
    </row>
    <row r="91" spans="1:16">
      <c r="A91" s="17"/>
      <c r="B91" s="121"/>
      <c r="C91" s="121"/>
      <c r="D91" s="121"/>
      <c r="E91" s="121"/>
      <c r="F91" s="121"/>
      <c r="G91" s="121"/>
      <c r="H91" s="121"/>
      <c r="I91" s="121"/>
      <c r="J91" s="121"/>
      <c r="K91" s="121"/>
      <c r="L91" s="121"/>
      <c r="M91" s="121"/>
      <c r="N91" s="121"/>
      <c r="O91" s="28"/>
      <c r="P91" s="28"/>
    </row>
    <row r="92" spans="1:16" ht="24">
      <c r="A92" s="106"/>
      <c r="B92" s="107">
        <v>38899</v>
      </c>
      <c r="C92" s="107">
        <v>38930</v>
      </c>
      <c r="D92" s="107">
        <v>38961</v>
      </c>
      <c r="E92" s="107">
        <v>38991</v>
      </c>
      <c r="F92" s="107">
        <v>39022</v>
      </c>
      <c r="G92" s="107">
        <v>39052</v>
      </c>
      <c r="H92" s="107">
        <v>39083</v>
      </c>
      <c r="I92" s="107">
        <v>39114</v>
      </c>
      <c r="J92" s="107">
        <v>39142</v>
      </c>
      <c r="K92" s="107">
        <v>39173</v>
      </c>
      <c r="L92" s="107">
        <v>39203</v>
      </c>
      <c r="M92" s="107">
        <v>39234</v>
      </c>
      <c r="N92" s="108" t="s">
        <v>2</v>
      </c>
      <c r="O92" s="109" t="s">
        <v>189</v>
      </c>
      <c r="P92" s="109" t="s">
        <v>86</v>
      </c>
    </row>
    <row r="93" spans="1:16">
      <c r="A93" s="1" t="s">
        <v>199</v>
      </c>
      <c r="B93" s="22"/>
      <c r="C93" s="22"/>
      <c r="D93" s="22"/>
      <c r="E93" s="22"/>
      <c r="F93" s="22"/>
      <c r="G93" s="22"/>
      <c r="H93" s="22"/>
      <c r="I93" s="22"/>
      <c r="J93" s="22"/>
      <c r="K93" s="22"/>
      <c r="L93" s="22"/>
      <c r="M93" s="22"/>
      <c r="O93" s="28"/>
      <c r="P93" s="28"/>
    </row>
    <row r="94" spans="1:16">
      <c r="A94" t="s">
        <v>4</v>
      </c>
      <c r="B94" s="40">
        <v>7</v>
      </c>
      <c r="C94" s="40">
        <v>8</v>
      </c>
      <c r="D94" s="40">
        <v>5</v>
      </c>
      <c r="E94" s="40">
        <v>8</v>
      </c>
      <c r="F94" s="40">
        <v>26</v>
      </c>
      <c r="G94" s="41">
        <v>8</v>
      </c>
      <c r="H94" s="40">
        <v>0</v>
      </c>
      <c r="I94" s="40">
        <v>8</v>
      </c>
      <c r="J94" s="40">
        <v>12</v>
      </c>
      <c r="K94" s="40">
        <v>8</v>
      </c>
      <c r="L94" s="40">
        <v>0</v>
      </c>
      <c r="M94" s="41">
        <v>2</v>
      </c>
      <c r="N94" s="45">
        <f>SUM(B94:M94)</f>
        <v>92</v>
      </c>
      <c r="O94" s="28"/>
      <c r="P94" s="28"/>
    </row>
    <row r="95" spans="1:16">
      <c r="A95" t="s">
        <v>5</v>
      </c>
      <c r="B95" s="55">
        <v>11</v>
      </c>
      <c r="C95" s="55">
        <v>3</v>
      </c>
      <c r="D95" s="55">
        <v>4</v>
      </c>
      <c r="E95" s="55">
        <v>10</v>
      </c>
      <c r="F95" s="55">
        <v>55</v>
      </c>
      <c r="G95" s="56">
        <v>13</v>
      </c>
      <c r="H95" s="55">
        <v>0</v>
      </c>
      <c r="I95" s="55">
        <v>5</v>
      </c>
      <c r="J95" s="55">
        <v>18</v>
      </c>
      <c r="K95" s="55">
        <v>10</v>
      </c>
      <c r="L95" s="55">
        <v>0</v>
      </c>
      <c r="M95" s="56">
        <v>1</v>
      </c>
      <c r="N95" s="45">
        <f>SUM(B95:M95)</f>
        <v>130</v>
      </c>
      <c r="O95" s="28">
        <v>0</v>
      </c>
      <c r="P95" s="28" t="s">
        <v>32</v>
      </c>
    </row>
    <row r="96" spans="1:16">
      <c r="A96" s="21" t="s">
        <v>51</v>
      </c>
      <c r="B96" s="47">
        <v>2</v>
      </c>
      <c r="C96" s="47">
        <v>2</v>
      </c>
      <c r="D96" s="47">
        <v>2</v>
      </c>
      <c r="E96" s="47">
        <v>2</v>
      </c>
      <c r="F96" s="47">
        <v>2</v>
      </c>
      <c r="G96" s="47">
        <v>2</v>
      </c>
      <c r="H96" s="47">
        <v>0</v>
      </c>
      <c r="I96" s="47">
        <v>2</v>
      </c>
      <c r="J96" s="47">
        <v>2</v>
      </c>
      <c r="K96" s="47">
        <v>2</v>
      </c>
      <c r="L96" s="47">
        <v>0</v>
      </c>
      <c r="M96" s="47">
        <v>2</v>
      </c>
      <c r="N96" s="45"/>
      <c r="O96" s="28"/>
      <c r="P96" s="28"/>
    </row>
    <row r="97" spans="1:16">
      <c r="A97" s="17" t="s">
        <v>13</v>
      </c>
      <c r="B97" s="47">
        <v>0</v>
      </c>
      <c r="C97" s="47">
        <v>0</v>
      </c>
      <c r="D97" s="47">
        <v>0</v>
      </c>
      <c r="E97" s="47">
        <v>0</v>
      </c>
      <c r="F97" s="47">
        <v>2</v>
      </c>
      <c r="G97" s="47">
        <v>0</v>
      </c>
      <c r="H97" s="47">
        <v>0</v>
      </c>
      <c r="I97" s="47">
        <v>0</v>
      </c>
      <c r="J97" s="47">
        <v>0</v>
      </c>
      <c r="K97" s="47">
        <v>0</v>
      </c>
      <c r="L97" s="47">
        <v>0</v>
      </c>
      <c r="M97" s="47">
        <v>0</v>
      </c>
      <c r="N97" s="45">
        <f>SUM(B97:M97)</f>
        <v>2</v>
      </c>
      <c r="O97" s="28"/>
      <c r="P97" s="28"/>
    </row>
    <row r="98" spans="1:16">
      <c r="A98" s="17"/>
      <c r="B98" s="121"/>
      <c r="C98" s="121"/>
      <c r="D98" s="121"/>
      <c r="E98" s="121"/>
      <c r="F98" s="121"/>
      <c r="G98" s="121"/>
      <c r="H98" s="121"/>
      <c r="I98" s="121"/>
      <c r="J98" s="121"/>
      <c r="K98" s="121"/>
      <c r="L98" s="121"/>
      <c r="M98" s="121"/>
      <c r="N98" s="121"/>
      <c r="O98" s="28"/>
      <c r="P98" s="28"/>
    </row>
    <row r="99" spans="1:16">
      <c r="A99" s="17"/>
      <c r="B99" s="121"/>
      <c r="C99" s="121"/>
      <c r="D99" s="121"/>
      <c r="E99" s="121"/>
      <c r="F99" s="121"/>
      <c r="G99" s="121"/>
      <c r="H99" s="121"/>
      <c r="I99" s="121"/>
      <c r="J99" s="121"/>
      <c r="K99" s="121"/>
      <c r="L99" s="121"/>
      <c r="M99" s="121"/>
      <c r="N99" s="121"/>
      <c r="O99" s="28"/>
      <c r="P99" s="28"/>
    </row>
    <row r="100" spans="1:16" ht="24">
      <c r="A100" s="106"/>
      <c r="B100" s="107">
        <v>38899</v>
      </c>
      <c r="C100" s="107">
        <v>38930</v>
      </c>
      <c r="D100" s="107">
        <v>38961</v>
      </c>
      <c r="E100" s="107">
        <v>38991</v>
      </c>
      <c r="F100" s="107">
        <v>39022</v>
      </c>
      <c r="G100" s="107">
        <v>39052</v>
      </c>
      <c r="H100" s="107">
        <v>39083</v>
      </c>
      <c r="I100" s="107">
        <v>39114</v>
      </c>
      <c r="J100" s="107">
        <v>39142</v>
      </c>
      <c r="K100" s="107">
        <v>39173</v>
      </c>
      <c r="L100" s="107">
        <v>39203</v>
      </c>
      <c r="M100" s="107">
        <v>39234</v>
      </c>
      <c r="N100" s="108" t="s">
        <v>2</v>
      </c>
      <c r="O100" s="109" t="s">
        <v>189</v>
      </c>
      <c r="P100" s="109" t="s">
        <v>86</v>
      </c>
    </row>
    <row r="101" spans="1:16">
      <c r="A101" s="1" t="s">
        <v>35</v>
      </c>
      <c r="B101" s="22"/>
      <c r="C101" s="22"/>
      <c r="D101" s="22"/>
      <c r="E101" s="22"/>
      <c r="F101" s="22"/>
      <c r="G101" s="22"/>
      <c r="H101" s="22"/>
      <c r="I101" s="22"/>
      <c r="J101" s="22"/>
      <c r="K101" s="22"/>
      <c r="L101" s="22"/>
      <c r="M101" s="22"/>
      <c r="O101" s="28"/>
      <c r="P101" s="28"/>
    </row>
    <row r="102" spans="1:16">
      <c r="A102" t="s">
        <v>4</v>
      </c>
      <c r="B102" s="40">
        <v>346</v>
      </c>
      <c r="C102" s="40">
        <v>264</v>
      </c>
      <c r="D102" s="40">
        <v>319</v>
      </c>
      <c r="E102" s="40">
        <v>436</v>
      </c>
      <c r="F102" s="40">
        <v>274</v>
      </c>
      <c r="G102" s="41">
        <v>216</v>
      </c>
      <c r="H102" s="40">
        <v>236</v>
      </c>
      <c r="I102" s="40">
        <v>291</v>
      </c>
      <c r="J102" s="40">
        <v>306</v>
      </c>
      <c r="K102" s="40">
        <v>209</v>
      </c>
      <c r="L102" s="40">
        <v>183</v>
      </c>
      <c r="M102" s="41">
        <v>130</v>
      </c>
      <c r="N102" s="45">
        <f>SUM(B102:M102)</f>
        <v>3210</v>
      </c>
      <c r="O102" s="28"/>
      <c r="P102" s="28"/>
    </row>
    <row r="103" spans="1:16">
      <c r="A103" t="s">
        <v>5</v>
      </c>
      <c r="B103" s="55">
        <v>1231</v>
      </c>
      <c r="C103" s="55">
        <v>2126</v>
      </c>
      <c r="D103" s="55">
        <v>1047</v>
      </c>
      <c r="E103" s="55">
        <v>1625</v>
      </c>
      <c r="F103" s="55">
        <v>1444</v>
      </c>
      <c r="G103" s="56">
        <v>1243</v>
      </c>
      <c r="H103" s="55">
        <v>648</v>
      </c>
      <c r="I103" s="55">
        <v>1489</v>
      </c>
      <c r="J103" s="55">
        <v>1031</v>
      </c>
      <c r="K103" s="55">
        <v>1124</v>
      </c>
      <c r="L103" s="55">
        <v>827</v>
      </c>
      <c r="M103" s="56">
        <v>969</v>
      </c>
      <c r="N103" s="45">
        <f>SUM(B103:M103)</f>
        <v>14804</v>
      </c>
      <c r="O103" s="28">
        <v>0</v>
      </c>
      <c r="P103" s="28">
        <f>O103/N103</f>
        <v>0</v>
      </c>
    </row>
    <row r="104" spans="1:16">
      <c r="A104" s="21" t="s">
        <v>51</v>
      </c>
      <c r="B104" s="47">
        <v>2</v>
      </c>
      <c r="C104" s="47">
        <v>2</v>
      </c>
      <c r="D104" s="47">
        <v>2</v>
      </c>
      <c r="E104" s="47">
        <v>2</v>
      </c>
      <c r="F104" s="47">
        <v>2</v>
      </c>
      <c r="G104" s="47">
        <v>2</v>
      </c>
      <c r="H104" s="47">
        <v>2</v>
      </c>
      <c r="I104" s="47">
        <v>2</v>
      </c>
      <c r="J104" s="47">
        <v>2</v>
      </c>
      <c r="K104" s="47">
        <v>2</v>
      </c>
      <c r="L104" s="47">
        <v>2</v>
      </c>
      <c r="M104" s="47">
        <v>2</v>
      </c>
      <c r="N104" s="45"/>
      <c r="O104" s="28"/>
      <c r="P104" s="28"/>
    </row>
    <row r="105" spans="1:16">
      <c r="A105" s="17" t="s">
        <v>13</v>
      </c>
      <c r="B105" s="47">
        <v>93</v>
      </c>
      <c r="C105" s="47">
        <v>36</v>
      </c>
      <c r="D105" s="47">
        <v>30</v>
      </c>
      <c r="E105" s="47">
        <v>58</v>
      </c>
      <c r="F105" s="47">
        <v>28</v>
      </c>
      <c r="G105" s="47">
        <v>35</v>
      </c>
      <c r="H105" s="47">
        <v>27</v>
      </c>
      <c r="I105" s="47">
        <v>16</v>
      </c>
      <c r="J105" s="47">
        <v>45</v>
      </c>
      <c r="K105" s="47">
        <v>14</v>
      </c>
      <c r="L105" s="47">
        <v>6</v>
      </c>
      <c r="M105" s="47">
        <v>10</v>
      </c>
      <c r="N105" s="45">
        <f>SUM(B105:M105)</f>
        <v>398</v>
      </c>
      <c r="O105" s="28"/>
      <c r="P105" s="28"/>
    </row>
    <row r="106" spans="1:16">
      <c r="A106" s="17"/>
      <c r="B106" s="121"/>
      <c r="C106" s="121"/>
      <c r="D106" s="121"/>
      <c r="E106" s="121"/>
      <c r="F106" s="121"/>
      <c r="G106" s="121"/>
      <c r="H106" s="121"/>
      <c r="I106" s="121"/>
      <c r="J106" s="121"/>
      <c r="K106" s="121"/>
      <c r="L106" s="121"/>
      <c r="M106" s="121"/>
      <c r="N106" s="121"/>
      <c r="O106" s="28"/>
      <c r="P106" s="28"/>
    </row>
    <row r="107" spans="1:16">
      <c r="A107" s="17"/>
      <c r="B107" s="121"/>
      <c r="C107" s="121"/>
      <c r="D107" s="121"/>
      <c r="E107" s="121"/>
      <c r="F107" s="121"/>
      <c r="G107" s="121"/>
      <c r="H107" s="121"/>
      <c r="I107" s="121"/>
      <c r="J107" s="121"/>
      <c r="K107" s="121"/>
      <c r="L107" s="121"/>
      <c r="M107" s="121"/>
      <c r="N107" s="121"/>
      <c r="O107" s="28"/>
      <c r="P107" s="28"/>
    </row>
    <row r="108" spans="1:16" ht="24">
      <c r="A108" s="106"/>
      <c r="B108" s="107">
        <v>38899</v>
      </c>
      <c r="C108" s="107">
        <v>38930</v>
      </c>
      <c r="D108" s="107">
        <v>38961</v>
      </c>
      <c r="E108" s="107">
        <v>38991</v>
      </c>
      <c r="F108" s="107">
        <v>39022</v>
      </c>
      <c r="G108" s="107">
        <v>39052</v>
      </c>
      <c r="H108" s="107">
        <v>39083</v>
      </c>
      <c r="I108" s="107">
        <v>39114</v>
      </c>
      <c r="J108" s="107">
        <v>39142</v>
      </c>
      <c r="K108" s="107">
        <v>39173</v>
      </c>
      <c r="L108" s="107">
        <v>39203</v>
      </c>
      <c r="M108" s="107">
        <v>39234</v>
      </c>
      <c r="N108" s="108" t="s">
        <v>2</v>
      </c>
      <c r="O108" s="109" t="s">
        <v>189</v>
      </c>
      <c r="P108" s="109" t="s">
        <v>86</v>
      </c>
    </row>
    <row r="109" spans="1:16">
      <c r="A109" s="1" t="s">
        <v>98</v>
      </c>
      <c r="B109" s="22"/>
      <c r="C109" s="22"/>
      <c r="D109" s="22"/>
      <c r="E109" s="22"/>
      <c r="F109" s="22"/>
      <c r="G109" s="22"/>
      <c r="H109" s="22"/>
      <c r="I109" s="22"/>
      <c r="J109" s="22"/>
      <c r="K109" s="22"/>
      <c r="L109" s="22"/>
      <c r="M109" s="22"/>
      <c r="O109" s="28"/>
      <c r="P109" s="28"/>
    </row>
    <row r="110" spans="1:16">
      <c r="A110" t="s">
        <v>4</v>
      </c>
      <c r="B110" s="40">
        <v>4</v>
      </c>
      <c r="C110" s="40">
        <v>5</v>
      </c>
      <c r="D110" s="40">
        <v>8</v>
      </c>
      <c r="E110" s="40">
        <v>48</v>
      </c>
      <c r="F110" s="40">
        <v>21</v>
      </c>
      <c r="G110" s="41">
        <v>7</v>
      </c>
      <c r="H110" s="40">
        <v>4</v>
      </c>
      <c r="I110" s="40">
        <v>17</v>
      </c>
      <c r="J110" s="40">
        <v>23</v>
      </c>
      <c r="K110" s="40">
        <v>23</v>
      </c>
      <c r="L110" s="40">
        <v>5</v>
      </c>
      <c r="M110" s="41">
        <v>7</v>
      </c>
      <c r="N110" s="45">
        <f>SUM(B110:M110)</f>
        <v>172</v>
      </c>
      <c r="O110" s="28"/>
      <c r="P110" s="28"/>
    </row>
    <row r="111" spans="1:16">
      <c r="A111" t="s">
        <v>5</v>
      </c>
      <c r="B111" s="55">
        <v>5</v>
      </c>
      <c r="C111" s="55">
        <v>4</v>
      </c>
      <c r="D111" s="55">
        <v>17</v>
      </c>
      <c r="E111" s="55">
        <v>119</v>
      </c>
      <c r="F111" s="55">
        <v>24</v>
      </c>
      <c r="G111" s="56">
        <v>8</v>
      </c>
      <c r="H111" s="55">
        <v>7</v>
      </c>
      <c r="I111" s="55">
        <v>17</v>
      </c>
      <c r="J111" s="55">
        <v>64</v>
      </c>
      <c r="K111" s="55">
        <v>34</v>
      </c>
      <c r="L111" s="55">
        <v>9</v>
      </c>
      <c r="M111" s="56">
        <v>5</v>
      </c>
      <c r="N111" s="45">
        <f>SUM(B111:M111)</f>
        <v>313</v>
      </c>
      <c r="O111" s="28">
        <v>0</v>
      </c>
      <c r="P111" s="28" t="s">
        <v>32</v>
      </c>
    </row>
    <row r="112" spans="1:16">
      <c r="A112" s="21" t="s">
        <v>51</v>
      </c>
      <c r="B112" s="47">
        <v>2</v>
      </c>
      <c r="C112" s="47">
        <v>2</v>
      </c>
      <c r="D112" s="47">
        <v>2</v>
      </c>
      <c r="E112" s="47">
        <v>2</v>
      </c>
      <c r="F112" s="47">
        <v>2</v>
      </c>
      <c r="G112" s="47">
        <v>2</v>
      </c>
      <c r="H112" s="47">
        <v>2</v>
      </c>
      <c r="I112" s="47">
        <v>2</v>
      </c>
      <c r="J112" s="47">
        <v>2</v>
      </c>
      <c r="K112" s="47">
        <v>2</v>
      </c>
      <c r="L112" s="47">
        <v>2</v>
      </c>
      <c r="M112" s="47">
        <v>2</v>
      </c>
      <c r="N112" s="45"/>
      <c r="O112" s="28"/>
      <c r="P112" s="28"/>
    </row>
    <row r="113" spans="1:16">
      <c r="A113" s="17" t="s">
        <v>13</v>
      </c>
      <c r="B113" s="47">
        <v>0</v>
      </c>
      <c r="C113" s="47">
        <v>0</v>
      </c>
      <c r="D113" s="47">
        <v>0</v>
      </c>
      <c r="E113" s="47">
        <v>0</v>
      </c>
      <c r="F113" s="47">
        <v>0</v>
      </c>
      <c r="G113" s="47">
        <v>0</v>
      </c>
      <c r="H113" s="47">
        <v>0</v>
      </c>
      <c r="I113" s="47">
        <v>0</v>
      </c>
      <c r="J113" s="47">
        <v>0</v>
      </c>
      <c r="K113" s="47">
        <v>0</v>
      </c>
      <c r="L113" s="47">
        <v>0</v>
      </c>
      <c r="M113" s="47">
        <v>0</v>
      </c>
      <c r="N113" s="45">
        <f>SUM(B113:M113)</f>
        <v>0</v>
      </c>
      <c r="O113" s="28"/>
      <c r="P113" s="28"/>
    </row>
    <row r="114" spans="1:16">
      <c r="A114" s="17"/>
      <c r="B114" s="17"/>
      <c r="C114" s="17"/>
      <c r="D114" s="17"/>
      <c r="E114" s="17"/>
      <c r="F114" s="17"/>
      <c r="G114" s="17"/>
      <c r="H114" s="17"/>
      <c r="I114" s="17"/>
      <c r="J114" s="17"/>
      <c r="K114" s="17"/>
      <c r="L114" s="17"/>
      <c r="M114" s="17"/>
      <c r="N114" s="13"/>
      <c r="O114" s="28"/>
      <c r="P114" s="28"/>
    </row>
    <row r="115" spans="1:16">
      <c r="A115" s="17"/>
      <c r="B115" s="17"/>
      <c r="C115" s="17"/>
      <c r="D115" s="17"/>
      <c r="E115" s="17"/>
      <c r="F115" s="17"/>
      <c r="G115" s="17"/>
      <c r="H115" s="17"/>
      <c r="I115" s="17"/>
      <c r="J115" s="17"/>
      <c r="K115" s="17"/>
      <c r="L115" s="17"/>
      <c r="M115" s="17"/>
      <c r="N115" s="13"/>
      <c r="O115" s="28"/>
      <c r="P115" s="28"/>
    </row>
    <row r="116" spans="1:16">
      <c r="A116" s="17"/>
      <c r="B116" s="17"/>
      <c r="C116" s="17"/>
      <c r="D116" s="17"/>
      <c r="E116" s="17"/>
      <c r="F116" s="17"/>
      <c r="G116" s="17"/>
      <c r="H116" s="17"/>
      <c r="I116" s="17"/>
      <c r="J116" s="17"/>
      <c r="K116" s="17"/>
      <c r="L116" s="17"/>
      <c r="M116" s="17"/>
      <c r="N116" s="13"/>
      <c r="O116" s="28"/>
      <c r="P116" s="28"/>
    </row>
    <row r="117" spans="1:16" ht="24">
      <c r="A117" s="106"/>
      <c r="B117" s="107">
        <v>38899</v>
      </c>
      <c r="C117" s="107">
        <v>38930</v>
      </c>
      <c r="D117" s="107">
        <v>38961</v>
      </c>
      <c r="E117" s="107">
        <v>38991</v>
      </c>
      <c r="F117" s="107">
        <v>39022</v>
      </c>
      <c r="G117" s="107">
        <v>39052</v>
      </c>
      <c r="H117" s="107">
        <v>39083</v>
      </c>
      <c r="I117" s="107">
        <v>39114</v>
      </c>
      <c r="J117" s="107">
        <v>39142</v>
      </c>
      <c r="K117" s="107">
        <v>39173</v>
      </c>
      <c r="L117" s="107">
        <v>39203</v>
      </c>
      <c r="M117" s="107">
        <v>39234</v>
      </c>
      <c r="N117" s="108" t="s">
        <v>2</v>
      </c>
      <c r="O117" s="109" t="s">
        <v>189</v>
      </c>
      <c r="P117" s="109" t="s">
        <v>86</v>
      </c>
    </row>
    <row r="118" spans="1:16">
      <c r="A118" s="1" t="s">
        <v>44</v>
      </c>
      <c r="B118" s="22"/>
      <c r="C118" s="22"/>
      <c r="D118" s="22"/>
      <c r="E118" s="22"/>
      <c r="F118" s="22"/>
      <c r="G118" s="22"/>
      <c r="H118" s="22"/>
      <c r="I118" s="22"/>
      <c r="J118" s="22"/>
      <c r="K118" s="22"/>
      <c r="L118" s="22"/>
      <c r="M118" s="22"/>
      <c r="O118" s="28"/>
      <c r="P118" s="28"/>
    </row>
    <row r="119" spans="1:16">
      <c r="A119" s="16" t="s">
        <v>4</v>
      </c>
      <c r="B119" s="89">
        <v>898</v>
      </c>
      <c r="C119" s="89">
        <v>501</v>
      </c>
      <c r="D119" s="89">
        <v>992</v>
      </c>
      <c r="E119" s="89">
        <v>1826</v>
      </c>
      <c r="F119" s="89">
        <v>1622</v>
      </c>
      <c r="G119" s="90">
        <v>781</v>
      </c>
      <c r="H119" s="89">
        <v>647</v>
      </c>
      <c r="I119" s="89">
        <v>1286</v>
      </c>
      <c r="J119" s="89">
        <v>1463</v>
      </c>
      <c r="K119" s="89">
        <v>1192</v>
      </c>
      <c r="L119" s="89">
        <v>476</v>
      </c>
      <c r="M119" s="90">
        <v>497</v>
      </c>
      <c r="N119" s="45">
        <f>SUM(B119:M119)</f>
        <v>12181</v>
      </c>
      <c r="O119" s="28"/>
      <c r="P119" s="28"/>
    </row>
    <row r="120" spans="1:16">
      <c r="A120" s="16" t="s">
        <v>5</v>
      </c>
      <c r="B120" s="91">
        <v>2824</v>
      </c>
      <c r="C120" s="91">
        <v>2906</v>
      </c>
      <c r="D120" s="91">
        <v>2433</v>
      </c>
      <c r="E120" s="91">
        <v>4261</v>
      </c>
      <c r="F120" s="91">
        <v>4283</v>
      </c>
      <c r="G120" s="92">
        <v>3135</v>
      </c>
      <c r="H120" s="91">
        <v>2205</v>
      </c>
      <c r="I120" s="91">
        <v>3531</v>
      </c>
      <c r="J120" s="91">
        <v>3750</v>
      </c>
      <c r="K120" s="91">
        <v>3143</v>
      </c>
      <c r="L120" s="91">
        <v>1863</v>
      </c>
      <c r="M120" s="92">
        <v>2458</v>
      </c>
      <c r="N120" s="45">
        <f>SUM(B120:M120)</f>
        <v>36792</v>
      </c>
      <c r="O120" s="28">
        <v>9700</v>
      </c>
      <c r="P120" s="28">
        <f>O120/N120</f>
        <v>0.26364427049358558</v>
      </c>
    </row>
    <row r="121" spans="1:16">
      <c r="A121" t="s">
        <v>87</v>
      </c>
      <c r="B121" s="47">
        <v>2</v>
      </c>
      <c r="C121" s="47">
        <v>2</v>
      </c>
      <c r="D121" s="47">
        <v>2</v>
      </c>
      <c r="E121" s="47">
        <v>2</v>
      </c>
      <c r="F121" s="47">
        <v>2</v>
      </c>
      <c r="G121" s="47">
        <v>2</v>
      </c>
      <c r="H121" s="47">
        <v>2</v>
      </c>
      <c r="I121" s="47">
        <v>2</v>
      </c>
      <c r="J121" s="47">
        <v>2</v>
      </c>
      <c r="K121" s="47">
        <v>2</v>
      </c>
      <c r="L121" s="47">
        <v>2</v>
      </c>
      <c r="M121" s="47">
        <v>2</v>
      </c>
      <c r="N121" s="45"/>
      <c r="O121" s="28"/>
      <c r="P121" s="28"/>
    </row>
    <row r="122" spans="1:16">
      <c r="A122" t="s">
        <v>13</v>
      </c>
      <c r="B122" s="47">
        <v>112</v>
      </c>
      <c r="C122" s="47">
        <v>42</v>
      </c>
      <c r="D122" s="47">
        <v>80</v>
      </c>
      <c r="E122" s="47">
        <v>192</v>
      </c>
      <c r="F122" s="47">
        <v>185</v>
      </c>
      <c r="G122" s="47">
        <v>51</v>
      </c>
      <c r="H122" s="47">
        <v>40</v>
      </c>
      <c r="I122" s="47">
        <v>95</v>
      </c>
      <c r="J122" s="47">
        <v>183</v>
      </c>
      <c r="K122" s="47">
        <v>90</v>
      </c>
      <c r="L122" s="47">
        <v>43</v>
      </c>
      <c r="M122" s="47">
        <v>19</v>
      </c>
      <c r="N122" s="45">
        <f>SUM(B122:M122)</f>
        <v>1132</v>
      </c>
      <c r="O122" s="28"/>
      <c r="P122" s="28"/>
    </row>
    <row r="123" spans="1:16">
      <c r="B123" s="121"/>
      <c r="C123" s="121"/>
      <c r="D123" s="121"/>
      <c r="E123" s="121"/>
      <c r="F123" s="121"/>
      <c r="G123" s="121"/>
      <c r="H123" s="121"/>
      <c r="I123" s="121"/>
      <c r="J123" s="121"/>
      <c r="K123" s="121"/>
      <c r="L123" s="121"/>
      <c r="M123" s="121"/>
      <c r="N123" s="121"/>
      <c r="O123" s="28"/>
      <c r="P123" s="28"/>
    </row>
    <row r="124" spans="1:16">
      <c r="B124" s="121"/>
      <c r="C124" s="121"/>
      <c r="D124" s="121"/>
      <c r="E124" s="121"/>
      <c r="F124" s="121"/>
      <c r="G124" s="121"/>
      <c r="H124" s="121"/>
      <c r="I124" s="121"/>
      <c r="J124" s="121"/>
      <c r="K124" s="121"/>
      <c r="L124" s="121"/>
      <c r="M124" s="121"/>
      <c r="N124" s="121"/>
      <c r="O124" s="28"/>
      <c r="P124" s="28"/>
    </row>
    <row r="125" spans="1:16" ht="24">
      <c r="A125" s="106"/>
      <c r="B125" s="107">
        <v>38899</v>
      </c>
      <c r="C125" s="107">
        <v>38930</v>
      </c>
      <c r="D125" s="107">
        <v>38961</v>
      </c>
      <c r="E125" s="107">
        <v>38991</v>
      </c>
      <c r="F125" s="107">
        <v>39022</v>
      </c>
      <c r="G125" s="107">
        <v>39052</v>
      </c>
      <c r="H125" s="107">
        <v>39083</v>
      </c>
      <c r="I125" s="107">
        <v>39114</v>
      </c>
      <c r="J125" s="107">
        <v>39142</v>
      </c>
      <c r="K125" s="107">
        <v>39173</v>
      </c>
      <c r="L125" s="107">
        <v>39203</v>
      </c>
      <c r="M125" s="107">
        <v>39234</v>
      </c>
      <c r="N125" s="108" t="s">
        <v>2</v>
      </c>
      <c r="O125" s="109" t="s">
        <v>189</v>
      </c>
      <c r="P125" s="109" t="s">
        <v>86</v>
      </c>
    </row>
    <row r="126" spans="1:16">
      <c r="A126" s="12" t="s">
        <v>49</v>
      </c>
      <c r="B126" s="22"/>
      <c r="C126" s="22"/>
      <c r="D126" s="22"/>
      <c r="E126" s="22"/>
      <c r="F126" s="22"/>
      <c r="G126" s="22"/>
      <c r="H126" s="22"/>
      <c r="I126" s="22"/>
      <c r="J126" s="22"/>
      <c r="K126" s="22"/>
      <c r="L126" s="22"/>
      <c r="M126" s="22"/>
      <c r="O126" s="28"/>
      <c r="P126" s="28"/>
    </row>
    <row r="127" spans="1:16">
      <c r="A127" s="16" t="s">
        <v>5</v>
      </c>
      <c r="B127" s="89">
        <v>1</v>
      </c>
      <c r="C127" s="89">
        <v>3</v>
      </c>
      <c r="D127" s="89">
        <v>52</v>
      </c>
      <c r="E127" s="89">
        <v>55</v>
      </c>
      <c r="F127" s="89">
        <v>3</v>
      </c>
      <c r="G127" s="90">
        <v>5</v>
      </c>
      <c r="H127" s="89">
        <v>0</v>
      </c>
      <c r="I127" s="89">
        <v>3</v>
      </c>
      <c r="J127" s="89">
        <v>27</v>
      </c>
      <c r="K127" s="89">
        <v>23</v>
      </c>
      <c r="L127" s="89">
        <v>17</v>
      </c>
      <c r="M127" s="93">
        <v>12</v>
      </c>
      <c r="N127" s="45">
        <f>SUM(B127:M127)</f>
        <v>201</v>
      </c>
      <c r="O127" s="28">
        <f>P127*N127</f>
        <v>201</v>
      </c>
      <c r="P127" s="28">
        <v>1</v>
      </c>
    </row>
    <row r="131" spans="1:2">
      <c r="A131" t="s">
        <v>259</v>
      </c>
      <c r="B131" t="s">
        <v>261</v>
      </c>
    </row>
  </sheetData>
  <phoneticPr fontId="2" type="noConversion"/>
  <pageMargins left="0.75" right="0.75" top="1" bottom="1" header="0.5" footer="0.5"/>
  <pageSetup scale="82" fitToHeight="4" orientation="landscape"/>
  <headerFooter>
    <oddFooter>&amp;L&amp;K000000FirstSearch&amp;R&amp;K0000002006-07 usage</oddFooter>
  </headerFooter>
  <extLst>
    <ext xmlns:mx="http://schemas.microsoft.com/office/mac/excel/2008/main" uri="{64002731-A6B0-56B0-2670-7721B7C09600}">
      <mx:PLV Mode="0" OnePage="0" WScale="0"/>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1"/>
  <sheetViews>
    <sheetView workbookViewId="0"/>
  </sheetViews>
  <sheetFormatPr baseColWidth="10" defaultColWidth="8.83203125" defaultRowHeight="12" x14ac:dyDescent="0"/>
  <cols>
    <col min="1" max="1" width="27.33203125" bestFit="1" customWidth="1"/>
    <col min="2" max="2" width="7.1640625" bestFit="1" customWidth="1"/>
    <col min="3" max="3" width="7" bestFit="1" customWidth="1"/>
    <col min="4" max="4" width="6.6640625" bestFit="1" customWidth="1"/>
    <col min="5" max="7" width="7.1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1640625" bestFit="1" customWidth="1"/>
    <col min="15" max="15" width="11.83203125" bestFit="1" customWidth="1"/>
    <col min="16" max="16" width="8.33203125" bestFit="1" customWidth="1"/>
  </cols>
  <sheetData>
    <row r="1" spans="1:16" ht="18">
      <c r="A1" s="2" t="s">
        <v>88</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190</v>
      </c>
      <c r="P5" s="114" t="s">
        <v>186</v>
      </c>
    </row>
    <row r="6" spans="1:16">
      <c r="A6" s="1" t="s">
        <v>159</v>
      </c>
      <c r="B6" s="6"/>
      <c r="C6" s="6"/>
      <c r="D6" s="6"/>
      <c r="E6" s="6"/>
      <c r="F6" s="6"/>
      <c r="G6" s="6"/>
      <c r="H6" s="6"/>
      <c r="I6" s="6"/>
      <c r="J6" s="6"/>
      <c r="K6" s="6"/>
      <c r="L6" s="6"/>
      <c r="M6" s="6"/>
      <c r="N6" s="6"/>
    </row>
    <row r="7" spans="1:16">
      <c r="A7" t="s">
        <v>4</v>
      </c>
      <c r="B7" s="36">
        <v>263</v>
      </c>
      <c r="C7" s="36">
        <v>22</v>
      </c>
      <c r="D7" s="36">
        <v>147</v>
      </c>
      <c r="E7" s="36">
        <v>544</v>
      </c>
      <c r="F7" s="36">
        <v>741</v>
      </c>
      <c r="G7" s="36">
        <v>413</v>
      </c>
      <c r="H7" s="74">
        <v>86</v>
      </c>
      <c r="I7" s="40">
        <v>249</v>
      </c>
      <c r="J7" s="40">
        <v>362</v>
      </c>
      <c r="K7" s="40">
        <v>389</v>
      </c>
      <c r="L7" s="40">
        <v>218</v>
      </c>
      <c r="M7" s="41">
        <v>118</v>
      </c>
      <c r="N7" s="45">
        <f>SUM(B7:M7)</f>
        <v>3552</v>
      </c>
      <c r="O7" s="27"/>
      <c r="P7" s="27"/>
    </row>
    <row r="8" spans="1:16">
      <c r="A8" t="s">
        <v>5</v>
      </c>
      <c r="B8" s="36">
        <v>1886</v>
      </c>
      <c r="C8" s="36">
        <v>124</v>
      </c>
      <c r="D8" s="36">
        <v>864</v>
      </c>
      <c r="E8" s="36">
        <v>3068</v>
      </c>
      <c r="F8" s="36">
        <v>3553</v>
      </c>
      <c r="G8" s="36">
        <v>2073</v>
      </c>
      <c r="H8" s="75">
        <v>506</v>
      </c>
      <c r="I8" s="55">
        <v>1220</v>
      </c>
      <c r="J8" s="55">
        <v>1259</v>
      </c>
      <c r="K8" s="55">
        <v>1690</v>
      </c>
      <c r="L8" s="55">
        <v>919</v>
      </c>
      <c r="M8" s="56">
        <v>251</v>
      </c>
      <c r="N8" s="57">
        <f>SUM(B8:M8)</f>
        <v>17413</v>
      </c>
      <c r="O8" s="27">
        <v>4678</v>
      </c>
      <c r="P8" s="27">
        <f>O8/N8</f>
        <v>0.2686498593005226</v>
      </c>
    </row>
    <row r="9" spans="1:16">
      <c r="A9" t="s">
        <v>13</v>
      </c>
      <c r="B9" s="49">
        <v>0</v>
      </c>
      <c r="C9" s="49">
        <v>0</v>
      </c>
      <c r="D9" s="49">
        <v>0</v>
      </c>
      <c r="E9" s="49">
        <v>0</v>
      </c>
      <c r="F9" s="49">
        <v>0</v>
      </c>
      <c r="G9" s="49">
        <v>0</v>
      </c>
      <c r="H9" s="49">
        <v>0</v>
      </c>
      <c r="I9" s="49">
        <v>0</v>
      </c>
      <c r="J9" s="49">
        <v>0</v>
      </c>
      <c r="K9" s="49">
        <v>0</v>
      </c>
      <c r="L9" s="49">
        <v>0</v>
      </c>
      <c r="M9" s="49">
        <v>0</v>
      </c>
      <c r="N9" s="57">
        <f>SUM(B9:M9)</f>
        <v>0</v>
      </c>
      <c r="O9" s="27"/>
      <c r="P9" s="27"/>
    </row>
    <row r="10" spans="1:16" ht="24">
      <c r="A10" s="15" t="s">
        <v>89</v>
      </c>
      <c r="B10" s="34">
        <v>439</v>
      </c>
      <c r="C10" s="34">
        <v>12</v>
      </c>
      <c r="D10" s="34">
        <v>201</v>
      </c>
      <c r="E10" s="34">
        <v>708</v>
      </c>
      <c r="F10" s="34">
        <v>966</v>
      </c>
      <c r="G10" s="34">
        <v>597</v>
      </c>
      <c r="H10" s="34">
        <v>141</v>
      </c>
      <c r="I10" s="34">
        <v>269</v>
      </c>
      <c r="J10" s="34">
        <v>422</v>
      </c>
      <c r="K10" s="34">
        <v>574</v>
      </c>
      <c r="L10" s="34">
        <v>300</v>
      </c>
      <c r="M10" s="34">
        <v>55</v>
      </c>
      <c r="N10" s="35">
        <f>SUM(B10:M10)</f>
        <v>4684</v>
      </c>
      <c r="O10" s="27">
        <v>4678</v>
      </c>
      <c r="P10" s="27">
        <f>O10/N10</f>
        <v>0.99871904355251917</v>
      </c>
    </row>
    <row r="13" spans="1:16">
      <c r="A13" t="s">
        <v>259</v>
      </c>
      <c r="B13" t="s">
        <v>260</v>
      </c>
    </row>
    <row r="17" spans="9:9">
      <c r="I17" s="30"/>
    </row>
    <row r="18" spans="9:9">
      <c r="I18" s="31"/>
    </row>
    <row r="19" spans="9:9">
      <c r="I19" s="32"/>
    </row>
    <row r="20" spans="9:9">
      <c r="I20" s="32"/>
    </row>
    <row r="21" spans="9:9">
      <c r="I21" s="32"/>
    </row>
  </sheetData>
  <phoneticPr fontId="2" type="noConversion"/>
  <pageMargins left="0.75" right="0.75" top="1" bottom="1" header="0.5" footer="0.5"/>
  <pageSetup scale="83" orientation="landscape"/>
  <headerFooter>
    <oddFooter>&amp;L&amp;K000000InfoTrac&amp;R&amp;K0000002006-07  usage</oddFooter>
  </headerFooter>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9"/>
  <sheetViews>
    <sheetView workbookViewId="0"/>
  </sheetViews>
  <sheetFormatPr baseColWidth="10" defaultColWidth="8.83203125" defaultRowHeight="12" x14ac:dyDescent="0"/>
  <cols>
    <col min="1" max="1" width="19.1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6.33203125" bestFit="1" customWidth="1"/>
    <col min="15" max="15" width="9.6640625" bestFit="1" customWidth="1"/>
    <col min="16" max="16" width="8.33203125" bestFit="1" customWidth="1"/>
  </cols>
  <sheetData>
    <row r="1" spans="1:16" ht="18">
      <c r="A1" s="118" t="s">
        <v>28</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186</v>
      </c>
    </row>
    <row r="6" spans="1:16">
      <c r="A6" s="12" t="s">
        <v>30</v>
      </c>
      <c r="B6" s="13"/>
      <c r="C6" s="13"/>
      <c r="D6" s="13"/>
      <c r="E6" s="13"/>
      <c r="F6" s="13"/>
      <c r="G6" s="13"/>
      <c r="H6" s="13"/>
      <c r="I6" s="13"/>
      <c r="J6" s="13"/>
      <c r="K6" s="13"/>
      <c r="L6" s="13"/>
      <c r="M6" s="13"/>
      <c r="N6" s="13"/>
      <c r="P6" s="23"/>
    </row>
    <row r="7" spans="1:16">
      <c r="A7" t="s">
        <v>5</v>
      </c>
      <c r="B7" s="20">
        <v>2595</v>
      </c>
      <c r="C7" s="20">
        <v>1788</v>
      </c>
      <c r="D7" s="20">
        <v>3196</v>
      </c>
      <c r="E7" s="20">
        <v>7736</v>
      </c>
      <c r="F7" s="20">
        <v>7367</v>
      </c>
      <c r="G7" s="20">
        <v>4266</v>
      </c>
      <c r="H7" s="40">
        <v>2724</v>
      </c>
      <c r="I7" s="40">
        <v>5750</v>
      </c>
      <c r="J7" s="40">
        <v>6526</v>
      </c>
      <c r="K7" s="40">
        <v>7270</v>
      </c>
      <c r="L7" s="40">
        <v>1925</v>
      </c>
      <c r="M7" s="41">
        <v>1988</v>
      </c>
      <c r="N7" s="45">
        <f>SUM(B7:M7)</f>
        <v>53131</v>
      </c>
      <c r="O7" s="27">
        <v>21720</v>
      </c>
      <c r="P7" s="27">
        <f>O7/N7</f>
        <v>0.40880088837025463</v>
      </c>
    </row>
    <row r="8" spans="1:16">
      <c r="A8" t="s">
        <v>29</v>
      </c>
      <c r="B8" s="20">
        <v>3708</v>
      </c>
      <c r="C8" s="20">
        <v>2888</v>
      </c>
      <c r="D8" s="20">
        <v>3791</v>
      </c>
      <c r="E8" s="20">
        <v>7817</v>
      </c>
      <c r="F8" s="20">
        <v>8730</v>
      </c>
      <c r="G8" s="20">
        <v>5660</v>
      </c>
      <c r="H8" s="40">
        <v>3990</v>
      </c>
      <c r="I8" s="40">
        <v>6881</v>
      </c>
      <c r="J8" s="40">
        <v>7087</v>
      </c>
      <c r="K8" s="40">
        <v>9194</v>
      </c>
      <c r="L8" s="40">
        <v>2638</v>
      </c>
      <c r="M8" s="40">
        <v>2543</v>
      </c>
      <c r="N8" s="87">
        <f>SUM(B8:M8)</f>
        <v>64927</v>
      </c>
      <c r="O8" s="27">
        <v>21720</v>
      </c>
      <c r="P8" s="27">
        <f>O8/N8</f>
        <v>0.33452954856993239</v>
      </c>
    </row>
    <row r="9" spans="1:16">
      <c r="B9" s="23"/>
      <c r="C9" s="19"/>
      <c r="D9" s="19"/>
      <c r="E9" s="19"/>
      <c r="F9" s="19"/>
      <c r="G9" s="19"/>
      <c r="H9" s="19"/>
      <c r="I9" s="19"/>
      <c r="J9" s="19"/>
      <c r="K9" s="19"/>
      <c r="L9" s="19"/>
      <c r="M9" s="19"/>
      <c r="O9" s="27"/>
      <c r="P9" s="27"/>
    </row>
    <row r="10" spans="1:16">
      <c r="A10" s="1" t="s">
        <v>31</v>
      </c>
      <c r="B10" s="23"/>
      <c r="O10" s="27"/>
      <c r="P10" s="27"/>
    </row>
    <row r="11" spans="1:16">
      <c r="A11" t="s">
        <v>5</v>
      </c>
      <c r="B11" s="40">
        <v>63</v>
      </c>
      <c r="C11" s="40">
        <v>20</v>
      </c>
      <c r="D11" s="40">
        <v>302</v>
      </c>
      <c r="E11" s="20">
        <v>312</v>
      </c>
      <c r="F11" s="20">
        <v>283</v>
      </c>
      <c r="G11" s="20">
        <v>68</v>
      </c>
      <c r="H11" s="40">
        <v>36</v>
      </c>
      <c r="I11" s="40">
        <v>118</v>
      </c>
      <c r="J11" s="40">
        <v>172</v>
      </c>
      <c r="K11" s="40">
        <v>130</v>
      </c>
      <c r="L11" s="40">
        <v>77</v>
      </c>
      <c r="M11" s="41">
        <v>133</v>
      </c>
      <c r="N11" s="45">
        <f>SUM(B11:M11)</f>
        <v>1714</v>
      </c>
      <c r="O11" s="27">
        <f>6889.86+1025</f>
        <v>7914.86</v>
      </c>
      <c r="P11" s="27">
        <f>O11/N11</f>
        <v>4.6177712952158689</v>
      </c>
    </row>
    <row r="12" spans="1:16">
      <c r="A12" t="s">
        <v>29</v>
      </c>
      <c r="B12" s="40">
        <v>37</v>
      </c>
      <c r="C12" s="40">
        <v>11</v>
      </c>
      <c r="D12" s="40">
        <v>239</v>
      </c>
      <c r="E12" s="20">
        <v>224</v>
      </c>
      <c r="F12" s="20">
        <v>412</v>
      </c>
      <c r="G12" s="20">
        <v>27</v>
      </c>
      <c r="H12" s="40">
        <v>63</v>
      </c>
      <c r="I12" s="40">
        <v>67</v>
      </c>
      <c r="J12" s="40">
        <v>195</v>
      </c>
      <c r="K12" s="40">
        <v>115</v>
      </c>
      <c r="L12" s="40">
        <v>54</v>
      </c>
      <c r="M12" s="40">
        <v>357</v>
      </c>
      <c r="N12" s="87">
        <f>SUM(B12:M12)</f>
        <v>1801</v>
      </c>
      <c r="O12" s="27">
        <f>O11</f>
        <v>7914.86</v>
      </c>
      <c r="P12" s="27">
        <f>O12/N12</f>
        <v>4.3947029428095501</v>
      </c>
    </row>
    <row r="13" spans="1:16">
      <c r="B13" s="23"/>
    </row>
    <row r="14" spans="1:16">
      <c r="A14" s="1" t="s">
        <v>198</v>
      </c>
      <c r="B14" s="23"/>
      <c r="O14" s="27"/>
      <c r="P14" s="27"/>
    </row>
    <row r="15" spans="1:16">
      <c r="A15" t="s">
        <v>5</v>
      </c>
      <c r="B15" s="40">
        <v>0</v>
      </c>
      <c r="C15" s="40">
        <v>9</v>
      </c>
      <c r="D15" s="40">
        <v>135</v>
      </c>
      <c r="E15" s="20">
        <v>299</v>
      </c>
      <c r="F15" s="20">
        <v>445</v>
      </c>
      <c r="G15" s="20">
        <v>222</v>
      </c>
      <c r="H15" s="40">
        <v>32</v>
      </c>
      <c r="I15" s="40">
        <v>172</v>
      </c>
      <c r="J15" s="40">
        <v>506</v>
      </c>
      <c r="K15" s="40">
        <v>329</v>
      </c>
      <c r="L15" s="40">
        <v>44</v>
      </c>
      <c r="M15" s="41">
        <v>46</v>
      </c>
      <c r="N15" s="45">
        <f>SUM(B15:M15)</f>
        <v>2239</v>
      </c>
      <c r="O15" s="27">
        <v>4200</v>
      </c>
      <c r="P15" s="27">
        <f>O15/N15</f>
        <v>1.8758374274229568</v>
      </c>
    </row>
    <row r="16" spans="1:16">
      <c r="A16" t="s">
        <v>29</v>
      </c>
      <c r="B16" s="40">
        <v>0</v>
      </c>
      <c r="C16" s="40">
        <v>5</v>
      </c>
      <c r="D16" s="40">
        <v>93</v>
      </c>
      <c r="E16" s="20">
        <v>273</v>
      </c>
      <c r="F16" s="20">
        <v>457</v>
      </c>
      <c r="G16" s="20">
        <v>202</v>
      </c>
      <c r="H16" s="40">
        <v>4</v>
      </c>
      <c r="I16" s="40">
        <v>311</v>
      </c>
      <c r="J16" s="40">
        <v>579</v>
      </c>
      <c r="K16" s="40">
        <v>261</v>
      </c>
      <c r="L16" s="40">
        <v>62</v>
      </c>
      <c r="M16" s="40">
        <v>42</v>
      </c>
      <c r="N16" s="87">
        <f>SUM(B16:M16)</f>
        <v>2289</v>
      </c>
      <c r="O16" s="27">
        <v>4200</v>
      </c>
      <c r="P16" s="27">
        <f>O16/N16</f>
        <v>1.834862385321101</v>
      </c>
    </row>
    <row r="19" spans="1:2">
      <c r="A19" t="s">
        <v>259</v>
      </c>
      <c r="B19" t="s">
        <v>261</v>
      </c>
    </row>
  </sheetData>
  <phoneticPr fontId="2" type="noConversion"/>
  <pageMargins left="0.75" right="0.75" top="1" bottom="1" header="0.5" footer="0.5"/>
  <pageSetup scale="92" orientation="landscape"/>
  <headerFooter>
    <oddFooter>&amp;L&amp;K000000LexisNexis&amp;R&amp;K0000002006-07 usage</oddFooter>
  </headerFooter>
  <extLst>
    <ext xmlns:mx="http://schemas.microsoft.com/office/mac/excel/2008/main" uri="{64002731-A6B0-56B0-2670-7721B7C09600}">
      <mx:PLV Mode="0" OnePage="0" WScale="0"/>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7"/>
  <sheetViews>
    <sheetView workbookViewId="0"/>
  </sheetViews>
  <sheetFormatPr baseColWidth="10" defaultColWidth="8.83203125" defaultRowHeight="12" x14ac:dyDescent="0"/>
  <cols>
    <col min="1" max="1" width="19.1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33203125" customWidth="1"/>
    <col min="15" max="15" width="8.6640625" bestFit="1" customWidth="1"/>
    <col min="16" max="16" width="8.33203125" bestFit="1" customWidth="1"/>
  </cols>
  <sheetData>
    <row r="1" spans="1:16" ht="18">
      <c r="A1" s="2" t="s">
        <v>8</v>
      </c>
    </row>
    <row r="2" spans="1:16" ht="17">
      <c r="A2" s="3" t="s">
        <v>187</v>
      </c>
    </row>
    <row r="5" spans="1:16" ht="36">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86</v>
      </c>
    </row>
    <row r="6" spans="1:16">
      <c r="A6" s="1" t="s">
        <v>8</v>
      </c>
      <c r="B6" s="6"/>
      <c r="C6" s="6"/>
      <c r="D6" s="6"/>
      <c r="E6" s="6"/>
      <c r="F6" s="6"/>
      <c r="G6" s="6"/>
      <c r="H6" s="6"/>
      <c r="I6" s="6"/>
      <c r="J6" s="6"/>
      <c r="K6" s="6"/>
      <c r="L6" s="6"/>
      <c r="M6" s="6"/>
      <c r="N6" s="6"/>
    </row>
    <row r="7" spans="1:16">
      <c r="A7" t="s">
        <v>4</v>
      </c>
      <c r="B7" s="55">
        <v>127</v>
      </c>
      <c r="C7" s="55">
        <v>125</v>
      </c>
      <c r="D7" s="55">
        <v>596</v>
      </c>
      <c r="E7" s="55">
        <v>571</v>
      </c>
      <c r="F7" s="55">
        <v>831</v>
      </c>
      <c r="G7" s="55">
        <v>681</v>
      </c>
      <c r="H7" s="55">
        <v>946</v>
      </c>
      <c r="I7" s="55">
        <v>696</v>
      </c>
      <c r="J7" s="55">
        <v>1409</v>
      </c>
      <c r="K7" s="55">
        <v>933</v>
      </c>
      <c r="L7" s="55">
        <v>631</v>
      </c>
      <c r="M7" s="56">
        <v>458</v>
      </c>
      <c r="N7" s="45">
        <f>SUM(B7:M7)</f>
        <v>8004</v>
      </c>
      <c r="O7" s="27"/>
      <c r="P7" s="27"/>
    </row>
    <row r="8" spans="1:16">
      <c r="A8" t="s">
        <v>5</v>
      </c>
      <c r="B8" s="49">
        <v>274</v>
      </c>
      <c r="C8" s="49">
        <v>300</v>
      </c>
      <c r="D8" s="49">
        <v>792</v>
      </c>
      <c r="E8" s="49">
        <v>854</v>
      </c>
      <c r="F8" s="49">
        <v>1080</v>
      </c>
      <c r="G8" s="49">
        <v>811</v>
      </c>
      <c r="H8" s="49">
        <v>1097</v>
      </c>
      <c r="I8" s="49">
        <v>851</v>
      </c>
      <c r="J8" s="49">
        <v>1616</v>
      </c>
      <c r="K8" s="49">
        <v>1207</v>
      </c>
      <c r="L8" s="49">
        <v>727</v>
      </c>
      <c r="M8" s="49">
        <v>571</v>
      </c>
      <c r="N8" s="45">
        <f>SUM(B8:M8)</f>
        <v>10180</v>
      </c>
      <c r="O8" s="27">
        <v>6856</v>
      </c>
      <c r="P8" s="27">
        <f>O8/N8</f>
        <v>0.67347740667976419</v>
      </c>
    </row>
    <row r="11" spans="1:16">
      <c r="A11" t="s">
        <v>259</v>
      </c>
      <c r="B11" t="s">
        <v>261</v>
      </c>
    </row>
    <row r="37" spans="9:9">
      <c r="I37" s="27"/>
    </row>
  </sheetData>
  <phoneticPr fontId="2" type="noConversion"/>
  <pageMargins left="0.75" right="0.75" top="1" bottom="1" header="0.5" footer="0.5"/>
  <pageSetup scale="92" orientation="landscape"/>
  <headerFooter>
    <oddFooter>&amp;L&amp;K000000MathSciNet&amp;R&amp;K0000002006-07 usage</oddFooter>
  </headerFooter>
  <extLst>
    <ext xmlns:mx="http://schemas.microsoft.com/office/mac/excel/2008/main" uri="{64002731-A6B0-56B0-2670-7721B7C09600}">
      <mx:PLV Mode="0" OnePage="0" WScale="0"/>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2"/>
  <sheetViews>
    <sheetView workbookViewId="0"/>
  </sheetViews>
  <sheetFormatPr baseColWidth="10" defaultColWidth="8.83203125" defaultRowHeight="12" x14ac:dyDescent="0"/>
  <cols>
    <col min="1" max="1" width="19.1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5" bestFit="1" customWidth="1"/>
    <col min="16" max="16" width="8.33203125" bestFit="1" customWidth="1"/>
  </cols>
  <sheetData>
    <row r="1" spans="1:16" ht="18">
      <c r="A1" s="2" t="s">
        <v>90</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186</v>
      </c>
    </row>
    <row r="6" spans="1:16">
      <c r="A6" s="1" t="s">
        <v>232</v>
      </c>
      <c r="B6" s="6"/>
      <c r="C6" s="6"/>
      <c r="D6" s="6"/>
      <c r="E6" s="6"/>
      <c r="F6" s="6"/>
      <c r="G6" s="6"/>
      <c r="H6" s="6"/>
      <c r="I6" s="6"/>
      <c r="J6" s="6"/>
      <c r="K6" s="6"/>
      <c r="L6" s="6"/>
      <c r="M6" s="6"/>
      <c r="N6" s="6"/>
    </row>
    <row r="7" spans="1:16">
      <c r="A7" t="s">
        <v>118</v>
      </c>
      <c r="B7" s="49">
        <v>15</v>
      </c>
      <c r="C7" s="49">
        <v>18</v>
      </c>
      <c r="D7" s="49">
        <v>21</v>
      </c>
      <c r="E7" s="49">
        <v>44</v>
      </c>
      <c r="F7" s="49">
        <v>58</v>
      </c>
      <c r="G7" s="49">
        <v>52</v>
      </c>
      <c r="H7" s="49">
        <v>27</v>
      </c>
      <c r="I7" s="49">
        <v>11</v>
      </c>
      <c r="J7" s="49">
        <v>8</v>
      </c>
      <c r="K7" s="49">
        <v>33</v>
      </c>
      <c r="L7" s="49">
        <v>6</v>
      </c>
      <c r="M7" s="49">
        <v>9</v>
      </c>
      <c r="N7" s="45">
        <f>SUM(B7:M7)</f>
        <v>302</v>
      </c>
    </row>
    <row r="8" spans="1:16">
      <c r="A8" t="s">
        <v>5</v>
      </c>
      <c r="B8" s="49">
        <v>31</v>
      </c>
      <c r="C8" s="49">
        <v>39</v>
      </c>
      <c r="D8" s="49">
        <v>17</v>
      </c>
      <c r="E8" s="49">
        <v>78</v>
      </c>
      <c r="F8" s="49">
        <v>65</v>
      </c>
      <c r="G8" s="49">
        <v>61</v>
      </c>
      <c r="H8" s="49">
        <v>56</v>
      </c>
      <c r="I8" s="49">
        <v>20</v>
      </c>
      <c r="J8" s="49">
        <v>17</v>
      </c>
      <c r="K8" s="49">
        <v>55</v>
      </c>
      <c r="L8" s="49">
        <v>3</v>
      </c>
      <c r="M8" s="49">
        <v>14</v>
      </c>
      <c r="N8" s="45">
        <f>SUM(B8:M8)</f>
        <v>456</v>
      </c>
      <c r="O8" s="27">
        <v>11000</v>
      </c>
      <c r="P8" s="27">
        <f>O8/N8</f>
        <v>24.12280701754386</v>
      </c>
    </row>
    <row r="9" spans="1:16">
      <c r="A9" t="s">
        <v>91</v>
      </c>
      <c r="B9" s="36">
        <v>20</v>
      </c>
      <c r="C9" s="36">
        <v>14</v>
      </c>
      <c r="D9" s="36">
        <v>15</v>
      </c>
      <c r="E9" s="36">
        <v>39</v>
      </c>
      <c r="F9" s="36">
        <v>27</v>
      </c>
      <c r="G9" s="36">
        <v>49</v>
      </c>
      <c r="H9" s="36">
        <v>27</v>
      </c>
      <c r="I9" s="36">
        <v>6</v>
      </c>
      <c r="J9" s="36">
        <v>4</v>
      </c>
      <c r="K9" s="36">
        <v>35</v>
      </c>
      <c r="L9" s="36">
        <v>3</v>
      </c>
      <c r="M9" s="36">
        <v>3</v>
      </c>
      <c r="N9" s="45">
        <f>SUM(B9:M9)</f>
        <v>242</v>
      </c>
      <c r="O9" s="27">
        <v>11000</v>
      </c>
      <c r="P9" s="27">
        <f>O9/N9</f>
        <v>45.454545454545453</v>
      </c>
    </row>
    <row r="12" spans="1:16">
      <c r="A12" t="s">
        <v>259</v>
      </c>
      <c r="B12" t="s">
        <v>261</v>
      </c>
    </row>
  </sheetData>
  <phoneticPr fontId="2" type="noConversion"/>
  <pageMargins left="0.75" right="0.75" top="1" bottom="1" header="0.5" footer="0.5"/>
  <pageSetup scale="93" orientation="landscape"/>
  <headerFooter>
    <oddFooter>&amp;L&amp;K000000Mergent&amp;R&amp;K0000002006-07 usage</oddFooter>
  </headerFooter>
  <extLst>
    <ext xmlns:mx="http://schemas.microsoft.com/office/mac/excel/2008/main" uri="{64002731-A6B0-56B0-2670-7721B7C09600}">
      <mx:PLV Mode="0" OnePage="0" WScale="0"/>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6"/>
  <sheetViews>
    <sheetView workbookViewId="0"/>
  </sheetViews>
  <sheetFormatPr baseColWidth="10" defaultColWidth="8.83203125" defaultRowHeight="12" x14ac:dyDescent="0"/>
  <cols>
    <col min="1" max="1" width="31.66406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7.33203125" bestFit="1" customWidth="1"/>
    <col min="16" max="16" width="8.33203125" bestFit="1" customWidth="1"/>
  </cols>
  <sheetData>
    <row r="1" spans="1:16" ht="18">
      <c r="A1" s="118" t="s">
        <v>200</v>
      </c>
    </row>
    <row r="2" spans="1:16" ht="17">
      <c r="A2" s="3" t="s">
        <v>187</v>
      </c>
    </row>
    <row r="3" spans="1:16" ht="17">
      <c r="A3" s="3"/>
    </row>
    <row r="5" spans="1:16" ht="36">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86</v>
      </c>
    </row>
    <row r="6" spans="1:16">
      <c r="A6" s="1" t="s">
        <v>218</v>
      </c>
      <c r="B6" s="6"/>
      <c r="C6" s="6"/>
      <c r="D6" s="6"/>
      <c r="E6" s="6"/>
      <c r="F6" s="6"/>
      <c r="G6" s="6"/>
      <c r="H6" s="6"/>
      <c r="I6" s="6"/>
      <c r="J6" s="6"/>
      <c r="K6" s="6"/>
      <c r="L6" s="6"/>
      <c r="M6" s="6"/>
      <c r="N6" s="6"/>
    </row>
    <row r="7" spans="1:16">
      <c r="A7" t="s">
        <v>201</v>
      </c>
      <c r="B7" s="103">
        <v>0</v>
      </c>
      <c r="C7" s="104">
        <v>0</v>
      </c>
      <c r="D7" s="104">
        <v>0</v>
      </c>
      <c r="E7" s="104">
        <v>0</v>
      </c>
      <c r="F7" s="104">
        <v>0</v>
      </c>
      <c r="G7" s="104">
        <v>0</v>
      </c>
      <c r="H7" s="104">
        <v>0</v>
      </c>
      <c r="I7" s="104">
        <v>0</v>
      </c>
      <c r="J7" s="104">
        <v>0</v>
      </c>
      <c r="K7" s="104">
        <v>0</v>
      </c>
      <c r="L7" s="104">
        <v>0</v>
      </c>
      <c r="M7" s="105">
        <v>0</v>
      </c>
      <c r="N7" s="45">
        <f>SUM(B7:M7)</f>
        <v>0</v>
      </c>
      <c r="O7" s="27">
        <v>653</v>
      </c>
      <c r="P7" s="28" t="s">
        <v>32</v>
      </c>
    </row>
    <row r="9" spans="1:16">
      <c r="A9" t="s">
        <v>230</v>
      </c>
    </row>
    <row r="10" spans="1:16">
      <c r="A10" t="s">
        <v>231</v>
      </c>
    </row>
    <row r="12" spans="1:16">
      <c r="A12" t="s">
        <v>259</v>
      </c>
      <c r="B12" t="s">
        <v>260</v>
      </c>
    </row>
    <row r="36" spans="9:9">
      <c r="I36" s="27"/>
    </row>
  </sheetData>
  <phoneticPr fontId="2" type="noConversion"/>
  <pageMargins left="0.75" right="0.75" top="1" bottom="1" header="0.5" footer="0.5"/>
  <pageSetup scale="86" orientation="landscape"/>
  <headerFooter>
    <oddFooter>&amp;L&amp;K000000MetaPress&amp;R&amp;K0000002006-07 usage</oddFooter>
  </headerFooter>
  <extLst>
    <ext xmlns:mx="http://schemas.microsoft.com/office/mac/excel/2008/main" uri="{64002731-A6B0-56B0-2670-7721B7C09600}">
      <mx:PLV Mode="0" OnePage="0" WScale="0"/>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31"/>
  <sheetViews>
    <sheetView workbookViewId="0"/>
  </sheetViews>
  <sheetFormatPr baseColWidth="10" defaultColWidth="8.83203125" defaultRowHeight="12" x14ac:dyDescent="0"/>
  <cols>
    <col min="1" max="1" width="19.16406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7.33203125" bestFit="1" customWidth="1"/>
    <col min="16" max="16" width="8.33203125" bestFit="1" customWidth="1"/>
  </cols>
  <sheetData>
    <row r="1" spans="1:16" ht="18">
      <c r="A1" s="118" t="s">
        <v>95</v>
      </c>
    </row>
    <row r="2" spans="1:16" ht="17">
      <c r="A2" s="3" t="s">
        <v>187</v>
      </c>
    </row>
    <row r="5" spans="1:16" ht="36">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188</v>
      </c>
      <c r="P5" s="114" t="s">
        <v>86</v>
      </c>
    </row>
    <row r="6" spans="1:16">
      <c r="A6" s="1" t="s">
        <v>229</v>
      </c>
      <c r="B6" s="6"/>
      <c r="C6" s="6"/>
      <c r="D6" s="6"/>
      <c r="E6" s="6"/>
      <c r="F6" s="6"/>
      <c r="G6" s="6"/>
      <c r="H6" s="6"/>
      <c r="I6" s="6"/>
      <c r="J6" s="6"/>
      <c r="K6" s="6"/>
      <c r="L6" s="6"/>
      <c r="M6" s="6"/>
      <c r="N6" s="6"/>
    </row>
    <row r="7" spans="1:16">
      <c r="A7" t="s">
        <v>4</v>
      </c>
      <c r="B7" s="33">
        <v>0</v>
      </c>
      <c r="C7" s="33">
        <v>0</v>
      </c>
      <c r="D7" s="33">
        <v>1</v>
      </c>
      <c r="E7" s="33">
        <v>0</v>
      </c>
      <c r="F7" s="33">
        <v>0</v>
      </c>
      <c r="G7" s="33">
        <v>0</v>
      </c>
      <c r="H7" s="33">
        <v>0</v>
      </c>
      <c r="I7" s="33">
        <v>0</v>
      </c>
      <c r="J7" s="33">
        <v>0</v>
      </c>
      <c r="K7" s="33">
        <v>0</v>
      </c>
      <c r="L7" s="33">
        <v>0</v>
      </c>
      <c r="M7" s="33">
        <v>7</v>
      </c>
      <c r="N7" s="9">
        <f>SUM(B7:M7)</f>
        <v>8</v>
      </c>
      <c r="O7" s="27">
        <v>531.94000000000005</v>
      </c>
      <c r="P7" s="27">
        <f>O7/N7</f>
        <v>66.492500000000007</v>
      </c>
    </row>
    <row r="10" spans="1:16">
      <c r="A10" t="s">
        <v>259</v>
      </c>
      <c r="B10" t="s">
        <v>261</v>
      </c>
    </row>
    <row r="12" spans="1:16" ht="15">
      <c r="E12" s="38"/>
    </row>
    <row r="13" spans="1:16" ht="15">
      <c r="E13" s="38"/>
    </row>
    <row r="14" spans="1:16" ht="15">
      <c r="E14" s="38"/>
    </row>
    <row r="15" spans="1:16" ht="15">
      <c r="B15" s="38"/>
      <c r="E15" s="38"/>
    </row>
    <row r="16" spans="1:16" ht="15">
      <c r="B16" s="38"/>
      <c r="E16" s="38"/>
    </row>
    <row r="17" spans="2:5" ht="15">
      <c r="B17" s="38"/>
      <c r="E17" s="38"/>
    </row>
    <row r="18" spans="2:5" ht="15">
      <c r="B18" s="38"/>
      <c r="E18" s="38"/>
    </row>
    <row r="19" spans="2:5" ht="15">
      <c r="B19" s="38"/>
      <c r="E19" s="38"/>
    </row>
    <row r="20" spans="2:5" ht="15">
      <c r="B20" s="38"/>
      <c r="E20" s="38"/>
    </row>
    <row r="21" spans="2:5" ht="15">
      <c r="B21" s="38"/>
      <c r="E21" s="38"/>
    </row>
    <row r="22" spans="2:5" ht="15">
      <c r="B22" s="38"/>
      <c r="E22" s="38"/>
    </row>
    <row r="23" spans="2:5" ht="15">
      <c r="B23" s="38"/>
      <c r="E23" s="38"/>
    </row>
    <row r="24" spans="2:5" ht="15">
      <c r="B24" s="38"/>
      <c r="E24" s="38"/>
    </row>
    <row r="25" spans="2:5" ht="15">
      <c r="B25" s="38"/>
      <c r="E25" s="38"/>
    </row>
    <row r="26" spans="2:5" ht="15">
      <c r="B26" s="38"/>
      <c r="E26" s="38"/>
    </row>
    <row r="27" spans="2:5" ht="15">
      <c r="B27" s="38"/>
    </row>
    <row r="28" spans="2:5" ht="15">
      <c r="B28" s="38"/>
    </row>
    <row r="29" spans="2:5" ht="15">
      <c r="B29" s="38"/>
    </row>
    <row r="30" spans="2:5" ht="15">
      <c r="B30" s="38"/>
    </row>
    <row r="31" spans="2:5" ht="15">
      <c r="B31" s="38"/>
    </row>
  </sheetData>
  <phoneticPr fontId="2" type="noConversion"/>
  <pageMargins left="0.75" right="0.75" top="1" bottom="1" header="0.5" footer="0.5"/>
  <pageSetup scale="94" orientation="landscape"/>
  <headerFooter>
    <oddFooter>&amp;L&amp;K000000MINABS&amp;R&amp;K0000002006-07 usage</oddFooter>
  </headerFooter>
  <extLst>
    <ext xmlns:mx="http://schemas.microsoft.com/office/mac/excel/2008/main" uri="{64002731-A6B0-56B0-2670-7721B7C09600}">
      <mx:PLV Mode="0" OnePage="0" WScale="0"/>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1"/>
  <sheetViews>
    <sheetView workbookViewId="0"/>
  </sheetViews>
  <sheetFormatPr baseColWidth="10" defaultColWidth="8.83203125" defaultRowHeight="12" x14ac:dyDescent="0"/>
  <cols>
    <col min="1" max="1" width="2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1640625" bestFit="1" customWidth="1"/>
    <col min="15" max="15" width="11.83203125" bestFit="1" customWidth="1"/>
    <col min="16" max="16" width="8.33203125" bestFit="1" customWidth="1"/>
  </cols>
  <sheetData>
    <row r="1" spans="1:16" ht="18">
      <c r="A1" s="2" t="s">
        <v>19</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86</v>
      </c>
    </row>
    <row r="6" spans="1:16">
      <c r="A6" s="1" t="s">
        <v>19</v>
      </c>
      <c r="B6" s="6"/>
      <c r="C6" s="6"/>
      <c r="D6" s="6"/>
      <c r="E6" s="6"/>
      <c r="F6" s="6"/>
      <c r="G6" s="6"/>
      <c r="H6" s="6"/>
      <c r="I6" s="6"/>
      <c r="J6" s="6"/>
      <c r="K6" s="6"/>
      <c r="L6" s="6"/>
      <c r="M6" s="6"/>
      <c r="N6" s="6"/>
      <c r="O6" s="27"/>
      <c r="P6" s="27"/>
    </row>
    <row r="7" spans="1:16">
      <c r="A7" t="s">
        <v>4</v>
      </c>
      <c r="B7" s="11" t="s">
        <v>32</v>
      </c>
      <c r="C7" s="11" t="s">
        <v>32</v>
      </c>
      <c r="D7" s="11" t="s">
        <v>32</v>
      </c>
      <c r="E7" s="11" t="s">
        <v>32</v>
      </c>
      <c r="F7" s="11" t="s">
        <v>32</v>
      </c>
      <c r="G7" s="11" t="s">
        <v>32</v>
      </c>
      <c r="H7" s="11" t="s">
        <v>32</v>
      </c>
      <c r="I7" s="11" t="s">
        <v>32</v>
      </c>
      <c r="J7" s="11" t="s">
        <v>32</v>
      </c>
      <c r="K7" s="11" t="s">
        <v>32</v>
      </c>
      <c r="L7" s="11" t="s">
        <v>32</v>
      </c>
      <c r="M7" s="11" t="s">
        <v>32</v>
      </c>
      <c r="N7" s="146" t="s">
        <v>32</v>
      </c>
      <c r="O7" s="27"/>
      <c r="P7" s="27"/>
    </row>
    <row r="8" spans="1:16">
      <c r="A8" t="s">
        <v>5</v>
      </c>
      <c r="B8" s="49">
        <v>137</v>
      </c>
      <c r="C8" s="49">
        <v>2</v>
      </c>
      <c r="D8" s="49">
        <v>8</v>
      </c>
      <c r="E8" s="49">
        <v>79</v>
      </c>
      <c r="F8" s="49">
        <v>208</v>
      </c>
      <c r="G8" s="49">
        <v>60</v>
      </c>
      <c r="H8" s="49">
        <v>13</v>
      </c>
      <c r="I8" s="49">
        <v>65</v>
      </c>
      <c r="J8" s="49">
        <v>420</v>
      </c>
      <c r="K8" s="49">
        <v>73</v>
      </c>
      <c r="L8" s="49">
        <v>13</v>
      </c>
      <c r="M8" s="49">
        <v>1</v>
      </c>
      <c r="N8" s="45">
        <f>SUM(B8:M8)</f>
        <v>1079</v>
      </c>
      <c r="O8" s="27">
        <v>2000</v>
      </c>
      <c r="P8" s="27">
        <f>O8/N8</f>
        <v>1.8535681186283597</v>
      </c>
    </row>
    <row r="11" spans="1:16">
      <c r="A11" t="s">
        <v>259</v>
      </c>
      <c r="B11" t="s">
        <v>261</v>
      </c>
    </row>
  </sheetData>
  <phoneticPr fontId="2" type="noConversion"/>
  <pageMargins left="0.75" right="0.75" top="1" bottom="1" header="0.5" footer="0.5"/>
  <pageSetup scale="87" orientation="landscape"/>
  <headerFooter>
    <oddFooter>&amp;L&amp;K000000Music Index&amp;R&amp;K0000002006-07 usage</oddFooter>
  </headerFooter>
  <extLst>
    <ext xmlns:mx="http://schemas.microsoft.com/office/mac/excel/2008/main" uri="{64002731-A6B0-56B0-2670-7721B7C09600}">
      <mx:PLV Mode="0" OnePage="0" WScale="0"/>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9"/>
  <sheetViews>
    <sheetView workbookViewId="0">
      <selection activeCell="A2" sqref="A2"/>
    </sheetView>
  </sheetViews>
  <sheetFormatPr baseColWidth="10" defaultColWidth="8.83203125" defaultRowHeight="12" x14ac:dyDescent="0"/>
  <cols>
    <col min="1" max="1" width="26.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8" bestFit="1" customWidth="1"/>
    <col min="16" max="16" width="8.33203125" bestFit="1" customWidth="1"/>
  </cols>
  <sheetData>
    <row r="1" spans="1:16" ht="18">
      <c r="A1" s="2" t="s">
        <v>92</v>
      </c>
    </row>
    <row r="2" spans="1:16" ht="17">
      <c r="A2" s="3" t="s">
        <v>187</v>
      </c>
    </row>
    <row r="5" spans="1:16" ht="36">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190</v>
      </c>
      <c r="P5" s="114" t="s">
        <v>191</v>
      </c>
    </row>
    <row r="6" spans="1:16">
      <c r="A6" s="1" t="s">
        <v>92</v>
      </c>
      <c r="B6" s="6"/>
      <c r="C6" s="6"/>
      <c r="D6" s="6"/>
      <c r="E6" s="6"/>
      <c r="F6" s="6"/>
      <c r="G6" s="6"/>
      <c r="H6" s="6"/>
      <c r="I6" s="6"/>
      <c r="J6" s="6"/>
      <c r="K6" s="6"/>
      <c r="L6" s="6"/>
      <c r="M6" s="6"/>
      <c r="N6" s="6"/>
    </row>
    <row r="7" spans="1:16">
      <c r="A7" t="s">
        <v>100</v>
      </c>
      <c r="B7" s="14">
        <v>43</v>
      </c>
      <c r="C7" s="14">
        <v>33</v>
      </c>
      <c r="D7" s="14">
        <v>74</v>
      </c>
      <c r="E7" s="14">
        <v>183</v>
      </c>
      <c r="F7" s="14">
        <v>209</v>
      </c>
      <c r="G7" s="14">
        <v>96</v>
      </c>
      <c r="H7" s="18">
        <v>46</v>
      </c>
      <c r="I7" s="7">
        <v>111</v>
      </c>
      <c r="J7" s="7">
        <v>137</v>
      </c>
      <c r="K7" s="7">
        <v>133</v>
      </c>
      <c r="L7" s="7">
        <v>57</v>
      </c>
      <c r="M7" s="8">
        <v>51</v>
      </c>
      <c r="N7" s="45">
        <f>SUM(B7:M7)</f>
        <v>1173</v>
      </c>
      <c r="O7" s="27">
        <v>0</v>
      </c>
      <c r="P7" s="28" t="s">
        <v>32</v>
      </c>
    </row>
    <row r="8" spans="1:16">
      <c r="A8" t="s">
        <v>13</v>
      </c>
      <c r="B8" s="33">
        <v>6</v>
      </c>
      <c r="C8" s="33">
        <v>0</v>
      </c>
      <c r="D8" s="33">
        <v>0</v>
      </c>
      <c r="E8" s="33">
        <v>18</v>
      </c>
      <c r="F8" s="33">
        <v>34</v>
      </c>
      <c r="G8" s="33">
        <v>26</v>
      </c>
      <c r="H8" s="33">
        <v>19</v>
      </c>
      <c r="I8" s="33">
        <v>17</v>
      </c>
      <c r="J8" s="33">
        <v>10</v>
      </c>
      <c r="K8" s="33">
        <v>31</v>
      </c>
      <c r="L8" s="33">
        <v>20</v>
      </c>
      <c r="M8" s="33">
        <v>23</v>
      </c>
      <c r="N8" s="10">
        <f>SUM(B8:M8)</f>
        <v>204</v>
      </c>
      <c r="O8" s="27"/>
      <c r="P8" s="27"/>
    </row>
    <row r="11" spans="1:16">
      <c r="A11" t="s">
        <v>99</v>
      </c>
    </row>
    <row r="12" spans="1:16">
      <c r="A12" t="s">
        <v>259</v>
      </c>
      <c r="B12" t="s">
        <v>261</v>
      </c>
    </row>
    <row r="15" spans="1:16">
      <c r="I15" s="30"/>
    </row>
    <row r="16" spans="1:16">
      <c r="I16" s="31"/>
    </row>
    <row r="17" spans="9:9">
      <c r="I17" s="32"/>
    </row>
    <row r="18" spans="9:9">
      <c r="I18" s="32"/>
    </row>
    <row r="19" spans="9:9">
      <c r="I19" s="32"/>
    </row>
  </sheetData>
  <phoneticPr fontId="2" type="noConversion"/>
  <pageMargins left="0.75" right="0.75" top="1" bottom="1" header="0.5" footer="0.5"/>
  <pageSetup scale="88" fitToHeight="2" orientation="landscape"/>
  <headerFooter>
    <oddFooter>&amp;L&amp;K000000NetLibrary&amp;R&amp;K0000002006-07 usage</oddFooter>
  </headerFooter>
  <extLst>
    <ext xmlns:mx="http://schemas.microsoft.com/office/mac/excel/2008/main" uri="{64002731-A6B0-56B0-2670-7721B7C09600}">
      <mx:PLV Mode="0" OnePage="0" WScale="0"/>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48"/>
  <sheetViews>
    <sheetView workbookViewId="0"/>
  </sheetViews>
  <sheetFormatPr baseColWidth="10" defaultColWidth="8.83203125" defaultRowHeight="12" x14ac:dyDescent="0"/>
  <cols>
    <col min="1" max="1" width="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7.6640625" customWidth="1"/>
    <col min="15" max="15" width="13.83203125" bestFit="1" customWidth="1"/>
    <col min="16" max="16" width="8.5" bestFit="1" customWidth="1"/>
  </cols>
  <sheetData>
    <row r="1" spans="1:16" ht="18">
      <c r="A1" s="118" t="s">
        <v>101</v>
      </c>
    </row>
    <row r="2" spans="1:16" ht="17">
      <c r="A2" s="3" t="s">
        <v>187</v>
      </c>
    </row>
    <row r="4" spans="1:16">
      <c r="A4" s="1"/>
      <c r="B4" s="6"/>
      <c r="C4" s="6"/>
      <c r="D4" s="6"/>
      <c r="E4" s="6"/>
      <c r="F4" s="6"/>
      <c r="G4" s="6"/>
      <c r="H4" s="6"/>
      <c r="I4" s="6"/>
      <c r="J4" s="6"/>
      <c r="K4" s="6"/>
      <c r="L4" s="6"/>
      <c r="M4" s="6"/>
      <c r="N4" s="6"/>
    </row>
    <row r="5" spans="1:16" ht="24">
      <c r="A5" s="112"/>
      <c r="B5" s="110">
        <v>38899</v>
      </c>
      <c r="C5" s="110">
        <v>38930</v>
      </c>
      <c r="D5" s="110">
        <v>38961</v>
      </c>
      <c r="E5" s="110">
        <v>38991</v>
      </c>
      <c r="F5" s="110">
        <v>39022</v>
      </c>
      <c r="G5" s="110">
        <v>39052</v>
      </c>
      <c r="H5" s="110">
        <v>39083</v>
      </c>
      <c r="I5" s="110">
        <v>39114</v>
      </c>
      <c r="J5" s="110">
        <v>39142</v>
      </c>
      <c r="K5" s="110">
        <v>39173</v>
      </c>
      <c r="L5" s="110">
        <v>39203</v>
      </c>
      <c r="M5" s="110">
        <v>39234</v>
      </c>
      <c r="N5" s="113" t="s">
        <v>2</v>
      </c>
      <c r="O5" s="111" t="s">
        <v>189</v>
      </c>
      <c r="P5" s="114" t="s">
        <v>86</v>
      </c>
    </row>
    <row r="6" spans="1:16">
      <c r="A6" s="1" t="s">
        <v>102</v>
      </c>
      <c r="B6" s="6"/>
      <c r="C6" s="6"/>
      <c r="D6" s="6"/>
      <c r="E6" s="6"/>
      <c r="F6" s="6"/>
      <c r="G6" s="6"/>
      <c r="H6" s="6"/>
      <c r="I6" s="6"/>
      <c r="J6" s="6"/>
      <c r="K6" s="6"/>
      <c r="L6" s="6"/>
      <c r="M6" s="6"/>
      <c r="N6" s="6"/>
    </row>
    <row r="7" spans="1:16">
      <c r="A7" t="s">
        <v>4</v>
      </c>
      <c r="B7" s="33">
        <v>0</v>
      </c>
      <c r="C7" s="33">
        <v>1</v>
      </c>
      <c r="D7" s="33">
        <v>4</v>
      </c>
      <c r="E7" s="33">
        <v>0</v>
      </c>
      <c r="F7" s="33">
        <v>0</v>
      </c>
      <c r="G7" s="33">
        <v>2</v>
      </c>
      <c r="H7" s="33">
        <v>4</v>
      </c>
      <c r="I7" s="33">
        <v>0</v>
      </c>
      <c r="J7" s="33">
        <v>7</v>
      </c>
      <c r="K7" s="33">
        <v>2</v>
      </c>
      <c r="L7" s="33">
        <v>2</v>
      </c>
      <c r="M7" s="33">
        <v>2</v>
      </c>
      <c r="N7" s="9">
        <f>SUM(B7:M7)</f>
        <v>24</v>
      </c>
      <c r="O7" s="27"/>
    </row>
    <row r="8" spans="1:16">
      <c r="A8" t="s">
        <v>5</v>
      </c>
      <c r="B8" s="33">
        <v>0</v>
      </c>
      <c r="C8" s="33">
        <v>1</v>
      </c>
      <c r="D8" s="33">
        <v>38</v>
      </c>
      <c r="E8" s="33">
        <v>0</v>
      </c>
      <c r="F8" s="33">
        <v>0</v>
      </c>
      <c r="G8" s="33">
        <v>6</v>
      </c>
      <c r="H8" s="14">
        <v>4</v>
      </c>
      <c r="I8" s="14">
        <v>0</v>
      </c>
      <c r="J8" s="14">
        <v>21</v>
      </c>
      <c r="K8" s="14">
        <v>2</v>
      </c>
      <c r="L8" s="14">
        <v>2</v>
      </c>
      <c r="M8" s="14">
        <v>5</v>
      </c>
      <c r="N8" s="9">
        <f>SUM(B8:M8)</f>
        <v>79</v>
      </c>
      <c r="O8" s="27">
        <v>0</v>
      </c>
      <c r="P8" s="117" t="s">
        <v>32</v>
      </c>
    </row>
    <row r="9" spans="1:16">
      <c r="A9" t="s">
        <v>13</v>
      </c>
      <c r="B9" s="14">
        <v>0</v>
      </c>
      <c r="C9" s="14">
        <v>0</v>
      </c>
      <c r="D9" s="14">
        <v>0</v>
      </c>
      <c r="E9" s="14">
        <v>0</v>
      </c>
      <c r="F9" s="14">
        <v>0</v>
      </c>
      <c r="G9" s="14">
        <v>0</v>
      </c>
      <c r="H9" s="14">
        <v>0</v>
      </c>
      <c r="I9" s="14">
        <v>0</v>
      </c>
      <c r="J9" s="14">
        <v>0</v>
      </c>
      <c r="K9" s="14">
        <v>0</v>
      </c>
      <c r="L9" s="14">
        <v>0</v>
      </c>
      <c r="M9" s="14">
        <v>0</v>
      </c>
      <c r="N9" s="9">
        <f>SUM(B9:M9)</f>
        <v>0</v>
      </c>
      <c r="O9" s="27"/>
    </row>
    <row r="10" spans="1:16">
      <c r="O10" s="27"/>
    </row>
    <row r="11" spans="1:16">
      <c r="O11" s="27"/>
    </row>
    <row r="12" spans="1:16" ht="24">
      <c r="A12" s="112"/>
      <c r="B12" s="110">
        <v>38899</v>
      </c>
      <c r="C12" s="110">
        <v>38930</v>
      </c>
      <c r="D12" s="110">
        <v>38961</v>
      </c>
      <c r="E12" s="110">
        <v>38991</v>
      </c>
      <c r="F12" s="110">
        <v>39022</v>
      </c>
      <c r="G12" s="110">
        <v>39052</v>
      </c>
      <c r="H12" s="110">
        <v>39083</v>
      </c>
      <c r="I12" s="110">
        <v>39114</v>
      </c>
      <c r="J12" s="110">
        <v>39142</v>
      </c>
      <c r="K12" s="110">
        <v>39173</v>
      </c>
      <c r="L12" s="110">
        <v>39203</v>
      </c>
      <c r="M12" s="110">
        <v>39234</v>
      </c>
      <c r="N12" s="113" t="s">
        <v>2</v>
      </c>
      <c r="O12" s="111" t="s">
        <v>189</v>
      </c>
      <c r="P12" s="114" t="s">
        <v>86</v>
      </c>
    </row>
    <row r="13" spans="1:16">
      <c r="A13" s="1" t="s">
        <v>103</v>
      </c>
      <c r="B13" s="6"/>
      <c r="C13" s="6"/>
      <c r="D13" s="6"/>
      <c r="E13" s="6"/>
      <c r="F13" s="6"/>
      <c r="G13" s="6"/>
      <c r="H13" s="6"/>
      <c r="I13" s="6"/>
      <c r="J13" s="6"/>
      <c r="K13" s="6"/>
      <c r="L13" s="6"/>
      <c r="M13" s="6"/>
      <c r="N13" s="6"/>
      <c r="O13" s="27"/>
    </row>
    <row r="14" spans="1:16">
      <c r="A14" t="s">
        <v>4</v>
      </c>
      <c r="B14" s="49">
        <v>3</v>
      </c>
      <c r="C14" s="49">
        <v>8</v>
      </c>
      <c r="D14" s="49">
        <v>106</v>
      </c>
      <c r="E14" s="49">
        <v>155</v>
      </c>
      <c r="F14" s="49">
        <v>179</v>
      </c>
      <c r="G14" s="49">
        <v>76</v>
      </c>
      <c r="H14" s="49">
        <v>54</v>
      </c>
      <c r="I14" s="49">
        <v>180</v>
      </c>
      <c r="J14" s="49">
        <v>274</v>
      </c>
      <c r="K14" s="49">
        <v>237</v>
      </c>
      <c r="L14" s="49">
        <v>117</v>
      </c>
      <c r="M14" s="49">
        <v>59</v>
      </c>
      <c r="N14" s="45">
        <f>SUM(B14:M14)</f>
        <v>1448</v>
      </c>
      <c r="O14" s="27"/>
    </row>
    <row r="15" spans="1:16">
      <c r="A15" t="s">
        <v>5</v>
      </c>
      <c r="B15" s="49">
        <v>0</v>
      </c>
      <c r="C15" s="49">
        <v>54</v>
      </c>
      <c r="D15" s="49">
        <v>187</v>
      </c>
      <c r="E15" s="49">
        <v>405</v>
      </c>
      <c r="F15" s="49">
        <v>631</v>
      </c>
      <c r="G15" s="49">
        <v>332</v>
      </c>
      <c r="H15" s="36">
        <v>414</v>
      </c>
      <c r="I15" s="36">
        <v>517</v>
      </c>
      <c r="J15" s="36">
        <v>850</v>
      </c>
      <c r="K15" s="36">
        <v>638</v>
      </c>
      <c r="L15" s="36">
        <v>897</v>
      </c>
      <c r="M15" s="36">
        <v>583</v>
      </c>
      <c r="N15" s="45">
        <f>SUM(B15:M15)</f>
        <v>5508</v>
      </c>
      <c r="O15" s="27">
        <v>0</v>
      </c>
      <c r="P15" s="117" t="s">
        <v>32</v>
      </c>
    </row>
    <row r="16" spans="1:16">
      <c r="A16" t="s">
        <v>13</v>
      </c>
      <c r="B16" s="36">
        <v>0</v>
      </c>
      <c r="C16" s="36">
        <v>0</v>
      </c>
      <c r="D16" s="36">
        <v>0</v>
      </c>
      <c r="E16" s="36">
        <v>0</v>
      </c>
      <c r="F16" s="36">
        <v>0</v>
      </c>
      <c r="G16" s="36">
        <v>0</v>
      </c>
      <c r="H16" s="36">
        <v>0</v>
      </c>
      <c r="I16" s="36">
        <v>0</v>
      </c>
      <c r="J16" s="36">
        <v>0</v>
      </c>
      <c r="K16" s="36">
        <v>0</v>
      </c>
      <c r="L16" s="36">
        <v>0</v>
      </c>
      <c r="M16" s="36">
        <v>0</v>
      </c>
      <c r="N16" s="45">
        <f>SUM(B16:M16)</f>
        <v>0</v>
      </c>
      <c r="O16" s="27"/>
    </row>
    <row r="17" spans="1:16">
      <c r="O17" s="27"/>
    </row>
    <row r="18" spans="1:16">
      <c r="O18" s="27"/>
    </row>
    <row r="19" spans="1:16" ht="24">
      <c r="A19" s="112"/>
      <c r="B19" s="110">
        <v>38899</v>
      </c>
      <c r="C19" s="110">
        <v>38930</v>
      </c>
      <c r="D19" s="110">
        <v>38961</v>
      </c>
      <c r="E19" s="110">
        <v>38991</v>
      </c>
      <c r="F19" s="110">
        <v>39022</v>
      </c>
      <c r="G19" s="110">
        <v>39052</v>
      </c>
      <c r="H19" s="110">
        <v>39083</v>
      </c>
      <c r="I19" s="110">
        <v>39114</v>
      </c>
      <c r="J19" s="110">
        <v>39142</v>
      </c>
      <c r="K19" s="110">
        <v>39173</v>
      </c>
      <c r="L19" s="110">
        <v>39203</v>
      </c>
      <c r="M19" s="110">
        <v>39234</v>
      </c>
      <c r="N19" s="113" t="s">
        <v>2</v>
      </c>
      <c r="O19" s="111" t="s">
        <v>189</v>
      </c>
      <c r="P19" s="114" t="s">
        <v>86</v>
      </c>
    </row>
    <row r="20" spans="1:16">
      <c r="A20" s="1" t="s">
        <v>104</v>
      </c>
      <c r="B20" s="6"/>
      <c r="C20" s="6"/>
      <c r="D20" s="6"/>
      <c r="E20" s="6"/>
      <c r="F20" s="6"/>
      <c r="G20" s="6"/>
      <c r="H20" s="6"/>
      <c r="I20" s="6"/>
      <c r="J20" s="6"/>
      <c r="K20" s="6"/>
      <c r="L20" s="6"/>
      <c r="M20" s="6"/>
      <c r="N20" s="6"/>
      <c r="O20" s="27"/>
    </row>
    <row r="21" spans="1:16">
      <c r="A21" t="s">
        <v>4</v>
      </c>
      <c r="B21" s="49">
        <v>0</v>
      </c>
      <c r="C21" s="49">
        <v>8</v>
      </c>
      <c r="D21" s="49">
        <v>102</v>
      </c>
      <c r="E21" s="49">
        <v>153</v>
      </c>
      <c r="F21" s="49">
        <v>177</v>
      </c>
      <c r="G21" s="49">
        <v>76</v>
      </c>
      <c r="H21" s="49">
        <v>54</v>
      </c>
      <c r="I21" s="49">
        <v>181</v>
      </c>
      <c r="J21" s="49">
        <v>259</v>
      </c>
      <c r="K21" s="49">
        <v>222</v>
      </c>
      <c r="L21" s="49">
        <v>102</v>
      </c>
      <c r="M21" s="49">
        <v>58</v>
      </c>
      <c r="N21" s="45">
        <f>SUM(B21:M21)</f>
        <v>1392</v>
      </c>
      <c r="O21" s="27"/>
    </row>
    <row r="22" spans="1:16">
      <c r="A22" t="s">
        <v>5</v>
      </c>
      <c r="B22" s="49">
        <v>0</v>
      </c>
      <c r="C22" s="49">
        <v>54</v>
      </c>
      <c r="D22" s="49">
        <v>180</v>
      </c>
      <c r="E22" s="49">
        <v>405</v>
      </c>
      <c r="F22" s="49">
        <v>629</v>
      </c>
      <c r="G22" s="49">
        <v>332</v>
      </c>
      <c r="H22" s="36">
        <v>414</v>
      </c>
      <c r="I22" s="36">
        <v>519</v>
      </c>
      <c r="J22" s="36">
        <v>825</v>
      </c>
      <c r="K22" s="36">
        <v>609</v>
      </c>
      <c r="L22" s="36">
        <v>283</v>
      </c>
      <c r="M22" s="36">
        <v>194</v>
      </c>
      <c r="N22" s="45">
        <f>SUM(B22:M22)</f>
        <v>4444</v>
      </c>
      <c r="O22" s="27">
        <v>0</v>
      </c>
      <c r="P22" s="117" t="s">
        <v>32</v>
      </c>
    </row>
    <row r="23" spans="1:16">
      <c r="A23" t="s">
        <v>13</v>
      </c>
      <c r="B23" s="36">
        <v>0</v>
      </c>
      <c r="C23" s="36">
        <v>0</v>
      </c>
      <c r="D23" s="36">
        <v>0</v>
      </c>
      <c r="E23" s="36">
        <v>0</v>
      </c>
      <c r="F23" s="36">
        <v>0</v>
      </c>
      <c r="G23" s="36">
        <v>0</v>
      </c>
      <c r="H23" s="36">
        <v>0</v>
      </c>
      <c r="I23" s="36">
        <v>0</v>
      </c>
      <c r="J23" s="36">
        <v>0</v>
      </c>
      <c r="K23" s="36">
        <v>0</v>
      </c>
      <c r="L23" s="36">
        <v>0</v>
      </c>
      <c r="M23" s="36">
        <v>0</v>
      </c>
      <c r="N23" s="45">
        <f>SUM(B23:M23)</f>
        <v>0</v>
      </c>
      <c r="O23" s="27"/>
    </row>
    <row r="24" spans="1:16">
      <c r="B24" s="42"/>
      <c r="C24" s="42"/>
      <c r="D24" s="42"/>
      <c r="E24" s="42"/>
      <c r="F24" s="42"/>
      <c r="G24" s="42"/>
      <c r="H24" s="42"/>
      <c r="I24" s="42"/>
      <c r="J24" s="42"/>
      <c r="K24" s="42"/>
      <c r="L24" s="42"/>
      <c r="M24" s="42"/>
      <c r="N24" s="13"/>
      <c r="O24" s="27"/>
    </row>
    <row r="25" spans="1:16">
      <c r="O25" s="27"/>
    </row>
    <row r="26" spans="1:16" ht="24">
      <c r="A26" s="112"/>
      <c r="B26" s="110">
        <v>38899</v>
      </c>
      <c r="C26" s="110">
        <v>38930</v>
      </c>
      <c r="D26" s="110">
        <v>38961</v>
      </c>
      <c r="E26" s="110">
        <v>38991</v>
      </c>
      <c r="F26" s="110">
        <v>39022</v>
      </c>
      <c r="G26" s="110">
        <v>39052</v>
      </c>
      <c r="H26" s="110">
        <v>39083</v>
      </c>
      <c r="I26" s="110">
        <v>39114</v>
      </c>
      <c r="J26" s="110">
        <v>39142</v>
      </c>
      <c r="K26" s="110">
        <v>39173</v>
      </c>
      <c r="L26" s="110">
        <v>39203</v>
      </c>
      <c r="M26" s="110">
        <v>39234</v>
      </c>
      <c r="N26" s="113" t="s">
        <v>2</v>
      </c>
      <c r="O26" s="111" t="s">
        <v>189</v>
      </c>
      <c r="P26" s="114" t="s">
        <v>86</v>
      </c>
    </row>
    <row r="27" spans="1:16">
      <c r="A27" s="1" t="s">
        <v>105</v>
      </c>
      <c r="B27" s="6"/>
      <c r="C27" s="6"/>
      <c r="D27" s="6"/>
      <c r="E27" s="6"/>
      <c r="F27" s="6"/>
      <c r="G27" s="6"/>
      <c r="H27" s="6"/>
      <c r="I27" s="6"/>
      <c r="J27" s="6"/>
      <c r="K27" s="6"/>
      <c r="L27" s="6"/>
      <c r="M27" s="6"/>
      <c r="N27" s="6"/>
      <c r="O27" s="27"/>
    </row>
    <row r="28" spans="1:16">
      <c r="A28" t="s">
        <v>4</v>
      </c>
      <c r="B28" s="49">
        <v>0</v>
      </c>
      <c r="C28" s="49">
        <v>9</v>
      </c>
      <c r="D28" s="49">
        <v>102</v>
      </c>
      <c r="E28" s="49">
        <v>152</v>
      </c>
      <c r="F28" s="49">
        <v>177</v>
      </c>
      <c r="G28" s="49">
        <v>76</v>
      </c>
      <c r="H28" s="49">
        <v>14</v>
      </c>
      <c r="I28" s="49">
        <v>0</v>
      </c>
      <c r="J28" s="49">
        <v>0</v>
      </c>
      <c r="K28" s="49">
        <v>0</v>
      </c>
      <c r="L28" s="49">
        <v>0</v>
      </c>
      <c r="M28" s="49">
        <v>0</v>
      </c>
      <c r="N28" s="45">
        <f>SUM(B28:M28)</f>
        <v>530</v>
      </c>
      <c r="O28" s="27"/>
    </row>
    <row r="29" spans="1:16">
      <c r="A29" t="s">
        <v>5</v>
      </c>
      <c r="B29" s="49">
        <v>0</v>
      </c>
      <c r="C29" s="49">
        <v>54</v>
      </c>
      <c r="D29" s="49">
        <v>180</v>
      </c>
      <c r="E29" s="49">
        <v>399</v>
      </c>
      <c r="F29" s="49">
        <v>629</v>
      </c>
      <c r="G29" s="49">
        <v>332</v>
      </c>
      <c r="H29" s="36">
        <v>272</v>
      </c>
      <c r="I29" s="36">
        <v>0</v>
      </c>
      <c r="J29" s="36">
        <v>0</v>
      </c>
      <c r="K29" s="36">
        <v>0</v>
      </c>
      <c r="L29" s="36">
        <v>0</v>
      </c>
      <c r="M29" s="36">
        <v>0</v>
      </c>
      <c r="N29" s="45">
        <f>SUM(B29:M29)</f>
        <v>1866</v>
      </c>
      <c r="O29" s="27">
        <v>0</v>
      </c>
      <c r="P29" s="117" t="s">
        <v>32</v>
      </c>
    </row>
    <row r="30" spans="1:16">
      <c r="A30" t="s">
        <v>13</v>
      </c>
      <c r="B30" s="36">
        <v>0</v>
      </c>
      <c r="C30" s="36">
        <v>0</v>
      </c>
      <c r="D30" s="36">
        <v>0</v>
      </c>
      <c r="E30" s="36">
        <v>0</v>
      </c>
      <c r="F30" s="36">
        <v>0</v>
      </c>
      <c r="G30" s="36">
        <v>0</v>
      </c>
      <c r="H30" s="36">
        <v>0</v>
      </c>
      <c r="I30" s="36">
        <v>0</v>
      </c>
      <c r="J30" s="36">
        <v>0</v>
      </c>
      <c r="K30" s="36">
        <v>0</v>
      </c>
      <c r="L30" s="36">
        <v>0</v>
      </c>
      <c r="M30" s="36">
        <v>0</v>
      </c>
      <c r="N30" s="45">
        <f>SUM(B30:M30)</f>
        <v>0</v>
      </c>
      <c r="O30" s="27"/>
    </row>
    <row r="31" spans="1:16">
      <c r="B31" s="42"/>
      <c r="C31" s="42"/>
      <c r="D31" s="42"/>
      <c r="E31" s="42"/>
      <c r="F31" s="42"/>
      <c r="G31" s="42"/>
      <c r="H31" s="42"/>
      <c r="I31" s="42"/>
      <c r="J31" s="42"/>
      <c r="K31" s="42"/>
      <c r="L31" s="42"/>
      <c r="M31" s="42"/>
      <c r="N31" s="13"/>
      <c r="O31" s="27"/>
    </row>
    <row r="32" spans="1:16">
      <c r="B32" s="42"/>
      <c r="C32" s="42"/>
      <c r="D32" s="42"/>
      <c r="E32" s="42"/>
      <c r="F32" s="42"/>
      <c r="G32" s="42"/>
      <c r="H32" s="42"/>
      <c r="I32" s="42"/>
      <c r="J32" s="42"/>
      <c r="K32" s="42"/>
      <c r="L32" s="42"/>
      <c r="M32" s="42"/>
      <c r="N32" s="13"/>
      <c r="O32" s="27"/>
    </row>
    <row r="33" spans="1:16" ht="24">
      <c r="A33" s="112"/>
      <c r="B33" s="110">
        <v>38899</v>
      </c>
      <c r="C33" s="110">
        <v>38930</v>
      </c>
      <c r="D33" s="110">
        <v>38961</v>
      </c>
      <c r="E33" s="110">
        <v>38991</v>
      </c>
      <c r="F33" s="110">
        <v>39022</v>
      </c>
      <c r="G33" s="110">
        <v>39052</v>
      </c>
      <c r="H33" s="110">
        <v>39083</v>
      </c>
      <c r="I33" s="110">
        <v>39114</v>
      </c>
      <c r="J33" s="110">
        <v>39142</v>
      </c>
      <c r="K33" s="110">
        <v>39173</v>
      </c>
      <c r="L33" s="110">
        <v>39203</v>
      </c>
      <c r="M33" s="110">
        <v>39234</v>
      </c>
      <c r="N33" s="113" t="s">
        <v>2</v>
      </c>
      <c r="O33" s="111" t="s">
        <v>189</v>
      </c>
      <c r="P33" s="114" t="s">
        <v>86</v>
      </c>
    </row>
    <row r="34" spans="1:16">
      <c r="A34" s="1" t="s">
        <v>106</v>
      </c>
      <c r="B34" s="6"/>
      <c r="C34" s="6"/>
      <c r="D34" s="6"/>
      <c r="E34" s="6"/>
      <c r="F34" s="6"/>
      <c r="G34" s="6"/>
      <c r="H34" s="6"/>
      <c r="I34" s="6"/>
      <c r="J34" s="6"/>
      <c r="K34" s="6"/>
      <c r="L34" s="6"/>
      <c r="M34" s="6"/>
      <c r="N34" s="6"/>
      <c r="O34" s="27"/>
    </row>
    <row r="35" spans="1:16">
      <c r="A35" t="s">
        <v>4</v>
      </c>
      <c r="B35" s="33">
        <v>230</v>
      </c>
      <c r="C35" s="33">
        <v>166</v>
      </c>
      <c r="D35" s="33">
        <v>428</v>
      </c>
      <c r="E35" s="33">
        <v>698</v>
      </c>
      <c r="F35" s="33">
        <v>830</v>
      </c>
      <c r="G35" s="33">
        <v>339</v>
      </c>
      <c r="H35" s="49">
        <v>337</v>
      </c>
      <c r="I35" s="49">
        <v>748</v>
      </c>
      <c r="J35" s="49">
        <v>891</v>
      </c>
      <c r="K35" s="49">
        <v>905</v>
      </c>
      <c r="L35" s="49">
        <v>259</v>
      </c>
      <c r="M35" s="49">
        <v>301</v>
      </c>
      <c r="N35" s="45">
        <f>SUM(B35:M35)</f>
        <v>6132</v>
      </c>
      <c r="O35" s="27"/>
    </row>
    <row r="36" spans="1:16">
      <c r="A36" t="s">
        <v>5</v>
      </c>
      <c r="B36" s="33">
        <v>133</v>
      </c>
      <c r="C36" s="33">
        <v>71</v>
      </c>
      <c r="D36" s="33">
        <v>203</v>
      </c>
      <c r="E36" s="33">
        <v>355</v>
      </c>
      <c r="F36" s="33">
        <v>385</v>
      </c>
      <c r="G36" s="33">
        <v>201</v>
      </c>
      <c r="H36" s="36">
        <v>165</v>
      </c>
      <c r="I36" s="36">
        <v>343</v>
      </c>
      <c r="J36" s="36">
        <v>452</v>
      </c>
      <c r="K36" s="36">
        <v>407</v>
      </c>
      <c r="L36" s="36">
        <v>178</v>
      </c>
      <c r="M36" s="36">
        <v>211</v>
      </c>
      <c r="N36" s="45">
        <f>SUM(B36:M36)</f>
        <v>3104</v>
      </c>
      <c r="O36" s="27">
        <v>10226</v>
      </c>
      <c r="P36" s="27">
        <f>O36/N36</f>
        <v>3.294458762886598</v>
      </c>
    </row>
    <row r="37" spans="1:16">
      <c r="A37" t="s">
        <v>13</v>
      </c>
      <c r="B37" s="14">
        <v>0</v>
      </c>
      <c r="C37" s="14">
        <v>0</v>
      </c>
      <c r="D37" s="14">
        <v>0</v>
      </c>
      <c r="E37" s="14">
        <v>0</v>
      </c>
      <c r="F37" s="14">
        <v>0</v>
      </c>
      <c r="G37" s="14">
        <v>0</v>
      </c>
      <c r="H37" s="36">
        <v>0</v>
      </c>
      <c r="I37" s="36">
        <v>0</v>
      </c>
      <c r="J37" s="36">
        <v>0</v>
      </c>
      <c r="K37" s="36">
        <v>0</v>
      </c>
      <c r="L37" s="36">
        <v>0</v>
      </c>
      <c r="M37" s="36">
        <v>0</v>
      </c>
      <c r="N37" s="45">
        <f>SUM(B37:M37)</f>
        <v>0</v>
      </c>
      <c r="O37" s="27"/>
    </row>
    <row r="38" spans="1:16">
      <c r="B38" s="42"/>
      <c r="C38" s="42"/>
      <c r="D38" s="42"/>
      <c r="E38" s="42"/>
      <c r="F38" s="42"/>
      <c r="G38" s="42"/>
      <c r="H38" s="42"/>
      <c r="I38" s="42"/>
      <c r="J38" s="42"/>
      <c r="K38" s="42"/>
      <c r="L38" s="42"/>
      <c r="M38" s="42"/>
      <c r="N38" s="13"/>
      <c r="O38" s="27"/>
    </row>
    <row r="39" spans="1:16">
      <c r="B39" s="42"/>
      <c r="C39" s="42"/>
      <c r="D39" s="42"/>
      <c r="E39" s="42"/>
      <c r="F39" s="42"/>
      <c r="G39" s="42"/>
      <c r="H39" s="42"/>
      <c r="I39" s="42"/>
      <c r="J39" s="42"/>
      <c r="K39" s="42"/>
      <c r="L39" s="42"/>
      <c r="M39" s="42"/>
      <c r="N39" s="13"/>
      <c r="O39" s="27"/>
    </row>
    <row r="40" spans="1:16">
      <c r="A40" s="12"/>
      <c r="B40" s="22"/>
      <c r="C40" s="22"/>
      <c r="D40" s="22"/>
      <c r="E40" s="22"/>
      <c r="F40" s="22"/>
      <c r="G40" s="22"/>
      <c r="H40" s="22"/>
      <c r="I40" s="22"/>
      <c r="J40" s="22"/>
      <c r="K40" s="22"/>
      <c r="L40" s="22"/>
      <c r="M40" s="22"/>
      <c r="N40" s="13"/>
      <c r="O40" s="27"/>
    </row>
    <row r="41" spans="1:16" ht="24">
      <c r="A41" s="4"/>
      <c r="B41" s="110">
        <v>38899</v>
      </c>
      <c r="C41" s="110">
        <v>38930</v>
      </c>
      <c r="D41" s="110">
        <v>38961</v>
      </c>
      <c r="E41" s="110">
        <v>38991</v>
      </c>
      <c r="F41" s="110">
        <v>39022</v>
      </c>
      <c r="G41" s="110">
        <v>39052</v>
      </c>
      <c r="H41" s="110">
        <v>39083</v>
      </c>
      <c r="I41" s="110">
        <v>39114</v>
      </c>
      <c r="J41" s="110">
        <v>39142</v>
      </c>
      <c r="K41" s="110">
        <v>39173</v>
      </c>
      <c r="L41" s="110">
        <v>39203</v>
      </c>
      <c r="M41" s="110">
        <v>39234</v>
      </c>
      <c r="N41" s="113" t="s">
        <v>2</v>
      </c>
      <c r="O41" s="111" t="s">
        <v>189</v>
      </c>
      <c r="P41" s="114" t="s">
        <v>86</v>
      </c>
    </row>
    <row r="42" spans="1:16">
      <c r="A42" s="1" t="s">
        <v>93</v>
      </c>
      <c r="B42" s="6"/>
      <c r="C42" s="6"/>
      <c r="D42" s="6"/>
      <c r="E42" s="6"/>
      <c r="F42" s="6"/>
      <c r="G42" s="6"/>
      <c r="H42" s="6"/>
      <c r="I42" s="6"/>
      <c r="J42" s="6"/>
      <c r="K42" s="6"/>
      <c r="L42" s="6"/>
      <c r="M42" s="6"/>
      <c r="N42" s="6"/>
      <c r="O42" s="27"/>
    </row>
    <row r="43" spans="1:16">
      <c r="A43" t="s">
        <v>4</v>
      </c>
      <c r="B43" s="49">
        <f>B7+B14+B21+B28+B35</f>
        <v>233</v>
      </c>
      <c r="C43" s="49">
        <f>C7+C14+C21+C28+C35</f>
        <v>192</v>
      </c>
      <c r="D43" s="49">
        <f t="shared" ref="D43:M43" si="0">D7+D14+D21+D28+D35</f>
        <v>742</v>
      </c>
      <c r="E43" s="49">
        <f t="shared" si="0"/>
        <v>1158</v>
      </c>
      <c r="F43" s="49">
        <f t="shared" si="0"/>
        <v>1363</v>
      </c>
      <c r="G43" s="49">
        <f t="shared" si="0"/>
        <v>569</v>
      </c>
      <c r="H43" s="49">
        <f t="shared" si="0"/>
        <v>463</v>
      </c>
      <c r="I43" s="49">
        <f t="shared" si="0"/>
        <v>1109</v>
      </c>
      <c r="J43" s="49">
        <f t="shared" si="0"/>
        <v>1431</v>
      </c>
      <c r="K43" s="49">
        <f t="shared" si="0"/>
        <v>1366</v>
      </c>
      <c r="L43" s="49">
        <f t="shared" si="0"/>
        <v>480</v>
      </c>
      <c r="M43" s="49">
        <f t="shared" si="0"/>
        <v>420</v>
      </c>
      <c r="N43" s="45">
        <f>SUM(B43:M43)</f>
        <v>9526</v>
      </c>
      <c r="O43" s="27"/>
    </row>
    <row r="44" spans="1:16">
      <c r="A44" t="s">
        <v>5</v>
      </c>
      <c r="B44" s="36">
        <f>B8+B15+B22+B29+B36</f>
        <v>133</v>
      </c>
      <c r="C44" s="36">
        <f t="shared" ref="C44:M44" si="1">C8+C15+C22+C29+C36</f>
        <v>234</v>
      </c>
      <c r="D44" s="36">
        <f t="shared" si="1"/>
        <v>788</v>
      </c>
      <c r="E44" s="36">
        <f t="shared" si="1"/>
        <v>1564</v>
      </c>
      <c r="F44" s="36">
        <f t="shared" si="1"/>
        <v>2274</v>
      </c>
      <c r="G44" s="36">
        <f t="shared" si="1"/>
        <v>1203</v>
      </c>
      <c r="H44" s="36">
        <f t="shared" si="1"/>
        <v>1269</v>
      </c>
      <c r="I44" s="36">
        <f t="shared" si="1"/>
        <v>1379</v>
      </c>
      <c r="J44" s="36">
        <f t="shared" si="1"/>
        <v>2148</v>
      </c>
      <c r="K44" s="36">
        <f t="shared" si="1"/>
        <v>1656</v>
      </c>
      <c r="L44" s="36">
        <f t="shared" si="1"/>
        <v>1360</v>
      </c>
      <c r="M44" s="36">
        <f t="shared" si="1"/>
        <v>993</v>
      </c>
      <c r="N44" s="45">
        <f>SUM(B44:M44)</f>
        <v>15001</v>
      </c>
      <c r="O44" s="27">
        <f>SUM(O7:O37)</f>
        <v>10226</v>
      </c>
      <c r="P44" s="27">
        <f>O44/N44</f>
        <v>0.68168788747416842</v>
      </c>
    </row>
    <row r="45" spans="1:16">
      <c r="A45" t="s">
        <v>13</v>
      </c>
      <c r="B45" s="36">
        <v>0</v>
      </c>
      <c r="C45" s="36">
        <v>0</v>
      </c>
      <c r="D45" s="36">
        <v>0</v>
      </c>
      <c r="E45" s="36">
        <v>0</v>
      </c>
      <c r="F45" s="36">
        <v>0</v>
      </c>
      <c r="G45" s="36">
        <v>0</v>
      </c>
      <c r="H45" s="36">
        <v>0</v>
      </c>
      <c r="I45" s="36">
        <v>0</v>
      </c>
      <c r="J45" s="36">
        <v>0</v>
      </c>
      <c r="K45" s="36">
        <v>0</v>
      </c>
      <c r="L45" s="36">
        <v>0</v>
      </c>
      <c r="M45" s="36">
        <v>0</v>
      </c>
      <c r="N45" s="45">
        <f>SUM(B45:M45)</f>
        <v>0</v>
      </c>
      <c r="O45" s="27"/>
    </row>
    <row r="48" spans="1:16">
      <c r="A48" t="s">
        <v>259</v>
      </c>
      <c r="B48" t="s">
        <v>260</v>
      </c>
    </row>
  </sheetData>
  <phoneticPr fontId="2" type="noConversion"/>
  <pageMargins left="0.75" right="0.75" top="1" bottom="1" header="0.5" footer="0.5"/>
  <pageSetup scale="84" fitToHeight="5" orientation="landscape"/>
  <headerFooter>
    <oddFooter>&amp;L&amp;K000000OVID&amp;R&amp;K0000002006-07 usage</oddFooter>
  </headerFooter>
  <extLst>
    <ext xmlns:mx="http://schemas.microsoft.com/office/mac/excel/2008/main" uri="{64002731-A6B0-56B0-2670-7721B7C09600}">
      <mx:PLV Mode="0" OnePage="0" WScale="0"/>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3"/>
  <sheetViews>
    <sheetView workbookViewId="0"/>
  </sheetViews>
  <sheetFormatPr baseColWidth="10" defaultColWidth="8.83203125" defaultRowHeight="12" x14ac:dyDescent="0"/>
  <cols>
    <col min="1" max="1" width="23.332031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8.6640625" bestFit="1" customWidth="1"/>
    <col min="16" max="16" width="8.33203125" bestFit="1" customWidth="1"/>
  </cols>
  <sheetData>
    <row r="1" spans="1:16" ht="18">
      <c r="A1" s="2" t="s">
        <v>153</v>
      </c>
    </row>
    <row r="2" spans="1:16" ht="17">
      <c r="A2" s="3" t="s">
        <v>187</v>
      </c>
    </row>
    <row r="5" spans="1:16" ht="36">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186</v>
      </c>
    </row>
    <row r="6" spans="1:16">
      <c r="A6" s="1" t="s">
        <v>192</v>
      </c>
      <c r="B6" s="6"/>
      <c r="C6" s="6"/>
      <c r="D6" s="6"/>
      <c r="E6" s="6"/>
      <c r="F6" s="6"/>
      <c r="G6" s="6"/>
      <c r="H6" s="6"/>
      <c r="I6" s="6"/>
      <c r="J6" s="6"/>
      <c r="K6" s="6"/>
      <c r="L6" s="6"/>
      <c r="M6" s="6"/>
      <c r="N6" s="6"/>
    </row>
    <row r="7" spans="1:16">
      <c r="A7" t="s">
        <v>4</v>
      </c>
      <c r="B7" s="55">
        <v>15</v>
      </c>
      <c r="C7" s="55">
        <v>17</v>
      </c>
      <c r="D7" s="55">
        <v>67</v>
      </c>
      <c r="E7" s="55">
        <v>60</v>
      </c>
      <c r="F7" s="55">
        <v>62</v>
      </c>
      <c r="G7" s="55">
        <v>38</v>
      </c>
      <c r="H7" s="55">
        <v>18</v>
      </c>
      <c r="I7" s="55">
        <v>28</v>
      </c>
      <c r="J7" s="55">
        <v>29</v>
      </c>
      <c r="K7" s="55">
        <v>62</v>
      </c>
      <c r="L7" s="55">
        <v>22</v>
      </c>
      <c r="M7" s="56">
        <v>12</v>
      </c>
      <c r="N7" s="45">
        <f>SUM(B7:M7)</f>
        <v>430</v>
      </c>
      <c r="O7" s="27"/>
      <c r="P7" s="27"/>
    </row>
    <row r="8" spans="1:16">
      <c r="A8" t="s">
        <v>5</v>
      </c>
      <c r="B8" s="49">
        <v>38</v>
      </c>
      <c r="C8" s="49">
        <v>49</v>
      </c>
      <c r="D8" s="49">
        <v>120</v>
      </c>
      <c r="E8" s="49">
        <v>114</v>
      </c>
      <c r="F8" s="49">
        <v>105</v>
      </c>
      <c r="G8" s="49">
        <v>64</v>
      </c>
      <c r="H8" s="49">
        <v>46</v>
      </c>
      <c r="I8" s="49">
        <v>56</v>
      </c>
      <c r="J8" s="49">
        <v>56</v>
      </c>
      <c r="K8" s="49">
        <v>143</v>
      </c>
      <c r="L8" s="49">
        <v>35</v>
      </c>
      <c r="M8" s="49">
        <v>24</v>
      </c>
      <c r="N8" s="45">
        <f>SUM(B8:M8)</f>
        <v>850</v>
      </c>
      <c r="O8" s="27">
        <v>1437</v>
      </c>
      <c r="P8" s="27">
        <f>O8/N8</f>
        <v>1.6905882352941177</v>
      </c>
    </row>
    <row r="9" spans="1:16">
      <c r="A9" t="s">
        <v>13</v>
      </c>
      <c r="B9" s="49">
        <v>0</v>
      </c>
      <c r="C9" s="49">
        <v>0</v>
      </c>
      <c r="D9" s="49">
        <v>0</v>
      </c>
      <c r="E9" s="49">
        <v>4</v>
      </c>
      <c r="F9" s="49">
        <v>0</v>
      </c>
      <c r="G9" s="49">
        <v>0</v>
      </c>
      <c r="H9" s="49">
        <v>0</v>
      </c>
      <c r="I9" s="49">
        <v>0</v>
      </c>
      <c r="J9" s="49">
        <v>0</v>
      </c>
      <c r="K9" s="49">
        <v>0</v>
      </c>
      <c r="L9" s="49">
        <v>0</v>
      </c>
      <c r="M9" s="49">
        <v>0</v>
      </c>
      <c r="N9" s="45">
        <f>SUM(B9:M9)</f>
        <v>4</v>
      </c>
      <c r="O9" s="27"/>
      <c r="P9" s="27"/>
    </row>
    <row r="11" spans="1:16">
      <c r="A11" s="1" t="s">
        <v>193</v>
      </c>
      <c r="B11" s="6"/>
      <c r="C11" s="6"/>
      <c r="D11" s="6"/>
      <c r="E11" s="6"/>
      <c r="F11" s="6"/>
      <c r="G11" s="6"/>
      <c r="H11" s="6"/>
      <c r="I11" s="6"/>
      <c r="J11" s="6"/>
      <c r="K11" s="6"/>
      <c r="L11" s="6"/>
      <c r="M11" s="6"/>
      <c r="N11" s="6"/>
    </row>
    <row r="12" spans="1:16">
      <c r="A12" t="s">
        <v>4</v>
      </c>
      <c r="B12" s="55">
        <v>135</v>
      </c>
      <c r="C12" s="55">
        <v>95</v>
      </c>
      <c r="D12" s="55">
        <v>478</v>
      </c>
      <c r="E12" s="55">
        <v>547</v>
      </c>
      <c r="F12" s="55">
        <v>592</v>
      </c>
      <c r="G12" s="55">
        <v>291</v>
      </c>
      <c r="H12" s="55">
        <v>463</v>
      </c>
      <c r="I12" s="55">
        <v>642</v>
      </c>
      <c r="J12" s="55">
        <v>402</v>
      </c>
      <c r="K12" s="55">
        <v>366</v>
      </c>
      <c r="L12" s="55">
        <v>267</v>
      </c>
      <c r="M12" s="56">
        <v>71</v>
      </c>
      <c r="N12" s="45">
        <f>SUM(B12:M12)</f>
        <v>4349</v>
      </c>
      <c r="O12" s="27"/>
      <c r="P12" s="27"/>
    </row>
    <row r="13" spans="1:16">
      <c r="A13" t="s">
        <v>5</v>
      </c>
      <c r="B13" s="49">
        <v>626</v>
      </c>
      <c r="C13" s="49">
        <v>295</v>
      </c>
      <c r="D13" s="49">
        <v>1648</v>
      </c>
      <c r="E13" s="49">
        <v>1489</v>
      </c>
      <c r="F13" s="49">
        <v>1197</v>
      </c>
      <c r="G13" s="49">
        <v>856</v>
      </c>
      <c r="H13" s="49">
        <v>1066</v>
      </c>
      <c r="I13" s="49">
        <v>2835</v>
      </c>
      <c r="J13" s="49">
        <v>1196</v>
      </c>
      <c r="K13" s="49">
        <v>1471</v>
      </c>
      <c r="L13" s="49">
        <v>899</v>
      </c>
      <c r="M13" s="49">
        <v>296</v>
      </c>
      <c r="N13" s="45">
        <f>SUM(B13:M13)</f>
        <v>13874</v>
      </c>
      <c r="O13" s="27">
        <v>2364</v>
      </c>
      <c r="P13" s="27">
        <f>O13/N13</f>
        <v>0.17039065878621884</v>
      </c>
    </row>
    <row r="14" spans="1:16">
      <c r="A14" t="s">
        <v>13</v>
      </c>
      <c r="B14" s="49">
        <v>0</v>
      </c>
      <c r="C14" s="49">
        <v>0</v>
      </c>
      <c r="D14" s="49">
        <v>0</v>
      </c>
      <c r="E14" s="49">
        <v>0</v>
      </c>
      <c r="F14" s="49">
        <v>0</v>
      </c>
      <c r="G14" s="49">
        <v>0</v>
      </c>
      <c r="H14" s="49">
        <v>0</v>
      </c>
      <c r="I14" s="49">
        <v>0</v>
      </c>
      <c r="J14" s="49">
        <v>0</v>
      </c>
      <c r="K14" s="49">
        <v>0</v>
      </c>
      <c r="L14" s="49">
        <v>0</v>
      </c>
      <c r="M14" s="49">
        <v>0</v>
      </c>
      <c r="N14" s="45">
        <f>SUM(B14:M14)</f>
        <v>0</v>
      </c>
    </row>
    <row r="16" spans="1:16">
      <c r="A16" s="1" t="s">
        <v>241</v>
      </c>
      <c r="B16" s="6"/>
      <c r="C16" s="6"/>
      <c r="D16" s="6"/>
      <c r="E16" s="6"/>
      <c r="F16" s="6"/>
      <c r="G16" s="6"/>
      <c r="H16" s="6"/>
      <c r="I16" s="6"/>
      <c r="J16" s="6"/>
      <c r="K16" s="6"/>
      <c r="L16" s="6"/>
      <c r="M16" s="6"/>
      <c r="N16" s="6"/>
    </row>
    <row r="17" spans="1:16">
      <c r="A17" t="s">
        <v>4</v>
      </c>
      <c r="B17" s="55">
        <v>0</v>
      </c>
      <c r="C17" s="55">
        <v>1</v>
      </c>
      <c r="D17" s="55">
        <v>4</v>
      </c>
      <c r="E17" s="55">
        <v>9</v>
      </c>
      <c r="F17" s="55">
        <v>1</v>
      </c>
      <c r="G17" s="55">
        <v>1</v>
      </c>
      <c r="H17" s="55">
        <v>0</v>
      </c>
      <c r="I17" s="55">
        <v>1</v>
      </c>
      <c r="J17" s="55">
        <v>3</v>
      </c>
      <c r="K17" s="55">
        <v>4</v>
      </c>
      <c r="L17" s="55">
        <v>1</v>
      </c>
      <c r="M17" s="56">
        <v>0</v>
      </c>
      <c r="N17" s="45">
        <f>SUM(B17:M17)</f>
        <v>25</v>
      </c>
      <c r="O17" s="27">
        <v>1325</v>
      </c>
      <c r="P17" s="27">
        <f>O17/N17</f>
        <v>53</v>
      </c>
    </row>
    <row r="18" spans="1:16">
      <c r="A18" t="s">
        <v>242</v>
      </c>
      <c r="B18" s="49">
        <v>0</v>
      </c>
      <c r="C18" s="49">
        <v>14</v>
      </c>
      <c r="D18" s="49">
        <v>11</v>
      </c>
      <c r="E18" s="49">
        <v>83</v>
      </c>
      <c r="F18" s="49">
        <v>3</v>
      </c>
      <c r="G18" s="49">
        <v>1</v>
      </c>
      <c r="H18" s="49">
        <v>0</v>
      </c>
      <c r="I18" s="49">
        <v>1</v>
      </c>
      <c r="J18" s="49">
        <v>6</v>
      </c>
      <c r="K18" s="49">
        <v>4</v>
      </c>
      <c r="L18" s="49">
        <v>3</v>
      </c>
      <c r="M18" s="49">
        <v>0</v>
      </c>
      <c r="N18" s="45">
        <f>SUM(B18:M18)</f>
        <v>126</v>
      </c>
      <c r="O18" s="27">
        <v>1325</v>
      </c>
      <c r="P18" s="27">
        <f>O18/N18</f>
        <v>10.515873015873016</v>
      </c>
    </row>
    <row r="19" spans="1:16">
      <c r="A19" t="s">
        <v>13</v>
      </c>
      <c r="B19" s="49">
        <v>0</v>
      </c>
      <c r="C19" s="49">
        <v>0</v>
      </c>
      <c r="D19" s="49">
        <v>0</v>
      </c>
      <c r="E19" s="49">
        <v>0</v>
      </c>
      <c r="F19" s="49">
        <v>0</v>
      </c>
      <c r="G19" s="49">
        <v>0</v>
      </c>
      <c r="H19" s="49">
        <v>0</v>
      </c>
      <c r="I19" s="49">
        <v>0</v>
      </c>
      <c r="J19" s="49">
        <v>0</v>
      </c>
      <c r="K19" s="49">
        <v>0</v>
      </c>
      <c r="L19" s="49">
        <v>0</v>
      </c>
      <c r="M19" s="49">
        <v>0</v>
      </c>
      <c r="N19" s="45">
        <f>SUM(B19:M19)</f>
        <v>0</v>
      </c>
    </row>
    <row r="23" spans="1:16">
      <c r="A23" t="s">
        <v>259</v>
      </c>
      <c r="B23" t="s">
        <v>261</v>
      </c>
    </row>
  </sheetData>
  <phoneticPr fontId="2" type="noConversion"/>
  <pageMargins left="0.75" right="0.75" top="1" bottom="1" header="0.5" footer="0.5"/>
  <pageSetup scale="90" orientation="landscape"/>
  <headerFooter>
    <oddFooter>&amp;L&amp;K000000Oxford&amp;R&amp;K0000002006-07 usage</oddFooter>
  </headerFooter>
  <extLst>
    <ext xmlns:mx="http://schemas.microsoft.com/office/mac/excel/2008/main" uri="{64002731-A6B0-56B0-2670-7721B7C09600}">
      <mx:PLV Mode="0" OnePage="0" WScale="0"/>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52"/>
  <sheetViews>
    <sheetView workbookViewId="0">
      <selection activeCell="D53" sqref="D53"/>
    </sheetView>
  </sheetViews>
  <sheetFormatPr baseColWidth="10" defaultColWidth="8.83203125" defaultRowHeight="12" x14ac:dyDescent="0"/>
  <cols>
    <col min="1" max="1" width="3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6.33203125" bestFit="1" customWidth="1"/>
    <col min="15" max="15" width="9.6640625" bestFit="1" customWidth="1"/>
    <col min="16" max="16" width="8.5" bestFit="1" customWidth="1"/>
  </cols>
  <sheetData>
    <row r="1" spans="1:16" ht="18">
      <c r="A1" s="2" t="s">
        <v>75</v>
      </c>
    </row>
    <row r="2" spans="1:16" ht="17">
      <c r="A2" s="3" t="s">
        <v>187</v>
      </c>
    </row>
    <row r="4" spans="1:16" ht="24">
      <c r="A4" s="119"/>
      <c r="B4" s="110">
        <v>38899</v>
      </c>
      <c r="C4" s="120">
        <v>38930</v>
      </c>
      <c r="D4" s="120">
        <v>38961</v>
      </c>
      <c r="E4" s="120">
        <v>38991</v>
      </c>
      <c r="F4" s="120">
        <v>39022</v>
      </c>
      <c r="G4" s="120">
        <v>39052</v>
      </c>
      <c r="H4" s="120">
        <v>39083</v>
      </c>
      <c r="I4" s="120">
        <v>39114</v>
      </c>
      <c r="J4" s="120">
        <v>39142</v>
      </c>
      <c r="K4" s="120">
        <v>39173</v>
      </c>
      <c r="L4" s="120">
        <v>39203</v>
      </c>
      <c r="M4" s="120">
        <v>39234</v>
      </c>
      <c r="N4" s="111" t="s">
        <v>2</v>
      </c>
      <c r="O4" s="111" t="s">
        <v>189</v>
      </c>
      <c r="P4" s="111" t="s">
        <v>86</v>
      </c>
    </row>
    <row r="5" spans="1:16">
      <c r="A5" s="1" t="s">
        <v>76</v>
      </c>
    </row>
    <row r="6" spans="1:16">
      <c r="A6" t="s">
        <v>5</v>
      </c>
      <c r="B6" s="84">
        <v>1935</v>
      </c>
      <c r="C6" s="84">
        <v>1231</v>
      </c>
      <c r="D6" s="84">
        <v>2407</v>
      </c>
      <c r="E6" s="84">
        <v>5291</v>
      </c>
      <c r="F6" s="84">
        <v>4571</v>
      </c>
      <c r="G6" s="85">
        <v>3165</v>
      </c>
      <c r="H6" s="84">
        <v>1844</v>
      </c>
      <c r="I6" s="84">
        <v>1661</v>
      </c>
      <c r="J6" s="84">
        <v>3415</v>
      </c>
      <c r="K6" s="84">
        <v>4113</v>
      </c>
      <c r="L6" s="84">
        <v>1593</v>
      </c>
      <c r="M6" s="86">
        <v>1128</v>
      </c>
      <c r="N6" s="45">
        <f>SUM(B6:M6)</f>
        <v>32354</v>
      </c>
      <c r="O6" s="27">
        <v>17940</v>
      </c>
      <c r="P6" s="27">
        <f>O6/N6</f>
        <v>0.55449094393274401</v>
      </c>
    </row>
    <row r="7" spans="1:16">
      <c r="B7" s="101"/>
      <c r="C7" s="101"/>
      <c r="D7" s="101"/>
      <c r="E7" s="101"/>
      <c r="F7" s="101"/>
      <c r="G7" s="101"/>
      <c r="H7" s="101"/>
      <c r="I7" s="101"/>
      <c r="J7" s="101"/>
      <c r="K7" s="101"/>
      <c r="L7" s="101"/>
      <c r="M7" s="101"/>
      <c r="N7" s="121"/>
      <c r="O7" s="27"/>
      <c r="P7" s="27"/>
    </row>
    <row r="8" spans="1:16">
      <c r="A8" s="17"/>
      <c r="B8" s="17"/>
      <c r="C8" s="17"/>
      <c r="D8" s="17"/>
      <c r="E8" s="17"/>
      <c r="F8" s="17"/>
      <c r="G8" s="17"/>
      <c r="H8" s="17"/>
      <c r="I8" s="17"/>
      <c r="J8" s="17"/>
      <c r="K8" s="17"/>
      <c r="L8" s="17"/>
      <c r="M8" s="17"/>
      <c r="N8" s="13"/>
      <c r="O8" s="27"/>
      <c r="P8" s="27"/>
    </row>
    <row r="9" spans="1:16" ht="24">
      <c r="A9" s="119"/>
      <c r="B9" s="110">
        <v>38899</v>
      </c>
      <c r="C9" s="120">
        <v>38930</v>
      </c>
      <c r="D9" s="120">
        <v>38961</v>
      </c>
      <c r="E9" s="120">
        <v>38991</v>
      </c>
      <c r="F9" s="120">
        <v>39022</v>
      </c>
      <c r="G9" s="120">
        <v>39052</v>
      </c>
      <c r="H9" s="120">
        <v>39083</v>
      </c>
      <c r="I9" s="120">
        <v>39114</v>
      </c>
      <c r="J9" s="120">
        <v>39142</v>
      </c>
      <c r="K9" s="120">
        <v>39173</v>
      </c>
      <c r="L9" s="120">
        <v>39203</v>
      </c>
      <c r="M9" s="120">
        <v>39234</v>
      </c>
      <c r="N9" s="111" t="s">
        <v>2</v>
      </c>
      <c r="O9" s="111" t="s">
        <v>189</v>
      </c>
      <c r="P9" s="111" t="s">
        <v>86</v>
      </c>
    </row>
    <row r="10" spans="1:16">
      <c r="A10" s="1" t="s">
        <v>77</v>
      </c>
      <c r="B10" s="22"/>
      <c r="C10" s="24"/>
      <c r="D10" s="24"/>
      <c r="E10" s="24"/>
      <c r="F10" s="24"/>
      <c r="G10" s="24"/>
      <c r="H10" s="24"/>
      <c r="I10" s="24"/>
      <c r="J10" s="24"/>
      <c r="K10" s="24"/>
      <c r="L10" s="24"/>
      <c r="M10" s="24"/>
      <c r="N10" s="59"/>
      <c r="O10" s="59"/>
      <c r="P10" s="59"/>
    </row>
    <row r="11" spans="1:16">
      <c r="A11" t="s">
        <v>5</v>
      </c>
      <c r="B11" s="84">
        <v>1059</v>
      </c>
      <c r="C11" s="84">
        <v>617</v>
      </c>
      <c r="D11" s="84">
        <v>1102</v>
      </c>
      <c r="E11" s="84">
        <v>2503</v>
      </c>
      <c r="F11" s="84">
        <v>2245</v>
      </c>
      <c r="G11" s="84">
        <v>1751</v>
      </c>
      <c r="H11" s="84">
        <v>568</v>
      </c>
      <c r="I11" s="84">
        <v>736</v>
      </c>
      <c r="J11" s="84">
        <v>1621</v>
      </c>
      <c r="K11" s="84">
        <v>1729</v>
      </c>
      <c r="L11" s="84">
        <v>729</v>
      </c>
      <c r="M11" s="84">
        <v>514</v>
      </c>
      <c r="N11" s="45">
        <f>SUM(B11:M11)</f>
        <v>15174</v>
      </c>
      <c r="O11" s="27">
        <v>0</v>
      </c>
      <c r="P11" s="28" t="s">
        <v>32</v>
      </c>
    </row>
    <row r="12" spans="1:16">
      <c r="A12" s="17"/>
      <c r="B12" s="13"/>
      <c r="C12" s="13"/>
      <c r="D12" s="13"/>
      <c r="E12" s="13"/>
      <c r="F12" s="13"/>
      <c r="G12" s="13"/>
      <c r="H12" s="13"/>
      <c r="I12" s="13"/>
      <c r="J12" s="13"/>
      <c r="K12" s="13"/>
      <c r="L12" s="13"/>
      <c r="M12" s="13"/>
      <c r="N12" s="13"/>
      <c r="O12" s="27"/>
      <c r="P12" s="27"/>
    </row>
    <row r="13" spans="1:16">
      <c r="A13" s="17"/>
      <c r="B13" s="13"/>
      <c r="C13" s="13"/>
      <c r="D13" s="13"/>
      <c r="E13" s="13"/>
      <c r="F13" s="13"/>
      <c r="G13" s="13"/>
      <c r="H13" s="13"/>
      <c r="I13" s="13"/>
      <c r="J13" s="13"/>
      <c r="K13" s="13"/>
      <c r="L13" s="13"/>
      <c r="M13" s="13"/>
      <c r="N13" s="13"/>
      <c r="O13" s="27"/>
      <c r="P13" s="27"/>
    </row>
    <row r="14" spans="1:16" ht="24">
      <c r="A14" s="119"/>
      <c r="B14" s="110">
        <v>38899</v>
      </c>
      <c r="C14" s="120">
        <v>38930</v>
      </c>
      <c r="D14" s="120">
        <v>38961</v>
      </c>
      <c r="E14" s="120">
        <v>38991</v>
      </c>
      <c r="F14" s="120">
        <v>39022</v>
      </c>
      <c r="G14" s="120">
        <v>39052</v>
      </c>
      <c r="H14" s="120">
        <v>39083</v>
      </c>
      <c r="I14" s="120">
        <v>39114</v>
      </c>
      <c r="J14" s="120">
        <v>39142</v>
      </c>
      <c r="K14" s="120">
        <v>39173</v>
      </c>
      <c r="L14" s="120">
        <v>39203</v>
      </c>
      <c r="M14" s="120">
        <v>39234</v>
      </c>
      <c r="N14" s="111" t="s">
        <v>2</v>
      </c>
      <c r="O14" s="111" t="s">
        <v>189</v>
      </c>
      <c r="P14" s="111" t="s">
        <v>86</v>
      </c>
    </row>
    <row r="15" spans="1:16">
      <c r="A15" s="1" t="s">
        <v>79</v>
      </c>
      <c r="B15" s="22"/>
      <c r="C15" s="24"/>
      <c r="D15" s="24"/>
      <c r="E15" s="24"/>
      <c r="F15" s="24"/>
      <c r="G15" s="24"/>
      <c r="H15" s="24"/>
      <c r="I15" s="24"/>
      <c r="J15" s="24"/>
      <c r="K15" s="24"/>
      <c r="L15" s="24"/>
      <c r="M15" s="24"/>
      <c r="N15" s="59"/>
      <c r="O15" s="59"/>
      <c r="P15" s="59"/>
    </row>
    <row r="16" spans="1:16">
      <c r="A16" t="s">
        <v>5</v>
      </c>
      <c r="B16" s="84">
        <v>999</v>
      </c>
      <c r="C16" s="84">
        <v>578</v>
      </c>
      <c r="D16" s="84">
        <v>874</v>
      </c>
      <c r="E16" s="84">
        <v>2212</v>
      </c>
      <c r="F16" s="84">
        <v>1817</v>
      </c>
      <c r="G16" s="84">
        <v>1690</v>
      </c>
      <c r="H16" s="84">
        <v>633</v>
      </c>
      <c r="I16" s="84">
        <v>961</v>
      </c>
      <c r="J16" s="84">
        <v>1828</v>
      </c>
      <c r="K16" s="84">
        <v>1719</v>
      </c>
      <c r="L16" s="84">
        <v>724</v>
      </c>
      <c r="M16" s="84">
        <v>580</v>
      </c>
      <c r="N16" s="45">
        <f>SUM(B16:M16)</f>
        <v>14615</v>
      </c>
      <c r="O16" s="27">
        <v>5475</v>
      </c>
      <c r="P16" s="27">
        <f>O16/N16</f>
        <v>0.37461512145056447</v>
      </c>
    </row>
    <row r="17" spans="1:16">
      <c r="A17" s="17"/>
      <c r="B17" s="17"/>
      <c r="C17" s="17"/>
      <c r="D17" s="17"/>
      <c r="E17" s="17"/>
      <c r="F17" s="17"/>
      <c r="G17" s="17"/>
      <c r="H17" s="17"/>
      <c r="I17" s="17"/>
      <c r="J17" s="17"/>
      <c r="K17" s="17"/>
      <c r="L17" s="17"/>
      <c r="M17" s="17"/>
      <c r="N17" s="13"/>
      <c r="O17" s="27"/>
      <c r="P17" s="27"/>
    </row>
    <row r="18" spans="1:16">
      <c r="A18" s="17"/>
      <c r="B18" s="17"/>
      <c r="C18" s="17"/>
      <c r="D18" s="17"/>
      <c r="E18" s="17"/>
      <c r="F18" s="17"/>
      <c r="G18" s="17"/>
      <c r="H18" s="17"/>
      <c r="I18" s="17"/>
      <c r="J18" s="17"/>
      <c r="K18" s="17"/>
      <c r="L18" s="17"/>
      <c r="M18" s="17"/>
      <c r="N18" s="13"/>
      <c r="O18" s="27"/>
      <c r="P18" s="27"/>
    </row>
    <row r="19" spans="1:16" ht="24">
      <c r="A19" s="119"/>
      <c r="B19" s="110">
        <v>38899</v>
      </c>
      <c r="C19" s="120">
        <v>38930</v>
      </c>
      <c r="D19" s="120">
        <v>38961</v>
      </c>
      <c r="E19" s="120">
        <v>38991</v>
      </c>
      <c r="F19" s="120">
        <v>39022</v>
      </c>
      <c r="G19" s="120">
        <v>39052</v>
      </c>
      <c r="H19" s="120">
        <v>39083</v>
      </c>
      <c r="I19" s="120">
        <v>39114</v>
      </c>
      <c r="J19" s="120">
        <v>39142</v>
      </c>
      <c r="K19" s="120">
        <v>39173</v>
      </c>
      <c r="L19" s="120">
        <v>39203</v>
      </c>
      <c r="M19" s="120">
        <v>39234</v>
      </c>
      <c r="N19" s="111" t="s">
        <v>2</v>
      </c>
      <c r="O19" s="111" t="s">
        <v>189</v>
      </c>
      <c r="P19" s="111" t="s">
        <v>86</v>
      </c>
    </row>
    <row r="20" spans="1:16">
      <c r="A20" s="1" t="s">
        <v>80</v>
      </c>
      <c r="B20" s="22"/>
      <c r="C20" s="24"/>
      <c r="D20" s="24"/>
      <c r="E20" s="24"/>
      <c r="F20" s="24"/>
      <c r="G20" s="24"/>
      <c r="H20" s="24"/>
      <c r="I20" s="24"/>
      <c r="J20" s="24"/>
      <c r="K20" s="24"/>
      <c r="L20" s="24"/>
      <c r="M20" s="24"/>
      <c r="N20" s="59"/>
      <c r="O20" s="59"/>
      <c r="P20" s="59"/>
    </row>
    <row r="21" spans="1:16">
      <c r="A21" t="s">
        <v>5</v>
      </c>
      <c r="B21" s="84">
        <v>1175</v>
      </c>
      <c r="C21" s="84">
        <v>630</v>
      </c>
      <c r="D21" s="84">
        <v>984</v>
      </c>
      <c r="E21" s="84">
        <v>2361</v>
      </c>
      <c r="F21" s="84">
        <v>2485</v>
      </c>
      <c r="G21" s="84">
        <v>1842</v>
      </c>
      <c r="H21" s="84">
        <v>583</v>
      </c>
      <c r="I21" s="84">
        <v>966</v>
      </c>
      <c r="J21" s="84">
        <v>1822</v>
      </c>
      <c r="K21" s="84">
        <v>2080</v>
      </c>
      <c r="L21" s="84">
        <v>704</v>
      </c>
      <c r="M21" s="84">
        <v>529</v>
      </c>
      <c r="N21" s="45">
        <f>SUM(B21:M21)</f>
        <v>16161</v>
      </c>
      <c r="O21" s="27">
        <v>3071</v>
      </c>
      <c r="P21" s="27">
        <f>O21/N21</f>
        <v>0.19002536971722048</v>
      </c>
    </row>
    <row r="22" spans="1:16">
      <c r="A22" s="17"/>
      <c r="B22" s="17"/>
      <c r="C22" s="17"/>
      <c r="D22" s="17"/>
      <c r="E22" s="17"/>
      <c r="F22" s="17"/>
      <c r="G22" s="17"/>
      <c r="H22" s="17"/>
      <c r="I22" s="17"/>
      <c r="J22" s="17"/>
      <c r="K22" s="17"/>
      <c r="L22" s="17"/>
      <c r="M22" s="17"/>
      <c r="N22" s="13"/>
      <c r="O22" s="27"/>
      <c r="P22" s="27"/>
    </row>
    <row r="23" spans="1:16">
      <c r="A23" s="17"/>
      <c r="B23" s="17"/>
      <c r="C23" s="17"/>
      <c r="D23" s="17"/>
      <c r="E23" s="17"/>
      <c r="F23" s="17"/>
      <c r="G23" s="17"/>
      <c r="H23" s="17"/>
      <c r="I23" s="17"/>
      <c r="J23" s="17"/>
      <c r="K23" s="17"/>
      <c r="L23" s="17"/>
      <c r="M23" s="17"/>
      <c r="N23" s="13"/>
      <c r="O23" s="27"/>
      <c r="P23" s="27"/>
    </row>
    <row r="24" spans="1:16" ht="24">
      <c r="A24" s="119"/>
      <c r="B24" s="110">
        <v>38899</v>
      </c>
      <c r="C24" s="120">
        <v>38930</v>
      </c>
      <c r="D24" s="120">
        <v>38961</v>
      </c>
      <c r="E24" s="120">
        <v>38991</v>
      </c>
      <c r="F24" s="120">
        <v>39022</v>
      </c>
      <c r="G24" s="120">
        <v>39052</v>
      </c>
      <c r="H24" s="120">
        <v>39083</v>
      </c>
      <c r="I24" s="120">
        <v>39114</v>
      </c>
      <c r="J24" s="120">
        <v>39142</v>
      </c>
      <c r="K24" s="120">
        <v>39173</v>
      </c>
      <c r="L24" s="120">
        <v>39203</v>
      </c>
      <c r="M24" s="120">
        <v>39234</v>
      </c>
      <c r="N24" s="111" t="s">
        <v>2</v>
      </c>
      <c r="O24" s="111" t="s">
        <v>189</v>
      </c>
      <c r="P24" s="111" t="s">
        <v>86</v>
      </c>
    </row>
    <row r="25" spans="1:16">
      <c r="A25" s="1" t="s">
        <v>81</v>
      </c>
      <c r="B25" s="22"/>
      <c r="C25" s="24"/>
      <c r="D25" s="24"/>
      <c r="E25" s="24"/>
      <c r="F25" s="24"/>
      <c r="G25" s="24"/>
      <c r="H25" s="24"/>
      <c r="I25" s="24"/>
      <c r="J25" s="24"/>
      <c r="K25" s="24"/>
      <c r="L25" s="24"/>
      <c r="M25" s="24"/>
      <c r="N25" s="59"/>
      <c r="O25" s="59"/>
      <c r="P25" s="59"/>
    </row>
    <row r="26" spans="1:16">
      <c r="A26" t="s">
        <v>5</v>
      </c>
      <c r="B26" s="84">
        <v>980</v>
      </c>
      <c r="C26" s="84">
        <v>602</v>
      </c>
      <c r="D26" s="84">
        <v>907</v>
      </c>
      <c r="E26" s="84">
        <v>2047</v>
      </c>
      <c r="F26" s="84">
        <v>2176</v>
      </c>
      <c r="G26" s="84">
        <v>1654</v>
      </c>
      <c r="H26" s="84">
        <v>535</v>
      </c>
      <c r="I26" s="84">
        <v>964</v>
      </c>
      <c r="J26" s="84">
        <v>1486</v>
      </c>
      <c r="K26" s="84">
        <v>1555</v>
      </c>
      <c r="L26" s="84">
        <v>600</v>
      </c>
      <c r="M26" s="84">
        <v>453</v>
      </c>
      <c r="N26" s="45">
        <f>SUM(B26:M26)</f>
        <v>13959</v>
      </c>
      <c r="O26" s="27">
        <v>0</v>
      </c>
      <c r="P26" s="28" t="s">
        <v>32</v>
      </c>
    </row>
    <row r="27" spans="1:16">
      <c r="B27" s="101"/>
      <c r="C27" s="101"/>
      <c r="D27" s="101"/>
      <c r="E27" s="101"/>
      <c r="F27" s="101"/>
      <c r="G27" s="101"/>
      <c r="H27" s="101"/>
      <c r="I27" s="101"/>
      <c r="J27" s="101"/>
      <c r="K27" s="101"/>
      <c r="L27" s="101"/>
      <c r="M27" s="101"/>
      <c r="N27" s="121"/>
      <c r="O27" s="27"/>
      <c r="P27" s="28"/>
    </row>
    <row r="28" spans="1:16">
      <c r="B28" s="101"/>
      <c r="C28" s="101"/>
      <c r="D28" s="101"/>
      <c r="E28" s="101"/>
      <c r="F28" s="101"/>
      <c r="G28" s="101"/>
      <c r="H28" s="101"/>
      <c r="I28" s="101"/>
      <c r="J28" s="101"/>
      <c r="K28" s="101"/>
      <c r="L28" s="101"/>
      <c r="M28" s="101"/>
      <c r="N28" s="121"/>
      <c r="O28" s="27"/>
      <c r="P28" s="28"/>
    </row>
    <row r="29" spans="1:16" ht="24">
      <c r="A29" s="119"/>
      <c r="B29" s="110">
        <v>38899</v>
      </c>
      <c r="C29" s="120">
        <v>38930</v>
      </c>
      <c r="D29" s="120">
        <v>38961</v>
      </c>
      <c r="E29" s="120">
        <v>38991</v>
      </c>
      <c r="F29" s="120">
        <v>39022</v>
      </c>
      <c r="G29" s="120">
        <v>39052</v>
      </c>
      <c r="H29" s="120">
        <v>39083</v>
      </c>
      <c r="I29" s="120">
        <v>39114</v>
      </c>
      <c r="J29" s="120">
        <v>39142</v>
      </c>
      <c r="K29" s="120">
        <v>39173</v>
      </c>
      <c r="L29" s="120">
        <v>39203</v>
      </c>
      <c r="M29" s="120">
        <v>39234</v>
      </c>
      <c r="N29" s="111" t="s">
        <v>2</v>
      </c>
      <c r="O29" s="111" t="s">
        <v>189</v>
      </c>
      <c r="P29" s="111" t="s">
        <v>86</v>
      </c>
    </row>
    <row r="30" spans="1:16">
      <c r="A30" s="1" t="s">
        <v>82</v>
      </c>
      <c r="B30" s="22"/>
      <c r="C30" s="24"/>
      <c r="D30" s="24"/>
      <c r="E30" s="24"/>
      <c r="F30" s="24"/>
      <c r="G30" s="24"/>
      <c r="H30" s="24"/>
      <c r="I30" s="24"/>
      <c r="J30" s="24"/>
      <c r="K30" s="24"/>
      <c r="L30" s="24"/>
      <c r="M30" s="24"/>
      <c r="N30" s="59"/>
      <c r="O30" s="59"/>
      <c r="P30" s="59"/>
    </row>
    <row r="31" spans="1:16">
      <c r="A31" t="s">
        <v>5</v>
      </c>
      <c r="B31" s="84">
        <v>1294</v>
      </c>
      <c r="C31" s="84">
        <v>653</v>
      </c>
      <c r="D31" s="84">
        <v>1027</v>
      </c>
      <c r="E31" s="84">
        <v>2253</v>
      </c>
      <c r="F31" s="84">
        <v>2446</v>
      </c>
      <c r="G31" s="84">
        <v>1878</v>
      </c>
      <c r="H31" s="84">
        <v>643</v>
      </c>
      <c r="I31" s="84">
        <v>832</v>
      </c>
      <c r="J31" s="84">
        <v>1671</v>
      </c>
      <c r="K31" s="84">
        <v>1774</v>
      </c>
      <c r="L31" s="84">
        <v>713</v>
      </c>
      <c r="M31" s="84">
        <v>580</v>
      </c>
      <c r="N31" s="45">
        <f>SUM(B31:M31)</f>
        <v>15764</v>
      </c>
      <c r="O31" s="27">
        <v>1820</v>
      </c>
      <c r="P31" s="27">
        <f>O31/N31</f>
        <v>0.11545293072824156</v>
      </c>
    </row>
    <row r="32" spans="1:16">
      <c r="B32" s="101"/>
      <c r="C32" s="101"/>
      <c r="D32" s="101"/>
      <c r="E32" s="101"/>
      <c r="F32" s="101"/>
      <c r="G32" s="101"/>
      <c r="H32" s="101"/>
      <c r="I32" s="101"/>
      <c r="J32" s="101"/>
      <c r="K32" s="101"/>
      <c r="L32" s="101"/>
      <c r="M32" s="101"/>
      <c r="N32" s="121"/>
      <c r="O32" s="27"/>
      <c r="P32" s="27"/>
    </row>
    <row r="33" spans="1:16">
      <c r="B33" s="101"/>
      <c r="C33" s="101"/>
      <c r="D33" s="101"/>
      <c r="E33" s="101"/>
      <c r="F33" s="101"/>
      <c r="G33" s="101"/>
      <c r="H33" s="101"/>
      <c r="I33" s="101"/>
      <c r="J33" s="101"/>
      <c r="K33" s="101"/>
      <c r="L33" s="101"/>
      <c r="M33" s="101"/>
      <c r="N33" s="121"/>
      <c r="O33" s="27"/>
      <c r="P33" s="27"/>
    </row>
    <row r="34" spans="1:16" ht="24">
      <c r="A34" s="119"/>
      <c r="B34" s="110">
        <v>38899</v>
      </c>
      <c r="C34" s="120">
        <v>38930</v>
      </c>
      <c r="D34" s="120">
        <v>38961</v>
      </c>
      <c r="E34" s="120">
        <v>38991</v>
      </c>
      <c r="F34" s="120">
        <v>39022</v>
      </c>
      <c r="G34" s="120">
        <v>39052</v>
      </c>
      <c r="H34" s="120">
        <v>39083</v>
      </c>
      <c r="I34" s="120">
        <v>39114</v>
      </c>
      <c r="J34" s="120">
        <v>39142</v>
      </c>
      <c r="K34" s="120">
        <v>39173</v>
      </c>
      <c r="L34" s="120">
        <v>39203</v>
      </c>
      <c r="M34" s="120">
        <v>39234</v>
      </c>
      <c r="N34" s="111" t="s">
        <v>2</v>
      </c>
      <c r="O34" s="111" t="s">
        <v>189</v>
      </c>
      <c r="P34" s="111" t="s">
        <v>86</v>
      </c>
    </row>
    <row r="35" spans="1:16">
      <c r="A35" s="1" t="s">
        <v>83</v>
      </c>
      <c r="B35" s="22"/>
      <c r="C35" s="24"/>
      <c r="D35" s="24"/>
      <c r="E35" s="24"/>
      <c r="F35" s="24"/>
      <c r="G35" s="24"/>
      <c r="H35" s="24"/>
      <c r="I35" s="24"/>
      <c r="J35" s="24"/>
      <c r="K35" s="24"/>
      <c r="L35" s="24"/>
      <c r="M35" s="24"/>
      <c r="N35" s="59"/>
      <c r="O35" s="59"/>
      <c r="P35" s="59"/>
    </row>
    <row r="36" spans="1:16">
      <c r="A36" t="s">
        <v>5</v>
      </c>
      <c r="B36" s="84">
        <v>1020</v>
      </c>
      <c r="C36" s="84">
        <v>602</v>
      </c>
      <c r="D36" s="84">
        <v>925</v>
      </c>
      <c r="E36" s="84">
        <v>2050</v>
      </c>
      <c r="F36" s="84">
        <v>2185</v>
      </c>
      <c r="G36" s="84">
        <v>1665</v>
      </c>
      <c r="H36" s="84">
        <v>535</v>
      </c>
      <c r="I36" s="84">
        <v>694</v>
      </c>
      <c r="J36" s="84">
        <v>1491</v>
      </c>
      <c r="K36" s="84">
        <v>1564</v>
      </c>
      <c r="L36" s="84">
        <v>600</v>
      </c>
      <c r="M36" s="84">
        <v>459</v>
      </c>
      <c r="N36" s="45">
        <f>SUM(B36:M36)</f>
        <v>13790</v>
      </c>
      <c r="O36" s="27">
        <v>0</v>
      </c>
      <c r="P36" s="28" t="s">
        <v>32</v>
      </c>
    </row>
    <row r="37" spans="1:16">
      <c r="B37" s="101"/>
      <c r="C37" s="101"/>
      <c r="D37" s="101"/>
      <c r="E37" s="101"/>
      <c r="F37" s="101"/>
      <c r="G37" s="101"/>
      <c r="H37" s="101"/>
      <c r="I37" s="101"/>
      <c r="J37" s="101"/>
      <c r="K37" s="101"/>
      <c r="L37" s="101"/>
      <c r="M37" s="101"/>
      <c r="N37" s="121"/>
      <c r="O37" s="27"/>
      <c r="P37" s="28"/>
    </row>
    <row r="38" spans="1:16">
      <c r="B38" s="101"/>
      <c r="C38" s="101"/>
      <c r="D38" s="101"/>
      <c r="E38" s="101"/>
      <c r="F38" s="101"/>
      <c r="G38" s="101"/>
      <c r="H38" s="101"/>
      <c r="I38" s="101"/>
      <c r="J38" s="101"/>
      <c r="K38" s="101"/>
      <c r="L38" s="101"/>
      <c r="M38" s="101"/>
      <c r="N38" s="121"/>
      <c r="O38" s="27"/>
      <c r="P38" s="28"/>
    </row>
    <row r="39" spans="1:16" ht="24">
      <c r="A39" s="119"/>
      <c r="B39" s="110">
        <v>38899</v>
      </c>
      <c r="C39" s="120">
        <v>38930</v>
      </c>
      <c r="D39" s="120">
        <v>38961</v>
      </c>
      <c r="E39" s="120">
        <v>38991</v>
      </c>
      <c r="F39" s="120">
        <v>39022</v>
      </c>
      <c r="G39" s="120">
        <v>39052</v>
      </c>
      <c r="H39" s="120">
        <v>39083</v>
      </c>
      <c r="I39" s="120">
        <v>39114</v>
      </c>
      <c r="J39" s="120">
        <v>39142</v>
      </c>
      <c r="K39" s="120">
        <v>39173</v>
      </c>
      <c r="L39" s="120">
        <v>39203</v>
      </c>
      <c r="M39" s="120">
        <v>39234</v>
      </c>
      <c r="N39" s="111" t="s">
        <v>2</v>
      </c>
      <c r="O39" s="111" t="s">
        <v>189</v>
      </c>
      <c r="P39" s="111" t="s">
        <v>86</v>
      </c>
    </row>
    <row r="40" spans="1:16" ht="24">
      <c r="A40" s="26" t="s">
        <v>84</v>
      </c>
      <c r="B40" s="22"/>
      <c r="C40" s="24"/>
      <c r="D40" s="24"/>
      <c r="E40" s="24"/>
      <c r="F40" s="24"/>
      <c r="G40" s="24"/>
      <c r="H40" s="24"/>
      <c r="I40" s="24"/>
      <c r="J40" s="24"/>
      <c r="K40" s="24"/>
      <c r="L40" s="24"/>
      <c r="M40" s="24"/>
      <c r="N40" s="59"/>
      <c r="O40" s="59"/>
      <c r="P40" s="59"/>
    </row>
    <row r="41" spans="1:16">
      <c r="A41" t="s">
        <v>5</v>
      </c>
      <c r="B41" s="84">
        <v>57</v>
      </c>
      <c r="C41" s="84">
        <v>7</v>
      </c>
      <c r="D41" s="84">
        <v>134</v>
      </c>
      <c r="E41" s="84">
        <v>237</v>
      </c>
      <c r="F41" s="84">
        <v>182</v>
      </c>
      <c r="G41" s="84">
        <v>54</v>
      </c>
      <c r="H41" s="84">
        <v>131</v>
      </c>
      <c r="I41" s="84">
        <v>88</v>
      </c>
      <c r="J41" s="84">
        <v>156</v>
      </c>
      <c r="K41" s="84">
        <v>438</v>
      </c>
      <c r="L41" s="84">
        <v>111</v>
      </c>
      <c r="M41" s="84">
        <v>8</v>
      </c>
      <c r="N41" s="45">
        <f>SUM(B41:M41)</f>
        <v>1603</v>
      </c>
      <c r="O41" s="27">
        <v>0</v>
      </c>
      <c r="P41" s="28" t="s">
        <v>32</v>
      </c>
    </row>
    <row r="42" spans="1:16">
      <c r="A42" s="17"/>
      <c r="B42" s="13"/>
      <c r="C42" s="13"/>
      <c r="D42" s="13"/>
      <c r="E42" s="13"/>
      <c r="F42" s="13"/>
      <c r="G42" s="13"/>
      <c r="H42" s="13"/>
      <c r="I42" s="13"/>
      <c r="J42" s="13"/>
      <c r="K42" s="13"/>
      <c r="L42" s="13"/>
      <c r="M42" s="13"/>
      <c r="N42" s="13"/>
      <c r="O42" s="27"/>
      <c r="P42" s="27"/>
    </row>
    <row r="43" spans="1:16">
      <c r="A43" s="17"/>
      <c r="B43" s="13"/>
      <c r="C43" s="13"/>
      <c r="D43" s="13"/>
      <c r="E43" s="13"/>
      <c r="F43" s="13"/>
      <c r="G43" s="13"/>
      <c r="H43" s="13"/>
      <c r="I43" s="13"/>
      <c r="J43" s="13"/>
      <c r="K43" s="13"/>
      <c r="L43" s="13"/>
      <c r="M43" s="13"/>
      <c r="N43" s="13"/>
      <c r="O43" s="27"/>
      <c r="P43" s="27"/>
    </row>
    <row r="44" spans="1:16">
      <c r="A44" s="17"/>
      <c r="B44" s="13"/>
      <c r="C44" s="13"/>
      <c r="D44" s="13"/>
      <c r="E44" s="13"/>
      <c r="F44" s="13"/>
      <c r="G44" s="13"/>
      <c r="H44" s="13"/>
      <c r="I44" s="13"/>
      <c r="J44" s="13"/>
      <c r="K44" s="13"/>
      <c r="L44" s="13"/>
      <c r="M44" s="13"/>
      <c r="N44" s="13"/>
      <c r="O44" s="27"/>
      <c r="P44" s="27"/>
    </row>
    <row r="45" spans="1:16" ht="24">
      <c r="A45" s="119"/>
      <c r="B45" s="110">
        <v>38899</v>
      </c>
      <c r="C45" s="120">
        <v>38930</v>
      </c>
      <c r="D45" s="120">
        <v>38961</v>
      </c>
      <c r="E45" s="120">
        <v>38991</v>
      </c>
      <c r="F45" s="120">
        <v>39022</v>
      </c>
      <c r="G45" s="120">
        <v>39052</v>
      </c>
      <c r="H45" s="120">
        <v>39083</v>
      </c>
      <c r="I45" s="120">
        <v>39114</v>
      </c>
      <c r="J45" s="120">
        <v>39142</v>
      </c>
      <c r="K45" s="120">
        <v>39173</v>
      </c>
      <c r="L45" s="120">
        <v>39203</v>
      </c>
      <c r="M45" s="120">
        <v>39234</v>
      </c>
      <c r="N45" s="111" t="s">
        <v>2</v>
      </c>
      <c r="O45" s="111" t="s">
        <v>189</v>
      </c>
      <c r="P45" s="111" t="s">
        <v>186</v>
      </c>
    </row>
    <row r="46" spans="1:16">
      <c r="A46" s="1" t="s">
        <v>78</v>
      </c>
      <c r="B46" s="22"/>
      <c r="C46" s="24"/>
      <c r="D46" s="24"/>
      <c r="E46" s="24"/>
      <c r="F46" s="24"/>
      <c r="G46" s="24"/>
      <c r="H46" s="24"/>
      <c r="I46" s="24"/>
      <c r="J46" s="24"/>
      <c r="K46" s="24"/>
      <c r="L46" s="24"/>
      <c r="M46" s="24"/>
      <c r="N46" s="59"/>
      <c r="O46" s="59"/>
      <c r="P46" s="59"/>
    </row>
    <row r="47" spans="1:16">
      <c r="A47" t="s">
        <v>4</v>
      </c>
      <c r="B47" s="84">
        <v>854</v>
      </c>
      <c r="C47" s="84">
        <v>443</v>
      </c>
      <c r="D47" s="84">
        <v>1180</v>
      </c>
      <c r="E47" s="84">
        <v>2570</v>
      </c>
      <c r="F47" s="84">
        <v>2565</v>
      </c>
      <c r="G47" s="84">
        <v>1687</v>
      </c>
      <c r="H47" s="84">
        <v>818</v>
      </c>
      <c r="I47" s="84">
        <v>1927</v>
      </c>
      <c r="J47" s="84">
        <v>2371</v>
      </c>
      <c r="K47" s="84">
        <v>2708</v>
      </c>
      <c r="L47" s="84">
        <v>976</v>
      </c>
      <c r="M47" s="84">
        <v>738</v>
      </c>
      <c r="N47" s="45">
        <f>SUM(B47:M47)</f>
        <v>18837</v>
      </c>
      <c r="P47" s="27"/>
    </row>
    <row r="48" spans="1:16">
      <c r="A48" t="s">
        <v>5</v>
      </c>
      <c r="B48" s="84">
        <v>2654</v>
      </c>
      <c r="C48" s="84">
        <v>1324</v>
      </c>
      <c r="D48" s="84">
        <v>3165</v>
      </c>
      <c r="E48" s="84">
        <v>6851</v>
      </c>
      <c r="F48" s="84">
        <v>6454</v>
      </c>
      <c r="G48" s="84">
        <v>4064</v>
      </c>
      <c r="H48" s="84">
        <v>2147</v>
      </c>
      <c r="I48" s="84">
        <v>4829</v>
      </c>
      <c r="J48" s="84">
        <v>5210</v>
      </c>
      <c r="K48" s="84">
        <v>5980</v>
      </c>
      <c r="L48" s="84">
        <v>2211</v>
      </c>
      <c r="M48" s="84">
        <v>1535</v>
      </c>
      <c r="N48" s="45">
        <f>SUM(B48:M48)</f>
        <v>46424</v>
      </c>
      <c r="O48" s="27">
        <f>SUM(O6:O41)</f>
        <v>28306</v>
      </c>
      <c r="P48" s="27">
        <f>O48/N48</f>
        <v>0.60972772703773914</v>
      </c>
    </row>
    <row r="49" spans="1:16">
      <c r="A49" t="s">
        <v>119</v>
      </c>
      <c r="B49" s="84">
        <v>2616</v>
      </c>
      <c r="C49" s="84">
        <v>1333</v>
      </c>
      <c r="D49" s="84">
        <v>2874</v>
      </c>
      <c r="E49" s="84">
        <v>5529</v>
      </c>
      <c r="F49" s="84">
        <v>5387</v>
      </c>
      <c r="G49" s="84">
        <v>3436</v>
      </c>
      <c r="H49" s="84">
        <v>2223</v>
      </c>
      <c r="I49" s="84">
        <v>3980</v>
      </c>
      <c r="J49" s="84">
        <v>4472</v>
      </c>
      <c r="K49" s="84">
        <v>6309</v>
      </c>
      <c r="L49" s="84">
        <v>2135</v>
      </c>
      <c r="M49" s="84">
        <v>1583</v>
      </c>
      <c r="N49" s="45">
        <f>SUM(B49:M49)</f>
        <v>41877</v>
      </c>
      <c r="O49" s="28">
        <f>O48</f>
        <v>28306</v>
      </c>
      <c r="P49" s="27">
        <f>O49/N49</f>
        <v>0.67593189579005186</v>
      </c>
    </row>
    <row r="52" spans="1:16">
      <c r="A52" t="s">
        <v>259</v>
      </c>
      <c r="B52" t="s">
        <v>260</v>
      </c>
    </row>
  </sheetData>
  <phoneticPr fontId="2" type="noConversion"/>
  <pageMargins left="0.75" right="0.75" top="1" bottom="1" header="0.5" footer="0.5"/>
  <pageSetup scale="83" fitToHeight="5" orientation="landscape"/>
  <headerFooter>
    <oddFooter>&amp;L&amp;K000000ProQuest &amp;R&amp;K0000002006-07 usage</oddFooter>
  </headerFooter>
  <extLst>
    <ext xmlns:mx="http://schemas.microsoft.com/office/mac/excel/2008/main" uri="{64002731-A6B0-56B0-2670-7721B7C09600}">
      <mx:PLV Mode="0" OnePage="0" WScale="0"/>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2"/>
  <sheetViews>
    <sheetView workbookViewId="0"/>
  </sheetViews>
  <sheetFormatPr baseColWidth="10" defaultColWidth="8.83203125" defaultRowHeight="12" x14ac:dyDescent="0"/>
  <cols>
    <col min="1" max="1" width="20"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13.83203125" bestFit="1" customWidth="1"/>
    <col min="16" max="16" width="8.33203125" bestFit="1" customWidth="1"/>
  </cols>
  <sheetData>
    <row r="1" spans="1:16" ht="18">
      <c r="A1" s="2" t="s">
        <v>21</v>
      </c>
    </row>
    <row r="2" spans="1:16" ht="17">
      <c r="A2" s="3" t="s">
        <v>187</v>
      </c>
    </row>
    <row r="5" spans="1:16"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86</v>
      </c>
    </row>
    <row r="6" spans="1:16">
      <c r="A6" t="s">
        <v>4</v>
      </c>
      <c r="B6" s="77">
        <v>72</v>
      </c>
      <c r="C6" s="77">
        <v>55</v>
      </c>
      <c r="D6" s="77">
        <v>188</v>
      </c>
      <c r="E6" s="77">
        <v>176</v>
      </c>
      <c r="F6" s="77">
        <v>225</v>
      </c>
      <c r="G6" s="77">
        <v>95</v>
      </c>
      <c r="H6" s="77">
        <v>217</v>
      </c>
      <c r="I6" s="77">
        <v>209</v>
      </c>
      <c r="J6" s="77">
        <v>121</v>
      </c>
      <c r="K6" s="77">
        <v>112</v>
      </c>
      <c r="L6" s="77">
        <v>58</v>
      </c>
      <c r="M6" s="77">
        <v>80</v>
      </c>
      <c r="N6" s="45">
        <f>SUM(B6:M6)</f>
        <v>1608</v>
      </c>
      <c r="O6" s="27"/>
      <c r="P6" s="27"/>
    </row>
    <row r="7" spans="1:16">
      <c r="A7" t="s">
        <v>5</v>
      </c>
      <c r="B7" s="77">
        <v>361</v>
      </c>
      <c r="C7" s="77">
        <v>85</v>
      </c>
      <c r="D7" s="77">
        <v>361</v>
      </c>
      <c r="E7" s="77">
        <v>289</v>
      </c>
      <c r="F7" s="77">
        <v>692</v>
      </c>
      <c r="G7" s="77">
        <v>383</v>
      </c>
      <c r="H7" s="77">
        <v>673</v>
      </c>
      <c r="I7" s="77">
        <v>417</v>
      </c>
      <c r="J7" s="77">
        <v>157</v>
      </c>
      <c r="K7" s="77">
        <v>196</v>
      </c>
      <c r="L7" s="77">
        <v>180</v>
      </c>
      <c r="M7" s="77">
        <v>335</v>
      </c>
      <c r="N7" s="45">
        <f>SUM(B7:M7)</f>
        <v>4129</v>
      </c>
      <c r="O7" s="27">
        <v>6120</v>
      </c>
      <c r="P7" s="27">
        <f>O7/N7</f>
        <v>1.4821990796803099</v>
      </c>
    </row>
    <row r="8" spans="1:16">
      <c r="A8" t="s">
        <v>22</v>
      </c>
      <c r="B8" s="36">
        <v>21</v>
      </c>
      <c r="C8" s="36">
        <v>22</v>
      </c>
      <c r="D8" s="36">
        <v>45</v>
      </c>
      <c r="E8" s="36">
        <v>87</v>
      </c>
      <c r="F8" s="36">
        <v>269</v>
      </c>
      <c r="G8" s="36">
        <v>117</v>
      </c>
      <c r="H8" s="36">
        <v>59</v>
      </c>
      <c r="I8" s="36">
        <v>65</v>
      </c>
      <c r="J8" s="36">
        <v>15</v>
      </c>
      <c r="K8" s="36">
        <v>19</v>
      </c>
      <c r="L8" s="36">
        <v>11</v>
      </c>
      <c r="M8" s="36">
        <v>44</v>
      </c>
      <c r="N8" s="45">
        <f>SUM(B8:M8)</f>
        <v>774</v>
      </c>
      <c r="O8" s="27"/>
      <c r="P8" s="27"/>
    </row>
    <row r="9" spans="1:16">
      <c r="A9" t="s">
        <v>23</v>
      </c>
      <c r="B9" s="78">
        <v>340</v>
      </c>
      <c r="C9" s="78">
        <v>63</v>
      </c>
      <c r="D9" s="78">
        <f>312+4</f>
        <v>316</v>
      </c>
      <c r="E9" s="78">
        <v>202</v>
      </c>
      <c r="F9" s="78">
        <v>423</v>
      </c>
      <c r="G9" s="79">
        <v>266</v>
      </c>
      <c r="H9" s="78">
        <v>614</v>
      </c>
      <c r="I9" s="78">
        <v>352</v>
      </c>
      <c r="J9" s="78">
        <v>142</v>
      </c>
      <c r="K9" s="78">
        <v>177</v>
      </c>
      <c r="L9" s="78">
        <v>169</v>
      </c>
      <c r="M9" s="79">
        <v>291</v>
      </c>
      <c r="N9" s="45">
        <f>SUM(B9:M9)</f>
        <v>3355</v>
      </c>
      <c r="O9" s="27"/>
      <c r="P9" s="27"/>
    </row>
    <row r="11" spans="1:16">
      <c r="A11" s="142"/>
    </row>
    <row r="12" spans="1:16">
      <c r="A12" t="s">
        <v>259</v>
      </c>
      <c r="B12" t="s">
        <v>261</v>
      </c>
    </row>
  </sheetData>
  <phoneticPr fontId="2" type="noConversion"/>
  <pageMargins left="0.75" right="0.75" top="1" bottom="1" header="0.5" footer="0.5"/>
  <pageSetup scale="89" orientation="landscape"/>
  <headerFooter>
    <oddFooter>&amp;L&amp;K000000ReferenceUSA&amp;R&amp;K0000002006-07 usage</oddFooter>
  </headerFooter>
  <extLst>
    <ext xmlns:mx="http://schemas.microsoft.com/office/mac/excel/2008/main" uri="{64002731-A6B0-56B0-2670-7721B7C09600}">
      <mx:PLV Mode="0" OnePage="0" WScale="0"/>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Q16"/>
  <sheetViews>
    <sheetView workbookViewId="0"/>
  </sheetViews>
  <sheetFormatPr baseColWidth="10" defaultColWidth="8.83203125" defaultRowHeight="12" x14ac:dyDescent="0"/>
  <cols>
    <col min="1" max="1" width="29.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6.33203125" bestFit="1" customWidth="1"/>
    <col min="15" max="15" width="10.1640625" bestFit="1" customWidth="1"/>
    <col min="16" max="16" width="8.33203125" bestFit="1" customWidth="1"/>
    <col min="17" max="17" width="16.33203125" bestFit="1" customWidth="1"/>
  </cols>
  <sheetData>
    <row r="1" spans="1:17" ht="18">
      <c r="A1" s="2" t="s">
        <v>117</v>
      </c>
    </row>
    <row r="2" spans="1:17" ht="17">
      <c r="A2" s="3" t="s">
        <v>187</v>
      </c>
    </row>
    <row r="3" spans="1:17" ht="12.75" customHeight="1">
      <c r="A3" s="3"/>
    </row>
    <row r="5" spans="1:17" ht="24">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186</v>
      </c>
    </row>
    <row r="6" spans="1:17">
      <c r="A6" t="s">
        <v>107</v>
      </c>
      <c r="B6" s="44">
        <v>3</v>
      </c>
      <c r="C6" s="44">
        <v>7</v>
      </c>
      <c r="D6" s="44">
        <v>21</v>
      </c>
      <c r="E6" s="43">
        <v>16</v>
      </c>
      <c r="F6" s="43">
        <v>16</v>
      </c>
      <c r="G6" s="43">
        <v>7</v>
      </c>
      <c r="H6" s="43">
        <v>3</v>
      </c>
      <c r="I6" s="43">
        <v>98</v>
      </c>
      <c r="J6" s="43">
        <v>9</v>
      </c>
      <c r="K6" s="43">
        <v>21</v>
      </c>
      <c r="L6" s="43">
        <v>5</v>
      </c>
      <c r="M6" s="43">
        <v>6</v>
      </c>
      <c r="N6" s="45">
        <f t="shared" ref="N6:N12" si="0">SUM(B6:M6)</f>
        <v>212</v>
      </c>
      <c r="O6" s="115">
        <v>11025</v>
      </c>
      <c r="P6" s="116">
        <f t="shared" ref="P6:P12" si="1">O6/N6</f>
        <v>52.004716981132077</v>
      </c>
    </row>
    <row r="7" spans="1:17">
      <c r="A7" t="s">
        <v>108</v>
      </c>
      <c r="B7" s="44">
        <v>12</v>
      </c>
      <c r="C7" s="44">
        <v>4</v>
      </c>
      <c r="D7" s="44">
        <v>14</v>
      </c>
      <c r="E7" s="47">
        <v>25</v>
      </c>
      <c r="F7" s="47">
        <v>37</v>
      </c>
      <c r="G7" s="47">
        <v>27</v>
      </c>
      <c r="H7" s="47">
        <v>18</v>
      </c>
      <c r="I7" s="47">
        <v>33</v>
      </c>
      <c r="J7" s="47">
        <v>77</v>
      </c>
      <c r="K7" s="47">
        <v>69</v>
      </c>
      <c r="L7" s="47">
        <v>49</v>
      </c>
      <c r="M7" s="47">
        <v>16</v>
      </c>
      <c r="N7" s="45">
        <f t="shared" si="0"/>
        <v>381</v>
      </c>
      <c r="O7" s="46">
        <v>11025</v>
      </c>
      <c r="P7" s="37">
        <f t="shared" si="1"/>
        <v>28.937007874015748</v>
      </c>
    </row>
    <row r="8" spans="1:17">
      <c r="A8" s="1" t="s">
        <v>109</v>
      </c>
      <c r="B8" s="44">
        <v>15</v>
      </c>
      <c r="C8" s="44">
        <v>11</v>
      </c>
      <c r="D8" s="44">
        <v>35</v>
      </c>
      <c r="E8" s="49">
        <v>41</v>
      </c>
      <c r="F8" s="49">
        <v>53</v>
      </c>
      <c r="G8" s="49">
        <v>34</v>
      </c>
      <c r="H8" s="49">
        <v>21</v>
      </c>
      <c r="I8" s="49">
        <v>131</v>
      </c>
      <c r="J8" s="49">
        <v>86</v>
      </c>
      <c r="K8" s="49">
        <v>90</v>
      </c>
      <c r="L8" s="49">
        <v>54</v>
      </c>
      <c r="M8" s="49">
        <v>22</v>
      </c>
      <c r="N8" s="50">
        <f t="shared" si="0"/>
        <v>593</v>
      </c>
      <c r="O8" s="46">
        <v>11025</v>
      </c>
      <c r="P8" s="51">
        <f t="shared" si="1"/>
        <v>18.591905564924115</v>
      </c>
      <c r="Q8" t="s">
        <v>110</v>
      </c>
    </row>
    <row r="9" spans="1:17">
      <c r="A9" s="1" t="s">
        <v>111</v>
      </c>
      <c r="B9" s="44">
        <v>79</v>
      </c>
      <c r="C9" s="44">
        <v>25</v>
      </c>
      <c r="D9" s="44">
        <v>87</v>
      </c>
      <c r="E9" s="49">
        <v>161</v>
      </c>
      <c r="F9" s="49">
        <v>236</v>
      </c>
      <c r="G9" s="49">
        <v>187</v>
      </c>
      <c r="H9" s="49">
        <v>98</v>
      </c>
      <c r="I9" s="49">
        <v>351</v>
      </c>
      <c r="J9" s="49">
        <v>484</v>
      </c>
      <c r="K9" s="49">
        <v>589</v>
      </c>
      <c r="L9" s="49">
        <v>192</v>
      </c>
      <c r="M9" s="49">
        <v>128</v>
      </c>
      <c r="N9" s="50">
        <f t="shared" si="0"/>
        <v>2617</v>
      </c>
      <c r="O9" s="46">
        <v>11025</v>
      </c>
      <c r="P9" s="51">
        <f t="shared" si="1"/>
        <v>4.2128391287734051</v>
      </c>
      <c r="Q9" t="s">
        <v>112</v>
      </c>
    </row>
    <row r="10" spans="1:17">
      <c r="A10" t="s">
        <v>113</v>
      </c>
      <c r="B10" s="100">
        <v>5.27</v>
      </c>
      <c r="C10" s="100">
        <v>2.27</v>
      </c>
      <c r="D10" s="100">
        <v>2.4900000000000002</v>
      </c>
      <c r="E10" s="52">
        <v>3.93</v>
      </c>
      <c r="F10" s="52">
        <v>4.45</v>
      </c>
      <c r="G10" s="52">
        <v>5.5</v>
      </c>
      <c r="H10" s="52">
        <v>4.67</v>
      </c>
      <c r="I10" s="52">
        <v>2.68</v>
      </c>
      <c r="J10" s="52">
        <v>5.63</v>
      </c>
      <c r="K10" s="52">
        <v>6.54</v>
      </c>
      <c r="L10" s="52">
        <v>3.56</v>
      </c>
      <c r="M10" s="52">
        <v>5.82</v>
      </c>
      <c r="N10" s="53">
        <f t="shared" si="0"/>
        <v>52.81</v>
      </c>
      <c r="O10" s="46">
        <v>11025</v>
      </c>
      <c r="P10" s="37">
        <f t="shared" si="1"/>
        <v>208.76727892444612</v>
      </c>
    </row>
    <row r="11" spans="1:17">
      <c r="A11" s="1" t="s">
        <v>114</v>
      </c>
      <c r="B11" s="44">
        <v>728</v>
      </c>
      <c r="C11" s="44">
        <v>136</v>
      </c>
      <c r="D11" s="44">
        <v>144</v>
      </c>
      <c r="E11" s="36">
        <v>740</v>
      </c>
      <c r="F11" s="36">
        <v>3492</v>
      </c>
      <c r="G11" s="36">
        <v>592</v>
      </c>
      <c r="H11" s="36">
        <v>174</v>
      </c>
      <c r="I11" s="36">
        <v>617</v>
      </c>
      <c r="J11" s="36">
        <v>1202</v>
      </c>
      <c r="K11" s="36">
        <v>1186</v>
      </c>
      <c r="L11" s="36">
        <v>581</v>
      </c>
      <c r="M11" s="36">
        <v>464</v>
      </c>
      <c r="N11" s="50">
        <f t="shared" si="0"/>
        <v>10056</v>
      </c>
      <c r="O11" s="46">
        <v>11025</v>
      </c>
      <c r="P11" s="51">
        <f t="shared" si="1"/>
        <v>1.0963603818615753</v>
      </c>
      <c r="Q11" t="s">
        <v>115</v>
      </c>
    </row>
    <row r="12" spans="1:17">
      <c r="A12" t="s">
        <v>116</v>
      </c>
      <c r="B12" s="100">
        <v>48.53</v>
      </c>
      <c r="C12" s="100">
        <v>12.36</v>
      </c>
      <c r="D12" s="100">
        <v>4.1100000000000003</v>
      </c>
      <c r="E12" s="52">
        <v>18.05</v>
      </c>
      <c r="F12" s="52">
        <v>65.89</v>
      </c>
      <c r="G12" s="52">
        <v>17.41</v>
      </c>
      <c r="H12" s="52">
        <v>8.2899999999999991</v>
      </c>
      <c r="I12" s="52">
        <v>4.71</v>
      </c>
      <c r="J12" s="52">
        <v>13.98</v>
      </c>
      <c r="K12" s="52">
        <v>13.18</v>
      </c>
      <c r="L12" s="52">
        <v>10.76</v>
      </c>
      <c r="M12" s="52">
        <v>21.09</v>
      </c>
      <c r="N12" s="53">
        <f t="shared" si="0"/>
        <v>238.35999999999999</v>
      </c>
      <c r="O12" s="46">
        <v>11025</v>
      </c>
      <c r="P12" s="37">
        <f t="shared" si="1"/>
        <v>46.253566034569559</v>
      </c>
    </row>
    <row r="14" spans="1:17" ht="13">
      <c r="A14" s="54"/>
    </row>
    <row r="16" spans="1:17">
      <c r="A16" t="s">
        <v>259</v>
      </c>
      <c r="B16" t="s">
        <v>261</v>
      </c>
    </row>
  </sheetData>
  <phoneticPr fontId="2" type="noConversion"/>
  <pageMargins left="0.75" right="0.75" top="1" bottom="1" header="0.5" footer="0.5"/>
  <pageSetup scale="75" fitToHeight="5" orientation="landscape"/>
  <headerFooter>
    <oddFooter>&amp;L&amp;K000000RefWorks&amp;R&amp;K0000002006-07 usage</oddFooter>
  </headerFooter>
  <drawing r:id="rId1"/>
  <extLst>
    <ext xmlns:mx="http://schemas.microsoft.com/office/mac/excel/2008/main" uri="{64002731-A6B0-56B0-2670-7721B7C09600}">
      <mx:PLV Mode="0" OnePage="0" WScale="0"/>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2"/>
  <sheetViews>
    <sheetView workbookViewId="0"/>
  </sheetViews>
  <sheetFormatPr baseColWidth="10" defaultColWidth="8.83203125" defaultRowHeight="12" x14ac:dyDescent="0"/>
  <cols>
    <col min="1" max="1" width="24.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9.6640625" bestFit="1" customWidth="1"/>
    <col min="16" max="16" width="8.33203125" bestFit="1" customWidth="1"/>
  </cols>
  <sheetData>
    <row r="1" spans="1:16" ht="18">
      <c r="A1" s="2" t="s">
        <v>27</v>
      </c>
    </row>
    <row r="2" spans="1:16" ht="17">
      <c r="A2" s="3" t="s">
        <v>187</v>
      </c>
    </row>
    <row r="5" spans="1:16" ht="33" customHeight="1">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86</v>
      </c>
    </row>
    <row r="6" spans="1:16">
      <c r="A6" t="s">
        <v>4</v>
      </c>
      <c r="B6" s="20">
        <v>242</v>
      </c>
      <c r="C6" s="20">
        <v>190</v>
      </c>
      <c r="D6" s="20">
        <v>241</v>
      </c>
      <c r="E6" s="20">
        <v>203</v>
      </c>
      <c r="F6" s="20">
        <v>185</v>
      </c>
      <c r="G6" s="20">
        <v>147</v>
      </c>
      <c r="H6" s="77">
        <v>186</v>
      </c>
      <c r="I6" s="77">
        <v>203</v>
      </c>
      <c r="J6" s="77">
        <v>229</v>
      </c>
      <c r="K6" s="77">
        <v>194</v>
      </c>
      <c r="L6" s="77">
        <v>181</v>
      </c>
      <c r="M6" s="77">
        <v>240</v>
      </c>
      <c r="N6" s="45">
        <f>SUM(B6:M6)</f>
        <v>2441</v>
      </c>
      <c r="O6" s="27"/>
      <c r="P6" s="27"/>
    </row>
    <row r="7" spans="1:16">
      <c r="A7" t="s">
        <v>5</v>
      </c>
      <c r="B7" s="20">
        <v>1029</v>
      </c>
      <c r="C7" s="20">
        <v>771</v>
      </c>
      <c r="D7" s="20">
        <v>783</v>
      </c>
      <c r="E7" s="20">
        <v>671</v>
      </c>
      <c r="F7" s="20">
        <v>917</v>
      </c>
      <c r="G7" s="20">
        <v>488</v>
      </c>
      <c r="H7" s="20">
        <v>586</v>
      </c>
      <c r="I7" s="77">
        <v>898</v>
      </c>
      <c r="J7" s="77">
        <v>764</v>
      </c>
      <c r="K7" s="77">
        <v>732</v>
      </c>
      <c r="L7" s="77">
        <v>753</v>
      </c>
      <c r="M7" s="77">
        <v>798</v>
      </c>
      <c r="N7" s="45">
        <f>SUM(B7:M7)</f>
        <v>9190</v>
      </c>
      <c r="O7" s="27">
        <v>29485</v>
      </c>
      <c r="P7" s="27">
        <f>O7/N7</f>
        <v>3.2083786724700762</v>
      </c>
    </row>
    <row r="8" spans="1:16">
      <c r="A8" t="s">
        <v>13</v>
      </c>
      <c r="B8" s="80">
        <v>257</v>
      </c>
      <c r="C8" s="80">
        <v>124</v>
      </c>
      <c r="D8" s="80">
        <v>105</v>
      </c>
      <c r="E8" s="80">
        <v>56</v>
      </c>
      <c r="F8" s="80">
        <v>123</v>
      </c>
      <c r="G8" s="80">
        <v>52</v>
      </c>
      <c r="H8" s="81">
        <v>50</v>
      </c>
      <c r="I8" s="82">
        <v>148</v>
      </c>
      <c r="J8" s="82">
        <v>77</v>
      </c>
      <c r="K8" s="82">
        <v>124</v>
      </c>
      <c r="L8" s="82">
        <v>122</v>
      </c>
      <c r="M8" s="83">
        <v>126</v>
      </c>
      <c r="N8" s="57">
        <f>SUM(B8:M8)</f>
        <v>1364</v>
      </c>
      <c r="O8" s="27"/>
      <c r="P8" s="27"/>
    </row>
    <row r="9" spans="1:16">
      <c r="A9" t="s">
        <v>94</v>
      </c>
      <c r="B9" s="47">
        <v>1</v>
      </c>
      <c r="C9" s="47">
        <v>1</v>
      </c>
      <c r="D9" s="47">
        <v>1</v>
      </c>
      <c r="E9" s="47">
        <v>1</v>
      </c>
      <c r="F9" s="47">
        <v>1</v>
      </c>
      <c r="G9" s="47">
        <v>1</v>
      </c>
      <c r="H9" s="47">
        <v>1</v>
      </c>
      <c r="I9" s="47">
        <v>1</v>
      </c>
      <c r="J9" s="47">
        <v>1</v>
      </c>
      <c r="K9" s="47">
        <v>1</v>
      </c>
      <c r="L9" s="47">
        <v>1</v>
      </c>
      <c r="M9" s="47">
        <v>1</v>
      </c>
      <c r="N9" s="45"/>
    </row>
    <row r="12" spans="1:16">
      <c r="A12" t="s">
        <v>259</v>
      </c>
      <c r="B12" t="s">
        <v>261</v>
      </c>
    </row>
  </sheetData>
  <phoneticPr fontId="2" type="noConversion"/>
  <pageMargins left="0.75" right="0.75" top="1" bottom="1" header="0.5" footer="0.5"/>
  <pageSetup scale="89" orientation="landscape"/>
  <headerFooter>
    <oddFooter>&amp;L&amp;K000000SciFinder&amp;R&amp;K0000002006-07 usage</oddFooter>
  </headerFooter>
  <extLst>
    <ext xmlns:mx="http://schemas.microsoft.com/office/mac/excel/2008/main" uri="{64002731-A6B0-56B0-2670-7721B7C09600}">
      <mx:PLV Mode="0" OnePage="0" WScale="0"/>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9"/>
  <sheetViews>
    <sheetView workbookViewId="0"/>
  </sheetViews>
  <sheetFormatPr baseColWidth="10" defaultColWidth="8.83203125" defaultRowHeight="12" x14ac:dyDescent="0"/>
  <cols>
    <col min="1" max="1" width="38.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33203125" bestFit="1" customWidth="1"/>
    <col min="16" max="16" width="8.33203125" bestFit="1" customWidth="1"/>
  </cols>
  <sheetData>
    <row r="1" spans="1:16" ht="18">
      <c r="A1" s="2" t="s">
        <v>227</v>
      </c>
    </row>
    <row r="2" spans="1:16" ht="17">
      <c r="A2" s="3" t="s">
        <v>187</v>
      </c>
    </row>
    <row r="5" spans="1:16" ht="33" customHeight="1">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14" t="s">
        <v>189</v>
      </c>
      <c r="P5" s="114" t="s">
        <v>86</v>
      </c>
    </row>
    <row r="6" spans="1:16" ht="13.5" customHeight="1">
      <c r="A6" t="s">
        <v>271</v>
      </c>
      <c r="B6" s="20">
        <v>0</v>
      </c>
      <c r="C6" s="20">
        <v>15</v>
      </c>
      <c r="D6" s="20">
        <v>25</v>
      </c>
      <c r="E6" s="20">
        <v>24</v>
      </c>
      <c r="F6" s="20">
        <v>58</v>
      </c>
      <c r="G6" s="20">
        <v>0</v>
      </c>
      <c r="H6" s="77">
        <v>4</v>
      </c>
      <c r="I6" s="77">
        <v>77</v>
      </c>
      <c r="J6" s="77">
        <v>32</v>
      </c>
      <c r="K6" s="77">
        <v>18</v>
      </c>
      <c r="L6" s="77">
        <v>12</v>
      </c>
      <c r="M6" s="77">
        <v>12</v>
      </c>
      <c r="N6" s="45">
        <f>SUM(B6:M6)</f>
        <v>277</v>
      </c>
      <c r="O6" s="27">
        <v>0</v>
      </c>
      <c r="P6" s="28" t="s">
        <v>32</v>
      </c>
    </row>
    <row r="9" spans="1:16">
      <c r="A9" t="s">
        <v>259</v>
      </c>
      <c r="B9" t="s">
        <v>261</v>
      </c>
    </row>
  </sheetData>
  <phoneticPr fontId="2" type="noConversion"/>
  <pageMargins left="0.75" right="0.75" top="1" bottom="1" header="0.5" footer="0.5"/>
  <pageSetup scale="80" orientation="landscape"/>
  <headerFooter>
    <oddFooter>&amp;L&amp;K000000Turfgrass Information Center&amp;R&amp;K0000002006-07 usage</oddFooter>
  </headerFooter>
  <extLst>
    <ext xmlns:mx="http://schemas.microsoft.com/office/mac/excel/2008/main" uri="{64002731-A6B0-56B0-2670-7721B7C09600}">
      <mx:PLV Mode="0" OnePage="0" WScale="0"/>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2"/>
  <sheetViews>
    <sheetView workbookViewId="0"/>
  </sheetViews>
  <sheetFormatPr baseColWidth="10" defaultColWidth="8.83203125" defaultRowHeight="12" x14ac:dyDescent="0"/>
  <cols>
    <col min="1" max="1" width="22.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6.33203125" bestFit="1" customWidth="1"/>
    <col min="15" max="15" width="9.6640625" bestFit="1" customWidth="1"/>
    <col min="16" max="16" width="8.33203125" bestFit="1" customWidth="1"/>
  </cols>
  <sheetData>
    <row r="1" spans="1:16" ht="18">
      <c r="A1" s="2" t="s">
        <v>25</v>
      </c>
    </row>
    <row r="2" spans="1:16" ht="17">
      <c r="A2" s="3" t="s">
        <v>187</v>
      </c>
    </row>
    <row r="5" spans="1:16" ht="30" customHeight="1">
      <c r="A5" s="112"/>
      <c r="B5" s="110">
        <v>38899</v>
      </c>
      <c r="C5" s="110">
        <v>38930</v>
      </c>
      <c r="D5" s="110">
        <v>38961</v>
      </c>
      <c r="E5" s="110">
        <v>38991</v>
      </c>
      <c r="F5" s="110">
        <v>39022</v>
      </c>
      <c r="G5" s="110">
        <v>39052</v>
      </c>
      <c r="H5" s="110">
        <v>39083</v>
      </c>
      <c r="I5" s="110">
        <v>39114</v>
      </c>
      <c r="J5" s="110">
        <v>39142</v>
      </c>
      <c r="K5" s="110">
        <v>39173</v>
      </c>
      <c r="L5" s="110">
        <v>39203</v>
      </c>
      <c r="M5" s="110">
        <v>39234</v>
      </c>
      <c r="N5" s="113" t="s">
        <v>2</v>
      </c>
      <c r="O5" s="111" t="s">
        <v>189</v>
      </c>
      <c r="P5" s="111" t="s">
        <v>86</v>
      </c>
    </row>
    <row r="6" spans="1:16">
      <c r="A6" t="s">
        <v>4</v>
      </c>
      <c r="B6" s="77">
        <v>326</v>
      </c>
      <c r="C6" s="77">
        <v>266</v>
      </c>
      <c r="D6" s="77">
        <v>514</v>
      </c>
      <c r="E6" s="77">
        <v>670</v>
      </c>
      <c r="F6" s="77">
        <v>721</v>
      </c>
      <c r="G6" s="77">
        <v>510</v>
      </c>
      <c r="H6" s="77">
        <v>326</v>
      </c>
      <c r="I6" s="77">
        <v>500</v>
      </c>
      <c r="J6" s="77">
        <v>566</v>
      </c>
      <c r="K6" s="77">
        <v>579</v>
      </c>
      <c r="L6" s="77">
        <v>427</v>
      </c>
      <c r="M6" s="77">
        <v>487</v>
      </c>
      <c r="N6" s="45">
        <f>SUM(B6:M6)</f>
        <v>5892</v>
      </c>
    </row>
    <row r="7" spans="1:16">
      <c r="A7" t="s">
        <v>9</v>
      </c>
      <c r="B7" s="77">
        <v>949</v>
      </c>
      <c r="C7" s="77">
        <v>994</v>
      </c>
      <c r="D7" s="77">
        <v>1540</v>
      </c>
      <c r="E7" s="77">
        <v>2044</v>
      </c>
      <c r="F7" s="77">
        <v>2223</v>
      </c>
      <c r="G7" s="77">
        <v>1618</v>
      </c>
      <c r="H7" s="77">
        <v>1135</v>
      </c>
      <c r="I7" s="77">
        <v>2045</v>
      </c>
      <c r="J7" s="77">
        <v>2015</v>
      </c>
      <c r="K7" s="77">
        <v>2298</v>
      </c>
      <c r="L7" s="77">
        <v>1565</v>
      </c>
      <c r="M7" s="77">
        <v>2291</v>
      </c>
      <c r="N7" s="45">
        <f>SUM(B7:M7)</f>
        <v>20717</v>
      </c>
      <c r="O7" s="27">
        <v>92892</v>
      </c>
      <c r="P7" s="27">
        <f>O7/N7</f>
        <v>4.4838538398416761</v>
      </c>
    </row>
    <row r="8" spans="1:16">
      <c r="A8" t="s">
        <v>26</v>
      </c>
      <c r="B8" s="36">
        <v>5</v>
      </c>
      <c r="C8" s="36">
        <v>5</v>
      </c>
      <c r="D8" s="36">
        <v>5</v>
      </c>
      <c r="E8" s="36">
        <v>5</v>
      </c>
      <c r="F8" s="36">
        <v>5</v>
      </c>
      <c r="G8" s="36">
        <v>5</v>
      </c>
      <c r="H8" s="36">
        <v>5</v>
      </c>
      <c r="I8" s="36">
        <v>5</v>
      </c>
      <c r="J8" s="36">
        <v>5</v>
      </c>
      <c r="K8" s="36">
        <v>5</v>
      </c>
      <c r="L8" s="36">
        <v>5</v>
      </c>
      <c r="M8" s="36">
        <v>5</v>
      </c>
      <c r="N8" s="45"/>
      <c r="O8" s="27"/>
      <c r="P8" s="27"/>
    </row>
    <row r="9" spans="1:16">
      <c r="A9" t="s">
        <v>13</v>
      </c>
      <c r="B9" s="78">
        <v>0</v>
      </c>
      <c r="C9" s="78">
        <v>0</v>
      </c>
      <c r="D9" s="78">
        <v>34</v>
      </c>
      <c r="E9" s="78">
        <v>21</v>
      </c>
      <c r="F9" s="78">
        <v>6</v>
      </c>
      <c r="G9" s="78">
        <v>9</v>
      </c>
      <c r="H9" s="78">
        <v>0</v>
      </c>
      <c r="I9" s="78">
        <v>0</v>
      </c>
      <c r="J9" s="78">
        <v>0</v>
      </c>
      <c r="K9" s="78">
        <v>0</v>
      </c>
      <c r="L9" s="78">
        <v>0</v>
      </c>
      <c r="M9" s="78">
        <v>0</v>
      </c>
      <c r="N9" s="45">
        <f>SUM(B9:M9)</f>
        <v>70</v>
      </c>
      <c r="O9" s="27"/>
      <c r="P9" s="27"/>
    </row>
    <row r="12" spans="1:16">
      <c r="A12" t="s">
        <v>259</v>
      </c>
      <c r="B12" t="s">
        <v>261</v>
      </c>
    </row>
  </sheetData>
  <phoneticPr fontId="2" type="noConversion"/>
  <pageMargins left="0.75" right="0.75" top="1" bottom="1" header="0.5" footer="0.5"/>
  <pageSetup scale="89" orientation="landscape"/>
  <headerFooter>
    <oddFooter>&amp;L&amp;K000000Web of Science&amp;R&amp;K0000002006-07 usage</oddFooter>
  </headerFooter>
  <extLst>
    <ext xmlns:mx="http://schemas.microsoft.com/office/mac/excel/2008/main" uri="{64002731-A6B0-56B0-2670-7721B7C09600}">
      <mx:PLV Mode="0" OnePage="0" WScale="0"/>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12"/>
  <sheetViews>
    <sheetView workbookViewId="0"/>
  </sheetViews>
  <sheetFormatPr baseColWidth="10" defaultColWidth="8.83203125" defaultRowHeight="12" x14ac:dyDescent="0"/>
  <cols>
    <col min="1" max="1" width="24.33203125" bestFit="1"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1640625" bestFit="1" customWidth="1"/>
    <col min="15" max="15" width="9.6640625" bestFit="1" customWidth="1"/>
    <col min="16" max="16" width="8.33203125" bestFit="1" customWidth="1"/>
    <col min="18" max="18" width="6.5" bestFit="1" customWidth="1"/>
    <col min="19" max="19" width="36.5" bestFit="1" customWidth="1"/>
    <col min="20" max="20" width="16.1640625" bestFit="1" customWidth="1"/>
    <col min="21" max="21" width="9.5" bestFit="1" customWidth="1"/>
    <col min="22" max="22" width="16.6640625" bestFit="1" customWidth="1"/>
    <col min="23" max="23" width="15.83203125" bestFit="1" customWidth="1"/>
    <col min="24" max="24" width="31.5" bestFit="1" customWidth="1"/>
    <col min="25" max="25" width="29.5" bestFit="1" customWidth="1"/>
    <col min="26" max="26" width="25" bestFit="1" customWidth="1"/>
    <col min="27" max="27" width="11.6640625" bestFit="1" customWidth="1"/>
    <col min="28" max="28" width="28.6640625" bestFit="1" customWidth="1"/>
    <col min="29" max="29" width="26.83203125" bestFit="1" customWidth="1"/>
  </cols>
  <sheetData>
    <row r="1" spans="1:16" ht="18">
      <c r="A1" s="2" t="s">
        <v>46</v>
      </c>
    </row>
    <row r="2" spans="1:16" ht="17">
      <c r="A2" s="3" t="s">
        <v>187</v>
      </c>
    </row>
    <row r="5" spans="1:16" ht="24">
      <c r="A5" s="112"/>
      <c r="B5" s="110">
        <v>38899</v>
      </c>
      <c r="C5" s="110">
        <v>38930</v>
      </c>
      <c r="D5" s="110">
        <v>38961</v>
      </c>
      <c r="E5" s="110">
        <v>38991</v>
      </c>
      <c r="F5" s="110">
        <v>39022</v>
      </c>
      <c r="G5" s="110">
        <v>39052</v>
      </c>
      <c r="H5" s="110">
        <v>39083</v>
      </c>
      <c r="I5" s="110">
        <v>39114</v>
      </c>
      <c r="J5" s="110">
        <v>39142</v>
      </c>
      <c r="K5" s="110">
        <v>39173</v>
      </c>
      <c r="L5" s="110">
        <v>39203</v>
      </c>
      <c r="M5" s="110">
        <v>39234</v>
      </c>
      <c r="N5" s="113" t="s">
        <v>2</v>
      </c>
      <c r="O5" s="111" t="s">
        <v>189</v>
      </c>
      <c r="P5" s="111" t="s">
        <v>186</v>
      </c>
    </row>
    <row r="6" spans="1:16">
      <c r="A6" s="12" t="s">
        <v>45</v>
      </c>
      <c r="B6" s="13"/>
      <c r="C6" s="13"/>
      <c r="D6" s="13"/>
      <c r="E6" s="13"/>
      <c r="F6" s="13"/>
      <c r="G6" s="13"/>
      <c r="H6" s="13"/>
      <c r="I6" s="13"/>
      <c r="J6" s="13"/>
      <c r="K6" s="13"/>
      <c r="L6" s="13"/>
      <c r="M6" s="13"/>
      <c r="N6" s="13"/>
    </row>
    <row r="7" spans="1:16">
      <c r="A7" t="s">
        <v>4</v>
      </c>
      <c r="B7" s="36">
        <v>43</v>
      </c>
      <c r="C7" s="36">
        <v>58</v>
      </c>
      <c r="D7" s="36">
        <v>148</v>
      </c>
      <c r="E7" s="36">
        <v>269</v>
      </c>
      <c r="F7" s="36">
        <v>259</v>
      </c>
      <c r="G7" s="36">
        <v>85</v>
      </c>
      <c r="H7" s="74">
        <v>81</v>
      </c>
      <c r="I7" s="40">
        <v>252</v>
      </c>
      <c r="J7" s="40">
        <v>282</v>
      </c>
      <c r="K7" s="40">
        <v>251</v>
      </c>
      <c r="L7" s="40">
        <v>89</v>
      </c>
      <c r="M7" s="41">
        <v>28</v>
      </c>
      <c r="N7" s="45">
        <f>SUM(B7:M7)</f>
        <v>1845</v>
      </c>
      <c r="O7" s="27"/>
      <c r="P7" s="27"/>
    </row>
    <row r="8" spans="1:16">
      <c r="A8" t="s">
        <v>5</v>
      </c>
      <c r="B8" s="36">
        <v>229</v>
      </c>
      <c r="C8" s="36">
        <v>384</v>
      </c>
      <c r="D8" s="36">
        <v>556</v>
      </c>
      <c r="E8" s="36">
        <v>716</v>
      </c>
      <c r="F8" s="36">
        <v>836</v>
      </c>
      <c r="G8" s="36">
        <v>234</v>
      </c>
      <c r="H8" s="75">
        <v>313</v>
      </c>
      <c r="I8" s="55">
        <v>859</v>
      </c>
      <c r="J8" s="55">
        <v>1033</v>
      </c>
      <c r="K8" s="55">
        <v>742</v>
      </c>
      <c r="L8" s="55">
        <v>383</v>
      </c>
      <c r="M8" s="56">
        <v>192</v>
      </c>
      <c r="N8" s="45">
        <f>SUM(B8:M8)</f>
        <v>6477</v>
      </c>
      <c r="O8" s="27">
        <v>23244</v>
      </c>
      <c r="P8" s="27">
        <f>O8/N8</f>
        <v>3.58869847151459</v>
      </c>
    </row>
    <row r="9" spans="1:16">
      <c r="A9" s="16" t="s">
        <v>13</v>
      </c>
      <c r="B9" s="36">
        <v>0</v>
      </c>
      <c r="C9" s="36">
        <v>0</v>
      </c>
      <c r="D9" s="36">
        <v>0</v>
      </c>
      <c r="E9" s="36">
        <v>0</v>
      </c>
      <c r="F9" s="36">
        <v>0</v>
      </c>
      <c r="G9" s="36">
        <v>0</v>
      </c>
      <c r="H9" s="76">
        <v>0</v>
      </c>
      <c r="I9" s="76">
        <v>0</v>
      </c>
      <c r="J9" s="76">
        <v>0</v>
      </c>
      <c r="K9" s="76">
        <v>0</v>
      </c>
      <c r="L9" s="76">
        <v>0</v>
      </c>
      <c r="M9" s="76">
        <v>0</v>
      </c>
      <c r="N9" s="45">
        <f>SUM(B9:M9)</f>
        <v>0</v>
      </c>
      <c r="O9" s="27"/>
      <c r="P9" s="27"/>
    </row>
    <row r="10" spans="1:16">
      <c r="A10" s="16"/>
      <c r="B10" s="13"/>
      <c r="C10" s="13"/>
      <c r="D10" s="13"/>
      <c r="E10" s="13"/>
      <c r="F10" s="13"/>
      <c r="G10" s="13"/>
      <c r="H10" s="13"/>
      <c r="I10" s="13"/>
      <c r="J10" s="13"/>
      <c r="K10" s="13"/>
      <c r="L10" s="13"/>
      <c r="M10" s="13"/>
      <c r="N10" s="13"/>
    </row>
    <row r="12" spans="1:16">
      <c r="A12" t="s">
        <v>259</v>
      </c>
      <c r="B12" t="s">
        <v>260</v>
      </c>
    </row>
  </sheetData>
  <phoneticPr fontId="2" type="noConversion"/>
  <pageMargins left="0.75" right="0.75" top="1" bottom="1" header="0.5" footer="0.5"/>
  <pageSetup scale="89" orientation="landscape"/>
  <headerFooter>
    <oddFooter>&amp;L&amp;K000000WebSPIRS&amp;R&amp;K0000002006-07 usage</oddFooter>
  </headerFooter>
  <extLst>
    <ext xmlns:mx="http://schemas.microsoft.com/office/mac/excel/2008/main" uri="{64002731-A6B0-56B0-2670-7721B7C09600}">
      <mx:PLV Mode="0" OnePage="0" WScale="0"/>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pageSetUpPr fitToPage="1"/>
  </sheetPr>
  <dimension ref="A1:P23"/>
  <sheetViews>
    <sheetView workbookViewId="0"/>
  </sheetViews>
  <sheetFormatPr baseColWidth="10" defaultColWidth="8.83203125" defaultRowHeight="12" x14ac:dyDescent="0"/>
  <cols>
    <col min="1" max="1" width="21.83203125" customWidth="1"/>
    <col min="2" max="2" width="6.1640625" bestFit="1" customWidth="1"/>
    <col min="3" max="3" width="7" bestFit="1" customWidth="1"/>
    <col min="4" max="4" width="6.6640625" bestFit="1" customWidth="1"/>
    <col min="5" max="5" width="6.5" bestFit="1" customWidth="1"/>
    <col min="6" max="6" width="6.83203125" bestFit="1" customWidth="1"/>
    <col min="7" max="7" width="6.6640625" bestFit="1" customWidth="1"/>
    <col min="8" max="8" width="6.5" bestFit="1" customWidth="1"/>
    <col min="9" max="10" width="6.6640625" bestFit="1" customWidth="1"/>
    <col min="11" max="11" width="6.5" bestFit="1" customWidth="1"/>
    <col min="12" max="12" width="7" bestFit="1" customWidth="1"/>
    <col min="13" max="13" width="6.6640625" bestFit="1" customWidth="1"/>
    <col min="14" max="14" width="5.5" bestFit="1" customWidth="1"/>
    <col min="15" max="15" width="8.6640625" bestFit="1" customWidth="1"/>
    <col min="16" max="16" width="8.33203125" bestFit="1" customWidth="1"/>
  </cols>
  <sheetData>
    <row r="1" spans="1:16" ht="18">
      <c r="A1" s="2" t="s">
        <v>14</v>
      </c>
    </row>
    <row r="2" spans="1:16" ht="17">
      <c r="A2" s="3" t="s">
        <v>187</v>
      </c>
    </row>
    <row r="3" spans="1:16" ht="17">
      <c r="A3" s="3"/>
    </row>
    <row r="5" spans="1:16" ht="36">
      <c r="A5" s="106"/>
      <c r="B5" s="107">
        <v>38899</v>
      </c>
      <c r="C5" s="107">
        <v>38930</v>
      </c>
      <c r="D5" s="107">
        <v>38961</v>
      </c>
      <c r="E5" s="107">
        <v>38991</v>
      </c>
      <c r="F5" s="107">
        <v>39022</v>
      </c>
      <c r="G5" s="107">
        <v>39052</v>
      </c>
      <c r="H5" s="107">
        <v>39083</v>
      </c>
      <c r="I5" s="107">
        <v>39114</v>
      </c>
      <c r="J5" s="107">
        <v>39142</v>
      </c>
      <c r="K5" s="107">
        <v>39173</v>
      </c>
      <c r="L5" s="107">
        <v>39203</v>
      </c>
      <c r="M5" s="107">
        <v>39234</v>
      </c>
      <c r="N5" s="108" t="s">
        <v>2</v>
      </c>
      <c r="O5" s="109" t="s">
        <v>188</v>
      </c>
      <c r="P5" s="109" t="s">
        <v>86</v>
      </c>
    </row>
    <row r="6" spans="1:16">
      <c r="A6" s="12" t="s">
        <v>15</v>
      </c>
      <c r="B6" s="13"/>
      <c r="C6" s="13"/>
      <c r="D6" s="13"/>
      <c r="E6" s="13"/>
      <c r="F6" s="13"/>
      <c r="G6" s="13"/>
      <c r="H6" s="13"/>
      <c r="I6" s="13"/>
      <c r="J6" s="13"/>
      <c r="K6" s="13"/>
      <c r="L6" s="13"/>
      <c r="M6" s="13"/>
      <c r="N6" s="13"/>
    </row>
    <row r="7" spans="1:16">
      <c r="A7" t="s">
        <v>4</v>
      </c>
      <c r="B7" s="40">
        <v>34</v>
      </c>
      <c r="C7" s="40">
        <v>11</v>
      </c>
      <c r="D7" s="40">
        <v>52</v>
      </c>
      <c r="E7" s="40">
        <v>122</v>
      </c>
      <c r="F7" s="40">
        <v>150</v>
      </c>
      <c r="G7" s="41">
        <v>68</v>
      </c>
      <c r="H7" s="40">
        <v>34</v>
      </c>
      <c r="I7" s="40">
        <v>156</v>
      </c>
      <c r="J7" s="40">
        <v>195</v>
      </c>
      <c r="K7" s="40">
        <v>112</v>
      </c>
      <c r="L7" s="40">
        <v>16</v>
      </c>
      <c r="M7" s="41">
        <v>29</v>
      </c>
      <c r="N7" s="45">
        <f>SUM(B7:M7)</f>
        <v>979</v>
      </c>
      <c r="O7" s="27">
        <v>5535</v>
      </c>
      <c r="P7" s="27"/>
    </row>
    <row r="8" spans="1:16">
      <c r="A8" t="s">
        <v>5</v>
      </c>
      <c r="B8" s="47">
        <v>144</v>
      </c>
      <c r="C8" s="47">
        <v>43</v>
      </c>
      <c r="D8" s="47">
        <v>159</v>
      </c>
      <c r="E8" s="47">
        <v>468</v>
      </c>
      <c r="F8" s="47">
        <v>629</v>
      </c>
      <c r="G8" s="47">
        <v>223</v>
      </c>
      <c r="H8" s="55">
        <v>127</v>
      </c>
      <c r="I8" s="55">
        <v>409</v>
      </c>
      <c r="J8" s="55">
        <v>420</v>
      </c>
      <c r="K8" s="55">
        <v>395</v>
      </c>
      <c r="L8" s="55">
        <v>24</v>
      </c>
      <c r="M8" s="56">
        <v>88</v>
      </c>
      <c r="N8" s="45">
        <f>SUM(B8:M8)</f>
        <v>3129</v>
      </c>
      <c r="O8" s="27">
        <v>5535</v>
      </c>
      <c r="P8" s="27">
        <f>O8/N8</f>
        <v>1.7689357622243529</v>
      </c>
    </row>
    <row r="9" spans="1:16">
      <c r="A9" s="16" t="s">
        <v>13</v>
      </c>
      <c r="B9" s="58">
        <v>0</v>
      </c>
      <c r="C9" s="58">
        <v>0</v>
      </c>
      <c r="D9" s="58">
        <v>0</v>
      </c>
      <c r="E9" s="58">
        <v>0</v>
      </c>
      <c r="F9" s="58">
        <v>0</v>
      </c>
      <c r="G9" s="58">
        <v>0</v>
      </c>
      <c r="H9" s="58">
        <v>0</v>
      </c>
      <c r="I9" s="58">
        <v>0</v>
      </c>
      <c r="J9" s="58">
        <v>0</v>
      </c>
      <c r="K9" s="58">
        <v>0</v>
      </c>
      <c r="L9" s="58">
        <v>0</v>
      </c>
      <c r="M9" s="58">
        <v>0</v>
      </c>
      <c r="N9" s="45">
        <f>SUM(B9:M9)</f>
        <v>0</v>
      </c>
      <c r="O9" s="27"/>
      <c r="P9" s="27"/>
    </row>
    <row r="10" spans="1:16">
      <c r="A10" s="16"/>
      <c r="B10" s="13"/>
      <c r="C10" s="13"/>
      <c r="D10" s="13"/>
      <c r="E10" s="13"/>
      <c r="F10" s="13"/>
      <c r="G10" s="13"/>
      <c r="H10" s="13"/>
      <c r="I10" s="13"/>
      <c r="J10" s="13"/>
      <c r="K10" s="13"/>
      <c r="L10" s="13"/>
      <c r="M10" s="13"/>
      <c r="N10" s="13"/>
      <c r="O10" s="27"/>
      <c r="P10" s="27"/>
    </row>
    <row r="11" spans="1:16">
      <c r="A11" s="1" t="s">
        <v>16</v>
      </c>
      <c r="O11" s="27"/>
      <c r="P11" s="27"/>
    </row>
    <row r="12" spans="1:16">
      <c r="A12" t="s">
        <v>4</v>
      </c>
      <c r="B12" s="40">
        <v>31</v>
      </c>
      <c r="C12" s="40">
        <v>14</v>
      </c>
      <c r="D12" s="40">
        <v>48</v>
      </c>
      <c r="E12" s="40">
        <v>76</v>
      </c>
      <c r="F12" s="40">
        <v>71</v>
      </c>
      <c r="G12" s="41">
        <v>75</v>
      </c>
      <c r="H12" s="40">
        <v>6</v>
      </c>
      <c r="I12" s="40">
        <v>48</v>
      </c>
      <c r="J12" s="40">
        <v>82</v>
      </c>
      <c r="K12" s="40">
        <v>63</v>
      </c>
      <c r="L12" s="40">
        <v>6</v>
      </c>
      <c r="M12" s="41">
        <v>16</v>
      </c>
      <c r="N12" s="45">
        <f>SUM(B12:M12)</f>
        <v>536</v>
      </c>
      <c r="O12" s="27">
        <v>3213</v>
      </c>
      <c r="P12" s="27"/>
    </row>
    <row r="13" spans="1:16">
      <c r="A13" t="s">
        <v>5</v>
      </c>
      <c r="B13" s="73">
        <v>122</v>
      </c>
      <c r="C13" s="73">
        <v>43</v>
      </c>
      <c r="D13" s="73">
        <v>141</v>
      </c>
      <c r="E13" s="73">
        <v>151</v>
      </c>
      <c r="F13" s="73">
        <v>144</v>
      </c>
      <c r="G13" s="73">
        <v>22</v>
      </c>
      <c r="H13" s="55">
        <v>16</v>
      </c>
      <c r="I13" s="55">
        <v>114</v>
      </c>
      <c r="J13" s="55">
        <v>208</v>
      </c>
      <c r="K13" s="55">
        <v>195</v>
      </c>
      <c r="L13" s="55">
        <v>14</v>
      </c>
      <c r="M13" s="56">
        <v>39</v>
      </c>
      <c r="N13" s="45">
        <f>SUM(B13:M13)</f>
        <v>1209</v>
      </c>
      <c r="O13" s="27">
        <v>3213</v>
      </c>
      <c r="P13" s="27">
        <f>O13/N13</f>
        <v>2.6575682382133996</v>
      </c>
    </row>
    <row r="14" spans="1:16">
      <c r="A14" s="16" t="s">
        <v>13</v>
      </c>
      <c r="B14" s="58">
        <v>0</v>
      </c>
      <c r="C14" s="58">
        <v>0</v>
      </c>
      <c r="D14" s="58">
        <v>16</v>
      </c>
      <c r="E14" s="58">
        <v>7</v>
      </c>
      <c r="F14" s="58">
        <v>25</v>
      </c>
      <c r="G14" s="58">
        <v>0</v>
      </c>
      <c r="H14" s="58">
        <v>0</v>
      </c>
      <c r="I14" s="58">
        <v>0</v>
      </c>
      <c r="J14" s="58">
        <v>0</v>
      </c>
      <c r="K14" s="58">
        <v>0</v>
      </c>
      <c r="L14" s="58">
        <v>0</v>
      </c>
      <c r="M14" s="58">
        <v>0</v>
      </c>
      <c r="N14" s="45">
        <f>SUM(B14:M14)</f>
        <v>48</v>
      </c>
      <c r="O14" s="27"/>
      <c r="P14" s="27"/>
    </row>
    <row r="15" spans="1:16">
      <c r="A15" s="17"/>
      <c r="B15" s="13"/>
      <c r="C15" s="13"/>
      <c r="D15" s="13"/>
      <c r="E15" s="13"/>
      <c r="F15" s="13"/>
      <c r="G15" s="13"/>
      <c r="H15" s="13"/>
      <c r="I15" s="13"/>
      <c r="J15" s="13"/>
      <c r="K15" s="13"/>
      <c r="L15" s="13"/>
      <c r="M15" s="13"/>
      <c r="N15" s="13"/>
      <c r="O15" s="27"/>
      <c r="P15" s="27"/>
    </row>
    <row r="16" spans="1:16">
      <c r="A16" s="1" t="s">
        <v>17</v>
      </c>
      <c r="O16" s="27"/>
      <c r="P16" s="27"/>
    </row>
    <row r="17" spans="1:16">
      <c r="A17" t="s">
        <v>4</v>
      </c>
      <c r="B17" s="73">
        <v>18</v>
      </c>
      <c r="C17" s="73">
        <v>5</v>
      </c>
      <c r="D17" s="73">
        <v>18</v>
      </c>
      <c r="E17" s="73">
        <v>84</v>
      </c>
      <c r="F17" s="73">
        <v>54</v>
      </c>
      <c r="G17" s="73">
        <v>18</v>
      </c>
      <c r="H17" s="40">
        <v>4</v>
      </c>
      <c r="I17" s="40">
        <v>56</v>
      </c>
      <c r="J17" s="40">
        <v>78</v>
      </c>
      <c r="K17" s="40">
        <v>17</v>
      </c>
      <c r="L17" s="40">
        <v>4</v>
      </c>
      <c r="M17" s="41">
        <v>20</v>
      </c>
      <c r="N17" s="45">
        <f>SUM(B17:M17)</f>
        <v>376</v>
      </c>
      <c r="O17" s="27">
        <v>326</v>
      </c>
      <c r="P17" s="27"/>
    </row>
    <row r="18" spans="1:16">
      <c r="A18" t="s">
        <v>5</v>
      </c>
      <c r="B18" s="73">
        <v>81</v>
      </c>
      <c r="C18" s="73">
        <v>27</v>
      </c>
      <c r="D18" s="73">
        <v>96</v>
      </c>
      <c r="E18" s="73">
        <v>334</v>
      </c>
      <c r="F18" s="73">
        <v>179</v>
      </c>
      <c r="G18" s="73">
        <v>59</v>
      </c>
      <c r="H18" s="55">
        <v>6</v>
      </c>
      <c r="I18" s="55">
        <v>141</v>
      </c>
      <c r="J18" s="55">
        <v>112</v>
      </c>
      <c r="K18" s="55">
        <v>44</v>
      </c>
      <c r="L18" s="55">
        <v>7</v>
      </c>
      <c r="M18" s="56">
        <v>39</v>
      </c>
      <c r="N18" s="45">
        <f>SUM(B18:M18)</f>
        <v>1125</v>
      </c>
      <c r="O18" s="27">
        <v>326</v>
      </c>
      <c r="P18" s="27">
        <f>O18/N18</f>
        <v>0.2897777777777778</v>
      </c>
    </row>
    <row r="19" spans="1:16">
      <c r="A19" s="16" t="s">
        <v>13</v>
      </c>
      <c r="B19" s="58">
        <v>0</v>
      </c>
      <c r="C19" s="58">
        <v>0</v>
      </c>
      <c r="D19" s="58">
        <v>0</v>
      </c>
      <c r="E19" s="58">
        <v>0</v>
      </c>
      <c r="F19" s="58">
        <v>0</v>
      </c>
      <c r="G19" s="58">
        <v>0</v>
      </c>
      <c r="H19" s="58">
        <v>0</v>
      </c>
      <c r="I19" s="58">
        <v>0</v>
      </c>
      <c r="J19" s="58">
        <v>0</v>
      </c>
      <c r="K19" s="58">
        <v>0</v>
      </c>
      <c r="L19" s="58">
        <v>0</v>
      </c>
      <c r="M19" s="58">
        <v>0</v>
      </c>
      <c r="N19" s="45">
        <f>SUM(B19:M19)</f>
        <v>0</v>
      </c>
      <c r="O19" s="27"/>
      <c r="P19" s="27"/>
    </row>
    <row r="23" spans="1:16">
      <c r="A23" t="s">
        <v>259</v>
      </c>
      <c r="B23" t="s">
        <v>260</v>
      </c>
    </row>
  </sheetData>
  <phoneticPr fontId="2" type="noConversion"/>
  <pageMargins left="0.75" right="0.75" top="1" bottom="1" header="0.5" footer="0.5"/>
  <pageSetup scale="91" fitToHeight="2" orientation="landscape"/>
  <headerFooter>
    <oddFooter>&amp;L&amp;K000000WilsonWeb&amp;R&amp;K0000002006-07 usage</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Summary</vt:lpstr>
      <vt:lpstr>ABC-CLIO</vt:lpstr>
      <vt:lpstr>CIAO</vt:lpstr>
      <vt:lpstr>ClassificationWeb</vt:lpstr>
      <vt:lpstr>Cochrane</vt:lpstr>
      <vt:lpstr>CollegeSource</vt:lpstr>
      <vt:lpstr>Compendex(EI)</vt:lpstr>
      <vt:lpstr>CSA</vt:lpstr>
      <vt:lpstr>EBSCOhost</vt:lpstr>
      <vt:lpstr>Elsevier</vt:lpstr>
      <vt:lpstr>FirstSearch</vt:lpstr>
      <vt:lpstr>InfoTrac</vt:lpstr>
      <vt:lpstr>LexisNexis</vt:lpstr>
      <vt:lpstr>MathSciNet</vt:lpstr>
      <vt:lpstr>Mergent</vt:lpstr>
      <vt:lpstr>MetaPress</vt:lpstr>
      <vt:lpstr>MINABS</vt:lpstr>
      <vt:lpstr>MusicIndex</vt:lpstr>
      <vt:lpstr>netLibrary</vt:lpstr>
      <vt:lpstr>OVID</vt:lpstr>
      <vt:lpstr>Oxford</vt:lpstr>
      <vt:lpstr>ProQuest</vt:lpstr>
      <vt:lpstr>ReferenceUSA</vt:lpstr>
      <vt:lpstr>RefWorks</vt:lpstr>
      <vt:lpstr>SciFinderScholar</vt:lpstr>
      <vt:lpstr>Turfgrass InfoCtr</vt:lpstr>
      <vt:lpstr>WebofScience</vt:lpstr>
      <vt:lpstr>WebSpirs</vt:lpstr>
      <vt:lpstr>WilsonWeb</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creator>
  <cp:lastModifiedBy>Andree Rathemacher</cp:lastModifiedBy>
  <cp:lastPrinted>2011-09-16T19:40:43Z</cp:lastPrinted>
  <dcterms:created xsi:type="dcterms:W3CDTF">2005-09-14T17:17:38Z</dcterms:created>
  <dcterms:modified xsi:type="dcterms:W3CDTF">2011-09-16T19:40:55Z</dcterms:modified>
</cp:coreProperties>
</file>