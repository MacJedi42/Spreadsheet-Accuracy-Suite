
<file path=[Content_Types].xml><?xml version="1.0" encoding="utf-8"?>
<Types xmlns="http://schemas.openxmlformats.org/package/2006/content-types">
  <Override PartName="/xl/worksheets/sheet2.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ml.chartshapes+xml"/>
  <Override PartName="/xl/theme/theme1.xml" ContentType="application/vnd.openxmlformats-officedocument.theme+xml"/>
  <Override PartName="/xl/charts/chart1.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Default Extension="xml" ContentType="application/xml"/>
  <Override PartName="/docProps/app.xml" ContentType="application/vnd.openxmlformats-officedocument.extended-properties+xml"/>
  <Override PartName="/xl/workbook.xml" ContentType="application/vnd.openxmlformats-officedocument.spreadsheetml.sheet.main+xml"/>
  <Override PartName="/xl/comments1.xml" ContentType="application/vnd.openxmlformats-officedocument.spreadsheetml.comments+xml"/>
  <Override PartName="/xl/worksheets/sheet1.xml" ContentType="application/vnd.openxmlformats-officedocument.spreadsheetml.worksheet+xml"/>
  <Override PartName="/xl/drawings/drawing1.xml" ContentType="application/vnd.openxmlformats-officedocument.drawing+xml"/>
  <Override PartName="/xl/calcChain.xml" ContentType="application/vnd.openxmlformats-officedocument.spreadsheetml.calcChain+xml"/>
  <Override PartName="/xl/styles.xml" ContentType="application/vnd.openxmlformats-officedocument.spreadsheetml.styles+xml"/>
  <Override PartName="/xl/drawings/drawing3.xml" ContentType="application/vnd.openxmlformats-officedocument.drawingml.chartshapes+xml"/>
  <Override PartName="/xl/charts/chart2.xml" ContentType="application/vnd.openxmlformats-officedocument.drawingml.chart+xml"/>
  <Default Extension="vml" ContentType="application/vnd.openxmlformats-officedocument.vmlDrawing"/>
  <Default Extension="rels" ContentType="application/vnd.openxmlformats-package.relationships+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5" rupBuild="4505"/>
  <workbookPr autoCompressPictures="0"/>
  <bookViews>
    <workbookView xWindow="0" yWindow="40" windowWidth="15360" windowHeight="6260" firstSheet="1" activeTab="1"/>
  </bookViews>
  <sheets>
    <sheet name="Calculations" sheetId="1" state="hidden" r:id="rId1"/>
    <sheet name="Model" sheetId="3" r:id="rId2"/>
  </sheets>
  <calcPr calcId="130407"/>
  <extLst>
    <ext xmlns:mx="http://schemas.microsoft.com/office/mac/excel/2008/main" uri="http://schemas.microsoft.com/office/mac/excel/2008/main">
      <mx:ArchID Flags="2"/>
    </ext>
  </extLst>
</workbook>
</file>

<file path=xl/calcChain.xml><?xml version="1.0" encoding="utf-8"?>
<calcChain xmlns="http://schemas.openxmlformats.org/spreadsheetml/2006/main">
  <c r="A12" i="1"/>
  <c r="A22"/>
  <c r="G8"/>
  <c r="G9"/>
  <c r="G6"/>
  <c r="G7"/>
  <c r="J9"/>
  <c r="I8"/>
  <c r="I9"/>
  <c r="I6"/>
  <c r="J6"/>
  <c r="I5"/>
  <c r="J5"/>
  <c r="G5"/>
  <c r="I4"/>
  <c r="J4"/>
  <c r="H9"/>
  <c r="H8"/>
  <c r="E4"/>
  <c r="D7"/>
  <c r="D8"/>
  <c r="J8"/>
  <c r="D9"/>
  <c r="I7"/>
  <c r="J7"/>
  <c r="K14"/>
  <c r="K24"/>
  <c r="K16"/>
  <c r="K26"/>
  <c r="K17"/>
  <c r="K27"/>
  <c r="K18"/>
  <c r="K28"/>
  <c r="K13"/>
  <c r="K23"/>
  <c r="K15"/>
  <c r="K25"/>
  <c r="H14"/>
  <c r="H24"/>
  <c r="L15"/>
  <c r="L25"/>
  <c r="L16"/>
  <c r="L26"/>
  <c r="L17"/>
  <c r="L27"/>
  <c r="L18"/>
  <c r="L28"/>
  <c r="L13"/>
  <c r="L23"/>
  <c r="L14"/>
  <c r="L24"/>
  <c r="G17"/>
  <c r="G27"/>
  <c r="H17"/>
  <c r="H27"/>
  <c r="D13"/>
  <c r="D23"/>
  <c r="D18"/>
  <c r="D28"/>
  <c r="E14"/>
  <c r="E24"/>
  <c r="G16"/>
  <c r="G26"/>
  <c r="H15"/>
  <c r="H25"/>
  <c r="D17"/>
  <c r="D27"/>
  <c r="H18"/>
  <c r="H28"/>
  <c r="I13"/>
  <c r="I23"/>
  <c r="J14"/>
  <c r="J24"/>
  <c r="F14"/>
  <c r="F24"/>
  <c r="C15"/>
  <c r="C25"/>
  <c r="I14"/>
  <c r="I24"/>
  <c r="E13"/>
  <c r="E23"/>
  <c r="F18"/>
  <c r="F28"/>
  <c r="C17"/>
  <c r="C27"/>
  <c r="J17"/>
  <c r="J27"/>
  <c r="F15"/>
  <c r="F25"/>
  <c r="J18"/>
  <c r="J28"/>
  <c r="B17"/>
  <c r="B27"/>
  <c r="J16"/>
  <c r="J26"/>
  <c r="D14"/>
  <c r="D24"/>
  <c r="C13"/>
  <c r="C23"/>
  <c r="I18"/>
  <c r="I28"/>
  <c r="B16"/>
  <c r="B26"/>
  <c r="E17"/>
  <c r="E27"/>
  <c r="F16"/>
  <c r="F26"/>
  <c r="G13"/>
  <c r="G23"/>
  <c r="C14"/>
  <c r="C24"/>
  <c r="D15"/>
  <c r="D25"/>
  <c r="F17"/>
  <c r="F27"/>
  <c r="G14"/>
  <c r="G24"/>
  <c r="E16"/>
  <c r="E26"/>
  <c r="F13"/>
  <c r="F23"/>
  <c r="I17"/>
  <c r="I27"/>
  <c r="I15"/>
  <c r="I25"/>
  <c r="C18"/>
  <c r="C28"/>
  <c r="E15"/>
  <c r="E25"/>
  <c r="B18"/>
  <c r="B28"/>
  <c r="B14"/>
  <c r="B24"/>
  <c r="E18"/>
  <c r="E28"/>
  <c r="H16"/>
  <c r="H26"/>
  <c r="B13"/>
  <c r="B23"/>
  <c r="J15"/>
  <c r="J25"/>
  <c r="C16"/>
  <c r="C26"/>
  <c r="H13"/>
  <c r="H23"/>
  <c r="D16"/>
  <c r="D26"/>
  <c r="G15"/>
  <c r="G25"/>
  <c r="G18"/>
  <c r="G28"/>
  <c r="B15"/>
  <c r="B25"/>
  <c r="I16"/>
  <c r="I26"/>
  <c r="J13"/>
  <c r="J23"/>
  <c r="K35"/>
  <c r="K33"/>
  <c r="K37"/>
  <c r="K36"/>
  <c r="K38"/>
  <c r="K34"/>
  <c r="L36"/>
  <c r="F37"/>
  <c r="L37"/>
  <c r="I37"/>
  <c r="L34"/>
  <c r="L33"/>
  <c r="J33"/>
  <c r="L38"/>
  <c r="L35"/>
  <c r="J35"/>
  <c r="F33"/>
  <c r="I35"/>
  <c r="I33"/>
  <c r="J36"/>
  <c r="H34"/>
  <c r="E37"/>
  <c r="D33"/>
  <c r="G37"/>
  <c r="D38"/>
  <c r="H35"/>
  <c r="H33"/>
  <c r="E35"/>
  <c r="D35"/>
  <c r="D34"/>
  <c r="E33"/>
  <c r="I36"/>
  <c r="F36"/>
  <c r="J38"/>
  <c r="F34"/>
  <c r="I34"/>
  <c r="G36"/>
  <c r="H36"/>
  <c r="G38"/>
  <c r="E34"/>
  <c r="E38"/>
  <c r="E36"/>
  <c r="F35"/>
  <c r="J34"/>
  <c r="D36"/>
  <c r="G35"/>
  <c r="G34"/>
  <c r="I38"/>
  <c r="J37"/>
  <c r="H38"/>
  <c r="H37"/>
  <c r="G33"/>
  <c r="F38"/>
  <c r="D37"/>
  <c r="K31"/>
  <c r="K45"/>
  <c r="K47"/>
  <c r="K46"/>
  <c r="K48"/>
  <c r="L31"/>
  <c r="L46"/>
  <c r="F31"/>
  <c r="F47"/>
  <c r="L47"/>
  <c r="I47"/>
  <c r="L48"/>
  <c r="L45"/>
  <c r="J31"/>
  <c r="J45"/>
  <c r="I31"/>
  <c r="I45"/>
  <c r="J46"/>
  <c r="E31"/>
  <c r="E47"/>
  <c r="G47"/>
  <c r="D31"/>
  <c r="D48"/>
  <c r="H31"/>
  <c r="H45"/>
  <c r="E45"/>
  <c r="D45"/>
  <c r="I46"/>
  <c r="F46"/>
  <c r="J48"/>
  <c r="G31"/>
  <c r="G46"/>
  <c r="H46"/>
  <c r="G48"/>
  <c r="E48"/>
  <c r="E46"/>
  <c r="F45"/>
  <c r="D46"/>
  <c r="G45"/>
  <c r="I48"/>
  <c r="J47"/>
  <c r="H48"/>
  <c r="H47"/>
  <c r="F48"/>
  <c r="D47"/>
  <c r="K44"/>
  <c r="K50"/>
  <c r="F63"/>
  <c r="G44"/>
  <c r="G50"/>
  <c r="G51"/>
  <c r="E59"/>
  <c r="H59"/>
  <c r="E44"/>
  <c r="E50"/>
  <c r="E51"/>
  <c r="E57"/>
  <c r="F57"/>
  <c r="H44"/>
  <c r="H50"/>
  <c r="H51"/>
  <c r="E60"/>
  <c r="F60"/>
  <c r="I44"/>
  <c r="I50"/>
  <c r="I51"/>
  <c r="E61"/>
  <c r="F61"/>
  <c r="J44"/>
  <c r="J50"/>
  <c r="J51"/>
  <c r="E62"/>
  <c r="H62"/>
  <c r="F44"/>
  <c r="F50"/>
  <c r="F51"/>
  <c r="E58"/>
  <c r="F58"/>
  <c r="K51"/>
  <c r="E63"/>
  <c r="H63"/>
  <c r="I63"/>
  <c r="L44"/>
  <c r="L50"/>
  <c r="L51"/>
  <c r="E64"/>
  <c r="F64"/>
  <c r="H64"/>
  <c r="I64"/>
  <c r="F62"/>
  <c r="I62"/>
  <c r="H61"/>
  <c r="I61"/>
  <c r="I59"/>
  <c r="F59"/>
  <c r="H60"/>
  <c r="I60"/>
  <c r="H58"/>
  <c r="I58"/>
  <c r="D44"/>
  <c r="D50"/>
  <c r="D51"/>
  <c r="E56"/>
  <c r="H56"/>
  <c r="I56"/>
  <c r="F56"/>
  <c r="M27" i="3"/>
  <c r="M28"/>
  <c r="Y9"/>
  <c r="S29"/>
  <c r="Y15"/>
  <c r="T29"/>
  <c r="M29"/>
  <c r="Y8"/>
  <c r="Y14"/>
  <c r="Q31"/>
  <c r="Y20"/>
  <c r="Y21"/>
  <c r="T31"/>
  <c r="M31"/>
  <c r="T30"/>
  <c r="M30"/>
</calcChain>
</file>

<file path=xl/comments1.xml><?xml version="1.0" encoding="utf-8"?>
<comments xmlns="http://schemas.openxmlformats.org/spreadsheetml/2006/main">
  <authors>
    <author>DrTimPerkins</author>
  </authors>
  <commentList>
    <comment ref="B1" authorId="0">
      <text>
        <r>
          <rPr>
            <b/>
            <sz val="14"/>
            <color indexed="81"/>
            <rFont val="Tahoma"/>
            <family val="2"/>
          </rPr>
          <t>Disclaimer: This model calculates projected sap yield and net profits based upon known relationships between tubing aging and various management strategies under vacuum conditions. These results are for illustrative purposes only, and cannot be guaranteed for any particular operation.</t>
        </r>
      </text>
    </comment>
    <comment ref="B2" authorId="0">
      <text>
        <r>
          <rPr>
            <b/>
            <sz val="10"/>
            <color indexed="81"/>
            <rFont val="Tahoma"/>
            <family val="2"/>
          </rPr>
          <t>This figure shows the projected yield of sap from trees as a tubing system ages.  The effect of different management strategies (replacement and cleaning) are shown.</t>
        </r>
      </text>
    </comment>
    <comment ref="V2" authorId="0">
      <text>
        <r>
          <rPr>
            <b/>
            <sz val="10"/>
            <color indexed="81"/>
            <rFont val="Tahoma"/>
            <family val="2"/>
          </rPr>
          <t>This figure shows the projected average net profit (over years 2-6) for different management strategies (replacement and cleaning) compared to no cleaning or replacement.  Results are depicted as both a bar chart, and in the table below the chart.</t>
        </r>
      </text>
    </comment>
    <comment ref="X4" authorId="0">
      <text>
        <r>
          <rPr>
            <b/>
            <sz val="9"/>
            <color indexed="81"/>
            <rFont val="Tahoma"/>
            <family val="2"/>
          </rPr>
          <t xml:space="preserve">These calculators are be used to determine the cost of labor for different activities. Enter the pay rate ($/hr) and quantity handled per hour into the </t>
        </r>
        <r>
          <rPr>
            <b/>
            <sz val="9"/>
            <color indexed="10"/>
            <rFont val="Tahoma"/>
            <family val="2"/>
          </rPr>
          <t>RED</t>
        </r>
        <r>
          <rPr>
            <b/>
            <sz val="9"/>
            <color indexed="81"/>
            <rFont val="Tahoma"/>
            <family val="2"/>
          </rPr>
          <t xml:space="preserve"> boxes. The resulting labor cost (per drop) is shown and feeds into the labor section of the "Model Input Variables" box.</t>
        </r>
      </text>
    </comment>
    <comment ref="B19" authorId="0">
      <text>
        <r>
          <rPr>
            <b/>
            <sz val="10"/>
            <color indexed="81"/>
            <rFont val="Tahoma"/>
            <family val="2"/>
          </rPr>
          <t>This figure shows the projected net profit per tap for each year as a tubing system ages.  The effect of different management strategies (replacement and cleaning) are shown.</t>
        </r>
      </text>
    </comment>
    <comment ref="K24" authorId="0">
      <text>
        <r>
          <rPr>
            <b/>
            <sz val="11"/>
            <color indexed="81"/>
            <rFont val="Tahoma"/>
            <family val="2"/>
          </rPr>
          <t xml:space="preserve">Costs of materials and labor for different strategies can be input into </t>
        </r>
        <r>
          <rPr>
            <b/>
            <sz val="11"/>
            <color indexed="10"/>
            <rFont val="Tahoma"/>
            <family val="2"/>
          </rPr>
          <t>RED</t>
        </r>
        <r>
          <rPr>
            <b/>
            <sz val="11"/>
            <color indexed="81"/>
            <rFont val="Tahoma"/>
            <family val="2"/>
          </rPr>
          <t xml:space="preserve"> boxes.</t>
        </r>
      </text>
    </comment>
    <comment ref="V24" authorId="0">
      <text>
        <r>
          <rPr>
            <b/>
            <sz val="10"/>
            <color indexed="81"/>
            <rFont val="Tahoma"/>
            <family val="2"/>
          </rPr>
          <t xml:space="preserve">The "Model Input Variables" Box allows the user to input the costs of various materials and labor for different management strategies. Costs are placed into the </t>
        </r>
        <r>
          <rPr>
            <b/>
            <sz val="10"/>
            <color indexed="10"/>
            <rFont val="Tahoma"/>
            <family val="2"/>
          </rPr>
          <t>RED</t>
        </r>
        <r>
          <rPr>
            <b/>
            <sz val="10"/>
            <color indexed="81"/>
            <rFont val="Tahoma"/>
            <family val="2"/>
          </rPr>
          <t xml:space="preserve"> boxes.</t>
        </r>
      </text>
    </comment>
    <comment ref="Q27" authorId="0">
      <text>
        <r>
          <rPr>
            <b/>
            <sz val="9"/>
            <color indexed="81"/>
            <rFont val="Tahoma"/>
            <family val="2"/>
          </rPr>
          <t>Input Annual Cost per Spout</t>
        </r>
      </text>
    </comment>
    <comment ref="Q28" authorId="0">
      <text>
        <r>
          <rPr>
            <b/>
            <sz val="9"/>
            <color indexed="81"/>
            <rFont val="Tahoma"/>
            <family val="2"/>
          </rPr>
          <t>Input Annual Cost per CV or CV2</t>
        </r>
      </text>
    </comment>
    <comment ref="O29" authorId="0">
      <text>
        <r>
          <rPr>
            <b/>
            <sz val="9"/>
            <color indexed="81"/>
            <rFont val="Tahoma"/>
            <family val="2"/>
          </rPr>
          <t>Input Cost of Tubing to Make One Drop</t>
        </r>
      </text>
    </comment>
    <comment ref="P29" authorId="0">
      <text>
        <r>
          <rPr>
            <b/>
            <sz val="9"/>
            <color indexed="81"/>
            <rFont val="Tahoma"/>
            <family val="2"/>
          </rPr>
          <t>Insert Cost of Tee to Make One Drop</t>
        </r>
      </text>
    </comment>
    <comment ref="Q29" authorId="0">
      <text>
        <r>
          <rPr>
            <b/>
            <sz val="9"/>
            <color indexed="81"/>
            <rFont val="Tahoma"/>
            <family val="2"/>
          </rPr>
          <t>Input Annual Cost per Spout</t>
        </r>
      </text>
    </comment>
    <comment ref="S29" authorId="0">
      <text>
        <r>
          <rPr>
            <b/>
            <sz val="9"/>
            <color indexed="81"/>
            <rFont val="Tahoma"/>
            <family val="2"/>
          </rPr>
          <t>Use Drop Assembly Calculator on Right</t>
        </r>
      </text>
    </comment>
    <comment ref="T29" authorId="0">
      <text>
        <r>
          <rPr>
            <b/>
            <sz val="9"/>
            <color indexed="81"/>
            <rFont val="Tahoma"/>
            <family val="2"/>
          </rPr>
          <t>Use Drop Installation Calculator on Right</t>
        </r>
      </text>
    </comment>
    <comment ref="R30" authorId="0">
      <text>
        <r>
          <rPr>
            <b/>
            <sz val="9"/>
            <color indexed="81"/>
            <rFont val="Tahoma"/>
            <family val="2"/>
          </rPr>
          <t>Input Cost of Sanitizer to Clean One Drop/Spout</t>
        </r>
      </text>
    </comment>
    <comment ref="T30" authorId="0">
      <text>
        <r>
          <rPr>
            <b/>
            <sz val="9"/>
            <color indexed="81"/>
            <rFont val="Tahoma"/>
            <family val="2"/>
          </rPr>
          <t>Use Cleaning Labor Calculator on Right</t>
        </r>
      </text>
    </comment>
    <comment ref="Q31" authorId="0">
      <text>
        <r>
          <rPr>
            <b/>
            <sz val="9"/>
            <color indexed="81"/>
            <rFont val="Tahoma"/>
            <family val="2"/>
          </rPr>
          <t>Input Annual Cost per Spout</t>
        </r>
      </text>
    </comment>
    <comment ref="R31" authorId="0">
      <text>
        <r>
          <rPr>
            <b/>
            <sz val="9"/>
            <color indexed="81"/>
            <rFont val="Tahoma"/>
            <family val="2"/>
          </rPr>
          <t>Input Cost of Sanitizer to Clean One Drop/Spout</t>
        </r>
      </text>
    </comment>
    <comment ref="T31" authorId="0">
      <text>
        <r>
          <rPr>
            <b/>
            <sz val="9"/>
            <color indexed="81"/>
            <rFont val="Tahoma"/>
            <family val="2"/>
          </rPr>
          <t>Use Cleaning Labor Calculator on Right</t>
        </r>
      </text>
    </comment>
    <comment ref="M33" authorId="0">
      <text>
        <r>
          <rPr>
            <b/>
            <sz val="9"/>
            <color indexed="81"/>
            <rFont val="Tahoma"/>
            <family val="2"/>
          </rPr>
          <t>Input the maximum amount of sap (gal/tap) you anticipate for your tubing setup and vacuum level OR the yield you produced in the first year after retubing</t>
        </r>
      </text>
    </comment>
    <comment ref="M34" authorId="0">
      <text>
        <r>
          <rPr>
            <b/>
            <sz val="9"/>
            <color indexed="81"/>
            <rFont val="Tahoma"/>
            <family val="2"/>
          </rPr>
          <t>Input the value ($/gal) you place on your sap</t>
        </r>
      </text>
    </comment>
    <comment ref="X35" authorId="0">
      <text>
        <r>
          <rPr>
            <b/>
            <sz val="9"/>
            <color indexed="81"/>
            <rFont val="Tahoma"/>
            <family val="2"/>
          </rPr>
          <t>Send email if you have questions or comments</t>
        </r>
      </text>
    </comment>
  </commentList>
</comments>
</file>

<file path=xl/sharedStrings.xml><?xml version="1.0" encoding="utf-8"?>
<sst xmlns="http://schemas.openxmlformats.org/spreadsheetml/2006/main" count="137" uniqueCount="87">
  <si>
    <t>D x 3 = replace drops every third year</t>
  </si>
  <si>
    <t>D x 5 = replace drops every fifth year</t>
  </si>
  <si>
    <t>Cln = clean spouts and tubing each year</t>
  </si>
  <si>
    <t>Cln + S = clean drops &amp; replace spouts each yr</t>
  </si>
  <si>
    <t>&lt;------- Labor -------&gt;</t>
  </si>
  <si>
    <t xml:space="preserve">Timothy.Perkins@uvm.edu </t>
  </si>
  <si>
    <t>Spouts</t>
  </si>
  <si>
    <t>Nothing</t>
  </si>
  <si>
    <t>CV</t>
  </si>
  <si>
    <t>$ per tap gained</t>
  </si>
  <si>
    <t>Net Profit ($)</t>
  </si>
  <si>
    <t>Yrs</t>
  </si>
  <si>
    <t>$ sap value produced per tap</t>
  </si>
  <si>
    <t>Net Annual Profit ($)</t>
  </si>
  <si>
    <t>Net 5 Yr Profit ($)</t>
  </si>
  <si>
    <t>3 Yr</t>
  </si>
  <si>
    <t>4 Yr</t>
  </si>
  <si>
    <t>5 Yr</t>
  </si>
  <si>
    <t>2 Yr</t>
  </si>
  <si>
    <t>S</t>
  </si>
  <si>
    <t>D1</t>
  </si>
  <si>
    <t>D2</t>
  </si>
  <si>
    <t>D3</t>
  </si>
  <si>
    <t>D4</t>
  </si>
  <si>
    <t>D5</t>
  </si>
  <si>
    <t>Net Profit</t>
  </si>
  <si>
    <t>Strategy</t>
  </si>
  <si>
    <t xml:space="preserve">Baseline Gal sap </t>
  </si>
  <si>
    <t>Tubing</t>
  </si>
  <si>
    <t>Tee</t>
  </si>
  <si>
    <t>Spout</t>
  </si>
  <si>
    <t>Model Input Variables</t>
  </si>
  <si>
    <t>Effects of Replacement Strategies on Sap Yield and Net Profit</t>
  </si>
  <si>
    <t>Adv CV</t>
  </si>
  <si>
    <t>Net Prof</t>
  </si>
  <si>
    <t>5-Yr</t>
  </si>
  <si>
    <t>Annual</t>
  </si>
  <si>
    <t>Costs</t>
  </si>
  <si>
    <t>=</t>
  </si>
  <si>
    <t>D x 1</t>
  </si>
  <si>
    <t>D x 2</t>
  </si>
  <si>
    <t>D x 3</t>
  </si>
  <si>
    <t>D x 4</t>
  </si>
  <si>
    <t>D x 5</t>
  </si>
  <si>
    <t>Effects of Spout and Drop Sanitation Strategy on Sap Yield and Net Profit</t>
  </si>
  <si>
    <t>Clean+Spout</t>
  </si>
  <si>
    <t>Pay rate/hr</t>
  </si>
  <si>
    <t>Cost per tap</t>
  </si>
  <si>
    <t>Number drops cleaned/hr</t>
  </si>
  <si>
    <t>Number drops cleaned/min</t>
  </si>
  <si>
    <t>Clean Spouts+Drops</t>
  </si>
  <si>
    <t>Clean</t>
  </si>
  <si>
    <t>Cln</t>
  </si>
  <si>
    <t>Cln + S</t>
  </si>
  <si>
    <t>TOTAL COST</t>
  </si>
  <si>
    <t xml:space="preserve">                      &lt;--------------- Materials -------------------------&gt;</t>
  </si>
  <si>
    <t>Sanitizer</t>
  </si>
  <si>
    <t xml:space="preserve"> (price per gallon you value your sap)</t>
  </si>
  <si>
    <r>
      <t>gal</t>
    </r>
    <r>
      <rPr>
        <sz val="11"/>
        <color theme="1"/>
        <rFont val="Calibri"/>
        <family val="2"/>
        <scheme val="minor"/>
      </rPr>
      <t xml:space="preserve"> (estimated or actual production of sap first year after re-tubing)</t>
    </r>
  </si>
  <si>
    <t>Baseline Sap/Tap (gal)</t>
  </si>
  <si>
    <t>Value of Sap/Gal ($)</t>
  </si>
  <si>
    <t>Number drops installed/hr</t>
  </si>
  <si>
    <t>Number drops installed/min</t>
  </si>
  <si>
    <t>Number drops made/hr</t>
  </si>
  <si>
    <t>Number drops made/min</t>
  </si>
  <si>
    <t>Assembly cost per drop</t>
  </si>
  <si>
    <t>Installation cost per tap</t>
  </si>
  <si>
    <t>Drop Assembly Labor Calculations</t>
  </si>
  <si>
    <t>Drop Installation Labor Calculations</t>
  </si>
  <si>
    <t>Cleaning Labor Calculations</t>
  </si>
  <si>
    <r>
      <t xml:space="preserve">Install </t>
    </r>
    <r>
      <rPr>
        <b/>
        <i/>
        <u/>
        <sz val="11"/>
        <color theme="1"/>
        <rFont val="Calibri"/>
        <family val="2"/>
        <scheme val="minor"/>
      </rPr>
      <t>or</t>
    </r>
    <r>
      <rPr>
        <b/>
        <i/>
        <sz val="11"/>
        <color theme="1"/>
        <rFont val="Calibri"/>
        <family val="2"/>
        <scheme val="minor"/>
      </rPr>
      <t xml:space="preserve"> Clean</t>
    </r>
  </si>
  <si>
    <t>LABOR CALCULATIONS</t>
  </si>
  <si>
    <t>Hover here for description of Fig. 1.</t>
  </si>
  <si>
    <t>Hover here for description of Fig. 2.</t>
  </si>
  <si>
    <t>Hover here for description of Fig. 3.</t>
  </si>
  <si>
    <t>Hover here for description.</t>
  </si>
  <si>
    <t>LEGEND</t>
  </si>
  <si>
    <t>Clean &amp; Replace</t>
  </si>
  <si>
    <t>STRATEGY COST/TAP</t>
  </si>
  <si>
    <t>Drop &amp; Spout</t>
  </si>
  <si>
    <t>(use calculators on right)</t>
  </si>
  <si>
    <t>Assemble</t>
  </si>
  <si>
    <t>CV = use and replace CV spouts each year</t>
  </si>
  <si>
    <t>S = replace spouts each year</t>
  </si>
  <si>
    <t>D x 1 = replace drops each year</t>
  </si>
  <si>
    <t>D x 2 = replace drops every second year</t>
  </si>
  <si>
    <t>D x 4 = replace drops every fourth year</t>
  </si>
</sst>
</file>

<file path=xl/styles.xml><?xml version="1.0" encoding="utf-8"?>
<styleSheet xmlns="http://schemas.openxmlformats.org/spreadsheetml/2006/main">
  <numFmts count="2">
    <numFmt numFmtId="44" formatCode="_(&quot;$&quot;* #,##0.00_);_(&quot;$&quot;* \(#,##0.00\);_(&quot;$&quot;* &quot;-&quot;??_);_(@_)"/>
    <numFmt numFmtId="164" formatCode="0.0"/>
  </numFmts>
  <fonts count="37">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1"/>
      <color rgb="FF00B050"/>
      <name val="Calibri"/>
      <family val="2"/>
      <scheme val="minor"/>
    </font>
    <font>
      <b/>
      <sz val="11"/>
      <color rgb="FFFF0000"/>
      <name val="Calibri"/>
      <family val="2"/>
      <scheme val="minor"/>
    </font>
    <font>
      <b/>
      <sz val="11"/>
      <color rgb="FF0070C0"/>
      <name val="Calibri"/>
      <family val="2"/>
      <scheme val="minor"/>
    </font>
    <font>
      <b/>
      <i/>
      <sz val="11"/>
      <color theme="1"/>
      <name val="Calibri"/>
      <family val="2"/>
      <scheme val="minor"/>
    </font>
    <font>
      <b/>
      <sz val="16"/>
      <color theme="0"/>
      <name val="Calibri"/>
      <family val="2"/>
      <scheme val="minor"/>
    </font>
    <font>
      <b/>
      <sz val="11"/>
      <color theme="9" tint="-0.249977111117893"/>
      <name val="Calibri"/>
      <family val="2"/>
      <scheme val="minor"/>
    </font>
    <font>
      <sz val="20"/>
      <color theme="1"/>
      <name val="Calibri"/>
      <family val="2"/>
      <scheme val="minor"/>
    </font>
    <font>
      <b/>
      <i/>
      <sz val="12"/>
      <color theme="1"/>
      <name val="Calibri"/>
      <family val="2"/>
      <scheme val="minor"/>
    </font>
    <font>
      <b/>
      <sz val="11"/>
      <color rgb="FF7030A0"/>
      <name val="Calibri"/>
      <family val="2"/>
      <scheme val="minor"/>
    </font>
    <font>
      <b/>
      <sz val="9"/>
      <color indexed="81"/>
      <name val="Tahoma"/>
      <family val="2"/>
    </font>
    <font>
      <b/>
      <i/>
      <u/>
      <sz val="11"/>
      <color theme="1"/>
      <name val="Calibri"/>
      <family val="2"/>
      <scheme val="minor"/>
    </font>
    <font>
      <b/>
      <sz val="10"/>
      <color indexed="81"/>
      <name val="Tahoma"/>
      <family val="2"/>
    </font>
    <font>
      <b/>
      <sz val="10"/>
      <color indexed="10"/>
      <name val="Tahoma"/>
      <family val="2"/>
    </font>
    <font>
      <b/>
      <sz val="11"/>
      <color indexed="81"/>
      <name val="Tahoma"/>
      <family val="2"/>
    </font>
    <font>
      <b/>
      <sz val="11"/>
      <color indexed="10"/>
      <name val="Tahoma"/>
      <family val="2"/>
    </font>
    <font>
      <b/>
      <sz val="11"/>
      <color rgb="FFC00000"/>
      <name val="Calibri"/>
      <family val="2"/>
      <scheme val="minor"/>
    </font>
    <font>
      <b/>
      <i/>
      <sz val="18"/>
      <color theme="1"/>
      <name val="Calibri"/>
      <family val="2"/>
      <scheme val="minor"/>
    </font>
    <font>
      <sz val="18"/>
      <color theme="1"/>
      <name val="Calibri"/>
      <family val="2"/>
      <scheme val="minor"/>
    </font>
    <font>
      <sz val="11"/>
      <color theme="0"/>
      <name val="Calibri"/>
      <family val="2"/>
      <scheme val="minor"/>
    </font>
    <font>
      <b/>
      <i/>
      <sz val="7"/>
      <color theme="1"/>
      <name val="Calibri"/>
      <family val="2"/>
      <scheme val="minor"/>
    </font>
    <font>
      <sz val="11"/>
      <color rgb="FF0070C0"/>
      <name val="Calibri"/>
      <family val="2"/>
      <scheme val="minor"/>
    </font>
    <font>
      <b/>
      <sz val="14"/>
      <color indexed="81"/>
      <name val="Tahoma"/>
      <family val="2"/>
    </font>
    <font>
      <b/>
      <sz val="9"/>
      <color indexed="10"/>
      <name val="Tahoma"/>
      <family val="2"/>
    </font>
    <font>
      <b/>
      <sz val="10"/>
      <color rgb="FF00B050"/>
      <name val="Calibri"/>
      <family val="2"/>
      <scheme val="minor"/>
    </font>
    <font>
      <b/>
      <sz val="18"/>
      <color theme="1"/>
      <name val="Calibri"/>
      <family val="2"/>
      <scheme val="minor"/>
    </font>
    <font>
      <b/>
      <sz val="20"/>
      <color theme="1"/>
      <name val="Calibri"/>
      <family val="2"/>
      <scheme val="minor"/>
    </font>
    <font>
      <b/>
      <sz val="10"/>
      <color rgb="FF0070C0"/>
      <name val="Calibri"/>
      <family val="2"/>
      <scheme val="minor"/>
    </font>
    <font>
      <b/>
      <sz val="10"/>
      <color rgb="FFFF0000"/>
      <name val="Calibri"/>
      <family val="2"/>
      <scheme val="minor"/>
    </font>
    <font>
      <b/>
      <sz val="10"/>
      <color rgb="FFFFFF00"/>
      <name val="Calibri"/>
      <family val="2"/>
      <scheme val="minor"/>
    </font>
    <font>
      <b/>
      <sz val="10"/>
      <color rgb="FF7030A0"/>
      <name val="Calibri"/>
      <family val="2"/>
      <scheme val="minor"/>
    </font>
    <font>
      <b/>
      <sz val="10"/>
      <color theme="9" tint="-0.249977111117893"/>
      <name val="Calibri"/>
      <family val="2"/>
      <scheme val="minor"/>
    </font>
    <font>
      <u/>
      <sz val="11"/>
      <color theme="10"/>
      <name val="Calibri"/>
      <family val="2"/>
      <scheme val="minor"/>
    </font>
    <font>
      <sz val="8"/>
      <name val="Verdana"/>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CCFF"/>
        <bgColor indexed="64"/>
      </patternFill>
    </fill>
    <fill>
      <patternFill patternType="solid">
        <fgColor theme="0"/>
        <bgColor indexed="64"/>
      </patternFill>
    </fill>
    <fill>
      <patternFill patternType="solid">
        <fgColor theme="0" tint="-4.9989318521683403E-2"/>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bottom/>
      <diagonal/>
    </border>
    <border>
      <left style="thick">
        <color rgb="FFFF0000"/>
      </left>
      <right style="thick">
        <color rgb="FFFF0000"/>
      </right>
      <top style="thick">
        <color rgb="FFFF0000"/>
      </top>
      <bottom style="thick">
        <color rgb="FFFF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s>
  <cellStyleXfs count="3">
    <xf numFmtId="0" fontId="0" fillId="0" borderId="0"/>
    <xf numFmtId="44" fontId="1" fillId="0" borderId="0" applyFont="0" applyFill="0" applyBorder="0" applyAlignment="0" applyProtection="0"/>
    <xf numFmtId="0" fontId="35" fillId="0" borderId="0" applyNumberFormat="0" applyFill="0" applyBorder="0" applyAlignment="0" applyProtection="0"/>
  </cellStyleXfs>
  <cellXfs count="80">
    <xf numFmtId="0" fontId="0" fillId="0" borderId="0" xfId="0"/>
    <xf numFmtId="0" fontId="0" fillId="0" borderId="0" xfId="0" applyFill="1" applyBorder="1"/>
    <xf numFmtId="0" fontId="0" fillId="0" borderId="0" xfId="0" applyBorder="1"/>
    <xf numFmtId="0" fontId="7" fillId="0" borderId="0" xfId="0" applyFont="1" applyBorder="1" applyAlignment="1">
      <alignment horizontal="center"/>
    </xf>
    <xf numFmtId="0" fontId="2" fillId="0" borderId="0" xfId="0" applyFont="1" applyBorder="1"/>
    <xf numFmtId="0" fontId="7" fillId="0" borderId="0" xfId="0" applyFont="1" applyBorder="1" applyAlignment="1">
      <alignment horizontal="right"/>
    </xf>
    <xf numFmtId="0" fontId="10" fillId="0" borderId="0" xfId="0" applyFont="1" applyAlignment="1">
      <alignment horizontal="center"/>
    </xf>
    <xf numFmtId="0" fontId="2" fillId="0" borderId="4" xfId="0" applyFont="1" applyFill="1" applyBorder="1"/>
    <xf numFmtId="0" fontId="0" fillId="0" borderId="5" xfId="0" applyBorder="1"/>
    <xf numFmtId="0" fontId="7" fillId="0" borderId="4" xfId="0" applyFont="1" applyFill="1" applyBorder="1"/>
    <xf numFmtId="0" fontId="4" fillId="0" borderId="4" xfId="0" applyFont="1" applyBorder="1"/>
    <xf numFmtId="0" fontId="3" fillId="0" borderId="5" xfId="0" applyFont="1" applyBorder="1" applyAlignment="1">
      <alignment horizontal="right"/>
    </xf>
    <xf numFmtId="0" fontId="6" fillId="0" borderId="4" xfId="0" applyFont="1" applyBorder="1"/>
    <xf numFmtId="0" fontId="5" fillId="0" borderId="4" xfId="0" applyFont="1" applyBorder="1"/>
    <xf numFmtId="0" fontId="12" fillId="0" borderId="4" xfId="0" applyFont="1" applyFill="1" applyBorder="1"/>
    <xf numFmtId="0" fontId="9" fillId="0" borderId="4" xfId="0" applyFont="1" applyBorder="1"/>
    <xf numFmtId="0" fontId="2" fillId="0" borderId="4" xfId="0" applyFont="1" applyBorder="1"/>
    <xf numFmtId="0" fontId="2" fillId="0" borderId="6" xfId="0" applyFont="1" applyBorder="1"/>
    <xf numFmtId="0" fontId="0" fillId="0" borderId="7" xfId="0" applyBorder="1"/>
    <xf numFmtId="0" fontId="0" fillId="0" borderId="8" xfId="0" applyBorder="1"/>
    <xf numFmtId="0" fontId="3" fillId="4" borderId="2" xfId="0" applyFont="1" applyFill="1" applyBorder="1" applyAlignment="1">
      <alignment horizontal="center"/>
    </xf>
    <xf numFmtId="44" fontId="2" fillId="0" borderId="9" xfId="1" applyFont="1" applyFill="1" applyBorder="1"/>
    <xf numFmtId="0" fontId="11" fillId="4" borderId="2" xfId="0" applyFont="1" applyFill="1" applyBorder="1" applyAlignment="1">
      <alignment horizontal="center"/>
    </xf>
    <xf numFmtId="0" fontId="0" fillId="0" borderId="11" xfId="0" applyBorder="1"/>
    <xf numFmtId="0" fontId="2" fillId="2" borderId="18" xfId="0" applyFont="1" applyFill="1" applyBorder="1"/>
    <xf numFmtId="0" fontId="0" fillId="2" borderId="2" xfId="0" applyFill="1" applyBorder="1"/>
    <xf numFmtId="0" fontId="2" fillId="2" borderId="4" xfId="0" applyFont="1" applyFill="1" applyBorder="1"/>
    <xf numFmtId="0" fontId="0" fillId="2" borderId="0" xfId="0" applyFill="1" applyBorder="1"/>
    <xf numFmtId="0" fontId="0" fillId="5" borderId="3" xfId="0" applyFill="1" applyBorder="1"/>
    <xf numFmtId="0" fontId="0" fillId="5" borderId="4" xfId="0" applyFill="1" applyBorder="1"/>
    <xf numFmtId="0" fontId="0" fillId="5" borderId="5" xfId="0" applyFill="1" applyBorder="1"/>
    <xf numFmtId="164" fontId="0" fillId="5" borderId="0" xfId="0" applyNumberFormat="1" applyFill="1" applyBorder="1" applyAlignment="1">
      <alignment horizontal="right"/>
    </xf>
    <xf numFmtId="0" fontId="0" fillId="5" borderId="0" xfId="0" applyFill="1" applyBorder="1"/>
    <xf numFmtId="0" fontId="0" fillId="5" borderId="6" xfId="0" applyFill="1" applyBorder="1"/>
    <xf numFmtId="0" fontId="0" fillId="5" borderId="8" xfId="0" applyFill="1" applyBorder="1"/>
    <xf numFmtId="44" fontId="0" fillId="0" borderId="0" xfId="1" applyFont="1" applyBorder="1"/>
    <xf numFmtId="0" fontId="0" fillId="0" borderId="0" xfId="0" applyProtection="1">
      <protection locked="0"/>
    </xf>
    <xf numFmtId="0" fontId="22" fillId="0" borderId="0" xfId="0" applyFont="1"/>
    <xf numFmtId="44" fontId="0" fillId="6" borderId="10" xfId="1" applyFont="1" applyFill="1" applyBorder="1" applyProtection="1">
      <protection locked="0"/>
    </xf>
    <xf numFmtId="44" fontId="0" fillId="5" borderId="0" xfId="1" applyFont="1" applyFill="1" applyBorder="1" applyAlignment="1">
      <alignment horizontal="right"/>
    </xf>
    <xf numFmtId="0" fontId="24" fillId="0" borderId="0" xfId="0" applyFont="1"/>
    <xf numFmtId="44" fontId="22" fillId="0" borderId="0" xfId="1" applyFont="1"/>
    <xf numFmtId="44" fontId="0" fillId="5" borderId="7" xfId="1" applyFont="1" applyFill="1" applyBorder="1"/>
    <xf numFmtId="37" fontId="0" fillId="6" borderId="10" xfId="1" applyNumberFormat="1" applyFont="1" applyFill="1" applyBorder="1" applyProtection="1">
      <protection locked="0"/>
    </xf>
    <xf numFmtId="37" fontId="2" fillId="6" borderId="10" xfId="1" applyNumberFormat="1" applyFont="1" applyFill="1" applyBorder="1" applyProtection="1">
      <protection locked="0"/>
    </xf>
    <xf numFmtId="44" fontId="2" fillId="6" borderId="10" xfId="1" applyFont="1" applyFill="1" applyBorder="1" applyProtection="1">
      <protection locked="0"/>
    </xf>
    <xf numFmtId="44" fontId="1" fillId="6" borderId="10" xfId="1" applyFont="1" applyFill="1" applyBorder="1" applyProtection="1">
      <protection locked="0"/>
    </xf>
    <xf numFmtId="0" fontId="27" fillId="4" borderId="18" xfId="0" applyFont="1" applyFill="1" applyBorder="1"/>
    <xf numFmtId="0" fontId="0" fillId="4" borderId="2" xfId="0" applyFill="1" applyBorder="1"/>
    <xf numFmtId="0" fontId="0" fillId="4" borderId="3" xfId="0" applyFill="1" applyBorder="1"/>
    <xf numFmtId="0" fontId="30" fillId="4" borderId="4" xfId="0" applyFont="1" applyFill="1" applyBorder="1"/>
    <xf numFmtId="0" fontId="0" fillId="4" borderId="0" xfId="0" applyFill="1" applyBorder="1"/>
    <xf numFmtId="0" fontId="0" fillId="4" borderId="5" xfId="0" applyFill="1" applyBorder="1"/>
    <xf numFmtId="0" fontId="31" fillId="4" borderId="4" xfId="0" applyFont="1" applyFill="1" applyBorder="1"/>
    <xf numFmtId="0" fontId="32" fillId="4" borderId="4" xfId="0" applyFont="1" applyFill="1" applyBorder="1"/>
    <xf numFmtId="0" fontId="33" fillId="4" borderId="4" xfId="0" applyFont="1" applyFill="1" applyBorder="1"/>
    <xf numFmtId="0" fontId="0" fillId="4" borderId="7" xfId="0" applyFill="1" applyBorder="1"/>
    <xf numFmtId="0" fontId="0" fillId="4" borderId="8" xfId="0" applyFill="1" applyBorder="1"/>
    <xf numFmtId="44" fontId="2" fillId="7" borderId="1" xfId="1" applyFont="1" applyFill="1" applyBorder="1"/>
    <xf numFmtId="0" fontId="34" fillId="4" borderId="6" xfId="0" applyFont="1" applyFill="1" applyBorder="1"/>
    <xf numFmtId="0" fontId="35" fillId="0" borderId="0" xfId="2"/>
    <xf numFmtId="0" fontId="20" fillId="0" borderId="0" xfId="0" applyFont="1" applyAlignment="1">
      <alignment horizontal="center"/>
    </xf>
    <xf numFmtId="0" fontId="21" fillId="0" borderId="0" xfId="0" applyFont="1" applyAlignment="1">
      <alignment horizontal="center"/>
    </xf>
    <xf numFmtId="0" fontId="11" fillId="4" borderId="2" xfId="0" applyFont="1" applyFill="1" applyBorder="1" applyAlignment="1">
      <alignment horizontal="center"/>
    </xf>
    <xf numFmtId="0" fontId="0" fillId="0" borderId="2" xfId="0" applyBorder="1" applyAlignment="1"/>
    <xf numFmtId="0" fontId="0" fillId="0" borderId="3" xfId="0" applyBorder="1" applyAlignment="1"/>
    <xf numFmtId="0" fontId="8" fillId="3" borderId="12" xfId="0" applyFont="1" applyFill="1" applyBorder="1" applyAlignment="1"/>
    <xf numFmtId="0" fontId="0" fillId="0" borderId="13" xfId="0" applyBorder="1" applyAlignment="1"/>
    <xf numFmtId="0" fontId="0" fillId="0" borderId="14" xfId="0" applyBorder="1" applyAlignment="1"/>
    <xf numFmtId="0" fontId="28" fillId="0" borderId="7" xfId="0" applyFont="1" applyBorder="1" applyAlignment="1">
      <alignment horizontal="center"/>
    </xf>
    <xf numFmtId="0" fontId="21" fillId="0" borderId="7" xfId="0" applyFont="1" applyBorder="1" applyAlignment="1">
      <alignment horizontal="center"/>
    </xf>
    <xf numFmtId="0" fontId="19" fillId="2" borderId="15" xfId="0" applyFont="1" applyFill="1" applyBorder="1" applyAlignment="1">
      <alignment horizontal="center" vertical="center" textRotation="90"/>
    </xf>
    <xf numFmtId="0" fontId="19" fillId="2" borderId="16" xfId="0" applyFont="1" applyFill="1" applyBorder="1" applyAlignment="1">
      <alignment horizontal="center" vertical="center" textRotation="90"/>
    </xf>
    <xf numFmtId="0" fontId="19" fillId="2" borderId="17" xfId="0" applyFont="1" applyFill="1" applyBorder="1" applyAlignment="1">
      <alignment horizontal="center" vertical="center" textRotation="90"/>
    </xf>
    <xf numFmtId="0" fontId="29" fillId="0" borderId="0" xfId="0" applyFont="1" applyAlignment="1">
      <alignment horizontal="right"/>
    </xf>
    <xf numFmtId="0" fontId="10" fillId="0" borderId="7" xfId="0" applyFont="1" applyBorder="1" applyAlignment="1"/>
    <xf numFmtId="0" fontId="0" fillId="0" borderId="16" xfId="0" applyBorder="1" applyAlignment="1"/>
    <xf numFmtId="0" fontId="0" fillId="0" borderId="17" xfId="0" applyBorder="1" applyAlignment="1"/>
    <xf numFmtId="0" fontId="23" fillId="0" borderId="0" xfId="0" applyFont="1" applyBorder="1" applyAlignment="1">
      <alignment horizontal="center"/>
    </xf>
    <xf numFmtId="0" fontId="23" fillId="0" borderId="0" xfId="0" applyFont="1" applyAlignment="1">
      <alignment horizontal="center"/>
    </xf>
  </cellXfs>
  <cellStyles count="3">
    <cellStyle name="Currency" xfId="1" builtinId="4"/>
    <cellStyle name="Hyperlink" xfId="2" builtinId="8"/>
    <cellStyle name="Normal" xfId="0" builtinId="0"/>
  </cellStyles>
  <dxfs count="0"/>
  <tableStyles count="0" defaultTableStyle="TableStyleMedium2"/>
  <colors>
    <mruColors>
      <color rgb="FF006600"/>
      <color rgb="FFFFCCFF"/>
      <color rgb="FFCCFF99"/>
      <color rgb="FFFFFF99"/>
      <color rgb="FF66FF33"/>
      <color rgb="FF66FFFF"/>
      <color rgb="FFFF99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2"/>
  <c:chart>
    <c:autoTitleDeleted val="1"/>
    <c:plotArea>
      <c:layout>
        <c:manualLayout>
          <c:layoutTarget val="inner"/>
          <c:xMode val="edge"/>
          <c:yMode val="edge"/>
          <c:x val="0.13413456803652"/>
          <c:y val="0.0861103969983534"/>
          <c:w val="0.84313503826313"/>
          <c:h val="0.781902515028431"/>
        </c:manualLayout>
      </c:layout>
      <c:barChart>
        <c:barDir val="col"/>
        <c:grouping val="clustered"/>
        <c:ser>
          <c:idx val="1"/>
          <c:order val="0"/>
          <c:tx>
            <c:v>Net Profit</c:v>
          </c:tx>
          <c:spPr>
            <a:ln w="19050">
              <a:solidFill>
                <a:schemeClr val="tx1"/>
              </a:solidFill>
            </a:ln>
          </c:spPr>
          <c:dPt>
            <c:idx val="0"/>
            <c:spPr>
              <a:solidFill>
                <a:srgbClr val="00B050"/>
              </a:solidFill>
              <a:ln w="19050">
                <a:solidFill>
                  <a:schemeClr val="tx1"/>
                </a:solidFill>
              </a:ln>
            </c:spPr>
          </c:dPt>
          <c:dPt>
            <c:idx val="1"/>
            <c:spPr>
              <a:solidFill>
                <a:srgbClr val="0070C0"/>
              </a:solidFill>
              <a:ln w="19050">
                <a:solidFill>
                  <a:schemeClr val="tx1"/>
                </a:solidFill>
              </a:ln>
            </c:spPr>
          </c:dPt>
          <c:dPt>
            <c:idx val="2"/>
            <c:spPr>
              <a:solidFill>
                <a:srgbClr val="FF0000"/>
              </a:solidFill>
              <a:ln w="19050">
                <a:solidFill>
                  <a:schemeClr val="tx1"/>
                </a:solidFill>
              </a:ln>
            </c:spPr>
          </c:dPt>
          <c:dPt>
            <c:idx val="3"/>
            <c:spPr>
              <a:solidFill>
                <a:srgbClr val="FF0000"/>
              </a:solidFill>
              <a:ln w="19050">
                <a:solidFill>
                  <a:schemeClr val="tx1"/>
                </a:solidFill>
              </a:ln>
            </c:spPr>
          </c:dPt>
          <c:dPt>
            <c:idx val="4"/>
            <c:spPr>
              <a:solidFill>
                <a:srgbClr val="FFFF00"/>
              </a:solidFill>
              <a:ln w="19050">
                <a:solidFill>
                  <a:schemeClr val="tx1"/>
                </a:solidFill>
              </a:ln>
            </c:spPr>
          </c:dPt>
          <c:dPt>
            <c:idx val="5"/>
            <c:spPr>
              <a:solidFill>
                <a:srgbClr val="FF0000"/>
              </a:solidFill>
              <a:ln w="19050">
                <a:solidFill>
                  <a:schemeClr val="tx1"/>
                </a:solidFill>
              </a:ln>
            </c:spPr>
          </c:dPt>
          <c:dPt>
            <c:idx val="6"/>
            <c:spPr>
              <a:solidFill>
                <a:srgbClr val="FF0000"/>
              </a:solidFill>
              <a:ln w="19050">
                <a:solidFill>
                  <a:schemeClr val="tx1"/>
                </a:solidFill>
              </a:ln>
            </c:spPr>
          </c:dPt>
          <c:dPt>
            <c:idx val="7"/>
            <c:spPr>
              <a:solidFill>
                <a:srgbClr val="7030A0"/>
              </a:solidFill>
              <a:ln w="19050">
                <a:solidFill>
                  <a:schemeClr val="tx1"/>
                </a:solidFill>
              </a:ln>
            </c:spPr>
          </c:dPt>
          <c:dPt>
            <c:idx val="8"/>
            <c:spPr>
              <a:solidFill>
                <a:srgbClr val="FFC000"/>
              </a:solidFill>
              <a:ln w="19050">
                <a:solidFill>
                  <a:schemeClr val="tx1"/>
                </a:solidFill>
              </a:ln>
            </c:spPr>
          </c:dPt>
          <c:cat>
            <c:strRef>
              <c:f>Calculations!$D$56:$D$64</c:f>
              <c:strCache>
                <c:ptCount val="9"/>
                <c:pt idx="0">
                  <c:v>S</c:v>
                </c:pt>
                <c:pt idx="1">
                  <c:v>CV</c:v>
                </c:pt>
                <c:pt idx="2">
                  <c:v>D x 1</c:v>
                </c:pt>
                <c:pt idx="3">
                  <c:v>D x 2</c:v>
                </c:pt>
                <c:pt idx="4">
                  <c:v>D x 3</c:v>
                </c:pt>
                <c:pt idx="5">
                  <c:v>D x 4</c:v>
                </c:pt>
                <c:pt idx="6">
                  <c:v>D x 5</c:v>
                </c:pt>
                <c:pt idx="7">
                  <c:v>Cln</c:v>
                </c:pt>
                <c:pt idx="8">
                  <c:v>Cln + S</c:v>
                </c:pt>
              </c:strCache>
            </c:strRef>
          </c:cat>
          <c:val>
            <c:numRef>
              <c:f>Calculations!$E$56:$E$64</c:f>
              <c:numCache>
                <c:formatCode>_("$"* #,##0.00_);_("$"* \(#,##0.00\);_("$"* "-"??_);_(@_)</c:formatCode>
                <c:ptCount val="9"/>
                <c:pt idx="0">
                  <c:v>0.31275</c:v>
                </c:pt>
                <c:pt idx="1">
                  <c:v>0.744</c:v>
                </c:pt>
                <c:pt idx="2">
                  <c:v>-0.0626666666666669</c:v>
                </c:pt>
                <c:pt idx="3">
                  <c:v>0.480733333333333</c:v>
                </c:pt>
                <c:pt idx="4">
                  <c:v>0.542226666666666</c:v>
                </c:pt>
                <c:pt idx="5">
                  <c:v>0.484266666666667</c:v>
                </c:pt>
                <c:pt idx="6">
                  <c:v>0.324666666666667</c:v>
                </c:pt>
                <c:pt idx="7">
                  <c:v>0.117333333333333</c:v>
                </c:pt>
                <c:pt idx="8">
                  <c:v>0.219333333333333</c:v>
                </c:pt>
              </c:numCache>
            </c:numRef>
          </c:val>
        </c:ser>
        <c:dLbls/>
        <c:gapWidth val="25"/>
        <c:axId val="482310808"/>
        <c:axId val="482313768"/>
      </c:barChart>
      <c:catAx>
        <c:axId val="482310808"/>
        <c:scaling>
          <c:orientation val="minMax"/>
        </c:scaling>
        <c:axPos val="b"/>
        <c:numFmt formatCode="&quot;$&quot;#,##0.00" sourceLinked="0"/>
        <c:majorTickMark val="none"/>
        <c:tickLblPos val="nextTo"/>
        <c:crossAx val="482313768"/>
        <c:crosses val="autoZero"/>
        <c:auto val="1"/>
        <c:lblAlgn val="ctr"/>
        <c:lblOffset val="100"/>
      </c:catAx>
      <c:valAx>
        <c:axId val="482313768"/>
        <c:scaling>
          <c:orientation val="minMax"/>
        </c:scaling>
        <c:axPos val="l"/>
        <c:majorGridlines>
          <c:spPr>
            <a:ln>
              <a:prstDash val="dash"/>
            </a:ln>
          </c:spPr>
        </c:majorGridlines>
        <c:title>
          <c:tx>
            <c:rich>
              <a:bodyPr rot="-5400000" vert="horz"/>
              <a:lstStyle/>
              <a:p>
                <a:pPr>
                  <a:defRPr sz="1400"/>
                </a:pPr>
                <a:r>
                  <a:rPr lang="en-US" sz="1400"/>
                  <a:t>5-Yr Avg Annual Net Profit ($/tap)</a:t>
                </a:r>
              </a:p>
            </c:rich>
          </c:tx>
          <c:layout>
            <c:manualLayout>
              <c:xMode val="edge"/>
              <c:yMode val="edge"/>
              <c:x val="0.0206994726798037"/>
              <c:y val="0.14972575891074"/>
            </c:manualLayout>
          </c:layout>
        </c:title>
        <c:numFmt formatCode="&quot;$&quot;#,##0.00" sourceLinked="0"/>
        <c:majorTickMark val="none"/>
        <c:tickLblPos val="nextTo"/>
        <c:crossAx val="482310808"/>
        <c:crosses val="autoZero"/>
        <c:crossBetween val="between"/>
      </c:valAx>
      <c:dTable>
        <c:showHorzBorder val="1"/>
        <c:showVertBorder val="1"/>
        <c:showOutline val="1"/>
        <c:showKeys val="1"/>
      </c:dTable>
      <c:spPr>
        <a:solidFill>
          <a:schemeClr val="bg1">
            <a:lumMod val="95000"/>
          </a:schemeClr>
        </a:solidFill>
        <a:ln>
          <a:solidFill>
            <a:schemeClr val="tx1"/>
          </a:solidFill>
        </a:ln>
      </c:spPr>
    </c:plotArea>
    <c:plotVisOnly val="1"/>
    <c:dispBlanksAs val="gap"/>
  </c:chart>
  <c:spPr>
    <a:solidFill>
      <a:schemeClr val="bg1"/>
    </a:solidFill>
  </c:spPr>
  <c:txPr>
    <a:bodyPr/>
    <a:lstStyle/>
    <a:p>
      <a:pPr>
        <a:defRPr sz="1100" b="1"/>
      </a:pPr>
      <a:endParaRPr lang="en-US"/>
    </a:p>
  </c:txPr>
  <c:printSettings>
    <c:headerFooter/>
    <c:pageMargins b="0.75" l="0.7" r="0.7" t="0.75" header="0.3" footer="0.3"/>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lang val="en-US"/>
  <c:style val="2"/>
  <c:chart>
    <c:title>
      <c:tx>
        <c:rich>
          <a:bodyPr/>
          <a:lstStyle/>
          <a:p>
            <a:pPr>
              <a:defRPr sz="1400"/>
            </a:pPr>
            <a:r>
              <a:rPr lang="en-US" sz="1400"/>
              <a:t>Fig. 1. - Effect of Tubing Aging on Sap Yield</a:t>
            </a:r>
          </a:p>
        </c:rich>
      </c:tx>
      <c:layout>
        <c:manualLayout>
          <c:xMode val="edge"/>
          <c:yMode val="edge"/>
          <c:x val="0.186051393535123"/>
          <c:y val="0.00827679424769317"/>
        </c:manualLayout>
      </c:layout>
      <c:overlay val="1"/>
    </c:title>
    <c:plotArea>
      <c:layout>
        <c:manualLayout>
          <c:layoutTarget val="inner"/>
          <c:xMode val="edge"/>
          <c:yMode val="edge"/>
          <c:x val="0.121551667152717"/>
          <c:y val="0.0924276782516804"/>
          <c:w val="0.840343151550501"/>
          <c:h val="0.745947059147471"/>
        </c:manualLayout>
      </c:layout>
      <c:scatterChart>
        <c:scatterStyle val="lineMarker"/>
        <c:ser>
          <c:idx val="1"/>
          <c:order val="0"/>
          <c:tx>
            <c:v>No Replacement</c:v>
          </c:tx>
          <c:spPr>
            <a:ln w="28575">
              <a:noFill/>
            </a:ln>
          </c:spPr>
          <c:marker>
            <c:symbol val="circle"/>
            <c:size val="5"/>
            <c:spPr>
              <a:solidFill>
                <a:schemeClr val="tx1"/>
              </a:solidFill>
              <a:ln>
                <a:solidFill>
                  <a:schemeClr val="tx1"/>
                </a:solidFill>
              </a:ln>
            </c:spPr>
          </c:marker>
          <c:trendline>
            <c:spPr>
              <a:ln w="28575">
                <a:solidFill>
                  <a:schemeClr val="tx1"/>
                </a:solidFill>
              </a:ln>
            </c:spPr>
            <c:trendlineType val="log"/>
          </c:trendline>
          <c:xVal>
            <c:numRef>
              <c:f>Calculations!$A$13:$A$18</c:f>
              <c:numCache>
                <c:formatCode>General</c:formatCode>
                <c:ptCount val="6"/>
                <c:pt idx="0">
                  <c:v>1.0</c:v>
                </c:pt>
                <c:pt idx="1">
                  <c:v>2.0</c:v>
                </c:pt>
                <c:pt idx="2">
                  <c:v>3.0</c:v>
                </c:pt>
                <c:pt idx="3">
                  <c:v>4.0</c:v>
                </c:pt>
                <c:pt idx="4">
                  <c:v>5.0</c:v>
                </c:pt>
                <c:pt idx="5">
                  <c:v>6.0</c:v>
                </c:pt>
              </c:numCache>
            </c:numRef>
          </c:xVal>
          <c:yVal>
            <c:numRef>
              <c:f>Calculations!$C$13:$C$18</c:f>
              <c:numCache>
                <c:formatCode>General</c:formatCode>
                <c:ptCount val="6"/>
                <c:pt idx="0">
                  <c:v>20.0</c:v>
                </c:pt>
                <c:pt idx="1">
                  <c:v>17.1</c:v>
                </c:pt>
                <c:pt idx="2">
                  <c:v>15.6</c:v>
                </c:pt>
                <c:pt idx="3">
                  <c:v>14.4</c:v>
                </c:pt>
                <c:pt idx="4">
                  <c:v>13.6</c:v>
                </c:pt>
                <c:pt idx="5">
                  <c:v>12.9</c:v>
                </c:pt>
              </c:numCache>
            </c:numRef>
          </c:yVal>
        </c:ser>
        <c:ser>
          <c:idx val="2"/>
          <c:order val="1"/>
          <c:tx>
            <c:v>Spouts</c:v>
          </c:tx>
          <c:spPr>
            <a:ln w="28575">
              <a:solidFill>
                <a:srgbClr val="00B050"/>
              </a:solidFill>
            </a:ln>
          </c:spPr>
          <c:marker>
            <c:symbol val="circle"/>
            <c:size val="5"/>
            <c:spPr>
              <a:solidFill>
                <a:srgbClr val="00B050"/>
              </a:solidFill>
              <a:ln>
                <a:solidFill>
                  <a:schemeClr val="tx1"/>
                </a:solidFill>
              </a:ln>
            </c:spPr>
          </c:marker>
          <c:xVal>
            <c:numRef>
              <c:f>Calculations!$A$13:$A$18</c:f>
              <c:numCache>
                <c:formatCode>General</c:formatCode>
                <c:ptCount val="6"/>
                <c:pt idx="0">
                  <c:v>1.0</c:v>
                </c:pt>
                <c:pt idx="1">
                  <c:v>2.0</c:v>
                </c:pt>
                <c:pt idx="2">
                  <c:v>3.0</c:v>
                </c:pt>
                <c:pt idx="3">
                  <c:v>4.0</c:v>
                </c:pt>
                <c:pt idx="4">
                  <c:v>5.0</c:v>
                </c:pt>
                <c:pt idx="5">
                  <c:v>6.0</c:v>
                </c:pt>
              </c:numCache>
            </c:numRef>
          </c:xVal>
          <c:yVal>
            <c:numRef>
              <c:f>Calculations!$D$13:$D$18</c:f>
              <c:numCache>
                <c:formatCode>General</c:formatCode>
                <c:ptCount val="6"/>
                <c:pt idx="0">
                  <c:v>20.0</c:v>
                </c:pt>
                <c:pt idx="1">
                  <c:v>18.5</c:v>
                </c:pt>
                <c:pt idx="2">
                  <c:v>17.3</c:v>
                </c:pt>
                <c:pt idx="3">
                  <c:v>16.2</c:v>
                </c:pt>
                <c:pt idx="4">
                  <c:v>15.3</c:v>
                </c:pt>
                <c:pt idx="5">
                  <c:v>14.5125</c:v>
                </c:pt>
              </c:numCache>
            </c:numRef>
          </c:yVal>
          <c:smooth val="1"/>
        </c:ser>
        <c:ser>
          <c:idx val="4"/>
          <c:order val="2"/>
          <c:tx>
            <c:v>Check-valves</c:v>
          </c:tx>
          <c:spPr>
            <a:ln w="28575">
              <a:solidFill>
                <a:srgbClr val="0070C0"/>
              </a:solidFill>
            </a:ln>
          </c:spPr>
          <c:marker>
            <c:symbol val="circle"/>
            <c:size val="5"/>
            <c:spPr>
              <a:solidFill>
                <a:srgbClr val="0070C0"/>
              </a:solidFill>
              <a:ln>
                <a:solidFill>
                  <a:schemeClr val="tx1"/>
                </a:solidFill>
              </a:ln>
            </c:spPr>
          </c:marker>
          <c:xVal>
            <c:numRef>
              <c:f>Calculations!$A$13:$A$18</c:f>
              <c:numCache>
                <c:formatCode>General</c:formatCode>
                <c:ptCount val="6"/>
                <c:pt idx="0">
                  <c:v>1.0</c:v>
                </c:pt>
                <c:pt idx="1">
                  <c:v>2.0</c:v>
                </c:pt>
                <c:pt idx="2">
                  <c:v>3.0</c:v>
                </c:pt>
                <c:pt idx="3">
                  <c:v>4.0</c:v>
                </c:pt>
                <c:pt idx="4">
                  <c:v>5.0</c:v>
                </c:pt>
                <c:pt idx="5">
                  <c:v>6.0</c:v>
                </c:pt>
              </c:numCache>
            </c:numRef>
          </c:xVal>
          <c:yVal>
            <c:numRef>
              <c:f>Calculations!$E$13:$E$18</c:f>
              <c:numCache>
                <c:formatCode>General</c:formatCode>
                <c:ptCount val="6"/>
                <c:pt idx="0">
                  <c:v>20.0</c:v>
                </c:pt>
                <c:pt idx="1">
                  <c:v>19.2</c:v>
                </c:pt>
                <c:pt idx="2">
                  <c:v>18.8</c:v>
                </c:pt>
                <c:pt idx="3">
                  <c:v>18.4</c:v>
                </c:pt>
                <c:pt idx="4">
                  <c:v>18.0</c:v>
                </c:pt>
                <c:pt idx="5">
                  <c:v>17.6</c:v>
                </c:pt>
              </c:numCache>
            </c:numRef>
          </c:yVal>
          <c:smooth val="1"/>
        </c:ser>
        <c:ser>
          <c:idx val="3"/>
          <c:order val="3"/>
          <c:tx>
            <c:v>Drops x 1 Yr</c:v>
          </c:tx>
          <c:spPr>
            <a:ln w="28575">
              <a:solidFill>
                <a:srgbClr val="FF0000"/>
              </a:solidFill>
            </a:ln>
          </c:spPr>
          <c:marker>
            <c:symbol val="circle"/>
            <c:size val="5"/>
            <c:spPr>
              <a:solidFill>
                <a:srgbClr val="FF0000"/>
              </a:solidFill>
              <a:ln>
                <a:solidFill>
                  <a:schemeClr val="tx1"/>
                </a:solidFill>
              </a:ln>
            </c:spPr>
          </c:marker>
          <c:xVal>
            <c:numRef>
              <c:f>Calculations!$A$13:$A$18</c:f>
              <c:numCache>
                <c:formatCode>General</c:formatCode>
                <c:ptCount val="6"/>
                <c:pt idx="0">
                  <c:v>1.0</c:v>
                </c:pt>
                <c:pt idx="1">
                  <c:v>2.0</c:v>
                </c:pt>
                <c:pt idx="2">
                  <c:v>3.0</c:v>
                </c:pt>
                <c:pt idx="3">
                  <c:v>4.0</c:v>
                </c:pt>
                <c:pt idx="4">
                  <c:v>5.0</c:v>
                </c:pt>
                <c:pt idx="5">
                  <c:v>6.0</c:v>
                </c:pt>
              </c:numCache>
            </c:numRef>
          </c:xVal>
          <c:yVal>
            <c:numRef>
              <c:f>Calculations!$F$13:$F$18</c:f>
              <c:numCache>
                <c:formatCode>General</c:formatCode>
                <c:ptCount val="6"/>
                <c:pt idx="0">
                  <c:v>20.0</c:v>
                </c:pt>
                <c:pt idx="1">
                  <c:v>19.8</c:v>
                </c:pt>
                <c:pt idx="2">
                  <c:v>19.6</c:v>
                </c:pt>
                <c:pt idx="3">
                  <c:v>19.4</c:v>
                </c:pt>
                <c:pt idx="4">
                  <c:v>19.2</c:v>
                </c:pt>
                <c:pt idx="5">
                  <c:v>19.0</c:v>
                </c:pt>
              </c:numCache>
            </c:numRef>
          </c:yVal>
          <c:smooth val="1"/>
        </c:ser>
        <c:ser>
          <c:idx val="0"/>
          <c:order val="4"/>
          <c:tx>
            <c:v>Drops x 3 Yrs</c:v>
          </c:tx>
          <c:spPr>
            <a:ln w="28575">
              <a:solidFill>
                <a:srgbClr val="FFFF00"/>
              </a:solidFill>
              <a:prstDash val="solid"/>
            </a:ln>
          </c:spPr>
          <c:marker>
            <c:symbol val="circle"/>
            <c:size val="5"/>
            <c:spPr>
              <a:solidFill>
                <a:srgbClr val="FFFF00"/>
              </a:solidFill>
              <a:ln>
                <a:solidFill>
                  <a:schemeClr val="tx1"/>
                </a:solidFill>
              </a:ln>
            </c:spPr>
          </c:marker>
          <c:xVal>
            <c:numRef>
              <c:f>Calculations!$A$13:$A$18</c:f>
              <c:numCache>
                <c:formatCode>General</c:formatCode>
                <c:ptCount val="6"/>
                <c:pt idx="0">
                  <c:v>1.0</c:v>
                </c:pt>
                <c:pt idx="1">
                  <c:v>2.0</c:v>
                </c:pt>
                <c:pt idx="2">
                  <c:v>3.0</c:v>
                </c:pt>
                <c:pt idx="3">
                  <c:v>4.0</c:v>
                </c:pt>
                <c:pt idx="4">
                  <c:v>5.0</c:v>
                </c:pt>
                <c:pt idx="5">
                  <c:v>6.0</c:v>
                </c:pt>
              </c:numCache>
            </c:numRef>
          </c:xVal>
          <c:yVal>
            <c:numRef>
              <c:f>Calculations!$H$13:$H$18</c:f>
              <c:numCache>
                <c:formatCode>General</c:formatCode>
                <c:ptCount val="6"/>
                <c:pt idx="0">
                  <c:v>20.0</c:v>
                </c:pt>
                <c:pt idx="1">
                  <c:v>18.5</c:v>
                </c:pt>
                <c:pt idx="2">
                  <c:v>17.3</c:v>
                </c:pt>
                <c:pt idx="3">
                  <c:v>19.4</c:v>
                </c:pt>
                <c:pt idx="4">
                  <c:v>17.945</c:v>
                </c:pt>
                <c:pt idx="5">
                  <c:v>16.781</c:v>
                </c:pt>
              </c:numCache>
            </c:numRef>
          </c:yVal>
        </c:ser>
        <c:ser>
          <c:idx val="6"/>
          <c:order val="5"/>
          <c:tx>
            <c:strRef>
              <c:f>Calculations!$D$63</c:f>
              <c:strCache>
                <c:ptCount val="1"/>
                <c:pt idx="0">
                  <c:v>Cln</c:v>
                </c:pt>
              </c:strCache>
            </c:strRef>
          </c:tx>
          <c:spPr>
            <a:ln w="28575">
              <a:solidFill>
                <a:srgbClr val="7030A0"/>
              </a:solidFill>
            </a:ln>
          </c:spPr>
          <c:marker>
            <c:symbol val="circle"/>
            <c:size val="5"/>
            <c:spPr>
              <a:solidFill>
                <a:srgbClr val="7030A0"/>
              </a:solidFill>
              <a:ln>
                <a:solidFill>
                  <a:schemeClr val="tx1"/>
                </a:solidFill>
              </a:ln>
            </c:spPr>
          </c:marker>
          <c:xVal>
            <c:numRef>
              <c:f>Calculations!$A$13:$A$18</c:f>
              <c:numCache>
                <c:formatCode>General</c:formatCode>
                <c:ptCount val="6"/>
                <c:pt idx="0">
                  <c:v>1.0</c:v>
                </c:pt>
                <c:pt idx="1">
                  <c:v>2.0</c:v>
                </c:pt>
                <c:pt idx="2">
                  <c:v>3.0</c:v>
                </c:pt>
                <c:pt idx="3">
                  <c:v>4.0</c:v>
                </c:pt>
                <c:pt idx="4">
                  <c:v>5.0</c:v>
                </c:pt>
                <c:pt idx="5">
                  <c:v>6.0</c:v>
                </c:pt>
              </c:numCache>
            </c:numRef>
          </c:xVal>
          <c:yVal>
            <c:numRef>
              <c:f>Calculations!$K$13:$K$18</c:f>
              <c:numCache>
                <c:formatCode>General</c:formatCode>
                <c:ptCount val="6"/>
                <c:pt idx="0">
                  <c:v>20.0</c:v>
                </c:pt>
                <c:pt idx="1">
                  <c:v>18.2</c:v>
                </c:pt>
                <c:pt idx="2">
                  <c:v>17.0</c:v>
                </c:pt>
                <c:pt idx="3">
                  <c:v>15.9</c:v>
                </c:pt>
                <c:pt idx="4">
                  <c:v>14.9</c:v>
                </c:pt>
                <c:pt idx="5">
                  <c:v>14.0</c:v>
                </c:pt>
              </c:numCache>
            </c:numRef>
          </c:yVal>
        </c:ser>
        <c:ser>
          <c:idx val="5"/>
          <c:order val="6"/>
          <c:tx>
            <c:strRef>
              <c:f>Calculations!$D$64</c:f>
              <c:strCache>
                <c:ptCount val="1"/>
                <c:pt idx="0">
                  <c:v>Cln + S</c:v>
                </c:pt>
              </c:strCache>
            </c:strRef>
          </c:tx>
          <c:spPr>
            <a:ln w="28575">
              <a:solidFill>
                <a:srgbClr val="FFC000"/>
              </a:solidFill>
            </a:ln>
          </c:spPr>
          <c:marker>
            <c:symbol val="circle"/>
            <c:size val="5"/>
            <c:spPr>
              <a:solidFill>
                <a:srgbClr val="FFC000"/>
              </a:solidFill>
              <a:ln>
                <a:solidFill>
                  <a:schemeClr val="tx1"/>
                </a:solidFill>
              </a:ln>
            </c:spPr>
          </c:marker>
          <c:xVal>
            <c:numRef>
              <c:f>Calculations!$A$13:$A$18</c:f>
              <c:numCache>
                <c:formatCode>General</c:formatCode>
                <c:ptCount val="6"/>
                <c:pt idx="0">
                  <c:v>1.0</c:v>
                </c:pt>
                <c:pt idx="1">
                  <c:v>2.0</c:v>
                </c:pt>
                <c:pt idx="2">
                  <c:v>3.0</c:v>
                </c:pt>
                <c:pt idx="3">
                  <c:v>4.0</c:v>
                </c:pt>
                <c:pt idx="4">
                  <c:v>5.0</c:v>
                </c:pt>
                <c:pt idx="5">
                  <c:v>6.0</c:v>
                </c:pt>
              </c:numCache>
            </c:numRef>
          </c:xVal>
          <c:yVal>
            <c:numRef>
              <c:f>Calculations!$L$13:$L$18</c:f>
              <c:numCache>
                <c:formatCode>General</c:formatCode>
                <c:ptCount val="6"/>
                <c:pt idx="0">
                  <c:v>20.0</c:v>
                </c:pt>
                <c:pt idx="1">
                  <c:v>18.8</c:v>
                </c:pt>
                <c:pt idx="2">
                  <c:v>17.8</c:v>
                </c:pt>
                <c:pt idx="3">
                  <c:v>16.9</c:v>
                </c:pt>
                <c:pt idx="4">
                  <c:v>16.0</c:v>
                </c:pt>
                <c:pt idx="5">
                  <c:v>15.2</c:v>
                </c:pt>
              </c:numCache>
            </c:numRef>
          </c:yVal>
          <c:smooth val="1"/>
        </c:ser>
        <c:dLbls/>
        <c:axId val="482247144"/>
        <c:axId val="482266552"/>
      </c:scatterChart>
      <c:valAx>
        <c:axId val="482247144"/>
        <c:scaling>
          <c:orientation val="minMax"/>
        </c:scaling>
        <c:axPos val="b"/>
        <c:title>
          <c:tx>
            <c:rich>
              <a:bodyPr/>
              <a:lstStyle/>
              <a:p>
                <a:pPr>
                  <a:defRPr sz="1200"/>
                </a:pPr>
                <a:r>
                  <a:rPr lang="en-US" sz="1200"/>
                  <a:t>Year</a:t>
                </a:r>
              </a:p>
            </c:rich>
          </c:tx>
          <c:layout/>
        </c:title>
        <c:numFmt formatCode="General" sourceLinked="1"/>
        <c:tickLblPos val="nextTo"/>
        <c:txPr>
          <a:bodyPr/>
          <a:lstStyle/>
          <a:p>
            <a:pPr>
              <a:defRPr b="1"/>
            </a:pPr>
            <a:endParaRPr lang="en-US"/>
          </a:p>
        </c:txPr>
        <c:crossAx val="482266552"/>
        <c:crosses val="autoZero"/>
        <c:crossBetween val="midCat"/>
      </c:valAx>
      <c:valAx>
        <c:axId val="482266552"/>
        <c:scaling>
          <c:orientation val="minMax"/>
        </c:scaling>
        <c:axPos val="l"/>
        <c:majorGridlines>
          <c:spPr>
            <a:ln>
              <a:prstDash val="dash"/>
            </a:ln>
          </c:spPr>
        </c:majorGridlines>
        <c:title>
          <c:tx>
            <c:rich>
              <a:bodyPr rot="-5400000" vert="horz"/>
              <a:lstStyle/>
              <a:p>
                <a:pPr>
                  <a:defRPr sz="1200"/>
                </a:pPr>
                <a:r>
                  <a:rPr lang="en-US" sz="1200"/>
                  <a:t>Sap Yield (gal sap/tap)</a:t>
                </a:r>
              </a:p>
            </c:rich>
          </c:tx>
          <c:layout>
            <c:manualLayout>
              <c:xMode val="edge"/>
              <c:yMode val="edge"/>
              <c:x val="0.0195178772682233"/>
              <c:y val="0.216573405754836"/>
            </c:manualLayout>
          </c:layout>
        </c:title>
        <c:numFmt formatCode="0" sourceLinked="0"/>
        <c:tickLblPos val="nextTo"/>
        <c:txPr>
          <a:bodyPr/>
          <a:lstStyle/>
          <a:p>
            <a:pPr>
              <a:defRPr b="1"/>
            </a:pPr>
            <a:endParaRPr lang="en-US"/>
          </a:p>
        </c:txPr>
        <c:crossAx val="482247144"/>
        <c:crosses val="autoZero"/>
        <c:crossBetween val="midCat"/>
      </c:valAx>
      <c:spPr>
        <a:solidFill>
          <a:schemeClr val="bg1">
            <a:lumMod val="95000"/>
          </a:schemeClr>
        </a:solidFill>
        <a:ln w="12700">
          <a:solidFill>
            <a:schemeClr val="tx1"/>
          </a:solidFill>
        </a:ln>
      </c:spPr>
    </c:plotArea>
    <c:legend>
      <c:legendPos val="r"/>
      <c:legendEntry>
        <c:idx val="7"/>
        <c:delete val="1"/>
      </c:legendEntry>
      <c:layout>
        <c:manualLayout>
          <c:xMode val="edge"/>
          <c:yMode val="edge"/>
          <c:x val="0.131172811705266"/>
          <c:y val="0.401724049293302"/>
          <c:w val="0.212438798821327"/>
          <c:h val="0.41887258983173"/>
        </c:manualLayout>
      </c:layout>
      <c:overlay val="1"/>
      <c:spPr>
        <a:solidFill>
          <a:schemeClr val="bg1"/>
        </a:solidFill>
        <a:ln>
          <a:solidFill>
            <a:schemeClr val="tx1"/>
          </a:solidFill>
        </a:ln>
      </c:spPr>
      <c:txPr>
        <a:bodyPr/>
        <a:lstStyle/>
        <a:p>
          <a:pPr>
            <a:defRPr sz="800" b="1"/>
          </a:pPr>
          <a:endParaRPr lang="en-US"/>
        </a:p>
      </c:txPr>
    </c:legend>
    <c:plotVisOnly val="1"/>
    <c:dispBlanksAs val="gap"/>
  </c:chart>
  <c:printSettings>
    <c:headerFooter/>
    <c:pageMargins b="0.75" l="0.7" r="0.7" t="0.75" header="0.3" footer="0.3"/>
    <c:pageSetup orientation="landscape"/>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lang val="en-US"/>
  <c:style val="2"/>
  <c:chart>
    <c:title>
      <c:tx>
        <c:rich>
          <a:bodyPr/>
          <a:lstStyle/>
          <a:p>
            <a:pPr>
              <a:defRPr sz="1400"/>
            </a:pPr>
            <a:r>
              <a:rPr lang="en-US" sz="1400"/>
              <a:t>Fig. 2. - Effect of Tubing Aging on Net Profit</a:t>
            </a:r>
          </a:p>
        </c:rich>
      </c:tx>
      <c:layout>
        <c:manualLayout>
          <c:xMode val="edge"/>
          <c:yMode val="edge"/>
          <c:x val="0.178844450445226"/>
          <c:y val="0.018808768144167"/>
        </c:manualLayout>
      </c:layout>
      <c:overlay val="1"/>
    </c:title>
    <c:plotArea>
      <c:layout>
        <c:manualLayout>
          <c:layoutTarget val="inner"/>
          <c:xMode val="edge"/>
          <c:yMode val="edge"/>
          <c:x val="0.124547622652938"/>
          <c:y val="0.0943997537184496"/>
          <c:w val="0.840162401574803"/>
          <c:h val="0.767605467355877"/>
        </c:manualLayout>
      </c:layout>
      <c:scatterChart>
        <c:scatterStyle val="lineMarker"/>
        <c:ser>
          <c:idx val="2"/>
          <c:order val="0"/>
          <c:spPr>
            <a:ln w="28575">
              <a:solidFill>
                <a:srgbClr val="00B050"/>
              </a:solidFill>
            </a:ln>
          </c:spPr>
          <c:marker>
            <c:symbol val="circle"/>
            <c:size val="5"/>
            <c:spPr>
              <a:solidFill>
                <a:srgbClr val="00B050"/>
              </a:solidFill>
              <a:ln>
                <a:solidFill>
                  <a:schemeClr val="tx1"/>
                </a:solidFill>
              </a:ln>
            </c:spPr>
          </c:marker>
          <c:xVal>
            <c:numRef>
              <c:f>Calculations!$A$13:$A$18</c:f>
              <c:numCache>
                <c:formatCode>General</c:formatCode>
                <c:ptCount val="6"/>
                <c:pt idx="0">
                  <c:v>1.0</c:v>
                </c:pt>
                <c:pt idx="1">
                  <c:v>2.0</c:v>
                </c:pt>
                <c:pt idx="2">
                  <c:v>3.0</c:v>
                </c:pt>
                <c:pt idx="3">
                  <c:v>4.0</c:v>
                </c:pt>
                <c:pt idx="4">
                  <c:v>5.0</c:v>
                </c:pt>
                <c:pt idx="5">
                  <c:v>6.0</c:v>
                </c:pt>
              </c:numCache>
            </c:numRef>
          </c:xVal>
          <c:yVal>
            <c:numRef>
              <c:f>Calculations!$D$43:$D$48</c:f>
              <c:numCache>
                <c:formatCode>General</c:formatCode>
                <c:ptCount val="6"/>
                <c:pt idx="0">
                  <c:v>0.0</c:v>
                </c:pt>
                <c:pt idx="1">
                  <c:v>0.24</c:v>
                </c:pt>
                <c:pt idx="2">
                  <c:v>0.33</c:v>
                </c:pt>
                <c:pt idx="3">
                  <c:v>0.360000000000001</c:v>
                </c:pt>
                <c:pt idx="4">
                  <c:v>0.33</c:v>
                </c:pt>
                <c:pt idx="5">
                  <c:v>0.30375</c:v>
                </c:pt>
              </c:numCache>
            </c:numRef>
          </c:yVal>
          <c:smooth val="1"/>
        </c:ser>
        <c:ser>
          <c:idx val="3"/>
          <c:order val="1"/>
          <c:spPr>
            <a:ln w="28575">
              <a:solidFill>
                <a:srgbClr val="FF0000"/>
              </a:solidFill>
            </a:ln>
          </c:spPr>
          <c:marker>
            <c:symbol val="circle"/>
            <c:size val="5"/>
            <c:spPr>
              <a:solidFill>
                <a:srgbClr val="FF0000"/>
              </a:solidFill>
              <a:ln>
                <a:solidFill>
                  <a:schemeClr val="tx1"/>
                </a:solidFill>
              </a:ln>
            </c:spPr>
          </c:marker>
          <c:xVal>
            <c:numRef>
              <c:f>Calculations!$A$13:$A$18</c:f>
              <c:numCache>
                <c:formatCode>General</c:formatCode>
                <c:ptCount val="6"/>
                <c:pt idx="0">
                  <c:v>1.0</c:v>
                </c:pt>
                <c:pt idx="1">
                  <c:v>2.0</c:v>
                </c:pt>
                <c:pt idx="2">
                  <c:v>3.0</c:v>
                </c:pt>
                <c:pt idx="3">
                  <c:v>4.0</c:v>
                </c:pt>
                <c:pt idx="4">
                  <c:v>5.0</c:v>
                </c:pt>
                <c:pt idx="5">
                  <c:v>6.0</c:v>
                </c:pt>
              </c:numCache>
            </c:numRef>
          </c:xVal>
          <c:yVal>
            <c:numRef>
              <c:f>Calculations!$F$43:$F$48</c:f>
              <c:numCache>
                <c:formatCode>General</c:formatCode>
                <c:ptCount val="6"/>
                <c:pt idx="0">
                  <c:v>0.0</c:v>
                </c:pt>
                <c:pt idx="1">
                  <c:v>-0.656666666666666</c:v>
                </c:pt>
                <c:pt idx="2">
                  <c:v>-0.266666666666667</c:v>
                </c:pt>
                <c:pt idx="3">
                  <c:v>0.0333333333333332</c:v>
                </c:pt>
                <c:pt idx="4">
                  <c:v>0.213333333333333</c:v>
                </c:pt>
                <c:pt idx="5">
                  <c:v>0.363333333333333</c:v>
                </c:pt>
              </c:numCache>
            </c:numRef>
          </c:yVal>
          <c:smooth val="1"/>
        </c:ser>
        <c:ser>
          <c:idx val="4"/>
          <c:order val="2"/>
          <c:spPr>
            <a:ln w="28575">
              <a:solidFill>
                <a:srgbClr val="0070C0"/>
              </a:solidFill>
            </a:ln>
          </c:spPr>
          <c:marker>
            <c:symbol val="circle"/>
            <c:size val="5"/>
            <c:spPr>
              <a:solidFill>
                <a:srgbClr val="0070C0"/>
              </a:solidFill>
              <a:ln>
                <a:solidFill>
                  <a:schemeClr val="tx1"/>
                </a:solidFill>
              </a:ln>
            </c:spPr>
          </c:marker>
          <c:xVal>
            <c:numRef>
              <c:f>Calculations!$A$13:$A$18</c:f>
              <c:numCache>
                <c:formatCode>General</c:formatCode>
                <c:ptCount val="6"/>
                <c:pt idx="0">
                  <c:v>1.0</c:v>
                </c:pt>
                <c:pt idx="1">
                  <c:v>2.0</c:v>
                </c:pt>
                <c:pt idx="2">
                  <c:v>3.0</c:v>
                </c:pt>
                <c:pt idx="3">
                  <c:v>4.0</c:v>
                </c:pt>
                <c:pt idx="4">
                  <c:v>5.0</c:v>
                </c:pt>
                <c:pt idx="5">
                  <c:v>6.0</c:v>
                </c:pt>
              </c:numCache>
            </c:numRef>
          </c:xVal>
          <c:yVal>
            <c:numRef>
              <c:f>Calculations!$E$43:$E$48</c:f>
              <c:numCache>
                <c:formatCode>General</c:formatCode>
                <c:ptCount val="6"/>
                <c:pt idx="0">
                  <c:v>0.0</c:v>
                </c:pt>
                <c:pt idx="1">
                  <c:v>0.27</c:v>
                </c:pt>
                <c:pt idx="2">
                  <c:v>0.599999999999998</c:v>
                </c:pt>
                <c:pt idx="3">
                  <c:v>0.840000000000001</c:v>
                </c:pt>
                <c:pt idx="4">
                  <c:v>0.959999999999999</c:v>
                </c:pt>
                <c:pt idx="5">
                  <c:v>1.05</c:v>
                </c:pt>
              </c:numCache>
            </c:numRef>
          </c:yVal>
          <c:smooth val="1"/>
        </c:ser>
        <c:ser>
          <c:idx val="0"/>
          <c:order val="3"/>
          <c:spPr>
            <a:ln>
              <a:solidFill>
                <a:srgbClr val="FFFF00"/>
              </a:solidFill>
              <a:prstDash val="sysDash"/>
            </a:ln>
          </c:spPr>
          <c:marker>
            <c:symbol val="circle"/>
            <c:size val="5"/>
            <c:spPr>
              <a:solidFill>
                <a:srgbClr val="FFFF00"/>
              </a:solidFill>
              <a:ln>
                <a:solidFill>
                  <a:schemeClr val="tx1"/>
                </a:solidFill>
              </a:ln>
            </c:spPr>
          </c:marker>
          <c:xVal>
            <c:numRef>
              <c:f>Calculations!$A$43:$A$48</c:f>
              <c:numCache>
                <c:formatCode>General</c:formatCode>
                <c:ptCount val="6"/>
                <c:pt idx="0">
                  <c:v>1.0</c:v>
                </c:pt>
                <c:pt idx="1">
                  <c:v>2.0</c:v>
                </c:pt>
                <c:pt idx="2">
                  <c:v>3.0</c:v>
                </c:pt>
                <c:pt idx="3">
                  <c:v>4.0</c:v>
                </c:pt>
                <c:pt idx="4">
                  <c:v>5.0</c:v>
                </c:pt>
                <c:pt idx="5">
                  <c:v>6.0</c:v>
                </c:pt>
              </c:numCache>
            </c:numRef>
          </c:xVal>
          <c:yVal>
            <c:numRef>
              <c:f>Calculations!$H$43:$H$48</c:f>
              <c:numCache>
                <c:formatCode>General</c:formatCode>
                <c:ptCount val="6"/>
                <c:pt idx="0">
                  <c:v>0.0</c:v>
                </c:pt>
                <c:pt idx="1">
                  <c:v>0.24</c:v>
                </c:pt>
                <c:pt idx="2">
                  <c:v>0.33</c:v>
                </c:pt>
                <c:pt idx="3">
                  <c:v>0.0333333333333332</c:v>
                </c:pt>
                <c:pt idx="4">
                  <c:v>1.1235</c:v>
                </c:pt>
                <c:pt idx="5">
                  <c:v>0.984299999999999</c:v>
                </c:pt>
              </c:numCache>
            </c:numRef>
          </c:yVal>
          <c:smooth val="1"/>
        </c:ser>
        <c:ser>
          <c:idx val="5"/>
          <c:order val="4"/>
          <c:tx>
            <c:strRef>
              <c:f>Calculations!$D$63</c:f>
              <c:strCache>
                <c:ptCount val="1"/>
                <c:pt idx="0">
                  <c:v>Cln</c:v>
                </c:pt>
              </c:strCache>
            </c:strRef>
          </c:tx>
          <c:spPr>
            <a:ln>
              <a:solidFill>
                <a:srgbClr val="7030A0"/>
              </a:solidFill>
            </a:ln>
          </c:spPr>
          <c:marker>
            <c:symbol val="circle"/>
            <c:size val="5"/>
            <c:spPr>
              <a:solidFill>
                <a:srgbClr val="7030A0"/>
              </a:solidFill>
              <a:ln>
                <a:solidFill>
                  <a:schemeClr val="tx1"/>
                </a:solidFill>
              </a:ln>
            </c:spPr>
          </c:marker>
          <c:xVal>
            <c:numRef>
              <c:f>Calculations!$A$33:$A$38</c:f>
              <c:numCache>
                <c:formatCode>General</c:formatCode>
                <c:ptCount val="6"/>
                <c:pt idx="0">
                  <c:v>1.0</c:v>
                </c:pt>
                <c:pt idx="1">
                  <c:v>2.0</c:v>
                </c:pt>
                <c:pt idx="2">
                  <c:v>3.0</c:v>
                </c:pt>
                <c:pt idx="3">
                  <c:v>4.0</c:v>
                </c:pt>
                <c:pt idx="4">
                  <c:v>5.0</c:v>
                </c:pt>
                <c:pt idx="5">
                  <c:v>6.0</c:v>
                </c:pt>
              </c:numCache>
            </c:numRef>
          </c:xVal>
          <c:yVal>
            <c:numRef>
              <c:f>Calculations!$K$43:$K$48</c:f>
              <c:numCache>
                <c:formatCode>General</c:formatCode>
                <c:ptCount val="6"/>
                <c:pt idx="0">
                  <c:v>0.0</c:v>
                </c:pt>
                <c:pt idx="1">
                  <c:v>0.0633333333333334</c:v>
                </c:pt>
                <c:pt idx="2">
                  <c:v>0.153333333333332</c:v>
                </c:pt>
                <c:pt idx="3">
                  <c:v>0.183333333333333</c:v>
                </c:pt>
                <c:pt idx="4">
                  <c:v>0.123333333333333</c:v>
                </c:pt>
                <c:pt idx="5">
                  <c:v>0.0633333333333334</c:v>
                </c:pt>
              </c:numCache>
            </c:numRef>
          </c:yVal>
        </c:ser>
        <c:ser>
          <c:idx val="1"/>
          <c:order val="5"/>
          <c:spPr>
            <a:ln>
              <a:solidFill>
                <a:srgbClr val="FFC000"/>
              </a:solidFill>
            </a:ln>
          </c:spPr>
          <c:marker>
            <c:symbol val="circle"/>
            <c:size val="5"/>
            <c:spPr>
              <a:solidFill>
                <a:srgbClr val="FFC000"/>
              </a:solidFill>
              <a:ln>
                <a:solidFill>
                  <a:schemeClr val="tx1"/>
                </a:solidFill>
              </a:ln>
            </c:spPr>
          </c:marker>
          <c:xVal>
            <c:numRef>
              <c:f>Calculations!$A$43:$A$48</c:f>
              <c:numCache>
                <c:formatCode>General</c:formatCode>
                <c:ptCount val="6"/>
                <c:pt idx="0">
                  <c:v>1.0</c:v>
                </c:pt>
                <c:pt idx="1">
                  <c:v>2.0</c:v>
                </c:pt>
                <c:pt idx="2">
                  <c:v>3.0</c:v>
                </c:pt>
                <c:pt idx="3">
                  <c:v>4.0</c:v>
                </c:pt>
                <c:pt idx="4">
                  <c:v>5.0</c:v>
                </c:pt>
                <c:pt idx="5">
                  <c:v>6.0</c:v>
                </c:pt>
              </c:numCache>
            </c:numRef>
          </c:xVal>
          <c:yVal>
            <c:numRef>
              <c:f>Calculations!$L$43:$L$48</c:f>
              <c:numCache>
                <c:formatCode>General</c:formatCode>
                <c:ptCount val="6"/>
                <c:pt idx="0">
                  <c:v>0.0</c:v>
                </c:pt>
                <c:pt idx="1">
                  <c:v>0.0633333333333322</c:v>
                </c:pt>
                <c:pt idx="2">
                  <c:v>0.213333333333333</c:v>
                </c:pt>
                <c:pt idx="3">
                  <c:v>0.303333333333333</c:v>
                </c:pt>
                <c:pt idx="4">
                  <c:v>0.273333333333333</c:v>
                </c:pt>
                <c:pt idx="5">
                  <c:v>0.243333333333333</c:v>
                </c:pt>
              </c:numCache>
            </c:numRef>
          </c:yVal>
        </c:ser>
        <c:dLbls/>
        <c:axId val="519208488"/>
        <c:axId val="519215784"/>
      </c:scatterChart>
      <c:valAx>
        <c:axId val="519208488"/>
        <c:scaling>
          <c:orientation val="minMax"/>
        </c:scaling>
        <c:axPos val="b"/>
        <c:title>
          <c:tx>
            <c:rich>
              <a:bodyPr/>
              <a:lstStyle/>
              <a:p>
                <a:pPr>
                  <a:defRPr sz="1100"/>
                </a:pPr>
                <a:r>
                  <a:rPr lang="en-US" sz="1100"/>
                  <a:t>Year</a:t>
                </a:r>
              </a:p>
            </c:rich>
          </c:tx>
        </c:title>
        <c:numFmt formatCode="General" sourceLinked="1"/>
        <c:majorTickMark val="cross"/>
        <c:tickLblPos val="low"/>
        <c:txPr>
          <a:bodyPr/>
          <a:lstStyle/>
          <a:p>
            <a:pPr>
              <a:defRPr b="1"/>
            </a:pPr>
            <a:endParaRPr lang="en-US"/>
          </a:p>
        </c:txPr>
        <c:crossAx val="519215784"/>
        <c:crosses val="autoZero"/>
        <c:crossBetween val="midCat"/>
      </c:valAx>
      <c:valAx>
        <c:axId val="519215784"/>
        <c:scaling>
          <c:orientation val="minMax"/>
        </c:scaling>
        <c:axPos val="l"/>
        <c:majorGridlines>
          <c:spPr>
            <a:ln>
              <a:prstDash val="dash"/>
            </a:ln>
          </c:spPr>
        </c:majorGridlines>
        <c:title>
          <c:tx>
            <c:rich>
              <a:bodyPr rot="-5400000" vert="horz"/>
              <a:lstStyle/>
              <a:p>
                <a:pPr>
                  <a:defRPr sz="1100"/>
                </a:pPr>
                <a:r>
                  <a:rPr lang="en-US" sz="1100"/>
                  <a:t>Annual Net Profit ($/tap)</a:t>
                </a:r>
              </a:p>
            </c:rich>
          </c:tx>
        </c:title>
        <c:numFmt formatCode="&quot;$&quot;#,##0.00" sourceLinked="0"/>
        <c:tickLblPos val="nextTo"/>
        <c:txPr>
          <a:bodyPr/>
          <a:lstStyle/>
          <a:p>
            <a:pPr>
              <a:defRPr b="1"/>
            </a:pPr>
            <a:endParaRPr lang="en-US"/>
          </a:p>
        </c:txPr>
        <c:crossAx val="519208488"/>
        <c:crosses val="autoZero"/>
        <c:crossBetween val="midCat"/>
      </c:valAx>
      <c:spPr>
        <a:solidFill>
          <a:schemeClr val="bg1">
            <a:lumMod val="95000"/>
          </a:schemeClr>
        </a:solidFill>
        <a:ln w="12700">
          <a:solidFill>
            <a:schemeClr val="tx1"/>
          </a:solidFill>
        </a:ln>
      </c:spPr>
    </c:plotArea>
    <c:plotVisOnly val="1"/>
    <c:dispBlanksAs val="gap"/>
  </c:chart>
  <c:printSettings>
    <c:headerFooter/>
    <c:pageMargins b="0.75" l="0.7" r="0.7" t="0.75" header="0.3" footer="0.3"/>
    <c:pageSetup orientation="landscape"/>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10</xdr:col>
      <xdr:colOff>26246</xdr:colOff>
      <xdr:row>1</xdr:row>
      <xdr:rowOff>27092</xdr:rowOff>
    </xdr:from>
    <xdr:to>
      <xdr:col>20</xdr:col>
      <xdr:colOff>112568</xdr:colOff>
      <xdr:row>20</xdr:row>
      <xdr:rowOff>164522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xdr:colOff>
      <xdr:row>1</xdr:row>
      <xdr:rowOff>1692</xdr:rowOff>
    </xdr:from>
    <xdr:to>
      <xdr:col>9</xdr:col>
      <xdr:colOff>411480</xdr:colOff>
      <xdr:row>17</xdr:row>
      <xdr:rowOff>48490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25014</xdr:colOff>
      <xdr:row>17</xdr:row>
      <xdr:rowOff>49453</xdr:rowOff>
    </xdr:from>
    <xdr:to>
      <xdr:col>9</xdr:col>
      <xdr:colOff>406014</xdr:colOff>
      <xdr:row>35</xdr:row>
      <xdr:rowOff>57151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21550</xdr:colOff>
      <xdr:row>34</xdr:row>
      <xdr:rowOff>35713</xdr:rowOff>
    </xdr:from>
    <xdr:to>
      <xdr:col>20</xdr:col>
      <xdr:colOff>155863</xdr:colOff>
      <xdr:row>35</xdr:row>
      <xdr:rowOff>86998</xdr:rowOff>
    </xdr:to>
    <xdr:sp macro="" textlink="">
      <xdr:nvSpPr>
        <xdr:cNvPr id="5" name="TextBox 1"/>
        <xdr:cNvSpPr txBox="1"/>
      </xdr:nvSpPr>
      <xdr:spPr>
        <a:xfrm>
          <a:off x="5901073" y="6400145"/>
          <a:ext cx="7217449" cy="241785"/>
        </a:xfrm>
        <a:prstGeom prst="rect">
          <a:avLst/>
        </a:prstGeom>
        <a:solidFill>
          <a:schemeClr val="accent1">
            <a:lumMod val="20000"/>
            <a:lumOff val="80000"/>
          </a:schemeClr>
        </a:solidFill>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000" b="1"/>
            <a:t>Sources: </a:t>
          </a:r>
          <a:r>
            <a:rPr lang="en-US" sz="1000" b="1" i="1"/>
            <a:t>http://www.uvm.edu/~pmrc/aging.pdf,</a:t>
          </a:r>
          <a:r>
            <a:rPr lang="en-US" sz="1000" b="1" i="1" baseline="0"/>
            <a:t>  </a:t>
          </a:r>
          <a:r>
            <a:rPr lang="en-US" sz="1000" b="1" i="1"/>
            <a:t>http://www.uvm.edu/~pmrc/tubing_age.pdf, Perkins unpublished</a:t>
          </a:r>
        </a:p>
      </xdr:txBody>
    </xdr:sp>
    <xdr:clientData/>
  </xdr:twoCellAnchor>
  <xdr:twoCellAnchor>
    <xdr:from>
      <xdr:col>2</xdr:col>
      <xdr:colOff>580159</xdr:colOff>
      <xdr:row>15</xdr:row>
      <xdr:rowOff>17318</xdr:rowOff>
    </xdr:from>
    <xdr:to>
      <xdr:col>3</xdr:col>
      <xdr:colOff>181841</xdr:colOff>
      <xdr:row>16</xdr:row>
      <xdr:rowOff>69273</xdr:rowOff>
    </xdr:to>
    <xdr:sp macro="" textlink="">
      <xdr:nvSpPr>
        <xdr:cNvPr id="6" name="Rectangle 5"/>
        <xdr:cNvSpPr/>
      </xdr:nvSpPr>
      <xdr:spPr>
        <a:xfrm>
          <a:off x="1446068" y="2892136"/>
          <a:ext cx="207818" cy="23379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83127</xdr:colOff>
      <xdr:row>15</xdr:row>
      <xdr:rowOff>22513</xdr:rowOff>
    </xdr:from>
    <xdr:to>
      <xdr:col>9</xdr:col>
      <xdr:colOff>290945</xdr:colOff>
      <xdr:row>16</xdr:row>
      <xdr:rowOff>74468</xdr:rowOff>
    </xdr:to>
    <xdr:sp macro="" textlink="">
      <xdr:nvSpPr>
        <xdr:cNvPr id="7" name="Rectangle 6"/>
        <xdr:cNvSpPr/>
      </xdr:nvSpPr>
      <xdr:spPr>
        <a:xfrm>
          <a:off x="5841422" y="2897331"/>
          <a:ext cx="207818" cy="23379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0.15691</cdr:x>
      <cdr:y>0.01295</cdr:y>
    </cdr:from>
    <cdr:to>
      <cdr:x>0.9752</cdr:x>
      <cdr:y>0.0847</cdr:y>
    </cdr:to>
    <cdr:sp macro="" textlink="">
      <cdr:nvSpPr>
        <cdr:cNvPr id="2" name="TextBox 1"/>
        <cdr:cNvSpPr txBox="1"/>
      </cdr:nvSpPr>
      <cdr:spPr>
        <a:xfrm xmlns:a="http://schemas.openxmlformats.org/drawingml/2006/main">
          <a:off x="1124960" y="50222"/>
          <a:ext cx="5866695" cy="27825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400" b="1"/>
            <a:t>Fig. 3</a:t>
          </a:r>
          <a:r>
            <a:rPr lang="en-US" sz="1400" b="1" baseline="0"/>
            <a:t>. - </a:t>
          </a:r>
          <a:r>
            <a:rPr lang="en-US" sz="1400" b="1"/>
            <a:t>Avg</a:t>
          </a:r>
          <a:r>
            <a:rPr lang="en-US" sz="1400" b="1" baseline="0"/>
            <a:t> Annual Net Profit</a:t>
          </a:r>
          <a:r>
            <a:rPr lang="en-US" sz="1400" b="1"/>
            <a:t> Per Tap Over Seasons 2-6 </a:t>
          </a:r>
        </a:p>
      </cdr:txBody>
    </cdr:sp>
  </cdr:relSizeAnchor>
</c:userShapes>
</file>

<file path=xl/drawings/drawing3.xml><?xml version="1.0" encoding="utf-8"?>
<c:userShapes xmlns:c="http://schemas.openxmlformats.org/drawingml/2006/chart">
  <cdr:relSizeAnchor xmlns:cdr="http://schemas.openxmlformats.org/drawingml/2006/chartDrawing">
    <cdr:from>
      <cdr:x>0.11235</cdr:x>
      <cdr:y>0.11657</cdr:y>
    </cdr:from>
    <cdr:to>
      <cdr:x>0.25309</cdr:x>
      <cdr:y>0.27098</cdr:y>
    </cdr:to>
    <cdr:sp macro="" textlink="">
      <cdr:nvSpPr>
        <cdr:cNvPr id="2" name="TextBox 1"/>
        <cdr:cNvSpPr txBox="1"/>
      </cdr:nvSpPr>
      <cdr:spPr>
        <a:xfrm xmlns:a="http://schemas.openxmlformats.org/drawingml/2006/main">
          <a:off x="592484" y="357745"/>
          <a:ext cx="742177" cy="47385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900" b="1"/>
            <a:t>New</a:t>
          </a:r>
        </a:p>
        <a:p xmlns:a="http://schemas.openxmlformats.org/drawingml/2006/main">
          <a:pPr algn="ctr"/>
          <a:r>
            <a:rPr lang="en-US" sz="900" b="1"/>
            <a:t>Installation</a:t>
          </a:r>
        </a:p>
      </cdr:txBody>
    </cdr:sp>
  </cdr:relSizeAnchor>
  <cdr:relSizeAnchor xmlns:cdr="http://schemas.openxmlformats.org/drawingml/2006/chartDrawing">
    <cdr:from>
      <cdr:x>0.04179</cdr:x>
      <cdr:y>0.90719</cdr:y>
    </cdr:from>
    <cdr:to>
      <cdr:x>0.41931</cdr:x>
      <cdr:y>0.9768</cdr:y>
    </cdr:to>
    <cdr:sp macro="" textlink="">
      <cdr:nvSpPr>
        <cdr:cNvPr id="3" name="TextBox 2"/>
        <cdr:cNvSpPr txBox="1"/>
      </cdr:nvSpPr>
      <cdr:spPr>
        <a:xfrm xmlns:a="http://schemas.openxmlformats.org/drawingml/2006/main">
          <a:off x="220980" y="2979420"/>
          <a:ext cx="199644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4.xml><?xml version="1.0" encoding="utf-8"?>
<c:userShapes xmlns:c="http://schemas.openxmlformats.org/drawingml/2006/chart">
  <cdr:relSizeAnchor xmlns:cdr="http://schemas.openxmlformats.org/drawingml/2006/chartDrawing">
    <cdr:from>
      <cdr:x>0.10702</cdr:x>
      <cdr:y>0.3898</cdr:y>
    </cdr:from>
    <cdr:to>
      <cdr:x>0.25764</cdr:x>
      <cdr:y>0.51943</cdr:y>
    </cdr:to>
    <cdr:sp macro="" textlink="">
      <cdr:nvSpPr>
        <cdr:cNvPr id="5" name="TextBox 1"/>
        <cdr:cNvSpPr txBox="1"/>
      </cdr:nvSpPr>
      <cdr:spPr>
        <a:xfrm xmlns:a="http://schemas.openxmlformats.org/drawingml/2006/main">
          <a:off x="564369" y="1316002"/>
          <a:ext cx="794277" cy="43764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900" b="1"/>
            <a:t>New</a:t>
          </a:r>
        </a:p>
        <a:p xmlns:a="http://schemas.openxmlformats.org/drawingml/2006/main">
          <a:pPr algn="ctr"/>
          <a:r>
            <a:rPr lang="en-US" sz="900" b="1"/>
            <a:t>Installation</a:t>
          </a:r>
        </a:p>
      </cdr:txBody>
    </cdr:sp>
  </cdr:relSizeAnchor>
  <cdr:relSizeAnchor xmlns:cdr="http://schemas.openxmlformats.org/drawingml/2006/chartDrawing">
    <cdr:from>
      <cdr:x>0.04179</cdr:x>
      <cdr:y>0.90719</cdr:y>
    </cdr:from>
    <cdr:to>
      <cdr:x>0.41931</cdr:x>
      <cdr:y>0.9768</cdr:y>
    </cdr:to>
    <cdr:sp macro="" textlink="">
      <cdr:nvSpPr>
        <cdr:cNvPr id="6" name="TextBox 2"/>
        <cdr:cNvSpPr txBox="1"/>
      </cdr:nvSpPr>
      <cdr:spPr>
        <a:xfrm xmlns:a="http://schemas.openxmlformats.org/drawingml/2006/main">
          <a:off x="220980" y="2979420"/>
          <a:ext cx="199644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0.10323</cdr:x>
      <cdr:y>0.89782</cdr:y>
    </cdr:from>
    <cdr:to>
      <cdr:x>0.14264</cdr:x>
      <cdr:y>0.96852</cdr:y>
    </cdr:to>
    <cdr:sp macro="" textlink="">
      <cdr:nvSpPr>
        <cdr:cNvPr id="4" name="Rectangle 3"/>
        <cdr:cNvSpPr/>
      </cdr:nvSpPr>
      <cdr:spPr>
        <a:xfrm xmlns:a="http://schemas.openxmlformats.org/drawingml/2006/main">
          <a:off x="544368" y="2968914"/>
          <a:ext cx="207818" cy="233796"/>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dr:relSizeAnchor xmlns:cdr="http://schemas.openxmlformats.org/drawingml/2006/chartDrawing">
    <cdr:from>
      <cdr:x>0.94395</cdr:x>
      <cdr:y>0.87949</cdr:y>
    </cdr:from>
    <cdr:to>
      <cdr:x>0.98336</cdr:x>
      <cdr:y>0.95019</cdr:y>
    </cdr:to>
    <cdr:sp macro="" textlink="">
      <cdr:nvSpPr>
        <cdr:cNvPr id="7" name="Rectangle 6"/>
        <cdr:cNvSpPr/>
      </cdr:nvSpPr>
      <cdr:spPr>
        <a:xfrm xmlns:a="http://schemas.openxmlformats.org/drawingml/2006/main">
          <a:off x="4977823" y="2908300"/>
          <a:ext cx="207818" cy="233796"/>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4" Type="http://schemas.openxmlformats.org/officeDocument/2006/relationships/comments" Target="../comments1.xml"/><Relationship Id="rId1" Type="http://schemas.openxmlformats.org/officeDocument/2006/relationships/hyperlink" Target="mailto:Timothy.Perkins@uvm.edu"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S218"/>
  <sheetViews>
    <sheetView topLeftCell="A19" workbookViewId="0"/>
  </sheetViews>
  <sheetFormatPr baseColWidth="10" defaultColWidth="8.83203125" defaultRowHeight="14"/>
  <cols>
    <col min="21" max="21" width="10.83203125" customWidth="1"/>
  </cols>
  <sheetData>
    <row r="1" spans="1:19">
      <c r="A1" s="37" t="s">
        <v>32</v>
      </c>
      <c r="B1" s="37"/>
      <c r="C1" s="37"/>
      <c r="D1" s="37"/>
      <c r="E1" s="37"/>
      <c r="F1" s="37"/>
      <c r="G1" s="37"/>
      <c r="H1" s="37"/>
      <c r="I1" s="37"/>
      <c r="J1" s="37"/>
      <c r="K1" s="37"/>
      <c r="L1" s="37"/>
      <c r="M1" s="37"/>
      <c r="N1" s="40"/>
      <c r="O1" s="40"/>
      <c r="P1" s="40"/>
      <c r="Q1" s="40"/>
      <c r="R1" s="40"/>
      <c r="S1" s="40"/>
    </row>
    <row r="2" spans="1:19">
      <c r="A2" s="37"/>
      <c r="B2" s="37"/>
      <c r="C2" s="37"/>
      <c r="D2" s="37"/>
      <c r="E2" s="37"/>
      <c r="F2" s="37"/>
      <c r="G2" s="37"/>
      <c r="H2" s="37"/>
      <c r="I2" s="37"/>
      <c r="J2" s="37"/>
      <c r="K2" s="37"/>
      <c r="L2" s="37"/>
      <c r="M2" s="37"/>
      <c r="N2" s="40"/>
      <c r="O2" s="40"/>
      <c r="P2" s="40"/>
      <c r="Q2" s="40"/>
      <c r="R2" s="40"/>
      <c r="S2" s="40"/>
    </row>
    <row r="3" spans="1:19">
      <c r="A3" s="37" t="s">
        <v>11</v>
      </c>
      <c r="B3" s="37"/>
      <c r="C3" s="37" t="s">
        <v>7</v>
      </c>
      <c r="D3" s="37" t="s">
        <v>6</v>
      </c>
      <c r="E3" s="37" t="s">
        <v>8</v>
      </c>
      <c r="F3" s="37" t="s">
        <v>20</v>
      </c>
      <c r="G3" s="37" t="s">
        <v>21</v>
      </c>
      <c r="H3" s="37" t="s">
        <v>22</v>
      </c>
      <c r="I3" s="37" t="s">
        <v>23</v>
      </c>
      <c r="J3" s="37" t="s">
        <v>24</v>
      </c>
      <c r="K3" s="37" t="s">
        <v>51</v>
      </c>
      <c r="L3" s="37" t="s">
        <v>45</v>
      </c>
      <c r="M3" s="37"/>
      <c r="N3" s="40"/>
      <c r="O3" s="40"/>
      <c r="P3" s="40"/>
      <c r="Q3" s="40"/>
      <c r="R3" s="40"/>
      <c r="S3" s="40"/>
    </row>
    <row r="4" spans="1:19">
      <c r="A4" s="37">
        <v>1</v>
      </c>
      <c r="B4" s="37">
        <v>100</v>
      </c>
      <c r="C4" s="37">
        <v>100</v>
      </c>
      <c r="D4" s="37">
        <v>100</v>
      </c>
      <c r="E4" s="37">
        <f>F4</f>
        <v>100</v>
      </c>
      <c r="F4" s="37">
        <v>100</v>
      </c>
      <c r="G4" s="37">
        <v>100</v>
      </c>
      <c r="H4" s="37">
        <v>100</v>
      </c>
      <c r="I4" s="37">
        <f>D4</f>
        <v>100</v>
      </c>
      <c r="J4" s="37">
        <f>I4</f>
        <v>100</v>
      </c>
      <c r="K4" s="37">
        <v>100</v>
      </c>
      <c r="L4" s="37">
        <v>100</v>
      </c>
      <c r="M4" s="37"/>
      <c r="N4" s="40"/>
      <c r="O4" s="40"/>
      <c r="P4" s="40"/>
      <c r="Q4" s="40"/>
      <c r="R4" s="40"/>
      <c r="S4" s="40"/>
    </row>
    <row r="5" spans="1:19">
      <c r="A5" s="37">
        <v>2</v>
      </c>
      <c r="B5" s="37">
        <v>100</v>
      </c>
      <c r="C5" s="37">
        <v>85.5</v>
      </c>
      <c r="D5" s="37">
        <v>92.5</v>
      </c>
      <c r="E5" s="37">
        <v>96</v>
      </c>
      <c r="F5" s="37">
        <v>99</v>
      </c>
      <c r="G5" s="37">
        <f>J5</f>
        <v>92.5</v>
      </c>
      <c r="H5" s="37">
        <v>92.5</v>
      </c>
      <c r="I5" s="37">
        <f>D5</f>
        <v>92.5</v>
      </c>
      <c r="J5" s="37">
        <f t="shared" ref="J5:J7" si="0">I5</f>
        <v>92.5</v>
      </c>
      <c r="K5" s="37">
        <v>91</v>
      </c>
      <c r="L5" s="37">
        <v>94</v>
      </c>
      <c r="M5" s="37"/>
      <c r="N5" s="40"/>
      <c r="O5" s="40"/>
      <c r="P5" s="40"/>
      <c r="Q5" s="40"/>
      <c r="R5" s="40"/>
      <c r="S5" s="40"/>
    </row>
    <row r="6" spans="1:19">
      <c r="A6" s="37">
        <v>3</v>
      </c>
      <c r="B6" s="37">
        <v>100</v>
      </c>
      <c r="C6" s="37">
        <v>78</v>
      </c>
      <c r="D6" s="37">
        <v>86.5</v>
      </c>
      <c r="E6" s="37">
        <v>94</v>
      </c>
      <c r="F6" s="37">
        <v>98</v>
      </c>
      <c r="G6" s="37">
        <f>F6</f>
        <v>98</v>
      </c>
      <c r="H6" s="37">
        <v>86.5</v>
      </c>
      <c r="I6" s="37">
        <f>D6</f>
        <v>86.5</v>
      </c>
      <c r="J6" s="37">
        <f t="shared" si="0"/>
        <v>86.5</v>
      </c>
      <c r="K6" s="37">
        <v>85</v>
      </c>
      <c r="L6" s="37">
        <v>89</v>
      </c>
      <c r="M6" s="37"/>
      <c r="N6" s="40"/>
      <c r="O6" s="40"/>
      <c r="P6" s="40"/>
      <c r="Q6" s="40"/>
      <c r="R6" s="40"/>
      <c r="S6" s="40"/>
    </row>
    <row r="7" spans="1:19">
      <c r="A7" s="37">
        <v>4</v>
      </c>
      <c r="B7" s="37">
        <v>100</v>
      </c>
      <c r="C7" s="37">
        <v>72</v>
      </c>
      <c r="D7" s="37">
        <f t="shared" ref="D7:D9" si="1">C7*1.125</f>
        <v>81</v>
      </c>
      <c r="E7" s="37">
        <v>92</v>
      </c>
      <c r="F7" s="37">
        <v>97</v>
      </c>
      <c r="G7" s="37">
        <f>G6*0.925</f>
        <v>90.65</v>
      </c>
      <c r="H7" s="37">
        <v>97</v>
      </c>
      <c r="I7" s="37">
        <f>D7</f>
        <v>81</v>
      </c>
      <c r="J7" s="37">
        <f t="shared" si="0"/>
        <v>81</v>
      </c>
      <c r="K7" s="37">
        <v>79.5</v>
      </c>
      <c r="L7" s="37">
        <v>84.5</v>
      </c>
      <c r="M7" s="37"/>
      <c r="N7" s="40"/>
      <c r="O7" s="40"/>
      <c r="P7" s="40"/>
      <c r="Q7" s="40"/>
      <c r="R7" s="40"/>
      <c r="S7" s="40"/>
    </row>
    <row r="8" spans="1:19">
      <c r="A8" s="37">
        <v>5</v>
      </c>
      <c r="B8" s="37">
        <v>100</v>
      </c>
      <c r="C8" s="37">
        <v>68</v>
      </c>
      <c r="D8" s="37">
        <f t="shared" si="1"/>
        <v>76.5</v>
      </c>
      <c r="E8" s="37">
        <v>90</v>
      </c>
      <c r="F8" s="37">
        <v>96</v>
      </c>
      <c r="G8" s="37">
        <f>F8</f>
        <v>96</v>
      </c>
      <c r="H8" s="37">
        <f>H7*0.925</f>
        <v>89.725000000000009</v>
      </c>
      <c r="I8" s="37">
        <f>F8</f>
        <v>96</v>
      </c>
      <c r="J8" s="37">
        <f>D8</f>
        <v>76.5</v>
      </c>
      <c r="K8" s="37">
        <v>74.5</v>
      </c>
      <c r="L8" s="37">
        <v>80</v>
      </c>
      <c r="M8" s="37"/>
      <c r="N8" s="40"/>
      <c r="O8" s="40"/>
      <c r="P8" s="40"/>
      <c r="Q8" s="40"/>
      <c r="R8" s="40"/>
      <c r="S8" s="40"/>
    </row>
    <row r="9" spans="1:19">
      <c r="A9" s="37">
        <v>6</v>
      </c>
      <c r="B9" s="37">
        <v>100</v>
      </c>
      <c r="C9" s="37">
        <v>64.5</v>
      </c>
      <c r="D9" s="37">
        <f t="shared" si="1"/>
        <v>72.5625</v>
      </c>
      <c r="E9" s="37">
        <v>88</v>
      </c>
      <c r="F9" s="37">
        <v>95</v>
      </c>
      <c r="G9" s="37">
        <f>G8*0.925</f>
        <v>88.800000000000011</v>
      </c>
      <c r="H9" s="37">
        <f>(H7*0.865)</f>
        <v>83.905000000000001</v>
      </c>
      <c r="I9" s="37">
        <f>(I8*0.925)</f>
        <v>88.800000000000011</v>
      </c>
      <c r="J9" s="37">
        <f>F9</f>
        <v>95</v>
      </c>
      <c r="K9" s="37">
        <v>70</v>
      </c>
      <c r="L9" s="37">
        <v>76</v>
      </c>
      <c r="M9" s="37"/>
      <c r="N9" s="40"/>
      <c r="O9" s="40"/>
      <c r="P9" s="40"/>
      <c r="Q9" s="40"/>
      <c r="R9" s="40"/>
      <c r="S9" s="40"/>
    </row>
    <row r="10" spans="1:19">
      <c r="A10" s="37"/>
      <c r="B10" s="37"/>
      <c r="C10" s="37"/>
      <c r="D10" s="37"/>
      <c r="E10" s="37"/>
      <c r="F10" s="37"/>
      <c r="G10" s="37"/>
      <c r="H10" s="37"/>
      <c r="I10" s="37"/>
      <c r="J10" s="37"/>
      <c r="K10" s="37"/>
      <c r="L10" s="37"/>
      <c r="M10" s="37"/>
      <c r="N10" s="40"/>
      <c r="O10" s="40"/>
      <c r="P10" s="40"/>
      <c r="Q10" s="40"/>
      <c r="R10" s="40"/>
      <c r="S10" s="40"/>
    </row>
    <row r="11" spans="1:19">
      <c r="A11" s="37" t="s">
        <v>27</v>
      </c>
      <c r="B11" s="37"/>
      <c r="C11" s="37"/>
      <c r="D11" s="37"/>
      <c r="E11" s="37"/>
      <c r="F11" s="37"/>
      <c r="G11" s="37"/>
      <c r="H11" s="37"/>
      <c r="I11" s="37"/>
      <c r="J11" s="37"/>
      <c r="K11" s="37"/>
      <c r="L11" s="37"/>
      <c r="M11" s="37"/>
      <c r="N11" s="40"/>
      <c r="O11" s="40"/>
      <c r="P11" s="40"/>
      <c r="Q11" s="40"/>
      <c r="R11" s="40"/>
      <c r="S11" s="40"/>
    </row>
    <row r="12" spans="1:19">
      <c r="A12" s="37">
        <f>Model!M33</f>
        <v>20</v>
      </c>
      <c r="B12" s="37"/>
      <c r="C12" s="37" t="s">
        <v>7</v>
      </c>
      <c r="D12" s="37" t="s">
        <v>6</v>
      </c>
      <c r="E12" s="37" t="s">
        <v>8</v>
      </c>
      <c r="F12" s="37" t="s">
        <v>20</v>
      </c>
      <c r="G12" s="37" t="s">
        <v>21</v>
      </c>
      <c r="H12" s="37" t="s">
        <v>22</v>
      </c>
      <c r="I12" s="37" t="s">
        <v>23</v>
      </c>
      <c r="J12" s="37" t="s">
        <v>24</v>
      </c>
      <c r="K12" s="37" t="s">
        <v>51</v>
      </c>
      <c r="L12" s="37" t="s">
        <v>45</v>
      </c>
      <c r="M12" s="37"/>
      <c r="N12" s="40"/>
      <c r="O12" s="40"/>
      <c r="P12" s="40"/>
      <c r="Q12" s="40"/>
      <c r="R12" s="40"/>
      <c r="S12" s="40"/>
    </row>
    <row r="13" spans="1:19">
      <c r="A13" s="37">
        <v>1</v>
      </c>
      <c r="B13" s="37">
        <f>$A$12*(B4/100)</f>
        <v>20</v>
      </c>
      <c r="C13" s="37">
        <f t="shared" ref="C13:J13" si="2">$A$12*(C4/100)</f>
        <v>20</v>
      </c>
      <c r="D13" s="37">
        <f t="shared" si="2"/>
        <v>20</v>
      </c>
      <c r="E13" s="37">
        <f t="shared" ref="E13:E18" si="3">$A$12*(E4/100)</f>
        <v>20</v>
      </c>
      <c r="F13" s="37">
        <f t="shared" si="2"/>
        <v>20</v>
      </c>
      <c r="G13" s="37">
        <f t="shared" si="2"/>
        <v>20</v>
      </c>
      <c r="H13" s="37">
        <f t="shared" si="2"/>
        <v>20</v>
      </c>
      <c r="I13" s="37">
        <f t="shared" si="2"/>
        <v>20</v>
      </c>
      <c r="J13" s="37">
        <f t="shared" si="2"/>
        <v>20</v>
      </c>
      <c r="K13" s="37">
        <f t="shared" ref="K13" si="4">$A$12*(K4/100)</f>
        <v>20</v>
      </c>
      <c r="L13" s="37">
        <f t="shared" ref="L13" si="5">$A$12*(L4/100)</f>
        <v>20</v>
      </c>
      <c r="M13" s="37"/>
      <c r="N13" s="40"/>
      <c r="O13" s="40"/>
      <c r="P13" s="40"/>
      <c r="Q13" s="40"/>
      <c r="R13" s="40"/>
      <c r="S13" s="40"/>
    </row>
    <row r="14" spans="1:19">
      <c r="A14" s="37">
        <v>2</v>
      </c>
      <c r="B14" s="37">
        <f t="shared" ref="B14:J18" si="6">$A$12*(B5/100)</f>
        <v>20</v>
      </c>
      <c r="C14" s="37">
        <f t="shared" si="6"/>
        <v>17.100000000000001</v>
      </c>
      <c r="D14" s="37">
        <f t="shared" si="6"/>
        <v>18.5</v>
      </c>
      <c r="E14" s="37">
        <f t="shared" si="3"/>
        <v>19.2</v>
      </c>
      <c r="F14" s="37">
        <f t="shared" si="6"/>
        <v>19.8</v>
      </c>
      <c r="G14" s="37">
        <f t="shared" si="6"/>
        <v>18.5</v>
      </c>
      <c r="H14" s="37">
        <f t="shared" si="6"/>
        <v>18.5</v>
      </c>
      <c r="I14" s="37">
        <f t="shared" si="6"/>
        <v>18.5</v>
      </c>
      <c r="J14" s="37">
        <f t="shared" si="6"/>
        <v>18.5</v>
      </c>
      <c r="K14" s="37">
        <f t="shared" ref="K14" si="7">$A$12*(K5/100)</f>
        <v>18.2</v>
      </c>
      <c r="L14" s="37">
        <f t="shared" ref="L14" si="8">$A$12*(L5/100)</f>
        <v>18.799999999999997</v>
      </c>
      <c r="M14" s="37"/>
      <c r="N14" s="40"/>
      <c r="O14" s="40"/>
      <c r="P14" s="40"/>
      <c r="Q14" s="40"/>
      <c r="R14" s="40"/>
      <c r="S14" s="40"/>
    </row>
    <row r="15" spans="1:19">
      <c r="A15" s="37">
        <v>3</v>
      </c>
      <c r="B15" s="37">
        <f t="shared" si="6"/>
        <v>20</v>
      </c>
      <c r="C15" s="37">
        <f t="shared" si="6"/>
        <v>15.600000000000001</v>
      </c>
      <c r="D15" s="37">
        <f t="shared" si="6"/>
        <v>17.3</v>
      </c>
      <c r="E15" s="37">
        <f t="shared" si="3"/>
        <v>18.799999999999997</v>
      </c>
      <c r="F15" s="37">
        <f t="shared" si="6"/>
        <v>19.600000000000001</v>
      </c>
      <c r="G15" s="37">
        <f t="shared" si="6"/>
        <v>19.600000000000001</v>
      </c>
      <c r="H15" s="37">
        <f t="shared" si="6"/>
        <v>17.3</v>
      </c>
      <c r="I15" s="37">
        <f t="shared" si="6"/>
        <v>17.3</v>
      </c>
      <c r="J15" s="37">
        <f t="shared" si="6"/>
        <v>17.3</v>
      </c>
      <c r="K15" s="37">
        <f t="shared" ref="K15" si="9">$A$12*(K6/100)</f>
        <v>17</v>
      </c>
      <c r="L15" s="37">
        <f t="shared" ref="L15" si="10">$A$12*(L6/100)</f>
        <v>17.8</v>
      </c>
      <c r="M15" s="37"/>
      <c r="N15" s="40"/>
      <c r="O15" s="40"/>
      <c r="P15" s="40"/>
      <c r="Q15" s="40"/>
      <c r="R15" s="40"/>
      <c r="S15" s="40"/>
    </row>
    <row r="16" spans="1:19">
      <c r="A16" s="37">
        <v>4</v>
      </c>
      <c r="B16" s="37">
        <f t="shared" si="6"/>
        <v>20</v>
      </c>
      <c r="C16" s="37">
        <f t="shared" si="6"/>
        <v>14.399999999999999</v>
      </c>
      <c r="D16" s="37">
        <f t="shared" si="6"/>
        <v>16.200000000000003</v>
      </c>
      <c r="E16" s="37">
        <f t="shared" si="3"/>
        <v>18.400000000000002</v>
      </c>
      <c r="F16" s="37">
        <f t="shared" si="6"/>
        <v>19.399999999999999</v>
      </c>
      <c r="G16" s="37">
        <f t="shared" si="6"/>
        <v>18.130000000000003</v>
      </c>
      <c r="H16" s="37">
        <f t="shared" si="6"/>
        <v>19.399999999999999</v>
      </c>
      <c r="I16" s="37">
        <f t="shared" si="6"/>
        <v>16.200000000000003</v>
      </c>
      <c r="J16" s="37">
        <f t="shared" si="6"/>
        <v>16.200000000000003</v>
      </c>
      <c r="K16" s="37">
        <f t="shared" ref="K16" si="11">$A$12*(K7/100)</f>
        <v>15.9</v>
      </c>
      <c r="L16" s="37">
        <f t="shared" ref="L16" si="12">$A$12*(L7/100)</f>
        <v>16.899999999999999</v>
      </c>
      <c r="M16" s="37"/>
      <c r="N16" s="40"/>
      <c r="O16" s="40"/>
      <c r="P16" s="40"/>
      <c r="Q16" s="40"/>
      <c r="R16" s="40"/>
      <c r="S16" s="40"/>
    </row>
    <row r="17" spans="1:19">
      <c r="A17" s="37">
        <v>5</v>
      </c>
      <c r="B17" s="37">
        <f t="shared" si="6"/>
        <v>20</v>
      </c>
      <c r="C17" s="37">
        <f t="shared" si="6"/>
        <v>13.600000000000001</v>
      </c>
      <c r="D17" s="37">
        <f t="shared" si="6"/>
        <v>15.3</v>
      </c>
      <c r="E17" s="37">
        <f t="shared" si="3"/>
        <v>18</v>
      </c>
      <c r="F17" s="37">
        <f t="shared" si="6"/>
        <v>19.2</v>
      </c>
      <c r="G17" s="37">
        <f t="shared" si="6"/>
        <v>19.2</v>
      </c>
      <c r="H17" s="37">
        <f t="shared" si="6"/>
        <v>17.945</v>
      </c>
      <c r="I17" s="37">
        <f t="shared" si="6"/>
        <v>19.2</v>
      </c>
      <c r="J17" s="37">
        <f t="shared" si="6"/>
        <v>15.3</v>
      </c>
      <c r="K17" s="37">
        <f t="shared" ref="K17" si="13">$A$12*(K8/100)</f>
        <v>14.9</v>
      </c>
      <c r="L17" s="37">
        <f t="shared" ref="L17" si="14">$A$12*(L8/100)</f>
        <v>16</v>
      </c>
      <c r="M17" s="37"/>
      <c r="N17" s="40"/>
      <c r="O17" s="40"/>
      <c r="P17" s="40"/>
      <c r="Q17" s="40"/>
      <c r="R17" s="40"/>
      <c r="S17" s="40"/>
    </row>
    <row r="18" spans="1:19">
      <c r="A18" s="37">
        <v>6</v>
      </c>
      <c r="B18" s="37">
        <f t="shared" si="6"/>
        <v>20</v>
      </c>
      <c r="C18" s="37">
        <f t="shared" si="6"/>
        <v>12.9</v>
      </c>
      <c r="D18" s="37">
        <f t="shared" si="6"/>
        <v>14.512499999999999</v>
      </c>
      <c r="E18" s="37">
        <f t="shared" si="3"/>
        <v>17.600000000000001</v>
      </c>
      <c r="F18" s="37">
        <f t="shared" si="6"/>
        <v>19</v>
      </c>
      <c r="G18" s="37">
        <f t="shared" si="6"/>
        <v>17.760000000000002</v>
      </c>
      <c r="H18" s="37">
        <f t="shared" si="6"/>
        <v>16.780999999999999</v>
      </c>
      <c r="I18" s="37">
        <f t="shared" si="6"/>
        <v>17.760000000000002</v>
      </c>
      <c r="J18" s="37">
        <f t="shared" si="6"/>
        <v>19</v>
      </c>
      <c r="K18" s="37">
        <f t="shared" ref="K18" si="15">$A$12*(K9/100)</f>
        <v>14</v>
      </c>
      <c r="L18" s="37">
        <f t="shared" ref="L18" si="16">$A$12*(L9/100)</f>
        <v>15.2</v>
      </c>
      <c r="M18" s="37"/>
      <c r="N18" s="40"/>
      <c r="O18" s="40"/>
      <c r="P18" s="40"/>
      <c r="Q18" s="40"/>
      <c r="R18" s="40"/>
      <c r="S18" s="40"/>
    </row>
    <row r="19" spans="1:19">
      <c r="A19" s="37"/>
      <c r="B19" s="37"/>
      <c r="C19" s="37"/>
      <c r="D19" s="37"/>
      <c r="E19" s="37"/>
      <c r="F19" s="37"/>
      <c r="G19" s="37"/>
      <c r="H19" s="37"/>
      <c r="I19" s="37"/>
      <c r="J19" s="37"/>
      <c r="K19" s="37"/>
      <c r="L19" s="37"/>
      <c r="M19" s="37"/>
      <c r="N19" s="40"/>
      <c r="O19" s="40"/>
      <c r="P19" s="40"/>
      <c r="Q19" s="40"/>
      <c r="R19" s="40"/>
      <c r="S19" s="40"/>
    </row>
    <row r="20" spans="1:19">
      <c r="A20" s="37"/>
      <c r="B20" s="37"/>
      <c r="C20" s="37"/>
      <c r="D20" s="37"/>
      <c r="E20" s="37"/>
      <c r="F20" s="37"/>
      <c r="G20" s="37"/>
      <c r="H20" s="37"/>
      <c r="I20" s="37"/>
      <c r="J20" s="37"/>
      <c r="K20" s="37"/>
      <c r="L20" s="37"/>
      <c r="M20" s="37"/>
      <c r="N20" s="40"/>
      <c r="O20" s="40"/>
      <c r="P20" s="40"/>
      <c r="Q20" s="40"/>
      <c r="R20" s="40"/>
      <c r="S20" s="40"/>
    </row>
    <row r="21" spans="1:19">
      <c r="A21" s="37" t="s">
        <v>12</v>
      </c>
      <c r="B21" s="37"/>
      <c r="C21" s="37"/>
      <c r="D21" s="37"/>
      <c r="E21" s="37"/>
      <c r="F21" s="37"/>
      <c r="G21" s="37"/>
      <c r="H21" s="37"/>
      <c r="I21" s="37"/>
      <c r="J21" s="37"/>
      <c r="K21" s="37"/>
      <c r="L21" s="37"/>
      <c r="M21" s="37"/>
      <c r="N21" s="40"/>
      <c r="O21" s="40"/>
      <c r="P21" s="40"/>
      <c r="Q21" s="40"/>
      <c r="R21" s="40"/>
      <c r="S21" s="40"/>
    </row>
    <row r="22" spans="1:19">
      <c r="A22" s="37">
        <f>Model!M34</f>
        <v>0.3</v>
      </c>
      <c r="B22" s="37"/>
      <c r="C22" s="37" t="s">
        <v>7</v>
      </c>
      <c r="D22" s="37" t="s">
        <v>6</v>
      </c>
      <c r="E22" s="37" t="s">
        <v>8</v>
      </c>
      <c r="F22" s="37" t="s">
        <v>20</v>
      </c>
      <c r="G22" s="37" t="s">
        <v>21</v>
      </c>
      <c r="H22" s="37" t="s">
        <v>22</v>
      </c>
      <c r="I22" s="37" t="s">
        <v>23</v>
      </c>
      <c r="J22" s="37" t="s">
        <v>24</v>
      </c>
      <c r="K22" s="37" t="s">
        <v>51</v>
      </c>
      <c r="L22" s="37" t="s">
        <v>45</v>
      </c>
      <c r="M22" s="37"/>
      <c r="N22" s="40"/>
      <c r="O22" s="40"/>
      <c r="P22" s="40"/>
      <c r="Q22" s="40"/>
      <c r="R22" s="40"/>
      <c r="S22" s="40"/>
    </row>
    <row r="23" spans="1:19">
      <c r="A23" s="37">
        <v>1</v>
      </c>
      <c r="B23" s="37">
        <f>B13*0.5</f>
        <v>10</v>
      </c>
      <c r="C23" s="37">
        <f>C13*$A$22</f>
        <v>6</v>
      </c>
      <c r="D23" s="37">
        <f t="shared" ref="D23:J23" si="17">D13*$A$22</f>
        <v>6</v>
      </c>
      <c r="E23" s="37">
        <f t="shared" ref="E23:E28" si="18">E13*$A$22</f>
        <v>6</v>
      </c>
      <c r="F23" s="37">
        <f t="shared" si="17"/>
        <v>6</v>
      </c>
      <c r="G23" s="37">
        <f t="shared" si="17"/>
        <v>6</v>
      </c>
      <c r="H23" s="37">
        <f t="shared" si="17"/>
        <v>6</v>
      </c>
      <c r="I23" s="37">
        <f t="shared" si="17"/>
        <v>6</v>
      </c>
      <c r="J23" s="37">
        <f t="shared" si="17"/>
        <v>6</v>
      </c>
      <c r="K23" s="37">
        <f t="shared" ref="K23" si="19">K13*$A$22</f>
        <v>6</v>
      </c>
      <c r="L23" s="37">
        <f t="shared" ref="L23" si="20">L13*$A$22</f>
        <v>6</v>
      </c>
      <c r="M23" s="37"/>
      <c r="N23" s="40"/>
      <c r="O23" s="40"/>
      <c r="P23" s="40"/>
      <c r="Q23" s="40"/>
      <c r="R23" s="40"/>
      <c r="S23" s="40"/>
    </row>
    <row r="24" spans="1:19">
      <c r="A24" s="37">
        <v>2</v>
      </c>
      <c r="B24" s="37">
        <f t="shared" ref="B24" si="21">B14*0.5</f>
        <v>10</v>
      </c>
      <c r="C24" s="37">
        <f t="shared" ref="C24:J28" si="22">C14*$A$22</f>
        <v>5.13</v>
      </c>
      <c r="D24" s="37">
        <f t="shared" si="22"/>
        <v>5.55</v>
      </c>
      <c r="E24" s="37">
        <f t="shared" si="18"/>
        <v>5.76</v>
      </c>
      <c r="F24" s="37">
        <f t="shared" si="22"/>
        <v>5.94</v>
      </c>
      <c r="G24" s="37">
        <f t="shared" si="22"/>
        <v>5.55</v>
      </c>
      <c r="H24" s="37">
        <f t="shared" si="22"/>
        <v>5.55</v>
      </c>
      <c r="I24" s="37">
        <f t="shared" si="22"/>
        <v>5.55</v>
      </c>
      <c r="J24" s="37">
        <f t="shared" si="22"/>
        <v>5.55</v>
      </c>
      <c r="K24" s="37">
        <f t="shared" ref="K24" si="23">K14*$A$22</f>
        <v>5.46</v>
      </c>
      <c r="L24" s="37">
        <f t="shared" ref="L24" si="24">L14*$A$22</f>
        <v>5.6399999999999988</v>
      </c>
      <c r="M24" s="37"/>
      <c r="N24" s="40"/>
      <c r="O24" s="40"/>
      <c r="P24" s="40"/>
      <c r="Q24" s="40"/>
      <c r="R24" s="40"/>
      <c r="S24" s="40"/>
    </row>
    <row r="25" spans="1:19">
      <c r="A25" s="37">
        <v>3</v>
      </c>
      <c r="B25" s="37">
        <f t="shared" ref="B25" si="25">B15*0.5</f>
        <v>10</v>
      </c>
      <c r="C25" s="37">
        <f t="shared" si="22"/>
        <v>4.6800000000000006</v>
      </c>
      <c r="D25" s="37">
        <f t="shared" si="22"/>
        <v>5.19</v>
      </c>
      <c r="E25" s="37">
        <f t="shared" si="18"/>
        <v>5.6399999999999988</v>
      </c>
      <c r="F25" s="37">
        <f t="shared" si="22"/>
        <v>5.88</v>
      </c>
      <c r="G25" s="37">
        <f t="shared" si="22"/>
        <v>5.88</v>
      </c>
      <c r="H25" s="37">
        <f t="shared" si="22"/>
        <v>5.19</v>
      </c>
      <c r="I25" s="37">
        <f t="shared" si="22"/>
        <v>5.19</v>
      </c>
      <c r="J25" s="37">
        <f t="shared" si="22"/>
        <v>5.19</v>
      </c>
      <c r="K25" s="37">
        <f t="shared" ref="K25" si="26">K15*$A$22</f>
        <v>5.0999999999999996</v>
      </c>
      <c r="L25" s="37">
        <f t="shared" ref="L25:L26" si="27">L15*$A$22</f>
        <v>5.34</v>
      </c>
      <c r="M25" s="37"/>
      <c r="N25" s="40"/>
      <c r="O25" s="40"/>
      <c r="P25" s="40"/>
      <c r="Q25" s="40"/>
      <c r="R25" s="40"/>
      <c r="S25" s="40"/>
    </row>
    <row r="26" spans="1:19">
      <c r="A26" s="37">
        <v>4</v>
      </c>
      <c r="B26" s="37">
        <f t="shared" ref="B26" si="28">B16*0.5</f>
        <v>10</v>
      </c>
      <c r="C26" s="37">
        <f t="shared" si="22"/>
        <v>4.3199999999999994</v>
      </c>
      <c r="D26" s="37">
        <f t="shared" si="22"/>
        <v>4.8600000000000003</v>
      </c>
      <c r="E26" s="37">
        <f t="shared" si="18"/>
        <v>5.5200000000000005</v>
      </c>
      <c r="F26" s="37">
        <f t="shared" si="22"/>
        <v>5.8199999999999994</v>
      </c>
      <c r="G26" s="37">
        <f t="shared" si="22"/>
        <v>5.4390000000000009</v>
      </c>
      <c r="H26" s="37">
        <f t="shared" si="22"/>
        <v>5.8199999999999994</v>
      </c>
      <c r="I26" s="37">
        <f t="shared" si="22"/>
        <v>4.8600000000000003</v>
      </c>
      <c r="J26" s="37">
        <f t="shared" si="22"/>
        <v>4.8600000000000003</v>
      </c>
      <c r="K26" s="37">
        <f t="shared" ref="K26" si="29">K16*$A$22</f>
        <v>4.7699999999999996</v>
      </c>
      <c r="L26" s="37">
        <f t="shared" si="27"/>
        <v>5.0699999999999994</v>
      </c>
      <c r="M26" s="37"/>
      <c r="N26" s="40"/>
      <c r="O26" s="40"/>
      <c r="P26" s="40"/>
      <c r="Q26" s="40"/>
      <c r="R26" s="40"/>
      <c r="S26" s="40"/>
    </row>
    <row r="27" spans="1:19">
      <c r="A27" s="37">
        <v>5</v>
      </c>
      <c r="B27" s="37">
        <f t="shared" ref="B27" si="30">B17*0.5</f>
        <v>10</v>
      </c>
      <c r="C27" s="37">
        <f t="shared" si="22"/>
        <v>4.08</v>
      </c>
      <c r="D27" s="37">
        <f t="shared" si="22"/>
        <v>4.59</v>
      </c>
      <c r="E27" s="37">
        <f t="shared" si="18"/>
        <v>5.3999999999999995</v>
      </c>
      <c r="F27" s="37">
        <f t="shared" si="22"/>
        <v>5.76</v>
      </c>
      <c r="G27" s="37">
        <f t="shared" si="22"/>
        <v>5.76</v>
      </c>
      <c r="H27" s="37">
        <f t="shared" si="22"/>
        <v>5.3834999999999997</v>
      </c>
      <c r="I27" s="37">
        <f t="shared" si="22"/>
        <v>5.76</v>
      </c>
      <c r="J27" s="37">
        <f t="shared" si="22"/>
        <v>4.59</v>
      </c>
      <c r="K27" s="37">
        <f t="shared" ref="K27" si="31">K17*$A$22</f>
        <v>4.47</v>
      </c>
      <c r="L27" s="37">
        <f t="shared" ref="L27" si="32">L17*$A$22</f>
        <v>4.8</v>
      </c>
      <c r="M27" s="37"/>
      <c r="N27" s="40"/>
      <c r="O27" s="40"/>
      <c r="P27" s="40"/>
      <c r="Q27" s="40"/>
      <c r="R27" s="40"/>
      <c r="S27" s="40"/>
    </row>
    <row r="28" spans="1:19">
      <c r="A28" s="37">
        <v>6</v>
      </c>
      <c r="B28" s="37">
        <f t="shared" ref="B28" si="33">B18*0.5</f>
        <v>10</v>
      </c>
      <c r="C28" s="37">
        <f t="shared" si="22"/>
        <v>3.87</v>
      </c>
      <c r="D28" s="37">
        <f t="shared" si="22"/>
        <v>4.3537499999999998</v>
      </c>
      <c r="E28" s="37">
        <f t="shared" si="18"/>
        <v>5.28</v>
      </c>
      <c r="F28" s="37">
        <f t="shared" si="22"/>
        <v>5.7</v>
      </c>
      <c r="G28" s="37">
        <f t="shared" si="22"/>
        <v>5.3280000000000003</v>
      </c>
      <c r="H28" s="37">
        <f t="shared" si="22"/>
        <v>5.0342999999999991</v>
      </c>
      <c r="I28" s="37">
        <f t="shared" si="22"/>
        <v>5.3280000000000003</v>
      </c>
      <c r="J28" s="37">
        <f t="shared" si="22"/>
        <v>5.7</v>
      </c>
      <c r="K28" s="37">
        <f t="shared" ref="K28" si="34">K18*$A$22</f>
        <v>4.2</v>
      </c>
      <c r="L28" s="37">
        <f t="shared" ref="L28" si="35">L18*$A$22</f>
        <v>4.5599999999999996</v>
      </c>
      <c r="M28" s="37"/>
      <c r="N28" s="40"/>
      <c r="O28" s="40"/>
      <c r="P28" s="40"/>
      <c r="Q28" s="40"/>
      <c r="R28" s="40"/>
      <c r="S28" s="40"/>
    </row>
    <row r="29" spans="1:19">
      <c r="A29" s="37"/>
      <c r="B29" s="37"/>
      <c r="C29" s="37"/>
      <c r="D29" s="37"/>
      <c r="E29" s="37"/>
      <c r="F29" s="37"/>
      <c r="G29" s="37"/>
      <c r="H29" s="37"/>
      <c r="I29" s="37"/>
      <c r="J29" s="37"/>
      <c r="K29" s="37"/>
      <c r="L29" s="37"/>
      <c r="M29" s="37"/>
      <c r="N29" s="40"/>
      <c r="O29" s="40"/>
      <c r="P29" s="40"/>
      <c r="Q29" s="40"/>
      <c r="R29" s="40"/>
      <c r="S29" s="40"/>
    </row>
    <row r="30" spans="1:19">
      <c r="A30" s="37"/>
      <c r="B30" s="37"/>
      <c r="C30" s="37"/>
      <c r="D30" s="37"/>
      <c r="E30" s="37"/>
      <c r="F30" s="37"/>
      <c r="G30" s="37"/>
      <c r="H30" s="37"/>
      <c r="I30" s="37"/>
      <c r="J30" s="37"/>
      <c r="K30" s="37"/>
      <c r="L30" s="37"/>
      <c r="M30" s="37"/>
      <c r="N30" s="40"/>
      <c r="O30" s="40"/>
      <c r="P30" s="40"/>
      <c r="Q30" s="40"/>
      <c r="R30" s="40"/>
      <c r="S30" s="40"/>
    </row>
    <row r="31" spans="1:19">
      <c r="A31" s="37" t="s">
        <v>9</v>
      </c>
      <c r="B31" s="37"/>
      <c r="C31" s="37"/>
      <c r="D31" s="37">
        <f>Model!M27</f>
        <v>0.18</v>
      </c>
      <c r="E31" s="37">
        <f>Model!M28</f>
        <v>0.36</v>
      </c>
      <c r="F31" s="37">
        <f>Model!M29</f>
        <v>1.4666666666666668</v>
      </c>
      <c r="G31" s="37">
        <f>Model!M27</f>
        <v>0.18</v>
      </c>
      <c r="H31" s="37">
        <f>Model!M27</f>
        <v>0.18</v>
      </c>
      <c r="I31" s="37">
        <f>Model!M27</f>
        <v>0.18</v>
      </c>
      <c r="J31" s="37">
        <f>Model!M27</f>
        <v>0.18</v>
      </c>
      <c r="K31" s="37">
        <f>Model!M30</f>
        <v>0.26666666666666666</v>
      </c>
      <c r="L31" s="37">
        <f>Model!M31</f>
        <v>0.44666666666666666</v>
      </c>
      <c r="M31" s="37" t="s">
        <v>37</v>
      </c>
      <c r="N31" s="40"/>
      <c r="O31" s="40"/>
      <c r="P31" s="40"/>
      <c r="Q31" s="40"/>
      <c r="R31" s="40"/>
      <c r="S31" s="40"/>
    </row>
    <row r="32" spans="1:19">
      <c r="A32" s="37"/>
      <c r="B32" s="37"/>
      <c r="C32" s="37" t="s">
        <v>7</v>
      </c>
      <c r="D32" s="37" t="s">
        <v>6</v>
      </c>
      <c r="E32" s="37" t="s">
        <v>8</v>
      </c>
      <c r="F32" s="37" t="s">
        <v>20</v>
      </c>
      <c r="G32" s="37" t="s">
        <v>21</v>
      </c>
      <c r="H32" s="37" t="s">
        <v>22</v>
      </c>
      <c r="I32" s="37" t="s">
        <v>23</v>
      </c>
      <c r="J32" s="37" t="s">
        <v>24</v>
      </c>
      <c r="K32" s="37" t="s">
        <v>51</v>
      </c>
      <c r="L32" s="37" t="s">
        <v>45</v>
      </c>
      <c r="M32" s="37"/>
      <c r="N32" s="40"/>
      <c r="O32" s="40"/>
      <c r="P32" s="40"/>
      <c r="Q32" s="40"/>
      <c r="R32" s="40"/>
      <c r="S32" s="40"/>
    </row>
    <row r="33" spans="1:19">
      <c r="A33" s="37">
        <v>1</v>
      </c>
      <c r="B33" s="37"/>
      <c r="C33" s="37"/>
      <c r="D33" s="37">
        <f t="shared" ref="D33:D38" si="36">D23-$C23</f>
        <v>0</v>
      </c>
      <c r="E33" s="37">
        <f t="shared" ref="E33:E38" si="37">E23-$C23</f>
        <v>0</v>
      </c>
      <c r="F33" s="37">
        <f t="shared" ref="F33" si="38">F23-$C23</f>
        <v>0</v>
      </c>
      <c r="G33" s="37">
        <f t="shared" ref="G33:G38" si="39">G23-$C23</f>
        <v>0</v>
      </c>
      <c r="H33" s="37">
        <f t="shared" ref="H33" si="40">H23-$C23</f>
        <v>0</v>
      </c>
      <c r="I33" s="37">
        <f t="shared" ref="I33:J33" si="41">I23-$C23</f>
        <v>0</v>
      </c>
      <c r="J33" s="37">
        <f t="shared" si="41"/>
        <v>0</v>
      </c>
      <c r="K33" s="37">
        <f t="shared" ref="K33" si="42">K23-$C23</f>
        <v>0</v>
      </c>
      <c r="L33" s="37">
        <f t="shared" ref="L33" si="43">L23-$C23</f>
        <v>0</v>
      </c>
      <c r="M33" s="37"/>
      <c r="N33" s="40"/>
      <c r="O33" s="40"/>
      <c r="P33" s="40"/>
      <c r="Q33" s="40"/>
      <c r="R33" s="40"/>
      <c r="S33" s="40"/>
    </row>
    <row r="34" spans="1:19">
      <c r="A34" s="37">
        <v>2</v>
      </c>
      <c r="B34" s="37"/>
      <c r="C34" s="37"/>
      <c r="D34" s="37">
        <f t="shared" si="36"/>
        <v>0.41999999999999993</v>
      </c>
      <c r="E34" s="37">
        <f t="shared" si="37"/>
        <v>0.62999999999999989</v>
      </c>
      <c r="F34" s="37">
        <f t="shared" ref="F34" si="44">F24-$C24</f>
        <v>0.8100000000000005</v>
      </c>
      <c r="G34" s="37">
        <f t="shared" si="39"/>
        <v>0.41999999999999993</v>
      </c>
      <c r="H34" s="37">
        <f t="shared" ref="H34" si="45">H24-$C24</f>
        <v>0.41999999999999993</v>
      </c>
      <c r="I34" s="37">
        <f t="shared" ref="I34:J34" si="46">I24-$C24</f>
        <v>0.41999999999999993</v>
      </c>
      <c r="J34" s="37">
        <f t="shared" si="46"/>
        <v>0.41999999999999993</v>
      </c>
      <c r="K34" s="37">
        <f t="shared" ref="K34" si="47">K24-$C24</f>
        <v>0.33000000000000007</v>
      </c>
      <c r="L34" s="37">
        <f t="shared" ref="L34" si="48">L24-$C24</f>
        <v>0.5099999999999989</v>
      </c>
      <c r="M34" s="37"/>
      <c r="N34" s="40"/>
      <c r="O34" s="40"/>
      <c r="P34" s="40"/>
      <c r="Q34" s="40"/>
      <c r="R34" s="40"/>
      <c r="S34" s="40"/>
    </row>
    <row r="35" spans="1:19">
      <c r="A35" s="37">
        <v>3</v>
      </c>
      <c r="B35" s="37"/>
      <c r="C35" s="37"/>
      <c r="D35" s="37">
        <f t="shared" si="36"/>
        <v>0.50999999999999979</v>
      </c>
      <c r="E35" s="37">
        <f t="shared" si="37"/>
        <v>0.95999999999999819</v>
      </c>
      <c r="F35" s="37">
        <f t="shared" ref="F35" si="49">F25-$C25</f>
        <v>1.1999999999999993</v>
      </c>
      <c r="G35" s="37">
        <f t="shared" si="39"/>
        <v>1.1999999999999993</v>
      </c>
      <c r="H35" s="37">
        <f t="shared" ref="H35" si="50">H25-$C25</f>
        <v>0.50999999999999979</v>
      </c>
      <c r="I35" s="37">
        <f t="shared" ref="I35:J35" si="51">I25-$C25</f>
        <v>0.50999999999999979</v>
      </c>
      <c r="J35" s="37">
        <f t="shared" si="51"/>
        <v>0.50999999999999979</v>
      </c>
      <c r="K35" s="37">
        <f t="shared" ref="K35" si="52">K25-$C25</f>
        <v>0.41999999999999904</v>
      </c>
      <c r="L35" s="37">
        <f t="shared" ref="L35" si="53">L25-$C25</f>
        <v>0.65999999999999925</v>
      </c>
      <c r="M35" s="37"/>
      <c r="N35" s="40"/>
      <c r="O35" s="40"/>
      <c r="P35" s="40"/>
      <c r="Q35" s="40"/>
      <c r="R35" s="40"/>
      <c r="S35" s="40"/>
    </row>
    <row r="36" spans="1:19">
      <c r="A36" s="37">
        <v>4</v>
      </c>
      <c r="B36" s="37"/>
      <c r="C36" s="37"/>
      <c r="D36" s="37">
        <f t="shared" si="36"/>
        <v>0.54000000000000092</v>
      </c>
      <c r="E36" s="37">
        <f t="shared" si="37"/>
        <v>1.2000000000000011</v>
      </c>
      <c r="F36" s="37">
        <f t="shared" ref="F36" si="54">F26-$C26</f>
        <v>1.5</v>
      </c>
      <c r="G36" s="37">
        <f t="shared" si="39"/>
        <v>1.1190000000000015</v>
      </c>
      <c r="H36" s="37">
        <f t="shared" ref="H36" si="55">H26-$C26</f>
        <v>1.5</v>
      </c>
      <c r="I36" s="37">
        <f t="shared" ref="I36:J36" si="56">I26-$C26</f>
        <v>0.54000000000000092</v>
      </c>
      <c r="J36" s="37">
        <f t="shared" si="56"/>
        <v>0.54000000000000092</v>
      </c>
      <c r="K36" s="37">
        <f t="shared" ref="K36" si="57">K26-$C26</f>
        <v>0.45000000000000018</v>
      </c>
      <c r="L36" s="37">
        <f t="shared" ref="L36" si="58">L26-$C26</f>
        <v>0.75</v>
      </c>
      <c r="M36" s="37"/>
      <c r="N36" s="40"/>
      <c r="O36" s="40"/>
      <c r="P36" s="40"/>
      <c r="Q36" s="40"/>
      <c r="R36" s="40"/>
      <c r="S36" s="40"/>
    </row>
    <row r="37" spans="1:19">
      <c r="A37" s="37">
        <v>5</v>
      </c>
      <c r="B37" s="37"/>
      <c r="C37" s="37"/>
      <c r="D37" s="37">
        <f t="shared" si="36"/>
        <v>0.50999999999999979</v>
      </c>
      <c r="E37" s="37">
        <f t="shared" si="37"/>
        <v>1.3199999999999994</v>
      </c>
      <c r="F37" s="37">
        <f t="shared" ref="F37" si="59">F27-$C27</f>
        <v>1.6799999999999997</v>
      </c>
      <c r="G37" s="37">
        <f t="shared" si="39"/>
        <v>1.6799999999999997</v>
      </c>
      <c r="H37" s="37">
        <f t="shared" ref="H37" si="60">H27-$C27</f>
        <v>1.3034999999999997</v>
      </c>
      <c r="I37" s="37">
        <f t="shared" ref="I37:J37" si="61">I27-$C27</f>
        <v>1.6799999999999997</v>
      </c>
      <c r="J37" s="37">
        <f t="shared" si="61"/>
        <v>0.50999999999999979</v>
      </c>
      <c r="K37" s="37">
        <f t="shared" ref="K37" si="62">K27-$C27</f>
        <v>0.38999999999999968</v>
      </c>
      <c r="L37" s="37">
        <f t="shared" ref="L37" si="63">L27-$C27</f>
        <v>0.71999999999999975</v>
      </c>
      <c r="M37" s="37"/>
      <c r="N37" s="40"/>
      <c r="O37" s="40"/>
      <c r="P37" s="40"/>
      <c r="Q37" s="40"/>
      <c r="R37" s="40"/>
      <c r="S37" s="40"/>
    </row>
    <row r="38" spans="1:19">
      <c r="A38" s="37">
        <v>6</v>
      </c>
      <c r="B38" s="37"/>
      <c r="C38" s="37"/>
      <c r="D38" s="37">
        <f t="shared" si="36"/>
        <v>0.48374999999999968</v>
      </c>
      <c r="E38" s="37">
        <f t="shared" si="37"/>
        <v>1.4100000000000001</v>
      </c>
      <c r="F38" s="37">
        <f t="shared" ref="F38" si="64">F28-$C28</f>
        <v>1.83</v>
      </c>
      <c r="G38" s="37">
        <f t="shared" si="39"/>
        <v>1.4580000000000002</v>
      </c>
      <c r="H38" s="37">
        <f t="shared" ref="H38" si="65">H28-$C28</f>
        <v>1.164299999999999</v>
      </c>
      <c r="I38" s="37">
        <f t="shared" ref="I38:J38" si="66">I28-$C28</f>
        <v>1.4580000000000002</v>
      </c>
      <c r="J38" s="37">
        <f t="shared" si="66"/>
        <v>1.83</v>
      </c>
      <c r="K38" s="37">
        <f t="shared" ref="K38" si="67">K28-$C28</f>
        <v>0.33000000000000007</v>
      </c>
      <c r="L38" s="37">
        <f t="shared" ref="L38" si="68">L28-$C28</f>
        <v>0.6899999999999995</v>
      </c>
      <c r="M38" s="37"/>
      <c r="N38" s="40"/>
      <c r="O38" s="40"/>
      <c r="P38" s="40"/>
      <c r="Q38" s="40"/>
      <c r="R38" s="40"/>
      <c r="S38" s="40"/>
    </row>
    <row r="39" spans="1:19">
      <c r="A39" s="37"/>
      <c r="B39" s="37"/>
      <c r="C39" s="37"/>
      <c r="D39" s="37"/>
      <c r="E39" s="37"/>
      <c r="F39" s="37"/>
      <c r="G39" s="37"/>
      <c r="H39" s="37"/>
      <c r="I39" s="37"/>
      <c r="J39" s="37"/>
      <c r="K39" s="37"/>
      <c r="L39" s="37"/>
      <c r="M39" s="37"/>
      <c r="N39" s="40"/>
      <c r="O39" s="40"/>
      <c r="P39" s="40"/>
      <c r="Q39" s="40"/>
      <c r="R39" s="40"/>
      <c r="S39" s="40"/>
    </row>
    <row r="40" spans="1:19">
      <c r="A40" s="37"/>
      <c r="B40" s="37"/>
      <c r="C40" s="37"/>
      <c r="D40" s="37"/>
      <c r="E40" s="37"/>
      <c r="F40" s="37"/>
      <c r="G40" s="37"/>
      <c r="H40" s="37"/>
      <c r="I40" s="37"/>
      <c r="J40" s="37"/>
      <c r="K40" s="37"/>
      <c r="L40" s="37"/>
      <c r="M40" s="37"/>
      <c r="N40" s="40"/>
      <c r="O40" s="40"/>
      <c r="P40" s="40"/>
      <c r="Q40" s="40"/>
      <c r="R40" s="40"/>
      <c r="S40" s="40"/>
    </row>
    <row r="41" spans="1:19">
      <c r="A41" s="37" t="s">
        <v>10</v>
      </c>
      <c r="B41" s="37"/>
      <c r="C41" s="37"/>
      <c r="D41" s="37"/>
      <c r="E41" s="37"/>
      <c r="F41" s="37"/>
      <c r="G41" s="37"/>
      <c r="H41" s="37"/>
      <c r="I41" s="37"/>
      <c r="J41" s="37"/>
      <c r="K41" s="37"/>
      <c r="L41" s="37"/>
      <c r="M41" s="37"/>
      <c r="N41" s="40"/>
      <c r="O41" s="40"/>
      <c r="P41" s="40"/>
      <c r="Q41" s="40"/>
      <c r="R41" s="40"/>
      <c r="S41" s="40"/>
    </row>
    <row r="42" spans="1:19">
      <c r="A42" s="37"/>
      <c r="B42" s="37"/>
      <c r="C42" s="37" t="s">
        <v>7</v>
      </c>
      <c r="D42" s="37" t="s">
        <v>6</v>
      </c>
      <c r="E42" s="37" t="s">
        <v>8</v>
      </c>
      <c r="F42" s="37" t="s">
        <v>20</v>
      </c>
      <c r="G42" s="37" t="s">
        <v>21</v>
      </c>
      <c r="H42" s="37" t="s">
        <v>22</v>
      </c>
      <c r="I42" s="37" t="s">
        <v>23</v>
      </c>
      <c r="J42" s="37" t="s">
        <v>24</v>
      </c>
      <c r="K42" s="37" t="s">
        <v>51</v>
      </c>
      <c r="L42" s="37" t="s">
        <v>45</v>
      </c>
      <c r="M42" s="37"/>
      <c r="N42" s="40"/>
      <c r="O42" s="40"/>
      <c r="P42" s="40"/>
      <c r="Q42" s="40"/>
      <c r="R42" s="40"/>
      <c r="S42" s="40"/>
    </row>
    <row r="43" spans="1:19">
      <c r="A43" s="37">
        <v>1</v>
      </c>
      <c r="B43" s="37"/>
      <c r="C43" s="37"/>
      <c r="D43" s="37">
        <v>0</v>
      </c>
      <c r="E43" s="37">
        <v>0</v>
      </c>
      <c r="F43" s="37">
        <v>0</v>
      </c>
      <c r="G43" s="37" t="s">
        <v>18</v>
      </c>
      <c r="H43" s="37" t="s">
        <v>15</v>
      </c>
      <c r="I43" s="37" t="s">
        <v>16</v>
      </c>
      <c r="J43" s="37" t="s">
        <v>17</v>
      </c>
      <c r="K43" s="37">
        <v>0</v>
      </c>
      <c r="L43" s="37">
        <v>0</v>
      </c>
      <c r="M43" s="37"/>
      <c r="N43" s="40"/>
      <c r="O43" s="40"/>
      <c r="P43" s="40"/>
      <c r="Q43" s="40"/>
      <c r="R43" s="40"/>
      <c r="S43" s="40"/>
    </row>
    <row r="44" spans="1:19">
      <c r="A44" s="37">
        <v>2</v>
      </c>
      <c r="B44" s="37"/>
      <c r="C44" s="37"/>
      <c r="D44" s="37">
        <f t="shared" ref="D44:I44" si="69">D34-D$31</f>
        <v>0.23999999999999994</v>
      </c>
      <c r="E44" s="37">
        <f>E34-E$31</f>
        <v>0.26999999999999991</v>
      </c>
      <c r="F44" s="37">
        <f>F34-F$31</f>
        <v>-0.65666666666666629</v>
      </c>
      <c r="G44" s="37">
        <f t="shared" si="69"/>
        <v>0.23999999999999994</v>
      </c>
      <c r="H44" s="37">
        <f t="shared" si="69"/>
        <v>0.23999999999999994</v>
      </c>
      <c r="I44" s="37">
        <f t="shared" si="69"/>
        <v>0.23999999999999994</v>
      </c>
      <c r="J44" s="37">
        <f t="shared" ref="J44:L44" si="70">J34-J$31</f>
        <v>0.23999999999999994</v>
      </c>
      <c r="K44" s="37">
        <f t="shared" ref="K44" si="71">K34-K$31</f>
        <v>6.3333333333333408E-2</v>
      </c>
      <c r="L44" s="37">
        <f t="shared" si="70"/>
        <v>6.3333333333332242E-2</v>
      </c>
      <c r="M44" s="37"/>
      <c r="N44" s="40"/>
      <c r="O44" s="40"/>
      <c r="P44" s="40"/>
      <c r="Q44" s="40"/>
      <c r="R44" s="40"/>
      <c r="S44" s="40"/>
    </row>
    <row r="45" spans="1:19">
      <c r="A45" s="37">
        <v>3</v>
      </c>
      <c r="B45" s="37"/>
      <c r="C45" s="37"/>
      <c r="D45" s="37">
        <f t="shared" ref="D45:F45" si="72">D35-D$31</f>
        <v>0.32999999999999979</v>
      </c>
      <c r="E45" s="37">
        <f>E35-E$31</f>
        <v>0.5999999999999982</v>
      </c>
      <c r="F45" s="37">
        <f t="shared" si="72"/>
        <v>-0.2666666666666675</v>
      </c>
      <c r="G45" s="37">
        <f>G35-Model!$M$29</f>
        <v>-0.2666666666666675</v>
      </c>
      <c r="H45" s="37">
        <f t="shared" ref="H45:I45" si="73">H35-H$31</f>
        <v>0.32999999999999979</v>
      </c>
      <c r="I45" s="37">
        <f t="shared" si="73"/>
        <v>0.32999999999999979</v>
      </c>
      <c r="J45" s="37">
        <f t="shared" ref="J45:L45" si="74">J35-J$31</f>
        <v>0.32999999999999979</v>
      </c>
      <c r="K45" s="37">
        <f t="shared" ref="K45" si="75">K35-K$31</f>
        <v>0.15333333333333238</v>
      </c>
      <c r="L45" s="37">
        <f t="shared" si="74"/>
        <v>0.2133333333333326</v>
      </c>
      <c r="M45" s="37"/>
      <c r="N45" s="40"/>
      <c r="O45" s="40"/>
      <c r="P45" s="40"/>
      <c r="Q45" s="40"/>
      <c r="R45" s="40"/>
      <c r="S45" s="40"/>
    </row>
    <row r="46" spans="1:19">
      <c r="A46" s="37">
        <v>4</v>
      </c>
      <c r="B46" s="37"/>
      <c r="C46" s="37"/>
      <c r="D46" s="37">
        <f t="shared" ref="D46:F46" si="76">D36-D$31</f>
        <v>0.36000000000000093</v>
      </c>
      <c r="E46" s="37">
        <f>E36-E$31</f>
        <v>0.84000000000000108</v>
      </c>
      <c r="F46" s="37">
        <f t="shared" si="76"/>
        <v>3.3333333333333215E-2</v>
      </c>
      <c r="G46" s="37">
        <f>G36-G$31</f>
        <v>0.93900000000000161</v>
      </c>
      <c r="H46" s="37">
        <f>H36-Model!$M$29</f>
        <v>3.3333333333333215E-2</v>
      </c>
      <c r="I46" s="37">
        <f>I36-I$31</f>
        <v>0.36000000000000093</v>
      </c>
      <c r="J46" s="37">
        <f t="shared" ref="J46:L46" si="77">J36-J$31</f>
        <v>0.36000000000000093</v>
      </c>
      <c r="K46" s="37">
        <f t="shared" ref="K46" si="78">K36-K$31</f>
        <v>0.18333333333333351</v>
      </c>
      <c r="L46" s="37">
        <f t="shared" si="77"/>
        <v>0.30333333333333334</v>
      </c>
      <c r="M46" s="37"/>
      <c r="N46" s="40"/>
      <c r="O46" s="40"/>
      <c r="P46" s="40"/>
      <c r="Q46" s="40"/>
      <c r="R46" s="40"/>
      <c r="S46" s="40"/>
    </row>
    <row r="47" spans="1:19">
      <c r="A47" s="37">
        <v>5</v>
      </c>
      <c r="B47" s="37"/>
      <c r="C47" s="37"/>
      <c r="D47" s="37">
        <f t="shared" ref="D47:F47" si="79">D37-D$31</f>
        <v>0.32999999999999979</v>
      </c>
      <c r="E47" s="37">
        <f>E37-E$31</f>
        <v>0.95999999999999941</v>
      </c>
      <c r="F47" s="37">
        <f t="shared" si="79"/>
        <v>0.21333333333333293</v>
      </c>
      <c r="G47" s="37">
        <f>G37-Model!$M$29</f>
        <v>0.21333333333333293</v>
      </c>
      <c r="H47" s="37">
        <f t="shared" ref="H47" si="80">H37-H$31</f>
        <v>1.1234999999999997</v>
      </c>
      <c r="I47" s="37">
        <f>I37-Model!$M$29</f>
        <v>0.21333333333333293</v>
      </c>
      <c r="J47" s="37">
        <f t="shared" ref="J47:L47" si="81">J37-J$31</f>
        <v>0.32999999999999979</v>
      </c>
      <c r="K47" s="37">
        <f t="shared" ref="K47" si="82">K37-K$31</f>
        <v>0.12333333333333302</v>
      </c>
      <c r="L47" s="37">
        <f t="shared" si="81"/>
        <v>0.2733333333333331</v>
      </c>
      <c r="M47" s="37"/>
      <c r="N47" s="40"/>
      <c r="O47" s="40"/>
      <c r="P47" s="40"/>
      <c r="Q47" s="40"/>
      <c r="R47" s="40"/>
      <c r="S47" s="40"/>
    </row>
    <row r="48" spans="1:19">
      <c r="A48" s="37">
        <v>6</v>
      </c>
      <c r="B48" s="37"/>
      <c r="C48" s="37"/>
      <c r="D48" s="37">
        <f t="shared" ref="D48:F48" si="83">D38-D$31</f>
        <v>0.30374999999999969</v>
      </c>
      <c r="E48" s="37">
        <f>E38-E$31</f>
        <v>1.0500000000000003</v>
      </c>
      <c r="F48" s="37">
        <f t="shared" si="83"/>
        <v>0.36333333333333329</v>
      </c>
      <c r="G48" s="37">
        <f>G38-G$31</f>
        <v>1.2780000000000002</v>
      </c>
      <c r="H48" s="37">
        <f t="shared" ref="H48:I48" si="84">H38-H$31</f>
        <v>0.98429999999999906</v>
      </c>
      <c r="I48" s="37">
        <f t="shared" si="84"/>
        <v>1.2780000000000002</v>
      </c>
      <c r="J48" s="37">
        <f>J38-Model!$M$29</f>
        <v>0.36333333333333329</v>
      </c>
      <c r="K48" s="37">
        <f t="shared" ref="K48:L48" si="85">K38-K$31</f>
        <v>6.3333333333333408E-2</v>
      </c>
      <c r="L48" s="37">
        <f t="shared" si="85"/>
        <v>0.24333333333333285</v>
      </c>
      <c r="M48" s="37"/>
      <c r="N48" s="40"/>
      <c r="O48" s="40"/>
      <c r="P48" s="40"/>
      <c r="Q48" s="40"/>
      <c r="R48" s="40"/>
      <c r="S48" s="40"/>
    </row>
    <row r="49" spans="1:19">
      <c r="A49" s="37"/>
      <c r="B49" s="37"/>
      <c r="C49" s="37"/>
      <c r="D49" s="37"/>
      <c r="E49" s="37"/>
      <c r="F49" s="37"/>
      <c r="G49" s="37"/>
      <c r="H49" s="37"/>
      <c r="I49" s="37"/>
      <c r="J49" s="37"/>
      <c r="K49" s="37"/>
      <c r="L49" s="37"/>
      <c r="M49" s="37"/>
      <c r="N49" s="40"/>
      <c r="O49" s="40"/>
      <c r="P49" s="40"/>
      <c r="Q49" s="40"/>
      <c r="R49" s="40"/>
      <c r="S49" s="40"/>
    </row>
    <row r="50" spans="1:19">
      <c r="A50" s="37" t="s">
        <v>14</v>
      </c>
      <c r="B50" s="37"/>
      <c r="C50" s="37"/>
      <c r="D50" s="37">
        <f>SUM(D43:D48)</f>
        <v>1.5637500000000002</v>
      </c>
      <c r="E50" s="37">
        <f>SUM(E43:E48)</f>
        <v>3.7199999999999989</v>
      </c>
      <c r="F50" s="37">
        <f t="shared" ref="F50:H50" si="86">SUM(F43:F48)</f>
        <v>-0.31333333333333435</v>
      </c>
      <c r="G50" s="37">
        <f>SUM(G43:G48)</f>
        <v>2.4036666666666671</v>
      </c>
      <c r="H50" s="37">
        <f t="shared" si="86"/>
        <v>2.7111333333333318</v>
      </c>
      <c r="I50" s="37">
        <f t="shared" ref="I50:J50" si="87">SUM(I43:I48)</f>
        <v>2.421333333333334</v>
      </c>
      <c r="J50" s="37">
        <f t="shared" si="87"/>
        <v>1.6233333333333337</v>
      </c>
      <c r="K50" s="37">
        <f t="shared" ref="K50" si="88">SUM(K43:K48)</f>
        <v>0.58666666666666578</v>
      </c>
      <c r="L50" s="37">
        <f t="shared" ref="L50" si="89">SUM(L43:L48)</f>
        <v>1.096666666666664</v>
      </c>
      <c r="M50" s="37"/>
      <c r="N50" s="40"/>
      <c r="O50" s="40"/>
      <c r="P50" s="40"/>
      <c r="Q50" s="40"/>
      <c r="R50" s="40"/>
      <c r="S50" s="40"/>
    </row>
    <row r="51" spans="1:19">
      <c r="A51" s="37" t="s">
        <v>13</v>
      </c>
      <c r="B51" s="37"/>
      <c r="C51" s="37"/>
      <c r="D51" s="37">
        <f>D50/5</f>
        <v>0.31275000000000003</v>
      </c>
      <c r="E51" s="37">
        <f>E50/5</f>
        <v>0.74399999999999977</v>
      </c>
      <c r="F51" s="37">
        <f t="shared" ref="F51:H51" si="90">F50/5</f>
        <v>-6.266666666666687E-2</v>
      </c>
      <c r="G51" s="37">
        <f t="shared" ref="G51" si="91">G50/5</f>
        <v>0.4807333333333334</v>
      </c>
      <c r="H51" s="37">
        <f t="shared" si="90"/>
        <v>0.54222666666666641</v>
      </c>
      <c r="I51" s="37">
        <f t="shared" ref="I51" si="92">I50/5</f>
        <v>0.48426666666666679</v>
      </c>
      <c r="J51" s="37">
        <f t="shared" ref="J51:L51" si="93">J50/5</f>
        <v>0.32466666666666677</v>
      </c>
      <c r="K51" s="37">
        <f t="shared" ref="K51" si="94">K50/5</f>
        <v>0.11733333333333315</v>
      </c>
      <c r="L51" s="37">
        <f t="shared" si="93"/>
        <v>0.2193333333333328</v>
      </c>
      <c r="M51" s="37"/>
      <c r="N51" s="40"/>
      <c r="O51" s="40"/>
      <c r="P51" s="40"/>
      <c r="Q51" s="40"/>
      <c r="R51" s="40"/>
      <c r="S51" s="40"/>
    </row>
    <row r="52" spans="1:19">
      <c r="A52" s="37"/>
      <c r="B52" s="37"/>
      <c r="C52" s="37"/>
      <c r="D52" s="37"/>
      <c r="E52" s="37"/>
      <c r="F52" s="37"/>
      <c r="G52" s="37"/>
      <c r="H52" s="37"/>
      <c r="I52" s="37"/>
      <c r="J52" s="37"/>
      <c r="K52" s="37"/>
      <c r="L52" s="37"/>
      <c r="M52" s="37"/>
      <c r="N52" s="40"/>
      <c r="O52" s="40"/>
      <c r="P52" s="40"/>
      <c r="Q52" s="40"/>
      <c r="R52" s="40"/>
      <c r="S52" s="40"/>
    </row>
    <row r="53" spans="1:19">
      <c r="A53" s="37"/>
      <c r="B53" s="37"/>
      <c r="C53" s="37"/>
      <c r="D53" s="37"/>
      <c r="E53" s="37"/>
      <c r="F53" s="37"/>
      <c r="G53" s="37"/>
      <c r="H53" s="37"/>
      <c r="I53" s="37"/>
      <c r="J53" s="37"/>
      <c r="K53" s="37"/>
      <c r="L53" s="37"/>
      <c r="M53" s="37"/>
      <c r="N53" s="40"/>
      <c r="O53" s="40"/>
      <c r="P53" s="40"/>
      <c r="Q53" s="40"/>
      <c r="R53" s="40"/>
      <c r="S53" s="40"/>
    </row>
    <row r="54" spans="1:19">
      <c r="A54" s="37"/>
      <c r="B54" s="37"/>
      <c r="C54" s="37"/>
      <c r="D54" s="37"/>
      <c r="E54" s="37" t="s">
        <v>36</v>
      </c>
      <c r="F54" s="37" t="s">
        <v>35</v>
      </c>
      <c r="G54" s="37"/>
      <c r="H54" s="37"/>
      <c r="I54" s="37"/>
      <c r="J54" s="37"/>
      <c r="K54" s="37"/>
      <c r="L54" s="37"/>
      <c r="M54" s="37"/>
      <c r="N54" s="40"/>
      <c r="O54" s="40"/>
      <c r="P54" s="40"/>
      <c r="Q54" s="40"/>
      <c r="R54" s="40"/>
      <c r="S54" s="40"/>
    </row>
    <row r="55" spans="1:19">
      <c r="A55" s="37"/>
      <c r="B55" s="37"/>
      <c r="C55" s="37"/>
      <c r="D55" s="37" t="s">
        <v>26</v>
      </c>
      <c r="E55" s="37" t="s">
        <v>25</v>
      </c>
      <c r="F55" s="37" t="s">
        <v>25</v>
      </c>
      <c r="G55" s="37"/>
      <c r="H55" s="37" t="s">
        <v>34</v>
      </c>
      <c r="I55" s="37" t="s">
        <v>33</v>
      </c>
      <c r="J55" s="37"/>
      <c r="K55" s="37"/>
      <c r="L55" s="37"/>
      <c r="M55" s="37"/>
      <c r="N55" s="40"/>
      <c r="O55" s="40"/>
      <c r="P55" s="40"/>
      <c r="Q55" s="40"/>
      <c r="R55" s="40"/>
      <c r="S55" s="40"/>
    </row>
    <row r="56" spans="1:19">
      <c r="A56" s="37"/>
      <c r="B56" s="37"/>
      <c r="C56" s="37"/>
      <c r="D56" s="37" t="s">
        <v>19</v>
      </c>
      <c r="E56" s="41">
        <f>D51</f>
        <v>0.31275000000000003</v>
      </c>
      <c r="F56" s="41">
        <f>E56*5</f>
        <v>1.5637500000000002</v>
      </c>
      <c r="G56" s="41"/>
      <c r="H56" s="41">
        <f>E56</f>
        <v>0.31275000000000003</v>
      </c>
      <c r="I56" s="41">
        <f>$E$57-H56</f>
        <v>0.43124999999999974</v>
      </c>
      <c r="J56" s="37"/>
      <c r="K56" s="37"/>
      <c r="L56" s="37"/>
      <c r="M56" s="37"/>
      <c r="N56" s="40"/>
      <c r="O56" s="40"/>
      <c r="P56" s="40"/>
      <c r="Q56" s="40"/>
      <c r="R56" s="40"/>
      <c r="S56" s="40"/>
    </row>
    <row r="57" spans="1:19">
      <c r="A57" s="37"/>
      <c r="B57" s="37"/>
      <c r="C57" s="37"/>
      <c r="D57" s="37" t="s">
        <v>8</v>
      </c>
      <c r="E57" s="41">
        <f>E51</f>
        <v>0.74399999999999977</v>
      </c>
      <c r="F57" s="41">
        <f t="shared" ref="F57:F62" si="95">E57*5</f>
        <v>3.7199999999999989</v>
      </c>
      <c r="G57" s="41"/>
      <c r="H57" s="41"/>
      <c r="I57" s="41"/>
      <c r="J57" s="37"/>
      <c r="K57" s="37"/>
      <c r="L57" s="37"/>
      <c r="M57" s="37"/>
      <c r="N57" s="40"/>
      <c r="O57" s="40"/>
      <c r="P57" s="40"/>
      <c r="Q57" s="40"/>
      <c r="R57" s="40"/>
      <c r="S57" s="40"/>
    </row>
    <row r="58" spans="1:19">
      <c r="A58" s="37"/>
      <c r="B58" s="37"/>
      <c r="C58" s="37"/>
      <c r="D58" s="37" t="s">
        <v>39</v>
      </c>
      <c r="E58" s="41">
        <f>F51</f>
        <v>-6.266666666666687E-2</v>
      </c>
      <c r="F58" s="41">
        <f t="shared" si="95"/>
        <v>-0.31333333333333435</v>
      </c>
      <c r="G58" s="41"/>
      <c r="H58" s="41">
        <f>E58</f>
        <v>-6.266666666666687E-2</v>
      </c>
      <c r="I58" s="41">
        <f>$E$57-H58</f>
        <v>0.80666666666666664</v>
      </c>
      <c r="J58" s="37"/>
      <c r="K58" s="37"/>
      <c r="L58" s="37"/>
      <c r="M58" s="37"/>
      <c r="N58" s="40"/>
      <c r="O58" s="40"/>
      <c r="P58" s="40"/>
      <c r="Q58" s="40"/>
      <c r="R58" s="40"/>
      <c r="S58" s="40"/>
    </row>
    <row r="59" spans="1:19">
      <c r="A59" s="37"/>
      <c r="B59" s="37"/>
      <c r="C59" s="37"/>
      <c r="D59" s="37" t="s">
        <v>40</v>
      </c>
      <c r="E59" s="41">
        <f>G51</f>
        <v>0.4807333333333334</v>
      </c>
      <c r="F59" s="41">
        <f t="shared" si="95"/>
        <v>2.4036666666666671</v>
      </c>
      <c r="G59" s="41"/>
      <c r="H59" s="41">
        <f>E59</f>
        <v>0.4807333333333334</v>
      </c>
      <c r="I59" s="41">
        <f>$E$57-H59</f>
        <v>0.26326666666666637</v>
      </c>
      <c r="J59" s="37"/>
      <c r="K59" s="37"/>
      <c r="L59" s="37"/>
      <c r="M59" s="37"/>
      <c r="N59" s="40"/>
      <c r="O59" s="40"/>
      <c r="P59" s="40"/>
      <c r="Q59" s="40"/>
      <c r="R59" s="40"/>
      <c r="S59" s="40"/>
    </row>
    <row r="60" spans="1:19">
      <c r="A60" s="37"/>
      <c r="B60" s="37"/>
      <c r="C60" s="37"/>
      <c r="D60" s="37" t="s">
        <v>41</v>
      </c>
      <c r="E60" s="41">
        <f>H51</f>
        <v>0.54222666666666641</v>
      </c>
      <c r="F60" s="41">
        <f t="shared" si="95"/>
        <v>2.7111333333333318</v>
      </c>
      <c r="G60" s="41"/>
      <c r="H60" s="41">
        <f>E60</f>
        <v>0.54222666666666641</v>
      </c>
      <c r="I60" s="41">
        <f>$E$57-H60</f>
        <v>0.20177333333333336</v>
      </c>
      <c r="J60" s="37"/>
      <c r="K60" s="37"/>
      <c r="L60" s="37"/>
      <c r="M60" s="37"/>
      <c r="N60" s="40"/>
      <c r="O60" s="40"/>
      <c r="P60" s="40"/>
      <c r="Q60" s="40"/>
      <c r="R60" s="40"/>
      <c r="S60" s="40"/>
    </row>
    <row r="61" spans="1:19">
      <c r="A61" s="37"/>
      <c r="B61" s="37"/>
      <c r="C61" s="37"/>
      <c r="D61" s="37" t="s">
        <v>42</v>
      </c>
      <c r="E61" s="41">
        <f>I51</f>
        <v>0.48426666666666679</v>
      </c>
      <c r="F61" s="41">
        <f t="shared" si="95"/>
        <v>2.421333333333334</v>
      </c>
      <c r="G61" s="41"/>
      <c r="H61" s="41">
        <f>E61</f>
        <v>0.48426666666666679</v>
      </c>
      <c r="I61" s="41">
        <f>$E$57-H61</f>
        <v>0.25973333333333298</v>
      </c>
      <c r="J61" s="37"/>
      <c r="K61" s="37"/>
      <c r="L61" s="37"/>
      <c r="M61" s="37"/>
      <c r="N61" s="40"/>
      <c r="O61" s="40"/>
      <c r="P61" s="40"/>
      <c r="Q61" s="40"/>
      <c r="R61" s="40"/>
      <c r="S61" s="40"/>
    </row>
    <row r="62" spans="1:19">
      <c r="A62" s="37"/>
      <c r="B62" s="37"/>
      <c r="C62" s="37"/>
      <c r="D62" s="37" t="s">
        <v>43</v>
      </c>
      <c r="E62" s="41">
        <f>J51</f>
        <v>0.32466666666666677</v>
      </c>
      <c r="F62" s="41">
        <f t="shared" si="95"/>
        <v>1.623333333333334</v>
      </c>
      <c r="G62" s="41"/>
      <c r="H62" s="41">
        <f>E62</f>
        <v>0.32466666666666677</v>
      </c>
      <c r="I62" s="41">
        <f>$E$57-H62</f>
        <v>0.419333333333333</v>
      </c>
      <c r="J62" s="37"/>
      <c r="K62" s="37"/>
      <c r="L62" s="37"/>
      <c r="M62" s="37"/>
      <c r="N62" s="40"/>
      <c r="O62" s="40"/>
      <c r="P62" s="40"/>
      <c r="Q62" s="40"/>
      <c r="R62" s="40"/>
      <c r="S62" s="40"/>
    </row>
    <row r="63" spans="1:19">
      <c r="A63" s="37"/>
      <c r="B63" s="37"/>
      <c r="C63" s="37"/>
      <c r="D63" s="37" t="s">
        <v>52</v>
      </c>
      <c r="E63" s="41">
        <f>K51</f>
        <v>0.11733333333333315</v>
      </c>
      <c r="F63" s="41">
        <f>K50</f>
        <v>0.58666666666666578</v>
      </c>
      <c r="G63" s="41"/>
      <c r="H63" s="41">
        <f t="shared" ref="H63:H64" si="96">E63</f>
        <v>0.11733333333333315</v>
      </c>
      <c r="I63" s="41">
        <f t="shared" ref="I63:I64" si="97">$E$57-H63</f>
        <v>0.62666666666666659</v>
      </c>
      <c r="J63" s="37"/>
      <c r="K63" s="37"/>
      <c r="L63" s="37"/>
      <c r="M63" s="37"/>
      <c r="N63" s="40"/>
      <c r="O63" s="40"/>
      <c r="P63" s="40"/>
      <c r="Q63" s="40"/>
      <c r="R63" s="40"/>
      <c r="S63" s="40"/>
    </row>
    <row r="64" spans="1:19">
      <c r="A64" s="37"/>
      <c r="B64" s="37"/>
      <c r="C64" s="37"/>
      <c r="D64" s="37" t="s">
        <v>53</v>
      </c>
      <c r="E64" s="41">
        <f>L51</f>
        <v>0.2193333333333328</v>
      </c>
      <c r="F64" s="41">
        <f>E64*5</f>
        <v>1.096666666666664</v>
      </c>
      <c r="G64" s="41"/>
      <c r="H64" s="41">
        <f t="shared" si="96"/>
        <v>0.2193333333333328</v>
      </c>
      <c r="I64" s="41">
        <f t="shared" si="97"/>
        <v>0.52466666666666695</v>
      </c>
      <c r="J64" s="37"/>
      <c r="K64" s="37"/>
      <c r="L64" s="37"/>
      <c r="M64" s="37"/>
      <c r="N64" s="40"/>
      <c r="O64" s="40"/>
      <c r="P64" s="40"/>
      <c r="Q64" s="40"/>
      <c r="R64" s="40"/>
      <c r="S64" s="40"/>
    </row>
    <row r="65" spans="1:19">
      <c r="A65" s="37"/>
      <c r="B65" s="37"/>
      <c r="C65" s="37"/>
      <c r="D65" s="37"/>
      <c r="E65" s="37"/>
      <c r="F65" s="37"/>
      <c r="G65" s="37"/>
      <c r="H65" s="37"/>
      <c r="I65" s="37"/>
      <c r="J65" s="37"/>
      <c r="K65" s="37"/>
      <c r="L65" s="37"/>
      <c r="M65" s="37"/>
      <c r="N65" s="40"/>
      <c r="O65" s="40"/>
      <c r="P65" s="40"/>
      <c r="Q65" s="40"/>
      <c r="R65" s="40"/>
      <c r="S65" s="40"/>
    </row>
    <row r="66" spans="1:19">
      <c r="A66" s="37"/>
      <c r="B66" s="37"/>
      <c r="C66" s="37"/>
      <c r="D66" s="37"/>
      <c r="E66" s="37"/>
      <c r="F66" s="37"/>
      <c r="G66" s="37"/>
      <c r="H66" s="37"/>
      <c r="I66" s="37"/>
      <c r="J66" s="37"/>
      <c r="K66" s="37"/>
      <c r="L66" s="37"/>
      <c r="M66" s="37"/>
      <c r="N66" s="40"/>
      <c r="O66" s="40"/>
      <c r="P66" s="40"/>
      <c r="Q66" s="40"/>
      <c r="R66" s="40"/>
      <c r="S66" s="40"/>
    </row>
    <row r="67" spans="1:19">
      <c r="A67" s="40"/>
      <c r="B67" s="40"/>
      <c r="C67" s="40"/>
      <c r="D67" s="40"/>
      <c r="E67" s="40"/>
      <c r="F67" s="40"/>
      <c r="G67" s="40"/>
      <c r="H67" s="40"/>
      <c r="I67" s="40"/>
      <c r="J67" s="40"/>
      <c r="K67" s="40"/>
      <c r="L67" s="40"/>
      <c r="M67" s="40"/>
      <c r="N67" s="40"/>
      <c r="O67" s="40"/>
      <c r="P67" s="40"/>
      <c r="Q67" s="40"/>
      <c r="R67" s="40"/>
      <c r="S67" s="40"/>
    </row>
    <row r="68" spans="1:19">
      <c r="A68" s="40"/>
      <c r="B68" s="40"/>
      <c r="C68" s="40"/>
      <c r="D68" s="40"/>
      <c r="E68" s="40"/>
      <c r="F68" s="40"/>
      <c r="G68" s="40"/>
      <c r="H68" s="40"/>
      <c r="I68" s="40"/>
      <c r="J68" s="40"/>
      <c r="K68" s="40"/>
      <c r="L68" s="40"/>
      <c r="M68" s="40"/>
      <c r="N68" s="40"/>
      <c r="O68" s="40"/>
      <c r="P68" s="40"/>
      <c r="Q68" s="40"/>
      <c r="R68" s="40"/>
      <c r="S68" s="40"/>
    </row>
    <row r="69" spans="1:19">
      <c r="A69" s="40"/>
      <c r="B69" s="40"/>
      <c r="C69" s="40"/>
      <c r="D69" s="40"/>
      <c r="E69" s="40"/>
      <c r="F69" s="40"/>
      <c r="G69" s="40"/>
      <c r="H69" s="40"/>
      <c r="I69" s="40"/>
      <c r="J69" s="40"/>
      <c r="K69" s="40"/>
      <c r="L69" s="40"/>
      <c r="M69" s="40"/>
      <c r="N69" s="40"/>
      <c r="O69" s="40"/>
      <c r="P69" s="40"/>
      <c r="Q69" s="40"/>
      <c r="R69" s="40"/>
      <c r="S69" s="40"/>
    </row>
    <row r="70" spans="1:19">
      <c r="A70" s="40"/>
      <c r="B70" s="40"/>
      <c r="C70" s="40"/>
      <c r="D70" s="40"/>
      <c r="E70" s="40"/>
      <c r="F70" s="40"/>
      <c r="G70" s="40"/>
      <c r="H70" s="40"/>
      <c r="I70" s="40"/>
      <c r="J70" s="40"/>
      <c r="K70" s="40"/>
      <c r="L70" s="40"/>
      <c r="M70" s="40"/>
      <c r="N70" s="40"/>
      <c r="O70" s="40"/>
      <c r="P70" s="40"/>
      <c r="Q70" s="40"/>
      <c r="R70" s="40"/>
      <c r="S70" s="40"/>
    </row>
    <row r="71" spans="1:19">
      <c r="A71" s="40"/>
      <c r="B71" s="40"/>
      <c r="C71" s="40"/>
      <c r="D71" s="40"/>
      <c r="E71" s="40"/>
      <c r="F71" s="40"/>
      <c r="G71" s="40"/>
      <c r="H71" s="40"/>
      <c r="I71" s="40"/>
      <c r="J71" s="40"/>
      <c r="K71" s="40"/>
      <c r="L71" s="40"/>
      <c r="M71" s="40"/>
      <c r="N71" s="40"/>
      <c r="O71" s="40"/>
      <c r="P71" s="40"/>
      <c r="Q71" s="40"/>
      <c r="R71" s="40"/>
      <c r="S71" s="40"/>
    </row>
    <row r="72" spans="1:19">
      <c r="A72" s="40"/>
      <c r="B72" s="40"/>
      <c r="C72" s="40"/>
      <c r="D72" s="40"/>
      <c r="E72" s="40"/>
      <c r="F72" s="40"/>
      <c r="G72" s="40"/>
      <c r="H72" s="40"/>
      <c r="I72" s="40"/>
      <c r="J72" s="40"/>
      <c r="K72" s="40"/>
      <c r="L72" s="40"/>
      <c r="M72" s="40"/>
      <c r="N72" s="40"/>
      <c r="O72" s="40"/>
      <c r="P72" s="40"/>
      <c r="Q72" s="40"/>
      <c r="R72" s="40"/>
      <c r="S72" s="40"/>
    </row>
    <row r="73" spans="1:19">
      <c r="A73" s="40"/>
      <c r="B73" s="40"/>
      <c r="C73" s="40"/>
      <c r="D73" s="40"/>
      <c r="E73" s="40"/>
      <c r="F73" s="40"/>
      <c r="G73" s="40"/>
      <c r="H73" s="40"/>
      <c r="I73" s="40"/>
      <c r="J73" s="40"/>
      <c r="K73" s="40"/>
      <c r="L73" s="40"/>
      <c r="M73" s="40"/>
      <c r="N73" s="40"/>
      <c r="O73" s="40"/>
      <c r="P73" s="40"/>
      <c r="Q73" s="40"/>
      <c r="R73" s="40"/>
      <c r="S73" s="40"/>
    </row>
    <row r="74" spans="1:19">
      <c r="A74" s="40"/>
      <c r="B74" s="40"/>
      <c r="C74" s="40"/>
      <c r="D74" s="40"/>
      <c r="E74" s="40"/>
      <c r="F74" s="40"/>
      <c r="G74" s="40"/>
      <c r="H74" s="40"/>
      <c r="I74" s="40"/>
      <c r="J74" s="40"/>
      <c r="K74" s="40"/>
      <c r="L74" s="40"/>
      <c r="M74" s="40"/>
      <c r="N74" s="40"/>
      <c r="O74" s="40"/>
      <c r="P74" s="40"/>
      <c r="Q74" s="40"/>
      <c r="R74" s="40"/>
      <c r="S74" s="40"/>
    </row>
    <row r="75" spans="1:19">
      <c r="A75" s="40"/>
      <c r="B75" s="40"/>
      <c r="C75" s="40"/>
      <c r="D75" s="40"/>
      <c r="E75" s="40"/>
      <c r="F75" s="40"/>
      <c r="G75" s="40"/>
      <c r="H75" s="40"/>
      <c r="I75" s="40"/>
      <c r="J75" s="40"/>
      <c r="K75" s="40"/>
      <c r="L75" s="40"/>
      <c r="M75" s="40"/>
      <c r="N75" s="40"/>
      <c r="O75" s="40"/>
      <c r="P75" s="40"/>
      <c r="Q75" s="40"/>
      <c r="R75" s="40"/>
      <c r="S75" s="40"/>
    </row>
    <row r="76" spans="1:19">
      <c r="A76" s="40"/>
      <c r="B76" s="40"/>
      <c r="C76" s="40"/>
      <c r="D76" s="40"/>
      <c r="E76" s="40"/>
      <c r="F76" s="40"/>
      <c r="G76" s="40"/>
      <c r="H76" s="40"/>
      <c r="I76" s="40"/>
      <c r="J76" s="40"/>
      <c r="K76" s="40"/>
      <c r="L76" s="40"/>
      <c r="M76" s="40"/>
      <c r="N76" s="40"/>
      <c r="O76" s="40"/>
      <c r="P76" s="40"/>
      <c r="Q76" s="40"/>
      <c r="R76" s="40"/>
      <c r="S76" s="40"/>
    </row>
    <row r="77" spans="1:19">
      <c r="A77" s="40"/>
      <c r="B77" s="40"/>
      <c r="C77" s="40"/>
      <c r="D77" s="40"/>
      <c r="E77" s="40"/>
      <c r="F77" s="40"/>
      <c r="G77" s="40"/>
      <c r="H77" s="40"/>
      <c r="I77" s="40"/>
      <c r="J77" s="40"/>
      <c r="K77" s="40"/>
      <c r="L77" s="40"/>
      <c r="M77" s="40"/>
      <c r="N77" s="40"/>
      <c r="O77" s="40"/>
      <c r="P77" s="40"/>
      <c r="Q77" s="40"/>
      <c r="R77" s="40"/>
      <c r="S77" s="40"/>
    </row>
    <row r="78" spans="1:19">
      <c r="A78" s="40"/>
      <c r="B78" s="40"/>
      <c r="C78" s="40"/>
      <c r="D78" s="40"/>
      <c r="E78" s="40"/>
      <c r="F78" s="40"/>
      <c r="G78" s="40"/>
      <c r="H78" s="40"/>
      <c r="I78" s="40"/>
      <c r="J78" s="40"/>
      <c r="K78" s="40"/>
      <c r="L78" s="40"/>
      <c r="M78" s="40"/>
      <c r="N78" s="40"/>
      <c r="O78" s="40"/>
      <c r="P78" s="40"/>
      <c r="Q78" s="40"/>
      <c r="R78" s="40"/>
      <c r="S78" s="40"/>
    </row>
    <row r="79" spans="1:19">
      <c r="A79" s="40"/>
      <c r="B79" s="40"/>
      <c r="C79" s="40"/>
      <c r="D79" s="40"/>
      <c r="E79" s="40"/>
      <c r="F79" s="40"/>
      <c r="G79" s="40"/>
      <c r="H79" s="40"/>
      <c r="I79" s="40"/>
      <c r="J79" s="40"/>
      <c r="K79" s="40"/>
      <c r="L79" s="40"/>
      <c r="M79" s="40"/>
      <c r="N79" s="40"/>
      <c r="O79" s="40"/>
      <c r="P79" s="40"/>
      <c r="Q79" s="40"/>
      <c r="R79" s="40"/>
      <c r="S79" s="40"/>
    </row>
    <row r="80" spans="1:19">
      <c r="A80" s="40"/>
      <c r="B80" s="40"/>
      <c r="C80" s="40"/>
      <c r="D80" s="40"/>
      <c r="E80" s="40"/>
      <c r="F80" s="40"/>
      <c r="G80" s="40"/>
      <c r="H80" s="40"/>
      <c r="I80" s="40"/>
      <c r="J80" s="40"/>
      <c r="K80" s="40"/>
      <c r="L80" s="40"/>
      <c r="M80" s="40"/>
      <c r="N80" s="40"/>
      <c r="O80" s="40"/>
      <c r="P80" s="40"/>
      <c r="Q80" s="40"/>
      <c r="R80" s="40"/>
      <c r="S80" s="40"/>
    </row>
    <row r="81" spans="1:19">
      <c r="A81" s="40"/>
      <c r="B81" s="40"/>
      <c r="C81" s="40"/>
      <c r="D81" s="40"/>
      <c r="E81" s="40"/>
      <c r="F81" s="40"/>
      <c r="G81" s="40"/>
      <c r="H81" s="40"/>
      <c r="I81" s="40"/>
      <c r="J81" s="40"/>
      <c r="K81" s="40"/>
      <c r="L81" s="40"/>
      <c r="M81" s="40"/>
      <c r="N81" s="40"/>
      <c r="O81" s="40"/>
      <c r="P81" s="40"/>
      <c r="Q81" s="40"/>
      <c r="R81" s="40"/>
      <c r="S81" s="40"/>
    </row>
    <row r="82" spans="1:19">
      <c r="A82" s="40"/>
      <c r="B82" s="40"/>
      <c r="C82" s="40"/>
      <c r="D82" s="40"/>
      <c r="E82" s="40"/>
      <c r="F82" s="40"/>
      <c r="G82" s="40"/>
      <c r="H82" s="40"/>
      <c r="I82" s="40"/>
      <c r="J82" s="40"/>
      <c r="K82" s="40"/>
      <c r="L82" s="40"/>
      <c r="M82" s="40"/>
      <c r="N82" s="40"/>
      <c r="O82" s="40"/>
      <c r="P82" s="40"/>
      <c r="Q82" s="40"/>
      <c r="R82" s="40"/>
      <c r="S82" s="40"/>
    </row>
    <row r="83" spans="1:19">
      <c r="A83" s="40"/>
      <c r="B83" s="40"/>
      <c r="C83" s="40"/>
      <c r="D83" s="40"/>
      <c r="E83" s="40"/>
      <c r="F83" s="40"/>
      <c r="G83" s="40"/>
      <c r="H83" s="40"/>
      <c r="I83" s="40"/>
      <c r="J83" s="40"/>
      <c r="K83" s="40"/>
      <c r="L83" s="40"/>
      <c r="M83" s="40"/>
      <c r="N83" s="40"/>
      <c r="O83" s="40"/>
      <c r="P83" s="40"/>
      <c r="Q83" s="40"/>
      <c r="R83" s="40"/>
      <c r="S83" s="40"/>
    </row>
    <row r="84" spans="1:19">
      <c r="A84" s="40"/>
      <c r="B84" s="40"/>
      <c r="C84" s="40"/>
      <c r="D84" s="40"/>
      <c r="E84" s="40"/>
      <c r="F84" s="40"/>
      <c r="G84" s="40"/>
      <c r="H84" s="40"/>
      <c r="I84" s="40"/>
      <c r="J84" s="40"/>
      <c r="K84" s="40"/>
      <c r="L84" s="40"/>
      <c r="M84" s="40"/>
      <c r="N84" s="40"/>
      <c r="O84" s="40"/>
      <c r="P84" s="40"/>
      <c r="Q84" s="40"/>
      <c r="R84" s="40"/>
      <c r="S84" s="40"/>
    </row>
    <row r="85" spans="1:19">
      <c r="A85" s="40"/>
      <c r="B85" s="40"/>
      <c r="C85" s="40"/>
      <c r="D85" s="40"/>
      <c r="E85" s="40"/>
      <c r="F85" s="40"/>
      <c r="G85" s="40"/>
      <c r="H85" s="40"/>
      <c r="I85" s="40"/>
      <c r="J85" s="40"/>
      <c r="K85" s="40"/>
      <c r="L85" s="40"/>
      <c r="M85" s="40"/>
      <c r="N85" s="40"/>
      <c r="O85" s="40"/>
      <c r="P85" s="40"/>
      <c r="Q85" s="40"/>
      <c r="R85" s="40"/>
      <c r="S85" s="40"/>
    </row>
    <row r="86" spans="1:19">
      <c r="A86" s="40"/>
      <c r="B86" s="40"/>
      <c r="C86" s="40"/>
      <c r="D86" s="40"/>
      <c r="E86" s="40"/>
      <c r="F86" s="40"/>
      <c r="G86" s="40"/>
      <c r="H86" s="40"/>
      <c r="I86" s="40"/>
      <c r="J86" s="40"/>
      <c r="K86" s="40"/>
      <c r="L86" s="40"/>
      <c r="M86" s="40"/>
      <c r="N86" s="40"/>
      <c r="O86" s="40"/>
      <c r="P86" s="40"/>
      <c r="Q86" s="40"/>
      <c r="R86" s="40"/>
      <c r="S86" s="40"/>
    </row>
    <row r="87" spans="1:19">
      <c r="A87" s="40"/>
      <c r="B87" s="40"/>
      <c r="C87" s="40"/>
      <c r="D87" s="40"/>
      <c r="E87" s="40"/>
      <c r="F87" s="40"/>
      <c r="G87" s="40"/>
      <c r="H87" s="40"/>
      <c r="I87" s="40"/>
      <c r="J87" s="40"/>
      <c r="K87" s="40"/>
      <c r="L87" s="40"/>
      <c r="M87" s="40"/>
      <c r="N87" s="40"/>
      <c r="O87" s="40"/>
      <c r="P87" s="40"/>
      <c r="Q87" s="40"/>
      <c r="R87" s="40"/>
      <c r="S87" s="40"/>
    </row>
    <row r="88" spans="1:19">
      <c r="A88" s="40"/>
      <c r="B88" s="40"/>
      <c r="C88" s="40"/>
      <c r="D88" s="40"/>
      <c r="E88" s="40"/>
      <c r="F88" s="40"/>
      <c r="G88" s="40"/>
      <c r="H88" s="40"/>
      <c r="I88" s="40"/>
      <c r="J88" s="40"/>
      <c r="K88" s="40"/>
      <c r="L88" s="40"/>
      <c r="M88" s="40"/>
      <c r="N88" s="40"/>
      <c r="O88" s="40"/>
      <c r="P88" s="40"/>
      <c r="Q88" s="40"/>
      <c r="R88" s="40"/>
      <c r="S88" s="40"/>
    </row>
    <row r="89" spans="1:19">
      <c r="A89" s="40"/>
      <c r="B89" s="40"/>
      <c r="C89" s="40"/>
      <c r="D89" s="40"/>
      <c r="E89" s="40"/>
      <c r="F89" s="40"/>
      <c r="G89" s="40"/>
      <c r="H89" s="40"/>
      <c r="I89" s="40"/>
      <c r="J89" s="40"/>
      <c r="K89" s="40"/>
      <c r="L89" s="40"/>
      <c r="M89" s="40"/>
      <c r="N89" s="40"/>
      <c r="O89" s="40"/>
      <c r="P89" s="40"/>
      <c r="Q89" s="40"/>
      <c r="R89" s="40"/>
      <c r="S89" s="40"/>
    </row>
    <row r="90" spans="1:19">
      <c r="A90" s="40"/>
      <c r="B90" s="40"/>
      <c r="C90" s="40"/>
      <c r="D90" s="40"/>
      <c r="E90" s="40"/>
      <c r="F90" s="40"/>
      <c r="G90" s="40"/>
      <c r="H90" s="40"/>
      <c r="I90" s="40"/>
      <c r="J90" s="40"/>
      <c r="K90" s="40"/>
      <c r="L90" s="40"/>
      <c r="M90" s="40"/>
      <c r="N90" s="40"/>
      <c r="O90" s="40"/>
      <c r="P90" s="40"/>
      <c r="Q90" s="40"/>
      <c r="R90" s="40"/>
      <c r="S90" s="40"/>
    </row>
    <row r="91" spans="1:19">
      <c r="A91" s="40"/>
      <c r="B91" s="40"/>
      <c r="C91" s="40"/>
      <c r="D91" s="40"/>
      <c r="E91" s="40"/>
      <c r="F91" s="40"/>
      <c r="G91" s="40"/>
      <c r="H91" s="40"/>
      <c r="I91" s="40"/>
      <c r="J91" s="40"/>
      <c r="K91" s="40"/>
      <c r="L91" s="40"/>
      <c r="M91" s="40"/>
      <c r="N91" s="40"/>
      <c r="O91" s="40"/>
      <c r="P91" s="40"/>
      <c r="Q91" s="40"/>
      <c r="R91" s="40"/>
      <c r="S91" s="40"/>
    </row>
    <row r="92" spans="1:19">
      <c r="A92" s="40"/>
      <c r="B92" s="40"/>
      <c r="C92" s="40"/>
      <c r="D92" s="40"/>
      <c r="E92" s="40"/>
      <c r="F92" s="40"/>
      <c r="G92" s="40"/>
      <c r="H92" s="40"/>
      <c r="I92" s="40"/>
      <c r="J92" s="40"/>
      <c r="K92" s="40"/>
      <c r="L92" s="40"/>
      <c r="M92" s="40"/>
      <c r="N92" s="40"/>
      <c r="O92" s="40"/>
      <c r="P92" s="40"/>
      <c r="Q92" s="40"/>
      <c r="R92" s="40"/>
      <c r="S92" s="40"/>
    </row>
    <row r="93" spans="1:19">
      <c r="A93" s="40"/>
      <c r="B93" s="40"/>
      <c r="C93" s="40"/>
      <c r="D93" s="40"/>
      <c r="E93" s="40"/>
      <c r="F93" s="40"/>
      <c r="G93" s="40"/>
      <c r="H93" s="40"/>
      <c r="I93" s="40"/>
      <c r="J93" s="40"/>
      <c r="K93" s="40"/>
      <c r="L93" s="40"/>
      <c r="M93" s="40"/>
      <c r="N93" s="40"/>
      <c r="O93" s="40"/>
      <c r="P93" s="40"/>
      <c r="Q93" s="40"/>
      <c r="R93" s="40"/>
      <c r="S93" s="40"/>
    </row>
    <row r="94" spans="1:19">
      <c r="A94" s="40"/>
      <c r="B94" s="40"/>
      <c r="C94" s="40"/>
      <c r="D94" s="40"/>
      <c r="E94" s="40"/>
      <c r="F94" s="40"/>
      <c r="G94" s="40"/>
      <c r="H94" s="40"/>
      <c r="I94" s="40"/>
      <c r="J94" s="40"/>
      <c r="K94" s="40"/>
      <c r="L94" s="40"/>
      <c r="M94" s="40"/>
      <c r="N94" s="40"/>
      <c r="O94" s="40"/>
      <c r="P94" s="40"/>
      <c r="Q94" s="40"/>
      <c r="R94" s="40"/>
      <c r="S94" s="40"/>
    </row>
    <row r="95" spans="1:19">
      <c r="A95" s="40"/>
      <c r="B95" s="40"/>
      <c r="C95" s="40"/>
      <c r="D95" s="40"/>
      <c r="E95" s="40"/>
      <c r="F95" s="40"/>
      <c r="G95" s="40"/>
      <c r="H95" s="40"/>
      <c r="I95" s="40"/>
      <c r="J95" s="40"/>
      <c r="K95" s="40"/>
      <c r="L95" s="40"/>
      <c r="M95" s="40"/>
      <c r="N95" s="40"/>
      <c r="O95" s="40"/>
      <c r="P95" s="40"/>
      <c r="Q95" s="40"/>
      <c r="R95" s="40"/>
      <c r="S95" s="40"/>
    </row>
    <row r="96" spans="1:19">
      <c r="A96" s="40"/>
      <c r="B96" s="40"/>
      <c r="C96" s="40"/>
      <c r="D96" s="40"/>
      <c r="E96" s="40"/>
      <c r="F96" s="40"/>
      <c r="G96" s="40"/>
      <c r="H96" s="40"/>
      <c r="I96" s="40"/>
      <c r="J96" s="40"/>
      <c r="K96" s="40"/>
      <c r="L96" s="40"/>
      <c r="M96" s="40"/>
      <c r="N96" s="40"/>
      <c r="O96" s="40"/>
      <c r="P96" s="40"/>
      <c r="Q96" s="40"/>
      <c r="R96" s="40"/>
      <c r="S96" s="40"/>
    </row>
    <row r="97" spans="1:19">
      <c r="A97" s="40"/>
      <c r="B97" s="40"/>
      <c r="C97" s="40"/>
      <c r="D97" s="40"/>
      <c r="E97" s="40"/>
      <c r="F97" s="40"/>
      <c r="G97" s="40"/>
      <c r="H97" s="40"/>
      <c r="I97" s="40"/>
      <c r="J97" s="40"/>
      <c r="K97" s="40"/>
      <c r="L97" s="40"/>
      <c r="M97" s="40"/>
      <c r="N97" s="40"/>
      <c r="O97" s="40"/>
      <c r="P97" s="40"/>
      <c r="Q97" s="40"/>
      <c r="R97" s="40"/>
      <c r="S97" s="40"/>
    </row>
    <row r="98" spans="1:19">
      <c r="A98" s="40"/>
      <c r="B98" s="40"/>
      <c r="C98" s="40"/>
      <c r="D98" s="40"/>
      <c r="E98" s="40"/>
      <c r="F98" s="40"/>
      <c r="G98" s="40"/>
      <c r="H98" s="40"/>
      <c r="I98" s="40"/>
      <c r="J98" s="40"/>
      <c r="K98" s="40"/>
      <c r="L98" s="40"/>
      <c r="M98" s="40"/>
      <c r="N98" s="40"/>
      <c r="O98" s="40"/>
      <c r="P98" s="40"/>
      <c r="Q98" s="40"/>
      <c r="R98" s="40"/>
      <c r="S98" s="40"/>
    </row>
    <row r="99" spans="1:19">
      <c r="A99" s="40"/>
      <c r="B99" s="40"/>
      <c r="C99" s="40"/>
      <c r="D99" s="40"/>
      <c r="E99" s="40"/>
      <c r="F99" s="40"/>
      <c r="G99" s="40"/>
      <c r="H99" s="40"/>
      <c r="I99" s="40"/>
      <c r="J99" s="40"/>
      <c r="K99" s="40"/>
      <c r="L99" s="40"/>
      <c r="M99" s="40"/>
      <c r="N99" s="40"/>
      <c r="O99" s="40"/>
      <c r="P99" s="40"/>
      <c r="Q99" s="40"/>
      <c r="R99" s="40"/>
      <c r="S99" s="40"/>
    </row>
    <row r="100" spans="1:19">
      <c r="A100" s="40"/>
      <c r="B100" s="40"/>
      <c r="C100" s="40"/>
      <c r="D100" s="40"/>
      <c r="E100" s="40"/>
      <c r="F100" s="40"/>
      <c r="G100" s="40"/>
      <c r="H100" s="40"/>
      <c r="I100" s="40"/>
      <c r="J100" s="40"/>
      <c r="K100" s="40"/>
      <c r="L100" s="40"/>
      <c r="M100" s="40"/>
      <c r="N100" s="40"/>
      <c r="O100" s="40"/>
      <c r="P100" s="40"/>
      <c r="Q100" s="40"/>
      <c r="R100" s="40"/>
      <c r="S100" s="40"/>
    </row>
    <row r="101" spans="1:19">
      <c r="A101" s="40"/>
      <c r="B101" s="40"/>
      <c r="C101" s="40"/>
      <c r="D101" s="40"/>
      <c r="E101" s="40"/>
      <c r="F101" s="40"/>
      <c r="G101" s="40"/>
      <c r="H101" s="40"/>
      <c r="I101" s="40"/>
      <c r="J101" s="40"/>
      <c r="K101" s="40"/>
      <c r="L101" s="40"/>
      <c r="M101" s="40"/>
      <c r="N101" s="40"/>
      <c r="O101" s="40"/>
      <c r="P101" s="40"/>
      <c r="Q101" s="40"/>
      <c r="R101" s="40"/>
      <c r="S101" s="40"/>
    </row>
    <row r="102" spans="1:19">
      <c r="A102" s="40"/>
      <c r="B102" s="40"/>
      <c r="C102" s="40"/>
      <c r="D102" s="40"/>
      <c r="E102" s="40"/>
      <c r="F102" s="40"/>
      <c r="G102" s="40"/>
      <c r="H102" s="40"/>
      <c r="I102" s="40"/>
      <c r="J102" s="40"/>
      <c r="K102" s="40"/>
      <c r="L102" s="40"/>
      <c r="M102" s="40"/>
      <c r="N102" s="40"/>
      <c r="O102" s="40"/>
      <c r="P102" s="40"/>
      <c r="Q102" s="40"/>
      <c r="R102" s="40"/>
      <c r="S102" s="40"/>
    </row>
    <row r="103" spans="1:19">
      <c r="A103" s="40"/>
      <c r="B103" s="40"/>
      <c r="C103" s="40"/>
      <c r="D103" s="40"/>
      <c r="E103" s="40"/>
      <c r="F103" s="40"/>
      <c r="G103" s="40"/>
      <c r="H103" s="40"/>
      <c r="I103" s="40"/>
      <c r="J103" s="40"/>
      <c r="K103" s="40"/>
      <c r="L103" s="40"/>
      <c r="M103" s="40"/>
      <c r="N103" s="40"/>
      <c r="O103" s="40"/>
      <c r="P103" s="40"/>
      <c r="Q103" s="40"/>
      <c r="R103" s="40"/>
      <c r="S103" s="40"/>
    </row>
    <row r="104" spans="1:19">
      <c r="A104" s="40"/>
      <c r="B104" s="40"/>
      <c r="C104" s="40"/>
      <c r="D104" s="40"/>
      <c r="E104" s="40"/>
      <c r="F104" s="40"/>
      <c r="G104" s="40"/>
      <c r="H104" s="40"/>
      <c r="I104" s="40"/>
      <c r="J104" s="40"/>
      <c r="K104" s="40"/>
      <c r="L104" s="40"/>
      <c r="M104" s="40"/>
      <c r="N104" s="40"/>
      <c r="O104" s="40"/>
      <c r="P104" s="40"/>
      <c r="Q104" s="40"/>
      <c r="R104" s="40"/>
      <c r="S104" s="40"/>
    </row>
    <row r="105" spans="1:19">
      <c r="A105" s="40"/>
      <c r="B105" s="40"/>
      <c r="C105" s="40"/>
      <c r="D105" s="40"/>
      <c r="E105" s="40"/>
      <c r="F105" s="40"/>
      <c r="G105" s="40"/>
      <c r="H105" s="40"/>
      <c r="I105" s="40"/>
      <c r="J105" s="40"/>
      <c r="K105" s="40"/>
      <c r="L105" s="40"/>
      <c r="M105" s="40"/>
      <c r="N105" s="40"/>
      <c r="O105" s="40"/>
      <c r="P105" s="40"/>
      <c r="Q105" s="40"/>
      <c r="R105" s="40"/>
      <c r="S105" s="40"/>
    </row>
    <row r="106" spans="1:19">
      <c r="A106" s="40"/>
      <c r="B106" s="40"/>
      <c r="C106" s="40"/>
      <c r="D106" s="40"/>
      <c r="E106" s="40"/>
      <c r="F106" s="40"/>
      <c r="G106" s="40"/>
      <c r="H106" s="40"/>
      <c r="I106" s="40"/>
      <c r="J106" s="40"/>
      <c r="K106" s="40"/>
      <c r="L106" s="40"/>
      <c r="M106" s="40"/>
      <c r="N106" s="40"/>
      <c r="O106" s="40"/>
      <c r="P106" s="40"/>
      <c r="Q106" s="40"/>
      <c r="R106" s="40"/>
      <c r="S106" s="40"/>
    </row>
    <row r="107" spans="1:19">
      <c r="A107" s="40"/>
      <c r="B107" s="40"/>
      <c r="C107" s="40"/>
      <c r="D107" s="40"/>
      <c r="E107" s="40"/>
      <c r="F107" s="40"/>
      <c r="G107" s="40"/>
      <c r="H107" s="40"/>
      <c r="I107" s="40"/>
      <c r="J107" s="40"/>
      <c r="K107" s="40"/>
      <c r="L107" s="40"/>
      <c r="M107" s="40"/>
      <c r="N107" s="40"/>
      <c r="O107" s="40"/>
      <c r="P107" s="40"/>
      <c r="Q107" s="40"/>
      <c r="R107" s="40"/>
      <c r="S107" s="40"/>
    </row>
    <row r="108" spans="1:19">
      <c r="A108" s="40"/>
      <c r="B108" s="40"/>
      <c r="C108" s="40"/>
      <c r="D108" s="40"/>
      <c r="E108" s="40"/>
      <c r="F108" s="40"/>
      <c r="G108" s="40"/>
      <c r="H108" s="40"/>
      <c r="I108" s="40"/>
      <c r="J108" s="40"/>
      <c r="K108" s="40"/>
      <c r="L108" s="40"/>
      <c r="M108" s="40"/>
      <c r="N108" s="40"/>
      <c r="O108" s="40"/>
      <c r="P108" s="40"/>
      <c r="Q108" s="40"/>
      <c r="R108" s="40"/>
      <c r="S108" s="40"/>
    </row>
    <row r="109" spans="1:19">
      <c r="A109" s="40"/>
      <c r="B109" s="40"/>
      <c r="C109" s="40"/>
      <c r="D109" s="40"/>
      <c r="E109" s="40"/>
      <c r="F109" s="40"/>
      <c r="G109" s="40"/>
      <c r="H109" s="40"/>
      <c r="I109" s="40"/>
      <c r="J109" s="40"/>
      <c r="K109" s="40"/>
      <c r="L109" s="40"/>
      <c r="M109" s="40"/>
      <c r="N109" s="40"/>
      <c r="O109" s="40"/>
      <c r="P109" s="40"/>
      <c r="Q109" s="40"/>
      <c r="R109" s="40"/>
      <c r="S109" s="40"/>
    </row>
    <row r="110" spans="1:19">
      <c r="A110" s="40"/>
      <c r="B110" s="40"/>
      <c r="C110" s="40"/>
      <c r="D110" s="40"/>
      <c r="E110" s="40"/>
      <c r="F110" s="40"/>
      <c r="G110" s="40"/>
      <c r="H110" s="40"/>
      <c r="I110" s="40"/>
      <c r="J110" s="40"/>
      <c r="K110" s="40"/>
      <c r="L110" s="40"/>
      <c r="M110" s="40"/>
      <c r="N110" s="40"/>
      <c r="O110" s="40"/>
      <c r="P110" s="40"/>
      <c r="Q110" s="40"/>
      <c r="R110" s="40"/>
      <c r="S110" s="40"/>
    </row>
    <row r="111" spans="1:19">
      <c r="A111" s="40"/>
      <c r="B111" s="40"/>
      <c r="C111" s="40"/>
      <c r="D111" s="40"/>
      <c r="E111" s="40"/>
      <c r="F111" s="40"/>
      <c r="G111" s="40"/>
      <c r="H111" s="40"/>
      <c r="I111" s="40"/>
      <c r="J111" s="40"/>
      <c r="K111" s="40"/>
      <c r="L111" s="40"/>
      <c r="M111" s="40"/>
      <c r="N111" s="40"/>
      <c r="O111" s="40"/>
      <c r="P111" s="40"/>
      <c r="Q111" s="40"/>
      <c r="R111" s="40"/>
      <c r="S111" s="40"/>
    </row>
    <row r="112" spans="1:19">
      <c r="A112" s="40"/>
      <c r="B112" s="40"/>
      <c r="C112" s="40"/>
      <c r="D112" s="40"/>
      <c r="E112" s="40"/>
      <c r="F112" s="40"/>
      <c r="G112" s="40"/>
      <c r="H112" s="40"/>
      <c r="I112" s="40"/>
      <c r="J112" s="40"/>
      <c r="K112" s="40"/>
      <c r="L112" s="40"/>
      <c r="M112" s="40"/>
      <c r="N112" s="40"/>
      <c r="O112" s="40"/>
      <c r="P112" s="40"/>
      <c r="Q112" s="40"/>
      <c r="R112" s="40"/>
      <c r="S112" s="40"/>
    </row>
    <row r="113" spans="1:19">
      <c r="A113" s="40"/>
      <c r="B113" s="40"/>
      <c r="C113" s="40"/>
      <c r="D113" s="40"/>
      <c r="E113" s="40"/>
      <c r="F113" s="40"/>
      <c r="G113" s="40"/>
      <c r="H113" s="40"/>
      <c r="I113" s="40"/>
      <c r="J113" s="40"/>
      <c r="K113" s="40"/>
      <c r="L113" s="40"/>
      <c r="M113" s="40"/>
      <c r="N113" s="40"/>
      <c r="O113" s="40"/>
      <c r="P113" s="40"/>
      <c r="Q113" s="40"/>
      <c r="R113" s="40"/>
      <c r="S113" s="40"/>
    </row>
    <row r="114" spans="1:19">
      <c r="A114" s="40"/>
      <c r="B114" s="40"/>
      <c r="C114" s="40"/>
      <c r="D114" s="40"/>
      <c r="E114" s="40"/>
      <c r="F114" s="40"/>
      <c r="G114" s="40"/>
      <c r="H114" s="40"/>
      <c r="I114" s="40"/>
      <c r="J114" s="40"/>
      <c r="K114" s="40"/>
      <c r="L114" s="40"/>
      <c r="M114" s="40"/>
      <c r="N114" s="40"/>
      <c r="O114" s="40"/>
      <c r="P114" s="40"/>
      <c r="Q114" s="40"/>
      <c r="R114" s="40"/>
      <c r="S114" s="40"/>
    </row>
    <row r="115" spans="1:19">
      <c r="A115" s="40"/>
      <c r="B115" s="40"/>
      <c r="C115" s="40"/>
      <c r="D115" s="40"/>
      <c r="E115" s="40"/>
      <c r="F115" s="40"/>
      <c r="G115" s="40"/>
      <c r="H115" s="40"/>
      <c r="I115" s="40"/>
      <c r="J115" s="40"/>
      <c r="K115" s="40"/>
      <c r="L115" s="40"/>
      <c r="M115" s="40"/>
      <c r="N115" s="40"/>
      <c r="O115" s="40"/>
      <c r="P115" s="40"/>
      <c r="Q115" s="40"/>
      <c r="R115" s="40"/>
      <c r="S115" s="40"/>
    </row>
    <row r="116" spans="1:19">
      <c r="A116" s="40"/>
      <c r="B116" s="40"/>
      <c r="C116" s="40"/>
      <c r="D116" s="40"/>
      <c r="E116" s="40"/>
      <c r="F116" s="40"/>
      <c r="G116" s="40"/>
      <c r="H116" s="40"/>
      <c r="I116" s="40"/>
      <c r="J116" s="40"/>
      <c r="K116" s="40"/>
      <c r="L116" s="40"/>
      <c r="M116" s="40"/>
      <c r="N116" s="40"/>
      <c r="O116" s="40"/>
      <c r="P116" s="40"/>
      <c r="Q116" s="40"/>
      <c r="R116" s="40"/>
      <c r="S116" s="40"/>
    </row>
    <row r="117" spans="1:19">
      <c r="A117" s="40"/>
      <c r="B117" s="40"/>
      <c r="C117" s="40"/>
      <c r="D117" s="40"/>
      <c r="E117" s="40"/>
      <c r="F117" s="40"/>
      <c r="G117" s="40"/>
      <c r="H117" s="40"/>
      <c r="I117" s="40"/>
      <c r="J117" s="40"/>
      <c r="K117" s="40"/>
      <c r="L117" s="40"/>
      <c r="M117" s="40"/>
      <c r="N117" s="40"/>
      <c r="O117" s="40"/>
      <c r="P117" s="40"/>
      <c r="Q117" s="40"/>
      <c r="R117" s="40"/>
      <c r="S117" s="40"/>
    </row>
    <row r="118" spans="1:19">
      <c r="A118" s="40"/>
      <c r="B118" s="40"/>
      <c r="C118" s="40"/>
      <c r="D118" s="40"/>
      <c r="E118" s="40"/>
      <c r="F118" s="40"/>
      <c r="G118" s="40"/>
      <c r="H118" s="40"/>
      <c r="I118" s="40"/>
      <c r="J118" s="40"/>
      <c r="K118" s="40"/>
      <c r="L118" s="40"/>
      <c r="M118" s="40"/>
      <c r="N118" s="40"/>
      <c r="O118" s="40"/>
      <c r="P118" s="40"/>
      <c r="Q118" s="40"/>
      <c r="R118" s="40"/>
      <c r="S118" s="40"/>
    </row>
    <row r="119" spans="1:19">
      <c r="A119" s="40"/>
      <c r="B119" s="40"/>
      <c r="C119" s="40"/>
      <c r="D119" s="40"/>
      <c r="E119" s="40"/>
      <c r="F119" s="40"/>
      <c r="G119" s="40"/>
      <c r="H119" s="40"/>
      <c r="I119" s="40"/>
      <c r="J119" s="40"/>
      <c r="K119" s="40"/>
      <c r="L119" s="40"/>
      <c r="M119" s="40"/>
      <c r="N119" s="40"/>
      <c r="O119" s="40"/>
      <c r="P119" s="40"/>
      <c r="Q119" s="40"/>
      <c r="R119" s="40"/>
      <c r="S119" s="40"/>
    </row>
    <row r="120" spans="1:19">
      <c r="A120" s="40"/>
      <c r="B120" s="40"/>
      <c r="C120" s="40"/>
      <c r="D120" s="40"/>
      <c r="E120" s="40"/>
      <c r="F120" s="40"/>
      <c r="G120" s="40"/>
      <c r="H120" s="40"/>
      <c r="I120" s="40"/>
      <c r="J120" s="40"/>
      <c r="K120" s="40"/>
      <c r="L120" s="40"/>
      <c r="M120" s="40"/>
      <c r="N120" s="40"/>
      <c r="O120" s="40"/>
      <c r="P120" s="40"/>
      <c r="Q120" s="40"/>
      <c r="R120" s="40"/>
      <c r="S120" s="40"/>
    </row>
    <row r="121" spans="1:19">
      <c r="A121" s="40"/>
      <c r="B121" s="40"/>
      <c r="C121" s="40"/>
      <c r="D121" s="40"/>
      <c r="E121" s="40"/>
      <c r="F121" s="40"/>
      <c r="G121" s="40"/>
      <c r="H121" s="40"/>
      <c r="I121" s="40"/>
      <c r="J121" s="40"/>
      <c r="K121" s="40"/>
      <c r="L121" s="40"/>
      <c r="M121" s="40"/>
      <c r="N121" s="40"/>
      <c r="O121" s="40"/>
      <c r="P121" s="40"/>
      <c r="Q121" s="40"/>
      <c r="R121" s="40"/>
      <c r="S121" s="40"/>
    </row>
    <row r="122" spans="1:19">
      <c r="A122" s="40"/>
      <c r="B122" s="40"/>
      <c r="C122" s="40"/>
      <c r="D122" s="40"/>
      <c r="E122" s="40"/>
      <c r="F122" s="40"/>
      <c r="G122" s="40"/>
      <c r="H122" s="40"/>
      <c r="I122" s="40"/>
      <c r="J122" s="40"/>
      <c r="K122" s="40"/>
      <c r="L122" s="40"/>
      <c r="M122" s="40"/>
      <c r="N122" s="40"/>
      <c r="O122" s="40"/>
      <c r="P122" s="40"/>
      <c r="Q122" s="40"/>
      <c r="R122" s="40"/>
      <c r="S122" s="40"/>
    </row>
    <row r="123" spans="1:19">
      <c r="A123" s="40"/>
      <c r="B123" s="40"/>
      <c r="C123" s="40"/>
      <c r="D123" s="40"/>
      <c r="E123" s="40"/>
      <c r="F123" s="40"/>
      <c r="G123" s="40"/>
      <c r="H123" s="40"/>
      <c r="I123" s="40"/>
      <c r="J123" s="40"/>
      <c r="K123" s="40"/>
      <c r="L123" s="40"/>
      <c r="M123" s="40"/>
      <c r="N123" s="40"/>
      <c r="O123" s="40"/>
      <c r="P123" s="40"/>
      <c r="Q123" s="40"/>
      <c r="R123" s="40"/>
      <c r="S123" s="40"/>
    </row>
    <row r="124" spans="1:19">
      <c r="A124" s="40"/>
      <c r="B124" s="40"/>
      <c r="C124" s="40"/>
      <c r="D124" s="40"/>
      <c r="E124" s="40"/>
      <c r="F124" s="40"/>
      <c r="G124" s="40"/>
      <c r="H124" s="40"/>
      <c r="I124" s="40"/>
      <c r="J124" s="40"/>
      <c r="K124" s="40"/>
      <c r="L124" s="40"/>
      <c r="M124" s="40"/>
      <c r="N124" s="40"/>
      <c r="O124" s="40"/>
      <c r="P124" s="40"/>
      <c r="Q124" s="40"/>
      <c r="R124" s="40"/>
      <c r="S124" s="40"/>
    </row>
    <row r="125" spans="1:19">
      <c r="A125" s="40"/>
      <c r="B125" s="40"/>
      <c r="C125" s="40"/>
      <c r="D125" s="40"/>
      <c r="E125" s="40"/>
      <c r="F125" s="40"/>
      <c r="G125" s="40"/>
      <c r="H125" s="40"/>
      <c r="I125" s="40"/>
      <c r="J125" s="40"/>
      <c r="K125" s="40"/>
      <c r="L125" s="40"/>
      <c r="M125" s="40"/>
      <c r="N125" s="40"/>
      <c r="O125" s="40"/>
      <c r="P125" s="40"/>
      <c r="Q125" s="40"/>
      <c r="R125" s="40"/>
      <c r="S125" s="40"/>
    </row>
    <row r="126" spans="1:19">
      <c r="A126" s="40"/>
      <c r="B126" s="40"/>
      <c r="C126" s="40"/>
      <c r="D126" s="40"/>
      <c r="E126" s="40"/>
      <c r="F126" s="40"/>
      <c r="G126" s="40"/>
      <c r="H126" s="40"/>
      <c r="I126" s="40"/>
      <c r="J126" s="40"/>
      <c r="K126" s="40"/>
      <c r="L126" s="40"/>
      <c r="M126" s="40"/>
      <c r="N126" s="40"/>
      <c r="O126" s="40"/>
      <c r="P126" s="40"/>
      <c r="Q126" s="40"/>
      <c r="R126" s="40"/>
      <c r="S126" s="40"/>
    </row>
    <row r="127" spans="1:19">
      <c r="A127" s="40"/>
      <c r="B127" s="40"/>
      <c r="C127" s="40"/>
      <c r="D127" s="40"/>
      <c r="E127" s="40"/>
      <c r="F127" s="40"/>
      <c r="G127" s="40"/>
      <c r="H127" s="40"/>
      <c r="I127" s="40"/>
      <c r="J127" s="40"/>
      <c r="K127" s="40"/>
      <c r="L127" s="40"/>
      <c r="M127" s="40"/>
      <c r="N127" s="40"/>
      <c r="O127" s="40"/>
      <c r="P127" s="40"/>
      <c r="Q127" s="40"/>
      <c r="R127" s="40"/>
      <c r="S127" s="40"/>
    </row>
    <row r="128" spans="1:19">
      <c r="A128" s="40"/>
      <c r="B128" s="40"/>
      <c r="C128" s="40"/>
      <c r="D128" s="40"/>
      <c r="E128" s="40"/>
      <c r="F128" s="40"/>
      <c r="G128" s="40"/>
      <c r="H128" s="40"/>
      <c r="I128" s="40"/>
      <c r="J128" s="40"/>
      <c r="K128" s="40"/>
      <c r="L128" s="40"/>
      <c r="M128" s="40"/>
      <c r="N128" s="40"/>
      <c r="O128" s="40"/>
      <c r="P128" s="40"/>
      <c r="Q128" s="40"/>
      <c r="R128" s="40"/>
      <c r="S128" s="40"/>
    </row>
    <row r="129" spans="1:19">
      <c r="A129" s="40"/>
      <c r="B129" s="40"/>
      <c r="C129" s="40"/>
      <c r="D129" s="40"/>
      <c r="E129" s="40"/>
      <c r="F129" s="40"/>
      <c r="G129" s="40"/>
      <c r="H129" s="40"/>
      <c r="I129" s="40"/>
      <c r="J129" s="40"/>
      <c r="K129" s="40"/>
      <c r="L129" s="40"/>
      <c r="M129" s="40"/>
      <c r="N129" s="40"/>
      <c r="O129" s="40"/>
      <c r="P129" s="40"/>
      <c r="Q129" s="40"/>
      <c r="R129" s="40"/>
      <c r="S129" s="40"/>
    </row>
    <row r="130" spans="1:19">
      <c r="A130" s="40"/>
      <c r="B130" s="40"/>
      <c r="C130" s="40"/>
      <c r="D130" s="40"/>
      <c r="E130" s="40"/>
      <c r="F130" s="40"/>
      <c r="G130" s="40"/>
      <c r="H130" s="40"/>
      <c r="I130" s="40"/>
      <c r="J130" s="40"/>
      <c r="K130" s="40"/>
      <c r="L130" s="40"/>
      <c r="M130" s="40"/>
      <c r="N130" s="40"/>
      <c r="O130" s="40"/>
      <c r="P130" s="40"/>
      <c r="Q130" s="40"/>
      <c r="R130" s="40"/>
      <c r="S130" s="40"/>
    </row>
    <row r="131" spans="1:19">
      <c r="A131" s="40"/>
      <c r="B131" s="40"/>
      <c r="C131" s="40"/>
      <c r="D131" s="40"/>
      <c r="E131" s="40"/>
      <c r="F131" s="40"/>
      <c r="G131" s="40"/>
      <c r="H131" s="40"/>
      <c r="I131" s="40"/>
      <c r="J131" s="40"/>
      <c r="K131" s="40"/>
      <c r="L131" s="40"/>
      <c r="M131" s="40"/>
      <c r="N131" s="40"/>
      <c r="O131" s="40"/>
      <c r="P131" s="40"/>
      <c r="Q131" s="40"/>
      <c r="R131" s="40"/>
      <c r="S131" s="40"/>
    </row>
    <row r="132" spans="1:19">
      <c r="A132" s="40"/>
      <c r="B132" s="40"/>
      <c r="C132" s="40"/>
      <c r="D132" s="40"/>
      <c r="E132" s="40"/>
      <c r="F132" s="40"/>
      <c r="G132" s="40"/>
      <c r="H132" s="40"/>
      <c r="I132" s="40"/>
      <c r="J132" s="40"/>
      <c r="K132" s="40"/>
      <c r="L132" s="40"/>
      <c r="M132" s="40"/>
      <c r="N132" s="40"/>
      <c r="O132" s="40"/>
      <c r="P132" s="40"/>
      <c r="Q132" s="40"/>
      <c r="R132" s="40"/>
      <c r="S132" s="40"/>
    </row>
    <row r="133" spans="1:19">
      <c r="A133" s="40"/>
      <c r="B133" s="40"/>
      <c r="C133" s="40"/>
      <c r="D133" s="40"/>
      <c r="E133" s="40"/>
      <c r="F133" s="40"/>
      <c r="G133" s="40"/>
      <c r="H133" s="40"/>
      <c r="I133" s="40"/>
      <c r="J133" s="40"/>
      <c r="K133" s="40"/>
      <c r="L133" s="40"/>
      <c r="M133" s="40"/>
      <c r="N133" s="40"/>
      <c r="O133" s="40"/>
      <c r="P133" s="40"/>
      <c r="Q133" s="40"/>
      <c r="R133" s="40"/>
      <c r="S133" s="40"/>
    </row>
    <row r="134" spans="1:19">
      <c r="A134" s="40"/>
      <c r="B134" s="40"/>
      <c r="C134" s="40"/>
      <c r="D134" s="40"/>
      <c r="E134" s="40"/>
      <c r="F134" s="40"/>
      <c r="G134" s="40"/>
      <c r="H134" s="40"/>
      <c r="I134" s="40"/>
      <c r="J134" s="40"/>
      <c r="K134" s="40"/>
      <c r="L134" s="40"/>
      <c r="M134" s="40"/>
      <c r="N134" s="40"/>
      <c r="O134" s="40"/>
      <c r="P134" s="40"/>
      <c r="Q134" s="40"/>
      <c r="R134" s="40"/>
      <c r="S134" s="40"/>
    </row>
    <row r="135" spans="1:19">
      <c r="A135" s="40"/>
      <c r="B135" s="40"/>
      <c r="C135" s="40"/>
      <c r="D135" s="40"/>
      <c r="E135" s="40"/>
      <c r="F135" s="40"/>
      <c r="G135" s="40"/>
      <c r="H135" s="40"/>
      <c r="I135" s="40"/>
      <c r="J135" s="40"/>
      <c r="K135" s="40"/>
      <c r="L135" s="40"/>
      <c r="M135" s="40"/>
      <c r="N135" s="40"/>
      <c r="O135" s="40"/>
      <c r="P135" s="40"/>
      <c r="Q135" s="40"/>
      <c r="R135" s="40"/>
      <c r="S135" s="40"/>
    </row>
    <row r="136" spans="1:19">
      <c r="A136" s="40"/>
      <c r="B136" s="40"/>
      <c r="C136" s="40"/>
      <c r="D136" s="40"/>
      <c r="E136" s="40"/>
      <c r="F136" s="40"/>
      <c r="G136" s="40"/>
      <c r="H136" s="40"/>
      <c r="I136" s="40"/>
      <c r="J136" s="40"/>
      <c r="K136" s="40"/>
      <c r="L136" s="40"/>
      <c r="M136" s="40"/>
      <c r="N136" s="40"/>
      <c r="O136" s="40"/>
      <c r="P136" s="40"/>
      <c r="Q136" s="40"/>
      <c r="R136" s="40"/>
      <c r="S136" s="40"/>
    </row>
    <row r="137" spans="1:19">
      <c r="A137" s="40"/>
      <c r="B137" s="40"/>
      <c r="C137" s="40"/>
      <c r="D137" s="40"/>
      <c r="E137" s="40"/>
      <c r="F137" s="40"/>
      <c r="G137" s="40"/>
      <c r="H137" s="40"/>
      <c r="I137" s="40"/>
      <c r="J137" s="40"/>
      <c r="K137" s="40"/>
      <c r="L137" s="40"/>
      <c r="M137" s="40"/>
      <c r="N137" s="40"/>
      <c r="O137" s="40"/>
      <c r="P137" s="40"/>
      <c r="Q137" s="40"/>
      <c r="R137" s="40"/>
      <c r="S137" s="40"/>
    </row>
    <row r="138" spans="1:19">
      <c r="A138" s="40"/>
      <c r="B138" s="40"/>
      <c r="C138" s="40"/>
      <c r="D138" s="40"/>
      <c r="E138" s="40"/>
      <c r="F138" s="40"/>
      <c r="G138" s="40"/>
      <c r="H138" s="40"/>
      <c r="I138" s="40"/>
      <c r="J138" s="40"/>
      <c r="K138" s="40"/>
      <c r="L138" s="40"/>
      <c r="M138" s="40"/>
      <c r="N138" s="40"/>
      <c r="O138" s="40"/>
      <c r="P138" s="40"/>
      <c r="Q138" s="40"/>
      <c r="R138" s="40"/>
      <c r="S138" s="40"/>
    </row>
    <row r="139" spans="1:19">
      <c r="A139" s="40"/>
      <c r="B139" s="40"/>
      <c r="C139" s="40"/>
      <c r="D139" s="40"/>
      <c r="E139" s="40"/>
      <c r="F139" s="40"/>
      <c r="G139" s="40"/>
      <c r="H139" s="40"/>
      <c r="I139" s="40"/>
      <c r="J139" s="40"/>
      <c r="K139" s="40"/>
      <c r="L139" s="40"/>
      <c r="M139" s="40"/>
      <c r="N139" s="40"/>
      <c r="O139" s="40"/>
      <c r="P139" s="40"/>
      <c r="Q139" s="40"/>
      <c r="R139" s="40"/>
      <c r="S139" s="40"/>
    </row>
    <row r="140" spans="1:19">
      <c r="A140" s="40"/>
      <c r="B140" s="40"/>
      <c r="C140" s="40"/>
      <c r="D140" s="40"/>
      <c r="E140" s="40"/>
      <c r="F140" s="40"/>
      <c r="G140" s="40"/>
      <c r="H140" s="40"/>
      <c r="I140" s="40"/>
      <c r="J140" s="40"/>
      <c r="K140" s="40"/>
      <c r="L140" s="40"/>
      <c r="M140" s="40"/>
      <c r="N140" s="40"/>
      <c r="O140" s="40"/>
      <c r="P140" s="40"/>
      <c r="Q140" s="40"/>
      <c r="R140" s="40"/>
      <c r="S140" s="40"/>
    </row>
    <row r="141" spans="1:19">
      <c r="A141" s="40"/>
      <c r="B141" s="40"/>
      <c r="C141" s="40"/>
      <c r="D141" s="40"/>
      <c r="E141" s="40"/>
      <c r="F141" s="40"/>
      <c r="G141" s="40"/>
      <c r="H141" s="40"/>
      <c r="I141" s="40"/>
      <c r="J141" s="40"/>
      <c r="K141" s="40"/>
      <c r="L141" s="40"/>
      <c r="M141" s="40"/>
      <c r="N141" s="40"/>
      <c r="O141" s="40"/>
      <c r="P141" s="40"/>
      <c r="Q141" s="40"/>
      <c r="R141" s="40"/>
      <c r="S141" s="40"/>
    </row>
    <row r="142" spans="1:19">
      <c r="A142" s="40"/>
      <c r="B142" s="40"/>
      <c r="C142" s="40"/>
      <c r="D142" s="40"/>
      <c r="E142" s="40"/>
      <c r="F142" s="40"/>
      <c r="G142" s="40"/>
      <c r="H142" s="40"/>
      <c r="I142" s="40"/>
      <c r="J142" s="40"/>
      <c r="K142" s="40"/>
      <c r="L142" s="40"/>
      <c r="M142" s="40"/>
      <c r="N142" s="40"/>
      <c r="O142" s="40"/>
      <c r="P142" s="40"/>
      <c r="Q142" s="40"/>
      <c r="R142" s="40"/>
      <c r="S142" s="40"/>
    </row>
    <row r="143" spans="1:19">
      <c r="A143" s="40"/>
      <c r="B143" s="40"/>
      <c r="C143" s="40"/>
      <c r="D143" s="40"/>
      <c r="E143" s="40"/>
      <c r="F143" s="40"/>
      <c r="G143" s="40"/>
      <c r="H143" s="40"/>
      <c r="I143" s="40"/>
      <c r="J143" s="40"/>
      <c r="K143" s="40"/>
      <c r="L143" s="40"/>
      <c r="M143" s="40"/>
      <c r="N143" s="40"/>
      <c r="O143" s="40"/>
      <c r="P143" s="40"/>
      <c r="Q143" s="40"/>
      <c r="R143" s="40"/>
      <c r="S143" s="40"/>
    </row>
    <row r="144" spans="1:19">
      <c r="A144" s="40"/>
      <c r="B144" s="40"/>
      <c r="C144" s="40"/>
      <c r="D144" s="40"/>
      <c r="E144" s="40"/>
      <c r="F144" s="40"/>
      <c r="G144" s="40"/>
      <c r="H144" s="40"/>
      <c r="I144" s="40"/>
      <c r="J144" s="40"/>
      <c r="K144" s="40"/>
      <c r="L144" s="40"/>
      <c r="M144" s="40"/>
      <c r="N144" s="40"/>
      <c r="O144" s="40"/>
      <c r="P144" s="40"/>
      <c r="Q144" s="40"/>
      <c r="R144" s="40"/>
      <c r="S144" s="40"/>
    </row>
    <row r="145" spans="1:19">
      <c r="A145" s="40"/>
      <c r="B145" s="40"/>
      <c r="C145" s="40"/>
      <c r="D145" s="40"/>
      <c r="E145" s="40"/>
      <c r="F145" s="40"/>
      <c r="G145" s="40"/>
      <c r="H145" s="40"/>
      <c r="I145" s="40"/>
      <c r="J145" s="40"/>
      <c r="K145" s="40"/>
      <c r="L145" s="40"/>
      <c r="M145" s="40"/>
      <c r="N145" s="40"/>
      <c r="O145" s="40"/>
      <c r="P145" s="40"/>
      <c r="Q145" s="40"/>
      <c r="R145" s="40"/>
      <c r="S145" s="40"/>
    </row>
    <row r="146" spans="1:19">
      <c r="A146" s="40"/>
      <c r="B146" s="40"/>
      <c r="C146" s="40"/>
      <c r="D146" s="40"/>
      <c r="E146" s="40"/>
      <c r="F146" s="40"/>
      <c r="G146" s="40"/>
      <c r="H146" s="40"/>
      <c r="I146" s="40"/>
      <c r="J146" s="40"/>
      <c r="K146" s="40"/>
      <c r="L146" s="40"/>
      <c r="M146" s="40"/>
      <c r="N146" s="40"/>
      <c r="O146" s="40"/>
      <c r="P146" s="40"/>
      <c r="Q146" s="40"/>
      <c r="R146" s="40"/>
      <c r="S146" s="40"/>
    </row>
    <row r="147" spans="1:19">
      <c r="A147" s="40"/>
      <c r="B147" s="40"/>
      <c r="C147" s="40"/>
      <c r="D147" s="40"/>
      <c r="E147" s="40"/>
      <c r="F147" s="40"/>
      <c r="G147" s="40"/>
      <c r="H147" s="40"/>
      <c r="I147" s="40"/>
      <c r="J147" s="40"/>
      <c r="K147" s="40"/>
      <c r="L147" s="40"/>
      <c r="M147" s="40"/>
      <c r="N147" s="40"/>
      <c r="O147" s="40"/>
      <c r="P147" s="40"/>
      <c r="Q147" s="40"/>
      <c r="R147" s="40"/>
      <c r="S147" s="40"/>
    </row>
    <row r="148" spans="1:19">
      <c r="A148" s="40"/>
      <c r="B148" s="40"/>
      <c r="C148" s="40"/>
      <c r="D148" s="40"/>
      <c r="E148" s="40"/>
      <c r="F148" s="40"/>
      <c r="G148" s="40"/>
      <c r="H148" s="40"/>
      <c r="I148" s="40"/>
      <c r="J148" s="40"/>
      <c r="K148" s="40"/>
      <c r="L148" s="40"/>
      <c r="M148" s="40"/>
      <c r="N148" s="40"/>
      <c r="O148" s="40"/>
      <c r="P148" s="40"/>
      <c r="Q148" s="40"/>
      <c r="R148" s="40"/>
      <c r="S148" s="40"/>
    </row>
    <row r="149" spans="1:19">
      <c r="A149" s="40"/>
      <c r="B149" s="40"/>
      <c r="C149" s="40"/>
      <c r="D149" s="40"/>
      <c r="E149" s="40"/>
      <c r="F149" s="40"/>
      <c r="G149" s="40"/>
      <c r="H149" s="40"/>
      <c r="I149" s="40"/>
      <c r="J149" s="40"/>
      <c r="K149" s="40"/>
      <c r="L149" s="40"/>
      <c r="M149" s="40"/>
      <c r="N149" s="40"/>
      <c r="O149" s="40"/>
      <c r="P149" s="40"/>
      <c r="Q149" s="40"/>
      <c r="R149" s="40"/>
      <c r="S149" s="40"/>
    </row>
    <row r="150" spans="1:19">
      <c r="A150" s="40"/>
      <c r="B150" s="40"/>
      <c r="C150" s="40"/>
      <c r="D150" s="40"/>
      <c r="E150" s="40"/>
      <c r="F150" s="40"/>
      <c r="G150" s="40"/>
      <c r="H150" s="40"/>
      <c r="I150" s="40"/>
      <c r="J150" s="40"/>
      <c r="K150" s="40"/>
      <c r="L150" s="40"/>
      <c r="M150" s="40"/>
      <c r="N150" s="40"/>
      <c r="O150" s="40"/>
      <c r="P150" s="40"/>
      <c r="Q150" s="40"/>
      <c r="R150" s="40"/>
      <c r="S150" s="40"/>
    </row>
    <row r="151" spans="1:19">
      <c r="A151" s="40"/>
      <c r="B151" s="40"/>
      <c r="C151" s="40"/>
      <c r="D151" s="40"/>
      <c r="E151" s="40"/>
      <c r="F151" s="40"/>
      <c r="G151" s="40"/>
      <c r="H151" s="40"/>
      <c r="I151" s="40"/>
      <c r="J151" s="40"/>
      <c r="K151" s="40"/>
      <c r="L151" s="40"/>
      <c r="M151" s="40"/>
      <c r="N151" s="40"/>
      <c r="O151" s="40"/>
      <c r="P151" s="40"/>
      <c r="Q151" s="40"/>
      <c r="R151" s="40"/>
      <c r="S151" s="40"/>
    </row>
    <row r="152" spans="1:19">
      <c r="A152" s="40"/>
      <c r="B152" s="40"/>
      <c r="C152" s="40"/>
      <c r="D152" s="40"/>
      <c r="E152" s="40"/>
      <c r="F152" s="40"/>
      <c r="G152" s="40"/>
      <c r="H152" s="40"/>
      <c r="I152" s="40"/>
      <c r="J152" s="40"/>
      <c r="K152" s="40"/>
      <c r="L152" s="40"/>
      <c r="M152" s="40"/>
      <c r="N152" s="40"/>
      <c r="O152" s="40"/>
      <c r="P152" s="40"/>
      <c r="Q152" s="40"/>
      <c r="R152" s="40"/>
      <c r="S152" s="40"/>
    </row>
    <row r="153" spans="1:19">
      <c r="A153" s="40"/>
      <c r="B153" s="40"/>
      <c r="C153" s="40"/>
      <c r="D153" s="40"/>
      <c r="E153" s="40"/>
      <c r="F153" s="40"/>
      <c r="G153" s="40"/>
      <c r="H153" s="40"/>
      <c r="I153" s="40"/>
      <c r="J153" s="40"/>
      <c r="K153" s="40"/>
      <c r="L153" s="40"/>
      <c r="M153" s="40"/>
      <c r="N153" s="40"/>
      <c r="O153" s="40"/>
      <c r="P153" s="40"/>
      <c r="Q153" s="40"/>
      <c r="R153" s="40"/>
      <c r="S153" s="40"/>
    </row>
    <row r="154" spans="1:19">
      <c r="A154" s="40"/>
      <c r="B154" s="40"/>
      <c r="C154" s="40"/>
      <c r="D154" s="40"/>
      <c r="E154" s="40"/>
      <c r="F154" s="40"/>
      <c r="G154" s="40"/>
      <c r="H154" s="40"/>
      <c r="I154" s="40"/>
      <c r="J154" s="40"/>
      <c r="K154" s="40"/>
      <c r="L154" s="40"/>
      <c r="M154" s="40"/>
      <c r="N154" s="40"/>
      <c r="O154" s="40"/>
      <c r="P154" s="40"/>
      <c r="Q154" s="40"/>
      <c r="R154" s="40"/>
      <c r="S154" s="40"/>
    </row>
    <row r="155" spans="1:19">
      <c r="A155" s="40"/>
      <c r="B155" s="40"/>
      <c r="C155" s="40"/>
      <c r="D155" s="40"/>
      <c r="E155" s="40"/>
      <c r="F155" s="40"/>
      <c r="G155" s="40"/>
      <c r="H155" s="40"/>
      <c r="I155" s="40"/>
      <c r="J155" s="40"/>
      <c r="K155" s="40"/>
      <c r="L155" s="40"/>
      <c r="M155" s="40"/>
      <c r="N155" s="40"/>
      <c r="O155" s="40"/>
      <c r="P155" s="40"/>
      <c r="Q155" s="40"/>
      <c r="R155" s="40"/>
      <c r="S155" s="40"/>
    </row>
    <row r="156" spans="1:19">
      <c r="A156" s="40"/>
      <c r="B156" s="40"/>
      <c r="C156" s="40"/>
      <c r="D156" s="40"/>
      <c r="E156" s="40"/>
      <c r="F156" s="40"/>
      <c r="G156" s="40"/>
      <c r="H156" s="40"/>
      <c r="I156" s="40"/>
      <c r="J156" s="40"/>
      <c r="K156" s="40"/>
      <c r="L156" s="40"/>
      <c r="M156" s="40"/>
      <c r="N156" s="40"/>
      <c r="O156" s="40"/>
      <c r="P156" s="40"/>
      <c r="Q156" s="40"/>
      <c r="R156" s="40"/>
      <c r="S156" s="40"/>
    </row>
    <row r="157" spans="1:19">
      <c r="A157" s="40"/>
      <c r="B157" s="40"/>
      <c r="C157" s="40"/>
      <c r="D157" s="40"/>
      <c r="E157" s="40"/>
      <c r="F157" s="40"/>
      <c r="G157" s="40"/>
      <c r="H157" s="40"/>
      <c r="I157" s="40"/>
      <c r="J157" s="40"/>
      <c r="K157" s="40"/>
      <c r="L157" s="40"/>
      <c r="M157" s="40"/>
      <c r="N157" s="40"/>
      <c r="O157" s="40"/>
      <c r="P157" s="40"/>
      <c r="Q157" s="40"/>
      <c r="R157" s="40"/>
      <c r="S157" s="40"/>
    </row>
    <row r="158" spans="1:19">
      <c r="A158" s="40"/>
      <c r="B158" s="40"/>
      <c r="C158" s="40"/>
      <c r="D158" s="40"/>
      <c r="E158" s="40"/>
      <c r="F158" s="40"/>
      <c r="G158" s="40"/>
      <c r="H158" s="40"/>
      <c r="I158" s="40"/>
      <c r="J158" s="40"/>
      <c r="K158" s="40"/>
      <c r="L158" s="40"/>
      <c r="M158" s="40"/>
      <c r="N158" s="40"/>
      <c r="O158" s="40"/>
      <c r="P158" s="40"/>
      <c r="Q158" s="40"/>
      <c r="R158" s="40"/>
      <c r="S158" s="40"/>
    </row>
    <row r="159" spans="1:19">
      <c r="A159" s="40"/>
      <c r="B159" s="40"/>
      <c r="C159" s="40"/>
      <c r="D159" s="40"/>
      <c r="E159" s="40"/>
      <c r="F159" s="40"/>
      <c r="G159" s="40"/>
      <c r="H159" s="40"/>
      <c r="I159" s="40"/>
      <c r="J159" s="40"/>
      <c r="K159" s="40"/>
      <c r="L159" s="40"/>
      <c r="M159" s="40"/>
      <c r="N159" s="40"/>
      <c r="O159" s="40"/>
      <c r="P159" s="40"/>
      <c r="Q159" s="40"/>
      <c r="R159" s="40"/>
      <c r="S159" s="40"/>
    </row>
    <row r="160" spans="1:19">
      <c r="A160" s="40"/>
      <c r="B160" s="40"/>
      <c r="C160" s="40"/>
      <c r="D160" s="40"/>
      <c r="E160" s="40"/>
      <c r="F160" s="40"/>
      <c r="G160" s="40"/>
      <c r="H160" s="40"/>
      <c r="I160" s="40"/>
      <c r="J160" s="40"/>
      <c r="K160" s="40"/>
      <c r="L160" s="40"/>
      <c r="M160" s="40"/>
      <c r="N160" s="40"/>
      <c r="O160" s="40"/>
      <c r="P160" s="40"/>
      <c r="Q160" s="40"/>
      <c r="R160" s="40"/>
      <c r="S160" s="40"/>
    </row>
    <row r="161" spans="1:19">
      <c r="A161" s="40"/>
      <c r="B161" s="40"/>
      <c r="C161" s="40"/>
      <c r="D161" s="40"/>
      <c r="E161" s="40"/>
      <c r="F161" s="40"/>
      <c r="G161" s="40"/>
      <c r="H161" s="40"/>
      <c r="I161" s="40"/>
      <c r="J161" s="40"/>
      <c r="K161" s="40"/>
      <c r="L161" s="40"/>
      <c r="M161" s="40"/>
      <c r="N161" s="40"/>
      <c r="O161" s="40"/>
      <c r="P161" s="40"/>
      <c r="Q161" s="40"/>
      <c r="R161" s="40"/>
      <c r="S161" s="40"/>
    </row>
    <row r="162" spans="1:19">
      <c r="A162" s="40"/>
      <c r="B162" s="40"/>
      <c r="C162" s="40"/>
      <c r="D162" s="40"/>
      <c r="E162" s="40"/>
      <c r="F162" s="40"/>
      <c r="G162" s="40"/>
      <c r="H162" s="40"/>
      <c r="I162" s="40"/>
      <c r="J162" s="40"/>
      <c r="K162" s="40"/>
      <c r="L162" s="40"/>
      <c r="M162" s="40"/>
      <c r="N162" s="40"/>
      <c r="O162" s="40"/>
      <c r="P162" s="40"/>
      <c r="Q162" s="40"/>
      <c r="R162" s="40"/>
      <c r="S162" s="40"/>
    </row>
    <row r="163" spans="1:19">
      <c r="A163" s="40"/>
      <c r="B163" s="40"/>
      <c r="C163" s="40"/>
      <c r="D163" s="40"/>
      <c r="E163" s="40"/>
      <c r="F163" s="40"/>
      <c r="G163" s="40"/>
      <c r="H163" s="40"/>
      <c r="I163" s="40"/>
      <c r="J163" s="40"/>
      <c r="K163" s="40"/>
      <c r="L163" s="40"/>
      <c r="M163" s="40"/>
      <c r="N163" s="40"/>
      <c r="O163" s="40"/>
      <c r="P163" s="40"/>
      <c r="Q163" s="40"/>
      <c r="R163" s="40"/>
      <c r="S163" s="40"/>
    </row>
    <row r="164" spans="1:19">
      <c r="A164" s="40"/>
      <c r="B164" s="40"/>
      <c r="C164" s="40"/>
      <c r="D164" s="40"/>
      <c r="E164" s="40"/>
      <c r="F164" s="40"/>
      <c r="G164" s="40"/>
      <c r="H164" s="40"/>
      <c r="I164" s="40"/>
      <c r="J164" s="40"/>
      <c r="K164" s="40"/>
      <c r="L164" s="40"/>
      <c r="M164" s="40"/>
      <c r="N164" s="40"/>
      <c r="O164" s="40"/>
      <c r="P164" s="40"/>
      <c r="Q164" s="40"/>
      <c r="R164" s="40"/>
      <c r="S164" s="40"/>
    </row>
    <row r="165" spans="1:19">
      <c r="A165" s="40"/>
      <c r="B165" s="40"/>
      <c r="C165" s="40"/>
      <c r="D165" s="40"/>
      <c r="E165" s="40"/>
      <c r="F165" s="40"/>
      <c r="G165" s="40"/>
      <c r="H165" s="40"/>
      <c r="I165" s="40"/>
      <c r="J165" s="40"/>
      <c r="K165" s="40"/>
      <c r="L165" s="40"/>
      <c r="M165" s="40"/>
      <c r="N165" s="40"/>
      <c r="O165" s="40"/>
      <c r="P165" s="40"/>
      <c r="Q165" s="40"/>
      <c r="R165" s="40"/>
      <c r="S165" s="40"/>
    </row>
    <row r="166" spans="1:19">
      <c r="A166" s="40"/>
      <c r="B166" s="40"/>
      <c r="C166" s="40"/>
      <c r="D166" s="40"/>
      <c r="E166" s="40"/>
      <c r="F166" s="40"/>
      <c r="G166" s="40"/>
      <c r="H166" s="40"/>
      <c r="I166" s="40"/>
      <c r="J166" s="40"/>
      <c r="K166" s="40"/>
      <c r="L166" s="40"/>
      <c r="M166" s="40"/>
      <c r="N166" s="40"/>
      <c r="O166" s="40"/>
      <c r="P166" s="40"/>
      <c r="Q166" s="40"/>
      <c r="R166" s="40"/>
      <c r="S166" s="40"/>
    </row>
    <row r="167" spans="1:19">
      <c r="A167" s="40"/>
      <c r="B167" s="40"/>
      <c r="C167" s="40"/>
      <c r="D167" s="40"/>
      <c r="E167" s="40"/>
      <c r="F167" s="40"/>
      <c r="G167" s="40"/>
      <c r="H167" s="40"/>
      <c r="I167" s="40"/>
      <c r="J167" s="40"/>
      <c r="K167" s="40"/>
      <c r="L167" s="40"/>
      <c r="M167" s="40"/>
      <c r="N167" s="40"/>
      <c r="O167" s="40"/>
      <c r="P167" s="40"/>
      <c r="Q167" s="40"/>
      <c r="R167" s="40"/>
      <c r="S167" s="40"/>
    </row>
    <row r="168" spans="1:19">
      <c r="A168" s="40"/>
      <c r="B168" s="40"/>
      <c r="C168" s="40"/>
      <c r="D168" s="40"/>
      <c r="E168" s="40"/>
      <c r="F168" s="40"/>
      <c r="G168" s="40"/>
      <c r="H168" s="40"/>
      <c r="I168" s="40"/>
      <c r="J168" s="40"/>
      <c r="K168" s="40"/>
      <c r="L168" s="40"/>
      <c r="M168" s="40"/>
      <c r="N168" s="40"/>
      <c r="O168" s="40"/>
      <c r="P168" s="40"/>
      <c r="Q168" s="40"/>
      <c r="R168" s="40"/>
      <c r="S168" s="40"/>
    </row>
    <row r="169" spans="1:19">
      <c r="A169" s="40"/>
      <c r="B169" s="40"/>
      <c r="C169" s="40"/>
      <c r="D169" s="40"/>
      <c r="E169" s="40"/>
      <c r="F169" s="40"/>
      <c r="G169" s="40"/>
      <c r="H169" s="40"/>
      <c r="I169" s="40"/>
      <c r="J169" s="40"/>
      <c r="K169" s="40"/>
      <c r="L169" s="40"/>
      <c r="M169" s="40"/>
      <c r="N169" s="40"/>
      <c r="O169" s="40"/>
      <c r="P169" s="40"/>
      <c r="Q169" s="40"/>
      <c r="R169" s="40"/>
      <c r="S169" s="40"/>
    </row>
    <row r="170" spans="1:19">
      <c r="A170" s="40"/>
      <c r="B170" s="40"/>
      <c r="C170" s="40"/>
      <c r="D170" s="40"/>
      <c r="E170" s="40"/>
      <c r="F170" s="40"/>
      <c r="G170" s="40"/>
      <c r="H170" s="40"/>
      <c r="I170" s="40"/>
      <c r="J170" s="40"/>
      <c r="K170" s="40"/>
      <c r="L170" s="40"/>
      <c r="M170" s="40"/>
      <c r="N170" s="40"/>
      <c r="O170" s="40"/>
      <c r="P170" s="40"/>
      <c r="Q170" s="40"/>
      <c r="R170" s="40"/>
      <c r="S170" s="40"/>
    </row>
    <row r="171" spans="1:19">
      <c r="A171" s="40"/>
      <c r="B171" s="40"/>
      <c r="C171" s="40"/>
      <c r="D171" s="40"/>
      <c r="E171" s="40"/>
      <c r="F171" s="40"/>
      <c r="G171" s="40"/>
      <c r="H171" s="40"/>
      <c r="I171" s="40"/>
      <c r="J171" s="40"/>
      <c r="K171" s="40"/>
      <c r="L171" s="40"/>
      <c r="M171" s="40"/>
      <c r="N171" s="40"/>
      <c r="O171" s="40"/>
      <c r="P171" s="40"/>
      <c r="Q171" s="40"/>
      <c r="R171" s="40"/>
      <c r="S171" s="40"/>
    </row>
    <row r="172" spans="1:19">
      <c r="A172" s="40"/>
      <c r="B172" s="40"/>
      <c r="C172" s="40"/>
      <c r="D172" s="40"/>
      <c r="E172" s="40"/>
      <c r="F172" s="40"/>
      <c r="G172" s="40"/>
      <c r="H172" s="40"/>
      <c r="I172" s="40"/>
      <c r="J172" s="40"/>
      <c r="K172" s="40"/>
      <c r="L172" s="40"/>
      <c r="M172" s="40"/>
      <c r="N172" s="40"/>
      <c r="O172" s="40"/>
      <c r="P172" s="40"/>
      <c r="Q172" s="40"/>
      <c r="R172" s="40"/>
      <c r="S172" s="40"/>
    </row>
    <row r="173" spans="1:19">
      <c r="A173" s="40"/>
      <c r="B173" s="40"/>
      <c r="C173" s="40"/>
      <c r="D173" s="40"/>
      <c r="E173" s="40"/>
      <c r="F173" s="40"/>
      <c r="G173" s="40"/>
      <c r="H173" s="40"/>
      <c r="I173" s="40"/>
      <c r="J173" s="40"/>
      <c r="K173" s="40"/>
      <c r="L173" s="40"/>
      <c r="M173" s="40"/>
      <c r="N173" s="40"/>
      <c r="O173" s="40"/>
      <c r="P173" s="40"/>
      <c r="Q173" s="40"/>
      <c r="R173" s="40"/>
      <c r="S173" s="40"/>
    </row>
    <row r="174" spans="1:19">
      <c r="A174" s="40"/>
      <c r="B174" s="40"/>
      <c r="C174" s="40"/>
      <c r="D174" s="40"/>
      <c r="E174" s="40"/>
      <c r="F174" s="40"/>
      <c r="G174" s="40"/>
      <c r="H174" s="40"/>
      <c r="I174" s="40"/>
      <c r="J174" s="40"/>
      <c r="K174" s="40"/>
      <c r="L174" s="40"/>
      <c r="M174" s="40"/>
      <c r="N174" s="40"/>
      <c r="O174" s="40"/>
      <c r="P174" s="40"/>
      <c r="Q174" s="40"/>
      <c r="R174" s="40"/>
      <c r="S174" s="40"/>
    </row>
    <row r="175" spans="1:19">
      <c r="A175" s="40"/>
      <c r="B175" s="40"/>
      <c r="C175" s="40"/>
      <c r="D175" s="40"/>
      <c r="E175" s="40"/>
      <c r="F175" s="40"/>
      <c r="G175" s="40"/>
      <c r="H175" s="40"/>
      <c r="I175" s="40"/>
      <c r="J175" s="40"/>
      <c r="K175" s="40"/>
      <c r="L175" s="40"/>
      <c r="M175" s="40"/>
      <c r="N175" s="40"/>
      <c r="O175" s="40"/>
      <c r="P175" s="40"/>
      <c r="Q175" s="40"/>
      <c r="R175" s="40"/>
      <c r="S175" s="40"/>
    </row>
    <row r="176" spans="1:19">
      <c r="A176" s="40"/>
      <c r="B176" s="40"/>
      <c r="C176" s="40"/>
      <c r="D176" s="40"/>
      <c r="E176" s="40"/>
      <c r="F176" s="40"/>
      <c r="G176" s="40"/>
      <c r="H176" s="40"/>
      <c r="I176" s="40"/>
      <c r="J176" s="40"/>
      <c r="K176" s="40"/>
      <c r="L176" s="40"/>
      <c r="M176" s="40"/>
      <c r="N176" s="40"/>
      <c r="O176" s="40"/>
      <c r="P176" s="40"/>
      <c r="Q176" s="40"/>
      <c r="R176" s="40"/>
      <c r="S176" s="40"/>
    </row>
    <row r="177" spans="1:19">
      <c r="A177" s="40"/>
      <c r="B177" s="40"/>
      <c r="C177" s="40"/>
      <c r="D177" s="40"/>
      <c r="E177" s="40"/>
      <c r="F177" s="40"/>
      <c r="G177" s="40"/>
      <c r="H177" s="40"/>
      <c r="I177" s="40"/>
      <c r="J177" s="40"/>
      <c r="K177" s="40"/>
      <c r="L177" s="40"/>
      <c r="M177" s="40"/>
      <c r="N177" s="40"/>
      <c r="O177" s="40"/>
      <c r="P177" s="40"/>
      <c r="Q177" s="40"/>
      <c r="R177" s="40"/>
      <c r="S177" s="40"/>
    </row>
    <row r="178" spans="1:19">
      <c r="A178" s="40"/>
      <c r="B178" s="40"/>
      <c r="C178" s="40"/>
      <c r="D178" s="40"/>
      <c r="E178" s="40"/>
      <c r="F178" s="40"/>
      <c r="G178" s="40"/>
      <c r="H178" s="40"/>
      <c r="I178" s="40"/>
      <c r="J178" s="40"/>
      <c r="K178" s="40"/>
      <c r="L178" s="40"/>
      <c r="M178" s="40"/>
      <c r="N178" s="40"/>
      <c r="O178" s="40"/>
      <c r="P178" s="40"/>
      <c r="Q178" s="40"/>
      <c r="R178" s="40"/>
      <c r="S178" s="40"/>
    </row>
    <row r="179" spans="1:19">
      <c r="A179" s="40"/>
      <c r="B179" s="40"/>
      <c r="C179" s="40"/>
      <c r="D179" s="40"/>
      <c r="E179" s="40"/>
      <c r="F179" s="40"/>
      <c r="G179" s="40"/>
      <c r="H179" s="40"/>
      <c r="I179" s="40"/>
      <c r="J179" s="40"/>
      <c r="K179" s="40"/>
      <c r="L179" s="40"/>
      <c r="M179" s="40"/>
      <c r="N179" s="40"/>
      <c r="O179" s="40"/>
      <c r="P179" s="40"/>
      <c r="Q179" s="40"/>
      <c r="R179" s="40"/>
      <c r="S179" s="40"/>
    </row>
    <row r="180" spans="1:19">
      <c r="A180" s="40"/>
      <c r="B180" s="40"/>
      <c r="C180" s="40"/>
      <c r="D180" s="40"/>
      <c r="E180" s="40"/>
      <c r="F180" s="40"/>
      <c r="G180" s="40"/>
      <c r="H180" s="40"/>
      <c r="I180" s="40"/>
      <c r="J180" s="40"/>
      <c r="K180" s="40"/>
      <c r="L180" s="40"/>
      <c r="M180" s="40"/>
      <c r="N180" s="40"/>
      <c r="O180" s="40"/>
      <c r="P180" s="40"/>
      <c r="Q180" s="40"/>
      <c r="R180" s="40"/>
      <c r="S180" s="40"/>
    </row>
    <row r="181" spans="1:19">
      <c r="A181" s="40"/>
      <c r="B181" s="40"/>
      <c r="C181" s="40"/>
      <c r="D181" s="40"/>
      <c r="E181" s="40"/>
      <c r="F181" s="40"/>
      <c r="G181" s="40"/>
      <c r="H181" s="40"/>
      <c r="I181" s="40"/>
      <c r="J181" s="40"/>
      <c r="K181" s="40"/>
      <c r="L181" s="40"/>
      <c r="M181" s="40"/>
      <c r="N181" s="40"/>
      <c r="O181" s="40"/>
      <c r="P181" s="40"/>
      <c r="Q181" s="40"/>
      <c r="R181" s="40"/>
      <c r="S181" s="40"/>
    </row>
    <row r="182" spans="1:19">
      <c r="A182" s="40"/>
      <c r="B182" s="40"/>
      <c r="C182" s="40"/>
      <c r="D182" s="40"/>
      <c r="E182" s="40"/>
      <c r="F182" s="40"/>
      <c r="G182" s="40"/>
      <c r="H182" s="40"/>
      <c r="I182" s="40"/>
      <c r="J182" s="40"/>
      <c r="K182" s="40"/>
      <c r="L182" s="40"/>
      <c r="M182" s="40"/>
      <c r="N182" s="40"/>
      <c r="O182" s="40"/>
      <c r="P182" s="40"/>
      <c r="Q182" s="40"/>
      <c r="R182" s="40"/>
      <c r="S182" s="40"/>
    </row>
    <row r="183" spans="1:19">
      <c r="A183" s="40"/>
      <c r="B183" s="40"/>
      <c r="C183" s="40"/>
      <c r="D183" s="40"/>
      <c r="E183" s="40"/>
      <c r="F183" s="40"/>
      <c r="G183" s="40"/>
      <c r="H183" s="40"/>
      <c r="I183" s="40"/>
      <c r="J183" s="40"/>
      <c r="K183" s="40"/>
      <c r="L183" s="40"/>
      <c r="M183" s="40"/>
      <c r="N183" s="40"/>
      <c r="O183" s="40"/>
      <c r="P183" s="40"/>
      <c r="Q183" s="40"/>
      <c r="R183" s="40"/>
      <c r="S183" s="40"/>
    </row>
    <row r="184" spans="1:19">
      <c r="A184" s="40"/>
      <c r="B184" s="40"/>
      <c r="C184" s="40"/>
      <c r="D184" s="40"/>
      <c r="E184" s="40"/>
      <c r="F184" s="40"/>
      <c r="G184" s="40"/>
      <c r="H184" s="40"/>
      <c r="I184" s="40"/>
      <c r="J184" s="40"/>
      <c r="K184" s="40"/>
      <c r="L184" s="40"/>
      <c r="M184" s="40"/>
      <c r="N184" s="40"/>
      <c r="O184" s="40"/>
      <c r="P184" s="40"/>
      <c r="Q184" s="40"/>
      <c r="R184" s="40"/>
      <c r="S184" s="40"/>
    </row>
    <row r="185" spans="1:19">
      <c r="A185" s="40"/>
      <c r="B185" s="40"/>
      <c r="C185" s="40"/>
      <c r="D185" s="40"/>
      <c r="E185" s="40"/>
      <c r="F185" s="40"/>
      <c r="G185" s="40"/>
      <c r="H185" s="40"/>
      <c r="I185" s="40"/>
      <c r="J185" s="40"/>
      <c r="K185" s="40"/>
      <c r="L185" s="40"/>
      <c r="M185" s="40"/>
      <c r="N185" s="40"/>
      <c r="O185" s="40"/>
      <c r="P185" s="40"/>
      <c r="Q185" s="40"/>
      <c r="R185" s="40"/>
      <c r="S185" s="40"/>
    </row>
    <row r="186" spans="1:19">
      <c r="A186" s="40"/>
      <c r="B186" s="40"/>
      <c r="C186" s="40"/>
      <c r="D186" s="40"/>
      <c r="E186" s="40"/>
      <c r="F186" s="40"/>
      <c r="G186" s="40"/>
      <c r="H186" s="40"/>
      <c r="I186" s="40"/>
      <c r="J186" s="40"/>
      <c r="K186" s="40"/>
      <c r="L186" s="40"/>
      <c r="M186" s="40"/>
      <c r="N186" s="40"/>
      <c r="O186" s="40"/>
      <c r="P186" s="40"/>
      <c r="Q186" s="40"/>
      <c r="R186" s="40"/>
      <c r="S186" s="40"/>
    </row>
    <row r="187" spans="1:19">
      <c r="A187" s="40"/>
      <c r="B187" s="40"/>
      <c r="C187" s="40"/>
      <c r="D187" s="40"/>
      <c r="E187" s="40"/>
      <c r="F187" s="40"/>
      <c r="G187" s="40"/>
      <c r="H187" s="40"/>
      <c r="I187" s="40"/>
      <c r="J187" s="40"/>
      <c r="K187" s="40"/>
      <c r="L187" s="40"/>
      <c r="M187" s="40"/>
      <c r="N187" s="40"/>
      <c r="O187" s="40"/>
      <c r="P187" s="40"/>
      <c r="Q187" s="40"/>
      <c r="R187" s="40"/>
      <c r="S187" s="40"/>
    </row>
    <row r="188" spans="1:19">
      <c r="A188" s="40"/>
      <c r="B188" s="40"/>
      <c r="C188" s="40"/>
      <c r="D188" s="40"/>
      <c r="E188" s="40"/>
      <c r="F188" s="40"/>
      <c r="G188" s="40"/>
      <c r="H188" s="40"/>
      <c r="I188" s="40"/>
      <c r="J188" s="40"/>
      <c r="K188" s="40"/>
      <c r="L188" s="40"/>
      <c r="M188" s="40"/>
      <c r="N188" s="40"/>
      <c r="O188" s="40"/>
      <c r="P188" s="40"/>
      <c r="Q188" s="40"/>
      <c r="R188" s="40"/>
      <c r="S188" s="40"/>
    </row>
    <row r="189" spans="1:19">
      <c r="A189" s="40"/>
      <c r="B189" s="40"/>
      <c r="C189" s="40"/>
      <c r="D189" s="40"/>
      <c r="E189" s="40"/>
      <c r="F189" s="40"/>
      <c r="G189" s="40"/>
      <c r="H189" s="40"/>
      <c r="I189" s="40"/>
      <c r="J189" s="40"/>
      <c r="K189" s="40"/>
      <c r="L189" s="40"/>
      <c r="M189" s="40"/>
      <c r="N189" s="40"/>
      <c r="O189" s="40"/>
      <c r="P189" s="40"/>
      <c r="Q189" s="40"/>
      <c r="R189" s="40"/>
      <c r="S189" s="40"/>
    </row>
    <row r="190" spans="1:19">
      <c r="A190" s="40"/>
      <c r="B190" s="40"/>
      <c r="C190" s="40"/>
      <c r="D190" s="40"/>
      <c r="E190" s="40"/>
      <c r="F190" s="40"/>
      <c r="G190" s="40"/>
      <c r="H190" s="40"/>
      <c r="I190" s="40"/>
      <c r="J190" s="40"/>
      <c r="K190" s="40"/>
      <c r="L190" s="40"/>
      <c r="M190" s="40"/>
      <c r="N190" s="40"/>
      <c r="O190" s="40"/>
      <c r="P190" s="40"/>
      <c r="Q190" s="40"/>
      <c r="R190" s="40"/>
      <c r="S190" s="40"/>
    </row>
    <row r="191" spans="1:19">
      <c r="A191" s="40"/>
      <c r="B191" s="40"/>
      <c r="C191" s="40"/>
      <c r="D191" s="40"/>
      <c r="E191" s="40"/>
      <c r="F191" s="40"/>
      <c r="G191" s="40"/>
      <c r="H191" s="40"/>
      <c r="I191" s="40"/>
      <c r="J191" s="40"/>
      <c r="K191" s="40"/>
      <c r="L191" s="40"/>
      <c r="M191" s="40"/>
      <c r="N191" s="40"/>
      <c r="O191" s="40"/>
      <c r="P191" s="40"/>
      <c r="Q191" s="40"/>
      <c r="R191" s="40"/>
      <c r="S191" s="40"/>
    </row>
    <row r="192" spans="1:19">
      <c r="A192" s="40"/>
      <c r="B192" s="40"/>
      <c r="C192" s="40"/>
      <c r="D192" s="40"/>
      <c r="E192" s="40"/>
      <c r="F192" s="40"/>
      <c r="G192" s="40"/>
      <c r="H192" s="40"/>
      <c r="I192" s="40"/>
      <c r="J192" s="40"/>
      <c r="K192" s="40"/>
      <c r="L192" s="40"/>
      <c r="M192" s="40"/>
      <c r="N192" s="40"/>
      <c r="O192" s="40"/>
      <c r="P192" s="40"/>
      <c r="Q192" s="40"/>
      <c r="R192" s="40"/>
      <c r="S192" s="40"/>
    </row>
    <row r="193" spans="1:19">
      <c r="A193" s="40"/>
      <c r="B193" s="40"/>
      <c r="C193" s="40"/>
      <c r="D193" s="40"/>
      <c r="E193" s="40"/>
      <c r="F193" s="40"/>
      <c r="G193" s="40"/>
      <c r="H193" s="40"/>
      <c r="I193" s="40"/>
      <c r="J193" s="40"/>
      <c r="K193" s="40"/>
      <c r="L193" s="40"/>
      <c r="M193" s="40"/>
      <c r="N193" s="40"/>
      <c r="O193" s="40"/>
      <c r="P193" s="40"/>
      <c r="Q193" s="40"/>
      <c r="R193" s="40"/>
      <c r="S193" s="40"/>
    </row>
    <row r="194" spans="1:19">
      <c r="A194" s="40"/>
      <c r="B194" s="40"/>
      <c r="C194" s="40"/>
      <c r="D194" s="40"/>
      <c r="E194" s="40"/>
      <c r="F194" s="40"/>
      <c r="G194" s="40"/>
      <c r="H194" s="40"/>
      <c r="I194" s="40"/>
      <c r="J194" s="40"/>
      <c r="K194" s="40"/>
      <c r="L194" s="40"/>
      <c r="M194" s="40"/>
      <c r="N194" s="40"/>
      <c r="O194" s="40"/>
      <c r="P194" s="40"/>
      <c r="Q194" s="40"/>
      <c r="R194" s="40"/>
      <c r="S194" s="40"/>
    </row>
    <row r="195" spans="1:19">
      <c r="A195" s="40"/>
      <c r="B195" s="40"/>
      <c r="C195" s="40"/>
      <c r="D195" s="40"/>
      <c r="E195" s="40"/>
      <c r="F195" s="40"/>
      <c r="G195" s="40"/>
      <c r="H195" s="40"/>
      <c r="I195" s="40"/>
      <c r="J195" s="40"/>
      <c r="K195" s="40"/>
      <c r="L195" s="40"/>
      <c r="M195" s="40"/>
      <c r="N195" s="40"/>
      <c r="O195" s="40"/>
      <c r="P195" s="40"/>
      <c r="Q195" s="40"/>
      <c r="R195" s="40"/>
      <c r="S195" s="40"/>
    </row>
    <row r="196" spans="1:19">
      <c r="A196" s="40"/>
      <c r="B196" s="40"/>
      <c r="C196" s="40"/>
      <c r="D196" s="40"/>
      <c r="E196" s="40"/>
      <c r="F196" s="40"/>
      <c r="G196" s="40"/>
      <c r="H196" s="40"/>
      <c r="I196" s="40"/>
      <c r="J196" s="40"/>
      <c r="K196" s="40"/>
      <c r="L196" s="40"/>
      <c r="M196" s="40"/>
      <c r="N196" s="40"/>
      <c r="O196" s="40"/>
      <c r="P196" s="40"/>
      <c r="Q196" s="40"/>
      <c r="R196" s="40"/>
      <c r="S196" s="40"/>
    </row>
    <row r="197" spans="1:19">
      <c r="A197" s="40"/>
      <c r="B197" s="40"/>
      <c r="C197" s="40"/>
      <c r="D197" s="40"/>
      <c r="E197" s="40"/>
      <c r="F197" s="40"/>
      <c r="G197" s="40"/>
      <c r="H197" s="40"/>
      <c r="I197" s="40"/>
      <c r="J197" s="40"/>
      <c r="K197" s="40"/>
      <c r="L197" s="40"/>
      <c r="M197" s="40"/>
      <c r="N197" s="40"/>
      <c r="O197" s="40"/>
      <c r="P197" s="40"/>
      <c r="Q197" s="40"/>
      <c r="R197" s="40"/>
      <c r="S197" s="40"/>
    </row>
    <row r="198" spans="1:19">
      <c r="A198" s="40"/>
      <c r="B198" s="40"/>
      <c r="C198" s="40"/>
      <c r="D198" s="40"/>
      <c r="E198" s="40"/>
      <c r="F198" s="40"/>
      <c r="G198" s="40"/>
      <c r="H198" s="40"/>
      <c r="I198" s="40"/>
      <c r="J198" s="40"/>
      <c r="K198" s="40"/>
      <c r="L198" s="40"/>
      <c r="M198" s="40"/>
      <c r="N198" s="40"/>
      <c r="O198" s="40"/>
      <c r="P198" s="40"/>
      <c r="Q198" s="40"/>
      <c r="R198" s="40"/>
      <c r="S198" s="40"/>
    </row>
    <row r="199" spans="1:19">
      <c r="A199" s="40"/>
      <c r="B199" s="40"/>
      <c r="C199" s="40"/>
      <c r="D199" s="40"/>
      <c r="E199" s="40"/>
      <c r="F199" s="40"/>
      <c r="G199" s="40"/>
      <c r="H199" s="40"/>
      <c r="I199" s="40"/>
      <c r="J199" s="40"/>
      <c r="K199" s="40"/>
      <c r="L199" s="40"/>
      <c r="M199" s="40"/>
      <c r="N199" s="40"/>
      <c r="O199" s="40"/>
      <c r="P199" s="40"/>
      <c r="Q199" s="40"/>
      <c r="R199" s="40"/>
      <c r="S199" s="40"/>
    </row>
    <row r="200" spans="1:19">
      <c r="A200" s="40"/>
      <c r="B200" s="40"/>
      <c r="C200" s="40"/>
      <c r="D200" s="40"/>
      <c r="E200" s="40"/>
      <c r="F200" s="40"/>
      <c r="G200" s="40"/>
      <c r="H200" s="40"/>
      <c r="I200" s="40"/>
      <c r="J200" s="40"/>
      <c r="K200" s="40"/>
      <c r="L200" s="40"/>
      <c r="M200" s="40"/>
      <c r="N200" s="40"/>
      <c r="O200" s="40"/>
      <c r="P200" s="40"/>
      <c r="Q200" s="40"/>
      <c r="R200" s="40"/>
      <c r="S200" s="40"/>
    </row>
    <row r="201" spans="1:19">
      <c r="A201" s="40"/>
      <c r="B201" s="40"/>
      <c r="C201" s="40"/>
      <c r="D201" s="40"/>
      <c r="E201" s="40"/>
      <c r="F201" s="40"/>
      <c r="G201" s="40"/>
      <c r="H201" s="40"/>
      <c r="I201" s="40"/>
      <c r="J201" s="40"/>
      <c r="K201" s="40"/>
      <c r="L201" s="40"/>
      <c r="M201" s="40"/>
      <c r="N201" s="40"/>
      <c r="O201" s="40"/>
      <c r="P201" s="40"/>
      <c r="Q201" s="40"/>
      <c r="R201" s="40"/>
      <c r="S201" s="40"/>
    </row>
    <row r="202" spans="1:19">
      <c r="A202" s="40"/>
      <c r="B202" s="40"/>
      <c r="C202" s="40"/>
      <c r="D202" s="40"/>
      <c r="E202" s="40"/>
      <c r="F202" s="40"/>
      <c r="G202" s="40"/>
      <c r="H202" s="40"/>
      <c r="I202" s="40"/>
      <c r="J202" s="40"/>
      <c r="K202" s="40"/>
      <c r="L202" s="40"/>
      <c r="M202" s="40"/>
      <c r="N202" s="40"/>
      <c r="O202" s="40"/>
      <c r="P202" s="40"/>
      <c r="Q202" s="40"/>
      <c r="R202" s="40"/>
      <c r="S202" s="40"/>
    </row>
    <row r="203" spans="1:19">
      <c r="A203" s="40"/>
      <c r="B203" s="40"/>
      <c r="C203" s="40"/>
      <c r="D203" s="40"/>
      <c r="E203" s="40"/>
      <c r="F203" s="40"/>
      <c r="G203" s="40"/>
      <c r="H203" s="40"/>
      <c r="I203" s="40"/>
      <c r="J203" s="40"/>
      <c r="K203" s="40"/>
      <c r="L203" s="40"/>
      <c r="M203" s="40"/>
      <c r="N203" s="40"/>
      <c r="O203" s="40"/>
      <c r="P203" s="40"/>
      <c r="Q203" s="40"/>
      <c r="R203" s="40"/>
      <c r="S203" s="40"/>
    </row>
    <row r="204" spans="1:19">
      <c r="A204" s="40"/>
      <c r="B204" s="40"/>
      <c r="C204" s="40"/>
      <c r="D204" s="40"/>
      <c r="E204" s="40"/>
      <c r="F204" s="40"/>
      <c r="G204" s="40"/>
      <c r="H204" s="40"/>
      <c r="I204" s="40"/>
      <c r="J204" s="40"/>
      <c r="K204" s="40"/>
      <c r="L204" s="40"/>
      <c r="M204" s="40"/>
      <c r="N204" s="40"/>
      <c r="O204" s="40"/>
      <c r="P204" s="40"/>
      <c r="Q204" s="40"/>
      <c r="R204" s="40"/>
      <c r="S204" s="40"/>
    </row>
    <row r="205" spans="1:19">
      <c r="A205" s="40"/>
      <c r="B205" s="40"/>
      <c r="C205" s="40"/>
      <c r="D205" s="40"/>
      <c r="E205" s="40"/>
      <c r="F205" s="40"/>
      <c r="G205" s="40"/>
      <c r="H205" s="40"/>
      <c r="I205" s="40"/>
      <c r="J205" s="40"/>
      <c r="K205" s="40"/>
      <c r="L205" s="40"/>
      <c r="M205" s="40"/>
      <c r="N205" s="40"/>
      <c r="O205" s="40"/>
      <c r="P205" s="40"/>
      <c r="Q205" s="40"/>
      <c r="R205" s="40"/>
      <c r="S205" s="40"/>
    </row>
    <row r="206" spans="1:19">
      <c r="A206" s="40"/>
      <c r="B206" s="40"/>
      <c r="C206" s="40"/>
      <c r="D206" s="40"/>
      <c r="E206" s="40"/>
      <c r="F206" s="40"/>
      <c r="G206" s="40"/>
      <c r="H206" s="40"/>
      <c r="I206" s="40"/>
      <c r="J206" s="40"/>
      <c r="K206" s="40"/>
      <c r="L206" s="40"/>
      <c r="M206" s="40"/>
      <c r="N206" s="40"/>
      <c r="O206" s="40"/>
      <c r="P206" s="40"/>
      <c r="Q206" s="40"/>
      <c r="R206" s="40"/>
      <c r="S206" s="40"/>
    </row>
    <row r="207" spans="1:19">
      <c r="A207" s="40"/>
      <c r="B207" s="40"/>
      <c r="C207" s="40"/>
      <c r="D207" s="40"/>
      <c r="E207" s="40"/>
      <c r="F207" s="40"/>
      <c r="G207" s="40"/>
      <c r="H207" s="40"/>
      <c r="I207" s="40"/>
      <c r="J207" s="40"/>
      <c r="K207" s="40"/>
      <c r="L207" s="40"/>
      <c r="M207" s="40"/>
      <c r="N207" s="40"/>
      <c r="O207" s="40"/>
      <c r="P207" s="40"/>
      <c r="Q207" s="40"/>
      <c r="R207" s="40"/>
      <c r="S207" s="40"/>
    </row>
    <row r="208" spans="1:19">
      <c r="A208" s="40"/>
      <c r="B208" s="40"/>
      <c r="C208" s="40"/>
      <c r="D208" s="40"/>
      <c r="E208" s="40"/>
      <c r="F208" s="40"/>
      <c r="G208" s="40"/>
      <c r="H208" s="40"/>
      <c r="I208" s="40"/>
      <c r="J208" s="40"/>
      <c r="K208" s="40"/>
      <c r="L208" s="40"/>
      <c r="M208" s="40"/>
      <c r="N208" s="40"/>
      <c r="O208" s="40"/>
      <c r="P208" s="40"/>
      <c r="Q208" s="40"/>
      <c r="R208" s="40"/>
      <c r="S208" s="40"/>
    </row>
    <row r="209" spans="1:19">
      <c r="A209" s="40"/>
      <c r="B209" s="40"/>
      <c r="C209" s="40"/>
      <c r="D209" s="40"/>
      <c r="E209" s="40"/>
      <c r="F209" s="40"/>
      <c r="G209" s="40"/>
      <c r="H209" s="40"/>
      <c r="I209" s="40"/>
      <c r="J209" s="40"/>
      <c r="K209" s="40"/>
      <c r="L209" s="40"/>
      <c r="M209" s="40"/>
      <c r="N209" s="40"/>
      <c r="O209" s="40"/>
      <c r="P209" s="40"/>
      <c r="Q209" s="40"/>
      <c r="R209" s="40"/>
      <c r="S209" s="40"/>
    </row>
    <row r="210" spans="1:19">
      <c r="A210" s="40"/>
      <c r="B210" s="40"/>
      <c r="C210" s="40"/>
      <c r="D210" s="40"/>
      <c r="E210" s="40"/>
      <c r="F210" s="40"/>
      <c r="G210" s="40"/>
      <c r="H210" s="40"/>
      <c r="I210" s="40"/>
      <c r="J210" s="40"/>
      <c r="K210" s="40"/>
      <c r="L210" s="40"/>
      <c r="M210" s="40"/>
      <c r="N210" s="40"/>
      <c r="O210" s="40"/>
      <c r="P210" s="40"/>
      <c r="Q210" s="40"/>
      <c r="R210" s="40"/>
      <c r="S210" s="40"/>
    </row>
    <row r="211" spans="1:19">
      <c r="A211" s="40"/>
      <c r="B211" s="40"/>
      <c r="C211" s="40"/>
      <c r="D211" s="40"/>
      <c r="E211" s="40"/>
      <c r="F211" s="40"/>
      <c r="G211" s="40"/>
      <c r="H211" s="40"/>
      <c r="I211" s="40"/>
      <c r="J211" s="40"/>
      <c r="K211" s="40"/>
      <c r="L211" s="40"/>
      <c r="M211" s="40"/>
      <c r="N211" s="40"/>
      <c r="O211" s="40"/>
      <c r="P211" s="40"/>
      <c r="Q211" s="40"/>
      <c r="R211" s="40"/>
      <c r="S211" s="40"/>
    </row>
    <row r="212" spans="1:19">
      <c r="A212" s="40"/>
      <c r="B212" s="40"/>
      <c r="C212" s="40"/>
      <c r="D212" s="40"/>
      <c r="E212" s="40"/>
      <c r="F212" s="40"/>
      <c r="G212" s="40"/>
      <c r="H212" s="40"/>
      <c r="I212" s="40"/>
      <c r="J212" s="40"/>
      <c r="K212" s="40"/>
      <c r="L212" s="40"/>
      <c r="M212" s="40"/>
      <c r="N212" s="40"/>
      <c r="O212" s="40"/>
      <c r="P212" s="40"/>
      <c r="Q212" s="40"/>
      <c r="R212" s="40"/>
      <c r="S212" s="40"/>
    </row>
    <row r="213" spans="1:19">
      <c r="A213" s="40"/>
      <c r="B213" s="40"/>
      <c r="C213" s="40"/>
      <c r="D213" s="40"/>
      <c r="E213" s="40"/>
      <c r="F213" s="40"/>
      <c r="G213" s="40"/>
      <c r="H213" s="40"/>
      <c r="I213" s="40"/>
      <c r="J213" s="40"/>
      <c r="K213" s="40"/>
      <c r="L213" s="40"/>
      <c r="M213" s="40"/>
      <c r="N213" s="40"/>
      <c r="O213" s="40"/>
      <c r="P213" s="40"/>
      <c r="Q213" s="40"/>
      <c r="R213" s="40"/>
      <c r="S213" s="40"/>
    </row>
    <row r="214" spans="1:19">
      <c r="A214" s="40"/>
      <c r="B214" s="40"/>
      <c r="C214" s="40"/>
      <c r="D214" s="40"/>
      <c r="E214" s="40"/>
      <c r="F214" s="40"/>
      <c r="G214" s="40"/>
      <c r="H214" s="40"/>
      <c r="I214" s="40"/>
      <c r="J214" s="40"/>
      <c r="K214" s="40"/>
      <c r="L214" s="40"/>
      <c r="M214" s="40"/>
      <c r="N214" s="40"/>
      <c r="O214" s="40"/>
      <c r="P214" s="40"/>
      <c r="Q214" s="40"/>
      <c r="R214" s="40"/>
      <c r="S214" s="40"/>
    </row>
    <row r="215" spans="1:19">
      <c r="A215" s="40"/>
      <c r="B215" s="40"/>
      <c r="C215" s="40"/>
      <c r="D215" s="40"/>
      <c r="E215" s="40"/>
      <c r="F215" s="40"/>
      <c r="G215" s="40"/>
      <c r="H215" s="40"/>
      <c r="I215" s="40"/>
      <c r="J215" s="40"/>
      <c r="K215" s="40"/>
      <c r="L215" s="40"/>
      <c r="M215" s="40"/>
      <c r="N215" s="40"/>
      <c r="O215" s="40"/>
      <c r="P215" s="40"/>
      <c r="Q215" s="40"/>
      <c r="R215" s="40"/>
      <c r="S215" s="40"/>
    </row>
    <row r="216" spans="1:19">
      <c r="A216" s="40"/>
      <c r="B216" s="40"/>
      <c r="C216" s="40"/>
      <c r="D216" s="40"/>
      <c r="E216" s="40"/>
      <c r="F216" s="40"/>
      <c r="G216" s="40"/>
      <c r="H216" s="40"/>
      <c r="I216" s="40"/>
      <c r="J216" s="40"/>
      <c r="K216" s="40"/>
      <c r="L216" s="40"/>
      <c r="M216" s="40"/>
      <c r="N216" s="40"/>
      <c r="O216" s="40"/>
      <c r="P216" s="40"/>
      <c r="Q216" s="40"/>
      <c r="R216" s="40"/>
      <c r="S216" s="40"/>
    </row>
    <row r="217" spans="1:19">
      <c r="A217" s="40"/>
      <c r="B217" s="40"/>
      <c r="C217" s="40"/>
      <c r="D217" s="40"/>
      <c r="E217" s="40"/>
      <c r="F217" s="40"/>
      <c r="G217" s="40"/>
      <c r="H217" s="40"/>
      <c r="I217" s="40"/>
      <c r="J217" s="40"/>
      <c r="K217" s="40"/>
      <c r="L217" s="40"/>
      <c r="M217" s="40"/>
      <c r="N217" s="40"/>
      <c r="O217" s="40"/>
      <c r="P217" s="40"/>
      <c r="Q217" s="40"/>
      <c r="R217" s="40"/>
      <c r="S217" s="40"/>
    </row>
    <row r="218" spans="1:19">
      <c r="A218" s="40"/>
      <c r="B218" s="40"/>
      <c r="C218" s="40"/>
      <c r="D218" s="40"/>
      <c r="E218" s="40"/>
      <c r="F218" s="40"/>
      <c r="G218" s="40"/>
      <c r="H218" s="40"/>
      <c r="I218" s="40"/>
      <c r="J218" s="40"/>
      <c r="K218" s="40"/>
      <c r="L218" s="40"/>
      <c r="M218" s="40"/>
      <c r="N218" s="40"/>
      <c r="O218" s="40"/>
      <c r="P218" s="40"/>
      <c r="Q218" s="40"/>
      <c r="R218" s="40"/>
      <c r="S218" s="40"/>
    </row>
  </sheetData>
  <sheetProtection password="9C30" sheet="1" objects="1" scenarios="1"/>
  <pageMargins left="0.7" right="0.7" top="0.75" bottom="0.75" header="0.3" footer="0.3"/>
  <ignoredErrors>
    <ignoredError sqref="G7 G45:J48" formula="1"/>
  </ignoredErrors>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enableFormatConditionsCalculation="0">
    <pageSetUpPr fitToPage="1"/>
  </sheetPr>
  <dimension ref="B1:Z36"/>
  <sheetViews>
    <sheetView tabSelected="1" topLeftCell="L8" zoomScale="88" zoomScaleNormal="88" zoomScalePageLayoutView="88" workbookViewId="0">
      <selection activeCell="Y20" sqref="Y20"/>
    </sheetView>
  </sheetViews>
  <sheetFormatPr baseColWidth="10" defaultColWidth="8.83203125" defaultRowHeight="14"/>
  <cols>
    <col min="1" max="1" width="2.1640625" customWidth="1"/>
    <col min="2" max="2" width="5" customWidth="1"/>
    <col min="4" max="4" width="10.83203125" customWidth="1"/>
    <col min="5" max="5" width="11.83203125" customWidth="1"/>
    <col min="7" max="7" width="11.1640625" customWidth="1"/>
    <col min="8" max="8" width="11" customWidth="1"/>
    <col min="10" max="10" width="7.1640625" customWidth="1"/>
    <col min="11" max="11" width="11.1640625" customWidth="1"/>
    <col min="12" max="12" width="11.33203125" customWidth="1"/>
    <col min="13" max="13" width="10.83203125" customWidth="1"/>
    <col min="14" max="14" width="3.1640625" customWidth="1"/>
    <col min="16" max="16" width="10.1640625" customWidth="1"/>
    <col min="17" max="17" width="12.1640625" customWidth="1"/>
    <col min="18" max="18" width="10" customWidth="1"/>
    <col min="19" max="19" width="11.1640625" customWidth="1"/>
    <col min="20" max="20" width="14.5" customWidth="1"/>
    <col min="21" max="21" width="2.33203125" customWidth="1"/>
    <col min="22" max="22" width="4.83203125" customWidth="1"/>
    <col min="23" max="23" width="2.5" customWidth="1"/>
    <col min="24" max="24" width="23.6640625" customWidth="1"/>
    <col min="26" max="26" width="4.33203125" customWidth="1"/>
  </cols>
  <sheetData>
    <row r="1" spans="2:26" ht="21.5" customHeight="1" thickBot="1">
      <c r="B1" s="61" t="s">
        <v>44</v>
      </c>
      <c r="C1" s="62"/>
      <c r="D1" s="62"/>
      <c r="E1" s="62"/>
      <c r="F1" s="62"/>
      <c r="G1" s="62"/>
      <c r="H1" s="62"/>
      <c r="I1" s="62"/>
      <c r="J1" s="62"/>
      <c r="K1" s="62"/>
      <c r="L1" s="62"/>
      <c r="M1" s="62"/>
      <c r="N1" s="62"/>
      <c r="O1" s="62"/>
      <c r="P1" s="62"/>
      <c r="Q1" s="62"/>
      <c r="R1" s="62"/>
      <c r="S1" s="62"/>
      <c r="T1" s="62"/>
      <c r="U1" s="62"/>
      <c r="V1" s="6"/>
      <c r="X1" s="36"/>
    </row>
    <row r="2" spans="2:26" ht="14.5" customHeight="1">
      <c r="B2" s="71" t="s">
        <v>72</v>
      </c>
      <c r="V2" s="71" t="s">
        <v>74</v>
      </c>
    </row>
    <row r="3" spans="2:26">
      <c r="B3" s="72"/>
      <c r="V3" s="72"/>
    </row>
    <row r="4" spans="2:26" ht="24" thickBot="1">
      <c r="B4" s="72"/>
      <c r="V4" s="72"/>
      <c r="X4" s="69" t="s">
        <v>71</v>
      </c>
      <c r="Y4" s="70"/>
    </row>
    <row r="5" spans="2:26" ht="15" thickBot="1">
      <c r="B5" s="72"/>
      <c r="V5" s="72"/>
      <c r="X5" s="24" t="s">
        <v>67</v>
      </c>
      <c r="Y5" s="25"/>
      <c r="Z5" s="28"/>
    </row>
    <row r="6" spans="2:26" ht="16" thickTop="1" thickBot="1">
      <c r="B6" s="72"/>
      <c r="V6" s="72"/>
      <c r="X6" s="29" t="s">
        <v>46</v>
      </c>
      <c r="Y6" s="38">
        <v>10</v>
      </c>
      <c r="Z6" s="30"/>
    </row>
    <row r="7" spans="2:26" ht="16" thickTop="1" thickBot="1">
      <c r="B7" s="72"/>
      <c r="V7" s="72"/>
      <c r="X7" s="29" t="s">
        <v>63</v>
      </c>
      <c r="Y7" s="43">
        <v>60</v>
      </c>
      <c r="Z7" s="30"/>
    </row>
    <row r="8" spans="2:26">
      <c r="B8" s="72"/>
      <c r="V8" s="72"/>
      <c r="X8" s="29" t="s">
        <v>64</v>
      </c>
      <c r="Y8" s="31">
        <f>Y7/60</f>
        <v>1</v>
      </c>
      <c r="Z8" s="30"/>
    </row>
    <row r="9" spans="2:26">
      <c r="B9" s="72"/>
      <c r="V9" s="72"/>
      <c r="X9" s="29" t="s">
        <v>65</v>
      </c>
      <c r="Y9" s="39">
        <f>Y6/Y7</f>
        <v>0.16666666666666666</v>
      </c>
      <c r="Z9" s="30"/>
    </row>
    <row r="10" spans="2:26">
      <c r="B10" s="72"/>
      <c r="V10" s="72"/>
      <c r="X10" s="29"/>
      <c r="Y10" s="32"/>
      <c r="Z10" s="30"/>
    </row>
    <row r="11" spans="2:26" ht="15" thickBot="1">
      <c r="B11" s="72"/>
      <c r="V11" s="72"/>
      <c r="X11" s="26" t="s">
        <v>68</v>
      </c>
      <c r="Y11" s="27"/>
      <c r="Z11" s="30"/>
    </row>
    <row r="12" spans="2:26" ht="16" thickTop="1" thickBot="1">
      <c r="B12" s="72"/>
      <c r="V12" s="72"/>
      <c r="X12" s="29" t="s">
        <v>46</v>
      </c>
      <c r="Y12" s="38">
        <v>10</v>
      </c>
      <c r="Z12" s="30"/>
    </row>
    <row r="13" spans="2:26" ht="16" thickTop="1" thickBot="1">
      <c r="B13" s="72"/>
      <c r="V13" s="72"/>
      <c r="X13" s="29" t="s">
        <v>61</v>
      </c>
      <c r="Y13" s="43">
        <v>20</v>
      </c>
      <c r="Z13" s="30"/>
    </row>
    <row r="14" spans="2:26">
      <c r="B14" s="72"/>
      <c r="V14" s="72"/>
      <c r="X14" s="29" t="s">
        <v>62</v>
      </c>
      <c r="Y14" s="31">
        <f>Y13/60</f>
        <v>0.33333333333333331</v>
      </c>
      <c r="Z14" s="30"/>
    </row>
    <row r="15" spans="2:26">
      <c r="B15" s="72"/>
      <c r="V15" s="72"/>
      <c r="X15" s="29" t="s">
        <v>66</v>
      </c>
      <c r="Y15" s="39">
        <f>Y12/Y13</f>
        <v>0.5</v>
      </c>
      <c r="Z15" s="30"/>
    </row>
    <row r="16" spans="2:26">
      <c r="B16" s="72"/>
      <c r="V16" s="72"/>
      <c r="X16" s="29"/>
      <c r="Y16" s="32"/>
      <c r="Z16" s="30"/>
    </row>
    <row r="17" spans="2:26" ht="15" thickBot="1">
      <c r="B17" s="72"/>
      <c r="V17" s="72"/>
      <c r="X17" s="26" t="s">
        <v>69</v>
      </c>
      <c r="Y17" s="27"/>
      <c r="Z17" s="30"/>
    </row>
    <row r="18" spans="2:26" ht="16" thickTop="1" thickBot="1">
      <c r="B18" s="73"/>
      <c r="V18" s="72"/>
      <c r="X18" s="29" t="s">
        <v>46</v>
      </c>
      <c r="Y18" s="38">
        <v>10</v>
      </c>
      <c r="Z18" s="30"/>
    </row>
    <row r="19" spans="2:26" ht="15.5" customHeight="1" thickTop="1" thickBot="1">
      <c r="B19" s="71" t="s">
        <v>73</v>
      </c>
      <c r="V19" s="76"/>
      <c r="X19" s="29" t="s">
        <v>48</v>
      </c>
      <c r="Y19" s="43">
        <v>60</v>
      </c>
      <c r="Z19" s="30"/>
    </row>
    <row r="20" spans="2:26">
      <c r="B20" s="72"/>
      <c r="V20" s="76"/>
      <c r="X20" s="29" t="s">
        <v>49</v>
      </c>
      <c r="Y20" s="31">
        <f>Y19/60</f>
        <v>1</v>
      </c>
      <c r="Z20" s="30"/>
    </row>
    <row r="21" spans="2:26" ht="15" thickBot="1">
      <c r="B21" s="72"/>
      <c r="V21" s="77"/>
      <c r="X21" s="33" t="s">
        <v>47</v>
      </c>
      <c r="Y21" s="42">
        <f>Y18/Y19</f>
        <v>0.16666666666666666</v>
      </c>
      <c r="Z21" s="34"/>
    </row>
    <row r="22" spans="2:26" ht="11.5" hidden="1" customHeight="1" thickTop="1" thickBot="1">
      <c r="B22" s="72"/>
    </row>
    <row r="23" spans="2:26" ht="8.5" hidden="1" customHeight="1" thickBot="1">
      <c r="B23" s="72"/>
    </row>
    <row r="24" spans="2:26" ht="22.25" customHeight="1" thickBot="1">
      <c r="B24" s="72"/>
      <c r="K24" s="66" t="s">
        <v>31</v>
      </c>
      <c r="L24" s="67"/>
      <c r="M24" s="68"/>
      <c r="N24" s="20"/>
      <c r="O24" s="20"/>
      <c r="P24" s="22" t="s">
        <v>55</v>
      </c>
      <c r="Q24" s="20"/>
      <c r="R24" s="20"/>
      <c r="S24" s="63" t="s">
        <v>4</v>
      </c>
      <c r="T24" s="64"/>
      <c r="U24" s="65"/>
      <c r="V24" s="71" t="s">
        <v>75</v>
      </c>
      <c r="X24" s="74" t="s">
        <v>76</v>
      </c>
    </row>
    <row r="25" spans="2:26" ht="9" customHeight="1" thickBot="1">
      <c r="B25" s="72"/>
      <c r="K25" s="7"/>
      <c r="L25" s="1"/>
      <c r="M25" s="3"/>
      <c r="N25" s="3"/>
      <c r="O25" s="2"/>
      <c r="P25" s="2"/>
      <c r="Q25" s="2"/>
      <c r="R25" s="2"/>
      <c r="S25" s="78" t="s">
        <v>80</v>
      </c>
      <c r="T25" s="79"/>
      <c r="U25" s="8"/>
      <c r="V25" s="72"/>
      <c r="X25" s="75"/>
    </row>
    <row r="26" spans="2:26" ht="15" thickBot="1">
      <c r="B26" s="72"/>
      <c r="K26" s="9" t="s">
        <v>78</v>
      </c>
      <c r="L26" s="1"/>
      <c r="M26" s="5" t="s">
        <v>54</v>
      </c>
      <c r="N26" s="3"/>
      <c r="O26" s="3" t="s">
        <v>28</v>
      </c>
      <c r="P26" s="3" t="s">
        <v>29</v>
      </c>
      <c r="Q26" s="3" t="s">
        <v>30</v>
      </c>
      <c r="R26" s="3" t="s">
        <v>56</v>
      </c>
      <c r="S26" s="3" t="s">
        <v>81</v>
      </c>
      <c r="T26" s="3" t="s">
        <v>70</v>
      </c>
      <c r="U26" s="8"/>
      <c r="V26" s="72"/>
      <c r="X26" s="47" t="s">
        <v>83</v>
      </c>
      <c r="Y26" s="48"/>
      <c r="Z26" s="49"/>
    </row>
    <row r="27" spans="2:26" ht="16" thickTop="1" thickBot="1">
      <c r="B27" s="72"/>
      <c r="K27" s="10" t="s">
        <v>30</v>
      </c>
      <c r="L27" s="2"/>
      <c r="M27" s="58">
        <f>SUM(O27:T27)</f>
        <v>0.18</v>
      </c>
      <c r="N27" s="21" t="s">
        <v>38</v>
      </c>
      <c r="O27" s="2"/>
      <c r="P27" s="2"/>
      <c r="Q27" s="46">
        <v>0.18</v>
      </c>
      <c r="R27" s="2"/>
      <c r="S27" s="2"/>
      <c r="T27" s="2"/>
      <c r="U27" s="11"/>
      <c r="V27" s="72"/>
      <c r="X27" s="50" t="s">
        <v>82</v>
      </c>
      <c r="Y27" s="51"/>
      <c r="Z27" s="52"/>
    </row>
    <row r="28" spans="2:26" ht="16" thickTop="1" thickBot="1">
      <c r="B28" s="72"/>
      <c r="K28" s="12" t="s">
        <v>8</v>
      </c>
      <c r="L28" s="2"/>
      <c r="M28" s="58">
        <f>SUM(O28:T28)</f>
        <v>0.36</v>
      </c>
      <c r="N28" s="21" t="s">
        <v>38</v>
      </c>
      <c r="O28" s="2"/>
      <c r="P28" s="2"/>
      <c r="Q28" s="38">
        <v>0.36</v>
      </c>
      <c r="R28" s="2"/>
      <c r="S28" s="2"/>
      <c r="T28" s="2"/>
      <c r="U28" s="11"/>
      <c r="V28" s="72"/>
      <c r="X28" s="53" t="s">
        <v>84</v>
      </c>
      <c r="Y28" s="51"/>
      <c r="Z28" s="52"/>
    </row>
    <row r="29" spans="2:26" ht="16" thickTop="1" thickBot="1">
      <c r="B29" s="72"/>
      <c r="K29" s="13" t="s">
        <v>79</v>
      </c>
      <c r="L29" s="2"/>
      <c r="M29" s="58">
        <f>SUM(O29:T29)</f>
        <v>1.4666666666666668</v>
      </c>
      <c r="N29" s="21" t="s">
        <v>38</v>
      </c>
      <c r="O29" s="38">
        <v>0.3</v>
      </c>
      <c r="P29" s="38">
        <v>0.32</v>
      </c>
      <c r="Q29" s="38">
        <v>0.18</v>
      </c>
      <c r="R29" s="2"/>
      <c r="S29" s="35">
        <f>Y9</f>
        <v>0.16666666666666666</v>
      </c>
      <c r="T29" s="35">
        <f>Y15</f>
        <v>0.5</v>
      </c>
      <c r="U29" s="11"/>
      <c r="V29" s="72"/>
      <c r="X29" s="53" t="s">
        <v>85</v>
      </c>
      <c r="Y29" s="51"/>
      <c r="Z29" s="52"/>
    </row>
    <row r="30" spans="2:26" ht="16" thickTop="1" thickBot="1">
      <c r="B30" s="72"/>
      <c r="K30" s="14" t="s">
        <v>50</v>
      </c>
      <c r="L30" s="2"/>
      <c r="M30" s="58">
        <f>SUM(O30:T30)</f>
        <v>0.26666666666666666</v>
      </c>
      <c r="N30" s="21" t="s">
        <v>38</v>
      </c>
      <c r="O30" s="2"/>
      <c r="P30" s="3"/>
      <c r="Q30" s="2"/>
      <c r="R30" s="38">
        <v>0.1</v>
      </c>
      <c r="S30" s="35"/>
      <c r="T30" s="35">
        <f>Y21</f>
        <v>0.16666666666666666</v>
      </c>
      <c r="U30" s="11"/>
      <c r="V30" s="72"/>
      <c r="X30" s="54" t="s">
        <v>0</v>
      </c>
      <c r="Y30" s="51"/>
      <c r="Z30" s="52"/>
    </row>
    <row r="31" spans="2:26" ht="16" thickTop="1" thickBot="1">
      <c r="B31" s="72"/>
      <c r="K31" s="15" t="s">
        <v>77</v>
      </c>
      <c r="L31" s="2"/>
      <c r="M31" s="58">
        <f>SUM(O31:T31)</f>
        <v>0.44666666666666666</v>
      </c>
      <c r="N31" s="21" t="s">
        <v>38</v>
      </c>
      <c r="O31" s="2"/>
      <c r="P31" s="2"/>
      <c r="Q31" s="38">
        <f>M27</f>
        <v>0.18</v>
      </c>
      <c r="R31" s="38">
        <v>0.1</v>
      </c>
      <c r="S31" s="35"/>
      <c r="T31" s="35">
        <f>Y21</f>
        <v>0.16666666666666666</v>
      </c>
      <c r="U31" s="11"/>
      <c r="V31" s="72"/>
      <c r="X31" s="53" t="s">
        <v>86</v>
      </c>
      <c r="Y31" s="51"/>
      <c r="Z31" s="52"/>
    </row>
    <row r="32" spans="2:26" ht="15" thickBot="1">
      <c r="B32" s="72"/>
      <c r="K32" s="9"/>
      <c r="L32" s="2"/>
      <c r="M32" s="2"/>
      <c r="N32" s="2"/>
      <c r="O32" s="2"/>
      <c r="P32" s="2"/>
      <c r="Q32" s="2"/>
      <c r="R32" s="2"/>
      <c r="S32" s="2"/>
      <c r="T32" s="2"/>
      <c r="U32" s="8"/>
      <c r="V32" s="72"/>
      <c r="X32" s="53" t="s">
        <v>1</v>
      </c>
      <c r="Y32" s="51"/>
      <c r="Z32" s="52"/>
    </row>
    <row r="33" spans="2:26" ht="16" thickTop="1" thickBot="1">
      <c r="B33" s="72"/>
      <c r="K33" s="16" t="s">
        <v>59</v>
      </c>
      <c r="L33" s="2"/>
      <c r="M33" s="44">
        <v>20</v>
      </c>
      <c r="N33" s="4" t="s">
        <v>58</v>
      </c>
      <c r="O33" s="2"/>
      <c r="P33" s="2"/>
      <c r="Q33" s="2"/>
      <c r="R33" s="2"/>
      <c r="S33" s="2"/>
      <c r="T33" s="2"/>
      <c r="U33" s="8"/>
      <c r="V33" s="72"/>
      <c r="X33" s="55" t="s">
        <v>2</v>
      </c>
      <c r="Y33" s="51"/>
      <c r="Z33" s="52"/>
    </row>
    <row r="34" spans="2:26" ht="14.5" customHeight="1" thickTop="1" thickBot="1">
      <c r="B34" s="72"/>
      <c r="K34" s="17" t="s">
        <v>60</v>
      </c>
      <c r="L34" s="18"/>
      <c r="M34" s="45">
        <v>0.3</v>
      </c>
      <c r="N34" s="18" t="s">
        <v>57</v>
      </c>
      <c r="O34" s="18"/>
      <c r="P34" s="18"/>
      <c r="Q34" s="18"/>
      <c r="R34" s="18"/>
      <c r="S34" s="18"/>
      <c r="T34" s="18"/>
      <c r="U34" s="19"/>
      <c r="V34" s="73"/>
      <c r="X34" s="59" t="s">
        <v>3</v>
      </c>
      <c r="Y34" s="56"/>
      <c r="Z34" s="57"/>
    </row>
    <row r="35" spans="2:26" ht="15" thickBot="1">
      <c r="B35" s="73"/>
      <c r="X35" s="60" t="s">
        <v>5</v>
      </c>
    </row>
    <row r="36" spans="2:26" ht="15" thickBot="1">
      <c r="X36" s="23"/>
    </row>
  </sheetData>
  <sheetCalcPr fullCalcOnLoad="1"/>
  <sheetProtection password="9C30" sheet="1" objects="1" scenarios="1"/>
  <mergeCells count="10">
    <mergeCell ref="B1:U1"/>
    <mergeCell ref="S24:U24"/>
    <mergeCell ref="K24:M24"/>
    <mergeCell ref="X4:Y4"/>
    <mergeCell ref="B2:B18"/>
    <mergeCell ref="X24:X25"/>
    <mergeCell ref="B19:B35"/>
    <mergeCell ref="V24:V34"/>
    <mergeCell ref="V2:V21"/>
    <mergeCell ref="S25:T25"/>
  </mergeCells>
  <phoneticPr fontId="36" type="noConversion"/>
  <hyperlinks>
    <hyperlink ref="X35" r:id="rId1"/>
  </hyperlinks>
  <pageMargins left="0.25" right="0.25" top="0.75" bottom="0.75" header="0.3" footer="0.3"/>
  <drawing r:id="rId2"/>
  <legacyDrawing r:id="rId3"/>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Calculations</vt:lpstr>
      <vt:lpstr>Model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DrTimPerkins</dc:creator>
  <cp:lastModifiedBy>UVM</cp:lastModifiedBy>
  <cp:lastPrinted>2013-02-05T16:53:06Z</cp:lastPrinted>
  <dcterms:created xsi:type="dcterms:W3CDTF">2013-01-29T12:37:58Z</dcterms:created>
  <dcterms:modified xsi:type="dcterms:W3CDTF">2013-12-19T21:01:49Z</dcterms:modified>
</cp:coreProperties>
</file>