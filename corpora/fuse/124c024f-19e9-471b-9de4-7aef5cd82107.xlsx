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" yWindow="4608" windowWidth="19596" windowHeight="4848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80" i="1" l="1"/>
  <c r="P480" i="1"/>
  <c r="U480" i="1" s="1"/>
  <c r="Q480" i="1"/>
  <c r="R480" i="1"/>
  <c r="S480" i="1"/>
  <c r="T480" i="1"/>
  <c r="V480" i="1"/>
  <c r="W480" i="1"/>
  <c r="X480" i="1"/>
  <c r="Y480" i="1"/>
  <c r="Z480" i="1"/>
  <c r="N480" i="1"/>
  <c r="A480" i="1"/>
  <c r="O479" i="1" l="1"/>
  <c r="P479" i="1"/>
  <c r="U479" i="1" s="1"/>
  <c r="Q479" i="1"/>
  <c r="R479" i="1"/>
  <c r="S479" i="1"/>
  <c r="T479" i="1"/>
  <c r="V479" i="1"/>
  <c r="W479" i="1"/>
  <c r="X479" i="1"/>
  <c r="Y479" i="1"/>
  <c r="Z479" i="1"/>
  <c r="N479" i="1"/>
  <c r="A479" i="1"/>
  <c r="O478" i="1" l="1"/>
  <c r="P478" i="1"/>
  <c r="U478" i="1" s="1"/>
  <c r="Q478" i="1"/>
  <c r="R478" i="1"/>
  <c r="S478" i="1"/>
  <c r="T478" i="1"/>
  <c r="V478" i="1"/>
  <c r="W478" i="1"/>
  <c r="X478" i="1"/>
  <c r="Y478" i="1"/>
  <c r="Z478" i="1" s="1"/>
  <c r="N478" i="1"/>
  <c r="A478" i="1"/>
  <c r="O477" i="1" l="1"/>
  <c r="P477" i="1"/>
  <c r="U477" i="1" s="1"/>
  <c r="Q477" i="1"/>
  <c r="R477" i="1"/>
  <c r="S477" i="1"/>
  <c r="T477" i="1"/>
  <c r="V477" i="1"/>
  <c r="W477" i="1"/>
  <c r="X477" i="1"/>
  <c r="Y477" i="1"/>
  <c r="Z477" i="1" s="1"/>
  <c r="N477" i="1"/>
  <c r="A477" i="1"/>
  <c r="O476" i="1" l="1"/>
  <c r="P476" i="1"/>
  <c r="U476" i="1" s="1"/>
  <c r="Q476" i="1"/>
  <c r="R476" i="1"/>
  <c r="S476" i="1"/>
  <c r="T476" i="1"/>
  <c r="V476" i="1"/>
  <c r="W476" i="1"/>
  <c r="X476" i="1"/>
  <c r="Y476" i="1"/>
  <c r="Z476" i="1"/>
  <c r="N476" i="1"/>
  <c r="A476" i="1"/>
  <c r="O475" i="1" l="1"/>
  <c r="P475" i="1"/>
  <c r="U475" i="1" s="1"/>
  <c r="Q475" i="1"/>
  <c r="R475" i="1"/>
  <c r="S475" i="1"/>
  <c r="T475" i="1"/>
  <c r="V475" i="1"/>
  <c r="W475" i="1"/>
  <c r="X475" i="1"/>
  <c r="Y475" i="1"/>
  <c r="Z475" i="1"/>
  <c r="N475" i="1"/>
  <c r="A475" i="1"/>
  <c r="O474" i="1" l="1"/>
  <c r="P474" i="1"/>
  <c r="U474" i="1" s="1"/>
  <c r="Q474" i="1"/>
  <c r="R474" i="1"/>
  <c r="S474" i="1"/>
  <c r="T474" i="1"/>
  <c r="V474" i="1"/>
  <c r="W474" i="1"/>
  <c r="X474" i="1"/>
  <c r="Y474" i="1"/>
  <c r="Z474" i="1" s="1"/>
  <c r="N474" i="1"/>
  <c r="A474" i="1"/>
  <c r="O473" i="1" l="1"/>
  <c r="P473" i="1"/>
  <c r="U473" i="1" s="1"/>
  <c r="Q473" i="1"/>
  <c r="R473" i="1"/>
  <c r="S473" i="1"/>
  <c r="T473" i="1"/>
  <c r="V473" i="1"/>
  <c r="W473" i="1"/>
  <c r="X473" i="1"/>
  <c r="Y473" i="1"/>
  <c r="Z473" i="1" s="1"/>
  <c r="N473" i="1"/>
  <c r="A473" i="1"/>
  <c r="O472" i="1" l="1"/>
  <c r="P472" i="1"/>
  <c r="U472" i="1" s="1"/>
  <c r="Q472" i="1"/>
  <c r="R472" i="1"/>
  <c r="S472" i="1"/>
  <c r="T472" i="1"/>
  <c r="V472" i="1"/>
  <c r="W472" i="1"/>
  <c r="X472" i="1"/>
  <c r="Y472" i="1"/>
  <c r="Z472" i="1"/>
  <c r="N472" i="1"/>
  <c r="A472" i="1"/>
  <c r="O471" i="1" l="1"/>
  <c r="P471" i="1"/>
  <c r="U471" i="1" s="1"/>
  <c r="Q471" i="1"/>
  <c r="R471" i="1"/>
  <c r="S471" i="1"/>
  <c r="T471" i="1"/>
  <c r="V471" i="1"/>
  <c r="W471" i="1"/>
  <c r="X471" i="1"/>
  <c r="Y471" i="1"/>
  <c r="Z471" i="1" s="1"/>
  <c r="N471" i="1"/>
  <c r="A471" i="1"/>
  <c r="O470" i="1" l="1"/>
  <c r="P470" i="1"/>
  <c r="U470" i="1" s="1"/>
  <c r="Q470" i="1"/>
  <c r="R470" i="1"/>
  <c r="S470" i="1"/>
  <c r="T470" i="1"/>
  <c r="V470" i="1"/>
  <c r="W470" i="1"/>
  <c r="X470" i="1"/>
  <c r="Y470" i="1"/>
  <c r="Z470" i="1"/>
  <c r="N470" i="1"/>
  <c r="A470" i="1"/>
  <c r="O469" i="1" l="1"/>
  <c r="P469" i="1"/>
  <c r="U469" i="1" s="1"/>
  <c r="Q469" i="1"/>
  <c r="R469" i="1"/>
  <c r="S469" i="1"/>
  <c r="T469" i="1"/>
  <c r="V469" i="1"/>
  <c r="W469" i="1"/>
  <c r="X469" i="1"/>
  <c r="Y469" i="1"/>
  <c r="Z469" i="1"/>
  <c r="N469" i="1"/>
  <c r="A469" i="1"/>
  <c r="O468" i="1" l="1"/>
  <c r="P468" i="1"/>
  <c r="U468" i="1" s="1"/>
  <c r="Q468" i="1"/>
  <c r="R468" i="1"/>
  <c r="S468" i="1"/>
  <c r="T468" i="1"/>
  <c r="V468" i="1"/>
  <c r="W468" i="1"/>
  <c r="X468" i="1"/>
  <c r="Y468" i="1"/>
  <c r="Z468" i="1"/>
  <c r="N468" i="1"/>
  <c r="A468" i="1"/>
  <c r="O467" i="1" l="1"/>
  <c r="P467" i="1"/>
  <c r="U467" i="1" s="1"/>
  <c r="Q467" i="1"/>
  <c r="R467" i="1"/>
  <c r="S467" i="1"/>
  <c r="T467" i="1"/>
  <c r="V467" i="1"/>
  <c r="W467" i="1"/>
  <c r="X467" i="1"/>
  <c r="Y467" i="1"/>
  <c r="Z467" i="1"/>
  <c r="N467" i="1"/>
  <c r="A467" i="1"/>
  <c r="O466" i="1" l="1"/>
  <c r="P466" i="1"/>
  <c r="U466" i="1" s="1"/>
  <c r="Q466" i="1"/>
  <c r="R466" i="1"/>
  <c r="S466" i="1"/>
  <c r="T466" i="1"/>
  <c r="V466" i="1"/>
  <c r="W466" i="1"/>
  <c r="X466" i="1"/>
  <c r="Y466" i="1"/>
  <c r="Z466" i="1"/>
  <c r="N466" i="1"/>
  <c r="A466" i="1"/>
  <c r="O465" i="1" l="1"/>
  <c r="P465" i="1"/>
  <c r="Q465" i="1"/>
  <c r="R465" i="1"/>
  <c r="S465" i="1"/>
  <c r="T465" i="1"/>
  <c r="U465" i="1"/>
  <c r="V465" i="1"/>
  <c r="W465" i="1"/>
  <c r="X465" i="1"/>
  <c r="Y465" i="1"/>
  <c r="Z465" i="1"/>
  <c r="N465" i="1"/>
  <c r="A465" i="1"/>
  <c r="O464" i="1" l="1"/>
  <c r="P464" i="1"/>
  <c r="U464" i="1" s="1"/>
  <c r="Q464" i="1"/>
  <c r="R464" i="1"/>
  <c r="S464" i="1"/>
  <c r="T464" i="1"/>
  <c r="V464" i="1"/>
  <c r="W464" i="1"/>
  <c r="X464" i="1"/>
  <c r="Y464" i="1"/>
  <c r="Z464" i="1" s="1"/>
  <c r="N464" i="1"/>
  <c r="A464" i="1"/>
  <c r="O463" i="1" l="1"/>
  <c r="P463" i="1"/>
  <c r="U463" i="1" s="1"/>
  <c r="Q463" i="1"/>
  <c r="R463" i="1"/>
  <c r="S463" i="1"/>
  <c r="T463" i="1"/>
  <c r="V463" i="1"/>
  <c r="W463" i="1"/>
  <c r="X463" i="1"/>
  <c r="Y463" i="1"/>
  <c r="Z463" i="1"/>
  <c r="N462" i="1"/>
  <c r="N463" i="1"/>
  <c r="A463" i="1"/>
  <c r="O462" i="1" l="1"/>
  <c r="P462" i="1"/>
  <c r="U462" i="1" s="1"/>
  <c r="Q462" i="1"/>
  <c r="R462" i="1"/>
  <c r="S462" i="1"/>
  <c r="T462" i="1"/>
  <c r="V462" i="1"/>
  <c r="W462" i="1"/>
  <c r="X462" i="1"/>
  <c r="Y462" i="1"/>
  <c r="Z462" i="1" s="1"/>
  <c r="A462" i="1"/>
  <c r="O461" i="1" l="1"/>
  <c r="P461" i="1"/>
  <c r="Q461" i="1"/>
  <c r="R461" i="1"/>
  <c r="S461" i="1"/>
  <c r="T461" i="1"/>
  <c r="U461" i="1"/>
  <c r="V461" i="1"/>
  <c r="W461" i="1"/>
  <c r="X461" i="1"/>
  <c r="Y461" i="1"/>
  <c r="Z461" i="1" s="1"/>
  <c r="N461" i="1"/>
  <c r="A461" i="1"/>
  <c r="O460" i="1" l="1"/>
  <c r="P460" i="1"/>
  <c r="U460" i="1" s="1"/>
  <c r="Q460" i="1"/>
  <c r="R460" i="1"/>
  <c r="S460" i="1"/>
  <c r="T460" i="1"/>
  <c r="V460" i="1"/>
  <c r="W460" i="1"/>
  <c r="X460" i="1"/>
  <c r="Y460" i="1"/>
  <c r="Z460" i="1" s="1"/>
  <c r="N460" i="1"/>
  <c r="A460" i="1"/>
  <c r="O459" i="1" l="1"/>
  <c r="P459" i="1"/>
  <c r="U459" i="1" s="1"/>
  <c r="Q459" i="1"/>
  <c r="R459" i="1"/>
  <c r="S459" i="1"/>
  <c r="T459" i="1"/>
  <c r="V459" i="1"/>
  <c r="W459" i="1"/>
  <c r="X459" i="1"/>
  <c r="Y459" i="1"/>
  <c r="Z459" i="1"/>
  <c r="N459" i="1"/>
  <c r="A459" i="1"/>
  <c r="O458" i="1" l="1"/>
  <c r="P458" i="1"/>
  <c r="Q458" i="1"/>
  <c r="V458" i="1"/>
  <c r="W458" i="1"/>
  <c r="X458" i="1"/>
  <c r="Y458" i="1"/>
  <c r="N458" i="1"/>
  <c r="R458" i="1" s="1"/>
  <c r="A458" i="1"/>
  <c r="Z458" i="1" l="1"/>
  <c r="U458" i="1"/>
  <c r="T458" i="1"/>
  <c r="S458" i="1"/>
  <c r="O457" i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<sst xmlns="http://schemas.openxmlformats.org/spreadsheetml/2006/main" count="45" uniqueCount="35">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</sst>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15584"/>
        <c:axId val="43540864"/>
      </c:barChart>
      <c:catAx>
        <c:axId val="43315584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5408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3540864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315584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data'!$A$463:$A$480</c:f>
              <c:numCache>
                <c:formatCode>m/d/yy;@</c:formatCode>
                <c:ptCount val="18"/>
                <c:pt idx="0">
                  <c:v>41783</c:v>
                </c:pt>
                <c:pt idx="1">
                  <c:v>41790</c:v>
                </c:pt>
                <c:pt idx="2">
                  <c:v>41797</c:v>
                </c:pt>
                <c:pt idx="3">
                  <c:v>41804</c:v>
                </c:pt>
                <c:pt idx="4">
                  <c:v>41811</c:v>
                </c:pt>
                <c:pt idx="5">
                  <c:v>41818</c:v>
                </c:pt>
                <c:pt idx="6">
                  <c:v>41825</c:v>
                </c:pt>
                <c:pt idx="7">
                  <c:v>41832</c:v>
                </c:pt>
                <c:pt idx="8">
                  <c:v>41839</c:v>
                </c:pt>
                <c:pt idx="9">
                  <c:v>41846</c:v>
                </c:pt>
                <c:pt idx="10">
                  <c:v>41853</c:v>
                </c:pt>
                <c:pt idx="11">
                  <c:v>41860</c:v>
                </c:pt>
                <c:pt idx="12">
                  <c:v>41867</c:v>
                </c:pt>
                <c:pt idx="13">
                  <c:v>41874</c:v>
                </c:pt>
                <c:pt idx="14">
                  <c:v>41881</c:v>
                </c:pt>
                <c:pt idx="15">
                  <c:v>41888</c:v>
                </c:pt>
                <c:pt idx="16">
                  <c:v>41895</c:v>
                </c:pt>
                <c:pt idx="17">
                  <c:v>41902</c:v>
                </c:pt>
              </c:numCache>
            </c:numRef>
          </c:cat>
          <c:val>
            <c:numRef>
              <c:f>'upbound data'!$B$463:$B$480</c:f>
              <c:numCache>
                <c:formatCode>General</c:formatCode>
                <c:ptCount val="18"/>
                <c:pt idx="0">
                  <c:v>380</c:v>
                </c:pt>
                <c:pt idx="1">
                  <c:v>386</c:v>
                </c:pt>
                <c:pt idx="2">
                  <c:v>380</c:v>
                </c:pt>
                <c:pt idx="3">
                  <c:v>404</c:v>
                </c:pt>
                <c:pt idx="4">
                  <c:v>393</c:v>
                </c:pt>
                <c:pt idx="5">
                  <c:v>469</c:v>
                </c:pt>
                <c:pt idx="6">
                  <c:v>284</c:v>
                </c:pt>
                <c:pt idx="7">
                  <c:v>297</c:v>
                </c:pt>
                <c:pt idx="8">
                  <c:v>391</c:v>
                </c:pt>
                <c:pt idx="9">
                  <c:v>392</c:v>
                </c:pt>
                <c:pt idx="10">
                  <c:v>327</c:v>
                </c:pt>
                <c:pt idx="11">
                  <c:v>248</c:v>
                </c:pt>
                <c:pt idx="12">
                  <c:v>189</c:v>
                </c:pt>
                <c:pt idx="13">
                  <c:v>143</c:v>
                </c:pt>
                <c:pt idx="14">
                  <c:v>143</c:v>
                </c:pt>
                <c:pt idx="15">
                  <c:v>128</c:v>
                </c:pt>
                <c:pt idx="16">
                  <c:v>113</c:v>
                </c:pt>
                <c:pt idx="17">
                  <c:v>126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data'!$A$463:$A$480</c:f>
              <c:numCache>
                <c:formatCode>m/d/yy;@</c:formatCode>
                <c:ptCount val="18"/>
                <c:pt idx="0">
                  <c:v>41783</c:v>
                </c:pt>
                <c:pt idx="1">
                  <c:v>41790</c:v>
                </c:pt>
                <c:pt idx="2">
                  <c:v>41797</c:v>
                </c:pt>
                <c:pt idx="3">
                  <c:v>41804</c:v>
                </c:pt>
                <c:pt idx="4">
                  <c:v>41811</c:v>
                </c:pt>
                <c:pt idx="5">
                  <c:v>41818</c:v>
                </c:pt>
                <c:pt idx="6">
                  <c:v>41825</c:v>
                </c:pt>
                <c:pt idx="7">
                  <c:v>41832</c:v>
                </c:pt>
                <c:pt idx="8">
                  <c:v>41839</c:v>
                </c:pt>
                <c:pt idx="9">
                  <c:v>41846</c:v>
                </c:pt>
                <c:pt idx="10">
                  <c:v>41853</c:v>
                </c:pt>
                <c:pt idx="11">
                  <c:v>41860</c:v>
                </c:pt>
                <c:pt idx="12">
                  <c:v>41867</c:v>
                </c:pt>
                <c:pt idx="13">
                  <c:v>41874</c:v>
                </c:pt>
                <c:pt idx="14">
                  <c:v>41881</c:v>
                </c:pt>
                <c:pt idx="15">
                  <c:v>41888</c:v>
                </c:pt>
                <c:pt idx="16">
                  <c:v>41895</c:v>
                </c:pt>
                <c:pt idx="17">
                  <c:v>41902</c:v>
                </c:pt>
              </c:numCache>
            </c:numRef>
          </c:cat>
          <c:val>
            <c:numRef>
              <c:f>'upbound data'!$F$463:$F$480</c:f>
              <c:numCache>
                <c:formatCode>General</c:formatCode>
                <c:ptCount val="18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14</c:v>
                </c:pt>
                <c:pt idx="9">
                  <c:v>4</c:v>
                </c:pt>
                <c:pt idx="10">
                  <c:v>20</c:v>
                </c:pt>
                <c:pt idx="11">
                  <c:v>2</c:v>
                </c:pt>
                <c:pt idx="12">
                  <c:v>10</c:v>
                </c:pt>
                <c:pt idx="13">
                  <c:v>11</c:v>
                </c:pt>
                <c:pt idx="14">
                  <c:v>0</c:v>
                </c:pt>
                <c:pt idx="15">
                  <c:v>19</c:v>
                </c:pt>
                <c:pt idx="16">
                  <c:v>17</c:v>
                </c:pt>
                <c:pt idx="17">
                  <c:v>15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data'!$A$463:$A$480</c:f>
              <c:numCache>
                <c:formatCode>m/d/yy;@</c:formatCode>
                <c:ptCount val="18"/>
                <c:pt idx="0">
                  <c:v>41783</c:v>
                </c:pt>
                <c:pt idx="1">
                  <c:v>41790</c:v>
                </c:pt>
                <c:pt idx="2">
                  <c:v>41797</c:v>
                </c:pt>
                <c:pt idx="3">
                  <c:v>41804</c:v>
                </c:pt>
                <c:pt idx="4">
                  <c:v>41811</c:v>
                </c:pt>
                <c:pt idx="5">
                  <c:v>41818</c:v>
                </c:pt>
                <c:pt idx="6">
                  <c:v>41825</c:v>
                </c:pt>
                <c:pt idx="7">
                  <c:v>41832</c:v>
                </c:pt>
                <c:pt idx="8">
                  <c:v>41839</c:v>
                </c:pt>
                <c:pt idx="9">
                  <c:v>41846</c:v>
                </c:pt>
                <c:pt idx="10">
                  <c:v>41853</c:v>
                </c:pt>
                <c:pt idx="11">
                  <c:v>41860</c:v>
                </c:pt>
                <c:pt idx="12">
                  <c:v>41867</c:v>
                </c:pt>
                <c:pt idx="13">
                  <c:v>41874</c:v>
                </c:pt>
                <c:pt idx="14">
                  <c:v>41881</c:v>
                </c:pt>
                <c:pt idx="15">
                  <c:v>41888</c:v>
                </c:pt>
                <c:pt idx="16">
                  <c:v>41895</c:v>
                </c:pt>
                <c:pt idx="17">
                  <c:v>41902</c:v>
                </c:pt>
              </c:numCache>
            </c:numRef>
          </c:cat>
          <c:val>
            <c:numRef>
              <c:f>'upbound data'!$J$463:$J$480</c:f>
              <c:numCache>
                <c:formatCode>General</c:formatCode>
                <c:ptCount val="18"/>
                <c:pt idx="0">
                  <c:v>262</c:v>
                </c:pt>
                <c:pt idx="1">
                  <c:v>208</c:v>
                </c:pt>
                <c:pt idx="2">
                  <c:v>203</c:v>
                </c:pt>
                <c:pt idx="3">
                  <c:v>232</c:v>
                </c:pt>
                <c:pt idx="4">
                  <c:v>190</c:v>
                </c:pt>
                <c:pt idx="5">
                  <c:v>233</c:v>
                </c:pt>
                <c:pt idx="6">
                  <c:v>197</c:v>
                </c:pt>
                <c:pt idx="7">
                  <c:v>181</c:v>
                </c:pt>
                <c:pt idx="8">
                  <c:v>84</c:v>
                </c:pt>
                <c:pt idx="9">
                  <c:v>182</c:v>
                </c:pt>
                <c:pt idx="10">
                  <c:v>146</c:v>
                </c:pt>
                <c:pt idx="11">
                  <c:v>166</c:v>
                </c:pt>
                <c:pt idx="12">
                  <c:v>185</c:v>
                </c:pt>
                <c:pt idx="13">
                  <c:v>43</c:v>
                </c:pt>
                <c:pt idx="14">
                  <c:v>234</c:v>
                </c:pt>
                <c:pt idx="15">
                  <c:v>96</c:v>
                </c:pt>
                <c:pt idx="16">
                  <c:v>77</c:v>
                </c:pt>
                <c:pt idx="17">
                  <c:v>243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68832"/>
        <c:axId val="66037632"/>
      </c:lineChart>
      <c:dateAx>
        <c:axId val="4376883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6037632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66037632"/>
        <c:scaling>
          <c:orientation val="minMax"/>
          <c:max val="57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3768832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0.10609</cdr:x>
      <cdr:y>0.0621</cdr:y>
    </cdr:from>
    <cdr:to>
      <cdr:x>0.88459</cdr:x>
      <cdr:y>0.16463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3855" y="193304"/>
          <a:ext cx="4137684" cy="3191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September 20:  384 total barges, up 177 barges from the previous week, but 8.6 percent below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1"/>
  <sheetViews>
    <sheetView zoomScale="80" zoomScaleNormal="80" workbookViewId="0">
      <pane xSplit="1" ySplit="6" topLeftCell="B462" activePane="bottomRight" state="frozen"/>
      <selection pane="topRight" activeCell="B1" sqref="B1"/>
      <selection pane="bottomLeft" activeCell="A5" sqref="A5"/>
      <selection pane="bottomRight" activeCell="O479" sqref="O479:AA480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80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.2" thickBot="1" x14ac:dyDescent="0.35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.2" thickBot="1" x14ac:dyDescent="0.35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 t="shared" ref="N453:N461" si="2559">SUM(B453,F453,J453)</f>
        <v>665</v>
      </c>
      <c r="O453" s="22">
        <f t="shared" ref="O453" si="2560">SUM(B453,D453,F453,H453,J453,L453)</f>
        <v>984</v>
      </c>
      <c r="P453" s="22">
        <f t="shared" ref="P453" si="2561">SUM(C453,E453,G453,I453,K453,M453)</f>
        <v>2783</v>
      </c>
      <c r="Q453" s="22">
        <f t="shared" ref="Q453" si="2562">SUM(D453,H453,L453)</f>
        <v>319</v>
      </c>
      <c r="R453" s="34">
        <f t="shared" ref="R453" si="2563">(N453-N452)/N452</f>
        <v>1.2619047619047619</v>
      </c>
      <c r="S453" s="32">
        <f t="shared" ref="S453" si="2564">N453-N452</f>
        <v>371</v>
      </c>
      <c r="T453" s="34">
        <f t="shared" ref="T453" si="2565">(N453-N401)/N401</f>
        <v>0.16666666666666666</v>
      </c>
      <c r="U453" s="34">
        <f t="shared" ref="U453" si="2566">N453/P453</f>
        <v>0.23895077254761049</v>
      </c>
      <c r="V453" s="40">
        <f t="shared" ref="V453" si="2567">AVERAGE(B297,B349,B401)</f>
        <v>421.33333333333331</v>
      </c>
      <c r="W453" s="40">
        <f t="shared" ref="W453" si="2568">AVERAGE(F297,F349,F401)</f>
        <v>16.333333333333332</v>
      </c>
      <c r="X453" s="40">
        <f t="shared" ref="X453" si="2569">AVERAGE(J297,J349,J401)</f>
        <v>259.66666666666669</v>
      </c>
      <c r="Y453" s="40">
        <f t="shared" ref="Y453" si="2570">AVERAGE(N297,N349,N401)</f>
        <v>697.33333333333337</v>
      </c>
      <c r="Z453" s="61">
        <f t="shared" ref="Z453" si="2571">(N453-Y453)/Y453</f>
        <v>-4.636711281070751E-2</v>
      </c>
      <c r="AA453" s="61"/>
    </row>
    <row r="454" spans="1:27" ht="16.2" thickBot="1" x14ac:dyDescent="0.35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 t="shared" si="2559"/>
        <v>655</v>
      </c>
      <c r="O454" s="22">
        <f t="shared" ref="O454" si="2572">SUM(B454,D454,F454,H454,J454,L454)</f>
        <v>996</v>
      </c>
      <c r="P454" s="22">
        <f t="shared" ref="P454" si="2573">SUM(C454,E454,G454,I454,K454,M454)</f>
        <v>2805</v>
      </c>
      <c r="Q454" s="22">
        <f t="shared" ref="Q454" si="2574">SUM(D454,H454,L454)</f>
        <v>341</v>
      </c>
      <c r="R454" s="34">
        <f t="shared" ref="R454" si="2575">(N454-N453)/N453</f>
        <v>-1.5037593984962405E-2</v>
      </c>
      <c r="S454" s="32">
        <f t="shared" ref="S454" si="2576">N454-N453</f>
        <v>-10</v>
      </c>
      <c r="T454" s="34">
        <f t="shared" ref="T454" si="2577">(N454-N402)/N402</f>
        <v>0.17383512544802868</v>
      </c>
      <c r="U454" s="34">
        <f t="shared" ref="U454" si="2578">N454/P454</f>
        <v>0.23351158645276293</v>
      </c>
      <c r="V454" s="40">
        <f t="shared" ref="V454" si="2579">AVERAGE(B298,B350,B402)</f>
        <v>303.33333333333331</v>
      </c>
      <c r="W454" s="40">
        <f t="shared" ref="W454" si="2580">AVERAGE(F298,F350,F402)</f>
        <v>13.666666666666666</v>
      </c>
      <c r="X454" s="40">
        <f t="shared" ref="X454" si="2581">AVERAGE(J298,J350,J402)</f>
        <v>268.33333333333331</v>
      </c>
      <c r="Y454" s="40">
        <f t="shared" ref="Y454" si="2582">AVERAGE(N298,N350,N402)</f>
        <v>585.33333333333337</v>
      </c>
      <c r="Z454" s="61">
        <f t="shared" ref="Z454" si="2583">(N454-Y454)/Y454</f>
        <v>0.11902050113895209</v>
      </c>
      <c r="AA454" s="61"/>
    </row>
    <row r="455" spans="1:27" ht="16.2" thickBot="1" x14ac:dyDescent="0.35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 t="shared" si="2559"/>
        <v>725</v>
      </c>
      <c r="O455" s="22">
        <f t="shared" ref="O455" si="2584">SUM(B455,D455,F455,H455,J455,L455)</f>
        <v>1071</v>
      </c>
      <c r="P455" s="22">
        <f t="shared" ref="P455" si="2585">SUM(C455,E455,G455,I455,K455,M455)</f>
        <v>2962</v>
      </c>
      <c r="Q455" s="22">
        <f t="shared" ref="Q455" si="2586">SUM(D455,H455,L455)</f>
        <v>346</v>
      </c>
      <c r="R455" s="34">
        <f t="shared" ref="R455" si="2587">(N455-N454)/N454</f>
        <v>0.10687022900763359</v>
      </c>
      <c r="S455" s="32">
        <f t="shared" ref="S455" si="2588">N455-N454</f>
        <v>70</v>
      </c>
      <c r="T455" s="34">
        <f t="shared" ref="T455" si="2589">(N455-N403)/N403</f>
        <v>0.54584221748400852</v>
      </c>
      <c r="U455" s="34">
        <f t="shared" ref="U455" si="2590">N455/P455</f>
        <v>0.24476704929101958</v>
      </c>
      <c r="V455" s="40">
        <f t="shared" ref="V455" si="2591">AVERAGE(B299,B351,B403)</f>
        <v>293.66666666666669</v>
      </c>
      <c r="W455" s="40">
        <f t="shared" ref="W455" si="2592">AVERAGE(F299,F351,F403)</f>
        <v>19.666666666666668</v>
      </c>
      <c r="X455" s="40">
        <f t="shared" ref="X455" si="2593">AVERAGE(J299,J351,J403)</f>
        <v>281</v>
      </c>
      <c r="Y455" s="40">
        <f t="shared" ref="Y455" si="2594">AVERAGE(N299,N351,N403)</f>
        <v>594.33333333333337</v>
      </c>
      <c r="Z455" s="61">
        <f t="shared" ref="Z455" si="2595">(N455-Y455)/Y455</f>
        <v>0.21985417835109358</v>
      </c>
      <c r="AA455" s="61"/>
    </row>
    <row r="456" spans="1:27" ht="16.2" thickBot="1" x14ac:dyDescent="0.35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 t="shared" si="2559"/>
        <v>738</v>
      </c>
      <c r="O456" s="22">
        <f t="shared" ref="O456" si="2596">SUM(B456,D456,F456,H456,J456,L456)</f>
        <v>1076</v>
      </c>
      <c r="P456" s="22">
        <f t="shared" ref="P456" si="2597">SUM(C456,E456,G456,I456,K456,M456)</f>
        <v>3008</v>
      </c>
      <c r="Q456" s="22">
        <f t="shared" ref="Q456" si="2598">SUM(D456,H456,L456)</f>
        <v>338</v>
      </c>
      <c r="R456" s="34">
        <f t="shared" ref="R456" si="2599">(N456-N455)/N455</f>
        <v>1.793103448275862E-2</v>
      </c>
      <c r="S456" s="32">
        <f t="shared" ref="S456" si="2600">N456-N455</f>
        <v>13</v>
      </c>
      <c r="T456" s="34">
        <f t="shared" ref="T456" si="2601">(N456-N404)/N404</f>
        <v>0.63274336283185839</v>
      </c>
      <c r="U456" s="34">
        <f t="shared" ref="U456" si="2602">N456/P456</f>
        <v>0.24534574468085107</v>
      </c>
      <c r="V456" s="40">
        <f t="shared" ref="V456" si="2603">AVERAGE(B300,B352,B404)</f>
        <v>278.66666666666669</v>
      </c>
      <c r="W456" s="40">
        <f t="shared" ref="W456" si="2604">AVERAGE(F300,F352,F404)</f>
        <v>7.333333333333333</v>
      </c>
      <c r="X456" s="40">
        <f t="shared" ref="X456" si="2605">AVERAGE(J300,J352,J404)</f>
        <v>244.33333333333334</v>
      </c>
      <c r="Y456" s="40">
        <f t="shared" ref="Y456" si="2606">AVERAGE(N300,N352,N404)</f>
        <v>530.33333333333337</v>
      </c>
      <c r="Z456" s="61">
        <f t="shared" ref="Z456" si="2607">(N456-Y456)/Y456</f>
        <v>0.39157762413576358</v>
      </c>
      <c r="AA456" s="61"/>
    </row>
    <row r="457" spans="1:27" ht="16.2" thickBot="1" x14ac:dyDescent="0.35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 t="shared" si="2559"/>
        <v>566</v>
      </c>
      <c r="O457" s="22">
        <f t="shared" ref="O457" si="2608">SUM(B457,D457,F457,H457,J457,L457)</f>
        <v>887</v>
      </c>
      <c r="P457" s="22">
        <f t="shared" ref="P457" si="2609">SUM(C457,E457,G457,I457,K457,M457)</f>
        <v>2553</v>
      </c>
      <c r="Q457" s="22">
        <f t="shared" ref="Q457" si="2610">SUM(D457,H457,L457)</f>
        <v>321</v>
      </c>
      <c r="R457" s="34">
        <f t="shared" ref="R457" si="2611">(N457-N456)/N456</f>
        <v>-0.23306233062330622</v>
      </c>
      <c r="S457" s="32">
        <f t="shared" ref="S457" si="2612">N457-N456</f>
        <v>-172</v>
      </c>
      <c r="T457" s="34">
        <f t="shared" ref="T457" si="2613">(N457-N405)/N405</f>
        <v>0.25777777777777777</v>
      </c>
      <c r="U457" s="34">
        <f t="shared" ref="U457" si="2614">N457/P457</f>
        <v>0.22169996083039561</v>
      </c>
      <c r="V457" s="40">
        <f t="shared" ref="V457" si="2615">AVERAGE(B301,B353,B405)</f>
        <v>314</v>
      </c>
      <c r="W457" s="40">
        <f t="shared" ref="W457" si="2616">AVERAGE(F301,F353,F405)</f>
        <v>12.666666666666666</v>
      </c>
      <c r="X457" s="40">
        <f t="shared" ref="X457" si="2617">AVERAGE(J301,J353,J405)</f>
        <v>251</v>
      </c>
      <c r="Y457" s="40">
        <f t="shared" ref="Y457" si="2618">AVERAGE(N301,N353,N405)</f>
        <v>577.66666666666663</v>
      </c>
      <c r="Z457" s="61">
        <f t="shared" ref="Z457" si="2619">(N457-Y457)/Y457</f>
        <v>-2.0196191575302877E-2</v>
      </c>
      <c r="AA457" s="61"/>
    </row>
    <row r="458" spans="1:27" ht="16.2" thickBot="1" x14ac:dyDescent="0.35">
      <c r="A458" s="20">
        <f t="shared" si="2292"/>
        <v>41748</v>
      </c>
      <c r="B458" s="22">
        <v>449</v>
      </c>
      <c r="C458" s="22">
        <v>838</v>
      </c>
      <c r="D458" s="22">
        <v>50</v>
      </c>
      <c r="E458" s="22">
        <v>566</v>
      </c>
      <c r="F458" s="22">
        <v>1</v>
      </c>
      <c r="G458" s="22">
        <v>104</v>
      </c>
      <c r="H458" s="22">
        <v>47</v>
      </c>
      <c r="I458" s="22">
        <v>94</v>
      </c>
      <c r="J458" s="22">
        <v>281</v>
      </c>
      <c r="K458" s="22">
        <v>786</v>
      </c>
      <c r="L458" s="22">
        <v>305</v>
      </c>
      <c r="M458" s="22">
        <v>792</v>
      </c>
      <c r="N458" s="43">
        <f t="shared" si="2559"/>
        <v>731</v>
      </c>
      <c r="O458" s="22">
        <f t="shared" ref="O458" si="2620">SUM(B458,D458,F458,H458,J458,L458)</f>
        <v>1133</v>
      </c>
      <c r="P458" s="22">
        <f t="shared" ref="P458" si="2621">SUM(C458,E458,G458,I458,K458,M458)</f>
        <v>3180</v>
      </c>
      <c r="Q458" s="22">
        <f t="shared" ref="Q458" si="2622">SUM(D458,H458,L458)</f>
        <v>402</v>
      </c>
      <c r="R458" s="34">
        <f t="shared" ref="R458" si="2623">(N458-N457)/N457</f>
        <v>0.29151943462897528</v>
      </c>
      <c r="S458" s="32">
        <f t="shared" ref="S458" si="2624">N458-N457</f>
        <v>165</v>
      </c>
      <c r="T458" s="34">
        <f t="shared" ref="T458" si="2625">(N458-N406)/N406</f>
        <v>0.3512014787430684</v>
      </c>
      <c r="U458" s="34">
        <f t="shared" ref="U458" si="2626">N458/P458</f>
        <v>0.22987421383647799</v>
      </c>
      <c r="V458" s="40">
        <f t="shared" ref="V458" si="2627">AVERAGE(B302,B354,B406)</f>
        <v>267.33333333333331</v>
      </c>
      <c r="W458" s="40">
        <f t="shared" ref="W458" si="2628">AVERAGE(F302,F354,F406)</f>
        <v>11</v>
      </c>
      <c r="X458" s="40">
        <f t="shared" ref="X458" si="2629">AVERAGE(J302,J354,J406)</f>
        <v>256.33333333333331</v>
      </c>
      <c r="Y458" s="40">
        <f t="shared" ref="Y458" si="2630">AVERAGE(N302,N354,N406)</f>
        <v>534.66666666666663</v>
      </c>
      <c r="Z458" s="61">
        <f t="shared" ref="Z458" si="2631">(N458-Y458)/Y458</f>
        <v>0.36720698254364098</v>
      </c>
      <c r="AA458" s="61"/>
    </row>
    <row r="459" spans="1:27" ht="16.2" thickBot="1" x14ac:dyDescent="0.35">
      <c r="A459" s="20">
        <f t="shared" si="2292"/>
        <v>41755</v>
      </c>
      <c r="B459" s="22">
        <v>298</v>
      </c>
      <c r="C459" s="22">
        <v>619</v>
      </c>
      <c r="D459" s="22">
        <v>61</v>
      </c>
      <c r="E459" s="22">
        <v>521</v>
      </c>
      <c r="F459" s="22">
        <v>4</v>
      </c>
      <c r="G459" s="22">
        <v>85</v>
      </c>
      <c r="H459" s="22">
        <v>43</v>
      </c>
      <c r="I459" s="22">
        <v>73</v>
      </c>
      <c r="J459" s="22">
        <v>150</v>
      </c>
      <c r="K459" s="22">
        <v>591</v>
      </c>
      <c r="L459" s="22">
        <v>307</v>
      </c>
      <c r="M459" s="22">
        <v>756</v>
      </c>
      <c r="N459" s="43">
        <f t="shared" si="2559"/>
        <v>452</v>
      </c>
      <c r="O459" s="22">
        <f t="shared" ref="O459" si="2632">SUM(B459,D459,F459,H459,J459,L459)</f>
        <v>863</v>
      </c>
      <c r="P459" s="22">
        <f t="shared" ref="P459" si="2633">SUM(C459,E459,G459,I459,K459,M459)</f>
        <v>2645</v>
      </c>
      <c r="Q459" s="22">
        <f t="shared" ref="Q459" si="2634">SUM(D459,H459,L459)</f>
        <v>411</v>
      </c>
      <c r="R459" s="34">
        <f t="shared" ref="R459" si="2635">(N459-N458)/N458</f>
        <v>-0.38166894664842682</v>
      </c>
      <c r="S459" s="32">
        <f t="shared" ref="S459" si="2636">N459-N458</f>
        <v>-279</v>
      </c>
      <c r="T459" s="34">
        <f t="shared" ref="T459" si="2637">(N459-N407)/N407</f>
        <v>0.28045325779036828</v>
      </c>
      <c r="U459" s="34">
        <f t="shared" ref="U459" si="2638">N459/P459</f>
        <v>0.17088846880907371</v>
      </c>
      <c r="V459" s="40">
        <f t="shared" ref="V459" si="2639">AVERAGE(B303,B355,B407)</f>
        <v>232.33333333333334</v>
      </c>
      <c r="W459" s="40">
        <f t="shared" ref="W459" si="2640">AVERAGE(F303,F355,F407)</f>
        <v>16</v>
      </c>
      <c r="X459" s="40">
        <f t="shared" ref="X459" si="2641">AVERAGE(J303,J355,J407)</f>
        <v>279.66666666666669</v>
      </c>
      <c r="Y459" s="40">
        <f t="shared" ref="Y459" si="2642">AVERAGE(N303,N355,N407)</f>
        <v>528</v>
      </c>
      <c r="Z459" s="61">
        <f t="shared" ref="Z459" si="2643">(N459-Y459)/Y459</f>
        <v>-0.14393939393939395</v>
      </c>
      <c r="AA459" s="61"/>
    </row>
    <row r="460" spans="1:27" ht="16.2" thickBot="1" x14ac:dyDescent="0.35">
      <c r="A460" s="20">
        <f t="shared" si="2292"/>
        <v>41762</v>
      </c>
      <c r="B460" s="22">
        <v>400</v>
      </c>
      <c r="C460" s="22">
        <v>721</v>
      </c>
      <c r="D460" s="22">
        <v>36</v>
      </c>
      <c r="E460" s="22">
        <v>648</v>
      </c>
      <c r="F460" s="22">
        <v>12</v>
      </c>
      <c r="G460" s="22">
        <v>75</v>
      </c>
      <c r="H460" s="22">
        <v>32</v>
      </c>
      <c r="I460" s="22">
        <v>76</v>
      </c>
      <c r="J460" s="22">
        <v>232</v>
      </c>
      <c r="K460" s="22">
        <v>764</v>
      </c>
      <c r="L460" s="22">
        <v>319</v>
      </c>
      <c r="M460" s="22">
        <v>677</v>
      </c>
      <c r="N460" s="43">
        <f t="shared" si="2559"/>
        <v>644</v>
      </c>
      <c r="O460" s="22">
        <f t="shared" ref="O460" si="2644">SUM(B460,D460,F460,H460,J460,L460)</f>
        <v>1031</v>
      </c>
      <c r="P460" s="22">
        <f t="shared" ref="P460" si="2645">SUM(C460,E460,G460,I460,K460,M460)</f>
        <v>2961</v>
      </c>
      <c r="Q460" s="22">
        <f t="shared" ref="Q460" si="2646">SUM(D460,H460,L460)</f>
        <v>387</v>
      </c>
      <c r="R460" s="34">
        <f t="shared" ref="R460" si="2647">(N460-N459)/N459</f>
        <v>0.4247787610619469</v>
      </c>
      <c r="S460" s="32">
        <f t="shared" ref="S460" si="2648">N460-N459</f>
        <v>192</v>
      </c>
      <c r="T460" s="34">
        <f t="shared" ref="T460" si="2649">(N460-N408)/N408</f>
        <v>3.7037037037037035E-2</v>
      </c>
      <c r="U460" s="34">
        <f t="shared" ref="U460" si="2650">N460/P460</f>
        <v>0.21749408983451538</v>
      </c>
      <c r="V460" s="40">
        <f t="shared" ref="V460" si="2651">AVERAGE(B304,B356,B408)</f>
        <v>271</v>
      </c>
      <c r="W460" s="40">
        <f t="shared" ref="W460" si="2652">AVERAGE(F304,F356,F408)</f>
        <v>8.3333333333333339</v>
      </c>
      <c r="X460" s="40">
        <f t="shared" ref="X460" si="2653">AVERAGE(J304,J356,J408)</f>
        <v>204.66666666666666</v>
      </c>
      <c r="Y460" s="40">
        <f t="shared" ref="Y460" si="2654">AVERAGE(N304,N356,N408)</f>
        <v>484</v>
      </c>
      <c r="Z460" s="61">
        <f t="shared" ref="Z460" si="2655">(N460-Y460)/Y460</f>
        <v>0.33057851239669422</v>
      </c>
      <c r="AA460" s="61"/>
    </row>
    <row r="461" spans="1:27" ht="16.2" thickBot="1" x14ac:dyDescent="0.35">
      <c r="A461" s="20">
        <f t="shared" si="2292"/>
        <v>41769</v>
      </c>
      <c r="B461" s="22">
        <v>396</v>
      </c>
      <c r="C461" s="22">
        <v>716</v>
      </c>
      <c r="D461" s="22">
        <v>58</v>
      </c>
      <c r="E461" s="22">
        <v>615</v>
      </c>
      <c r="F461" s="22">
        <v>6</v>
      </c>
      <c r="G461" s="22">
        <v>52</v>
      </c>
      <c r="H461" s="22">
        <v>39</v>
      </c>
      <c r="I461" s="22">
        <v>82</v>
      </c>
      <c r="J461" s="22">
        <v>206</v>
      </c>
      <c r="K461" s="22">
        <v>832</v>
      </c>
      <c r="L461" s="22">
        <v>315</v>
      </c>
      <c r="M461" s="22">
        <v>751</v>
      </c>
      <c r="N461" s="43">
        <f t="shared" si="2559"/>
        <v>608</v>
      </c>
      <c r="O461" s="22">
        <f t="shared" ref="O461" si="2656">SUM(B461,D461,F461,H461,J461,L461)</f>
        <v>1020</v>
      </c>
      <c r="P461" s="22">
        <f t="shared" ref="P461" si="2657">SUM(C461,E461,G461,I461,K461,M461)</f>
        <v>3048</v>
      </c>
      <c r="Q461" s="22">
        <f t="shared" ref="Q461" si="2658">SUM(D461,H461,L461)</f>
        <v>412</v>
      </c>
      <c r="R461" s="34">
        <f t="shared" ref="R461" si="2659">(N461-N460)/N460</f>
        <v>-5.5900621118012424E-2</v>
      </c>
      <c r="S461" s="32">
        <f t="shared" ref="S461" si="2660">N461-N460</f>
        <v>-36</v>
      </c>
      <c r="T461" s="34">
        <f t="shared" ref="T461" si="2661">(N461-N409)/N409</f>
        <v>0.20396039603960395</v>
      </c>
      <c r="U461" s="34">
        <f t="shared" ref="U461" si="2662">N461/P461</f>
        <v>0.1994750656167979</v>
      </c>
      <c r="V461" s="40">
        <f t="shared" ref="V461" si="2663">AVERAGE(B305,B357,B409)</f>
        <v>334.33333333333331</v>
      </c>
      <c r="W461" s="40">
        <f t="shared" ref="W461" si="2664">AVERAGE(F305,F357,F409)</f>
        <v>8.3333333333333339</v>
      </c>
      <c r="X461" s="40">
        <f t="shared" ref="X461" si="2665">AVERAGE(J305,J357,J409)</f>
        <v>186.66666666666666</v>
      </c>
      <c r="Y461" s="40">
        <f t="shared" ref="Y461" si="2666">AVERAGE(N305,N357,N409)</f>
        <v>529.33333333333337</v>
      </c>
      <c r="Z461" s="61">
        <f t="shared" ref="Z461" si="2667">(N461-Y461)/Y461</f>
        <v>0.14861460957178832</v>
      </c>
      <c r="AA461" s="61"/>
    </row>
    <row r="462" spans="1:27" ht="16.2" thickBot="1" x14ac:dyDescent="0.35">
      <c r="A462" s="20">
        <f t="shared" si="2292"/>
        <v>41776</v>
      </c>
      <c r="B462" s="22">
        <v>396</v>
      </c>
      <c r="C462" s="22">
        <v>758</v>
      </c>
      <c r="D462" s="22">
        <v>30</v>
      </c>
      <c r="E462" s="22">
        <v>567</v>
      </c>
      <c r="F462" s="22">
        <v>1</v>
      </c>
      <c r="G462" s="22">
        <v>101</v>
      </c>
      <c r="H462" s="22">
        <v>28</v>
      </c>
      <c r="I462" s="22">
        <v>93</v>
      </c>
      <c r="J462" s="22">
        <v>252</v>
      </c>
      <c r="K462" s="22">
        <v>842</v>
      </c>
      <c r="L462" s="22">
        <v>353</v>
      </c>
      <c r="M462" s="22">
        <v>719</v>
      </c>
      <c r="N462" s="43">
        <f t="shared" ref="N462:N480" si="2668">SUM(B462,F462,J462)</f>
        <v>649</v>
      </c>
      <c r="O462" s="22">
        <f t="shared" ref="O462" si="2669">SUM(B462,D462,F462,H462,J462,L462)</f>
        <v>1060</v>
      </c>
      <c r="P462" s="22">
        <f t="shared" ref="P462" si="2670">SUM(C462,E462,G462,I462,K462,M462)</f>
        <v>3080</v>
      </c>
      <c r="Q462" s="22">
        <f t="shared" ref="Q462" si="2671">SUM(D462,H462,L462)</f>
        <v>411</v>
      </c>
      <c r="R462" s="34">
        <f t="shared" ref="R462" si="2672">(N462-N461)/N461</f>
        <v>6.7434210526315791E-2</v>
      </c>
      <c r="S462" s="32">
        <f t="shared" ref="S462" si="2673">N462-N461</f>
        <v>41</v>
      </c>
      <c r="T462" s="34">
        <f t="shared" ref="T462" si="2674">(N462-N410)/N410</f>
        <v>0.53791469194312791</v>
      </c>
      <c r="U462" s="34">
        <f t="shared" ref="U462" si="2675">N462/P462</f>
        <v>0.21071428571428572</v>
      </c>
      <c r="V462" s="40">
        <f t="shared" ref="V462" si="2676">AVERAGE(B306,B358,B410)</f>
        <v>307.33333333333331</v>
      </c>
      <c r="W462" s="40">
        <f t="shared" ref="W462" si="2677">AVERAGE(F306,F358,F410)</f>
        <v>10</v>
      </c>
      <c r="X462" s="40">
        <f t="shared" ref="X462" si="2678">AVERAGE(J306,J358,J410)</f>
        <v>240.33333333333334</v>
      </c>
      <c r="Y462" s="40">
        <f t="shared" ref="Y462" si="2679">AVERAGE(N306,N358,N410)</f>
        <v>557.66666666666663</v>
      </c>
      <c r="Z462" s="61">
        <f t="shared" ref="Z462" si="2680">(N462-Y462)/Y462</f>
        <v>0.16377764494919314</v>
      </c>
      <c r="AA462" s="61"/>
    </row>
    <row r="463" spans="1:27" ht="16.2" thickBot="1" x14ac:dyDescent="0.35">
      <c r="A463" s="20">
        <f t="shared" si="2292"/>
        <v>41783</v>
      </c>
      <c r="B463" s="22">
        <v>380</v>
      </c>
      <c r="C463" s="22">
        <v>662</v>
      </c>
      <c r="D463" s="22">
        <v>32</v>
      </c>
      <c r="E463" s="22">
        <v>558</v>
      </c>
      <c r="F463" s="22">
        <v>7</v>
      </c>
      <c r="G463" s="22">
        <v>60</v>
      </c>
      <c r="H463" s="22">
        <v>31</v>
      </c>
      <c r="I463" s="22">
        <v>70</v>
      </c>
      <c r="J463" s="22">
        <v>262</v>
      </c>
      <c r="K463" s="22">
        <v>703</v>
      </c>
      <c r="L463" s="22">
        <v>405</v>
      </c>
      <c r="M463" s="22">
        <v>752</v>
      </c>
      <c r="N463" s="43">
        <f t="shared" si="2668"/>
        <v>649</v>
      </c>
      <c r="O463" s="22">
        <f t="shared" ref="O463" si="2681">SUM(B463,D463,F463,H463,J463,L463)</f>
        <v>1117</v>
      </c>
      <c r="P463" s="22">
        <f t="shared" ref="P463" si="2682">SUM(C463,E463,G463,I463,K463,M463)</f>
        <v>2805</v>
      </c>
      <c r="Q463" s="22">
        <f t="shared" ref="Q463" si="2683">SUM(D463,H463,L463)</f>
        <v>468</v>
      </c>
      <c r="R463" s="34">
        <f t="shared" ref="R463" si="2684">(N463-N462)/N462</f>
        <v>0</v>
      </c>
      <c r="S463" s="32">
        <f t="shared" ref="S463" si="2685">N463-N462</f>
        <v>0</v>
      </c>
      <c r="T463" s="34">
        <f t="shared" ref="T463" si="2686">(N463-N411)/N411</f>
        <v>0.25531914893617019</v>
      </c>
      <c r="U463" s="34">
        <f t="shared" ref="U463" si="2687">N463/P463</f>
        <v>0.23137254901960785</v>
      </c>
      <c r="V463" s="40">
        <f t="shared" ref="V463" si="2688">AVERAGE(B307,B359,B411)</f>
        <v>281.66666666666669</v>
      </c>
      <c r="W463" s="40">
        <f t="shared" ref="W463" si="2689">AVERAGE(F307,F359,F411)</f>
        <v>21.333333333333332</v>
      </c>
      <c r="X463" s="40">
        <f t="shared" ref="X463" si="2690">AVERAGE(J307,J359,J411)</f>
        <v>198</v>
      </c>
      <c r="Y463" s="40">
        <f t="shared" ref="Y463" si="2691">AVERAGE(N307,N359,N411)</f>
        <v>501</v>
      </c>
      <c r="Z463" s="61">
        <f t="shared" ref="Z463" si="2692">(N463-Y463)/Y463</f>
        <v>0.29540918163672653</v>
      </c>
      <c r="AA463" s="61"/>
    </row>
    <row r="464" spans="1:27" ht="16.2" thickBot="1" x14ac:dyDescent="0.35">
      <c r="A464" s="20">
        <f t="shared" si="2292"/>
        <v>41790</v>
      </c>
      <c r="B464" s="22">
        <v>386</v>
      </c>
      <c r="C464" s="22">
        <v>650</v>
      </c>
      <c r="D464" s="22">
        <v>59</v>
      </c>
      <c r="E464" s="22">
        <v>719</v>
      </c>
      <c r="F464" s="22">
        <v>4</v>
      </c>
      <c r="G464" s="22">
        <v>45</v>
      </c>
      <c r="H464" s="22">
        <v>25</v>
      </c>
      <c r="I464" s="22">
        <v>83</v>
      </c>
      <c r="J464" s="22">
        <v>208</v>
      </c>
      <c r="K464" s="22">
        <v>882</v>
      </c>
      <c r="L464" s="22">
        <v>366</v>
      </c>
      <c r="M464" s="22">
        <v>822</v>
      </c>
      <c r="N464" s="43">
        <f t="shared" si="2668"/>
        <v>598</v>
      </c>
      <c r="O464" s="22">
        <f t="shared" ref="O464" si="2693">SUM(B464,D464,F464,H464,J464,L464)</f>
        <v>1048</v>
      </c>
      <c r="P464" s="22">
        <f t="shared" ref="P464" si="2694">SUM(C464,E464,G464,I464,K464,M464)</f>
        <v>3201</v>
      </c>
      <c r="Q464" s="22">
        <f t="shared" ref="Q464" si="2695">SUM(D464,H464,L464)</f>
        <v>450</v>
      </c>
      <c r="R464" s="34">
        <f t="shared" ref="R464" si="2696">(N464-N463)/N463</f>
        <v>-7.8582434514637908E-2</v>
      </c>
      <c r="S464" s="32">
        <f t="shared" ref="S464" si="2697">N464-N463</f>
        <v>-51</v>
      </c>
      <c r="T464" s="34">
        <f t="shared" ref="T464" si="2698">(N464-N412)/N412</f>
        <v>0.10332103321033211</v>
      </c>
      <c r="U464" s="34">
        <f t="shared" ref="U464" si="2699">N464/P464</f>
        <v>0.18681661980631054</v>
      </c>
      <c r="V464" s="40">
        <f t="shared" ref="V464" si="2700">AVERAGE(B308,B360,B412)</f>
        <v>248.33333333333334</v>
      </c>
      <c r="W464" s="40">
        <f t="shared" ref="W464" si="2701">AVERAGE(F308,F360,F412)</f>
        <v>11.666666666666666</v>
      </c>
      <c r="X464" s="40">
        <f t="shared" ref="X464" si="2702">AVERAGE(J308,J360,J412)</f>
        <v>229.66666666666666</v>
      </c>
      <c r="Y464" s="40">
        <f t="shared" ref="Y464" si="2703">AVERAGE(N308,N360,N412)</f>
        <v>489.66666666666669</v>
      </c>
      <c r="Z464" s="61">
        <f t="shared" ref="Z464" si="2704">(N464-Y464)/Y464</f>
        <v>0.2212389380530973</v>
      </c>
      <c r="AA464" s="61"/>
    </row>
    <row r="465" spans="1:27" ht="16.2" thickBot="1" x14ac:dyDescent="0.35">
      <c r="A465" s="20">
        <f t="shared" si="2292"/>
        <v>41797</v>
      </c>
      <c r="B465" s="22">
        <v>380</v>
      </c>
      <c r="C465" s="22">
        <v>622</v>
      </c>
      <c r="D465" s="22">
        <v>55</v>
      </c>
      <c r="E465" s="22">
        <v>642</v>
      </c>
      <c r="F465" s="22">
        <v>4</v>
      </c>
      <c r="G465" s="22">
        <v>63</v>
      </c>
      <c r="H465" s="22">
        <v>20</v>
      </c>
      <c r="I465" s="22">
        <v>55</v>
      </c>
      <c r="J465" s="22">
        <v>203</v>
      </c>
      <c r="K465" s="22">
        <v>617</v>
      </c>
      <c r="L465" s="22">
        <v>347</v>
      </c>
      <c r="M465" s="22">
        <v>779</v>
      </c>
      <c r="N465" s="43">
        <f t="shared" si="2668"/>
        <v>587</v>
      </c>
      <c r="O465" s="22">
        <f t="shared" ref="O465" si="2705">SUM(B465,D465,F465,H465,J465,L465)</f>
        <v>1009</v>
      </c>
      <c r="P465" s="22">
        <f t="shared" ref="P465" si="2706">SUM(C465,E465,G465,I465,K465,M465)</f>
        <v>2778</v>
      </c>
      <c r="Q465" s="22">
        <f t="shared" ref="Q465" si="2707">SUM(D465,H465,L465)</f>
        <v>422</v>
      </c>
      <c r="R465" s="34">
        <f t="shared" ref="R465" si="2708">(N465-N464)/N464</f>
        <v>-1.839464882943144E-2</v>
      </c>
      <c r="S465" s="32">
        <f t="shared" ref="S465" si="2709">N465-N464</f>
        <v>-11</v>
      </c>
      <c r="T465" s="34">
        <f t="shared" ref="T465" si="2710">(N465-N413)/N413</f>
        <v>0.29867256637168144</v>
      </c>
      <c r="U465" s="34">
        <f t="shared" ref="U465" si="2711">N465/P465</f>
        <v>0.21130309575233983</v>
      </c>
      <c r="V465" s="40">
        <f t="shared" ref="V465" si="2712">AVERAGE(B309,B361,B413)</f>
        <v>233.33333333333334</v>
      </c>
      <c r="W465" s="40">
        <f t="shared" ref="W465" si="2713">AVERAGE(F309,F361,F413)</f>
        <v>15</v>
      </c>
      <c r="X465" s="40">
        <f t="shared" ref="X465" si="2714">AVERAGE(J309,J361,J413)</f>
        <v>294.66666666666669</v>
      </c>
      <c r="Y465" s="40">
        <f t="shared" ref="Y465" si="2715">AVERAGE(N309,N361,N413)</f>
        <v>543</v>
      </c>
      <c r="Z465" s="61">
        <f t="shared" ref="Z465" si="2716">(N465-Y465)/Y465</f>
        <v>8.1031307550644568E-2</v>
      </c>
      <c r="AA465" s="61"/>
    </row>
    <row r="466" spans="1:27" ht="16.2" thickBot="1" x14ac:dyDescent="0.35">
      <c r="A466" s="20">
        <f t="shared" si="2292"/>
        <v>41804</v>
      </c>
      <c r="B466" s="22">
        <v>404</v>
      </c>
      <c r="C466" s="22">
        <v>667</v>
      </c>
      <c r="D466" s="22">
        <v>41</v>
      </c>
      <c r="E466" s="22">
        <v>626</v>
      </c>
      <c r="F466" s="22">
        <v>6</v>
      </c>
      <c r="G466" s="22">
        <v>47</v>
      </c>
      <c r="H466" s="22">
        <v>20</v>
      </c>
      <c r="I466" s="22">
        <v>54</v>
      </c>
      <c r="J466" s="22">
        <v>232</v>
      </c>
      <c r="K466" s="22">
        <v>765</v>
      </c>
      <c r="L466" s="22">
        <v>376</v>
      </c>
      <c r="M466" s="22">
        <v>763</v>
      </c>
      <c r="N466" s="43">
        <f t="shared" si="2668"/>
        <v>642</v>
      </c>
      <c r="O466" s="22">
        <f t="shared" ref="O466" si="2717">SUM(B466,D466,F466,H466,J466,L466)</f>
        <v>1079</v>
      </c>
      <c r="P466" s="22">
        <f t="shared" ref="P466" si="2718">SUM(C466,E466,G466,I466,K466,M466)</f>
        <v>2922</v>
      </c>
      <c r="Q466" s="22">
        <f t="shared" ref="Q466" si="2719">SUM(D466,H466,L466)</f>
        <v>437</v>
      </c>
      <c r="R466" s="34">
        <f t="shared" ref="R466" si="2720">(N466-N465)/N465</f>
        <v>9.3696763202725727E-2</v>
      </c>
      <c r="S466" s="32">
        <f t="shared" ref="S466" si="2721">N466-N465</f>
        <v>55</v>
      </c>
      <c r="T466" s="34">
        <f t="shared" ref="T466" si="2722">(N466-N414)/N414</f>
        <v>0.35443037974683544</v>
      </c>
      <c r="U466" s="34">
        <f t="shared" ref="U466" si="2723">N466/P466</f>
        <v>0.21971252566735114</v>
      </c>
      <c r="V466" s="40">
        <f t="shared" ref="V466" si="2724">AVERAGE(B310,B362,B414)</f>
        <v>283.33333333333331</v>
      </c>
      <c r="W466" s="40">
        <f t="shared" ref="W466" si="2725">AVERAGE(F310,F362,F414)</f>
        <v>20</v>
      </c>
      <c r="X466" s="40">
        <f t="shared" ref="X466" si="2726">AVERAGE(J310,J362,J414)</f>
        <v>264.33333333333331</v>
      </c>
      <c r="Y466" s="40">
        <f t="shared" ref="Y466" si="2727">AVERAGE(N310,N362,N414)</f>
        <v>567.66666666666663</v>
      </c>
      <c r="Z466" s="61">
        <f t="shared" ref="Z466" si="2728">(N466-Y466)/Y466</f>
        <v>0.1309453904873753</v>
      </c>
      <c r="AA466" s="61"/>
    </row>
    <row r="467" spans="1:27" ht="16.2" thickBot="1" x14ac:dyDescent="0.35">
      <c r="A467" s="20">
        <f t="shared" si="2292"/>
        <v>41811</v>
      </c>
      <c r="B467" s="22">
        <v>393</v>
      </c>
      <c r="C467" s="22">
        <v>652</v>
      </c>
      <c r="D467" s="22">
        <v>37</v>
      </c>
      <c r="E467" s="22">
        <v>704</v>
      </c>
      <c r="F467" s="22">
        <v>2</v>
      </c>
      <c r="G467" s="22">
        <v>47</v>
      </c>
      <c r="H467" s="22">
        <v>28</v>
      </c>
      <c r="I467" s="22">
        <v>69</v>
      </c>
      <c r="J467" s="22">
        <v>190</v>
      </c>
      <c r="K467" s="22">
        <v>665</v>
      </c>
      <c r="L467" s="22">
        <v>319</v>
      </c>
      <c r="M467" s="22">
        <v>658</v>
      </c>
      <c r="N467" s="43">
        <f t="shared" si="2668"/>
        <v>585</v>
      </c>
      <c r="O467" s="22">
        <f t="shared" ref="O467" si="2729">SUM(B467,D467,F467,H467,J467,L467)</f>
        <v>969</v>
      </c>
      <c r="P467" s="22">
        <f t="shared" ref="P467" si="2730">SUM(C467,E467,G467,I467,K467,M467)</f>
        <v>2795</v>
      </c>
      <c r="Q467" s="22">
        <f t="shared" ref="Q467" si="2731">SUM(D467,H467,L467)</f>
        <v>384</v>
      </c>
      <c r="R467" s="34">
        <f t="shared" ref="R467" si="2732">(N467-N466)/N466</f>
        <v>-8.8785046728971959E-2</v>
      </c>
      <c r="S467" s="32">
        <f t="shared" ref="S467" si="2733">N467-N466</f>
        <v>-57</v>
      </c>
      <c r="T467" s="34">
        <f t="shared" ref="T467" si="2734">(N467-N415)/N415</f>
        <v>0.32653061224489793</v>
      </c>
      <c r="U467" s="34">
        <f t="shared" ref="U467" si="2735">N467/P467</f>
        <v>0.20930232558139536</v>
      </c>
      <c r="V467" s="40">
        <f t="shared" ref="V467" si="2736">AVERAGE(B311,B363,B415)</f>
        <v>290.66666666666669</v>
      </c>
      <c r="W467" s="40">
        <f t="shared" ref="W467" si="2737">AVERAGE(F311,F363,F415)</f>
        <v>15.333333333333334</v>
      </c>
      <c r="X467" s="40">
        <f t="shared" ref="X467" si="2738">AVERAGE(J311,J363,J415)</f>
        <v>242.33333333333334</v>
      </c>
      <c r="Y467" s="40">
        <f t="shared" ref="Y467" si="2739">AVERAGE(N311,N363,N415)</f>
        <v>548.33333333333337</v>
      </c>
      <c r="Z467" s="61">
        <f t="shared" ref="Z467" si="2740">(N467-Y467)/Y467</f>
        <v>6.6869300911854029E-2</v>
      </c>
      <c r="AA467" s="61"/>
    </row>
    <row r="468" spans="1:27" ht="16.2" thickBot="1" x14ac:dyDescent="0.35">
      <c r="A468" s="20">
        <f t="shared" si="2292"/>
        <v>41818</v>
      </c>
      <c r="B468" s="22">
        <v>469</v>
      </c>
      <c r="C468" s="22">
        <v>782</v>
      </c>
      <c r="D468" s="22">
        <v>49</v>
      </c>
      <c r="E468" s="22">
        <v>593</v>
      </c>
      <c r="F468" s="22">
        <v>3</v>
      </c>
      <c r="G468" s="22">
        <v>64</v>
      </c>
      <c r="H468" s="22">
        <v>18</v>
      </c>
      <c r="I468" s="22">
        <v>87</v>
      </c>
      <c r="J468" s="22">
        <v>233</v>
      </c>
      <c r="K468" s="22">
        <v>752</v>
      </c>
      <c r="L468" s="22">
        <v>303</v>
      </c>
      <c r="M468" s="22">
        <v>740</v>
      </c>
      <c r="N468" s="43">
        <f t="shared" si="2668"/>
        <v>705</v>
      </c>
      <c r="O468" s="22">
        <f t="shared" ref="O468" si="2741">SUM(B468,D468,F468,H468,J468,L468)</f>
        <v>1075</v>
      </c>
      <c r="P468" s="22">
        <f t="shared" ref="P468" si="2742">SUM(C468,E468,G468,I468,K468,M468)</f>
        <v>3018</v>
      </c>
      <c r="Q468" s="22">
        <f t="shared" ref="Q468" si="2743">SUM(D468,H468,L468)</f>
        <v>370</v>
      </c>
      <c r="R468" s="34">
        <f t="shared" ref="R468" si="2744">(N468-N467)/N467</f>
        <v>0.20512820512820512</v>
      </c>
      <c r="S468" s="32">
        <f t="shared" ref="S468" si="2745">N468-N467</f>
        <v>120</v>
      </c>
      <c r="T468" s="34">
        <f t="shared" ref="T468" si="2746">(N468-N416)/N416</f>
        <v>0.65492957746478875</v>
      </c>
      <c r="U468" s="34">
        <f t="shared" ref="U468" si="2747">N468/P468</f>
        <v>0.23359840954274355</v>
      </c>
      <c r="V468" s="40">
        <f t="shared" ref="V468" si="2748">AVERAGE(B312,B364,B416)</f>
        <v>245.33333333333334</v>
      </c>
      <c r="W468" s="40">
        <f t="shared" ref="W468" si="2749">AVERAGE(F312,F364,F416)</f>
        <v>28.666666666666668</v>
      </c>
      <c r="X468" s="40">
        <f t="shared" ref="X468" si="2750">AVERAGE(J312,J364,J416)</f>
        <v>244.33333333333334</v>
      </c>
      <c r="Y468" s="40">
        <f t="shared" ref="Y468" si="2751">AVERAGE(N312,N364,N416)</f>
        <v>518.33333333333337</v>
      </c>
      <c r="Z468" s="61">
        <f t="shared" ref="Z468" si="2752">(N468-Y468)/Y468</f>
        <v>0.36012861736334395</v>
      </c>
      <c r="AA468" s="61"/>
    </row>
    <row r="469" spans="1:27" ht="16.2" thickBot="1" x14ac:dyDescent="0.35">
      <c r="A469" s="20">
        <f t="shared" si="2292"/>
        <v>41825</v>
      </c>
      <c r="B469" s="22">
        <v>284</v>
      </c>
      <c r="C469" s="22">
        <v>466</v>
      </c>
      <c r="D469" s="22">
        <v>49</v>
      </c>
      <c r="E469" s="22">
        <v>472</v>
      </c>
      <c r="F469" s="22">
        <v>1</v>
      </c>
      <c r="G469" s="22">
        <v>52</v>
      </c>
      <c r="H469" s="22">
        <v>20</v>
      </c>
      <c r="I469" s="22">
        <v>53</v>
      </c>
      <c r="J469" s="22">
        <v>197</v>
      </c>
      <c r="K469" s="22">
        <v>718</v>
      </c>
      <c r="L469" s="22">
        <v>338</v>
      </c>
      <c r="M469" s="22">
        <v>724</v>
      </c>
      <c r="N469" s="43">
        <f t="shared" si="2668"/>
        <v>482</v>
      </c>
      <c r="O469" s="22">
        <f t="shared" ref="O469" si="2753">SUM(B469,D469,F469,H469,J469,L469)</f>
        <v>889</v>
      </c>
      <c r="P469" s="22">
        <f t="shared" ref="P469" si="2754">SUM(C469,E469,G469,I469,K469,M469)</f>
        <v>2485</v>
      </c>
      <c r="Q469" s="22">
        <f t="shared" ref="Q469" si="2755">SUM(D469,H469,L469)</f>
        <v>407</v>
      </c>
      <c r="R469" s="34">
        <f t="shared" ref="R469" si="2756">(N469-N468)/N468</f>
        <v>-0.31631205673758866</v>
      </c>
      <c r="S469" s="32">
        <f t="shared" ref="S469" si="2757">N469-N468</f>
        <v>-223</v>
      </c>
      <c r="T469" s="34">
        <f t="shared" ref="T469" si="2758">(N469-N417)/N417</f>
        <v>-4.7430830039525688E-2</v>
      </c>
      <c r="U469" s="34">
        <f t="shared" ref="U469" si="2759">N469/P469</f>
        <v>0.19396378269617706</v>
      </c>
      <c r="V469" s="40">
        <f t="shared" ref="V469" si="2760">AVERAGE(B313,B365,B417)</f>
        <v>268</v>
      </c>
      <c r="W469" s="40">
        <f t="shared" ref="W469" si="2761">AVERAGE(F313,F365,F417)</f>
        <v>27</v>
      </c>
      <c r="X469" s="40">
        <f t="shared" ref="X469" si="2762">AVERAGE(J313,J365,J417)</f>
        <v>250</v>
      </c>
      <c r="Y469" s="40">
        <f t="shared" ref="Y469" si="2763">AVERAGE(N313,N365,N417)</f>
        <v>545</v>
      </c>
      <c r="Z469" s="61">
        <f t="shared" ref="Z469" si="2764">(N469-Y469)/Y469</f>
        <v>-0.11559633027522936</v>
      </c>
      <c r="AA469" s="61"/>
    </row>
    <row r="470" spans="1:27" ht="16.2" thickBot="1" x14ac:dyDescent="0.35">
      <c r="A470" s="20">
        <f t="shared" si="2292"/>
        <v>41832</v>
      </c>
      <c r="B470" s="22">
        <v>297</v>
      </c>
      <c r="C470" s="22">
        <v>488</v>
      </c>
      <c r="D470" s="22">
        <v>67</v>
      </c>
      <c r="E470" s="22">
        <v>432</v>
      </c>
      <c r="F470" s="22">
        <v>4</v>
      </c>
      <c r="G470" s="22">
        <v>68</v>
      </c>
      <c r="H470" s="22">
        <v>20</v>
      </c>
      <c r="I470" s="22">
        <v>81</v>
      </c>
      <c r="J470" s="22">
        <v>181</v>
      </c>
      <c r="K470" s="22">
        <v>662</v>
      </c>
      <c r="L470" s="22">
        <v>329</v>
      </c>
      <c r="M470" s="22">
        <v>801</v>
      </c>
      <c r="N470" s="43">
        <f t="shared" si="2668"/>
        <v>482</v>
      </c>
      <c r="O470" s="22">
        <f t="shared" ref="O470" si="2765">SUM(B470,D470,F470,H470,J470,L470)</f>
        <v>898</v>
      </c>
      <c r="P470" s="22">
        <f t="shared" ref="P470" si="2766">SUM(C470,E470,G470,I470,K470,M470)</f>
        <v>2532</v>
      </c>
      <c r="Q470" s="22">
        <f t="shared" ref="Q470" si="2767">SUM(D470,H470,L470)</f>
        <v>416</v>
      </c>
      <c r="R470" s="34">
        <f t="shared" ref="R470" si="2768">(N470-N469)/N469</f>
        <v>0</v>
      </c>
      <c r="S470" s="32">
        <f t="shared" ref="S470" si="2769">N470-N469</f>
        <v>0</v>
      </c>
      <c r="T470" s="34">
        <f t="shared" ref="T470" si="2770">(N470-N418)/N418</f>
        <v>0.34636871508379891</v>
      </c>
      <c r="U470" s="34">
        <f t="shared" ref="U470" si="2771">N470/P470</f>
        <v>0.19036334913112166</v>
      </c>
      <c r="V470" s="40">
        <f t="shared" ref="V470" si="2772">AVERAGE(B314,B366,B418)</f>
        <v>329</v>
      </c>
      <c r="W470" s="40">
        <f t="shared" ref="W470" si="2773">AVERAGE(F314,F366,F418)</f>
        <v>20.666666666666668</v>
      </c>
      <c r="X470" s="40">
        <f t="shared" ref="X470" si="2774">AVERAGE(J314,J366,J418)</f>
        <v>260.33333333333331</v>
      </c>
      <c r="Y470" s="40">
        <f t="shared" ref="Y470" si="2775">AVERAGE(N314,N366,N418)</f>
        <v>610</v>
      </c>
      <c r="Z470" s="61">
        <f t="shared" ref="Z470" si="2776">(N470-Y470)/Y470</f>
        <v>-0.20983606557377049</v>
      </c>
      <c r="AA470" s="61"/>
    </row>
    <row r="471" spans="1:27" ht="16.2" thickBot="1" x14ac:dyDescent="0.35">
      <c r="A471" s="20">
        <f t="shared" si="2292"/>
        <v>41839</v>
      </c>
      <c r="B471" s="22">
        <v>391</v>
      </c>
      <c r="C471" s="22">
        <v>633</v>
      </c>
      <c r="D471" s="22">
        <v>78</v>
      </c>
      <c r="E471" s="22">
        <v>416</v>
      </c>
      <c r="F471" s="22">
        <v>14</v>
      </c>
      <c r="G471" s="22">
        <v>61</v>
      </c>
      <c r="H471" s="22">
        <v>16</v>
      </c>
      <c r="I471" s="22">
        <v>59</v>
      </c>
      <c r="J471" s="22">
        <v>84</v>
      </c>
      <c r="K471" s="22">
        <v>574</v>
      </c>
      <c r="L471" s="22">
        <v>321</v>
      </c>
      <c r="M471" s="22">
        <v>581</v>
      </c>
      <c r="N471" s="43">
        <f t="shared" si="2668"/>
        <v>489</v>
      </c>
      <c r="O471" s="22">
        <f t="shared" ref="O471" si="2777">SUM(B471,D471,F471,H471,J471,L471)</f>
        <v>904</v>
      </c>
      <c r="P471" s="22">
        <f t="shared" ref="P471" si="2778">SUM(C471,E471,G471,I471,K471,M471)</f>
        <v>2324</v>
      </c>
      <c r="Q471" s="22">
        <f t="shared" ref="Q471" si="2779">SUM(D471,H471,L471)</f>
        <v>415</v>
      </c>
      <c r="R471" s="34">
        <f t="shared" ref="R471" si="2780">(N471-N470)/N470</f>
        <v>1.4522821576763486E-2</v>
      </c>
      <c r="S471" s="32">
        <f t="shared" ref="S471" si="2781">N471-N470</f>
        <v>7</v>
      </c>
      <c r="T471" s="34">
        <f t="shared" ref="T471" si="2782">(N471-N419)/N419</f>
        <v>-7.2106261859582549E-2</v>
      </c>
      <c r="U471" s="34">
        <f t="shared" ref="U471" si="2783">N471/P471</f>
        <v>0.2104130808950086</v>
      </c>
      <c r="V471" s="40">
        <f t="shared" ref="V471" si="2784">AVERAGE(B315,B367,B419)</f>
        <v>347.33333333333331</v>
      </c>
      <c r="W471" s="40">
        <f t="shared" ref="W471" si="2785">AVERAGE(F315,F367,F419)</f>
        <v>27</v>
      </c>
      <c r="X471" s="40">
        <f t="shared" ref="X471" si="2786">AVERAGE(J315,J367,J419)</f>
        <v>296</v>
      </c>
      <c r="Y471" s="40">
        <f t="shared" ref="Y471" si="2787">AVERAGE(N315,N367,N419)</f>
        <v>670.33333333333337</v>
      </c>
      <c r="Z471" s="61">
        <f t="shared" ref="Z471" si="2788">(N471-Y471)/Y471</f>
        <v>-0.27051218299353558</v>
      </c>
      <c r="AA471" s="61"/>
    </row>
    <row r="472" spans="1:27" ht="16.2" thickBot="1" x14ac:dyDescent="0.35">
      <c r="A472" s="20">
        <f t="shared" si="2292"/>
        <v>41846</v>
      </c>
      <c r="B472" s="22">
        <v>392</v>
      </c>
      <c r="C472" s="22">
        <v>733</v>
      </c>
      <c r="D472" s="22">
        <v>75</v>
      </c>
      <c r="E472" s="22">
        <v>707</v>
      </c>
      <c r="F472" s="22">
        <v>4</v>
      </c>
      <c r="G472" s="22">
        <v>46</v>
      </c>
      <c r="H472" s="22">
        <v>23</v>
      </c>
      <c r="I472" s="22">
        <v>91</v>
      </c>
      <c r="J472" s="22">
        <v>182</v>
      </c>
      <c r="K472" s="22">
        <v>592</v>
      </c>
      <c r="L472" s="22">
        <v>266</v>
      </c>
      <c r="M472" s="22">
        <v>690</v>
      </c>
      <c r="N472" s="43">
        <f t="shared" si="2668"/>
        <v>578</v>
      </c>
      <c r="O472" s="22">
        <f t="shared" ref="O472" si="2789">SUM(B472,D472,F472,H472,J472,L472)</f>
        <v>942</v>
      </c>
      <c r="P472" s="22">
        <f t="shared" ref="P472" si="2790">SUM(C472,E472,G472,I472,K472,M472)</f>
        <v>2859</v>
      </c>
      <c r="Q472" s="22">
        <f t="shared" ref="Q472" si="2791">SUM(D472,H472,L472)</f>
        <v>364</v>
      </c>
      <c r="R472" s="34">
        <f t="shared" ref="R472" si="2792">(N472-N471)/N471</f>
        <v>0.18200408997955012</v>
      </c>
      <c r="S472" s="32">
        <f t="shared" ref="S472" si="2793">N472-N471</f>
        <v>89</v>
      </c>
      <c r="T472" s="34">
        <f t="shared" ref="T472" si="2794">(N472-N420)/N420</f>
        <v>0.56216216216216219</v>
      </c>
      <c r="U472" s="34">
        <f t="shared" ref="U472" si="2795">N472/P472</f>
        <v>0.20216859041622945</v>
      </c>
      <c r="V472" s="40">
        <f t="shared" ref="V472" si="2796">AVERAGE(B316,B368,B420)</f>
        <v>238.66666666666666</v>
      </c>
      <c r="W472" s="40">
        <f t="shared" ref="W472" si="2797">AVERAGE(F316,F368,F420)</f>
        <v>23</v>
      </c>
      <c r="X472" s="40">
        <f t="shared" ref="X472" si="2798">AVERAGE(J316,J368,J420)</f>
        <v>272.33333333333331</v>
      </c>
      <c r="Y472" s="40">
        <f t="shared" ref="Y472" si="2799">AVERAGE(N316,N368,N420)</f>
        <v>534</v>
      </c>
      <c r="Z472" s="61">
        <f t="shared" ref="Z472" si="2800">(N472-Y472)/Y472</f>
        <v>8.2397003745318345E-2</v>
      </c>
      <c r="AA472" s="61"/>
    </row>
    <row r="473" spans="1:27" ht="16.2" thickBot="1" x14ac:dyDescent="0.35">
      <c r="A473" s="20">
        <f t="shared" si="2292"/>
        <v>41853</v>
      </c>
      <c r="B473" s="22">
        <v>327</v>
      </c>
      <c r="C473" s="22">
        <v>666</v>
      </c>
      <c r="D473" s="22">
        <v>82</v>
      </c>
      <c r="E473" s="22">
        <v>648</v>
      </c>
      <c r="F473" s="22">
        <v>20</v>
      </c>
      <c r="G473" s="22">
        <v>92</v>
      </c>
      <c r="H473" s="22">
        <v>28</v>
      </c>
      <c r="I473" s="22">
        <v>81</v>
      </c>
      <c r="J473" s="22">
        <v>146</v>
      </c>
      <c r="K473" s="22">
        <v>758</v>
      </c>
      <c r="L473" s="22">
        <v>290</v>
      </c>
      <c r="M473" s="22">
        <v>614</v>
      </c>
      <c r="N473" s="43">
        <f t="shared" si="2668"/>
        <v>493</v>
      </c>
      <c r="O473" s="22">
        <f t="shared" ref="O473" si="2801">SUM(B473,D473,F473,H473,J473,L473)</f>
        <v>893</v>
      </c>
      <c r="P473" s="22">
        <f t="shared" ref="P473" si="2802">SUM(C473,E473,G473,I473,K473,M473)</f>
        <v>2859</v>
      </c>
      <c r="Q473" s="22">
        <f t="shared" ref="Q473" si="2803">SUM(D473,H473,L473)</f>
        <v>400</v>
      </c>
      <c r="R473" s="34">
        <f t="shared" ref="R473" si="2804">(N473-N472)/N472</f>
        <v>-0.14705882352941177</v>
      </c>
      <c r="S473" s="32">
        <f t="shared" ref="S473" si="2805">N473-N472</f>
        <v>-85</v>
      </c>
      <c r="T473" s="34">
        <f t="shared" ref="T473" si="2806">(N473-N421)/N421</f>
        <v>0.70588235294117652</v>
      </c>
      <c r="U473" s="34">
        <f t="shared" ref="U473" si="2807">N473/P473</f>
        <v>0.17243791535501923</v>
      </c>
      <c r="V473" s="40">
        <f t="shared" ref="V473" si="2808">AVERAGE(B317,B369,B421)</f>
        <v>226.33333333333334</v>
      </c>
      <c r="W473" s="40">
        <f t="shared" ref="W473" si="2809">AVERAGE(F317,F369,F421)</f>
        <v>20.333333333333332</v>
      </c>
      <c r="X473" s="40">
        <f t="shared" ref="X473" si="2810">AVERAGE(J317,J369,J421)</f>
        <v>230.33333333333334</v>
      </c>
      <c r="Y473" s="40">
        <f t="shared" ref="Y473" si="2811">AVERAGE(N317,N369,N421)</f>
        <v>477</v>
      </c>
      <c r="Z473" s="61">
        <f t="shared" ref="Z473" si="2812">(N473-Y473)/Y473</f>
        <v>3.3542976939203356E-2</v>
      </c>
      <c r="AA473" s="61"/>
    </row>
    <row r="474" spans="1:27" ht="16.2" thickBot="1" x14ac:dyDescent="0.35">
      <c r="A474" s="20">
        <f t="shared" si="2292"/>
        <v>41860</v>
      </c>
      <c r="B474" s="22">
        <v>248</v>
      </c>
      <c r="C474" s="22">
        <v>579</v>
      </c>
      <c r="D474" s="22">
        <v>68</v>
      </c>
      <c r="E474" s="22">
        <v>720</v>
      </c>
      <c r="F474" s="22">
        <v>2</v>
      </c>
      <c r="G474" s="22">
        <v>77</v>
      </c>
      <c r="H474" s="22">
        <v>14</v>
      </c>
      <c r="I474" s="22">
        <v>44</v>
      </c>
      <c r="J474" s="22">
        <v>166</v>
      </c>
      <c r="K474" s="22">
        <v>593</v>
      </c>
      <c r="L474" s="22">
        <v>307</v>
      </c>
      <c r="M474" s="22">
        <v>736</v>
      </c>
      <c r="N474" s="43">
        <f t="shared" si="2668"/>
        <v>416</v>
      </c>
      <c r="O474" s="22">
        <f t="shared" ref="O474" si="2813">SUM(B474,D474,F474,H474,J474,L474)</f>
        <v>805</v>
      </c>
      <c r="P474" s="22">
        <f t="shared" ref="P474" si="2814">SUM(C474,E474,G474,I474,K474,M474)</f>
        <v>2749</v>
      </c>
      <c r="Q474" s="22">
        <f t="shared" ref="Q474" si="2815">SUM(D474,H474,L474)</f>
        <v>389</v>
      </c>
      <c r="R474" s="34">
        <f t="shared" ref="R474" si="2816">(N474-N473)/N473</f>
        <v>-0.15618661257606492</v>
      </c>
      <c r="S474" s="32">
        <f t="shared" ref="S474" si="2817">N474-N473</f>
        <v>-77</v>
      </c>
      <c r="T474" s="34">
        <f t="shared" ref="T474" si="2818">(N474-N422)/N422</f>
        <v>0.55223880597014929</v>
      </c>
      <c r="U474" s="34">
        <f t="shared" ref="U474" si="2819">N474/P474</f>
        <v>0.1513277555474718</v>
      </c>
      <c r="V474" s="40">
        <f t="shared" ref="V474" si="2820">AVERAGE(B318,B370,B422)</f>
        <v>148.66666666666666</v>
      </c>
      <c r="W474" s="40">
        <f t="shared" ref="W474" si="2821">AVERAGE(F318,F370,F422)</f>
        <v>27.666666666666668</v>
      </c>
      <c r="X474" s="40">
        <f t="shared" ref="X474" si="2822">AVERAGE(J318,J370,J422)</f>
        <v>211.66666666666666</v>
      </c>
      <c r="Y474" s="40">
        <f t="shared" ref="Y474" si="2823">AVERAGE(N318,N370,N422)</f>
        <v>388</v>
      </c>
      <c r="Z474" s="61">
        <f t="shared" ref="Z474" si="2824">(N474-Y474)/Y474</f>
        <v>7.2164948453608241E-2</v>
      </c>
      <c r="AA474" s="61"/>
    </row>
    <row r="475" spans="1:27" ht="16.2" thickBot="1" x14ac:dyDescent="0.35">
      <c r="A475" s="20">
        <f t="shared" si="2292"/>
        <v>41867</v>
      </c>
      <c r="B475" s="22">
        <v>189</v>
      </c>
      <c r="C475" s="22">
        <v>438</v>
      </c>
      <c r="D475" s="22">
        <v>63</v>
      </c>
      <c r="E475" s="22">
        <v>492</v>
      </c>
      <c r="F475" s="22">
        <v>10</v>
      </c>
      <c r="G475" s="22">
        <v>91</v>
      </c>
      <c r="H475" s="22">
        <v>15</v>
      </c>
      <c r="I475" s="22">
        <v>70</v>
      </c>
      <c r="J475" s="22">
        <v>185</v>
      </c>
      <c r="K475" s="22">
        <v>731</v>
      </c>
      <c r="L475" s="22">
        <v>267</v>
      </c>
      <c r="M475" s="22">
        <v>721</v>
      </c>
      <c r="N475" s="43">
        <f t="shared" si="2668"/>
        <v>384</v>
      </c>
      <c r="O475" s="22">
        <f t="shared" ref="O475" si="2825">SUM(B475,D475,F475,H475,J475,L475)</f>
        <v>729</v>
      </c>
      <c r="P475" s="22">
        <f t="shared" ref="P475" si="2826">SUM(C475,E475,G475,I475,K475,M475)</f>
        <v>2543</v>
      </c>
      <c r="Q475" s="22">
        <f t="shared" ref="Q475" si="2827">SUM(D475,H475,L475)</f>
        <v>345</v>
      </c>
      <c r="R475" s="34">
        <f t="shared" ref="R475" si="2828">(N475-N474)/N474</f>
        <v>-7.6923076923076927E-2</v>
      </c>
      <c r="S475" s="32">
        <f t="shared" ref="S475" si="2829">N475-N474</f>
        <v>-32</v>
      </c>
      <c r="T475" s="34">
        <f t="shared" ref="T475" si="2830">(N475-N423)/N423</f>
        <v>-7.6923076923076927E-2</v>
      </c>
      <c r="U475" s="34">
        <f t="shared" ref="U475" si="2831">N475/P475</f>
        <v>0.15100275265434526</v>
      </c>
      <c r="V475" s="40">
        <f t="shared" ref="V475" si="2832">AVERAGE(B319,B371,B423)</f>
        <v>127</v>
      </c>
      <c r="W475" s="40">
        <f t="shared" ref="W475" si="2833">AVERAGE(F319,F371,F423)</f>
        <v>40.333333333333336</v>
      </c>
      <c r="X475" s="40">
        <f t="shared" ref="X475" si="2834">AVERAGE(J319,J371,J423)</f>
        <v>260</v>
      </c>
      <c r="Y475" s="40">
        <f t="shared" ref="Y475" si="2835">AVERAGE(N319,N371,N423)</f>
        <v>427.33333333333331</v>
      </c>
      <c r="Z475" s="61">
        <f t="shared" ref="Z475" si="2836">(N475-Y475)/Y475</f>
        <v>-0.10140405616224644</v>
      </c>
      <c r="AA475" s="61"/>
    </row>
    <row r="476" spans="1:27" ht="16.2" thickBot="1" x14ac:dyDescent="0.35">
      <c r="A476" s="20">
        <f t="shared" si="2292"/>
        <v>41874</v>
      </c>
      <c r="B476" s="22">
        <v>143</v>
      </c>
      <c r="C476" s="22">
        <v>443</v>
      </c>
      <c r="D476" s="22">
        <v>65</v>
      </c>
      <c r="E476" s="22">
        <v>648</v>
      </c>
      <c r="F476" s="22">
        <v>11</v>
      </c>
      <c r="G476" s="22">
        <v>35</v>
      </c>
      <c r="H476" s="22">
        <v>7</v>
      </c>
      <c r="I476" s="22">
        <v>31</v>
      </c>
      <c r="J476" s="22">
        <v>43</v>
      </c>
      <c r="K476" s="22">
        <v>355</v>
      </c>
      <c r="L476" s="22">
        <v>234</v>
      </c>
      <c r="M476" s="22">
        <v>542</v>
      </c>
      <c r="N476" s="43">
        <f t="shared" si="2668"/>
        <v>197</v>
      </c>
      <c r="O476" s="22">
        <f t="shared" ref="O476" si="2837">SUM(B476,D476,F476,H476,J476,L476)</f>
        <v>503</v>
      </c>
      <c r="P476" s="22">
        <f t="shared" ref="P476" si="2838">SUM(C476,E476,G476,I476,K476,M476)</f>
        <v>2054</v>
      </c>
      <c r="Q476" s="22">
        <f t="shared" ref="Q476" si="2839">SUM(D476,H476,L476)</f>
        <v>306</v>
      </c>
      <c r="R476" s="34">
        <f t="shared" ref="R476" si="2840">(N476-N475)/N475</f>
        <v>-0.48697916666666669</v>
      </c>
      <c r="S476" s="32">
        <f t="shared" ref="S476" si="2841">N476-N475</f>
        <v>-187</v>
      </c>
      <c r="T476" s="34">
        <f t="shared" ref="T476" si="2842">(N476-N424)/N424</f>
        <v>-0.31833910034602075</v>
      </c>
      <c r="U476" s="34">
        <f t="shared" ref="U476" si="2843">N476/P476</f>
        <v>9.5910418695228816E-2</v>
      </c>
      <c r="V476" s="40">
        <f t="shared" ref="V476" si="2844">AVERAGE(B320,B372,B424)</f>
        <v>115</v>
      </c>
      <c r="W476" s="40">
        <f t="shared" ref="W476" si="2845">AVERAGE(F320,F372,F424)</f>
        <v>32</v>
      </c>
      <c r="X476" s="40">
        <f t="shared" ref="X476" si="2846">AVERAGE(J320,J372,J424)</f>
        <v>208.33333333333334</v>
      </c>
      <c r="Y476" s="40">
        <f t="shared" ref="Y476" si="2847">AVERAGE(N320,N372,N424)</f>
        <v>355.33333333333331</v>
      </c>
      <c r="Z476" s="61">
        <f t="shared" ref="Z476" si="2848">(N476-Y476)/Y476</f>
        <v>-0.44559099437148214</v>
      </c>
      <c r="AA476" s="61"/>
    </row>
    <row r="477" spans="1:27" ht="16.2" thickBot="1" x14ac:dyDescent="0.35">
      <c r="A477" s="20">
        <f t="shared" si="2292"/>
        <v>41881</v>
      </c>
      <c r="B477" s="22">
        <v>143</v>
      </c>
      <c r="C477" s="22">
        <v>671</v>
      </c>
      <c r="D477" s="22">
        <v>102</v>
      </c>
      <c r="E477" s="22">
        <v>684</v>
      </c>
      <c r="F477" s="22">
        <v>0</v>
      </c>
      <c r="G477" s="22">
        <v>36</v>
      </c>
      <c r="H477" s="22">
        <v>54</v>
      </c>
      <c r="I477" s="22">
        <v>128</v>
      </c>
      <c r="J477" s="22">
        <v>234</v>
      </c>
      <c r="K477" s="22">
        <v>971</v>
      </c>
      <c r="L477" s="22">
        <v>382</v>
      </c>
      <c r="M477" s="22">
        <v>787</v>
      </c>
      <c r="N477" s="43">
        <f t="shared" si="2668"/>
        <v>377</v>
      </c>
      <c r="O477" s="22">
        <f t="shared" ref="O477" si="2849">SUM(B477,D477,F477,H477,J477,L477)</f>
        <v>915</v>
      </c>
      <c r="P477" s="22">
        <f t="shared" ref="P477" si="2850">SUM(C477,E477,G477,I477,K477,M477)</f>
        <v>3277</v>
      </c>
      <c r="Q477" s="22">
        <f t="shared" ref="Q477" si="2851">SUM(D477,H477,L477)</f>
        <v>538</v>
      </c>
      <c r="R477" s="34">
        <f t="shared" ref="R477" si="2852">(N477-N476)/N476</f>
        <v>0.91370558375634514</v>
      </c>
      <c r="S477" s="32">
        <f t="shared" ref="S477" si="2853">N477-N476</f>
        <v>180</v>
      </c>
      <c r="T477" s="34">
        <f t="shared" ref="T477" si="2854">(N477-N425)/N425</f>
        <v>0.34163701067615659</v>
      </c>
      <c r="U477" s="34">
        <f t="shared" ref="U477" si="2855">N477/P477</f>
        <v>0.11504424778761062</v>
      </c>
      <c r="V477" s="40">
        <f t="shared" ref="V477" si="2856">AVERAGE(B321,B373,B425)</f>
        <v>102.33333333333333</v>
      </c>
      <c r="W477" s="40">
        <f t="shared" ref="W477" si="2857">AVERAGE(F321,F373,F425)</f>
        <v>19.333333333333332</v>
      </c>
      <c r="X477" s="40">
        <f t="shared" ref="X477" si="2858">AVERAGE(J321,J373,J425)</f>
        <v>221.33333333333334</v>
      </c>
      <c r="Y477" s="40">
        <f t="shared" ref="Y477" si="2859">AVERAGE(N321,N373,N425)</f>
        <v>343</v>
      </c>
      <c r="Z477" s="61">
        <f t="shared" ref="Z477" si="2860">(N477-Y477)/Y477</f>
        <v>9.9125364431486881E-2</v>
      </c>
      <c r="AA477" s="61"/>
    </row>
    <row r="478" spans="1:27" ht="16.2" thickBot="1" x14ac:dyDescent="0.35">
      <c r="A478" s="20">
        <f t="shared" si="2292"/>
        <v>41888</v>
      </c>
      <c r="B478" s="22">
        <v>128</v>
      </c>
      <c r="C478" s="22">
        <v>421</v>
      </c>
      <c r="D478" s="22">
        <v>105</v>
      </c>
      <c r="E478" s="22">
        <v>469</v>
      </c>
      <c r="F478" s="22">
        <v>19</v>
      </c>
      <c r="G478" s="22">
        <v>64</v>
      </c>
      <c r="H478" s="22">
        <v>6</v>
      </c>
      <c r="I478" s="22">
        <v>33</v>
      </c>
      <c r="J478" s="22">
        <v>96</v>
      </c>
      <c r="K478" s="22">
        <v>399</v>
      </c>
      <c r="L478" s="22">
        <v>295</v>
      </c>
      <c r="M478" s="22">
        <v>532</v>
      </c>
      <c r="N478" s="43">
        <f t="shared" si="2668"/>
        <v>243</v>
      </c>
      <c r="O478" s="22">
        <f t="shared" ref="O478" si="2861">SUM(B478,D478,F478,H478,J478,L478)</f>
        <v>649</v>
      </c>
      <c r="P478" s="22">
        <f t="shared" ref="P478" si="2862">SUM(C478,E478,G478,I478,K478,M478)</f>
        <v>1918</v>
      </c>
      <c r="Q478" s="22">
        <f t="shared" ref="Q478" si="2863">SUM(D478,H478,L478)</f>
        <v>406</v>
      </c>
      <c r="R478" s="34">
        <f t="shared" ref="R478" si="2864">(N478-N477)/N477</f>
        <v>-0.35543766578249336</v>
      </c>
      <c r="S478" s="32">
        <f t="shared" ref="S478" si="2865">N478-N477</f>
        <v>-134</v>
      </c>
      <c r="T478" s="34">
        <f t="shared" ref="T478" si="2866">(N478-N426)/N426</f>
        <v>-0.35199999999999998</v>
      </c>
      <c r="U478" s="34">
        <f t="shared" ref="U478" si="2867">N478/P478</f>
        <v>0.12669447340980189</v>
      </c>
      <c r="V478" s="40">
        <f t="shared" ref="V478" si="2868">AVERAGE(B322,B374,B426)</f>
        <v>98.666666666666671</v>
      </c>
      <c r="W478" s="40">
        <f t="shared" ref="W478" si="2869">AVERAGE(F322,F374,F426)</f>
        <v>34.333333333333336</v>
      </c>
      <c r="X478" s="40">
        <f t="shared" ref="X478" si="2870">AVERAGE(J322,J374,J426)</f>
        <v>239.66666666666666</v>
      </c>
      <c r="Y478" s="40">
        <f t="shared" ref="Y478" si="2871">AVERAGE(N322,N374,N426)</f>
        <v>372.66666666666669</v>
      </c>
      <c r="Z478" s="61">
        <f t="shared" ref="Z478" si="2872">(N478-Y478)/Y478</f>
        <v>-0.34794275491949916</v>
      </c>
      <c r="AA478" s="61"/>
    </row>
    <row r="479" spans="1:27" ht="16.2" thickBot="1" x14ac:dyDescent="0.35">
      <c r="A479" s="20">
        <f t="shared" si="2292"/>
        <v>41895</v>
      </c>
      <c r="B479" s="22">
        <v>113</v>
      </c>
      <c r="C479" s="22">
        <v>542</v>
      </c>
      <c r="D479" s="22">
        <v>116</v>
      </c>
      <c r="E479" s="22">
        <v>497</v>
      </c>
      <c r="F479" s="22">
        <v>17</v>
      </c>
      <c r="G479" s="22">
        <v>90</v>
      </c>
      <c r="H479" s="22">
        <v>11</v>
      </c>
      <c r="I479" s="22">
        <v>38</v>
      </c>
      <c r="J479" s="22">
        <v>77</v>
      </c>
      <c r="K479" s="22">
        <v>512</v>
      </c>
      <c r="L479" s="22">
        <v>310</v>
      </c>
      <c r="M479" s="22">
        <v>580</v>
      </c>
      <c r="N479" s="43">
        <f t="shared" si="2668"/>
        <v>207</v>
      </c>
      <c r="O479" s="22">
        <f t="shared" ref="O479:O480" si="2873">SUM(B479,D479,F479,H479,J479,L479)</f>
        <v>644</v>
      </c>
      <c r="P479" s="22">
        <f t="shared" ref="P479:P480" si="2874">SUM(C479,E479,G479,I479,K479,M479)</f>
        <v>2259</v>
      </c>
      <c r="Q479" s="22">
        <f t="shared" ref="Q479:Q480" si="2875">SUM(D479,H479,L479)</f>
        <v>437</v>
      </c>
      <c r="R479" s="34">
        <f t="shared" ref="R479" si="2876">(N479-N478)/N478</f>
        <v>-0.14814814814814814</v>
      </c>
      <c r="S479" s="32">
        <f t="shared" ref="S479" si="2877">N479-N478</f>
        <v>-36</v>
      </c>
      <c r="T479" s="34">
        <f t="shared" ref="T479" si="2878">(N479-N427)/N427</f>
        <v>-0.25270758122743681</v>
      </c>
      <c r="U479" s="34">
        <f t="shared" ref="U479:U480" si="2879">N479/P479</f>
        <v>9.1633466135458169E-2</v>
      </c>
      <c r="V479" s="40">
        <f t="shared" ref="V479" si="2880">AVERAGE(B323,B375,B427)</f>
        <v>103</v>
      </c>
      <c r="W479" s="40">
        <f t="shared" ref="W479" si="2881">AVERAGE(F323,F375,F427)</f>
        <v>32.333333333333336</v>
      </c>
      <c r="X479" s="40">
        <f t="shared" ref="X479" si="2882">AVERAGE(J323,J375,J427)</f>
        <v>193.33333333333334</v>
      </c>
      <c r="Y479" s="40">
        <f t="shared" ref="Y479" si="2883">AVERAGE(N323,N375,N427)</f>
        <v>328.66666666666669</v>
      </c>
      <c r="Z479" s="61">
        <f t="shared" ref="Z479" si="2884">(N479-Y479)/Y479</f>
        <v>-0.37018255578093312</v>
      </c>
      <c r="AA479" s="61"/>
    </row>
    <row r="480" spans="1:27" ht="16.2" thickBot="1" x14ac:dyDescent="0.35">
      <c r="A480" s="20">
        <f t="shared" si="2292"/>
        <v>41902</v>
      </c>
      <c r="B480" s="22">
        <v>126</v>
      </c>
      <c r="C480" s="22">
        <v>386</v>
      </c>
      <c r="D480" s="22">
        <v>120</v>
      </c>
      <c r="E480" s="22">
        <v>437</v>
      </c>
      <c r="F480" s="22">
        <v>15</v>
      </c>
      <c r="G480" s="22">
        <v>102</v>
      </c>
      <c r="H480" s="22">
        <v>9</v>
      </c>
      <c r="I480" s="22">
        <v>90</v>
      </c>
      <c r="J480" s="22">
        <v>243</v>
      </c>
      <c r="K480" s="22">
        <v>864</v>
      </c>
      <c r="L480" s="22">
        <v>310</v>
      </c>
      <c r="M480" s="22">
        <v>793</v>
      </c>
      <c r="N480" s="43">
        <f t="shared" si="2668"/>
        <v>384</v>
      </c>
      <c r="O480" s="22">
        <f t="shared" ref="O480" si="2885">SUM(B480,D480,F480,H480,J480,L480)</f>
        <v>823</v>
      </c>
      <c r="P480" s="22">
        <f t="shared" ref="P480" si="2886">SUM(C480,E480,G480,I480,K480,M480)</f>
        <v>2672</v>
      </c>
      <c r="Q480" s="22">
        <f t="shared" ref="Q480" si="2887">SUM(D480,H480,L480)</f>
        <v>439</v>
      </c>
      <c r="R480" s="34">
        <f t="shared" ref="R480" si="2888">(N480-N479)/N479</f>
        <v>0.85507246376811596</v>
      </c>
      <c r="S480" s="32">
        <f t="shared" ref="S480" si="2889">N480-N479</f>
        <v>177</v>
      </c>
      <c r="T480" s="34">
        <f t="shared" ref="T480" si="2890">(N480-N428)/N428</f>
        <v>-0.18123667377398719</v>
      </c>
      <c r="U480" s="34">
        <f t="shared" ref="U480" si="2891">N480/P480</f>
        <v>0.1437125748502994</v>
      </c>
      <c r="V480" s="40">
        <f t="shared" ref="V480" si="2892">AVERAGE(B324,B376,B428)</f>
        <v>89.666666666666671</v>
      </c>
      <c r="W480" s="40">
        <f t="shared" ref="W480" si="2893">AVERAGE(F324,F376,F428)</f>
        <v>31.666666666666668</v>
      </c>
      <c r="X480" s="40">
        <f t="shared" ref="X480" si="2894">AVERAGE(J324,J376,J428)</f>
        <v>299</v>
      </c>
      <c r="Y480" s="40">
        <f t="shared" ref="Y480" si="2895">AVERAGE(N324,N376,N428)</f>
        <v>420.33333333333331</v>
      </c>
      <c r="Z480" s="61">
        <f t="shared" ref="Z480" si="2896">(N480-Y480)/Y480</f>
        <v>-8.6439333862014231E-2</v>
      </c>
      <c r="AA480" s="61"/>
    </row>
    <row r="481" spans="2:13" ht="16.2" thickBot="1" x14ac:dyDescent="0.35"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2014-09-22T15:37:06Z</dcterms:modified>
</cp:coreProperties>
</file>