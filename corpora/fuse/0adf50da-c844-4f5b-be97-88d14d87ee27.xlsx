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05" windowWidth="14355" windowHeight="4125" activeTab="1"/>
  </bookViews>
  <sheets>
    <sheet name="Conto Economico" sheetId="1" r:id="rId1"/>
    <sheet name="Grafico a ponte" sheetId="2" r:id="rId2"/>
  </sheets>
  <calcPr calcId="145621"/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3" i="2"/>
  <c r="C3" i="2" s="1"/>
  <c r="F3" i="2"/>
  <c r="D3" i="2" l="1"/>
  <c r="E4" i="2"/>
  <c r="E5" i="2"/>
  <c r="E6" i="2"/>
  <c r="E7" i="2"/>
  <c r="E8" i="2"/>
  <c r="E9" i="2"/>
  <c r="E10" i="2"/>
  <c r="D5" i="2"/>
  <c r="D6" i="2"/>
  <c r="D7" i="2"/>
  <c r="D8" i="2"/>
  <c r="D9" i="2"/>
  <c r="D10" i="2"/>
  <c r="C11" i="2"/>
  <c r="C2" i="2"/>
  <c r="C10" i="2"/>
  <c r="E3" i="2" l="1"/>
  <c r="D4" i="2" l="1"/>
  <c r="H4" i="2" s="1"/>
  <c r="I3" i="2"/>
  <c r="G11" i="2" l="1"/>
  <c r="H8" i="2"/>
  <c r="C7" i="2" s="1"/>
  <c r="H9" i="2"/>
  <c r="C8" i="2" s="1"/>
  <c r="I7" i="2"/>
  <c r="H3" i="2"/>
  <c r="I5" i="2"/>
  <c r="H7" i="2"/>
  <c r="C6" i="2" s="1"/>
  <c r="H5" i="2"/>
  <c r="C4" i="2" s="1"/>
  <c r="I9" i="2"/>
  <c r="H10" i="2"/>
  <c r="C9" i="2" s="1"/>
  <c r="I4" i="2"/>
  <c r="I8" i="2"/>
  <c r="I10" i="2"/>
  <c r="D8" i="1"/>
  <c r="D14" i="1" s="1"/>
  <c r="D22" i="1" s="1"/>
  <c r="D26" i="1" s="1"/>
  <c r="C8" i="1" l="1"/>
  <c r="C14" i="1" l="1"/>
  <c r="C22" i="1" s="1"/>
  <c r="C26" i="1" s="1"/>
  <c r="H6" i="2" l="1"/>
  <c r="J2" i="2"/>
  <c r="F4" i="2" s="1"/>
  <c r="F5" i="2" s="1"/>
  <c r="I6" i="2"/>
  <c r="C5" i="2" l="1"/>
  <c r="F6" i="2"/>
  <c r="F7" i="2" s="1"/>
  <c r="F8" i="2" s="1"/>
  <c r="F9" i="2" s="1"/>
  <c r="F10" i="2" s="1"/>
</calcChain>
</file>

<file path=xl/sharedStrings.xml><?xml version="1.0" encoding="utf-8"?>
<sst xmlns="http://schemas.openxmlformats.org/spreadsheetml/2006/main" count="32" uniqueCount="29">
  <si>
    <t>Risultato operativo lordo della gestione caratteristica</t>
  </si>
  <si>
    <t>Imposte sul reddito</t>
  </si>
  <si>
    <t>Risultato economico dell'esercizio</t>
  </si>
  <si>
    <t>(mln €)</t>
  </si>
  <si>
    <t xml:space="preserve"> </t>
  </si>
  <si>
    <t>(Lato inferiore)</t>
  </si>
  <si>
    <t>Minus</t>
  </si>
  <si>
    <t>Plus</t>
  </si>
  <si>
    <t>Ricavo dei Prodotti Venduti</t>
  </si>
  <si>
    <t>Costo del venduto</t>
  </si>
  <si>
    <t>Risultato lordo della gestione industriale</t>
  </si>
  <si>
    <t>Costi della funzione commerciale</t>
  </si>
  <si>
    <t>Costi della funzione amministrativa</t>
  </si>
  <si>
    <t>Risultato della gestione finanziaria</t>
  </si>
  <si>
    <t>Risultato della gestione atipica</t>
  </si>
  <si>
    <t>Risultato della gestione straordinaria</t>
  </si>
  <si>
    <t>Risultato economico lordo prima delle Imposte</t>
  </si>
  <si>
    <t>Risultato Economico 2009</t>
  </si>
  <si>
    <t>Risultato Economico 2010</t>
  </si>
  <si>
    <t>Conto Economico esercizio 2009</t>
  </si>
  <si>
    <t>Conto Economico esercizio 2010</t>
  </si>
  <si>
    <t>Risultato 2009</t>
  </si>
  <si>
    <t>Risultato 2010</t>
  </si>
  <si>
    <t>Ricavi</t>
  </si>
  <si>
    <t>Costi amministrativi</t>
  </si>
  <si>
    <t>Costi  commerciali</t>
  </si>
  <si>
    <t>Gestione finanziaria</t>
  </si>
  <si>
    <t>Gestione atipica</t>
  </si>
  <si>
    <t>Gestione straordinaria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</si>
</sst>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43" fontId="6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3" fillId="0" borderId="0" xfId="0" applyNumberFormat="1" applyFont="1"/>
    <xf numFmtId="0" fontId="7" fillId="0" borderId="0" xfId="0" applyFont="1" applyAlignment="1">
      <alignment horizontal="center" vertical="center"/>
    </xf>
    <xf numFmtId="0" fontId="0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2" borderId="0" xfId="0" applyFont="1" applyFill="1"/>
    <xf numFmtId="0" fontId="0" fillId="0" borderId="0" xfId="0" applyAlignment="1">
      <alignment horizontal="center" vertical="center"/>
    </xf>
    <xf numFmtId="3" fontId="0" fillId="0" borderId="0" xfId="0" applyNumberFormat="1" applyFont="1"/>
    <xf numFmtId="0" fontId="8" fillId="0" borderId="0" xfId="0" applyFont="1"/>
    <xf numFmtId="3" fontId="8" fillId="0" borderId="0" xfId="0" applyNumberFormat="1" applyFont="1"/>
    <xf numFmtId="3" fontId="0" fillId="3" borderId="0" xfId="0" applyNumberFormat="1" applyFont="1" applyFill="1"/>
    <xf numFmtId="3" fontId="8" fillId="3" borderId="0" xfId="0" applyNumberFormat="1" applyFont="1" applyFill="1"/>
  </cellXfs>
  <cellStyles count="3">
    <cellStyle name="Migliaia 2" xfId="2"/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cat>
            <c:strRef>
              <c:f>'Grafico a ponte'!$C$2:$C$11</c:f>
              <c:strCache>
                <c:ptCount val="10"/>
                <c:pt idx="0">
                  <c:v>Risultato 2009</c:v>
                </c:pt>
                <c:pt idx="1">
                  <c:v>(+)  Ricavi</c:v>
                </c:pt>
                <c:pt idx="2">
                  <c:v>(-)  Costo del venduto</c:v>
                </c:pt>
                <c:pt idx="3">
                  <c:v>(-)  Costi  commerciali</c:v>
                </c:pt>
                <c:pt idx="4">
                  <c:v>(-)  Costi amministrativi</c:v>
                </c:pt>
                <c:pt idx="5">
                  <c:v>(+)  Gestione finanziaria</c:v>
                </c:pt>
                <c:pt idx="6">
                  <c:v>(+)  Gestione atipica</c:v>
                </c:pt>
                <c:pt idx="7">
                  <c:v>(-)  Gestione straordinaria</c:v>
                </c:pt>
                <c:pt idx="8">
                  <c:v>(-)  Imposte sul reddito</c:v>
                </c:pt>
                <c:pt idx="9">
                  <c:v>Risultato 2010</c:v>
                </c:pt>
              </c:strCache>
            </c:strRef>
          </c:cat>
          <c:val>
            <c:numRef>
              <c:f>'Grafico a ponte'!$F$2:$F$11</c:f>
              <c:numCache>
                <c:formatCode>#,##0</c:formatCode>
                <c:ptCount val="10"/>
                <c:pt idx="1">
                  <c:v>6</c:v>
                </c:pt>
                <c:pt idx="2">
                  <c:v>27</c:v>
                </c:pt>
                <c:pt idx="3">
                  <c:v>26</c:v>
                </c:pt>
                <c:pt idx="4">
                  <c:v>23</c:v>
                </c:pt>
                <c:pt idx="5">
                  <c:v>23</c:v>
                </c:pt>
                <c:pt idx="6">
                  <c:v>31</c:v>
                </c:pt>
                <c:pt idx="7">
                  <c:v>28</c:v>
                </c:pt>
                <c:pt idx="8">
                  <c:v>19</c:v>
                </c:pt>
              </c:numCache>
            </c:numRef>
          </c:val>
        </c:ser>
        <c:ser>
          <c:idx val="1"/>
          <c:order val="1"/>
          <c:spPr>
            <a:solidFill>
              <a:srgbClr val="00B0F0"/>
            </a:solidFill>
          </c:spPr>
          <c:invertIfNegative val="0"/>
          <c:dLbls>
            <c:txPr>
              <a:bodyPr/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'Grafico a ponte'!$C$2:$C$11</c:f>
              <c:strCache>
                <c:ptCount val="10"/>
                <c:pt idx="0">
                  <c:v>Risultato 2009</c:v>
                </c:pt>
                <c:pt idx="1">
                  <c:v>(+)  Ricavi</c:v>
                </c:pt>
                <c:pt idx="2">
                  <c:v>(-)  Costo del venduto</c:v>
                </c:pt>
                <c:pt idx="3">
                  <c:v>(-)  Costi  commerciali</c:v>
                </c:pt>
                <c:pt idx="4">
                  <c:v>(-)  Costi amministrativi</c:v>
                </c:pt>
                <c:pt idx="5">
                  <c:v>(+)  Gestione finanziaria</c:v>
                </c:pt>
                <c:pt idx="6">
                  <c:v>(+)  Gestione atipica</c:v>
                </c:pt>
                <c:pt idx="7">
                  <c:v>(-)  Gestione straordinaria</c:v>
                </c:pt>
                <c:pt idx="8">
                  <c:v>(-)  Imposte sul reddito</c:v>
                </c:pt>
                <c:pt idx="9">
                  <c:v>Risultato 2010</c:v>
                </c:pt>
              </c:strCache>
            </c:strRef>
          </c:cat>
          <c:val>
            <c:numRef>
              <c:f>'Grafico a ponte'!$G$2:$G$11</c:f>
              <c:numCache>
                <c:formatCode>General</c:formatCode>
                <c:ptCount val="10"/>
                <c:pt idx="9" formatCode="#,##0">
                  <c:v>19</c:v>
                </c:pt>
              </c:numCache>
            </c:numRef>
          </c:val>
        </c:ser>
        <c:ser>
          <c:idx val="2"/>
          <c:order val="2"/>
          <c:spPr>
            <a:solidFill>
              <a:srgbClr val="FF0000"/>
            </a:solidFill>
          </c:spPr>
          <c:invertIfNegative val="0"/>
          <c:dLbls>
            <c:dLbl>
              <c:idx val="1"/>
              <c:delete val="1"/>
            </c:dLbl>
            <c:dLbl>
              <c:idx val="3"/>
              <c:layout>
                <c:manualLayout>
                  <c:x val="0"/>
                  <c:y val="-2.9866670011315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delete val="1"/>
            </c:dLbl>
            <c:dLbl>
              <c:idx val="6"/>
              <c:delete val="1"/>
            </c:dLbl>
            <c:txPr>
              <a:bodyPr/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'Grafico a ponte'!$C$2:$C$11</c:f>
              <c:strCache>
                <c:ptCount val="10"/>
                <c:pt idx="0">
                  <c:v>Risultato 2009</c:v>
                </c:pt>
                <c:pt idx="1">
                  <c:v>(+)  Ricavi</c:v>
                </c:pt>
                <c:pt idx="2">
                  <c:v>(-)  Costo del venduto</c:v>
                </c:pt>
                <c:pt idx="3">
                  <c:v>(-)  Costi  commerciali</c:v>
                </c:pt>
                <c:pt idx="4">
                  <c:v>(-)  Costi amministrativi</c:v>
                </c:pt>
                <c:pt idx="5">
                  <c:v>(+)  Gestione finanziaria</c:v>
                </c:pt>
                <c:pt idx="6">
                  <c:v>(+)  Gestione atipica</c:v>
                </c:pt>
                <c:pt idx="7">
                  <c:v>(-)  Gestione straordinaria</c:v>
                </c:pt>
                <c:pt idx="8">
                  <c:v>(-)  Imposte sul reddito</c:v>
                </c:pt>
                <c:pt idx="9">
                  <c:v>Risultato 2010</c:v>
                </c:pt>
              </c:strCache>
            </c:strRef>
          </c:cat>
          <c:val>
            <c:numRef>
              <c:f>'Grafico a ponte'!$H$2:$H$11</c:f>
              <c:numCache>
                <c:formatCode>#,##0</c:formatCode>
                <c:ptCount val="10"/>
                <c:pt idx="1">
                  <c:v>0</c:v>
                </c:pt>
                <c:pt idx="2">
                  <c:v>27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9</c:v>
                </c:pt>
              </c:numCache>
            </c:numRef>
          </c:val>
        </c:ser>
        <c:ser>
          <c:idx val="3"/>
          <c:order val="3"/>
          <c:spPr>
            <a:solidFill>
              <a:srgbClr val="00B050"/>
            </a:solidFill>
          </c:spPr>
          <c:invertIfNegative val="0"/>
          <c:dLbls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txPr>
              <a:bodyPr/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'Grafico a ponte'!$C$2:$C$11</c:f>
              <c:strCache>
                <c:ptCount val="10"/>
                <c:pt idx="0">
                  <c:v>Risultato 2009</c:v>
                </c:pt>
                <c:pt idx="1">
                  <c:v>(+)  Ricavi</c:v>
                </c:pt>
                <c:pt idx="2">
                  <c:v>(-)  Costo del venduto</c:v>
                </c:pt>
                <c:pt idx="3">
                  <c:v>(-)  Costi  commerciali</c:v>
                </c:pt>
                <c:pt idx="4">
                  <c:v>(-)  Costi amministrativi</c:v>
                </c:pt>
                <c:pt idx="5">
                  <c:v>(+)  Gestione finanziaria</c:v>
                </c:pt>
                <c:pt idx="6">
                  <c:v>(+)  Gestione atipica</c:v>
                </c:pt>
                <c:pt idx="7">
                  <c:v>(-)  Gestione straordinaria</c:v>
                </c:pt>
                <c:pt idx="8">
                  <c:v>(-)  Imposte sul reddito</c:v>
                </c:pt>
                <c:pt idx="9">
                  <c:v>Risultato 2010</c:v>
                </c:pt>
              </c:strCache>
            </c:strRef>
          </c:cat>
          <c:val>
            <c:numRef>
              <c:f>'Grafico a ponte'!$I$2:$I$11</c:f>
              <c:numCache>
                <c:formatCode>#,##0</c:formatCode>
                <c:ptCount val="10"/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00B0F0"/>
            </a:solidFill>
          </c:spPr>
          <c:invertIfNegative val="0"/>
          <c:dLbls>
            <c:txPr>
              <a:bodyPr/>
              <a:lstStyle/>
              <a:p>
                <a:pPr>
                  <a:defRPr b="1"/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'Grafico a ponte'!$C$2:$C$11</c:f>
              <c:strCache>
                <c:ptCount val="10"/>
                <c:pt idx="0">
                  <c:v>Risultato 2009</c:v>
                </c:pt>
                <c:pt idx="1">
                  <c:v>(+)  Ricavi</c:v>
                </c:pt>
                <c:pt idx="2">
                  <c:v>(-)  Costo del venduto</c:v>
                </c:pt>
                <c:pt idx="3">
                  <c:v>(-)  Costi  commerciali</c:v>
                </c:pt>
                <c:pt idx="4">
                  <c:v>(-)  Costi amministrativi</c:v>
                </c:pt>
                <c:pt idx="5">
                  <c:v>(+)  Gestione finanziaria</c:v>
                </c:pt>
                <c:pt idx="6">
                  <c:v>(+)  Gestione atipica</c:v>
                </c:pt>
                <c:pt idx="7">
                  <c:v>(-)  Gestione straordinaria</c:v>
                </c:pt>
                <c:pt idx="8">
                  <c:v>(-)  Imposte sul reddito</c:v>
                </c:pt>
                <c:pt idx="9">
                  <c:v>Risultato 2010</c:v>
                </c:pt>
              </c:strCache>
            </c:strRef>
          </c:cat>
          <c:val>
            <c:numRef>
              <c:f>'Grafico a ponte'!$J$2:$J$11</c:f>
              <c:numCache>
                <c:formatCode>General</c:formatCode>
                <c:ptCount val="10"/>
                <c:pt idx="0" formatCode="#,##0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98752"/>
        <c:axId val="45500288"/>
      </c:barChart>
      <c:catAx>
        <c:axId val="4549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it-IT"/>
          </a:p>
        </c:txPr>
        <c:crossAx val="45500288"/>
        <c:crosses val="autoZero"/>
        <c:auto val="1"/>
        <c:lblAlgn val="ctr"/>
        <c:lblOffset val="100"/>
        <c:noMultiLvlLbl val="0"/>
      </c:catAx>
      <c:valAx>
        <c:axId val="4550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498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721178</xdr:colOff>
      <xdr:row>21</xdr:row>
      <xdr:rowOff>176894</xdr:rowOff>
    </xdr:from>
    <xdr:to>
      <xdr:col>10</xdr:col>
      <xdr:colOff>176892</xdr:colOff>
      <xdr:row>48</xdr:row>
      <xdr:rowOff>136072</xdr:rowOff>
    </xdr:to>
    <xdr:graphicFrame macro="">
      <xdr:nvGraphicFramePr>
        <xdr:cNvPr id="6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0"/>
  <sheetViews>
    <sheetView zoomScale="90" zoomScaleNormal="90" workbookViewId="0"/>
  </sheetViews>
  <sheetFormatPr defaultRowHeight="15" x14ac:dyDescent="0.25"/>
  <cols>
    <col min="2" max="2" width="52" bestFit="1" customWidth="1"/>
    <col min="3" max="4" width="24.140625" style="3" bestFit="1" customWidth="1"/>
    <col min="5" max="5" width="16.28515625" bestFit="1" customWidth="1"/>
    <col min="6" max="6" width="28.28515625" bestFit="1" customWidth="1"/>
    <col min="7" max="7" width="7.7109375" bestFit="1" customWidth="1"/>
    <col min="8" max="8" width="6.140625" bestFit="1" customWidth="1"/>
    <col min="9" max="9" width="27.7109375" bestFit="1" customWidth="1"/>
  </cols>
  <sheetData>
    <row r="1" spans="2:4" ht="18.75" x14ac:dyDescent="0.25">
      <c r="C1" s="6">
        <v>2009</v>
      </c>
      <c r="D1" s="6">
        <v>2010</v>
      </c>
    </row>
    <row r="3" spans="2:4" x14ac:dyDescent="0.25">
      <c r="C3" s="4" t="s">
        <v>3</v>
      </c>
      <c r="D3" s="4" t="s">
        <v>3</v>
      </c>
    </row>
    <row r="4" spans="2:4" ht="15.75" x14ac:dyDescent="0.25">
      <c r="B4" s="1" t="s">
        <v>8</v>
      </c>
      <c r="C4" s="5">
        <v>67</v>
      </c>
      <c r="D4" s="5">
        <v>115</v>
      </c>
    </row>
    <row r="5" spans="2:4" ht="15.75" x14ac:dyDescent="0.25">
      <c r="C5" s="5"/>
      <c r="D5" s="5"/>
    </row>
    <row r="6" spans="2:4" ht="15.75" x14ac:dyDescent="0.25">
      <c r="B6" s="1" t="s">
        <v>9</v>
      </c>
      <c r="C6" s="5">
        <v>-38</v>
      </c>
      <c r="D6" s="5">
        <v>-65</v>
      </c>
    </row>
    <row r="7" spans="2:4" ht="15.75" x14ac:dyDescent="0.25">
      <c r="C7" s="5"/>
      <c r="D7" s="5"/>
    </row>
    <row r="8" spans="2:4" ht="15.75" x14ac:dyDescent="0.25">
      <c r="B8" s="2" t="s">
        <v>10</v>
      </c>
      <c r="C8" s="8">
        <f>+C4+C6</f>
        <v>29</v>
      </c>
      <c r="D8" s="8">
        <f>+D4+D6</f>
        <v>50</v>
      </c>
    </row>
    <row r="9" spans="2:4" ht="15.75" x14ac:dyDescent="0.25">
      <c r="C9" s="5"/>
      <c r="D9" s="5"/>
    </row>
    <row r="10" spans="2:4" ht="15.75" x14ac:dyDescent="0.25">
      <c r="B10" s="1" t="s">
        <v>11</v>
      </c>
      <c r="C10" s="5">
        <v>-10</v>
      </c>
      <c r="D10" s="5">
        <v>-11</v>
      </c>
    </row>
    <row r="11" spans="2:4" ht="15.75" x14ac:dyDescent="0.25">
      <c r="C11" s="5"/>
      <c r="D11" s="5"/>
    </row>
    <row r="12" spans="2:4" ht="15.75" x14ac:dyDescent="0.25">
      <c r="B12" s="1" t="s">
        <v>12</v>
      </c>
      <c r="C12" s="5">
        <v>-6</v>
      </c>
      <c r="D12" s="5">
        <v>-9</v>
      </c>
    </row>
    <row r="13" spans="2:4" ht="15.75" x14ac:dyDescent="0.25">
      <c r="C13" s="5"/>
      <c r="D13" s="5"/>
    </row>
    <row r="14" spans="2:4" ht="15.75" x14ac:dyDescent="0.25">
      <c r="B14" s="2" t="s">
        <v>0</v>
      </c>
      <c r="C14" s="8">
        <f>+C8+C10+C12</f>
        <v>13</v>
      </c>
      <c r="D14" s="8">
        <f>+D8+D10+D12</f>
        <v>30</v>
      </c>
    </row>
    <row r="15" spans="2:4" ht="15.75" x14ac:dyDescent="0.25">
      <c r="C15" s="5"/>
      <c r="D15" s="5"/>
    </row>
    <row r="16" spans="2:4" ht="15.75" x14ac:dyDescent="0.25">
      <c r="B16" s="1" t="s">
        <v>13</v>
      </c>
      <c r="C16" s="5">
        <v>6</v>
      </c>
      <c r="D16" s="5">
        <v>14</v>
      </c>
    </row>
    <row r="17" spans="2:4" ht="15.75" x14ac:dyDescent="0.25">
      <c r="C17" s="5"/>
      <c r="D17" s="5"/>
    </row>
    <row r="18" spans="2:4" ht="15.75" x14ac:dyDescent="0.25">
      <c r="B18" s="1" t="s">
        <v>14</v>
      </c>
      <c r="C18" s="5">
        <v>-8</v>
      </c>
      <c r="D18" s="5">
        <v>-4</v>
      </c>
    </row>
    <row r="19" spans="2:4" ht="15.75" x14ac:dyDescent="0.25">
      <c r="C19" s="5"/>
      <c r="D19" s="5"/>
    </row>
    <row r="20" spans="2:4" ht="15.75" x14ac:dyDescent="0.25">
      <c r="B20" s="1" t="s">
        <v>15</v>
      </c>
      <c r="C20" s="5">
        <v>4</v>
      </c>
      <c r="D20" s="5">
        <v>-3</v>
      </c>
    </row>
    <row r="22" spans="2:4" ht="15.75" x14ac:dyDescent="0.25">
      <c r="B22" s="2" t="s">
        <v>16</v>
      </c>
      <c r="C22" s="8">
        <f>+C14+C16+C18+C20</f>
        <v>15</v>
      </c>
      <c r="D22" s="8">
        <f>+D14+D16+D18+D20</f>
        <v>37</v>
      </c>
    </row>
    <row r="24" spans="2:4" ht="15.75" x14ac:dyDescent="0.25">
      <c r="B24" s="1" t="s">
        <v>1</v>
      </c>
      <c r="C24" s="5">
        <v>-9</v>
      </c>
      <c r="D24" s="5">
        <v>-18</v>
      </c>
    </row>
    <row r="26" spans="2:4" ht="15.75" x14ac:dyDescent="0.25">
      <c r="B26" s="2" t="s">
        <v>2</v>
      </c>
      <c r="C26" s="8">
        <f>+C22+C24</f>
        <v>6</v>
      </c>
      <c r="D26" s="8">
        <f>+D22+D24</f>
        <v>19</v>
      </c>
    </row>
    <row r="28" spans="2:4" x14ac:dyDescent="0.25">
      <c r="D28" s="7"/>
    </row>
    <row r="29" spans="2:4" x14ac:dyDescent="0.25">
      <c r="D29" s="7"/>
    </row>
    <row r="30" spans="2:4" x14ac:dyDescent="0.25">
      <c r="D30" s="7"/>
    </row>
    <row r="31" spans="2:4" x14ac:dyDescent="0.25">
      <c r="D31" s="7"/>
    </row>
    <row r="32" spans="2:4" x14ac:dyDescent="0.25">
      <c r="D32" s="7"/>
    </row>
    <row r="33" spans="4:4" x14ac:dyDescent="0.25">
      <c r="D33" s="7"/>
    </row>
    <row r="38" spans="4:4" s="13" customFormat="1" x14ac:dyDescent="0.25"/>
    <row r="40" spans="4:4" ht="46.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abSelected="1" zoomScale="70" zoomScaleNormal="70" workbookViewId="0">
      <selection activeCell="A3" sqref="A3"/>
    </sheetView>
  </sheetViews>
  <sheetFormatPr defaultRowHeight="15" x14ac:dyDescent="0.25"/>
  <cols>
    <col min="1" max="1" width="5.85546875" customWidth="1"/>
    <col min="2" max="2" width="22.42578125" bestFit="1" customWidth="1"/>
    <col min="3" max="3" width="25.42578125" bestFit="1" customWidth="1"/>
    <col min="4" max="10" width="15" customWidth="1"/>
  </cols>
  <sheetData>
    <row r="1" spans="1:10" ht="57.75" customHeight="1" x14ac:dyDescent="0.25">
      <c r="C1" s="9" t="s">
        <v>4</v>
      </c>
      <c r="D1" s="11" t="s">
        <v>19</v>
      </c>
      <c r="E1" s="11" t="s">
        <v>20</v>
      </c>
      <c r="F1" s="11" t="s">
        <v>5</v>
      </c>
      <c r="G1" s="11" t="s">
        <v>18</v>
      </c>
      <c r="H1" s="11" t="s">
        <v>6</v>
      </c>
      <c r="I1" s="11" t="s">
        <v>7</v>
      </c>
      <c r="J1" s="11" t="s">
        <v>17</v>
      </c>
    </row>
    <row r="2" spans="1:10" x14ac:dyDescent="0.25">
      <c r="A2" s="10"/>
      <c r="B2" s="15" t="s">
        <v>21</v>
      </c>
      <c r="C2" s="15" t="str">
        <f>B2</f>
        <v>Risultato 2009</v>
      </c>
      <c r="D2" s="15"/>
      <c r="E2" s="15"/>
      <c r="F2" s="15"/>
      <c r="G2" s="15"/>
      <c r="H2" s="15"/>
      <c r="I2" s="15"/>
      <c r="J2" s="18">
        <f>SUM(D3:D10)</f>
        <v>6</v>
      </c>
    </row>
    <row r="3" spans="1:10" x14ac:dyDescent="0.25">
      <c r="A3" s="13" t="str">
        <f>IF(H3=0,"+","-")</f>
        <v>+</v>
      </c>
      <c r="B3" t="s">
        <v>23</v>
      </c>
      <c r="C3" s="9" t="str">
        <f>CONCATENATE("(",A3,")","  ",B3)</f>
        <v>(+)  Ricavi</v>
      </c>
      <c r="D3" s="12">
        <f>+'Conto Economico'!C4</f>
        <v>67</v>
      </c>
      <c r="E3" s="12">
        <f>+'Conto Economico'!D4</f>
        <v>115</v>
      </c>
      <c r="F3" s="17">
        <f t="shared" ref="F3:F10" si="0">+F2+I2+J2-H3</f>
        <v>6</v>
      </c>
      <c r="G3" s="9"/>
      <c r="H3" s="17">
        <f t="shared" ref="H3:H10" si="1">IF(D3&gt;E3,D3-E3,0)</f>
        <v>0</v>
      </c>
      <c r="I3" s="17">
        <f t="shared" ref="I3:I10" si="2">IF(D3&lt;=E3,E3-D3,0)</f>
        <v>48</v>
      </c>
      <c r="J3" s="9"/>
    </row>
    <row r="4" spans="1:10" x14ac:dyDescent="0.25">
      <c r="A4" s="13" t="str">
        <f t="shared" ref="A4:A10" si="3">IF(H4=0,"+","-")</f>
        <v>-</v>
      </c>
      <c r="B4" t="s">
        <v>9</v>
      </c>
      <c r="C4" s="9" t="str">
        <f t="shared" ref="C3:C10" si="4">CONCATENATE("(",A4,")","  ",B4)</f>
        <v>(-)  Costo del venduto</v>
      </c>
      <c r="D4" s="12">
        <f>+'Conto Economico'!C6</f>
        <v>-38</v>
      </c>
      <c r="E4" s="12">
        <f>+'Conto Economico'!D6</f>
        <v>-65</v>
      </c>
      <c r="F4" s="17">
        <f t="shared" si="0"/>
        <v>27</v>
      </c>
      <c r="G4" s="9"/>
      <c r="H4" s="17">
        <f t="shared" si="1"/>
        <v>27</v>
      </c>
      <c r="I4" s="17">
        <f t="shared" si="2"/>
        <v>0</v>
      </c>
      <c r="J4" s="9"/>
    </row>
    <row r="5" spans="1:10" x14ac:dyDescent="0.25">
      <c r="A5" s="13" t="str">
        <f t="shared" si="3"/>
        <v>-</v>
      </c>
      <c r="B5" t="s">
        <v>25</v>
      </c>
      <c r="C5" s="9" t="str">
        <f t="shared" si="4"/>
        <v>(-)  Costi  commerciali</v>
      </c>
      <c r="D5" s="12">
        <f>+'Conto Economico'!C10</f>
        <v>-10</v>
      </c>
      <c r="E5" s="12">
        <f>+'Conto Economico'!D10</f>
        <v>-11</v>
      </c>
      <c r="F5" s="17">
        <f t="shared" si="0"/>
        <v>26</v>
      </c>
      <c r="G5" s="9"/>
      <c r="H5" s="17">
        <f t="shared" si="1"/>
        <v>1</v>
      </c>
      <c r="I5" s="17">
        <f t="shared" si="2"/>
        <v>0</v>
      </c>
      <c r="J5" s="9"/>
    </row>
    <row r="6" spans="1:10" x14ac:dyDescent="0.25">
      <c r="A6" s="13" t="str">
        <f t="shared" si="3"/>
        <v>-</v>
      </c>
      <c r="B6" t="s">
        <v>24</v>
      </c>
      <c r="C6" s="9" t="str">
        <f t="shared" si="4"/>
        <v>(-)  Costi amministrativi</v>
      </c>
      <c r="D6" s="12">
        <f>+'Conto Economico'!C12</f>
        <v>-6</v>
      </c>
      <c r="E6" s="12">
        <f>+'Conto Economico'!D12</f>
        <v>-9</v>
      </c>
      <c r="F6" s="17">
        <f t="shared" si="0"/>
        <v>23</v>
      </c>
      <c r="G6" s="9"/>
      <c r="H6" s="17">
        <f t="shared" si="1"/>
        <v>3</v>
      </c>
      <c r="I6" s="17">
        <f t="shared" si="2"/>
        <v>0</v>
      </c>
      <c r="J6" s="9"/>
    </row>
    <row r="7" spans="1:10" x14ac:dyDescent="0.25">
      <c r="A7" s="13" t="str">
        <f t="shared" si="3"/>
        <v>+</v>
      </c>
      <c r="B7" t="s">
        <v>26</v>
      </c>
      <c r="C7" s="9" t="str">
        <f t="shared" si="4"/>
        <v>(+)  Gestione finanziaria</v>
      </c>
      <c r="D7" s="12">
        <f>+'Conto Economico'!C16</f>
        <v>6</v>
      </c>
      <c r="E7" s="12">
        <f>+'Conto Economico'!D16</f>
        <v>14</v>
      </c>
      <c r="F7" s="17">
        <f t="shared" si="0"/>
        <v>23</v>
      </c>
      <c r="G7" s="9"/>
      <c r="H7" s="17">
        <f t="shared" si="1"/>
        <v>0</v>
      </c>
      <c r="I7" s="17">
        <f t="shared" si="2"/>
        <v>8</v>
      </c>
      <c r="J7" s="9"/>
    </row>
    <row r="8" spans="1:10" x14ac:dyDescent="0.25">
      <c r="A8" s="13" t="str">
        <f t="shared" si="3"/>
        <v>+</v>
      </c>
      <c r="B8" t="s">
        <v>27</v>
      </c>
      <c r="C8" s="9" t="str">
        <f t="shared" si="4"/>
        <v>(+)  Gestione atipica</v>
      </c>
      <c r="D8" s="12">
        <f>+'Conto Economico'!C18</f>
        <v>-8</v>
      </c>
      <c r="E8" s="12">
        <f>+'Conto Economico'!D18</f>
        <v>-4</v>
      </c>
      <c r="F8" s="17">
        <f t="shared" si="0"/>
        <v>31</v>
      </c>
      <c r="G8" s="9"/>
      <c r="H8" s="17">
        <f t="shared" si="1"/>
        <v>0</v>
      </c>
      <c r="I8" s="17">
        <f t="shared" si="2"/>
        <v>4</v>
      </c>
      <c r="J8" s="9"/>
    </row>
    <row r="9" spans="1:10" x14ac:dyDescent="0.25">
      <c r="A9" s="13" t="str">
        <f t="shared" si="3"/>
        <v>-</v>
      </c>
      <c r="B9" t="s">
        <v>28</v>
      </c>
      <c r="C9" s="9" t="str">
        <f t="shared" si="4"/>
        <v>(-)  Gestione straordinaria</v>
      </c>
      <c r="D9" s="12">
        <f>+'Conto Economico'!C20</f>
        <v>4</v>
      </c>
      <c r="E9" s="12">
        <f>+'Conto Economico'!D20</f>
        <v>-3</v>
      </c>
      <c r="F9" s="17">
        <f t="shared" si="0"/>
        <v>28</v>
      </c>
      <c r="G9" s="9"/>
      <c r="H9" s="17">
        <f t="shared" si="1"/>
        <v>7</v>
      </c>
      <c r="I9" s="17">
        <f t="shared" si="2"/>
        <v>0</v>
      </c>
      <c r="J9" s="9"/>
    </row>
    <row r="10" spans="1:10" x14ac:dyDescent="0.25">
      <c r="A10" s="13" t="str">
        <f t="shared" si="3"/>
        <v>-</v>
      </c>
      <c r="B10" t="s">
        <v>1</v>
      </c>
      <c r="C10" s="9" t="str">
        <f t="shared" si="4"/>
        <v>(-)  Imposte sul reddito</v>
      </c>
      <c r="D10" s="12">
        <f>+'Conto Economico'!C24</f>
        <v>-9</v>
      </c>
      <c r="E10" s="12">
        <f>+'Conto Economico'!D24</f>
        <v>-18</v>
      </c>
      <c r="F10" s="17">
        <f t="shared" si="0"/>
        <v>19</v>
      </c>
      <c r="G10" s="14"/>
      <c r="H10" s="17">
        <f t="shared" si="1"/>
        <v>9</v>
      </c>
      <c r="I10" s="17">
        <f t="shared" si="2"/>
        <v>0</v>
      </c>
      <c r="J10" s="9"/>
    </row>
    <row r="11" spans="1:10" x14ac:dyDescent="0.25">
      <c r="A11" s="10"/>
      <c r="B11" s="15" t="s">
        <v>22</v>
      </c>
      <c r="C11" s="15" t="str">
        <f>+B11</f>
        <v>Risultato 2010</v>
      </c>
      <c r="D11" s="15"/>
      <c r="E11" s="15"/>
      <c r="F11" s="15"/>
      <c r="G11" s="18">
        <f>SUM(E3:E10)</f>
        <v>19</v>
      </c>
      <c r="H11" s="16"/>
      <c r="I11" s="16"/>
      <c r="J11" s="15"/>
    </row>
    <row r="12" spans="1:10" x14ac:dyDescent="0.25">
      <c r="C12" s="9"/>
      <c r="D12" s="9"/>
      <c r="E12" s="9"/>
      <c r="F12" s="9"/>
      <c r="G12" s="9"/>
      <c r="H12" s="9"/>
      <c r="I12" s="14"/>
      <c r="J12" s="9"/>
    </row>
    <row r="13" spans="1:10" x14ac:dyDescent="0.25">
      <c r="C13" s="9"/>
      <c r="D13" s="9"/>
      <c r="E13" s="9"/>
      <c r="F13" s="9"/>
      <c r="G13" s="9"/>
      <c r="H13" s="9"/>
      <c r="I13" s="14"/>
      <c r="J13" s="9"/>
    </row>
    <row r="14" spans="1:10" x14ac:dyDescent="0.25">
      <c r="C14" s="9"/>
      <c r="D14" s="9"/>
      <c r="E14" s="9"/>
      <c r="F14" s="9"/>
      <c r="G14" s="9"/>
      <c r="H14" s="9"/>
      <c r="I14" s="14"/>
      <c r="J14" s="9"/>
    </row>
    <row r="15" spans="1:10" x14ac:dyDescent="0.25">
      <c r="C15" s="9"/>
      <c r="D15" s="9"/>
      <c r="E15" s="9"/>
      <c r="F15" s="9"/>
      <c r="G15" s="9"/>
      <c r="H15" s="9"/>
      <c r="I15" s="14"/>
      <c r="J15" s="9"/>
    </row>
    <row r="16" spans="1:10" x14ac:dyDescent="0.25">
      <c r="C16" s="9"/>
      <c r="D16" s="9"/>
      <c r="E16" s="9"/>
      <c r="F16" s="9"/>
      <c r="G16" s="9"/>
      <c r="H16" s="9"/>
      <c r="I16" s="14"/>
      <c r="J16" s="9"/>
    </row>
    <row r="17" spans="3:10" x14ac:dyDescent="0.25">
      <c r="C17" s="9"/>
      <c r="D17" s="9"/>
      <c r="E17" s="9"/>
      <c r="F17" s="9"/>
      <c r="G17" s="9"/>
      <c r="H17" s="9"/>
      <c r="I17" s="9"/>
      <c r="J17" s="9"/>
    </row>
    <row r="18" spans="3:10" x14ac:dyDescent="0.25">
      <c r="C18" s="9"/>
      <c r="D18" s="9"/>
      <c r="E18" s="9"/>
      <c r="F18" s="9"/>
      <c r="G18" s="9"/>
      <c r="H18" s="9"/>
      <c r="I18" s="9"/>
      <c r="J18" s="9"/>
    </row>
    <row r="19" spans="3:10" x14ac:dyDescent="0.25">
      <c r="C19" s="9"/>
      <c r="D19" s="9"/>
      <c r="E19" s="9"/>
      <c r="F19" s="9"/>
      <c r="G19" s="9"/>
      <c r="H19" s="9"/>
      <c r="I19" s="9"/>
      <c r="J19" s="9"/>
    </row>
    <row r="20" spans="3:10" x14ac:dyDescent="0.25">
      <c r="C20" s="9"/>
      <c r="D20" s="9"/>
      <c r="E20" s="9"/>
      <c r="F20" s="9"/>
      <c r="G20" s="9"/>
      <c r="H20" s="9"/>
      <c r="I20" s="9"/>
      <c r="J20" s="9"/>
    </row>
    <row r="21" spans="3:10" x14ac:dyDescent="0.25">
      <c r="C21" s="9"/>
      <c r="D21" s="9"/>
      <c r="E21" s="9"/>
      <c r="F21" s="9"/>
      <c r="G21" s="9"/>
      <c r="H21" s="9"/>
      <c r="I21" s="9"/>
      <c r="J21" s="9"/>
    </row>
    <row r="22" spans="3:10" x14ac:dyDescent="0.25">
      <c r="C22" s="9"/>
      <c r="D22" s="9"/>
      <c r="E22" s="9"/>
      <c r="F22" s="9"/>
      <c r="G22" s="9"/>
      <c r="H22" s="9"/>
      <c r="I22" s="9"/>
      <c r="J22" s="9"/>
    </row>
    <row r="23" spans="3:10" x14ac:dyDescent="0.25">
      <c r="C23" s="9"/>
      <c r="D23" s="9"/>
      <c r="E23" s="9"/>
      <c r="F23" s="9"/>
      <c r="G23" s="9"/>
      <c r="H23" s="9"/>
      <c r="I23" s="9"/>
      <c r="J23" s="9"/>
    </row>
    <row r="24" spans="3:10" x14ac:dyDescent="0.25">
      <c r="C24" s="9"/>
      <c r="D24" s="9"/>
      <c r="E24" s="9"/>
      <c r="F24" s="9"/>
      <c r="G24" s="9"/>
      <c r="H24" s="9"/>
      <c r="I24" s="9"/>
      <c r="J24" s="9"/>
    </row>
    <row r="25" spans="3:10" x14ac:dyDescent="0.25">
      <c r="C25" s="9"/>
      <c r="D25" s="9"/>
      <c r="E25" s="9"/>
      <c r="F25" s="9"/>
      <c r="G25" s="9"/>
      <c r="H25" s="9"/>
      <c r="I25" s="9"/>
      <c r="J25" s="9"/>
    </row>
    <row r="26" spans="3:10" x14ac:dyDescent="0.25">
      <c r="C26" s="9"/>
      <c r="D26" s="9"/>
      <c r="E26" s="9"/>
      <c r="F26" s="9"/>
      <c r="G26" s="9"/>
      <c r="H26" s="9"/>
      <c r="I26" s="9"/>
      <c r="J26" s="9"/>
    </row>
    <row r="27" spans="3:10" x14ac:dyDescent="0.25">
      <c r="C27" s="9"/>
      <c r="D27" s="9"/>
      <c r="E27" s="9"/>
      <c r="F27" s="9"/>
      <c r="G27" s="9"/>
      <c r="H27" s="9"/>
      <c r="I27" s="9"/>
      <c r="J27" s="9"/>
    </row>
    <row r="28" spans="3:10" x14ac:dyDescent="0.25">
      <c r="C28" s="9"/>
      <c r="D28" s="9"/>
      <c r="E28" s="9"/>
      <c r="F28" s="9"/>
      <c r="G28" s="9"/>
      <c r="H28" s="9"/>
      <c r="I28" s="9"/>
      <c r="J28" s="9"/>
    </row>
    <row r="29" spans="3:10" x14ac:dyDescent="0.25">
      <c r="C29" s="9"/>
      <c r="D29" s="9"/>
      <c r="E29" s="9"/>
      <c r="F29" s="9"/>
      <c r="G29" s="9"/>
      <c r="H29" s="9"/>
      <c r="I29" s="9"/>
      <c r="J29" s="9"/>
    </row>
    <row r="30" spans="3:10" x14ac:dyDescent="0.25">
      <c r="C30" s="9"/>
      <c r="D30" s="9"/>
      <c r="E30" s="9"/>
      <c r="F30" s="9"/>
      <c r="G30" s="9"/>
      <c r="H30" s="9"/>
      <c r="I30" s="9"/>
      <c r="J30" s="9"/>
    </row>
    <row r="31" spans="3:10" x14ac:dyDescent="0.25">
      <c r="C31" s="9"/>
      <c r="D31" s="9"/>
      <c r="E31" s="9"/>
      <c r="F31" s="9"/>
      <c r="G31" s="9"/>
      <c r="H31" s="9"/>
      <c r="I31" s="9"/>
      <c r="J31" s="9"/>
    </row>
    <row r="32" spans="3:10" x14ac:dyDescent="0.25">
      <c r="C32" s="9"/>
      <c r="D32" s="9"/>
      <c r="E32" s="9"/>
      <c r="F32" s="9"/>
      <c r="G32" s="9"/>
      <c r="H32" s="9"/>
      <c r="I32" s="9"/>
      <c r="J32" s="9"/>
    </row>
    <row r="33" spans="3:10" x14ac:dyDescent="0.25">
      <c r="C33" s="9"/>
      <c r="D33" s="9"/>
      <c r="E33" s="9"/>
      <c r="F33" s="9"/>
      <c r="G33" s="9"/>
      <c r="H33" s="9"/>
      <c r="I33" s="9"/>
      <c r="J33" s="9"/>
    </row>
    <row r="34" spans="3:10" x14ac:dyDescent="0.25">
      <c r="C34" s="9"/>
      <c r="D34" s="9"/>
      <c r="E34" s="9"/>
      <c r="F34" s="9"/>
      <c r="G34" s="9"/>
      <c r="H34" s="9"/>
      <c r="I34" s="9"/>
      <c r="J34" s="9"/>
    </row>
    <row r="35" spans="3:10" x14ac:dyDescent="0.25">
      <c r="D35" s="3"/>
      <c r="F35" s="9"/>
      <c r="G35" s="9"/>
      <c r="H35" s="9"/>
      <c r="I35" s="9"/>
    </row>
    <row r="36" spans="3:10" x14ac:dyDescent="0.25">
      <c r="D36" s="3"/>
      <c r="E36" s="3"/>
      <c r="F36" s="9"/>
      <c r="G36" s="9"/>
      <c r="H36" s="9"/>
      <c r="I36" s="9"/>
    </row>
    <row r="37" spans="3:10" x14ac:dyDescent="0.25">
      <c r="D37" s="3"/>
      <c r="E37" s="3"/>
    </row>
    <row r="38" spans="3:10" x14ac:dyDescent="0.25">
      <c r="D38" s="3"/>
      <c r="E38" s="3"/>
    </row>
    <row r="39" spans="3:10" x14ac:dyDescent="0.25">
      <c r="D39" s="3"/>
      <c r="E39" s="3"/>
    </row>
    <row r="40" spans="3:10" x14ac:dyDescent="0.25">
      <c r="D40" s="3"/>
      <c r="E40" s="3"/>
    </row>
    <row r="41" spans="3:10" x14ac:dyDescent="0.25">
      <c r="D41" s="3"/>
      <c r="E41" s="3"/>
    </row>
    <row r="42" spans="3:10" x14ac:dyDescent="0.25">
      <c r="D42" s="3"/>
      <c r="E42" s="3"/>
    </row>
    <row r="43" spans="3:10" x14ac:dyDescent="0.25">
      <c r="D43" s="3"/>
      <c r="E43" s="3"/>
    </row>
    <row r="44" spans="3:10" x14ac:dyDescent="0.25">
      <c r="D44" s="3"/>
      <c r="E44" s="3"/>
    </row>
    <row r="45" spans="3:10" x14ac:dyDescent="0.25">
      <c r="D45" s="3"/>
      <c r="E45" s="3"/>
    </row>
    <row r="46" spans="3:10" x14ac:dyDescent="0.25">
      <c r="D46" s="3"/>
      <c r="E46" s="3"/>
    </row>
    <row r="47" spans="3:10" x14ac:dyDescent="0.25">
      <c r="D47" s="3"/>
      <c r="E47" s="3"/>
    </row>
    <row r="48" spans="3:10" x14ac:dyDescent="0.25">
      <c r="D48" s="3"/>
      <c r="E48" s="3"/>
    </row>
    <row r="49" spans="4:5" x14ac:dyDescent="0.25">
      <c r="D49" s="3"/>
      <c r="E49" s="3"/>
    </row>
    <row r="50" spans="4:5" x14ac:dyDescent="0.25">
      <c r="D50" s="3"/>
      <c r="E50" s="3"/>
    </row>
    <row r="51" spans="4:5" x14ac:dyDescent="0.25">
      <c r="D51" s="3"/>
      <c r="E51" s="3"/>
    </row>
    <row r="52" spans="4:5" x14ac:dyDescent="0.25">
      <c r="D52" s="3"/>
      <c r="E52" s="3"/>
    </row>
    <row r="53" spans="4:5" x14ac:dyDescent="0.25">
      <c r="D53" s="3"/>
      <c r="E53" s="3"/>
    </row>
    <row r="54" spans="4:5" x14ac:dyDescent="0.25">
      <c r="D54" s="3"/>
      <c r="E54" s="3"/>
    </row>
    <row r="55" spans="4:5" x14ac:dyDescent="0.25">
      <c r="D55" s="3"/>
      <c r="E55" s="3"/>
    </row>
    <row r="56" spans="4:5" x14ac:dyDescent="0.25">
      <c r="D56" s="3"/>
      <c r="E56" s="3"/>
    </row>
    <row r="57" spans="4:5" x14ac:dyDescent="0.25">
      <c r="D57" s="3"/>
      <c r="E57" s="3"/>
    </row>
    <row r="58" spans="4:5" x14ac:dyDescent="0.25">
      <c r="D58" s="3"/>
      <c r="E58" s="3"/>
    </row>
    <row r="59" spans="4:5" x14ac:dyDescent="0.25">
      <c r="D59" s="3"/>
      <c r="E59" s="3"/>
    </row>
    <row r="60" spans="4:5" x14ac:dyDescent="0.25">
      <c r="D60" s="3"/>
      <c r="E60" s="3"/>
    </row>
    <row r="61" spans="4:5" x14ac:dyDescent="0.25">
      <c r="D61" s="3"/>
      <c r="E61" s="3"/>
    </row>
    <row r="62" spans="4:5" x14ac:dyDescent="0.25">
      <c r="D62" s="3"/>
      <c r="E62" s="3"/>
    </row>
    <row r="63" spans="4:5" x14ac:dyDescent="0.25">
      <c r="D63" s="3"/>
      <c r="E63" s="3"/>
    </row>
    <row r="64" spans="4:5" x14ac:dyDescent="0.25">
      <c r="D64" s="3"/>
      <c r="E64" s="3"/>
    </row>
    <row r="65" spans="4:5" x14ac:dyDescent="0.25">
      <c r="D65" s="3"/>
      <c r="E65" s="3"/>
    </row>
    <row r="66" spans="4:5" x14ac:dyDescent="0.25">
      <c r="D66" s="3"/>
      <c r="E66" s="3"/>
    </row>
    <row r="67" spans="4:5" x14ac:dyDescent="0.25">
      <c r="D67" s="3"/>
      <c r="E67" s="3"/>
    </row>
    <row r="68" spans="4:5" x14ac:dyDescent="0.25">
      <c r="D68" s="3"/>
      <c r="E68" s="3"/>
    </row>
    <row r="69" spans="4:5" x14ac:dyDescent="0.25">
      <c r="D69" s="3"/>
      <c r="E69" s="3"/>
    </row>
    <row r="70" spans="4:5" x14ac:dyDescent="0.25">
      <c r="D70" s="3"/>
      <c r="E70" s="3"/>
    </row>
    <row r="71" spans="4:5" x14ac:dyDescent="0.25">
      <c r="D71" s="3"/>
      <c r="E71" s="3"/>
    </row>
    <row r="72" spans="4:5" x14ac:dyDescent="0.25">
      <c r="D72" s="3"/>
      <c r="E72" s="3"/>
    </row>
    <row r="73" spans="4:5" x14ac:dyDescent="0.25">
      <c r="D73" s="3"/>
      <c r="E73" s="3"/>
    </row>
    <row r="74" spans="4:5" x14ac:dyDescent="0.25">
      <c r="D74" s="3"/>
      <c r="E74" s="3"/>
    </row>
    <row r="75" spans="4:5" x14ac:dyDescent="0.25">
      <c r="D75" s="3"/>
      <c r="E75" s="3"/>
    </row>
    <row r="76" spans="4:5" x14ac:dyDescent="0.25">
      <c r="D76" s="3"/>
      <c r="E76" s="3"/>
    </row>
    <row r="77" spans="4:5" x14ac:dyDescent="0.25">
      <c r="D77" s="3"/>
      <c r="E77" s="3"/>
    </row>
    <row r="78" spans="4:5" x14ac:dyDescent="0.25">
      <c r="D78" s="3"/>
      <c r="E78" s="3"/>
    </row>
    <row r="79" spans="4:5" x14ac:dyDescent="0.25">
      <c r="D79" s="3"/>
      <c r="E79" s="3"/>
    </row>
    <row r="80" spans="4:5" x14ac:dyDescent="0.25">
      <c r="D80" s="3"/>
      <c r="E80" s="3"/>
    </row>
    <row r="81" spans="4:5" x14ac:dyDescent="0.25">
      <c r="D81" s="3"/>
      <c r="E81" s="3"/>
    </row>
    <row r="82" spans="4:5" x14ac:dyDescent="0.25">
      <c r="D82" s="3"/>
      <c r="E82" s="3"/>
    </row>
    <row r="83" spans="4:5" x14ac:dyDescent="0.25">
      <c r="D83" s="3"/>
      <c r="E83" s="3"/>
    </row>
    <row r="84" spans="4:5" x14ac:dyDescent="0.25">
      <c r="D84" s="3"/>
      <c r="E84" s="3"/>
    </row>
    <row r="85" spans="4:5" x14ac:dyDescent="0.25">
      <c r="D85" s="3"/>
      <c r="E85" s="3"/>
    </row>
    <row r="86" spans="4:5" x14ac:dyDescent="0.25">
      <c r="D86" s="3"/>
      <c r="E86" s="3"/>
    </row>
    <row r="87" spans="4:5" x14ac:dyDescent="0.25">
      <c r="D87" s="3"/>
      <c r="E87" s="3"/>
    </row>
    <row r="88" spans="4:5" x14ac:dyDescent="0.25">
      <c r="D88" s="3"/>
      <c r="E88" s="3"/>
    </row>
    <row r="89" spans="4:5" x14ac:dyDescent="0.25">
      <c r="D89" s="3"/>
      <c r="E89" s="3"/>
    </row>
    <row r="90" spans="4:5" x14ac:dyDescent="0.25">
      <c r="D90" s="3"/>
      <c r="E90" s="3"/>
    </row>
    <row r="91" spans="4:5" x14ac:dyDescent="0.25">
      <c r="D91" s="3"/>
      <c r="E91" s="3"/>
    </row>
    <row r="92" spans="4:5" x14ac:dyDescent="0.25">
      <c r="D92" s="3"/>
      <c r="E92" s="3"/>
    </row>
    <row r="93" spans="4:5" x14ac:dyDescent="0.25">
      <c r="D93" s="3"/>
      <c r="E93" s="3"/>
    </row>
    <row r="94" spans="4:5" x14ac:dyDescent="0.25">
      <c r="D94" s="3"/>
      <c r="E94" s="3"/>
    </row>
    <row r="95" spans="4:5" x14ac:dyDescent="0.25">
      <c r="D95" s="3"/>
      <c r="E95" s="3"/>
    </row>
    <row r="96" spans="4:5" x14ac:dyDescent="0.25">
      <c r="D96" s="3"/>
      <c r="E96" s="3"/>
    </row>
    <row r="97" spans="4:5" x14ac:dyDescent="0.25">
      <c r="D97" s="3"/>
      <c r="E97" s="3"/>
    </row>
    <row r="98" spans="4:5" x14ac:dyDescent="0.25">
      <c r="D98" s="3"/>
      <c r="E98" s="3"/>
    </row>
    <row r="99" spans="4:5" x14ac:dyDescent="0.25">
      <c r="D99" s="3"/>
      <c r="E99" s="3"/>
    </row>
    <row r="100" spans="4:5" x14ac:dyDescent="0.25">
      <c r="D100" s="3"/>
      <c r="E100" s="3"/>
    </row>
    <row r="101" spans="4:5" x14ac:dyDescent="0.25">
      <c r="D101" s="3"/>
      <c r="E101" s="3"/>
    </row>
    <row r="102" spans="4:5" x14ac:dyDescent="0.25">
      <c r="D102" s="3"/>
      <c r="E102" s="3"/>
    </row>
    <row r="103" spans="4:5" x14ac:dyDescent="0.25">
      <c r="D103" s="3"/>
      <c r="E103" s="3"/>
    </row>
    <row r="104" spans="4:5" x14ac:dyDescent="0.25">
      <c r="D104" s="3"/>
      <c r="E104" s="3"/>
    </row>
    <row r="105" spans="4:5" x14ac:dyDescent="0.25">
      <c r="D105" s="3"/>
      <c r="E105" s="3"/>
    </row>
    <row r="106" spans="4:5" x14ac:dyDescent="0.25">
      <c r="D106" s="3"/>
      <c r="E106" s="3"/>
    </row>
    <row r="107" spans="4:5" x14ac:dyDescent="0.25">
      <c r="D107" s="3"/>
      <c r="E107" s="3"/>
    </row>
    <row r="108" spans="4:5" x14ac:dyDescent="0.25">
      <c r="D108" s="3"/>
      <c r="E108" s="3"/>
    </row>
    <row r="109" spans="4:5" x14ac:dyDescent="0.25">
      <c r="D109" s="3"/>
      <c r="E109" s="3"/>
    </row>
    <row r="110" spans="4:5" x14ac:dyDescent="0.25">
      <c r="D110" s="3"/>
      <c r="E110" s="3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Conto Economico</vt:lpstr>
      <vt:lpstr>Grafico a ponte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michelle</cp:lastModifiedBy>
  <dcterms:created xsi:type="dcterms:W3CDTF">2011-11-18T14:27:37Z</dcterms:created>
  <dcterms:modified xsi:type="dcterms:W3CDTF">2011-12-01T10:13:11Z</dcterms:modified>
</cp:coreProperties>
</file>