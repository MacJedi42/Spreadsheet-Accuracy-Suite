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390" yWindow="195" windowWidth="8580" windowHeight="5445"/>
  </bookViews>
  <sheets>
    <sheet name="SchoolDistricts" sheetId="1" r:id="rId1"/>
    <sheet name="CharterSchools" sheetId="2" r:id="rId2"/>
  </sheets>
  <definedNames>
    <definedName name="_xlnm.Print_Area" localSheetId="1">CharterSchools!$A$1:$S$90</definedName>
    <definedName name="_xlnm.Print_Area" localSheetId="0">SchoolDistricts!$A$1:$S$49</definedName>
    <definedName name="_xlnm.Print_Titles" localSheetId="1">CharterSchools!$1:$4</definedName>
  </definedNames>
  <calcPr calcId="152511"/>
</workbook>
</file>

<file path=xl/calcChain.xml><?xml version="1.0" encoding="utf-8"?>
<calcChain xmlns="http://schemas.openxmlformats.org/spreadsheetml/2006/main">
  <c r="S89" i="2" l="1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8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R90" i="2" l="1"/>
  <c r="R47" i="1" s="1"/>
  <c r="Q90" i="2"/>
  <c r="Q47" i="1" s="1"/>
  <c r="P90" i="2"/>
  <c r="P47" i="1" s="1"/>
  <c r="O90" i="2"/>
  <c r="O47" i="1" s="1"/>
  <c r="N90" i="2"/>
  <c r="N47" i="1" s="1"/>
  <c r="M90" i="2"/>
  <c r="M47" i="1" s="1"/>
  <c r="L90" i="2"/>
  <c r="L47" i="1" s="1"/>
  <c r="K90" i="2"/>
  <c r="K47" i="1" s="1"/>
  <c r="J90" i="2"/>
  <c r="J47" i="1" s="1"/>
  <c r="I90" i="2"/>
  <c r="I47" i="1" s="1"/>
  <c r="H90" i="2"/>
  <c r="H47" i="1" s="1"/>
  <c r="G90" i="2"/>
  <c r="G47" i="1" s="1"/>
  <c r="F90" i="2"/>
  <c r="F47" i="1" s="1"/>
  <c r="E90" i="2"/>
  <c r="E47" i="1" s="1"/>
  <c r="D90" i="2"/>
  <c r="D47" i="1" s="1"/>
  <c r="C90" i="2"/>
  <c r="C47" i="1" s="1"/>
  <c r="B90" i="2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S46" i="1" s="1"/>
  <c r="G49" i="1" l="1"/>
  <c r="O49" i="1"/>
  <c r="K49" i="1"/>
  <c r="B47" i="1"/>
  <c r="B49" i="1" s="1"/>
  <c r="S90" i="2"/>
  <c r="S47" i="1" s="1"/>
  <c r="J49" i="1"/>
  <c r="C49" i="1"/>
  <c r="R49" i="1"/>
  <c r="E49" i="1"/>
  <c r="M49" i="1"/>
  <c r="H49" i="1"/>
  <c r="P49" i="1"/>
  <c r="I49" i="1"/>
  <c r="Q49" i="1"/>
  <c r="L49" i="1"/>
  <c r="D49" i="1"/>
  <c r="F49" i="1"/>
  <c r="N49" i="1"/>
  <c r="S49" i="1" l="1"/>
</calcChain>
</file>

<file path=xl/sharedStrings.xml><?xml version="1.0" encoding="utf-8"?>
<sst xmlns="http://schemas.openxmlformats.org/spreadsheetml/2006/main" count="185" uniqueCount="153">
  <si>
    <t>Administration</t>
  </si>
  <si>
    <t>Support</t>
  </si>
  <si>
    <t>School</t>
  </si>
  <si>
    <t>Teachers</t>
  </si>
  <si>
    <t>Elementary</t>
  </si>
  <si>
    <t>Secondary</t>
  </si>
  <si>
    <t>Central Office</t>
  </si>
  <si>
    <t>Instruction</t>
  </si>
  <si>
    <t>Library</t>
  </si>
  <si>
    <t>Counselors</t>
  </si>
  <si>
    <t>Student Support</t>
  </si>
  <si>
    <t>Preschool</t>
  </si>
  <si>
    <t>Kindergarten</t>
  </si>
  <si>
    <t>Special Education</t>
  </si>
  <si>
    <t>Leaders and Specialists</t>
  </si>
  <si>
    <t>Classroom</t>
  </si>
  <si>
    <t>Librarians</t>
  </si>
  <si>
    <t>Parapros</t>
  </si>
  <si>
    <t>Other Support</t>
  </si>
  <si>
    <t>Administrators</t>
  </si>
  <si>
    <t>Principals &amp; Assistant Principals</t>
  </si>
  <si>
    <t>Other Pros (Nurses, etc.) and Parapros</t>
  </si>
  <si>
    <t>Total</t>
  </si>
  <si>
    <t xml:space="preserve">Academy For Math Engineering &amp; Science </t>
  </si>
  <si>
    <t>Alianza Academy</t>
  </si>
  <si>
    <t>American Leadership Academy</t>
  </si>
  <si>
    <t>American Preparatory Academy</t>
  </si>
  <si>
    <t>Aristotle Academy</t>
  </si>
  <si>
    <t>Bear River Charter School</t>
  </si>
  <si>
    <t xml:space="preserve">Beehive Science &amp; Technology Academy </t>
  </si>
  <si>
    <t>Canyon Grove Academy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</si>
  <si>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</si>
  <si>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</si>
  <si>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</si>
  <si>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</si>
  <si>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</si>
  <si>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</si>
  <si>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</si>
  <si>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</si>
  <si>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</si>
  <si>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</si>
  <si>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</si>
  <si>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</si>
  <si>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</si>
  <si>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</si>
  <si>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</si>
  <si>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</si>
  <si>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</si>
  <si>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</si>
  <si>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</si>
  <si>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</si>
  <si>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</si>
  <si>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</si>
  <si>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Jefferson Academy</t>
  </si>
  <si>
    <t>John Hancock Charter School</t>
  </si>
  <si>
    <t>Karl G Maeser Preparatory Academy</t>
  </si>
  <si>
    <t>Lakeview Academy</t>
  </si>
  <si>
    <t>Leadership Learning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</si>
  <si>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</si>
  <si>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</si>
  <si>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</si>
  <si>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</si>
  <si>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</si>
  <si>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</si>
  <si>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</si>
  <si>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 Heights Academy</t>
  </si>
  <si>
    <t>Mountainville Academy</t>
  </si>
  <si>
    <t>Navigator Pointe Academy</t>
  </si>
  <si>
    <t>Nuames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</si>
  <si>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</si>
  <si>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</si>
  <si>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</si>
  <si>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</si>
  <si>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</si>
  <si>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</si>
  <si>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Pacific Heritage Academy</t>
  </si>
  <si>
    <t>Paradigm High School</t>
  </si>
  <si>
    <t>Pinnacle Canyon Academy</t>
  </si>
  <si>
    <t>Pioneer Hs For The Performing Arts</t>
  </si>
  <si>
    <t>Promontory School Of El</t>
  </si>
  <si>
    <t>Providence Hall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</si>
  <si>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</si>
  <si>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</si>
  <si>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</si>
  <si>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</si>
  <si>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</si>
  <si>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</si>
  <si>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</si>
  <si>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</si>
  <si>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</si>
  <si>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</si>
  <si>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</si>
  <si>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</si>
  <si>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</si>
  <si>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</si>
  <si>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</t>
  </si>
  <si>
    <t>Timpanogos Academy</t>
  </si>
  <si>
    <t>Tuacahn Hs For The Performing Arts</t>
  </si>
  <si>
    <t>Uintah River High</t>
  </si>
  <si>
    <t>Utah Connections Academy</t>
  </si>
  <si>
    <t>Utah County Academy Of Science (Ucas)</t>
  </si>
  <si>
    <t>Utah Virtual Academy</t>
  </si>
  <si>
    <t>Valley Academy</t>
  </si>
  <si>
    <t>Venture Academy</t>
  </si>
  <si>
    <t xml:space="preserve">Vista School </t>
  </si>
  <si>
    <t>Walden School Of Liberal Arts</t>
  </si>
  <si>
    <t>Wasatch Peak Academy</t>
  </si>
  <si>
    <t>Weilenmann School Of Discovery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</si>
  <si>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</si>
  <si>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</si>
  <si>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</si>
  <si>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</si>
  <si>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</si>
  <si>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</si>
  <si>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</si>
  <si>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</si>
  <si>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</si>
  <si>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</si>
  <si>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</si>
  <si>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</si>
  <si>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</si>
  <si>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</si>
  <si>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</si>
  <si>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</si>
  <si>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</si>
  <si>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</si>
  <si>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</si>
  <si>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</si>
  <si>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</si>
  <si>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</si>
  <si>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</si>
  <si>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</si>
  <si>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</si>
  <si>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</si>
  <si>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</si>
  <si>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</si>
  <si>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</si>
  <si>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</si>
  <si>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</si>
  <si>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</si>
  <si>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</si>
  <si>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</si>
  <si>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</si>
  <si>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</si>
  <si>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</si>
  <si>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</si>
  <si>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</si>
  <si>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</si>
  <si>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</si>
  <si>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District Subtotal</t>
  </si>
  <si>
    <t>Charter Subtotal</t>
  </si>
  <si>
    <t>Utah Schools For Deaf &amp; Blind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</si>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</sst>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4">
    <xf numFmtId="0" fontId="0" fillId="0" borderId="0" xfId="0"/>
    <xf numFmtId="0" fontId="18" fillId="33" borderId="0" xfId="0" applyNumberFormat="1" applyFont="1" applyFill="1" applyBorder="1" applyAlignment="1"/>
    <xf numFmtId="0" fontId="19" fillId="33" borderId="0" xfId="0" applyNumberFormat="1" applyFont="1" applyFill="1" applyBorder="1" applyAlignment="1">
      <alignment horizontal="centerContinuous" wrapText="1"/>
    </xf>
    <xf numFmtId="2" fontId="19" fillId="33" borderId="0" xfId="0" applyNumberFormat="1" applyFont="1" applyFill="1" applyBorder="1" applyAlignment="1">
      <alignment horizontal="centerContinuous" wrapText="1"/>
    </xf>
    <xf numFmtId="2" fontId="19" fillId="33" borderId="11" xfId="0" applyNumberFormat="1" applyFont="1" applyFill="1" applyBorder="1" applyAlignment="1">
      <alignment horizontal="centerContinuous" wrapText="1"/>
    </xf>
    <xf numFmtId="2" fontId="19" fillId="33" borderId="13" xfId="0" applyNumberFormat="1" applyFont="1" applyFill="1" applyBorder="1" applyAlignment="1">
      <alignment horizontal="centerContinuous" wrapText="1"/>
    </xf>
    <xf numFmtId="2" fontId="19" fillId="33" borderId="12" xfId="0" applyNumberFormat="1" applyFont="1" applyFill="1" applyBorder="1" applyAlignment="1">
      <alignment horizontal="centerContinuous" wrapText="1"/>
    </xf>
    <xf numFmtId="2" fontId="19" fillId="33" borderId="10" xfId="0" applyNumberFormat="1" applyFont="1" applyFill="1" applyBorder="1" applyAlignment="1">
      <alignment horizontal="centerContinuous" wrapText="1"/>
    </xf>
    <xf numFmtId="0" fontId="19" fillId="33" borderId="10" xfId="0" applyNumberFormat="1" applyFont="1" applyFill="1" applyBorder="1" applyAlignment="1">
      <alignment horizontal="centerContinuous" wrapText="1"/>
    </xf>
    <xf numFmtId="0" fontId="19" fillId="33" borderId="11" xfId="0" applyNumberFormat="1" applyFont="1" applyFill="1" applyBorder="1" applyAlignment="1">
      <alignment wrapText="1"/>
    </xf>
    <xf numFmtId="0" fontId="19" fillId="33" borderId="17" xfId="0" applyNumberFormat="1" applyFont="1" applyFill="1" applyBorder="1" applyAlignment="1">
      <alignment horizontal="centerContinuous" wrapText="1"/>
    </xf>
    <xf numFmtId="2" fontId="19" fillId="33" borderId="16" xfId="0" applyNumberFormat="1" applyFont="1" applyFill="1" applyBorder="1" applyAlignment="1">
      <alignment horizontal="centerContinuous" wrapText="1"/>
    </xf>
    <xf numFmtId="0" fontId="19" fillId="33" borderId="18" xfId="0" applyNumberFormat="1" applyFont="1" applyFill="1" applyBorder="1" applyAlignment="1">
      <alignment horizontal="centerContinuous" wrapText="1"/>
    </xf>
    <xf numFmtId="2" fontId="19" fillId="33" borderId="17" xfId="0" applyNumberFormat="1" applyFont="1" applyFill="1" applyBorder="1" applyAlignment="1">
      <alignment horizontal="centerContinuous" wrapText="1"/>
    </xf>
    <xf numFmtId="2" fontId="19" fillId="33" borderId="14" xfId="0" applyNumberFormat="1" applyFont="1" applyFill="1" applyBorder="1" applyAlignment="1">
      <alignment wrapText="1"/>
    </xf>
    <xf numFmtId="2" fontId="19" fillId="33" borderId="18" xfId="0" applyNumberFormat="1" applyFont="1" applyFill="1" applyBorder="1" applyAlignment="1">
      <alignment horizontal="centerContinuous" wrapText="1"/>
    </xf>
    <xf numFmtId="0" fontId="19" fillId="33" borderId="0" xfId="0" applyNumberFormat="1" applyFont="1" applyFill="1" applyBorder="1" applyAlignment="1"/>
    <xf numFmtId="0" fontId="19" fillId="33" borderId="13" xfId="0" applyNumberFormat="1" applyFont="1" applyFill="1" applyBorder="1" applyAlignment="1">
      <alignment wrapText="1"/>
    </xf>
    <xf numFmtId="2" fontId="19" fillId="33" borderId="0" xfId="0" applyNumberFormat="1" applyFont="1" applyFill="1" applyBorder="1" applyAlignment="1">
      <alignment wrapText="1"/>
    </xf>
    <xf numFmtId="0" fontId="19" fillId="33" borderId="0" xfId="0" applyNumberFormat="1" applyFont="1" applyFill="1" applyBorder="1" applyAlignment="1">
      <alignment wrapText="1"/>
    </xf>
    <xf numFmtId="2" fontId="19" fillId="33" borderId="19" xfId="0" applyNumberFormat="1" applyFont="1" applyFill="1" applyBorder="1" applyAlignment="1">
      <alignment wrapText="1"/>
    </xf>
    <xf numFmtId="2" fontId="18" fillId="33" borderId="0" xfId="0" applyNumberFormat="1" applyFont="1" applyFill="1" applyBorder="1" applyAlignment="1"/>
    <xf numFmtId="0" fontId="19" fillId="34" borderId="10" xfId="0" applyNumberFormat="1" applyFont="1" applyFill="1" applyBorder="1" applyAlignment="1">
      <alignment horizontal="center"/>
    </xf>
    <xf numFmtId="0" fontId="19" fillId="34" borderId="10" xfId="0" applyNumberFormat="1" applyFont="1" applyFill="1" applyBorder="1" applyAlignment="1">
      <alignment horizontal="center" wrapText="1"/>
    </xf>
    <xf numFmtId="2" fontId="19" fillId="34" borderId="10" xfId="0" applyNumberFormat="1" applyFont="1" applyFill="1" applyBorder="1" applyAlignment="1">
      <alignment horizontal="center" wrapText="1"/>
    </xf>
    <xf numFmtId="2" fontId="19" fillId="34" borderId="12" xfId="0" applyNumberFormat="1" applyFont="1" applyFill="1" applyBorder="1" applyAlignment="1">
      <alignment horizontal="center" wrapText="1"/>
    </xf>
    <xf numFmtId="2" fontId="19" fillId="34" borderId="20" xfId="0" applyNumberFormat="1" applyFont="1" applyFill="1" applyBorder="1" applyAlignment="1">
      <alignment horizontal="center" wrapText="1"/>
    </xf>
    <xf numFmtId="0" fontId="18" fillId="34" borderId="0" xfId="0" applyNumberFormat="1" applyFont="1" applyFill="1" applyBorder="1" applyAlignment="1">
      <alignment horizontal="center"/>
    </xf>
    <xf numFmtId="0" fontId="18" fillId="33" borderId="23" xfId="0" applyNumberFormat="1" applyFont="1" applyFill="1" applyBorder="1" applyAlignment="1">
      <alignment vertical="top"/>
    </xf>
    <xf numFmtId="2" fontId="18" fillId="33" borderId="23" xfId="0" applyNumberFormat="1" applyFont="1" applyFill="1" applyBorder="1" applyAlignment="1"/>
    <xf numFmtId="2" fontId="18" fillId="33" borderId="23" xfId="0" applyNumberFormat="1" applyFont="1" applyFill="1" applyBorder="1" applyAlignment="1">
      <alignment horizontal="right" vertical="top"/>
    </xf>
    <xf numFmtId="2" fontId="18" fillId="33" borderId="15" xfId="0" applyNumberFormat="1" applyFont="1" applyFill="1" applyBorder="1" applyAlignment="1">
      <alignment horizontal="right" vertical="top"/>
    </xf>
    <xf numFmtId="2" fontId="18" fillId="33" borderId="22" xfId="0" applyNumberFormat="1" applyFont="1" applyFill="1" applyBorder="1" applyAlignment="1">
      <alignment horizontal="right" vertical="top"/>
    </xf>
    <xf numFmtId="0" fontId="18" fillId="33" borderId="0" xfId="0" applyNumberFormat="1" applyFont="1" applyFill="1" applyBorder="1" applyAlignment="1">
      <alignment vertical="top"/>
    </xf>
    <xf numFmtId="2" fontId="18" fillId="33" borderId="0" xfId="0" applyNumberFormat="1" applyFont="1" applyFill="1" applyBorder="1" applyAlignment="1">
      <alignment horizontal="right" vertical="top"/>
    </xf>
    <xf numFmtId="2" fontId="18" fillId="33" borderId="11" xfId="0" applyNumberFormat="1" applyFont="1" applyFill="1" applyBorder="1" applyAlignment="1">
      <alignment horizontal="right" vertical="top"/>
    </xf>
    <xf numFmtId="2" fontId="18" fillId="33" borderId="13" xfId="0" applyNumberFormat="1" applyFont="1" applyFill="1" applyBorder="1" applyAlignment="1">
      <alignment horizontal="right" vertical="top"/>
    </xf>
    <xf numFmtId="0" fontId="18" fillId="33" borderId="10" xfId="0" applyNumberFormat="1" applyFont="1" applyFill="1" applyBorder="1" applyAlignment="1">
      <alignment vertical="top"/>
    </xf>
    <xf numFmtId="2" fontId="18" fillId="33" borderId="10" xfId="0" applyNumberFormat="1" applyFont="1" applyFill="1" applyBorder="1" applyAlignment="1"/>
    <xf numFmtId="2" fontId="18" fillId="33" borderId="10" xfId="0" applyNumberFormat="1" applyFont="1" applyFill="1" applyBorder="1" applyAlignment="1">
      <alignment horizontal="right" vertical="top"/>
    </xf>
    <xf numFmtId="2" fontId="18" fillId="33" borderId="12" xfId="0" applyNumberFormat="1" applyFont="1" applyFill="1" applyBorder="1" applyAlignment="1">
      <alignment horizontal="right" vertical="top"/>
    </xf>
    <xf numFmtId="2" fontId="18" fillId="33" borderId="20" xfId="0" applyNumberFormat="1" applyFont="1" applyFill="1" applyBorder="1" applyAlignment="1">
      <alignment horizontal="right" vertical="top"/>
    </xf>
    <xf numFmtId="0" fontId="18" fillId="33" borderId="10" xfId="0" applyNumberFormat="1" applyFont="1" applyFill="1" applyBorder="1" applyAlignment="1"/>
    <xf numFmtId="0" fontId="18" fillId="33" borderId="12" xfId="0" applyNumberFormat="1" applyFont="1" applyFill="1" applyBorder="1" applyAlignment="1"/>
    <xf numFmtId="0" fontId="18" fillId="33" borderId="20" xfId="0" applyNumberFormat="1" applyFont="1" applyFill="1" applyBorder="1" applyAlignment="1"/>
    <xf numFmtId="0" fontId="18" fillId="33" borderId="23" xfId="0" applyNumberFormat="1" applyFont="1" applyFill="1" applyBorder="1" applyAlignment="1"/>
    <xf numFmtId="0" fontId="18" fillId="33" borderId="15" xfId="0" applyNumberFormat="1" applyFont="1" applyFill="1" applyBorder="1" applyAlignment="1"/>
    <xf numFmtId="0" fontId="18" fillId="33" borderId="22" xfId="0" applyNumberFormat="1" applyFont="1" applyFill="1" applyBorder="1" applyAlignment="1"/>
    <xf numFmtId="0" fontId="18" fillId="33" borderId="11" xfId="0" applyNumberFormat="1" applyFont="1" applyFill="1" applyBorder="1" applyAlignment="1"/>
    <xf numFmtId="0" fontId="18" fillId="33" borderId="13" xfId="0" applyNumberFormat="1" applyFont="1" applyFill="1" applyBorder="1" applyAlignment="1"/>
    <xf numFmtId="0" fontId="20" fillId="0" borderId="0" xfId="0" applyNumberFormat="1" applyFont="1" applyFill="1" applyBorder="1" applyAlignment="1">
      <alignment horizontal="left" vertical="top"/>
    </xf>
    <xf numFmtId="2" fontId="20" fillId="0" borderId="0" xfId="0" applyNumberFormat="1" applyFont="1" applyFill="1" applyBorder="1" applyAlignment="1"/>
    <xf numFmtId="2" fontId="20" fillId="0" borderId="11" xfId="0" applyNumberFormat="1" applyFont="1" applyFill="1" applyBorder="1" applyAlignment="1"/>
    <xf numFmtId="0" fontId="21" fillId="0" borderId="0" xfId="0" applyNumberFormat="1" applyFont="1" applyFill="1" applyBorder="1" applyAlignment="1"/>
    <xf numFmtId="0" fontId="19" fillId="34" borderId="0" xfId="0" applyNumberFormat="1" applyFont="1" applyFill="1" applyBorder="1" applyAlignment="1">
      <alignment horizontal="center"/>
    </xf>
    <xf numFmtId="0" fontId="19" fillId="33" borderId="0" xfId="0" applyNumberFormat="1" applyFont="1" applyFill="1" applyBorder="1" applyAlignment="1">
      <alignment vertical="top"/>
    </xf>
    <xf numFmtId="2" fontId="19" fillId="33" borderId="0" xfId="0" applyNumberFormat="1" applyFont="1" applyFill="1" applyBorder="1" applyAlignment="1"/>
    <xf numFmtId="2" fontId="19" fillId="33" borderId="0" xfId="0" applyNumberFormat="1" applyFont="1" applyFill="1" applyBorder="1" applyAlignment="1">
      <alignment horizontal="right" vertical="top"/>
    </xf>
    <xf numFmtId="2" fontId="18" fillId="33" borderId="0" xfId="0" applyNumberFormat="1" applyFont="1" applyFill="1" applyBorder="1" applyAlignment="1"/>
    <xf numFmtId="0" fontId="18" fillId="33" borderId="23" xfId="0" applyNumberFormat="1" applyFont="1" applyFill="1" applyBorder="1" applyAlignment="1">
      <alignment vertical="top"/>
    </xf>
    <xf numFmtId="2" fontId="18" fillId="33" borderId="23" xfId="0" applyNumberFormat="1" applyFont="1" applyFill="1" applyBorder="1" applyAlignment="1"/>
    <xf numFmtId="2" fontId="18" fillId="33" borderId="23" xfId="0" applyNumberFormat="1" applyFont="1" applyFill="1" applyBorder="1" applyAlignment="1">
      <alignment horizontal="right" vertical="top"/>
    </xf>
    <xf numFmtId="0" fontId="18" fillId="33" borderId="0" xfId="0" applyNumberFormat="1" applyFont="1" applyFill="1" applyBorder="1" applyAlignment="1">
      <alignment vertical="top"/>
    </xf>
    <xf numFmtId="2" fontId="18" fillId="33" borderId="0" xfId="0" applyNumberFormat="1" applyFont="1" applyFill="1" applyBorder="1" applyAlignment="1">
      <alignment horizontal="right" vertical="top"/>
    </xf>
    <xf numFmtId="0" fontId="18" fillId="33" borderId="10" xfId="0" applyNumberFormat="1" applyFont="1" applyFill="1" applyBorder="1" applyAlignment="1">
      <alignment vertical="top"/>
    </xf>
    <xf numFmtId="2" fontId="18" fillId="33" borderId="10" xfId="0" applyNumberFormat="1" applyFont="1" applyFill="1" applyBorder="1" applyAlignment="1"/>
    <xf numFmtId="2" fontId="18" fillId="33" borderId="10" xfId="0" applyNumberFormat="1" applyFont="1" applyFill="1" applyBorder="1" applyAlignment="1">
      <alignment horizontal="right" vertical="top"/>
    </xf>
    <xf numFmtId="2" fontId="19" fillId="33" borderId="22" xfId="0" applyNumberFormat="1" applyFont="1" applyFill="1" applyBorder="1" applyAlignment="1"/>
    <xf numFmtId="2" fontId="19" fillId="33" borderId="13" xfId="0" applyNumberFormat="1" applyFont="1" applyFill="1" applyBorder="1" applyAlignment="1"/>
    <xf numFmtId="0" fontId="19" fillId="33" borderId="13" xfId="0" applyNumberFormat="1" applyFont="1" applyFill="1" applyBorder="1" applyAlignment="1"/>
    <xf numFmtId="2" fontId="19" fillId="33" borderId="13" xfId="0" applyNumberFormat="1" applyFont="1" applyFill="1" applyBorder="1" applyAlignment="1">
      <alignment horizontal="right" vertical="top"/>
    </xf>
    <xf numFmtId="2" fontId="19" fillId="33" borderId="15" xfId="0" applyNumberFormat="1" applyFont="1" applyFill="1" applyBorder="1" applyAlignment="1"/>
    <xf numFmtId="4" fontId="18" fillId="33" borderId="0" xfId="0" applyNumberFormat="1" applyFont="1" applyFill="1" applyBorder="1" applyAlignment="1"/>
    <xf numFmtId="4" fontId="19" fillId="34" borderId="12" xfId="0" applyNumberFormat="1" applyFont="1" applyFill="1" applyBorder="1" applyAlignment="1">
      <alignment horizontal="center"/>
    </xf>
    <xf numFmtId="4" fontId="19" fillId="33" borderId="11" xfId="0" applyNumberFormat="1" applyFont="1" applyFill="1" applyBorder="1" applyAlignment="1"/>
    <xf numFmtId="4" fontId="19" fillId="33" borderId="12" xfId="0" applyNumberFormat="1" applyFont="1" applyFill="1" applyBorder="1" applyAlignment="1"/>
    <xf numFmtId="4" fontId="20" fillId="0" borderId="0" xfId="0" applyNumberFormat="1" applyFont="1" applyFill="1" applyBorder="1" applyAlignment="1"/>
    <xf numFmtId="2" fontId="18" fillId="33" borderId="11" xfId="0" applyNumberFormat="1" applyFont="1" applyFill="1" applyBorder="1" applyAlignment="1"/>
    <xf numFmtId="2" fontId="18" fillId="33" borderId="12" xfId="0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wrapText="1"/>
    </xf>
    <xf numFmtId="0" fontId="18" fillId="0" borderId="12" xfId="0" applyFont="1" applyBorder="1" applyAlignment="1"/>
    <xf numFmtId="0" fontId="19" fillId="34" borderId="14" xfId="0" applyNumberFormat="1" applyFont="1" applyFill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9"/>
  <sheetViews>
    <sheetView tabSelected="1" view="pageLayout" zoomScaleNormal="100" workbookViewId="0">
      <selection activeCell="B57" sqref="B57"/>
    </sheetView>
  </sheetViews>
  <sheetFormatPr defaultColWidth="8.85546875" defaultRowHeight="12.75" x14ac:dyDescent="0.2"/>
  <cols>
    <col min="1" max="1" width="29.5703125" style="1" customWidth="1"/>
    <col min="2" max="2" width="12.7109375" style="1" customWidth="1"/>
    <col min="3" max="3" width="9" style="1" customWidth="1"/>
    <col min="4" max="4" width="12.140625" style="21" customWidth="1"/>
    <col min="5" max="5" width="9" style="1" customWidth="1"/>
    <col min="6" max="6" width="10.5703125" style="21" customWidth="1"/>
    <col min="7" max="7" width="11.5703125" style="21" customWidth="1"/>
    <col min="8" max="10" width="10.5703125" style="21" customWidth="1"/>
    <col min="11" max="11" width="8.85546875" style="1"/>
    <col min="12" max="12" width="8.5703125" style="21" customWidth="1"/>
    <col min="13" max="13" width="8.5703125" style="1" customWidth="1"/>
    <col min="14" max="14" width="10.7109375" style="21" bestFit="1" customWidth="1"/>
    <col min="15" max="15" width="10.140625" style="21" bestFit="1" customWidth="1"/>
    <col min="16" max="16" width="9.85546875" style="21" bestFit="1" customWidth="1"/>
    <col min="17" max="18" width="8.85546875" style="1"/>
    <col min="19" max="19" width="8.85546875" style="72"/>
    <col min="20" max="16384" width="8.85546875" style="1"/>
  </cols>
  <sheetData>
    <row r="1" spans="1:19" x14ac:dyDescent="0.2">
      <c r="B1" s="2" t="s">
        <v>0</v>
      </c>
      <c r="C1" s="2"/>
      <c r="D1" s="3"/>
      <c r="E1" s="2"/>
      <c r="F1" s="4" t="s">
        <v>7</v>
      </c>
      <c r="G1" s="3"/>
      <c r="H1" s="3"/>
      <c r="I1" s="3"/>
      <c r="J1" s="3"/>
      <c r="K1" s="2"/>
      <c r="L1" s="3"/>
      <c r="M1" s="2"/>
      <c r="N1" s="5"/>
      <c r="O1" s="6" t="s">
        <v>10</v>
      </c>
      <c r="P1" s="7"/>
      <c r="Q1" s="8"/>
      <c r="R1" s="9"/>
      <c r="S1" s="74"/>
    </row>
    <row r="2" spans="1:19" x14ac:dyDescent="0.2">
      <c r="B2" s="10" t="s">
        <v>6</v>
      </c>
      <c r="C2" s="10"/>
      <c r="D2" s="11" t="s">
        <v>2</v>
      </c>
      <c r="E2" s="12"/>
      <c r="F2" s="11" t="s">
        <v>15</v>
      </c>
      <c r="G2" s="13"/>
      <c r="H2" s="13"/>
      <c r="I2" s="13"/>
      <c r="J2" s="13"/>
      <c r="K2" s="12"/>
      <c r="L2" s="11" t="s">
        <v>8</v>
      </c>
      <c r="M2" s="12"/>
      <c r="N2" s="14"/>
      <c r="O2" s="11" t="s">
        <v>9</v>
      </c>
      <c r="P2" s="15"/>
      <c r="Q2" s="81" t="s">
        <v>21</v>
      </c>
      <c r="R2" s="9"/>
      <c r="S2" s="74"/>
    </row>
    <row r="3" spans="1:19" x14ac:dyDescent="0.2">
      <c r="B3" s="16"/>
      <c r="C3" s="16"/>
      <c r="D3" s="79" t="s">
        <v>20</v>
      </c>
      <c r="E3" s="16"/>
      <c r="F3" s="11" t="s">
        <v>3</v>
      </c>
      <c r="G3" s="13"/>
      <c r="H3" s="13"/>
      <c r="I3" s="13"/>
      <c r="J3" s="15"/>
      <c r="K3" s="17"/>
      <c r="L3" s="18"/>
      <c r="M3" s="19"/>
      <c r="N3" s="20"/>
      <c r="Q3" s="82"/>
      <c r="R3" s="9"/>
      <c r="S3" s="74"/>
    </row>
    <row r="4" spans="1:19" s="27" customFormat="1" ht="42" customHeight="1" x14ac:dyDescent="0.2">
      <c r="A4" s="54"/>
      <c r="B4" s="23" t="s">
        <v>19</v>
      </c>
      <c r="C4" s="24" t="s">
        <v>1</v>
      </c>
      <c r="D4" s="80"/>
      <c r="E4" s="24" t="s">
        <v>1</v>
      </c>
      <c r="F4" s="25" t="s">
        <v>11</v>
      </c>
      <c r="G4" s="24" t="s">
        <v>12</v>
      </c>
      <c r="H4" s="24" t="s">
        <v>4</v>
      </c>
      <c r="I4" s="24" t="s">
        <v>5</v>
      </c>
      <c r="J4" s="26" t="s">
        <v>13</v>
      </c>
      <c r="K4" s="24" t="s">
        <v>17</v>
      </c>
      <c r="L4" s="25" t="s">
        <v>16</v>
      </c>
      <c r="M4" s="26" t="s">
        <v>17</v>
      </c>
      <c r="N4" s="26" t="s">
        <v>14</v>
      </c>
      <c r="O4" s="24" t="s">
        <v>4</v>
      </c>
      <c r="P4" s="24" t="s">
        <v>5</v>
      </c>
      <c r="Q4" s="83"/>
      <c r="R4" s="25" t="s">
        <v>18</v>
      </c>
      <c r="S4" s="73" t="s">
        <v>22</v>
      </c>
    </row>
    <row r="5" spans="1:19" x14ac:dyDescent="0.2">
      <c r="A5" s="28" t="s">
        <v>108</v>
      </c>
      <c r="B5" s="29">
        <v>23</v>
      </c>
      <c r="C5" s="30">
        <v>16.03</v>
      </c>
      <c r="D5" s="31">
        <v>121.063</v>
      </c>
      <c r="E5" s="30">
        <v>249.85</v>
      </c>
      <c r="F5" s="31">
        <v>35.383000000000003</v>
      </c>
      <c r="G5" s="30">
        <v>137.54900000000001</v>
      </c>
      <c r="H5" s="30">
        <v>1414.441</v>
      </c>
      <c r="I5" s="30">
        <v>1101.6510000000001</v>
      </c>
      <c r="J5" s="30">
        <v>272.40300000000002</v>
      </c>
      <c r="K5" s="31">
        <v>704.24</v>
      </c>
      <c r="L5" s="31">
        <v>21.521000000000001</v>
      </c>
      <c r="M5" s="32">
        <v>19.23</v>
      </c>
      <c r="N5" s="30">
        <v>148.70099999999999</v>
      </c>
      <c r="O5" s="31">
        <v>0</v>
      </c>
      <c r="P5" s="32">
        <v>80.561000000000007</v>
      </c>
      <c r="Q5" s="29">
        <v>111.59</v>
      </c>
      <c r="R5" s="31">
        <v>920.07</v>
      </c>
      <c r="S5" s="74">
        <f>SUM(B5:R5)</f>
        <v>5377.2829999999985</v>
      </c>
    </row>
    <row r="6" spans="1:19" x14ac:dyDescent="0.2">
      <c r="A6" s="33" t="s">
        <v>109</v>
      </c>
      <c r="B6" s="21">
        <v>2.75</v>
      </c>
      <c r="C6" s="34">
        <v>2.58</v>
      </c>
      <c r="D6" s="35">
        <v>3.99</v>
      </c>
      <c r="E6" s="34">
        <v>5.22</v>
      </c>
      <c r="F6" s="35">
        <v>0.5</v>
      </c>
      <c r="G6" s="34">
        <v>3.0089999999999999</v>
      </c>
      <c r="H6" s="34">
        <v>34.991</v>
      </c>
      <c r="I6" s="34">
        <v>31.4</v>
      </c>
      <c r="J6" s="34">
        <v>6.72</v>
      </c>
      <c r="K6" s="35">
        <v>26.64</v>
      </c>
      <c r="L6" s="35">
        <v>0</v>
      </c>
      <c r="M6" s="36">
        <v>4.01</v>
      </c>
      <c r="N6" s="34">
        <v>2.35</v>
      </c>
      <c r="O6" s="35">
        <v>0</v>
      </c>
      <c r="P6" s="36">
        <v>2</v>
      </c>
      <c r="Q6" s="21">
        <v>1.22</v>
      </c>
      <c r="R6" s="35">
        <v>26.26</v>
      </c>
      <c r="S6" s="74">
        <f t="shared" ref="S6:S49" si="0">SUM(B6:R6)</f>
        <v>153.63999999999999</v>
      </c>
    </row>
    <row r="7" spans="1:19" x14ac:dyDescent="0.2">
      <c r="A7" s="33" t="s">
        <v>110</v>
      </c>
      <c r="B7" s="21">
        <v>7</v>
      </c>
      <c r="C7" s="34">
        <v>18</v>
      </c>
      <c r="D7" s="35">
        <v>25.05</v>
      </c>
      <c r="E7" s="34">
        <v>38</v>
      </c>
      <c r="F7" s="35">
        <v>9</v>
      </c>
      <c r="G7" s="34">
        <v>24.53</v>
      </c>
      <c r="H7" s="34">
        <v>180.99799999999999</v>
      </c>
      <c r="I7" s="34">
        <v>224.51499999999999</v>
      </c>
      <c r="J7" s="34">
        <v>44.68</v>
      </c>
      <c r="K7" s="35">
        <v>141</v>
      </c>
      <c r="L7" s="35">
        <v>4.5</v>
      </c>
      <c r="M7" s="36">
        <v>7</v>
      </c>
      <c r="N7" s="34">
        <v>19.004000000000001</v>
      </c>
      <c r="O7" s="35">
        <v>3</v>
      </c>
      <c r="P7" s="36">
        <v>13.032999999999999</v>
      </c>
      <c r="Q7" s="21">
        <v>25.481000000000002</v>
      </c>
      <c r="R7" s="35">
        <v>225</v>
      </c>
      <c r="S7" s="74">
        <f t="shared" si="0"/>
        <v>1009.7909999999999</v>
      </c>
    </row>
    <row r="8" spans="1:19" x14ac:dyDescent="0.2">
      <c r="A8" s="33" t="s">
        <v>111</v>
      </c>
      <c r="B8" s="21">
        <v>3.5</v>
      </c>
      <c r="C8" s="34">
        <v>30.11</v>
      </c>
      <c r="D8" s="35">
        <v>32.606000000000002</v>
      </c>
      <c r="E8" s="34">
        <v>39.67</v>
      </c>
      <c r="F8" s="35">
        <v>8.65</v>
      </c>
      <c r="G8" s="34">
        <v>29.5</v>
      </c>
      <c r="H8" s="34">
        <v>255.56800000000001</v>
      </c>
      <c r="I8" s="34">
        <v>290.88400000000001</v>
      </c>
      <c r="J8" s="34">
        <v>49.741</v>
      </c>
      <c r="K8" s="35">
        <v>469.59</v>
      </c>
      <c r="L8" s="35">
        <v>15.8</v>
      </c>
      <c r="M8" s="36">
        <v>8</v>
      </c>
      <c r="N8" s="34">
        <v>46.634</v>
      </c>
      <c r="O8" s="35">
        <v>2</v>
      </c>
      <c r="P8" s="36">
        <v>20.018000000000001</v>
      </c>
      <c r="Q8" s="21">
        <v>66.716999999999999</v>
      </c>
      <c r="R8" s="35">
        <v>282.26</v>
      </c>
      <c r="S8" s="74">
        <f t="shared" si="0"/>
        <v>1651.248</v>
      </c>
    </row>
    <row r="9" spans="1:19" x14ac:dyDescent="0.2">
      <c r="A9" s="37" t="s">
        <v>112</v>
      </c>
      <c r="B9" s="38">
        <v>23</v>
      </c>
      <c r="C9" s="39">
        <v>70.599999999999994</v>
      </c>
      <c r="D9" s="40">
        <v>87.087000000000003</v>
      </c>
      <c r="E9" s="39">
        <v>109.2</v>
      </c>
      <c r="F9" s="40">
        <v>13.25</v>
      </c>
      <c r="G9" s="39">
        <v>69.867999999999995</v>
      </c>
      <c r="H9" s="39">
        <v>653.51199999999994</v>
      </c>
      <c r="I9" s="39">
        <v>602.44299999999998</v>
      </c>
      <c r="J9" s="39">
        <v>138.66900000000001</v>
      </c>
      <c r="K9" s="40">
        <v>135.80000000000001</v>
      </c>
      <c r="L9" s="40">
        <v>10.084</v>
      </c>
      <c r="M9" s="41">
        <v>34.83</v>
      </c>
      <c r="N9" s="39">
        <v>136.208</v>
      </c>
      <c r="O9" s="40">
        <v>0.5</v>
      </c>
      <c r="P9" s="41">
        <v>44.408000000000001</v>
      </c>
      <c r="Q9" s="38">
        <v>99.251000000000005</v>
      </c>
      <c r="R9" s="40">
        <v>481.5</v>
      </c>
      <c r="S9" s="75">
        <f t="shared" si="0"/>
        <v>2710.21</v>
      </c>
    </row>
    <row r="10" spans="1:19" x14ac:dyDescent="0.2">
      <c r="A10" s="28" t="s">
        <v>113</v>
      </c>
      <c r="B10" s="29">
        <v>5.5</v>
      </c>
      <c r="C10" s="30">
        <v>5.51</v>
      </c>
      <c r="D10" s="31">
        <v>12</v>
      </c>
      <c r="E10" s="30">
        <v>13.47</v>
      </c>
      <c r="F10" s="31">
        <v>2</v>
      </c>
      <c r="G10" s="30">
        <v>15</v>
      </c>
      <c r="H10" s="30">
        <v>71.709999999999994</v>
      </c>
      <c r="I10" s="30">
        <v>69.2</v>
      </c>
      <c r="J10" s="30">
        <v>15.342000000000001</v>
      </c>
      <c r="K10" s="31">
        <v>82.47</v>
      </c>
      <c r="L10" s="31">
        <v>0.5</v>
      </c>
      <c r="M10" s="32">
        <v>3.78</v>
      </c>
      <c r="N10" s="30">
        <v>16.562999999999999</v>
      </c>
      <c r="O10" s="31">
        <v>1.9</v>
      </c>
      <c r="P10" s="32">
        <v>4.9400000000000004</v>
      </c>
      <c r="Q10" s="29">
        <v>7</v>
      </c>
      <c r="R10" s="31">
        <v>76.89</v>
      </c>
      <c r="S10" s="74">
        <f t="shared" si="0"/>
        <v>403.77499999999992</v>
      </c>
    </row>
    <row r="11" spans="1:19" x14ac:dyDescent="0.2">
      <c r="A11" s="33" t="s">
        <v>114</v>
      </c>
      <c r="B11" s="21">
        <v>1.65</v>
      </c>
      <c r="C11" s="34">
        <v>1</v>
      </c>
      <c r="D11" s="35">
        <v>0.86</v>
      </c>
      <c r="E11" s="34">
        <v>1.75</v>
      </c>
      <c r="F11" s="35">
        <v>0</v>
      </c>
      <c r="G11" s="34">
        <v>0.83</v>
      </c>
      <c r="H11" s="34">
        <v>5.17</v>
      </c>
      <c r="I11" s="34">
        <v>9.18</v>
      </c>
      <c r="J11" s="34">
        <v>0.8</v>
      </c>
      <c r="K11" s="35">
        <v>5.47</v>
      </c>
      <c r="L11" s="35">
        <v>0.03</v>
      </c>
      <c r="M11" s="36">
        <v>0</v>
      </c>
      <c r="N11" s="34">
        <v>1.478</v>
      </c>
      <c r="O11" s="35">
        <v>0</v>
      </c>
      <c r="P11" s="36">
        <v>0</v>
      </c>
      <c r="Q11" s="21">
        <v>0.36</v>
      </c>
      <c r="R11" s="35">
        <v>8.39</v>
      </c>
      <c r="S11" s="74">
        <f t="shared" si="0"/>
        <v>36.968000000000004</v>
      </c>
    </row>
    <row r="12" spans="1:19" x14ac:dyDescent="0.2">
      <c r="A12" s="33" t="s">
        <v>115</v>
      </c>
      <c r="B12" s="21">
        <v>28.5</v>
      </c>
      <c r="C12" s="34">
        <v>105.9</v>
      </c>
      <c r="D12" s="35">
        <v>175.047</v>
      </c>
      <c r="E12" s="34">
        <v>222.75</v>
      </c>
      <c r="F12" s="35">
        <v>30.917999999999999</v>
      </c>
      <c r="G12" s="34">
        <v>133.178</v>
      </c>
      <c r="H12" s="34">
        <v>1314.048</v>
      </c>
      <c r="I12" s="34">
        <v>1083.0309999999999</v>
      </c>
      <c r="J12" s="34">
        <v>277.39999999999998</v>
      </c>
      <c r="K12" s="35">
        <v>991.51</v>
      </c>
      <c r="L12" s="35">
        <v>19.09</v>
      </c>
      <c r="M12" s="36">
        <v>51.59</v>
      </c>
      <c r="N12" s="34">
        <v>204.72399999999999</v>
      </c>
      <c r="O12" s="35">
        <v>31.956</v>
      </c>
      <c r="P12" s="36">
        <v>84.9</v>
      </c>
      <c r="Q12" s="21">
        <v>136.07300000000001</v>
      </c>
      <c r="R12" s="35">
        <v>1062.82</v>
      </c>
      <c r="S12" s="74">
        <f t="shared" si="0"/>
        <v>5953.4350000000004</v>
      </c>
    </row>
    <row r="13" spans="1:19" x14ac:dyDescent="0.2">
      <c r="A13" s="33" t="s">
        <v>116</v>
      </c>
      <c r="B13" s="21">
        <v>3.5</v>
      </c>
      <c r="C13" s="34">
        <v>12</v>
      </c>
      <c r="D13" s="35">
        <v>16.25</v>
      </c>
      <c r="E13" s="34">
        <v>21.13</v>
      </c>
      <c r="F13" s="35">
        <v>3</v>
      </c>
      <c r="G13" s="34">
        <v>13.5</v>
      </c>
      <c r="H13" s="34">
        <v>96.186999999999998</v>
      </c>
      <c r="I13" s="34">
        <v>89.965999999999994</v>
      </c>
      <c r="J13" s="34">
        <v>26.05</v>
      </c>
      <c r="K13" s="35">
        <v>88.54</v>
      </c>
      <c r="L13" s="35">
        <v>4.84</v>
      </c>
      <c r="M13" s="36">
        <v>5.35</v>
      </c>
      <c r="N13" s="34">
        <v>6.2149999999999999</v>
      </c>
      <c r="O13" s="35">
        <v>0</v>
      </c>
      <c r="P13" s="36">
        <v>5</v>
      </c>
      <c r="Q13" s="21">
        <v>6.9</v>
      </c>
      <c r="R13" s="35">
        <v>93.62</v>
      </c>
      <c r="S13" s="74">
        <f t="shared" si="0"/>
        <v>492.048</v>
      </c>
    </row>
    <row r="14" spans="1:19" x14ac:dyDescent="0.2">
      <c r="A14" s="37" t="s">
        <v>117</v>
      </c>
      <c r="B14" s="38">
        <v>4.5</v>
      </c>
      <c r="C14" s="39">
        <v>7</v>
      </c>
      <c r="D14" s="40">
        <v>10.029999999999999</v>
      </c>
      <c r="E14" s="39">
        <v>11.88</v>
      </c>
      <c r="F14" s="40">
        <v>1</v>
      </c>
      <c r="G14" s="39">
        <v>7</v>
      </c>
      <c r="H14" s="39">
        <v>57.707000000000001</v>
      </c>
      <c r="I14" s="39">
        <v>53.198999999999998</v>
      </c>
      <c r="J14" s="39">
        <v>13.488</v>
      </c>
      <c r="K14" s="40">
        <v>40.08</v>
      </c>
      <c r="L14" s="40">
        <v>1</v>
      </c>
      <c r="M14" s="41">
        <v>7.5</v>
      </c>
      <c r="N14" s="39">
        <v>0.5</v>
      </c>
      <c r="O14" s="40">
        <v>0</v>
      </c>
      <c r="P14" s="41">
        <v>3</v>
      </c>
      <c r="Q14" s="38">
        <v>5</v>
      </c>
      <c r="R14" s="40">
        <v>52.72</v>
      </c>
      <c r="S14" s="75">
        <f t="shared" si="0"/>
        <v>275.60400000000004</v>
      </c>
    </row>
    <row r="15" spans="1:19" x14ac:dyDescent="0.2">
      <c r="A15" s="28" t="s">
        <v>118</v>
      </c>
      <c r="B15" s="29">
        <v>2.13</v>
      </c>
      <c r="C15" s="30">
        <v>3</v>
      </c>
      <c r="D15" s="31">
        <v>3.07</v>
      </c>
      <c r="E15" s="30">
        <v>7</v>
      </c>
      <c r="F15" s="31">
        <v>0.5</v>
      </c>
      <c r="G15" s="30">
        <v>2.5299999999999998</v>
      </c>
      <c r="H15" s="30">
        <v>21.844999999999999</v>
      </c>
      <c r="I15" s="30">
        <v>27.280999999999999</v>
      </c>
      <c r="J15" s="30">
        <v>5.4</v>
      </c>
      <c r="K15" s="31">
        <v>19.11</v>
      </c>
      <c r="L15" s="31">
        <v>0</v>
      </c>
      <c r="M15" s="32">
        <v>0</v>
      </c>
      <c r="N15" s="30">
        <v>0.2</v>
      </c>
      <c r="O15" s="31">
        <v>0</v>
      </c>
      <c r="P15" s="32">
        <v>1.5</v>
      </c>
      <c r="Q15" s="29">
        <v>2.1100000000000003</v>
      </c>
      <c r="R15" s="31">
        <v>18.579999999999998</v>
      </c>
      <c r="S15" s="74">
        <f t="shared" si="0"/>
        <v>114.256</v>
      </c>
    </row>
    <row r="16" spans="1:19" x14ac:dyDescent="0.2">
      <c r="A16" s="33" t="s">
        <v>119</v>
      </c>
      <c r="B16" s="21">
        <v>2</v>
      </c>
      <c r="C16" s="34">
        <v>5.25</v>
      </c>
      <c r="D16" s="35">
        <v>5</v>
      </c>
      <c r="E16" s="34">
        <v>12.14</v>
      </c>
      <c r="F16" s="35">
        <v>1.05</v>
      </c>
      <c r="G16" s="34">
        <v>4</v>
      </c>
      <c r="H16" s="34">
        <v>36</v>
      </c>
      <c r="I16" s="34">
        <v>36.286000000000001</v>
      </c>
      <c r="J16" s="34">
        <v>8.58</v>
      </c>
      <c r="K16" s="35">
        <v>26.81</v>
      </c>
      <c r="L16" s="35">
        <v>1</v>
      </c>
      <c r="M16" s="36">
        <v>3</v>
      </c>
      <c r="N16" s="34">
        <v>2.343</v>
      </c>
      <c r="O16" s="35">
        <v>0</v>
      </c>
      <c r="P16" s="36">
        <v>2</v>
      </c>
      <c r="Q16" s="21">
        <v>3</v>
      </c>
      <c r="R16" s="35">
        <v>39.24</v>
      </c>
      <c r="S16" s="74">
        <f t="shared" si="0"/>
        <v>187.69899999999998</v>
      </c>
    </row>
    <row r="17" spans="1:19" x14ac:dyDescent="0.2">
      <c r="A17" s="33" t="s">
        <v>120</v>
      </c>
      <c r="B17" s="21">
        <v>38.645000000000003</v>
      </c>
      <c r="C17" s="34">
        <v>40.5</v>
      </c>
      <c r="D17" s="35">
        <v>139.489</v>
      </c>
      <c r="E17" s="34">
        <v>298.47000000000003</v>
      </c>
      <c r="F17" s="35">
        <v>23.071000000000002</v>
      </c>
      <c r="G17" s="34">
        <v>148.01</v>
      </c>
      <c r="H17" s="34">
        <v>1310.2940000000001</v>
      </c>
      <c r="I17" s="34">
        <v>1127.94</v>
      </c>
      <c r="J17" s="34">
        <v>296.60700000000003</v>
      </c>
      <c r="K17" s="35">
        <v>806.84</v>
      </c>
      <c r="L17" s="35">
        <v>6.0279999999999996</v>
      </c>
      <c r="M17" s="36">
        <v>42.01</v>
      </c>
      <c r="N17" s="34">
        <v>388.28800000000001</v>
      </c>
      <c r="O17" s="35">
        <v>1.5</v>
      </c>
      <c r="P17" s="36">
        <v>85.930999999999997</v>
      </c>
      <c r="Q17" s="21">
        <v>228.393</v>
      </c>
      <c r="R17" s="35">
        <v>1075.4000000000001</v>
      </c>
      <c r="S17" s="74">
        <f t="shared" si="0"/>
        <v>6057.4160000000011</v>
      </c>
    </row>
    <row r="18" spans="1:19" x14ac:dyDescent="0.2">
      <c r="A18" s="33" t="s">
        <v>121</v>
      </c>
      <c r="B18" s="21">
        <v>4</v>
      </c>
      <c r="C18" s="34">
        <v>7.3</v>
      </c>
      <c r="D18" s="35">
        <v>21</v>
      </c>
      <c r="E18" s="34">
        <v>28.3</v>
      </c>
      <c r="F18" s="35">
        <v>8.5</v>
      </c>
      <c r="G18" s="34">
        <v>22.5</v>
      </c>
      <c r="H18" s="34">
        <v>172.76300000000001</v>
      </c>
      <c r="I18" s="34">
        <v>159.61000000000001</v>
      </c>
      <c r="J18" s="34">
        <v>42.38</v>
      </c>
      <c r="K18" s="35">
        <v>199.1</v>
      </c>
      <c r="L18" s="35">
        <v>2</v>
      </c>
      <c r="M18" s="36">
        <v>9.8000000000000007</v>
      </c>
      <c r="N18" s="34">
        <v>9.3490000000000002</v>
      </c>
      <c r="O18" s="35">
        <v>4</v>
      </c>
      <c r="P18" s="36">
        <v>11</v>
      </c>
      <c r="Q18" s="21">
        <v>12.966999999999999</v>
      </c>
      <c r="R18" s="35">
        <v>157</v>
      </c>
      <c r="S18" s="74">
        <f t="shared" si="0"/>
        <v>871.56899999999996</v>
      </c>
    </row>
    <row r="19" spans="1:19" x14ac:dyDescent="0.2">
      <c r="A19" s="37" t="s">
        <v>122</v>
      </c>
      <c r="B19" s="38">
        <v>26.007000000000001</v>
      </c>
      <c r="C19" s="39">
        <v>23</v>
      </c>
      <c r="D19" s="40">
        <v>97.853999999999999</v>
      </c>
      <c r="E19" s="39">
        <v>177.15</v>
      </c>
      <c r="F19" s="40">
        <v>17.579999999999998</v>
      </c>
      <c r="G19" s="39">
        <v>93.111000000000004</v>
      </c>
      <c r="H19" s="39">
        <v>1014.898</v>
      </c>
      <c r="I19" s="39">
        <v>833.59199999999998</v>
      </c>
      <c r="J19" s="39">
        <v>199.79499999999999</v>
      </c>
      <c r="K19" s="40">
        <v>575.57000000000005</v>
      </c>
      <c r="L19" s="40">
        <v>15.125</v>
      </c>
      <c r="M19" s="41">
        <v>3</v>
      </c>
      <c r="N19" s="39">
        <v>113.783</v>
      </c>
      <c r="O19" s="40">
        <v>0</v>
      </c>
      <c r="P19" s="41">
        <v>58.898000000000003</v>
      </c>
      <c r="Q19" s="38">
        <v>117.73</v>
      </c>
      <c r="R19" s="40">
        <v>779.34</v>
      </c>
      <c r="S19" s="75">
        <f t="shared" si="0"/>
        <v>4146.433</v>
      </c>
    </row>
    <row r="20" spans="1:19" x14ac:dyDescent="0.2">
      <c r="A20" s="28" t="s">
        <v>123</v>
      </c>
      <c r="B20" s="29">
        <v>2.2999999999999998</v>
      </c>
      <c r="C20" s="30">
        <v>2.2000000000000002</v>
      </c>
      <c r="D20" s="31">
        <v>6</v>
      </c>
      <c r="E20" s="30">
        <v>8.6300000000000008</v>
      </c>
      <c r="F20" s="31">
        <v>1</v>
      </c>
      <c r="G20" s="30">
        <v>4</v>
      </c>
      <c r="H20" s="30">
        <v>44</v>
      </c>
      <c r="I20" s="30">
        <v>38.689</v>
      </c>
      <c r="J20" s="30">
        <v>15</v>
      </c>
      <c r="K20" s="31">
        <v>52.38</v>
      </c>
      <c r="L20" s="31">
        <v>0</v>
      </c>
      <c r="M20" s="32">
        <v>3.51</v>
      </c>
      <c r="N20" s="30">
        <v>2.4900000000000002</v>
      </c>
      <c r="O20" s="31">
        <v>0</v>
      </c>
      <c r="P20" s="32">
        <v>2.99</v>
      </c>
      <c r="Q20" s="29">
        <v>8.0879999999999992</v>
      </c>
      <c r="R20" s="31">
        <v>32.19</v>
      </c>
      <c r="S20" s="74">
        <f t="shared" si="0"/>
        <v>223.46699999999998</v>
      </c>
    </row>
    <row r="21" spans="1:19" x14ac:dyDescent="0.2">
      <c r="A21" s="33" t="s">
        <v>124</v>
      </c>
      <c r="B21" s="21">
        <v>2</v>
      </c>
      <c r="C21" s="34">
        <v>3.75</v>
      </c>
      <c r="D21" s="35">
        <v>3.7</v>
      </c>
      <c r="E21" s="34">
        <v>8.19</v>
      </c>
      <c r="F21" s="35">
        <v>1.5</v>
      </c>
      <c r="G21" s="34">
        <v>3.34</v>
      </c>
      <c r="H21" s="34">
        <v>25.11</v>
      </c>
      <c r="I21" s="34">
        <v>33.146000000000001</v>
      </c>
      <c r="J21" s="34">
        <v>6.91</v>
      </c>
      <c r="K21" s="35">
        <v>36.909999999999997</v>
      </c>
      <c r="L21" s="35">
        <v>1</v>
      </c>
      <c r="M21" s="36">
        <v>3.19</v>
      </c>
      <c r="N21" s="34">
        <v>2.34</v>
      </c>
      <c r="O21" s="35">
        <v>0</v>
      </c>
      <c r="P21" s="36">
        <v>1.67</v>
      </c>
      <c r="Q21" s="21">
        <v>4</v>
      </c>
      <c r="R21" s="35">
        <v>23.07</v>
      </c>
      <c r="S21" s="74">
        <f t="shared" si="0"/>
        <v>159.82599999999999</v>
      </c>
    </row>
    <row r="22" spans="1:19" x14ac:dyDescent="0.2">
      <c r="A22" s="33" t="s">
        <v>125</v>
      </c>
      <c r="B22" s="21">
        <v>5</v>
      </c>
      <c r="C22" s="34">
        <v>7.63</v>
      </c>
      <c r="D22" s="35">
        <v>11.88</v>
      </c>
      <c r="E22" s="34">
        <v>26.52</v>
      </c>
      <c r="F22" s="35">
        <v>3</v>
      </c>
      <c r="G22" s="34">
        <v>15.5</v>
      </c>
      <c r="H22" s="34">
        <v>108.24299999999999</v>
      </c>
      <c r="I22" s="34">
        <v>110.21</v>
      </c>
      <c r="J22" s="34">
        <v>27.628</v>
      </c>
      <c r="K22" s="35">
        <v>142.81</v>
      </c>
      <c r="L22" s="35">
        <v>2</v>
      </c>
      <c r="M22" s="36">
        <v>11.98</v>
      </c>
      <c r="N22" s="34">
        <v>20.73</v>
      </c>
      <c r="O22" s="35">
        <v>1</v>
      </c>
      <c r="P22" s="36">
        <v>7</v>
      </c>
      <c r="Q22" s="21">
        <v>15.3</v>
      </c>
      <c r="R22" s="35">
        <v>85.36</v>
      </c>
      <c r="S22" s="74">
        <f t="shared" si="0"/>
        <v>601.79100000000005</v>
      </c>
    </row>
    <row r="23" spans="1:19" x14ac:dyDescent="0.2">
      <c r="A23" s="33" t="s">
        <v>126</v>
      </c>
      <c r="B23" s="21">
        <v>3</v>
      </c>
      <c r="C23" s="34">
        <v>3.75</v>
      </c>
      <c r="D23" s="35">
        <v>8.02</v>
      </c>
      <c r="E23" s="34">
        <v>9</v>
      </c>
      <c r="F23" s="35">
        <v>3.5</v>
      </c>
      <c r="G23" s="34">
        <v>7.33</v>
      </c>
      <c r="H23" s="34">
        <v>54.493000000000002</v>
      </c>
      <c r="I23" s="34">
        <v>63.058999999999997</v>
      </c>
      <c r="J23" s="34">
        <v>12.48</v>
      </c>
      <c r="K23" s="35">
        <v>68.31</v>
      </c>
      <c r="L23" s="35">
        <v>1.5</v>
      </c>
      <c r="M23" s="36">
        <v>4.5</v>
      </c>
      <c r="N23" s="34">
        <v>4.7939999999999996</v>
      </c>
      <c r="O23" s="35">
        <v>0.51200000000000001</v>
      </c>
      <c r="P23" s="36">
        <v>3.34</v>
      </c>
      <c r="Q23" s="21">
        <v>5.7</v>
      </c>
      <c r="R23" s="35">
        <v>70.33</v>
      </c>
      <c r="S23" s="74">
        <f t="shared" si="0"/>
        <v>323.61799999999999</v>
      </c>
    </row>
    <row r="24" spans="1:19" x14ac:dyDescent="0.2">
      <c r="A24" s="37" t="s">
        <v>127</v>
      </c>
      <c r="B24" s="38">
        <v>1.83</v>
      </c>
      <c r="C24" s="39">
        <v>3.42</v>
      </c>
      <c r="D24" s="40">
        <v>5.86</v>
      </c>
      <c r="E24" s="39">
        <v>7.16</v>
      </c>
      <c r="F24" s="40">
        <v>1</v>
      </c>
      <c r="G24" s="39">
        <v>5</v>
      </c>
      <c r="H24" s="39">
        <v>47.825000000000003</v>
      </c>
      <c r="I24" s="39">
        <v>48.719000000000001</v>
      </c>
      <c r="J24" s="39">
        <v>8.5</v>
      </c>
      <c r="K24" s="40">
        <v>30.13</v>
      </c>
      <c r="L24" s="40">
        <v>0.87</v>
      </c>
      <c r="M24" s="41">
        <v>3.52</v>
      </c>
      <c r="N24" s="39">
        <v>3.1419999999999999</v>
      </c>
      <c r="O24" s="40">
        <v>0</v>
      </c>
      <c r="P24" s="41">
        <v>2.75</v>
      </c>
      <c r="Q24" s="38">
        <v>5.26</v>
      </c>
      <c r="R24" s="40">
        <v>38.01</v>
      </c>
      <c r="S24" s="75">
        <f t="shared" si="0"/>
        <v>212.99599999999998</v>
      </c>
    </row>
    <row r="25" spans="1:19" x14ac:dyDescent="0.2">
      <c r="A25" s="28" t="s">
        <v>128</v>
      </c>
      <c r="B25" s="29">
        <v>10.45</v>
      </c>
      <c r="C25" s="30">
        <v>11.29</v>
      </c>
      <c r="D25" s="31">
        <v>15.148</v>
      </c>
      <c r="E25" s="30">
        <v>16.82</v>
      </c>
      <c r="F25" s="31">
        <v>1.5</v>
      </c>
      <c r="G25" s="30">
        <v>13.866</v>
      </c>
      <c r="H25" s="30">
        <v>123</v>
      </c>
      <c r="I25" s="30">
        <v>118.842</v>
      </c>
      <c r="J25" s="30">
        <v>27.222999999999999</v>
      </c>
      <c r="K25" s="31">
        <v>67.849999999999994</v>
      </c>
      <c r="L25" s="31">
        <v>3</v>
      </c>
      <c r="M25" s="32">
        <v>4.29</v>
      </c>
      <c r="N25" s="30">
        <v>13.558</v>
      </c>
      <c r="O25" s="31">
        <v>1</v>
      </c>
      <c r="P25" s="32">
        <v>8.5</v>
      </c>
      <c r="Q25" s="29">
        <v>15.39</v>
      </c>
      <c r="R25" s="31">
        <v>85.92</v>
      </c>
      <c r="S25" s="74">
        <f t="shared" si="0"/>
        <v>537.64700000000005</v>
      </c>
    </row>
    <row r="26" spans="1:19" x14ac:dyDescent="0.2">
      <c r="A26" s="33" t="s">
        <v>129</v>
      </c>
      <c r="B26" s="21">
        <v>13.6</v>
      </c>
      <c r="C26" s="34">
        <v>39.75</v>
      </c>
      <c r="D26" s="35">
        <v>59</v>
      </c>
      <c r="E26" s="34">
        <v>117.84</v>
      </c>
      <c r="F26" s="35">
        <v>19.3</v>
      </c>
      <c r="G26" s="34">
        <v>61.5</v>
      </c>
      <c r="H26" s="34">
        <v>570.58699999999999</v>
      </c>
      <c r="I26" s="34">
        <v>504.88900000000001</v>
      </c>
      <c r="J26" s="34">
        <v>107.914</v>
      </c>
      <c r="K26" s="35">
        <v>384.4</v>
      </c>
      <c r="L26" s="35">
        <v>13</v>
      </c>
      <c r="M26" s="36">
        <v>19.28</v>
      </c>
      <c r="N26" s="34">
        <v>108.56699999999999</v>
      </c>
      <c r="O26" s="35">
        <v>12.9</v>
      </c>
      <c r="P26" s="36">
        <v>35.584000000000003</v>
      </c>
      <c r="Q26" s="21">
        <v>74.881</v>
      </c>
      <c r="R26" s="35">
        <v>538.26</v>
      </c>
      <c r="S26" s="74">
        <f t="shared" si="0"/>
        <v>2681.2519999999995</v>
      </c>
    </row>
    <row r="27" spans="1:19" x14ac:dyDescent="0.2">
      <c r="A27" s="33" t="s">
        <v>130</v>
      </c>
      <c r="B27" s="21">
        <v>3</v>
      </c>
      <c r="C27" s="34">
        <v>3.5</v>
      </c>
      <c r="D27" s="35">
        <v>7</v>
      </c>
      <c r="E27" s="34">
        <v>7.71</v>
      </c>
      <c r="F27" s="35">
        <v>1</v>
      </c>
      <c r="G27" s="34">
        <v>6</v>
      </c>
      <c r="H27" s="34">
        <v>51.631</v>
      </c>
      <c r="I27" s="34">
        <v>47.143000000000001</v>
      </c>
      <c r="J27" s="34">
        <v>9.16</v>
      </c>
      <c r="K27" s="35">
        <v>58.41</v>
      </c>
      <c r="L27" s="35">
        <v>0</v>
      </c>
      <c r="M27" s="36">
        <v>4.12</v>
      </c>
      <c r="N27" s="34">
        <v>4.431</v>
      </c>
      <c r="O27" s="35">
        <v>1</v>
      </c>
      <c r="P27" s="36">
        <v>2.99</v>
      </c>
      <c r="Q27" s="21">
        <v>3</v>
      </c>
      <c r="R27" s="35">
        <v>41.75</v>
      </c>
      <c r="S27" s="74">
        <f t="shared" si="0"/>
        <v>251.84500000000003</v>
      </c>
    </row>
    <row r="28" spans="1:19" x14ac:dyDescent="0.2">
      <c r="A28" s="33" t="s">
        <v>131</v>
      </c>
      <c r="B28" s="21">
        <v>2</v>
      </c>
      <c r="C28" s="34">
        <v>1</v>
      </c>
      <c r="D28" s="35">
        <v>2.67</v>
      </c>
      <c r="E28" s="34">
        <v>4</v>
      </c>
      <c r="F28" s="35">
        <v>0.5</v>
      </c>
      <c r="G28" s="34">
        <v>2.5</v>
      </c>
      <c r="H28" s="34">
        <v>19.82</v>
      </c>
      <c r="I28" s="34">
        <v>24.1</v>
      </c>
      <c r="J28" s="34">
        <v>5.07</v>
      </c>
      <c r="K28" s="35">
        <v>17.5</v>
      </c>
      <c r="L28" s="35">
        <v>0.84</v>
      </c>
      <c r="M28" s="36">
        <v>2</v>
      </c>
      <c r="N28" s="34">
        <v>2.5</v>
      </c>
      <c r="O28" s="35">
        <v>0.25</v>
      </c>
      <c r="P28" s="36">
        <v>1.25</v>
      </c>
      <c r="Q28" s="21">
        <v>1.748</v>
      </c>
      <c r="R28" s="35">
        <v>29</v>
      </c>
      <c r="S28" s="74">
        <f t="shared" si="0"/>
        <v>116.748</v>
      </c>
    </row>
    <row r="29" spans="1:19" x14ac:dyDescent="0.2">
      <c r="A29" s="37" t="s">
        <v>132</v>
      </c>
      <c r="B29" s="38">
        <v>13.952</v>
      </c>
      <c r="C29" s="39">
        <v>11</v>
      </c>
      <c r="D29" s="40">
        <v>31.718</v>
      </c>
      <c r="E29" s="39">
        <v>67.569999999999993</v>
      </c>
      <c r="F29" s="40">
        <v>6</v>
      </c>
      <c r="G29" s="39">
        <v>40.411000000000001</v>
      </c>
      <c r="H29" s="39">
        <v>257.88</v>
      </c>
      <c r="I29" s="39">
        <v>212.78299999999999</v>
      </c>
      <c r="J29" s="39">
        <v>64.521000000000001</v>
      </c>
      <c r="K29" s="40">
        <v>230.44</v>
      </c>
      <c r="L29" s="40">
        <v>19.600000000000001</v>
      </c>
      <c r="M29" s="41">
        <v>0.88</v>
      </c>
      <c r="N29" s="39">
        <v>61.957999999999998</v>
      </c>
      <c r="O29" s="40">
        <v>13</v>
      </c>
      <c r="P29" s="41">
        <v>14.714</v>
      </c>
      <c r="Q29" s="38">
        <v>21.18</v>
      </c>
      <c r="R29" s="40">
        <v>186.54</v>
      </c>
      <c r="S29" s="75">
        <f t="shared" si="0"/>
        <v>1254.1469999999997</v>
      </c>
    </row>
    <row r="30" spans="1:19" x14ac:dyDescent="0.2">
      <c r="A30" s="28" t="s">
        <v>133</v>
      </c>
      <c r="B30" s="29">
        <v>3.645</v>
      </c>
      <c r="C30" s="30">
        <v>16.27</v>
      </c>
      <c r="D30" s="31">
        <v>12</v>
      </c>
      <c r="E30" s="30">
        <v>18.5</v>
      </c>
      <c r="F30" s="31">
        <v>1</v>
      </c>
      <c r="G30" s="30">
        <v>9</v>
      </c>
      <c r="H30" s="30">
        <v>91.834999999999994</v>
      </c>
      <c r="I30" s="30">
        <v>113.77200000000001</v>
      </c>
      <c r="J30" s="30">
        <v>17.757999999999999</v>
      </c>
      <c r="K30" s="31">
        <v>64.39</v>
      </c>
      <c r="L30" s="31">
        <v>6.9939999999999998</v>
      </c>
      <c r="M30" s="32">
        <v>0</v>
      </c>
      <c r="N30" s="30">
        <v>23.556000000000001</v>
      </c>
      <c r="O30" s="31">
        <v>4.2300000000000004</v>
      </c>
      <c r="P30" s="32">
        <v>7.03</v>
      </c>
      <c r="Q30" s="29">
        <v>10.36</v>
      </c>
      <c r="R30" s="31">
        <v>108.81</v>
      </c>
      <c r="S30" s="74">
        <f t="shared" si="0"/>
        <v>509.15</v>
      </c>
    </row>
    <row r="31" spans="1:19" x14ac:dyDescent="0.2">
      <c r="A31" s="33" t="s">
        <v>134</v>
      </c>
      <c r="B31" s="21">
        <v>2</v>
      </c>
      <c r="C31" s="34">
        <v>1</v>
      </c>
      <c r="D31" s="35">
        <v>0.5</v>
      </c>
      <c r="E31" s="34">
        <v>3.3</v>
      </c>
      <c r="F31" s="35">
        <v>0.752</v>
      </c>
      <c r="G31" s="34">
        <v>1.34</v>
      </c>
      <c r="H31" s="34">
        <v>9.16</v>
      </c>
      <c r="I31" s="34">
        <v>11.868</v>
      </c>
      <c r="J31" s="34">
        <v>1.8</v>
      </c>
      <c r="K31" s="35">
        <v>9.65</v>
      </c>
      <c r="L31" s="35">
        <v>0</v>
      </c>
      <c r="M31" s="36">
        <v>0.8</v>
      </c>
      <c r="N31" s="34">
        <v>1</v>
      </c>
      <c r="O31" s="35">
        <v>0</v>
      </c>
      <c r="P31" s="36">
        <v>1</v>
      </c>
      <c r="Q31" s="21">
        <v>1</v>
      </c>
      <c r="R31" s="35">
        <v>11</v>
      </c>
      <c r="S31" s="74">
        <f t="shared" si="0"/>
        <v>56.17</v>
      </c>
    </row>
    <row r="32" spans="1:19" x14ac:dyDescent="0.2">
      <c r="A32" s="33" t="s">
        <v>135</v>
      </c>
      <c r="B32" s="21">
        <v>5</v>
      </c>
      <c r="C32" s="34">
        <v>24.04</v>
      </c>
      <c r="D32" s="35">
        <v>29</v>
      </c>
      <c r="E32" s="34">
        <v>61.26</v>
      </c>
      <c r="F32" s="35">
        <v>5</v>
      </c>
      <c r="G32" s="34">
        <v>30.5</v>
      </c>
      <c r="H32" s="34">
        <v>275.005</v>
      </c>
      <c r="I32" s="34">
        <v>254.05199999999999</v>
      </c>
      <c r="J32" s="34">
        <v>74.066000000000003</v>
      </c>
      <c r="K32" s="35">
        <v>283.27</v>
      </c>
      <c r="L32" s="35">
        <v>3.5</v>
      </c>
      <c r="M32" s="36">
        <v>15.37</v>
      </c>
      <c r="N32" s="34">
        <v>62.018999999999998</v>
      </c>
      <c r="O32" s="35">
        <v>0.497</v>
      </c>
      <c r="P32" s="36">
        <v>14.45</v>
      </c>
      <c r="Q32" s="21">
        <v>35.450000000000003</v>
      </c>
      <c r="R32" s="35">
        <v>240</v>
      </c>
      <c r="S32" s="74">
        <f t="shared" si="0"/>
        <v>1412.479</v>
      </c>
    </row>
    <row r="33" spans="1:19" x14ac:dyDescent="0.2">
      <c r="A33" s="33" t="s">
        <v>136</v>
      </c>
      <c r="B33" s="21">
        <v>1.8</v>
      </c>
      <c r="C33" s="34">
        <v>2</v>
      </c>
      <c r="D33" s="35">
        <v>1.7</v>
      </c>
      <c r="E33" s="34">
        <v>1.8</v>
      </c>
      <c r="F33" s="35">
        <v>0</v>
      </c>
      <c r="G33" s="34">
        <v>2</v>
      </c>
      <c r="H33" s="34">
        <v>13.71</v>
      </c>
      <c r="I33" s="34">
        <v>15.28</v>
      </c>
      <c r="J33" s="34">
        <v>2</v>
      </c>
      <c r="K33" s="35">
        <v>5.7</v>
      </c>
      <c r="L33" s="35">
        <v>0</v>
      </c>
      <c r="M33" s="36">
        <v>0</v>
      </c>
      <c r="N33" s="34">
        <v>1.51</v>
      </c>
      <c r="O33" s="35">
        <v>0.5</v>
      </c>
      <c r="P33" s="36">
        <v>0.5</v>
      </c>
      <c r="Q33" s="21">
        <v>2</v>
      </c>
      <c r="R33" s="35">
        <v>8.2200000000000006</v>
      </c>
      <c r="S33" s="74">
        <f t="shared" si="0"/>
        <v>58.72</v>
      </c>
    </row>
    <row r="34" spans="1:19" x14ac:dyDescent="0.2">
      <c r="A34" s="37" t="s">
        <v>137</v>
      </c>
      <c r="B34" s="38">
        <v>19.89</v>
      </c>
      <c r="C34" s="39">
        <v>44.19</v>
      </c>
      <c r="D34" s="40">
        <v>69.427999999999997</v>
      </c>
      <c r="E34" s="39">
        <v>108.48</v>
      </c>
      <c r="F34" s="40">
        <v>7</v>
      </c>
      <c r="G34" s="39">
        <v>83.5</v>
      </c>
      <c r="H34" s="39">
        <v>510.22</v>
      </c>
      <c r="I34" s="39">
        <v>423.185</v>
      </c>
      <c r="J34" s="39">
        <v>126.605</v>
      </c>
      <c r="K34" s="40">
        <v>534.41999999999996</v>
      </c>
      <c r="L34" s="40">
        <v>34</v>
      </c>
      <c r="M34" s="41">
        <v>5.77</v>
      </c>
      <c r="N34" s="39">
        <v>110.45399999999999</v>
      </c>
      <c r="O34" s="40">
        <v>10.3</v>
      </c>
      <c r="P34" s="41">
        <v>25.530999999999999</v>
      </c>
      <c r="Q34" s="38">
        <v>59.897999999999996</v>
      </c>
      <c r="R34" s="40">
        <v>430.84</v>
      </c>
      <c r="S34" s="75">
        <f t="shared" si="0"/>
        <v>2603.7110000000007</v>
      </c>
    </row>
    <row r="35" spans="1:19" x14ac:dyDescent="0.2">
      <c r="A35" s="28" t="s">
        <v>138</v>
      </c>
      <c r="B35" s="29">
        <v>5</v>
      </c>
      <c r="C35" s="30">
        <v>6</v>
      </c>
      <c r="D35" s="31">
        <v>14.77</v>
      </c>
      <c r="E35" s="30">
        <v>18.16</v>
      </c>
      <c r="F35" s="31">
        <v>4</v>
      </c>
      <c r="G35" s="30">
        <v>9.2129999999999992</v>
      </c>
      <c r="H35" s="30">
        <v>59.774000000000001</v>
      </c>
      <c r="I35" s="30">
        <v>76.024000000000001</v>
      </c>
      <c r="J35" s="30">
        <v>13.827</v>
      </c>
      <c r="K35" s="31">
        <v>60.56</v>
      </c>
      <c r="L35" s="31">
        <v>1</v>
      </c>
      <c r="M35" s="32">
        <v>8.9499999999999993</v>
      </c>
      <c r="N35" s="30">
        <v>18.782</v>
      </c>
      <c r="O35" s="31">
        <v>1.8</v>
      </c>
      <c r="P35" s="32">
        <v>3.64</v>
      </c>
      <c r="Q35" s="29">
        <v>9</v>
      </c>
      <c r="R35" s="31">
        <v>90.04</v>
      </c>
      <c r="S35" s="74">
        <f t="shared" si="0"/>
        <v>400.53999999999996</v>
      </c>
    </row>
    <row r="36" spans="1:19" x14ac:dyDescent="0.2">
      <c r="A36" s="33" t="s">
        <v>139</v>
      </c>
      <c r="B36" s="21">
        <v>1.1000000000000001</v>
      </c>
      <c r="C36" s="34">
        <v>10.16</v>
      </c>
      <c r="D36" s="35">
        <v>11.31</v>
      </c>
      <c r="E36" s="34">
        <v>10.87</v>
      </c>
      <c r="F36" s="35">
        <v>4.0439999999999996</v>
      </c>
      <c r="G36" s="34">
        <v>12.025</v>
      </c>
      <c r="H36" s="34">
        <v>74.823999999999998</v>
      </c>
      <c r="I36" s="34">
        <v>105.21299999999999</v>
      </c>
      <c r="J36" s="34">
        <v>22.471</v>
      </c>
      <c r="K36" s="35">
        <v>67.34</v>
      </c>
      <c r="L36" s="35">
        <v>0</v>
      </c>
      <c r="M36" s="36">
        <v>8.48</v>
      </c>
      <c r="N36" s="34">
        <v>8.4250000000000007</v>
      </c>
      <c r="O36" s="35">
        <v>0</v>
      </c>
      <c r="P36" s="36">
        <v>5.3220000000000001</v>
      </c>
      <c r="Q36" s="21">
        <v>5.2170000000000005</v>
      </c>
      <c r="R36" s="35">
        <v>92.01</v>
      </c>
      <c r="S36" s="74">
        <f t="shared" si="0"/>
        <v>438.81099999999998</v>
      </c>
    </row>
    <row r="37" spans="1:19" x14ac:dyDescent="0.2">
      <c r="A37" s="33" t="s">
        <v>140</v>
      </c>
      <c r="B37" s="21">
        <v>7</v>
      </c>
      <c r="C37" s="34">
        <v>4</v>
      </c>
      <c r="D37" s="35">
        <v>11.14</v>
      </c>
      <c r="E37" s="34">
        <v>24.75</v>
      </c>
      <c r="F37" s="35">
        <v>3</v>
      </c>
      <c r="G37" s="34">
        <v>7.5</v>
      </c>
      <c r="H37" s="34">
        <v>57.548000000000002</v>
      </c>
      <c r="I37" s="34">
        <v>85.125</v>
      </c>
      <c r="J37" s="34">
        <v>11.85</v>
      </c>
      <c r="K37" s="35">
        <v>120.75</v>
      </c>
      <c r="L37" s="35">
        <v>0</v>
      </c>
      <c r="M37" s="36">
        <v>7.5</v>
      </c>
      <c r="N37" s="34">
        <v>5.9020000000000001</v>
      </c>
      <c r="O37" s="35">
        <v>0</v>
      </c>
      <c r="P37" s="36">
        <v>8.032</v>
      </c>
      <c r="Q37" s="21">
        <v>5</v>
      </c>
      <c r="R37" s="35">
        <v>64.91</v>
      </c>
      <c r="S37" s="74">
        <f t="shared" si="0"/>
        <v>424.00699999999995</v>
      </c>
    </row>
    <row r="38" spans="1:19" x14ac:dyDescent="0.2">
      <c r="A38" s="33" t="s">
        <v>141</v>
      </c>
      <c r="B38" s="21">
        <v>2</v>
      </c>
      <c r="C38" s="34">
        <v>2</v>
      </c>
      <c r="D38" s="35">
        <v>3.9</v>
      </c>
      <c r="E38" s="34">
        <v>5.88</v>
      </c>
      <c r="F38" s="35">
        <v>0.09</v>
      </c>
      <c r="G38" s="34">
        <v>3.5</v>
      </c>
      <c r="H38" s="34">
        <v>32.715000000000003</v>
      </c>
      <c r="I38" s="34">
        <v>31.218</v>
      </c>
      <c r="J38" s="34">
        <v>4.91</v>
      </c>
      <c r="K38" s="35">
        <v>22.53</v>
      </c>
      <c r="L38" s="35">
        <v>1.33</v>
      </c>
      <c r="M38" s="36">
        <v>0.85</v>
      </c>
      <c r="N38" s="34">
        <v>3.16</v>
      </c>
      <c r="O38" s="35">
        <v>1</v>
      </c>
      <c r="P38" s="36">
        <v>1.8</v>
      </c>
      <c r="Q38" s="21">
        <v>4.0999999999999996</v>
      </c>
      <c r="R38" s="35">
        <v>29.05</v>
      </c>
      <c r="S38" s="74">
        <f t="shared" si="0"/>
        <v>150.03299999999999</v>
      </c>
    </row>
    <row r="39" spans="1:19" x14ac:dyDescent="0.2">
      <c r="A39" s="37" t="s">
        <v>142</v>
      </c>
      <c r="B39" s="38">
        <v>1.46</v>
      </c>
      <c r="C39" s="39">
        <v>0.88</v>
      </c>
      <c r="D39" s="40">
        <v>0.4</v>
      </c>
      <c r="E39" s="39">
        <v>2.09</v>
      </c>
      <c r="F39" s="40">
        <v>0.5</v>
      </c>
      <c r="G39" s="39">
        <v>0.5</v>
      </c>
      <c r="H39" s="39">
        <v>7.2869999999999999</v>
      </c>
      <c r="I39" s="39">
        <v>8.44</v>
      </c>
      <c r="J39" s="39">
        <v>1.64</v>
      </c>
      <c r="K39" s="40">
        <v>5.46</v>
      </c>
      <c r="L39" s="40">
        <v>0</v>
      </c>
      <c r="M39" s="41">
        <v>0.38</v>
      </c>
      <c r="N39" s="39">
        <v>1.54</v>
      </c>
      <c r="O39" s="40">
        <v>0.25</v>
      </c>
      <c r="P39" s="41">
        <v>0.41</v>
      </c>
      <c r="Q39" s="38">
        <v>1</v>
      </c>
      <c r="R39" s="40">
        <v>3.68</v>
      </c>
      <c r="S39" s="75">
        <f t="shared" si="0"/>
        <v>35.917000000000002</v>
      </c>
    </row>
    <row r="40" spans="1:19" x14ac:dyDescent="0.2">
      <c r="A40" s="28" t="s">
        <v>143</v>
      </c>
      <c r="B40" s="29">
        <v>7</v>
      </c>
      <c r="C40" s="30">
        <v>20.190000000000001</v>
      </c>
      <c r="D40" s="31">
        <v>30.12</v>
      </c>
      <c r="E40" s="30">
        <v>58.21</v>
      </c>
      <c r="F40" s="31">
        <v>7.9</v>
      </c>
      <c r="G40" s="30">
        <v>29.59</v>
      </c>
      <c r="H40" s="30">
        <v>261.02600000000001</v>
      </c>
      <c r="I40" s="30">
        <v>283.39</v>
      </c>
      <c r="J40" s="30">
        <v>70.316999999999993</v>
      </c>
      <c r="K40" s="31">
        <v>163.16</v>
      </c>
      <c r="L40" s="31">
        <v>3</v>
      </c>
      <c r="M40" s="32">
        <v>26.84</v>
      </c>
      <c r="N40" s="30">
        <v>35.299999999999997</v>
      </c>
      <c r="O40" s="31">
        <v>1</v>
      </c>
      <c r="P40" s="32">
        <v>20.141999999999999</v>
      </c>
      <c r="Q40" s="29">
        <v>20</v>
      </c>
      <c r="R40" s="31">
        <v>234.26</v>
      </c>
      <c r="S40" s="74">
        <f t="shared" si="0"/>
        <v>1271.4449999999999</v>
      </c>
    </row>
    <row r="41" spans="1:19" x14ac:dyDescent="0.2">
      <c r="A41" s="33" t="s">
        <v>144</v>
      </c>
      <c r="B41" s="21">
        <v>4.5</v>
      </c>
      <c r="C41" s="34">
        <v>10.29</v>
      </c>
      <c r="D41" s="35">
        <v>16.995000000000001</v>
      </c>
      <c r="E41" s="34">
        <v>24.88</v>
      </c>
      <c r="F41" s="35">
        <v>2.16</v>
      </c>
      <c r="G41" s="34">
        <v>20.346</v>
      </c>
      <c r="H41" s="34">
        <v>151.71100000000001</v>
      </c>
      <c r="I41" s="34">
        <v>111.172</v>
      </c>
      <c r="J41" s="34">
        <v>29.634</v>
      </c>
      <c r="K41" s="35">
        <v>76.03</v>
      </c>
      <c r="L41" s="35">
        <v>0.8</v>
      </c>
      <c r="M41" s="36">
        <v>10</v>
      </c>
      <c r="N41" s="34">
        <v>17.084</v>
      </c>
      <c r="O41" s="35">
        <v>2</v>
      </c>
      <c r="P41" s="36">
        <v>6.5750000000000002</v>
      </c>
      <c r="Q41" s="21">
        <v>11.375</v>
      </c>
      <c r="R41" s="35">
        <v>136.09</v>
      </c>
      <c r="S41" s="74">
        <f t="shared" si="0"/>
        <v>631.64199999999994</v>
      </c>
    </row>
    <row r="42" spans="1:19" x14ac:dyDescent="0.2">
      <c r="A42" s="33" t="s">
        <v>145</v>
      </c>
      <c r="B42" s="21">
        <v>2.5</v>
      </c>
      <c r="C42" s="34">
        <v>13</v>
      </c>
      <c r="D42" s="35">
        <v>12</v>
      </c>
      <c r="E42" s="34">
        <v>19</v>
      </c>
      <c r="F42" s="35">
        <v>5</v>
      </c>
      <c r="G42" s="34">
        <v>12.97</v>
      </c>
      <c r="H42" s="34">
        <v>117</v>
      </c>
      <c r="I42" s="34">
        <v>99.631</v>
      </c>
      <c r="J42" s="34">
        <v>30.08</v>
      </c>
      <c r="K42" s="35">
        <v>76.37</v>
      </c>
      <c r="L42" s="35">
        <v>7</v>
      </c>
      <c r="M42" s="36">
        <v>1.24</v>
      </c>
      <c r="N42" s="34">
        <v>23.88</v>
      </c>
      <c r="O42" s="35">
        <v>6.38</v>
      </c>
      <c r="P42" s="36">
        <v>5.9909999999999997</v>
      </c>
      <c r="Q42" s="21">
        <v>11.95</v>
      </c>
      <c r="R42" s="35">
        <v>108.59</v>
      </c>
      <c r="S42" s="74">
        <f t="shared" si="0"/>
        <v>552.58199999999999</v>
      </c>
    </row>
    <row r="43" spans="1:19" x14ac:dyDescent="0.2">
      <c r="A43" s="33" t="s">
        <v>146</v>
      </c>
      <c r="B43" s="21">
        <v>14.56</v>
      </c>
      <c r="C43" s="34">
        <v>52.29</v>
      </c>
      <c r="D43" s="35">
        <v>58.34</v>
      </c>
      <c r="E43" s="34">
        <v>124.49</v>
      </c>
      <c r="F43" s="35">
        <v>11.398</v>
      </c>
      <c r="G43" s="34">
        <v>69.427999999999997</v>
      </c>
      <c r="H43" s="34">
        <v>467.43200000000002</v>
      </c>
      <c r="I43" s="34">
        <v>561.39</v>
      </c>
      <c r="J43" s="34">
        <v>123.54900000000001</v>
      </c>
      <c r="K43" s="35">
        <v>348.55</v>
      </c>
      <c r="L43" s="35">
        <v>15</v>
      </c>
      <c r="M43" s="36">
        <v>36.46</v>
      </c>
      <c r="N43" s="34">
        <v>104.253</v>
      </c>
      <c r="O43" s="35">
        <v>15.555</v>
      </c>
      <c r="P43" s="36">
        <v>43.743000000000002</v>
      </c>
      <c r="Q43" s="21">
        <v>39.941000000000003</v>
      </c>
      <c r="R43" s="35">
        <v>402.87</v>
      </c>
      <c r="S43" s="74">
        <f t="shared" si="0"/>
        <v>2489.2489999999998</v>
      </c>
    </row>
    <row r="44" spans="1:19" x14ac:dyDescent="0.2">
      <c r="A44" s="33" t="s">
        <v>147</v>
      </c>
      <c r="B44" s="21">
        <v>2.1020000000000003</v>
      </c>
      <c r="C44" s="34">
        <v>2.25</v>
      </c>
      <c r="D44" s="35">
        <v>2.52</v>
      </c>
      <c r="E44" s="34">
        <v>3.5</v>
      </c>
      <c r="F44" s="35">
        <v>0.35399999999999998</v>
      </c>
      <c r="G44" s="34">
        <v>1.2470000000000001</v>
      </c>
      <c r="H44" s="34">
        <v>13.427</v>
      </c>
      <c r="I44" s="34">
        <v>18.462</v>
      </c>
      <c r="J44" s="34">
        <v>1.984</v>
      </c>
      <c r="K44" s="35">
        <v>9.39</v>
      </c>
      <c r="L44" s="35">
        <v>0</v>
      </c>
      <c r="M44" s="36">
        <v>1.29</v>
      </c>
      <c r="N44" s="34">
        <v>0.91200000000000003</v>
      </c>
      <c r="O44" s="35">
        <v>0</v>
      </c>
      <c r="P44" s="36">
        <v>0.4</v>
      </c>
      <c r="Q44" s="21">
        <v>0.75</v>
      </c>
      <c r="R44" s="35">
        <v>11.63</v>
      </c>
      <c r="S44" s="74">
        <f t="shared" si="0"/>
        <v>70.217999999999989</v>
      </c>
    </row>
    <row r="45" spans="1:19" x14ac:dyDescent="0.2">
      <c r="A45" s="37" t="s">
        <v>148</v>
      </c>
      <c r="B45" s="38">
        <v>13</v>
      </c>
      <c r="C45" s="39">
        <v>52.31</v>
      </c>
      <c r="D45" s="40">
        <v>68.617999999999995</v>
      </c>
      <c r="E45" s="39">
        <v>80.680000000000007</v>
      </c>
      <c r="F45" s="40">
        <v>9.3079999999999998</v>
      </c>
      <c r="G45" s="39">
        <v>65.006</v>
      </c>
      <c r="H45" s="39">
        <v>565.88199999999995</v>
      </c>
      <c r="I45" s="39">
        <v>541.32100000000003</v>
      </c>
      <c r="J45" s="39">
        <v>163.583</v>
      </c>
      <c r="K45" s="40">
        <v>378.58</v>
      </c>
      <c r="L45" s="40">
        <v>13.83</v>
      </c>
      <c r="M45" s="41">
        <v>27.25</v>
      </c>
      <c r="N45" s="39">
        <v>80.960999999999999</v>
      </c>
      <c r="O45" s="40">
        <v>21.962</v>
      </c>
      <c r="P45" s="41">
        <v>36.405000000000001</v>
      </c>
      <c r="Q45" s="38">
        <v>59.875</v>
      </c>
      <c r="R45" s="40">
        <v>434.99</v>
      </c>
      <c r="S45" s="75">
        <f t="shared" si="0"/>
        <v>2613.5609999999997</v>
      </c>
    </row>
    <row r="46" spans="1:19" x14ac:dyDescent="0.2">
      <c r="A46" s="55" t="s">
        <v>149</v>
      </c>
      <c r="B46" s="56">
        <f>SUM(B5:B45)</f>
        <v>325.37100000000004</v>
      </c>
      <c r="C46" s="67">
        <f t="shared" ref="C46:R46" si="1">SUM(C5:C45)</f>
        <v>695.94</v>
      </c>
      <c r="D46" s="56">
        <f t="shared" si="1"/>
        <v>1244.1329999999998</v>
      </c>
      <c r="E46" s="67">
        <f t="shared" si="1"/>
        <v>2075.2700000000004</v>
      </c>
      <c r="F46" s="56">
        <f t="shared" si="1"/>
        <v>254.20800000000003</v>
      </c>
      <c r="G46" s="56">
        <f t="shared" si="1"/>
        <v>1221.2269999999999</v>
      </c>
      <c r="H46" s="56">
        <f t="shared" si="1"/>
        <v>10651.276999999998</v>
      </c>
      <c r="I46" s="56">
        <f t="shared" si="1"/>
        <v>9681.3009999999977</v>
      </c>
      <c r="J46" s="67">
        <f t="shared" si="1"/>
        <v>2378.5349999999999</v>
      </c>
      <c r="K46" s="67">
        <f t="shared" si="1"/>
        <v>7628.0600000000013</v>
      </c>
      <c r="L46" s="56">
        <f t="shared" si="1"/>
        <v>229.78200000000007</v>
      </c>
      <c r="M46" s="67">
        <f t="shared" si="1"/>
        <v>407.55</v>
      </c>
      <c r="N46" s="67">
        <f t="shared" si="1"/>
        <v>1819.5880000000002</v>
      </c>
      <c r="O46" s="56">
        <f t="shared" si="1"/>
        <v>139.99199999999999</v>
      </c>
      <c r="P46" s="67">
        <f t="shared" si="1"/>
        <v>678.94799999999998</v>
      </c>
      <c r="Q46" s="67">
        <f t="shared" si="1"/>
        <v>1255.2549999999999</v>
      </c>
      <c r="R46" s="71">
        <f t="shared" si="1"/>
        <v>8836.51</v>
      </c>
      <c r="S46" s="74">
        <f t="shared" si="0"/>
        <v>49522.947</v>
      </c>
    </row>
    <row r="47" spans="1:19" x14ac:dyDescent="0.2">
      <c r="A47" s="55" t="s">
        <v>150</v>
      </c>
      <c r="B47" s="56">
        <f>CharterSchools!B90</f>
        <v>68.712000000000003</v>
      </c>
      <c r="C47" s="68">
        <f>CharterSchools!C90</f>
        <v>34.970000000000006</v>
      </c>
      <c r="D47" s="56">
        <f>CharterSchools!D90</f>
        <v>122.047</v>
      </c>
      <c r="E47" s="68">
        <f>CharterSchools!E90</f>
        <v>233.03000000000003</v>
      </c>
      <c r="F47" s="56">
        <f>CharterSchools!F90</f>
        <v>0</v>
      </c>
      <c r="G47" s="56">
        <f>CharterSchools!G90</f>
        <v>114.33200000000001</v>
      </c>
      <c r="H47" s="56">
        <f>CharterSchools!H90</f>
        <v>1057.56</v>
      </c>
      <c r="I47" s="56">
        <f>CharterSchools!I90</f>
        <v>961.19399999999996</v>
      </c>
      <c r="J47" s="68">
        <f>CharterSchools!J90</f>
        <v>172.62399999999994</v>
      </c>
      <c r="K47" s="68">
        <f>CharterSchools!K90</f>
        <v>801.02999999999986</v>
      </c>
      <c r="L47" s="56">
        <f>CharterSchools!L90</f>
        <v>29.655999999999999</v>
      </c>
      <c r="M47" s="68">
        <f>CharterSchools!M90</f>
        <v>21.009999999999998</v>
      </c>
      <c r="N47" s="68">
        <f>CharterSchools!N90</f>
        <v>114.13900000000001</v>
      </c>
      <c r="O47" s="56">
        <f>CharterSchools!O90</f>
        <v>9.4490000000000016</v>
      </c>
      <c r="P47" s="68">
        <f>CharterSchools!P90</f>
        <v>57.500999999999991</v>
      </c>
      <c r="Q47" s="68">
        <f>CharterSchools!Q90</f>
        <v>53.106000000000002</v>
      </c>
      <c r="R47" s="56">
        <f>CharterSchools!R90</f>
        <v>248.23</v>
      </c>
      <c r="S47" s="74">
        <f>CharterSchools!S90</f>
        <v>4098.59</v>
      </c>
    </row>
    <row r="48" spans="1:19" x14ac:dyDescent="0.2">
      <c r="A48" s="55" t="s">
        <v>151</v>
      </c>
      <c r="B48" s="56">
        <v>3</v>
      </c>
      <c r="C48" s="69"/>
      <c r="D48" s="57"/>
      <c r="E48" s="69"/>
      <c r="F48" s="57">
        <v>19.71</v>
      </c>
      <c r="G48" s="57"/>
      <c r="H48" s="57"/>
      <c r="I48" s="57"/>
      <c r="J48" s="70">
        <v>97.891000000000005</v>
      </c>
      <c r="K48" s="69"/>
      <c r="L48" s="57"/>
      <c r="M48" s="69"/>
      <c r="N48" s="70">
        <v>24.39</v>
      </c>
      <c r="O48" s="57">
        <v>1</v>
      </c>
      <c r="P48" s="70"/>
      <c r="Q48" s="68">
        <v>14.02</v>
      </c>
      <c r="R48" s="16"/>
      <c r="S48" s="74">
        <f t="shared" si="0"/>
        <v>160.011</v>
      </c>
    </row>
    <row r="49" spans="1:19" x14ac:dyDescent="0.2">
      <c r="A49" s="55" t="s">
        <v>152</v>
      </c>
      <c r="B49" s="56">
        <f>SUM(B46:B48)</f>
        <v>397.08300000000003</v>
      </c>
      <c r="C49" s="68">
        <f t="shared" ref="C49:R49" si="2">SUM(C46:C48)</f>
        <v>730.91000000000008</v>
      </c>
      <c r="D49" s="56">
        <f t="shared" si="2"/>
        <v>1366.1799999999998</v>
      </c>
      <c r="E49" s="68">
        <f t="shared" si="2"/>
        <v>2308.3000000000006</v>
      </c>
      <c r="F49" s="56">
        <f t="shared" si="2"/>
        <v>273.91800000000001</v>
      </c>
      <c r="G49" s="56">
        <f t="shared" si="2"/>
        <v>1335.559</v>
      </c>
      <c r="H49" s="56">
        <f t="shared" si="2"/>
        <v>11708.836999999998</v>
      </c>
      <c r="I49" s="56">
        <f t="shared" si="2"/>
        <v>10642.494999999997</v>
      </c>
      <c r="J49" s="68">
        <f t="shared" si="2"/>
        <v>2649.0499999999997</v>
      </c>
      <c r="K49" s="68">
        <f t="shared" si="2"/>
        <v>8429.090000000002</v>
      </c>
      <c r="L49" s="56">
        <f t="shared" si="2"/>
        <v>259.43800000000005</v>
      </c>
      <c r="M49" s="68">
        <f t="shared" si="2"/>
        <v>428.56</v>
      </c>
      <c r="N49" s="68">
        <f t="shared" si="2"/>
        <v>1958.1170000000004</v>
      </c>
      <c r="O49" s="56">
        <f t="shared" si="2"/>
        <v>150.441</v>
      </c>
      <c r="P49" s="68">
        <f t="shared" si="2"/>
        <v>736.44899999999996</v>
      </c>
      <c r="Q49" s="68">
        <f t="shared" si="2"/>
        <v>1322.3809999999999</v>
      </c>
      <c r="R49" s="56">
        <f t="shared" si="2"/>
        <v>9084.74</v>
      </c>
      <c r="S49" s="74">
        <f t="shared" si="0"/>
        <v>53781.547999999988</v>
      </c>
    </row>
  </sheetData>
  <sheetProtection password="EB3F" sheet="1" objects="1" scenarios="1"/>
  <mergeCells count="2">
    <mergeCell ref="D3:D4"/>
    <mergeCell ref="Q2:Q4"/>
  </mergeCells>
  <printOptions horizontalCentered="1"/>
  <pageMargins left="0.25" right="0.25" top="0.75" bottom="0.75" header="0.3" footer="0.3"/>
  <pageSetup scale="64" orientation="landscape" r:id="rId1"/>
  <headerFooter>
    <oddHeader>&amp;C&amp;"-,Bold"&amp;14Full Time Equivalent (FTEs) Staff by Position, School District and Totals
FY 2013</oddHeader>
    <oddFooter>&amp;L&amp;8Compiler: USOE/Data &amp; Statistics
Sources: CACTUS Year End 2013 (Licensed Personnel),
Year End Web Survey 2013 (Classified Personnel)</oddFooter>
  </headerFooter>
  <ignoredErrors>
    <ignoredError sqref="S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Layout" zoomScaleNormal="100" workbookViewId="0">
      <selection activeCell="A91" sqref="A91"/>
    </sheetView>
  </sheetViews>
  <sheetFormatPr defaultColWidth="8.85546875" defaultRowHeight="12.75" x14ac:dyDescent="0.2"/>
  <cols>
    <col min="1" max="1" width="38" style="1" customWidth="1"/>
    <col min="2" max="2" width="12.7109375" style="1" customWidth="1"/>
    <col min="3" max="3" width="9" style="1" customWidth="1"/>
    <col min="4" max="4" width="12.140625" style="21" customWidth="1"/>
    <col min="5" max="5" width="9" style="1" customWidth="1"/>
    <col min="6" max="6" width="10.5703125" style="21" customWidth="1"/>
    <col min="7" max="7" width="11.5703125" style="21" customWidth="1"/>
    <col min="8" max="10" width="10.5703125" style="21" customWidth="1"/>
    <col min="11" max="11" width="8.85546875" style="1"/>
    <col min="12" max="12" width="8.5703125" style="21" customWidth="1"/>
    <col min="13" max="13" width="8.5703125" style="1" customWidth="1"/>
    <col min="14" max="14" width="10.7109375" style="21" bestFit="1" customWidth="1"/>
    <col min="15" max="15" width="10.140625" style="21" bestFit="1" customWidth="1"/>
    <col min="16" max="16" width="9.85546875" style="21" bestFit="1" customWidth="1"/>
    <col min="17" max="18" width="8.85546875" style="1"/>
    <col min="19" max="19" width="9.28515625" style="1" bestFit="1" customWidth="1"/>
    <col min="20" max="16384" width="8.85546875" style="1"/>
  </cols>
  <sheetData>
    <row r="1" spans="1:19" x14ac:dyDescent="0.2">
      <c r="B1" s="2" t="s">
        <v>0</v>
      </c>
      <c r="C1" s="2"/>
      <c r="D1" s="3"/>
      <c r="E1" s="2"/>
      <c r="F1" s="4" t="s">
        <v>7</v>
      </c>
      <c r="G1" s="3"/>
      <c r="H1" s="3"/>
      <c r="I1" s="3"/>
      <c r="J1" s="3"/>
      <c r="K1" s="2"/>
      <c r="L1" s="3"/>
      <c r="M1" s="2"/>
      <c r="N1" s="5"/>
      <c r="O1" s="6" t="s">
        <v>10</v>
      </c>
      <c r="P1" s="7"/>
      <c r="Q1" s="8"/>
      <c r="R1" s="9"/>
      <c r="S1" s="48"/>
    </row>
    <row r="2" spans="1:19" x14ac:dyDescent="0.2">
      <c r="B2" s="10" t="s">
        <v>6</v>
      </c>
      <c r="C2" s="10"/>
      <c r="D2" s="11" t="s">
        <v>2</v>
      </c>
      <c r="E2" s="12"/>
      <c r="F2" s="11" t="s">
        <v>15</v>
      </c>
      <c r="G2" s="13"/>
      <c r="H2" s="13"/>
      <c r="I2" s="13"/>
      <c r="J2" s="13"/>
      <c r="K2" s="12"/>
      <c r="L2" s="11" t="s">
        <v>8</v>
      </c>
      <c r="M2" s="12"/>
      <c r="N2" s="14"/>
      <c r="O2" s="11" t="s">
        <v>9</v>
      </c>
      <c r="P2" s="15"/>
      <c r="Q2" s="81" t="s">
        <v>21</v>
      </c>
      <c r="R2" s="9"/>
      <c r="S2" s="48"/>
    </row>
    <row r="3" spans="1:19" x14ac:dyDescent="0.2">
      <c r="B3" s="16"/>
      <c r="C3" s="16"/>
      <c r="D3" s="79" t="s">
        <v>20</v>
      </c>
      <c r="E3" s="16"/>
      <c r="F3" s="11" t="s">
        <v>3</v>
      </c>
      <c r="G3" s="13"/>
      <c r="H3" s="13"/>
      <c r="I3" s="13"/>
      <c r="J3" s="15"/>
      <c r="K3" s="17"/>
      <c r="L3" s="18"/>
      <c r="M3" s="19"/>
      <c r="N3" s="20"/>
      <c r="Q3" s="82"/>
      <c r="R3" s="9"/>
      <c r="S3" s="48"/>
    </row>
    <row r="4" spans="1:19" s="27" customFormat="1" ht="42" customHeight="1" x14ac:dyDescent="0.2">
      <c r="A4" s="22"/>
      <c r="B4" s="23" t="s">
        <v>19</v>
      </c>
      <c r="C4" s="24" t="s">
        <v>1</v>
      </c>
      <c r="D4" s="80"/>
      <c r="E4" s="24" t="s">
        <v>1</v>
      </c>
      <c r="F4" s="25" t="s">
        <v>11</v>
      </c>
      <c r="G4" s="24" t="s">
        <v>12</v>
      </c>
      <c r="H4" s="24" t="s">
        <v>4</v>
      </c>
      <c r="I4" s="24" t="s">
        <v>5</v>
      </c>
      <c r="J4" s="26" t="s">
        <v>13</v>
      </c>
      <c r="K4" s="24" t="s">
        <v>17</v>
      </c>
      <c r="L4" s="25" t="s">
        <v>16</v>
      </c>
      <c r="M4" s="26" t="s">
        <v>17</v>
      </c>
      <c r="N4" s="26" t="s">
        <v>14</v>
      </c>
      <c r="O4" s="24" t="s">
        <v>4</v>
      </c>
      <c r="P4" s="24" t="s">
        <v>5</v>
      </c>
      <c r="Q4" s="83"/>
      <c r="R4" s="25" t="s">
        <v>18</v>
      </c>
      <c r="S4" s="25" t="s">
        <v>22</v>
      </c>
    </row>
    <row r="5" spans="1:19" x14ac:dyDescent="0.2">
      <c r="A5" s="28" t="s">
        <v>23</v>
      </c>
      <c r="B5" s="29">
        <v>0.13</v>
      </c>
      <c r="C5" s="30">
        <v>2.11</v>
      </c>
      <c r="D5" s="31">
        <v>1</v>
      </c>
      <c r="E5" s="30">
        <v>2.36</v>
      </c>
      <c r="F5" s="31">
        <v>0</v>
      </c>
      <c r="G5" s="30">
        <v>0</v>
      </c>
      <c r="H5" s="30">
        <v>0</v>
      </c>
      <c r="I5" s="30">
        <v>20.518000000000001</v>
      </c>
      <c r="J5" s="30">
        <v>1</v>
      </c>
      <c r="K5" s="31">
        <v>2.57</v>
      </c>
      <c r="L5" s="31">
        <v>0</v>
      </c>
      <c r="M5" s="32">
        <v>0</v>
      </c>
      <c r="N5" s="30">
        <v>0.17</v>
      </c>
      <c r="O5" s="31">
        <v>0</v>
      </c>
      <c r="P5" s="32">
        <v>3</v>
      </c>
      <c r="Q5" s="29">
        <v>0</v>
      </c>
      <c r="R5" s="31">
        <v>0</v>
      </c>
      <c r="S5" s="77">
        <f>SUM(B5:R5)</f>
        <v>32.858000000000004</v>
      </c>
    </row>
    <row r="6" spans="1:19" x14ac:dyDescent="0.2">
      <c r="A6" s="33" t="s">
        <v>24</v>
      </c>
      <c r="B6" s="21">
        <v>0</v>
      </c>
      <c r="C6" s="34">
        <v>0</v>
      </c>
      <c r="D6" s="35">
        <v>1</v>
      </c>
      <c r="E6" s="34">
        <v>3.25</v>
      </c>
      <c r="F6" s="35">
        <v>0</v>
      </c>
      <c r="G6" s="34">
        <v>3.04</v>
      </c>
      <c r="H6" s="34">
        <v>11.75</v>
      </c>
      <c r="I6" s="34">
        <v>1</v>
      </c>
      <c r="J6" s="34">
        <v>3</v>
      </c>
      <c r="K6" s="35">
        <v>13</v>
      </c>
      <c r="L6" s="35">
        <v>0</v>
      </c>
      <c r="M6" s="36">
        <v>0</v>
      </c>
      <c r="N6" s="34">
        <v>0</v>
      </c>
      <c r="O6" s="35">
        <v>0</v>
      </c>
      <c r="P6" s="36">
        <v>0</v>
      </c>
      <c r="Q6" s="21">
        <v>0</v>
      </c>
      <c r="R6" s="35">
        <v>5</v>
      </c>
      <c r="S6" s="77">
        <f t="shared" ref="S6:S69" si="0">SUM(B6:R6)</f>
        <v>41.04</v>
      </c>
    </row>
    <row r="7" spans="1:19" x14ac:dyDescent="0.2">
      <c r="A7" s="33" t="s">
        <v>25</v>
      </c>
      <c r="B7" s="21">
        <v>2</v>
      </c>
      <c r="C7" s="34">
        <v>4</v>
      </c>
      <c r="D7" s="35">
        <v>2</v>
      </c>
      <c r="E7" s="34">
        <v>8</v>
      </c>
      <c r="F7" s="35">
        <v>0</v>
      </c>
      <c r="G7" s="34">
        <v>3.5</v>
      </c>
      <c r="H7" s="34">
        <v>27</v>
      </c>
      <c r="I7" s="34">
        <v>36.767000000000003</v>
      </c>
      <c r="J7" s="34">
        <v>6.08</v>
      </c>
      <c r="K7" s="35">
        <v>39</v>
      </c>
      <c r="L7" s="35">
        <v>0.6</v>
      </c>
      <c r="M7" s="36">
        <v>0</v>
      </c>
      <c r="N7" s="34">
        <v>5.3650000000000002</v>
      </c>
      <c r="O7" s="35">
        <v>0</v>
      </c>
      <c r="P7" s="36">
        <v>3</v>
      </c>
      <c r="Q7" s="21">
        <v>1</v>
      </c>
      <c r="R7" s="35">
        <v>5</v>
      </c>
      <c r="S7" s="77">
        <f t="shared" si="0"/>
        <v>143.31199999999998</v>
      </c>
    </row>
    <row r="8" spans="1:19" x14ac:dyDescent="0.2">
      <c r="A8" s="33" t="s">
        <v>26</v>
      </c>
      <c r="B8" s="21">
        <v>2.8</v>
      </c>
      <c r="C8" s="34">
        <v>0</v>
      </c>
      <c r="D8" s="35">
        <v>7</v>
      </c>
      <c r="E8" s="34">
        <v>29.09</v>
      </c>
      <c r="F8" s="35">
        <v>0</v>
      </c>
      <c r="G8" s="34">
        <v>6</v>
      </c>
      <c r="H8" s="34">
        <v>42.261000000000003</v>
      </c>
      <c r="I8" s="34">
        <v>48.091999999999999</v>
      </c>
      <c r="J8" s="34">
        <v>2.1779999999999999</v>
      </c>
      <c r="K8" s="35">
        <v>33.53</v>
      </c>
      <c r="L8" s="35">
        <v>0</v>
      </c>
      <c r="M8" s="36">
        <v>0</v>
      </c>
      <c r="N8" s="34">
        <v>4.4729999999999999</v>
      </c>
      <c r="O8" s="35">
        <v>0.35</v>
      </c>
      <c r="P8" s="36">
        <v>2.35</v>
      </c>
      <c r="Q8" s="21">
        <v>3.355</v>
      </c>
      <c r="R8" s="35">
        <v>19.96</v>
      </c>
      <c r="S8" s="77">
        <f t="shared" si="0"/>
        <v>201.43899999999999</v>
      </c>
    </row>
    <row r="9" spans="1:19" x14ac:dyDescent="0.2">
      <c r="A9" s="37" t="s">
        <v>27</v>
      </c>
      <c r="B9" s="38">
        <v>2</v>
      </c>
      <c r="C9" s="39">
        <v>0</v>
      </c>
      <c r="D9" s="40">
        <v>1</v>
      </c>
      <c r="E9" s="39">
        <v>2</v>
      </c>
      <c r="F9" s="40">
        <v>0</v>
      </c>
      <c r="G9" s="39">
        <v>2.1320000000000001</v>
      </c>
      <c r="H9" s="39">
        <v>7.61</v>
      </c>
      <c r="I9" s="39">
        <v>4.7649999999999997</v>
      </c>
      <c r="J9" s="39">
        <v>1</v>
      </c>
      <c r="K9" s="40">
        <v>1</v>
      </c>
      <c r="L9" s="40">
        <v>0</v>
      </c>
      <c r="M9" s="41">
        <v>0</v>
      </c>
      <c r="N9" s="39">
        <v>0</v>
      </c>
      <c r="O9" s="40">
        <v>0</v>
      </c>
      <c r="P9" s="41">
        <v>0</v>
      </c>
      <c r="Q9" s="38">
        <v>0</v>
      </c>
      <c r="R9" s="40">
        <v>0</v>
      </c>
      <c r="S9" s="78">
        <f t="shared" si="0"/>
        <v>21.507000000000001</v>
      </c>
    </row>
    <row r="10" spans="1:19" x14ac:dyDescent="0.2">
      <c r="A10" s="59" t="s">
        <v>28</v>
      </c>
      <c r="B10" s="60">
        <v>1</v>
      </c>
      <c r="C10" s="61">
        <v>0.5</v>
      </c>
      <c r="D10" s="31">
        <v>1</v>
      </c>
      <c r="E10" s="30">
        <v>1</v>
      </c>
      <c r="F10" s="31">
        <v>0</v>
      </c>
      <c r="G10" s="30">
        <v>0.5</v>
      </c>
      <c r="H10" s="30">
        <v>6.9240000000000004</v>
      </c>
      <c r="I10" s="30">
        <v>4.2050000000000001</v>
      </c>
      <c r="J10" s="30">
        <v>1</v>
      </c>
      <c r="K10" s="31">
        <v>4.5</v>
      </c>
      <c r="L10" s="31">
        <v>0</v>
      </c>
      <c r="M10" s="32">
        <v>0</v>
      </c>
      <c r="N10" s="30">
        <v>0.27</v>
      </c>
      <c r="O10" s="31">
        <v>0</v>
      </c>
      <c r="P10" s="32">
        <v>0.17</v>
      </c>
      <c r="Q10" s="29">
        <v>0.4</v>
      </c>
      <c r="R10" s="31">
        <v>2</v>
      </c>
      <c r="S10" s="77">
        <f t="shared" si="0"/>
        <v>23.468999999999998</v>
      </c>
    </row>
    <row r="11" spans="1:19" x14ac:dyDescent="0.2">
      <c r="A11" s="62" t="s">
        <v>29</v>
      </c>
      <c r="B11" s="58">
        <v>1.3</v>
      </c>
      <c r="C11" s="63">
        <v>0</v>
      </c>
      <c r="D11" s="35">
        <v>0</v>
      </c>
      <c r="E11" s="34">
        <v>2</v>
      </c>
      <c r="F11" s="35">
        <v>0</v>
      </c>
      <c r="G11" s="34">
        <v>0</v>
      </c>
      <c r="H11" s="34">
        <v>0</v>
      </c>
      <c r="I11" s="34">
        <v>14.253</v>
      </c>
      <c r="J11" s="34">
        <v>1.083</v>
      </c>
      <c r="K11" s="35">
        <v>1.31</v>
      </c>
      <c r="L11" s="35">
        <v>0.108</v>
      </c>
      <c r="M11" s="36">
        <v>0</v>
      </c>
      <c r="N11" s="34">
        <v>1.9890000000000001</v>
      </c>
      <c r="O11" s="35">
        <v>0</v>
      </c>
      <c r="P11" s="36">
        <v>0</v>
      </c>
      <c r="Q11" s="21">
        <v>0</v>
      </c>
      <c r="R11" s="35">
        <v>0</v>
      </c>
      <c r="S11" s="77">
        <f t="shared" si="0"/>
        <v>22.042999999999999</v>
      </c>
    </row>
    <row r="12" spans="1:19" x14ac:dyDescent="0.2">
      <c r="A12" s="62" t="s">
        <v>30</v>
      </c>
      <c r="B12" s="58">
        <v>0</v>
      </c>
      <c r="C12" s="63">
        <v>0</v>
      </c>
      <c r="D12" s="35">
        <v>0.754</v>
      </c>
      <c r="E12" s="34">
        <v>4.75</v>
      </c>
      <c r="F12" s="35">
        <v>0</v>
      </c>
      <c r="G12" s="34">
        <v>2</v>
      </c>
      <c r="H12" s="34">
        <v>9.1579999999999995</v>
      </c>
      <c r="I12" s="34">
        <v>6.4029999999999996</v>
      </c>
      <c r="J12" s="34">
        <v>1.75</v>
      </c>
      <c r="K12" s="35">
        <v>4</v>
      </c>
      <c r="L12" s="35">
        <v>0.308</v>
      </c>
      <c r="M12" s="36">
        <v>0</v>
      </c>
      <c r="N12" s="34">
        <v>6.4340000000000002</v>
      </c>
      <c r="O12" s="35">
        <v>0</v>
      </c>
      <c r="P12" s="36">
        <v>0</v>
      </c>
      <c r="Q12" s="21">
        <v>0</v>
      </c>
      <c r="R12" s="35">
        <v>7</v>
      </c>
      <c r="S12" s="77">
        <f t="shared" si="0"/>
        <v>42.556999999999995</v>
      </c>
    </row>
    <row r="13" spans="1:19" x14ac:dyDescent="0.2">
      <c r="A13" s="62" t="s">
        <v>31</v>
      </c>
      <c r="B13" s="58">
        <v>1.67</v>
      </c>
      <c r="C13" s="63">
        <v>0</v>
      </c>
      <c r="D13" s="35">
        <v>1</v>
      </c>
      <c r="E13" s="34">
        <v>2.7</v>
      </c>
      <c r="F13" s="35">
        <v>0</v>
      </c>
      <c r="G13" s="34">
        <v>2</v>
      </c>
      <c r="H13" s="34">
        <v>19</v>
      </c>
      <c r="I13" s="34">
        <v>0</v>
      </c>
      <c r="J13" s="34">
        <v>2</v>
      </c>
      <c r="K13" s="35">
        <v>13.35</v>
      </c>
      <c r="L13" s="35">
        <v>0</v>
      </c>
      <c r="M13" s="36">
        <v>0</v>
      </c>
      <c r="N13" s="34">
        <v>0.33</v>
      </c>
      <c r="O13" s="35">
        <v>0</v>
      </c>
      <c r="P13" s="36">
        <v>0</v>
      </c>
      <c r="Q13" s="21">
        <v>1.5310000000000001</v>
      </c>
      <c r="R13" s="35">
        <v>4</v>
      </c>
      <c r="S13" s="77">
        <f t="shared" si="0"/>
        <v>47.580999999999996</v>
      </c>
    </row>
    <row r="14" spans="1:19" x14ac:dyDescent="0.2">
      <c r="A14" s="64" t="s">
        <v>32</v>
      </c>
      <c r="B14" s="65">
        <v>1</v>
      </c>
      <c r="C14" s="66">
        <v>2.5</v>
      </c>
      <c r="D14" s="40">
        <v>2.25</v>
      </c>
      <c r="E14" s="39">
        <v>0</v>
      </c>
      <c r="F14" s="40">
        <v>0</v>
      </c>
      <c r="G14" s="39">
        <v>2</v>
      </c>
      <c r="H14" s="39">
        <v>18.494</v>
      </c>
      <c r="I14" s="39">
        <v>11.8</v>
      </c>
      <c r="J14" s="39">
        <v>2</v>
      </c>
      <c r="K14" s="40">
        <v>11.9</v>
      </c>
      <c r="L14" s="40">
        <v>0</v>
      </c>
      <c r="M14" s="41">
        <v>2.2400000000000002</v>
      </c>
      <c r="N14" s="39">
        <v>1.8</v>
      </c>
      <c r="O14" s="40">
        <v>0</v>
      </c>
      <c r="P14" s="41">
        <v>0</v>
      </c>
      <c r="Q14" s="38">
        <v>2</v>
      </c>
      <c r="R14" s="40">
        <v>4.38</v>
      </c>
      <c r="S14" s="78">
        <f t="shared" si="0"/>
        <v>62.363999999999997</v>
      </c>
    </row>
    <row r="15" spans="1:19" x14ac:dyDescent="0.2">
      <c r="A15" s="28" t="s">
        <v>33</v>
      </c>
      <c r="B15" s="29">
        <v>1.5</v>
      </c>
      <c r="C15" s="30">
        <v>0</v>
      </c>
      <c r="D15" s="31">
        <v>0.9</v>
      </c>
      <c r="E15" s="30">
        <v>1.49</v>
      </c>
      <c r="F15" s="31">
        <v>0</v>
      </c>
      <c r="G15" s="30">
        <v>0</v>
      </c>
      <c r="H15" s="30">
        <v>0</v>
      </c>
      <c r="I15" s="30">
        <v>13.927</v>
      </c>
      <c r="J15" s="30">
        <v>0</v>
      </c>
      <c r="K15" s="31">
        <v>5.23</v>
      </c>
      <c r="L15" s="31">
        <v>0</v>
      </c>
      <c r="M15" s="32">
        <v>0.75</v>
      </c>
      <c r="N15" s="30">
        <v>2.8839999999999999</v>
      </c>
      <c r="O15" s="31">
        <v>0</v>
      </c>
      <c r="P15" s="32">
        <v>1</v>
      </c>
      <c r="Q15" s="29">
        <v>0</v>
      </c>
      <c r="R15" s="31">
        <v>1.96</v>
      </c>
      <c r="S15" s="77">
        <f t="shared" si="0"/>
        <v>29.641000000000002</v>
      </c>
    </row>
    <row r="16" spans="1:19" x14ac:dyDescent="0.2">
      <c r="A16" s="33" t="s">
        <v>34</v>
      </c>
      <c r="B16" s="21">
        <v>0</v>
      </c>
      <c r="C16" s="34">
        <v>0</v>
      </c>
      <c r="D16" s="35">
        <v>0</v>
      </c>
      <c r="E16" s="34">
        <v>2.3199999999999998</v>
      </c>
      <c r="F16" s="35">
        <v>0</v>
      </c>
      <c r="G16" s="34">
        <v>2</v>
      </c>
      <c r="H16" s="34">
        <v>14</v>
      </c>
      <c r="I16" s="34">
        <v>0</v>
      </c>
      <c r="J16" s="34">
        <v>1</v>
      </c>
      <c r="K16" s="35">
        <v>3.37</v>
      </c>
      <c r="L16" s="35">
        <v>0</v>
      </c>
      <c r="M16" s="36">
        <v>0</v>
      </c>
      <c r="N16" s="34">
        <v>0</v>
      </c>
      <c r="O16" s="35">
        <v>0</v>
      </c>
      <c r="P16" s="36">
        <v>0</v>
      </c>
      <c r="Q16" s="21">
        <v>1.45</v>
      </c>
      <c r="R16" s="35">
        <v>3.29</v>
      </c>
      <c r="S16" s="77">
        <f t="shared" si="0"/>
        <v>27.43</v>
      </c>
    </row>
    <row r="17" spans="1:19" x14ac:dyDescent="0.2">
      <c r="A17" s="33" t="s">
        <v>35</v>
      </c>
      <c r="B17" s="21">
        <v>0</v>
      </c>
      <c r="C17" s="34">
        <v>0</v>
      </c>
      <c r="D17" s="35">
        <v>1.25</v>
      </c>
      <c r="E17" s="34">
        <v>2</v>
      </c>
      <c r="F17" s="35">
        <v>0</v>
      </c>
      <c r="G17" s="34">
        <v>0</v>
      </c>
      <c r="H17" s="34">
        <v>5.25</v>
      </c>
      <c r="I17" s="34">
        <v>24.4</v>
      </c>
      <c r="J17" s="34">
        <v>3</v>
      </c>
      <c r="K17" s="35">
        <v>3</v>
      </c>
      <c r="L17" s="35">
        <v>0</v>
      </c>
      <c r="M17" s="36">
        <v>1</v>
      </c>
      <c r="N17" s="34">
        <v>0.25</v>
      </c>
      <c r="O17" s="35">
        <v>0</v>
      </c>
      <c r="P17" s="36">
        <v>1</v>
      </c>
      <c r="Q17" s="21">
        <v>2</v>
      </c>
      <c r="R17" s="35">
        <v>5</v>
      </c>
      <c r="S17" s="77">
        <f t="shared" si="0"/>
        <v>48.15</v>
      </c>
    </row>
    <row r="18" spans="1:19" x14ac:dyDescent="0.2">
      <c r="A18" s="33" t="s">
        <v>36</v>
      </c>
      <c r="B18" s="21">
        <v>0</v>
      </c>
      <c r="C18" s="34">
        <v>1</v>
      </c>
      <c r="D18" s="35">
        <v>1.5</v>
      </c>
      <c r="E18" s="34">
        <v>2</v>
      </c>
      <c r="F18" s="35">
        <v>0</v>
      </c>
      <c r="G18" s="34">
        <v>3</v>
      </c>
      <c r="H18" s="34">
        <v>12.06</v>
      </c>
      <c r="I18" s="34">
        <v>4.83</v>
      </c>
      <c r="J18" s="34">
        <v>1.86</v>
      </c>
      <c r="K18" s="35">
        <v>4.03</v>
      </c>
      <c r="L18" s="35">
        <v>0</v>
      </c>
      <c r="M18" s="36">
        <v>0</v>
      </c>
      <c r="N18" s="34">
        <v>1.28</v>
      </c>
      <c r="O18" s="35">
        <v>0.47</v>
      </c>
      <c r="P18" s="36">
        <v>0</v>
      </c>
      <c r="Q18" s="21">
        <v>0</v>
      </c>
      <c r="R18" s="35">
        <v>3.47</v>
      </c>
      <c r="S18" s="77">
        <f t="shared" si="0"/>
        <v>35.5</v>
      </c>
    </row>
    <row r="19" spans="1:19" x14ac:dyDescent="0.2">
      <c r="A19" s="37" t="s">
        <v>37</v>
      </c>
      <c r="B19" s="38">
        <v>1.95</v>
      </c>
      <c r="C19" s="39">
        <v>0</v>
      </c>
      <c r="D19" s="40">
        <v>0.95</v>
      </c>
      <c r="E19" s="39">
        <v>2.21</v>
      </c>
      <c r="F19" s="40">
        <v>0</v>
      </c>
      <c r="G19" s="39">
        <v>1.5</v>
      </c>
      <c r="H19" s="39">
        <v>19.405999999999999</v>
      </c>
      <c r="I19" s="39">
        <v>12.282</v>
      </c>
      <c r="J19" s="39">
        <v>2</v>
      </c>
      <c r="K19" s="40">
        <v>15.38</v>
      </c>
      <c r="L19" s="40">
        <v>1</v>
      </c>
      <c r="M19" s="41">
        <v>0</v>
      </c>
      <c r="N19" s="39">
        <v>0.44</v>
      </c>
      <c r="O19" s="40">
        <v>0.54500000000000004</v>
      </c>
      <c r="P19" s="41">
        <v>0.54500000000000004</v>
      </c>
      <c r="Q19" s="38">
        <v>1.014</v>
      </c>
      <c r="R19" s="40">
        <v>0.23</v>
      </c>
      <c r="S19" s="78">
        <f t="shared" si="0"/>
        <v>59.452000000000005</v>
      </c>
    </row>
    <row r="20" spans="1:19" x14ac:dyDescent="0.2">
      <c r="A20" s="28" t="s">
        <v>38</v>
      </c>
      <c r="B20" s="29">
        <v>0.5</v>
      </c>
      <c r="C20" s="30">
        <v>0</v>
      </c>
      <c r="D20" s="31">
        <v>0.9</v>
      </c>
      <c r="E20" s="30">
        <v>2</v>
      </c>
      <c r="F20" s="31">
        <v>0</v>
      </c>
      <c r="G20" s="30">
        <v>0</v>
      </c>
      <c r="H20" s="30">
        <v>0</v>
      </c>
      <c r="I20" s="30">
        <v>17.045000000000002</v>
      </c>
      <c r="J20" s="30">
        <v>1</v>
      </c>
      <c r="K20" s="31">
        <v>3</v>
      </c>
      <c r="L20" s="31">
        <v>0</v>
      </c>
      <c r="M20" s="32">
        <v>1</v>
      </c>
      <c r="N20" s="30">
        <v>1.6830000000000001</v>
      </c>
      <c r="O20" s="31">
        <v>0</v>
      </c>
      <c r="P20" s="32">
        <v>1</v>
      </c>
      <c r="Q20" s="29">
        <v>0</v>
      </c>
      <c r="R20" s="31">
        <v>1.6</v>
      </c>
      <c r="S20" s="77">
        <f t="shared" si="0"/>
        <v>29.728000000000002</v>
      </c>
    </row>
    <row r="21" spans="1:19" x14ac:dyDescent="0.2">
      <c r="A21" s="33" t="s">
        <v>39</v>
      </c>
      <c r="B21" s="21">
        <v>1</v>
      </c>
      <c r="C21" s="34">
        <v>0</v>
      </c>
      <c r="D21" s="35">
        <v>1.3</v>
      </c>
      <c r="E21" s="34">
        <v>1.79</v>
      </c>
      <c r="F21" s="35">
        <v>0</v>
      </c>
      <c r="G21" s="34">
        <v>1.028</v>
      </c>
      <c r="H21" s="34">
        <v>14.106999999999999</v>
      </c>
      <c r="I21" s="34">
        <v>0</v>
      </c>
      <c r="J21" s="34">
        <v>1.028</v>
      </c>
      <c r="K21" s="35">
        <v>3.75</v>
      </c>
      <c r="L21" s="35">
        <v>2.6</v>
      </c>
      <c r="M21" s="36">
        <v>1</v>
      </c>
      <c r="N21" s="34">
        <v>1.028</v>
      </c>
      <c r="O21" s="35">
        <v>1.0229999999999999</v>
      </c>
      <c r="P21" s="36">
        <v>0</v>
      </c>
      <c r="Q21" s="21">
        <v>1.5760000000000001</v>
      </c>
      <c r="R21" s="35">
        <v>1.5</v>
      </c>
      <c r="S21" s="77">
        <f t="shared" si="0"/>
        <v>32.730000000000004</v>
      </c>
    </row>
    <row r="22" spans="1:19" x14ac:dyDescent="0.2">
      <c r="A22" s="33" t="s">
        <v>40</v>
      </c>
      <c r="B22" s="21">
        <v>0</v>
      </c>
      <c r="C22" s="34">
        <v>0</v>
      </c>
      <c r="D22" s="35">
        <v>1.75</v>
      </c>
      <c r="E22" s="34">
        <v>1.36</v>
      </c>
      <c r="F22" s="35">
        <v>0</v>
      </c>
      <c r="G22" s="34">
        <v>2</v>
      </c>
      <c r="H22" s="34">
        <v>17.75</v>
      </c>
      <c r="I22" s="34">
        <v>6</v>
      </c>
      <c r="J22" s="34">
        <v>1</v>
      </c>
      <c r="K22" s="35">
        <v>2.9</v>
      </c>
      <c r="L22" s="35">
        <v>1</v>
      </c>
      <c r="M22" s="36">
        <v>0</v>
      </c>
      <c r="N22" s="34">
        <v>0.25</v>
      </c>
      <c r="O22" s="35">
        <v>0</v>
      </c>
      <c r="P22" s="36">
        <v>0</v>
      </c>
      <c r="Q22" s="21">
        <v>0</v>
      </c>
      <c r="R22" s="35">
        <v>3.46</v>
      </c>
      <c r="S22" s="77">
        <f t="shared" si="0"/>
        <v>37.47</v>
      </c>
    </row>
    <row r="23" spans="1:19" x14ac:dyDescent="0.2">
      <c r="A23" s="33" t="s">
        <v>41</v>
      </c>
      <c r="B23" s="21">
        <v>0</v>
      </c>
      <c r="C23" s="34">
        <v>0</v>
      </c>
      <c r="D23" s="35">
        <v>1</v>
      </c>
      <c r="E23" s="34">
        <v>5.48</v>
      </c>
      <c r="F23" s="35">
        <v>0</v>
      </c>
      <c r="G23" s="34">
        <v>2</v>
      </c>
      <c r="H23" s="34">
        <v>24.31</v>
      </c>
      <c r="I23" s="34">
        <v>14.66</v>
      </c>
      <c r="J23" s="34">
        <v>3.5</v>
      </c>
      <c r="K23" s="35">
        <v>21.74</v>
      </c>
      <c r="L23" s="35">
        <v>0</v>
      </c>
      <c r="M23" s="36">
        <v>0</v>
      </c>
      <c r="N23" s="34">
        <v>1.78</v>
      </c>
      <c r="O23" s="35">
        <v>0.375</v>
      </c>
      <c r="P23" s="36">
        <v>0.625</v>
      </c>
      <c r="Q23" s="21">
        <v>0</v>
      </c>
      <c r="R23" s="35">
        <v>6.81</v>
      </c>
      <c r="S23" s="77">
        <f t="shared" si="0"/>
        <v>82.28</v>
      </c>
    </row>
    <row r="24" spans="1:19" x14ac:dyDescent="0.2">
      <c r="A24" s="37" t="s">
        <v>42</v>
      </c>
      <c r="B24" s="38">
        <v>0</v>
      </c>
      <c r="C24" s="39">
        <v>0</v>
      </c>
      <c r="D24" s="40">
        <v>2</v>
      </c>
      <c r="E24" s="39">
        <v>9.5</v>
      </c>
      <c r="F24" s="40">
        <v>0</v>
      </c>
      <c r="G24" s="39">
        <v>2</v>
      </c>
      <c r="H24" s="39">
        <v>18.873000000000001</v>
      </c>
      <c r="I24" s="39">
        <v>7.38</v>
      </c>
      <c r="J24" s="39">
        <v>1.087</v>
      </c>
      <c r="K24" s="40">
        <v>21.25</v>
      </c>
      <c r="L24" s="40">
        <v>0</v>
      </c>
      <c r="M24" s="41">
        <v>0</v>
      </c>
      <c r="N24" s="39">
        <v>2.62</v>
      </c>
      <c r="O24" s="40">
        <v>0</v>
      </c>
      <c r="P24" s="41">
        <v>0</v>
      </c>
      <c r="Q24" s="38">
        <v>0</v>
      </c>
      <c r="R24" s="40">
        <v>4.75</v>
      </c>
      <c r="S24" s="78">
        <f t="shared" si="0"/>
        <v>69.460000000000008</v>
      </c>
    </row>
    <row r="25" spans="1:19" x14ac:dyDescent="0.2">
      <c r="A25" s="28" t="s">
        <v>43</v>
      </c>
      <c r="B25" s="29">
        <v>0.5</v>
      </c>
      <c r="C25" s="30">
        <v>0</v>
      </c>
      <c r="D25" s="31">
        <v>1.04</v>
      </c>
      <c r="E25" s="30">
        <v>1</v>
      </c>
      <c r="F25" s="31">
        <v>0</v>
      </c>
      <c r="G25" s="30">
        <v>0</v>
      </c>
      <c r="H25" s="30">
        <v>0</v>
      </c>
      <c r="I25" s="30">
        <v>12.414999999999999</v>
      </c>
      <c r="J25" s="30">
        <v>0.27800000000000002</v>
      </c>
      <c r="K25" s="31">
        <v>5</v>
      </c>
      <c r="L25" s="31">
        <v>0</v>
      </c>
      <c r="M25" s="32">
        <v>0.3</v>
      </c>
      <c r="N25" s="30">
        <v>1.371</v>
      </c>
      <c r="O25" s="31">
        <v>0</v>
      </c>
      <c r="P25" s="32">
        <v>1.21</v>
      </c>
      <c r="Q25" s="29">
        <v>0</v>
      </c>
      <c r="R25" s="31">
        <v>1</v>
      </c>
      <c r="S25" s="77">
        <f t="shared" si="0"/>
        <v>24.113999999999997</v>
      </c>
    </row>
    <row r="26" spans="1:19" x14ac:dyDescent="0.2">
      <c r="A26" s="33" t="s">
        <v>44</v>
      </c>
      <c r="B26" s="21">
        <v>2</v>
      </c>
      <c r="C26" s="34">
        <v>2.8</v>
      </c>
      <c r="D26" s="35">
        <v>1.397</v>
      </c>
      <c r="E26" s="34">
        <v>2.2000000000000002</v>
      </c>
      <c r="F26" s="35">
        <v>0</v>
      </c>
      <c r="G26" s="34">
        <v>2</v>
      </c>
      <c r="H26" s="34">
        <v>21.518999999999998</v>
      </c>
      <c r="I26" s="34">
        <v>13.054</v>
      </c>
      <c r="J26" s="34">
        <v>2</v>
      </c>
      <c r="K26" s="35">
        <v>3</v>
      </c>
      <c r="L26" s="35">
        <v>0</v>
      </c>
      <c r="M26" s="36">
        <v>0</v>
      </c>
      <c r="N26" s="34">
        <v>2.1259999999999999</v>
      </c>
      <c r="O26" s="35">
        <v>0</v>
      </c>
      <c r="P26" s="36">
        <v>0</v>
      </c>
      <c r="Q26" s="21">
        <v>1.4</v>
      </c>
      <c r="R26" s="35">
        <v>8.1300000000000008</v>
      </c>
      <c r="S26" s="77">
        <f t="shared" si="0"/>
        <v>61.625999999999998</v>
      </c>
    </row>
    <row r="27" spans="1:19" x14ac:dyDescent="0.2">
      <c r="A27" s="33" t="s">
        <v>45</v>
      </c>
      <c r="B27" s="21">
        <v>0.61099999999999999</v>
      </c>
      <c r="C27" s="34">
        <v>0.79</v>
      </c>
      <c r="D27" s="35">
        <v>1.7230000000000001</v>
      </c>
      <c r="E27" s="34">
        <v>2.2400000000000002</v>
      </c>
      <c r="F27" s="35">
        <v>0</v>
      </c>
      <c r="G27" s="34">
        <v>1.5840000000000001</v>
      </c>
      <c r="H27" s="34">
        <v>12.821</v>
      </c>
      <c r="I27" s="34">
        <v>7.0190000000000001</v>
      </c>
      <c r="J27" s="34">
        <v>4.2089999999999996</v>
      </c>
      <c r="K27" s="35">
        <v>23.3</v>
      </c>
      <c r="L27" s="35">
        <v>1.056</v>
      </c>
      <c r="M27" s="36">
        <v>0.62</v>
      </c>
      <c r="N27" s="34">
        <v>2.9590000000000001</v>
      </c>
      <c r="O27" s="35">
        <v>0</v>
      </c>
      <c r="P27" s="36">
        <v>0</v>
      </c>
      <c r="Q27" s="21">
        <v>2.056</v>
      </c>
      <c r="R27" s="35">
        <v>3.91</v>
      </c>
      <c r="S27" s="77">
        <f t="shared" si="0"/>
        <v>64.897999999999996</v>
      </c>
    </row>
    <row r="28" spans="1:19" x14ac:dyDescent="0.2">
      <c r="A28" s="33" t="s">
        <v>46</v>
      </c>
      <c r="B28" s="21">
        <v>1</v>
      </c>
      <c r="C28" s="34">
        <v>1.2</v>
      </c>
      <c r="D28" s="35">
        <v>1.5</v>
      </c>
      <c r="E28" s="34">
        <v>3.4</v>
      </c>
      <c r="F28" s="35">
        <v>0</v>
      </c>
      <c r="G28" s="34">
        <v>5</v>
      </c>
      <c r="H28" s="34">
        <v>36.773000000000003</v>
      </c>
      <c r="I28" s="34">
        <v>1.1499999999999999</v>
      </c>
      <c r="J28" s="34">
        <v>1.5</v>
      </c>
      <c r="K28" s="35">
        <v>7.8</v>
      </c>
      <c r="L28" s="35">
        <v>1.1419999999999999</v>
      </c>
      <c r="M28" s="36">
        <v>0.5</v>
      </c>
      <c r="N28" s="34">
        <v>1</v>
      </c>
      <c r="O28" s="35">
        <v>0.5</v>
      </c>
      <c r="P28" s="36">
        <v>0</v>
      </c>
      <c r="Q28" s="21">
        <v>0.75</v>
      </c>
      <c r="R28" s="35">
        <v>2.2000000000000002</v>
      </c>
      <c r="S28" s="77">
        <f t="shared" si="0"/>
        <v>65.415000000000006</v>
      </c>
    </row>
    <row r="29" spans="1:19" x14ac:dyDescent="0.2">
      <c r="A29" s="37" t="s">
        <v>47</v>
      </c>
      <c r="B29" s="38">
        <v>0</v>
      </c>
      <c r="C29" s="39">
        <v>0</v>
      </c>
      <c r="D29" s="40">
        <v>1</v>
      </c>
      <c r="E29" s="39">
        <v>2</v>
      </c>
      <c r="F29" s="40">
        <v>0</v>
      </c>
      <c r="G29" s="39">
        <v>2</v>
      </c>
      <c r="H29" s="39">
        <v>19.34</v>
      </c>
      <c r="I29" s="39">
        <v>0</v>
      </c>
      <c r="J29" s="39">
        <v>2</v>
      </c>
      <c r="K29" s="40">
        <v>4</v>
      </c>
      <c r="L29" s="40">
        <v>0.67</v>
      </c>
      <c r="M29" s="41">
        <v>0.67</v>
      </c>
      <c r="N29" s="39">
        <v>0</v>
      </c>
      <c r="O29" s="40">
        <v>0</v>
      </c>
      <c r="P29" s="41">
        <v>0</v>
      </c>
      <c r="Q29" s="38">
        <v>0</v>
      </c>
      <c r="R29" s="40">
        <v>3</v>
      </c>
      <c r="S29" s="78">
        <f t="shared" si="0"/>
        <v>34.680000000000007</v>
      </c>
    </row>
    <row r="30" spans="1:19" x14ac:dyDescent="0.2">
      <c r="A30" s="28" t="s">
        <v>48</v>
      </c>
      <c r="B30" s="29">
        <v>1.05</v>
      </c>
      <c r="C30" s="30">
        <v>1</v>
      </c>
      <c r="D30" s="31">
        <v>1</v>
      </c>
      <c r="E30" s="30">
        <v>1.18</v>
      </c>
      <c r="F30" s="31">
        <v>0</v>
      </c>
      <c r="G30" s="30">
        <v>1</v>
      </c>
      <c r="H30" s="30">
        <v>5.3780000000000001</v>
      </c>
      <c r="I30" s="30">
        <v>0</v>
      </c>
      <c r="J30" s="30">
        <v>0.27800000000000002</v>
      </c>
      <c r="K30" s="31">
        <v>5.5</v>
      </c>
      <c r="L30" s="31">
        <v>0</v>
      </c>
      <c r="M30" s="32">
        <v>0.5</v>
      </c>
      <c r="N30" s="30">
        <v>0</v>
      </c>
      <c r="O30" s="31">
        <v>0</v>
      </c>
      <c r="P30" s="32">
        <v>0</v>
      </c>
      <c r="Q30" s="29">
        <v>0</v>
      </c>
      <c r="R30" s="31">
        <v>5.33</v>
      </c>
      <c r="S30" s="77">
        <f t="shared" si="0"/>
        <v>22.216000000000001</v>
      </c>
    </row>
    <row r="31" spans="1:19" x14ac:dyDescent="0.2">
      <c r="A31" s="33" t="s">
        <v>49</v>
      </c>
      <c r="B31" s="21">
        <v>0</v>
      </c>
      <c r="C31" s="34">
        <v>0</v>
      </c>
      <c r="D31" s="35">
        <v>1.5</v>
      </c>
      <c r="E31" s="34">
        <v>1.88</v>
      </c>
      <c r="F31" s="35">
        <v>0</v>
      </c>
      <c r="G31" s="34">
        <v>2</v>
      </c>
      <c r="H31" s="34">
        <v>19</v>
      </c>
      <c r="I31" s="34">
        <v>12.250999999999999</v>
      </c>
      <c r="J31" s="34">
        <v>2</v>
      </c>
      <c r="K31" s="35">
        <v>9.6</v>
      </c>
      <c r="L31" s="35">
        <v>0.9</v>
      </c>
      <c r="M31" s="36">
        <v>0</v>
      </c>
      <c r="N31" s="34">
        <v>1.306</v>
      </c>
      <c r="O31" s="35">
        <v>0</v>
      </c>
      <c r="P31" s="36">
        <v>0.95</v>
      </c>
      <c r="Q31" s="21">
        <v>0</v>
      </c>
      <c r="R31" s="35">
        <v>1.78</v>
      </c>
      <c r="S31" s="77">
        <f t="shared" si="0"/>
        <v>53.167000000000002</v>
      </c>
    </row>
    <row r="32" spans="1:19" x14ac:dyDescent="0.2">
      <c r="A32" s="33" t="s">
        <v>50</v>
      </c>
      <c r="B32" s="21">
        <v>1</v>
      </c>
      <c r="C32" s="34">
        <v>0</v>
      </c>
      <c r="D32" s="35">
        <v>1</v>
      </c>
      <c r="E32" s="34">
        <v>1.5</v>
      </c>
      <c r="F32" s="35">
        <v>0</v>
      </c>
      <c r="G32" s="34">
        <v>1</v>
      </c>
      <c r="H32" s="34">
        <v>14</v>
      </c>
      <c r="I32" s="34">
        <v>7.2450000000000001</v>
      </c>
      <c r="J32" s="34">
        <v>0.78</v>
      </c>
      <c r="K32" s="35">
        <v>5.99</v>
      </c>
      <c r="L32" s="35">
        <v>0.5</v>
      </c>
      <c r="M32" s="36">
        <v>0</v>
      </c>
      <c r="N32" s="34">
        <v>0.75600000000000001</v>
      </c>
      <c r="O32" s="35">
        <v>0.115</v>
      </c>
      <c r="P32" s="36">
        <v>0.115</v>
      </c>
      <c r="Q32" s="21">
        <v>0</v>
      </c>
      <c r="R32" s="35">
        <v>0.5</v>
      </c>
      <c r="S32" s="77">
        <f t="shared" si="0"/>
        <v>34.501000000000005</v>
      </c>
    </row>
    <row r="33" spans="1:19" x14ac:dyDescent="0.2">
      <c r="A33" s="33" t="s">
        <v>51</v>
      </c>
      <c r="B33" s="21">
        <v>0.2</v>
      </c>
      <c r="C33" s="34">
        <v>0</v>
      </c>
      <c r="D33" s="35">
        <v>1</v>
      </c>
      <c r="E33" s="34">
        <v>0.88</v>
      </c>
      <c r="F33" s="35">
        <v>0</v>
      </c>
      <c r="G33" s="34">
        <v>0</v>
      </c>
      <c r="H33" s="34">
        <v>0</v>
      </c>
      <c r="I33" s="34">
        <v>8.1140000000000008</v>
      </c>
      <c r="J33" s="34">
        <v>0</v>
      </c>
      <c r="K33" s="35">
        <v>0</v>
      </c>
      <c r="L33" s="35">
        <v>0</v>
      </c>
      <c r="M33" s="36">
        <v>0</v>
      </c>
      <c r="N33" s="34">
        <v>0.69499999999999995</v>
      </c>
      <c r="O33" s="35">
        <v>0</v>
      </c>
      <c r="P33" s="36">
        <v>0.8</v>
      </c>
      <c r="Q33" s="21">
        <v>0</v>
      </c>
      <c r="R33" s="35">
        <v>0.75</v>
      </c>
      <c r="S33" s="77">
        <f t="shared" si="0"/>
        <v>12.439000000000002</v>
      </c>
    </row>
    <row r="34" spans="1:19" x14ac:dyDescent="0.2">
      <c r="A34" s="37" t="s">
        <v>52</v>
      </c>
      <c r="B34" s="38">
        <v>1.5</v>
      </c>
      <c r="C34" s="39">
        <v>2</v>
      </c>
      <c r="D34" s="40">
        <v>1.45</v>
      </c>
      <c r="E34" s="39">
        <v>1</v>
      </c>
      <c r="F34" s="40">
        <v>0</v>
      </c>
      <c r="G34" s="39">
        <v>0</v>
      </c>
      <c r="H34" s="39">
        <v>0</v>
      </c>
      <c r="I34" s="39">
        <v>11.023999999999999</v>
      </c>
      <c r="J34" s="39">
        <v>0</v>
      </c>
      <c r="K34" s="40">
        <v>0</v>
      </c>
      <c r="L34" s="40">
        <v>0</v>
      </c>
      <c r="M34" s="41">
        <v>0</v>
      </c>
      <c r="N34" s="39">
        <v>5.6000000000000001E-2</v>
      </c>
      <c r="O34" s="40">
        <v>0</v>
      </c>
      <c r="P34" s="41">
        <v>2</v>
      </c>
      <c r="Q34" s="38">
        <v>0</v>
      </c>
      <c r="R34" s="40">
        <v>0.5</v>
      </c>
      <c r="S34" s="78">
        <f t="shared" si="0"/>
        <v>19.53</v>
      </c>
    </row>
    <row r="35" spans="1:19" x14ac:dyDescent="0.2">
      <c r="A35" s="28" t="s">
        <v>53</v>
      </c>
      <c r="B35" s="29">
        <v>0</v>
      </c>
      <c r="C35" s="30">
        <v>0</v>
      </c>
      <c r="D35" s="31">
        <v>4</v>
      </c>
      <c r="E35" s="30">
        <v>2.59</v>
      </c>
      <c r="F35" s="31">
        <v>0</v>
      </c>
      <c r="G35" s="30">
        <v>2</v>
      </c>
      <c r="H35" s="30">
        <v>20.734999999999999</v>
      </c>
      <c r="I35" s="30">
        <v>10.039</v>
      </c>
      <c r="J35" s="30">
        <v>3.6</v>
      </c>
      <c r="K35" s="31">
        <v>7.97</v>
      </c>
      <c r="L35" s="31">
        <v>0.26600000000000001</v>
      </c>
      <c r="M35" s="32">
        <v>0</v>
      </c>
      <c r="N35" s="30">
        <v>2.2000000000000002</v>
      </c>
      <c r="O35" s="31">
        <v>0.25</v>
      </c>
      <c r="P35" s="32">
        <v>0.25</v>
      </c>
      <c r="Q35" s="29">
        <v>1.25</v>
      </c>
      <c r="R35" s="31">
        <v>2.25</v>
      </c>
      <c r="S35" s="77">
        <f t="shared" si="0"/>
        <v>57.4</v>
      </c>
    </row>
    <row r="36" spans="1:19" x14ac:dyDescent="0.2">
      <c r="A36" s="33" t="s">
        <v>54</v>
      </c>
      <c r="B36" s="21">
        <v>1</v>
      </c>
      <c r="C36" s="34">
        <v>0</v>
      </c>
      <c r="D36" s="35">
        <v>1</v>
      </c>
      <c r="E36" s="34">
        <v>1</v>
      </c>
      <c r="F36" s="35">
        <v>0</v>
      </c>
      <c r="G36" s="34">
        <v>0.72099999999999997</v>
      </c>
      <c r="H36" s="34">
        <v>8.3409999999999993</v>
      </c>
      <c r="I36" s="34">
        <v>1.381</v>
      </c>
      <c r="J36" s="34">
        <v>1</v>
      </c>
      <c r="K36" s="35">
        <v>4.1900000000000004</v>
      </c>
      <c r="L36" s="35">
        <v>0</v>
      </c>
      <c r="M36" s="36">
        <v>0</v>
      </c>
      <c r="N36" s="34">
        <v>0</v>
      </c>
      <c r="O36" s="35">
        <v>0</v>
      </c>
      <c r="P36" s="36">
        <v>0</v>
      </c>
      <c r="Q36" s="21">
        <v>0</v>
      </c>
      <c r="R36" s="35">
        <v>0</v>
      </c>
      <c r="S36" s="77">
        <f t="shared" si="0"/>
        <v>18.632999999999999</v>
      </c>
    </row>
    <row r="37" spans="1:19" x14ac:dyDescent="0.2">
      <c r="A37" s="33" t="s">
        <v>55</v>
      </c>
      <c r="B37" s="21">
        <v>3.8</v>
      </c>
      <c r="C37" s="34">
        <v>2</v>
      </c>
      <c r="D37" s="35">
        <v>1.23</v>
      </c>
      <c r="E37" s="34">
        <v>2</v>
      </c>
      <c r="F37" s="35">
        <v>0</v>
      </c>
      <c r="G37" s="34">
        <v>0</v>
      </c>
      <c r="H37" s="34">
        <v>0</v>
      </c>
      <c r="I37" s="34">
        <v>32.411999999999999</v>
      </c>
      <c r="J37" s="34">
        <v>0.73799999999999999</v>
      </c>
      <c r="K37" s="35">
        <v>3</v>
      </c>
      <c r="L37" s="35">
        <v>0.83</v>
      </c>
      <c r="M37" s="36">
        <v>0</v>
      </c>
      <c r="N37" s="34">
        <v>2.8250000000000002</v>
      </c>
      <c r="O37" s="35">
        <v>0</v>
      </c>
      <c r="P37" s="36">
        <v>2.1349999999999998</v>
      </c>
      <c r="Q37" s="21">
        <v>0</v>
      </c>
      <c r="R37" s="35">
        <v>1</v>
      </c>
      <c r="S37" s="77">
        <f t="shared" si="0"/>
        <v>51.97</v>
      </c>
    </row>
    <row r="38" spans="1:19" x14ac:dyDescent="0.2">
      <c r="A38" s="33" t="s">
        <v>56</v>
      </c>
      <c r="B38" s="21">
        <v>1</v>
      </c>
      <c r="C38" s="34">
        <v>0</v>
      </c>
      <c r="D38" s="35">
        <v>0</v>
      </c>
      <c r="E38" s="34">
        <v>2.5</v>
      </c>
      <c r="F38" s="35">
        <v>0</v>
      </c>
      <c r="G38" s="34">
        <v>2</v>
      </c>
      <c r="H38" s="34">
        <v>25.975000000000001</v>
      </c>
      <c r="I38" s="34">
        <v>10.223000000000001</v>
      </c>
      <c r="J38" s="34">
        <v>3</v>
      </c>
      <c r="K38" s="35">
        <v>24</v>
      </c>
      <c r="L38" s="35">
        <v>1</v>
      </c>
      <c r="M38" s="36">
        <v>0</v>
      </c>
      <c r="N38" s="34">
        <v>0.36</v>
      </c>
      <c r="O38" s="35">
        <v>0.5</v>
      </c>
      <c r="P38" s="36">
        <v>0.5</v>
      </c>
      <c r="Q38" s="21">
        <v>1</v>
      </c>
      <c r="R38" s="35">
        <v>5.5</v>
      </c>
      <c r="S38" s="77">
        <f t="shared" si="0"/>
        <v>77.558000000000007</v>
      </c>
    </row>
    <row r="39" spans="1:19" x14ac:dyDescent="0.2">
      <c r="A39" s="37" t="s">
        <v>57</v>
      </c>
      <c r="B39" s="38">
        <v>0.5</v>
      </c>
      <c r="C39" s="39">
        <v>0.6</v>
      </c>
      <c r="D39" s="40">
        <v>0.55600000000000005</v>
      </c>
      <c r="E39" s="39">
        <v>4.5</v>
      </c>
      <c r="F39" s="40">
        <v>0</v>
      </c>
      <c r="G39" s="39">
        <v>0</v>
      </c>
      <c r="H39" s="39">
        <v>0</v>
      </c>
      <c r="I39" s="39">
        <v>0</v>
      </c>
      <c r="J39" s="39">
        <v>0</v>
      </c>
      <c r="K39" s="40">
        <v>33.5</v>
      </c>
      <c r="L39" s="40">
        <v>0</v>
      </c>
      <c r="M39" s="41">
        <v>0.5</v>
      </c>
      <c r="N39" s="39">
        <v>0</v>
      </c>
      <c r="O39" s="40">
        <v>0</v>
      </c>
      <c r="P39" s="41">
        <v>0</v>
      </c>
      <c r="Q39" s="38">
        <v>0.5</v>
      </c>
      <c r="R39" s="40">
        <v>10.75</v>
      </c>
      <c r="S39" s="78">
        <f t="shared" si="0"/>
        <v>51.405999999999999</v>
      </c>
    </row>
    <row r="40" spans="1:19" x14ac:dyDescent="0.2">
      <c r="A40" s="28" t="s">
        <v>58</v>
      </c>
      <c r="B40" s="29">
        <v>2.3730000000000002</v>
      </c>
      <c r="C40" s="30">
        <v>1.25</v>
      </c>
      <c r="D40" s="31">
        <v>2</v>
      </c>
      <c r="E40" s="30">
        <v>1</v>
      </c>
      <c r="F40" s="31">
        <v>0</v>
      </c>
      <c r="G40" s="30">
        <v>2</v>
      </c>
      <c r="H40" s="30">
        <v>15.561</v>
      </c>
      <c r="I40" s="30">
        <v>32.722000000000001</v>
      </c>
      <c r="J40" s="30">
        <v>1.67</v>
      </c>
      <c r="K40" s="31">
        <v>4</v>
      </c>
      <c r="L40" s="31">
        <v>0</v>
      </c>
      <c r="M40" s="32">
        <v>0</v>
      </c>
      <c r="N40" s="30">
        <v>5.1180000000000003</v>
      </c>
      <c r="O40" s="31">
        <v>0.34</v>
      </c>
      <c r="P40" s="32">
        <v>1.528</v>
      </c>
      <c r="Q40" s="29">
        <v>1</v>
      </c>
      <c r="R40" s="31">
        <v>3</v>
      </c>
      <c r="S40" s="77">
        <f t="shared" si="0"/>
        <v>73.562000000000012</v>
      </c>
    </row>
    <row r="41" spans="1:19" x14ac:dyDescent="0.2">
      <c r="A41" s="33" t="s">
        <v>59</v>
      </c>
      <c r="B41" s="21">
        <v>1</v>
      </c>
      <c r="C41" s="34">
        <v>0.77</v>
      </c>
      <c r="D41" s="35">
        <v>1.133</v>
      </c>
      <c r="E41" s="34">
        <v>2.8</v>
      </c>
      <c r="F41" s="35">
        <v>0</v>
      </c>
      <c r="G41" s="34">
        <v>3</v>
      </c>
      <c r="H41" s="34">
        <v>9.6999999999999993</v>
      </c>
      <c r="I41" s="34">
        <v>6.952</v>
      </c>
      <c r="J41" s="34">
        <v>1.4510000000000001</v>
      </c>
      <c r="K41" s="35">
        <v>21.66</v>
      </c>
      <c r="L41" s="35">
        <v>0</v>
      </c>
      <c r="M41" s="36">
        <v>0.81</v>
      </c>
      <c r="N41" s="34">
        <v>1.4</v>
      </c>
      <c r="O41" s="35">
        <v>0</v>
      </c>
      <c r="P41" s="36">
        <v>0</v>
      </c>
      <c r="Q41" s="21">
        <v>0</v>
      </c>
      <c r="R41" s="35">
        <v>2.35</v>
      </c>
      <c r="S41" s="77">
        <f t="shared" si="0"/>
        <v>53.025999999999996</v>
      </c>
    </row>
    <row r="42" spans="1:19" x14ac:dyDescent="0.2">
      <c r="A42" s="33" t="s">
        <v>60</v>
      </c>
      <c r="B42" s="21">
        <v>0.5</v>
      </c>
      <c r="C42" s="34">
        <v>0</v>
      </c>
      <c r="D42" s="35">
        <v>1</v>
      </c>
      <c r="E42" s="34">
        <v>2.56</v>
      </c>
      <c r="F42" s="35">
        <v>0</v>
      </c>
      <c r="G42" s="34">
        <v>1</v>
      </c>
      <c r="H42" s="34">
        <v>14.5</v>
      </c>
      <c r="I42" s="34">
        <v>12.387</v>
      </c>
      <c r="J42" s="34">
        <v>2.0179999999999998</v>
      </c>
      <c r="K42" s="35">
        <v>15.84</v>
      </c>
      <c r="L42" s="35">
        <v>0</v>
      </c>
      <c r="M42" s="36">
        <v>0.13</v>
      </c>
      <c r="N42" s="34">
        <v>2.09</v>
      </c>
      <c r="O42" s="35">
        <v>0</v>
      </c>
      <c r="P42" s="36">
        <v>0.52500000000000002</v>
      </c>
      <c r="Q42" s="21">
        <v>0.316</v>
      </c>
      <c r="R42" s="35">
        <v>0</v>
      </c>
      <c r="S42" s="77">
        <f t="shared" si="0"/>
        <v>52.866000000000007</v>
      </c>
    </row>
    <row r="43" spans="1:19" x14ac:dyDescent="0.2">
      <c r="A43" s="33" t="s">
        <v>61</v>
      </c>
      <c r="B43" s="21">
        <v>0</v>
      </c>
      <c r="C43" s="34">
        <v>0.5</v>
      </c>
      <c r="D43" s="35">
        <v>1</v>
      </c>
      <c r="E43" s="34">
        <v>3</v>
      </c>
      <c r="F43" s="35">
        <v>0</v>
      </c>
      <c r="G43" s="34">
        <v>2.3660000000000001</v>
      </c>
      <c r="H43" s="34">
        <v>16</v>
      </c>
      <c r="I43" s="34">
        <v>0</v>
      </c>
      <c r="J43" s="34">
        <v>2</v>
      </c>
      <c r="K43" s="35">
        <v>5.16</v>
      </c>
      <c r="L43" s="35">
        <v>0</v>
      </c>
      <c r="M43" s="36">
        <v>0</v>
      </c>
      <c r="N43" s="34">
        <v>0</v>
      </c>
      <c r="O43" s="35">
        <v>0</v>
      </c>
      <c r="P43" s="36">
        <v>0</v>
      </c>
      <c r="Q43" s="21">
        <v>2.448</v>
      </c>
      <c r="R43" s="35">
        <v>2.64</v>
      </c>
      <c r="S43" s="77">
        <f t="shared" si="0"/>
        <v>35.113999999999997</v>
      </c>
    </row>
    <row r="44" spans="1:19" x14ac:dyDescent="0.2">
      <c r="A44" s="37" t="s">
        <v>62</v>
      </c>
      <c r="B44" s="38">
        <v>0.15</v>
      </c>
      <c r="C44" s="42"/>
      <c r="D44" s="40">
        <v>1.3779999999999999</v>
      </c>
      <c r="E44" s="42"/>
      <c r="F44" s="40">
        <v>0</v>
      </c>
      <c r="G44" s="39">
        <v>0</v>
      </c>
      <c r="H44" s="39">
        <v>0</v>
      </c>
      <c r="I44" s="39">
        <v>15.682</v>
      </c>
      <c r="J44" s="39">
        <v>0.98499999999999999</v>
      </c>
      <c r="K44" s="43"/>
      <c r="L44" s="40">
        <v>0</v>
      </c>
      <c r="M44" s="44"/>
      <c r="N44" s="39">
        <v>2.4</v>
      </c>
      <c r="O44" s="40">
        <v>0</v>
      </c>
      <c r="P44" s="41">
        <v>0.58299999999999996</v>
      </c>
      <c r="Q44" s="38">
        <v>0</v>
      </c>
      <c r="R44" s="43"/>
      <c r="S44" s="78">
        <f t="shared" si="0"/>
        <v>21.177999999999997</v>
      </c>
    </row>
    <row r="45" spans="1:19" x14ac:dyDescent="0.2">
      <c r="A45" s="28" t="s">
        <v>63</v>
      </c>
      <c r="B45" s="29">
        <v>1</v>
      </c>
      <c r="C45" s="30">
        <v>0</v>
      </c>
      <c r="D45" s="31">
        <v>1</v>
      </c>
      <c r="E45" s="30">
        <v>1</v>
      </c>
      <c r="F45" s="31">
        <v>0</v>
      </c>
      <c r="G45" s="30">
        <v>1</v>
      </c>
      <c r="H45" s="30">
        <v>5</v>
      </c>
      <c r="I45" s="30">
        <v>0</v>
      </c>
      <c r="J45" s="30">
        <v>0.5</v>
      </c>
      <c r="K45" s="31">
        <v>1.5</v>
      </c>
      <c r="L45" s="31">
        <v>0</v>
      </c>
      <c r="M45" s="32">
        <v>0</v>
      </c>
      <c r="N45" s="30">
        <v>0</v>
      </c>
      <c r="O45" s="31">
        <v>0</v>
      </c>
      <c r="P45" s="32">
        <v>0</v>
      </c>
      <c r="Q45" s="29">
        <v>0</v>
      </c>
      <c r="R45" s="31">
        <v>1</v>
      </c>
      <c r="S45" s="77">
        <f t="shared" si="0"/>
        <v>12</v>
      </c>
    </row>
    <row r="46" spans="1:19" x14ac:dyDescent="0.2">
      <c r="A46" s="33" t="s">
        <v>64</v>
      </c>
      <c r="B46" s="21">
        <v>3</v>
      </c>
      <c r="C46" s="34">
        <v>0</v>
      </c>
      <c r="D46" s="35">
        <v>0</v>
      </c>
      <c r="E46" s="34">
        <v>1.5</v>
      </c>
      <c r="F46" s="35">
        <v>0</v>
      </c>
      <c r="G46" s="34">
        <v>2.117</v>
      </c>
      <c r="H46" s="34">
        <v>17.187000000000001</v>
      </c>
      <c r="I46" s="34">
        <v>15.595000000000001</v>
      </c>
      <c r="J46" s="34">
        <v>1.516</v>
      </c>
      <c r="K46" s="35">
        <v>7.8</v>
      </c>
      <c r="L46" s="35">
        <v>1</v>
      </c>
      <c r="M46" s="36">
        <v>0.2</v>
      </c>
      <c r="N46" s="34">
        <v>1</v>
      </c>
      <c r="O46" s="35">
        <v>0</v>
      </c>
      <c r="P46" s="36">
        <v>0.5</v>
      </c>
      <c r="Q46" s="21">
        <v>1</v>
      </c>
      <c r="R46" s="35">
        <v>3.4</v>
      </c>
      <c r="S46" s="77">
        <f t="shared" si="0"/>
        <v>55.814999999999998</v>
      </c>
    </row>
    <row r="47" spans="1:19" x14ac:dyDescent="0.2">
      <c r="A47" s="33" t="s">
        <v>65</v>
      </c>
      <c r="B47" s="21">
        <v>0</v>
      </c>
      <c r="C47" s="34">
        <v>0</v>
      </c>
      <c r="D47" s="35">
        <v>1</v>
      </c>
      <c r="E47" s="34">
        <v>2</v>
      </c>
      <c r="F47" s="35">
        <v>0</v>
      </c>
      <c r="G47" s="34">
        <v>0</v>
      </c>
      <c r="H47" s="34">
        <v>0</v>
      </c>
      <c r="I47" s="34">
        <v>17.948</v>
      </c>
      <c r="J47" s="34">
        <v>0.89</v>
      </c>
      <c r="K47" s="35">
        <v>0.51</v>
      </c>
      <c r="L47" s="35">
        <v>0</v>
      </c>
      <c r="M47" s="36">
        <v>0</v>
      </c>
      <c r="N47" s="34">
        <v>2.4</v>
      </c>
      <c r="O47" s="35">
        <v>0</v>
      </c>
      <c r="P47" s="36">
        <v>1.1439999999999999</v>
      </c>
      <c r="Q47" s="21">
        <v>0</v>
      </c>
      <c r="R47" s="35">
        <v>0</v>
      </c>
      <c r="S47" s="77">
        <f t="shared" si="0"/>
        <v>25.891999999999999</v>
      </c>
    </row>
    <row r="48" spans="1:19" x14ac:dyDescent="0.2">
      <c r="A48" s="33" t="s">
        <v>66</v>
      </c>
      <c r="B48" s="21">
        <v>2</v>
      </c>
      <c r="C48" s="34">
        <v>0</v>
      </c>
      <c r="D48" s="35">
        <v>2.444</v>
      </c>
      <c r="E48" s="34">
        <v>3.5</v>
      </c>
      <c r="F48" s="35">
        <v>0</v>
      </c>
      <c r="G48" s="34">
        <v>1.5</v>
      </c>
      <c r="H48" s="34">
        <v>18.913</v>
      </c>
      <c r="I48" s="34">
        <v>15.831</v>
      </c>
      <c r="J48" s="34">
        <v>1.71</v>
      </c>
      <c r="K48" s="35">
        <v>14.25</v>
      </c>
      <c r="L48" s="35">
        <v>1</v>
      </c>
      <c r="M48" s="36">
        <v>1</v>
      </c>
      <c r="N48" s="34">
        <v>1</v>
      </c>
      <c r="O48" s="35">
        <v>0</v>
      </c>
      <c r="P48" s="36">
        <v>1</v>
      </c>
      <c r="Q48" s="21">
        <v>1</v>
      </c>
      <c r="R48" s="35">
        <v>5</v>
      </c>
      <c r="S48" s="77">
        <f t="shared" si="0"/>
        <v>70.147999999999996</v>
      </c>
    </row>
    <row r="49" spans="1:19" x14ac:dyDescent="0.2">
      <c r="A49" s="64" t="s">
        <v>67</v>
      </c>
      <c r="B49" s="65">
        <v>0</v>
      </c>
      <c r="C49" s="66">
        <v>0</v>
      </c>
      <c r="D49" s="40">
        <v>1</v>
      </c>
      <c r="E49" s="66">
        <v>3</v>
      </c>
      <c r="F49" s="40">
        <v>0</v>
      </c>
      <c r="G49" s="66">
        <v>1</v>
      </c>
      <c r="H49" s="66">
        <v>14.7</v>
      </c>
      <c r="I49" s="66">
        <v>11.17</v>
      </c>
      <c r="J49" s="66">
        <v>3.5</v>
      </c>
      <c r="K49" s="40">
        <v>18</v>
      </c>
      <c r="L49" s="40">
        <v>0.34</v>
      </c>
      <c r="M49" s="41">
        <v>0</v>
      </c>
      <c r="N49" s="66">
        <v>0</v>
      </c>
      <c r="O49" s="40">
        <v>0.2</v>
      </c>
      <c r="P49" s="41">
        <v>0.2</v>
      </c>
      <c r="Q49" s="65">
        <v>0.93500000000000005</v>
      </c>
      <c r="R49" s="40">
        <v>2</v>
      </c>
      <c r="S49" s="78">
        <f t="shared" si="0"/>
        <v>56.045000000000009</v>
      </c>
    </row>
    <row r="50" spans="1:19" x14ac:dyDescent="0.2">
      <c r="A50" s="62" t="s">
        <v>68</v>
      </c>
      <c r="B50" s="58">
        <v>0</v>
      </c>
      <c r="C50" s="63">
        <v>0</v>
      </c>
      <c r="D50" s="35">
        <v>3</v>
      </c>
      <c r="E50" s="63">
        <v>1</v>
      </c>
      <c r="F50" s="35">
        <v>0</v>
      </c>
      <c r="G50" s="63">
        <v>0</v>
      </c>
      <c r="H50" s="63">
        <v>0</v>
      </c>
      <c r="I50" s="63">
        <v>19.021999999999998</v>
      </c>
      <c r="J50" s="63">
        <v>0.2</v>
      </c>
      <c r="K50" s="35">
        <v>1</v>
      </c>
      <c r="L50" s="35">
        <v>0</v>
      </c>
      <c r="M50" s="36">
        <v>0</v>
      </c>
      <c r="N50" s="63">
        <v>1.1599999999999999</v>
      </c>
      <c r="O50" s="35">
        <v>0</v>
      </c>
      <c r="P50" s="36">
        <v>1.98</v>
      </c>
      <c r="Q50" s="58">
        <v>0</v>
      </c>
      <c r="R50" s="35">
        <v>1.25</v>
      </c>
      <c r="S50" s="77">
        <f t="shared" si="0"/>
        <v>28.611999999999998</v>
      </c>
    </row>
    <row r="51" spans="1:19" x14ac:dyDescent="0.2">
      <c r="A51" s="33" t="s">
        <v>69</v>
      </c>
      <c r="B51" s="21">
        <v>0</v>
      </c>
      <c r="C51" s="34">
        <v>0</v>
      </c>
      <c r="D51" s="35">
        <v>1</v>
      </c>
      <c r="E51" s="34">
        <v>3.5</v>
      </c>
      <c r="F51" s="35">
        <v>0</v>
      </c>
      <c r="G51" s="34">
        <v>1.917</v>
      </c>
      <c r="H51" s="34">
        <v>19</v>
      </c>
      <c r="I51" s="34">
        <v>0</v>
      </c>
      <c r="J51" s="34">
        <v>0</v>
      </c>
      <c r="K51" s="35">
        <v>11.5</v>
      </c>
      <c r="L51" s="35">
        <v>0</v>
      </c>
      <c r="M51" s="36">
        <v>0.25</v>
      </c>
      <c r="N51" s="34">
        <v>3</v>
      </c>
      <c r="O51" s="35">
        <v>0</v>
      </c>
      <c r="P51" s="36">
        <v>0</v>
      </c>
      <c r="Q51" s="21">
        <v>0.308</v>
      </c>
      <c r="R51" s="35">
        <v>5.5</v>
      </c>
      <c r="S51" s="77">
        <f t="shared" si="0"/>
        <v>45.975000000000001</v>
      </c>
    </row>
    <row r="52" spans="1:19" x14ac:dyDescent="0.2">
      <c r="A52" s="33" t="s">
        <v>70</v>
      </c>
      <c r="B52" s="21">
        <v>0</v>
      </c>
      <c r="C52" s="34">
        <v>0</v>
      </c>
      <c r="D52" s="35">
        <v>2.4</v>
      </c>
      <c r="E52" s="34">
        <v>3.67</v>
      </c>
      <c r="F52" s="35">
        <v>0</v>
      </c>
      <c r="G52" s="34">
        <v>2</v>
      </c>
      <c r="H52" s="34">
        <v>23.683</v>
      </c>
      <c r="I52" s="34">
        <v>12.25</v>
      </c>
      <c r="J52" s="34">
        <v>2</v>
      </c>
      <c r="K52" s="35">
        <v>15.53</v>
      </c>
      <c r="L52" s="35">
        <v>1</v>
      </c>
      <c r="M52" s="36">
        <v>0.56000000000000005</v>
      </c>
      <c r="N52" s="34">
        <v>2.6179999999999999</v>
      </c>
      <c r="O52" s="35">
        <v>0.05</v>
      </c>
      <c r="P52" s="36">
        <v>0.95</v>
      </c>
      <c r="Q52" s="21">
        <v>1</v>
      </c>
      <c r="R52" s="35">
        <v>3.3</v>
      </c>
      <c r="S52" s="77">
        <f t="shared" si="0"/>
        <v>71.010999999999996</v>
      </c>
    </row>
    <row r="53" spans="1:19" x14ac:dyDescent="0.2">
      <c r="A53" s="33" t="s">
        <v>71</v>
      </c>
      <c r="B53" s="21">
        <v>0</v>
      </c>
      <c r="C53" s="34">
        <v>0</v>
      </c>
      <c r="D53" s="35">
        <v>1.3</v>
      </c>
      <c r="E53" s="34">
        <v>3</v>
      </c>
      <c r="F53" s="35">
        <v>0</v>
      </c>
      <c r="G53" s="34">
        <v>1</v>
      </c>
      <c r="H53" s="34">
        <v>11.35</v>
      </c>
      <c r="I53" s="34">
        <v>11.27</v>
      </c>
      <c r="J53" s="34">
        <v>0.64</v>
      </c>
      <c r="K53" s="35">
        <v>11.89</v>
      </c>
      <c r="L53" s="35">
        <v>0.95</v>
      </c>
      <c r="M53" s="36">
        <v>0</v>
      </c>
      <c r="N53" s="34">
        <v>0.50700000000000001</v>
      </c>
      <c r="O53" s="35">
        <v>0.25</v>
      </c>
      <c r="P53" s="36">
        <v>0.75</v>
      </c>
      <c r="Q53" s="21">
        <v>1.33</v>
      </c>
      <c r="R53" s="35">
        <v>1.42</v>
      </c>
      <c r="S53" s="77">
        <f t="shared" si="0"/>
        <v>45.657000000000004</v>
      </c>
    </row>
    <row r="54" spans="1:19" x14ac:dyDescent="0.2">
      <c r="A54" s="37" t="s">
        <v>72</v>
      </c>
      <c r="B54" s="38">
        <v>1</v>
      </c>
      <c r="C54" s="39">
        <v>0</v>
      </c>
      <c r="D54" s="40">
        <v>2</v>
      </c>
      <c r="E54" s="39">
        <v>1.6</v>
      </c>
      <c r="F54" s="40">
        <v>0</v>
      </c>
      <c r="G54" s="39">
        <v>2</v>
      </c>
      <c r="H54" s="39">
        <v>20.071000000000002</v>
      </c>
      <c r="I54" s="39">
        <v>1.006</v>
      </c>
      <c r="J54" s="39">
        <v>1.5</v>
      </c>
      <c r="K54" s="40">
        <v>20.63</v>
      </c>
      <c r="L54" s="40">
        <v>0</v>
      </c>
      <c r="M54" s="41">
        <v>0.62</v>
      </c>
      <c r="N54" s="39">
        <v>1</v>
      </c>
      <c r="O54" s="40">
        <v>0.627</v>
      </c>
      <c r="P54" s="41">
        <v>0</v>
      </c>
      <c r="Q54" s="38">
        <v>0</v>
      </c>
      <c r="R54" s="40">
        <v>1.45</v>
      </c>
      <c r="S54" s="78">
        <f t="shared" si="0"/>
        <v>53.504000000000005</v>
      </c>
    </row>
    <row r="55" spans="1:19" x14ac:dyDescent="0.2">
      <c r="A55" s="28" t="s">
        <v>73</v>
      </c>
      <c r="B55" s="29">
        <v>0.05</v>
      </c>
      <c r="C55" s="30">
        <v>1</v>
      </c>
      <c r="D55" s="31">
        <v>1.8</v>
      </c>
      <c r="E55" s="30">
        <v>3.81</v>
      </c>
      <c r="F55" s="31">
        <v>0</v>
      </c>
      <c r="G55" s="30">
        <v>2</v>
      </c>
      <c r="H55" s="30">
        <v>22.120999999999999</v>
      </c>
      <c r="I55" s="30">
        <v>17.908999999999999</v>
      </c>
      <c r="J55" s="30">
        <v>4.2</v>
      </c>
      <c r="K55" s="31">
        <v>18.920000000000002</v>
      </c>
      <c r="L55" s="31">
        <v>1</v>
      </c>
      <c r="M55" s="32">
        <v>1.75</v>
      </c>
      <c r="N55" s="30">
        <v>0.95</v>
      </c>
      <c r="O55" s="31">
        <v>0.25</v>
      </c>
      <c r="P55" s="32">
        <v>1.25</v>
      </c>
      <c r="Q55" s="29">
        <v>1.5</v>
      </c>
      <c r="R55" s="31">
        <v>5.52</v>
      </c>
      <c r="S55" s="77">
        <f t="shared" si="0"/>
        <v>84.03</v>
      </c>
    </row>
    <row r="56" spans="1:19" x14ac:dyDescent="0.2">
      <c r="A56" s="33" t="s">
        <v>74</v>
      </c>
      <c r="B56" s="21">
        <v>0</v>
      </c>
      <c r="C56" s="34">
        <v>0</v>
      </c>
      <c r="D56" s="35">
        <v>1</v>
      </c>
      <c r="E56" s="34">
        <v>2</v>
      </c>
      <c r="F56" s="35">
        <v>0</v>
      </c>
      <c r="G56" s="34">
        <v>1.2</v>
      </c>
      <c r="H56" s="34">
        <v>15.3</v>
      </c>
      <c r="I56" s="34">
        <v>0</v>
      </c>
      <c r="J56" s="34">
        <v>1.8</v>
      </c>
      <c r="K56" s="35">
        <v>2.02</v>
      </c>
      <c r="L56" s="35">
        <v>0</v>
      </c>
      <c r="M56" s="36">
        <v>0</v>
      </c>
      <c r="N56" s="34">
        <v>1.5</v>
      </c>
      <c r="O56" s="35">
        <v>0.9</v>
      </c>
      <c r="P56" s="36">
        <v>0</v>
      </c>
      <c r="Q56" s="21">
        <v>0</v>
      </c>
      <c r="R56" s="35">
        <v>4.87</v>
      </c>
      <c r="S56" s="77">
        <f t="shared" si="0"/>
        <v>30.59</v>
      </c>
    </row>
    <row r="57" spans="1:19" x14ac:dyDescent="0.2">
      <c r="A57" s="33" t="s">
        <v>75</v>
      </c>
      <c r="B57" s="21">
        <v>0</v>
      </c>
      <c r="C57" s="34">
        <v>0</v>
      </c>
      <c r="D57" s="35">
        <v>0</v>
      </c>
      <c r="E57" s="34">
        <v>3</v>
      </c>
      <c r="F57" s="35">
        <v>0</v>
      </c>
      <c r="G57" s="34">
        <v>1.238</v>
      </c>
      <c r="H57" s="34">
        <v>12</v>
      </c>
      <c r="I57" s="34">
        <v>4.4050000000000002</v>
      </c>
      <c r="J57" s="34">
        <v>0.19500000000000001</v>
      </c>
      <c r="K57" s="35">
        <v>2.5</v>
      </c>
      <c r="L57" s="35">
        <v>0</v>
      </c>
      <c r="M57" s="36">
        <v>0</v>
      </c>
      <c r="N57" s="34">
        <v>1.1000000000000001</v>
      </c>
      <c r="O57" s="35">
        <v>0</v>
      </c>
      <c r="P57" s="36">
        <v>0</v>
      </c>
      <c r="Q57" s="21">
        <v>0</v>
      </c>
      <c r="R57" s="35">
        <v>3</v>
      </c>
      <c r="S57" s="77">
        <f t="shared" si="0"/>
        <v>27.438000000000002</v>
      </c>
    </row>
    <row r="58" spans="1:19" x14ac:dyDescent="0.2">
      <c r="A58" s="33" t="s">
        <v>76</v>
      </c>
      <c r="B58" s="21">
        <v>1.1000000000000001</v>
      </c>
      <c r="C58" s="34">
        <v>0</v>
      </c>
      <c r="D58" s="35">
        <v>5.4</v>
      </c>
      <c r="E58" s="34">
        <v>3</v>
      </c>
      <c r="F58" s="35">
        <v>0</v>
      </c>
      <c r="G58" s="34">
        <v>0</v>
      </c>
      <c r="H58" s="34">
        <v>0</v>
      </c>
      <c r="I58" s="34">
        <v>28.27</v>
      </c>
      <c r="J58" s="34">
        <v>1</v>
      </c>
      <c r="K58" s="35">
        <v>5</v>
      </c>
      <c r="L58" s="35">
        <v>1</v>
      </c>
      <c r="M58" s="36">
        <v>1</v>
      </c>
      <c r="N58" s="34">
        <v>4.4770000000000003</v>
      </c>
      <c r="O58" s="35">
        <v>0</v>
      </c>
      <c r="P58" s="36">
        <v>1</v>
      </c>
      <c r="Q58" s="21">
        <v>0</v>
      </c>
      <c r="R58" s="35">
        <v>3</v>
      </c>
      <c r="S58" s="77">
        <f t="shared" si="0"/>
        <v>54.247</v>
      </c>
    </row>
    <row r="59" spans="1:19" x14ac:dyDescent="0.2">
      <c r="A59" s="37" t="s">
        <v>77</v>
      </c>
      <c r="B59" s="38">
        <v>2.25</v>
      </c>
      <c r="C59" s="39">
        <v>0</v>
      </c>
      <c r="D59" s="40">
        <v>1.8</v>
      </c>
      <c r="E59" s="39">
        <v>2</v>
      </c>
      <c r="F59" s="40">
        <v>0</v>
      </c>
      <c r="G59" s="39">
        <v>1.056</v>
      </c>
      <c r="H59" s="39">
        <v>11.504</v>
      </c>
      <c r="I59" s="39">
        <v>21.577999999999999</v>
      </c>
      <c r="J59" s="39">
        <v>1.9039999999999999</v>
      </c>
      <c r="K59" s="40">
        <v>20</v>
      </c>
      <c r="L59" s="40">
        <v>1.056</v>
      </c>
      <c r="M59" s="41">
        <v>1</v>
      </c>
      <c r="N59" s="39">
        <v>1.601</v>
      </c>
      <c r="O59" s="40">
        <v>0.52100000000000002</v>
      </c>
      <c r="P59" s="41">
        <v>0</v>
      </c>
      <c r="Q59" s="38">
        <v>1.5870000000000002</v>
      </c>
      <c r="R59" s="40">
        <v>6</v>
      </c>
      <c r="S59" s="78">
        <f t="shared" si="0"/>
        <v>73.856999999999999</v>
      </c>
    </row>
    <row r="60" spans="1:19" x14ac:dyDescent="0.2">
      <c r="A60" s="28" t="s">
        <v>78</v>
      </c>
      <c r="B60" s="29">
        <v>0</v>
      </c>
      <c r="C60" s="45"/>
      <c r="D60" s="31">
        <v>0.95</v>
      </c>
      <c r="E60" s="45"/>
      <c r="F60" s="31">
        <v>0</v>
      </c>
      <c r="G60" s="30">
        <v>0</v>
      </c>
      <c r="H60" s="30">
        <v>0</v>
      </c>
      <c r="I60" s="30">
        <v>5.9249999999999998</v>
      </c>
      <c r="J60" s="30">
        <v>0</v>
      </c>
      <c r="K60" s="46"/>
      <c r="L60" s="31">
        <v>0</v>
      </c>
      <c r="M60" s="47"/>
      <c r="N60" s="30">
        <v>1.5</v>
      </c>
      <c r="O60" s="31">
        <v>0</v>
      </c>
      <c r="P60" s="32">
        <v>1</v>
      </c>
      <c r="Q60" s="29">
        <v>0</v>
      </c>
      <c r="R60" s="46"/>
      <c r="S60" s="77">
        <f t="shared" si="0"/>
        <v>9.375</v>
      </c>
    </row>
    <row r="61" spans="1:19" x14ac:dyDescent="0.2">
      <c r="A61" s="33" t="s">
        <v>79</v>
      </c>
      <c r="B61" s="21">
        <v>0</v>
      </c>
      <c r="C61" s="34">
        <v>0</v>
      </c>
      <c r="D61" s="35">
        <v>1</v>
      </c>
      <c r="E61" s="34">
        <v>1.97</v>
      </c>
      <c r="F61" s="35">
        <v>0</v>
      </c>
      <c r="G61" s="34">
        <v>1</v>
      </c>
      <c r="H61" s="34">
        <v>14.5</v>
      </c>
      <c r="I61" s="34">
        <v>4.25</v>
      </c>
      <c r="J61" s="34">
        <v>1</v>
      </c>
      <c r="K61" s="35">
        <v>8.1300000000000008</v>
      </c>
      <c r="L61" s="35">
        <v>0</v>
      </c>
      <c r="M61" s="36">
        <v>0.2</v>
      </c>
      <c r="N61" s="34">
        <v>0</v>
      </c>
      <c r="O61" s="35">
        <v>0</v>
      </c>
      <c r="P61" s="36">
        <v>0</v>
      </c>
      <c r="Q61" s="21">
        <v>0</v>
      </c>
      <c r="R61" s="35">
        <v>2.57</v>
      </c>
      <c r="S61" s="77">
        <f t="shared" si="0"/>
        <v>34.620000000000005</v>
      </c>
    </row>
    <row r="62" spans="1:19" x14ac:dyDescent="0.2">
      <c r="A62" s="33" t="s">
        <v>80</v>
      </c>
      <c r="B62" s="21">
        <v>0.4</v>
      </c>
      <c r="C62" s="34">
        <v>0</v>
      </c>
      <c r="D62" s="35">
        <v>2</v>
      </c>
      <c r="E62" s="34">
        <v>11</v>
      </c>
      <c r="F62" s="35">
        <v>0</v>
      </c>
      <c r="G62" s="34">
        <v>2.5</v>
      </c>
      <c r="H62" s="34">
        <v>28.079000000000001</v>
      </c>
      <c r="I62" s="34">
        <v>33.878999999999998</v>
      </c>
      <c r="J62" s="34">
        <v>5.0110000000000001</v>
      </c>
      <c r="K62" s="35">
        <v>20.25</v>
      </c>
      <c r="L62" s="35">
        <v>1</v>
      </c>
      <c r="M62" s="36">
        <v>1</v>
      </c>
      <c r="N62" s="34">
        <v>2</v>
      </c>
      <c r="O62" s="35">
        <v>0.5</v>
      </c>
      <c r="P62" s="36">
        <v>2</v>
      </c>
      <c r="Q62" s="21">
        <v>0</v>
      </c>
      <c r="R62" s="35">
        <v>5.16</v>
      </c>
      <c r="S62" s="77">
        <f t="shared" si="0"/>
        <v>114.779</v>
      </c>
    </row>
    <row r="63" spans="1:19" x14ac:dyDescent="0.2">
      <c r="A63" s="33" t="s">
        <v>81</v>
      </c>
      <c r="B63" s="21">
        <v>3</v>
      </c>
      <c r="C63" s="34">
        <v>0</v>
      </c>
      <c r="D63" s="35">
        <v>0</v>
      </c>
      <c r="E63" s="34">
        <v>3.41</v>
      </c>
      <c r="F63" s="35">
        <v>0</v>
      </c>
      <c r="G63" s="34">
        <v>2</v>
      </c>
      <c r="H63" s="34">
        <v>21.83</v>
      </c>
      <c r="I63" s="34">
        <v>10.305999999999999</v>
      </c>
      <c r="J63" s="34">
        <v>3.17</v>
      </c>
      <c r="K63" s="35">
        <v>12.06</v>
      </c>
      <c r="L63" s="35">
        <v>0.5</v>
      </c>
      <c r="M63" s="36">
        <v>0.53</v>
      </c>
      <c r="N63" s="34">
        <v>1.772</v>
      </c>
      <c r="O63" s="35">
        <v>0.25</v>
      </c>
      <c r="P63" s="36">
        <v>0.25</v>
      </c>
      <c r="Q63" s="21">
        <v>1</v>
      </c>
      <c r="R63" s="35">
        <v>1.37</v>
      </c>
      <c r="S63" s="77">
        <f t="shared" si="0"/>
        <v>61.448</v>
      </c>
    </row>
    <row r="64" spans="1:19" x14ac:dyDescent="0.2">
      <c r="A64" s="37" t="s">
        <v>82</v>
      </c>
      <c r="B64" s="38">
        <v>1.5</v>
      </c>
      <c r="C64" s="39">
        <v>0</v>
      </c>
      <c r="D64" s="40">
        <v>1</v>
      </c>
      <c r="E64" s="39">
        <v>1</v>
      </c>
      <c r="F64" s="40">
        <v>0</v>
      </c>
      <c r="G64" s="39">
        <v>1</v>
      </c>
      <c r="H64" s="39">
        <v>14.282</v>
      </c>
      <c r="I64" s="39">
        <v>0</v>
      </c>
      <c r="J64" s="39">
        <v>1</v>
      </c>
      <c r="K64" s="40">
        <v>9.5</v>
      </c>
      <c r="L64" s="40">
        <v>0</v>
      </c>
      <c r="M64" s="41">
        <v>0.5</v>
      </c>
      <c r="N64" s="39">
        <v>1</v>
      </c>
      <c r="O64" s="40">
        <v>0</v>
      </c>
      <c r="P64" s="41">
        <v>0</v>
      </c>
      <c r="Q64" s="38">
        <v>0</v>
      </c>
      <c r="R64" s="40">
        <v>1.75</v>
      </c>
      <c r="S64" s="78">
        <f t="shared" si="0"/>
        <v>32.531999999999996</v>
      </c>
    </row>
    <row r="65" spans="1:19" x14ac:dyDescent="0.2">
      <c r="A65" s="28" t="s">
        <v>83</v>
      </c>
      <c r="B65" s="29">
        <v>1</v>
      </c>
      <c r="C65" s="30">
        <v>0</v>
      </c>
      <c r="D65" s="31">
        <v>2</v>
      </c>
      <c r="E65" s="30">
        <v>3</v>
      </c>
      <c r="F65" s="31">
        <v>0</v>
      </c>
      <c r="G65" s="30">
        <v>2</v>
      </c>
      <c r="H65" s="30">
        <v>25.219000000000001</v>
      </c>
      <c r="I65" s="30">
        <v>7.7140000000000004</v>
      </c>
      <c r="J65" s="30">
        <v>4</v>
      </c>
      <c r="K65" s="31">
        <v>12.5</v>
      </c>
      <c r="L65" s="31">
        <v>1</v>
      </c>
      <c r="M65" s="32">
        <v>0</v>
      </c>
      <c r="N65" s="30">
        <v>1</v>
      </c>
      <c r="O65" s="31">
        <v>0</v>
      </c>
      <c r="P65" s="32">
        <v>0</v>
      </c>
      <c r="Q65" s="29">
        <v>2</v>
      </c>
      <c r="R65" s="31">
        <v>4.1500000000000004</v>
      </c>
      <c r="S65" s="77">
        <f t="shared" si="0"/>
        <v>65.582999999999998</v>
      </c>
    </row>
    <row r="66" spans="1:19" x14ac:dyDescent="0.2">
      <c r="A66" s="33" t="s">
        <v>84</v>
      </c>
      <c r="B66" s="21">
        <v>1.65</v>
      </c>
      <c r="C66" s="34">
        <v>0.5</v>
      </c>
      <c r="D66" s="35">
        <v>0.255</v>
      </c>
      <c r="E66" s="34">
        <v>4</v>
      </c>
      <c r="F66" s="35">
        <v>0</v>
      </c>
      <c r="G66" s="34">
        <v>2.5</v>
      </c>
      <c r="H66" s="34">
        <v>21.138999999999999</v>
      </c>
      <c r="I66" s="34">
        <v>9.9529999999999994</v>
      </c>
      <c r="J66" s="34">
        <v>1</v>
      </c>
      <c r="K66" s="35">
        <v>8</v>
      </c>
      <c r="L66" s="35">
        <v>1</v>
      </c>
      <c r="M66" s="36">
        <v>1</v>
      </c>
      <c r="N66" s="34">
        <v>2.1429999999999998</v>
      </c>
      <c r="O66" s="35">
        <v>0.8</v>
      </c>
      <c r="P66" s="36">
        <v>0.2</v>
      </c>
      <c r="Q66" s="21">
        <v>1</v>
      </c>
      <c r="R66" s="35">
        <v>0.5</v>
      </c>
      <c r="S66" s="77">
        <f t="shared" si="0"/>
        <v>55.64</v>
      </c>
    </row>
    <row r="67" spans="1:19" x14ac:dyDescent="0.2">
      <c r="A67" s="33" t="s">
        <v>85</v>
      </c>
      <c r="B67" s="21">
        <v>1.4330000000000001</v>
      </c>
      <c r="C67" s="34">
        <v>0.5</v>
      </c>
      <c r="D67" s="35">
        <v>0.84</v>
      </c>
      <c r="E67" s="34">
        <v>2</v>
      </c>
      <c r="F67" s="35">
        <v>0</v>
      </c>
      <c r="G67" s="34">
        <v>0</v>
      </c>
      <c r="H67" s="34">
        <v>0</v>
      </c>
      <c r="I67" s="34">
        <v>20.385000000000002</v>
      </c>
      <c r="J67" s="34">
        <v>1</v>
      </c>
      <c r="K67" s="35">
        <v>2</v>
      </c>
      <c r="L67" s="35">
        <v>0</v>
      </c>
      <c r="M67" s="36">
        <v>0.5</v>
      </c>
      <c r="N67" s="34">
        <v>2</v>
      </c>
      <c r="O67" s="35">
        <v>0</v>
      </c>
      <c r="P67" s="36">
        <v>1</v>
      </c>
      <c r="Q67" s="21">
        <v>1</v>
      </c>
      <c r="R67" s="35">
        <v>5.6</v>
      </c>
      <c r="S67" s="77">
        <f t="shared" si="0"/>
        <v>38.258000000000003</v>
      </c>
    </row>
    <row r="68" spans="1:19" x14ac:dyDescent="0.2">
      <c r="A68" s="33" t="s">
        <v>86</v>
      </c>
      <c r="B68" s="21">
        <v>1</v>
      </c>
      <c r="C68" s="34">
        <v>0.5</v>
      </c>
      <c r="D68" s="35">
        <v>1</v>
      </c>
      <c r="E68" s="34">
        <v>1</v>
      </c>
      <c r="F68" s="35">
        <v>0</v>
      </c>
      <c r="G68" s="34">
        <v>0</v>
      </c>
      <c r="H68" s="34">
        <v>2.1</v>
      </c>
      <c r="I68" s="34">
        <v>13.06</v>
      </c>
      <c r="J68" s="34">
        <v>1</v>
      </c>
      <c r="K68" s="35">
        <v>2.5</v>
      </c>
      <c r="L68" s="35">
        <v>0</v>
      </c>
      <c r="M68" s="36">
        <v>0</v>
      </c>
      <c r="N68" s="34">
        <v>0</v>
      </c>
      <c r="O68" s="35">
        <v>0</v>
      </c>
      <c r="P68" s="36">
        <v>0</v>
      </c>
      <c r="Q68" s="21">
        <v>0.2</v>
      </c>
      <c r="R68" s="35">
        <v>1</v>
      </c>
      <c r="S68" s="77">
        <f t="shared" si="0"/>
        <v>23.36</v>
      </c>
    </row>
    <row r="69" spans="1:19" x14ac:dyDescent="0.2">
      <c r="A69" s="37" t="s">
        <v>87</v>
      </c>
      <c r="B69" s="38">
        <v>1</v>
      </c>
      <c r="C69" s="39">
        <v>0</v>
      </c>
      <c r="D69" s="40">
        <v>0</v>
      </c>
      <c r="E69" s="39">
        <v>0</v>
      </c>
      <c r="F69" s="40">
        <v>0</v>
      </c>
      <c r="G69" s="39">
        <v>0</v>
      </c>
      <c r="H69" s="39">
        <v>1.67</v>
      </c>
      <c r="I69" s="39">
        <v>15.081</v>
      </c>
      <c r="J69" s="39">
        <v>1.625</v>
      </c>
      <c r="K69" s="40">
        <v>0</v>
      </c>
      <c r="L69" s="40">
        <v>0</v>
      </c>
      <c r="M69" s="41">
        <v>0</v>
      </c>
      <c r="N69" s="39">
        <v>0.86</v>
      </c>
      <c r="O69" s="40">
        <v>0</v>
      </c>
      <c r="P69" s="41">
        <v>1.5029999999999999</v>
      </c>
      <c r="Q69" s="38">
        <v>0</v>
      </c>
      <c r="R69" s="40">
        <v>0</v>
      </c>
      <c r="S69" s="78">
        <f t="shared" si="0"/>
        <v>21.738999999999997</v>
      </c>
    </row>
    <row r="70" spans="1:19" x14ac:dyDescent="0.2">
      <c r="A70" s="28" t="s">
        <v>88</v>
      </c>
      <c r="B70" s="29">
        <v>2</v>
      </c>
      <c r="C70" s="30">
        <v>0</v>
      </c>
      <c r="D70" s="31">
        <v>1</v>
      </c>
      <c r="E70" s="30">
        <v>1</v>
      </c>
      <c r="F70" s="31">
        <v>0</v>
      </c>
      <c r="G70" s="30">
        <v>0</v>
      </c>
      <c r="H70" s="30">
        <v>0</v>
      </c>
      <c r="I70" s="30">
        <v>5.7380000000000004</v>
      </c>
      <c r="J70" s="30">
        <v>0.75</v>
      </c>
      <c r="K70" s="31">
        <v>0.9</v>
      </c>
      <c r="L70" s="31">
        <v>0</v>
      </c>
      <c r="M70" s="32">
        <v>0</v>
      </c>
      <c r="N70" s="30">
        <v>0</v>
      </c>
      <c r="O70" s="31">
        <v>0</v>
      </c>
      <c r="P70" s="32">
        <v>0.99099999999999999</v>
      </c>
      <c r="Q70" s="29">
        <v>0</v>
      </c>
      <c r="R70" s="31">
        <v>2.13</v>
      </c>
      <c r="S70" s="77">
        <f t="shared" ref="S70:S90" si="1">SUM(B70:R70)</f>
        <v>14.509</v>
      </c>
    </row>
    <row r="71" spans="1:19" x14ac:dyDescent="0.2">
      <c r="A71" s="33" t="s">
        <v>89</v>
      </c>
      <c r="B71" s="21">
        <v>0</v>
      </c>
      <c r="D71" s="35">
        <v>1.012</v>
      </c>
      <c r="F71" s="35">
        <v>0</v>
      </c>
      <c r="G71" s="34">
        <v>2</v>
      </c>
      <c r="H71" s="34">
        <v>13.8</v>
      </c>
      <c r="I71" s="34">
        <v>0.2</v>
      </c>
      <c r="J71" s="34">
        <v>2</v>
      </c>
      <c r="K71" s="48"/>
      <c r="L71" s="35">
        <v>0</v>
      </c>
      <c r="M71" s="49"/>
      <c r="N71" s="34">
        <v>0</v>
      </c>
      <c r="O71" s="35">
        <v>0</v>
      </c>
      <c r="P71" s="36">
        <v>0</v>
      </c>
      <c r="Q71" s="21">
        <v>0.5</v>
      </c>
      <c r="R71" s="48"/>
      <c r="S71" s="77">
        <f t="shared" si="1"/>
        <v>19.512</v>
      </c>
    </row>
    <row r="72" spans="1:19" x14ac:dyDescent="0.2">
      <c r="A72" s="33" t="s">
        <v>90</v>
      </c>
      <c r="B72" s="21">
        <v>0</v>
      </c>
      <c r="C72" s="34">
        <v>1.83</v>
      </c>
      <c r="D72" s="35">
        <v>1.93</v>
      </c>
      <c r="E72" s="34">
        <v>3.79</v>
      </c>
      <c r="F72" s="35">
        <v>0</v>
      </c>
      <c r="G72" s="34">
        <v>0.17</v>
      </c>
      <c r="H72" s="34">
        <v>3.78</v>
      </c>
      <c r="I72" s="34">
        <v>14.11</v>
      </c>
      <c r="J72" s="34">
        <v>19.346</v>
      </c>
      <c r="K72" s="35">
        <v>38.26</v>
      </c>
      <c r="L72" s="35">
        <v>1</v>
      </c>
      <c r="M72" s="36">
        <v>0</v>
      </c>
      <c r="N72" s="34">
        <v>0.39</v>
      </c>
      <c r="O72" s="35">
        <v>0</v>
      </c>
      <c r="P72" s="36">
        <v>1.93</v>
      </c>
      <c r="Q72" s="21">
        <v>3.4</v>
      </c>
      <c r="R72" s="35">
        <v>0.78</v>
      </c>
      <c r="S72" s="77">
        <f t="shared" si="1"/>
        <v>90.716000000000022</v>
      </c>
    </row>
    <row r="73" spans="1:19" x14ac:dyDescent="0.2">
      <c r="A73" s="33" t="s">
        <v>91</v>
      </c>
      <c r="B73" s="21">
        <v>0</v>
      </c>
      <c r="D73" s="35">
        <v>1</v>
      </c>
      <c r="F73" s="35">
        <v>0</v>
      </c>
      <c r="G73" s="34">
        <v>0</v>
      </c>
      <c r="H73" s="34">
        <v>0</v>
      </c>
      <c r="I73" s="34">
        <v>6.1669999999999998</v>
      </c>
      <c r="J73" s="34">
        <v>0</v>
      </c>
      <c r="K73" s="48"/>
      <c r="L73" s="35">
        <v>0</v>
      </c>
      <c r="M73" s="49"/>
      <c r="N73" s="34">
        <v>0</v>
      </c>
      <c r="O73" s="35">
        <v>0</v>
      </c>
      <c r="P73" s="36">
        <v>2</v>
      </c>
      <c r="Q73" s="21">
        <v>0</v>
      </c>
      <c r="R73" s="48"/>
      <c r="S73" s="77">
        <f t="shared" si="1"/>
        <v>9.1669999999999998</v>
      </c>
    </row>
    <row r="74" spans="1:19" x14ac:dyDescent="0.2">
      <c r="A74" s="37" t="s">
        <v>92</v>
      </c>
      <c r="B74" s="38">
        <v>1.67</v>
      </c>
      <c r="C74" s="39">
        <v>0</v>
      </c>
      <c r="D74" s="40">
        <v>3</v>
      </c>
      <c r="E74" s="39">
        <v>3</v>
      </c>
      <c r="F74" s="40">
        <v>0</v>
      </c>
      <c r="G74" s="39">
        <v>2.5</v>
      </c>
      <c r="H74" s="39">
        <v>28.3</v>
      </c>
      <c r="I74" s="39">
        <v>14.76</v>
      </c>
      <c r="J74" s="39">
        <v>2.75</v>
      </c>
      <c r="K74" s="40">
        <v>16.5</v>
      </c>
      <c r="L74" s="40">
        <v>1</v>
      </c>
      <c r="M74" s="41">
        <v>0</v>
      </c>
      <c r="N74" s="39">
        <v>0.74</v>
      </c>
      <c r="O74" s="40">
        <v>0</v>
      </c>
      <c r="P74" s="41">
        <v>1</v>
      </c>
      <c r="Q74" s="38">
        <v>3</v>
      </c>
      <c r="R74" s="40">
        <v>12.5</v>
      </c>
      <c r="S74" s="78">
        <f t="shared" si="1"/>
        <v>90.719999999999985</v>
      </c>
    </row>
    <row r="75" spans="1:19" x14ac:dyDescent="0.2">
      <c r="A75" s="28" t="s">
        <v>93</v>
      </c>
      <c r="B75" s="29">
        <v>0</v>
      </c>
      <c r="C75" s="30">
        <v>0</v>
      </c>
      <c r="D75" s="31">
        <v>1</v>
      </c>
      <c r="E75" s="30">
        <v>1.5</v>
      </c>
      <c r="F75" s="31">
        <v>0</v>
      </c>
      <c r="G75" s="30">
        <v>0</v>
      </c>
      <c r="H75" s="30">
        <v>0</v>
      </c>
      <c r="I75" s="30">
        <v>24.843</v>
      </c>
      <c r="J75" s="30">
        <v>1.744</v>
      </c>
      <c r="K75" s="31">
        <v>3</v>
      </c>
      <c r="L75" s="31">
        <v>0</v>
      </c>
      <c r="M75" s="32">
        <v>0</v>
      </c>
      <c r="N75" s="30">
        <v>2.153</v>
      </c>
      <c r="O75" s="31">
        <v>0</v>
      </c>
      <c r="P75" s="32">
        <v>2</v>
      </c>
      <c r="Q75" s="29">
        <v>0</v>
      </c>
      <c r="R75" s="31">
        <v>0.5</v>
      </c>
      <c r="S75" s="77">
        <f t="shared" si="1"/>
        <v>36.74</v>
      </c>
    </row>
    <row r="76" spans="1:19" x14ac:dyDescent="0.2">
      <c r="A76" s="33" t="s">
        <v>94</v>
      </c>
      <c r="B76" s="21">
        <v>0</v>
      </c>
      <c r="C76" s="34">
        <v>0</v>
      </c>
      <c r="D76" s="35">
        <v>3</v>
      </c>
      <c r="E76" s="34">
        <v>3.8</v>
      </c>
      <c r="F76" s="35">
        <v>0</v>
      </c>
      <c r="G76" s="34">
        <v>3</v>
      </c>
      <c r="H76" s="34">
        <v>25.35</v>
      </c>
      <c r="I76" s="34">
        <v>14.420999999999999</v>
      </c>
      <c r="J76" s="34">
        <v>2.91</v>
      </c>
      <c r="K76" s="35">
        <v>11.73</v>
      </c>
      <c r="L76" s="35">
        <v>0.5</v>
      </c>
      <c r="M76" s="36">
        <v>0.8</v>
      </c>
      <c r="N76" s="34">
        <v>1</v>
      </c>
      <c r="O76" s="35">
        <v>0</v>
      </c>
      <c r="P76" s="36">
        <v>1</v>
      </c>
      <c r="Q76" s="21">
        <v>1.26</v>
      </c>
      <c r="R76" s="35">
        <v>3.66</v>
      </c>
      <c r="S76" s="77">
        <f t="shared" si="1"/>
        <v>72.431000000000012</v>
      </c>
    </row>
    <row r="77" spans="1:19" x14ac:dyDescent="0.2">
      <c r="A77" s="33" t="s">
        <v>95</v>
      </c>
      <c r="B77" s="21">
        <v>0</v>
      </c>
      <c r="C77" s="34">
        <v>0.1</v>
      </c>
      <c r="D77" s="35">
        <v>3</v>
      </c>
      <c r="E77" s="34">
        <v>5.8</v>
      </c>
      <c r="F77" s="35">
        <v>0</v>
      </c>
      <c r="G77" s="34">
        <v>3</v>
      </c>
      <c r="H77" s="34">
        <v>27.65</v>
      </c>
      <c r="I77" s="34">
        <v>21.303000000000001</v>
      </c>
      <c r="J77" s="34">
        <v>4</v>
      </c>
      <c r="K77" s="35">
        <v>30.4</v>
      </c>
      <c r="L77" s="35">
        <v>2</v>
      </c>
      <c r="M77" s="36">
        <v>0</v>
      </c>
      <c r="N77" s="34">
        <v>2.4</v>
      </c>
      <c r="O77" s="35">
        <v>0</v>
      </c>
      <c r="P77" s="36">
        <v>1</v>
      </c>
      <c r="Q77" s="21">
        <v>2</v>
      </c>
      <c r="R77" s="35">
        <v>5</v>
      </c>
      <c r="S77" s="77">
        <f t="shared" si="1"/>
        <v>107.65299999999999</v>
      </c>
    </row>
    <row r="78" spans="1:19" x14ac:dyDescent="0.2">
      <c r="A78" s="33" t="s">
        <v>96</v>
      </c>
      <c r="B78" s="21">
        <v>1</v>
      </c>
      <c r="C78" s="34">
        <v>1</v>
      </c>
      <c r="D78" s="35">
        <v>1</v>
      </c>
      <c r="E78" s="34">
        <v>2</v>
      </c>
      <c r="F78" s="35">
        <v>0</v>
      </c>
      <c r="G78" s="34">
        <v>1</v>
      </c>
      <c r="H78" s="34">
        <v>15.59</v>
      </c>
      <c r="I78" s="34">
        <v>4.16</v>
      </c>
      <c r="J78" s="34">
        <v>1</v>
      </c>
      <c r="K78" s="35">
        <v>6.8</v>
      </c>
      <c r="L78" s="35">
        <v>0</v>
      </c>
      <c r="M78" s="36">
        <v>0</v>
      </c>
      <c r="N78" s="34">
        <v>0</v>
      </c>
      <c r="O78" s="35">
        <v>0</v>
      </c>
      <c r="P78" s="36">
        <v>0</v>
      </c>
      <c r="Q78" s="21">
        <v>0</v>
      </c>
      <c r="R78" s="35">
        <v>2.4</v>
      </c>
      <c r="S78" s="77">
        <f t="shared" si="1"/>
        <v>35.949999999999996</v>
      </c>
    </row>
    <row r="79" spans="1:19" x14ac:dyDescent="0.2">
      <c r="A79" s="37" t="s">
        <v>97</v>
      </c>
      <c r="B79" s="38">
        <v>1</v>
      </c>
      <c r="C79" s="39">
        <v>0</v>
      </c>
      <c r="D79" s="40">
        <v>2.5870000000000002</v>
      </c>
      <c r="E79" s="39">
        <v>2</v>
      </c>
      <c r="F79" s="40">
        <v>0</v>
      </c>
      <c r="G79" s="39">
        <v>0</v>
      </c>
      <c r="H79" s="39">
        <v>0</v>
      </c>
      <c r="I79" s="39">
        <v>17.149999999999999</v>
      </c>
      <c r="J79" s="39">
        <v>0.5</v>
      </c>
      <c r="K79" s="40">
        <v>2</v>
      </c>
      <c r="L79" s="40">
        <v>0.83</v>
      </c>
      <c r="M79" s="41">
        <v>0</v>
      </c>
      <c r="N79" s="39">
        <v>0.5</v>
      </c>
      <c r="O79" s="40">
        <v>0</v>
      </c>
      <c r="P79" s="41">
        <v>1</v>
      </c>
      <c r="Q79" s="38">
        <v>0</v>
      </c>
      <c r="R79" s="40">
        <v>0.25</v>
      </c>
      <c r="S79" s="78">
        <f t="shared" si="1"/>
        <v>27.816999999999997</v>
      </c>
    </row>
    <row r="80" spans="1:19" x14ac:dyDescent="0.2">
      <c r="A80" s="28" t="s">
        <v>98</v>
      </c>
      <c r="B80" s="29">
        <v>0</v>
      </c>
      <c r="C80" s="30">
        <v>0</v>
      </c>
      <c r="D80" s="31">
        <v>1</v>
      </c>
      <c r="E80" s="30">
        <v>1</v>
      </c>
      <c r="F80" s="31">
        <v>0</v>
      </c>
      <c r="G80" s="30">
        <v>0</v>
      </c>
      <c r="H80" s="30">
        <v>0</v>
      </c>
      <c r="I80" s="30">
        <v>7.3810000000000002</v>
      </c>
      <c r="J80" s="30">
        <v>1</v>
      </c>
      <c r="K80" s="31">
        <v>2</v>
      </c>
      <c r="L80" s="31">
        <v>0</v>
      </c>
      <c r="M80" s="32">
        <v>0</v>
      </c>
      <c r="N80" s="30">
        <v>0</v>
      </c>
      <c r="O80" s="31">
        <v>0</v>
      </c>
      <c r="P80" s="32">
        <v>1</v>
      </c>
      <c r="Q80" s="29">
        <v>0</v>
      </c>
      <c r="R80" s="31">
        <v>0</v>
      </c>
      <c r="S80" s="77">
        <f t="shared" si="1"/>
        <v>13.381</v>
      </c>
    </row>
    <row r="81" spans="1:19" x14ac:dyDescent="0.2">
      <c r="A81" s="33" t="s">
        <v>99</v>
      </c>
      <c r="B81" s="21">
        <v>0</v>
      </c>
      <c r="C81" s="34">
        <v>1</v>
      </c>
      <c r="D81" s="35">
        <v>1</v>
      </c>
      <c r="E81" s="34">
        <v>0</v>
      </c>
      <c r="F81" s="35">
        <v>0</v>
      </c>
      <c r="G81" s="34">
        <v>0.2</v>
      </c>
      <c r="H81" s="34">
        <v>3.3</v>
      </c>
      <c r="I81" s="34">
        <v>5.24</v>
      </c>
      <c r="J81" s="34">
        <v>1.98</v>
      </c>
      <c r="K81" s="35">
        <v>0</v>
      </c>
      <c r="L81" s="35">
        <v>0</v>
      </c>
      <c r="M81" s="36">
        <v>0</v>
      </c>
      <c r="N81" s="34">
        <v>1.25</v>
      </c>
      <c r="O81" s="35">
        <v>0</v>
      </c>
      <c r="P81" s="36">
        <v>0</v>
      </c>
      <c r="Q81" s="21">
        <v>0</v>
      </c>
      <c r="R81" s="35">
        <v>0</v>
      </c>
      <c r="S81" s="77">
        <f t="shared" si="1"/>
        <v>13.97</v>
      </c>
    </row>
    <row r="82" spans="1:19" x14ac:dyDescent="0.2">
      <c r="A82" s="33" t="s">
        <v>100</v>
      </c>
      <c r="B82" s="21">
        <v>0</v>
      </c>
      <c r="C82" s="34">
        <v>0</v>
      </c>
      <c r="D82" s="35">
        <v>1.1879999999999999</v>
      </c>
      <c r="E82" s="34">
        <v>3.5</v>
      </c>
      <c r="F82" s="35">
        <v>0</v>
      </c>
      <c r="G82" s="34">
        <v>0</v>
      </c>
      <c r="H82" s="34">
        <v>0</v>
      </c>
      <c r="I82" s="34">
        <v>10.45</v>
      </c>
      <c r="J82" s="34">
        <v>0.2</v>
      </c>
      <c r="K82" s="35">
        <v>0.5</v>
      </c>
      <c r="L82" s="35">
        <v>0</v>
      </c>
      <c r="M82" s="36">
        <v>0</v>
      </c>
      <c r="N82" s="34">
        <v>2.95</v>
      </c>
      <c r="O82" s="35">
        <v>0</v>
      </c>
      <c r="P82" s="36">
        <v>2.6920000000000002</v>
      </c>
      <c r="Q82" s="21">
        <v>0.5</v>
      </c>
      <c r="R82" s="35">
        <v>0</v>
      </c>
      <c r="S82" s="77">
        <f t="shared" si="1"/>
        <v>21.979999999999997</v>
      </c>
    </row>
    <row r="83" spans="1:19" x14ac:dyDescent="0.2">
      <c r="A83" s="33" t="s">
        <v>101</v>
      </c>
      <c r="B83" s="21">
        <v>4.4249999999999998</v>
      </c>
      <c r="C83" s="34">
        <v>0</v>
      </c>
      <c r="D83" s="35">
        <v>1.5</v>
      </c>
      <c r="E83" s="34">
        <v>3</v>
      </c>
      <c r="F83" s="35">
        <v>0</v>
      </c>
      <c r="G83" s="34">
        <v>1</v>
      </c>
      <c r="H83" s="34">
        <v>15.425000000000001</v>
      </c>
      <c r="I83" s="34">
        <v>26.268000000000001</v>
      </c>
      <c r="J83" s="34">
        <v>17.2</v>
      </c>
      <c r="K83" s="35">
        <v>12</v>
      </c>
      <c r="L83" s="35">
        <v>0</v>
      </c>
      <c r="M83" s="36">
        <v>0</v>
      </c>
      <c r="N83" s="34">
        <v>6.05</v>
      </c>
      <c r="O83" s="35">
        <v>0</v>
      </c>
      <c r="P83" s="36">
        <v>2.75</v>
      </c>
      <c r="Q83" s="21">
        <v>0</v>
      </c>
      <c r="R83" s="35">
        <v>1</v>
      </c>
      <c r="S83" s="77">
        <f t="shared" si="1"/>
        <v>90.617999999999995</v>
      </c>
    </row>
    <row r="84" spans="1:19" x14ac:dyDescent="0.2">
      <c r="A84" s="37" t="s">
        <v>102</v>
      </c>
      <c r="B84" s="38">
        <v>0</v>
      </c>
      <c r="C84" s="42"/>
      <c r="D84" s="40">
        <v>1.3</v>
      </c>
      <c r="E84" s="42"/>
      <c r="F84" s="40">
        <v>0</v>
      </c>
      <c r="G84" s="39">
        <v>3</v>
      </c>
      <c r="H84" s="39">
        <v>16.706</v>
      </c>
      <c r="I84" s="39">
        <v>0.48799999999999999</v>
      </c>
      <c r="J84" s="39">
        <v>1.5</v>
      </c>
      <c r="K84" s="43"/>
      <c r="L84" s="40">
        <v>0</v>
      </c>
      <c r="M84" s="44"/>
      <c r="N84" s="39">
        <v>0.7</v>
      </c>
      <c r="O84" s="40">
        <v>0</v>
      </c>
      <c r="P84" s="41">
        <v>0</v>
      </c>
      <c r="Q84" s="38">
        <v>0</v>
      </c>
      <c r="R84" s="43"/>
      <c r="S84" s="78">
        <f t="shared" si="1"/>
        <v>23.693999999999999</v>
      </c>
    </row>
    <row r="85" spans="1:19" x14ac:dyDescent="0.2">
      <c r="A85" s="28" t="s">
        <v>103</v>
      </c>
      <c r="B85" s="29">
        <v>0</v>
      </c>
      <c r="C85" s="30">
        <v>0.1</v>
      </c>
      <c r="D85" s="31">
        <v>2</v>
      </c>
      <c r="E85" s="30">
        <v>2.6</v>
      </c>
      <c r="F85" s="31">
        <v>0</v>
      </c>
      <c r="G85" s="30">
        <v>0.5</v>
      </c>
      <c r="H85" s="30">
        <v>11.23</v>
      </c>
      <c r="I85" s="30">
        <v>14.11</v>
      </c>
      <c r="J85" s="30">
        <v>1</v>
      </c>
      <c r="K85" s="31">
        <v>7.2</v>
      </c>
      <c r="L85" s="31">
        <v>0</v>
      </c>
      <c r="M85" s="32">
        <v>0</v>
      </c>
      <c r="N85" s="30">
        <v>0</v>
      </c>
      <c r="O85" s="31">
        <v>0</v>
      </c>
      <c r="P85" s="32">
        <v>1</v>
      </c>
      <c r="Q85" s="29">
        <v>1</v>
      </c>
      <c r="R85" s="31">
        <v>3.2</v>
      </c>
      <c r="S85" s="77">
        <f t="shared" si="1"/>
        <v>43.940000000000005</v>
      </c>
    </row>
    <row r="86" spans="1:19" x14ac:dyDescent="0.2">
      <c r="A86" s="33" t="s">
        <v>104</v>
      </c>
      <c r="B86" s="21">
        <v>1</v>
      </c>
      <c r="C86" s="34">
        <v>1</v>
      </c>
      <c r="D86" s="35">
        <v>1.3</v>
      </c>
      <c r="E86" s="34">
        <v>4.75</v>
      </c>
      <c r="F86" s="35">
        <v>0</v>
      </c>
      <c r="G86" s="34">
        <v>2</v>
      </c>
      <c r="H86" s="34">
        <v>28.196000000000002</v>
      </c>
      <c r="I86" s="34">
        <v>8.0500000000000007</v>
      </c>
      <c r="J86" s="34">
        <v>3</v>
      </c>
      <c r="K86" s="35">
        <v>19.55</v>
      </c>
      <c r="L86" s="35">
        <v>1</v>
      </c>
      <c r="M86" s="36">
        <v>0</v>
      </c>
      <c r="N86" s="34">
        <v>0</v>
      </c>
      <c r="O86" s="35">
        <v>0.63300000000000001</v>
      </c>
      <c r="P86" s="36">
        <v>0</v>
      </c>
      <c r="Q86" s="21">
        <v>1</v>
      </c>
      <c r="R86" s="35">
        <v>6.84</v>
      </c>
      <c r="S86" s="77">
        <f t="shared" si="1"/>
        <v>78.319000000000003</v>
      </c>
    </row>
    <row r="87" spans="1:19" x14ac:dyDescent="0.2">
      <c r="A87" s="33" t="s">
        <v>105</v>
      </c>
      <c r="B87" s="21">
        <v>1.2</v>
      </c>
      <c r="C87" s="34">
        <v>1</v>
      </c>
      <c r="D87" s="35">
        <v>2.08</v>
      </c>
      <c r="E87" s="34">
        <v>1.8</v>
      </c>
      <c r="F87" s="35">
        <v>0</v>
      </c>
      <c r="G87" s="34">
        <v>2</v>
      </c>
      <c r="H87" s="34">
        <v>6.0449999999999999</v>
      </c>
      <c r="I87" s="34">
        <v>17.949000000000002</v>
      </c>
      <c r="J87" s="34">
        <v>1.81</v>
      </c>
      <c r="K87" s="35">
        <v>18.100000000000001</v>
      </c>
      <c r="L87" s="35">
        <v>0</v>
      </c>
      <c r="M87" s="36">
        <v>0</v>
      </c>
      <c r="N87" s="34">
        <v>1.71</v>
      </c>
      <c r="O87" s="35">
        <v>0</v>
      </c>
      <c r="P87" s="36">
        <v>1.125</v>
      </c>
      <c r="Q87" s="21">
        <v>0.04</v>
      </c>
      <c r="R87" s="35">
        <v>1.25</v>
      </c>
      <c r="S87" s="77">
        <f t="shared" si="1"/>
        <v>56.109000000000002</v>
      </c>
    </row>
    <row r="88" spans="1:19" x14ac:dyDescent="0.2">
      <c r="A88" s="33" t="s">
        <v>106</v>
      </c>
      <c r="B88" s="21">
        <v>0</v>
      </c>
      <c r="C88" s="34">
        <v>2.42</v>
      </c>
      <c r="D88" s="35">
        <v>1</v>
      </c>
      <c r="E88" s="34">
        <v>0</v>
      </c>
      <c r="F88" s="35">
        <v>0</v>
      </c>
      <c r="G88" s="34">
        <v>1</v>
      </c>
      <c r="H88" s="34">
        <v>15.302</v>
      </c>
      <c r="I88" s="34">
        <v>0</v>
      </c>
      <c r="J88" s="34">
        <v>1.5</v>
      </c>
      <c r="K88" s="35">
        <v>9.7799999999999994</v>
      </c>
      <c r="L88" s="35">
        <v>0</v>
      </c>
      <c r="M88" s="36">
        <v>0.08</v>
      </c>
      <c r="N88" s="34">
        <v>0</v>
      </c>
      <c r="O88" s="35">
        <v>0</v>
      </c>
      <c r="P88" s="36">
        <v>0</v>
      </c>
      <c r="Q88" s="21">
        <v>0.83</v>
      </c>
      <c r="R88" s="35">
        <v>2.08</v>
      </c>
      <c r="S88" s="77">
        <f t="shared" si="1"/>
        <v>33.991999999999997</v>
      </c>
    </row>
    <row r="89" spans="1:19" x14ac:dyDescent="0.2">
      <c r="A89" s="37" t="s">
        <v>107</v>
      </c>
      <c r="B89" s="38">
        <v>0</v>
      </c>
      <c r="C89" s="39">
        <v>1</v>
      </c>
      <c r="D89" s="40">
        <v>2.5</v>
      </c>
      <c r="E89" s="39">
        <v>4</v>
      </c>
      <c r="F89" s="40">
        <v>0</v>
      </c>
      <c r="G89" s="39">
        <v>1.5629999999999999</v>
      </c>
      <c r="H89" s="39">
        <v>19.641999999999999</v>
      </c>
      <c r="I89" s="39">
        <v>9.202</v>
      </c>
      <c r="J89" s="39">
        <v>2</v>
      </c>
      <c r="K89" s="40">
        <v>5</v>
      </c>
      <c r="L89" s="40">
        <v>0.5</v>
      </c>
      <c r="M89" s="41">
        <v>0</v>
      </c>
      <c r="N89" s="39">
        <v>0</v>
      </c>
      <c r="O89" s="40">
        <v>0</v>
      </c>
      <c r="P89" s="41">
        <v>0</v>
      </c>
      <c r="Q89" s="38">
        <v>0.67</v>
      </c>
      <c r="R89" s="40">
        <v>3.83</v>
      </c>
      <c r="S89" s="78">
        <f t="shared" si="1"/>
        <v>49.906999999999996</v>
      </c>
    </row>
    <row r="90" spans="1:19" s="53" customFormat="1" x14ac:dyDescent="0.2">
      <c r="A90" s="50" t="s">
        <v>150</v>
      </c>
      <c r="B90" s="51">
        <f>SUM(B5:B89)</f>
        <v>68.712000000000003</v>
      </c>
      <c r="C90" s="51">
        <f t="shared" ref="C90:R90" si="2">SUM(C5:C89)</f>
        <v>34.970000000000006</v>
      </c>
      <c r="D90" s="52">
        <f t="shared" si="2"/>
        <v>122.047</v>
      </c>
      <c r="E90" s="51">
        <f t="shared" si="2"/>
        <v>233.03000000000003</v>
      </c>
      <c r="F90" s="52">
        <f t="shared" si="2"/>
        <v>0</v>
      </c>
      <c r="G90" s="51">
        <f t="shared" si="2"/>
        <v>114.33200000000001</v>
      </c>
      <c r="H90" s="76">
        <f t="shared" si="2"/>
        <v>1057.56</v>
      </c>
      <c r="I90" s="51">
        <f t="shared" si="2"/>
        <v>961.19399999999996</v>
      </c>
      <c r="J90" s="51">
        <f t="shared" si="2"/>
        <v>172.62399999999994</v>
      </c>
      <c r="K90" s="52">
        <f t="shared" si="2"/>
        <v>801.02999999999986</v>
      </c>
      <c r="L90" s="52">
        <f t="shared" si="2"/>
        <v>29.655999999999999</v>
      </c>
      <c r="M90" s="51">
        <f t="shared" si="2"/>
        <v>21.009999999999998</v>
      </c>
      <c r="N90" s="52">
        <f t="shared" si="2"/>
        <v>114.13900000000001</v>
      </c>
      <c r="O90" s="52">
        <f t="shared" si="2"/>
        <v>9.4490000000000016</v>
      </c>
      <c r="P90" s="51">
        <f t="shared" si="2"/>
        <v>57.500999999999991</v>
      </c>
      <c r="Q90" s="52">
        <f t="shared" si="2"/>
        <v>53.106000000000002</v>
      </c>
      <c r="R90" s="52">
        <f t="shared" si="2"/>
        <v>248.23</v>
      </c>
      <c r="S90" s="74">
        <f t="shared" si="1"/>
        <v>4098.59</v>
      </c>
    </row>
  </sheetData>
  <sheetProtection password="EB3F" sheet="1" objects="1" scenarios="1"/>
  <mergeCells count="2">
    <mergeCell ref="Q2:Q4"/>
    <mergeCell ref="D3:D4"/>
  </mergeCells>
  <printOptions horizontalCentered="1"/>
  <pageMargins left="0.25" right="0.25" top="0.75" bottom="0.75" header="0.3" footer="0.3"/>
  <pageSetup scale="61" fitToHeight="2" orientation="landscape" r:id="rId1"/>
  <headerFooter>
    <oddHeader xml:space="preserve">&amp;C&amp;"-,Bold"&amp;14Full Time Equivalent (FTEs) Staff by Position, Charter Schools and Totals
FY 2013
</oddHeader>
    <oddFooter>&amp;L&amp;8Compiler: USOE/Data &amp; Statistics
Sources: CACTUS Year End 2013 (Licensed Personnel),
Year End Web Survey 2013 (Classified Personnel)</oddFooter>
  </headerFooter>
  <rowBreaks count="1" manualBreakCount="1">
    <brk id="49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SchoolDistricts</vt:lpstr>
      <vt:lpstr>CharterSchools</vt:lpstr>
      <vt:lpstr>CharterSchools!Print_Area</vt:lpstr>
      <vt:lpstr>SchoolDistricts!Print_Area</vt:lpstr>
      <vt:lpstr>CharterSchools!Print_Titles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Morandy, Tina</cp:lastModifiedBy>
  <cp:lastPrinted>2013-12-13T16:41:56Z</cp:lastPrinted>
  <dcterms:created xsi:type="dcterms:W3CDTF">2013-11-07T17:48:09Z</dcterms:created>
  <dcterms:modified xsi:type="dcterms:W3CDTF">2013-12-20T17:27:02Z</dcterms:modified>
</cp:coreProperties>
</file>