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360" yWindow="105" windowWidth="11295" windowHeight="5790"/>
  </bookViews>
  <sheets>
    <sheet name="SmAgcy-Timesheet" sheetId="1" r:id="rId1"/>
  </sheets>
  <externalReferences>
    <externalReference r:id="rId2"/>
  </externalReferences>
  <definedNames>
    <definedName name="Cost">[1]Departments!#REF!</definedName>
    <definedName name="date">'[1]P&amp;L Chart of Accounts'!$A$3</definedName>
    <definedName name="Division">#REF!</definedName>
    <definedName name="List">#REF!</definedName>
    <definedName name="_xlnm.Print_Area" localSheetId="0">'SmAgcy-Timesheet'!$A$1:$Q$43</definedName>
    <definedName name="RegionList">#REF!</definedName>
    <definedName name="Regions">#REF!</definedName>
    <definedName name="Tasks">[1]List1!$C$2:$D$120</definedName>
  </definedNames>
  <calcPr calcId="145621"/>
</workbook>
</file>

<file path=xl/calcChain.xml><?xml version="1.0" encoding="utf-8"?>
<calcChain xmlns="http://schemas.openxmlformats.org/spreadsheetml/2006/main">
  <c r="G18" i="1" l="1"/>
  <c r="J32" i="1" l="1"/>
  <c r="Q8" i="1"/>
  <c r="Q7" i="1"/>
  <c r="G19" i="1"/>
  <c r="G20" i="1"/>
  <c r="G21" i="1"/>
  <c r="G22" i="1"/>
  <c r="G23" i="1"/>
  <c r="G24" i="1"/>
  <c r="G27" i="1"/>
  <c r="G28" i="1"/>
  <c r="G29" i="1"/>
  <c r="G30" i="1"/>
  <c r="G31" i="1"/>
  <c r="G32" i="1"/>
  <c r="G33" i="1"/>
  <c r="G34" i="1" l="1"/>
</calcChain>
</file>

<file path=xl/sharedStrings.xml><?xml version="1.0" encoding="utf-8"?>
<sst xmlns="http://schemas.openxmlformats.org/spreadsheetml/2006/main" count="90" uniqueCount="72">
  <si>
    <t>1102 Q Street, 3rd Floor</t>
  </si>
  <si>
    <t>Sacramento, CA  95814</t>
  </si>
  <si>
    <t>M.I.</t>
  </si>
  <si>
    <t>1st Wk</t>
  </si>
  <si>
    <t>IN</t>
  </si>
  <si>
    <t>OUT</t>
  </si>
  <si>
    <t>HRS</t>
  </si>
  <si>
    <t>2nd Wk</t>
  </si>
  <si>
    <t>STUDENT INSTRUCTIONS</t>
  </si>
  <si>
    <t>Sunday</t>
  </si>
  <si>
    <t>1.</t>
  </si>
  <si>
    <t>Keep your own daily record of time and assignments.</t>
  </si>
  <si>
    <t>Monday</t>
  </si>
  <si>
    <t>2.</t>
  </si>
  <si>
    <t>Tuesday</t>
  </si>
  <si>
    <t>this form.</t>
  </si>
  <si>
    <t>Wednesday</t>
  </si>
  <si>
    <t>3.</t>
  </si>
  <si>
    <t>Retain a copy of the timesheet for your records.</t>
  </si>
  <si>
    <t>Thursday</t>
  </si>
  <si>
    <t>4.</t>
  </si>
  <si>
    <t>Friday</t>
  </si>
  <si>
    <t>5.</t>
  </si>
  <si>
    <t>Reflect any meal breaks required for hours worked in</t>
  </si>
  <si>
    <t>Saturday</t>
  </si>
  <si>
    <t>6.</t>
  </si>
  <si>
    <t>7.</t>
  </si>
  <si>
    <t>Record only one pay period per timesheet.</t>
  </si>
  <si>
    <t>8.</t>
  </si>
  <si>
    <t>9.</t>
  </si>
  <si>
    <t xml:space="preserve">Any overtime,or weekend or holiday worktime must be </t>
  </si>
  <si>
    <t>10.</t>
  </si>
  <si>
    <t>Forward any address changes to FCCC in writing.</t>
  </si>
  <si>
    <t>I hereby certify that this employee's timesheet is true and correct for this time period and reflects the actual time worked.</t>
  </si>
  <si>
    <t>I understand that it is my responsibilty to notify FCCC's Student Assistant Coordinator of any changes to this sheet.</t>
  </si>
  <si>
    <t>STUDENT SIGNATURE</t>
  </si>
  <si>
    <t>DAYTIME PHONE</t>
  </si>
  <si>
    <t>DATE</t>
  </si>
  <si>
    <t>SUPERVISOR'S SIGNATURE</t>
  </si>
  <si>
    <t>WORK PHONE</t>
  </si>
  <si>
    <t>STUDENT EMPLOYEE TIMESHEET</t>
  </si>
  <si>
    <t>Approval By Student Employee Coordinator</t>
  </si>
  <si>
    <t xml:space="preserve">Check with your supervisor for instructions in preparing </t>
  </si>
  <si>
    <t>Supervisor must initial  ALL changes.</t>
  </si>
  <si>
    <t>STUDENT ASSISTANT EMPLOYEE NUMBER</t>
  </si>
  <si>
    <t>Pay Period</t>
  </si>
  <si>
    <t>Total Hours</t>
  </si>
  <si>
    <t>Regular Hours</t>
  </si>
  <si>
    <t>Overtime Hours</t>
  </si>
  <si>
    <t>DoubleTime Hrs</t>
  </si>
  <si>
    <t>LAST NAME</t>
  </si>
  <si>
    <t>FIRST NAME</t>
  </si>
  <si>
    <t>Complete all timesheets using Excel.</t>
  </si>
  <si>
    <t>HH is equal to Hour.  MM is equal to Minutes</t>
  </si>
  <si>
    <t>A is A.M.  P is P.M.</t>
  </si>
  <si>
    <t>11.</t>
  </si>
  <si>
    <t>Time enteries are recorded by typing  HH:MM (A or P)</t>
  </si>
  <si>
    <t>Time Entry Sample</t>
  </si>
  <si>
    <t>(Must Be Completed using Excel)</t>
  </si>
  <si>
    <t>Beginning</t>
  </si>
  <si>
    <t>Ending</t>
  </si>
  <si>
    <t>approved by your Supervisor in writing.</t>
  </si>
  <si>
    <t>Foundation for California Community Colleges</t>
  </si>
  <si>
    <t>Student Assistant Program</t>
  </si>
  <si>
    <t>excess of six (6) hours in one day.</t>
  </si>
  <si>
    <t>Last Revision</t>
  </si>
  <si>
    <t>Round hrs to the nearest quarter-hour(I.e. .15, .30, .45).</t>
  </si>
  <si>
    <t>Region:</t>
  </si>
  <si>
    <t>Select Your Region</t>
  </si>
  <si>
    <t/>
  </si>
  <si>
    <t>Task/PCA Code:</t>
  </si>
  <si>
    <t>Select Your Task/PCA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</si>
</sst>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[$-409]h:mm\ AM/PM;@"/>
    <numFmt numFmtId="165" formatCode="mm/dd/yy;@"/>
    <numFmt numFmtId="166" formatCode="[&lt;=9999999]###\-####;\(###\)\ ###\-####"/>
    <numFmt numFmtId="167" formatCode="m/d/yy;@"/>
  </numFmts>
  <fonts count="10" x14ac:knownFonts="1">
    <font>
      <sz val="10"/>
      <name val="Arial"/>
    </font>
    <font>
      <sz val="10"/>
      <name val="Arial"/>
    </font>
    <font>
      <sz val="14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9"/>
      <name val="Arial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0" fillId="0" borderId="0" xfId="0" applyAlignment="1">
      <alignment horizontal="left"/>
    </xf>
    <xf numFmtId="0" fontId="0" fillId="0" borderId="1" xfId="0" applyBorder="1"/>
    <xf numFmtId="0" fontId="0" fillId="0" borderId="0" xfId="0" applyBorder="1"/>
    <xf numFmtId="0" fontId="4" fillId="0" borderId="0" xfId="0" applyFont="1" applyBorder="1"/>
    <xf numFmtId="0" fontId="5" fillId="0" borderId="0" xfId="0" applyFont="1"/>
    <xf numFmtId="0" fontId="0" fillId="0" borderId="0" xfId="0" applyFill="1" applyBorder="1"/>
    <xf numFmtId="0" fontId="6" fillId="0" borderId="0" xfId="0" applyFont="1" applyFill="1" applyBorder="1" applyAlignment="1">
      <alignment horizontal="center"/>
    </xf>
    <xf numFmtId="43" fontId="0" fillId="0" borderId="0" xfId="0" applyNumberFormat="1" applyBorder="1"/>
    <xf numFmtId="0" fontId="0" fillId="0" borderId="2" xfId="0" applyBorder="1"/>
    <xf numFmtId="0" fontId="0" fillId="0" borderId="3" xfId="0" applyBorder="1"/>
    <xf numFmtId="0" fontId="5" fillId="0" borderId="0" xfId="0" applyFont="1" applyBorder="1"/>
    <xf numFmtId="0" fontId="0" fillId="0" borderId="4" xfId="0" applyBorder="1"/>
    <xf numFmtId="0" fontId="0" fillId="0" borderId="5" xfId="0" applyBorder="1"/>
    <xf numFmtId="0" fontId="6" fillId="0" borderId="4" xfId="0" applyFont="1" applyBorder="1"/>
    <xf numFmtId="0" fontId="7" fillId="0" borderId="0" xfId="0" applyFont="1" applyBorder="1"/>
    <xf numFmtId="0" fontId="1" fillId="0" borderId="0" xfId="0" applyFont="1" applyBorder="1"/>
    <xf numFmtId="0" fontId="1" fillId="0" borderId="0" xfId="0" applyFont="1" applyBorder="1" applyAlignment="1"/>
    <xf numFmtId="0" fontId="1" fillId="0" borderId="0" xfId="0" applyFont="1"/>
    <xf numFmtId="0" fontId="3" fillId="0" borderId="6" xfId="0" applyFont="1" applyBorder="1"/>
    <xf numFmtId="0" fontId="0" fillId="0" borderId="7" xfId="0" applyBorder="1"/>
    <xf numFmtId="0" fontId="5" fillId="0" borderId="6" xfId="0" applyFont="1" applyBorder="1"/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7" fillId="0" borderId="11" xfId="0" applyFont="1" applyBorder="1"/>
    <xf numFmtId="0" fontId="7" fillId="0" borderId="12" xfId="0" applyFont="1" applyBorder="1"/>
    <xf numFmtId="0" fontId="5" fillId="0" borderId="8" xfId="0" applyFont="1" applyBorder="1" applyAlignment="1">
      <alignment horizontal="center"/>
    </xf>
    <xf numFmtId="0" fontId="5" fillId="0" borderId="13" xfId="0" applyFont="1" applyBorder="1" applyAlignment="1">
      <alignment horizontal="right"/>
    </xf>
    <xf numFmtId="2" fontId="5" fillId="0" borderId="14" xfId="0" applyNumberFormat="1" applyFont="1" applyBorder="1" applyAlignment="1"/>
    <xf numFmtId="0" fontId="4" fillId="0" borderId="15" xfId="0" applyFont="1" applyBorder="1"/>
    <xf numFmtId="0" fontId="6" fillId="0" borderId="15" xfId="0" applyFont="1" applyBorder="1"/>
    <xf numFmtId="0" fontId="0" fillId="0" borderId="6" xfId="0" applyBorder="1"/>
    <xf numFmtId="0" fontId="0" fillId="0" borderId="15" xfId="0" applyBorder="1"/>
    <xf numFmtId="0" fontId="4" fillId="0" borderId="4" xfId="0" applyFont="1" applyBorder="1"/>
    <xf numFmtId="0" fontId="4" fillId="0" borderId="2" xfId="0" applyFont="1" applyBorder="1" applyAlignment="1"/>
    <xf numFmtId="0" fontId="4" fillId="0" borderId="1" xfId="0" applyFont="1" applyBorder="1"/>
    <xf numFmtId="49" fontId="0" fillId="0" borderId="6" xfId="0" applyNumberFormat="1" applyBorder="1" applyAlignment="1">
      <alignment horizontal="right"/>
    </xf>
    <xf numFmtId="49" fontId="0" fillId="0" borderId="4" xfId="0" applyNumberFormat="1" applyBorder="1" applyAlignment="1">
      <alignment horizontal="right"/>
    </xf>
    <xf numFmtId="49" fontId="0" fillId="0" borderId="2" xfId="0" applyNumberFormat="1" applyBorder="1" applyAlignment="1">
      <alignment horizontal="right"/>
    </xf>
    <xf numFmtId="0" fontId="0" fillId="0" borderId="0" xfId="0" applyAlignment="1"/>
    <xf numFmtId="0" fontId="5" fillId="0" borderId="0" xfId="0" applyFont="1" applyAlignment="1">
      <alignment horizontal="right"/>
    </xf>
    <xf numFmtId="0" fontId="4" fillId="0" borderId="6" xfId="0" applyFont="1" applyBorder="1"/>
    <xf numFmtId="2" fontId="5" fillId="0" borderId="16" xfId="0" applyNumberFormat="1" applyFont="1" applyBorder="1"/>
    <xf numFmtId="2" fontId="5" fillId="0" borderId="17" xfId="0" applyNumberFormat="1" applyFont="1" applyBorder="1"/>
    <xf numFmtId="0" fontId="8" fillId="2" borderId="18" xfId="0" applyFont="1" applyFill="1" applyBorder="1"/>
    <xf numFmtId="0" fontId="0" fillId="2" borderId="19" xfId="0" applyFill="1" applyBorder="1"/>
    <xf numFmtId="164" fontId="7" fillId="2" borderId="20" xfId="0" applyNumberFormat="1" applyFont="1" applyFill="1" applyBorder="1" applyProtection="1">
      <protection locked="0"/>
    </xf>
    <xf numFmtId="0" fontId="5" fillId="0" borderId="21" xfId="0" applyFont="1" applyBorder="1" applyAlignment="1" applyProtection="1">
      <alignment horizontal="center"/>
      <protection locked="0"/>
    </xf>
    <xf numFmtId="0" fontId="5" fillId="0" borderId="21" xfId="0" applyFont="1" applyBorder="1" applyAlignment="1">
      <alignment horizontal="center"/>
    </xf>
    <xf numFmtId="165" fontId="5" fillId="0" borderId="21" xfId="0" applyNumberFormat="1" applyFont="1" applyBorder="1" applyAlignment="1" applyProtection="1">
      <alignment horizontal="center"/>
    </xf>
    <xf numFmtId="0" fontId="5" fillId="0" borderId="0" xfId="0" applyFont="1" applyBorder="1" applyAlignment="1"/>
    <xf numFmtId="0" fontId="9" fillId="0" borderId="0" xfId="0" applyFont="1"/>
    <xf numFmtId="0" fontId="5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164" fontId="7" fillId="3" borderId="20" xfId="0" applyNumberFormat="1" applyFont="1" applyFill="1" applyBorder="1" applyProtection="1">
      <protection locked="0"/>
    </xf>
    <xf numFmtId="0" fontId="5" fillId="3" borderId="0" xfId="0" applyFont="1" applyFill="1" applyBorder="1" applyAlignment="1" applyProtection="1">
      <alignment horizontal="left"/>
      <protection locked="0"/>
    </xf>
    <xf numFmtId="164" fontId="7" fillId="3" borderId="22" xfId="0" applyNumberFormat="1" applyFont="1" applyFill="1" applyBorder="1" applyProtection="1">
      <protection locked="0"/>
    </xf>
    <xf numFmtId="0" fontId="4" fillId="0" borderId="0" xfId="0" applyFont="1" applyAlignment="1">
      <alignment horizontal="right"/>
    </xf>
    <xf numFmtId="14" fontId="4" fillId="0" borderId="0" xfId="0" applyNumberFormat="1" applyFont="1"/>
    <xf numFmtId="2" fontId="5" fillId="0" borderId="23" xfId="0" applyNumberFormat="1" applyFont="1" applyBorder="1" applyAlignment="1" applyProtection="1">
      <protection locked="0"/>
    </xf>
    <xf numFmtId="2" fontId="5" fillId="0" borderId="24" xfId="0" applyNumberFormat="1" applyFont="1" applyBorder="1" applyAlignment="1" applyProtection="1">
      <protection locked="0"/>
    </xf>
    <xf numFmtId="0" fontId="8" fillId="2" borderId="28" xfId="0" applyFont="1" applyFill="1" applyBorder="1"/>
    <xf numFmtId="0" fontId="4" fillId="0" borderId="1" xfId="0" applyFont="1" applyBorder="1" applyAlignment="1"/>
    <xf numFmtId="164" fontId="7" fillId="3" borderId="20" xfId="0" applyNumberFormat="1" applyFont="1" applyFill="1" applyBorder="1" applyAlignment="1" applyProtection="1">
      <alignment horizontal="right"/>
      <protection locked="0"/>
    </xf>
    <xf numFmtId="167" fontId="7" fillId="0" borderId="19" xfId="0" applyNumberFormat="1" applyFont="1" applyBorder="1"/>
    <xf numFmtId="167" fontId="7" fillId="0" borderId="30" xfId="0" applyNumberFormat="1" applyFont="1" applyBorder="1"/>
    <xf numFmtId="167" fontId="7" fillId="0" borderId="0" xfId="0" applyNumberFormat="1" applyFont="1" applyBorder="1"/>
    <xf numFmtId="167" fontId="5" fillId="0" borderId="29" xfId="0" applyNumberFormat="1" applyFont="1" applyBorder="1" applyAlignment="1">
      <alignment horizontal="center"/>
    </xf>
    <xf numFmtId="165" fontId="5" fillId="0" borderId="21" xfId="0" applyNumberFormat="1" applyFont="1" applyFill="1" applyBorder="1" applyAlignment="1" applyProtection="1">
      <alignment horizontal="center"/>
      <protection locked="0"/>
    </xf>
    <xf numFmtId="0" fontId="5" fillId="0" borderId="29" xfId="0" applyFont="1" applyBorder="1" applyAlignment="1">
      <alignment horizontal="center"/>
    </xf>
    <xf numFmtId="0" fontId="0" fillId="0" borderId="0" xfId="0" applyBorder="1"/>
    <xf numFmtId="0" fontId="5" fillId="0" borderId="0" xfId="0" applyFont="1" applyBorder="1"/>
    <xf numFmtId="0" fontId="5" fillId="0" borderId="25" xfId="0" applyFont="1" applyBorder="1"/>
    <xf numFmtId="0" fontId="5" fillId="0" borderId="21" xfId="0" applyFont="1" applyBorder="1" applyAlignment="1">
      <alignment horizontal="center"/>
    </xf>
    <xf numFmtId="0" fontId="5" fillId="0" borderId="0" xfId="0" applyFont="1" applyBorder="1" applyAlignment="1">
      <alignment horizontal="right"/>
    </xf>
    <xf numFmtId="0" fontId="7" fillId="0" borderId="26" xfId="0" applyFont="1" applyBorder="1" applyAlignment="1">
      <alignment horizontal="right"/>
    </xf>
    <xf numFmtId="0" fontId="7" fillId="0" borderId="27" xfId="0" applyFont="1" applyFill="1" applyBorder="1" applyAlignment="1" applyProtection="1">
      <protection locked="0"/>
    </xf>
    <xf numFmtId="0" fontId="5" fillId="0" borderId="6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0" fillId="0" borderId="2" xfId="0" applyBorder="1" applyAlignment="1" applyProtection="1">
      <alignment horizontal="left"/>
      <protection locked="0"/>
    </xf>
    <xf numFmtId="0" fontId="0" fillId="0" borderId="1" xfId="0" applyBorder="1" applyAlignment="1" applyProtection="1">
      <alignment horizontal="left"/>
      <protection locked="0"/>
    </xf>
    <xf numFmtId="166" fontId="0" fillId="0" borderId="1" xfId="0" applyNumberFormat="1" applyBorder="1" applyAlignment="1" applyProtection="1">
      <alignment horizontal="left"/>
      <protection locked="0"/>
    </xf>
    <xf numFmtId="165" fontId="0" fillId="0" borderId="1" xfId="0" applyNumberFormat="1" applyBorder="1" applyAlignment="1" applyProtection="1">
      <alignment horizontal="center"/>
      <protection locked="0"/>
    </xf>
    <xf numFmtId="165" fontId="0" fillId="0" borderId="3" xfId="0" applyNumberFormat="1" applyBorder="1" applyAlignment="1" applyProtection="1">
      <alignment horizontal="center"/>
      <protection locked="0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/>
    </xf>
    <xf numFmtId="2" fontId="5" fillId="0" borderId="23" xfId="0" applyNumberFormat="1" applyFont="1" applyBorder="1" applyAlignment="1"/>
    <xf numFmtId="2" fontId="5" fillId="0" borderId="24" xfId="0" applyNumberFormat="1" applyFont="1" applyBorder="1" applyAlignment="1"/>
    <xf numFmtId="0" fontId="5" fillId="0" borderId="25" xfId="0" applyFont="1" applyBorder="1" applyAlignment="1">
      <alignment horizontal="left"/>
    </xf>
    <xf numFmtId="0" fontId="5" fillId="0" borderId="27" xfId="0" applyFont="1" applyBorder="1" applyAlignment="1">
      <alignment horizontal="left"/>
    </xf>
    <xf numFmtId="0" fontId="5" fillId="2" borderId="25" xfId="0" applyFont="1" applyFill="1" applyBorder="1" applyAlignment="1" applyProtection="1">
      <alignment horizont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25" xfId="0" applyFont="1" applyBorder="1" applyAlignment="1">
      <alignment horizontal="center"/>
    </xf>
    <xf numFmtId="0" fontId="5" fillId="0" borderId="26" xfId="0" applyFont="1" applyBorder="1" applyAlignment="1">
      <alignment horizontal="center"/>
    </xf>
    <xf numFmtId="0" fontId="5" fillId="0" borderId="27" xfId="0" applyFont="1" applyBorder="1" applyAlignment="1">
      <alignment horizontal="center"/>
    </xf>
    <xf numFmtId="0" fontId="5" fillId="3" borderId="0" xfId="0" applyFont="1" applyFill="1" applyBorder="1" applyAlignment="1" applyProtection="1">
      <alignment horizontal="left"/>
      <protection locked="0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9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28575</xdr:rowOff>
    </xdr:from>
    <xdr:to>
      <xdr:col>1</xdr:col>
      <xdr:colOff>457200</xdr:colOff>
      <xdr:row>5</xdr:row>
      <xdr:rowOff>142875</xdr:rowOff>
    </xdr:to>
    <xdr:pic>
      <xdr:nvPicPr>
        <xdr:cNvPr id="1052" name="Picture 8" descr="FCCC Logo Small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8575"/>
          <a:ext cx="1114425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rop%20Box\Chart%20of%20Accounts\Chart%20of%20Accounts%202007.06.1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 Chart of Accounts"/>
      <sheetName val="P&amp;L Chart of Accounts"/>
      <sheetName val="Program Wages Chart of Accounts"/>
      <sheetName val="Departments"/>
      <sheetName val="Student Assistant Dept"/>
      <sheetName val="NRC List"/>
      <sheetName val="Function"/>
      <sheetName val="Intercompany Accounts"/>
      <sheetName val="List1"/>
    </sheetNames>
    <sheetDataSet>
      <sheetData sheetId="0" refreshError="1"/>
      <sheetData sheetId="1">
        <row r="3">
          <cell r="A3">
            <v>39245</v>
          </cell>
        </row>
      </sheetData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>
        <row r="2">
          <cell r="C2" t="str">
            <v>110 180-71</v>
          </cell>
          <cell r="D2" t="str">
            <v>180-71</v>
          </cell>
        </row>
        <row r="3">
          <cell r="C3" t="str">
            <v>110 278-42</v>
          </cell>
          <cell r="D3" t="str">
            <v>278-42</v>
          </cell>
        </row>
        <row r="4">
          <cell r="C4" t="str">
            <v>120 102-01</v>
          </cell>
          <cell r="D4" t="str">
            <v>102-01</v>
          </cell>
        </row>
        <row r="5">
          <cell r="C5" t="str">
            <v>120 105-20</v>
          </cell>
          <cell r="D5" t="str">
            <v>105-20</v>
          </cell>
        </row>
        <row r="6">
          <cell r="C6" t="str">
            <v>120 111-01</v>
          </cell>
          <cell r="D6" t="str">
            <v>111-01</v>
          </cell>
        </row>
        <row r="7">
          <cell r="C7" t="str">
            <v>120 126-01</v>
          </cell>
          <cell r="D7" t="str">
            <v>126-01</v>
          </cell>
        </row>
        <row r="8">
          <cell r="C8" t="str">
            <v>120 131-79</v>
          </cell>
          <cell r="D8" t="str">
            <v>131-79</v>
          </cell>
        </row>
        <row r="9">
          <cell r="C9" t="str">
            <v>120 165-02</v>
          </cell>
          <cell r="D9" t="str">
            <v>165-02</v>
          </cell>
        </row>
        <row r="10">
          <cell r="C10" t="str">
            <v>120 324-48</v>
          </cell>
          <cell r="D10" t="str">
            <v>324-48</v>
          </cell>
        </row>
        <row r="11">
          <cell r="C11" t="str">
            <v>130 102-01</v>
          </cell>
          <cell r="D11" t="str">
            <v>102-01</v>
          </cell>
        </row>
        <row r="12">
          <cell r="C12" t="str">
            <v>130 126-91</v>
          </cell>
          <cell r="D12" t="str">
            <v>126-91</v>
          </cell>
        </row>
        <row r="13">
          <cell r="C13" t="str">
            <v>130 131-01</v>
          </cell>
          <cell r="D13" t="str">
            <v>131-01</v>
          </cell>
        </row>
        <row r="14">
          <cell r="C14" t="str">
            <v>130 133-11</v>
          </cell>
          <cell r="D14" t="str">
            <v>133-11</v>
          </cell>
        </row>
        <row r="15">
          <cell r="C15" t="str">
            <v>130 169-06</v>
          </cell>
          <cell r="D15" t="str">
            <v>169-06</v>
          </cell>
        </row>
        <row r="16">
          <cell r="C16" t="str">
            <v>130 278-23</v>
          </cell>
          <cell r="D16" t="str">
            <v>278-23</v>
          </cell>
        </row>
        <row r="17">
          <cell r="C17" t="str">
            <v>130 324-51</v>
          </cell>
          <cell r="D17" t="str">
            <v>324-51</v>
          </cell>
        </row>
        <row r="18">
          <cell r="C18" t="str">
            <v>140 102-01</v>
          </cell>
          <cell r="D18" t="str">
            <v>102-01</v>
          </cell>
        </row>
        <row r="19">
          <cell r="C19" t="str">
            <v>140 105-01</v>
          </cell>
          <cell r="D19" t="str">
            <v>105-01</v>
          </cell>
        </row>
        <row r="20">
          <cell r="C20" t="str">
            <v>140 126-01</v>
          </cell>
          <cell r="D20" t="str">
            <v>126-01</v>
          </cell>
        </row>
        <row r="21">
          <cell r="C21" t="str">
            <v>140 131-01</v>
          </cell>
          <cell r="D21" t="str">
            <v>131-01</v>
          </cell>
        </row>
        <row r="22">
          <cell r="C22" t="str">
            <v>140 139-01</v>
          </cell>
          <cell r="D22" t="str">
            <v>139-01</v>
          </cell>
        </row>
        <row r="23">
          <cell r="C23" t="str">
            <v>140 141-01</v>
          </cell>
          <cell r="D23" t="str">
            <v>141-01</v>
          </cell>
        </row>
        <row r="24">
          <cell r="C24" t="str">
            <v>140 165-04</v>
          </cell>
          <cell r="D24" t="str">
            <v>165-04</v>
          </cell>
        </row>
        <row r="25">
          <cell r="C25" t="str">
            <v>140 169-01</v>
          </cell>
          <cell r="D25" t="str">
            <v>169-01</v>
          </cell>
        </row>
        <row r="26">
          <cell r="C26" t="str">
            <v>140 204-97</v>
          </cell>
          <cell r="D26" t="str">
            <v>204-97</v>
          </cell>
        </row>
        <row r="27">
          <cell r="C27" t="str">
            <v>140 324-51</v>
          </cell>
          <cell r="D27" t="str">
            <v>324-51</v>
          </cell>
        </row>
        <row r="28">
          <cell r="C28" t="str">
            <v>140 444-02</v>
          </cell>
          <cell r="D28" t="str">
            <v>444-02</v>
          </cell>
        </row>
        <row r="29">
          <cell r="C29" t="str">
            <v>140 591-01</v>
          </cell>
          <cell r="D29" t="str">
            <v>591-01</v>
          </cell>
        </row>
        <row r="30">
          <cell r="C30" t="str">
            <v>140 774-01</v>
          </cell>
          <cell r="D30" t="str">
            <v>774-01</v>
          </cell>
        </row>
        <row r="31">
          <cell r="C31" t="str">
            <v>150 102-01</v>
          </cell>
          <cell r="D31" t="str">
            <v>102-01</v>
          </cell>
        </row>
        <row r="32">
          <cell r="C32" t="str">
            <v>150 105-01</v>
          </cell>
          <cell r="D32" t="str">
            <v>105-01</v>
          </cell>
        </row>
        <row r="33">
          <cell r="C33" t="str">
            <v>150 126-01</v>
          </cell>
          <cell r="D33" t="str">
            <v>126-01</v>
          </cell>
        </row>
        <row r="34">
          <cell r="C34" t="str">
            <v>150 126-91</v>
          </cell>
          <cell r="D34" t="str">
            <v>126-91</v>
          </cell>
        </row>
        <row r="35">
          <cell r="C35" t="str">
            <v>150 131-01</v>
          </cell>
          <cell r="D35" t="str">
            <v>131-01</v>
          </cell>
        </row>
        <row r="36">
          <cell r="C36" t="str">
            <v>150 156-01</v>
          </cell>
          <cell r="D36" t="str">
            <v>156-01</v>
          </cell>
        </row>
        <row r="37">
          <cell r="C37" t="str">
            <v>150 165-01</v>
          </cell>
          <cell r="D37" t="str">
            <v>165-01</v>
          </cell>
        </row>
        <row r="38">
          <cell r="C38" t="str">
            <v>150 205-97</v>
          </cell>
          <cell r="D38" t="str">
            <v>205-97</v>
          </cell>
        </row>
        <row r="39">
          <cell r="C39" t="str">
            <v>150 278-57</v>
          </cell>
          <cell r="D39" t="str">
            <v>278-57</v>
          </cell>
        </row>
        <row r="40">
          <cell r="C40" t="str">
            <v>150 324-51</v>
          </cell>
          <cell r="D40" t="str">
            <v>324-51</v>
          </cell>
        </row>
        <row r="41">
          <cell r="C41" t="str">
            <v>160 102-01</v>
          </cell>
          <cell r="D41" t="str">
            <v>102-01</v>
          </cell>
        </row>
        <row r="42">
          <cell r="C42" t="str">
            <v>160 126-01</v>
          </cell>
          <cell r="D42" t="str">
            <v>126-01</v>
          </cell>
        </row>
        <row r="43">
          <cell r="C43" t="str">
            <v>160 131-01</v>
          </cell>
          <cell r="D43" t="str">
            <v>131-01</v>
          </cell>
        </row>
        <row r="44">
          <cell r="C44" t="str">
            <v>160 139-01</v>
          </cell>
          <cell r="D44" t="str">
            <v>139-01</v>
          </cell>
        </row>
        <row r="45">
          <cell r="C45" t="str">
            <v>160 165-06</v>
          </cell>
          <cell r="D45" t="str">
            <v>165-06</v>
          </cell>
        </row>
        <row r="46">
          <cell r="C46" t="str">
            <v>160 169-06</v>
          </cell>
          <cell r="D46" t="str">
            <v>169-06</v>
          </cell>
        </row>
        <row r="47">
          <cell r="C47" t="str">
            <v>170 126-01</v>
          </cell>
          <cell r="D47" t="str">
            <v>126-01</v>
          </cell>
        </row>
        <row r="48">
          <cell r="C48" t="str">
            <v>180 105-01</v>
          </cell>
          <cell r="D48" t="str">
            <v>105-01</v>
          </cell>
        </row>
        <row r="49">
          <cell r="C49" t="str">
            <v>180 126-01</v>
          </cell>
          <cell r="D49" t="str">
            <v>126-01</v>
          </cell>
        </row>
        <row r="50">
          <cell r="C50" t="str">
            <v>180 165-08</v>
          </cell>
          <cell r="D50" t="str">
            <v>165-08</v>
          </cell>
        </row>
        <row r="51">
          <cell r="C51" t="str">
            <v>180 169-06</v>
          </cell>
          <cell r="D51" t="str">
            <v>169-06</v>
          </cell>
        </row>
        <row r="52">
          <cell r="C52" t="str">
            <v>190 102-01</v>
          </cell>
          <cell r="D52" t="str">
            <v>102-01</v>
          </cell>
        </row>
        <row r="53">
          <cell r="C53" t="str">
            <v>190 126-01</v>
          </cell>
          <cell r="D53" t="str">
            <v>126-01</v>
          </cell>
        </row>
        <row r="54">
          <cell r="C54" t="str">
            <v>190 165-09</v>
          </cell>
          <cell r="D54" t="str">
            <v>165-09</v>
          </cell>
        </row>
        <row r="55">
          <cell r="C55" t="str">
            <v>190 278-92</v>
          </cell>
          <cell r="D55" t="str">
            <v>278-92</v>
          </cell>
        </row>
        <row r="56">
          <cell r="C56" t="str">
            <v>210 901-01</v>
          </cell>
          <cell r="D56" t="str">
            <v>901-01</v>
          </cell>
        </row>
        <row r="57">
          <cell r="C57" t="str">
            <v>215 944-01</v>
          </cell>
          <cell r="D57" t="str">
            <v>944-01</v>
          </cell>
        </row>
        <row r="58">
          <cell r="C58" t="str">
            <v>220 921-04</v>
          </cell>
          <cell r="D58" t="str">
            <v>921-04</v>
          </cell>
        </row>
        <row r="59">
          <cell r="C59" t="str">
            <v>240 902-01</v>
          </cell>
          <cell r="D59" t="str">
            <v>902-01</v>
          </cell>
        </row>
        <row r="60">
          <cell r="C60" t="str">
            <v>250 105-01</v>
          </cell>
          <cell r="D60" t="str">
            <v>105-01</v>
          </cell>
        </row>
        <row r="61">
          <cell r="C61" t="str">
            <v>250 105-02</v>
          </cell>
          <cell r="D61" t="str">
            <v>105-02</v>
          </cell>
        </row>
        <row r="62">
          <cell r="C62" t="str">
            <v>250 105-02</v>
          </cell>
          <cell r="D62" t="str">
            <v>105-02</v>
          </cell>
        </row>
        <row r="63">
          <cell r="C63" t="str">
            <v>250 105-02</v>
          </cell>
          <cell r="D63" t="str">
            <v>105-02</v>
          </cell>
        </row>
        <row r="64">
          <cell r="C64" t="str">
            <v>250 105-02</v>
          </cell>
          <cell r="D64" t="str">
            <v>105-02</v>
          </cell>
        </row>
        <row r="65">
          <cell r="C65" t="str">
            <v>250 105-02</v>
          </cell>
          <cell r="D65" t="str">
            <v>105-02</v>
          </cell>
        </row>
        <row r="66">
          <cell r="C66" t="str">
            <v>250 105-02</v>
          </cell>
          <cell r="D66" t="str">
            <v>105-02</v>
          </cell>
        </row>
        <row r="67">
          <cell r="C67" t="str">
            <v>250 105-02</v>
          </cell>
          <cell r="D67" t="str">
            <v>105-02</v>
          </cell>
        </row>
        <row r="68">
          <cell r="C68" t="str">
            <v>250 105-02</v>
          </cell>
          <cell r="D68" t="str">
            <v>105-02</v>
          </cell>
        </row>
        <row r="69">
          <cell r="C69" t="str">
            <v>250 105-02</v>
          </cell>
          <cell r="D69" t="str">
            <v>105-02</v>
          </cell>
        </row>
        <row r="70">
          <cell r="C70" t="str">
            <v>250 107-01</v>
          </cell>
          <cell r="D70" t="str">
            <v>107-01</v>
          </cell>
        </row>
        <row r="71">
          <cell r="C71" t="str">
            <v>250 107-01</v>
          </cell>
          <cell r="D71" t="str">
            <v>107-01</v>
          </cell>
        </row>
        <row r="72">
          <cell r="C72" t="str">
            <v>250 107-01</v>
          </cell>
          <cell r="D72" t="str">
            <v>107-01</v>
          </cell>
        </row>
        <row r="73">
          <cell r="C73" t="str">
            <v>250 107-01</v>
          </cell>
          <cell r="D73" t="str">
            <v>107-01</v>
          </cell>
        </row>
        <row r="74">
          <cell r="C74" t="str">
            <v>250 107-01</v>
          </cell>
          <cell r="D74" t="str">
            <v>107-01</v>
          </cell>
        </row>
        <row r="75">
          <cell r="C75" t="str">
            <v>250 107-01</v>
          </cell>
          <cell r="D75" t="str">
            <v>107-01</v>
          </cell>
        </row>
        <row r="76">
          <cell r="C76" t="str">
            <v>250 107-01</v>
          </cell>
          <cell r="D76" t="str">
            <v>107-01</v>
          </cell>
        </row>
        <row r="77">
          <cell r="C77" t="str">
            <v>250 107-01</v>
          </cell>
          <cell r="D77" t="str">
            <v>107-01</v>
          </cell>
        </row>
        <row r="78">
          <cell r="C78" t="str">
            <v>250 107-01</v>
          </cell>
          <cell r="D78" t="str">
            <v>107-01</v>
          </cell>
        </row>
        <row r="79">
          <cell r="C79" t="str">
            <v>250 131-79</v>
          </cell>
          <cell r="D79" t="str">
            <v>131-79</v>
          </cell>
        </row>
        <row r="80">
          <cell r="C80" t="str">
            <v>250 151-01</v>
          </cell>
          <cell r="D80" t="str">
            <v>151-01</v>
          </cell>
        </row>
        <row r="81">
          <cell r="C81" t="str">
            <v>250 156-01</v>
          </cell>
          <cell r="D81" t="str">
            <v>156-01</v>
          </cell>
        </row>
        <row r="82">
          <cell r="C82" t="str">
            <v>250 156-01</v>
          </cell>
          <cell r="D82" t="str">
            <v>156-01</v>
          </cell>
        </row>
        <row r="83">
          <cell r="C83" t="str">
            <v>250 165-10</v>
          </cell>
          <cell r="D83" t="str">
            <v>165-10</v>
          </cell>
        </row>
        <row r="84">
          <cell r="C84" t="str">
            <v>250 169-06</v>
          </cell>
          <cell r="D84" t="str">
            <v>169-06</v>
          </cell>
        </row>
        <row r="85">
          <cell r="C85" t="str">
            <v>250 254-01</v>
          </cell>
          <cell r="D85" t="str">
            <v>254-01</v>
          </cell>
        </row>
        <row r="86">
          <cell r="C86" t="str">
            <v>250 254-01</v>
          </cell>
          <cell r="D86" t="str">
            <v>254-01</v>
          </cell>
        </row>
        <row r="87">
          <cell r="C87" t="str">
            <v>250 254-01</v>
          </cell>
          <cell r="D87" t="str">
            <v>254-01</v>
          </cell>
        </row>
        <row r="88">
          <cell r="C88" t="str">
            <v>250 254-01</v>
          </cell>
          <cell r="D88" t="str">
            <v>254-01</v>
          </cell>
        </row>
        <row r="89">
          <cell r="C89" t="str">
            <v>250 254-01</v>
          </cell>
          <cell r="D89" t="str">
            <v>254-01</v>
          </cell>
        </row>
        <row r="90">
          <cell r="C90" t="str">
            <v>250 254-01</v>
          </cell>
          <cell r="D90" t="str">
            <v>254-01</v>
          </cell>
        </row>
        <row r="91">
          <cell r="C91" t="str">
            <v>250 254-01</v>
          </cell>
          <cell r="D91" t="str">
            <v>254-01</v>
          </cell>
        </row>
        <row r="92">
          <cell r="C92" t="str">
            <v>250 308-01</v>
          </cell>
          <cell r="D92" t="str">
            <v>308-01</v>
          </cell>
        </row>
        <row r="93">
          <cell r="C93" t="str">
            <v>250 324-35</v>
          </cell>
          <cell r="D93" t="str">
            <v>324-35</v>
          </cell>
        </row>
        <row r="94">
          <cell r="C94" t="str">
            <v>250 325-88</v>
          </cell>
          <cell r="D94" t="str">
            <v>325-88</v>
          </cell>
        </row>
        <row r="95">
          <cell r="C95" t="str">
            <v>250 325-88</v>
          </cell>
          <cell r="D95" t="str">
            <v>325-88</v>
          </cell>
        </row>
        <row r="96">
          <cell r="C96" t="str">
            <v>250 325-88</v>
          </cell>
          <cell r="D96" t="str">
            <v>325-88</v>
          </cell>
        </row>
        <row r="97">
          <cell r="C97" t="str">
            <v>250 325-88</v>
          </cell>
          <cell r="D97" t="str">
            <v>325-88</v>
          </cell>
        </row>
        <row r="98">
          <cell r="C98" t="str">
            <v>250 325-88</v>
          </cell>
          <cell r="D98" t="str">
            <v>325-88</v>
          </cell>
        </row>
        <row r="99">
          <cell r="C99" t="str">
            <v>250 325-88</v>
          </cell>
          <cell r="D99" t="str">
            <v>325-88</v>
          </cell>
        </row>
        <row r="100">
          <cell r="C100" t="str">
            <v>250 325-88</v>
          </cell>
          <cell r="D100" t="str">
            <v>325-88</v>
          </cell>
        </row>
        <row r="101">
          <cell r="C101" t="str">
            <v>250 325-88</v>
          </cell>
          <cell r="D101" t="str">
            <v>325-88</v>
          </cell>
        </row>
        <row r="102">
          <cell r="C102" t="str">
            <v>250 591-01</v>
          </cell>
          <cell r="D102" t="str">
            <v>591-01</v>
          </cell>
        </row>
        <row r="103">
          <cell r="C103" t="str">
            <v>300 607-01</v>
          </cell>
          <cell r="D103" t="str">
            <v>607-01</v>
          </cell>
        </row>
        <row r="104">
          <cell r="C104" t="str">
            <v>300 672-01</v>
          </cell>
          <cell r="D104" t="str">
            <v>672-01</v>
          </cell>
        </row>
        <row r="105">
          <cell r="C105" t="str">
            <v>300 691-01</v>
          </cell>
          <cell r="D105" t="str">
            <v>691-01</v>
          </cell>
        </row>
        <row r="106">
          <cell r="C106" t="str">
            <v>300 962-01</v>
          </cell>
          <cell r="D106" t="str">
            <v>962-01</v>
          </cell>
        </row>
        <row r="107">
          <cell r="C107" t="str">
            <v>550 201-01</v>
          </cell>
          <cell r="D107" t="str">
            <v>201-01</v>
          </cell>
        </row>
        <row r="108">
          <cell r="C108" t="str">
            <v>550 305-12</v>
          </cell>
          <cell r="D108" t="str">
            <v>305-12</v>
          </cell>
        </row>
        <row r="109">
          <cell r="C109" t="str">
            <v>550 436-12</v>
          </cell>
          <cell r="D109" t="str">
            <v>436-12</v>
          </cell>
        </row>
        <row r="110">
          <cell r="C110" t="str">
            <v>550 481-40</v>
          </cell>
          <cell r="D110" t="str">
            <v>481-40</v>
          </cell>
        </row>
        <row r="111">
          <cell r="C111" t="str">
            <v>550 498-01</v>
          </cell>
          <cell r="D111" t="str">
            <v>498-01</v>
          </cell>
        </row>
        <row r="112">
          <cell r="C112" t="str">
            <v>550 501-20</v>
          </cell>
          <cell r="D112" t="str">
            <v>501-20</v>
          </cell>
        </row>
        <row r="113">
          <cell r="C113" t="str">
            <v>550 511-01</v>
          </cell>
          <cell r="D113" t="str">
            <v>511-01</v>
          </cell>
        </row>
        <row r="114">
          <cell r="C114" t="str">
            <v>550 591-01</v>
          </cell>
          <cell r="D114" t="str">
            <v>591-01</v>
          </cell>
        </row>
        <row r="115">
          <cell r="C115" t="str">
            <v>600 130-01</v>
          </cell>
          <cell r="D115" t="str">
            <v>130-01</v>
          </cell>
        </row>
        <row r="116">
          <cell r="C116" t="str">
            <v>600 932-01</v>
          </cell>
          <cell r="D116" t="str">
            <v>932-01</v>
          </cell>
        </row>
        <row r="117">
          <cell r="C117" t="str">
            <v>600 942-01</v>
          </cell>
          <cell r="D117" t="str">
            <v>942-01</v>
          </cell>
        </row>
        <row r="118">
          <cell r="C118" t="str">
            <v>600 945-01</v>
          </cell>
          <cell r="D118" t="str">
            <v>945-01</v>
          </cell>
        </row>
        <row r="119">
          <cell r="C119" t="str">
            <v>600 961-05</v>
          </cell>
          <cell r="D119" t="str">
            <v>961-05</v>
          </cell>
        </row>
        <row r="120">
          <cell r="C120" t="str">
            <v>700 961-05</v>
          </cell>
          <cell r="D120" t="str">
            <v>961-05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3"/>
  <sheetViews>
    <sheetView tabSelected="1" zoomScaleNormal="100" workbookViewId="0">
      <selection activeCell="M8" sqref="M8"/>
    </sheetView>
  </sheetViews>
  <sheetFormatPr defaultRowHeight="12.75" x14ac:dyDescent="0.2"/>
  <cols>
    <col min="1" max="2" width="11.140625" customWidth="1"/>
    <col min="3" max="7" width="11.28515625" customWidth="1"/>
    <col min="8" max="8" width="2.42578125" customWidth="1"/>
    <col min="9" max="9" width="5.7109375" customWidth="1"/>
    <col min="10" max="10" width="10" customWidth="1"/>
    <col min="11" max="11" width="6.28515625" customWidth="1"/>
    <col min="12" max="12" width="0.42578125" hidden="1" customWidth="1"/>
    <col min="13" max="13" width="7.5703125" customWidth="1"/>
    <col min="14" max="14" width="4.85546875" customWidth="1"/>
    <col min="15" max="15" width="16" customWidth="1"/>
    <col min="16" max="17" width="15.7109375" customWidth="1"/>
  </cols>
  <sheetData>
    <row r="1" spans="1:17" ht="18" x14ac:dyDescent="0.25">
      <c r="A1" s="96" t="s">
        <v>40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</row>
    <row r="2" spans="1:17" x14ac:dyDescent="0.2">
      <c r="A2" s="97" t="s">
        <v>58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97"/>
      <c r="Q2" s="97"/>
    </row>
    <row r="3" spans="1:17" ht="18" x14ac:dyDescent="0.25">
      <c r="D3" s="52" t="s">
        <v>62</v>
      </c>
      <c r="F3" s="1"/>
      <c r="H3" s="1"/>
      <c r="I3" s="1"/>
      <c r="J3" s="1"/>
      <c r="N3" s="105"/>
      <c r="O3" s="105"/>
      <c r="P3" s="105"/>
      <c r="Q3" s="105"/>
    </row>
    <row r="4" spans="1:17" ht="15" customHeight="1" x14ac:dyDescent="0.2">
      <c r="D4" s="6" t="s">
        <v>63</v>
      </c>
    </row>
    <row r="5" spans="1:17" ht="15" customHeight="1" thickBot="1" x14ac:dyDescent="0.25">
      <c r="D5" s="6" t="s">
        <v>0</v>
      </c>
      <c r="H5" s="2"/>
    </row>
    <row r="6" spans="1:17" ht="15" customHeight="1" thickBot="1" x14ac:dyDescent="0.25">
      <c r="D6" s="6" t="s">
        <v>1</v>
      </c>
      <c r="H6" s="2"/>
      <c r="P6" s="79" t="s">
        <v>45</v>
      </c>
      <c r="Q6" s="81"/>
    </row>
    <row r="7" spans="1:17" ht="13.5" thickBot="1" x14ac:dyDescent="0.25">
      <c r="P7" s="49" t="s">
        <v>59</v>
      </c>
      <c r="Q7" s="70">
        <f xml:space="preserve"> B18</f>
        <v>0</v>
      </c>
    </row>
    <row r="8" spans="1:17" ht="15" customHeight="1" thickBot="1" x14ac:dyDescent="0.25">
      <c r="P8" s="49" t="s">
        <v>60</v>
      </c>
      <c r="Q8" s="50">
        <f>B33</f>
        <v>0</v>
      </c>
    </row>
    <row r="9" spans="1:17" ht="4.5" customHeight="1" x14ac:dyDescent="0.2">
      <c r="E9" s="40"/>
      <c r="F9" s="40"/>
    </row>
    <row r="10" spans="1:17" ht="24.75" customHeight="1" thickBot="1" x14ac:dyDescent="0.25">
      <c r="A10" s="101"/>
      <c r="B10" s="101"/>
      <c r="C10" s="101"/>
      <c r="D10" s="101"/>
      <c r="E10" s="101"/>
      <c r="F10" s="101"/>
      <c r="G10" s="57"/>
      <c r="M10" s="51"/>
      <c r="N10" s="51"/>
      <c r="O10" s="51"/>
      <c r="P10" s="51"/>
      <c r="Q10" s="51"/>
    </row>
    <row r="11" spans="1:17" ht="15" customHeight="1" thickBot="1" x14ac:dyDescent="0.25">
      <c r="A11" s="30" t="s">
        <v>50</v>
      </c>
      <c r="B11" s="30"/>
      <c r="C11" s="31"/>
      <c r="D11" s="31"/>
      <c r="E11" s="30" t="s">
        <v>51</v>
      </c>
      <c r="F11" s="30"/>
      <c r="G11" s="30" t="s">
        <v>2</v>
      </c>
      <c r="H11" s="5"/>
      <c r="J11" s="5"/>
      <c r="K11" s="4"/>
      <c r="L11" s="5"/>
      <c r="M11" s="12"/>
      <c r="N11" s="41"/>
      <c r="O11" s="4"/>
      <c r="P11" s="4"/>
      <c r="Q11" s="4"/>
    </row>
    <row r="12" spans="1:17" ht="15" customHeight="1" thickBot="1" x14ac:dyDescent="0.25">
      <c r="J12" s="4"/>
      <c r="K12" s="4"/>
      <c r="L12" s="4"/>
      <c r="M12" s="92" t="s">
        <v>67</v>
      </c>
      <c r="N12" s="93"/>
      <c r="O12" s="94" t="s">
        <v>68</v>
      </c>
      <c r="P12" s="95"/>
      <c r="Q12" s="75" t="s">
        <v>69</v>
      </c>
    </row>
    <row r="13" spans="1:17" ht="15" customHeight="1" thickBot="1" x14ac:dyDescent="0.25">
      <c r="A13" s="102" t="s">
        <v>44</v>
      </c>
      <c r="B13" s="103"/>
      <c r="C13" s="103"/>
      <c r="D13" s="104"/>
      <c r="E13" s="48"/>
      <c r="J13" s="4"/>
      <c r="K13" s="4"/>
      <c r="L13" s="4"/>
      <c r="M13" s="73"/>
      <c r="N13" s="76"/>
      <c r="O13" s="73"/>
      <c r="P13" s="72"/>
      <c r="Q13" s="72"/>
    </row>
    <row r="14" spans="1:17" ht="15" customHeight="1" thickBot="1" x14ac:dyDescent="0.25">
      <c r="A14" s="12"/>
      <c r="B14" s="12"/>
      <c r="C14" s="4"/>
      <c r="D14" s="4"/>
      <c r="E14" s="4"/>
      <c r="F14" s="12"/>
      <c r="G14" s="4"/>
      <c r="H14" s="4"/>
      <c r="I14" s="4"/>
      <c r="J14" s="4"/>
      <c r="K14" s="4"/>
      <c r="L14" s="4"/>
      <c r="M14" s="74" t="s">
        <v>70</v>
      </c>
      <c r="N14" s="77"/>
      <c r="O14" s="78"/>
      <c r="P14" s="94" t="s">
        <v>71</v>
      </c>
      <c r="Q14" s="95"/>
    </row>
    <row r="15" spans="1:17" ht="15" customHeight="1" x14ac:dyDescent="0.2">
      <c r="A15" s="45" t="s">
        <v>57</v>
      </c>
      <c r="B15" s="63"/>
      <c r="C15" s="46"/>
      <c r="D15" s="47">
        <v>0.39583333333333331</v>
      </c>
      <c r="E15" s="47">
        <v>0.5625</v>
      </c>
      <c r="H15" s="4"/>
      <c r="I15" s="4"/>
    </row>
    <row r="16" spans="1:17" ht="15" customHeight="1" thickBot="1" x14ac:dyDescent="0.25">
      <c r="H16" s="4"/>
      <c r="I16" s="4"/>
    </row>
    <row r="17" spans="1:17" ht="15" customHeight="1" thickBot="1" x14ac:dyDescent="0.25">
      <c r="A17" s="27" t="s">
        <v>3</v>
      </c>
      <c r="B17" s="71" t="s">
        <v>37</v>
      </c>
      <c r="C17" s="23" t="s">
        <v>4</v>
      </c>
      <c r="D17" s="23" t="s">
        <v>5</v>
      </c>
      <c r="E17" s="23" t="s">
        <v>4</v>
      </c>
      <c r="F17" s="23" t="s">
        <v>5</v>
      </c>
      <c r="G17" s="24" t="s">
        <v>6</v>
      </c>
      <c r="L17" s="6"/>
      <c r="N17" s="98" t="s">
        <v>8</v>
      </c>
      <c r="O17" s="99"/>
      <c r="P17" s="99"/>
      <c r="Q17" s="100"/>
    </row>
    <row r="18" spans="1:17" ht="15" customHeight="1" thickBot="1" x14ac:dyDescent="0.25">
      <c r="A18" s="25" t="s">
        <v>9</v>
      </c>
      <c r="B18" s="66"/>
      <c r="C18" s="65"/>
      <c r="D18" s="65"/>
      <c r="E18" s="65"/>
      <c r="F18" s="65"/>
      <c r="G18" s="43">
        <f>((+F18-E18+D18-C18)*24)</f>
        <v>0</v>
      </c>
      <c r="N18" s="37" t="s">
        <v>10</v>
      </c>
      <c r="O18" s="33" t="s">
        <v>11</v>
      </c>
      <c r="P18" s="33"/>
      <c r="Q18" s="21"/>
    </row>
    <row r="19" spans="1:17" ht="15" customHeight="1" thickBot="1" x14ac:dyDescent="0.25">
      <c r="A19" s="25" t="s">
        <v>12</v>
      </c>
      <c r="B19" s="66"/>
      <c r="C19" s="56"/>
      <c r="D19" s="56"/>
      <c r="E19" s="56"/>
      <c r="F19" s="56"/>
      <c r="G19" s="43">
        <f t="shared" ref="G19:G24" si="0">((+F19-E19+D19-C19)*24)</f>
        <v>0</v>
      </c>
      <c r="I19" s="20" t="s">
        <v>47</v>
      </c>
      <c r="J19" s="21"/>
      <c r="N19" s="38" t="s">
        <v>13</v>
      </c>
      <c r="O19" s="4" t="s">
        <v>42</v>
      </c>
      <c r="P19" s="4"/>
      <c r="Q19" s="14"/>
    </row>
    <row r="20" spans="1:17" ht="15" customHeight="1" x14ac:dyDescent="0.2">
      <c r="A20" s="25" t="s">
        <v>14</v>
      </c>
      <c r="B20" s="66"/>
      <c r="C20" s="56"/>
      <c r="D20" s="56"/>
      <c r="E20" s="56"/>
      <c r="F20" s="56"/>
      <c r="G20" s="43">
        <f t="shared" si="0"/>
        <v>0</v>
      </c>
      <c r="I20" s="13"/>
      <c r="J20" s="61"/>
      <c r="N20" s="38"/>
      <c r="O20" s="4" t="s">
        <v>15</v>
      </c>
      <c r="P20" s="4"/>
      <c r="Q20" s="14"/>
    </row>
    <row r="21" spans="1:17" ht="15" customHeight="1" thickBot="1" x14ac:dyDescent="0.25">
      <c r="A21" s="25" t="s">
        <v>16</v>
      </c>
      <c r="B21" s="66"/>
      <c r="C21" s="56"/>
      <c r="D21" s="56"/>
      <c r="E21" s="56"/>
      <c r="F21" s="56"/>
      <c r="G21" s="43">
        <f t="shared" si="0"/>
        <v>0</v>
      </c>
      <c r="I21" s="10"/>
      <c r="J21" s="62"/>
      <c r="N21" s="38" t="s">
        <v>17</v>
      </c>
      <c r="O21" s="4" t="s">
        <v>18</v>
      </c>
      <c r="P21" s="4"/>
      <c r="Q21" s="14"/>
    </row>
    <row r="22" spans="1:17" ht="15" customHeight="1" thickBot="1" x14ac:dyDescent="0.25">
      <c r="A22" s="25" t="s">
        <v>19</v>
      </c>
      <c r="B22" s="66"/>
      <c r="C22" s="56"/>
      <c r="D22" s="56"/>
      <c r="E22" s="56"/>
      <c r="F22" s="56"/>
      <c r="G22" s="43">
        <f t="shared" si="0"/>
        <v>0</v>
      </c>
      <c r="N22" s="38" t="s">
        <v>20</v>
      </c>
      <c r="O22" s="4" t="s">
        <v>52</v>
      </c>
      <c r="P22" s="4"/>
      <c r="Q22" s="14"/>
    </row>
    <row r="23" spans="1:17" ht="15" customHeight="1" thickBot="1" x14ac:dyDescent="0.25">
      <c r="A23" s="25" t="s">
        <v>21</v>
      </c>
      <c r="B23" s="66"/>
      <c r="C23" s="56"/>
      <c r="D23" s="56"/>
      <c r="E23" s="56"/>
      <c r="F23" s="56"/>
      <c r="G23" s="43">
        <f t="shared" si="0"/>
        <v>0</v>
      </c>
      <c r="I23" s="22" t="s">
        <v>48</v>
      </c>
      <c r="J23" s="21"/>
      <c r="N23" s="38" t="s">
        <v>22</v>
      </c>
      <c r="O23" s="7" t="s">
        <v>56</v>
      </c>
      <c r="P23" s="4"/>
      <c r="Q23" s="14"/>
    </row>
    <row r="24" spans="1:17" ht="15" customHeight="1" thickBot="1" x14ac:dyDescent="0.25">
      <c r="A24" s="26" t="s">
        <v>24</v>
      </c>
      <c r="B24" s="67"/>
      <c r="C24" s="58"/>
      <c r="D24" s="58"/>
      <c r="E24" s="58"/>
      <c r="F24" s="58"/>
      <c r="G24" s="44">
        <f t="shared" si="0"/>
        <v>0</v>
      </c>
      <c r="I24" s="13"/>
      <c r="J24" s="61"/>
      <c r="N24" s="38"/>
      <c r="O24" s="7" t="s">
        <v>53</v>
      </c>
      <c r="P24" s="4"/>
      <c r="Q24" s="14"/>
    </row>
    <row r="25" spans="1:17" ht="15" customHeight="1" thickBot="1" x14ac:dyDescent="0.25">
      <c r="A25" s="16"/>
      <c r="B25" s="68"/>
      <c r="C25" s="16"/>
      <c r="D25" s="16"/>
      <c r="E25" s="16"/>
      <c r="F25" s="16"/>
      <c r="G25" s="16"/>
      <c r="I25" s="10"/>
      <c r="J25" s="62"/>
      <c r="N25" s="13"/>
      <c r="O25" s="7" t="s">
        <v>54</v>
      </c>
      <c r="P25" s="4"/>
      <c r="Q25" s="14"/>
    </row>
    <row r="26" spans="1:17" ht="15" customHeight="1" thickBot="1" x14ac:dyDescent="0.25">
      <c r="A26" s="27" t="s">
        <v>7</v>
      </c>
      <c r="B26" s="69" t="s">
        <v>37</v>
      </c>
      <c r="C26" s="23" t="s">
        <v>4</v>
      </c>
      <c r="D26" s="23" t="s">
        <v>5</v>
      </c>
      <c r="E26" s="23" t="s">
        <v>4</v>
      </c>
      <c r="F26" s="23" t="s">
        <v>5</v>
      </c>
      <c r="G26" s="24" t="s">
        <v>6</v>
      </c>
      <c r="H26" s="8"/>
      <c r="I26" s="87"/>
      <c r="J26" s="87"/>
      <c r="N26" s="38" t="s">
        <v>25</v>
      </c>
      <c r="O26" s="4" t="s">
        <v>23</v>
      </c>
      <c r="P26" s="4"/>
      <c r="Q26" s="14"/>
    </row>
    <row r="27" spans="1:17" ht="15" customHeight="1" thickBot="1" x14ac:dyDescent="0.25">
      <c r="A27" s="25" t="s">
        <v>9</v>
      </c>
      <c r="B27" s="66"/>
      <c r="C27" s="56"/>
      <c r="D27" s="56"/>
      <c r="E27" s="56"/>
      <c r="F27" s="56"/>
      <c r="G27" s="43">
        <f t="shared" ref="G27:G33" si="1">((+F27-E27+D27-C27)*24)</f>
        <v>0</v>
      </c>
      <c r="H27" s="8"/>
      <c r="I27" s="22" t="s">
        <v>49</v>
      </c>
      <c r="J27" s="21"/>
      <c r="N27" s="13"/>
      <c r="O27" s="4" t="s">
        <v>64</v>
      </c>
      <c r="P27" s="4"/>
      <c r="Q27" s="14"/>
    </row>
    <row r="28" spans="1:17" ht="15" customHeight="1" x14ac:dyDescent="0.2">
      <c r="A28" s="25" t="s">
        <v>12</v>
      </c>
      <c r="B28" s="66"/>
      <c r="C28" s="56"/>
      <c r="D28" s="56"/>
      <c r="E28" s="56"/>
      <c r="F28" s="56"/>
      <c r="G28" s="43">
        <f t="shared" si="1"/>
        <v>0</v>
      </c>
      <c r="H28" s="4"/>
      <c r="I28" s="13"/>
      <c r="J28" s="61"/>
      <c r="N28" s="38" t="s">
        <v>26</v>
      </c>
      <c r="O28" s="88" t="s">
        <v>66</v>
      </c>
      <c r="P28" s="88"/>
      <c r="Q28" s="89"/>
    </row>
    <row r="29" spans="1:17" ht="15" customHeight="1" thickBot="1" x14ac:dyDescent="0.25">
      <c r="A29" s="25" t="s">
        <v>14</v>
      </c>
      <c r="B29" s="66"/>
      <c r="C29" s="56"/>
      <c r="D29" s="56"/>
      <c r="E29" s="56"/>
      <c r="F29" s="56"/>
      <c r="G29" s="43">
        <f t="shared" si="1"/>
        <v>0</v>
      </c>
      <c r="H29" s="4"/>
      <c r="I29" s="10"/>
      <c r="J29" s="62"/>
      <c r="N29" s="38" t="s">
        <v>28</v>
      </c>
      <c r="O29" s="4" t="s">
        <v>27</v>
      </c>
      <c r="P29" s="4"/>
      <c r="Q29" s="14"/>
    </row>
    <row r="30" spans="1:17" ht="15" customHeight="1" thickBot="1" x14ac:dyDescent="0.25">
      <c r="A30" s="25" t="s">
        <v>16</v>
      </c>
      <c r="B30" s="66"/>
      <c r="C30" s="56"/>
      <c r="D30" s="56"/>
      <c r="E30" s="56"/>
      <c r="F30" s="56"/>
      <c r="G30" s="43">
        <f t="shared" si="1"/>
        <v>0</v>
      </c>
      <c r="H30" s="4"/>
      <c r="N30" s="38" t="s">
        <v>29</v>
      </c>
      <c r="O30" s="4" t="s">
        <v>43</v>
      </c>
      <c r="P30" s="4"/>
      <c r="Q30" s="14"/>
    </row>
    <row r="31" spans="1:17" ht="15" customHeight="1" thickBot="1" x14ac:dyDescent="0.25">
      <c r="A31" s="25" t="s">
        <v>19</v>
      </c>
      <c r="B31" s="66"/>
      <c r="C31" s="56"/>
      <c r="D31" s="56"/>
      <c r="E31" s="56"/>
      <c r="F31" s="56"/>
      <c r="G31" s="43">
        <f t="shared" si="1"/>
        <v>0</v>
      </c>
      <c r="H31" s="4"/>
      <c r="I31" s="22" t="s">
        <v>46</v>
      </c>
      <c r="J31" s="21"/>
      <c r="N31" s="38" t="s">
        <v>31</v>
      </c>
      <c r="O31" s="4" t="s">
        <v>30</v>
      </c>
      <c r="P31" s="4"/>
      <c r="Q31" s="14"/>
    </row>
    <row r="32" spans="1:17" ht="15" customHeight="1" x14ac:dyDescent="0.2">
      <c r="A32" s="25" t="s">
        <v>21</v>
      </c>
      <c r="B32" s="66"/>
      <c r="C32" s="56"/>
      <c r="D32" s="56"/>
      <c r="E32" s="56"/>
      <c r="F32" s="56"/>
      <c r="G32" s="43">
        <f t="shared" si="1"/>
        <v>0</v>
      </c>
      <c r="H32" s="4"/>
      <c r="I32" s="13"/>
      <c r="J32" s="90">
        <f>+J21+J25+J29</f>
        <v>0</v>
      </c>
      <c r="N32" s="38"/>
      <c r="O32" s="4" t="s">
        <v>61</v>
      </c>
      <c r="P32" s="4"/>
      <c r="Q32" s="14"/>
    </row>
    <row r="33" spans="1:17" ht="15" customHeight="1" thickBot="1" x14ac:dyDescent="0.25">
      <c r="A33" s="26" t="s">
        <v>24</v>
      </c>
      <c r="B33" s="67"/>
      <c r="C33" s="58"/>
      <c r="D33" s="58"/>
      <c r="E33" s="58"/>
      <c r="F33" s="58"/>
      <c r="G33" s="44">
        <f t="shared" si="1"/>
        <v>0</v>
      </c>
      <c r="H33" s="4"/>
      <c r="I33" s="10"/>
      <c r="J33" s="91"/>
      <c r="N33" s="39" t="s">
        <v>55</v>
      </c>
      <c r="O33" s="3" t="s">
        <v>32</v>
      </c>
      <c r="P33" s="3"/>
      <c r="Q33" s="11"/>
    </row>
    <row r="34" spans="1:17" s="19" customFormat="1" ht="15" customHeight="1" thickBot="1" x14ac:dyDescent="0.25">
      <c r="A34" s="17"/>
      <c r="B34" s="17"/>
      <c r="C34" s="18"/>
      <c r="D34" s="18"/>
      <c r="E34" s="18"/>
      <c r="F34" s="28" t="s">
        <v>46</v>
      </c>
      <c r="G34" s="29">
        <f>SUM(G18:G33)</f>
        <v>0</v>
      </c>
      <c r="H34" s="17"/>
      <c r="P34" s="17"/>
    </row>
    <row r="35" spans="1:17" ht="18" customHeight="1" thickBot="1" x14ac:dyDescent="0.25">
      <c r="P35" s="9"/>
    </row>
    <row r="36" spans="1:17" ht="12" customHeight="1" x14ac:dyDescent="0.2">
      <c r="A36" s="42" t="s">
        <v>33</v>
      </c>
      <c r="B36" s="30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21"/>
      <c r="O36" s="79" t="s">
        <v>41</v>
      </c>
      <c r="P36" s="80"/>
      <c r="Q36" s="81"/>
    </row>
    <row r="37" spans="1:17" ht="12" customHeight="1" thickBot="1" x14ac:dyDescent="0.25">
      <c r="A37" s="34" t="s">
        <v>34</v>
      </c>
      <c r="B37" s="5"/>
      <c r="C37" s="4"/>
      <c r="D37" s="4"/>
      <c r="E37" s="4"/>
      <c r="F37" s="4"/>
      <c r="G37" s="4"/>
      <c r="H37" s="4"/>
      <c r="I37" s="4"/>
      <c r="J37" s="4"/>
      <c r="K37" s="4"/>
      <c r="L37" s="4"/>
      <c r="M37" s="14"/>
      <c r="O37" s="53"/>
      <c r="P37" s="54"/>
      <c r="Q37" s="55"/>
    </row>
    <row r="38" spans="1:17" x14ac:dyDescent="0.2">
      <c r="A38" s="13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14"/>
      <c r="O38" s="32"/>
      <c r="P38" s="33"/>
      <c r="Q38" s="21"/>
    </row>
    <row r="39" spans="1:17" ht="13.5" thickBot="1" x14ac:dyDescent="0.25">
      <c r="A39" s="82"/>
      <c r="B39" s="83"/>
      <c r="C39" s="83"/>
      <c r="D39" s="83"/>
      <c r="E39" s="83"/>
      <c r="F39" s="4"/>
      <c r="G39" s="84"/>
      <c r="H39" s="84"/>
      <c r="I39" s="84"/>
      <c r="J39" s="4"/>
      <c r="K39" s="85"/>
      <c r="L39" s="85"/>
      <c r="M39" s="86"/>
      <c r="N39" s="4"/>
      <c r="O39" s="15"/>
      <c r="P39" s="4"/>
      <c r="Q39" s="14"/>
    </row>
    <row r="40" spans="1:17" ht="12.6" customHeight="1" x14ac:dyDescent="0.2">
      <c r="A40" s="34" t="s">
        <v>35</v>
      </c>
      <c r="B40" s="5"/>
      <c r="C40" s="5"/>
      <c r="D40" s="5"/>
      <c r="E40" s="5"/>
      <c r="F40" s="5"/>
      <c r="G40" s="5" t="s">
        <v>36</v>
      </c>
      <c r="H40" s="5"/>
      <c r="I40" s="5"/>
      <c r="J40" s="4"/>
      <c r="K40" s="5" t="s">
        <v>37</v>
      </c>
      <c r="L40" s="4"/>
      <c r="M40" s="14"/>
      <c r="N40" s="4"/>
      <c r="O40" s="13"/>
      <c r="P40" s="4"/>
      <c r="Q40" s="14"/>
    </row>
    <row r="41" spans="1:17" x14ac:dyDescent="0.2">
      <c r="A41" s="13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14"/>
      <c r="N41" s="4"/>
      <c r="O41" s="13"/>
      <c r="P41" s="4"/>
      <c r="Q41" s="14"/>
    </row>
    <row r="42" spans="1:17" ht="13.5" thickBot="1" x14ac:dyDescent="0.25">
      <c r="A42" s="82"/>
      <c r="B42" s="83"/>
      <c r="C42" s="83"/>
      <c r="D42" s="83"/>
      <c r="E42" s="83"/>
      <c r="F42" s="4"/>
      <c r="G42" s="84"/>
      <c r="H42" s="84"/>
      <c r="I42" s="84"/>
      <c r="J42" s="4"/>
      <c r="K42" s="85"/>
      <c r="L42" s="85"/>
      <c r="M42" s="86"/>
      <c r="N42" s="4"/>
      <c r="O42" s="10"/>
      <c r="P42" s="3"/>
      <c r="Q42" s="11"/>
    </row>
    <row r="43" spans="1:17" ht="12.6" customHeight="1" thickBot="1" x14ac:dyDescent="0.25">
      <c r="A43" s="35" t="s">
        <v>38</v>
      </c>
      <c r="B43" s="64"/>
      <c r="C43" s="36"/>
      <c r="D43" s="36"/>
      <c r="E43" s="36"/>
      <c r="F43" s="36"/>
      <c r="G43" s="36" t="s">
        <v>39</v>
      </c>
      <c r="H43" s="36"/>
      <c r="I43" s="36"/>
      <c r="J43" s="3"/>
      <c r="K43" s="36" t="s">
        <v>37</v>
      </c>
      <c r="L43" s="3"/>
      <c r="M43" s="11"/>
      <c r="P43" s="59" t="s">
        <v>65</v>
      </c>
      <c r="Q43" s="60">
        <v>39288</v>
      </c>
    </row>
  </sheetData>
  <mergeCells count="21">
    <mergeCell ref="A1:Q1"/>
    <mergeCell ref="A2:Q2"/>
    <mergeCell ref="N17:Q17"/>
    <mergeCell ref="A10:D10"/>
    <mergeCell ref="E10:F10"/>
    <mergeCell ref="A13:D13"/>
    <mergeCell ref="P6:Q6"/>
    <mergeCell ref="N3:Q3"/>
    <mergeCell ref="I26:J26"/>
    <mergeCell ref="O28:Q28"/>
    <mergeCell ref="J32:J33"/>
    <mergeCell ref="M12:N12"/>
    <mergeCell ref="P14:Q14"/>
    <mergeCell ref="O12:P12"/>
    <mergeCell ref="O36:Q36"/>
    <mergeCell ref="A42:E42"/>
    <mergeCell ref="G39:I39"/>
    <mergeCell ref="G42:I42"/>
    <mergeCell ref="K42:M42"/>
    <mergeCell ref="A39:E39"/>
    <mergeCell ref="K39:M39"/>
  </mergeCells>
  <phoneticPr fontId="0" type="noConversion"/>
  <dataValidations count="2">
    <dataValidation type="list" allowBlank="1" showInputMessage="1" showErrorMessage="1" sqref="O12">
      <formula1>RegionList</formula1>
    </dataValidation>
    <dataValidation type="list" allowBlank="1" showInputMessage="1" showErrorMessage="1" sqref="P14:Q14">
      <formula1>List</formula1>
    </dataValidation>
  </dataValidations>
  <pageMargins left="0.25" right="0.25" top="0.25" bottom="0.25" header="0.25" footer="0.25"/>
  <pageSetup scale="8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SmAgcy-Timesheet</vt:lpstr>
      <vt:lpstr>'SmAgcy-Timesheet'!Print_Area</vt:lpstr>
    </vt:vector>
  </TitlesOfParts>
  <Company>Foundation For CCC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Foundation for CCC</dc:creator>
  <cp:keywords>fccc1102</cp:keywords>
  <cp:lastModifiedBy>Lynnette Falls</cp:lastModifiedBy>
  <cp:lastPrinted>2011-12-16T18:54:58Z</cp:lastPrinted>
  <dcterms:created xsi:type="dcterms:W3CDTF">2000-01-31T23:07:46Z</dcterms:created>
  <dcterms:modified xsi:type="dcterms:W3CDTF">2012-05-16T21:02:25Z</dcterms:modified>
</cp:coreProperties>
</file>